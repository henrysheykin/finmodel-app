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<sst xmlns="http://schemas.openxmlformats.org/spreadsheetml/2006/main" count="782" uniqueCount="489">
  <si>
    <t xml:space="preserve">SaaS company — financial model</t>
  </si>
  <si>
    <t xml:space="preserve">5-year financial model · monthly detail · Low / Base / High scenarios · US dollars</t>
  </si>
  <si>
    <t xml:space="preserve">Active scenario</t>
  </si>
  <si>
    <t xml:space="preserve">Model checks</t>
  </si>
  <si>
    <t xml:space="preserve">Prepared</t>
  </si>
  <si>
    <t xml:space="preserve">20 October 2026</t>
  </si>
  <si>
    <t xml:space="preserve">Contents</t>
  </si>
  <si>
    <t xml:space="preserve">PRESENTATION</t>
  </si>
  <si>
    <t xml:space="preserve">Scenario switch, key numbers, core financials, 4 charts</t>
  </si>
  <si>
    <t xml:space="preserve">Income statement, cash flow, balance sheet — 5 years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</si>
  <si>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</si>
  <si>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</si>
  <si>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</si>
  <si>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</si>
  <si>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Industry metrics, financial ratios, DuPont analysis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</si>
  <si>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</si>
  <si>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</si>
  <si>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</si>
  <si>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</si>
  <si>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</si>
  <si>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</si>
  <si>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</si>
  <si>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</si>
  <si>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 by month</t>
  </si>
  <si>
    <t xml:space="preserve">CONTROL</t>
  </si>
  <si>
    <t xml:space="preserve">Live integrity checks; overall verdict</t>
  </si>
  <si>
    <t xml:space="preserve">How to read this file</t>
  </si>
  <si>
    <t xml:space="preserve">1,000</t>
  </si>
  <si>
    <t xml:space="preserve">Input you can change (yellow cell, blue figure) — on Inputs, plus the two view switches</t>
  </si>
  <si>
    <t xml:space="preserve">Formula — calculated, do not overwrite</t>
  </si>
  <si>
    <t xml:space="preserve">Link to another sheet</t>
  </si>
  <si>
    <t xml:space="preserve">Active value the model uses</t>
  </si>
  <si>
    <t xml:space="preserve">Prototype of workbook standard v1 (internal review). Numbers come from the production engine; the Scenarios sheet's Low / Base / High columns are a build-time snapshot.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</si>
  <si>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</si>
  <si>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</si>
  <si>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</si>
  <si>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</si>
  <si>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</si>
  <si>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</si>
  <si>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</si>
  <si>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</si>
  <si>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</si>
  <si>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</si>
  <si>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</si>
  <si>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</si>
  <si>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</si>
  <si>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</si>
  <si>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</si>
  <si>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</si>
  <si>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</si>
  <si>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</si>
  <si>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</si>
  <si>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</si>
  <si>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</si>
  <si>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</si>
  <si>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SaaS metrics</t>
  </si>
  <si>
    <t xml:space="preserve">Paying customers (year end)</t>
  </si>
  <si>
    <t xml:space="preserve">ARR (year-end MRR × 12)</t>
  </si>
  <si>
    <t xml:space="preserve">LTV ÷ CAC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</si>
  <si>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</si>
  <si>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</si>
  <si>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</si>
  <si>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</si>
  <si>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</si>
  <si>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</si>
  <si>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</si>
  <si>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</si>
  <si>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</si>
  <si>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</si>
  <si>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</si>
  <si>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</si>
  <si>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</si>
  <si>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5 years</t>
  </si>
  <si>
    <t xml:space="preserve">Cost of revenue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</si>
  <si>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</si>
  <si>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</si>
  <si>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</si>
  <si>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</si>
  <si>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</si>
  <si>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5 years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</si>
  <si>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</si>
  <si>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</si>
  <si>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</si>
  <si>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</si>
  <si>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</si>
  <si>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</si>
  <si>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</si>
  <si>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</si>
  <si>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</si>
  <si>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</si>
  <si>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</si>
  <si>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Deferred revenue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</si>
  <si>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</si>
  <si>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</si>
  <si>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</si>
  <si>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</si>
  <si>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</si>
  <si>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</si>
  <si>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 analysis</t>
  </si>
  <si>
    <t xml:space="preserve">Low / Base / High columns: values the model engine computed for each scenario when the file was built (prototype snapshot — the production version keeps them live). Active = live, follows Dashboard!B4.</t>
  </si>
  <si>
    <t xml:space="preserve">Key drivers by scenario (from Inputs)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</si>
  <si>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</si>
  <si>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</si>
  <si>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</si>
  <si>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</si>
  <si>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</si>
  <si>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</si>
  <si>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Outputs by scenario</t>
  </si>
  <si>
    <t xml:space="preserve">Revenue — 5-year total</t>
  </si>
  <si>
    <t xml:space="preserve">Revenue — year 5</t>
  </si>
  <si>
    <t xml:space="preserve">EBITDA — 5-year total</t>
  </si>
  <si>
    <t xml:space="preserve">EBITDA margin — year 5</t>
  </si>
  <si>
    <t xml:space="preserve">Net income — 5-year total</t>
  </si>
  <si>
    <t xml:space="preserve">Year-end cash — year 5</t>
  </si>
  <si>
    <t xml:space="preserve">Lowest cash balance</t>
  </si>
  <si>
    <t xml:space="preserve">Funding required (incl. buffer)</t>
  </si>
  <si>
    <t xml:space="preserve">Enterprise value (DCF, average)</t>
  </si>
  <si>
    <t xml:space="preserve">Revenue by year and scenario ($'000)</t>
  </si>
  <si>
    <t xml:space="preserve">Revenue — Low</t>
  </si>
  <si>
    <t xml:space="preserve">Revenue — Base</t>
  </si>
  <si>
    <t xml:space="preserve">Revenue — High</t>
  </si>
  <si>
    <t xml:space="preserve">EBITDA by year and scenario ($'000)</t>
  </si>
  <si>
    <t xml:space="preserve">EBITDA — Low</t>
  </si>
  <si>
    <t xml:space="preserve">EBITDA — Base</t>
  </si>
  <si>
    <t xml:space="preserve">EBITDA — High</t>
  </si>
  <si>
    <t xml:space="preserve">Net income by year and scenario ($'000)</t>
  </si>
  <si>
    <t xml:space="preserve">Net income — Low</t>
  </si>
  <si>
    <t xml:space="preserve">Net income — Base</t>
  </si>
  <si>
    <t xml:space="preserve">Net income — High</t>
  </si>
  <si>
    <t xml:space="preserve">Year-end cash by year and scenario ($'000)</t>
  </si>
  <si>
    <t xml:space="preserve">Year-end cash — Low</t>
  </si>
  <si>
    <t xml:space="preserve">Year-end cash — Base</t>
  </si>
  <si>
    <t xml:space="preserve">Year-end cash — High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</si>
  <si>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</si>
  <si>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</si>
  <si>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</si>
  <si>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</si>
  <si>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</si>
  <si>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</si>
  <si>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</si>
  <si>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</si>
  <si>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</si>
  <si>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</si>
  <si>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</si>
  <si>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</si>
  <si>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</si>
  <si>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</si>
  <si>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</si>
  <si>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</si>
  <si>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</si>
  <si>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</si>
  <si>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</si>
  <si>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</si>
  <si>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</si>
  <si>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</si>
  <si>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</si>
  <si>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</si>
  <si>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</si>
  <si>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</si>
  <si>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</si>
  <si>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</si>
  <si>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</si>
  <si>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</si>
  <si>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</si>
  <si>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</si>
  <si>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</si>
  <si>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</si>
  <si>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</si>
  <si>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</si>
  <si>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</si>
  <si>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</si>
  <si>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</si>
  <si>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</si>
  <si>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</si>
  <si>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</si>
  <si>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</si>
  <si>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</si>
  <si>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</si>
  <si>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</si>
  <si>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</si>
  <si>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</si>
  <si>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</si>
  <si>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</si>
  <si>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</si>
  <si>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</si>
  <si>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</si>
  <si>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</si>
  <si>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</si>
  <si>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</si>
  <si>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</si>
  <si>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</si>
  <si>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</si>
  <si>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</si>
  <si>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</si>
  <si>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</si>
  <si>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</si>
  <si>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</si>
  <si>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</si>
  <si>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</si>
  <si>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</si>
  <si>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</si>
  <si>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Funding required by the plan (Break-even sheet)</t>
  </si>
  <si>
    <t xml:space="preserve">Surplus / (shortfall)</t>
  </si>
  <si>
    <t xml:space="preserve">Period covered (months from the start)</t>
  </si>
  <si>
    <t xml:space="preserve">Sources</t>
  </si>
  <si>
    <t xml:space="preserve">Uses</t>
  </si>
  <si>
    <t xml:space="preserve">Cash used by operations</t>
  </si>
  <si>
    <t xml:space="preserve">Loan drawdowns</t>
  </si>
  <si>
    <t xml:space="preserve">Cash generated by operations</t>
  </si>
  <si>
    <t xml:space="preserve">Loan repayments</t>
  </si>
  <si>
    <t xml:space="preserve">Cash at the end of the period</t>
  </si>
  <si>
    <t xml:space="preserve">Total sources</t>
  </si>
  <si>
    <t xml:space="preserve">Total uses</t>
  </si>
  <si>
    <t xml:space="preserve">Sources − uses (must be 0; opening cash is 0)</t>
  </si>
  <si>
    <t xml:space="preserve">KPIs &amp; ratios</t>
  </si>
  <si>
    <t xml:space="preserve">Industry metrics and financial ratios for the active scenario.</t>
  </si>
  <si>
    <t xml:space="preserve">Financial ratios</t>
  </si>
  <si>
    <t xml:space="preserve">Target</t>
  </si>
  <si>
    <t xml:space="preserve">Revenue growth</t>
  </si>
  <si>
    <t xml:space="preserve">-</t>
  </si>
  <si>
    <t xml:space="preserve">Payroll, % of revenue</t>
  </si>
  <si>
    <t xml:space="preserve">Paid marketing, % of revenue</t>
  </si>
  <si>
    <t xml:space="preserve">Operating expenses, % of revenue</t>
  </si>
  <si>
    <t xml:space="preserve">Current ratio (current assets ÷ current liabilities)</t>
  </si>
  <si>
    <t xml:space="preserve">Debt ÷ equity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</si>
  <si>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</si>
  <si>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</si>
  <si>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</si>
  <si>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</si>
  <si>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</si>
  <si>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</si>
  <si>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Customers (year end)</t>
  </si>
  <si>
    <t xml:space="preserve">New customers in the year</t>
  </si>
  <si>
    <t xml:space="preserve">Customers lost in the year</t>
  </si>
  <si>
    <t xml:space="preserve">MRR (year end)</t>
  </si>
  <si>
    <t xml:space="preserve">Average MRR per customer (year end)</t>
  </si>
  <si>
    <t xml:space="preserve">Paid marketing spend</t>
  </si>
  <si>
    <t xml:space="preserve">Blended CAC (paid spend ÷ all new customers)</t>
  </si>
  <si>
    <t xml:space="preserve">Customer churn per month</t>
  </si>
  <si>
    <t xml:space="preserve">Customer lifetime value (MRR × margin ÷ churn)</t>
  </si>
  <si>
    <t xml:space="preserve">CAC payback (months of gross profit)</t>
  </si>
  <si>
    <t xml:space="preserve">Net burn per month (year end)</t>
  </si>
  <si>
    <t xml:space="preserve">Cash (year end)</t>
  </si>
  <si>
    <t xml:space="preserve">Runway at year-end burn (months; - = not burning)</t>
  </si>
  <si>
    <t xml:space="preserve">Inputs</t>
  </si>
  <si>
    <t xml:space="preserve">Every assumption lives here once, with Low / Base / High values. Change the yellow cells; the active scenario is chosen on the Dashboard.</t>
  </si>
  <si>
    <t xml:space="preserve">Source / comment</t>
  </si>
  <si>
    <t xml:space="preserve">Business drivers</t>
  </si>
  <si>
    <t xml:space="preserve">Paying customers at start</t>
  </si>
  <si>
    <t xml:space="preserve">#</t>
  </si>
  <si>
    <t xml:space="preserve">Low ≤ Base ≤ High</t>
  </si>
  <si>
    <t xml:space="preserve">Average MRR per new customer (ARPA)</t>
  </si>
  <si>
    <t xml:space="preserve">$ / month</t>
  </si>
  <si>
    <t xml:space="preserve">Price increase per year for new customers</t>
  </si>
  <si>
    <t xml:space="preserve">%</t>
  </si>
  <si>
    <t xml:space="preserve">Low ≥ Base ≥ High (lower is better)</t>
  </si>
  <si>
    <t xml:space="preserve">Expansion MRR per month, % of opening MRR</t>
  </si>
  <si>
    <t xml:space="preserve">Organic / referral new customers per month (year 1)</t>
  </si>
  <si>
    <t xml:space="preserve"># / month</t>
  </si>
  <si>
    <t xml:space="preserve">Growth of organic new customers per year</t>
  </si>
  <si>
    <t xml:space="preserve">Paid marketing budget per month (year 1)</t>
  </si>
  <si>
    <t xml:space="preserve">Paid marketing budget growth per year</t>
  </si>
  <si>
    <t xml:space="preserve">Paid customer acquisition cost (CAC)</t>
  </si>
  <si>
    <t xml:space="preserve">$</t>
  </si>
  <si>
    <t xml:space="preserve">Share of MRR billed annually in advance</t>
  </si>
  <si>
    <t xml:space="preserve">Hosting &amp; payment fees, % of revenue</t>
  </si>
  <si>
    <t xml:space="preserve">Support &amp; onboarding cost per customer per month</t>
  </si>
  <si>
    <t xml:space="preserve">Software &amp; tools per FTE per month</t>
  </si>
  <si>
    <t xml:space="preserve">Office &amp; rent per month</t>
  </si>
  <si>
    <t xml:space="preserve">Other G&amp;A per month (legal, accounting, insurance)</t>
  </si>
  <si>
    <t xml:space="preserve">Start-up capex (equipment)</t>
  </si>
  <si>
    <t xml:space="preserve">Headcount</t>
  </si>
  <si>
    <t xml:space="preserve">Engineering &amp; product: headcount (FTE)</t>
  </si>
  <si>
    <t xml:space="preserve">FTE</t>
  </si>
  <si>
    <t xml:space="preserve">Engineering &amp; product: salary per FTE per year</t>
  </si>
  <si>
    <t xml:space="preserve">Engineering &amp; product: headcount growth per year</t>
  </si>
  <si>
    <t xml:space="preserve">Engineering &amp; product: first month on payroll</t>
  </si>
  <si>
    <t xml:space="preserve">month #</t>
  </si>
  <si>
    <t xml:space="preserve">Sales &amp; marketing: headcount (FTE)</t>
  </si>
  <si>
    <t xml:space="preserve">Sales &amp; marketing: salary per FTE per year</t>
  </si>
  <si>
    <t xml:space="preserve">Sales &amp; marketing: headcount growth per year</t>
  </si>
  <si>
    <t xml:space="preserve">Sales &amp; marketing: first month on payroll</t>
  </si>
  <si>
    <t xml:space="preserve">Customer success: headcount (FTE)</t>
  </si>
  <si>
    <t xml:space="preserve">Customer success: salary per FTE per year</t>
  </si>
  <si>
    <t xml:space="preserve">Customer success: headcount growth per year</t>
  </si>
  <si>
    <t xml:space="preserve">Customer success: first month on payroll</t>
  </si>
  <si>
    <t xml:space="preserve">G&amp;A (finance, ops): headcount (FTE)</t>
  </si>
  <si>
    <t xml:space="preserve">G&amp;A (finance, ops): salary per FTE per year</t>
  </si>
  <si>
    <t xml:space="preserve">G&amp;A (finance, ops): headcount growth per year</t>
  </si>
  <si>
    <t xml:space="preserve">G&amp;A (finance, ops):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</si>
  <si>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</si>
  <si>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</si>
  <si>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</si>
  <si>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</si>
  <si>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</si>
  <si>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</si>
  <si>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</si>
  <si>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</si>
  <si>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</si>
  <si>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</si>
  <si>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</si>
  <si>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</si>
  <si>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</si>
  <si>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</si>
  <si>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</si>
  <si>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</si>
  <si>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</si>
  <si>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</si>
  <si>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</si>
  <si>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</si>
  <si>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</si>
  <si>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</si>
  <si>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</si>
  <si>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used by the model</t>
  </si>
  <si>
    <t xml:space="preserve">Rolled up from the period detail (SUMIF on the year row; balances at year end).</t>
  </si>
  <si>
    <t xml:space="preserve">Hosting, payment fees &amp; support</t>
  </si>
  <si>
    <t xml:space="preserve">Payroll</t>
  </si>
  <si>
    <t xml:space="preserve">Paid marketing</t>
  </si>
  <si>
    <t xml:space="preserve">Software &amp; tools</t>
  </si>
  <si>
    <t xml:space="preserve">Office &amp; rent</t>
  </si>
  <si>
    <t xml:space="preserve">Other G&amp;A</t>
  </si>
  <si>
    <t xml:space="preserve">Total operating expenses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</si>
  <si>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</si>
  <si>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</si>
  <si>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</si>
  <si>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</si>
  <si>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Increase / (decrease) in deferred revenue (annual plans, ~6 months unearned)</t>
  </si>
  <si>
    <t xml:space="preserve">Opening cash</t>
  </si>
  <si>
    <t xml:space="preserve">Deferred revenue (annual plans, ~6 months unearned)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</si>
  <si>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</si>
  <si>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</si>
  <si>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</si>
  <si>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</si>
  <si>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</si>
  <si>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</si>
  <si>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</si>
  <si>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</si>
  <si>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</si>
  <si>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</si>
  <si>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</si>
  <si>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</si>
  <si>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</si>
  <si>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</si>
  <si>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</si>
  <si>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</si>
  <si>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</si>
  <si>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</si>
  <si>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</si>
  <si>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</si>
  <si>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</si>
  <si>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</si>
  <si>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</si>
  <si>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</si>
  <si>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</si>
  <si>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</si>
  <si>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</si>
  <si>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</si>
  <si>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</si>
  <si>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</si>
  <si>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</si>
  <si>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</si>
  <si>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</si>
  <si>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</si>
  <si>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</si>
  <si>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</si>
  <si>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</si>
  <si>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</si>
  <si>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</si>
  <si>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</si>
  <si>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</si>
  <si>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</si>
  <si>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</si>
  <si>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</si>
  <si>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</si>
  <si>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</si>
  <si>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</si>
  <si>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</si>
  <si>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</si>
  <si>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</si>
  <si>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</si>
  <si>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</si>
  <si>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</si>
  <si>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</si>
  <si>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</si>
  <si>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</si>
  <si>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</si>
  <si>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</si>
  <si>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</si>
  <si>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</si>
  <si>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</si>
  <si>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</si>
  <si>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</si>
  <si>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</si>
  <si>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</si>
  <si>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Customers</t>
  </si>
  <si>
    <t xml:space="preserve">New customers — organic / referral</t>
  </si>
  <si>
    <t xml:space="preserve">New customers — paid marketing</t>
  </si>
  <si>
    <t xml:space="preserve">New customers — total</t>
  </si>
  <si>
    <t xml:space="preserve">Customers — opening</t>
  </si>
  <si>
    <t xml:space="preserve">Customers lost (churn)</t>
  </si>
  <si>
    <t xml:space="preserve">Customers — closing</t>
  </si>
  <si>
    <t xml:space="preserve">MRR per new customer</t>
  </si>
  <si>
    <t xml:space="preserve">MRR waterfall</t>
  </si>
  <si>
    <t xml:space="preserve">Opening MRR</t>
  </si>
  <si>
    <t xml:space="preserve">New MRR</t>
  </si>
  <si>
    <t xml:space="preserve">Expansion MRR</t>
  </si>
  <si>
    <t xml:space="preserve">Churned MRR</t>
  </si>
  <si>
    <t xml:space="preserve">Closing MRR</t>
  </si>
  <si>
    <t xml:space="preserve">Revenue &amp; cost of revenue</t>
  </si>
  <si>
    <t xml:space="preserve">Revenue (average MRR × months)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</si>
  <si>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</si>
  <si>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</si>
  <si>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</si>
  <si>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</si>
  <si>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</si>
  <si>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</si>
  <si>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</si>
  <si>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</si>
  <si>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</si>
  <si>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</si>
  <si>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</si>
  <si>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</si>
  <si>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</si>
  <si>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</si>
  <si>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SaaS metric helpers</t>
  </si>
  <si>
    <t xml:space="preserve">Net burn per month (operating + investing; negative = cash generative)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</si>
  <si>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</si>
  <si>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</si>
  <si>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</si>
  <si>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</si>
  <si>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</si>
  <si>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</si>
  <si>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</si>
  <si>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</si>
  <si>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</si>
  <si>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</si>
  <si>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</si>
  <si>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Engineering &amp; product — FTE</t>
  </si>
  <si>
    <t xml:space="preserve">Sales &amp; marketing — FTE</t>
  </si>
  <si>
    <t xml:space="preserve">Customer success — FTE</t>
  </si>
  <si>
    <t xml:space="preserve">G&amp;A (finance, ops) — FTE</t>
  </si>
  <si>
    <t xml:space="preserve">Total FTE</t>
  </si>
  <si>
    <t xml:space="preserve">Payroll cost (salary + taxes &amp; benefits)</t>
  </si>
  <si>
    <t xml:space="preserve">Engineering &amp; product — payroll cost</t>
  </si>
  <si>
    <t xml:space="preserve">Sales &amp; marketing — payroll cost</t>
  </si>
  <si>
    <t xml:space="preserve">Customer success — payroll cost</t>
  </si>
  <si>
    <t xml:space="preserve">G&amp;A (finance, ops)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</si>
  <si>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</si>
  <si>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</si>
  <si>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</si>
  <si>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</si>
  <si>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</si>
  <si>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</si>
  <si>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</si>
  <si>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</si>
  <si>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</si>
  <si>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</si>
  <si>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</si>
  <si>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</si>
  <si>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</si>
  <si>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</si>
  <si>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</si>
  <si>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</si>
  <si>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</si>
  <si>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</si>
  <si>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</si>
  <si>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</si>
  <si>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</si>
  <si>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</si>
  <si>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</si>
  <si>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</si>
  <si>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</si>
  <si>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</si>
  <si>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</si>
  <si>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</si>
  <si>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</si>
  <si>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</si>
  <si>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</si>
  <si>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Summary ties to period detail</t>
  </si>
  <si>
    <t xml:space="preserve">Revenue on the Summary sheet equals the sum of every period</t>
  </si>
  <si>
    <t xml:space="preserve">No error values</t>
  </si>
  <si>
    <t xml:space="preserve">No error values (divide-by-zero, broken references) on any calculation sheet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</si>
  <si>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</si>
  <si>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</si>
  <si>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</si>
  <si>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</si>
  <si>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Sources &amp; uses balance</t>
  </si>
  <si>
    <t xml:space="preserve">Sources of funds = uses of funds (incl. closing cash) for the period</t>
  </si>
  <si>
    <t xml:space="preserve">Overall verdict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</si>
</sst>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0"/>
    <numFmt numFmtId="166" formatCode="\$#,##0.0,,\M;&quot;($&quot;#,##0.0,,&quot;M)&quot;;\-"/>
    <numFmt numFmtId="167" formatCode="0.0%;\(0.0%\);\-"/>
    <numFmt numFmtId="168" formatCode="\$#,##0,;&quot;($&quot;#,##0,\);\-"/>
    <numFmt numFmtId="169" formatCode="#,##0;\(#,##0\);\-"/>
    <numFmt numFmtId="170" formatCode="0.0\x;\(0.0&quot;x)&quot;;\-"/>
    <numFmt numFmtId="171" formatCode="#,##0.0"/>
    <numFmt numFmtId="172" formatCode="&quot;Month &quot;0"/>
    <numFmt numFmtId="173" formatCode="\$#,##0.0,,\M"/>
    <numFmt numFmtId="174" formatCode="0%"/>
    <numFmt numFmtId="175" formatCode="#,##0"/>
    <numFmt numFmtId="176" formatCode="&quot;Year &quot;0"/>
    <numFmt numFmtId="177" formatCode="\$#,##0,\K"/>
    <numFmt numFmtId="178" formatCode="#,##0.##;\(#,##0.##\);\-"/>
    <numFmt numFmtId="179" formatCode="\$#,##0;&quot;($&quot;#,##0\);\-"/>
    <numFmt numFmtId="180" formatCode="0.0%;\(0.0%\);\-"/>
    <numFmt numFmtId="181" formatCode="0.0\x"/>
    <numFmt numFmtId="182" formatCode="0.000"/>
    <numFmt numFmtId="183" formatCode="#,##0.0;\(#,##0.0\);\-"/>
    <numFmt numFmtId="184" formatCode="0.0\x"/>
    <numFmt numFmtId="185" formatCode="#,##0;\(#,##0\);\-"/>
    <numFmt numFmtId="186" formatCode="\$#,##0.00;&quot;($&quot;#,##0.0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9"/>
      <color rgb="FF1B2A2F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10"/>
      <color rgb="FF000000"/>
      <name val="Calibri"/>
      <family val="2"/>
    </font>
    <font>
      <b val="true"/>
      <sz val="9"/>
      <color rgb="FF0000FF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sz val="7"/>
      <color rgb="FFA3ABA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  <border diagonalUp="false" diagonalDown="false">
      <left style="medium">
        <color rgb="FF1B2A2F"/>
      </left>
      <right/>
      <top style="medium">
        <color rgb="FF1B2A2F"/>
      </top>
      <bottom style="medium">
        <color rgb="FF1B2A2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878787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4F81BD"/>
      <rgbColor rgb="FF33CCCC"/>
      <rgbColor rgb="FF99CC00"/>
      <rgbColor rgb="FFE0B43C"/>
      <rgbColor rgb="FFD9A21B"/>
      <rgbColor rgb="FFC55A11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10216765.787571</c:v>
                </c:pt>
                <c:pt idx="1">
                  <c:v>12946279.7323641</c:v>
                </c:pt>
                <c:pt idx="2">
                  <c:v>16448494.6767072</c:v>
                </c:pt>
                <c:pt idx="3">
                  <c:v>20946999.757218</c:v>
                </c:pt>
                <c:pt idx="4">
                  <c:v>26732394.7690799</c:v>
                </c:pt>
              </c:numCache>
            </c:numRef>
          </c:val>
        </c:ser>
        <c:ser>
          <c:idx val="1"/>
          <c:order val="1"/>
          <c:tx>
            <c:strRef>
              <c:f>Dashboard!A16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1493172.06373118</c:v>
                </c:pt>
                <c:pt idx="1">
                  <c:v>2249612.87255416</c:v>
                </c:pt>
                <c:pt idx="2">
                  <c:v>3293948.45885364</c:v>
                </c:pt>
                <c:pt idx="3">
                  <c:v>4729214.23884245</c:v>
                </c:pt>
                <c:pt idx="4">
                  <c:v>6694937.37504621</c:v>
                </c:pt>
              </c:numCache>
            </c:numRef>
          </c:val>
        </c:ser>
        <c:gapWidth val="60"/>
        <c:overlap val="0"/>
        <c:axId val="91472587"/>
        <c:axId val="21788330"/>
      </c:barChart>
      <c:lineChart>
        <c:grouping val="standard"/>
        <c:varyColors val="0"/>
        <c:ser>
          <c:idx val="2"/>
          <c:order val="2"/>
          <c:tx>
            <c:strRef>
              <c:f>Dashboard!A17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0.146149191904513</c:v>
                </c:pt>
                <c:pt idx="1">
                  <c:v>0.173765198888018</c:v>
                </c:pt>
                <c:pt idx="2">
                  <c:v>0.20025835333845</c:v>
                </c:pt>
                <c:pt idx="3">
                  <c:v>0.225770482343795</c:v>
                </c:pt>
                <c:pt idx="4">
                  <c:v>0.250442859043438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061788"/>
        <c:axId val="69767420"/>
      </c:lineChart>
      <c:catAx>
        <c:axId val="91472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1788330"/>
        <c:crosses val="autoZero"/>
        <c:auto val="1"/>
        <c:lblAlgn val="ctr"/>
        <c:lblOffset val="100"/>
        <c:noMultiLvlLbl val="0"/>
      </c:catAx>
      <c:valAx>
        <c:axId val="217883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472587"/>
        <c:crosses val="autoZero"/>
        <c:crossBetween val="between"/>
      </c:valAx>
      <c:catAx>
        <c:axId val="480617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767420"/>
        <c:crosses val="autoZero"/>
        <c:auto val="1"/>
        <c:lblAlgn val="ctr"/>
        <c:lblOffset val="100"/>
        <c:noMultiLvlLbl val="0"/>
      </c:catAx>
      <c:valAx>
        <c:axId val="697674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06178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2273134.67176108</c:v>
                </c:pt>
                <c:pt idx="1">
                  <c:v>2078342.78005782</c:v>
                </c:pt>
                <c:pt idx="2">
                  <c:v>2985771.77532433</c:v>
                </c:pt>
                <c:pt idx="3">
                  <c:v>4215445.83856573</c:v>
                </c:pt>
                <c:pt idx="4">
                  <c:v>5905773.33988778</c:v>
                </c:pt>
              </c:numCache>
            </c:numRef>
          </c:val>
        </c:ser>
        <c:ser>
          <c:idx val="1"/>
          <c:order val="1"/>
          <c:tx>
            <c:strRef>
              <c:f>Dashboard!A21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a3ab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Dashboard!A22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1000000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35794472"/>
        <c:axId val="73743940"/>
      </c:barChart>
      <c:catAx>
        <c:axId val="3579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743940"/>
        <c:crosses val="autoZero"/>
        <c:auto val="1"/>
        <c:lblAlgn val="ctr"/>
        <c:lblOffset val="100"/>
        <c:noMultiLvlLbl val="0"/>
      </c:catAx>
      <c:valAx>
        <c:axId val="7374394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7944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3123134.67176108</c:v>
                </c:pt>
                <c:pt idx="1">
                  <c:v>5201477.4518189</c:v>
                </c:pt>
                <c:pt idx="2">
                  <c:v>8187249.22714323</c:v>
                </c:pt>
                <c:pt idx="3">
                  <c:v>12402695.065709</c:v>
                </c:pt>
                <c:pt idx="4">
                  <c:v>18308468.4055967</c:v>
                </c:pt>
              </c:numCache>
            </c:numRef>
          </c:val>
        </c:ser>
        <c:gapWidth val="60"/>
        <c:overlap val="0"/>
        <c:axId val="63554941"/>
        <c:axId val="97342319"/>
      </c:barChart>
      <c:catAx>
        <c:axId val="63554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7342319"/>
        <c:crosses val="autoZero"/>
        <c:auto val="1"/>
        <c:lblAlgn val="ctr"/>
        <c:lblOffset val="100"/>
        <c:noMultiLvlLbl val="0"/>
      </c:catAx>
      <c:valAx>
        <c:axId val="973423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554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ARR &amp; paying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Dashboard!A29</c:f>
              <c:strCache>
                <c:ptCount val="1"/>
                <c:pt idx="0">
                  <c:v>ARR (year-end MRR × 12)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\$#,##0,;"($"#,##0,\);\-</c:formatCode>
                <c:ptCount val="5"/>
                <c:pt idx="0">
                  <c:v>11385917.6939613</c:v>
                </c:pt>
                <c:pt idx="1">
                  <c:v>14445582.4498571</c:v>
                </c:pt>
                <c:pt idx="2">
                  <c:v>18373029.9260331</c:v>
                </c:pt>
                <c:pt idx="3">
                  <c:v>23420246.2651827</c:v>
                </c:pt>
                <c:pt idx="4">
                  <c:v>29914933.9044952</c:v>
                </c:pt>
              </c:numCache>
            </c:numRef>
          </c:val>
        </c:ser>
        <c:gapWidth val="60"/>
        <c:overlap val="0"/>
        <c:axId val="57494892"/>
        <c:axId val="71717429"/>
      </c:barChart>
      <c:lineChart>
        <c:grouping val="standard"/>
        <c:varyColors val="0"/>
        <c:ser>
          <c:idx val="1"/>
          <c:order val="1"/>
          <c:tx>
            <c:strRef>
              <c:f>Dashboard!A28</c:f>
              <c:strCache>
                <c:ptCount val="1"/>
                <c:pt idx="0">
                  <c:v>Paying customers (year end)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3608.18278275012</c:v>
                </c:pt>
                <c:pt idx="1">
                  <c:v>4380.8763350911</c:v>
                </c:pt>
                <c:pt idx="2">
                  <c:v>5357.14079214784</c:v>
                </c:pt>
                <c:pt idx="3">
                  <c:v>6586.80773660826</c:v>
                </c:pt>
                <c:pt idx="4">
                  <c:v>8133.33786480438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663506"/>
        <c:axId val="16285006"/>
      </c:lineChart>
      <c:catAx>
        <c:axId val="57494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717429"/>
        <c:crosses val="autoZero"/>
        <c:auto val="1"/>
        <c:lblAlgn val="ctr"/>
        <c:lblOffset val="100"/>
        <c:noMultiLvlLbl val="0"/>
      </c:catAx>
      <c:valAx>
        <c:axId val="717174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494892"/>
        <c:crosses val="autoZero"/>
        <c:crossBetween val="between"/>
      </c:valAx>
      <c:catAx>
        <c:axId val="5566350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6285006"/>
        <c:crosses val="autoZero"/>
        <c:auto val="1"/>
        <c:lblAlgn val="ctr"/>
        <c:lblOffset val="100"/>
        <c:noMultiLvlLbl val="0"/>
      </c:catAx>
      <c:valAx>
        <c:axId val="16285006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66350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Summary!$H$6:$S$6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758750</c:v>
                </c:pt>
                <c:pt idx="1">
                  <c:v>776162.5</c:v>
                </c:pt>
                <c:pt idx="2">
                  <c:v>793400.875</c:v>
                </c:pt>
                <c:pt idx="3">
                  <c:v>810466.86625</c:v>
                </c:pt>
                <c:pt idx="4">
                  <c:v>827362.1975875</c:v>
                </c:pt>
                <c:pt idx="5">
                  <c:v>844088.575611625</c:v>
                </c:pt>
                <c:pt idx="6">
                  <c:v>860647.689855509</c:v>
                </c:pt>
                <c:pt idx="7">
                  <c:v>877041.212956954</c:v>
                </c:pt>
                <c:pt idx="8">
                  <c:v>893270.800827384</c:v>
                </c:pt>
                <c:pt idx="9">
                  <c:v>909338.09281911</c:v>
                </c:pt>
                <c:pt idx="10">
                  <c:v>925244.711890919</c:v>
                </c:pt>
                <c:pt idx="11">
                  <c:v>940992.26477201</c:v>
                </c:pt>
              </c:numCache>
            </c:numRef>
          </c:val>
        </c:ser>
        <c:gapWidth val="40"/>
        <c:overlap val="0"/>
        <c:axId val="64264251"/>
        <c:axId val="78295834"/>
      </c:barChart>
      <c:lineChart>
        <c:grouping val="standard"/>
        <c:varyColors val="0"/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Summary!$H$6:$S$6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41620</c:v>
                </c:pt>
                <c:pt idx="1">
                  <c:v>57182.075</c:v>
                </c:pt>
                <c:pt idx="2">
                  <c:v>72589.075125</c:v>
                </c:pt>
                <c:pt idx="3">
                  <c:v>87842.542935625</c:v>
                </c:pt>
                <c:pt idx="4">
                  <c:v>102944.005689716</c:v>
                </c:pt>
                <c:pt idx="5">
                  <c:v>117894.975493514</c:v>
                </c:pt>
                <c:pt idx="6">
                  <c:v>132696.949451363</c:v>
                </c:pt>
                <c:pt idx="7">
                  <c:v>147351.409813943</c:v>
                </c:pt>
                <c:pt idx="8">
                  <c:v>161859.82412504</c:v>
                </c:pt>
                <c:pt idx="9">
                  <c:v>176223.645366887</c:v>
                </c:pt>
                <c:pt idx="10">
                  <c:v>190444.31210407</c:v>
                </c:pt>
                <c:pt idx="11">
                  <c:v>204523.248626018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"Net income"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Summary!$H$6:$S$6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29588.1333333333</c:v>
                </c:pt>
                <c:pt idx="1">
                  <c:v>41882.1725833333</c:v>
                </c:pt>
                <c:pt idx="2">
                  <c:v>54053.7026820833</c:v>
                </c:pt>
                <c:pt idx="3">
                  <c:v>66103.9422524771</c:v>
                </c:pt>
                <c:pt idx="4">
                  <c:v>78034.0978282088</c:v>
                </c:pt>
                <c:pt idx="5">
                  <c:v>89845.3639732092</c:v>
                </c:pt>
                <c:pt idx="6">
                  <c:v>101538.92339991</c:v>
                </c:pt>
                <c:pt idx="7">
                  <c:v>113115.947086348</c:v>
                </c:pt>
                <c:pt idx="8">
                  <c:v>124577.594392115</c:v>
                </c:pt>
                <c:pt idx="9">
                  <c:v>135925.013173174</c:v>
                </c:pt>
                <c:pt idx="10">
                  <c:v>147159.339895549</c:v>
                </c:pt>
                <c:pt idx="11">
                  <c:v>158281.699747888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264251"/>
        <c:axId val="78295834"/>
      </c:lineChart>
      <c:catAx>
        <c:axId val="64264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295834"/>
        <c:crosses val="autoZero"/>
        <c:auto val="1"/>
        <c:lblAlgn val="ctr"/>
        <c:lblOffset val="100"/>
        <c:noMultiLvlLbl val="0"/>
      </c:catAx>
      <c:valAx>
        <c:axId val="7829583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2642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"Operating cash flow"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Summary!$H$23:$S$23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910226.466666667</c:v>
                </c:pt>
                <c:pt idx="1">
                  <c:v>65787.1809166666</c:v>
                </c:pt>
                <c:pt idx="2">
                  <c:v>77760.7817237501</c:v>
                </c:pt>
                <c:pt idx="3">
                  <c:v>89615.0794835188</c:v>
                </c:pt>
                <c:pt idx="4">
                  <c:v>101351.260732035</c:v>
                </c:pt>
                <c:pt idx="5">
                  <c:v>112970.500237415</c:v>
                </c:pt>
                <c:pt idx="6">
                  <c:v>124473.961116051</c:v>
                </c:pt>
                <c:pt idx="7">
                  <c:v>135862.794947686</c:v>
                </c:pt>
                <c:pt idx="8">
                  <c:v>147138.141889363</c:v>
                </c:pt>
                <c:pt idx="9">
                  <c:v>158301.130788255</c:v>
                </c:pt>
                <c:pt idx="10">
                  <c:v>169352.879293392</c:v>
                </c:pt>
                <c:pt idx="11">
                  <c:v>180294.493966282</c:v>
                </c:pt>
              </c:numCache>
            </c:numRef>
          </c:val>
        </c:ser>
        <c:ser>
          <c:idx val="1"/>
          <c:order val="1"/>
          <c:tx>
            <c:strRef>
              <c:f>"Capital spending"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a3ab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Summary!$H$23:$S$23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-150000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"Financing cash flow"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Summary!$H$23:$S$23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1000000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overlap val="0"/>
        <c:axId val="71290385"/>
        <c:axId val="47396598"/>
      </c:barChart>
      <c:lineChart>
        <c:grouping val="standard"/>
        <c:varyColors val="0"/>
        <c:ser>
          <c:idx val="3"/>
          <c:order val="3"/>
          <c:tx>
            <c:strRef>
              <c:f>"Closing cash (right axis)"</c:f>
              <c:strCache>
                <c:ptCount val="1"/>
                <c:pt idx="0">
                  <c:v>Closing cash (right axis)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Summary!$H$23:$S$23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1760226.46666667</c:v>
                </c:pt>
                <c:pt idx="1">
                  <c:v>1826013.64758333</c:v>
                </c:pt>
                <c:pt idx="2">
                  <c:v>1903774.42930708</c:v>
                </c:pt>
                <c:pt idx="3">
                  <c:v>1993389.5087906</c:v>
                </c:pt>
                <c:pt idx="4">
                  <c:v>2094740.76952264</c:v>
                </c:pt>
                <c:pt idx="5">
                  <c:v>2207711.26976005</c:v>
                </c:pt>
                <c:pt idx="6">
                  <c:v>2332185.2308761</c:v>
                </c:pt>
                <c:pt idx="7">
                  <c:v>2468048.02582379</c:v>
                </c:pt>
                <c:pt idx="8">
                  <c:v>2615186.16771315</c:v>
                </c:pt>
                <c:pt idx="9">
                  <c:v>2773487.29850141</c:v>
                </c:pt>
                <c:pt idx="10">
                  <c:v>2942840.1777948</c:v>
                </c:pt>
                <c:pt idx="11">
                  <c:v>3123134.67176108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497127"/>
        <c:axId val="77221093"/>
      </c:lineChart>
      <c:catAx>
        <c:axId val="7129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396598"/>
        <c:crosses val="autoZero"/>
        <c:auto val="1"/>
        <c:lblAlgn val="ctr"/>
        <c:lblOffset val="100"/>
        <c:noMultiLvlLbl val="0"/>
      </c:catAx>
      <c:valAx>
        <c:axId val="473965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290385"/>
        <c:crosses val="autoZero"/>
        <c:crossBetween val="between"/>
      </c:valAx>
      <c:catAx>
        <c:axId val="9849712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221093"/>
        <c:crosses val="autoZero"/>
        <c:auto val="1"/>
        <c:lblAlgn val="ctr"/>
        <c:lblOffset val="100"/>
        <c:noMultiLvlLbl val="0"/>
      </c:catAx>
      <c:valAx>
        <c:axId val="77221093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49712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"Cash"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Summary!$H$40:$S$40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1760226.46666667</c:v>
                </c:pt>
                <c:pt idx="1">
                  <c:v>1826013.64758333</c:v>
                </c:pt>
                <c:pt idx="2">
                  <c:v>1903774.42930708</c:v>
                </c:pt>
                <c:pt idx="3">
                  <c:v>1993389.5087906</c:v>
                </c:pt>
                <c:pt idx="4">
                  <c:v>2094740.76952264</c:v>
                </c:pt>
                <c:pt idx="5">
                  <c:v>2207711.26976005</c:v>
                </c:pt>
                <c:pt idx="6">
                  <c:v>2332185.2308761</c:v>
                </c:pt>
                <c:pt idx="7">
                  <c:v>2468048.02582379</c:v>
                </c:pt>
                <c:pt idx="8">
                  <c:v>2615186.16771315</c:v>
                </c:pt>
                <c:pt idx="9">
                  <c:v>2773487.29850141</c:v>
                </c:pt>
                <c:pt idx="10">
                  <c:v>2942840.1777948</c:v>
                </c:pt>
                <c:pt idx="11">
                  <c:v>3123134.67176108</c:v>
                </c:pt>
              </c:numCache>
            </c:numRef>
          </c:val>
        </c:ser>
        <c:ser>
          <c:idx val="1"/>
          <c:order val="1"/>
          <c:tx>
            <c:strRef>
              <c:f>"Receivables"</c:f>
              <c:strCache>
                <c:ptCount val="1"/>
                <c:pt idx="0">
                  <c:v>Receivables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Summary!$H$40:$S$40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126458.333333333</c:v>
                </c:pt>
                <c:pt idx="1">
                  <c:v>129360.416666667</c:v>
                </c:pt>
                <c:pt idx="2">
                  <c:v>132233.479166667</c:v>
                </c:pt>
                <c:pt idx="3">
                  <c:v>135077.811041667</c:v>
                </c:pt>
                <c:pt idx="4">
                  <c:v>137893.699597917</c:v>
                </c:pt>
                <c:pt idx="5">
                  <c:v>140681.429268604</c:v>
                </c:pt>
                <c:pt idx="6">
                  <c:v>143441.281642585</c:v>
                </c:pt>
                <c:pt idx="7">
                  <c:v>146173.535492826</c:v>
                </c:pt>
                <c:pt idx="8">
                  <c:v>148878.466804564</c:v>
                </c:pt>
                <c:pt idx="9">
                  <c:v>151556.348803185</c:v>
                </c:pt>
                <c:pt idx="10">
                  <c:v>154207.45198182</c:v>
                </c:pt>
                <c:pt idx="11">
                  <c:v>156832.044128668</c:v>
                </c:pt>
              </c:numCache>
            </c:numRef>
          </c:val>
        </c:ser>
        <c:ser>
          <c:idx val="2"/>
          <c:order val="2"/>
          <c:tx>
            <c:strRef>
              <c:f>"Fixed assets"</c:f>
              <c:strCache>
                <c:ptCount val="1"/>
                <c:pt idx="0">
                  <c:v>Fixed assets</c:v>
                </c:pt>
              </c:strCache>
            </c:strRef>
          </c:tx>
          <c:spPr>
            <a:solidFill>
              <a:srgbClr val="a3ab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Summary!$H$40:$S$40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145833.333333333</c:v>
                </c:pt>
                <c:pt idx="1">
                  <c:v>141666.666666667</c:v>
                </c:pt>
                <c:pt idx="2">
                  <c:v>137500</c:v>
                </c:pt>
                <c:pt idx="3">
                  <c:v>133333.333333333</c:v>
                </c:pt>
                <c:pt idx="4">
                  <c:v>129166.666666667</c:v>
                </c:pt>
                <c:pt idx="5">
                  <c:v>125000</c:v>
                </c:pt>
                <c:pt idx="6">
                  <c:v>120833.333333333</c:v>
                </c:pt>
                <c:pt idx="7">
                  <c:v>116666.666666667</c:v>
                </c:pt>
                <c:pt idx="8">
                  <c:v>112500</c:v>
                </c:pt>
                <c:pt idx="9">
                  <c:v>108333.333333333</c:v>
                </c:pt>
                <c:pt idx="10">
                  <c:v>104166.666666667</c:v>
                </c:pt>
                <c:pt idx="11">
                  <c:v>100000</c:v>
                </c:pt>
              </c:numCache>
            </c:numRef>
          </c:val>
        </c:ser>
        <c:gapWidth val="40"/>
        <c:overlap val="100"/>
        <c:axId val="36004612"/>
        <c:axId val="77027958"/>
      </c:barChart>
      <c:lineChart>
        <c:grouping val="stacked"/>
        <c:varyColors val="0"/>
        <c:ser>
          <c:idx val="3"/>
          <c:order val="3"/>
          <c:tx>
            <c:strRef>
              <c:f>"Total equity"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Summary!$H$40:$S$40</c:f>
              <c:multiLvlStrCache>
                <c:ptCount val="1"/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Summary!$H$52:$S$52</c:f>
              <c:numCache>
                <c:formatCode>\$#,##0,;"($"#,##0,\);\-</c:formatCode>
                <c:ptCount val="12"/>
                <c:pt idx="0">
                  <c:v>1029588.13333333</c:v>
                </c:pt>
                <c:pt idx="1">
                  <c:v>1071470.30591667</c:v>
                </c:pt>
                <c:pt idx="2">
                  <c:v>1125524.00859875</c:v>
                </c:pt>
                <c:pt idx="3">
                  <c:v>1191627.95085123</c:v>
                </c:pt>
                <c:pt idx="4">
                  <c:v>1269662.04867944</c:v>
                </c:pt>
                <c:pt idx="5">
                  <c:v>1359507.41265264</c:v>
                </c:pt>
                <c:pt idx="6">
                  <c:v>1461046.33605256</c:v>
                </c:pt>
                <c:pt idx="7">
                  <c:v>1574162.2831389</c:v>
                </c:pt>
                <c:pt idx="8">
                  <c:v>1698739.87753102</c:v>
                </c:pt>
                <c:pt idx="9">
                  <c:v>1834664.89070419</c:v>
                </c:pt>
                <c:pt idx="10">
                  <c:v>1981824.23059974</c:v>
                </c:pt>
                <c:pt idx="11">
                  <c:v>2140105.93034763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004612"/>
        <c:axId val="77027958"/>
      </c:lineChart>
      <c:catAx>
        <c:axId val="36004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027958"/>
        <c:crosses val="autoZero"/>
        <c:auto val="1"/>
        <c:lblAlgn val="ctr"/>
        <c:lblOffset val="100"/>
        <c:noMultiLvlLbl val="0"/>
      </c:catAx>
      <c:valAx>
        <c:axId val="770279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004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Scenarios!A31</c:f>
              <c:strCache>
                <c:ptCount val="1"/>
                <c:pt idx="0">
                  <c:v>Revenue — Low</c:v>
                </c:pt>
              </c:strCache>
            </c:strRef>
          </c:tx>
          <c:spPr>
            <a:solidFill>
              <a:srgbClr val="a3aba8"/>
            </a:solidFill>
            <a:ln w="28080">
              <a:solidFill>
                <a:srgbClr val="a3aba8"/>
              </a:solidFill>
              <a:round/>
            </a:ln>
          </c:spPr>
          <c:marker>
            <c:symbol val="circle"/>
            <c:size val="6"/>
            <c:spPr>
              <a:solidFill>
                <a:srgbClr val="a3ab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8588999.8997207</c:v>
                </c:pt>
                <c:pt idx="1">
                  <c:v>9317509.16625361</c:v>
                </c:pt>
                <c:pt idx="2">
                  <c:v>10310935.7571854</c:v>
                </c:pt>
                <c:pt idx="3">
                  <c:v>11587221.8127107</c:v>
                </c:pt>
                <c:pt idx="4">
                  <c:v>13174504.0894971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Scenarios!A32</c:f>
              <c:strCache>
                <c:ptCount val="1"/>
                <c:pt idx="0">
                  <c:v>Revenue — 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10216765.787571</c:v>
                </c:pt>
                <c:pt idx="1">
                  <c:v>12946279.7323641</c:v>
                </c:pt>
                <c:pt idx="2">
                  <c:v>16448494.6767072</c:v>
                </c:pt>
                <c:pt idx="3">
                  <c:v>20946999.757218</c:v>
                </c:pt>
                <c:pt idx="4">
                  <c:v>26732394.7690799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Scenarios!A33</c:f>
              <c:strCache>
                <c:ptCount val="1"/>
                <c:pt idx="0">
                  <c:v>Revenue — High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Scenarios!$B$33:$F$33</c:f>
              <c:numCache>
                <c:formatCode>\$#,##0,;"($"#,##0,\);\-</c:formatCode>
                <c:ptCount val="5"/>
                <c:pt idx="0">
                  <c:v>12150000</c:v>
                </c:pt>
                <c:pt idx="1">
                  <c:v>17947980</c:v>
                </c:pt>
                <c:pt idx="2">
                  <c:v>26041848.3</c:v>
                </c:pt>
                <c:pt idx="3">
                  <c:v>37481873.6205</c:v>
                </c:pt>
                <c:pt idx="4">
                  <c:v>53852063.7627675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930925"/>
        <c:axId val="85276969"/>
      </c:lineChart>
      <c:catAx>
        <c:axId val="649309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276969"/>
        <c:crosses val="autoZero"/>
        <c:auto val="1"/>
        <c:lblAlgn val="ctr"/>
        <c:lblOffset val="100"/>
        <c:noMultiLvlLbl val="0"/>
      </c:catAx>
      <c:valAx>
        <c:axId val="8527696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9309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Scenarios!A37</c:f>
              <c:strCache>
                <c:ptCount val="1"/>
                <c:pt idx="0">
                  <c:v>EBITDA — Low</c:v>
                </c:pt>
              </c:strCache>
            </c:strRef>
          </c:tx>
          <c:spPr>
            <a:solidFill>
              <a:srgbClr val="a3aba8"/>
            </a:solidFill>
            <a:ln w="28080">
              <a:solidFill>
                <a:srgbClr val="a3aba8"/>
              </a:solidFill>
              <a:round/>
            </a:ln>
          </c:spPr>
          <c:marker>
            <c:symbol val="circle"/>
            <c:size val="6"/>
            <c:spPr>
              <a:solidFill>
                <a:srgbClr val="a3ab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-176110.521720403</c:v>
                </c:pt>
                <c:pt idx="1">
                  <c:v>-1228016.6619523</c:v>
                </c:pt>
                <c:pt idx="2">
                  <c:v>-2453356.08007491</c:v>
                </c:pt>
                <c:pt idx="3">
                  <c:v>-3933697.94893658</c:v>
                </c:pt>
                <c:pt idx="4">
                  <c:v>-5765297.16302202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Scenarios!A38</c:f>
              <c:strCache>
                <c:ptCount val="1"/>
                <c:pt idx="0">
                  <c:v>EBITDA — 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1493172.06373118</c:v>
                </c:pt>
                <c:pt idx="1">
                  <c:v>2249612.87255416</c:v>
                </c:pt>
                <c:pt idx="2">
                  <c:v>3293948.45885364</c:v>
                </c:pt>
                <c:pt idx="3">
                  <c:v>4729214.23884245</c:v>
                </c:pt>
                <c:pt idx="4">
                  <c:v>6694937.37504621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Scenarios!A39</c:f>
              <c:strCache>
                <c:ptCount val="1"/>
                <c:pt idx="0">
                  <c:v>EBITDA — High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Scenarios!$B$39:$F$39</c:f>
              <c:numCache>
                <c:formatCode>\$#,##0,;"($"#,##0,\);\-</c:formatCode>
                <c:ptCount val="5"/>
                <c:pt idx="0">
                  <c:v>3491692.05001549</c:v>
                </c:pt>
                <c:pt idx="1">
                  <c:v>7119867.38767294</c:v>
                </c:pt>
                <c:pt idx="2">
                  <c:v>12449911.4480325</c:v>
                </c:pt>
                <c:pt idx="3">
                  <c:v>20347885.9118333</c:v>
                </c:pt>
                <c:pt idx="4">
                  <c:v>32145976.9055641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827641"/>
        <c:axId val="57591206"/>
      </c:lineChart>
      <c:catAx>
        <c:axId val="74827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591206"/>
        <c:crosses val="autoZero"/>
        <c:auto val="1"/>
        <c:lblAlgn val="ctr"/>
        <c:lblOffset val="100"/>
        <c:noMultiLvlLbl val="0"/>
      </c:catAx>
      <c:valAx>
        <c:axId val="5759120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8276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Scenarios!A43</c:f>
              <c:strCache>
                <c:ptCount val="1"/>
                <c:pt idx="0">
                  <c:v>Net income — Low</c:v>
                </c:pt>
              </c:strCache>
            </c:strRef>
          </c:tx>
          <c:spPr>
            <a:solidFill>
              <a:srgbClr val="a3aba8"/>
            </a:solidFill>
            <a:ln w="28080">
              <a:solidFill>
                <a:srgbClr val="a3aba8"/>
              </a:solidFill>
              <a:round/>
            </a:ln>
          </c:spPr>
          <c:marker>
            <c:symbol val="circle"/>
            <c:size val="6"/>
            <c:spPr>
              <a:solidFill>
                <a:srgbClr val="a3ab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-226110.521720403</c:v>
                </c:pt>
                <c:pt idx="1">
                  <c:v>-1278016.6619523</c:v>
                </c:pt>
                <c:pt idx="2">
                  <c:v>-2503356.08007491</c:v>
                </c:pt>
                <c:pt idx="3">
                  <c:v>-3933697.94893658</c:v>
                </c:pt>
                <c:pt idx="4">
                  <c:v>-5765297.16302202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Scenarios!A44</c:f>
              <c:strCache>
                <c:ptCount val="1"/>
                <c:pt idx="0">
                  <c:v>Net income — 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1140105.93034763</c:v>
                </c:pt>
                <c:pt idx="1">
                  <c:v>1737694.16931779</c:v>
                </c:pt>
                <c:pt idx="2">
                  <c:v>2562719.28249438</c:v>
                </c:pt>
                <c:pt idx="3">
                  <c:v>3736079.24868554</c:v>
                </c:pt>
                <c:pt idx="4">
                  <c:v>5289000.52628651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Scenarios!A45</c:f>
              <c:strCache>
                <c:ptCount val="1"/>
                <c:pt idx="0">
                  <c:v>Net income — High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Scenarios!$B$45:$F$45</c:f>
              <c:numCache>
                <c:formatCode>\$#,##0,;"($"#,##0,\);\-</c:formatCode>
                <c:ptCount val="5"/>
                <c:pt idx="0">
                  <c:v>2718936.71951224</c:v>
                </c:pt>
                <c:pt idx="1">
                  <c:v>5585195.23626163</c:v>
                </c:pt>
                <c:pt idx="2">
                  <c:v>9795930.04394564</c:v>
                </c:pt>
                <c:pt idx="3">
                  <c:v>16074829.8703483</c:v>
                </c:pt>
                <c:pt idx="4">
                  <c:v>25395321.7553956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350773"/>
        <c:axId val="22368784"/>
      </c:lineChart>
      <c:catAx>
        <c:axId val="37350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368784"/>
        <c:crosses val="autoZero"/>
        <c:auto val="1"/>
        <c:lblAlgn val="ctr"/>
        <c:lblOffset val="100"/>
        <c:noMultiLvlLbl val="0"/>
      </c:catAx>
      <c:valAx>
        <c:axId val="2236878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3507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Scenarios!A49</c:f>
              <c:strCache>
                <c:ptCount val="1"/>
                <c:pt idx="0">
                  <c:v>Year-end cash — Low</c:v>
                </c:pt>
              </c:strCache>
            </c:strRef>
          </c:tx>
          <c:spPr>
            <a:solidFill>
              <a:srgbClr val="a3aba8"/>
            </a:solidFill>
            <a:ln w="28080">
              <a:solidFill>
                <a:srgbClr val="a3aba8"/>
              </a:solidFill>
              <a:round/>
            </a:ln>
          </c:spPr>
          <c:marker>
            <c:symbol val="circle"/>
            <c:size val="6"/>
            <c:spPr>
              <a:solidFill>
                <a:srgbClr val="a3ab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1536504.7284168</c:v>
                </c:pt>
                <c:pt idx="1">
                  <c:v>391374.649498793</c:v>
                </c:pt>
                <c:pt idx="2">
                  <c:v>-1952750.5264368</c:v>
                </c:pt>
                <c:pt idx="3">
                  <c:v>-5748660.08141462</c:v>
                </c:pt>
                <c:pt idx="4">
                  <c:v>-11344393.020339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Scenarios!A50</c:f>
              <c:strCache>
                <c:ptCount val="1"/>
                <c:pt idx="0">
                  <c:v>Year-end cash — 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3123134.67176108</c:v>
                </c:pt>
                <c:pt idx="1">
                  <c:v>5201477.4518189</c:v>
                </c:pt>
                <c:pt idx="2">
                  <c:v>8187249.22714323</c:v>
                </c:pt>
                <c:pt idx="3">
                  <c:v>12402695.065709</c:v>
                </c:pt>
                <c:pt idx="4">
                  <c:v>18308468.4055967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Scenarios!A51</c:f>
              <c:strCache>
                <c:ptCount val="1"/>
                <c:pt idx="0">
                  <c:v>Year-end cash — High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Scenarios!$B$51:$F$51</c:f>
              <c:numCache>
                <c:formatCode>\$#,##0,;"($"#,##0,\);\-</c:formatCode>
                <c:ptCount val="5"/>
                <c:pt idx="0">
                  <c:v>4979154.44223967</c:v>
                </c:pt>
                <c:pt idx="1">
                  <c:v>11241958.7528717</c:v>
                </c:pt>
                <c:pt idx="2">
                  <c:v>21968415.2045538</c:v>
                </c:pt>
                <c:pt idx="3">
                  <c:v>39294075.7057316</c:v>
                </c:pt>
                <c:pt idx="4">
                  <c:v>66488118.3857483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071058"/>
        <c:axId val="85914239"/>
      </c:lineChart>
      <c:catAx>
        <c:axId val="92071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914239"/>
        <c:crosses val="autoZero"/>
        <c:auto val="1"/>
        <c:lblAlgn val="ctr"/>
        <c:lblOffset val="100"/>
        <c:noMultiLvlLbl val="0"/>
      </c:catAx>
      <c:valAx>
        <c:axId val="8591423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0710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'Break-even'!A28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'Break-even'!$B$27:$F$27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'Break-even'!$B$28:$F$28</c:f>
              <c:numCache>
                <c:formatCode>\$#,##0;"($"#,##0\);\-</c:formatCode>
                <c:ptCount val="5"/>
                <c:pt idx="0">
                  <c:v>10216765.787571</c:v>
                </c:pt>
                <c:pt idx="1">
                  <c:v>12946279.7323641</c:v>
                </c:pt>
                <c:pt idx="2">
                  <c:v>16448494.6767072</c:v>
                </c:pt>
                <c:pt idx="3">
                  <c:v>20946999.757218</c:v>
                </c:pt>
                <c:pt idx="4">
                  <c:v>26732394.7690799</c:v>
                </c:pt>
              </c:numCache>
            </c:numRef>
          </c:val>
        </c:ser>
        <c:gapWidth val="60"/>
        <c:overlap val="0"/>
        <c:axId val="27931477"/>
        <c:axId val="23819149"/>
      </c:barChart>
      <c:lineChart>
        <c:grouping val="standard"/>
        <c:varyColors val="0"/>
        <c:ser>
          <c:idx val="1"/>
          <c:order val="1"/>
          <c:tx>
            <c:strRef>
              <c:f>'Break-even'!A32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10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'Break-even'!$B$27:$F$27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'Break-even'!$B$32:$F$32</c:f>
              <c:numCache>
                <c:formatCode>\$#,##0;"($"#,##0\);\-</c:formatCode>
                <c:ptCount val="5"/>
                <c:pt idx="0">
                  <c:v>8543213.19547608</c:v>
                </c:pt>
                <c:pt idx="1">
                  <c:v>10425912.3525894</c:v>
                </c:pt>
                <c:pt idx="2">
                  <c:v>12759343.1348534</c:v>
                </c:pt>
                <c:pt idx="3">
                  <c:v>15651936.4324382</c:v>
                </c:pt>
                <c:pt idx="4">
                  <c:v>19238381.1704809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931477"/>
        <c:axId val="23819149"/>
      </c:lineChart>
      <c:catAx>
        <c:axId val="27931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819149"/>
        <c:crosses val="autoZero"/>
        <c:auto val="1"/>
        <c:lblAlgn val="ctr"/>
        <c:lblOffset val="100"/>
        <c:noMultiLvlLbl val="0"/>
      </c:catAx>
      <c:valAx>
        <c:axId val="2381914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9314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9a21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numFmt formatCode="\$#,##0.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'Sources &amp; Uses'!$E$17:$E$20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Uses'!$F$17:$F$20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150000</c:v>
                </c:pt>
                <c:pt idx="2">
                  <c:v>-0</c:v>
                </c:pt>
                <c:pt idx="3">
                  <c:v>3123134.67176108</c:v>
                </c:pt>
              </c:numCache>
            </c:numRef>
          </c:val>
        </c:ser>
        <c:gapWidth val="50"/>
        <c:overlap val="0"/>
        <c:axId val="81799695"/>
        <c:axId val="51134730"/>
      </c:barChart>
      <c:catAx>
        <c:axId val="8179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134730"/>
        <c:crosses val="autoZero"/>
        <c:auto val="1"/>
        <c:lblAlgn val="ctr"/>
        <c:lblOffset val="100"/>
        <c:noMultiLvlLbl val="0"/>
      </c:catAx>
      <c:valAx>
        <c:axId val="511347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799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KPIs!A7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0.892216994425039</c:v>
                </c:pt>
                <c:pt idx="1">
                  <c:v>0.89257339648446</c:v>
                </c:pt>
                <c:pt idx="2">
                  <c:v>0.892874261597397</c:v>
                </c:pt>
                <c:pt idx="3">
                  <c:v>0.893136483696182</c:v>
                </c:pt>
                <c:pt idx="4">
                  <c:v>0.893371393974761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KPIs!A8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0.146149191904513</c:v>
                </c:pt>
                <c:pt idx="1">
                  <c:v>0.173765198888018</c:v>
                </c:pt>
                <c:pt idx="2">
                  <c:v>0.20025835333845</c:v>
                </c:pt>
                <c:pt idx="3">
                  <c:v>0.225770482343795</c:v>
                </c:pt>
                <c:pt idx="4">
                  <c:v>0.250442859043438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KPIs!A9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0.111591667466294</c:v>
                </c:pt>
                <c:pt idx="1">
                  <c:v>0.134223437562048</c:v>
                </c:pt>
                <c:pt idx="2">
                  <c:v>0.155802663578902</c:v>
                </c:pt>
                <c:pt idx="3">
                  <c:v>0.178358681051598</c:v>
                </c:pt>
                <c:pt idx="4">
                  <c:v>0.197849858644316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644375"/>
        <c:axId val="77540625"/>
      </c:lineChart>
      <c:catAx>
        <c:axId val="4964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540625"/>
        <c:crosses val="autoZero"/>
        <c:auto val="1"/>
        <c:lblAlgn val="ctr"/>
        <c:lblOffset val="100"/>
        <c:noMultiLvlLbl val="0"/>
      </c:catAx>
      <c:valAx>
        <c:axId val="7754062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96443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LTV ÷ CAC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KPIs!A40</c:f>
              <c:strCache>
                <c:ptCount val="1"/>
                <c:pt idx="0">
                  <c:v>LTV ÷ CAC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KPIs!$B$26:$F$26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0.0\x</c:formatCode>
                <c:ptCount val="5"/>
                <c:pt idx="0">
                  <c:v>26.0691124799756</c:v>
                </c:pt>
                <c:pt idx="1">
                  <c:v>28.1601319514342</c:v>
                </c:pt>
                <c:pt idx="2">
                  <c:v>30.3230232792577</c:v>
                </c:pt>
                <c:pt idx="3">
                  <c:v>32.5965498783829</c:v>
                </c:pt>
                <c:pt idx="4">
                  <c:v>35.0172609666041</c:v>
                </c:pt>
              </c:numCache>
            </c:numRef>
          </c:val>
        </c:ser>
        <c:gapWidth val="60"/>
        <c:overlap val="0"/>
        <c:axId val="91446447"/>
        <c:axId val="92079487"/>
      </c:barChart>
      <c:catAx>
        <c:axId val="9144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079487"/>
        <c:crosses val="autoZero"/>
        <c:auto val="1"/>
        <c:lblAlgn val="ctr"/>
        <c:lblOffset val="100"/>
        <c:noMultiLvlLbl val="0"/>
      </c:catAx>
      <c:valAx>
        <c:axId val="9207948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446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Customers won and lost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KPIs!A28</c:f>
              <c:strCache>
                <c:ptCount val="1"/>
                <c:pt idx="0">
                  <c:v>New customers in the year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KPIs!$B$26:$F$26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KPIs!$B$28:$F$28</c:f>
              <c:numCache>
                <c:formatCode>#,##0.0;\(#,##0.0\);\-</c:formatCode>
                <c:ptCount val="5"/>
                <c:pt idx="0">
                  <c:v>1200</c:v>
                </c:pt>
                <c:pt idx="1">
                  <c:v>1488</c:v>
                </c:pt>
                <c:pt idx="2">
                  <c:v>1848</c:v>
                </c:pt>
                <c:pt idx="3">
                  <c:v>2298.72</c:v>
                </c:pt>
                <c:pt idx="4">
                  <c:v>2863.92</c:v>
                </c:pt>
              </c:numCache>
            </c:numRef>
          </c:val>
        </c:ser>
        <c:ser>
          <c:idx val="1"/>
          <c:order val="1"/>
          <c:tx>
            <c:strRef>
              <c:f>KPIs!A29</c:f>
              <c:strCache>
                <c:ptCount val="1"/>
                <c:pt idx="0">
                  <c:v>Customers lost in the year</c:v>
                </c:pt>
              </c:strCache>
            </c:strRef>
          </c:tx>
          <c:spPr>
            <a:solidFill>
              <a:srgbClr val="b832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KPIs!$B$26:$F$26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KPIs!$B$29:$F$29</c:f>
              <c:numCache>
                <c:formatCode>#,##0.0;\(#,##0.0\);\-</c:formatCode>
                <c:ptCount val="5"/>
                <c:pt idx="0">
                  <c:v>-591.817217249883</c:v>
                </c:pt>
                <c:pt idx="1">
                  <c:v>-715.306447659016</c:v>
                </c:pt>
                <c:pt idx="2">
                  <c:v>-871.735542943264</c:v>
                </c:pt>
                <c:pt idx="3">
                  <c:v>-1069.05305553958</c:v>
                </c:pt>
                <c:pt idx="4">
                  <c:v>-1317.38987180388</c:v>
                </c:pt>
              </c:numCache>
            </c:numRef>
          </c:val>
        </c:ser>
        <c:gapWidth val="60"/>
        <c:overlap val="0"/>
        <c:axId val="18608306"/>
        <c:axId val="23528876"/>
      </c:barChart>
      <c:catAx>
        <c:axId val="18608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528876"/>
        <c:crosses val="autoZero"/>
        <c:auto val="1"/>
        <c:lblAlgn val="ctr"/>
        <c:lblOffset val="100"/>
        <c:noMultiLvlLbl val="0"/>
      </c:catAx>
      <c:valAx>
        <c:axId val="2352887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6083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KPIs!A15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0.337312768492013</c:v>
                </c:pt>
                <c:pt idx="1">
                  <c:v>0.318817453881575</c:v>
                </c:pt>
                <c:pt idx="2">
                  <c:v>0.303629620401887</c:v>
                </c:pt>
                <c:pt idx="3">
                  <c:v>0.293596571536278</c:v>
                </c:pt>
                <c:pt idx="4">
                  <c:v>0.282526052193057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KPIs!A16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0.532733410145934</c:v>
                </c:pt>
                <c:pt idx="1">
                  <c:v>0.448113395393362</c:v>
                </c:pt>
                <c:pt idx="2">
                  <c:v>0.397905685928544</c:v>
                </c:pt>
                <c:pt idx="3">
                  <c:v>0.367124555483741</c:v>
                </c:pt>
                <c:pt idx="4">
                  <c:v>0.341984844722135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705176"/>
        <c:axId val="53884383"/>
      </c:lineChart>
      <c:catAx>
        <c:axId val="5470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884383"/>
        <c:crosses val="autoZero"/>
        <c:auto val="1"/>
        <c:lblAlgn val="ctr"/>
        <c:lblOffset val="100"/>
        <c:noMultiLvlLbl val="0"/>
      </c:catAx>
      <c:valAx>
        <c:axId val="5388438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7051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09572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343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36720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5420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36720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61692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36720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5420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36720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61692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18</xdr:col>
      <xdr:colOff>473040</xdr:colOff>
      <xdr:row>23</xdr:row>
      <xdr:rowOff>160200</xdr:rowOff>
    </xdr:to>
    <xdr:graphicFrame>
      <xdr:nvGraphicFramePr>
        <xdr:cNvPr id="11" name="Chart 1"/>
        <xdr:cNvGraphicFramePr/>
      </xdr:nvGraphicFramePr>
      <xdr:xfrm>
        <a:off x="10431720" y="84780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13</xdr:col>
      <xdr:colOff>362160</xdr:colOff>
      <xdr:row>15</xdr:row>
      <xdr:rowOff>34560</xdr:rowOff>
    </xdr:to>
    <xdr:graphicFrame>
      <xdr:nvGraphicFramePr>
        <xdr:cNvPr id="12" name="Chart 1"/>
        <xdr:cNvGraphicFramePr/>
      </xdr:nvGraphicFramePr>
      <xdr:xfrm>
        <a:off x="9281160" y="657360"/>
        <a:ext cx="34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591480</xdr:colOff>
      <xdr:row>36</xdr:row>
      <xdr:rowOff>53640</xdr:rowOff>
    </xdr:to>
    <xdr:graphicFrame>
      <xdr:nvGraphicFramePr>
        <xdr:cNvPr id="13" name="Chart 2"/>
        <xdr:cNvGraphicFramePr/>
      </xdr:nvGraphicFramePr>
      <xdr:xfrm>
        <a:off x="0" y="4676760"/>
        <a:ext cx="467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750816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25830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750816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25830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7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tr">
        <f aca="false">Dashboard!C4&amp;"  (change on the Dashboard, cell B4)"</f>
        <v>Base  (change on the Dashboard, cell B4)</v>
      </c>
    </row>
    <row r="6" customFormat="false" ht="15" hidden="false" customHeight="false" outlineLevel="0" collapsed="false">
      <c r="B6" s="3" t="s">
        <v>3</v>
      </c>
      <c r="D6" s="5" t="str">
        <f aca="false">Checks!B22</f>
        <v>PASS</v>
      </c>
    </row>
    <row r="7" customFormat="false" ht="15" hidden="false" customHeight="false" outlineLevel="0" collapsed="false">
      <c r="B7" s="3" t="s">
        <v>4</v>
      </c>
      <c r="D7" s="6" t="s">
        <v>5</v>
      </c>
    </row>
    <row r="9" customFormat="false" ht="15.75" hidden="false" customHeight="true" outlineLevel="0" collapsed="false">
      <c r="B9" s="7" t="s">
        <v>6</v>
      </c>
      <c r="C9" s="7"/>
      <c r="D9" s="7"/>
    </row>
    <row r="10" customFormat="false" ht="15" hidden="false" customHeight="false" outlineLevel="0" collapsed="false">
      <c r="C10" s="8" t="s">
        <v>7</v>
      </c>
    </row>
    <row r="11" customFormat="false" ht="15" hidden="false" customHeight="false" outlineLevel="0" collapsed="false">
      <c r="B11" s="9" t="n">
        <v>1</v>
      </c>
      <c r="C11" s="10" t="str">
        <f aca="false">HYPERLINK("#'Dashboard'!A1","Dashboard")</f>
        <v>Dashboard</v>
      </c>
      <c r="D11" s="11" t="s">
        <v>8</v>
      </c>
    </row>
    <row r="12" customFormat="false" ht="15" hidden="false" customHeight="false" outlineLevel="0" collapsed="false">
      <c r="B12" s="9" t="n">
        <v>2</v>
      </c>
      <c r="C12" s="10" t="str">
        <f aca="false">HYPERLINK("#'Summary'!A1","Summary")</f>
        <v>Summary</v>
      </c>
      <c r="D12" s="11" t="s">
        <v>9</v>
      </c>
    </row>
    <row r="13" customFormat="false" ht="15" hidden="false" customHeight="false" outlineLevel="0" collapsed="false">
      <c r="B13" s="9" t="n">
        <v>3</v>
      </c>
      <c r="C13" s="10" t="str">
        <f aca="false">HYPERLINK("#'Scenarios'!A1","Scenarios")</f>
        <v>Scenarios</v>
      </c>
      <c r="D13" s="11" t="s">
        <v>10</v>
      </c>
    </row>
    <row r="14" customFormat="false" ht="15" hidden="false" customHeight="false" outlineLevel="0" collapsed="false">
      <c r="B14" s="9" t="n">
        <v>4</v>
      </c>
      <c r="C14" s="10" t="str">
        <f aca="false">HYPERLINK("#'Break-even'!A1","Break-even")</f>
        <v>Break-even</v>
      </c>
      <c r="D14" s="11" t="s">
        <v>11</v>
      </c>
    </row>
    <row r="15" customFormat="false" ht="15" hidden="false" customHeight="false" outlineLevel="0" collapsed="false">
      <c r="B15" s="9" t="n">
        <v>5</v>
      </c>
      <c r="C15" s="10" t="str">
        <f aca="false">HYPERLINK("#'Valuation'!A1","Valuation")</f>
        <v>Valuation</v>
      </c>
      <c r="D15" s="11" t="s">
        <v>12</v>
      </c>
    </row>
    <row r="16" customFormat="false" ht="15" hidden="false" customHeight="false" outlineLevel="0" collapsed="false">
      <c r="B16" s="9" t="n">
        <v>6</v>
      </c>
      <c r="C16" s="10" t="str">
        <f aca="false">HYPERLINK("#'Sources &amp; Uses'!A1","Sources &amp; Uses")</f>
        <v>Sources &amp; Uses</v>
      </c>
      <c r="D16" s="11" t="s">
        <v>13</v>
      </c>
    </row>
    <row r="17" customFormat="false" ht="15" hidden="false" customHeight="false" outlineLevel="0" collapsed="false">
      <c r="B17" s="9" t="n">
        <v>7</v>
      </c>
      <c r="C17" s="10" t="str">
        <f aca="false">HYPERLINK("#'KPIs'!A1","KPIs")</f>
        <v>KPIs</v>
      </c>
      <c r="D17" s="11" t="s">
        <v>14</v>
      </c>
    </row>
    <row r="18" customFormat="false" ht="15" hidden="false" customHeight="false" outlineLevel="0" collapsed="false">
      <c r="C18" s="8" t="s">
        <v>15</v>
      </c>
    </row>
    <row r="19" customFormat="false" ht="15" hidden="false" customHeight="false" outlineLevel="0" collapsed="false">
      <c r="B19" s="9" t="n">
        <v>8</v>
      </c>
      <c r="C19" s="10" t="str">
        <f aca="false">HYPERLINK("#'Inputs'!A1","Inputs")</f>
        <v>Inputs</v>
      </c>
      <c r="D19" s="11" t="s">
        <v>16</v>
      </c>
    </row>
    <row r="20" customFormat="false" ht="15" hidden="false" customHeight="false" outlineLevel="0" collapsed="false">
      <c r="C20" s="8" t="s">
        <v>17</v>
      </c>
    </row>
    <row r="21" customFormat="false" ht="15" hidden="false" customHeight="false" outlineLevel="0" collapsed="false">
      <c r="B21" s="9" t="n">
        <v>9</v>
      </c>
      <c r="C21" s="10" t="str">
        <f aca="false">HYPERLINK("#'P&amp;L'!A1","P&amp;L")</f>
        <v>P&amp;L</v>
      </c>
      <c r="D21" s="11" t="s">
        <v>18</v>
      </c>
    </row>
    <row r="22" customFormat="false" ht="15" hidden="false" customHeight="false" outlineLevel="0" collapsed="false">
      <c r="B22" s="9" t="n">
        <v>10</v>
      </c>
      <c r="C22" s="10" t="str">
        <f aca="false">HYPERLINK("#'Cash Flow'!A1","Cash Flow")</f>
        <v>Cash Flow</v>
      </c>
      <c r="D22" s="11" t="s">
        <v>19</v>
      </c>
    </row>
    <row r="23" customFormat="false" ht="15" hidden="false" customHeight="false" outlineLevel="0" collapsed="false">
      <c r="B23" s="9" t="n">
        <v>11</v>
      </c>
      <c r="C23" s="10" t="str">
        <f aca="false">HYPERLINK("#'Balance Sheet'!A1","Balance Sheet")</f>
        <v>Balance Sheet</v>
      </c>
      <c r="D23" s="11" t="s">
        <v>20</v>
      </c>
    </row>
    <row r="24" customFormat="false" ht="15" hidden="false" customHeight="false" outlineLevel="0" collapsed="false">
      <c r="C24" s="8" t="s">
        <v>21</v>
      </c>
    </row>
    <row r="25" customFormat="false" ht="15" hidden="false" customHeight="false" outlineLevel="0" collapsed="false">
      <c r="B25" s="9" t="n">
        <v>12</v>
      </c>
      <c r="C25" s="10" t="str">
        <f aca="false">HYPERLINK("#'Monthly'!A1","Monthly")</f>
        <v>Monthly</v>
      </c>
      <c r="D25" s="11" t="s">
        <v>22</v>
      </c>
    </row>
    <row r="26" customFormat="false" ht="15" hidden="false" customHeight="false" outlineLevel="0" collapsed="false">
      <c r="B26" s="9" t="n">
        <v>13</v>
      </c>
      <c r="C26" s="10" t="str">
        <f aca="false">HYPERLINK("#'Headcount'!A1","Headcount")</f>
        <v>Headcount</v>
      </c>
      <c r="D26" s="11" t="s">
        <v>23</v>
      </c>
    </row>
    <row r="27" customFormat="false" ht="15" hidden="false" customHeight="false" outlineLevel="0" collapsed="false">
      <c r="C27" s="8" t="s">
        <v>24</v>
      </c>
    </row>
    <row r="28" customFormat="false" ht="15" hidden="false" customHeight="false" outlineLevel="0" collapsed="false">
      <c r="B28" s="9" t="n">
        <v>14</v>
      </c>
      <c r="C28" s="10" t="str">
        <f aca="false">HYPERLINK("#'Checks'!A1","Checks")</f>
        <v>Checks</v>
      </c>
      <c r="D28" s="11" t="s">
        <v>25</v>
      </c>
    </row>
    <row r="30" customFormat="false" ht="15" hidden="false" customHeight="false" outlineLevel="0" collapsed="false">
      <c r="B30" s="3" t="s">
        <v>26</v>
      </c>
    </row>
    <row r="31" customFormat="false" ht="15" hidden="false" customHeight="false" outlineLevel="0" collapsed="false">
      <c r="C31" s="12" t="s">
        <v>27</v>
      </c>
      <c r="D31" s="6" t="s">
        <v>28</v>
      </c>
    </row>
    <row r="32" customFormat="false" ht="15" hidden="false" customHeight="false" outlineLevel="0" collapsed="false">
      <c r="C32" s="13" t="s">
        <v>27</v>
      </c>
      <c r="D32" s="6" t="s">
        <v>29</v>
      </c>
    </row>
    <row r="33" customFormat="false" ht="15" hidden="false" customHeight="false" outlineLevel="0" collapsed="false">
      <c r="C33" s="14" t="s">
        <v>27</v>
      </c>
      <c r="D33" s="6" t="s">
        <v>30</v>
      </c>
    </row>
    <row r="34" customFormat="false" ht="15" hidden="false" customHeight="false" outlineLevel="0" collapsed="false">
      <c r="C34" s="15" t="s">
        <v>27</v>
      </c>
      <c r="D34" s="6" t="s">
        <v>31</v>
      </c>
    </row>
    <row r="36" customFormat="false" ht="15" hidden="false" customHeight="false" outlineLevel="0" collapsed="false">
      <c r="B36" s="16" t="s">
        <v>32</v>
      </c>
    </row>
  </sheetData>
  <conditionalFormatting sqref="D6">
    <cfRule type="expression" priority="2" aboveAverage="0" equalAverage="0" bottom="0" percent="0" rank="0" text="" dxfId="0">
      <formula>ISNUMBER(SEARCH("FAIL",$D$6))</formula>
    </cfRule>
    <cfRule type="expression" priority="3" aboveAverage="0" equalAverage="0" bottom="0" percent="0" rank="0" text="" dxfId="1">
      <formula>ISNUMBER(SEARCH("WARN",$D$6))</formula>
    </cfRule>
    <cfRule type="expression" priority="4" aboveAverage="0" equalAverage="0" bottom="0" percent="0" rank="0" text="" dxfId="2">
      <formula>$D$6="PASS"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7" t="s">
        <v>33</v>
      </c>
      <c r="W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0</v>
      </c>
    </row>
    <row r="4" customFormat="false" ht="19.5" hidden="false" customHeight="true" outlineLevel="0" collapsed="false">
      <c r="A4" s="3" t="s">
        <v>2</v>
      </c>
      <c r="B4" s="20" t="n">
        <v>2</v>
      </c>
      <c r="C4" s="21" t="str">
        <f aca="false">CHOOSE(B4,"Low","Base","High")</f>
        <v>Base</v>
      </c>
      <c r="D4" s="16" t="s">
        <v>34</v>
      </c>
      <c r="S4" s="22" t="s">
        <v>3</v>
      </c>
      <c r="T4" s="23" t="str">
        <f aca="false">Checks!B22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35</v>
      </c>
      <c r="B6" s="24"/>
      <c r="C6" s="24" t="s">
        <v>36</v>
      </c>
      <c r="D6" s="24"/>
      <c r="E6" s="24"/>
      <c r="F6" s="24"/>
      <c r="H6" s="24" t="s">
        <v>37</v>
      </c>
      <c r="I6" s="24"/>
      <c r="J6" s="24"/>
      <c r="K6" s="24"/>
      <c r="L6" s="24" t="s">
        <v>38</v>
      </c>
      <c r="M6" s="24"/>
      <c r="N6" s="24"/>
      <c r="O6" s="24"/>
      <c r="P6" s="24" t="s">
        <v>39</v>
      </c>
      <c r="Q6" s="24"/>
      <c r="R6" s="24"/>
      <c r="S6" s="24"/>
      <c r="T6" s="24" t="s">
        <v>40</v>
      </c>
      <c r="U6" s="24"/>
      <c r="V6" s="24"/>
      <c r="W6" s="24"/>
    </row>
    <row r="7" customFormat="false" ht="30" hidden="false" customHeight="true" outlineLevel="0" collapsed="false">
      <c r="A7" s="25" t="n">
        <f aca="false">'P&amp;L'!F5</f>
        <v>26732394.7690799</v>
      </c>
      <c r="B7" s="25"/>
      <c r="C7" s="26" t="n">
        <f aca="false">'P&amp;L'!F16</f>
        <v>0.250442859043438</v>
      </c>
      <c r="D7" s="26"/>
      <c r="E7" s="26"/>
      <c r="F7" s="26"/>
      <c r="H7" s="25" t="n">
        <f aca="false">'P&amp;L'!F22</f>
        <v>5289000.52628651</v>
      </c>
      <c r="I7" s="25"/>
      <c r="J7" s="25"/>
      <c r="K7" s="25"/>
      <c r="L7" s="25" t="n">
        <f aca="false">MIN(Monthly!$C$76:$BJ$76)</f>
        <v>1760226.46666667</v>
      </c>
      <c r="M7" s="25"/>
      <c r="N7" s="25"/>
      <c r="O7" s="25"/>
      <c r="P7" s="25" t="n">
        <f aca="false">'Break-even'!B12</f>
        <v>1145773.53333333</v>
      </c>
      <c r="Q7" s="25"/>
      <c r="R7" s="25"/>
      <c r="S7" s="25"/>
      <c r="T7" s="25" t="n">
        <f aca="false">Valuation!B30</f>
        <v>40195041.1223292</v>
      </c>
      <c r="U7" s="25"/>
      <c r="V7" s="25"/>
      <c r="W7" s="25"/>
    </row>
    <row r="8" customFormat="false" ht="15" hidden="false" customHeight="true" outlineLevel="0" collapsed="false">
      <c r="A8" s="27" t="str">
        <f aca="false">IF('P&amp;L'!B5&gt;0,"CAGR "&amp;TEXT(('P&amp;L'!F5/'P&amp;L'!B5)^(1/4)-1,"0%"),"")</f>
        <v>CAGR 27%</v>
      </c>
      <c r="B8" s="27"/>
      <c r="C8" s="27" t="str">
        <f aca="false">"EBITDA "&amp;TEXT('P&amp;L'!F15/1000000,"$0.0")&amp;"M"</f>
        <v>EBITDA $6.7M</v>
      </c>
      <c r="D8" s="27"/>
      <c r="E8" s="27"/>
      <c r="F8" s="27"/>
      <c r="H8" s="27" t="str">
        <f aca="false">"Net margin "&amp;TEXT('P&amp;L'!F23,"0%")</f>
        <v>Net margin 20%</v>
      </c>
      <c r="I8" s="27"/>
      <c r="J8" s="27"/>
      <c r="K8" s="27"/>
      <c r="L8" s="27" t="str">
        <f aca="false">"in month "&amp;MATCH(MIN(Monthly!$C$76:$BJ$76),Monthly!$C$76:$BJ$76,0)</f>
        <v>in month 1</v>
      </c>
      <c r="M8" s="27"/>
      <c r="N8" s="27"/>
      <c r="O8" s="27"/>
      <c r="P8" s="27" t="str">
        <f aca="false">IF('Break-even'!B17&gt;=0,"Covered by funding raised","Shortfall "&amp;TEXT(-'Break-even'!B17/1000000,"$0.0")&amp;"M")</f>
        <v>Shortfall $0.1M</v>
      </c>
      <c r="Q8" s="27"/>
      <c r="R8" s="27"/>
      <c r="S8" s="27"/>
      <c r="T8" s="27" t="str">
        <f aca="false">"Average of 2 methods"</f>
        <v>Average of 2 methods</v>
      </c>
      <c r="U8" s="27"/>
      <c r="V8" s="27"/>
      <c r="W8" s="27"/>
    </row>
    <row r="10" customFormat="false" ht="15.75" hidden="false" customHeight="true" outlineLevel="0" collapsed="false">
      <c r="A10" s="7" t="s">
        <v>41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28"/>
      <c r="B11" s="29" t="str">
        <f aca="false">'P&amp;L'!B4</f>
        <v>Year 1</v>
      </c>
      <c r="C11" s="29" t="str">
        <f aca="false">'P&amp;L'!C4</f>
        <v>Year 2</v>
      </c>
      <c r="D11" s="29" t="str">
        <f aca="false">'P&amp;L'!D4</f>
        <v>Year 3</v>
      </c>
      <c r="E11" s="29" t="str">
        <f aca="false">'P&amp;L'!E4</f>
        <v>Year 4</v>
      </c>
      <c r="F11" s="29" t="str">
        <f aca="false">'P&amp;L'!F4</f>
        <v>Year 5</v>
      </c>
    </row>
    <row r="12" customFormat="false" ht="15" hidden="false" customHeight="false" outlineLevel="0" collapsed="false">
      <c r="A12" s="6" t="s">
        <v>42</v>
      </c>
      <c r="B12" s="30" t="n">
        <f aca="false">'P&amp;L'!B5</f>
        <v>10216765.787571</v>
      </c>
      <c r="C12" s="30" t="n">
        <f aca="false">'P&amp;L'!C5</f>
        <v>12946279.7323641</v>
      </c>
      <c r="D12" s="30" t="n">
        <f aca="false">'P&amp;L'!D5</f>
        <v>16448494.6767072</v>
      </c>
      <c r="E12" s="30" t="n">
        <f aca="false">'P&amp;L'!E5</f>
        <v>20946999.757218</v>
      </c>
      <c r="F12" s="30" t="n">
        <f aca="false">'P&amp;L'!F5</f>
        <v>26732394.7690799</v>
      </c>
    </row>
    <row r="13" customFormat="false" ht="15" hidden="false" customHeight="false" outlineLevel="0" collapsed="false">
      <c r="A13" s="31" t="s">
        <v>43</v>
      </c>
      <c r="B13" s="32" t="n">
        <f aca="false">'P&amp;L'!B7</f>
        <v>9115572.06373118</v>
      </c>
      <c r="C13" s="32" t="n">
        <f aca="false">'P&amp;L'!C7</f>
        <v>11555504.8725542</v>
      </c>
      <c r="D13" s="32" t="n">
        <f aca="false">'P&amp;L'!D7</f>
        <v>14686437.5388536</v>
      </c>
      <c r="E13" s="32" t="n">
        <f aca="false">'P&amp;L'!E7</f>
        <v>18708529.7071465</v>
      </c>
      <c r="F13" s="32" t="n">
        <f aca="false">'P&amp;L'!F7</f>
        <v>23881956.7791366</v>
      </c>
    </row>
    <row r="14" customFormat="false" ht="15" hidden="false" customHeight="false" outlineLevel="0" collapsed="false">
      <c r="A14" s="33" t="s">
        <v>44</v>
      </c>
      <c r="B14" s="34" t="n">
        <f aca="false">'P&amp;L'!B8</f>
        <v>0.892216994425039</v>
      </c>
      <c r="C14" s="34" t="n">
        <f aca="false">'P&amp;L'!C8</f>
        <v>0.89257339648446</v>
      </c>
      <c r="D14" s="34" t="n">
        <f aca="false">'P&amp;L'!D8</f>
        <v>0.892874261597397</v>
      </c>
      <c r="E14" s="34" t="n">
        <f aca="false">'P&amp;L'!E8</f>
        <v>0.893136483696182</v>
      </c>
      <c r="F14" s="34" t="n">
        <f aca="false">'P&amp;L'!F8</f>
        <v>0.893371393974761</v>
      </c>
    </row>
    <row r="15" customFormat="false" ht="15" hidden="false" customHeight="false" outlineLevel="0" collapsed="false">
      <c r="A15" s="6" t="s">
        <v>45</v>
      </c>
      <c r="B15" s="30" t="n">
        <f aca="false">'P&amp;L'!B14</f>
        <v>-7622400</v>
      </c>
      <c r="C15" s="30" t="n">
        <f aca="false">'P&amp;L'!C14</f>
        <v>-9305892</v>
      </c>
      <c r="D15" s="30" t="n">
        <f aca="false">'P&amp;L'!D14</f>
        <v>-11392489.08</v>
      </c>
      <c r="E15" s="30" t="n">
        <f aca="false">'P&amp;L'!E14</f>
        <v>-13979315.468304</v>
      </c>
      <c r="F15" s="30" t="n">
        <f aca="false">'P&amp;L'!F14</f>
        <v>-17187019.4040903</v>
      </c>
    </row>
    <row r="16" customFormat="false" ht="15" hidden="false" customHeight="false" outlineLevel="0" collapsed="false">
      <c r="A16" s="31" t="s">
        <v>46</v>
      </c>
      <c r="B16" s="32" t="n">
        <f aca="false">'P&amp;L'!B15</f>
        <v>1493172.06373118</v>
      </c>
      <c r="C16" s="32" t="n">
        <f aca="false">'P&amp;L'!C15</f>
        <v>2249612.87255416</v>
      </c>
      <c r="D16" s="32" t="n">
        <f aca="false">'P&amp;L'!D15</f>
        <v>3293948.45885364</v>
      </c>
      <c r="E16" s="32" t="n">
        <f aca="false">'P&amp;L'!E15</f>
        <v>4729214.23884245</v>
      </c>
      <c r="F16" s="32" t="n">
        <f aca="false">'P&amp;L'!F15</f>
        <v>6694937.37504621</v>
      </c>
    </row>
    <row r="17" customFormat="false" ht="15" hidden="false" customHeight="false" outlineLevel="0" collapsed="false">
      <c r="A17" s="33" t="s">
        <v>47</v>
      </c>
      <c r="B17" s="34" t="n">
        <f aca="false">'P&amp;L'!B16</f>
        <v>0.146149191904513</v>
      </c>
      <c r="C17" s="34" t="n">
        <f aca="false">'P&amp;L'!C16</f>
        <v>0.173765198888018</v>
      </c>
      <c r="D17" s="34" t="n">
        <f aca="false">'P&amp;L'!D16</f>
        <v>0.20025835333845</v>
      </c>
      <c r="E17" s="34" t="n">
        <f aca="false">'P&amp;L'!E16</f>
        <v>0.225770482343795</v>
      </c>
      <c r="F17" s="34" t="n">
        <f aca="false">'P&amp;L'!F16</f>
        <v>0.250442859043438</v>
      </c>
    </row>
    <row r="18" customFormat="false" ht="15" hidden="false" customHeight="false" outlineLevel="0" collapsed="false">
      <c r="A18" s="35" t="s">
        <v>48</v>
      </c>
      <c r="B18" s="36" t="n">
        <f aca="false">'P&amp;L'!B22</f>
        <v>1140105.93034763</v>
      </c>
      <c r="C18" s="36" t="n">
        <f aca="false">'P&amp;L'!C22</f>
        <v>1737694.16931779</v>
      </c>
      <c r="D18" s="36" t="n">
        <f aca="false">'P&amp;L'!D22</f>
        <v>2562719.28249438</v>
      </c>
      <c r="E18" s="36" t="n">
        <f aca="false">'P&amp;L'!E22</f>
        <v>3736079.24868554</v>
      </c>
      <c r="F18" s="36" t="n">
        <f aca="false">'P&amp;L'!F22</f>
        <v>5289000.52628651</v>
      </c>
    </row>
    <row r="19" customFormat="false" ht="15" hidden="false" customHeight="false" outlineLevel="0" collapsed="false">
      <c r="A19" s="33" t="s">
        <v>49</v>
      </c>
      <c r="B19" s="34" t="n">
        <f aca="false">'P&amp;L'!B23</f>
        <v>0.111591667466294</v>
      </c>
      <c r="C19" s="34" t="n">
        <f aca="false">'P&amp;L'!C23</f>
        <v>0.134223437562048</v>
      </c>
      <c r="D19" s="34" t="n">
        <f aca="false">'P&amp;L'!D23</f>
        <v>0.155802663578902</v>
      </c>
      <c r="E19" s="34" t="n">
        <f aca="false">'P&amp;L'!E23</f>
        <v>0.178358681051598</v>
      </c>
      <c r="F19" s="34" t="n">
        <f aca="false">'P&amp;L'!F23</f>
        <v>0.197849858644316</v>
      </c>
    </row>
    <row r="20" customFormat="false" ht="15" hidden="false" customHeight="false" outlineLevel="0" collapsed="false">
      <c r="A20" s="6" t="s">
        <v>50</v>
      </c>
      <c r="B20" s="30" t="n">
        <f aca="false">'Cash Flow'!B11</f>
        <v>2273134.67176108</v>
      </c>
      <c r="C20" s="30" t="n">
        <f aca="false">'Cash Flow'!C11</f>
        <v>2078342.78005782</v>
      </c>
      <c r="D20" s="30" t="n">
        <f aca="false">'Cash Flow'!D11</f>
        <v>2985771.77532433</v>
      </c>
      <c r="E20" s="30" t="n">
        <f aca="false">'Cash Flow'!E11</f>
        <v>4215445.83856573</v>
      </c>
      <c r="F20" s="30" t="n">
        <f aca="false">'Cash Flow'!F11</f>
        <v>5905773.33988778</v>
      </c>
    </row>
    <row r="21" customFormat="false" ht="15" hidden="false" customHeight="false" outlineLevel="0" collapsed="false">
      <c r="A21" s="6" t="s">
        <v>51</v>
      </c>
      <c r="B21" s="30" t="n">
        <f aca="false">'Cash Flow'!B12</f>
        <v>-150000</v>
      </c>
      <c r="C21" s="30" t="n">
        <f aca="false">'Cash Flow'!C12</f>
        <v>0</v>
      </c>
      <c r="D21" s="30" t="n">
        <f aca="false">'Cash Flow'!D12</f>
        <v>0</v>
      </c>
      <c r="E21" s="30" t="n">
        <f aca="false">'Cash Flow'!E12</f>
        <v>0</v>
      </c>
      <c r="F21" s="30" t="n">
        <f aca="false">'Cash Flow'!F12</f>
        <v>0</v>
      </c>
    </row>
    <row r="22" customFormat="false" ht="15" hidden="false" customHeight="false" outlineLevel="0" collapsed="false">
      <c r="A22" s="6" t="s">
        <v>52</v>
      </c>
      <c r="B22" s="30" t="n">
        <f aca="false">'Cash Flow'!B16</f>
        <v>1000000</v>
      </c>
      <c r="C22" s="30" t="n">
        <f aca="false">'Cash Flow'!C16</f>
        <v>0</v>
      </c>
      <c r="D22" s="30" t="n">
        <f aca="false">'Cash Flow'!D16</f>
        <v>0</v>
      </c>
      <c r="E22" s="30" t="n">
        <f aca="false">'Cash Flow'!E16</f>
        <v>0</v>
      </c>
      <c r="F22" s="30" t="n">
        <f aca="false">'Cash Flow'!F16</f>
        <v>0</v>
      </c>
    </row>
    <row r="23" customFormat="false" ht="15" hidden="false" customHeight="false" outlineLevel="0" collapsed="false">
      <c r="A23" s="31" t="s">
        <v>53</v>
      </c>
      <c r="B23" s="32" t="n">
        <f aca="false">'Cash Flow'!B17</f>
        <v>3123134.67176108</v>
      </c>
      <c r="C23" s="32" t="n">
        <f aca="false">'Cash Flow'!C17</f>
        <v>2078342.78005782</v>
      </c>
      <c r="D23" s="32" t="n">
        <f aca="false">'Cash Flow'!D17</f>
        <v>2985771.77532433</v>
      </c>
      <c r="E23" s="32" t="n">
        <f aca="false">'Cash Flow'!E17</f>
        <v>4215445.83856573</v>
      </c>
      <c r="F23" s="32" t="n">
        <f aca="false">'Cash Flow'!F17</f>
        <v>5905773.33988778</v>
      </c>
    </row>
    <row r="24" customFormat="false" ht="15" hidden="false" customHeight="false" outlineLevel="0" collapsed="false">
      <c r="A24" s="35" t="s">
        <v>54</v>
      </c>
      <c r="B24" s="36" t="n">
        <f aca="false">'Balance Sheet'!B5</f>
        <v>3123134.67176108</v>
      </c>
      <c r="C24" s="36" t="n">
        <f aca="false">'Balance Sheet'!C5</f>
        <v>5201477.4518189</v>
      </c>
      <c r="D24" s="36" t="n">
        <f aca="false">'Balance Sheet'!D5</f>
        <v>8187249.22714323</v>
      </c>
      <c r="E24" s="36" t="n">
        <f aca="false">'Balance Sheet'!E5</f>
        <v>12402695.065709</v>
      </c>
      <c r="F24" s="36" t="n">
        <f aca="false">'Balance Sheet'!F5</f>
        <v>18308468.4055967</v>
      </c>
    </row>
    <row r="26" customFormat="false" ht="15.75" hidden="false" customHeight="true" outlineLevel="0" collapsed="false">
      <c r="A26" s="7" t="s">
        <v>55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28"/>
      <c r="B27" s="29" t="str">
        <f aca="false">'P&amp;L'!B4</f>
        <v>Year 1</v>
      </c>
      <c r="C27" s="29" t="str">
        <f aca="false">'P&amp;L'!C4</f>
        <v>Year 2</v>
      </c>
      <c r="D27" s="29" t="str">
        <f aca="false">'P&amp;L'!D4</f>
        <v>Year 3</v>
      </c>
      <c r="E27" s="29" t="str">
        <f aca="false">'P&amp;L'!E4</f>
        <v>Year 4</v>
      </c>
      <c r="F27" s="29" t="str">
        <f aca="false">'P&amp;L'!F4</f>
        <v>Year 5</v>
      </c>
    </row>
    <row r="28" customFormat="false" ht="15" hidden="false" customHeight="false" outlineLevel="0" collapsed="false">
      <c r="A28" s="6" t="s">
        <v>56</v>
      </c>
      <c r="B28" s="37" t="n">
        <f aca="false">KPIs!B27</f>
        <v>3608.18278275012</v>
      </c>
      <c r="C28" s="37" t="n">
        <f aca="false">KPIs!C27</f>
        <v>4380.8763350911</v>
      </c>
      <c r="D28" s="37" t="n">
        <f aca="false">KPIs!D27</f>
        <v>5357.14079214784</v>
      </c>
      <c r="E28" s="37" t="n">
        <f aca="false">KPIs!E27</f>
        <v>6586.80773660826</v>
      </c>
      <c r="F28" s="37" t="n">
        <f aca="false">KPIs!F27</f>
        <v>8133.33786480438</v>
      </c>
    </row>
    <row r="29" customFormat="false" ht="15" hidden="false" customHeight="false" outlineLevel="0" collapsed="false">
      <c r="A29" s="6" t="s">
        <v>57</v>
      </c>
      <c r="B29" s="30" t="n">
        <f aca="false">KPIs!B31</f>
        <v>11385917.6939613</v>
      </c>
      <c r="C29" s="30" t="n">
        <f aca="false">KPIs!C31</f>
        <v>14445582.4498571</v>
      </c>
      <c r="D29" s="30" t="n">
        <f aca="false">KPIs!D31</f>
        <v>18373029.9260331</v>
      </c>
      <c r="E29" s="30" t="n">
        <f aca="false">KPIs!E31</f>
        <v>23420246.2651827</v>
      </c>
      <c r="F29" s="30" t="n">
        <f aca="false">KPIs!F31</f>
        <v>29914933.9044952</v>
      </c>
    </row>
    <row r="30" customFormat="false" ht="15" hidden="false" customHeight="false" outlineLevel="0" collapsed="false">
      <c r="A30" s="6" t="s">
        <v>58</v>
      </c>
      <c r="B30" s="38" t="n">
        <f aca="false">KPIs!B40</f>
        <v>26.0691124799756</v>
      </c>
      <c r="C30" s="38" t="n">
        <f aca="false">KPIs!C40</f>
        <v>28.1601319514342</v>
      </c>
      <c r="D30" s="38" t="n">
        <f aca="false">KPIs!D40</f>
        <v>30.3230232792577</v>
      </c>
      <c r="E30" s="38" t="n">
        <f aca="false">KPIs!E40</f>
        <v>32.5965498783829</v>
      </c>
      <c r="F30" s="38" t="n">
        <f aca="false">KPIs!F40</f>
        <v>35.0172609666041</v>
      </c>
    </row>
    <row r="31" customFormat="false" ht="15" hidden="false" customHeight="false" outlineLevel="0" collapsed="false">
      <c r="A31" s="6" t="s">
        <v>59</v>
      </c>
      <c r="B31" s="39" t="n">
        <f aca="false">INDEX(Headcount!$C$12:$BJ$12,12)</f>
        <v>48</v>
      </c>
      <c r="C31" s="39" t="n">
        <f aca="false">INDEX(Headcount!$C$12:$BJ$12,24)</f>
        <v>57.3</v>
      </c>
      <c r="D31" s="39" t="n">
        <f aca="false">INDEX(Headcount!$C$12:$BJ$12,36)</f>
        <v>68.415</v>
      </c>
      <c r="E31" s="39" t="n">
        <f aca="false">INDEX(Headcount!$C$12:$BJ$12,48)</f>
        <v>81.70125</v>
      </c>
      <c r="F31" s="39" t="n">
        <f aca="false">INDEX(Headcount!$C$12:$BJ$12,60)</f>
        <v>97.5852375</v>
      </c>
    </row>
    <row r="33" customFormat="false" ht="15.75" hidden="false" customHeight="true" outlineLevel="0" collapsed="false">
      <c r="A33" s="7" t="s">
        <v>60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61</v>
      </c>
      <c r="B34" s="40"/>
      <c r="C34" s="40"/>
      <c r="D34" s="40"/>
      <c r="E34" s="40"/>
      <c r="F34" s="41" t="n">
        <f aca="false">Inputs!E46</f>
        <v>1000000</v>
      </c>
    </row>
    <row r="35" customFormat="false" ht="15" hidden="false" customHeight="false" outlineLevel="0" collapsed="false">
      <c r="A35" s="6" t="s">
        <v>62</v>
      </c>
      <c r="B35" s="40"/>
      <c r="C35" s="40"/>
      <c r="D35" s="40"/>
      <c r="E35" s="40"/>
      <c r="F35" s="41" t="n">
        <f aca="false">Inputs!E47</f>
        <v>0</v>
      </c>
    </row>
    <row r="36" customFormat="false" ht="15" hidden="false" customHeight="false" outlineLevel="0" collapsed="false">
      <c r="A36" s="6" t="s">
        <v>63</v>
      </c>
      <c r="B36" s="40"/>
      <c r="C36" s="40"/>
      <c r="D36" s="40"/>
      <c r="E36" s="40"/>
      <c r="F36" s="41" t="n">
        <f aca="false">'Break-even'!B12</f>
        <v>1145773.53333333</v>
      </c>
    </row>
    <row r="37" customFormat="false" ht="15" hidden="false" customHeight="false" outlineLevel="0" collapsed="false">
      <c r="A37" s="31" t="s">
        <v>64</v>
      </c>
      <c r="B37" s="31"/>
      <c r="C37" s="31"/>
      <c r="D37" s="31"/>
      <c r="E37" s="31"/>
      <c r="F37" s="32" t="n">
        <f aca="false">'Break-even'!B17</f>
        <v>-145773.533333333</v>
      </c>
    </row>
    <row r="38" customFormat="false" ht="15" hidden="false" customHeight="false" outlineLevel="0" collapsed="false">
      <c r="A38" s="6" t="str">
        <f aca="false">"Lowest cash balance (month "&amp;MATCH(MIN(Monthly!$C$76:$BJ$76),Monthly!$C$76:$BJ$76,0)&amp;")"</f>
        <v>Lowest cash balance (month 1)</v>
      </c>
      <c r="B38" s="40"/>
      <c r="C38" s="40"/>
      <c r="D38" s="40"/>
      <c r="E38" s="40"/>
      <c r="F38" s="41" t="n">
        <f aca="false">MIN(Monthly!$C$76:$BJ$76)</f>
        <v>1760226.46666667</v>
      </c>
    </row>
    <row r="39" customFormat="false" ht="15" hidden="false" customHeight="false" outlineLevel="0" collapsed="false">
      <c r="A39" s="6" t="s">
        <v>65</v>
      </c>
      <c r="B39" s="40"/>
      <c r="C39" s="40"/>
      <c r="D39" s="40"/>
      <c r="E39" s="40"/>
      <c r="F39" s="42" t="n">
        <f aca="false">'Break-even'!B21</f>
        <v>1</v>
      </c>
    </row>
    <row r="40" customFormat="false" ht="15" hidden="false" customHeight="false" outlineLevel="0" collapsed="false">
      <c r="A40" s="6" t="s">
        <v>66</v>
      </c>
      <c r="B40" s="40"/>
      <c r="C40" s="40"/>
      <c r="D40" s="40"/>
      <c r="E40" s="40"/>
      <c r="F40" s="43" t="str">
        <f aca="false">IF(ISNUMBER('Break-even'!B23),"Month "&amp;'Break-even'!B23,'Break-even'!B23)</f>
        <v>No investment to pay back</v>
      </c>
    </row>
    <row r="41" customFormat="false" ht="15" hidden="false" customHeight="false" outlineLevel="0" collapsed="false">
      <c r="A41" s="6" t="s">
        <v>67</v>
      </c>
      <c r="B41" s="40"/>
      <c r="C41" s="40"/>
      <c r="D41" s="40"/>
      <c r="E41" s="40"/>
      <c r="F41" s="41" t="n">
        <f aca="false">Valuation!B27</f>
        <v>45888960.7543432</v>
      </c>
    </row>
    <row r="42" customFormat="false" ht="15" hidden="false" customHeight="false" outlineLevel="0" collapsed="false">
      <c r="A42" s="6" t="s">
        <v>68</v>
      </c>
      <c r="B42" s="40"/>
      <c r="C42" s="40"/>
      <c r="D42" s="40"/>
      <c r="E42" s="40"/>
      <c r="F42" s="41" t="n">
        <f aca="false">Valuation!C27</f>
        <v>34501121.4903153</v>
      </c>
    </row>
    <row r="43" customFormat="false" ht="15" hidden="false" customHeight="false" outlineLevel="0" collapsed="false">
      <c r="A43" s="35" t="s">
        <v>69</v>
      </c>
      <c r="B43" s="35"/>
      <c r="C43" s="35"/>
      <c r="D43" s="35"/>
      <c r="E43" s="35"/>
      <c r="F43" s="36" t="n">
        <f aca="false">Valuation!B30</f>
        <v>40195041.1223292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Style="stop" operator="between" prompt="1 = Low, 2 = Base, 3 = High" promptTitle="Scenario" showDropDown="false" showErrorMessage="fals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7" t="s">
        <v>70</v>
      </c>
      <c r="U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0</v>
      </c>
      <c r="P2" s="22" t="s">
        <v>71</v>
      </c>
      <c r="R2" s="44" t="n">
        <v>1</v>
      </c>
      <c r="S2" s="44"/>
    </row>
    <row r="5" customFormat="false" ht="15.75" hidden="false" customHeight="true" outlineLevel="0" collapsed="false">
      <c r="A5" s="7" t="s">
        <v>72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28"/>
      <c r="B6" s="29" t="str">
        <f aca="false">'P&amp;L'!B4</f>
        <v>Year 1</v>
      </c>
      <c r="C6" s="29" t="str">
        <f aca="false">'P&amp;L'!C4</f>
        <v>Year 2</v>
      </c>
      <c r="D6" s="29" t="str">
        <f aca="false">'P&amp;L'!D4</f>
        <v>Year 3</v>
      </c>
      <c r="E6" s="29" t="str">
        <f aca="false">'P&amp;L'!E4</f>
        <v>Year 4</v>
      </c>
      <c r="F6" s="29" t="str">
        <f aca="false">'P&amp;L'!F4</f>
        <v>Year 5</v>
      </c>
      <c r="H6" s="28" t="str">
        <f aca="false">INDEX(Monthly!$C$3:$BJ$3,($R$2-1)*12+1)</f>
        <v>M1</v>
      </c>
      <c r="I6" s="29" t="str">
        <f aca="false">INDEX(Monthly!$C$3:$BJ$3,($R$2-1)*12+2)</f>
        <v>M2</v>
      </c>
      <c r="J6" s="29" t="str">
        <f aca="false">INDEX(Monthly!$C$3:$BJ$3,($R$2-1)*12+3)</f>
        <v>M3</v>
      </c>
      <c r="K6" s="29" t="str">
        <f aca="false">INDEX(Monthly!$C$3:$BJ$3,($R$2-1)*12+4)</f>
        <v>M4</v>
      </c>
      <c r="L6" s="29" t="str">
        <f aca="false">INDEX(Monthly!$C$3:$BJ$3,($R$2-1)*12+5)</f>
        <v>M5</v>
      </c>
      <c r="M6" s="29" t="str">
        <f aca="false">INDEX(Monthly!$C$3:$BJ$3,($R$2-1)*12+6)</f>
        <v>M6</v>
      </c>
      <c r="N6" s="29" t="str">
        <f aca="false">INDEX(Monthly!$C$3:$BJ$3,($R$2-1)*12+7)</f>
        <v>M7</v>
      </c>
      <c r="O6" s="29" t="str">
        <f aca="false">INDEX(Monthly!$C$3:$BJ$3,($R$2-1)*12+8)</f>
        <v>M8</v>
      </c>
      <c r="P6" s="29" t="str">
        <f aca="false">INDEX(Monthly!$C$3:$BJ$3,($R$2-1)*12+9)</f>
        <v>M9</v>
      </c>
      <c r="Q6" s="29" t="str">
        <f aca="false">INDEX(Monthly!$C$3:$BJ$3,($R$2-1)*12+10)</f>
        <v>M10</v>
      </c>
      <c r="R6" s="29" t="str">
        <f aca="false">INDEX(Monthly!$C$3:$BJ$3,($R$2-1)*12+11)</f>
        <v>M11</v>
      </c>
      <c r="S6" s="29" t="str">
        <f aca="false">INDEX(Monthly!$C$3:$BJ$3,($R$2-1)*12+12)</f>
        <v>M12</v>
      </c>
    </row>
    <row r="7" customFormat="false" ht="15" hidden="false" customHeight="false" outlineLevel="0" collapsed="false">
      <c r="A7" s="6" t="s">
        <v>42</v>
      </c>
      <c r="B7" s="30" t="n">
        <f aca="false">'P&amp;L'!B5</f>
        <v>10216765.787571</v>
      </c>
      <c r="C7" s="30" t="n">
        <f aca="false">'P&amp;L'!C5</f>
        <v>12946279.7323641</v>
      </c>
      <c r="D7" s="30" t="n">
        <f aca="false">'P&amp;L'!D5</f>
        <v>16448494.6767072</v>
      </c>
      <c r="E7" s="30" t="n">
        <f aca="false">'P&amp;L'!E5</f>
        <v>20946999.757218</v>
      </c>
      <c r="F7" s="30" t="n">
        <f aca="false">'P&amp;L'!F5</f>
        <v>26732394.7690799</v>
      </c>
      <c r="H7" s="45" t="n">
        <f aca="false">INDEX(Monthly!$C$24:$BJ$24,($R$2-1)*12+1)</f>
        <v>758750</v>
      </c>
      <c r="I7" s="45" t="n">
        <f aca="false">INDEX(Monthly!$C$24:$BJ$24,($R$2-1)*12+2)</f>
        <v>776162.5</v>
      </c>
      <c r="J7" s="45" t="n">
        <f aca="false">INDEX(Monthly!$C$24:$BJ$24,($R$2-1)*12+3)</f>
        <v>793400.875</v>
      </c>
      <c r="K7" s="45" t="n">
        <f aca="false">INDEX(Monthly!$C$24:$BJ$24,($R$2-1)*12+4)</f>
        <v>810466.86625</v>
      </c>
      <c r="L7" s="45" t="n">
        <f aca="false">INDEX(Monthly!$C$24:$BJ$24,($R$2-1)*12+5)</f>
        <v>827362.1975875</v>
      </c>
      <c r="M7" s="45" t="n">
        <f aca="false">INDEX(Monthly!$C$24:$BJ$24,($R$2-1)*12+6)</f>
        <v>844088.575611625</v>
      </c>
      <c r="N7" s="45" t="n">
        <f aca="false">INDEX(Monthly!$C$24:$BJ$24,($R$2-1)*12+7)</f>
        <v>860647.689855509</v>
      </c>
      <c r="O7" s="45" t="n">
        <f aca="false">INDEX(Monthly!$C$24:$BJ$24,($R$2-1)*12+8)</f>
        <v>877041.212956954</v>
      </c>
      <c r="P7" s="45" t="n">
        <f aca="false">INDEX(Monthly!$C$24:$BJ$24,($R$2-1)*12+9)</f>
        <v>893270.800827384</v>
      </c>
      <c r="Q7" s="45" t="n">
        <f aca="false">INDEX(Monthly!$C$24:$BJ$24,($R$2-1)*12+10)</f>
        <v>909338.09281911</v>
      </c>
      <c r="R7" s="45" t="n">
        <f aca="false">INDEX(Monthly!$C$24:$BJ$24,($R$2-1)*12+11)</f>
        <v>925244.711890919</v>
      </c>
      <c r="S7" s="45" t="n">
        <f aca="false">INDEX(Monthly!$C$24:$BJ$24,($R$2-1)*12+12)</f>
        <v>940992.26477201</v>
      </c>
    </row>
    <row r="8" customFormat="false" ht="15" hidden="false" customHeight="false" outlineLevel="0" collapsed="false">
      <c r="A8" s="6" t="s">
        <v>73</v>
      </c>
      <c r="B8" s="30" t="n">
        <f aca="false">'P&amp;L'!B6</f>
        <v>-1101193.72383984</v>
      </c>
      <c r="C8" s="30" t="n">
        <f aca="false">'P&amp;L'!C6</f>
        <v>-1390774.85980995</v>
      </c>
      <c r="D8" s="30" t="n">
        <f aca="false">'P&amp;L'!D6</f>
        <v>-1762057.13785354</v>
      </c>
      <c r="E8" s="30" t="n">
        <f aca="false">'P&amp;L'!E6</f>
        <v>-2238470.05007154</v>
      </c>
      <c r="F8" s="30" t="n">
        <f aca="false">'P&amp;L'!F6</f>
        <v>-2850437.98994337</v>
      </c>
      <c r="H8" s="45" t="n">
        <f aca="false">INDEX(Monthly!$C$25:$BJ$25,($R$2-1)*12+1)</f>
        <v>-81930</v>
      </c>
      <c r="I8" s="45" t="n">
        <f aca="false">INDEX(Monthly!$C$25:$BJ$25,($R$2-1)*12+2)</f>
        <v>-83780.425</v>
      </c>
      <c r="J8" s="45" t="n">
        <f aca="false">INDEX(Monthly!$C$25:$BJ$25,($R$2-1)*12+3)</f>
        <v>-85611.799875</v>
      </c>
      <c r="K8" s="45" t="n">
        <f aca="false">INDEX(Monthly!$C$25:$BJ$25,($R$2-1)*12+4)</f>
        <v>-87424.323314375</v>
      </c>
      <c r="L8" s="45" t="n">
        <f aca="false">INDEX(Monthly!$C$25:$BJ$25,($R$2-1)*12+5)</f>
        <v>-89218.1918977844</v>
      </c>
      <c r="M8" s="45" t="n">
        <f aca="false">INDEX(Monthly!$C$25:$BJ$25,($R$2-1)*12+6)</f>
        <v>-90993.6001181114</v>
      </c>
      <c r="N8" s="45" t="n">
        <f aca="false">INDEX(Monthly!$C$25:$BJ$25,($R$2-1)*12+7)</f>
        <v>-92750.7404041455</v>
      </c>
      <c r="O8" s="45" t="n">
        <f aca="false">INDEX(Monthly!$C$25:$BJ$25,($R$2-1)*12+8)</f>
        <v>-94489.8031430111</v>
      </c>
      <c r="P8" s="45" t="n">
        <f aca="false">INDEX(Monthly!$C$25:$BJ$25,($R$2-1)*12+9)</f>
        <v>-96210.9767023444</v>
      </c>
      <c r="Q8" s="45" t="n">
        <f aca="false">INDEX(Monthly!$C$25:$BJ$25,($R$2-1)*12+10)</f>
        <v>-97914.4474522229</v>
      </c>
      <c r="R8" s="45" t="n">
        <f aca="false">INDEX(Monthly!$C$25:$BJ$25,($R$2-1)*12+11)</f>
        <v>-99600.3997868491</v>
      </c>
      <c r="S8" s="45" t="n">
        <f aca="false">INDEX(Monthly!$C$25:$BJ$25,($R$2-1)*12+12)</f>
        <v>-101269.016145992</v>
      </c>
    </row>
    <row r="9" customFormat="false" ht="15" hidden="false" customHeight="false" outlineLevel="0" collapsed="false">
      <c r="A9" s="31" t="s">
        <v>43</v>
      </c>
      <c r="B9" s="32" t="n">
        <f aca="false">'P&amp;L'!B7</f>
        <v>9115572.06373118</v>
      </c>
      <c r="C9" s="32" t="n">
        <f aca="false">'P&amp;L'!C7</f>
        <v>11555504.8725542</v>
      </c>
      <c r="D9" s="32" t="n">
        <f aca="false">'P&amp;L'!D7</f>
        <v>14686437.5388536</v>
      </c>
      <c r="E9" s="32" t="n">
        <f aca="false">'P&amp;L'!E7</f>
        <v>18708529.7071465</v>
      </c>
      <c r="F9" s="32" t="n">
        <f aca="false">'P&amp;L'!F7</f>
        <v>23881956.7791366</v>
      </c>
      <c r="H9" s="46" t="n">
        <f aca="false">INDEX(Monthly!$C$26:$BJ$26,($R$2-1)*12+1)</f>
        <v>676820</v>
      </c>
      <c r="I9" s="46" t="n">
        <f aca="false">INDEX(Monthly!$C$26:$BJ$26,($R$2-1)*12+2)</f>
        <v>692382.075</v>
      </c>
      <c r="J9" s="46" t="n">
        <f aca="false">INDEX(Monthly!$C$26:$BJ$26,($R$2-1)*12+3)</f>
        <v>707789.075125</v>
      </c>
      <c r="K9" s="46" t="n">
        <f aca="false">INDEX(Monthly!$C$26:$BJ$26,($R$2-1)*12+4)</f>
        <v>723042.542935625</v>
      </c>
      <c r="L9" s="46" t="n">
        <f aca="false">INDEX(Monthly!$C$26:$BJ$26,($R$2-1)*12+5)</f>
        <v>738144.005689716</v>
      </c>
      <c r="M9" s="46" t="n">
        <f aca="false">INDEX(Monthly!$C$26:$BJ$26,($R$2-1)*12+6)</f>
        <v>753094.975493514</v>
      </c>
      <c r="N9" s="46" t="n">
        <f aca="false">INDEX(Monthly!$C$26:$BJ$26,($R$2-1)*12+7)</f>
        <v>767896.949451363</v>
      </c>
      <c r="O9" s="46" t="n">
        <f aca="false">INDEX(Monthly!$C$26:$BJ$26,($R$2-1)*12+8)</f>
        <v>782551.409813943</v>
      </c>
      <c r="P9" s="46" t="n">
        <f aca="false">INDEX(Monthly!$C$26:$BJ$26,($R$2-1)*12+9)</f>
        <v>797059.82412504</v>
      </c>
      <c r="Q9" s="46" t="n">
        <f aca="false">INDEX(Monthly!$C$26:$BJ$26,($R$2-1)*12+10)</f>
        <v>811423.645366887</v>
      </c>
      <c r="R9" s="46" t="n">
        <f aca="false">INDEX(Monthly!$C$26:$BJ$26,($R$2-1)*12+11)</f>
        <v>825644.31210407</v>
      </c>
      <c r="S9" s="46" t="n">
        <f aca="false">INDEX(Monthly!$C$26:$BJ$26,($R$2-1)*12+12)</f>
        <v>839723.248626018</v>
      </c>
    </row>
    <row r="10" customFormat="false" ht="15" hidden="false" customHeight="false" outlineLevel="0" collapsed="false">
      <c r="A10" s="33" t="s">
        <v>44</v>
      </c>
      <c r="B10" s="34" t="n">
        <f aca="false">'P&amp;L'!B8</f>
        <v>0.892216994425039</v>
      </c>
      <c r="C10" s="34" t="n">
        <f aca="false">'P&amp;L'!C8</f>
        <v>0.89257339648446</v>
      </c>
      <c r="D10" s="34" t="n">
        <f aca="false">'P&amp;L'!D8</f>
        <v>0.892874261597397</v>
      </c>
      <c r="E10" s="34" t="n">
        <f aca="false">'P&amp;L'!E8</f>
        <v>0.893136483696182</v>
      </c>
      <c r="F10" s="34" t="n">
        <f aca="false">'P&amp;L'!F8</f>
        <v>0.893371393974761</v>
      </c>
      <c r="H10" s="47" t="n">
        <f aca="false">IF(H7=0,0,H9/H7)</f>
        <v>0.892019769357496</v>
      </c>
      <c r="I10" s="47" t="n">
        <f aca="false">IF(I7=0,0,I9/I7)</f>
        <v>0.892058138598554</v>
      </c>
      <c r="J10" s="47" t="n">
        <f aca="false">IF(J7=0,0,J9/J7)</f>
        <v>0.892095153191002</v>
      </c>
      <c r="K10" s="47" t="n">
        <f aca="false">IF(K7=0,0,K9/K7)</f>
        <v>0.892130910028581</v>
      </c>
      <c r="L10" s="47" t="n">
        <f aca="false">IF(L7=0,0,L9/L7)</f>
        <v>0.892165496371559</v>
      </c>
      <c r="M10" s="47" t="n">
        <f aca="false">IF(M7=0,0,M9/M7)</f>
        <v>0.892198991021555</v>
      </c>
      <c r="N10" s="47" t="n">
        <f aca="false">IF(N7=0,0,N9/N7)</f>
        <v>0.892231465328493</v>
      </c>
      <c r="O10" s="47" t="n">
        <f aca="false">IF(O7=0,0,O9/O7)</f>
        <v>0.892262984057</v>
      </c>
      <c r="P10" s="47" t="n">
        <f aca="false">IF(P7=0,0,P9/P7)</f>
        <v>0.892293606134635</v>
      </c>
      <c r="Q10" s="47" t="n">
        <f aca="false">IF(Q7=0,0,Q9/Q7)</f>
        <v>0.892323385300323</v>
      </c>
      <c r="R10" s="47" t="n">
        <f aca="false">IF(R7=0,0,R9/R7)</f>
        <v>0.892352370668192</v>
      </c>
      <c r="S10" s="47" t="n">
        <f aca="false">IF(S7=0,0,S9/S7)</f>
        <v>0.892380607219414</v>
      </c>
    </row>
    <row r="11" customFormat="false" ht="15" hidden="false" customHeight="false" outlineLevel="0" collapsed="false">
      <c r="A11" s="6" t="s">
        <v>45</v>
      </c>
      <c r="B11" s="30" t="n">
        <f aca="false">'P&amp;L'!B14</f>
        <v>-7622400</v>
      </c>
      <c r="C11" s="30" t="n">
        <f aca="false">'P&amp;L'!C14</f>
        <v>-9305892</v>
      </c>
      <c r="D11" s="30" t="n">
        <f aca="false">'P&amp;L'!D14</f>
        <v>-11392489.08</v>
      </c>
      <c r="E11" s="30" t="n">
        <f aca="false">'P&amp;L'!E14</f>
        <v>-13979315.468304</v>
      </c>
      <c r="F11" s="30" t="n">
        <f aca="false">'P&amp;L'!F14</f>
        <v>-17187019.4040903</v>
      </c>
      <c r="H11" s="45" t="n">
        <f aca="false">INDEX(Monthly!$C$34:$BJ$34,($R$2-1)*12+1)</f>
        <v>-635200</v>
      </c>
      <c r="I11" s="45" t="n">
        <f aca="false">INDEX(Monthly!$C$34:$BJ$34,($R$2-1)*12+2)</f>
        <v>-635200</v>
      </c>
      <c r="J11" s="45" t="n">
        <f aca="false">INDEX(Monthly!$C$34:$BJ$34,($R$2-1)*12+3)</f>
        <v>-635200</v>
      </c>
      <c r="K11" s="45" t="n">
        <f aca="false">INDEX(Monthly!$C$34:$BJ$34,($R$2-1)*12+4)</f>
        <v>-635200</v>
      </c>
      <c r="L11" s="45" t="n">
        <f aca="false">INDEX(Monthly!$C$34:$BJ$34,($R$2-1)*12+5)</f>
        <v>-635200</v>
      </c>
      <c r="M11" s="45" t="n">
        <f aca="false">INDEX(Monthly!$C$34:$BJ$34,($R$2-1)*12+6)</f>
        <v>-635200</v>
      </c>
      <c r="N11" s="45" t="n">
        <f aca="false">INDEX(Monthly!$C$34:$BJ$34,($R$2-1)*12+7)</f>
        <v>-635200</v>
      </c>
      <c r="O11" s="45" t="n">
        <f aca="false">INDEX(Monthly!$C$34:$BJ$34,($R$2-1)*12+8)</f>
        <v>-635200</v>
      </c>
      <c r="P11" s="45" t="n">
        <f aca="false">INDEX(Monthly!$C$34:$BJ$34,($R$2-1)*12+9)</f>
        <v>-635200</v>
      </c>
      <c r="Q11" s="45" t="n">
        <f aca="false">INDEX(Monthly!$C$34:$BJ$34,($R$2-1)*12+10)</f>
        <v>-635200</v>
      </c>
      <c r="R11" s="45" t="n">
        <f aca="false">INDEX(Monthly!$C$34:$BJ$34,($R$2-1)*12+11)</f>
        <v>-635200</v>
      </c>
      <c r="S11" s="45" t="n">
        <f aca="false">INDEX(Monthly!$C$34:$BJ$34,($R$2-1)*12+12)</f>
        <v>-635200</v>
      </c>
    </row>
    <row r="12" customFormat="false" ht="15" hidden="false" customHeight="false" outlineLevel="0" collapsed="false">
      <c r="A12" s="31" t="s">
        <v>46</v>
      </c>
      <c r="B12" s="32" t="n">
        <f aca="false">'P&amp;L'!B15</f>
        <v>1493172.06373118</v>
      </c>
      <c r="C12" s="32" t="n">
        <f aca="false">'P&amp;L'!C15</f>
        <v>2249612.87255416</v>
      </c>
      <c r="D12" s="32" t="n">
        <f aca="false">'P&amp;L'!D15</f>
        <v>3293948.45885364</v>
      </c>
      <c r="E12" s="32" t="n">
        <f aca="false">'P&amp;L'!E15</f>
        <v>4729214.23884245</v>
      </c>
      <c r="F12" s="32" t="n">
        <f aca="false">'P&amp;L'!F15</f>
        <v>6694937.37504621</v>
      </c>
      <c r="H12" s="46" t="n">
        <f aca="false">INDEX(Monthly!$C$35:$BJ$35,($R$2-1)*12+1)</f>
        <v>41620</v>
      </c>
      <c r="I12" s="46" t="n">
        <f aca="false">INDEX(Monthly!$C$35:$BJ$35,($R$2-1)*12+2)</f>
        <v>57182.075</v>
      </c>
      <c r="J12" s="46" t="n">
        <f aca="false">INDEX(Monthly!$C$35:$BJ$35,($R$2-1)*12+3)</f>
        <v>72589.075125</v>
      </c>
      <c r="K12" s="46" t="n">
        <f aca="false">INDEX(Monthly!$C$35:$BJ$35,($R$2-1)*12+4)</f>
        <v>87842.542935625</v>
      </c>
      <c r="L12" s="46" t="n">
        <f aca="false">INDEX(Monthly!$C$35:$BJ$35,($R$2-1)*12+5)</f>
        <v>102944.005689716</v>
      </c>
      <c r="M12" s="46" t="n">
        <f aca="false">INDEX(Monthly!$C$35:$BJ$35,($R$2-1)*12+6)</f>
        <v>117894.975493514</v>
      </c>
      <c r="N12" s="46" t="n">
        <f aca="false">INDEX(Monthly!$C$35:$BJ$35,($R$2-1)*12+7)</f>
        <v>132696.949451363</v>
      </c>
      <c r="O12" s="46" t="n">
        <f aca="false">INDEX(Monthly!$C$35:$BJ$35,($R$2-1)*12+8)</f>
        <v>147351.409813943</v>
      </c>
      <c r="P12" s="46" t="n">
        <f aca="false">INDEX(Monthly!$C$35:$BJ$35,($R$2-1)*12+9)</f>
        <v>161859.82412504</v>
      </c>
      <c r="Q12" s="46" t="n">
        <f aca="false">INDEX(Monthly!$C$35:$BJ$35,($R$2-1)*12+10)</f>
        <v>176223.645366887</v>
      </c>
      <c r="R12" s="46" t="n">
        <f aca="false">INDEX(Monthly!$C$35:$BJ$35,($R$2-1)*12+11)</f>
        <v>190444.31210407</v>
      </c>
      <c r="S12" s="46" t="n">
        <f aca="false">INDEX(Monthly!$C$35:$BJ$35,($R$2-1)*12+12)</f>
        <v>204523.248626018</v>
      </c>
    </row>
    <row r="13" customFormat="false" ht="15" hidden="false" customHeight="false" outlineLevel="0" collapsed="false">
      <c r="A13" s="33" t="s">
        <v>47</v>
      </c>
      <c r="B13" s="34" t="n">
        <f aca="false">'P&amp;L'!B16</f>
        <v>0.146149191904513</v>
      </c>
      <c r="C13" s="34" t="n">
        <f aca="false">'P&amp;L'!C16</f>
        <v>0.173765198888018</v>
      </c>
      <c r="D13" s="34" t="n">
        <f aca="false">'P&amp;L'!D16</f>
        <v>0.20025835333845</v>
      </c>
      <c r="E13" s="34" t="n">
        <f aca="false">'P&amp;L'!E16</f>
        <v>0.225770482343795</v>
      </c>
      <c r="F13" s="34" t="n">
        <f aca="false">'P&amp;L'!F16</f>
        <v>0.250442859043438</v>
      </c>
      <c r="H13" s="47" t="n">
        <f aca="false">IF(H7=0,0,H12/H7)</f>
        <v>0.0548533772652389</v>
      </c>
      <c r="I13" s="47" t="n">
        <f aca="false">IF(I7=0,0,I12/I7)</f>
        <v>0.0736728133606042</v>
      </c>
      <c r="J13" s="47" t="n">
        <f aca="false">IF(J7=0,0,J12/J7)</f>
        <v>0.0914910449588299</v>
      </c>
      <c r="K13" s="47" t="n">
        <f aca="false">IF(K7=0,0,K12/K7)</f>
        <v>0.108385113067076</v>
      </c>
      <c r="L13" s="47" t="n">
        <f aca="false">IF(L7=0,0,L12/L7)</f>
        <v>0.124424352466054</v>
      </c>
      <c r="M13" s="47" t="n">
        <f aca="false">IF(M7=0,0,M12/M7)</f>
        <v>0.139671331777103</v>
      </c>
      <c r="N13" s="47" t="n">
        <f aca="false">IF(N7=0,0,N12/N7)</f>
        <v>0.154182659194311</v>
      </c>
      <c r="O13" s="47" t="n">
        <f aca="false">IF(O7=0,0,O12/O7)</f>
        <v>0.168009675756452</v>
      </c>
      <c r="P13" s="47" t="n">
        <f aca="false">IF(P7=0,0,P12/P7)</f>
        <v>0.181199054055185</v>
      </c>
      <c r="Q13" s="47" t="n">
        <f aca="false">IF(Q7=0,0,Q12/Q7)</f>
        <v>0.193793317093495</v>
      </c>
      <c r="R13" s="47" t="n">
        <f aca="false">IF(R7=0,0,R12/R7)</f>
        <v>0.205831289448669</v>
      </c>
      <c r="S13" s="47" t="n">
        <f aca="false">IF(S7=0,0,S12/S7)</f>
        <v>0.217348490824812</v>
      </c>
    </row>
    <row r="14" customFormat="false" ht="15" hidden="false" customHeight="false" outlineLevel="0" collapsed="false">
      <c r="A14" s="6" t="s">
        <v>74</v>
      </c>
      <c r="B14" s="30" t="n">
        <f aca="false">'P&amp;L'!B17</f>
        <v>-50000</v>
      </c>
      <c r="C14" s="30" t="n">
        <f aca="false">'P&amp;L'!C17</f>
        <v>-50000</v>
      </c>
      <c r="D14" s="30" t="n">
        <f aca="false">'P&amp;L'!D17</f>
        <v>-50000</v>
      </c>
      <c r="E14" s="30" t="n">
        <f aca="false">'P&amp;L'!E17</f>
        <v>0</v>
      </c>
      <c r="F14" s="30" t="n">
        <f aca="false">'P&amp;L'!F17</f>
        <v>0</v>
      </c>
      <c r="H14" s="45" t="n">
        <f aca="false">INDEX(Monthly!$C$49:$BJ$49,($R$2-1)*12+1)</f>
        <v>-4166.66666666667</v>
      </c>
      <c r="I14" s="45" t="n">
        <f aca="false">INDEX(Monthly!$C$49:$BJ$49,($R$2-1)*12+2)</f>
        <v>-4166.66666666667</v>
      </c>
      <c r="J14" s="45" t="n">
        <f aca="false">INDEX(Monthly!$C$49:$BJ$49,($R$2-1)*12+3)</f>
        <v>-4166.66666666667</v>
      </c>
      <c r="K14" s="45" t="n">
        <f aca="false">INDEX(Monthly!$C$49:$BJ$49,($R$2-1)*12+4)</f>
        <v>-4166.66666666667</v>
      </c>
      <c r="L14" s="45" t="n">
        <f aca="false">INDEX(Monthly!$C$49:$BJ$49,($R$2-1)*12+5)</f>
        <v>-4166.66666666667</v>
      </c>
      <c r="M14" s="45" t="n">
        <f aca="false">INDEX(Monthly!$C$49:$BJ$49,($R$2-1)*12+6)</f>
        <v>-4166.66666666667</v>
      </c>
      <c r="N14" s="45" t="n">
        <f aca="false">INDEX(Monthly!$C$49:$BJ$49,($R$2-1)*12+7)</f>
        <v>-4166.66666666667</v>
      </c>
      <c r="O14" s="45" t="n">
        <f aca="false">INDEX(Monthly!$C$49:$BJ$49,($R$2-1)*12+8)</f>
        <v>-4166.66666666667</v>
      </c>
      <c r="P14" s="45" t="n">
        <f aca="false">INDEX(Monthly!$C$49:$BJ$49,($R$2-1)*12+9)</f>
        <v>-4166.66666666667</v>
      </c>
      <c r="Q14" s="45" t="n">
        <f aca="false">INDEX(Monthly!$C$49:$BJ$49,($R$2-1)*12+10)</f>
        <v>-4166.66666666667</v>
      </c>
      <c r="R14" s="45" t="n">
        <f aca="false">INDEX(Monthly!$C$49:$BJ$49,($R$2-1)*12+11)</f>
        <v>-4166.66666666667</v>
      </c>
      <c r="S14" s="45" t="n">
        <f aca="false">INDEX(Monthly!$C$49:$BJ$49,($R$2-1)*12+12)</f>
        <v>-4166.66666666667</v>
      </c>
    </row>
    <row r="15" customFormat="false" ht="15" hidden="false" customHeight="false" outlineLevel="0" collapsed="false">
      <c r="A15" s="31" t="s">
        <v>75</v>
      </c>
      <c r="B15" s="32" t="n">
        <f aca="false">'P&amp;L'!B18</f>
        <v>1443172.06373118</v>
      </c>
      <c r="C15" s="32" t="n">
        <f aca="false">'P&amp;L'!C18</f>
        <v>2199612.87255416</v>
      </c>
      <c r="D15" s="32" t="n">
        <f aca="false">'P&amp;L'!D18</f>
        <v>3243948.45885364</v>
      </c>
      <c r="E15" s="32" t="n">
        <f aca="false">'P&amp;L'!E18</f>
        <v>4729214.23884245</v>
      </c>
      <c r="F15" s="32" t="n">
        <f aca="false">'P&amp;L'!F18</f>
        <v>6694937.37504621</v>
      </c>
      <c r="H15" s="46" t="n">
        <f aca="false">INDEX(Monthly!$C$38:$BJ$38,($R$2-1)*12+1)</f>
        <v>37453.3333333333</v>
      </c>
      <c r="I15" s="46" t="n">
        <f aca="false">INDEX(Monthly!$C$38:$BJ$38,($R$2-1)*12+2)</f>
        <v>53015.4083333333</v>
      </c>
      <c r="J15" s="46" t="n">
        <f aca="false">INDEX(Monthly!$C$38:$BJ$38,($R$2-1)*12+3)</f>
        <v>68422.4084583333</v>
      </c>
      <c r="K15" s="46" t="n">
        <f aca="false">INDEX(Monthly!$C$38:$BJ$38,($R$2-1)*12+4)</f>
        <v>83675.8762689583</v>
      </c>
      <c r="L15" s="46" t="n">
        <f aca="false">INDEX(Monthly!$C$38:$BJ$38,($R$2-1)*12+5)</f>
        <v>98777.3390230491</v>
      </c>
      <c r="M15" s="46" t="n">
        <f aca="false">INDEX(Monthly!$C$38:$BJ$38,($R$2-1)*12+6)</f>
        <v>113728.308826847</v>
      </c>
      <c r="N15" s="46" t="n">
        <f aca="false">INDEX(Monthly!$C$38:$BJ$38,($R$2-1)*12+7)</f>
        <v>128530.282784697</v>
      </c>
      <c r="O15" s="46" t="n">
        <f aca="false">INDEX(Monthly!$C$38:$BJ$38,($R$2-1)*12+8)</f>
        <v>143184.743147276</v>
      </c>
      <c r="P15" s="46" t="n">
        <f aca="false">INDEX(Monthly!$C$38:$BJ$38,($R$2-1)*12+9)</f>
        <v>157693.157458373</v>
      </c>
      <c r="Q15" s="46" t="n">
        <f aca="false">INDEX(Monthly!$C$38:$BJ$38,($R$2-1)*12+10)</f>
        <v>172056.978700221</v>
      </c>
      <c r="R15" s="46" t="n">
        <f aca="false">INDEX(Monthly!$C$38:$BJ$38,($R$2-1)*12+11)</f>
        <v>186277.645437403</v>
      </c>
      <c r="S15" s="46" t="n">
        <f aca="false">INDEX(Monthly!$C$38:$BJ$38,($R$2-1)*12+12)</f>
        <v>200356.581959352</v>
      </c>
    </row>
    <row r="16" customFormat="false" ht="15" hidden="false" customHeight="false" outlineLevel="0" collapsed="false">
      <c r="A16" s="6" t="s">
        <v>76</v>
      </c>
      <c r="B16" s="30" t="n">
        <f aca="false">'P&amp;L'!B19</f>
        <v>0</v>
      </c>
      <c r="C16" s="30" t="n">
        <f aca="false">'P&amp;L'!C19</f>
        <v>0</v>
      </c>
      <c r="D16" s="30" t="n">
        <f aca="false">'P&amp;L'!D19</f>
        <v>0</v>
      </c>
      <c r="E16" s="30" t="n">
        <f aca="false">'P&amp;L'!E19</f>
        <v>0</v>
      </c>
      <c r="F16" s="30" t="n">
        <f aca="false">'P&amp;L'!F19</f>
        <v>0</v>
      </c>
      <c r="H16" s="45" t="n">
        <f aca="false">INDEX(Monthly!$C$39:$BJ$39,($R$2-1)*12+1)</f>
        <v>-0</v>
      </c>
      <c r="I16" s="45" t="n">
        <f aca="false">INDEX(Monthly!$C$39:$BJ$39,($R$2-1)*12+2)</f>
        <v>-0</v>
      </c>
      <c r="J16" s="45" t="n">
        <f aca="false">INDEX(Monthly!$C$39:$BJ$39,($R$2-1)*12+3)</f>
        <v>-0</v>
      </c>
      <c r="K16" s="45" t="n">
        <f aca="false">INDEX(Monthly!$C$39:$BJ$39,($R$2-1)*12+4)</f>
        <v>-0</v>
      </c>
      <c r="L16" s="45" t="n">
        <f aca="false">INDEX(Monthly!$C$39:$BJ$39,($R$2-1)*12+5)</f>
        <v>-0</v>
      </c>
      <c r="M16" s="45" t="n">
        <f aca="false">INDEX(Monthly!$C$39:$BJ$39,($R$2-1)*12+6)</f>
        <v>-0</v>
      </c>
      <c r="N16" s="45" t="n">
        <f aca="false">INDEX(Monthly!$C$39:$BJ$39,($R$2-1)*12+7)</f>
        <v>-0</v>
      </c>
      <c r="O16" s="45" t="n">
        <f aca="false">INDEX(Monthly!$C$39:$BJ$39,($R$2-1)*12+8)</f>
        <v>-0</v>
      </c>
      <c r="P16" s="45" t="n">
        <f aca="false">INDEX(Monthly!$C$39:$BJ$39,($R$2-1)*12+9)</f>
        <v>-0</v>
      </c>
      <c r="Q16" s="45" t="n">
        <f aca="false">INDEX(Monthly!$C$39:$BJ$39,($R$2-1)*12+10)</f>
        <v>-0</v>
      </c>
      <c r="R16" s="45" t="n">
        <f aca="false">INDEX(Monthly!$C$39:$BJ$39,($R$2-1)*12+11)</f>
        <v>-0</v>
      </c>
      <c r="S16" s="45" t="n">
        <f aca="false">INDEX(Monthly!$C$39:$BJ$39,($R$2-1)*12+12)</f>
        <v>-0</v>
      </c>
    </row>
    <row r="17" customFormat="false" ht="15" hidden="false" customHeight="false" outlineLevel="0" collapsed="false">
      <c r="A17" s="6" t="s">
        <v>77</v>
      </c>
      <c r="B17" s="30" t="n">
        <f aca="false">'P&amp;L'!B20</f>
        <v>1443172.06373118</v>
      </c>
      <c r="C17" s="30" t="n">
        <f aca="false">'P&amp;L'!C20</f>
        <v>2199612.87255416</v>
      </c>
      <c r="D17" s="30" t="n">
        <f aca="false">'P&amp;L'!D20</f>
        <v>3243948.45885364</v>
      </c>
      <c r="E17" s="30" t="n">
        <f aca="false">'P&amp;L'!E20</f>
        <v>4729214.23884245</v>
      </c>
      <c r="F17" s="30" t="n">
        <f aca="false">'P&amp;L'!F20</f>
        <v>6694937.37504621</v>
      </c>
      <c r="H17" s="45" t="n">
        <f aca="false">INDEX(Monthly!$C$40:$BJ$40,($R$2-1)*12+1)</f>
        <v>37453.3333333333</v>
      </c>
      <c r="I17" s="45" t="n">
        <f aca="false">INDEX(Monthly!$C$40:$BJ$40,($R$2-1)*12+2)</f>
        <v>53015.4083333333</v>
      </c>
      <c r="J17" s="45" t="n">
        <f aca="false">INDEX(Monthly!$C$40:$BJ$40,($R$2-1)*12+3)</f>
        <v>68422.4084583333</v>
      </c>
      <c r="K17" s="45" t="n">
        <f aca="false">INDEX(Monthly!$C$40:$BJ$40,($R$2-1)*12+4)</f>
        <v>83675.8762689583</v>
      </c>
      <c r="L17" s="45" t="n">
        <f aca="false">INDEX(Monthly!$C$40:$BJ$40,($R$2-1)*12+5)</f>
        <v>98777.3390230491</v>
      </c>
      <c r="M17" s="45" t="n">
        <f aca="false">INDEX(Monthly!$C$40:$BJ$40,($R$2-1)*12+6)</f>
        <v>113728.308826847</v>
      </c>
      <c r="N17" s="45" t="n">
        <f aca="false">INDEX(Monthly!$C$40:$BJ$40,($R$2-1)*12+7)</f>
        <v>128530.282784697</v>
      </c>
      <c r="O17" s="45" t="n">
        <f aca="false">INDEX(Monthly!$C$40:$BJ$40,($R$2-1)*12+8)</f>
        <v>143184.743147276</v>
      </c>
      <c r="P17" s="45" t="n">
        <f aca="false">INDEX(Monthly!$C$40:$BJ$40,($R$2-1)*12+9)</f>
        <v>157693.157458373</v>
      </c>
      <c r="Q17" s="45" t="n">
        <f aca="false">INDEX(Monthly!$C$40:$BJ$40,($R$2-1)*12+10)</f>
        <v>172056.978700221</v>
      </c>
      <c r="R17" s="45" t="n">
        <f aca="false">INDEX(Monthly!$C$40:$BJ$40,($R$2-1)*12+11)</f>
        <v>186277.645437403</v>
      </c>
      <c r="S17" s="45" t="n">
        <f aca="false">INDEX(Monthly!$C$40:$BJ$40,($R$2-1)*12+12)</f>
        <v>200356.581959352</v>
      </c>
    </row>
    <row r="18" customFormat="false" ht="15" hidden="false" customHeight="false" outlineLevel="0" collapsed="false">
      <c r="A18" s="6" t="s">
        <v>78</v>
      </c>
      <c r="B18" s="30" t="n">
        <f aca="false">'P&amp;L'!B21</f>
        <v>-303066.133383547</v>
      </c>
      <c r="C18" s="30" t="n">
        <f aca="false">'P&amp;L'!C21</f>
        <v>-461918.703236374</v>
      </c>
      <c r="D18" s="30" t="n">
        <f aca="false">'P&amp;L'!D21</f>
        <v>-681229.176359264</v>
      </c>
      <c r="E18" s="30" t="n">
        <f aca="false">'P&amp;L'!E21</f>
        <v>-993134.990156916</v>
      </c>
      <c r="F18" s="30" t="n">
        <f aca="false">'P&amp;L'!F21</f>
        <v>-1405936.8487597</v>
      </c>
      <c r="H18" s="45" t="n">
        <f aca="false">INDEX(Monthly!$C$43:$BJ$43,($R$2-1)*12+1)</f>
        <v>-7865.2</v>
      </c>
      <c r="I18" s="45" t="n">
        <f aca="false">INDEX(Monthly!$C$43:$BJ$43,($R$2-1)*12+2)</f>
        <v>-11133.23575</v>
      </c>
      <c r="J18" s="45" t="n">
        <f aca="false">INDEX(Monthly!$C$43:$BJ$43,($R$2-1)*12+3)</f>
        <v>-14368.70577625</v>
      </c>
      <c r="K18" s="45" t="n">
        <f aca="false">INDEX(Monthly!$C$43:$BJ$43,($R$2-1)*12+4)</f>
        <v>-17571.9340164812</v>
      </c>
      <c r="L18" s="45" t="n">
        <f aca="false">INDEX(Monthly!$C$43:$BJ$43,($R$2-1)*12+5)</f>
        <v>-20743.2411948403</v>
      </c>
      <c r="M18" s="45" t="n">
        <f aca="false">INDEX(Monthly!$C$43:$BJ$43,($R$2-1)*12+6)</f>
        <v>-23882.9448536379</v>
      </c>
      <c r="N18" s="45" t="n">
        <f aca="false">INDEX(Monthly!$C$43:$BJ$43,($R$2-1)*12+7)</f>
        <v>-26991.3593847863</v>
      </c>
      <c r="O18" s="45" t="n">
        <f aca="false">INDEX(Monthly!$C$43:$BJ$43,($R$2-1)*12+8)</f>
        <v>-30068.796060928</v>
      </c>
      <c r="P18" s="45" t="n">
        <f aca="false">INDEX(Monthly!$C$43:$BJ$43,($R$2-1)*12+9)</f>
        <v>-33115.5630662584</v>
      </c>
      <c r="Q18" s="45" t="n">
        <f aca="false">INDEX(Monthly!$C$43:$BJ$43,($R$2-1)*12+10)</f>
        <v>-36131.9655270464</v>
      </c>
      <c r="R18" s="45" t="n">
        <f aca="false">INDEX(Monthly!$C$43:$BJ$43,($R$2-1)*12+11)</f>
        <v>-39118.3055418547</v>
      </c>
      <c r="S18" s="45" t="n">
        <f aca="false">INDEX(Monthly!$C$43:$BJ$43,($R$2-1)*12+12)</f>
        <v>-42074.8822114638</v>
      </c>
    </row>
    <row r="19" customFormat="false" ht="15" hidden="false" customHeight="false" outlineLevel="0" collapsed="false">
      <c r="A19" s="35" t="s">
        <v>48</v>
      </c>
      <c r="B19" s="36" t="n">
        <f aca="false">'P&amp;L'!B22</f>
        <v>1140105.93034763</v>
      </c>
      <c r="C19" s="36" t="n">
        <f aca="false">'P&amp;L'!C22</f>
        <v>1737694.16931779</v>
      </c>
      <c r="D19" s="36" t="n">
        <f aca="false">'P&amp;L'!D22</f>
        <v>2562719.28249438</v>
      </c>
      <c r="E19" s="36" t="n">
        <f aca="false">'P&amp;L'!E22</f>
        <v>3736079.24868554</v>
      </c>
      <c r="F19" s="36" t="n">
        <f aca="false">'P&amp;L'!F22</f>
        <v>5289000.52628651</v>
      </c>
      <c r="H19" s="48" t="n">
        <f aca="false">INDEX(Monthly!$C$44:$BJ$44,($R$2-1)*12+1)</f>
        <v>29588.1333333333</v>
      </c>
      <c r="I19" s="48" t="n">
        <f aca="false">INDEX(Monthly!$C$44:$BJ$44,($R$2-1)*12+2)</f>
        <v>41882.1725833333</v>
      </c>
      <c r="J19" s="48" t="n">
        <f aca="false">INDEX(Monthly!$C$44:$BJ$44,($R$2-1)*12+3)</f>
        <v>54053.7026820833</v>
      </c>
      <c r="K19" s="48" t="n">
        <f aca="false">INDEX(Monthly!$C$44:$BJ$44,($R$2-1)*12+4)</f>
        <v>66103.9422524771</v>
      </c>
      <c r="L19" s="48" t="n">
        <f aca="false">INDEX(Monthly!$C$44:$BJ$44,($R$2-1)*12+5)</f>
        <v>78034.0978282088</v>
      </c>
      <c r="M19" s="48" t="n">
        <f aca="false">INDEX(Monthly!$C$44:$BJ$44,($R$2-1)*12+6)</f>
        <v>89845.3639732092</v>
      </c>
      <c r="N19" s="48" t="n">
        <f aca="false">INDEX(Monthly!$C$44:$BJ$44,($R$2-1)*12+7)</f>
        <v>101538.92339991</v>
      </c>
      <c r="O19" s="48" t="n">
        <f aca="false">INDEX(Monthly!$C$44:$BJ$44,($R$2-1)*12+8)</f>
        <v>113115.947086348</v>
      </c>
      <c r="P19" s="48" t="n">
        <f aca="false">INDEX(Monthly!$C$44:$BJ$44,($R$2-1)*12+9)</f>
        <v>124577.594392115</v>
      </c>
      <c r="Q19" s="48" t="n">
        <f aca="false">INDEX(Monthly!$C$44:$BJ$44,($R$2-1)*12+10)</f>
        <v>135925.013173174</v>
      </c>
      <c r="R19" s="48" t="n">
        <f aca="false">INDEX(Monthly!$C$44:$BJ$44,($R$2-1)*12+11)</f>
        <v>147159.339895549</v>
      </c>
      <c r="S19" s="48" t="n">
        <f aca="false">INDEX(Monthly!$C$44:$BJ$44,($R$2-1)*12+12)</f>
        <v>158281.699747888</v>
      </c>
    </row>
    <row r="20" customFormat="false" ht="15" hidden="false" customHeight="false" outlineLevel="0" collapsed="false">
      <c r="A20" s="33" t="s">
        <v>49</v>
      </c>
      <c r="B20" s="34" t="n">
        <f aca="false">'P&amp;L'!B23</f>
        <v>0.111591667466294</v>
      </c>
      <c r="C20" s="34" t="n">
        <f aca="false">'P&amp;L'!C23</f>
        <v>0.134223437562048</v>
      </c>
      <c r="D20" s="34" t="n">
        <f aca="false">'P&amp;L'!D23</f>
        <v>0.155802663578902</v>
      </c>
      <c r="E20" s="34" t="n">
        <f aca="false">'P&amp;L'!E23</f>
        <v>0.178358681051598</v>
      </c>
      <c r="F20" s="34" t="n">
        <f aca="false">'P&amp;L'!F23</f>
        <v>0.197849858644316</v>
      </c>
      <c r="H20" s="47" t="n">
        <f aca="false">IF(H7=0,0,H19/H7)</f>
        <v>0.0389958923668314</v>
      </c>
      <c r="I20" s="47" t="n">
        <f aca="false">IF(I7=0,0,I19/I7)</f>
        <v>0.0539605721525239</v>
      </c>
      <c r="J20" s="47" t="n">
        <f aca="false">IF(J7=0,0,J19/J7)</f>
        <v>0.0681291190686969</v>
      </c>
      <c r="K20" s="47" t="n">
        <f aca="false">IF(K7=0,0,K19/K7)</f>
        <v>0.081562794242703</v>
      </c>
      <c r="L20" s="47" t="n">
        <f aca="false">IF(L7=0,0,L19/L7)</f>
        <v>0.094316730998525</v>
      </c>
      <c r="M20" s="47" t="n">
        <f aca="false">IF(M7=0,0,M19/M7)</f>
        <v>0.106440682375197</v>
      </c>
      <c r="N20" s="47" t="n">
        <f aca="false">IF(N7=0,0,N19/N7)</f>
        <v>0.117979661825337</v>
      </c>
      <c r="O20" s="47" t="n">
        <f aca="false">IF(O7=0,0,O19/O7)</f>
        <v>0.128974494488094</v>
      </c>
      <c r="P20" s="47" t="n">
        <f aca="false">IF(P7=0,0,P19/P7)</f>
        <v>0.139462293267311</v>
      </c>
      <c r="Q20" s="47" t="n">
        <f aca="false">IF(Q7=0,0,Q19/Q7)</f>
        <v>0.1494768714151</v>
      </c>
      <c r="R20" s="47" t="n">
        <f aca="false">IF(R7=0,0,R19/R7)</f>
        <v>0.159049101285648</v>
      </c>
      <c r="S20" s="47" t="n">
        <f aca="false">IF(S7=0,0,S19/S7)</f>
        <v>0.168207227278576</v>
      </c>
    </row>
    <row r="22" customFormat="false" ht="15.75" hidden="false" customHeight="true" outlineLevel="0" collapsed="false">
      <c r="A22" s="7" t="s">
        <v>79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28"/>
      <c r="B23" s="29" t="str">
        <f aca="false">'P&amp;L'!B4</f>
        <v>Year 1</v>
      </c>
      <c r="C23" s="29" t="str">
        <f aca="false">'P&amp;L'!C4</f>
        <v>Year 2</v>
      </c>
      <c r="D23" s="29" t="str">
        <f aca="false">'P&amp;L'!D4</f>
        <v>Year 3</v>
      </c>
      <c r="E23" s="29" t="str">
        <f aca="false">'P&amp;L'!E4</f>
        <v>Year 4</v>
      </c>
      <c r="F23" s="29" t="str">
        <f aca="false">'P&amp;L'!F4</f>
        <v>Year 5</v>
      </c>
      <c r="H23" s="28" t="str">
        <f aca="false">INDEX(Monthly!$C$3:$BJ$3,($R$2-1)*12+1)</f>
        <v>M1</v>
      </c>
      <c r="I23" s="29" t="str">
        <f aca="false">INDEX(Monthly!$C$3:$BJ$3,($R$2-1)*12+2)</f>
        <v>M2</v>
      </c>
      <c r="J23" s="29" t="str">
        <f aca="false">INDEX(Monthly!$C$3:$BJ$3,($R$2-1)*12+3)</f>
        <v>M3</v>
      </c>
      <c r="K23" s="29" t="str">
        <f aca="false">INDEX(Monthly!$C$3:$BJ$3,($R$2-1)*12+4)</f>
        <v>M4</v>
      </c>
      <c r="L23" s="29" t="str">
        <f aca="false">INDEX(Monthly!$C$3:$BJ$3,($R$2-1)*12+5)</f>
        <v>M5</v>
      </c>
      <c r="M23" s="29" t="str">
        <f aca="false">INDEX(Monthly!$C$3:$BJ$3,($R$2-1)*12+6)</f>
        <v>M6</v>
      </c>
      <c r="N23" s="29" t="str">
        <f aca="false">INDEX(Monthly!$C$3:$BJ$3,($R$2-1)*12+7)</f>
        <v>M7</v>
      </c>
      <c r="O23" s="29" t="str">
        <f aca="false">INDEX(Monthly!$C$3:$BJ$3,($R$2-1)*12+8)</f>
        <v>M8</v>
      </c>
      <c r="P23" s="29" t="str">
        <f aca="false">INDEX(Monthly!$C$3:$BJ$3,($R$2-1)*12+9)</f>
        <v>M9</v>
      </c>
      <c r="Q23" s="29" t="str">
        <f aca="false">INDEX(Monthly!$C$3:$BJ$3,($R$2-1)*12+10)</f>
        <v>M10</v>
      </c>
      <c r="R23" s="29" t="str">
        <f aca="false">INDEX(Monthly!$C$3:$BJ$3,($R$2-1)*12+11)</f>
        <v>M11</v>
      </c>
      <c r="S23" s="29" t="str">
        <f aca="false">INDEX(Monthly!$C$3:$BJ$3,($R$2-1)*12+12)</f>
        <v>M12</v>
      </c>
    </row>
    <row r="24" customFormat="false" ht="15" hidden="false" customHeight="false" outlineLevel="0" collapsed="false">
      <c r="A24" s="31" t="s">
        <v>50</v>
      </c>
      <c r="B24" s="32" t="n">
        <f aca="false">'Cash Flow'!B11</f>
        <v>2273134.67176108</v>
      </c>
      <c r="C24" s="32" t="n">
        <f aca="false">'Cash Flow'!C11</f>
        <v>2078342.78005782</v>
      </c>
      <c r="D24" s="32" t="n">
        <f aca="false">'Cash Flow'!D11</f>
        <v>2985771.77532433</v>
      </c>
      <c r="E24" s="32" t="n">
        <f aca="false">'Cash Flow'!E11</f>
        <v>4215445.83856573</v>
      </c>
      <c r="F24" s="32" t="n">
        <f aca="false">'Cash Flow'!F11</f>
        <v>5905773.33988778</v>
      </c>
      <c r="H24" s="46" t="n">
        <f aca="false">INDEX(Monthly!$C$70:$BJ$70,($R$2-1)*12+1)</f>
        <v>910226.466666667</v>
      </c>
      <c r="I24" s="46" t="n">
        <f aca="false">INDEX(Monthly!$C$70:$BJ$70,($R$2-1)*12+2)</f>
        <v>65787.1809166666</v>
      </c>
      <c r="J24" s="46" t="n">
        <f aca="false">INDEX(Monthly!$C$70:$BJ$70,($R$2-1)*12+3)</f>
        <v>77760.7817237501</v>
      </c>
      <c r="K24" s="46" t="n">
        <f aca="false">INDEX(Monthly!$C$70:$BJ$70,($R$2-1)*12+4)</f>
        <v>89615.0794835188</v>
      </c>
      <c r="L24" s="46" t="n">
        <f aca="false">INDEX(Monthly!$C$70:$BJ$70,($R$2-1)*12+5)</f>
        <v>101351.260732035</v>
      </c>
      <c r="M24" s="46" t="n">
        <f aca="false">INDEX(Monthly!$C$70:$BJ$70,($R$2-1)*12+6)</f>
        <v>112970.500237415</v>
      </c>
      <c r="N24" s="46" t="n">
        <f aca="false">INDEX(Monthly!$C$70:$BJ$70,($R$2-1)*12+7)</f>
        <v>124473.961116051</v>
      </c>
      <c r="O24" s="46" t="n">
        <f aca="false">INDEX(Monthly!$C$70:$BJ$70,($R$2-1)*12+8)</f>
        <v>135862.794947686</v>
      </c>
      <c r="P24" s="46" t="n">
        <f aca="false">INDEX(Monthly!$C$70:$BJ$70,($R$2-1)*12+9)</f>
        <v>147138.141889363</v>
      </c>
      <c r="Q24" s="46" t="n">
        <f aca="false">INDEX(Monthly!$C$70:$BJ$70,($R$2-1)*12+10)</f>
        <v>158301.130788255</v>
      </c>
      <c r="R24" s="46" t="n">
        <f aca="false">INDEX(Monthly!$C$70:$BJ$70,($R$2-1)*12+11)</f>
        <v>169352.879293392</v>
      </c>
      <c r="S24" s="46" t="n">
        <f aca="false">INDEX(Monthly!$C$70:$BJ$70,($R$2-1)*12+12)</f>
        <v>180294.493966282</v>
      </c>
    </row>
    <row r="25" customFormat="false" ht="15" hidden="false" customHeight="false" outlineLevel="0" collapsed="false">
      <c r="A25" s="6" t="s">
        <v>80</v>
      </c>
      <c r="B25" s="30" t="n">
        <f aca="false">'Cash Flow'!B12</f>
        <v>-150000</v>
      </c>
      <c r="C25" s="30" t="n">
        <f aca="false">'Cash Flow'!C12</f>
        <v>0</v>
      </c>
      <c r="D25" s="30" t="n">
        <f aca="false">'Cash Flow'!D12</f>
        <v>0</v>
      </c>
      <c r="E25" s="30" t="n">
        <f aca="false">'Cash Flow'!E12</f>
        <v>0</v>
      </c>
      <c r="F25" s="30" t="n">
        <f aca="false">'Cash Flow'!F12</f>
        <v>0</v>
      </c>
      <c r="H25" s="45" t="n">
        <f aca="false">INDEX(Monthly!$C$71:$BJ$71,($R$2-1)*12+1)</f>
        <v>-150000</v>
      </c>
      <c r="I25" s="45" t="n">
        <f aca="false">INDEX(Monthly!$C$71:$BJ$71,($R$2-1)*12+2)</f>
        <v>-0</v>
      </c>
      <c r="J25" s="45" t="n">
        <f aca="false">INDEX(Monthly!$C$71:$BJ$71,($R$2-1)*12+3)</f>
        <v>-0</v>
      </c>
      <c r="K25" s="45" t="n">
        <f aca="false">INDEX(Monthly!$C$71:$BJ$71,($R$2-1)*12+4)</f>
        <v>-0</v>
      </c>
      <c r="L25" s="45" t="n">
        <f aca="false">INDEX(Monthly!$C$71:$BJ$71,($R$2-1)*12+5)</f>
        <v>-0</v>
      </c>
      <c r="M25" s="45" t="n">
        <f aca="false">INDEX(Monthly!$C$71:$BJ$71,($R$2-1)*12+6)</f>
        <v>-0</v>
      </c>
      <c r="N25" s="45" t="n">
        <f aca="false">INDEX(Monthly!$C$71:$BJ$71,($R$2-1)*12+7)</f>
        <v>-0</v>
      </c>
      <c r="O25" s="45" t="n">
        <f aca="false">INDEX(Monthly!$C$71:$BJ$71,($R$2-1)*12+8)</f>
        <v>-0</v>
      </c>
      <c r="P25" s="45" t="n">
        <f aca="false">INDEX(Monthly!$C$71:$BJ$71,($R$2-1)*12+9)</f>
        <v>-0</v>
      </c>
      <c r="Q25" s="45" t="n">
        <f aca="false">INDEX(Monthly!$C$71:$BJ$71,($R$2-1)*12+10)</f>
        <v>-0</v>
      </c>
      <c r="R25" s="45" t="n">
        <f aca="false">INDEX(Monthly!$C$71:$BJ$71,($R$2-1)*12+11)</f>
        <v>-0</v>
      </c>
      <c r="S25" s="45" t="n">
        <f aca="false">INDEX(Monthly!$C$71:$BJ$71,($R$2-1)*12+12)</f>
        <v>-0</v>
      </c>
    </row>
    <row r="26" customFormat="false" ht="15" hidden="false" customHeight="false" outlineLevel="0" collapsed="false">
      <c r="A26" s="6" t="s">
        <v>61</v>
      </c>
      <c r="B26" s="30" t="n">
        <f aca="false">'Cash Flow'!B13</f>
        <v>1000000</v>
      </c>
      <c r="C26" s="30" t="n">
        <f aca="false">'Cash Flow'!C13</f>
        <v>0</v>
      </c>
      <c r="D26" s="30" t="n">
        <f aca="false">'Cash Flow'!D13</f>
        <v>0</v>
      </c>
      <c r="E26" s="30" t="n">
        <f aca="false">'Cash Flow'!E13</f>
        <v>0</v>
      </c>
      <c r="F26" s="30" t="n">
        <f aca="false">'Cash Flow'!F13</f>
        <v>0</v>
      </c>
      <c r="H26" s="45" t="n">
        <f aca="false">INDEX(Monthly!$C$72:$BJ$72,($R$2-1)*12+1)</f>
        <v>1000000</v>
      </c>
      <c r="I26" s="45" t="n">
        <f aca="false">INDEX(Monthly!$C$72:$BJ$72,($R$2-1)*12+2)</f>
        <v>0</v>
      </c>
      <c r="J26" s="45" t="n">
        <f aca="false">INDEX(Monthly!$C$72:$BJ$72,($R$2-1)*12+3)</f>
        <v>0</v>
      </c>
      <c r="K26" s="45" t="n">
        <f aca="false">INDEX(Monthly!$C$72:$BJ$72,($R$2-1)*12+4)</f>
        <v>0</v>
      </c>
      <c r="L26" s="45" t="n">
        <f aca="false">INDEX(Monthly!$C$72:$BJ$72,($R$2-1)*12+5)</f>
        <v>0</v>
      </c>
      <c r="M26" s="45" t="n">
        <f aca="false">INDEX(Monthly!$C$72:$BJ$72,($R$2-1)*12+6)</f>
        <v>0</v>
      </c>
      <c r="N26" s="45" t="n">
        <f aca="false">INDEX(Monthly!$C$72:$BJ$72,($R$2-1)*12+7)</f>
        <v>0</v>
      </c>
      <c r="O26" s="45" t="n">
        <f aca="false">INDEX(Monthly!$C$72:$BJ$72,($R$2-1)*12+8)</f>
        <v>0</v>
      </c>
      <c r="P26" s="45" t="n">
        <f aca="false">INDEX(Monthly!$C$72:$BJ$72,($R$2-1)*12+9)</f>
        <v>0</v>
      </c>
      <c r="Q26" s="45" t="n">
        <f aca="false">INDEX(Monthly!$C$72:$BJ$72,($R$2-1)*12+10)</f>
        <v>0</v>
      </c>
      <c r="R26" s="45" t="n">
        <f aca="false">INDEX(Monthly!$C$72:$BJ$72,($R$2-1)*12+11)</f>
        <v>0</v>
      </c>
      <c r="S26" s="45" t="n">
        <f aca="false">INDEX(Monthly!$C$72:$BJ$72,($R$2-1)*12+12)</f>
        <v>0</v>
      </c>
    </row>
    <row r="27" customFormat="false" ht="15" hidden="false" customHeight="false" outlineLevel="0" collapsed="false">
      <c r="A27" s="6" t="s">
        <v>81</v>
      </c>
      <c r="B27" s="30" t="n">
        <f aca="false">'Cash Flow'!B14</f>
        <v>0</v>
      </c>
      <c r="C27" s="30" t="n">
        <f aca="false">'Cash Flow'!C14</f>
        <v>0</v>
      </c>
      <c r="D27" s="30" t="n">
        <f aca="false">'Cash Flow'!D14</f>
        <v>0</v>
      </c>
      <c r="E27" s="30" t="n">
        <f aca="false">'Cash Flow'!E14</f>
        <v>0</v>
      </c>
      <c r="F27" s="30" t="n">
        <f aca="false">'Cash Flow'!F14</f>
        <v>0</v>
      </c>
      <c r="H27" s="45" t="n">
        <f aca="false">INDEX(Monthly!$C$55:$BJ$55,($R$2-1)*12+1)</f>
        <v>0</v>
      </c>
      <c r="I27" s="45" t="n">
        <f aca="false">INDEX(Monthly!$C$55:$BJ$55,($R$2-1)*12+2)</f>
        <v>0</v>
      </c>
      <c r="J27" s="45" t="n">
        <f aca="false">INDEX(Monthly!$C$55:$BJ$55,($R$2-1)*12+3)</f>
        <v>0</v>
      </c>
      <c r="K27" s="45" t="n">
        <f aca="false">INDEX(Monthly!$C$55:$BJ$55,($R$2-1)*12+4)</f>
        <v>0</v>
      </c>
      <c r="L27" s="45" t="n">
        <f aca="false">INDEX(Monthly!$C$55:$BJ$55,($R$2-1)*12+5)</f>
        <v>0</v>
      </c>
      <c r="M27" s="45" t="n">
        <f aca="false">INDEX(Monthly!$C$55:$BJ$55,($R$2-1)*12+6)</f>
        <v>0</v>
      </c>
      <c r="N27" s="45" t="n">
        <f aca="false">INDEX(Monthly!$C$55:$BJ$55,($R$2-1)*12+7)</f>
        <v>0</v>
      </c>
      <c r="O27" s="45" t="n">
        <f aca="false">INDEX(Monthly!$C$55:$BJ$55,($R$2-1)*12+8)</f>
        <v>0</v>
      </c>
      <c r="P27" s="45" t="n">
        <f aca="false">INDEX(Monthly!$C$55:$BJ$55,($R$2-1)*12+9)</f>
        <v>0</v>
      </c>
      <c r="Q27" s="45" t="n">
        <f aca="false">INDEX(Monthly!$C$55:$BJ$55,($R$2-1)*12+10)</f>
        <v>0</v>
      </c>
      <c r="R27" s="45" t="n">
        <f aca="false">INDEX(Monthly!$C$55:$BJ$55,($R$2-1)*12+11)</f>
        <v>0</v>
      </c>
      <c r="S27" s="45" t="n">
        <f aca="false">INDEX(Monthly!$C$55:$BJ$55,($R$2-1)*12+12)</f>
        <v>0</v>
      </c>
    </row>
    <row r="28" customFormat="false" ht="15" hidden="false" customHeight="false" outlineLevel="0" collapsed="false">
      <c r="A28" s="6" t="s">
        <v>82</v>
      </c>
      <c r="B28" s="30" t="n">
        <f aca="false">'Cash Flow'!B15</f>
        <v>0</v>
      </c>
      <c r="C28" s="30" t="n">
        <f aca="false">'Cash Flow'!C15</f>
        <v>0</v>
      </c>
      <c r="D28" s="30" t="n">
        <f aca="false">'Cash Flow'!D15</f>
        <v>0</v>
      </c>
      <c r="E28" s="30" t="n">
        <f aca="false">'Cash Flow'!E15</f>
        <v>0</v>
      </c>
      <c r="F28" s="30" t="n">
        <f aca="false">'Cash Flow'!F15</f>
        <v>0</v>
      </c>
      <c r="H28" s="45" t="n">
        <f aca="false">INDEX(Monthly!$C$56:$BJ$56,($R$2-1)*12+1)</f>
        <v>-0</v>
      </c>
      <c r="I28" s="45" t="n">
        <f aca="false">INDEX(Monthly!$C$56:$BJ$56,($R$2-1)*12+2)</f>
        <v>-0</v>
      </c>
      <c r="J28" s="45" t="n">
        <f aca="false">INDEX(Monthly!$C$56:$BJ$56,($R$2-1)*12+3)</f>
        <v>-0</v>
      </c>
      <c r="K28" s="45" t="n">
        <f aca="false">INDEX(Monthly!$C$56:$BJ$56,($R$2-1)*12+4)</f>
        <v>-0</v>
      </c>
      <c r="L28" s="45" t="n">
        <f aca="false">INDEX(Monthly!$C$56:$BJ$56,($R$2-1)*12+5)</f>
        <v>-0</v>
      </c>
      <c r="M28" s="45" t="n">
        <f aca="false">INDEX(Monthly!$C$56:$BJ$56,($R$2-1)*12+6)</f>
        <v>-0</v>
      </c>
      <c r="N28" s="45" t="n">
        <f aca="false">INDEX(Monthly!$C$56:$BJ$56,($R$2-1)*12+7)</f>
        <v>-0</v>
      </c>
      <c r="O28" s="45" t="n">
        <f aca="false">INDEX(Monthly!$C$56:$BJ$56,($R$2-1)*12+8)</f>
        <v>-0</v>
      </c>
      <c r="P28" s="45" t="n">
        <f aca="false">INDEX(Monthly!$C$56:$BJ$56,($R$2-1)*12+9)</f>
        <v>-0</v>
      </c>
      <c r="Q28" s="45" t="n">
        <f aca="false">INDEX(Monthly!$C$56:$BJ$56,($R$2-1)*12+10)</f>
        <v>-0</v>
      </c>
      <c r="R28" s="45" t="n">
        <f aca="false">INDEX(Monthly!$C$56:$BJ$56,($R$2-1)*12+11)</f>
        <v>-0</v>
      </c>
      <c r="S28" s="45" t="n">
        <f aca="false">INDEX(Monthly!$C$56:$BJ$56,($R$2-1)*12+12)</f>
        <v>-0</v>
      </c>
    </row>
    <row r="29" customFormat="false" ht="15" hidden="false" customHeight="false" outlineLevel="0" collapsed="false">
      <c r="A29" s="31" t="s">
        <v>52</v>
      </c>
      <c r="B29" s="32" t="n">
        <f aca="false">'Cash Flow'!B16</f>
        <v>1000000</v>
      </c>
      <c r="C29" s="32" t="n">
        <f aca="false">'Cash Flow'!C16</f>
        <v>0</v>
      </c>
      <c r="D29" s="32" t="n">
        <f aca="false">'Cash Flow'!D16</f>
        <v>0</v>
      </c>
      <c r="E29" s="32" t="n">
        <f aca="false">'Cash Flow'!E16</f>
        <v>0</v>
      </c>
      <c r="F29" s="32" t="n">
        <f aca="false">'Cash Flow'!F16</f>
        <v>0</v>
      </c>
      <c r="H29" s="46" t="n">
        <f aca="false">INDEX(Monthly!$C$73:$BJ$73,($R$2-1)*12+1)</f>
        <v>1000000</v>
      </c>
      <c r="I29" s="46" t="n">
        <f aca="false">INDEX(Monthly!$C$73:$BJ$73,($R$2-1)*12+2)</f>
        <v>0</v>
      </c>
      <c r="J29" s="46" t="n">
        <f aca="false">INDEX(Monthly!$C$73:$BJ$73,($R$2-1)*12+3)</f>
        <v>0</v>
      </c>
      <c r="K29" s="46" t="n">
        <f aca="false">INDEX(Monthly!$C$73:$BJ$73,($R$2-1)*12+4)</f>
        <v>0</v>
      </c>
      <c r="L29" s="46" t="n">
        <f aca="false">INDEX(Monthly!$C$73:$BJ$73,($R$2-1)*12+5)</f>
        <v>0</v>
      </c>
      <c r="M29" s="46" t="n">
        <f aca="false">INDEX(Monthly!$C$73:$BJ$73,($R$2-1)*12+6)</f>
        <v>0</v>
      </c>
      <c r="N29" s="46" t="n">
        <f aca="false">INDEX(Monthly!$C$73:$BJ$73,($R$2-1)*12+7)</f>
        <v>0</v>
      </c>
      <c r="O29" s="46" t="n">
        <f aca="false">INDEX(Monthly!$C$73:$BJ$73,($R$2-1)*12+8)</f>
        <v>0</v>
      </c>
      <c r="P29" s="46" t="n">
        <f aca="false">INDEX(Monthly!$C$73:$BJ$73,($R$2-1)*12+9)</f>
        <v>0</v>
      </c>
      <c r="Q29" s="46" t="n">
        <f aca="false">INDEX(Monthly!$C$73:$BJ$73,($R$2-1)*12+10)</f>
        <v>0</v>
      </c>
      <c r="R29" s="46" t="n">
        <f aca="false">INDEX(Monthly!$C$73:$BJ$73,($R$2-1)*12+11)</f>
        <v>0</v>
      </c>
      <c r="S29" s="46" t="n">
        <f aca="false">INDEX(Monthly!$C$73:$BJ$73,($R$2-1)*12+12)</f>
        <v>0</v>
      </c>
    </row>
    <row r="30" customFormat="false" ht="15" hidden="false" customHeight="false" outlineLevel="0" collapsed="false">
      <c r="A30" s="31" t="s">
        <v>53</v>
      </c>
      <c r="B30" s="32" t="n">
        <f aca="false">'Cash Flow'!B17</f>
        <v>3123134.67176108</v>
      </c>
      <c r="C30" s="32" t="n">
        <f aca="false">'Cash Flow'!C17</f>
        <v>2078342.78005782</v>
      </c>
      <c r="D30" s="32" t="n">
        <f aca="false">'Cash Flow'!D17</f>
        <v>2985771.77532433</v>
      </c>
      <c r="E30" s="32" t="n">
        <f aca="false">'Cash Flow'!E17</f>
        <v>4215445.83856573</v>
      </c>
      <c r="F30" s="32" t="n">
        <f aca="false">'Cash Flow'!F17</f>
        <v>5905773.33988778</v>
      </c>
      <c r="H30" s="46" t="n">
        <f aca="false">INDEX(Monthly!$C$74:$BJ$74,($R$2-1)*12+1)</f>
        <v>1760226.46666667</v>
      </c>
      <c r="I30" s="46" t="n">
        <f aca="false">INDEX(Monthly!$C$74:$BJ$74,($R$2-1)*12+2)</f>
        <v>65787.1809166666</v>
      </c>
      <c r="J30" s="46" t="n">
        <f aca="false">INDEX(Monthly!$C$74:$BJ$74,($R$2-1)*12+3)</f>
        <v>77760.7817237501</v>
      </c>
      <c r="K30" s="46" t="n">
        <f aca="false">INDEX(Monthly!$C$74:$BJ$74,($R$2-1)*12+4)</f>
        <v>89615.0794835188</v>
      </c>
      <c r="L30" s="46" t="n">
        <f aca="false">INDEX(Monthly!$C$74:$BJ$74,($R$2-1)*12+5)</f>
        <v>101351.260732035</v>
      </c>
      <c r="M30" s="46" t="n">
        <f aca="false">INDEX(Monthly!$C$74:$BJ$74,($R$2-1)*12+6)</f>
        <v>112970.500237415</v>
      </c>
      <c r="N30" s="46" t="n">
        <f aca="false">INDEX(Monthly!$C$74:$BJ$74,($R$2-1)*12+7)</f>
        <v>124473.961116051</v>
      </c>
      <c r="O30" s="46" t="n">
        <f aca="false">INDEX(Monthly!$C$74:$BJ$74,($R$2-1)*12+8)</f>
        <v>135862.794947686</v>
      </c>
      <c r="P30" s="46" t="n">
        <f aca="false">INDEX(Monthly!$C$74:$BJ$74,($R$2-1)*12+9)</f>
        <v>147138.141889363</v>
      </c>
      <c r="Q30" s="46" t="n">
        <f aca="false">INDEX(Monthly!$C$74:$BJ$74,($R$2-1)*12+10)</f>
        <v>158301.130788255</v>
      </c>
      <c r="R30" s="46" t="n">
        <f aca="false">INDEX(Monthly!$C$74:$BJ$74,($R$2-1)*12+11)</f>
        <v>169352.879293392</v>
      </c>
      <c r="S30" s="46" t="n">
        <f aca="false">INDEX(Monthly!$C$74:$BJ$74,($R$2-1)*12+12)</f>
        <v>180294.493966282</v>
      </c>
    </row>
    <row r="31" customFormat="false" ht="15" hidden="false" customHeight="false" outlineLevel="0" collapsed="false">
      <c r="A31" s="35" t="s">
        <v>83</v>
      </c>
      <c r="B31" s="36" t="n">
        <f aca="false">'Cash Flow'!B19</f>
        <v>3123134.67176108</v>
      </c>
      <c r="C31" s="36" t="n">
        <f aca="false">'Cash Flow'!C19</f>
        <v>5201477.4518189</v>
      </c>
      <c r="D31" s="36" t="n">
        <f aca="false">'Cash Flow'!D19</f>
        <v>8187249.22714323</v>
      </c>
      <c r="E31" s="36" t="n">
        <f aca="false">'Cash Flow'!E19</f>
        <v>12402695.065709</v>
      </c>
      <c r="F31" s="36" t="n">
        <f aca="false">'Cash Flow'!F19</f>
        <v>18308468.4055967</v>
      </c>
      <c r="H31" s="48" t="n">
        <f aca="false">INDEX(Monthly!$C$76:$BJ$76,($R$2-1)*12+1)</f>
        <v>1760226.46666667</v>
      </c>
      <c r="I31" s="48" t="n">
        <f aca="false">INDEX(Monthly!$C$76:$BJ$76,($R$2-1)*12+2)</f>
        <v>1826013.64758333</v>
      </c>
      <c r="J31" s="48" t="n">
        <f aca="false">INDEX(Monthly!$C$76:$BJ$76,($R$2-1)*12+3)</f>
        <v>1903774.42930708</v>
      </c>
      <c r="K31" s="48" t="n">
        <f aca="false">INDEX(Monthly!$C$76:$BJ$76,($R$2-1)*12+4)</f>
        <v>1993389.5087906</v>
      </c>
      <c r="L31" s="48" t="n">
        <f aca="false">INDEX(Monthly!$C$76:$BJ$76,($R$2-1)*12+5)</f>
        <v>2094740.76952264</v>
      </c>
      <c r="M31" s="48" t="n">
        <f aca="false">INDEX(Monthly!$C$76:$BJ$76,($R$2-1)*12+6)</f>
        <v>2207711.26976005</v>
      </c>
      <c r="N31" s="48" t="n">
        <f aca="false">INDEX(Monthly!$C$76:$BJ$76,($R$2-1)*12+7)</f>
        <v>2332185.2308761</v>
      </c>
      <c r="O31" s="48" t="n">
        <f aca="false">INDEX(Monthly!$C$76:$BJ$76,($R$2-1)*12+8)</f>
        <v>2468048.02582379</v>
      </c>
      <c r="P31" s="48" t="n">
        <f aca="false">INDEX(Monthly!$C$76:$BJ$76,($R$2-1)*12+9)</f>
        <v>2615186.16771315</v>
      </c>
      <c r="Q31" s="48" t="n">
        <f aca="false">INDEX(Monthly!$C$76:$BJ$76,($R$2-1)*12+10)</f>
        <v>2773487.29850141</v>
      </c>
      <c r="R31" s="48" t="n">
        <f aca="false">INDEX(Monthly!$C$76:$BJ$76,($R$2-1)*12+11)</f>
        <v>2942840.1777948</v>
      </c>
      <c r="S31" s="48" t="n">
        <f aca="false">INDEX(Monthly!$C$76:$BJ$76,($R$2-1)*12+12)</f>
        <v>3123134.67176108</v>
      </c>
    </row>
    <row r="39" customFormat="false" ht="15.75" hidden="false" customHeight="true" outlineLevel="0" collapsed="false">
      <c r="A39" s="7" t="s">
        <v>84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28"/>
      <c r="B40" s="29" t="str">
        <f aca="false">'P&amp;L'!B4</f>
        <v>Year 1</v>
      </c>
      <c r="C40" s="29" t="str">
        <f aca="false">'P&amp;L'!C4</f>
        <v>Year 2</v>
      </c>
      <c r="D40" s="29" t="str">
        <f aca="false">'P&amp;L'!D4</f>
        <v>Year 3</v>
      </c>
      <c r="E40" s="29" t="str">
        <f aca="false">'P&amp;L'!E4</f>
        <v>Year 4</v>
      </c>
      <c r="F40" s="29" t="str">
        <f aca="false">'P&amp;L'!F4</f>
        <v>Year 5</v>
      </c>
      <c r="H40" s="28" t="str">
        <f aca="false">INDEX(Monthly!$C$3:$BJ$3,($R$2-1)*12+1)</f>
        <v>M1</v>
      </c>
      <c r="I40" s="29" t="str">
        <f aca="false">INDEX(Monthly!$C$3:$BJ$3,($R$2-1)*12+2)</f>
        <v>M2</v>
      </c>
      <c r="J40" s="29" t="str">
        <f aca="false">INDEX(Monthly!$C$3:$BJ$3,($R$2-1)*12+3)</f>
        <v>M3</v>
      </c>
      <c r="K40" s="29" t="str">
        <f aca="false">INDEX(Monthly!$C$3:$BJ$3,($R$2-1)*12+4)</f>
        <v>M4</v>
      </c>
      <c r="L40" s="29" t="str">
        <f aca="false">INDEX(Monthly!$C$3:$BJ$3,($R$2-1)*12+5)</f>
        <v>M5</v>
      </c>
      <c r="M40" s="29" t="str">
        <f aca="false">INDEX(Monthly!$C$3:$BJ$3,($R$2-1)*12+6)</f>
        <v>M6</v>
      </c>
      <c r="N40" s="29" t="str">
        <f aca="false">INDEX(Monthly!$C$3:$BJ$3,($R$2-1)*12+7)</f>
        <v>M7</v>
      </c>
      <c r="O40" s="29" t="str">
        <f aca="false">INDEX(Monthly!$C$3:$BJ$3,($R$2-1)*12+8)</f>
        <v>M8</v>
      </c>
      <c r="P40" s="29" t="str">
        <f aca="false">INDEX(Monthly!$C$3:$BJ$3,($R$2-1)*12+9)</f>
        <v>M9</v>
      </c>
      <c r="Q40" s="29" t="str">
        <f aca="false">INDEX(Monthly!$C$3:$BJ$3,($R$2-1)*12+10)</f>
        <v>M10</v>
      </c>
      <c r="R40" s="29" t="str">
        <f aca="false">INDEX(Monthly!$C$3:$BJ$3,($R$2-1)*12+11)</f>
        <v>M11</v>
      </c>
      <c r="S40" s="29" t="str">
        <f aca="false">INDEX(Monthly!$C$3:$BJ$3,($R$2-1)*12+12)</f>
        <v>M12</v>
      </c>
    </row>
    <row r="41" customFormat="false" ht="15" hidden="false" customHeight="false" outlineLevel="0" collapsed="false">
      <c r="A41" s="6" t="s">
        <v>85</v>
      </c>
      <c r="B41" s="30" t="n">
        <f aca="false">'Balance Sheet'!B5</f>
        <v>3123134.67176108</v>
      </c>
      <c r="C41" s="30" t="n">
        <f aca="false">'Balance Sheet'!C5</f>
        <v>5201477.4518189</v>
      </c>
      <c r="D41" s="30" t="n">
        <f aca="false">'Balance Sheet'!D5</f>
        <v>8187249.22714323</v>
      </c>
      <c r="E41" s="30" t="n">
        <f aca="false">'Balance Sheet'!E5</f>
        <v>12402695.065709</v>
      </c>
      <c r="F41" s="30" t="n">
        <f aca="false">'Balance Sheet'!F5</f>
        <v>18308468.4055967</v>
      </c>
      <c r="H41" s="45" t="n">
        <f aca="false">INDEX(Monthly!$C$76:$BJ$76,($R$2-1)*12+1)</f>
        <v>1760226.46666667</v>
      </c>
      <c r="I41" s="45" t="n">
        <f aca="false">INDEX(Monthly!$C$76:$BJ$76,($R$2-1)*12+2)</f>
        <v>1826013.64758333</v>
      </c>
      <c r="J41" s="45" t="n">
        <f aca="false">INDEX(Monthly!$C$76:$BJ$76,($R$2-1)*12+3)</f>
        <v>1903774.42930708</v>
      </c>
      <c r="K41" s="45" t="n">
        <f aca="false">INDEX(Monthly!$C$76:$BJ$76,($R$2-1)*12+4)</f>
        <v>1993389.5087906</v>
      </c>
      <c r="L41" s="45" t="n">
        <f aca="false">INDEX(Monthly!$C$76:$BJ$76,($R$2-1)*12+5)</f>
        <v>2094740.76952264</v>
      </c>
      <c r="M41" s="45" t="n">
        <f aca="false">INDEX(Monthly!$C$76:$BJ$76,($R$2-1)*12+6)</f>
        <v>2207711.26976005</v>
      </c>
      <c r="N41" s="45" t="n">
        <f aca="false">INDEX(Monthly!$C$76:$BJ$76,($R$2-1)*12+7)</f>
        <v>2332185.2308761</v>
      </c>
      <c r="O41" s="45" t="n">
        <f aca="false">INDEX(Monthly!$C$76:$BJ$76,($R$2-1)*12+8)</f>
        <v>2468048.02582379</v>
      </c>
      <c r="P41" s="45" t="n">
        <f aca="false">INDEX(Monthly!$C$76:$BJ$76,($R$2-1)*12+9)</f>
        <v>2615186.16771315</v>
      </c>
      <c r="Q41" s="45" t="n">
        <f aca="false">INDEX(Monthly!$C$76:$BJ$76,($R$2-1)*12+10)</f>
        <v>2773487.29850141</v>
      </c>
      <c r="R41" s="45" t="n">
        <f aca="false">INDEX(Monthly!$C$76:$BJ$76,($R$2-1)*12+11)</f>
        <v>2942840.1777948</v>
      </c>
      <c r="S41" s="45" t="n">
        <f aca="false">INDEX(Monthly!$C$76:$BJ$76,($R$2-1)*12+12)</f>
        <v>3123134.67176108</v>
      </c>
    </row>
    <row r="42" customFormat="false" ht="15" hidden="false" customHeight="false" outlineLevel="0" collapsed="false">
      <c r="A42" s="6" t="s">
        <v>86</v>
      </c>
      <c r="B42" s="30" t="n">
        <f aca="false">'Balance Sheet'!B6</f>
        <v>156832.044128668</v>
      </c>
      <c r="C42" s="30" t="n">
        <f aca="false">'Balance Sheet'!C6</f>
        <v>198958.677575867</v>
      </c>
      <c r="D42" s="30" t="n">
        <f aca="false">'Balance Sheet'!D6</f>
        <v>253031.662126865</v>
      </c>
      <c r="E42" s="30" t="n">
        <f aca="false">'Balance Sheet'!E6</f>
        <v>322519.091718249</v>
      </c>
      <c r="F42" s="30" t="n">
        <f aca="false">'Balance Sheet'!F6</f>
        <v>411930.953087554</v>
      </c>
      <c r="H42" s="45" t="n">
        <f aca="false">INDEX(Monthly!$C$60:$BJ$60,($R$2-1)*12+1)</f>
        <v>126458.333333333</v>
      </c>
      <c r="I42" s="45" t="n">
        <f aca="false">INDEX(Monthly!$C$60:$BJ$60,($R$2-1)*12+2)</f>
        <v>129360.416666667</v>
      </c>
      <c r="J42" s="45" t="n">
        <f aca="false">INDEX(Monthly!$C$60:$BJ$60,($R$2-1)*12+3)</f>
        <v>132233.479166667</v>
      </c>
      <c r="K42" s="45" t="n">
        <f aca="false">INDEX(Monthly!$C$60:$BJ$60,($R$2-1)*12+4)</f>
        <v>135077.811041667</v>
      </c>
      <c r="L42" s="45" t="n">
        <f aca="false">INDEX(Monthly!$C$60:$BJ$60,($R$2-1)*12+5)</f>
        <v>137893.699597917</v>
      </c>
      <c r="M42" s="45" t="n">
        <f aca="false">INDEX(Monthly!$C$60:$BJ$60,($R$2-1)*12+6)</f>
        <v>140681.429268604</v>
      </c>
      <c r="N42" s="45" t="n">
        <f aca="false">INDEX(Monthly!$C$60:$BJ$60,($R$2-1)*12+7)</f>
        <v>143441.281642585</v>
      </c>
      <c r="O42" s="45" t="n">
        <f aca="false">INDEX(Monthly!$C$60:$BJ$60,($R$2-1)*12+8)</f>
        <v>146173.535492826</v>
      </c>
      <c r="P42" s="45" t="n">
        <f aca="false">INDEX(Monthly!$C$60:$BJ$60,($R$2-1)*12+9)</f>
        <v>148878.466804564</v>
      </c>
      <c r="Q42" s="45" t="n">
        <f aca="false">INDEX(Monthly!$C$60:$BJ$60,($R$2-1)*12+10)</f>
        <v>151556.348803185</v>
      </c>
      <c r="R42" s="45" t="n">
        <f aca="false">INDEX(Monthly!$C$60:$BJ$60,($R$2-1)*12+11)</f>
        <v>154207.45198182</v>
      </c>
      <c r="S42" s="45" t="n">
        <f aca="false">INDEX(Monthly!$C$60:$BJ$60,($R$2-1)*12+12)</f>
        <v>156832.044128668</v>
      </c>
    </row>
    <row r="43" customFormat="false" ht="15" hidden="false" customHeight="false" outlineLevel="0" collapsed="false">
      <c r="A43" s="6" t="s">
        <v>87</v>
      </c>
      <c r="B43" s="30" t="n">
        <f aca="false">'Balance Sheet'!B7</f>
        <v>0</v>
      </c>
      <c r="C43" s="30" t="n">
        <f aca="false">'Balance Sheet'!C7</f>
        <v>0</v>
      </c>
      <c r="D43" s="30" t="n">
        <f aca="false">'Balance Sheet'!D7</f>
        <v>0</v>
      </c>
      <c r="E43" s="30" t="n">
        <f aca="false">'Balance Sheet'!E7</f>
        <v>0</v>
      </c>
      <c r="F43" s="30" t="n">
        <f aca="false">'Balance Sheet'!F7</f>
        <v>0</v>
      </c>
      <c r="H43" s="45" t="n">
        <f aca="false">INDEX(Monthly!$C$61:$BJ$61,($R$2-1)*12+1)</f>
        <v>0</v>
      </c>
      <c r="I43" s="45" t="n">
        <f aca="false">INDEX(Monthly!$C$61:$BJ$61,($R$2-1)*12+2)</f>
        <v>0</v>
      </c>
      <c r="J43" s="45" t="n">
        <f aca="false">INDEX(Monthly!$C$61:$BJ$61,($R$2-1)*12+3)</f>
        <v>0</v>
      </c>
      <c r="K43" s="45" t="n">
        <f aca="false">INDEX(Monthly!$C$61:$BJ$61,($R$2-1)*12+4)</f>
        <v>0</v>
      </c>
      <c r="L43" s="45" t="n">
        <f aca="false">INDEX(Monthly!$C$61:$BJ$61,($R$2-1)*12+5)</f>
        <v>0</v>
      </c>
      <c r="M43" s="45" t="n">
        <f aca="false">INDEX(Monthly!$C$61:$BJ$61,($R$2-1)*12+6)</f>
        <v>0</v>
      </c>
      <c r="N43" s="45" t="n">
        <f aca="false">INDEX(Monthly!$C$61:$BJ$61,($R$2-1)*12+7)</f>
        <v>0</v>
      </c>
      <c r="O43" s="45" t="n">
        <f aca="false">INDEX(Monthly!$C$61:$BJ$61,($R$2-1)*12+8)</f>
        <v>0</v>
      </c>
      <c r="P43" s="45" t="n">
        <f aca="false">INDEX(Monthly!$C$61:$BJ$61,($R$2-1)*12+9)</f>
        <v>0</v>
      </c>
      <c r="Q43" s="45" t="n">
        <f aca="false">INDEX(Monthly!$C$61:$BJ$61,($R$2-1)*12+10)</f>
        <v>0</v>
      </c>
      <c r="R43" s="45" t="n">
        <f aca="false">INDEX(Monthly!$C$61:$BJ$61,($R$2-1)*12+11)</f>
        <v>0</v>
      </c>
      <c r="S43" s="45" t="n">
        <f aca="false">INDEX(Monthly!$C$61:$BJ$61,($R$2-1)*12+12)</f>
        <v>0</v>
      </c>
    </row>
    <row r="44" customFormat="false" ht="15" hidden="false" customHeight="false" outlineLevel="0" collapsed="false">
      <c r="A44" s="6" t="s">
        <v>88</v>
      </c>
      <c r="B44" s="30" t="n">
        <f aca="false">'Balance Sheet'!B8</f>
        <v>100000</v>
      </c>
      <c r="C44" s="30" t="n">
        <f aca="false">'Balance Sheet'!C8</f>
        <v>50000</v>
      </c>
      <c r="D44" s="30" t="n">
        <f aca="false">'Balance Sheet'!D8</f>
        <v>0</v>
      </c>
      <c r="E44" s="30" t="n">
        <f aca="false">'Balance Sheet'!E8</f>
        <v>0</v>
      </c>
      <c r="F44" s="30" t="n">
        <f aca="false">'Balance Sheet'!F8</f>
        <v>0</v>
      </c>
      <c r="H44" s="45" t="n">
        <f aca="false">INDEX(Monthly!$C$51:$BJ$51,($R$2-1)*12+1)</f>
        <v>145833.333333333</v>
      </c>
      <c r="I44" s="45" t="n">
        <f aca="false">INDEX(Monthly!$C$51:$BJ$51,($R$2-1)*12+2)</f>
        <v>141666.666666667</v>
      </c>
      <c r="J44" s="45" t="n">
        <f aca="false">INDEX(Monthly!$C$51:$BJ$51,($R$2-1)*12+3)</f>
        <v>137500</v>
      </c>
      <c r="K44" s="45" t="n">
        <f aca="false">INDEX(Monthly!$C$51:$BJ$51,($R$2-1)*12+4)</f>
        <v>133333.333333333</v>
      </c>
      <c r="L44" s="45" t="n">
        <f aca="false">INDEX(Monthly!$C$51:$BJ$51,($R$2-1)*12+5)</f>
        <v>129166.666666667</v>
      </c>
      <c r="M44" s="45" t="n">
        <f aca="false">INDEX(Monthly!$C$51:$BJ$51,($R$2-1)*12+6)</f>
        <v>125000</v>
      </c>
      <c r="N44" s="45" t="n">
        <f aca="false">INDEX(Monthly!$C$51:$BJ$51,($R$2-1)*12+7)</f>
        <v>120833.333333333</v>
      </c>
      <c r="O44" s="45" t="n">
        <f aca="false">INDEX(Monthly!$C$51:$BJ$51,($R$2-1)*12+8)</f>
        <v>116666.666666667</v>
      </c>
      <c r="P44" s="45" t="n">
        <f aca="false">INDEX(Monthly!$C$51:$BJ$51,($R$2-1)*12+9)</f>
        <v>112500</v>
      </c>
      <c r="Q44" s="45" t="n">
        <f aca="false">INDEX(Monthly!$C$51:$BJ$51,($R$2-1)*12+10)</f>
        <v>108333.333333333</v>
      </c>
      <c r="R44" s="45" t="n">
        <f aca="false">INDEX(Monthly!$C$51:$BJ$51,($R$2-1)*12+11)</f>
        <v>104166.666666667</v>
      </c>
      <c r="S44" s="45" t="n">
        <f aca="false">INDEX(Monthly!$C$51:$BJ$51,($R$2-1)*12+12)</f>
        <v>100000</v>
      </c>
    </row>
    <row r="45" customFormat="false" ht="15" hidden="false" customHeight="false" outlineLevel="0" collapsed="false">
      <c r="A45" s="31" t="s">
        <v>89</v>
      </c>
      <c r="B45" s="32" t="n">
        <f aca="false">'Balance Sheet'!B9</f>
        <v>3379966.71588975</v>
      </c>
      <c r="C45" s="32" t="n">
        <f aca="false">'Balance Sheet'!C9</f>
        <v>5450436.12939477</v>
      </c>
      <c r="D45" s="32" t="n">
        <f aca="false">'Balance Sheet'!D9</f>
        <v>8440280.8892701</v>
      </c>
      <c r="E45" s="32" t="n">
        <f aca="false">'Balance Sheet'!E9</f>
        <v>12725214.1574272</v>
      </c>
      <c r="F45" s="32" t="n">
        <f aca="false">'Balance Sheet'!F9</f>
        <v>18720399.3586843</v>
      </c>
      <c r="H45" s="46" t="n">
        <f aca="false">INDEX(Monthly!$C$94:$BJ$94,($R$2-1)*12+1)</f>
        <v>2032518.13333333</v>
      </c>
      <c r="I45" s="46" t="n">
        <f aca="false">INDEX(Monthly!$C$94:$BJ$94,($R$2-1)*12+2)</f>
        <v>2097040.73091667</v>
      </c>
      <c r="J45" s="46" t="n">
        <f aca="false">INDEX(Monthly!$C$94:$BJ$94,($R$2-1)*12+3)</f>
        <v>2173507.90847375</v>
      </c>
      <c r="K45" s="46" t="n">
        <f aca="false">INDEX(Monthly!$C$94:$BJ$94,($R$2-1)*12+4)</f>
        <v>2261800.6531656</v>
      </c>
      <c r="L45" s="46" t="n">
        <f aca="false">INDEX(Monthly!$C$94:$BJ$94,($R$2-1)*12+5)</f>
        <v>2361801.13578722</v>
      </c>
      <c r="M45" s="46" t="n">
        <f aca="false">INDEX(Monthly!$C$94:$BJ$94,($R$2-1)*12+6)</f>
        <v>2473392.69902866</v>
      </c>
      <c r="N45" s="46" t="n">
        <f aca="false">INDEX(Monthly!$C$94:$BJ$94,($R$2-1)*12+7)</f>
        <v>2596459.84585202</v>
      </c>
      <c r="O45" s="46" t="n">
        <f aca="false">INDEX(Monthly!$C$94:$BJ$94,($R$2-1)*12+8)</f>
        <v>2730888.22798328</v>
      </c>
      <c r="P45" s="46" t="n">
        <f aca="false">INDEX(Monthly!$C$94:$BJ$94,($R$2-1)*12+9)</f>
        <v>2876564.63451772</v>
      </c>
      <c r="Q45" s="46" t="n">
        <f aca="false">INDEX(Monthly!$C$94:$BJ$94,($R$2-1)*12+10)</f>
        <v>3033376.98063793</v>
      </c>
      <c r="R45" s="46" t="n">
        <f aca="false">INDEX(Monthly!$C$94:$BJ$94,($R$2-1)*12+11)</f>
        <v>3201214.29644329</v>
      </c>
      <c r="S45" s="46" t="n">
        <f aca="false">INDEX(Monthly!$C$94:$BJ$94,($R$2-1)*12+12)</f>
        <v>3379966.71588975</v>
      </c>
    </row>
    <row r="46" customFormat="false" ht="15" hidden="false" customHeight="false" outlineLevel="0" collapsed="false">
      <c r="A46" s="6" t="s">
        <v>90</v>
      </c>
      <c r="B46" s="30" t="n">
        <f aca="false">'Balance Sheet'!B10</f>
        <v>101269.016145992</v>
      </c>
      <c r="C46" s="30" t="n">
        <f aca="false">'Balance Sheet'!C10</f>
        <v>128077.784743648</v>
      </c>
      <c r="D46" s="30" t="n">
        <f aca="false">'Balance Sheet'!D10</f>
        <v>162458.514506995</v>
      </c>
      <c r="E46" s="30" t="n">
        <f aca="false">'Balance Sheet'!E10</f>
        <v>206590.900063606</v>
      </c>
      <c r="F46" s="30" t="n">
        <f aca="false">'Balance Sheet'!F10</f>
        <v>263306.811102925</v>
      </c>
      <c r="H46" s="45" t="n">
        <f aca="false">INDEX(Monthly!$C$62:$BJ$62,($R$2-1)*12+1)</f>
        <v>81930</v>
      </c>
      <c r="I46" s="45" t="n">
        <f aca="false">INDEX(Monthly!$C$62:$BJ$62,($R$2-1)*12+2)</f>
        <v>83780.425</v>
      </c>
      <c r="J46" s="45" t="n">
        <f aca="false">INDEX(Monthly!$C$62:$BJ$62,($R$2-1)*12+3)</f>
        <v>85611.799875</v>
      </c>
      <c r="K46" s="45" t="n">
        <f aca="false">INDEX(Monthly!$C$62:$BJ$62,($R$2-1)*12+4)</f>
        <v>87424.323314375</v>
      </c>
      <c r="L46" s="45" t="n">
        <f aca="false">INDEX(Monthly!$C$62:$BJ$62,($R$2-1)*12+5)</f>
        <v>89218.1918977844</v>
      </c>
      <c r="M46" s="45" t="n">
        <f aca="false">INDEX(Monthly!$C$62:$BJ$62,($R$2-1)*12+6)</f>
        <v>90993.6001181114</v>
      </c>
      <c r="N46" s="45" t="n">
        <f aca="false">INDEX(Monthly!$C$62:$BJ$62,($R$2-1)*12+7)</f>
        <v>92750.7404041455</v>
      </c>
      <c r="O46" s="45" t="n">
        <f aca="false">INDEX(Monthly!$C$62:$BJ$62,($R$2-1)*12+8)</f>
        <v>94489.8031430111</v>
      </c>
      <c r="P46" s="45" t="n">
        <f aca="false">INDEX(Monthly!$C$62:$BJ$62,($R$2-1)*12+9)</f>
        <v>96210.9767023444</v>
      </c>
      <c r="Q46" s="45" t="n">
        <f aca="false">INDEX(Monthly!$C$62:$BJ$62,($R$2-1)*12+10)</f>
        <v>97914.4474522229</v>
      </c>
      <c r="R46" s="45" t="n">
        <f aca="false">INDEX(Monthly!$C$62:$BJ$62,($R$2-1)*12+11)</f>
        <v>99600.3997868491</v>
      </c>
      <c r="S46" s="45" t="n">
        <f aca="false">INDEX(Monthly!$C$62:$BJ$62,($R$2-1)*12+12)</f>
        <v>101269.016145992</v>
      </c>
    </row>
    <row r="47" customFormat="false" ht="15" hidden="false" customHeight="false" outlineLevel="0" collapsed="false">
      <c r="A47" s="6" t="s">
        <v>91</v>
      </c>
      <c r="B47" s="30" t="n">
        <f aca="false">'Balance Sheet'!B11</f>
        <v>1138591.76939613</v>
      </c>
      <c r="C47" s="30" t="n">
        <f aca="false">'Balance Sheet'!C11</f>
        <v>1444558.24498571</v>
      </c>
      <c r="D47" s="30" t="n">
        <f aca="false">'Balance Sheet'!D11</f>
        <v>1837302.99260331</v>
      </c>
      <c r="E47" s="30" t="n">
        <f aca="false">'Balance Sheet'!E11</f>
        <v>2342024.62651827</v>
      </c>
      <c r="F47" s="30" t="n">
        <f aca="false">'Balance Sheet'!F11</f>
        <v>2991493.39044952</v>
      </c>
      <c r="H47" s="45" t="n">
        <f aca="false">INDEX(Monthly!$C$66:$BJ$66,($R$2-1)*12+1)</f>
        <v>921000</v>
      </c>
      <c r="I47" s="45" t="n">
        <f aca="false">INDEX(Monthly!$C$66:$BJ$66,($R$2-1)*12+2)</f>
        <v>941790</v>
      </c>
      <c r="J47" s="45" t="n">
        <f aca="false">INDEX(Monthly!$C$66:$BJ$66,($R$2-1)*12+3)</f>
        <v>962372.1</v>
      </c>
      <c r="K47" s="45" t="n">
        <f aca="false">INDEX(Monthly!$C$66:$BJ$66,($R$2-1)*12+4)</f>
        <v>982748.379</v>
      </c>
      <c r="L47" s="45" t="n">
        <f aca="false">INDEX(Monthly!$C$66:$BJ$66,($R$2-1)*12+5)</f>
        <v>1002920.89521</v>
      </c>
      <c r="M47" s="45" t="n">
        <f aca="false">INDEX(Monthly!$C$66:$BJ$66,($R$2-1)*12+6)</f>
        <v>1022891.6862579</v>
      </c>
      <c r="N47" s="45" t="n">
        <f aca="false">INDEX(Monthly!$C$66:$BJ$66,($R$2-1)*12+7)</f>
        <v>1042662.76939532</v>
      </c>
      <c r="O47" s="45" t="n">
        <f aca="false">INDEX(Monthly!$C$66:$BJ$66,($R$2-1)*12+8)</f>
        <v>1062236.14170137</v>
      </c>
      <c r="P47" s="45" t="n">
        <f aca="false">INDEX(Monthly!$C$66:$BJ$66,($R$2-1)*12+9)</f>
        <v>1081613.78028435</v>
      </c>
      <c r="Q47" s="45" t="n">
        <f aca="false">INDEX(Monthly!$C$66:$BJ$66,($R$2-1)*12+10)</f>
        <v>1100797.64248151</v>
      </c>
      <c r="R47" s="45" t="n">
        <f aca="false">INDEX(Monthly!$C$66:$BJ$66,($R$2-1)*12+11)</f>
        <v>1119789.6660567</v>
      </c>
      <c r="S47" s="45" t="n">
        <f aca="false">INDEX(Monthly!$C$66:$BJ$66,($R$2-1)*12+12)</f>
        <v>1138591.76939613</v>
      </c>
    </row>
    <row r="48" customFormat="false" ht="15" hidden="false" customHeight="false" outlineLevel="0" collapsed="false">
      <c r="A48" s="6" t="s">
        <v>92</v>
      </c>
      <c r="B48" s="30" t="n">
        <f aca="false">'Balance Sheet'!B12</f>
        <v>0</v>
      </c>
      <c r="C48" s="30" t="n">
        <f aca="false">'Balance Sheet'!C12</f>
        <v>0</v>
      </c>
      <c r="D48" s="30" t="n">
        <f aca="false">'Balance Sheet'!D12</f>
        <v>0</v>
      </c>
      <c r="E48" s="30" t="n">
        <f aca="false">'Balance Sheet'!E12</f>
        <v>0</v>
      </c>
      <c r="F48" s="30" t="n">
        <f aca="false">'Balance Sheet'!F12</f>
        <v>0</v>
      </c>
      <c r="H48" s="45" t="n">
        <f aca="false">INDEX(Monthly!$C$57:$BJ$57,($R$2-1)*12+1)</f>
        <v>0</v>
      </c>
      <c r="I48" s="45" t="n">
        <f aca="false">INDEX(Monthly!$C$57:$BJ$57,($R$2-1)*12+2)</f>
        <v>0</v>
      </c>
      <c r="J48" s="45" t="n">
        <f aca="false">INDEX(Monthly!$C$57:$BJ$57,($R$2-1)*12+3)</f>
        <v>0</v>
      </c>
      <c r="K48" s="45" t="n">
        <f aca="false">INDEX(Monthly!$C$57:$BJ$57,($R$2-1)*12+4)</f>
        <v>0</v>
      </c>
      <c r="L48" s="45" t="n">
        <f aca="false">INDEX(Monthly!$C$57:$BJ$57,($R$2-1)*12+5)</f>
        <v>0</v>
      </c>
      <c r="M48" s="45" t="n">
        <f aca="false">INDEX(Monthly!$C$57:$BJ$57,($R$2-1)*12+6)</f>
        <v>0</v>
      </c>
      <c r="N48" s="45" t="n">
        <f aca="false">INDEX(Monthly!$C$57:$BJ$57,($R$2-1)*12+7)</f>
        <v>0</v>
      </c>
      <c r="O48" s="45" t="n">
        <f aca="false">INDEX(Monthly!$C$57:$BJ$57,($R$2-1)*12+8)</f>
        <v>0</v>
      </c>
      <c r="P48" s="45" t="n">
        <f aca="false">INDEX(Monthly!$C$57:$BJ$57,($R$2-1)*12+9)</f>
        <v>0</v>
      </c>
      <c r="Q48" s="45" t="n">
        <f aca="false">INDEX(Monthly!$C$57:$BJ$57,($R$2-1)*12+10)</f>
        <v>0</v>
      </c>
      <c r="R48" s="45" t="n">
        <f aca="false">INDEX(Monthly!$C$57:$BJ$57,($R$2-1)*12+11)</f>
        <v>0</v>
      </c>
      <c r="S48" s="45" t="n">
        <f aca="false">INDEX(Monthly!$C$57:$BJ$57,($R$2-1)*12+12)</f>
        <v>0</v>
      </c>
    </row>
    <row r="49" customFormat="false" ht="15" hidden="false" customHeight="false" outlineLevel="0" collapsed="false">
      <c r="A49" s="31" t="s">
        <v>93</v>
      </c>
      <c r="B49" s="32" t="n">
        <f aca="false">'Balance Sheet'!B13</f>
        <v>1239860.78554212</v>
      </c>
      <c r="C49" s="32" t="n">
        <f aca="false">'Balance Sheet'!C13</f>
        <v>1572636.02972936</v>
      </c>
      <c r="D49" s="32" t="n">
        <f aca="false">'Balance Sheet'!D13</f>
        <v>1999761.5071103</v>
      </c>
      <c r="E49" s="32" t="n">
        <f aca="false">'Balance Sheet'!E13</f>
        <v>2548615.52658187</v>
      </c>
      <c r="F49" s="32" t="n">
        <f aca="false">'Balance Sheet'!F13</f>
        <v>3254800.20155245</v>
      </c>
      <c r="H49" s="46" t="n">
        <f aca="false">INDEX(Monthly!$C$95:$BJ$95,($R$2-1)*12+1)</f>
        <v>1002930</v>
      </c>
      <c r="I49" s="46" t="n">
        <f aca="false">INDEX(Monthly!$C$95:$BJ$95,($R$2-1)*12+2)</f>
        <v>1025570.425</v>
      </c>
      <c r="J49" s="46" t="n">
        <f aca="false">INDEX(Monthly!$C$95:$BJ$95,($R$2-1)*12+3)</f>
        <v>1047983.899875</v>
      </c>
      <c r="K49" s="46" t="n">
        <f aca="false">INDEX(Monthly!$C$95:$BJ$95,($R$2-1)*12+4)</f>
        <v>1070172.70231438</v>
      </c>
      <c r="L49" s="46" t="n">
        <f aca="false">INDEX(Monthly!$C$95:$BJ$95,($R$2-1)*12+5)</f>
        <v>1092139.08710778</v>
      </c>
      <c r="M49" s="46" t="n">
        <f aca="false">INDEX(Monthly!$C$95:$BJ$95,($R$2-1)*12+6)</f>
        <v>1113885.28637601</v>
      </c>
      <c r="N49" s="46" t="n">
        <f aca="false">INDEX(Monthly!$C$95:$BJ$95,($R$2-1)*12+7)</f>
        <v>1135413.50979947</v>
      </c>
      <c r="O49" s="46" t="n">
        <f aca="false">INDEX(Monthly!$C$95:$BJ$95,($R$2-1)*12+8)</f>
        <v>1156725.94484438</v>
      </c>
      <c r="P49" s="46" t="n">
        <f aca="false">INDEX(Monthly!$C$95:$BJ$95,($R$2-1)*12+9)</f>
        <v>1177824.7569867</v>
      </c>
      <c r="Q49" s="46" t="n">
        <f aca="false">INDEX(Monthly!$C$95:$BJ$95,($R$2-1)*12+10)</f>
        <v>1198712.08993373</v>
      </c>
      <c r="R49" s="46" t="n">
        <f aca="false">INDEX(Monthly!$C$95:$BJ$95,($R$2-1)*12+11)</f>
        <v>1219390.06584354</v>
      </c>
      <c r="S49" s="46" t="n">
        <f aca="false">INDEX(Monthly!$C$95:$BJ$95,($R$2-1)*12+12)</f>
        <v>1239860.78554212</v>
      </c>
    </row>
    <row r="50" customFormat="false" ht="15" hidden="false" customHeight="false" outlineLevel="0" collapsed="false">
      <c r="A50" s="6" t="s">
        <v>94</v>
      </c>
      <c r="B50" s="30" t="n">
        <f aca="false">'Balance Sheet'!B14</f>
        <v>1000000</v>
      </c>
      <c r="C50" s="30" t="n">
        <f aca="false">'Balance Sheet'!C14</f>
        <v>1000000</v>
      </c>
      <c r="D50" s="30" t="n">
        <f aca="false">'Balance Sheet'!D14</f>
        <v>1000000</v>
      </c>
      <c r="E50" s="30" t="n">
        <f aca="false">'Balance Sheet'!E14</f>
        <v>1000000</v>
      </c>
      <c r="F50" s="30" t="n">
        <f aca="false">'Balance Sheet'!F14</f>
        <v>1000000</v>
      </c>
      <c r="H50" s="45" t="n">
        <f aca="false">INDEX(Monthly!$C$92:$BJ$92,($R$2-1)*12+1)</f>
        <v>1000000</v>
      </c>
      <c r="I50" s="45" t="n">
        <f aca="false">INDEX(Monthly!$C$92:$BJ$92,($R$2-1)*12+2)</f>
        <v>1000000</v>
      </c>
      <c r="J50" s="45" t="n">
        <f aca="false">INDEX(Monthly!$C$92:$BJ$92,($R$2-1)*12+3)</f>
        <v>1000000</v>
      </c>
      <c r="K50" s="45" t="n">
        <f aca="false">INDEX(Monthly!$C$92:$BJ$92,($R$2-1)*12+4)</f>
        <v>1000000</v>
      </c>
      <c r="L50" s="45" t="n">
        <f aca="false">INDEX(Monthly!$C$92:$BJ$92,($R$2-1)*12+5)</f>
        <v>1000000</v>
      </c>
      <c r="M50" s="45" t="n">
        <f aca="false">INDEX(Monthly!$C$92:$BJ$92,($R$2-1)*12+6)</f>
        <v>1000000</v>
      </c>
      <c r="N50" s="45" t="n">
        <f aca="false">INDEX(Monthly!$C$92:$BJ$92,($R$2-1)*12+7)</f>
        <v>1000000</v>
      </c>
      <c r="O50" s="45" t="n">
        <f aca="false">INDEX(Monthly!$C$92:$BJ$92,($R$2-1)*12+8)</f>
        <v>1000000</v>
      </c>
      <c r="P50" s="45" t="n">
        <f aca="false">INDEX(Monthly!$C$92:$BJ$92,($R$2-1)*12+9)</f>
        <v>1000000</v>
      </c>
      <c r="Q50" s="45" t="n">
        <f aca="false">INDEX(Monthly!$C$92:$BJ$92,($R$2-1)*12+10)</f>
        <v>1000000</v>
      </c>
      <c r="R50" s="45" t="n">
        <f aca="false">INDEX(Monthly!$C$92:$BJ$92,($R$2-1)*12+11)</f>
        <v>1000000</v>
      </c>
      <c r="S50" s="45" t="n">
        <f aca="false">INDEX(Monthly!$C$92:$BJ$92,($R$2-1)*12+12)</f>
        <v>1000000</v>
      </c>
    </row>
    <row r="51" customFormat="false" ht="15" hidden="false" customHeight="false" outlineLevel="0" collapsed="false">
      <c r="A51" s="6" t="s">
        <v>95</v>
      </c>
      <c r="B51" s="30" t="n">
        <f aca="false">'Balance Sheet'!B15</f>
        <v>1140105.93034763</v>
      </c>
      <c r="C51" s="30" t="n">
        <f aca="false">'Balance Sheet'!C15</f>
        <v>2877800.09966542</v>
      </c>
      <c r="D51" s="30" t="n">
        <f aca="false">'Balance Sheet'!D15</f>
        <v>5440519.38215979</v>
      </c>
      <c r="E51" s="30" t="n">
        <f aca="false">'Balance Sheet'!E15</f>
        <v>9176598.63084533</v>
      </c>
      <c r="F51" s="30" t="n">
        <f aca="false">'Balance Sheet'!F15</f>
        <v>14465599.1571318</v>
      </c>
      <c r="H51" s="45" t="n">
        <f aca="false">INDEX(Monthly!$C$93:$BJ$93,($R$2-1)*12+1)</f>
        <v>29588.1333333333</v>
      </c>
      <c r="I51" s="45" t="n">
        <f aca="false">INDEX(Monthly!$C$93:$BJ$93,($R$2-1)*12+2)</f>
        <v>71470.3059166666</v>
      </c>
      <c r="J51" s="45" t="n">
        <f aca="false">INDEX(Monthly!$C$93:$BJ$93,($R$2-1)*12+3)</f>
        <v>125524.00859875</v>
      </c>
      <c r="K51" s="45" t="n">
        <f aca="false">INDEX(Monthly!$C$93:$BJ$93,($R$2-1)*12+4)</f>
        <v>191627.950851227</v>
      </c>
      <c r="L51" s="45" t="n">
        <f aca="false">INDEX(Monthly!$C$93:$BJ$93,($R$2-1)*12+5)</f>
        <v>269662.048679436</v>
      </c>
      <c r="M51" s="45" t="n">
        <f aca="false">INDEX(Monthly!$C$93:$BJ$93,($R$2-1)*12+6)</f>
        <v>359507.412652645</v>
      </c>
      <c r="N51" s="45" t="n">
        <f aca="false">INDEX(Monthly!$C$93:$BJ$93,($R$2-1)*12+7)</f>
        <v>461046.336052555</v>
      </c>
      <c r="O51" s="45" t="n">
        <f aca="false">INDEX(Monthly!$C$93:$BJ$93,($R$2-1)*12+8)</f>
        <v>574162.283138903</v>
      </c>
      <c r="P51" s="45" t="n">
        <f aca="false">INDEX(Monthly!$C$93:$BJ$93,($R$2-1)*12+9)</f>
        <v>698739.877531018</v>
      </c>
      <c r="Q51" s="45" t="n">
        <f aca="false">INDEX(Monthly!$C$93:$BJ$93,($R$2-1)*12+10)</f>
        <v>834664.890704193</v>
      </c>
      <c r="R51" s="45" t="n">
        <f aca="false">INDEX(Monthly!$C$93:$BJ$93,($R$2-1)*12+11)</f>
        <v>981824.230599741</v>
      </c>
      <c r="S51" s="45" t="n">
        <f aca="false">INDEX(Monthly!$C$93:$BJ$93,($R$2-1)*12+12)</f>
        <v>1140105.93034763</v>
      </c>
    </row>
    <row r="52" customFormat="false" ht="15" hidden="false" customHeight="false" outlineLevel="0" collapsed="false">
      <c r="A52" s="31" t="s">
        <v>96</v>
      </c>
      <c r="B52" s="32" t="n">
        <f aca="false">'Balance Sheet'!B16</f>
        <v>2140105.93034763</v>
      </c>
      <c r="C52" s="32" t="n">
        <f aca="false">'Balance Sheet'!C16</f>
        <v>3877800.09966542</v>
      </c>
      <c r="D52" s="32" t="n">
        <f aca="false">'Balance Sheet'!D16</f>
        <v>6440519.38215979</v>
      </c>
      <c r="E52" s="32" t="n">
        <f aca="false">'Balance Sheet'!E16</f>
        <v>10176598.6308453</v>
      </c>
      <c r="F52" s="32" t="n">
        <f aca="false">'Balance Sheet'!F16</f>
        <v>15465599.1571318</v>
      </c>
      <c r="H52" s="46" t="n">
        <f aca="false">INDEX(Monthly!$C$96:$BJ$96,($R$2-1)*12+1)</f>
        <v>1029588.13333333</v>
      </c>
      <c r="I52" s="46" t="n">
        <f aca="false">INDEX(Monthly!$C$96:$BJ$96,($R$2-1)*12+2)</f>
        <v>1071470.30591667</v>
      </c>
      <c r="J52" s="46" t="n">
        <f aca="false">INDEX(Monthly!$C$96:$BJ$96,($R$2-1)*12+3)</f>
        <v>1125524.00859875</v>
      </c>
      <c r="K52" s="46" t="n">
        <f aca="false">INDEX(Monthly!$C$96:$BJ$96,($R$2-1)*12+4)</f>
        <v>1191627.95085123</v>
      </c>
      <c r="L52" s="46" t="n">
        <f aca="false">INDEX(Monthly!$C$96:$BJ$96,($R$2-1)*12+5)</f>
        <v>1269662.04867944</v>
      </c>
      <c r="M52" s="46" t="n">
        <f aca="false">INDEX(Monthly!$C$96:$BJ$96,($R$2-1)*12+6)</f>
        <v>1359507.41265264</v>
      </c>
      <c r="N52" s="46" t="n">
        <f aca="false">INDEX(Monthly!$C$96:$BJ$96,($R$2-1)*12+7)</f>
        <v>1461046.33605256</v>
      </c>
      <c r="O52" s="46" t="n">
        <f aca="false">INDEX(Monthly!$C$96:$BJ$96,($R$2-1)*12+8)</f>
        <v>1574162.2831389</v>
      </c>
      <c r="P52" s="46" t="n">
        <f aca="false">INDEX(Monthly!$C$96:$BJ$96,($R$2-1)*12+9)</f>
        <v>1698739.87753102</v>
      </c>
      <c r="Q52" s="46" t="n">
        <f aca="false">INDEX(Monthly!$C$96:$BJ$96,($R$2-1)*12+10)</f>
        <v>1834664.89070419</v>
      </c>
      <c r="R52" s="46" t="n">
        <f aca="false">INDEX(Monthly!$C$96:$BJ$96,($R$2-1)*12+11)</f>
        <v>1981824.23059974</v>
      </c>
      <c r="S52" s="46" t="n">
        <f aca="false">INDEX(Monthly!$C$96:$BJ$96,($R$2-1)*12+12)</f>
        <v>2140105.93034763</v>
      </c>
    </row>
    <row r="53" customFormat="false" ht="15" hidden="false" customHeight="false" outlineLevel="0" collapsed="false">
      <c r="A53" s="35" t="s">
        <v>97</v>
      </c>
      <c r="B53" s="36" t="n">
        <f aca="false">'Balance Sheet'!B17</f>
        <v>3379966.71588975</v>
      </c>
      <c r="C53" s="36" t="n">
        <f aca="false">'Balance Sheet'!C17</f>
        <v>5450436.12939477</v>
      </c>
      <c r="D53" s="36" t="n">
        <f aca="false">'Balance Sheet'!D17</f>
        <v>8440280.8892701</v>
      </c>
      <c r="E53" s="36" t="n">
        <f aca="false">'Balance Sheet'!E17</f>
        <v>12725214.1574272</v>
      </c>
      <c r="F53" s="36" t="n">
        <f aca="false">'Balance Sheet'!F17</f>
        <v>18720399.3586843</v>
      </c>
      <c r="H53" s="48" t="n">
        <f aca="false">INDEX(Monthly!$C$97:$BJ$97,($R$2-1)*12+1)</f>
        <v>2032518.13333333</v>
      </c>
      <c r="I53" s="48" t="n">
        <f aca="false">INDEX(Monthly!$C$97:$BJ$97,($R$2-1)*12+2)</f>
        <v>2097040.73091667</v>
      </c>
      <c r="J53" s="48" t="n">
        <f aca="false">INDEX(Monthly!$C$97:$BJ$97,($R$2-1)*12+3)</f>
        <v>2173507.90847375</v>
      </c>
      <c r="K53" s="48" t="n">
        <f aca="false">INDEX(Monthly!$C$97:$BJ$97,($R$2-1)*12+4)</f>
        <v>2261800.6531656</v>
      </c>
      <c r="L53" s="48" t="n">
        <f aca="false">INDEX(Monthly!$C$97:$BJ$97,($R$2-1)*12+5)</f>
        <v>2361801.13578722</v>
      </c>
      <c r="M53" s="48" t="n">
        <f aca="false">INDEX(Monthly!$C$97:$BJ$97,($R$2-1)*12+6)</f>
        <v>2473392.69902866</v>
      </c>
      <c r="N53" s="48" t="n">
        <f aca="false">INDEX(Monthly!$C$97:$BJ$97,($R$2-1)*12+7)</f>
        <v>2596459.84585202</v>
      </c>
      <c r="O53" s="48" t="n">
        <f aca="false">INDEX(Monthly!$C$97:$BJ$97,($R$2-1)*12+8)</f>
        <v>2730888.22798328</v>
      </c>
      <c r="P53" s="48" t="n">
        <f aca="false">INDEX(Monthly!$C$97:$BJ$97,($R$2-1)*12+9)</f>
        <v>2876564.63451772</v>
      </c>
      <c r="Q53" s="48" t="n">
        <f aca="false">INDEX(Monthly!$C$97:$BJ$97,($R$2-1)*12+10)</f>
        <v>3033376.98063793</v>
      </c>
      <c r="R53" s="48" t="n">
        <f aca="false">INDEX(Monthly!$C$97:$BJ$97,($R$2-1)*12+11)</f>
        <v>3201214.29644329</v>
      </c>
      <c r="S53" s="48" t="n">
        <f aca="false">INDEX(Monthly!$C$97:$BJ$97,($R$2-1)*12+12)</f>
        <v>3379966.71588975</v>
      </c>
    </row>
  </sheetData>
  <mergeCells count="1">
    <mergeCell ref="R2:S2"/>
  </mergeCells>
  <dataValidations count="1">
    <dataValidation allowBlank="false" errorStyle="stop" operator="between" prompt="Pick the year shown month by month on the right" promptTitle="Detailed year" showDropDown="false" showErrorMessage="fals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3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7" t="s">
        <v>98</v>
      </c>
      <c r="I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0</v>
      </c>
    </row>
    <row r="3" customFormat="false" ht="15" hidden="false" customHeight="false" outlineLevel="0" collapsed="false">
      <c r="A3" s="16" t="s">
        <v>99</v>
      </c>
    </row>
    <row r="5" customFormat="false" ht="15.75" hidden="false" customHeight="true" outlineLevel="0" collapsed="false">
      <c r="A5" s="7" t="s">
        <v>100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28" t="s">
        <v>101</v>
      </c>
      <c r="B6" s="29" t="s">
        <v>102</v>
      </c>
      <c r="C6" s="29" t="s">
        <v>103</v>
      </c>
      <c r="D6" s="29" t="s">
        <v>104</v>
      </c>
      <c r="E6" s="29" t="s">
        <v>105</v>
      </c>
      <c r="F6" s="29" t="s">
        <v>106</v>
      </c>
    </row>
    <row r="7" customFormat="false" ht="15" hidden="false" customHeight="false" outlineLevel="0" collapsed="false">
      <c r="A7" s="49" t="str">
        <f aca="false">Inputs!A8</f>
        <v>Average MRR per new customer (ARPA)</v>
      </c>
      <c r="B7" s="50" t="n">
        <f aca="false">Inputs!B8</f>
        <v>230</v>
      </c>
      <c r="C7" s="50" t="n">
        <f aca="false">Inputs!C8</f>
        <v>250</v>
      </c>
      <c r="D7" s="50" t="n">
        <f aca="false">Inputs!D8</f>
        <v>270</v>
      </c>
      <c r="E7" s="51" t="n">
        <f aca="false">Inputs!E8</f>
        <v>250</v>
      </c>
      <c r="F7" s="33" t="str">
        <f aca="false">Inputs!F8</f>
        <v>$ / month</v>
      </c>
    </row>
    <row r="8" customFormat="false" ht="15" hidden="false" customHeight="false" outlineLevel="0" collapsed="false">
      <c r="A8" s="49" t="str">
        <f aca="false">Inputs!A10</f>
        <v>Customer churn per month</v>
      </c>
      <c r="B8" s="52" t="n">
        <f aca="false">Inputs!B10</f>
        <v>0.02</v>
      </c>
      <c r="C8" s="52" t="n">
        <f aca="false">Inputs!C10</f>
        <v>0.015</v>
      </c>
      <c r="D8" s="52" t="n">
        <f aca="false">Inputs!D10</f>
        <v>0.01</v>
      </c>
      <c r="E8" s="53" t="n">
        <f aca="false">Inputs!E10</f>
        <v>0.015</v>
      </c>
      <c r="F8" s="33" t="str">
        <f aca="false">Inputs!F10</f>
        <v>%</v>
      </c>
    </row>
    <row r="9" customFormat="false" ht="15" hidden="false" customHeight="false" outlineLevel="0" collapsed="false">
      <c r="A9" s="49" t="str">
        <f aca="false">Inputs!A12</f>
        <v>Organic / referral new customers per month (year 1)</v>
      </c>
      <c r="B9" s="50" t="n">
        <f aca="false">Inputs!B12</f>
        <v>30</v>
      </c>
      <c r="C9" s="50" t="n">
        <f aca="false">Inputs!C12</f>
        <v>40</v>
      </c>
      <c r="D9" s="50" t="n">
        <f aca="false">Inputs!D12</f>
        <v>50</v>
      </c>
      <c r="E9" s="51" t="n">
        <f aca="false">Inputs!E12</f>
        <v>40</v>
      </c>
      <c r="F9" s="33" t="str">
        <f aca="false">Inputs!F12</f>
        <v># / month</v>
      </c>
    </row>
    <row r="10" customFormat="false" ht="15" hidden="false" customHeight="false" outlineLevel="0" collapsed="false">
      <c r="A10" s="49" t="str">
        <f aca="false">Inputs!A16</f>
        <v>Paid customer acquisition cost (CAC)</v>
      </c>
      <c r="B10" s="50" t="n">
        <f aca="false">Inputs!B16</f>
        <v>1200</v>
      </c>
      <c r="C10" s="50" t="n">
        <f aca="false">Inputs!C16</f>
        <v>1000</v>
      </c>
      <c r="D10" s="50" t="n">
        <f aca="false">Inputs!D16</f>
        <v>800</v>
      </c>
      <c r="E10" s="51" t="n">
        <f aca="false">Inputs!E16</f>
        <v>1000</v>
      </c>
      <c r="F10" s="33" t="str">
        <f aca="false">Inputs!F16</f>
        <v>$</v>
      </c>
    </row>
    <row r="11" customFormat="false" ht="15" hidden="false" customHeight="false" outlineLevel="0" collapsed="false">
      <c r="A11" s="49" t="str">
        <f aca="false">Inputs!A9</f>
        <v>Price increase per year for new customers</v>
      </c>
      <c r="B11" s="52" t="n">
        <f aca="false">Inputs!B9</f>
        <v>0</v>
      </c>
      <c r="C11" s="52" t="n">
        <f aca="false">Inputs!C9</f>
        <v>0.03</v>
      </c>
      <c r="D11" s="52" t="n">
        <f aca="false">Inputs!D9</f>
        <v>0.05</v>
      </c>
      <c r="E11" s="53" t="n">
        <f aca="false">Inputs!E9</f>
        <v>0.03</v>
      </c>
      <c r="F11" s="33" t="str">
        <f aca="false">Inputs!F9</f>
        <v>%</v>
      </c>
    </row>
    <row r="12" customFormat="false" ht="15" hidden="false" customHeight="false" outlineLevel="0" collapsed="false">
      <c r="A12" s="49" t="str">
        <f aca="false">Inputs!A11</f>
        <v>Expansion MRR per month, % of opening MRR</v>
      </c>
      <c r="B12" s="52" t="n">
        <f aca="false">Inputs!B11</f>
        <v>0</v>
      </c>
      <c r="C12" s="52" t="n">
        <f aca="false">Inputs!C11</f>
        <v>0.005</v>
      </c>
      <c r="D12" s="52" t="n">
        <f aca="false">Inputs!D11</f>
        <v>0.01</v>
      </c>
      <c r="E12" s="53" t="n">
        <f aca="false">Inputs!E11</f>
        <v>0.005</v>
      </c>
      <c r="F12" s="33" t="str">
        <f aca="false">Inputs!F11</f>
        <v>%</v>
      </c>
    </row>
    <row r="13" customFormat="false" ht="15" hidden="false" customHeight="false" outlineLevel="0" collapsed="false">
      <c r="A13" s="49" t="str">
        <f aca="false">Inputs!A18</f>
        <v>Hosting &amp; payment fees, % of revenue</v>
      </c>
      <c r="B13" s="52" t="n">
        <f aca="false">Inputs!B18</f>
        <v>0.12</v>
      </c>
      <c r="C13" s="52" t="n">
        <f aca="false">Inputs!C18</f>
        <v>0.1</v>
      </c>
      <c r="D13" s="52" t="n">
        <f aca="false">Inputs!D18</f>
        <v>0.08</v>
      </c>
      <c r="E13" s="53" t="n">
        <f aca="false">Inputs!E18</f>
        <v>0.1</v>
      </c>
      <c r="F13" s="33" t="str">
        <f aca="false">Inputs!F18</f>
        <v>%</v>
      </c>
    </row>
    <row r="14" customFormat="false" ht="15" hidden="false" customHeight="false" outlineLevel="0" collapsed="false">
      <c r="A14" s="49" t="str">
        <f aca="false">Inputs!A64</f>
        <v>Discount rate (WACC)</v>
      </c>
      <c r="B14" s="52" t="n">
        <f aca="false">Inputs!B64</f>
        <v>0.15</v>
      </c>
      <c r="C14" s="52" t="n">
        <f aca="false">Inputs!C64</f>
        <v>0.12</v>
      </c>
      <c r="D14" s="52" t="n">
        <f aca="false">Inputs!D64</f>
        <v>0.1</v>
      </c>
      <c r="E14" s="53" t="n">
        <f aca="false">Inputs!E64</f>
        <v>0.12</v>
      </c>
      <c r="F14" s="33" t="str">
        <f aca="false">Inputs!F64</f>
        <v>%</v>
      </c>
    </row>
    <row r="15" customFormat="false" ht="15" hidden="false" customHeight="false" outlineLevel="0" collapsed="false">
      <c r="A15" s="49" t="str">
        <f aca="false">Inputs!A66</f>
        <v>Exit multiple (EV ÷ final-year EBITDA)</v>
      </c>
      <c r="B15" s="38" t="n">
        <f aca="false">Inputs!B66</f>
        <v>5</v>
      </c>
      <c r="C15" s="38" t="n">
        <f aca="false">Inputs!C66</f>
        <v>6</v>
      </c>
      <c r="D15" s="38" t="n">
        <f aca="false">Inputs!D66</f>
        <v>8</v>
      </c>
      <c r="E15" s="54" t="n">
        <f aca="false">Inputs!E66</f>
        <v>6</v>
      </c>
      <c r="F15" s="33" t="str">
        <f aca="false">Inputs!F66</f>
        <v>x</v>
      </c>
    </row>
    <row r="17" customFormat="false" ht="15.75" hidden="false" customHeight="true" outlineLevel="0" collapsed="false">
      <c r="A17" s="7" t="s">
        <v>107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28"/>
      <c r="B18" s="29" t="s">
        <v>102</v>
      </c>
      <c r="C18" s="29" t="s">
        <v>103</v>
      </c>
      <c r="D18" s="29" t="s">
        <v>104</v>
      </c>
      <c r="E18" s="29" t="s">
        <v>105</v>
      </c>
      <c r="F18" s="29"/>
    </row>
    <row r="19" customFormat="false" ht="15" hidden="false" customHeight="false" outlineLevel="0" collapsed="false">
      <c r="A19" s="6" t="s">
        <v>108</v>
      </c>
      <c r="B19" s="30" t="n">
        <v>52979170.7253675</v>
      </c>
      <c r="C19" s="30" t="n">
        <v>87290934.7229402</v>
      </c>
      <c r="D19" s="30" t="n">
        <v>147473765.683268</v>
      </c>
      <c r="E19" s="55" t="n">
        <f aca="false">SUM('P&amp;L'!B5:F5)</f>
        <v>87290934.7229402</v>
      </c>
    </row>
    <row r="20" customFormat="false" ht="15" hidden="false" customHeight="false" outlineLevel="0" collapsed="false">
      <c r="A20" s="6" t="s">
        <v>109</v>
      </c>
      <c r="B20" s="30" t="n">
        <v>13174504.0894971</v>
      </c>
      <c r="C20" s="30" t="n">
        <v>26732394.7690799</v>
      </c>
      <c r="D20" s="30" t="n">
        <v>53852063.7627675</v>
      </c>
      <c r="E20" s="55" t="n">
        <f aca="false">'P&amp;L'!F5</f>
        <v>26732394.7690799</v>
      </c>
    </row>
    <row r="21" customFormat="false" ht="15" hidden="false" customHeight="false" outlineLevel="0" collapsed="false">
      <c r="A21" s="6" t="s">
        <v>110</v>
      </c>
      <c r="B21" s="30" t="n">
        <v>-13556478.3757062</v>
      </c>
      <c r="C21" s="30" t="n">
        <v>18460885.0090276</v>
      </c>
      <c r="D21" s="30" t="n">
        <v>75555333.7031183</v>
      </c>
      <c r="E21" s="55" t="n">
        <f aca="false">SUM('P&amp;L'!B15:F15)</f>
        <v>18460885.0090276</v>
      </c>
    </row>
    <row r="22" customFormat="false" ht="15" hidden="false" customHeight="false" outlineLevel="0" collapsed="false">
      <c r="A22" s="6" t="s">
        <v>111</v>
      </c>
      <c r="B22" s="52" t="n">
        <v>-0.43761018432703</v>
      </c>
      <c r="C22" s="52" t="n">
        <v>0.250442859043438</v>
      </c>
      <c r="D22" s="52" t="n">
        <v>0.596931197422175</v>
      </c>
      <c r="E22" s="53" t="n">
        <f aca="false">'P&amp;L'!F16</f>
        <v>0.250442859043438</v>
      </c>
    </row>
    <row r="23" customFormat="false" ht="15" hidden="false" customHeight="false" outlineLevel="0" collapsed="false">
      <c r="A23" s="6" t="s">
        <v>112</v>
      </c>
      <c r="B23" s="30" t="n">
        <v>-13706478.3757062</v>
      </c>
      <c r="C23" s="30" t="n">
        <v>14465599.1571319</v>
      </c>
      <c r="D23" s="30" t="n">
        <v>59570213.6254634</v>
      </c>
      <c r="E23" s="55" t="n">
        <f aca="false">SUM('P&amp;L'!B22:F22)</f>
        <v>14465599.1571318</v>
      </c>
    </row>
    <row r="24" customFormat="false" ht="15" hidden="false" customHeight="false" outlineLevel="0" collapsed="false">
      <c r="A24" s="6" t="s">
        <v>113</v>
      </c>
      <c r="B24" s="30" t="n">
        <v>-11344393.020339</v>
      </c>
      <c r="C24" s="30" t="n">
        <v>18308468.4055967</v>
      </c>
      <c r="D24" s="30" t="n">
        <v>66488118.3857483</v>
      </c>
      <c r="E24" s="55" t="n">
        <f aca="false">'Balance Sheet'!F5</f>
        <v>18308468.4055967</v>
      </c>
    </row>
    <row r="25" customFormat="false" ht="15" hidden="false" customHeight="false" outlineLevel="0" collapsed="false">
      <c r="A25" s="6" t="s">
        <v>114</v>
      </c>
      <c r="B25" s="30" t="n">
        <v>-11344393.020339</v>
      </c>
      <c r="C25" s="30" t="n">
        <v>1760226.46666667</v>
      </c>
      <c r="D25" s="30" t="n">
        <v>1891837.2125</v>
      </c>
      <c r="E25" s="55" t="n">
        <f aca="false">MIN(Monthly!$C$76:$BJ$76)</f>
        <v>1760226.46666667</v>
      </c>
    </row>
    <row r="26" customFormat="false" ht="15" hidden="false" customHeight="false" outlineLevel="0" collapsed="false">
      <c r="A26" s="6" t="s">
        <v>115</v>
      </c>
      <c r="B26" s="30" t="n">
        <v>14250393.020339</v>
      </c>
      <c r="C26" s="30" t="n">
        <v>1145773.53333333</v>
      </c>
      <c r="D26" s="30" t="n">
        <v>1014162.7875</v>
      </c>
      <c r="E26" s="55" t="n">
        <f aca="false">'Break-even'!B12</f>
        <v>1145773.53333333</v>
      </c>
    </row>
    <row r="27" customFormat="false" ht="15" hidden="false" customHeight="false" outlineLevel="0" collapsed="false">
      <c r="A27" s="6" t="s">
        <v>116</v>
      </c>
      <c r="B27" s="30" t="n">
        <v>-24094295.8156794</v>
      </c>
      <c r="C27" s="30" t="n">
        <v>40195041.1223292</v>
      </c>
      <c r="D27" s="30" t="n">
        <v>249639752.982944</v>
      </c>
      <c r="E27" s="55" t="n">
        <f aca="false">Valuation!B30</f>
        <v>40195041.1223292</v>
      </c>
    </row>
    <row r="29" customFormat="false" ht="15.75" hidden="false" customHeight="true" outlineLevel="0" collapsed="false">
      <c r="A29" s="7" t="s">
        <v>117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28"/>
      <c r="B30" s="29" t="str">
        <f aca="false">'P&amp;L'!B4</f>
        <v>Year 1</v>
      </c>
      <c r="C30" s="29" t="str">
        <f aca="false">'P&amp;L'!C4</f>
        <v>Year 2</v>
      </c>
      <c r="D30" s="29" t="str">
        <f aca="false">'P&amp;L'!D4</f>
        <v>Year 3</v>
      </c>
      <c r="E30" s="29" t="str">
        <f aca="false">'P&amp;L'!E4</f>
        <v>Year 4</v>
      </c>
      <c r="F30" s="29" t="str">
        <f aca="false">'P&amp;L'!F4</f>
        <v>Year 5</v>
      </c>
    </row>
    <row r="31" customFormat="false" ht="15" hidden="false" customHeight="false" outlineLevel="0" collapsed="false">
      <c r="A31" s="6" t="s">
        <v>118</v>
      </c>
      <c r="B31" s="30" t="n">
        <v>8588999.8997207</v>
      </c>
      <c r="C31" s="30" t="n">
        <v>9317509.16625361</v>
      </c>
      <c r="D31" s="30" t="n">
        <v>10310935.7571854</v>
      </c>
      <c r="E31" s="30" t="n">
        <v>11587221.8127107</v>
      </c>
      <c r="F31" s="30" t="n">
        <v>13174504.0894971</v>
      </c>
    </row>
    <row r="32" customFormat="false" ht="15" hidden="false" customHeight="false" outlineLevel="0" collapsed="false">
      <c r="A32" s="6" t="s">
        <v>119</v>
      </c>
      <c r="B32" s="30" t="n">
        <v>10216765.787571</v>
      </c>
      <c r="C32" s="30" t="n">
        <v>12946279.7323641</v>
      </c>
      <c r="D32" s="30" t="n">
        <v>16448494.6767072</v>
      </c>
      <c r="E32" s="30" t="n">
        <v>20946999.757218</v>
      </c>
      <c r="F32" s="30" t="n">
        <v>26732394.7690799</v>
      </c>
    </row>
    <row r="33" customFormat="false" ht="15" hidden="false" customHeight="false" outlineLevel="0" collapsed="false">
      <c r="A33" s="6" t="s">
        <v>120</v>
      </c>
      <c r="B33" s="30" t="n">
        <v>12150000</v>
      </c>
      <c r="C33" s="30" t="n">
        <v>17947980</v>
      </c>
      <c r="D33" s="30" t="n">
        <v>26041848.3</v>
      </c>
      <c r="E33" s="30" t="n">
        <v>37481873.6205</v>
      </c>
      <c r="F33" s="30" t="n">
        <v>53852063.7627675</v>
      </c>
    </row>
    <row r="35" customFormat="false" ht="15.75" hidden="false" customHeight="true" outlineLevel="0" collapsed="false">
      <c r="A35" s="7" t="s">
        <v>121</v>
      </c>
      <c r="B35" s="7"/>
      <c r="C35" s="7"/>
      <c r="D35" s="7"/>
      <c r="E35" s="7"/>
      <c r="F35" s="7"/>
    </row>
    <row r="36" customFormat="false" ht="15" hidden="false" customHeight="false" outlineLevel="0" collapsed="false">
      <c r="A36" s="28"/>
      <c r="B36" s="29" t="str">
        <f aca="false">'P&amp;L'!B4</f>
        <v>Year 1</v>
      </c>
      <c r="C36" s="29" t="str">
        <f aca="false">'P&amp;L'!C4</f>
        <v>Year 2</v>
      </c>
      <c r="D36" s="29" t="str">
        <f aca="false">'P&amp;L'!D4</f>
        <v>Year 3</v>
      </c>
      <c r="E36" s="29" t="str">
        <f aca="false">'P&amp;L'!E4</f>
        <v>Year 4</v>
      </c>
      <c r="F36" s="29" t="str">
        <f aca="false">'P&amp;L'!F4</f>
        <v>Year 5</v>
      </c>
    </row>
    <row r="37" customFormat="false" ht="15" hidden="false" customHeight="false" outlineLevel="0" collapsed="false">
      <c r="A37" s="6" t="s">
        <v>122</v>
      </c>
      <c r="B37" s="30" t="n">
        <v>-176110.521720403</v>
      </c>
      <c r="C37" s="30" t="n">
        <v>-1228016.6619523</v>
      </c>
      <c r="D37" s="30" t="n">
        <v>-2453356.08007491</v>
      </c>
      <c r="E37" s="30" t="n">
        <v>-3933697.94893658</v>
      </c>
      <c r="F37" s="30" t="n">
        <v>-5765297.16302202</v>
      </c>
    </row>
    <row r="38" customFormat="false" ht="15" hidden="false" customHeight="false" outlineLevel="0" collapsed="false">
      <c r="A38" s="6" t="s">
        <v>123</v>
      </c>
      <c r="B38" s="30" t="n">
        <v>1493172.06373118</v>
      </c>
      <c r="C38" s="30" t="n">
        <v>2249612.87255416</v>
      </c>
      <c r="D38" s="30" t="n">
        <v>3293948.45885364</v>
      </c>
      <c r="E38" s="30" t="n">
        <v>4729214.23884245</v>
      </c>
      <c r="F38" s="30" t="n">
        <v>6694937.37504621</v>
      </c>
    </row>
    <row r="39" customFormat="false" ht="15" hidden="false" customHeight="false" outlineLevel="0" collapsed="false">
      <c r="A39" s="6" t="s">
        <v>124</v>
      </c>
      <c r="B39" s="30" t="n">
        <v>3491692.05001549</v>
      </c>
      <c r="C39" s="30" t="n">
        <v>7119867.38767294</v>
      </c>
      <c r="D39" s="30" t="n">
        <v>12449911.4480325</v>
      </c>
      <c r="E39" s="30" t="n">
        <v>20347885.9118333</v>
      </c>
      <c r="F39" s="30" t="n">
        <v>32145976.9055641</v>
      </c>
    </row>
    <row r="41" customFormat="false" ht="15.75" hidden="false" customHeight="true" outlineLevel="0" collapsed="false">
      <c r="A41" s="7" t="s">
        <v>125</v>
      </c>
      <c r="B41" s="7"/>
      <c r="C41" s="7"/>
      <c r="D41" s="7"/>
      <c r="E41" s="7"/>
      <c r="F41" s="7"/>
    </row>
    <row r="42" customFormat="false" ht="15" hidden="false" customHeight="false" outlineLevel="0" collapsed="false">
      <c r="A42" s="28"/>
      <c r="B42" s="29" t="str">
        <f aca="false">'P&amp;L'!B4</f>
        <v>Year 1</v>
      </c>
      <c r="C42" s="29" t="str">
        <f aca="false">'P&amp;L'!C4</f>
        <v>Year 2</v>
      </c>
      <c r="D42" s="29" t="str">
        <f aca="false">'P&amp;L'!D4</f>
        <v>Year 3</v>
      </c>
      <c r="E42" s="29" t="str">
        <f aca="false">'P&amp;L'!E4</f>
        <v>Year 4</v>
      </c>
      <c r="F42" s="29" t="str">
        <f aca="false">'P&amp;L'!F4</f>
        <v>Year 5</v>
      </c>
    </row>
    <row r="43" customFormat="false" ht="15" hidden="false" customHeight="false" outlineLevel="0" collapsed="false">
      <c r="A43" s="6" t="s">
        <v>126</v>
      </c>
      <c r="B43" s="30" t="n">
        <v>-226110.521720403</v>
      </c>
      <c r="C43" s="30" t="n">
        <v>-1278016.6619523</v>
      </c>
      <c r="D43" s="30" t="n">
        <v>-2503356.08007491</v>
      </c>
      <c r="E43" s="30" t="n">
        <v>-3933697.94893658</v>
      </c>
      <c r="F43" s="30" t="n">
        <v>-5765297.16302202</v>
      </c>
    </row>
    <row r="44" customFormat="false" ht="15" hidden="false" customHeight="false" outlineLevel="0" collapsed="false">
      <c r="A44" s="6" t="s">
        <v>127</v>
      </c>
      <c r="B44" s="30" t="n">
        <v>1140105.93034763</v>
      </c>
      <c r="C44" s="30" t="n">
        <v>1737694.16931779</v>
      </c>
      <c r="D44" s="30" t="n">
        <v>2562719.28249438</v>
      </c>
      <c r="E44" s="30" t="n">
        <v>3736079.24868554</v>
      </c>
      <c r="F44" s="30" t="n">
        <v>5289000.52628651</v>
      </c>
    </row>
    <row r="45" customFormat="false" ht="15" hidden="false" customHeight="false" outlineLevel="0" collapsed="false">
      <c r="A45" s="6" t="s">
        <v>128</v>
      </c>
      <c r="B45" s="30" t="n">
        <v>2718936.71951224</v>
      </c>
      <c r="C45" s="30" t="n">
        <v>5585195.23626163</v>
      </c>
      <c r="D45" s="30" t="n">
        <v>9795930.04394564</v>
      </c>
      <c r="E45" s="30" t="n">
        <v>16074829.8703483</v>
      </c>
      <c r="F45" s="30" t="n">
        <v>25395321.7553956</v>
      </c>
    </row>
    <row r="47" customFormat="false" ht="15.75" hidden="false" customHeight="true" outlineLevel="0" collapsed="false">
      <c r="A47" s="7" t="s">
        <v>129</v>
      </c>
      <c r="B47" s="7"/>
      <c r="C47" s="7"/>
      <c r="D47" s="7"/>
      <c r="E47" s="7"/>
      <c r="F47" s="7"/>
    </row>
    <row r="48" customFormat="false" ht="15" hidden="false" customHeight="false" outlineLevel="0" collapsed="false">
      <c r="A48" s="28"/>
      <c r="B48" s="29" t="str">
        <f aca="false">'P&amp;L'!B4</f>
        <v>Year 1</v>
      </c>
      <c r="C48" s="29" t="str">
        <f aca="false">'P&amp;L'!C4</f>
        <v>Year 2</v>
      </c>
      <c r="D48" s="29" t="str">
        <f aca="false">'P&amp;L'!D4</f>
        <v>Year 3</v>
      </c>
      <c r="E48" s="29" t="str">
        <f aca="false">'P&amp;L'!E4</f>
        <v>Year 4</v>
      </c>
      <c r="F48" s="29" t="str">
        <f aca="false">'P&amp;L'!F4</f>
        <v>Year 5</v>
      </c>
    </row>
    <row r="49" customFormat="false" ht="15" hidden="false" customHeight="false" outlineLevel="0" collapsed="false">
      <c r="A49" s="6" t="s">
        <v>130</v>
      </c>
      <c r="B49" s="30" t="n">
        <v>1536504.7284168</v>
      </c>
      <c r="C49" s="30" t="n">
        <v>391374.649498793</v>
      </c>
      <c r="D49" s="30" t="n">
        <v>-1952750.5264368</v>
      </c>
      <c r="E49" s="30" t="n">
        <v>-5748660.08141462</v>
      </c>
      <c r="F49" s="30" t="n">
        <v>-11344393.020339</v>
      </c>
    </row>
    <row r="50" customFormat="false" ht="15" hidden="false" customHeight="false" outlineLevel="0" collapsed="false">
      <c r="A50" s="6" t="s">
        <v>131</v>
      </c>
      <c r="B50" s="30" t="n">
        <v>3123134.67176108</v>
      </c>
      <c r="C50" s="30" t="n">
        <v>5201477.4518189</v>
      </c>
      <c r="D50" s="30" t="n">
        <v>8187249.22714323</v>
      </c>
      <c r="E50" s="30" t="n">
        <v>12402695.065709</v>
      </c>
      <c r="F50" s="30" t="n">
        <v>18308468.4055967</v>
      </c>
    </row>
    <row r="51" customFormat="false" ht="15" hidden="false" customHeight="false" outlineLevel="0" collapsed="false">
      <c r="A51" s="6" t="s">
        <v>132</v>
      </c>
      <c r="B51" s="30" t="n">
        <v>4979154.44223967</v>
      </c>
      <c r="C51" s="30" t="n">
        <v>11241958.7528717</v>
      </c>
      <c r="D51" s="30" t="n">
        <v>21968415.2045538</v>
      </c>
      <c r="E51" s="30" t="n">
        <v>39294075.7057316</v>
      </c>
      <c r="F51" s="30" t="n">
        <v>66488118.3857483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7" t="s">
        <v>133</v>
      </c>
      <c r="B1" s="6"/>
      <c r="C1" s="6"/>
      <c r="D1" s="6"/>
      <c r="E1" s="6"/>
      <c r="F1" s="6"/>
      <c r="H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134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5" t="s">
        <v>135</v>
      </c>
      <c r="B3" s="56" t="str">
        <f aca="false">CHOOSE(Dashboard!$B$4,"Low","Base","High")</f>
        <v>Base</v>
      </c>
      <c r="C3" s="6"/>
      <c r="D3" s="6"/>
      <c r="E3" s="6"/>
      <c r="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</row>
    <row r="5" customFormat="false" ht="15" hidden="false" customHeight="false" outlineLevel="0" collapsed="false">
      <c r="A5" s="57" t="s">
        <v>136</v>
      </c>
      <c r="B5" s="57"/>
      <c r="C5" s="57"/>
      <c r="D5" s="57"/>
      <c r="E5" s="57"/>
      <c r="F5" s="57"/>
    </row>
    <row r="6" customFormat="false" ht="15" hidden="false" customHeight="false" outlineLevel="0" collapsed="false">
      <c r="A6" s="6" t="s">
        <v>137</v>
      </c>
      <c r="B6" s="58" t="n">
        <f aca="false">MATCH(MIN(Monthly!$C$76:$BJ$76),Monthly!$C$76:$BJ$76,0)</f>
        <v>1</v>
      </c>
      <c r="C6" s="6"/>
      <c r="D6" s="6"/>
      <c r="E6" s="6"/>
      <c r="F6" s="6"/>
    </row>
    <row r="7" customFormat="false" ht="15" hidden="false" customHeight="false" outlineLevel="0" collapsed="false">
      <c r="A7" s="6" t="s">
        <v>138</v>
      </c>
      <c r="B7" s="59" t="n">
        <f aca="false">SUMPRODUCT(--(Monthly!$C$4:$BJ$4&lt;=$B$6),Monthly!$C$47:$BJ$47)</f>
        <v>150000</v>
      </c>
      <c r="C7" s="6"/>
      <c r="D7" s="6"/>
      <c r="E7" s="6"/>
      <c r="F7" s="6"/>
    </row>
    <row r="8" customFormat="false" ht="15" hidden="false" customHeight="false" outlineLevel="0" collapsed="false">
      <c r="A8" s="6" t="s">
        <v>139</v>
      </c>
      <c r="B8" s="59" t="n">
        <f aca="false">-SUMPRODUCT(--(Monthly!$C$4:$BJ$4&lt;=$B$6),Monthly!$C$70:$BJ$70)</f>
        <v>-910226.466666667</v>
      </c>
      <c r="C8" s="6"/>
      <c r="D8" s="19" t="s">
        <v>140</v>
      </c>
      <c r="E8" s="6"/>
      <c r="F8" s="6"/>
    </row>
    <row r="9" customFormat="false" ht="15" hidden="false" customHeight="false" outlineLevel="0" collapsed="false">
      <c r="A9" s="6" t="s">
        <v>141</v>
      </c>
      <c r="B9" s="59" t="n">
        <f aca="false">-SUMPRODUCT(--(Monthly!$C$4:$BJ$4&lt;=$B$6),Monthly!$C$56:$BJ$56)</f>
        <v>-0</v>
      </c>
      <c r="C9" s="6"/>
      <c r="D9" s="6"/>
      <c r="E9" s="6"/>
      <c r="F9" s="6"/>
    </row>
    <row r="10" customFormat="false" ht="15" hidden="false" customHeight="false" outlineLevel="0" collapsed="false">
      <c r="A10" s="31" t="s">
        <v>142</v>
      </c>
      <c r="B10" s="60" t="n">
        <f aca="false">B7+B8+B9</f>
        <v>-760226.466666667</v>
      </c>
      <c r="C10" s="31"/>
      <c r="D10" s="31"/>
      <c r="E10" s="31"/>
      <c r="F10" s="31"/>
    </row>
    <row r="11" customFormat="false" ht="15" hidden="false" customHeight="false" outlineLevel="0" collapsed="false">
      <c r="A11" s="6" t="s">
        <v>143</v>
      </c>
      <c r="B11" s="61" t="n">
        <f aca="false">Inputs!$E$61</f>
        <v>1906000</v>
      </c>
      <c r="C11" s="6"/>
      <c r="D11" s="19" t="s">
        <v>144</v>
      </c>
      <c r="E11" s="6"/>
      <c r="F11" s="6"/>
    </row>
    <row r="12" customFormat="false" ht="15" hidden="false" customHeight="false" outlineLevel="0" collapsed="false">
      <c r="A12" s="31" t="s">
        <v>145</v>
      </c>
      <c r="B12" s="60" t="n">
        <f aca="false">B10+B11</f>
        <v>1145773.53333333</v>
      </c>
      <c r="C12" s="31"/>
      <c r="D12" s="31"/>
      <c r="E12" s="31"/>
      <c r="F12" s="31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</row>
    <row r="14" customFormat="false" ht="15" hidden="false" customHeight="false" outlineLevel="0" collapsed="false">
      <c r="A14" s="6" t="s">
        <v>61</v>
      </c>
      <c r="B14" s="61" t="n">
        <f aca="false">Inputs!$E$46</f>
        <v>1000000</v>
      </c>
      <c r="C14" s="6"/>
      <c r="D14" s="6"/>
      <c r="E14" s="6"/>
      <c r="F14" s="6"/>
    </row>
    <row r="15" customFormat="false" ht="15" hidden="false" customHeight="false" outlineLevel="0" collapsed="false">
      <c r="A15" s="6" t="s">
        <v>62</v>
      </c>
      <c r="B15" s="61" t="n">
        <f aca="false">Inputs!$E$47</f>
        <v>0</v>
      </c>
      <c r="C15" s="6"/>
      <c r="D15" s="6"/>
      <c r="E15" s="6"/>
      <c r="F15" s="6"/>
    </row>
    <row r="16" customFormat="false" ht="15" hidden="false" customHeight="false" outlineLevel="0" collapsed="false">
      <c r="A16" s="31" t="s">
        <v>146</v>
      </c>
      <c r="B16" s="60" t="n">
        <f aca="false">B14+B15</f>
        <v>1000000</v>
      </c>
      <c r="C16" s="31"/>
      <c r="D16" s="31"/>
      <c r="E16" s="31"/>
      <c r="F16" s="31"/>
    </row>
    <row r="17" customFormat="false" ht="15" hidden="false" customHeight="false" outlineLevel="0" collapsed="false">
      <c r="A17" s="35" t="s">
        <v>64</v>
      </c>
      <c r="B17" s="62" t="n">
        <f aca="false">B16-B12</f>
        <v>-145773.533333333</v>
      </c>
      <c r="C17" s="35"/>
      <c r="D17" s="63" t="s">
        <v>147</v>
      </c>
      <c r="E17" s="35"/>
      <c r="F17" s="35"/>
    </row>
    <row r="18" customFormat="false" ht="15" hidden="false" customHeight="false" outlineLevel="0" collapsed="false">
      <c r="A18" s="6" t="s">
        <v>148</v>
      </c>
      <c r="B18" s="59" t="n">
        <f aca="false">MIN(Monthly!$C$76:$BJ$76)</f>
        <v>1760226.46666667</v>
      </c>
      <c r="C18" s="6"/>
      <c r="D18" s="19" t="s">
        <v>149</v>
      </c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57" t="s">
        <v>150</v>
      </c>
      <c r="B20" s="57"/>
      <c r="C20" s="57"/>
      <c r="D20" s="57"/>
      <c r="E20" s="57"/>
      <c r="F20" s="57"/>
    </row>
    <row r="21" customFormat="false" ht="15" hidden="false" customHeight="false" outlineLevel="0" collapsed="false">
      <c r="A21" s="6" t="s">
        <v>151</v>
      </c>
      <c r="B21" s="58" t="n">
        <f aca="false">IFERROR(MATCH(1,Monthly!$C$77:$BJ$77,0),"Not within horizon")</f>
        <v>1</v>
      </c>
      <c r="C21" s="6"/>
      <c r="D21" s="6"/>
      <c r="E21" s="6"/>
      <c r="F21" s="6"/>
    </row>
    <row r="22" customFormat="false" ht="15" hidden="false" customHeight="false" outlineLevel="0" collapsed="false">
      <c r="A22" s="6" t="s">
        <v>152</v>
      </c>
      <c r="B22" s="58" t="n">
        <f aca="false">IFERROR(MATCH(1,Monthly!$C$84:$BJ$84,0),"Not within horizon")</f>
        <v>1</v>
      </c>
      <c r="C22" s="6"/>
      <c r="D22" s="6"/>
      <c r="E22" s="6"/>
      <c r="F22" s="6"/>
    </row>
    <row r="23" customFormat="false" ht="15" hidden="false" customHeight="false" outlineLevel="0" collapsed="false">
      <c r="A23" s="6" t="s">
        <v>153</v>
      </c>
      <c r="B23" s="58" t="str">
        <f aca="false">IF(MIN(Monthly!$C$86:$BJ$86)&gt;=0,"No investment to pay back",IFERROR(MATCH(1,Monthly!$C$88:$BJ$88,0),"Not within horizon"))</f>
        <v>No investment to pay back</v>
      </c>
      <c r="C23" s="6"/>
      <c r="D23" s="19" t="s">
        <v>154</v>
      </c>
      <c r="E23" s="6"/>
      <c r="F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</row>
    <row r="25" customFormat="false" ht="15" hidden="false" customHeight="false" outlineLevel="0" collapsed="false">
      <c r="A25" s="57" t="s">
        <v>155</v>
      </c>
      <c r="B25" s="57"/>
      <c r="C25" s="57"/>
      <c r="D25" s="57"/>
      <c r="E25" s="57"/>
      <c r="F25" s="57"/>
    </row>
    <row r="26" customFormat="false" ht="15" hidden="false" customHeight="false" outlineLevel="0" collapsed="false">
      <c r="A26" s="64" t="s">
        <v>156</v>
      </c>
      <c r="B26" s="64" t="n">
        <v>1</v>
      </c>
      <c r="C26" s="64" t="n">
        <v>2</v>
      </c>
      <c r="D26" s="64" t="n">
        <v>3</v>
      </c>
      <c r="E26" s="64" t="n">
        <v>4</v>
      </c>
      <c r="F26" s="64" t="n">
        <v>5</v>
      </c>
    </row>
    <row r="27" customFormat="false" ht="15" hidden="false" customHeight="false" outlineLevel="0" collapsed="false">
      <c r="A27" s="28"/>
      <c r="B27" s="29" t="s">
        <v>157</v>
      </c>
      <c r="C27" s="29" t="s">
        <v>158</v>
      </c>
      <c r="D27" s="29" t="s">
        <v>159</v>
      </c>
      <c r="E27" s="29" t="s">
        <v>160</v>
      </c>
      <c r="F27" s="29" t="s">
        <v>161</v>
      </c>
    </row>
    <row r="28" customFormat="false" ht="15" hidden="false" customHeight="false" outlineLevel="0" collapsed="false">
      <c r="A28" s="5" t="s">
        <v>42</v>
      </c>
      <c r="B28" s="65" t="n">
        <f aca="false">SUMIF(Monthly!$C$5:$BJ$5,B$26,Monthly!$C$24:$BJ$24)</f>
        <v>10216765.787571</v>
      </c>
      <c r="C28" s="65" t="n">
        <f aca="false">SUMIF(Monthly!$C$5:$BJ$5,C$26,Monthly!$C$24:$BJ$24)</f>
        <v>12946279.7323641</v>
      </c>
      <c r="D28" s="65" t="n">
        <f aca="false">SUMIF(Monthly!$C$5:$BJ$5,D$26,Monthly!$C$24:$BJ$24)</f>
        <v>16448494.6767072</v>
      </c>
      <c r="E28" s="65" t="n">
        <f aca="false">SUMIF(Monthly!$C$5:$BJ$5,E$26,Monthly!$C$24:$BJ$24)</f>
        <v>20946999.757218</v>
      </c>
      <c r="F28" s="65" t="n">
        <f aca="false">SUMIF(Monthly!$C$5:$BJ$5,F$26,Monthly!$C$24:$BJ$24)</f>
        <v>26732394.7690799</v>
      </c>
    </row>
    <row r="29" customFormat="false" ht="15" hidden="false" customHeight="false" outlineLevel="0" collapsed="false">
      <c r="A29" s="31" t="s">
        <v>43</v>
      </c>
      <c r="B29" s="60" t="n">
        <f aca="false">SUMIF(Monthly!$C$5:$BJ$5,B$26,Monthly!$C$26:$BJ$26)</f>
        <v>9115572.06373118</v>
      </c>
      <c r="C29" s="60" t="n">
        <f aca="false">SUMIF(Monthly!$C$5:$BJ$5,C$26,Monthly!$C$26:$BJ$26)</f>
        <v>11555504.8725542</v>
      </c>
      <c r="D29" s="60" t="n">
        <f aca="false">SUMIF(Monthly!$C$5:$BJ$5,D$26,Monthly!$C$26:$BJ$26)</f>
        <v>14686437.5388536</v>
      </c>
      <c r="E29" s="60" t="n">
        <f aca="false">SUMIF(Monthly!$C$5:$BJ$5,E$26,Monthly!$C$26:$BJ$26)</f>
        <v>18708529.7071465</v>
      </c>
      <c r="F29" s="60" t="n">
        <f aca="false">SUMIF(Monthly!$C$5:$BJ$5,F$26,Monthly!$C$26:$BJ$26)</f>
        <v>23881956.7791366</v>
      </c>
    </row>
    <row r="30" customFormat="false" ht="15" hidden="false" customHeight="false" outlineLevel="0" collapsed="false">
      <c r="A30" s="33" t="s">
        <v>162</v>
      </c>
      <c r="B30" s="66" t="n">
        <f aca="false">IF(B28=0,0,B29/B28)</f>
        <v>0.892216994425039</v>
      </c>
      <c r="C30" s="66" t="n">
        <f aca="false">IF(C28=0,0,C29/C28)</f>
        <v>0.89257339648446</v>
      </c>
      <c r="D30" s="66" t="n">
        <f aca="false">IF(D28=0,0,D29/D28)</f>
        <v>0.892874261597397</v>
      </c>
      <c r="E30" s="66" t="n">
        <f aca="false">IF(E28=0,0,E29/E28)</f>
        <v>0.893136483696182</v>
      </c>
      <c r="F30" s="66" t="n">
        <f aca="false">IF(F28=0,0,F29/F28)</f>
        <v>0.893371393974761</v>
      </c>
    </row>
    <row r="31" customFormat="false" ht="15" hidden="false" customHeight="false" outlineLevel="0" collapsed="false">
      <c r="A31" s="6" t="s">
        <v>163</v>
      </c>
      <c r="B31" s="59" t="n">
        <f aca="false">-SUMIF(Monthly!$C$5:$BJ$5,B$26,Monthly!$C$34:$BJ$34)</f>
        <v>7622400</v>
      </c>
      <c r="C31" s="59" t="n">
        <f aca="false">-SUMIF(Monthly!$C$5:$BJ$5,C$26,Monthly!$C$34:$BJ$34)</f>
        <v>9305892</v>
      </c>
      <c r="D31" s="59" t="n">
        <f aca="false">-SUMIF(Monthly!$C$5:$BJ$5,D$26,Monthly!$C$34:$BJ$34)</f>
        <v>11392489.08</v>
      </c>
      <c r="E31" s="59" t="n">
        <f aca="false">-SUMIF(Monthly!$C$5:$BJ$5,E$26,Monthly!$C$34:$BJ$34)</f>
        <v>13979315.468304</v>
      </c>
      <c r="F31" s="59" t="n">
        <f aca="false">-SUMIF(Monthly!$C$5:$BJ$5,F$26,Monthly!$C$34:$BJ$34)</f>
        <v>17187019.4040903</v>
      </c>
    </row>
    <row r="32" customFormat="false" ht="15" hidden="false" customHeight="false" outlineLevel="0" collapsed="false">
      <c r="A32" s="5" t="s">
        <v>164</v>
      </c>
      <c r="B32" s="65" t="n">
        <f aca="false">IF(B30&gt;0,B31/B30,"n/a")</f>
        <v>8543213.19547608</v>
      </c>
      <c r="C32" s="65" t="n">
        <f aca="false">IF(C30&gt;0,C31/C30,"n/a")</f>
        <v>10425912.3525894</v>
      </c>
      <c r="D32" s="65" t="n">
        <f aca="false">IF(D30&gt;0,D31/D30,"n/a")</f>
        <v>12759343.1348534</v>
      </c>
      <c r="E32" s="65" t="n">
        <f aca="false">IF(E30&gt;0,E31/E30,"n/a")</f>
        <v>15651936.4324382</v>
      </c>
      <c r="F32" s="65" t="n">
        <f aca="false">IF(F30&gt;0,F31/F30,"n/a")</f>
        <v>19238381.1704809</v>
      </c>
    </row>
    <row r="33" customFormat="false" ht="15" hidden="false" customHeight="false" outlineLevel="0" collapsed="false">
      <c r="A33" s="6" t="s">
        <v>165</v>
      </c>
      <c r="B33" s="67" t="n">
        <f aca="false">IF(AND(ISNUMBER(B32),B28&gt;0),(B28-B32)/B28,"n/a")</f>
        <v>0.163804537256874</v>
      </c>
      <c r="C33" s="67" t="n">
        <f aca="false">IF(AND(ISNUMBER(C32),C28&gt;0),(C28-C32)/C28,"n/a")</f>
        <v>0.194678890915211</v>
      </c>
      <c r="D33" s="67" t="n">
        <f aca="false">IF(AND(ISNUMBER(D32),D28&gt;0),(D28-D32)/D28,"n/a")</f>
        <v>0.224285055524143</v>
      </c>
      <c r="E33" s="67" t="n">
        <f aca="false">IF(AND(ISNUMBER(E32),E28&gt;0),(E28-E32)/E28,"n/a")</f>
        <v>0.252783853828767</v>
      </c>
      <c r="F33" s="67" t="n">
        <f aca="false">IF(AND(ISNUMBER(F32),F28&gt;0),(F28-F32)/F28,"n/a")</f>
        <v>0.280334540295918</v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</row>
    <row r="35" customFormat="false" ht="15" hidden="false" customHeight="false" outlineLevel="0" collapsed="false">
      <c r="A35" s="33" t="s">
        <v>166</v>
      </c>
      <c r="B35" s="6"/>
      <c r="C35" s="6"/>
      <c r="D35" s="6"/>
      <c r="E35" s="6"/>
      <c r="F35" s="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7" t="s">
        <v>167</v>
      </c>
      <c r="B1" s="6"/>
      <c r="C1" s="6"/>
      <c r="D1" s="6"/>
      <c r="E1" s="6"/>
      <c r="F1" s="6"/>
      <c r="H1" s="18" t="str">
        <f aca="false">HYPERLINK("#'Cover'!A1","◂ Contents")</f>
        <v>◂ Contents</v>
      </c>
    </row>
    <row r="2" customFormat="false" ht="15" hidden="false" customHeight="false" outlineLevel="0" collapsed="false">
      <c r="A2" s="68" t="s">
        <v>168</v>
      </c>
      <c r="B2" s="31"/>
      <c r="C2" s="31"/>
      <c r="D2" s="31"/>
      <c r="E2" s="31"/>
      <c r="F2" s="31"/>
    </row>
    <row r="3" customFormat="false" ht="15" hidden="false" customHeight="false" outlineLevel="0" collapsed="false">
      <c r="A3" s="28" t="s">
        <v>135</v>
      </c>
      <c r="B3" s="29" t="str">
        <f aca="false">CHOOSE(Dashboard!$B$4,"Low","Base","High")</f>
        <v>Base</v>
      </c>
      <c r="C3" s="29"/>
      <c r="D3" s="6"/>
      <c r="E3" s="6"/>
      <c r="F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</row>
    <row r="5" customFormat="false" ht="15" hidden="false" customHeight="false" outlineLevel="0" collapsed="false">
      <c r="A5" s="57" t="s">
        <v>169</v>
      </c>
      <c r="B5" s="57"/>
      <c r="C5" s="57"/>
      <c r="D5" s="57"/>
      <c r="E5" s="57"/>
      <c r="F5" s="57"/>
    </row>
    <row r="6" customFormat="false" ht="15" hidden="false" customHeight="false" outlineLevel="0" collapsed="false">
      <c r="A6" s="6" t="s">
        <v>170</v>
      </c>
      <c r="B6" s="69" t="n">
        <f aca="false">Inputs!$E$64</f>
        <v>0.12</v>
      </c>
      <c r="C6" s="6"/>
      <c r="D6" s="6"/>
      <c r="E6" s="6"/>
      <c r="F6" s="6"/>
    </row>
    <row r="7" customFormat="false" ht="15" hidden="false" customHeight="false" outlineLevel="0" collapsed="false">
      <c r="A7" s="6" t="s">
        <v>171</v>
      </c>
      <c r="B7" s="69" t="n">
        <f aca="false">Inputs!$E$65</f>
        <v>0.02</v>
      </c>
      <c r="C7" s="6"/>
      <c r="D7" s="6"/>
      <c r="E7" s="6"/>
      <c r="F7" s="6"/>
    </row>
    <row r="8" customFormat="false" ht="15" hidden="false" customHeight="false" outlineLevel="0" collapsed="false">
      <c r="A8" s="6" t="s">
        <v>172</v>
      </c>
      <c r="B8" s="70" t="n">
        <f aca="false">Inputs!$E$66</f>
        <v>6</v>
      </c>
      <c r="C8" s="6"/>
      <c r="D8" s="6"/>
      <c r="E8" s="6"/>
      <c r="F8" s="6"/>
    </row>
    <row r="9" customFormat="false" ht="15" hidden="false" customHeight="false" outlineLevel="0" collapsed="false">
      <c r="A9" s="6" t="s">
        <v>173</v>
      </c>
      <c r="B9" s="69" t="n">
        <f aca="false">Inputs!$E$58</f>
        <v>0.21</v>
      </c>
      <c r="C9" s="6"/>
      <c r="D9" s="6"/>
      <c r="E9" s="6"/>
      <c r="F9" s="6"/>
    </row>
    <row r="10" customFormat="false" ht="15" hidden="false" customHeight="false" outlineLevel="0" collapsed="false">
      <c r="A10" s="6" t="s">
        <v>174</v>
      </c>
      <c r="B10" s="69" t="n">
        <f aca="false">Inputs!$E$67</f>
        <v>0.01</v>
      </c>
      <c r="C10" s="6"/>
      <c r="D10" s="6"/>
      <c r="E10" s="6"/>
      <c r="F10" s="6"/>
    </row>
    <row r="11" customFormat="false" ht="15" hidden="false" customHeight="false" outlineLevel="0" collapsed="false">
      <c r="A11" s="6" t="s">
        <v>175</v>
      </c>
      <c r="B11" s="69" t="n">
        <f aca="false">Inputs!$E$68</f>
        <v>0.005</v>
      </c>
      <c r="C11" s="6"/>
      <c r="D11" s="6"/>
      <c r="E11" s="6"/>
      <c r="F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</row>
    <row r="13" customFormat="false" ht="15" hidden="false" customHeight="false" outlineLevel="0" collapsed="false">
      <c r="A13" s="57" t="s">
        <v>176</v>
      </c>
      <c r="B13" s="57"/>
      <c r="C13" s="57"/>
      <c r="D13" s="57"/>
      <c r="E13" s="57"/>
      <c r="F13" s="57"/>
    </row>
    <row r="14" customFormat="false" ht="15" hidden="false" customHeight="false" outlineLevel="0" collapsed="false">
      <c r="A14" s="64" t="s">
        <v>156</v>
      </c>
      <c r="B14" s="64" t="n">
        <v>1</v>
      </c>
      <c r="C14" s="64" t="n">
        <v>2</v>
      </c>
      <c r="D14" s="64" t="n">
        <v>3</v>
      </c>
      <c r="E14" s="64" t="n">
        <v>4</v>
      </c>
      <c r="F14" s="64" t="n">
        <v>5</v>
      </c>
    </row>
    <row r="15" customFormat="false" ht="15" hidden="false" customHeight="false" outlineLevel="0" collapsed="false">
      <c r="A15" s="28"/>
      <c r="B15" s="29" t="s">
        <v>157</v>
      </c>
      <c r="C15" s="29" t="s">
        <v>158</v>
      </c>
      <c r="D15" s="29" t="s">
        <v>159</v>
      </c>
      <c r="E15" s="29" t="s">
        <v>160</v>
      </c>
      <c r="F15" s="29" t="s">
        <v>161</v>
      </c>
    </row>
    <row r="16" customFormat="false" ht="15" hidden="false" customHeight="false" outlineLevel="0" collapsed="false">
      <c r="A16" s="31" t="s">
        <v>46</v>
      </c>
      <c r="B16" s="60" t="n">
        <f aca="false">SUMIF(Monthly!$C$5:$BJ$5,B$14,Monthly!$C$35:$BJ$35)</f>
        <v>1493172.06373118</v>
      </c>
      <c r="C16" s="60" t="n">
        <f aca="false">SUMIF(Monthly!$C$5:$BJ$5,C$14,Monthly!$C$35:$BJ$35)</f>
        <v>2249612.87255416</v>
      </c>
      <c r="D16" s="60" t="n">
        <f aca="false">SUMIF(Monthly!$C$5:$BJ$5,D$14,Monthly!$C$35:$BJ$35)</f>
        <v>3293948.45885364</v>
      </c>
      <c r="E16" s="60" t="n">
        <f aca="false">SUMIF(Monthly!$C$5:$BJ$5,E$14,Monthly!$C$35:$BJ$35)</f>
        <v>4729214.23884245</v>
      </c>
      <c r="F16" s="60" t="n">
        <f aca="false">SUMIF(Monthly!$C$5:$BJ$5,F$14,Monthly!$C$35:$BJ$35)</f>
        <v>6694937.37504621</v>
      </c>
    </row>
    <row r="17" customFormat="false" ht="15" hidden="false" customHeight="false" outlineLevel="0" collapsed="false">
      <c r="A17" s="5" t="s">
        <v>177</v>
      </c>
      <c r="B17" s="65" t="n">
        <f aca="false">SUMIF(Monthly!$C$5:$BJ$5,B$14,Monthly!$C$89:$BJ$89)</f>
        <v>2123134.67176108</v>
      </c>
      <c r="C17" s="65" t="n">
        <f aca="false">SUMIF(Monthly!$C$5:$BJ$5,C$14,Monthly!$C$89:$BJ$89)</f>
        <v>2078342.78005782</v>
      </c>
      <c r="D17" s="65" t="n">
        <f aca="false">SUMIF(Monthly!$C$5:$BJ$5,D$14,Monthly!$C$89:$BJ$89)</f>
        <v>2985771.77532433</v>
      </c>
      <c r="E17" s="65" t="n">
        <f aca="false">SUMIF(Monthly!$C$5:$BJ$5,E$14,Monthly!$C$89:$BJ$89)</f>
        <v>4215445.83856573</v>
      </c>
      <c r="F17" s="65" t="n">
        <f aca="false">SUMIF(Monthly!$C$5:$BJ$5,F$14,Monthly!$C$89:$BJ$89)</f>
        <v>5905773.33988778</v>
      </c>
    </row>
    <row r="18" customFormat="false" ht="15" hidden="false" customHeight="false" outlineLevel="0" collapsed="false">
      <c r="A18" s="6" t="s">
        <v>178</v>
      </c>
      <c r="B18" s="71" t="n">
        <f aca="false">1/(1+Inputs!$E$64)^B$14</f>
        <v>0.892857142857143</v>
      </c>
      <c r="C18" s="71" t="n">
        <f aca="false">1/(1+Inputs!$E$64)^C$14</f>
        <v>0.79719387755102</v>
      </c>
      <c r="D18" s="71" t="n">
        <f aca="false">1/(1+Inputs!$E$64)^D$14</f>
        <v>0.711780247813411</v>
      </c>
      <c r="E18" s="71" t="n">
        <f aca="false">1/(1+Inputs!$E$64)^E$14</f>
        <v>0.635518078404831</v>
      </c>
      <c r="F18" s="71" t="n">
        <f aca="false">1/(1+Inputs!$E$64)^F$14</f>
        <v>0.567426855718599</v>
      </c>
    </row>
    <row r="19" customFormat="false" ht="15" hidden="false" customHeight="false" outlineLevel="0" collapsed="false">
      <c r="A19" s="6" t="s">
        <v>179</v>
      </c>
      <c r="B19" s="59" t="n">
        <f aca="false">B17*B18</f>
        <v>1895655.95692954</v>
      </c>
      <c r="C19" s="59" t="n">
        <f aca="false">C17*C18</f>
        <v>1656842.13971446</v>
      </c>
      <c r="D19" s="59" t="n">
        <f aca="false">D17*D18</f>
        <v>2125213.37415464</v>
      </c>
      <c r="E19" s="59" t="n">
        <f aca="false">E17*E18</f>
        <v>2678992.03894493</v>
      </c>
      <c r="F19" s="59" t="n">
        <f aca="false">F17*F18</f>
        <v>3351094.39683925</v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1" customFormat="false" ht="15" hidden="false" customHeight="false" outlineLevel="0" collapsed="false">
      <c r="A21" s="72" t="s">
        <v>180</v>
      </c>
      <c r="B21" s="72"/>
      <c r="C21" s="72"/>
      <c r="D21" s="72"/>
      <c r="E21" s="72"/>
      <c r="F21" s="72"/>
    </row>
    <row r="22" customFormat="false" ht="15" hidden="false" customHeight="false" outlineLevel="0" collapsed="false">
      <c r="A22" s="6"/>
      <c r="B22" s="73" t="s">
        <v>181</v>
      </c>
      <c r="C22" s="73" t="s">
        <v>182</v>
      </c>
      <c r="D22" s="6"/>
      <c r="E22" s="6"/>
      <c r="F22" s="6"/>
    </row>
    <row r="23" customFormat="false" ht="15" hidden="false" customHeight="false" outlineLevel="0" collapsed="false">
      <c r="A23" s="6" t="s">
        <v>183</v>
      </c>
      <c r="B23" s="59" t="n">
        <f aca="false">SUM($B$19:$F$19)</f>
        <v>11707797.9065828</v>
      </c>
      <c r="C23" s="59" t="n">
        <f aca="false">B23</f>
        <v>11707797.9065828</v>
      </c>
      <c r="D23" s="6"/>
      <c r="E23" s="6"/>
      <c r="F23" s="6"/>
    </row>
    <row r="24" customFormat="false" ht="15" hidden="false" customHeight="false" outlineLevel="0" collapsed="false">
      <c r="A24" s="6" t="s">
        <v>184</v>
      </c>
      <c r="B24" s="59" t="n">
        <f aca="false">$F$17</f>
        <v>5905773.33988778</v>
      </c>
      <c r="C24" s="59" t="n">
        <f aca="false">$F$16</f>
        <v>6694937.37504621</v>
      </c>
      <c r="D24" s="6"/>
      <c r="E24" s="6"/>
      <c r="F24" s="6"/>
    </row>
    <row r="25" customFormat="false" ht="15" hidden="false" customHeight="false" outlineLevel="0" collapsed="false">
      <c r="A25" s="6" t="s">
        <v>185</v>
      </c>
      <c r="B25" s="59" t="n">
        <f aca="false">IF($B$6&gt;$B$7,B24*(1+$B$7)/($B$6-$B$7),0)</f>
        <v>60238888.0668553</v>
      </c>
      <c r="C25" s="59" t="n">
        <f aca="false">C24*$B$8</f>
        <v>40169624.2502773</v>
      </c>
      <c r="D25" s="6"/>
      <c r="E25" s="6"/>
      <c r="F25" s="6"/>
    </row>
    <row r="26" customFormat="false" ht="15" hidden="false" customHeight="false" outlineLevel="0" collapsed="false">
      <c r="A26" s="6" t="s">
        <v>186</v>
      </c>
      <c r="B26" s="59" t="n">
        <f aca="false">B25/(1+$B$6)^$F$14</f>
        <v>34181162.8477604</v>
      </c>
      <c r="C26" s="59" t="n">
        <f aca="false">C25/(1+$B$6)^$F$14</f>
        <v>22793323.5837324</v>
      </c>
      <c r="D26" s="6"/>
      <c r="E26" s="6"/>
      <c r="F26" s="6"/>
    </row>
    <row r="27" customFormat="false" ht="15" hidden="false" customHeight="false" outlineLevel="0" collapsed="false">
      <c r="A27" s="31" t="s">
        <v>180</v>
      </c>
      <c r="B27" s="60" t="n">
        <f aca="false">B23+B26</f>
        <v>45888960.7543432</v>
      </c>
      <c r="C27" s="60" t="n">
        <f aca="false">C23+C26</f>
        <v>34501121.4903153</v>
      </c>
      <c r="D27" s="31"/>
      <c r="E27" s="31"/>
      <c r="F27" s="31"/>
    </row>
    <row r="28" customFormat="false" ht="15" hidden="false" customHeight="false" outlineLevel="0" collapsed="false">
      <c r="A28" s="6" t="s">
        <v>187</v>
      </c>
      <c r="B28" s="67" t="n">
        <f aca="false">IF(B27&lt;&gt;0,B26/B27,0)</f>
        <v>0.74486678900274</v>
      </c>
      <c r="C28" s="67" t="n">
        <f aca="false">IF(C27&lt;&gt;0,C26/C27,0)</f>
        <v>0.660654570029867</v>
      </c>
      <c r="D28" s="6"/>
      <c r="E28" s="6"/>
      <c r="F28" s="6"/>
    </row>
    <row r="29" customFormat="false" ht="15" hidden="false" customHeight="false" outlineLevel="0" collapsed="false">
      <c r="A29" s="6" t="s">
        <v>188</v>
      </c>
      <c r="B29" s="74" t="n">
        <f aca="false">IF(C24&gt;0,B25/C24,"n/a")</f>
        <v>8.99767760209102</v>
      </c>
      <c r="C29" s="67" t="n">
        <f aca="false">IF(C25+B24&lt;&gt;0,(C25*$B$6-B24)/(C25+B24),"n/a")</f>
        <v>-0.0235574403396182</v>
      </c>
      <c r="D29" s="6"/>
      <c r="E29" s="6"/>
      <c r="F29" s="6"/>
    </row>
    <row r="30" customFormat="false" ht="15" hidden="false" customHeight="false" outlineLevel="0" collapsed="false">
      <c r="A30" s="31" t="s">
        <v>189</v>
      </c>
      <c r="B30" s="60" t="n">
        <f aca="false">AVERAGE(B27,C27)</f>
        <v>40195041.1223292</v>
      </c>
      <c r="C30" s="31"/>
      <c r="D30" s="31"/>
      <c r="E30" s="31"/>
      <c r="F30" s="31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</row>
    <row r="32" customFormat="false" ht="15" hidden="false" customHeight="false" outlineLevel="0" collapsed="false">
      <c r="A32" s="57" t="s">
        <v>190</v>
      </c>
      <c r="B32" s="57"/>
      <c r="C32" s="57"/>
      <c r="D32" s="57"/>
      <c r="E32" s="57"/>
      <c r="F32" s="57"/>
    </row>
    <row r="33" customFormat="false" ht="15" hidden="false" customHeight="false" outlineLevel="0" collapsed="false">
      <c r="A33" s="75" t="s">
        <v>191</v>
      </c>
      <c r="B33" s="76" t="n">
        <f aca="false">$B$7+(-2)*$B$11</f>
        <v>0.01</v>
      </c>
      <c r="C33" s="76" t="n">
        <f aca="false">$B$7+(-1)*$B$11</f>
        <v>0.015</v>
      </c>
      <c r="D33" s="76" t="n">
        <f aca="false">$B$7+(0)*$B$11</f>
        <v>0.02</v>
      </c>
      <c r="E33" s="76" t="n">
        <f aca="false">$B$7+(1)*$B$11</f>
        <v>0.025</v>
      </c>
      <c r="F33" s="76" t="n">
        <f aca="false">$B$7+(2)*$B$11</f>
        <v>0.03</v>
      </c>
    </row>
    <row r="34" customFormat="false" ht="15" hidden="false" customHeight="false" outlineLevel="0" collapsed="false">
      <c r="A34" s="67" t="n">
        <f aca="false">$B$6+(-2)*$B$10</f>
        <v>0.1</v>
      </c>
      <c r="B34" s="59" t="n">
        <f aca="false">IF($A34&gt;B$33,SUMPRODUCT($B$17:$F$17/(1+$A34)^$B$14:$F$14)+$F$17*(1+B$33)/($A34-B$33)/(1+$A34)^$F$14,"n/a")</f>
        <v>53589362.4615377</v>
      </c>
      <c r="C34" s="59" t="n">
        <f aca="false">IF($A34&gt;C$33,SUMPRODUCT($B$17:$F$17/(1+$A34)^$B$14:$F$14)+$F$17*(1+C$33)/($A34-C$33)/(1+$A34)^$F$14,"n/a")</f>
        <v>56225782.4977989</v>
      </c>
      <c r="D34" s="59" t="n">
        <f aca="false">IF($A34&gt;D$33,SUMPRODUCT($B$17:$F$17/(1+$A34)^$B$14:$F$14)+$F$17*(1+D$33)/($A34-D$33)/(1+$A34)^$F$14,"n/a")</f>
        <v>59191755.0385928</v>
      </c>
      <c r="E34" s="59" t="n">
        <f aca="false">IF($A34&gt;E$33,SUMPRODUCT($B$17:$F$17/(1+$A34)^$B$14:$F$14)+$F$17*(1+E$33)/($A34-E$33)/(1+$A34)^$F$14,"n/a")</f>
        <v>62553190.5848258</v>
      </c>
      <c r="F34" s="59" t="n">
        <f aca="false">IF($A34&gt;F$33,SUMPRODUCT($B$17:$F$17/(1+$A34)^$B$14:$F$14)+$F$17*(1+F$33)/($A34-F$33)/(1+$A34)^$F$14,"n/a")</f>
        <v>66394831.2090921</v>
      </c>
    </row>
    <row r="35" customFormat="false" ht="15" hidden="false" customHeight="false" outlineLevel="0" collapsed="false">
      <c r="A35" s="67" t="n">
        <f aca="false">$B$6+(-1)*$B$10</f>
        <v>0.11</v>
      </c>
      <c r="B35" s="59" t="n">
        <f aca="false">IF($A35&gt;B$33,SUMPRODUCT($B$17:$F$17/(1+$A35)^$B$14:$F$14)+$F$17*(1+B$33)/($A35-B$33)/(1+$A35)^$F$14,"n/a")</f>
        <v>47462737.1477704</v>
      </c>
      <c r="C35" s="59" t="n">
        <f aca="false">IF($A35&gt;C$33,SUMPRODUCT($B$17:$F$17/(1+$A35)^$B$14:$F$14)+$F$17*(1+C$33)/($A35-C$33)/(1+$A35)^$F$14,"n/a")</f>
        <v>49510271.7926461</v>
      </c>
      <c r="D35" s="59" t="n">
        <f aca="false">IF($A35&gt;D$33,SUMPRODUCT($B$17:$F$17/(1+$A35)^$B$14:$F$14)+$F$17*(1+D$33)/($A35-D$33)/(1+$A35)^$F$14,"n/a")</f>
        <v>51785310.2869524</v>
      </c>
      <c r="E35" s="59" t="n">
        <f aca="false">IF($A35&gt;E$33,SUMPRODUCT($B$17:$F$17/(1+$A35)^$B$14:$F$14)+$F$17*(1+E$33)/($A35-E$33)/(1+$A35)^$F$14,"n/a")</f>
        <v>54328000.3688242</v>
      </c>
      <c r="F35" s="59" t="n">
        <f aca="false">IF($A35&gt;F$33,SUMPRODUCT($B$17:$F$17/(1+$A35)^$B$14:$F$14)+$F$17*(1+F$33)/($A35-F$33)/(1+$A35)^$F$14,"n/a")</f>
        <v>57188526.71093</v>
      </c>
    </row>
    <row r="36" customFormat="false" ht="15" hidden="false" customHeight="false" outlineLevel="0" collapsed="false">
      <c r="A36" s="67" t="n">
        <f aca="false">$B$6+(0)*$B$10</f>
        <v>0.12</v>
      </c>
      <c r="B36" s="59" t="n">
        <f aca="false">IF($A36&gt;B$33,SUMPRODUCT($B$17:$F$17/(1+$A36)^$B$14:$F$14)+$F$17*(1+B$33)/($A36-B$33)/(1+$A36)^$F$14,"n/a")</f>
        <v>42476937.3684705</v>
      </c>
      <c r="C36" s="59" t="n">
        <f aca="false">IF($A36&gt;C$33,SUMPRODUCT($B$17:$F$17/(1+$A36)^$B$14:$F$14)+$F$17*(1+C$33)/($A36-C$33)/(1+$A36)^$F$14,"n/a")</f>
        <v>44101710.4093622</v>
      </c>
      <c r="D36" s="59" t="n">
        <f aca="false">IF($A36&gt;D$33,SUMPRODUCT($B$17:$F$17/(1+$A36)^$B$14:$F$14)+$F$17*(1+D$33)/($A36-D$33)/(1+$A36)^$F$14,"n/a")</f>
        <v>45888960.7543432</v>
      </c>
      <c r="E36" s="59" t="n">
        <f aca="false">IF($A36&gt;E$33,SUMPRODUCT($B$17:$F$17/(1+$A36)^$B$14:$F$14)+$F$17*(1+E$33)/($A36-E$33)/(1+$A36)^$F$14,"n/a")</f>
        <v>47864342.7145853</v>
      </c>
      <c r="F36" s="59" t="n">
        <f aca="false">IF($A36&gt;F$33,SUMPRODUCT($B$17:$F$17/(1+$A36)^$B$14:$F$14)+$F$17*(1+F$33)/($A36-F$33)/(1+$A36)^$F$14,"n/a")</f>
        <v>50059211.5592987</v>
      </c>
    </row>
    <row r="37" customFormat="false" ht="15" hidden="false" customHeight="false" outlineLevel="0" collapsed="false">
      <c r="A37" s="67" t="n">
        <f aca="false">$B$6+(1)*$B$10</f>
        <v>0.13</v>
      </c>
      <c r="B37" s="59" t="n">
        <f aca="false">IF($A37&gt;B$33,SUMPRODUCT($B$17:$F$17/(1+$A37)^$B$14:$F$14)+$F$17*(1+B$33)/($A37-B$33)/(1+$A37)^$F$14,"n/a")</f>
        <v>38345573.9105255</v>
      </c>
      <c r="C37" s="59" t="n">
        <f aca="false">IF($A37&gt;C$33,SUMPRODUCT($B$17:$F$17/(1+$A37)^$B$14:$F$14)+$F$17*(1+C$33)/($A37-C$33)/(1+$A37)^$F$14,"n/a")</f>
        <v>39657936.7332728</v>
      </c>
      <c r="D37" s="59" t="n">
        <f aca="false">IF($A37&gt;D$33,SUMPRODUCT($B$17:$F$17/(1+$A37)^$B$14:$F$14)+$F$17*(1+D$33)/($A37-D$33)/(1+$A37)^$F$14,"n/a")</f>
        <v>41089605.2671791</v>
      </c>
      <c r="E37" s="59" t="n">
        <f aca="false">IF($A37&gt;E$33,SUMPRODUCT($B$17:$F$17/(1+$A37)^$B$14:$F$14)+$F$17*(1+E$33)/($A37-E$33)/(1+$A37)^$F$14,"n/a")</f>
        <v>42657623.1852668</v>
      </c>
      <c r="F37" s="59" t="n">
        <f aca="false">IF($A37&gt;F$33,SUMPRODUCT($B$17:$F$17/(1+$A37)^$B$14:$F$14)+$F$17*(1+F$33)/($A37-F$33)/(1+$A37)^$F$14,"n/a")</f>
        <v>44382442.8951634</v>
      </c>
    </row>
    <row r="38" customFormat="false" ht="15" hidden="false" customHeight="false" outlineLevel="0" collapsed="false">
      <c r="A38" s="67" t="n">
        <f aca="false">$B$6+(2)*$B$10</f>
        <v>0.14</v>
      </c>
      <c r="B38" s="59" t="n">
        <f aca="false">IF($A38&gt;B$33,SUMPRODUCT($B$17:$F$17/(1+$A38)^$B$14:$F$14)+$F$17*(1+B$33)/($A38-B$33)/(1+$A38)^$F$14,"n/a")</f>
        <v>34870439.4927721</v>
      </c>
      <c r="C38" s="59" t="n">
        <f aca="false">IF($A38&gt;C$33,SUMPRODUCT($B$17:$F$17/(1+$A38)^$B$14:$F$14)+$F$17*(1+C$33)/($A38-C$33)/(1+$A38)^$F$14,"n/a")</f>
        <v>35946344.698054</v>
      </c>
      <c r="D38" s="59" t="n">
        <f aca="false">IF($A38&gt;D$33,SUMPRODUCT($B$17:$F$17/(1+$A38)^$B$14:$F$14)+$F$17*(1+D$33)/($A38-D$33)/(1+$A38)^$F$14,"n/a")</f>
        <v>37111908.6704428</v>
      </c>
      <c r="E38" s="59" t="n">
        <f aca="false">IF($A38&gt;E$33,SUMPRODUCT($B$17:$F$17/(1+$A38)^$B$14:$F$14)+$F$17*(1+E$33)/($A38-E$33)/(1+$A38)^$F$14,"n/a")</f>
        <v>38378826.0317349</v>
      </c>
      <c r="F38" s="59" t="n">
        <f aca="false">IF($A38&gt;F$33,SUMPRODUCT($B$17:$F$17/(1+$A38)^$B$14:$F$14)+$F$17*(1+F$33)/($A38-F$33)/(1+$A38)^$F$14,"n/a")</f>
        <v>39760917.698599</v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</row>
    <row r="40" customFormat="false" ht="15" hidden="false" customHeight="false" outlineLevel="0" collapsed="false">
      <c r="A40" s="33" t="s">
        <v>192</v>
      </c>
      <c r="B40" s="6"/>
      <c r="C40" s="6"/>
      <c r="D40" s="6"/>
      <c r="E40" s="6"/>
      <c r="F40" s="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21.75" hidden="false" customHeight="true" outlineLevel="0" collapsed="false">
      <c r="A1" s="17" t="s">
        <v>193</v>
      </c>
      <c r="I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0</v>
      </c>
    </row>
    <row r="5" customFormat="false" ht="15.75" hidden="false" customHeight="true" outlineLevel="0" collapsed="false">
      <c r="A5" s="7" t="s">
        <v>194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28"/>
      <c r="B6" s="29" t="s">
        <v>195</v>
      </c>
      <c r="C6" s="29" t="s">
        <v>196</v>
      </c>
    </row>
    <row r="7" customFormat="false" ht="15" hidden="false" customHeight="false" outlineLevel="0" collapsed="false">
      <c r="A7" s="6" t="s">
        <v>197</v>
      </c>
      <c r="B7" s="30" t="n">
        <f aca="false">Inputs!E46</f>
        <v>1000000</v>
      </c>
      <c r="C7" s="77" t="n">
        <f aca="false">IF($B$9=0,0,B7/$B$9)</f>
        <v>1</v>
      </c>
    </row>
    <row r="8" customFormat="false" ht="15" hidden="false" customHeight="false" outlineLevel="0" collapsed="false">
      <c r="A8" s="6" t="s">
        <v>198</v>
      </c>
      <c r="B8" s="30" t="n">
        <f aca="false">Inputs!E47</f>
        <v>0</v>
      </c>
      <c r="C8" s="77" t="n">
        <f aca="false">IF($B$9=0,0,B8/$B$9)</f>
        <v>0</v>
      </c>
    </row>
    <row r="9" customFormat="false" ht="15" hidden="false" customHeight="false" outlineLevel="0" collapsed="false">
      <c r="A9" s="31" t="s">
        <v>199</v>
      </c>
      <c r="B9" s="46" t="n">
        <f aca="false">B7+B8</f>
        <v>1000000</v>
      </c>
      <c r="C9" s="78" t="n">
        <f aca="false">IF($B$9=0,0,B9/$B$9)</f>
        <v>1</v>
      </c>
    </row>
    <row r="10" customFormat="false" ht="15" hidden="false" customHeight="false" outlineLevel="0" collapsed="false">
      <c r="A10" s="6" t="s">
        <v>200</v>
      </c>
      <c r="B10" s="79" t="n">
        <f aca="false">IF(B7=0,0,B8/B7)</f>
        <v>0</v>
      </c>
    </row>
    <row r="11" customFormat="false" ht="15" hidden="false" customHeight="false" outlineLevel="0" collapsed="false">
      <c r="A11" s="6" t="s">
        <v>201</v>
      </c>
      <c r="B11" s="30" t="n">
        <f aca="false">'Break-even'!B12</f>
        <v>1145773.53333333</v>
      </c>
    </row>
    <row r="12" customFormat="false" ht="15" hidden="false" customHeight="false" outlineLevel="0" collapsed="false">
      <c r="A12" s="35" t="s">
        <v>202</v>
      </c>
      <c r="B12" s="36" t="n">
        <f aca="false">'Break-even'!B17</f>
        <v>-145773.533333333</v>
      </c>
      <c r="C12" s="35"/>
    </row>
    <row r="14" customFormat="false" ht="15.75" hidden="false" customHeight="true" outlineLevel="0" collapsed="false">
      <c r="A14" s="7" t="str">
        <f aca="false">"Sources and uses — first "&amp;$B$15&amp;" months ($'000)"</f>
        <v>Sources and uses — first 12 months ($'000)</v>
      </c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3" t="s">
        <v>203</v>
      </c>
      <c r="B15" s="80" t="n">
        <v>12</v>
      </c>
    </row>
    <row r="16" customFormat="false" ht="15" hidden="false" customHeight="false" outlineLevel="0" collapsed="false">
      <c r="A16" s="28" t="s">
        <v>204</v>
      </c>
      <c r="B16" s="29" t="s">
        <v>195</v>
      </c>
      <c r="C16" s="29" t="s">
        <v>196</v>
      </c>
      <c r="E16" s="28" t="s">
        <v>205</v>
      </c>
      <c r="F16" s="29" t="s">
        <v>195</v>
      </c>
      <c r="G16" s="29" t="s">
        <v>196</v>
      </c>
    </row>
    <row r="17" customFormat="false" ht="15" hidden="false" customHeight="false" outlineLevel="0" collapsed="false">
      <c r="A17" s="6" t="s">
        <v>61</v>
      </c>
      <c r="B17" s="45" t="n">
        <f aca="false">SUMPRODUCT(--(Monthly!$C$4:$BJ$4&lt;=$B$15),Monthly!$C$72:$BJ$72)</f>
        <v>1000000</v>
      </c>
      <c r="C17" s="77" t="n">
        <f aca="false">IF($B$21=0,0,B17/$B$21)</f>
        <v>0.305517523805997</v>
      </c>
      <c r="E17" s="6" t="s">
        <v>206</v>
      </c>
      <c r="F17" s="45" t="n">
        <f aca="false">MAX(0,-SUMPRODUCT(--(Monthly!$C$4:$BJ$4&lt;=$B$15),Monthly!$C$70:$BJ$70))</f>
        <v>0</v>
      </c>
      <c r="G17" s="77" t="n">
        <f aca="false">IF($F$21=0,0,F17/$F$21)</f>
        <v>0</v>
      </c>
    </row>
    <row r="18" customFormat="false" ht="15" hidden="false" customHeight="false" outlineLevel="0" collapsed="false">
      <c r="A18" s="6" t="s">
        <v>207</v>
      </c>
      <c r="B18" s="45" t="n">
        <f aca="false">SUMPRODUCT(--(Monthly!$C$4:$BJ$4&lt;=$B$15),Monthly!$C$55:$BJ$55)</f>
        <v>0</v>
      </c>
      <c r="C18" s="77" t="n">
        <f aca="false">IF($B$21=0,0,B18/$B$21)</f>
        <v>0</v>
      </c>
      <c r="E18" s="6" t="s">
        <v>80</v>
      </c>
      <c r="F18" s="45" t="n">
        <f aca="false">-SUMPRODUCT(--(Monthly!$C$4:$BJ$4&lt;=$B$15),Monthly!$C$71:$BJ$71)</f>
        <v>150000</v>
      </c>
      <c r="G18" s="77" t="n">
        <f aca="false">IF($F$21=0,0,F18/$F$21)</f>
        <v>0.0458276285708996</v>
      </c>
    </row>
    <row r="19" customFormat="false" ht="15" hidden="false" customHeight="false" outlineLevel="0" collapsed="false">
      <c r="A19" s="6" t="s">
        <v>208</v>
      </c>
      <c r="B19" s="45" t="n">
        <f aca="false">MAX(0,SUMPRODUCT(--(Monthly!$C$4:$BJ$4&lt;=$B$15),Monthly!$C$70:$BJ$70))</f>
        <v>2273134.67176108</v>
      </c>
      <c r="C19" s="77" t="n">
        <f aca="false">IF($B$21=0,0,B19/$B$21)</f>
        <v>0.694482476194003</v>
      </c>
      <c r="E19" s="6" t="s">
        <v>209</v>
      </c>
      <c r="F19" s="45" t="n">
        <f aca="false">-SUMPRODUCT(--(Monthly!$C$4:$BJ$4&lt;=$B$15),Monthly!$C$56:$BJ$56)</f>
        <v>-0</v>
      </c>
      <c r="G19" s="77" t="n">
        <f aca="false">IF($F$21=0,0,F19/$F$21)</f>
        <v>-0</v>
      </c>
    </row>
    <row r="20" customFormat="false" ht="15" hidden="false" customHeight="false" outlineLevel="0" collapsed="false">
      <c r="E20" s="6" t="s">
        <v>210</v>
      </c>
      <c r="F20" s="45" t="n">
        <f aca="false">INDEX(Monthly!$C$76:$BJ$76,$B$15)</f>
        <v>3123134.67176108</v>
      </c>
      <c r="G20" s="77" t="n">
        <f aca="false">IF($F$21=0,0,F20/$F$21)</f>
        <v>0.954172371429101</v>
      </c>
    </row>
    <row r="21" customFormat="false" ht="15" hidden="false" customHeight="false" outlineLevel="0" collapsed="false">
      <c r="A21" s="35" t="s">
        <v>211</v>
      </c>
      <c r="B21" s="48" t="n">
        <f aca="false">SUM(B17:B20)</f>
        <v>3273134.67176108</v>
      </c>
      <c r="C21" s="81" t="n">
        <f aca="false">IF(B21=0,0,1)</f>
        <v>1</v>
      </c>
      <c r="E21" s="35" t="s">
        <v>212</v>
      </c>
      <c r="F21" s="48" t="n">
        <f aca="false">SUM(F17:F20)</f>
        <v>3273134.67176108</v>
      </c>
      <c r="G21" s="81" t="n">
        <f aca="false">IF(F21=0,0,1)</f>
        <v>1</v>
      </c>
    </row>
    <row r="22" customFormat="false" ht="15" hidden="false" customHeight="false" outlineLevel="0" collapsed="false">
      <c r="A22" s="16" t="s">
        <v>213</v>
      </c>
      <c r="B22" s="82" t="n">
        <f aca="false">B21-F21</f>
        <v>0</v>
      </c>
    </row>
  </sheetData>
  <dataValidations count="1">
    <dataValidation allowBlank="false" errorStyle="stop" operator="between" prompt="1 to 60" promptTitle="Months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6" min="2" style="0" width="10.51"/>
    <col collapsed="false" customWidth="true" hidden="false" outlineLevel="0" max="7" min="7" style="0" width="11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83" t="s">
        <v>214</v>
      </c>
      <c r="B1" s="84"/>
      <c r="C1" s="84"/>
      <c r="D1" s="84"/>
      <c r="E1" s="84"/>
      <c r="F1" s="84"/>
      <c r="G1" s="84"/>
      <c r="I1" s="18" t="str">
        <f aca="false">HYPERLINK("#'Cover'!A1","◂ Contents")</f>
        <v>◂ Contents</v>
      </c>
    </row>
    <row r="2" customFormat="false" ht="15" hidden="false" customHeight="false" outlineLevel="0" collapsed="false">
      <c r="A2" s="85" t="s">
        <v>215</v>
      </c>
      <c r="B2" s="84"/>
      <c r="C2" s="84"/>
      <c r="D2" s="84"/>
      <c r="E2" s="84"/>
      <c r="F2" s="84"/>
      <c r="G2" s="84"/>
    </row>
    <row r="3" customFormat="false" ht="15" hidden="false" customHeight="false" outlineLevel="0" collapsed="false">
      <c r="A3" s="84"/>
      <c r="B3" s="84"/>
      <c r="C3" s="84"/>
      <c r="D3" s="84"/>
      <c r="E3" s="84"/>
      <c r="F3" s="84"/>
      <c r="G3" s="84"/>
    </row>
    <row r="4" customFormat="false" ht="15.75" hidden="false" customHeight="true" outlineLevel="0" collapsed="false">
      <c r="A4" s="86" t="s">
        <v>216</v>
      </c>
      <c r="B4" s="86"/>
      <c r="C4" s="86"/>
      <c r="D4" s="86"/>
      <c r="E4" s="86"/>
      <c r="F4" s="86"/>
      <c r="G4" s="86"/>
    </row>
    <row r="5" customFormat="false" ht="15" hidden="false" customHeight="false" outlineLevel="0" collapsed="false">
      <c r="A5" s="28"/>
      <c r="B5" s="29" t="str">
        <f aca="false">'P&amp;L'!B4</f>
        <v>Year 1</v>
      </c>
      <c r="C5" s="29" t="str">
        <f aca="false">'P&amp;L'!C4</f>
        <v>Year 2</v>
      </c>
      <c r="D5" s="29" t="str">
        <f aca="false">'P&amp;L'!D4</f>
        <v>Year 3</v>
      </c>
      <c r="E5" s="29" t="str">
        <f aca="false">'P&amp;L'!E4</f>
        <v>Year 4</v>
      </c>
      <c r="F5" s="29" t="str">
        <f aca="false">'P&amp;L'!F4</f>
        <v>Year 5</v>
      </c>
      <c r="G5" s="29" t="s">
        <v>217</v>
      </c>
    </row>
    <row r="6" customFormat="false" ht="15" hidden="false" customHeight="false" outlineLevel="0" collapsed="false">
      <c r="A6" s="84" t="s">
        <v>218</v>
      </c>
      <c r="B6" s="87" t="s">
        <v>219</v>
      </c>
      <c r="C6" s="87" t="n">
        <f aca="false">IF('P&amp;L'!B5=0,0,'P&amp;L'!C5/'P&amp;L'!B5-1)</f>
        <v>0.26716027376429</v>
      </c>
      <c r="D6" s="87" t="n">
        <f aca="false">IF('P&amp;L'!C5=0,0,'P&amp;L'!D5/'P&amp;L'!C5-1)</f>
        <v>0.270519022973678</v>
      </c>
      <c r="E6" s="87" t="n">
        <f aca="false">IF('P&amp;L'!D5=0,0,'P&amp;L'!E5/'P&amp;L'!D5-1)</f>
        <v>0.273490381273684</v>
      </c>
      <c r="F6" s="87" t="n">
        <f aca="false">IF('P&amp;L'!E5=0,0,'P&amp;L'!F5/'P&amp;L'!E5-1)</f>
        <v>0.276192059909123</v>
      </c>
      <c r="G6" s="88"/>
    </row>
    <row r="7" customFormat="false" ht="15" hidden="false" customHeight="false" outlineLevel="0" collapsed="false">
      <c r="A7" s="84" t="s">
        <v>44</v>
      </c>
      <c r="B7" s="87" t="n">
        <f aca="false">'P&amp;L'!B8</f>
        <v>0.892216994425039</v>
      </c>
      <c r="C7" s="87" t="n">
        <f aca="false">'P&amp;L'!C8</f>
        <v>0.89257339648446</v>
      </c>
      <c r="D7" s="87" t="n">
        <f aca="false">'P&amp;L'!D8</f>
        <v>0.892874261597397</v>
      </c>
      <c r="E7" s="87" t="n">
        <f aca="false">'P&amp;L'!E8</f>
        <v>0.893136483696182</v>
      </c>
      <c r="F7" s="87" t="n">
        <f aca="false">'P&amp;L'!F8</f>
        <v>0.893371393974761</v>
      </c>
      <c r="G7" s="88"/>
    </row>
    <row r="8" customFormat="false" ht="15" hidden="false" customHeight="false" outlineLevel="0" collapsed="false">
      <c r="A8" s="84" t="s">
        <v>47</v>
      </c>
      <c r="B8" s="87" t="n">
        <f aca="false">'P&amp;L'!B16</f>
        <v>0.146149191904513</v>
      </c>
      <c r="C8" s="87" t="n">
        <f aca="false">'P&amp;L'!C16</f>
        <v>0.173765198888018</v>
      </c>
      <c r="D8" s="87" t="n">
        <f aca="false">'P&amp;L'!D16</f>
        <v>0.20025835333845</v>
      </c>
      <c r="E8" s="87" t="n">
        <f aca="false">'P&amp;L'!E16</f>
        <v>0.225770482343795</v>
      </c>
      <c r="F8" s="87" t="n">
        <f aca="false">'P&amp;L'!F16</f>
        <v>0.250442859043438</v>
      </c>
      <c r="G8" s="88"/>
    </row>
    <row r="9" customFormat="false" ht="15" hidden="false" customHeight="false" outlineLevel="0" collapsed="false">
      <c r="A9" s="84" t="s">
        <v>49</v>
      </c>
      <c r="B9" s="87" t="n">
        <f aca="false">'P&amp;L'!B23</f>
        <v>0.111591667466294</v>
      </c>
      <c r="C9" s="87" t="n">
        <f aca="false">'P&amp;L'!C23</f>
        <v>0.134223437562048</v>
      </c>
      <c r="D9" s="87" t="n">
        <f aca="false">'P&amp;L'!D23</f>
        <v>0.155802663578902</v>
      </c>
      <c r="E9" s="87" t="n">
        <f aca="false">'P&amp;L'!E23</f>
        <v>0.178358681051598</v>
      </c>
      <c r="F9" s="87" t="n">
        <f aca="false">'P&amp;L'!F23</f>
        <v>0.197849858644316</v>
      </c>
      <c r="G9" s="88"/>
    </row>
    <row r="10" customFormat="false" ht="15" hidden="false" customHeight="false" outlineLevel="0" collapsed="false">
      <c r="A10" s="84" t="s">
        <v>220</v>
      </c>
      <c r="B10" s="87" t="n">
        <f aca="false">IF('P&amp;L'!B5=0,0,-'P&amp;L'!B9/'P&amp;L'!B5)</f>
        <v>0.614284415488406</v>
      </c>
      <c r="C10" s="87" t="n">
        <f aca="false">IF('P&amp;L'!C5=0,0,-'P&amp;L'!C9/'P&amp;L'!C5)</f>
        <v>0.602393286814595</v>
      </c>
      <c r="D10" s="87" t="n">
        <f aca="false">IF('P&amp;L'!D5=0,0,-'P&amp;L'!D9/'P&amp;L'!D5)</f>
        <v>0.589266207668576</v>
      </c>
      <c r="E10" s="87" t="n">
        <f aca="false">IF('P&amp;L'!E5=0,0,-'P&amp;L'!E9/'P&amp;L'!E5)</f>
        <v>0.575170351742255</v>
      </c>
      <c r="F10" s="87" t="n">
        <f aca="false">IF('P&amp;L'!F5=0,0,-'P&amp;L'!F9/'P&amp;L'!F5)</f>
        <v>0.560307974873808</v>
      </c>
      <c r="G10" s="88"/>
    </row>
    <row r="11" customFormat="false" ht="15" hidden="false" customHeight="false" outlineLevel="0" collapsed="false">
      <c r="A11" s="84" t="s">
        <v>221</v>
      </c>
      <c r="B11" s="87" t="n">
        <f aca="false">IF('P&amp;L'!B5=0,0,-'P&amp;L'!B10/'P&amp;L'!B5)</f>
        <v>0.0704723994824175</v>
      </c>
      <c r="C11" s="87" t="n">
        <f aca="false">IF('P&amp;L'!C5=0,0,-'P&amp;L'!C10/'P&amp;L'!C5)</f>
        <v>0.0667373189720369</v>
      </c>
      <c r="D11" s="87" t="n">
        <f aca="false">IF('P&amp;L'!D5=0,0,-'P&amp;L'!D10/'P&amp;L'!D5)</f>
        <v>0.0630331237221494</v>
      </c>
      <c r="E11" s="87" t="n">
        <f aca="false">IF('P&amp;L'!E5=0,0,-'P&amp;L'!E10/'P&amp;L'!E5)</f>
        <v>0.0593956181992738</v>
      </c>
      <c r="F11" s="87" t="n">
        <f aca="false">IF('P&amp;L'!F5=0,0,-'P&amp;L'!F10/'P&amp;L'!F5)</f>
        <v>0.0558495418347956</v>
      </c>
      <c r="G11" s="88"/>
    </row>
    <row r="12" customFormat="false" ht="15" hidden="false" customHeight="false" outlineLevel="0" collapsed="false">
      <c r="A12" s="84" t="s">
        <v>222</v>
      </c>
      <c r="B12" s="87" t="n">
        <f aca="false">IF('P&amp;L'!B5=0,0,-'P&amp;L'!B14/'P&amp;L'!B5)</f>
        <v>0.746067802520526</v>
      </c>
      <c r="C12" s="87" t="n">
        <f aca="false">IF('P&amp;L'!C5=0,0,-'P&amp;L'!C14/'P&amp;L'!C5)</f>
        <v>0.718808197596442</v>
      </c>
      <c r="D12" s="87" t="n">
        <f aca="false">IF('P&amp;L'!D5=0,0,-'P&amp;L'!D14/'P&amp;L'!D5)</f>
        <v>0.692615908258947</v>
      </c>
      <c r="E12" s="87" t="n">
        <f aca="false">IF('P&amp;L'!E5=0,0,-'P&amp;L'!E14/'P&amp;L'!E5)</f>
        <v>0.667366001352387</v>
      </c>
      <c r="F12" s="87" t="n">
        <f aca="false">IF('P&amp;L'!F5=0,0,-'P&amp;L'!F14/'P&amp;L'!F5)</f>
        <v>0.642928534931324</v>
      </c>
      <c r="G12" s="88"/>
    </row>
    <row r="13" customFormat="false" ht="15" hidden="false" customHeight="false" outlineLevel="0" collapsed="false">
      <c r="A13" s="84" t="s">
        <v>223</v>
      </c>
      <c r="B13" s="89" t="n">
        <f aca="false">IF(('Balance Sheet'!B10+'Balance Sheet'!B11)=0,0,('Balance Sheet'!B5+'Balance Sheet'!B6+'Balance Sheet'!B7)/('Balance Sheet'!B10+'Balance Sheet'!B11))</f>
        <v>2.64543145015721</v>
      </c>
      <c r="C13" s="89" t="n">
        <f aca="false">IF(('Balance Sheet'!C10+'Balance Sheet'!C11)=0,0,('Balance Sheet'!C5+'Balance Sheet'!C6+'Balance Sheet'!C7)/('Balance Sheet'!C10+'Balance Sheet'!C11))</f>
        <v>3.4340025456012</v>
      </c>
      <c r="D13" s="89" t="n">
        <f aca="false">IF(('Balance Sheet'!D10+'Balance Sheet'!D11)=0,0,('Balance Sheet'!D5+'Balance Sheet'!D6+'Balance Sheet'!D7)/('Balance Sheet'!D10+'Balance Sheet'!D11))</f>
        <v>4.22064374139618</v>
      </c>
      <c r="E13" s="89" t="n">
        <f aca="false">IF(('Balance Sheet'!E10+'Balance Sheet'!E11)=0,0,('Balance Sheet'!E5+'Balance Sheet'!E6+'Balance Sheet'!E7)/('Balance Sheet'!E10+'Balance Sheet'!E11))</f>
        <v>4.99299091004671</v>
      </c>
      <c r="F13" s="89" t="n">
        <f aca="false">IF(('Balance Sheet'!F10+'Balance Sheet'!F11)=0,0,('Balance Sheet'!F5+'Balance Sheet'!F6+'Balance Sheet'!F7)/('Balance Sheet'!F10+'Balance Sheet'!F11))</f>
        <v>5.7516278110574</v>
      </c>
      <c r="G13" s="90"/>
    </row>
    <row r="14" customFormat="false" ht="15" hidden="false" customHeight="false" outlineLevel="0" collapsed="false">
      <c r="A14" s="84" t="s">
        <v>224</v>
      </c>
      <c r="B14" s="89" t="n">
        <f aca="false">IF('Balance Sheet'!B16&lt;=0,0,'Balance Sheet'!B12/'Balance Sheet'!B16)</f>
        <v>0</v>
      </c>
      <c r="C14" s="89" t="n">
        <f aca="false">IF('Balance Sheet'!C16&lt;=0,0,'Balance Sheet'!C12/'Balance Sheet'!C16)</f>
        <v>0</v>
      </c>
      <c r="D14" s="89" t="n">
        <f aca="false">IF('Balance Sheet'!D16&lt;=0,0,'Balance Sheet'!D12/'Balance Sheet'!D16)</f>
        <v>0</v>
      </c>
      <c r="E14" s="89" t="n">
        <f aca="false">IF('Balance Sheet'!E16&lt;=0,0,'Balance Sheet'!E12/'Balance Sheet'!E16)</f>
        <v>0</v>
      </c>
      <c r="F14" s="89" t="n">
        <f aca="false">IF('Balance Sheet'!F16&lt;=0,0,'Balance Sheet'!F12/'Balance Sheet'!F16)</f>
        <v>0</v>
      </c>
      <c r="G14" s="90"/>
    </row>
    <row r="15" customFormat="false" ht="15" hidden="false" customHeight="false" outlineLevel="0" collapsed="false">
      <c r="A15" s="84" t="s">
        <v>225</v>
      </c>
      <c r="B15" s="87" t="n">
        <f aca="false">IF('Balance Sheet'!B9=0,0,'P&amp;L'!B22/'Balance Sheet'!B9)</f>
        <v>0.337312768492013</v>
      </c>
      <c r="C15" s="87" t="n">
        <f aca="false">IF('Balance Sheet'!C9=0,0,'P&amp;L'!C22/'Balance Sheet'!C9)</f>
        <v>0.318817453881575</v>
      </c>
      <c r="D15" s="87" t="n">
        <f aca="false">IF('Balance Sheet'!D9=0,0,'P&amp;L'!D22/'Balance Sheet'!D9)</f>
        <v>0.303629620401887</v>
      </c>
      <c r="E15" s="87" t="n">
        <f aca="false">IF('Balance Sheet'!E9=0,0,'P&amp;L'!E22/'Balance Sheet'!E9)</f>
        <v>0.293596571536278</v>
      </c>
      <c r="F15" s="87" t="n">
        <f aca="false">IF('Balance Sheet'!F9=0,0,'P&amp;L'!F22/'Balance Sheet'!F9)</f>
        <v>0.282526052193057</v>
      </c>
      <c r="G15" s="88"/>
    </row>
    <row r="16" customFormat="false" ht="15" hidden="false" customHeight="false" outlineLevel="0" collapsed="false">
      <c r="A16" s="84" t="s">
        <v>226</v>
      </c>
      <c r="B16" s="87" t="n">
        <f aca="false">IF('Balance Sheet'!B16&lt;=0,0,'P&amp;L'!B22/'Balance Sheet'!B16)</f>
        <v>0.532733410145934</v>
      </c>
      <c r="C16" s="87" t="n">
        <f aca="false">IF('Balance Sheet'!C16&lt;=0,0,'P&amp;L'!C22/'Balance Sheet'!C16)</f>
        <v>0.448113395393362</v>
      </c>
      <c r="D16" s="87" t="n">
        <f aca="false">IF('Balance Sheet'!D16&lt;=0,0,'P&amp;L'!D22/'Balance Sheet'!D16)</f>
        <v>0.397905685928544</v>
      </c>
      <c r="E16" s="87" t="n">
        <f aca="false">IF('Balance Sheet'!E16&lt;=0,0,'P&amp;L'!E22/'Balance Sheet'!E16)</f>
        <v>0.367124555483741</v>
      </c>
      <c r="F16" s="87" t="n">
        <f aca="false">IF('Balance Sheet'!F16&lt;=0,0,'P&amp;L'!F22/'Balance Sheet'!F16)</f>
        <v>0.341984844722135</v>
      </c>
      <c r="G16" s="88"/>
    </row>
    <row r="17" customFormat="false" ht="15" hidden="false" customHeight="false" outlineLevel="0" collapsed="false">
      <c r="A17" s="84"/>
      <c r="B17" s="84"/>
      <c r="C17" s="84"/>
      <c r="D17" s="84"/>
      <c r="E17" s="84"/>
      <c r="F17" s="84"/>
      <c r="G17" s="84"/>
    </row>
    <row r="18" customFormat="false" ht="15.75" hidden="false" customHeight="true" outlineLevel="0" collapsed="false">
      <c r="A18" s="86" t="s">
        <v>227</v>
      </c>
      <c r="B18" s="91"/>
      <c r="C18" s="86"/>
      <c r="D18" s="86"/>
      <c r="E18" s="86"/>
      <c r="F18" s="86"/>
      <c r="G18" s="86"/>
    </row>
    <row r="19" customFormat="false" ht="15" hidden="false" customHeight="false" outlineLevel="0" collapsed="false">
      <c r="A19" s="28"/>
      <c r="B19" s="92" t="str">
        <f aca="false">'P&amp;L'!B4</f>
        <v>Year 1</v>
      </c>
      <c r="C19" s="29" t="str">
        <f aca="false">'P&amp;L'!C4</f>
        <v>Year 2</v>
      </c>
      <c r="D19" s="29" t="str">
        <f aca="false">'P&amp;L'!D4</f>
        <v>Year 3</v>
      </c>
      <c r="E19" s="29" t="str">
        <f aca="false">'P&amp;L'!E4</f>
        <v>Year 4</v>
      </c>
      <c r="F19" s="29" t="str">
        <f aca="false">'P&amp;L'!F4</f>
        <v>Year 5</v>
      </c>
      <c r="G19" s="84"/>
    </row>
    <row r="20" customFormat="false" ht="15" hidden="false" customHeight="false" outlineLevel="0" collapsed="false">
      <c r="A20" s="84" t="s">
        <v>49</v>
      </c>
      <c r="B20" s="87" t="n">
        <f aca="false">'P&amp;L'!B23</f>
        <v>0.111591667466294</v>
      </c>
      <c r="C20" s="87" t="n">
        <f aca="false">'P&amp;L'!C23</f>
        <v>0.134223437562048</v>
      </c>
      <c r="D20" s="87" t="n">
        <f aca="false">'P&amp;L'!D23</f>
        <v>0.155802663578902</v>
      </c>
      <c r="E20" s="87" t="n">
        <f aca="false">'P&amp;L'!E23</f>
        <v>0.178358681051598</v>
      </c>
      <c r="F20" s="87" t="n">
        <f aca="false">'P&amp;L'!F23</f>
        <v>0.197849858644316</v>
      </c>
      <c r="G20" s="84"/>
    </row>
    <row r="21" customFormat="false" ht="15" hidden="false" customHeight="false" outlineLevel="0" collapsed="false">
      <c r="A21" s="84" t="s">
        <v>228</v>
      </c>
      <c r="B21" s="89" t="n">
        <f aca="false">IF('Balance Sheet'!B9=0,0,'P&amp;L'!B5/'Balance Sheet'!B9)</f>
        <v>3.02274153752474</v>
      </c>
      <c r="C21" s="89" t="n">
        <f aca="false">IF('Balance Sheet'!C9=0,0,'P&amp;L'!C5/'Balance Sheet'!C9)</f>
        <v>2.37527409275443</v>
      </c>
      <c r="D21" s="89" t="n">
        <f aca="false">IF('Balance Sheet'!D9=0,0,'P&amp;L'!D5/'Balance Sheet'!D9)</f>
        <v>1.94880891909862</v>
      </c>
      <c r="E21" s="89" t="n">
        <f aca="false">IF('Balance Sheet'!E9=0,0,'P&amp;L'!E5/'Balance Sheet'!E9)</f>
        <v>1.64610194359614</v>
      </c>
      <c r="F21" s="89" t="n">
        <f aca="false">IF('Balance Sheet'!F9=0,0,'P&amp;L'!F5/'Balance Sheet'!F9)</f>
        <v>1.42798207756604</v>
      </c>
      <c r="G21" s="84"/>
    </row>
    <row r="22" customFormat="false" ht="15" hidden="false" customHeight="false" outlineLevel="0" collapsed="false">
      <c r="A22" s="84" t="s">
        <v>229</v>
      </c>
      <c r="B22" s="89" t="n">
        <f aca="false">IF('Balance Sheet'!B16&lt;=0,0,'Balance Sheet'!B9/'Balance Sheet'!B16)</f>
        <v>1.57934552115405</v>
      </c>
      <c r="C22" s="89" t="n">
        <f aca="false">IF('Balance Sheet'!C16&lt;=0,0,'Balance Sheet'!C9/'Balance Sheet'!C16)</f>
        <v>1.40554850412868</v>
      </c>
      <c r="D22" s="89" t="n">
        <f aca="false">IF('Balance Sheet'!D16&lt;=0,0,'Balance Sheet'!D9/'Balance Sheet'!D16)</f>
        <v>1.31049693176138</v>
      </c>
      <c r="E22" s="89" t="n">
        <f aca="false">IF('Balance Sheet'!E16&lt;=0,0,'Balance Sheet'!E9/'Balance Sheet'!E16)</f>
        <v>1.25043883708423</v>
      </c>
      <c r="F22" s="89" t="n">
        <f aca="false">IF('Balance Sheet'!F16&lt;=0,0,'Balance Sheet'!F9/'Balance Sheet'!F16)</f>
        <v>1.21045419375502</v>
      </c>
      <c r="G22" s="84"/>
    </row>
    <row r="23" customFormat="false" ht="15" hidden="false" customHeight="false" outlineLevel="0" collapsed="false">
      <c r="A23" s="35" t="s">
        <v>230</v>
      </c>
      <c r="B23" s="81" t="n">
        <f aca="false">B20*B21*B22</f>
        <v>0.532733410145934</v>
      </c>
      <c r="C23" s="81" t="n">
        <f aca="false">C20*C21*C22</f>
        <v>0.448113395393362</v>
      </c>
      <c r="D23" s="81" t="n">
        <f aca="false">D20*D21*D22</f>
        <v>0.397905685928544</v>
      </c>
      <c r="E23" s="81" t="n">
        <f aca="false">E20*E21*E22</f>
        <v>0.367124555483741</v>
      </c>
      <c r="F23" s="81" t="n">
        <f aca="false">F20*F21*F22</f>
        <v>0.341984844722135</v>
      </c>
      <c r="G23" s="84"/>
    </row>
    <row r="24" customFormat="false" ht="15.75" hidden="false" customHeight="true" outlineLevel="0" collapsed="false">
      <c r="A24" s="7" t="s">
        <v>55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4" t="s">
        <v>156</v>
      </c>
      <c r="B25" s="64" t="n">
        <v>1</v>
      </c>
      <c r="C25" s="64" t="n">
        <v>2</v>
      </c>
      <c r="D25" s="64" t="n">
        <v>3</v>
      </c>
      <c r="E25" s="64" t="n">
        <v>4</v>
      </c>
      <c r="F25" s="64" t="n">
        <v>5</v>
      </c>
    </row>
    <row r="26" customFormat="false" ht="15" hidden="false" customHeight="false" outlineLevel="0" collapsed="false">
      <c r="A26" s="28"/>
      <c r="B26" s="29" t="s">
        <v>157</v>
      </c>
      <c r="C26" s="29" t="s">
        <v>158</v>
      </c>
      <c r="D26" s="29" t="s">
        <v>159</v>
      </c>
      <c r="E26" s="29" t="s">
        <v>160</v>
      </c>
      <c r="F26" s="29" t="s">
        <v>161</v>
      </c>
      <c r="G26" s="29" t="s">
        <v>217</v>
      </c>
    </row>
    <row r="27" customFormat="false" ht="15" hidden="false" customHeight="false" outlineLevel="0" collapsed="false">
      <c r="A27" s="5" t="s">
        <v>231</v>
      </c>
      <c r="B27" s="93" t="n">
        <f aca="false">INDEX(Monthly!$C$13:$BJ$13,B$25*12)</f>
        <v>3608.18278275012</v>
      </c>
      <c r="C27" s="93" t="n">
        <f aca="false">INDEX(Monthly!$C$13:$BJ$13,C$25*12)</f>
        <v>4380.8763350911</v>
      </c>
      <c r="D27" s="93" t="n">
        <f aca="false">INDEX(Monthly!$C$13:$BJ$13,D$25*12)</f>
        <v>5357.14079214784</v>
      </c>
      <c r="E27" s="93" t="n">
        <f aca="false">INDEX(Monthly!$C$13:$BJ$13,E$25*12)</f>
        <v>6586.80773660826</v>
      </c>
      <c r="F27" s="93" t="n">
        <f aca="false">INDEX(Monthly!$C$13:$BJ$13,F$25*12)</f>
        <v>8133.33786480438</v>
      </c>
      <c r="G27" s="94"/>
    </row>
    <row r="28" customFormat="false" ht="15" hidden="false" customHeight="false" outlineLevel="0" collapsed="false">
      <c r="A28" s="6" t="s">
        <v>232</v>
      </c>
      <c r="B28" s="95" t="n">
        <f aca="false">SUMIF(Monthly!$C$5:$BJ$5,B$25,Monthly!$C$10:$BJ$10)</f>
        <v>1200</v>
      </c>
      <c r="C28" s="95" t="n">
        <f aca="false">SUMIF(Monthly!$C$5:$BJ$5,C$25,Monthly!$C$10:$BJ$10)</f>
        <v>1488</v>
      </c>
      <c r="D28" s="95" t="n">
        <f aca="false">SUMIF(Monthly!$C$5:$BJ$5,D$25,Monthly!$C$10:$BJ$10)</f>
        <v>1848</v>
      </c>
      <c r="E28" s="95" t="n">
        <f aca="false">SUMIF(Monthly!$C$5:$BJ$5,E$25,Monthly!$C$10:$BJ$10)</f>
        <v>2298.72</v>
      </c>
      <c r="F28" s="95" t="n">
        <f aca="false">SUMIF(Monthly!$C$5:$BJ$5,F$25,Monthly!$C$10:$BJ$10)</f>
        <v>2863.92</v>
      </c>
      <c r="G28" s="94"/>
    </row>
    <row r="29" customFormat="false" ht="15" hidden="false" customHeight="false" outlineLevel="0" collapsed="false">
      <c r="A29" s="6" t="s">
        <v>233</v>
      </c>
      <c r="B29" s="95" t="n">
        <f aca="false">SUMIF(Monthly!$C$5:$BJ$5,B$25,Monthly!$C$12:$BJ$12)</f>
        <v>-591.817217249883</v>
      </c>
      <c r="C29" s="95" t="n">
        <f aca="false">SUMIF(Monthly!$C$5:$BJ$5,C$25,Monthly!$C$12:$BJ$12)</f>
        <v>-715.306447659016</v>
      </c>
      <c r="D29" s="95" t="n">
        <f aca="false">SUMIF(Monthly!$C$5:$BJ$5,D$25,Monthly!$C$12:$BJ$12)</f>
        <v>-871.735542943264</v>
      </c>
      <c r="E29" s="95" t="n">
        <f aca="false">SUMIF(Monthly!$C$5:$BJ$5,E$25,Monthly!$C$12:$BJ$12)</f>
        <v>-1069.05305553958</v>
      </c>
      <c r="F29" s="95" t="n">
        <f aca="false">SUMIF(Monthly!$C$5:$BJ$5,F$25,Monthly!$C$12:$BJ$12)</f>
        <v>-1317.38987180388</v>
      </c>
      <c r="G29" s="94"/>
    </row>
    <row r="30" customFormat="false" ht="15" hidden="false" customHeight="false" outlineLevel="0" collapsed="false">
      <c r="A30" s="5" t="s">
        <v>234</v>
      </c>
      <c r="B30" s="65" t="n">
        <f aca="false">INDEX(Monthly!$C$21:$BJ$21,B$25*12)</f>
        <v>948826.474496774</v>
      </c>
      <c r="C30" s="65" t="n">
        <f aca="false">INDEX(Monthly!$C$21:$BJ$21,C$25*12)</f>
        <v>1203798.53748809</v>
      </c>
      <c r="D30" s="65" t="n">
        <f aca="false">INDEX(Monthly!$C$21:$BJ$21,D$25*12)</f>
        <v>1531085.82716942</v>
      </c>
      <c r="E30" s="65" t="n">
        <f aca="false">INDEX(Monthly!$C$21:$BJ$21,E$25*12)</f>
        <v>1951687.18876522</v>
      </c>
      <c r="F30" s="65" t="n">
        <f aca="false">INDEX(Monthly!$C$21:$BJ$21,F$25*12)</f>
        <v>2492911.15870794</v>
      </c>
      <c r="G30" s="94"/>
    </row>
    <row r="31" customFormat="false" ht="15" hidden="false" customHeight="false" outlineLevel="0" collapsed="false">
      <c r="A31" s="5" t="s">
        <v>57</v>
      </c>
      <c r="B31" s="65" t="n">
        <f aca="false">B30*12</f>
        <v>11385917.6939613</v>
      </c>
      <c r="C31" s="65" t="n">
        <f aca="false">C30*12</f>
        <v>14445582.4498571</v>
      </c>
      <c r="D31" s="65" t="n">
        <f aca="false">D30*12</f>
        <v>18373029.9260331</v>
      </c>
      <c r="E31" s="65" t="n">
        <f aca="false">E30*12</f>
        <v>23420246.2651827</v>
      </c>
      <c r="F31" s="65" t="n">
        <f aca="false">F30*12</f>
        <v>29914933.9044952</v>
      </c>
      <c r="G31" s="94"/>
    </row>
    <row r="32" customFormat="false" ht="15" hidden="false" customHeight="false" outlineLevel="0" collapsed="false">
      <c r="A32" s="6" t="s">
        <v>235</v>
      </c>
      <c r="B32" s="59" t="n">
        <f aca="false">IF(B27=0,0,B30/B27)</f>
        <v>262.96519096341</v>
      </c>
      <c r="C32" s="59" t="n">
        <f aca="false">IF(C27=0,0,C30/C27)</f>
        <v>274.784870745058</v>
      </c>
      <c r="D32" s="59" t="n">
        <f aca="false">IF(D27=0,0,D30/D27)</f>
        <v>285.802797905479</v>
      </c>
      <c r="E32" s="59" t="n">
        <f aca="false">IF(E27=0,0,E30/E27)</f>
        <v>296.302437661586</v>
      </c>
      <c r="F32" s="59" t="n">
        <f aca="false">IF(F27=0,0,F30/F27)</f>
        <v>306.505299564104</v>
      </c>
      <c r="G32" s="94"/>
    </row>
    <row r="33" customFormat="false" ht="15" hidden="false" customHeight="false" outlineLevel="0" collapsed="false">
      <c r="A33" s="6" t="s">
        <v>42</v>
      </c>
      <c r="B33" s="59" t="n">
        <f aca="false">SUMIF(Monthly!$C$5:$BJ$5,B$25,Monthly!$C$24:$BJ$24)</f>
        <v>10216765.787571</v>
      </c>
      <c r="C33" s="59" t="n">
        <f aca="false">SUMIF(Monthly!$C$5:$BJ$5,C$25,Monthly!$C$24:$BJ$24)</f>
        <v>12946279.7323641</v>
      </c>
      <c r="D33" s="59" t="n">
        <f aca="false">SUMIF(Monthly!$C$5:$BJ$5,D$25,Monthly!$C$24:$BJ$24)</f>
        <v>16448494.6767072</v>
      </c>
      <c r="E33" s="59" t="n">
        <f aca="false">SUMIF(Monthly!$C$5:$BJ$5,E$25,Monthly!$C$24:$BJ$24)</f>
        <v>20946999.757218</v>
      </c>
      <c r="F33" s="59" t="n">
        <f aca="false">SUMIF(Monthly!$C$5:$BJ$5,F$25,Monthly!$C$24:$BJ$24)</f>
        <v>26732394.7690799</v>
      </c>
      <c r="G33" s="94"/>
    </row>
    <row r="34" customFormat="false" ht="15" hidden="false" customHeight="false" outlineLevel="0" collapsed="false">
      <c r="A34" s="31" t="s">
        <v>43</v>
      </c>
      <c r="B34" s="60" t="n">
        <f aca="false">SUMIF(Monthly!$C$5:$BJ$5,B$25,Monthly!$C$26:$BJ$26)</f>
        <v>9115572.06373118</v>
      </c>
      <c r="C34" s="60" t="n">
        <f aca="false">SUMIF(Monthly!$C$5:$BJ$5,C$25,Monthly!$C$26:$BJ$26)</f>
        <v>11555504.8725542</v>
      </c>
      <c r="D34" s="60" t="n">
        <f aca="false">SUMIF(Monthly!$C$5:$BJ$5,D$25,Monthly!$C$26:$BJ$26)</f>
        <v>14686437.5388536</v>
      </c>
      <c r="E34" s="60" t="n">
        <f aca="false">SUMIF(Monthly!$C$5:$BJ$5,E$25,Monthly!$C$26:$BJ$26)</f>
        <v>18708529.7071465</v>
      </c>
      <c r="F34" s="60" t="n">
        <f aca="false">SUMIF(Monthly!$C$5:$BJ$5,F$25,Monthly!$C$26:$BJ$26)</f>
        <v>23881956.7791366</v>
      </c>
      <c r="G34" s="94"/>
    </row>
    <row r="35" customFormat="false" ht="15" hidden="false" customHeight="false" outlineLevel="0" collapsed="false">
      <c r="A35" s="33" t="s">
        <v>44</v>
      </c>
      <c r="B35" s="66" t="n">
        <f aca="false">IF(B33=0,0,B34/B33)</f>
        <v>0.892216994425039</v>
      </c>
      <c r="C35" s="66" t="n">
        <f aca="false">IF(C33=0,0,C34/C33)</f>
        <v>0.89257339648446</v>
      </c>
      <c r="D35" s="66" t="n">
        <f aca="false">IF(D33=0,0,D34/D33)</f>
        <v>0.892874261597397</v>
      </c>
      <c r="E35" s="66" t="n">
        <f aca="false">IF(E33=0,0,E34/E33)</f>
        <v>0.893136483696182</v>
      </c>
      <c r="F35" s="66" t="n">
        <f aca="false">IF(F33=0,0,F34/F33)</f>
        <v>0.893371393974761</v>
      </c>
      <c r="G35" s="94"/>
    </row>
    <row r="36" customFormat="false" ht="15" hidden="false" customHeight="false" outlineLevel="0" collapsed="false">
      <c r="A36" s="6" t="s">
        <v>236</v>
      </c>
      <c r="B36" s="59" t="n">
        <f aca="false">-SUMIF(Monthly!$C$5:$BJ$5,B$25,Monthly!$C$30:$BJ$30)</f>
        <v>720000</v>
      </c>
      <c r="C36" s="59" t="n">
        <f aca="false">-SUMIF(Monthly!$C$5:$BJ$5,C$25,Monthly!$C$30:$BJ$30)</f>
        <v>864000</v>
      </c>
      <c r="D36" s="59" t="n">
        <f aca="false">-SUMIF(Monthly!$C$5:$BJ$5,D$25,Monthly!$C$30:$BJ$30)</f>
        <v>1036800</v>
      </c>
      <c r="E36" s="59" t="n">
        <f aca="false">-SUMIF(Monthly!$C$5:$BJ$5,E$25,Monthly!$C$30:$BJ$30)</f>
        <v>1244160</v>
      </c>
      <c r="F36" s="59" t="n">
        <f aca="false">-SUMIF(Monthly!$C$5:$BJ$5,F$25,Monthly!$C$30:$BJ$30)</f>
        <v>1492992</v>
      </c>
      <c r="G36" s="94"/>
    </row>
    <row r="37" customFormat="false" ht="15" hidden="false" customHeight="false" outlineLevel="0" collapsed="false">
      <c r="A37" s="6" t="s">
        <v>237</v>
      </c>
      <c r="B37" s="59" t="n">
        <f aca="false">IF(B28=0,0,B36/B28)</f>
        <v>600</v>
      </c>
      <c r="C37" s="59" t="n">
        <f aca="false">IF(C28=0,0,C36/C28)</f>
        <v>580.645161290323</v>
      </c>
      <c r="D37" s="59" t="n">
        <f aca="false">IF(D28=0,0,D36/D28)</f>
        <v>561.038961038961</v>
      </c>
      <c r="E37" s="59" t="n">
        <f aca="false">IF(E28=0,0,E36/E28)</f>
        <v>541.240342451451</v>
      </c>
      <c r="F37" s="59" t="n">
        <f aca="false">IF(F28=0,0,F36/F28)</f>
        <v>521.310651135507</v>
      </c>
      <c r="G37" s="94"/>
    </row>
    <row r="38" customFormat="false" ht="15" hidden="false" customHeight="false" outlineLevel="0" collapsed="false">
      <c r="A38" s="6" t="s">
        <v>238</v>
      </c>
      <c r="B38" s="67" t="n">
        <f aca="false">INDEX(Monthly!$C$81:$BJ$81,B$25*12)</f>
        <v>0.015</v>
      </c>
      <c r="C38" s="67" t="n">
        <f aca="false">INDEX(Monthly!$C$81:$BJ$81,C$25*12)</f>
        <v>0.015</v>
      </c>
      <c r="D38" s="67" t="n">
        <f aca="false">INDEX(Monthly!$C$81:$BJ$81,D$25*12)</f>
        <v>0.015</v>
      </c>
      <c r="E38" s="67" t="n">
        <f aca="false">INDEX(Monthly!$C$81:$BJ$81,E$25*12)</f>
        <v>0.015</v>
      </c>
      <c r="F38" s="67" t="n">
        <f aca="false">INDEX(Monthly!$C$81:$BJ$81,F$25*12)</f>
        <v>0.015</v>
      </c>
      <c r="G38" s="94"/>
    </row>
    <row r="39" customFormat="false" ht="15" hidden="false" customHeight="false" outlineLevel="0" collapsed="false">
      <c r="A39" s="6" t="s">
        <v>239</v>
      </c>
      <c r="B39" s="59" t="n">
        <f aca="false">IF(B38=0,0,B32*B35/B38)</f>
        <v>15641.4674879854</v>
      </c>
      <c r="C39" s="59" t="n">
        <f aca="false">IF(C38=0,0,C32*C35/C38)</f>
        <v>16351.0443588973</v>
      </c>
      <c r="D39" s="59" t="n">
        <f aca="false">IF(D38=0,0,D32*D35/D38)</f>
        <v>17012.397476155</v>
      </c>
      <c r="E39" s="59" t="n">
        <f aca="false">IF(E38=0,0,E32*E35/E38)</f>
        <v>17642.5678189118</v>
      </c>
      <c r="F39" s="59" t="n">
        <f aca="false">IF(F38=0,0,F32*F35/F38)</f>
        <v>18254.8711154824</v>
      </c>
      <c r="G39" s="94"/>
    </row>
    <row r="40" customFormat="false" ht="15" hidden="false" customHeight="false" outlineLevel="0" collapsed="false">
      <c r="A40" s="6" t="s">
        <v>58</v>
      </c>
      <c r="B40" s="74" t="n">
        <f aca="false">IF(B37=0,0,B39/B37)</f>
        <v>26.0691124799756</v>
      </c>
      <c r="C40" s="74" t="n">
        <f aca="false">IF(C37=0,0,C39/C37)</f>
        <v>28.1601319514342</v>
      </c>
      <c r="D40" s="74" t="n">
        <f aca="false">IF(D37=0,0,D39/D37)</f>
        <v>30.3230232792577</v>
      </c>
      <c r="E40" s="74" t="n">
        <f aca="false">IF(E37=0,0,E39/E37)</f>
        <v>32.5965498783829</v>
      </c>
      <c r="F40" s="74" t="n">
        <f aca="false">IF(F37=0,0,F39/F37)</f>
        <v>35.0172609666041</v>
      </c>
      <c r="G40" s="94"/>
    </row>
    <row r="41" customFormat="false" ht="15" hidden="false" customHeight="false" outlineLevel="0" collapsed="false">
      <c r="A41" s="6" t="s">
        <v>240</v>
      </c>
      <c r="B41" s="95" t="n">
        <f aca="false">IF(B32*B35&lt;=0,0,B37/(B32*B35))</f>
        <v>2.55730480728391</v>
      </c>
      <c r="C41" s="95" t="n">
        <f aca="false">IF(C32*C35&lt;=0,0,C37/(C32*C35))</f>
        <v>2.36741314925803</v>
      </c>
      <c r="D41" s="95" t="n">
        <f aca="false">IF(D32*D35&lt;=0,0,D37/(D32*D35))</f>
        <v>2.1985494669415</v>
      </c>
      <c r="E41" s="95" t="n">
        <f aca="false">IF(E32*E35&lt;=0,0,E37/(E32*E35))</f>
        <v>2.04520622321684</v>
      </c>
      <c r="F41" s="95" t="n">
        <f aca="false">IF(F32*F35&lt;=0,0,F37/(F32*F35))</f>
        <v>1.90382299547205</v>
      </c>
      <c r="G41" s="94"/>
    </row>
    <row r="42" customFormat="false" ht="15" hidden="false" customHeight="false" outlineLevel="0" collapsed="false">
      <c r="A42" s="6" t="s">
        <v>241</v>
      </c>
      <c r="B42" s="59" t="n">
        <f aca="false">INDEX(Monthly!$C$80:$BJ$80,B$25*12)</f>
        <v>-180294.493966282</v>
      </c>
      <c r="C42" s="59" t="n">
        <f aca="false">INDEX(Monthly!$C$80:$BJ$80,C$25*12)</f>
        <v>-253004.279813843</v>
      </c>
      <c r="D42" s="59" t="n">
        <f aca="false">INDEX(Monthly!$C$80:$BJ$80,D$25*12)</f>
        <v>-351269.907419394</v>
      </c>
      <c r="E42" s="59" t="n">
        <f aca="false">INDEX(Monthly!$C$80:$BJ$80,E$25*12)</f>
        <v>-482972.010786738</v>
      </c>
      <c r="F42" s="59" t="n">
        <f aca="false">INDEX(Monthly!$C$80:$BJ$80,F$25*12)</f>
        <v>-661623.539835526</v>
      </c>
      <c r="G42" s="94"/>
    </row>
    <row r="43" customFormat="false" ht="15" hidden="false" customHeight="false" outlineLevel="0" collapsed="false">
      <c r="A43" s="6" t="s">
        <v>242</v>
      </c>
      <c r="B43" s="59" t="n">
        <f aca="false">INDEX(Monthly!$C$76:$BJ$76,B$25*12)</f>
        <v>3123134.67176108</v>
      </c>
      <c r="C43" s="59" t="n">
        <f aca="false">INDEX(Monthly!$C$76:$BJ$76,C$25*12)</f>
        <v>5201477.4518189</v>
      </c>
      <c r="D43" s="59" t="n">
        <f aca="false">INDEX(Monthly!$C$76:$BJ$76,D$25*12)</f>
        <v>8187249.22714323</v>
      </c>
      <c r="E43" s="59" t="n">
        <f aca="false">INDEX(Monthly!$C$76:$BJ$76,E$25*12)</f>
        <v>12402695.065709</v>
      </c>
      <c r="F43" s="59" t="n">
        <f aca="false">INDEX(Monthly!$C$76:$BJ$76,F$25*12)</f>
        <v>18308468.4055967</v>
      </c>
      <c r="G43" s="94"/>
    </row>
    <row r="44" customFormat="false" ht="15" hidden="false" customHeight="false" outlineLevel="0" collapsed="false">
      <c r="A44" s="6" t="s">
        <v>243</v>
      </c>
      <c r="B44" s="95" t="n">
        <f aca="false">IF(B42&lt;=0,0,MAX(0,B43)/B42)</f>
        <v>0</v>
      </c>
      <c r="C44" s="95" t="n">
        <f aca="false">IF(C42&lt;=0,0,MAX(0,C43)/C42)</f>
        <v>0</v>
      </c>
      <c r="D44" s="95" t="n">
        <f aca="false">IF(D42&lt;=0,0,MAX(0,D43)/D42)</f>
        <v>0</v>
      </c>
      <c r="E44" s="95" t="n">
        <f aca="false">IF(E42&lt;=0,0,MAX(0,E43)/E42)</f>
        <v>0</v>
      </c>
      <c r="F44" s="95" t="n">
        <f aca="false">IF(F42&lt;=0,0,MAX(0,F43)/F42)</f>
        <v>0</v>
      </c>
      <c r="G44" s="94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7" t="s">
        <v>244</v>
      </c>
      <c r="B1" s="6"/>
      <c r="C1" s="6"/>
      <c r="D1" s="6"/>
      <c r="E1" s="6"/>
      <c r="F1" s="6"/>
      <c r="G1" s="6"/>
      <c r="I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245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96" t="s">
        <v>101</v>
      </c>
      <c r="B5" s="29" t="s">
        <v>102</v>
      </c>
      <c r="C5" s="29" t="s">
        <v>103</v>
      </c>
      <c r="D5" s="29" t="s">
        <v>104</v>
      </c>
      <c r="E5" s="29" t="s">
        <v>105</v>
      </c>
      <c r="F5" s="29" t="s">
        <v>106</v>
      </c>
      <c r="G5" s="29" t="s">
        <v>246</v>
      </c>
    </row>
    <row r="6" customFormat="false" ht="15" hidden="false" customHeight="false" outlineLevel="0" collapsed="false">
      <c r="A6" s="57" t="s">
        <v>247</v>
      </c>
      <c r="B6" s="57"/>
      <c r="C6" s="57"/>
      <c r="D6" s="57"/>
      <c r="E6" s="57"/>
      <c r="F6" s="57"/>
      <c r="G6" s="57"/>
    </row>
    <row r="7" customFormat="false" ht="15" hidden="false" customHeight="false" outlineLevel="0" collapsed="false">
      <c r="A7" s="6" t="s">
        <v>248</v>
      </c>
      <c r="B7" s="97" t="n">
        <v>3000</v>
      </c>
      <c r="C7" s="97" t="n">
        <v>3000</v>
      </c>
      <c r="D7" s="97" t="n">
        <v>3000</v>
      </c>
      <c r="E7" s="98" t="n">
        <f aca="false">CHOOSE(Dashboard!$B$4,B7,C7,D7)</f>
        <v>3000</v>
      </c>
      <c r="F7" s="33" t="s">
        <v>249</v>
      </c>
      <c r="G7" s="19" t="s">
        <v>250</v>
      </c>
    </row>
    <row r="8" customFormat="false" ht="15" hidden="false" customHeight="false" outlineLevel="0" collapsed="false">
      <c r="A8" s="6" t="s">
        <v>251</v>
      </c>
      <c r="B8" s="99" t="n">
        <v>230</v>
      </c>
      <c r="C8" s="99" t="n">
        <v>250</v>
      </c>
      <c r="D8" s="99" t="n">
        <v>270</v>
      </c>
      <c r="E8" s="100" t="n">
        <f aca="false">CHOOSE(Dashboard!$B$4,B8,C8,D8)</f>
        <v>250</v>
      </c>
      <c r="F8" s="33" t="s">
        <v>252</v>
      </c>
      <c r="G8" s="19" t="s">
        <v>250</v>
      </c>
    </row>
    <row r="9" customFormat="false" ht="15" hidden="false" customHeight="false" outlineLevel="0" collapsed="false">
      <c r="A9" s="6" t="s">
        <v>253</v>
      </c>
      <c r="B9" s="101" t="n">
        <v>0</v>
      </c>
      <c r="C9" s="101" t="n">
        <v>0.03</v>
      </c>
      <c r="D9" s="101" t="n">
        <v>0.05</v>
      </c>
      <c r="E9" s="102" t="n">
        <f aca="false">CHOOSE(Dashboard!$B$4,B9,C9,D9)</f>
        <v>0.03</v>
      </c>
      <c r="F9" s="33" t="s">
        <v>254</v>
      </c>
      <c r="G9" s="19" t="s">
        <v>250</v>
      </c>
    </row>
    <row r="10" customFormat="false" ht="15" hidden="false" customHeight="false" outlineLevel="0" collapsed="false">
      <c r="A10" s="6" t="s">
        <v>238</v>
      </c>
      <c r="B10" s="101" t="n">
        <v>0.02</v>
      </c>
      <c r="C10" s="101" t="n">
        <v>0.015</v>
      </c>
      <c r="D10" s="101" t="n">
        <v>0.01</v>
      </c>
      <c r="E10" s="102" t="n">
        <f aca="false">CHOOSE(Dashboard!$B$4,B10,C10,D10)</f>
        <v>0.015</v>
      </c>
      <c r="F10" s="33" t="s">
        <v>254</v>
      </c>
      <c r="G10" s="19" t="s">
        <v>255</v>
      </c>
    </row>
    <row r="11" customFormat="false" ht="15" hidden="false" customHeight="false" outlineLevel="0" collapsed="false">
      <c r="A11" s="6" t="s">
        <v>256</v>
      </c>
      <c r="B11" s="101" t="n">
        <v>0</v>
      </c>
      <c r="C11" s="101" t="n">
        <v>0.005</v>
      </c>
      <c r="D11" s="101" t="n">
        <v>0.01</v>
      </c>
      <c r="E11" s="102" t="n">
        <f aca="false">CHOOSE(Dashboard!$B$4,B11,C11,D11)</f>
        <v>0.005</v>
      </c>
      <c r="F11" s="33" t="s">
        <v>254</v>
      </c>
      <c r="G11" s="19" t="s">
        <v>250</v>
      </c>
    </row>
    <row r="12" customFormat="false" ht="15" hidden="false" customHeight="false" outlineLevel="0" collapsed="false">
      <c r="A12" s="6" t="s">
        <v>257</v>
      </c>
      <c r="B12" s="103" t="n">
        <v>30</v>
      </c>
      <c r="C12" s="103" t="n">
        <v>40</v>
      </c>
      <c r="D12" s="103" t="n">
        <v>50</v>
      </c>
      <c r="E12" s="104" t="n">
        <f aca="false">CHOOSE(Dashboard!$B$4,B12,C12,D12)</f>
        <v>40</v>
      </c>
      <c r="F12" s="33" t="s">
        <v>258</v>
      </c>
      <c r="G12" s="19" t="s">
        <v>250</v>
      </c>
    </row>
    <row r="13" customFormat="false" ht="15" hidden="false" customHeight="false" outlineLevel="0" collapsed="false">
      <c r="A13" s="6" t="s">
        <v>259</v>
      </c>
      <c r="B13" s="101" t="n">
        <v>0.1</v>
      </c>
      <c r="C13" s="101" t="n">
        <v>0.3</v>
      </c>
      <c r="D13" s="101" t="n">
        <v>0.5</v>
      </c>
      <c r="E13" s="102" t="n">
        <f aca="false">CHOOSE(Dashboard!$B$4,B13,C13,D13)</f>
        <v>0.3</v>
      </c>
      <c r="F13" s="33" t="s">
        <v>254</v>
      </c>
      <c r="G13" s="19" t="s">
        <v>250</v>
      </c>
    </row>
    <row r="14" customFormat="false" ht="15" hidden="false" customHeight="false" outlineLevel="0" collapsed="false">
      <c r="A14" s="6" t="s">
        <v>260</v>
      </c>
      <c r="B14" s="99" t="n">
        <v>60000</v>
      </c>
      <c r="C14" s="99" t="n">
        <v>60000</v>
      </c>
      <c r="D14" s="99" t="n">
        <v>60000</v>
      </c>
      <c r="E14" s="100" t="n">
        <f aca="false">CHOOSE(Dashboard!$B$4,B14,C14,D14)</f>
        <v>60000</v>
      </c>
      <c r="F14" s="33" t="s">
        <v>252</v>
      </c>
      <c r="G14" s="105"/>
    </row>
    <row r="15" customFormat="false" ht="15" hidden="false" customHeight="false" outlineLevel="0" collapsed="false">
      <c r="A15" s="6" t="s">
        <v>261</v>
      </c>
      <c r="B15" s="101" t="n">
        <v>0.2</v>
      </c>
      <c r="C15" s="101" t="n">
        <v>0.2</v>
      </c>
      <c r="D15" s="101" t="n">
        <v>0.2</v>
      </c>
      <c r="E15" s="102" t="n">
        <f aca="false">CHOOSE(Dashboard!$B$4,B15,C15,D15)</f>
        <v>0.2</v>
      </c>
      <c r="F15" s="33" t="s">
        <v>254</v>
      </c>
      <c r="G15" s="105"/>
    </row>
    <row r="16" customFormat="false" ht="15" hidden="false" customHeight="false" outlineLevel="0" collapsed="false">
      <c r="A16" s="6" t="s">
        <v>262</v>
      </c>
      <c r="B16" s="99" t="n">
        <v>1200</v>
      </c>
      <c r="C16" s="99" t="n">
        <v>1000</v>
      </c>
      <c r="D16" s="99" t="n">
        <v>800</v>
      </c>
      <c r="E16" s="100" t="n">
        <f aca="false">CHOOSE(Dashboard!$B$4,B16,C16,D16)</f>
        <v>1000</v>
      </c>
      <c r="F16" s="33" t="s">
        <v>263</v>
      </c>
      <c r="G16" s="19" t="s">
        <v>255</v>
      </c>
    </row>
    <row r="17" customFormat="false" ht="15" hidden="false" customHeight="false" outlineLevel="0" collapsed="false">
      <c r="A17" s="6" t="s">
        <v>264</v>
      </c>
      <c r="B17" s="101" t="n">
        <v>0.2</v>
      </c>
      <c r="C17" s="101" t="n">
        <v>0.2</v>
      </c>
      <c r="D17" s="101" t="n">
        <v>0.2</v>
      </c>
      <c r="E17" s="102" t="n">
        <f aca="false">CHOOSE(Dashboard!$B$4,B17,C17,D17)</f>
        <v>0.2</v>
      </c>
      <c r="F17" s="33" t="s">
        <v>254</v>
      </c>
      <c r="G17" s="105"/>
    </row>
    <row r="18" customFormat="false" ht="15" hidden="false" customHeight="false" outlineLevel="0" collapsed="false">
      <c r="A18" s="6" t="s">
        <v>265</v>
      </c>
      <c r="B18" s="101" t="n">
        <v>0.12</v>
      </c>
      <c r="C18" s="101" t="n">
        <v>0.1</v>
      </c>
      <c r="D18" s="101" t="n">
        <v>0.08</v>
      </c>
      <c r="E18" s="102" t="n">
        <f aca="false">CHOOSE(Dashboard!$B$4,B18,C18,D18)</f>
        <v>0.1</v>
      </c>
      <c r="F18" s="33" t="s">
        <v>254</v>
      </c>
      <c r="G18" s="19" t="s">
        <v>255</v>
      </c>
    </row>
    <row r="19" customFormat="false" ht="15" hidden="false" customHeight="false" outlineLevel="0" collapsed="false">
      <c r="A19" s="6" t="s">
        <v>266</v>
      </c>
      <c r="B19" s="106" t="n">
        <v>3</v>
      </c>
      <c r="C19" s="106" t="n">
        <v>2</v>
      </c>
      <c r="D19" s="106" t="n">
        <v>1.5</v>
      </c>
      <c r="E19" s="107" t="n">
        <f aca="false">CHOOSE(Dashboard!$B$4,B19,C19,D19)</f>
        <v>2</v>
      </c>
      <c r="F19" s="33" t="s">
        <v>263</v>
      </c>
      <c r="G19" s="19" t="s">
        <v>255</v>
      </c>
    </row>
    <row r="20" customFormat="false" ht="15" hidden="false" customHeight="false" outlineLevel="0" collapsed="false">
      <c r="A20" s="6" t="s">
        <v>267</v>
      </c>
      <c r="B20" s="99" t="n">
        <v>150</v>
      </c>
      <c r="C20" s="99" t="n">
        <v>150</v>
      </c>
      <c r="D20" s="99" t="n">
        <v>150</v>
      </c>
      <c r="E20" s="100" t="n">
        <f aca="false">CHOOSE(Dashboard!$B$4,B20,C20,D20)</f>
        <v>150</v>
      </c>
      <c r="F20" s="33" t="s">
        <v>263</v>
      </c>
      <c r="G20" s="105"/>
    </row>
    <row r="21" customFormat="false" ht="15" hidden="false" customHeight="false" outlineLevel="0" collapsed="false">
      <c r="A21" s="6" t="s">
        <v>268</v>
      </c>
      <c r="B21" s="99" t="n">
        <v>20000</v>
      </c>
      <c r="C21" s="99" t="n">
        <v>20000</v>
      </c>
      <c r="D21" s="99" t="n">
        <v>20000</v>
      </c>
      <c r="E21" s="100" t="n">
        <f aca="false">CHOOSE(Dashboard!$B$4,B21,C21,D21)</f>
        <v>20000</v>
      </c>
      <c r="F21" s="33" t="s">
        <v>263</v>
      </c>
      <c r="G21" s="105"/>
    </row>
    <row r="22" customFormat="false" ht="15" hidden="false" customHeight="false" outlineLevel="0" collapsed="false">
      <c r="A22" s="6" t="s">
        <v>269</v>
      </c>
      <c r="B22" s="99" t="n">
        <v>25000</v>
      </c>
      <c r="C22" s="99" t="n">
        <v>25000</v>
      </c>
      <c r="D22" s="99" t="n">
        <v>25000</v>
      </c>
      <c r="E22" s="100" t="n">
        <f aca="false">CHOOSE(Dashboard!$B$4,B22,C22,D22)</f>
        <v>25000</v>
      </c>
      <c r="F22" s="33" t="s">
        <v>263</v>
      </c>
      <c r="G22" s="105"/>
    </row>
    <row r="23" customFormat="false" ht="15" hidden="false" customHeight="false" outlineLevel="0" collapsed="false">
      <c r="A23" s="6" t="s">
        <v>270</v>
      </c>
      <c r="B23" s="99" t="n">
        <v>150000</v>
      </c>
      <c r="C23" s="99" t="n">
        <v>150000</v>
      </c>
      <c r="D23" s="99" t="n">
        <v>150000</v>
      </c>
      <c r="E23" s="100" t="n">
        <f aca="false">CHOOSE(Dashboard!$B$4,B23,C23,D23)</f>
        <v>150000</v>
      </c>
      <c r="F23" s="33" t="s">
        <v>263</v>
      </c>
      <c r="G23" s="105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57" t="s">
        <v>271</v>
      </c>
      <c r="B25" s="57"/>
      <c r="C25" s="57"/>
      <c r="D25" s="57"/>
      <c r="E25" s="57"/>
      <c r="F25" s="57"/>
      <c r="G25" s="57"/>
    </row>
    <row r="26" customFormat="false" ht="15" hidden="false" customHeight="false" outlineLevel="0" collapsed="false">
      <c r="A26" s="6" t="s">
        <v>272</v>
      </c>
      <c r="B26" s="103" t="n">
        <v>20</v>
      </c>
      <c r="C26" s="103" t="n">
        <v>20</v>
      </c>
      <c r="D26" s="103" t="n">
        <v>20</v>
      </c>
      <c r="E26" s="104" t="n">
        <f aca="false">CHOOSE(Dashboard!$B$4,B26,C26,D26)</f>
        <v>20</v>
      </c>
      <c r="F26" s="33" t="s">
        <v>273</v>
      </c>
      <c r="G26" s="19" t="s">
        <v>250</v>
      </c>
    </row>
    <row r="27" customFormat="false" ht="15" hidden="false" customHeight="false" outlineLevel="0" collapsed="false">
      <c r="A27" s="6" t="s">
        <v>274</v>
      </c>
      <c r="B27" s="99" t="n">
        <v>135000</v>
      </c>
      <c r="C27" s="99" t="n">
        <v>135000</v>
      </c>
      <c r="D27" s="99" t="n">
        <v>135000</v>
      </c>
      <c r="E27" s="100" t="n">
        <f aca="false">CHOOSE(Dashboard!$B$4,B27,C27,D27)</f>
        <v>135000</v>
      </c>
      <c r="F27" s="33" t="s">
        <v>263</v>
      </c>
      <c r="G27" s="105"/>
    </row>
    <row r="28" customFormat="false" ht="15" hidden="false" customHeight="false" outlineLevel="0" collapsed="false">
      <c r="A28" s="6" t="s">
        <v>275</v>
      </c>
      <c r="B28" s="101" t="n">
        <v>0.2</v>
      </c>
      <c r="C28" s="101" t="n">
        <v>0.2</v>
      </c>
      <c r="D28" s="101" t="n">
        <v>0.2</v>
      </c>
      <c r="E28" s="102" t="n">
        <f aca="false">CHOOSE(Dashboard!$B$4,B28,C28,D28)</f>
        <v>0.2</v>
      </c>
      <c r="F28" s="33" t="s">
        <v>254</v>
      </c>
      <c r="G28" s="19" t="s">
        <v>250</v>
      </c>
    </row>
    <row r="29" customFormat="false" ht="15" hidden="false" customHeight="false" outlineLevel="0" collapsed="false">
      <c r="A29" s="6" t="s">
        <v>276</v>
      </c>
      <c r="B29" s="97" t="n">
        <v>1</v>
      </c>
      <c r="C29" s="97" t="n">
        <v>1</v>
      </c>
      <c r="D29" s="97" t="n">
        <v>1</v>
      </c>
      <c r="E29" s="98" t="n">
        <f aca="false">CHOOSE(Dashboard!$B$4,B29,C29,D29)</f>
        <v>1</v>
      </c>
      <c r="F29" s="33" t="s">
        <v>277</v>
      </c>
      <c r="G29" s="105"/>
    </row>
    <row r="30" customFormat="false" ht="15" hidden="false" customHeight="false" outlineLevel="0" collapsed="false">
      <c r="A30" s="6" t="s">
        <v>278</v>
      </c>
      <c r="B30" s="103" t="n">
        <v>14</v>
      </c>
      <c r="C30" s="103" t="n">
        <v>14</v>
      </c>
      <c r="D30" s="103" t="n">
        <v>14</v>
      </c>
      <c r="E30" s="104" t="n">
        <f aca="false">CHOOSE(Dashboard!$B$4,B30,C30,D30)</f>
        <v>14</v>
      </c>
      <c r="F30" s="33" t="s">
        <v>273</v>
      </c>
      <c r="G30" s="19" t="s">
        <v>250</v>
      </c>
    </row>
    <row r="31" customFormat="false" ht="15" hidden="false" customHeight="false" outlineLevel="0" collapsed="false">
      <c r="A31" s="6" t="s">
        <v>279</v>
      </c>
      <c r="B31" s="99" t="n">
        <v>105000</v>
      </c>
      <c r="C31" s="99" t="n">
        <v>105000</v>
      </c>
      <c r="D31" s="99" t="n">
        <v>105000</v>
      </c>
      <c r="E31" s="100" t="n">
        <f aca="false">CHOOSE(Dashboard!$B$4,B31,C31,D31)</f>
        <v>105000</v>
      </c>
      <c r="F31" s="33" t="s">
        <v>263</v>
      </c>
      <c r="G31" s="105"/>
    </row>
    <row r="32" customFormat="false" ht="15" hidden="false" customHeight="false" outlineLevel="0" collapsed="false">
      <c r="A32" s="6" t="s">
        <v>280</v>
      </c>
      <c r="B32" s="101" t="n">
        <v>0.2</v>
      </c>
      <c r="C32" s="101" t="n">
        <v>0.2</v>
      </c>
      <c r="D32" s="101" t="n">
        <v>0.2</v>
      </c>
      <c r="E32" s="102" t="n">
        <f aca="false">CHOOSE(Dashboard!$B$4,B32,C32,D32)</f>
        <v>0.2</v>
      </c>
      <c r="F32" s="33" t="s">
        <v>254</v>
      </c>
      <c r="G32" s="19" t="s">
        <v>250</v>
      </c>
    </row>
    <row r="33" customFormat="false" ht="15" hidden="false" customHeight="false" outlineLevel="0" collapsed="false">
      <c r="A33" s="6" t="s">
        <v>281</v>
      </c>
      <c r="B33" s="97" t="n">
        <v>1</v>
      </c>
      <c r="C33" s="97" t="n">
        <v>1</v>
      </c>
      <c r="D33" s="97" t="n">
        <v>1</v>
      </c>
      <c r="E33" s="98" t="n">
        <f aca="false">CHOOSE(Dashboard!$B$4,B33,C33,D33)</f>
        <v>1</v>
      </c>
      <c r="F33" s="33" t="s">
        <v>277</v>
      </c>
      <c r="G33" s="105"/>
    </row>
    <row r="34" customFormat="false" ht="15" hidden="false" customHeight="false" outlineLevel="0" collapsed="false">
      <c r="A34" s="6" t="s">
        <v>282</v>
      </c>
      <c r="B34" s="103" t="n">
        <v>8</v>
      </c>
      <c r="C34" s="103" t="n">
        <v>8</v>
      </c>
      <c r="D34" s="103" t="n">
        <v>8</v>
      </c>
      <c r="E34" s="104" t="n">
        <f aca="false">CHOOSE(Dashboard!$B$4,B34,C34,D34)</f>
        <v>8</v>
      </c>
      <c r="F34" s="33" t="s">
        <v>273</v>
      </c>
      <c r="G34" s="19" t="s">
        <v>250</v>
      </c>
    </row>
    <row r="35" customFormat="false" ht="15" hidden="false" customHeight="false" outlineLevel="0" collapsed="false">
      <c r="A35" s="6" t="s">
        <v>283</v>
      </c>
      <c r="B35" s="99" t="n">
        <v>65000</v>
      </c>
      <c r="C35" s="99" t="n">
        <v>65000</v>
      </c>
      <c r="D35" s="99" t="n">
        <v>65000</v>
      </c>
      <c r="E35" s="100" t="n">
        <f aca="false">CHOOSE(Dashboard!$B$4,B35,C35,D35)</f>
        <v>65000</v>
      </c>
      <c r="F35" s="33" t="s">
        <v>263</v>
      </c>
      <c r="G35" s="105"/>
    </row>
    <row r="36" customFormat="false" ht="15" hidden="false" customHeight="false" outlineLevel="0" collapsed="false">
      <c r="A36" s="6" t="s">
        <v>284</v>
      </c>
      <c r="B36" s="101" t="n">
        <v>0.2</v>
      </c>
      <c r="C36" s="101" t="n">
        <v>0.2</v>
      </c>
      <c r="D36" s="101" t="n">
        <v>0.2</v>
      </c>
      <c r="E36" s="102" t="n">
        <f aca="false">CHOOSE(Dashboard!$B$4,B36,C36,D36)</f>
        <v>0.2</v>
      </c>
      <c r="F36" s="33" t="s">
        <v>254</v>
      </c>
      <c r="G36" s="19" t="s">
        <v>250</v>
      </c>
    </row>
    <row r="37" customFormat="false" ht="15" hidden="false" customHeight="false" outlineLevel="0" collapsed="false">
      <c r="A37" s="6" t="s">
        <v>285</v>
      </c>
      <c r="B37" s="97" t="n">
        <v>1</v>
      </c>
      <c r="C37" s="97" t="n">
        <v>1</v>
      </c>
      <c r="D37" s="97" t="n">
        <v>1</v>
      </c>
      <c r="E37" s="98" t="n">
        <f aca="false">CHOOSE(Dashboard!$B$4,B37,C37,D37)</f>
        <v>1</v>
      </c>
      <c r="F37" s="33" t="s">
        <v>277</v>
      </c>
      <c r="G37" s="105"/>
    </row>
    <row r="38" customFormat="false" ht="15" hidden="false" customHeight="false" outlineLevel="0" collapsed="false">
      <c r="A38" s="6" t="s">
        <v>286</v>
      </c>
      <c r="B38" s="103" t="n">
        <v>6</v>
      </c>
      <c r="C38" s="103" t="n">
        <v>6</v>
      </c>
      <c r="D38" s="103" t="n">
        <v>6</v>
      </c>
      <c r="E38" s="104" t="n">
        <f aca="false">CHOOSE(Dashboard!$B$4,B38,C38,D38)</f>
        <v>6</v>
      </c>
      <c r="F38" s="33" t="s">
        <v>273</v>
      </c>
      <c r="G38" s="19" t="s">
        <v>250</v>
      </c>
    </row>
    <row r="39" customFormat="false" ht="15" hidden="false" customHeight="false" outlineLevel="0" collapsed="false">
      <c r="A39" s="6" t="s">
        <v>287</v>
      </c>
      <c r="B39" s="99" t="n">
        <v>90000</v>
      </c>
      <c r="C39" s="99" t="n">
        <v>90000</v>
      </c>
      <c r="D39" s="99" t="n">
        <v>90000</v>
      </c>
      <c r="E39" s="100" t="n">
        <f aca="false">CHOOSE(Dashboard!$B$4,B39,C39,D39)</f>
        <v>90000</v>
      </c>
      <c r="F39" s="33" t="s">
        <v>263</v>
      </c>
      <c r="G39" s="105"/>
    </row>
    <row r="40" customFormat="false" ht="15" hidden="false" customHeight="false" outlineLevel="0" collapsed="false">
      <c r="A40" s="6" t="s">
        <v>288</v>
      </c>
      <c r="B40" s="101" t="n">
        <v>0.15</v>
      </c>
      <c r="C40" s="101" t="n">
        <v>0.15</v>
      </c>
      <c r="D40" s="101" t="n">
        <v>0.15</v>
      </c>
      <c r="E40" s="102" t="n">
        <f aca="false">CHOOSE(Dashboard!$B$4,B40,C40,D40)</f>
        <v>0.15</v>
      </c>
      <c r="F40" s="33" t="s">
        <v>254</v>
      </c>
      <c r="G40" s="19" t="s">
        <v>250</v>
      </c>
    </row>
    <row r="41" customFormat="false" ht="15" hidden="false" customHeight="false" outlineLevel="0" collapsed="false">
      <c r="A41" s="6" t="s">
        <v>289</v>
      </c>
      <c r="B41" s="97" t="n">
        <v>1</v>
      </c>
      <c r="C41" s="97" t="n">
        <v>1</v>
      </c>
      <c r="D41" s="97" t="n">
        <v>1</v>
      </c>
      <c r="E41" s="98" t="n">
        <f aca="false">CHOOSE(Dashboard!$B$4,B41,C41,D41)</f>
        <v>1</v>
      </c>
      <c r="F41" s="33" t="s">
        <v>277</v>
      </c>
      <c r="G41" s="105"/>
    </row>
    <row r="42" customFormat="false" ht="15" hidden="false" customHeight="false" outlineLevel="0" collapsed="false">
      <c r="A42" s="6" t="s">
        <v>290</v>
      </c>
      <c r="B42" s="101" t="n">
        <v>0.2</v>
      </c>
      <c r="C42" s="101" t="n">
        <v>0.2</v>
      </c>
      <c r="D42" s="101" t="n">
        <v>0.2</v>
      </c>
      <c r="E42" s="102" t="n">
        <f aca="false">CHOOSE(Dashboard!$B$4,B42,C42,D42)</f>
        <v>0.2</v>
      </c>
      <c r="F42" s="33" t="s">
        <v>254</v>
      </c>
      <c r="G42" s="105"/>
    </row>
    <row r="43" customFormat="false" ht="15" hidden="false" customHeight="false" outlineLevel="0" collapsed="false">
      <c r="A43" s="6" t="s">
        <v>291</v>
      </c>
      <c r="B43" s="101" t="n">
        <v>0.04</v>
      </c>
      <c r="C43" s="101" t="n">
        <v>0.04</v>
      </c>
      <c r="D43" s="101" t="n">
        <v>0.04</v>
      </c>
      <c r="E43" s="102" t="n">
        <f aca="false">CHOOSE(Dashboard!$B$4,B43,C43,D43)</f>
        <v>0.04</v>
      </c>
      <c r="F43" s="33" t="s">
        <v>254</v>
      </c>
      <c r="G43" s="105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57" t="s">
        <v>292</v>
      </c>
      <c r="B45" s="57"/>
      <c r="C45" s="57"/>
      <c r="D45" s="57"/>
      <c r="E45" s="57"/>
      <c r="F45" s="57"/>
      <c r="G45" s="57"/>
    </row>
    <row r="46" customFormat="false" ht="15" hidden="false" customHeight="false" outlineLevel="0" collapsed="false">
      <c r="A46" s="6" t="s">
        <v>293</v>
      </c>
      <c r="B46" s="99" t="n">
        <v>1000000</v>
      </c>
      <c r="C46" s="99" t="n">
        <v>1000000</v>
      </c>
      <c r="D46" s="99" t="n">
        <v>1000000</v>
      </c>
      <c r="E46" s="100" t="n">
        <f aca="false">CHOOSE(Dashboard!$B$4,B46,C46,D46)</f>
        <v>1000000</v>
      </c>
      <c r="F46" s="33" t="s">
        <v>263</v>
      </c>
      <c r="G46" s="105"/>
    </row>
    <row r="47" customFormat="false" ht="15" hidden="false" customHeight="false" outlineLevel="0" collapsed="false">
      <c r="A47" s="6" t="s">
        <v>294</v>
      </c>
      <c r="B47" s="99" t="n">
        <v>0</v>
      </c>
      <c r="C47" s="99" t="n">
        <v>0</v>
      </c>
      <c r="D47" s="99" t="n">
        <v>0</v>
      </c>
      <c r="E47" s="100" t="n">
        <f aca="false">CHOOSE(Dashboard!$B$4,B47,C47,D47)</f>
        <v>0</v>
      </c>
      <c r="F47" s="33" t="s">
        <v>263</v>
      </c>
      <c r="G47" s="105"/>
    </row>
    <row r="48" customFormat="false" ht="15" hidden="false" customHeight="false" outlineLevel="0" collapsed="false">
      <c r="A48" s="6" t="s">
        <v>295</v>
      </c>
      <c r="B48" s="101" t="n">
        <v>0</v>
      </c>
      <c r="C48" s="101" t="n">
        <v>0</v>
      </c>
      <c r="D48" s="101" t="n">
        <v>0</v>
      </c>
      <c r="E48" s="102" t="n">
        <f aca="false">CHOOSE(Dashboard!$B$4,B48,C48,D48)</f>
        <v>0</v>
      </c>
      <c r="F48" s="33" t="s">
        <v>254</v>
      </c>
      <c r="G48" s="105"/>
    </row>
    <row r="49" customFormat="false" ht="15" hidden="false" customHeight="false" outlineLevel="0" collapsed="false">
      <c r="A49" s="6" t="s">
        <v>296</v>
      </c>
      <c r="B49" s="97" t="n">
        <v>1</v>
      </c>
      <c r="C49" s="97" t="n">
        <v>1</v>
      </c>
      <c r="D49" s="97" t="n">
        <v>1</v>
      </c>
      <c r="E49" s="98" t="n">
        <f aca="false">CHOOSE(Dashboard!$B$4,B49,C49,D49)</f>
        <v>1</v>
      </c>
      <c r="F49" s="33" t="s">
        <v>297</v>
      </c>
      <c r="G49" s="105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</row>
    <row r="51" customFormat="false" ht="15" hidden="false" customHeight="false" outlineLevel="0" collapsed="false">
      <c r="A51" s="57" t="s">
        <v>298</v>
      </c>
      <c r="B51" s="57"/>
      <c r="C51" s="57"/>
      <c r="D51" s="57"/>
      <c r="E51" s="57"/>
      <c r="F51" s="57"/>
      <c r="G51" s="57"/>
    </row>
    <row r="52" customFormat="false" ht="15" hidden="false" customHeight="false" outlineLevel="0" collapsed="false">
      <c r="A52" s="6" t="s">
        <v>299</v>
      </c>
      <c r="B52" s="97" t="n">
        <v>5</v>
      </c>
      <c r="C52" s="97" t="n">
        <v>5</v>
      </c>
      <c r="D52" s="97" t="n">
        <v>5</v>
      </c>
      <c r="E52" s="98" t="n">
        <f aca="false">CHOOSE(Dashboard!$B$4,B52,C52,D52)</f>
        <v>5</v>
      </c>
      <c r="F52" s="33" t="s">
        <v>300</v>
      </c>
      <c r="G52" s="105"/>
    </row>
    <row r="53" customFormat="false" ht="15" hidden="false" customHeight="false" outlineLevel="0" collapsed="false">
      <c r="A53" s="6" t="s">
        <v>301</v>
      </c>
      <c r="B53" s="97" t="n">
        <v>0</v>
      </c>
      <c r="C53" s="97" t="n">
        <v>0</v>
      </c>
      <c r="D53" s="97" t="n">
        <v>0</v>
      </c>
      <c r="E53" s="98" t="n">
        <f aca="false">CHOOSE(Dashboard!$B$4,B53,C53,D53)</f>
        <v>0</v>
      </c>
      <c r="F53" s="33" t="s">
        <v>300</v>
      </c>
      <c r="G53" s="105"/>
    </row>
    <row r="54" customFormat="false" ht="15" hidden="false" customHeight="false" outlineLevel="0" collapsed="false">
      <c r="A54" s="6" t="s">
        <v>302</v>
      </c>
      <c r="B54" s="97" t="n">
        <v>30</v>
      </c>
      <c r="C54" s="97" t="n">
        <v>30</v>
      </c>
      <c r="D54" s="97" t="n">
        <v>30</v>
      </c>
      <c r="E54" s="98" t="n">
        <f aca="false">CHOOSE(Dashboard!$B$4,B54,C54,D54)</f>
        <v>30</v>
      </c>
      <c r="F54" s="33" t="s">
        <v>300</v>
      </c>
      <c r="G54" s="105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</row>
    <row r="56" customFormat="false" ht="15" hidden="false" customHeight="false" outlineLevel="0" collapsed="false">
      <c r="A56" s="57" t="s">
        <v>303</v>
      </c>
      <c r="B56" s="57"/>
      <c r="C56" s="57"/>
      <c r="D56" s="57"/>
      <c r="E56" s="57"/>
      <c r="F56" s="57"/>
      <c r="G56" s="57"/>
    </row>
    <row r="57" customFormat="false" ht="15" hidden="false" customHeight="false" outlineLevel="0" collapsed="false">
      <c r="A57" s="6" t="s">
        <v>304</v>
      </c>
      <c r="B57" s="97" t="n">
        <v>3</v>
      </c>
      <c r="C57" s="97" t="n">
        <v>3</v>
      </c>
      <c r="D57" s="97" t="n">
        <v>3</v>
      </c>
      <c r="E57" s="98" t="n">
        <f aca="false">CHOOSE(Dashboard!$B$4,B57,C57,D57)</f>
        <v>3</v>
      </c>
      <c r="F57" s="33" t="s">
        <v>297</v>
      </c>
      <c r="G57" s="105"/>
    </row>
    <row r="58" customFormat="false" ht="15" hidden="false" customHeight="false" outlineLevel="0" collapsed="false">
      <c r="A58" s="6" t="s">
        <v>305</v>
      </c>
      <c r="B58" s="101" t="n">
        <v>0.21</v>
      </c>
      <c r="C58" s="101" t="n">
        <v>0.21</v>
      </c>
      <c r="D58" s="101" t="n">
        <v>0.21</v>
      </c>
      <c r="E58" s="102" t="n">
        <f aca="false">CHOOSE(Dashboard!$B$4,B58,C58,D58)</f>
        <v>0.21</v>
      </c>
      <c r="F58" s="33" t="s">
        <v>254</v>
      </c>
      <c r="G58" s="105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</row>
    <row r="60" customFormat="false" ht="15" hidden="false" customHeight="false" outlineLevel="0" collapsed="false">
      <c r="A60" s="57" t="s">
        <v>306</v>
      </c>
      <c r="B60" s="57"/>
      <c r="C60" s="57"/>
      <c r="D60" s="57"/>
      <c r="E60" s="57"/>
      <c r="F60" s="57"/>
      <c r="G60" s="57"/>
    </row>
    <row r="61" customFormat="false" ht="15" hidden="false" customHeight="false" outlineLevel="0" collapsed="false">
      <c r="A61" s="6" t="s">
        <v>143</v>
      </c>
      <c r="B61" s="99" t="n">
        <v>1906000</v>
      </c>
      <c r="C61" s="99" t="n">
        <v>1906000</v>
      </c>
      <c r="D61" s="99" t="n">
        <v>1906000</v>
      </c>
      <c r="E61" s="100" t="n">
        <f aca="false">CHOOSE(Dashboard!$B$4,B61,C61,D61)</f>
        <v>1906000</v>
      </c>
      <c r="F61" s="33" t="s">
        <v>263</v>
      </c>
      <c r="G61" s="19" t="s">
        <v>307</v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</row>
    <row r="63" customFormat="false" ht="15" hidden="false" customHeight="false" outlineLevel="0" collapsed="false">
      <c r="A63" s="57" t="s">
        <v>308</v>
      </c>
      <c r="B63" s="57"/>
      <c r="C63" s="57"/>
      <c r="D63" s="57"/>
      <c r="E63" s="57"/>
      <c r="F63" s="57"/>
      <c r="G63" s="57"/>
    </row>
    <row r="64" customFormat="false" ht="15" hidden="false" customHeight="false" outlineLevel="0" collapsed="false">
      <c r="A64" s="6" t="s">
        <v>170</v>
      </c>
      <c r="B64" s="101" t="n">
        <v>0.15</v>
      </c>
      <c r="C64" s="101" t="n">
        <v>0.12</v>
      </c>
      <c r="D64" s="101" t="n">
        <v>0.1</v>
      </c>
      <c r="E64" s="102" t="n">
        <f aca="false">CHOOSE(Dashboard!$B$4,B64,C64,D64)</f>
        <v>0.12</v>
      </c>
      <c r="F64" s="33" t="s">
        <v>254</v>
      </c>
      <c r="G64" s="19" t="s">
        <v>255</v>
      </c>
    </row>
    <row r="65" customFormat="false" ht="15" hidden="false" customHeight="false" outlineLevel="0" collapsed="false">
      <c r="A65" s="6" t="s">
        <v>309</v>
      </c>
      <c r="B65" s="101" t="n">
        <v>0.01</v>
      </c>
      <c r="C65" s="101" t="n">
        <v>0.02</v>
      </c>
      <c r="D65" s="101" t="n">
        <v>0.03</v>
      </c>
      <c r="E65" s="102" t="n">
        <f aca="false">CHOOSE(Dashboard!$B$4,B65,C65,D65)</f>
        <v>0.02</v>
      </c>
      <c r="F65" s="33" t="s">
        <v>254</v>
      </c>
      <c r="G65" s="19" t="s">
        <v>250</v>
      </c>
    </row>
    <row r="66" customFormat="false" ht="15" hidden="false" customHeight="false" outlineLevel="0" collapsed="false">
      <c r="A66" s="6" t="s">
        <v>172</v>
      </c>
      <c r="B66" s="108" t="n">
        <v>5</v>
      </c>
      <c r="C66" s="108" t="n">
        <v>6</v>
      </c>
      <c r="D66" s="108" t="n">
        <v>8</v>
      </c>
      <c r="E66" s="109" t="n">
        <f aca="false">CHOOSE(Dashboard!$B$4,B66,C66,D66)</f>
        <v>6</v>
      </c>
      <c r="F66" s="33" t="s">
        <v>310</v>
      </c>
      <c r="G66" s="19" t="s">
        <v>250</v>
      </c>
    </row>
    <row r="67" customFormat="false" ht="15" hidden="false" customHeight="false" outlineLevel="0" collapsed="false">
      <c r="A67" s="6" t="s">
        <v>311</v>
      </c>
      <c r="B67" s="101" t="n">
        <v>0.01</v>
      </c>
      <c r="C67" s="101" t="n">
        <v>0.01</v>
      </c>
      <c r="D67" s="101" t="n">
        <v>0.01</v>
      </c>
      <c r="E67" s="102" t="n">
        <f aca="false">CHOOSE(Dashboard!$B$4,B67,C67,D67)</f>
        <v>0.01</v>
      </c>
      <c r="F67" s="33" t="s">
        <v>254</v>
      </c>
      <c r="G67" s="105"/>
    </row>
    <row r="68" customFormat="false" ht="15" hidden="false" customHeight="false" outlineLevel="0" collapsed="false">
      <c r="A68" s="6" t="s">
        <v>312</v>
      </c>
      <c r="B68" s="101" t="n">
        <v>0.005</v>
      </c>
      <c r="C68" s="101" t="n">
        <v>0.005</v>
      </c>
      <c r="D68" s="101" t="n">
        <v>0.005</v>
      </c>
      <c r="E68" s="102" t="n">
        <f aca="false">CHOOSE(Dashboard!$B$4,B68,C68,D68)</f>
        <v>0.005</v>
      </c>
      <c r="F68" s="33" t="s">
        <v>254</v>
      </c>
      <c r="G68" s="105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</row>
    <row r="70" customFormat="false" ht="15" hidden="false" customHeight="false" outlineLevel="0" collapsed="false">
      <c r="A70" s="16" t="s">
        <v>313</v>
      </c>
      <c r="B70" s="6"/>
      <c r="C70" s="6"/>
      <c r="D70" s="6"/>
      <c r="E70" s="6"/>
      <c r="F70" s="6"/>
      <c r="G70" s="6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7" t="s">
        <v>18</v>
      </c>
      <c r="B1" s="6"/>
      <c r="C1" s="6"/>
      <c r="D1" s="6"/>
      <c r="E1" s="6"/>
      <c r="F1" s="6"/>
      <c r="H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314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4" t="s">
        <v>156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</row>
    <row r="4" customFormat="false" ht="15" hidden="false" customHeight="false" outlineLevel="0" collapsed="false">
      <c r="A4" s="28"/>
      <c r="B4" s="29" t="s">
        <v>157</v>
      </c>
      <c r="C4" s="29" t="s">
        <v>158</v>
      </c>
      <c r="D4" s="29" t="s">
        <v>159</v>
      </c>
      <c r="E4" s="29" t="s">
        <v>160</v>
      </c>
      <c r="F4" s="29" t="s">
        <v>161</v>
      </c>
    </row>
    <row r="5" customFormat="false" ht="15" hidden="false" customHeight="false" outlineLevel="0" collapsed="false">
      <c r="A5" s="5" t="s">
        <v>42</v>
      </c>
      <c r="B5" s="65" t="n">
        <f aca="false">SUMIF(Monthly!$C$5:$BJ$5,B$3,Monthly!$C$24:$BJ$24)</f>
        <v>10216765.787571</v>
      </c>
      <c r="C5" s="65" t="n">
        <f aca="false">SUMIF(Monthly!$C$5:$BJ$5,C$3,Monthly!$C$24:$BJ$24)</f>
        <v>12946279.7323641</v>
      </c>
      <c r="D5" s="65" t="n">
        <f aca="false">SUMIF(Monthly!$C$5:$BJ$5,D$3,Monthly!$C$24:$BJ$24)</f>
        <v>16448494.6767072</v>
      </c>
      <c r="E5" s="65" t="n">
        <f aca="false">SUMIF(Monthly!$C$5:$BJ$5,E$3,Monthly!$C$24:$BJ$24)</f>
        <v>20946999.757218</v>
      </c>
      <c r="F5" s="65" t="n">
        <f aca="false">SUMIF(Monthly!$C$5:$BJ$5,F$3,Monthly!$C$24:$BJ$24)</f>
        <v>26732394.7690799</v>
      </c>
    </row>
    <row r="6" customFormat="false" ht="15" hidden="false" customHeight="false" outlineLevel="0" collapsed="false">
      <c r="A6" s="6" t="s">
        <v>315</v>
      </c>
      <c r="B6" s="59" t="n">
        <f aca="false">SUMIF(Monthly!$C$5:$BJ$5,B$3,Monthly!$C$25:$BJ$25)</f>
        <v>-1101193.72383984</v>
      </c>
      <c r="C6" s="59" t="n">
        <f aca="false">SUMIF(Monthly!$C$5:$BJ$5,C$3,Monthly!$C$25:$BJ$25)</f>
        <v>-1390774.85980995</v>
      </c>
      <c r="D6" s="59" t="n">
        <f aca="false">SUMIF(Monthly!$C$5:$BJ$5,D$3,Monthly!$C$25:$BJ$25)</f>
        <v>-1762057.13785354</v>
      </c>
      <c r="E6" s="59" t="n">
        <f aca="false">SUMIF(Monthly!$C$5:$BJ$5,E$3,Monthly!$C$25:$BJ$25)</f>
        <v>-2238470.05007154</v>
      </c>
      <c r="F6" s="59" t="n">
        <f aca="false">SUMIF(Monthly!$C$5:$BJ$5,F$3,Monthly!$C$25:$BJ$25)</f>
        <v>-2850437.98994337</v>
      </c>
    </row>
    <row r="7" customFormat="false" ht="15" hidden="false" customHeight="false" outlineLevel="0" collapsed="false">
      <c r="A7" s="31" t="s">
        <v>43</v>
      </c>
      <c r="B7" s="60" t="n">
        <f aca="false">SUMIF(Monthly!$C$5:$BJ$5,B$3,Monthly!$C$26:$BJ$26)</f>
        <v>9115572.06373118</v>
      </c>
      <c r="C7" s="60" t="n">
        <f aca="false">SUMIF(Monthly!$C$5:$BJ$5,C$3,Monthly!$C$26:$BJ$26)</f>
        <v>11555504.8725542</v>
      </c>
      <c r="D7" s="60" t="n">
        <f aca="false">SUMIF(Monthly!$C$5:$BJ$5,D$3,Monthly!$C$26:$BJ$26)</f>
        <v>14686437.5388536</v>
      </c>
      <c r="E7" s="60" t="n">
        <f aca="false">SUMIF(Monthly!$C$5:$BJ$5,E$3,Monthly!$C$26:$BJ$26)</f>
        <v>18708529.7071465</v>
      </c>
      <c r="F7" s="60" t="n">
        <f aca="false">SUMIF(Monthly!$C$5:$BJ$5,F$3,Monthly!$C$26:$BJ$26)</f>
        <v>23881956.7791366</v>
      </c>
    </row>
    <row r="8" customFormat="false" ht="15" hidden="false" customHeight="false" outlineLevel="0" collapsed="false">
      <c r="A8" s="33" t="s">
        <v>44</v>
      </c>
      <c r="B8" s="66" t="n">
        <f aca="false">IF(B5=0,0,B7/B5)</f>
        <v>0.892216994425039</v>
      </c>
      <c r="C8" s="66" t="n">
        <f aca="false">IF(C5=0,0,C7/C5)</f>
        <v>0.89257339648446</v>
      </c>
      <c r="D8" s="66" t="n">
        <f aca="false">IF(D5=0,0,D7/D5)</f>
        <v>0.892874261597397</v>
      </c>
      <c r="E8" s="66" t="n">
        <f aca="false">IF(E5=0,0,E7/E5)</f>
        <v>0.893136483696182</v>
      </c>
      <c r="F8" s="66" t="n">
        <f aca="false">IF(F5=0,0,F7/F5)</f>
        <v>0.893371393974761</v>
      </c>
    </row>
    <row r="9" customFormat="false" ht="15" hidden="false" customHeight="false" outlineLevel="0" collapsed="false">
      <c r="A9" s="6" t="s">
        <v>316</v>
      </c>
      <c r="B9" s="59" t="n">
        <f aca="false">SUMIF(Monthly!$C$5:$BJ$5,B$3,Monthly!$C$29:$BJ$29)</f>
        <v>-6276000</v>
      </c>
      <c r="C9" s="59" t="n">
        <f aca="false">SUMIF(Monthly!$C$5:$BJ$5,C$3,Monthly!$C$29:$BJ$29)</f>
        <v>-7798752</v>
      </c>
      <c r="D9" s="59" t="n">
        <f aca="false">SUMIF(Monthly!$C$5:$BJ$5,D$3,Monthly!$C$29:$BJ$29)</f>
        <v>-9692542.08</v>
      </c>
      <c r="E9" s="59" t="n">
        <f aca="false">SUMIF(Monthly!$C$5:$BJ$5,E$3,Monthly!$C$29:$BJ$29)</f>
        <v>-12048093.218304</v>
      </c>
      <c r="F9" s="59" t="n">
        <f aca="false">SUMIF(Monthly!$C$5:$BJ$5,F$3,Monthly!$C$29:$BJ$29)</f>
        <v>-14978373.9765903</v>
      </c>
    </row>
    <row r="10" customFormat="false" ht="15" hidden="false" customHeight="false" outlineLevel="0" collapsed="false">
      <c r="A10" s="6" t="s">
        <v>317</v>
      </c>
      <c r="B10" s="59" t="n">
        <f aca="false">SUMIF(Monthly!$C$5:$BJ$5,B$3,Monthly!$C$30:$BJ$30)</f>
        <v>-720000</v>
      </c>
      <c r="C10" s="59" t="n">
        <f aca="false">SUMIF(Monthly!$C$5:$BJ$5,C$3,Monthly!$C$30:$BJ$30)</f>
        <v>-864000</v>
      </c>
      <c r="D10" s="59" t="n">
        <f aca="false">SUMIF(Monthly!$C$5:$BJ$5,D$3,Monthly!$C$30:$BJ$30)</f>
        <v>-1036800</v>
      </c>
      <c r="E10" s="59" t="n">
        <f aca="false">SUMIF(Monthly!$C$5:$BJ$5,E$3,Monthly!$C$30:$BJ$30)</f>
        <v>-1244160</v>
      </c>
      <c r="F10" s="59" t="n">
        <f aca="false">SUMIF(Monthly!$C$5:$BJ$5,F$3,Monthly!$C$30:$BJ$30)</f>
        <v>-1492992</v>
      </c>
    </row>
    <row r="11" customFormat="false" ht="15" hidden="false" customHeight="false" outlineLevel="0" collapsed="false">
      <c r="A11" s="6" t="s">
        <v>318</v>
      </c>
      <c r="B11" s="59" t="n">
        <f aca="false">SUMIF(Monthly!$C$5:$BJ$5,B$3,Monthly!$C$31:$BJ$31)</f>
        <v>-86400</v>
      </c>
      <c r="C11" s="59" t="n">
        <f aca="false">SUMIF(Monthly!$C$5:$BJ$5,C$3,Monthly!$C$31:$BJ$31)</f>
        <v>-103140</v>
      </c>
      <c r="D11" s="59" t="n">
        <f aca="false">SUMIF(Monthly!$C$5:$BJ$5,D$3,Monthly!$C$31:$BJ$31)</f>
        <v>-123147</v>
      </c>
      <c r="E11" s="59" t="n">
        <f aca="false">SUMIF(Monthly!$C$5:$BJ$5,E$3,Monthly!$C$31:$BJ$31)</f>
        <v>-147062.25</v>
      </c>
      <c r="F11" s="59" t="n">
        <f aca="false">SUMIF(Monthly!$C$5:$BJ$5,F$3,Monthly!$C$31:$BJ$31)</f>
        <v>-175653.4275</v>
      </c>
    </row>
    <row r="12" customFormat="false" ht="15" hidden="false" customHeight="false" outlineLevel="0" collapsed="false">
      <c r="A12" s="6" t="s">
        <v>319</v>
      </c>
      <c r="B12" s="59" t="n">
        <f aca="false">SUMIF(Monthly!$C$5:$BJ$5,B$3,Monthly!$C$32:$BJ$32)</f>
        <v>-240000</v>
      </c>
      <c r="C12" s="59" t="n">
        <f aca="false">SUMIF(Monthly!$C$5:$BJ$5,C$3,Monthly!$C$32:$BJ$32)</f>
        <v>-240000</v>
      </c>
      <c r="D12" s="59" t="n">
        <f aca="false">SUMIF(Monthly!$C$5:$BJ$5,D$3,Monthly!$C$32:$BJ$32)</f>
        <v>-240000</v>
      </c>
      <c r="E12" s="59" t="n">
        <f aca="false">SUMIF(Monthly!$C$5:$BJ$5,E$3,Monthly!$C$32:$BJ$32)</f>
        <v>-240000</v>
      </c>
      <c r="F12" s="59" t="n">
        <f aca="false">SUMIF(Monthly!$C$5:$BJ$5,F$3,Monthly!$C$32:$BJ$32)</f>
        <v>-240000</v>
      </c>
    </row>
    <row r="13" customFormat="false" ht="15" hidden="false" customHeight="false" outlineLevel="0" collapsed="false">
      <c r="A13" s="6" t="s">
        <v>320</v>
      </c>
      <c r="B13" s="59" t="n">
        <f aca="false">SUMIF(Monthly!$C$5:$BJ$5,B$3,Monthly!$C$33:$BJ$33)</f>
        <v>-300000</v>
      </c>
      <c r="C13" s="59" t="n">
        <f aca="false">SUMIF(Monthly!$C$5:$BJ$5,C$3,Monthly!$C$33:$BJ$33)</f>
        <v>-300000</v>
      </c>
      <c r="D13" s="59" t="n">
        <f aca="false">SUMIF(Monthly!$C$5:$BJ$5,D$3,Monthly!$C$33:$BJ$33)</f>
        <v>-300000</v>
      </c>
      <c r="E13" s="59" t="n">
        <f aca="false">SUMIF(Monthly!$C$5:$BJ$5,E$3,Monthly!$C$33:$BJ$33)</f>
        <v>-300000</v>
      </c>
      <c r="F13" s="59" t="n">
        <f aca="false">SUMIF(Monthly!$C$5:$BJ$5,F$3,Monthly!$C$33:$BJ$33)</f>
        <v>-300000</v>
      </c>
    </row>
    <row r="14" customFormat="false" ht="15" hidden="false" customHeight="false" outlineLevel="0" collapsed="false">
      <c r="A14" s="31" t="s">
        <v>321</v>
      </c>
      <c r="B14" s="60" t="n">
        <f aca="false">SUMIF(Monthly!$C$5:$BJ$5,B$3,Monthly!$C$34:$BJ$34)</f>
        <v>-7622400</v>
      </c>
      <c r="C14" s="60" t="n">
        <f aca="false">SUMIF(Monthly!$C$5:$BJ$5,C$3,Monthly!$C$34:$BJ$34)</f>
        <v>-9305892</v>
      </c>
      <c r="D14" s="60" t="n">
        <f aca="false">SUMIF(Monthly!$C$5:$BJ$5,D$3,Monthly!$C$34:$BJ$34)</f>
        <v>-11392489.08</v>
      </c>
      <c r="E14" s="60" t="n">
        <f aca="false">SUMIF(Monthly!$C$5:$BJ$5,E$3,Monthly!$C$34:$BJ$34)</f>
        <v>-13979315.468304</v>
      </c>
      <c r="F14" s="60" t="n">
        <f aca="false">SUMIF(Monthly!$C$5:$BJ$5,F$3,Monthly!$C$34:$BJ$34)</f>
        <v>-17187019.4040903</v>
      </c>
    </row>
    <row r="15" customFormat="false" ht="15" hidden="false" customHeight="false" outlineLevel="0" collapsed="false">
      <c r="A15" s="31" t="s">
        <v>46</v>
      </c>
      <c r="B15" s="60" t="n">
        <f aca="false">SUMIF(Monthly!$C$5:$BJ$5,B$3,Monthly!$C$35:$BJ$35)</f>
        <v>1493172.06373118</v>
      </c>
      <c r="C15" s="60" t="n">
        <f aca="false">SUMIF(Monthly!$C$5:$BJ$5,C$3,Monthly!$C$35:$BJ$35)</f>
        <v>2249612.87255416</v>
      </c>
      <c r="D15" s="60" t="n">
        <f aca="false">SUMIF(Monthly!$C$5:$BJ$5,D$3,Monthly!$C$35:$BJ$35)</f>
        <v>3293948.45885364</v>
      </c>
      <c r="E15" s="60" t="n">
        <f aca="false">SUMIF(Monthly!$C$5:$BJ$5,E$3,Monthly!$C$35:$BJ$35)</f>
        <v>4729214.23884245</v>
      </c>
      <c r="F15" s="60" t="n">
        <f aca="false">SUMIF(Monthly!$C$5:$BJ$5,F$3,Monthly!$C$35:$BJ$35)</f>
        <v>6694937.37504621</v>
      </c>
    </row>
    <row r="16" customFormat="false" ht="15" hidden="false" customHeight="false" outlineLevel="0" collapsed="false">
      <c r="A16" s="33" t="s">
        <v>47</v>
      </c>
      <c r="B16" s="66" t="n">
        <f aca="false">IF(B5=0,0,B15/B5)</f>
        <v>0.146149191904513</v>
      </c>
      <c r="C16" s="66" t="n">
        <f aca="false">IF(C5=0,0,C15/C5)</f>
        <v>0.173765198888018</v>
      </c>
      <c r="D16" s="66" t="n">
        <f aca="false">IF(D5=0,0,D15/D5)</f>
        <v>0.20025835333845</v>
      </c>
      <c r="E16" s="66" t="n">
        <f aca="false">IF(E5=0,0,E15/E5)</f>
        <v>0.225770482343795</v>
      </c>
      <c r="F16" s="66" t="n">
        <f aca="false">IF(F5=0,0,F15/F5)</f>
        <v>0.250442859043438</v>
      </c>
    </row>
    <row r="17" customFormat="false" ht="15" hidden="false" customHeight="false" outlineLevel="0" collapsed="false">
      <c r="A17" s="6" t="s">
        <v>74</v>
      </c>
      <c r="B17" s="59" t="n">
        <f aca="false">SUMIF(Monthly!$C$5:$BJ$5,B$3,Monthly!$C$49:$BJ$49)</f>
        <v>-50000</v>
      </c>
      <c r="C17" s="59" t="n">
        <f aca="false">SUMIF(Monthly!$C$5:$BJ$5,C$3,Monthly!$C$49:$BJ$49)</f>
        <v>-50000</v>
      </c>
      <c r="D17" s="59" t="n">
        <f aca="false">SUMIF(Monthly!$C$5:$BJ$5,D$3,Monthly!$C$49:$BJ$49)</f>
        <v>-50000</v>
      </c>
      <c r="E17" s="59" t="n">
        <f aca="false">SUMIF(Monthly!$C$5:$BJ$5,E$3,Monthly!$C$49:$BJ$49)</f>
        <v>0</v>
      </c>
      <c r="F17" s="59" t="n">
        <f aca="false">SUMIF(Monthly!$C$5:$BJ$5,F$3,Monthly!$C$49:$BJ$49)</f>
        <v>0</v>
      </c>
    </row>
    <row r="18" customFormat="false" ht="15" hidden="false" customHeight="false" outlineLevel="0" collapsed="false">
      <c r="A18" s="31" t="s">
        <v>75</v>
      </c>
      <c r="B18" s="60" t="n">
        <f aca="false">SUMIF(Monthly!$C$5:$BJ$5,B$3,Monthly!$C$38:$BJ$38)</f>
        <v>1443172.06373118</v>
      </c>
      <c r="C18" s="60" t="n">
        <f aca="false">SUMIF(Monthly!$C$5:$BJ$5,C$3,Monthly!$C$38:$BJ$38)</f>
        <v>2199612.87255416</v>
      </c>
      <c r="D18" s="60" t="n">
        <f aca="false">SUMIF(Monthly!$C$5:$BJ$5,D$3,Monthly!$C$38:$BJ$38)</f>
        <v>3243948.45885364</v>
      </c>
      <c r="E18" s="60" t="n">
        <f aca="false">SUMIF(Monthly!$C$5:$BJ$5,E$3,Monthly!$C$38:$BJ$38)</f>
        <v>4729214.23884245</v>
      </c>
      <c r="F18" s="60" t="n">
        <f aca="false">SUMIF(Monthly!$C$5:$BJ$5,F$3,Monthly!$C$38:$BJ$38)</f>
        <v>6694937.37504621</v>
      </c>
    </row>
    <row r="19" customFormat="false" ht="15" hidden="false" customHeight="false" outlineLevel="0" collapsed="false">
      <c r="A19" s="6" t="s">
        <v>76</v>
      </c>
      <c r="B19" s="59" t="n">
        <f aca="false">SUMIF(Monthly!$C$5:$BJ$5,B$3,Monthly!$C$39:$BJ$39)</f>
        <v>0</v>
      </c>
      <c r="C19" s="59" t="n">
        <f aca="false">SUMIF(Monthly!$C$5:$BJ$5,C$3,Monthly!$C$39:$BJ$39)</f>
        <v>0</v>
      </c>
      <c r="D19" s="59" t="n">
        <f aca="false">SUMIF(Monthly!$C$5:$BJ$5,D$3,Monthly!$C$39:$BJ$39)</f>
        <v>0</v>
      </c>
      <c r="E19" s="59" t="n">
        <f aca="false">SUMIF(Monthly!$C$5:$BJ$5,E$3,Monthly!$C$39:$BJ$39)</f>
        <v>0</v>
      </c>
      <c r="F19" s="59" t="n">
        <f aca="false">SUMIF(Monthly!$C$5:$BJ$5,F$3,Monthly!$C$39:$BJ$39)</f>
        <v>0</v>
      </c>
    </row>
    <row r="20" customFormat="false" ht="15" hidden="false" customHeight="false" outlineLevel="0" collapsed="false">
      <c r="A20" s="31" t="s">
        <v>77</v>
      </c>
      <c r="B20" s="60" t="n">
        <f aca="false">SUMIF(Monthly!$C$5:$BJ$5,B$3,Monthly!$C$40:$BJ$40)</f>
        <v>1443172.06373118</v>
      </c>
      <c r="C20" s="60" t="n">
        <f aca="false">SUMIF(Monthly!$C$5:$BJ$5,C$3,Monthly!$C$40:$BJ$40)</f>
        <v>2199612.87255416</v>
      </c>
      <c r="D20" s="60" t="n">
        <f aca="false">SUMIF(Monthly!$C$5:$BJ$5,D$3,Monthly!$C$40:$BJ$40)</f>
        <v>3243948.45885364</v>
      </c>
      <c r="E20" s="60" t="n">
        <f aca="false">SUMIF(Monthly!$C$5:$BJ$5,E$3,Monthly!$C$40:$BJ$40)</f>
        <v>4729214.23884245</v>
      </c>
      <c r="F20" s="60" t="n">
        <f aca="false">SUMIF(Monthly!$C$5:$BJ$5,F$3,Monthly!$C$40:$BJ$40)</f>
        <v>6694937.37504621</v>
      </c>
    </row>
    <row r="21" customFormat="false" ht="15" hidden="false" customHeight="false" outlineLevel="0" collapsed="false">
      <c r="A21" s="6" t="s">
        <v>78</v>
      </c>
      <c r="B21" s="59" t="n">
        <f aca="false">SUMIF(Monthly!$C$5:$BJ$5,B$3,Monthly!$C$43:$BJ$43)</f>
        <v>-303066.133383547</v>
      </c>
      <c r="C21" s="59" t="n">
        <f aca="false">SUMIF(Monthly!$C$5:$BJ$5,C$3,Monthly!$C$43:$BJ$43)</f>
        <v>-461918.703236374</v>
      </c>
      <c r="D21" s="59" t="n">
        <f aca="false">SUMIF(Monthly!$C$5:$BJ$5,D$3,Monthly!$C$43:$BJ$43)</f>
        <v>-681229.176359264</v>
      </c>
      <c r="E21" s="59" t="n">
        <f aca="false">SUMIF(Monthly!$C$5:$BJ$5,E$3,Monthly!$C$43:$BJ$43)</f>
        <v>-993134.990156916</v>
      </c>
      <c r="F21" s="59" t="n">
        <f aca="false">SUMIF(Monthly!$C$5:$BJ$5,F$3,Monthly!$C$43:$BJ$43)</f>
        <v>-1405936.8487597</v>
      </c>
    </row>
    <row r="22" customFormat="false" ht="15" hidden="false" customHeight="false" outlineLevel="0" collapsed="false">
      <c r="A22" s="35" t="s">
        <v>48</v>
      </c>
      <c r="B22" s="62" t="n">
        <f aca="false">SUMIF(Monthly!$C$5:$BJ$5,B$3,Monthly!$C$44:$BJ$44)</f>
        <v>1140105.93034763</v>
      </c>
      <c r="C22" s="62" t="n">
        <f aca="false">SUMIF(Monthly!$C$5:$BJ$5,C$3,Monthly!$C$44:$BJ$44)</f>
        <v>1737694.16931779</v>
      </c>
      <c r="D22" s="62" t="n">
        <f aca="false">SUMIF(Monthly!$C$5:$BJ$5,D$3,Monthly!$C$44:$BJ$44)</f>
        <v>2562719.28249438</v>
      </c>
      <c r="E22" s="62" t="n">
        <f aca="false">SUMIF(Monthly!$C$5:$BJ$5,E$3,Monthly!$C$44:$BJ$44)</f>
        <v>3736079.24868554</v>
      </c>
      <c r="F22" s="62" t="n">
        <f aca="false">SUMIF(Monthly!$C$5:$BJ$5,F$3,Monthly!$C$44:$BJ$44)</f>
        <v>5289000.52628651</v>
      </c>
    </row>
    <row r="23" customFormat="false" ht="15" hidden="false" customHeight="false" outlineLevel="0" collapsed="false">
      <c r="A23" s="33" t="s">
        <v>49</v>
      </c>
      <c r="B23" s="66" t="n">
        <f aca="false">IF(B5=0,0,B22/B5)</f>
        <v>0.111591667466294</v>
      </c>
      <c r="C23" s="66" t="n">
        <f aca="false">IF(C5=0,0,C22/C5)</f>
        <v>0.134223437562048</v>
      </c>
      <c r="D23" s="66" t="n">
        <f aca="false">IF(D5=0,0,D22/D5)</f>
        <v>0.155802663578902</v>
      </c>
      <c r="E23" s="66" t="n">
        <f aca="false">IF(E5=0,0,E22/E5)</f>
        <v>0.178358681051598</v>
      </c>
      <c r="F23" s="66" t="n">
        <f aca="false">IF(F5=0,0,F22/F5)</f>
        <v>0.197849858644316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7" t="s">
        <v>19</v>
      </c>
      <c r="B1" s="6"/>
      <c r="C1" s="6"/>
      <c r="D1" s="6"/>
      <c r="E1" s="6"/>
      <c r="F1" s="6"/>
      <c r="H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314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4" t="s">
        <v>156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</row>
    <row r="4" customFormat="false" ht="15" hidden="false" customHeight="false" outlineLevel="0" collapsed="false">
      <c r="A4" s="28"/>
      <c r="B4" s="29" t="s">
        <v>157</v>
      </c>
      <c r="C4" s="29" t="s">
        <v>158</v>
      </c>
      <c r="D4" s="29" t="s">
        <v>159</v>
      </c>
      <c r="E4" s="29" t="s">
        <v>160</v>
      </c>
      <c r="F4" s="29" t="s">
        <v>161</v>
      </c>
    </row>
    <row r="5" customFormat="false" ht="15" hidden="false" customHeight="false" outlineLevel="0" collapsed="false">
      <c r="A5" s="6" t="s">
        <v>48</v>
      </c>
      <c r="B5" s="59" t="n">
        <f aca="false">SUMIF(Monthly!$C$5:$BJ$5,B$3,Monthly!$C$44:$BJ$44)</f>
        <v>1140105.93034763</v>
      </c>
      <c r="C5" s="59" t="n">
        <f aca="false">SUMIF(Monthly!$C$5:$BJ$5,C$3,Monthly!$C$44:$BJ$44)</f>
        <v>1737694.16931779</v>
      </c>
      <c r="D5" s="59" t="n">
        <f aca="false">SUMIF(Monthly!$C$5:$BJ$5,D$3,Monthly!$C$44:$BJ$44)</f>
        <v>2562719.28249438</v>
      </c>
      <c r="E5" s="59" t="n">
        <f aca="false">SUMIF(Monthly!$C$5:$BJ$5,E$3,Monthly!$C$44:$BJ$44)</f>
        <v>3736079.24868554</v>
      </c>
      <c r="F5" s="59" t="n">
        <f aca="false">SUMIF(Monthly!$C$5:$BJ$5,F$3,Monthly!$C$44:$BJ$44)</f>
        <v>5289000.52628651</v>
      </c>
    </row>
    <row r="6" customFormat="false" ht="15" hidden="false" customHeight="false" outlineLevel="0" collapsed="false">
      <c r="A6" s="6" t="s">
        <v>322</v>
      </c>
      <c r="B6" s="59" t="n">
        <f aca="false">-SUMIF(Monthly!$C$5:$BJ$5,B$3,Monthly!$C$49:$BJ$49)</f>
        <v>50000</v>
      </c>
      <c r="C6" s="59" t="n">
        <f aca="false">-SUMIF(Monthly!$C$5:$BJ$5,C$3,Monthly!$C$49:$BJ$49)</f>
        <v>50000</v>
      </c>
      <c r="D6" s="59" t="n">
        <f aca="false">-SUMIF(Monthly!$C$5:$BJ$5,D$3,Monthly!$C$49:$BJ$49)</f>
        <v>50000</v>
      </c>
      <c r="E6" s="59" t="n">
        <f aca="false">-SUMIF(Monthly!$C$5:$BJ$5,E$3,Monthly!$C$49:$BJ$49)</f>
        <v>-0</v>
      </c>
      <c r="F6" s="59" t="n">
        <f aca="false">-SUMIF(Monthly!$C$5:$BJ$5,F$3,Monthly!$C$49:$BJ$49)</f>
        <v>-0</v>
      </c>
    </row>
    <row r="7" customFormat="false" ht="15" hidden="false" customHeight="false" outlineLevel="0" collapsed="false">
      <c r="A7" s="6" t="s">
        <v>323</v>
      </c>
      <c r="B7" s="59" t="n">
        <f aca="false">SUMIF(Monthly!$C$5:$BJ$5,B$3,Monthly!$C$63:$BJ$63)</f>
        <v>-156832.044128668</v>
      </c>
      <c r="C7" s="59" t="n">
        <f aca="false">SUMIF(Monthly!$C$5:$BJ$5,C$3,Monthly!$C$63:$BJ$63)</f>
        <v>-42126.6334471986</v>
      </c>
      <c r="D7" s="59" t="n">
        <f aca="false">SUMIF(Monthly!$C$5:$BJ$5,D$3,Monthly!$C$63:$BJ$63)</f>
        <v>-54072.9845509977</v>
      </c>
      <c r="E7" s="59" t="n">
        <f aca="false">SUMIF(Monthly!$C$5:$BJ$5,E$3,Monthly!$C$63:$BJ$63)</f>
        <v>-69487.4295913838</v>
      </c>
      <c r="F7" s="59" t="n">
        <f aca="false">SUMIF(Monthly!$C$5:$BJ$5,F$3,Monthly!$C$63:$BJ$63)</f>
        <v>-89411.8613693055</v>
      </c>
    </row>
    <row r="8" customFormat="false" ht="15" hidden="false" customHeight="false" outlineLevel="0" collapsed="false">
      <c r="A8" s="6" t="s">
        <v>324</v>
      </c>
      <c r="B8" s="59" t="n">
        <f aca="false">SUMIF(Monthly!$C$5:$BJ$5,B$3,Monthly!$C$64:$BJ$64)</f>
        <v>0</v>
      </c>
      <c r="C8" s="59" t="n">
        <f aca="false">SUMIF(Monthly!$C$5:$BJ$5,C$3,Monthly!$C$64:$BJ$64)</f>
        <v>0</v>
      </c>
      <c r="D8" s="59" t="n">
        <f aca="false">SUMIF(Monthly!$C$5:$BJ$5,D$3,Monthly!$C$64:$BJ$64)</f>
        <v>0</v>
      </c>
      <c r="E8" s="59" t="n">
        <f aca="false">SUMIF(Monthly!$C$5:$BJ$5,E$3,Monthly!$C$64:$BJ$64)</f>
        <v>0</v>
      </c>
      <c r="F8" s="59" t="n">
        <f aca="false">SUMIF(Monthly!$C$5:$BJ$5,F$3,Monthly!$C$64:$BJ$64)</f>
        <v>0</v>
      </c>
    </row>
    <row r="9" customFormat="false" ht="15" hidden="false" customHeight="false" outlineLevel="0" collapsed="false">
      <c r="A9" s="6" t="s">
        <v>325</v>
      </c>
      <c r="B9" s="59" t="n">
        <f aca="false">SUMIF(Monthly!$C$5:$BJ$5,B$3,Monthly!$C$65:$BJ$65)</f>
        <v>101269.016145992</v>
      </c>
      <c r="C9" s="59" t="n">
        <f aca="false">SUMIF(Monthly!$C$5:$BJ$5,C$3,Monthly!$C$65:$BJ$65)</f>
        <v>26808.7685976561</v>
      </c>
      <c r="D9" s="59" t="n">
        <f aca="false">SUMIF(Monthly!$C$5:$BJ$5,D$3,Monthly!$C$65:$BJ$65)</f>
        <v>34380.7297633475</v>
      </c>
      <c r="E9" s="59" t="n">
        <f aca="false">SUMIF(Monthly!$C$5:$BJ$5,E$3,Monthly!$C$65:$BJ$65)</f>
        <v>44132.385556611</v>
      </c>
      <c r="F9" s="59" t="n">
        <f aca="false">SUMIF(Monthly!$C$5:$BJ$5,F$3,Monthly!$C$65:$BJ$65)</f>
        <v>56715.9110393186</v>
      </c>
    </row>
    <row r="10" customFormat="false" ht="15" hidden="false" customHeight="false" outlineLevel="0" collapsed="false">
      <c r="A10" s="6" t="s">
        <v>326</v>
      </c>
      <c r="B10" s="59" t="n">
        <f aca="false">SUMIF(Monthly!$C$5:$BJ$5,B$3,Monthly!$C$67:$BJ$67)</f>
        <v>1138591.76939613</v>
      </c>
      <c r="C10" s="59" t="n">
        <f aca="false">SUMIF(Monthly!$C$5:$BJ$5,C$3,Monthly!$C$67:$BJ$67)</f>
        <v>305966.475589579</v>
      </c>
      <c r="D10" s="59" t="n">
        <f aca="false">SUMIF(Monthly!$C$5:$BJ$5,D$3,Monthly!$C$67:$BJ$67)</f>
        <v>392744.7476176</v>
      </c>
      <c r="E10" s="59" t="n">
        <f aca="false">SUMIF(Monthly!$C$5:$BJ$5,E$3,Monthly!$C$67:$BJ$67)</f>
        <v>504721.633914959</v>
      </c>
      <c r="F10" s="59" t="n">
        <f aca="false">SUMIF(Monthly!$C$5:$BJ$5,F$3,Monthly!$C$67:$BJ$67)</f>
        <v>649468.763931255</v>
      </c>
    </row>
    <row r="11" customFormat="false" ht="15" hidden="false" customHeight="false" outlineLevel="0" collapsed="false">
      <c r="A11" s="31" t="s">
        <v>50</v>
      </c>
      <c r="B11" s="60" t="n">
        <f aca="false">SUMIF(Monthly!$C$5:$BJ$5,B$3,Monthly!$C$70:$BJ$70)</f>
        <v>2273134.67176108</v>
      </c>
      <c r="C11" s="60" t="n">
        <f aca="false">SUMIF(Monthly!$C$5:$BJ$5,C$3,Monthly!$C$70:$BJ$70)</f>
        <v>2078342.78005782</v>
      </c>
      <c r="D11" s="60" t="n">
        <f aca="false">SUMIF(Monthly!$C$5:$BJ$5,D$3,Monthly!$C$70:$BJ$70)</f>
        <v>2985771.77532433</v>
      </c>
      <c r="E11" s="60" t="n">
        <f aca="false">SUMIF(Monthly!$C$5:$BJ$5,E$3,Monthly!$C$70:$BJ$70)</f>
        <v>4215445.83856573</v>
      </c>
      <c r="F11" s="60" t="n">
        <f aca="false">SUMIF(Monthly!$C$5:$BJ$5,F$3,Monthly!$C$70:$BJ$70)</f>
        <v>5905773.33988778</v>
      </c>
    </row>
    <row r="12" customFormat="false" ht="15" hidden="false" customHeight="false" outlineLevel="0" collapsed="false">
      <c r="A12" s="6" t="s">
        <v>80</v>
      </c>
      <c r="B12" s="59" t="n">
        <f aca="false">SUMIF(Monthly!$C$5:$BJ$5,B$3,Monthly!$C$71:$BJ$71)</f>
        <v>-150000</v>
      </c>
      <c r="C12" s="59" t="n">
        <f aca="false">SUMIF(Monthly!$C$5:$BJ$5,C$3,Monthly!$C$71:$BJ$71)</f>
        <v>0</v>
      </c>
      <c r="D12" s="59" t="n">
        <f aca="false">SUMIF(Monthly!$C$5:$BJ$5,D$3,Monthly!$C$71:$BJ$71)</f>
        <v>0</v>
      </c>
      <c r="E12" s="59" t="n">
        <f aca="false">SUMIF(Monthly!$C$5:$BJ$5,E$3,Monthly!$C$71:$BJ$71)</f>
        <v>0</v>
      </c>
      <c r="F12" s="59" t="n">
        <f aca="false">SUMIF(Monthly!$C$5:$BJ$5,F$3,Monthly!$C$71:$BJ$71)</f>
        <v>0</v>
      </c>
    </row>
    <row r="13" customFormat="false" ht="15" hidden="false" customHeight="false" outlineLevel="0" collapsed="false">
      <c r="A13" s="6" t="s">
        <v>61</v>
      </c>
      <c r="B13" s="59" t="n">
        <f aca="false">SUMIF(Monthly!$C$5:$BJ$5,B$3,Monthly!$C$72:$BJ$72)</f>
        <v>1000000</v>
      </c>
      <c r="C13" s="59" t="n">
        <f aca="false">SUMIF(Monthly!$C$5:$BJ$5,C$3,Monthly!$C$72:$BJ$72)</f>
        <v>0</v>
      </c>
      <c r="D13" s="59" t="n">
        <f aca="false">SUMIF(Monthly!$C$5:$BJ$5,D$3,Monthly!$C$72:$BJ$72)</f>
        <v>0</v>
      </c>
      <c r="E13" s="59" t="n">
        <f aca="false">SUMIF(Monthly!$C$5:$BJ$5,E$3,Monthly!$C$72:$BJ$72)</f>
        <v>0</v>
      </c>
      <c r="F13" s="59" t="n">
        <f aca="false">SUMIF(Monthly!$C$5:$BJ$5,F$3,Monthly!$C$72:$BJ$72)</f>
        <v>0</v>
      </c>
    </row>
    <row r="14" customFormat="false" ht="15" hidden="false" customHeight="false" outlineLevel="0" collapsed="false">
      <c r="A14" s="6" t="s">
        <v>81</v>
      </c>
      <c r="B14" s="59" t="n">
        <f aca="false">SUMIF(Monthly!$C$5:$BJ$5,B$3,Monthly!$C$55:$BJ$55)</f>
        <v>0</v>
      </c>
      <c r="C14" s="59" t="n">
        <f aca="false">SUMIF(Monthly!$C$5:$BJ$5,C$3,Monthly!$C$55:$BJ$55)</f>
        <v>0</v>
      </c>
      <c r="D14" s="59" t="n">
        <f aca="false">SUMIF(Monthly!$C$5:$BJ$5,D$3,Monthly!$C$55:$BJ$55)</f>
        <v>0</v>
      </c>
      <c r="E14" s="59" t="n">
        <f aca="false">SUMIF(Monthly!$C$5:$BJ$5,E$3,Monthly!$C$55:$BJ$55)</f>
        <v>0</v>
      </c>
      <c r="F14" s="59" t="n">
        <f aca="false">SUMIF(Monthly!$C$5:$BJ$5,F$3,Monthly!$C$55:$BJ$55)</f>
        <v>0</v>
      </c>
    </row>
    <row r="15" customFormat="false" ht="15" hidden="false" customHeight="false" outlineLevel="0" collapsed="false">
      <c r="A15" s="6" t="s">
        <v>82</v>
      </c>
      <c r="B15" s="59" t="n">
        <f aca="false">SUMIF(Monthly!$C$5:$BJ$5,B$3,Monthly!$C$56:$BJ$56)</f>
        <v>0</v>
      </c>
      <c r="C15" s="59" t="n">
        <f aca="false">SUMIF(Monthly!$C$5:$BJ$5,C$3,Monthly!$C$56:$BJ$56)</f>
        <v>0</v>
      </c>
      <c r="D15" s="59" t="n">
        <f aca="false">SUMIF(Monthly!$C$5:$BJ$5,D$3,Monthly!$C$56:$BJ$56)</f>
        <v>0</v>
      </c>
      <c r="E15" s="59" t="n">
        <f aca="false">SUMIF(Monthly!$C$5:$BJ$5,E$3,Monthly!$C$56:$BJ$56)</f>
        <v>0</v>
      </c>
      <c r="F15" s="59" t="n">
        <f aca="false">SUMIF(Monthly!$C$5:$BJ$5,F$3,Monthly!$C$56:$BJ$56)</f>
        <v>0</v>
      </c>
    </row>
    <row r="16" customFormat="false" ht="15" hidden="false" customHeight="false" outlineLevel="0" collapsed="false">
      <c r="A16" s="31" t="s">
        <v>52</v>
      </c>
      <c r="B16" s="60" t="n">
        <f aca="false">SUMIF(Monthly!$C$5:$BJ$5,B$3,Monthly!$C$73:$BJ$73)</f>
        <v>1000000</v>
      </c>
      <c r="C16" s="60" t="n">
        <f aca="false">SUMIF(Monthly!$C$5:$BJ$5,C$3,Monthly!$C$73:$BJ$73)</f>
        <v>0</v>
      </c>
      <c r="D16" s="60" t="n">
        <f aca="false">SUMIF(Monthly!$C$5:$BJ$5,D$3,Monthly!$C$73:$BJ$73)</f>
        <v>0</v>
      </c>
      <c r="E16" s="60" t="n">
        <f aca="false">SUMIF(Monthly!$C$5:$BJ$5,E$3,Monthly!$C$73:$BJ$73)</f>
        <v>0</v>
      </c>
      <c r="F16" s="60" t="n">
        <f aca="false">SUMIF(Monthly!$C$5:$BJ$5,F$3,Monthly!$C$73:$BJ$73)</f>
        <v>0</v>
      </c>
    </row>
    <row r="17" customFormat="false" ht="15" hidden="false" customHeight="false" outlineLevel="0" collapsed="false">
      <c r="A17" s="31" t="s">
        <v>53</v>
      </c>
      <c r="B17" s="60" t="n">
        <f aca="false">SUMIF(Monthly!$C$5:$BJ$5,B$3,Monthly!$C$74:$BJ$74)</f>
        <v>3123134.67176108</v>
      </c>
      <c r="C17" s="60" t="n">
        <f aca="false">SUMIF(Monthly!$C$5:$BJ$5,C$3,Monthly!$C$74:$BJ$74)</f>
        <v>2078342.78005782</v>
      </c>
      <c r="D17" s="60" t="n">
        <f aca="false">SUMIF(Monthly!$C$5:$BJ$5,D$3,Monthly!$C$74:$BJ$74)</f>
        <v>2985771.77532433</v>
      </c>
      <c r="E17" s="60" t="n">
        <f aca="false">SUMIF(Monthly!$C$5:$BJ$5,E$3,Monthly!$C$74:$BJ$74)</f>
        <v>4215445.83856573</v>
      </c>
      <c r="F17" s="60" t="n">
        <f aca="false">SUMIF(Monthly!$C$5:$BJ$5,F$3,Monthly!$C$74:$BJ$74)</f>
        <v>5905773.33988778</v>
      </c>
    </row>
    <row r="18" customFormat="false" ht="15" hidden="false" customHeight="false" outlineLevel="0" collapsed="false">
      <c r="A18" s="6" t="s">
        <v>327</v>
      </c>
      <c r="B18" s="59" t="n">
        <f aca="false">INDEX(Monthly!$C$75:$BJ$75,(B$3-1)*12+1)</f>
        <v>0</v>
      </c>
      <c r="C18" s="59" t="n">
        <f aca="false">INDEX(Monthly!$C$75:$BJ$75,(C$3-1)*12+1)</f>
        <v>3123134.67176108</v>
      </c>
      <c r="D18" s="59" t="n">
        <f aca="false">INDEX(Monthly!$C$75:$BJ$75,(D$3-1)*12+1)</f>
        <v>5201477.4518189</v>
      </c>
      <c r="E18" s="59" t="n">
        <f aca="false">INDEX(Monthly!$C$75:$BJ$75,(E$3-1)*12+1)</f>
        <v>8187249.22714323</v>
      </c>
      <c r="F18" s="59" t="n">
        <f aca="false">INDEX(Monthly!$C$75:$BJ$75,(F$3-1)*12+1)</f>
        <v>12402695.065709</v>
      </c>
    </row>
    <row r="19" customFormat="false" ht="15" hidden="false" customHeight="false" outlineLevel="0" collapsed="false">
      <c r="A19" s="35" t="s">
        <v>83</v>
      </c>
      <c r="B19" s="62" t="n">
        <f aca="false">INDEX(Monthly!$C$76:$BJ$76,B$3*12)</f>
        <v>3123134.67176108</v>
      </c>
      <c r="C19" s="62" t="n">
        <f aca="false">INDEX(Monthly!$C$76:$BJ$76,C$3*12)</f>
        <v>5201477.4518189</v>
      </c>
      <c r="D19" s="62" t="n">
        <f aca="false">INDEX(Monthly!$C$76:$BJ$76,D$3*12)</f>
        <v>8187249.22714323</v>
      </c>
      <c r="E19" s="62" t="n">
        <f aca="false">INDEX(Monthly!$C$76:$BJ$76,E$3*12)</f>
        <v>12402695.065709</v>
      </c>
      <c r="F19" s="62" t="n">
        <f aca="false">INDEX(Monthly!$C$76:$BJ$76,F$3*12)</f>
        <v>18308468.4055967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7" t="s">
        <v>20</v>
      </c>
      <c r="B1" s="6"/>
      <c r="C1" s="6"/>
      <c r="D1" s="6"/>
      <c r="E1" s="6"/>
      <c r="F1" s="6"/>
      <c r="H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314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64" t="s">
        <v>156</v>
      </c>
      <c r="B3" s="64" t="n">
        <v>1</v>
      </c>
      <c r="C3" s="64" t="n">
        <v>2</v>
      </c>
      <c r="D3" s="64" t="n">
        <v>3</v>
      </c>
      <c r="E3" s="64" t="n">
        <v>4</v>
      </c>
      <c r="F3" s="64" t="n">
        <v>5</v>
      </c>
    </row>
    <row r="4" customFormat="false" ht="15" hidden="false" customHeight="false" outlineLevel="0" collapsed="false">
      <c r="A4" s="28"/>
      <c r="B4" s="29" t="s">
        <v>157</v>
      </c>
      <c r="C4" s="29" t="s">
        <v>158</v>
      </c>
      <c r="D4" s="29" t="s">
        <v>159</v>
      </c>
      <c r="E4" s="29" t="s">
        <v>160</v>
      </c>
      <c r="F4" s="29" t="s">
        <v>161</v>
      </c>
    </row>
    <row r="5" customFormat="false" ht="15" hidden="false" customHeight="false" outlineLevel="0" collapsed="false">
      <c r="A5" s="6" t="s">
        <v>85</v>
      </c>
      <c r="B5" s="59" t="n">
        <f aca="false">INDEX(Monthly!$C$76:$BJ$76,B$3*12)</f>
        <v>3123134.67176108</v>
      </c>
      <c r="C5" s="59" t="n">
        <f aca="false">INDEX(Monthly!$C$76:$BJ$76,C$3*12)</f>
        <v>5201477.4518189</v>
      </c>
      <c r="D5" s="59" t="n">
        <f aca="false">INDEX(Monthly!$C$76:$BJ$76,D$3*12)</f>
        <v>8187249.22714323</v>
      </c>
      <c r="E5" s="59" t="n">
        <f aca="false">INDEX(Monthly!$C$76:$BJ$76,E$3*12)</f>
        <v>12402695.065709</v>
      </c>
      <c r="F5" s="59" t="n">
        <f aca="false">INDEX(Monthly!$C$76:$BJ$76,F$3*12)</f>
        <v>18308468.4055967</v>
      </c>
    </row>
    <row r="6" customFormat="false" ht="15" hidden="false" customHeight="false" outlineLevel="0" collapsed="false">
      <c r="A6" s="6" t="s">
        <v>86</v>
      </c>
      <c r="B6" s="59" t="n">
        <f aca="false">INDEX(Monthly!$C$60:$BJ$60,B$3*12)</f>
        <v>156832.044128668</v>
      </c>
      <c r="C6" s="59" t="n">
        <f aca="false">INDEX(Monthly!$C$60:$BJ$60,C$3*12)</f>
        <v>198958.677575867</v>
      </c>
      <c r="D6" s="59" t="n">
        <f aca="false">INDEX(Monthly!$C$60:$BJ$60,D$3*12)</f>
        <v>253031.662126865</v>
      </c>
      <c r="E6" s="59" t="n">
        <f aca="false">INDEX(Monthly!$C$60:$BJ$60,E$3*12)</f>
        <v>322519.091718249</v>
      </c>
      <c r="F6" s="59" t="n">
        <f aca="false">INDEX(Monthly!$C$60:$BJ$60,F$3*12)</f>
        <v>411930.953087554</v>
      </c>
    </row>
    <row r="7" customFormat="false" ht="15" hidden="false" customHeight="false" outlineLevel="0" collapsed="false">
      <c r="A7" s="6" t="s">
        <v>87</v>
      </c>
      <c r="B7" s="59" t="n">
        <f aca="false">INDEX(Monthly!$C$61:$BJ$61,B$3*12)</f>
        <v>0</v>
      </c>
      <c r="C7" s="59" t="n">
        <f aca="false">INDEX(Monthly!$C$61:$BJ$61,C$3*12)</f>
        <v>0</v>
      </c>
      <c r="D7" s="59" t="n">
        <f aca="false">INDEX(Monthly!$C$61:$BJ$61,D$3*12)</f>
        <v>0</v>
      </c>
      <c r="E7" s="59" t="n">
        <f aca="false">INDEX(Monthly!$C$61:$BJ$61,E$3*12)</f>
        <v>0</v>
      </c>
      <c r="F7" s="59" t="n">
        <f aca="false">INDEX(Monthly!$C$61:$BJ$61,F$3*12)</f>
        <v>0</v>
      </c>
    </row>
    <row r="8" customFormat="false" ht="15" hidden="false" customHeight="false" outlineLevel="0" collapsed="false">
      <c r="A8" s="6" t="s">
        <v>88</v>
      </c>
      <c r="B8" s="59" t="n">
        <f aca="false">INDEX(Monthly!$C$51:$BJ$51,B$3*12)</f>
        <v>100000</v>
      </c>
      <c r="C8" s="59" t="n">
        <f aca="false">INDEX(Monthly!$C$51:$BJ$51,C$3*12)</f>
        <v>50000</v>
      </c>
      <c r="D8" s="59" t="n">
        <f aca="false">INDEX(Monthly!$C$51:$BJ$51,D$3*12)</f>
        <v>0</v>
      </c>
      <c r="E8" s="59" t="n">
        <f aca="false">INDEX(Monthly!$C$51:$BJ$51,E$3*12)</f>
        <v>0</v>
      </c>
      <c r="F8" s="59" t="n">
        <f aca="false">INDEX(Monthly!$C$51:$BJ$51,F$3*12)</f>
        <v>0</v>
      </c>
    </row>
    <row r="9" customFormat="false" ht="15" hidden="false" customHeight="false" outlineLevel="0" collapsed="false">
      <c r="A9" s="31" t="s">
        <v>89</v>
      </c>
      <c r="B9" s="60" t="n">
        <f aca="false">INDEX(Monthly!$C$94:$BJ$94,B$3*12)</f>
        <v>3379966.71588975</v>
      </c>
      <c r="C9" s="60" t="n">
        <f aca="false">INDEX(Monthly!$C$94:$BJ$94,C$3*12)</f>
        <v>5450436.12939477</v>
      </c>
      <c r="D9" s="60" t="n">
        <f aca="false">INDEX(Monthly!$C$94:$BJ$94,D$3*12)</f>
        <v>8440280.8892701</v>
      </c>
      <c r="E9" s="60" t="n">
        <f aca="false">INDEX(Monthly!$C$94:$BJ$94,E$3*12)</f>
        <v>12725214.1574272</v>
      </c>
      <c r="F9" s="60" t="n">
        <f aca="false">INDEX(Monthly!$C$94:$BJ$94,F$3*12)</f>
        <v>18720399.3586843</v>
      </c>
    </row>
    <row r="10" customFormat="false" ht="15" hidden="false" customHeight="false" outlineLevel="0" collapsed="false">
      <c r="A10" s="6" t="s">
        <v>90</v>
      </c>
      <c r="B10" s="59" t="n">
        <f aca="false">INDEX(Monthly!$C$62:$BJ$62,B$3*12)</f>
        <v>101269.016145992</v>
      </c>
      <c r="C10" s="59" t="n">
        <f aca="false">INDEX(Monthly!$C$62:$BJ$62,C$3*12)</f>
        <v>128077.784743648</v>
      </c>
      <c r="D10" s="59" t="n">
        <f aca="false">INDEX(Monthly!$C$62:$BJ$62,D$3*12)</f>
        <v>162458.514506995</v>
      </c>
      <c r="E10" s="59" t="n">
        <f aca="false">INDEX(Monthly!$C$62:$BJ$62,E$3*12)</f>
        <v>206590.900063606</v>
      </c>
      <c r="F10" s="59" t="n">
        <f aca="false">INDEX(Monthly!$C$62:$BJ$62,F$3*12)</f>
        <v>263306.811102925</v>
      </c>
    </row>
    <row r="11" customFormat="false" ht="15" hidden="false" customHeight="false" outlineLevel="0" collapsed="false">
      <c r="A11" s="6" t="s">
        <v>328</v>
      </c>
      <c r="B11" s="59" t="n">
        <f aca="false">INDEX(Monthly!$C$66:$BJ$66,B$3*12)</f>
        <v>1138591.76939613</v>
      </c>
      <c r="C11" s="59" t="n">
        <f aca="false">INDEX(Monthly!$C$66:$BJ$66,C$3*12)</f>
        <v>1444558.24498571</v>
      </c>
      <c r="D11" s="59" t="n">
        <f aca="false">INDEX(Monthly!$C$66:$BJ$66,D$3*12)</f>
        <v>1837302.99260331</v>
      </c>
      <c r="E11" s="59" t="n">
        <f aca="false">INDEX(Monthly!$C$66:$BJ$66,E$3*12)</f>
        <v>2342024.62651827</v>
      </c>
      <c r="F11" s="59" t="n">
        <f aca="false">INDEX(Monthly!$C$66:$BJ$66,F$3*12)</f>
        <v>2991493.39044952</v>
      </c>
    </row>
    <row r="12" customFormat="false" ht="15" hidden="false" customHeight="false" outlineLevel="0" collapsed="false">
      <c r="A12" s="6" t="s">
        <v>92</v>
      </c>
      <c r="B12" s="59" t="n">
        <f aca="false">INDEX(Monthly!$C$57:$BJ$57,B$3*12)</f>
        <v>0</v>
      </c>
      <c r="C12" s="59" t="n">
        <f aca="false">INDEX(Monthly!$C$57:$BJ$57,C$3*12)</f>
        <v>0</v>
      </c>
      <c r="D12" s="59" t="n">
        <f aca="false">INDEX(Monthly!$C$57:$BJ$57,D$3*12)</f>
        <v>0</v>
      </c>
      <c r="E12" s="59" t="n">
        <f aca="false">INDEX(Monthly!$C$57:$BJ$57,E$3*12)</f>
        <v>0</v>
      </c>
      <c r="F12" s="59" t="n">
        <f aca="false">INDEX(Monthly!$C$57:$BJ$57,F$3*12)</f>
        <v>0</v>
      </c>
    </row>
    <row r="13" customFormat="false" ht="15" hidden="false" customHeight="false" outlineLevel="0" collapsed="false">
      <c r="A13" s="31" t="s">
        <v>93</v>
      </c>
      <c r="B13" s="60" t="n">
        <f aca="false">INDEX(Monthly!$C$95:$BJ$95,B$3*12)</f>
        <v>1239860.78554212</v>
      </c>
      <c r="C13" s="60" t="n">
        <f aca="false">INDEX(Monthly!$C$95:$BJ$95,C$3*12)</f>
        <v>1572636.02972936</v>
      </c>
      <c r="D13" s="60" t="n">
        <f aca="false">INDEX(Monthly!$C$95:$BJ$95,D$3*12)</f>
        <v>1999761.5071103</v>
      </c>
      <c r="E13" s="60" t="n">
        <f aca="false">INDEX(Monthly!$C$95:$BJ$95,E$3*12)</f>
        <v>2548615.52658187</v>
      </c>
      <c r="F13" s="60" t="n">
        <f aca="false">INDEX(Monthly!$C$95:$BJ$95,F$3*12)</f>
        <v>3254800.20155245</v>
      </c>
    </row>
    <row r="14" customFormat="false" ht="15" hidden="false" customHeight="false" outlineLevel="0" collapsed="false">
      <c r="A14" s="6" t="s">
        <v>94</v>
      </c>
      <c r="B14" s="59" t="n">
        <f aca="false">INDEX(Monthly!$C$92:$BJ$92,B$3*12)</f>
        <v>1000000</v>
      </c>
      <c r="C14" s="59" t="n">
        <f aca="false">INDEX(Monthly!$C$92:$BJ$92,C$3*12)</f>
        <v>1000000</v>
      </c>
      <c r="D14" s="59" t="n">
        <f aca="false">INDEX(Monthly!$C$92:$BJ$92,D$3*12)</f>
        <v>1000000</v>
      </c>
      <c r="E14" s="59" t="n">
        <f aca="false">INDEX(Monthly!$C$92:$BJ$92,E$3*12)</f>
        <v>1000000</v>
      </c>
      <c r="F14" s="59" t="n">
        <f aca="false">INDEX(Monthly!$C$92:$BJ$92,F$3*12)</f>
        <v>1000000</v>
      </c>
    </row>
    <row r="15" customFormat="false" ht="15" hidden="false" customHeight="false" outlineLevel="0" collapsed="false">
      <c r="A15" s="6" t="s">
        <v>95</v>
      </c>
      <c r="B15" s="59" t="n">
        <f aca="false">INDEX(Monthly!$C$93:$BJ$93,B$3*12)</f>
        <v>1140105.93034763</v>
      </c>
      <c r="C15" s="59" t="n">
        <f aca="false">INDEX(Monthly!$C$93:$BJ$93,C$3*12)</f>
        <v>2877800.09966542</v>
      </c>
      <c r="D15" s="59" t="n">
        <f aca="false">INDEX(Monthly!$C$93:$BJ$93,D$3*12)</f>
        <v>5440519.38215979</v>
      </c>
      <c r="E15" s="59" t="n">
        <f aca="false">INDEX(Monthly!$C$93:$BJ$93,E$3*12)</f>
        <v>9176598.63084533</v>
      </c>
      <c r="F15" s="59" t="n">
        <f aca="false">INDEX(Monthly!$C$93:$BJ$93,F$3*12)</f>
        <v>14465599.1571318</v>
      </c>
    </row>
    <row r="16" customFormat="false" ht="15" hidden="false" customHeight="false" outlineLevel="0" collapsed="false">
      <c r="A16" s="31" t="s">
        <v>96</v>
      </c>
      <c r="B16" s="60" t="n">
        <f aca="false">INDEX(Monthly!$C$96:$BJ$96,B$3*12)</f>
        <v>2140105.93034763</v>
      </c>
      <c r="C16" s="60" t="n">
        <f aca="false">INDEX(Monthly!$C$96:$BJ$96,C$3*12)</f>
        <v>3877800.09966542</v>
      </c>
      <c r="D16" s="60" t="n">
        <f aca="false">INDEX(Monthly!$C$96:$BJ$96,D$3*12)</f>
        <v>6440519.38215979</v>
      </c>
      <c r="E16" s="60" t="n">
        <f aca="false">INDEX(Monthly!$C$96:$BJ$96,E$3*12)</f>
        <v>10176598.6308453</v>
      </c>
      <c r="F16" s="60" t="n">
        <f aca="false">INDEX(Monthly!$C$96:$BJ$96,F$3*12)</f>
        <v>15465599.1571318</v>
      </c>
    </row>
    <row r="17" customFormat="false" ht="15" hidden="false" customHeight="false" outlineLevel="0" collapsed="false">
      <c r="A17" s="35" t="s">
        <v>97</v>
      </c>
      <c r="B17" s="62" t="n">
        <f aca="false">INDEX(Monthly!$C$97:$BJ$97,B$3*12)</f>
        <v>3379966.71588975</v>
      </c>
      <c r="C17" s="62" t="n">
        <f aca="false">INDEX(Monthly!$C$97:$BJ$97,C$3*12)</f>
        <v>5450436.12939477</v>
      </c>
      <c r="D17" s="62" t="n">
        <f aca="false">INDEX(Monthly!$C$97:$BJ$97,D$3*12)</f>
        <v>8440280.8892701</v>
      </c>
      <c r="E17" s="62" t="n">
        <f aca="false">INDEX(Monthly!$C$97:$BJ$97,E$3*12)</f>
        <v>12725214.1574272</v>
      </c>
      <c r="F17" s="62" t="n">
        <f aca="false">INDEX(Monthly!$C$97:$BJ$97,F$3*12)</f>
        <v>18720399.3586843</v>
      </c>
    </row>
    <row r="18" customFormat="false" ht="15" hidden="false" customHeight="false" outlineLevel="0" collapsed="false">
      <c r="A18" s="6" t="s">
        <v>329</v>
      </c>
      <c r="B18" s="59" t="n">
        <f aca="false">INDEX(Monthly!$C$98:$BJ$98,B$3*12)</f>
        <v>0</v>
      </c>
      <c r="C18" s="59" t="n">
        <f aca="false">INDEX(Monthly!$C$98:$BJ$98,C$3*12)</f>
        <v>0</v>
      </c>
      <c r="D18" s="59" t="n">
        <f aca="false">INDEX(Monthly!$C$98:$BJ$98,D$3*12)</f>
        <v>0</v>
      </c>
      <c r="E18" s="59" t="n">
        <f aca="false">INDEX(Monthly!$C$98:$BJ$98,E$3*12)</f>
        <v>0</v>
      </c>
      <c r="F18" s="59" t="n">
        <f aca="false">INDEX(Monthly!$C$98:$BJ$98,F$3*12)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7" t="s">
        <v>330</v>
      </c>
      <c r="B1" s="6"/>
      <c r="C1" s="6"/>
      <c r="D1" s="18" t="str">
        <f aca="false">HYPERLINK("#'Cover'!A1","◂ Contents")</f>
        <v>◂ Contents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2" customFormat="false" ht="15" hidden="false" customHeight="false" outlineLevel="0" collapsed="false">
      <c r="A2" s="19" t="s">
        <v>331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customFormat="false" ht="15" hidden="false" customHeight="false" outlineLevel="0" collapsed="false">
      <c r="A3" s="28" t="s">
        <v>332</v>
      </c>
      <c r="B3" s="29"/>
      <c r="C3" s="29" t="s">
        <v>333</v>
      </c>
      <c r="D3" s="29" t="s">
        <v>334</v>
      </c>
      <c r="E3" s="29" t="s">
        <v>335</v>
      </c>
      <c r="F3" s="29" t="s">
        <v>336</v>
      </c>
      <c r="G3" s="29" t="s">
        <v>337</v>
      </c>
      <c r="H3" s="29" t="s">
        <v>338</v>
      </c>
      <c r="I3" s="29" t="s">
        <v>339</v>
      </c>
      <c r="J3" s="29" t="s">
        <v>340</v>
      </c>
      <c r="K3" s="29" t="s">
        <v>341</v>
      </c>
      <c r="L3" s="29" t="s">
        <v>342</v>
      </c>
      <c r="M3" s="29" t="s">
        <v>343</v>
      </c>
      <c r="N3" s="29" t="s">
        <v>344</v>
      </c>
      <c r="O3" s="29" t="s">
        <v>345</v>
      </c>
      <c r="P3" s="29" t="s">
        <v>346</v>
      </c>
      <c r="Q3" s="29" t="s">
        <v>347</v>
      </c>
      <c r="R3" s="29" t="s">
        <v>348</v>
      </c>
      <c r="S3" s="29" t="s">
        <v>349</v>
      </c>
      <c r="T3" s="29" t="s">
        <v>350</v>
      </c>
      <c r="U3" s="29" t="s">
        <v>351</v>
      </c>
      <c r="V3" s="29" t="s">
        <v>352</v>
      </c>
      <c r="W3" s="29" t="s">
        <v>353</v>
      </c>
      <c r="X3" s="29" t="s">
        <v>354</v>
      </c>
      <c r="Y3" s="29" t="s">
        <v>355</v>
      </c>
      <c r="Z3" s="29" t="s">
        <v>356</v>
      </c>
      <c r="AA3" s="29" t="s">
        <v>357</v>
      </c>
      <c r="AB3" s="29" t="s">
        <v>358</v>
      </c>
      <c r="AC3" s="29" t="s">
        <v>359</v>
      </c>
      <c r="AD3" s="29" t="s">
        <v>360</v>
      </c>
      <c r="AE3" s="29" t="s">
        <v>361</v>
      </c>
      <c r="AF3" s="29" t="s">
        <v>362</v>
      </c>
      <c r="AG3" s="29" t="s">
        <v>363</v>
      </c>
      <c r="AH3" s="29" t="s">
        <v>364</v>
      </c>
      <c r="AI3" s="29" t="s">
        <v>365</v>
      </c>
      <c r="AJ3" s="29" t="s">
        <v>366</v>
      </c>
      <c r="AK3" s="29" t="s">
        <v>367</v>
      </c>
      <c r="AL3" s="29" t="s">
        <v>368</v>
      </c>
      <c r="AM3" s="29" t="s">
        <v>369</v>
      </c>
      <c r="AN3" s="29" t="s">
        <v>370</v>
      </c>
      <c r="AO3" s="29" t="s">
        <v>371</v>
      </c>
      <c r="AP3" s="29" t="s">
        <v>372</v>
      </c>
      <c r="AQ3" s="29" t="s">
        <v>373</v>
      </c>
      <c r="AR3" s="29" t="s">
        <v>374</v>
      </c>
      <c r="AS3" s="29" t="s">
        <v>375</v>
      </c>
      <c r="AT3" s="29" t="s">
        <v>376</v>
      </c>
      <c r="AU3" s="29" t="s">
        <v>377</v>
      </c>
      <c r="AV3" s="29" t="s">
        <v>378</v>
      </c>
      <c r="AW3" s="29" t="s">
        <v>379</v>
      </c>
      <c r="AX3" s="29" t="s">
        <v>380</v>
      </c>
      <c r="AY3" s="29" t="s">
        <v>381</v>
      </c>
      <c r="AZ3" s="29" t="s">
        <v>382</v>
      </c>
      <c r="BA3" s="29" t="s">
        <v>383</v>
      </c>
      <c r="BB3" s="29" t="s">
        <v>384</v>
      </c>
      <c r="BC3" s="29" t="s">
        <v>385</v>
      </c>
      <c r="BD3" s="29" t="s">
        <v>386</v>
      </c>
      <c r="BE3" s="29" t="s">
        <v>387</v>
      </c>
      <c r="BF3" s="29" t="s">
        <v>388</v>
      </c>
      <c r="BG3" s="29" t="s">
        <v>389</v>
      </c>
      <c r="BH3" s="29" t="s">
        <v>390</v>
      </c>
      <c r="BI3" s="29" t="s">
        <v>391</v>
      </c>
      <c r="BJ3" s="29" t="s">
        <v>392</v>
      </c>
    </row>
    <row r="4" customFormat="false" ht="15" hidden="false" customHeight="false" outlineLevel="0" collapsed="false">
      <c r="A4" s="64" t="s">
        <v>393</v>
      </c>
      <c r="B4" s="64"/>
      <c r="C4" s="64" t="n">
        <v>1</v>
      </c>
      <c r="D4" s="64" t="n">
        <v>2</v>
      </c>
      <c r="E4" s="64" t="n">
        <v>3</v>
      </c>
      <c r="F4" s="64" t="n">
        <v>4</v>
      </c>
      <c r="G4" s="64" t="n">
        <v>5</v>
      </c>
      <c r="H4" s="64" t="n">
        <v>6</v>
      </c>
      <c r="I4" s="64" t="n">
        <v>7</v>
      </c>
      <c r="J4" s="64" t="n">
        <v>8</v>
      </c>
      <c r="K4" s="64" t="n">
        <v>9</v>
      </c>
      <c r="L4" s="64" t="n">
        <v>10</v>
      </c>
      <c r="M4" s="64" t="n">
        <v>11</v>
      </c>
      <c r="N4" s="64" t="n">
        <v>12</v>
      </c>
      <c r="O4" s="64" t="n">
        <v>13</v>
      </c>
      <c r="P4" s="64" t="n">
        <v>14</v>
      </c>
      <c r="Q4" s="64" t="n">
        <v>15</v>
      </c>
      <c r="R4" s="64" t="n">
        <v>16</v>
      </c>
      <c r="S4" s="64" t="n">
        <v>17</v>
      </c>
      <c r="T4" s="64" t="n">
        <v>18</v>
      </c>
      <c r="U4" s="64" t="n">
        <v>19</v>
      </c>
      <c r="V4" s="64" t="n">
        <v>20</v>
      </c>
      <c r="W4" s="64" t="n">
        <v>21</v>
      </c>
      <c r="X4" s="64" t="n">
        <v>22</v>
      </c>
      <c r="Y4" s="64" t="n">
        <v>23</v>
      </c>
      <c r="Z4" s="64" t="n">
        <v>24</v>
      </c>
      <c r="AA4" s="64" t="n">
        <v>25</v>
      </c>
      <c r="AB4" s="64" t="n">
        <v>26</v>
      </c>
      <c r="AC4" s="64" t="n">
        <v>27</v>
      </c>
      <c r="AD4" s="64" t="n">
        <v>28</v>
      </c>
      <c r="AE4" s="64" t="n">
        <v>29</v>
      </c>
      <c r="AF4" s="64" t="n">
        <v>30</v>
      </c>
      <c r="AG4" s="64" t="n">
        <v>31</v>
      </c>
      <c r="AH4" s="64" t="n">
        <v>32</v>
      </c>
      <c r="AI4" s="64" t="n">
        <v>33</v>
      </c>
      <c r="AJ4" s="64" t="n">
        <v>34</v>
      </c>
      <c r="AK4" s="64" t="n">
        <v>35</v>
      </c>
      <c r="AL4" s="64" t="n">
        <v>36</v>
      </c>
      <c r="AM4" s="64" t="n">
        <v>37</v>
      </c>
      <c r="AN4" s="64" t="n">
        <v>38</v>
      </c>
      <c r="AO4" s="64" t="n">
        <v>39</v>
      </c>
      <c r="AP4" s="64" t="n">
        <v>40</v>
      </c>
      <c r="AQ4" s="64" t="n">
        <v>41</v>
      </c>
      <c r="AR4" s="64" t="n">
        <v>42</v>
      </c>
      <c r="AS4" s="64" t="n">
        <v>43</v>
      </c>
      <c r="AT4" s="64" t="n">
        <v>44</v>
      </c>
      <c r="AU4" s="64" t="n">
        <v>45</v>
      </c>
      <c r="AV4" s="64" t="n">
        <v>46</v>
      </c>
      <c r="AW4" s="64" t="n">
        <v>47</v>
      </c>
      <c r="AX4" s="64" t="n">
        <v>48</v>
      </c>
      <c r="AY4" s="64" t="n">
        <v>49</v>
      </c>
      <c r="AZ4" s="64" t="n">
        <v>50</v>
      </c>
      <c r="BA4" s="64" t="n">
        <v>51</v>
      </c>
      <c r="BB4" s="64" t="n">
        <v>52</v>
      </c>
      <c r="BC4" s="64" t="n">
        <v>53</v>
      </c>
      <c r="BD4" s="64" t="n">
        <v>54</v>
      </c>
      <c r="BE4" s="64" t="n">
        <v>55</v>
      </c>
      <c r="BF4" s="64" t="n">
        <v>56</v>
      </c>
      <c r="BG4" s="64" t="n">
        <v>57</v>
      </c>
      <c r="BH4" s="64" t="n">
        <v>58</v>
      </c>
      <c r="BI4" s="64" t="n">
        <v>59</v>
      </c>
      <c r="BJ4" s="64" t="n">
        <v>60</v>
      </c>
    </row>
    <row r="5" customFormat="false" ht="15" hidden="false" customHeight="false" outlineLevel="0" collapsed="false">
      <c r="A5" s="64" t="s">
        <v>156</v>
      </c>
      <c r="B5" s="64"/>
      <c r="C5" s="64" t="n">
        <f aca="false">ROUNDUP(C4*1/12,0)</f>
        <v>1</v>
      </c>
      <c r="D5" s="64" t="n">
        <f aca="false">ROUNDUP(D4*1/12,0)</f>
        <v>1</v>
      </c>
      <c r="E5" s="64" t="n">
        <f aca="false">ROUNDUP(E4*1/12,0)</f>
        <v>1</v>
      </c>
      <c r="F5" s="64" t="n">
        <f aca="false">ROUNDUP(F4*1/12,0)</f>
        <v>1</v>
      </c>
      <c r="G5" s="64" t="n">
        <f aca="false">ROUNDUP(G4*1/12,0)</f>
        <v>1</v>
      </c>
      <c r="H5" s="64" t="n">
        <f aca="false">ROUNDUP(H4*1/12,0)</f>
        <v>1</v>
      </c>
      <c r="I5" s="64" t="n">
        <f aca="false">ROUNDUP(I4*1/12,0)</f>
        <v>1</v>
      </c>
      <c r="J5" s="64" t="n">
        <f aca="false">ROUNDUP(J4*1/12,0)</f>
        <v>1</v>
      </c>
      <c r="K5" s="64" t="n">
        <f aca="false">ROUNDUP(K4*1/12,0)</f>
        <v>1</v>
      </c>
      <c r="L5" s="64" t="n">
        <f aca="false">ROUNDUP(L4*1/12,0)</f>
        <v>1</v>
      </c>
      <c r="M5" s="64" t="n">
        <f aca="false">ROUNDUP(M4*1/12,0)</f>
        <v>1</v>
      </c>
      <c r="N5" s="64" t="n">
        <f aca="false">ROUNDUP(N4*1/12,0)</f>
        <v>1</v>
      </c>
      <c r="O5" s="64" t="n">
        <f aca="false">ROUNDUP(O4*1/12,0)</f>
        <v>2</v>
      </c>
      <c r="P5" s="64" t="n">
        <f aca="false">ROUNDUP(P4*1/12,0)</f>
        <v>2</v>
      </c>
      <c r="Q5" s="64" t="n">
        <f aca="false">ROUNDUP(Q4*1/12,0)</f>
        <v>2</v>
      </c>
      <c r="R5" s="64" t="n">
        <f aca="false">ROUNDUP(R4*1/12,0)</f>
        <v>2</v>
      </c>
      <c r="S5" s="64" t="n">
        <f aca="false">ROUNDUP(S4*1/12,0)</f>
        <v>2</v>
      </c>
      <c r="T5" s="64" t="n">
        <f aca="false">ROUNDUP(T4*1/12,0)</f>
        <v>2</v>
      </c>
      <c r="U5" s="64" t="n">
        <f aca="false">ROUNDUP(U4*1/12,0)</f>
        <v>2</v>
      </c>
      <c r="V5" s="64" t="n">
        <f aca="false">ROUNDUP(V4*1/12,0)</f>
        <v>2</v>
      </c>
      <c r="W5" s="64" t="n">
        <f aca="false">ROUNDUP(W4*1/12,0)</f>
        <v>2</v>
      </c>
      <c r="X5" s="64" t="n">
        <f aca="false">ROUNDUP(X4*1/12,0)</f>
        <v>2</v>
      </c>
      <c r="Y5" s="64" t="n">
        <f aca="false">ROUNDUP(Y4*1/12,0)</f>
        <v>2</v>
      </c>
      <c r="Z5" s="64" t="n">
        <f aca="false">ROUNDUP(Z4*1/12,0)</f>
        <v>2</v>
      </c>
      <c r="AA5" s="64" t="n">
        <f aca="false">ROUNDUP(AA4*1/12,0)</f>
        <v>3</v>
      </c>
      <c r="AB5" s="64" t="n">
        <f aca="false">ROUNDUP(AB4*1/12,0)</f>
        <v>3</v>
      </c>
      <c r="AC5" s="64" t="n">
        <f aca="false">ROUNDUP(AC4*1/12,0)</f>
        <v>3</v>
      </c>
      <c r="AD5" s="64" t="n">
        <f aca="false">ROUNDUP(AD4*1/12,0)</f>
        <v>3</v>
      </c>
      <c r="AE5" s="64" t="n">
        <f aca="false">ROUNDUP(AE4*1/12,0)</f>
        <v>3</v>
      </c>
      <c r="AF5" s="64" t="n">
        <f aca="false">ROUNDUP(AF4*1/12,0)</f>
        <v>3</v>
      </c>
      <c r="AG5" s="64" t="n">
        <f aca="false">ROUNDUP(AG4*1/12,0)</f>
        <v>3</v>
      </c>
      <c r="AH5" s="64" t="n">
        <f aca="false">ROUNDUP(AH4*1/12,0)</f>
        <v>3</v>
      </c>
      <c r="AI5" s="64" t="n">
        <f aca="false">ROUNDUP(AI4*1/12,0)</f>
        <v>3</v>
      </c>
      <c r="AJ5" s="64" t="n">
        <f aca="false">ROUNDUP(AJ4*1/12,0)</f>
        <v>3</v>
      </c>
      <c r="AK5" s="64" t="n">
        <f aca="false">ROUNDUP(AK4*1/12,0)</f>
        <v>3</v>
      </c>
      <c r="AL5" s="64" t="n">
        <f aca="false">ROUNDUP(AL4*1/12,0)</f>
        <v>3</v>
      </c>
      <c r="AM5" s="64" t="n">
        <f aca="false">ROUNDUP(AM4*1/12,0)</f>
        <v>4</v>
      </c>
      <c r="AN5" s="64" t="n">
        <f aca="false">ROUNDUP(AN4*1/12,0)</f>
        <v>4</v>
      </c>
      <c r="AO5" s="64" t="n">
        <f aca="false">ROUNDUP(AO4*1/12,0)</f>
        <v>4</v>
      </c>
      <c r="AP5" s="64" t="n">
        <f aca="false">ROUNDUP(AP4*1/12,0)</f>
        <v>4</v>
      </c>
      <c r="AQ5" s="64" t="n">
        <f aca="false">ROUNDUP(AQ4*1/12,0)</f>
        <v>4</v>
      </c>
      <c r="AR5" s="64" t="n">
        <f aca="false">ROUNDUP(AR4*1/12,0)</f>
        <v>4</v>
      </c>
      <c r="AS5" s="64" t="n">
        <f aca="false">ROUNDUP(AS4*1/12,0)</f>
        <v>4</v>
      </c>
      <c r="AT5" s="64" t="n">
        <f aca="false">ROUNDUP(AT4*1/12,0)</f>
        <v>4</v>
      </c>
      <c r="AU5" s="64" t="n">
        <f aca="false">ROUNDUP(AU4*1/12,0)</f>
        <v>4</v>
      </c>
      <c r="AV5" s="64" t="n">
        <f aca="false">ROUNDUP(AV4*1/12,0)</f>
        <v>4</v>
      </c>
      <c r="AW5" s="64" t="n">
        <f aca="false">ROUNDUP(AW4*1/12,0)</f>
        <v>4</v>
      </c>
      <c r="AX5" s="64" t="n">
        <f aca="false">ROUNDUP(AX4*1/12,0)</f>
        <v>4</v>
      </c>
      <c r="AY5" s="64" t="n">
        <f aca="false">ROUNDUP(AY4*1/12,0)</f>
        <v>5</v>
      </c>
      <c r="AZ5" s="64" t="n">
        <f aca="false">ROUNDUP(AZ4*1/12,0)</f>
        <v>5</v>
      </c>
      <c r="BA5" s="64" t="n">
        <f aca="false">ROUNDUP(BA4*1/12,0)</f>
        <v>5</v>
      </c>
      <c r="BB5" s="64" t="n">
        <f aca="false">ROUNDUP(BB4*1/12,0)</f>
        <v>5</v>
      </c>
      <c r="BC5" s="64" t="n">
        <f aca="false">ROUNDUP(BC4*1/12,0)</f>
        <v>5</v>
      </c>
      <c r="BD5" s="64" t="n">
        <f aca="false">ROUNDUP(BD4*1/12,0)</f>
        <v>5</v>
      </c>
      <c r="BE5" s="64" t="n">
        <f aca="false">ROUNDUP(BE4*1/12,0)</f>
        <v>5</v>
      </c>
      <c r="BF5" s="64" t="n">
        <f aca="false">ROUNDUP(BF4*1/12,0)</f>
        <v>5</v>
      </c>
      <c r="BG5" s="64" t="n">
        <f aca="false">ROUNDUP(BG4*1/12,0)</f>
        <v>5</v>
      </c>
      <c r="BH5" s="64" t="n">
        <f aca="false">ROUNDUP(BH4*1/12,0)</f>
        <v>5</v>
      </c>
      <c r="BI5" s="64" t="n">
        <f aca="false">ROUNDUP(BI4*1/12,0)</f>
        <v>5</v>
      </c>
      <c r="BJ5" s="64" t="n">
        <f aca="false">ROUNDUP(BJ4*1/12,0)</f>
        <v>5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customFormat="false" ht="15" hidden="false" customHeight="false" outlineLevel="0" collapsed="false">
      <c r="A7" s="57" t="s">
        <v>394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customFormat="false" ht="15" hidden="false" customHeight="false" outlineLevel="0" collapsed="false">
      <c r="A8" s="6" t="s">
        <v>395</v>
      </c>
      <c r="B8" s="6"/>
      <c r="C8" s="95" t="n">
        <f aca="false">Inputs!$E$12*(1+Inputs!$E$13)^(C$5-1)*1</f>
        <v>40</v>
      </c>
      <c r="D8" s="95" t="n">
        <f aca="false">Inputs!$E$12*(1+Inputs!$E$13)^(D$5-1)*1</f>
        <v>40</v>
      </c>
      <c r="E8" s="95" t="n">
        <f aca="false">Inputs!$E$12*(1+Inputs!$E$13)^(E$5-1)*1</f>
        <v>40</v>
      </c>
      <c r="F8" s="95" t="n">
        <f aca="false">Inputs!$E$12*(1+Inputs!$E$13)^(F$5-1)*1</f>
        <v>40</v>
      </c>
      <c r="G8" s="95" t="n">
        <f aca="false">Inputs!$E$12*(1+Inputs!$E$13)^(G$5-1)*1</f>
        <v>40</v>
      </c>
      <c r="H8" s="95" t="n">
        <f aca="false">Inputs!$E$12*(1+Inputs!$E$13)^(H$5-1)*1</f>
        <v>40</v>
      </c>
      <c r="I8" s="95" t="n">
        <f aca="false">Inputs!$E$12*(1+Inputs!$E$13)^(I$5-1)*1</f>
        <v>40</v>
      </c>
      <c r="J8" s="95" t="n">
        <f aca="false">Inputs!$E$12*(1+Inputs!$E$13)^(J$5-1)*1</f>
        <v>40</v>
      </c>
      <c r="K8" s="95" t="n">
        <f aca="false">Inputs!$E$12*(1+Inputs!$E$13)^(K$5-1)*1</f>
        <v>40</v>
      </c>
      <c r="L8" s="95" t="n">
        <f aca="false">Inputs!$E$12*(1+Inputs!$E$13)^(L$5-1)*1</f>
        <v>40</v>
      </c>
      <c r="M8" s="95" t="n">
        <f aca="false">Inputs!$E$12*(1+Inputs!$E$13)^(M$5-1)*1</f>
        <v>40</v>
      </c>
      <c r="N8" s="95" t="n">
        <f aca="false">Inputs!$E$12*(1+Inputs!$E$13)^(N$5-1)*1</f>
        <v>40</v>
      </c>
      <c r="O8" s="95" t="n">
        <f aca="false">Inputs!$E$12*(1+Inputs!$E$13)^(O$5-1)*1</f>
        <v>52</v>
      </c>
      <c r="P8" s="95" t="n">
        <f aca="false">Inputs!$E$12*(1+Inputs!$E$13)^(P$5-1)*1</f>
        <v>52</v>
      </c>
      <c r="Q8" s="95" t="n">
        <f aca="false">Inputs!$E$12*(1+Inputs!$E$13)^(Q$5-1)*1</f>
        <v>52</v>
      </c>
      <c r="R8" s="95" t="n">
        <f aca="false">Inputs!$E$12*(1+Inputs!$E$13)^(R$5-1)*1</f>
        <v>52</v>
      </c>
      <c r="S8" s="95" t="n">
        <f aca="false">Inputs!$E$12*(1+Inputs!$E$13)^(S$5-1)*1</f>
        <v>52</v>
      </c>
      <c r="T8" s="95" t="n">
        <f aca="false">Inputs!$E$12*(1+Inputs!$E$13)^(T$5-1)*1</f>
        <v>52</v>
      </c>
      <c r="U8" s="95" t="n">
        <f aca="false">Inputs!$E$12*(1+Inputs!$E$13)^(U$5-1)*1</f>
        <v>52</v>
      </c>
      <c r="V8" s="95" t="n">
        <f aca="false">Inputs!$E$12*(1+Inputs!$E$13)^(V$5-1)*1</f>
        <v>52</v>
      </c>
      <c r="W8" s="95" t="n">
        <f aca="false">Inputs!$E$12*(1+Inputs!$E$13)^(W$5-1)*1</f>
        <v>52</v>
      </c>
      <c r="X8" s="95" t="n">
        <f aca="false">Inputs!$E$12*(1+Inputs!$E$13)^(X$5-1)*1</f>
        <v>52</v>
      </c>
      <c r="Y8" s="95" t="n">
        <f aca="false">Inputs!$E$12*(1+Inputs!$E$13)^(Y$5-1)*1</f>
        <v>52</v>
      </c>
      <c r="Z8" s="95" t="n">
        <f aca="false">Inputs!$E$12*(1+Inputs!$E$13)^(Z$5-1)*1</f>
        <v>52</v>
      </c>
      <c r="AA8" s="95" t="n">
        <f aca="false">Inputs!$E$12*(1+Inputs!$E$13)^(AA$5-1)*1</f>
        <v>67.6</v>
      </c>
      <c r="AB8" s="95" t="n">
        <f aca="false">Inputs!$E$12*(1+Inputs!$E$13)^(AB$5-1)*1</f>
        <v>67.6</v>
      </c>
      <c r="AC8" s="95" t="n">
        <f aca="false">Inputs!$E$12*(1+Inputs!$E$13)^(AC$5-1)*1</f>
        <v>67.6</v>
      </c>
      <c r="AD8" s="95" t="n">
        <f aca="false">Inputs!$E$12*(1+Inputs!$E$13)^(AD$5-1)*1</f>
        <v>67.6</v>
      </c>
      <c r="AE8" s="95" t="n">
        <f aca="false">Inputs!$E$12*(1+Inputs!$E$13)^(AE$5-1)*1</f>
        <v>67.6</v>
      </c>
      <c r="AF8" s="95" t="n">
        <f aca="false">Inputs!$E$12*(1+Inputs!$E$13)^(AF$5-1)*1</f>
        <v>67.6</v>
      </c>
      <c r="AG8" s="95" t="n">
        <f aca="false">Inputs!$E$12*(1+Inputs!$E$13)^(AG$5-1)*1</f>
        <v>67.6</v>
      </c>
      <c r="AH8" s="95" t="n">
        <f aca="false">Inputs!$E$12*(1+Inputs!$E$13)^(AH$5-1)*1</f>
        <v>67.6</v>
      </c>
      <c r="AI8" s="95" t="n">
        <f aca="false">Inputs!$E$12*(1+Inputs!$E$13)^(AI$5-1)*1</f>
        <v>67.6</v>
      </c>
      <c r="AJ8" s="95" t="n">
        <f aca="false">Inputs!$E$12*(1+Inputs!$E$13)^(AJ$5-1)*1</f>
        <v>67.6</v>
      </c>
      <c r="AK8" s="95" t="n">
        <f aca="false">Inputs!$E$12*(1+Inputs!$E$13)^(AK$5-1)*1</f>
        <v>67.6</v>
      </c>
      <c r="AL8" s="95" t="n">
        <f aca="false">Inputs!$E$12*(1+Inputs!$E$13)^(AL$5-1)*1</f>
        <v>67.6</v>
      </c>
      <c r="AM8" s="95" t="n">
        <f aca="false">Inputs!$E$12*(1+Inputs!$E$13)^(AM$5-1)*1</f>
        <v>87.88</v>
      </c>
      <c r="AN8" s="95" t="n">
        <f aca="false">Inputs!$E$12*(1+Inputs!$E$13)^(AN$5-1)*1</f>
        <v>87.88</v>
      </c>
      <c r="AO8" s="95" t="n">
        <f aca="false">Inputs!$E$12*(1+Inputs!$E$13)^(AO$5-1)*1</f>
        <v>87.88</v>
      </c>
      <c r="AP8" s="95" t="n">
        <f aca="false">Inputs!$E$12*(1+Inputs!$E$13)^(AP$5-1)*1</f>
        <v>87.88</v>
      </c>
      <c r="AQ8" s="95" t="n">
        <f aca="false">Inputs!$E$12*(1+Inputs!$E$13)^(AQ$5-1)*1</f>
        <v>87.88</v>
      </c>
      <c r="AR8" s="95" t="n">
        <f aca="false">Inputs!$E$12*(1+Inputs!$E$13)^(AR$5-1)*1</f>
        <v>87.88</v>
      </c>
      <c r="AS8" s="95" t="n">
        <f aca="false">Inputs!$E$12*(1+Inputs!$E$13)^(AS$5-1)*1</f>
        <v>87.88</v>
      </c>
      <c r="AT8" s="95" t="n">
        <f aca="false">Inputs!$E$12*(1+Inputs!$E$13)^(AT$5-1)*1</f>
        <v>87.88</v>
      </c>
      <c r="AU8" s="95" t="n">
        <f aca="false">Inputs!$E$12*(1+Inputs!$E$13)^(AU$5-1)*1</f>
        <v>87.88</v>
      </c>
      <c r="AV8" s="95" t="n">
        <f aca="false">Inputs!$E$12*(1+Inputs!$E$13)^(AV$5-1)*1</f>
        <v>87.88</v>
      </c>
      <c r="AW8" s="95" t="n">
        <f aca="false">Inputs!$E$12*(1+Inputs!$E$13)^(AW$5-1)*1</f>
        <v>87.88</v>
      </c>
      <c r="AX8" s="95" t="n">
        <f aca="false">Inputs!$E$12*(1+Inputs!$E$13)^(AX$5-1)*1</f>
        <v>87.88</v>
      </c>
      <c r="AY8" s="95" t="n">
        <f aca="false">Inputs!$E$12*(1+Inputs!$E$13)^(AY$5-1)*1</f>
        <v>114.244</v>
      </c>
      <c r="AZ8" s="95" t="n">
        <f aca="false">Inputs!$E$12*(1+Inputs!$E$13)^(AZ$5-1)*1</f>
        <v>114.244</v>
      </c>
      <c r="BA8" s="95" t="n">
        <f aca="false">Inputs!$E$12*(1+Inputs!$E$13)^(BA$5-1)*1</f>
        <v>114.244</v>
      </c>
      <c r="BB8" s="95" t="n">
        <f aca="false">Inputs!$E$12*(1+Inputs!$E$13)^(BB$5-1)*1</f>
        <v>114.244</v>
      </c>
      <c r="BC8" s="95" t="n">
        <f aca="false">Inputs!$E$12*(1+Inputs!$E$13)^(BC$5-1)*1</f>
        <v>114.244</v>
      </c>
      <c r="BD8" s="95" t="n">
        <f aca="false">Inputs!$E$12*(1+Inputs!$E$13)^(BD$5-1)*1</f>
        <v>114.244</v>
      </c>
      <c r="BE8" s="95" t="n">
        <f aca="false">Inputs!$E$12*(1+Inputs!$E$13)^(BE$5-1)*1</f>
        <v>114.244</v>
      </c>
      <c r="BF8" s="95" t="n">
        <f aca="false">Inputs!$E$12*(1+Inputs!$E$13)^(BF$5-1)*1</f>
        <v>114.244</v>
      </c>
      <c r="BG8" s="95" t="n">
        <f aca="false">Inputs!$E$12*(1+Inputs!$E$13)^(BG$5-1)*1</f>
        <v>114.244</v>
      </c>
      <c r="BH8" s="95" t="n">
        <f aca="false">Inputs!$E$12*(1+Inputs!$E$13)^(BH$5-1)*1</f>
        <v>114.244</v>
      </c>
      <c r="BI8" s="95" t="n">
        <f aca="false">Inputs!$E$12*(1+Inputs!$E$13)^(BI$5-1)*1</f>
        <v>114.244</v>
      </c>
      <c r="BJ8" s="95" t="n">
        <f aca="false">Inputs!$E$12*(1+Inputs!$E$13)^(BJ$5-1)*1</f>
        <v>114.244</v>
      </c>
    </row>
    <row r="9" customFormat="false" ht="15" hidden="false" customHeight="false" outlineLevel="0" collapsed="false">
      <c r="A9" s="6" t="s">
        <v>396</v>
      </c>
      <c r="B9" s="6"/>
      <c r="C9" s="95" t="n">
        <f aca="false">-C30/MAX(1,Inputs!$E$16)</f>
        <v>60</v>
      </c>
      <c r="D9" s="95" t="n">
        <f aca="false">-D30/MAX(1,Inputs!$E$16)</f>
        <v>60</v>
      </c>
      <c r="E9" s="95" t="n">
        <f aca="false">-E30/MAX(1,Inputs!$E$16)</f>
        <v>60</v>
      </c>
      <c r="F9" s="95" t="n">
        <f aca="false">-F30/MAX(1,Inputs!$E$16)</f>
        <v>60</v>
      </c>
      <c r="G9" s="95" t="n">
        <f aca="false">-G30/MAX(1,Inputs!$E$16)</f>
        <v>60</v>
      </c>
      <c r="H9" s="95" t="n">
        <f aca="false">-H30/MAX(1,Inputs!$E$16)</f>
        <v>60</v>
      </c>
      <c r="I9" s="95" t="n">
        <f aca="false">-I30/MAX(1,Inputs!$E$16)</f>
        <v>60</v>
      </c>
      <c r="J9" s="95" t="n">
        <f aca="false">-J30/MAX(1,Inputs!$E$16)</f>
        <v>60</v>
      </c>
      <c r="K9" s="95" t="n">
        <f aca="false">-K30/MAX(1,Inputs!$E$16)</f>
        <v>60</v>
      </c>
      <c r="L9" s="95" t="n">
        <f aca="false">-L30/MAX(1,Inputs!$E$16)</f>
        <v>60</v>
      </c>
      <c r="M9" s="95" t="n">
        <f aca="false">-M30/MAX(1,Inputs!$E$16)</f>
        <v>60</v>
      </c>
      <c r="N9" s="95" t="n">
        <f aca="false">-N30/MAX(1,Inputs!$E$16)</f>
        <v>60</v>
      </c>
      <c r="O9" s="95" t="n">
        <f aca="false">-O30/MAX(1,Inputs!$E$16)</f>
        <v>72</v>
      </c>
      <c r="P9" s="95" t="n">
        <f aca="false">-P30/MAX(1,Inputs!$E$16)</f>
        <v>72</v>
      </c>
      <c r="Q9" s="95" t="n">
        <f aca="false">-Q30/MAX(1,Inputs!$E$16)</f>
        <v>72</v>
      </c>
      <c r="R9" s="95" t="n">
        <f aca="false">-R30/MAX(1,Inputs!$E$16)</f>
        <v>72</v>
      </c>
      <c r="S9" s="95" t="n">
        <f aca="false">-S30/MAX(1,Inputs!$E$16)</f>
        <v>72</v>
      </c>
      <c r="T9" s="95" t="n">
        <f aca="false">-T30/MAX(1,Inputs!$E$16)</f>
        <v>72</v>
      </c>
      <c r="U9" s="95" t="n">
        <f aca="false">-U30/MAX(1,Inputs!$E$16)</f>
        <v>72</v>
      </c>
      <c r="V9" s="95" t="n">
        <f aca="false">-V30/MAX(1,Inputs!$E$16)</f>
        <v>72</v>
      </c>
      <c r="W9" s="95" t="n">
        <f aca="false">-W30/MAX(1,Inputs!$E$16)</f>
        <v>72</v>
      </c>
      <c r="X9" s="95" t="n">
        <f aca="false">-X30/MAX(1,Inputs!$E$16)</f>
        <v>72</v>
      </c>
      <c r="Y9" s="95" t="n">
        <f aca="false">-Y30/MAX(1,Inputs!$E$16)</f>
        <v>72</v>
      </c>
      <c r="Z9" s="95" t="n">
        <f aca="false">-Z30/MAX(1,Inputs!$E$16)</f>
        <v>72</v>
      </c>
      <c r="AA9" s="95" t="n">
        <f aca="false">-AA30/MAX(1,Inputs!$E$16)</f>
        <v>86.4</v>
      </c>
      <c r="AB9" s="95" t="n">
        <f aca="false">-AB30/MAX(1,Inputs!$E$16)</f>
        <v>86.4</v>
      </c>
      <c r="AC9" s="95" t="n">
        <f aca="false">-AC30/MAX(1,Inputs!$E$16)</f>
        <v>86.4</v>
      </c>
      <c r="AD9" s="95" t="n">
        <f aca="false">-AD30/MAX(1,Inputs!$E$16)</f>
        <v>86.4</v>
      </c>
      <c r="AE9" s="95" t="n">
        <f aca="false">-AE30/MAX(1,Inputs!$E$16)</f>
        <v>86.4</v>
      </c>
      <c r="AF9" s="95" t="n">
        <f aca="false">-AF30/MAX(1,Inputs!$E$16)</f>
        <v>86.4</v>
      </c>
      <c r="AG9" s="95" t="n">
        <f aca="false">-AG30/MAX(1,Inputs!$E$16)</f>
        <v>86.4</v>
      </c>
      <c r="AH9" s="95" t="n">
        <f aca="false">-AH30/MAX(1,Inputs!$E$16)</f>
        <v>86.4</v>
      </c>
      <c r="AI9" s="95" t="n">
        <f aca="false">-AI30/MAX(1,Inputs!$E$16)</f>
        <v>86.4</v>
      </c>
      <c r="AJ9" s="95" t="n">
        <f aca="false">-AJ30/MAX(1,Inputs!$E$16)</f>
        <v>86.4</v>
      </c>
      <c r="AK9" s="95" t="n">
        <f aca="false">-AK30/MAX(1,Inputs!$E$16)</f>
        <v>86.4</v>
      </c>
      <c r="AL9" s="95" t="n">
        <f aca="false">-AL30/MAX(1,Inputs!$E$16)</f>
        <v>86.4</v>
      </c>
      <c r="AM9" s="95" t="n">
        <f aca="false">-AM30/MAX(1,Inputs!$E$16)</f>
        <v>103.68</v>
      </c>
      <c r="AN9" s="95" t="n">
        <f aca="false">-AN30/MAX(1,Inputs!$E$16)</f>
        <v>103.68</v>
      </c>
      <c r="AO9" s="95" t="n">
        <f aca="false">-AO30/MAX(1,Inputs!$E$16)</f>
        <v>103.68</v>
      </c>
      <c r="AP9" s="95" t="n">
        <f aca="false">-AP30/MAX(1,Inputs!$E$16)</f>
        <v>103.68</v>
      </c>
      <c r="AQ9" s="95" t="n">
        <f aca="false">-AQ30/MAX(1,Inputs!$E$16)</f>
        <v>103.68</v>
      </c>
      <c r="AR9" s="95" t="n">
        <f aca="false">-AR30/MAX(1,Inputs!$E$16)</f>
        <v>103.68</v>
      </c>
      <c r="AS9" s="95" t="n">
        <f aca="false">-AS30/MAX(1,Inputs!$E$16)</f>
        <v>103.68</v>
      </c>
      <c r="AT9" s="95" t="n">
        <f aca="false">-AT30/MAX(1,Inputs!$E$16)</f>
        <v>103.68</v>
      </c>
      <c r="AU9" s="95" t="n">
        <f aca="false">-AU30/MAX(1,Inputs!$E$16)</f>
        <v>103.68</v>
      </c>
      <c r="AV9" s="95" t="n">
        <f aca="false">-AV30/MAX(1,Inputs!$E$16)</f>
        <v>103.68</v>
      </c>
      <c r="AW9" s="95" t="n">
        <f aca="false">-AW30/MAX(1,Inputs!$E$16)</f>
        <v>103.68</v>
      </c>
      <c r="AX9" s="95" t="n">
        <f aca="false">-AX30/MAX(1,Inputs!$E$16)</f>
        <v>103.68</v>
      </c>
      <c r="AY9" s="95" t="n">
        <f aca="false">-AY30/MAX(1,Inputs!$E$16)</f>
        <v>124.416</v>
      </c>
      <c r="AZ9" s="95" t="n">
        <f aca="false">-AZ30/MAX(1,Inputs!$E$16)</f>
        <v>124.416</v>
      </c>
      <c r="BA9" s="95" t="n">
        <f aca="false">-BA30/MAX(1,Inputs!$E$16)</f>
        <v>124.416</v>
      </c>
      <c r="BB9" s="95" t="n">
        <f aca="false">-BB30/MAX(1,Inputs!$E$16)</f>
        <v>124.416</v>
      </c>
      <c r="BC9" s="95" t="n">
        <f aca="false">-BC30/MAX(1,Inputs!$E$16)</f>
        <v>124.416</v>
      </c>
      <c r="BD9" s="95" t="n">
        <f aca="false">-BD30/MAX(1,Inputs!$E$16)</f>
        <v>124.416</v>
      </c>
      <c r="BE9" s="95" t="n">
        <f aca="false">-BE30/MAX(1,Inputs!$E$16)</f>
        <v>124.416</v>
      </c>
      <c r="BF9" s="95" t="n">
        <f aca="false">-BF30/MAX(1,Inputs!$E$16)</f>
        <v>124.416</v>
      </c>
      <c r="BG9" s="95" t="n">
        <f aca="false">-BG30/MAX(1,Inputs!$E$16)</f>
        <v>124.416</v>
      </c>
      <c r="BH9" s="95" t="n">
        <f aca="false">-BH30/MAX(1,Inputs!$E$16)</f>
        <v>124.416</v>
      </c>
      <c r="BI9" s="95" t="n">
        <f aca="false">-BI30/MAX(1,Inputs!$E$16)</f>
        <v>124.416</v>
      </c>
      <c r="BJ9" s="95" t="n">
        <f aca="false">-BJ30/MAX(1,Inputs!$E$16)</f>
        <v>124.416</v>
      </c>
    </row>
    <row r="10" customFormat="false" ht="15" hidden="false" customHeight="false" outlineLevel="0" collapsed="false">
      <c r="A10" s="5" t="s">
        <v>397</v>
      </c>
      <c r="B10" s="6"/>
      <c r="C10" s="93" t="n">
        <f aca="false">C8+C9</f>
        <v>100</v>
      </c>
      <c r="D10" s="93" t="n">
        <f aca="false">D8+D9</f>
        <v>100</v>
      </c>
      <c r="E10" s="93" t="n">
        <f aca="false">E8+E9</f>
        <v>100</v>
      </c>
      <c r="F10" s="93" t="n">
        <f aca="false">F8+F9</f>
        <v>100</v>
      </c>
      <c r="G10" s="93" t="n">
        <f aca="false">G8+G9</f>
        <v>100</v>
      </c>
      <c r="H10" s="93" t="n">
        <f aca="false">H8+H9</f>
        <v>100</v>
      </c>
      <c r="I10" s="93" t="n">
        <f aca="false">I8+I9</f>
        <v>100</v>
      </c>
      <c r="J10" s="93" t="n">
        <f aca="false">J8+J9</f>
        <v>100</v>
      </c>
      <c r="K10" s="93" t="n">
        <f aca="false">K8+K9</f>
        <v>100</v>
      </c>
      <c r="L10" s="93" t="n">
        <f aca="false">L8+L9</f>
        <v>100</v>
      </c>
      <c r="M10" s="93" t="n">
        <f aca="false">M8+M9</f>
        <v>100</v>
      </c>
      <c r="N10" s="93" t="n">
        <f aca="false">N8+N9</f>
        <v>100</v>
      </c>
      <c r="O10" s="93" t="n">
        <f aca="false">O8+O9</f>
        <v>124</v>
      </c>
      <c r="P10" s="93" t="n">
        <f aca="false">P8+P9</f>
        <v>124</v>
      </c>
      <c r="Q10" s="93" t="n">
        <f aca="false">Q8+Q9</f>
        <v>124</v>
      </c>
      <c r="R10" s="93" t="n">
        <f aca="false">R8+R9</f>
        <v>124</v>
      </c>
      <c r="S10" s="93" t="n">
        <f aca="false">S8+S9</f>
        <v>124</v>
      </c>
      <c r="T10" s="93" t="n">
        <f aca="false">T8+T9</f>
        <v>124</v>
      </c>
      <c r="U10" s="93" t="n">
        <f aca="false">U8+U9</f>
        <v>124</v>
      </c>
      <c r="V10" s="93" t="n">
        <f aca="false">V8+V9</f>
        <v>124</v>
      </c>
      <c r="W10" s="93" t="n">
        <f aca="false">W8+W9</f>
        <v>124</v>
      </c>
      <c r="X10" s="93" t="n">
        <f aca="false">X8+X9</f>
        <v>124</v>
      </c>
      <c r="Y10" s="93" t="n">
        <f aca="false">Y8+Y9</f>
        <v>124</v>
      </c>
      <c r="Z10" s="93" t="n">
        <f aca="false">Z8+Z9</f>
        <v>124</v>
      </c>
      <c r="AA10" s="93" t="n">
        <f aca="false">AA8+AA9</f>
        <v>154</v>
      </c>
      <c r="AB10" s="93" t="n">
        <f aca="false">AB8+AB9</f>
        <v>154</v>
      </c>
      <c r="AC10" s="93" t="n">
        <f aca="false">AC8+AC9</f>
        <v>154</v>
      </c>
      <c r="AD10" s="93" t="n">
        <f aca="false">AD8+AD9</f>
        <v>154</v>
      </c>
      <c r="AE10" s="93" t="n">
        <f aca="false">AE8+AE9</f>
        <v>154</v>
      </c>
      <c r="AF10" s="93" t="n">
        <f aca="false">AF8+AF9</f>
        <v>154</v>
      </c>
      <c r="AG10" s="93" t="n">
        <f aca="false">AG8+AG9</f>
        <v>154</v>
      </c>
      <c r="AH10" s="93" t="n">
        <f aca="false">AH8+AH9</f>
        <v>154</v>
      </c>
      <c r="AI10" s="93" t="n">
        <f aca="false">AI8+AI9</f>
        <v>154</v>
      </c>
      <c r="AJ10" s="93" t="n">
        <f aca="false">AJ8+AJ9</f>
        <v>154</v>
      </c>
      <c r="AK10" s="93" t="n">
        <f aca="false">AK8+AK9</f>
        <v>154</v>
      </c>
      <c r="AL10" s="93" t="n">
        <f aca="false">AL8+AL9</f>
        <v>154</v>
      </c>
      <c r="AM10" s="93" t="n">
        <f aca="false">AM8+AM9</f>
        <v>191.56</v>
      </c>
      <c r="AN10" s="93" t="n">
        <f aca="false">AN8+AN9</f>
        <v>191.56</v>
      </c>
      <c r="AO10" s="93" t="n">
        <f aca="false">AO8+AO9</f>
        <v>191.56</v>
      </c>
      <c r="AP10" s="93" t="n">
        <f aca="false">AP8+AP9</f>
        <v>191.56</v>
      </c>
      <c r="AQ10" s="93" t="n">
        <f aca="false">AQ8+AQ9</f>
        <v>191.56</v>
      </c>
      <c r="AR10" s="93" t="n">
        <f aca="false">AR8+AR9</f>
        <v>191.56</v>
      </c>
      <c r="AS10" s="93" t="n">
        <f aca="false">AS8+AS9</f>
        <v>191.56</v>
      </c>
      <c r="AT10" s="93" t="n">
        <f aca="false">AT8+AT9</f>
        <v>191.56</v>
      </c>
      <c r="AU10" s="93" t="n">
        <f aca="false">AU8+AU9</f>
        <v>191.56</v>
      </c>
      <c r="AV10" s="93" t="n">
        <f aca="false">AV8+AV9</f>
        <v>191.56</v>
      </c>
      <c r="AW10" s="93" t="n">
        <f aca="false">AW8+AW9</f>
        <v>191.56</v>
      </c>
      <c r="AX10" s="93" t="n">
        <f aca="false">AX8+AX9</f>
        <v>191.56</v>
      </c>
      <c r="AY10" s="93" t="n">
        <f aca="false">AY8+AY9</f>
        <v>238.66</v>
      </c>
      <c r="AZ10" s="93" t="n">
        <f aca="false">AZ8+AZ9</f>
        <v>238.66</v>
      </c>
      <c r="BA10" s="93" t="n">
        <f aca="false">BA8+BA9</f>
        <v>238.66</v>
      </c>
      <c r="BB10" s="93" t="n">
        <f aca="false">BB8+BB9</f>
        <v>238.66</v>
      </c>
      <c r="BC10" s="93" t="n">
        <f aca="false">BC8+BC9</f>
        <v>238.66</v>
      </c>
      <c r="BD10" s="93" t="n">
        <f aca="false">BD8+BD9</f>
        <v>238.66</v>
      </c>
      <c r="BE10" s="93" t="n">
        <f aca="false">BE8+BE9</f>
        <v>238.66</v>
      </c>
      <c r="BF10" s="93" t="n">
        <f aca="false">BF8+BF9</f>
        <v>238.66</v>
      </c>
      <c r="BG10" s="93" t="n">
        <f aca="false">BG8+BG9</f>
        <v>238.66</v>
      </c>
      <c r="BH10" s="93" t="n">
        <f aca="false">BH8+BH9</f>
        <v>238.66</v>
      </c>
      <c r="BI10" s="93" t="n">
        <f aca="false">BI8+BI9</f>
        <v>238.66</v>
      </c>
      <c r="BJ10" s="93" t="n">
        <f aca="false">BJ8+BJ9</f>
        <v>238.66</v>
      </c>
    </row>
    <row r="11" customFormat="false" ht="15" hidden="false" customHeight="false" outlineLevel="0" collapsed="false">
      <c r="A11" s="6" t="s">
        <v>398</v>
      </c>
      <c r="B11" s="6"/>
      <c r="C11" s="110" t="n">
        <f aca="false">Inputs!$E$7</f>
        <v>3000</v>
      </c>
      <c r="D11" s="95" t="n">
        <f aca="false">C13</f>
        <v>3055</v>
      </c>
      <c r="E11" s="95" t="n">
        <f aca="false">D13</f>
        <v>3109.175</v>
      </c>
      <c r="F11" s="95" t="n">
        <f aca="false">E13</f>
        <v>3162.537375</v>
      </c>
      <c r="G11" s="95" t="n">
        <f aca="false">F13</f>
        <v>3215.099314375</v>
      </c>
      <c r="H11" s="95" t="n">
        <f aca="false">G13</f>
        <v>3266.87282465938</v>
      </c>
      <c r="I11" s="95" t="n">
        <f aca="false">H13</f>
        <v>3317.86973228948</v>
      </c>
      <c r="J11" s="95" t="n">
        <f aca="false">I13</f>
        <v>3368.10168630514</v>
      </c>
      <c r="K11" s="95" t="n">
        <f aca="false">J13</f>
        <v>3417.58016101057</v>
      </c>
      <c r="L11" s="95" t="n">
        <f aca="false">K13</f>
        <v>3466.31645859541</v>
      </c>
      <c r="M11" s="95" t="n">
        <f aca="false">L13</f>
        <v>3514.32171171648</v>
      </c>
      <c r="N11" s="95" t="n">
        <f aca="false">M13</f>
        <v>3561.60688604073</v>
      </c>
      <c r="O11" s="95" t="n">
        <f aca="false">N13</f>
        <v>3608.18278275012</v>
      </c>
      <c r="P11" s="95" t="n">
        <f aca="false">O13</f>
        <v>3678.06004100887</v>
      </c>
      <c r="Q11" s="95" t="n">
        <f aca="false">P13</f>
        <v>3746.88914039373</v>
      </c>
      <c r="R11" s="95" t="n">
        <f aca="false">Q13</f>
        <v>3814.68580328783</v>
      </c>
      <c r="S11" s="95" t="n">
        <f aca="false">R13</f>
        <v>3881.46551623851</v>
      </c>
      <c r="T11" s="95" t="n">
        <f aca="false">S13</f>
        <v>3947.24353349493</v>
      </c>
      <c r="U11" s="95" t="n">
        <f aca="false">T13</f>
        <v>4012.03488049251</v>
      </c>
      <c r="V11" s="95" t="n">
        <f aca="false">U13</f>
        <v>4075.85435728512</v>
      </c>
      <c r="W11" s="95" t="n">
        <f aca="false">V13</f>
        <v>4138.71654192584</v>
      </c>
      <c r="X11" s="95" t="n">
        <f aca="false">W13</f>
        <v>4200.63579379696</v>
      </c>
      <c r="Y11" s="95" t="n">
        <f aca="false">X13</f>
        <v>4261.62625689</v>
      </c>
      <c r="Z11" s="95" t="n">
        <f aca="false">Y13</f>
        <v>4321.70186303665</v>
      </c>
      <c r="AA11" s="95" t="n">
        <f aca="false">Z13</f>
        <v>4380.8763350911</v>
      </c>
      <c r="AB11" s="95" t="n">
        <f aca="false">AA13</f>
        <v>4469.16319006473</v>
      </c>
      <c r="AC11" s="95" t="n">
        <f aca="false">AB13</f>
        <v>4556.12574221376</v>
      </c>
      <c r="AD11" s="95" t="n">
        <f aca="false">AC13</f>
        <v>4641.78385608056</v>
      </c>
      <c r="AE11" s="95" t="n">
        <f aca="false">AD13</f>
        <v>4726.15709823935</v>
      </c>
      <c r="AF11" s="95" t="n">
        <f aca="false">AE13</f>
        <v>4809.26474176576</v>
      </c>
      <c r="AG11" s="95" t="n">
        <f aca="false">AF13</f>
        <v>4891.12577063927</v>
      </c>
      <c r="AH11" s="95" t="n">
        <f aca="false">AG13</f>
        <v>4971.75888407968</v>
      </c>
      <c r="AI11" s="95" t="n">
        <f aca="false">AH13</f>
        <v>5051.18250081849</v>
      </c>
      <c r="AJ11" s="95" t="n">
        <f aca="false">AI13</f>
        <v>5129.41476330621</v>
      </c>
      <c r="AK11" s="95" t="n">
        <f aca="false">AJ13</f>
        <v>5206.47354185662</v>
      </c>
      <c r="AL11" s="95" t="n">
        <f aca="false">AK13</f>
        <v>5282.37643872877</v>
      </c>
      <c r="AM11" s="95" t="n">
        <f aca="false">AL13</f>
        <v>5357.14079214784</v>
      </c>
      <c r="AN11" s="95" t="n">
        <f aca="false">AM13</f>
        <v>5468.34368026562</v>
      </c>
      <c r="AO11" s="95" t="n">
        <f aca="false">AN13</f>
        <v>5577.87852506163</v>
      </c>
      <c r="AP11" s="95" t="n">
        <f aca="false">AO13</f>
        <v>5685.77034718571</v>
      </c>
      <c r="AQ11" s="95" t="n">
        <f aca="false">AP13</f>
        <v>5792.04379197792</v>
      </c>
      <c r="AR11" s="95" t="n">
        <f aca="false">AQ13</f>
        <v>5896.72313509826</v>
      </c>
      <c r="AS11" s="95" t="n">
        <f aca="false">AR13</f>
        <v>5999.83228807178</v>
      </c>
      <c r="AT11" s="95" t="n">
        <f aca="false">AS13</f>
        <v>6101.39480375071</v>
      </c>
      <c r="AU11" s="95" t="n">
        <f aca="false">AT13</f>
        <v>6201.43388169445</v>
      </c>
      <c r="AV11" s="95" t="n">
        <f aca="false">AU13</f>
        <v>6299.97237346903</v>
      </c>
      <c r="AW11" s="95" t="n">
        <f aca="false">AV13</f>
        <v>6397.032787867</v>
      </c>
      <c r="AX11" s="95" t="n">
        <f aca="false">AW13</f>
        <v>6492.63729604899</v>
      </c>
      <c r="AY11" s="95" t="n">
        <f aca="false">AX13</f>
        <v>6586.80773660826</v>
      </c>
      <c r="AZ11" s="95" t="n">
        <f aca="false">AY13</f>
        <v>6726.66562055913</v>
      </c>
      <c r="BA11" s="95" t="n">
        <f aca="false">AZ13</f>
        <v>6864.42563625075</v>
      </c>
      <c r="BB11" s="95" t="n">
        <f aca="false">BA13</f>
        <v>7000.11925170699</v>
      </c>
      <c r="BC11" s="95" t="n">
        <f aca="false">BB13</f>
        <v>7133.77746293138</v>
      </c>
      <c r="BD11" s="95" t="n">
        <f aca="false">BC13</f>
        <v>7265.43080098741</v>
      </c>
      <c r="BE11" s="95" t="n">
        <f aca="false">BD13</f>
        <v>7395.1093389726</v>
      </c>
      <c r="BF11" s="95" t="n">
        <f aca="false">BE13</f>
        <v>7522.84269888801</v>
      </c>
      <c r="BG11" s="95" t="n">
        <f aca="false">BF13</f>
        <v>7648.66005840469</v>
      </c>
      <c r="BH11" s="95" t="n">
        <f aca="false">BG13</f>
        <v>7772.59015752862</v>
      </c>
      <c r="BI11" s="95" t="n">
        <f aca="false">BH13</f>
        <v>7894.66130516569</v>
      </c>
      <c r="BJ11" s="95" t="n">
        <f aca="false">BI13</f>
        <v>8014.9013855882</v>
      </c>
    </row>
    <row r="12" customFormat="false" ht="15" hidden="false" customHeight="false" outlineLevel="0" collapsed="false">
      <c r="A12" s="6" t="s">
        <v>399</v>
      </c>
      <c r="B12" s="6"/>
      <c r="C12" s="95" t="n">
        <f aca="false">-C11*Inputs!$E$10</f>
        <v>-45</v>
      </c>
      <c r="D12" s="95" t="n">
        <f aca="false">-D11*Inputs!$E$10</f>
        <v>-45.825</v>
      </c>
      <c r="E12" s="95" t="n">
        <f aca="false">-E11*Inputs!$E$10</f>
        <v>-46.637625</v>
      </c>
      <c r="F12" s="95" t="n">
        <f aca="false">-F11*Inputs!$E$10</f>
        <v>-47.438060625</v>
      </c>
      <c r="G12" s="95" t="n">
        <f aca="false">-G11*Inputs!$E$10</f>
        <v>-48.226489715625</v>
      </c>
      <c r="H12" s="95" t="n">
        <f aca="false">-H11*Inputs!$E$10</f>
        <v>-49.0030923698906</v>
      </c>
      <c r="I12" s="95" t="n">
        <f aca="false">-I11*Inputs!$E$10</f>
        <v>-49.7680459843423</v>
      </c>
      <c r="J12" s="95" t="n">
        <f aca="false">-J11*Inputs!$E$10</f>
        <v>-50.5215252945771</v>
      </c>
      <c r="K12" s="95" t="n">
        <f aca="false">-K11*Inputs!$E$10</f>
        <v>-51.2637024151585</v>
      </c>
      <c r="L12" s="95" t="n">
        <f aca="false">-L11*Inputs!$E$10</f>
        <v>-51.9947468789311</v>
      </c>
      <c r="M12" s="95" t="n">
        <f aca="false">-M11*Inputs!$E$10</f>
        <v>-52.7148256757471</v>
      </c>
      <c r="N12" s="95" t="n">
        <f aca="false">-N11*Inputs!$E$10</f>
        <v>-53.4241032906109</v>
      </c>
      <c r="O12" s="95" t="n">
        <f aca="false">-O11*Inputs!$E$10</f>
        <v>-54.1227417412518</v>
      </c>
      <c r="P12" s="95" t="n">
        <f aca="false">-P11*Inputs!$E$10</f>
        <v>-55.170900615133</v>
      </c>
      <c r="Q12" s="95" t="n">
        <f aca="false">-Q11*Inputs!$E$10</f>
        <v>-56.203337105906</v>
      </c>
      <c r="R12" s="95" t="n">
        <f aca="false">-R11*Inputs!$E$10</f>
        <v>-57.2202870493174</v>
      </c>
      <c r="S12" s="95" t="n">
        <f aca="false">-S11*Inputs!$E$10</f>
        <v>-58.2219827435776</v>
      </c>
      <c r="T12" s="95" t="n">
        <f aca="false">-T11*Inputs!$E$10</f>
        <v>-59.208653002424</v>
      </c>
      <c r="U12" s="95" t="n">
        <f aca="false">-U11*Inputs!$E$10</f>
        <v>-60.1805232073876</v>
      </c>
      <c r="V12" s="95" t="n">
        <f aca="false">-V11*Inputs!$E$10</f>
        <v>-61.1378153592768</v>
      </c>
      <c r="W12" s="95" t="n">
        <f aca="false">-W11*Inputs!$E$10</f>
        <v>-62.0807481288876</v>
      </c>
      <c r="X12" s="95" t="n">
        <f aca="false">-X11*Inputs!$E$10</f>
        <v>-63.0095369069543</v>
      </c>
      <c r="Y12" s="95" t="n">
        <f aca="false">-Y11*Inputs!$E$10</f>
        <v>-63.92439385335</v>
      </c>
      <c r="Z12" s="95" t="n">
        <f aca="false">-Z11*Inputs!$E$10</f>
        <v>-64.8255279455498</v>
      </c>
      <c r="AA12" s="95" t="n">
        <f aca="false">-AA11*Inputs!$E$10</f>
        <v>-65.7131450263665</v>
      </c>
      <c r="AB12" s="95" t="n">
        <f aca="false">-AB11*Inputs!$E$10</f>
        <v>-67.037447850971</v>
      </c>
      <c r="AC12" s="95" t="n">
        <f aca="false">-AC11*Inputs!$E$10</f>
        <v>-68.3418861332064</v>
      </c>
      <c r="AD12" s="95" t="n">
        <f aca="false">-AD11*Inputs!$E$10</f>
        <v>-69.6267578412084</v>
      </c>
      <c r="AE12" s="95" t="n">
        <f aca="false">-AE11*Inputs!$E$10</f>
        <v>-70.8923564735902</v>
      </c>
      <c r="AF12" s="95" t="n">
        <f aca="false">-AF11*Inputs!$E$10</f>
        <v>-72.1389711264864</v>
      </c>
      <c r="AG12" s="95" t="n">
        <f aca="false">-AG11*Inputs!$E$10</f>
        <v>-73.3668865595891</v>
      </c>
      <c r="AH12" s="95" t="n">
        <f aca="false">-AH11*Inputs!$E$10</f>
        <v>-74.5763832611952</v>
      </c>
      <c r="AI12" s="95" t="n">
        <f aca="false">-AI11*Inputs!$E$10</f>
        <v>-75.7677375122773</v>
      </c>
      <c r="AJ12" s="95" t="n">
        <f aca="false">-AJ11*Inputs!$E$10</f>
        <v>-76.9412214495931</v>
      </c>
      <c r="AK12" s="95" t="n">
        <f aca="false">-AK11*Inputs!$E$10</f>
        <v>-78.0971031278492</v>
      </c>
      <c r="AL12" s="95" t="n">
        <f aca="false">-AL11*Inputs!$E$10</f>
        <v>-79.2356465809315</v>
      </c>
      <c r="AM12" s="95" t="n">
        <f aca="false">-AM11*Inputs!$E$10</f>
        <v>-80.3571118822175</v>
      </c>
      <c r="AN12" s="95" t="n">
        <f aca="false">-AN11*Inputs!$E$10</f>
        <v>-82.0251552039843</v>
      </c>
      <c r="AO12" s="95" t="n">
        <f aca="false">-AO11*Inputs!$E$10</f>
        <v>-83.6681778759245</v>
      </c>
      <c r="AP12" s="95" t="n">
        <f aca="false">-AP11*Inputs!$E$10</f>
        <v>-85.2865552077856</v>
      </c>
      <c r="AQ12" s="95" t="n">
        <f aca="false">-AQ11*Inputs!$E$10</f>
        <v>-86.8806568796689</v>
      </c>
      <c r="AR12" s="95" t="n">
        <f aca="false">-AR11*Inputs!$E$10</f>
        <v>-88.4508470264738</v>
      </c>
      <c r="AS12" s="95" t="n">
        <f aca="false">-AS11*Inputs!$E$10</f>
        <v>-89.9974843210767</v>
      </c>
      <c r="AT12" s="95" t="n">
        <f aca="false">-AT11*Inputs!$E$10</f>
        <v>-91.5209220562606</v>
      </c>
      <c r="AU12" s="95" t="n">
        <f aca="false">-AU11*Inputs!$E$10</f>
        <v>-93.0215082254167</v>
      </c>
      <c r="AV12" s="95" t="n">
        <f aca="false">-AV11*Inputs!$E$10</f>
        <v>-94.4995856020354</v>
      </c>
      <c r="AW12" s="95" t="n">
        <f aca="false">-AW11*Inputs!$E$10</f>
        <v>-95.9554918180049</v>
      </c>
      <c r="AX12" s="95" t="n">
        <f aca="false">-AX11*Inputs!$E$10</f>
        <v>-97.3895594407349</v>
      </c>
      <c r="AY12" s="95" t="n">
        <f aca="false">-AY11*Inputs!$E$10</f>
        <v>-98.8021160491238</v>
      </c>
      <c r="AZ12" s="95" t="n">
        <f aca="false">-AZ11*Inputs!$E$10</f>
        <v>-100.899984308387</v>
      </c>
      <c r="BA12" s="95" t="n">
        <f aca="false">-BA11*Inputs!$E$10</f>
        <v>-102.966384543761</v>
      </c>
      <c r="BB12" s="95" t="n">
        <f aca="false">-BB11*Inputs!$E$10</f>
        <v>-105.001788775605</v>
      </c>
      <c r="BC12" s="95" t="n">
        <f aca="false">-BC11*Inputs!$E$10</f>
        <v>-107.006661943971</v>
      </c>
      <c r="BD12" s="95" t="n">
        <f aca="false">-BD11*Inputs!$E$10</f>
        <v>-108.981462014811</v>
      </c>
      <c r="BE12" s="95" t="n">
        <f aca="false">-BE11*Inputs!$E$10</f>
        <v>-110.926640084589</v>
      </c>
      <c r="BF12" s="95" t="n">
        <f aca="false">-BF11*Inputs!$E$10</f>
        <v>-112.84264048332</v>
      </c>
      <c r="BG12" s="95" t="n">
        <f aca="false">-BG11*Inputs!$E$10</f>
        <v>-114.72990087607</v>
      </c>
      <c r="BH12" s="95" t="n">
        <f aca="false">-BH11*Inputs!$E$10</f>
        <v>-116.588852362929</v>
      </c>
      <c r="BI12" s="95" t="n">
        <f aca="false">-BI11*Inputs!$E$10</f>
        <v>-118.419919577485</v>
      </c>
      <c r="BJ12" s="95" t="n">
        <f aca="false">-BJ11*Inputs!$E$10</f>
        <v>-120.223520783823</v>
      </c>
    </row>
    <row r="13" customFormat="false" ht="15" hidden="false" customHeight="false" outlineLevel="0" collapsed="false">
      <c r="A13" s="31" t="s">
        <v>400</v>
      </c>
      <c r="B13" s="31"/>
      <c r="C13" s="111" t="n">
        <f aca="false">C11+C10+C12</f>
        <v>3055</v>
      </c>
      <c r="D13" s="111" t="n">
        <f aca="false">D11+D10+D12</f>
        <v>3109.175</v>
      </c>
      <c r="E13" s="111" t="n">
        <f aca="false">E11+E10+E12</f>
        <v>3162.537375</v>
      </c>
      <c r="F13" s="111" t="n">
        <f aca="false">F11+F10+F12</f>
        <v>3215.099314375</v>
      </c>
      <c r="G13" s="111" t="n">
        <f aca="false">G11+G10+G12</f>
        <v>3266.87282465938</v>
      </c>
      <c r="H13" s="111" t="n">
        <f aca="false">H11+H10+H12</f>
        <v>3317.86973228948</v>
      </c>
      <c r="I13" s="111" t="n">
        <f aca="false">I11+I10+I12</f>
        <v>3368.10168630514</v>
      </c>
      <c r="J13" s="111" t="n">
        <f aca="false">J11+J10+J12</f>
        <v>3417.58016101057</v>
      </c>
      <c r="K13" s="111" t="n">
        <f aca="false">K11+K10+K12</f>
        <v>3466.31645859541</v>
      </c>
      <c r="L13" s="111" t="n">
        <f aca="false">L11+L10+L12</f>
        <v>3514.32171171648</v>
      </c>
      <c r="M13" s="111" t="n">
        <f aca="false">M11+M10+M12</f>
        <v>3561.60688604073</v>
      </c>
      <c r="N13" s="111" t="n">
        <f aca="false">N11+N10+N12</f>
        <v>3608.18278275012</v>
      </c>
      <c r="O13" s="111" t="n">
        <f aca="false">O11+O10+O12</f>
        <v>3678.06004100887</v>
      </c>
      <c r="P13" s="111" t="n">
        <f aca="false">P11+P10+P12</f>
        <v>3746.88914039373</v>
      </c>
      <c r="Q13" s="111" t="n">
        <f aca="false">Q11+Q10+Q12</f>
        <v>3814.68580328783</v>
      </c>
      <c r="R13" s="111" t="n">
        <f aca="false">R11+R10+R12</f>
        <v>3881.46551623851</v>
      </c>
      <c r="S13" s="111" t="n">
        <f aca="false">S11+S10+S12</f>
        <v>3947.24353349493</v>
      </c>
      <c r="T13" s="111" t="n">
        <f aca="false">T11+T10+T12</f>
        <v>4012.03488049251</v>
      </c>
      <c r="U13" s="111" t="n">
        <f aca="false">U11+U10+U12</f>
        <v>4075.85435728512</v>
      </c>
      <c r="V13" s="111" t="n">
        <f aca="false">V11+V10+V12</f>
        <v>4138.71654192584</v>
      </c>
      <c r="W13" s="111" t="n">
        <f aca="false">W11+W10+W12</f>
        <v>4200.63579379696</v>
      </c>
      <c r="X13" s="111" t="n">
        <f aca="false">X11+X10+X12</f>
        <v>4261.62625689</v>
      </c>
      <c r="Y13" s="111" t="n">
        <f aca="false">Y11+Y10+Y12</f>
        <v>4321.70186303665</v>
      </c>
      <c r="Z13" s="111" t="n">
        <f aca="false">Z11+Z10+Z12</f>
        <v>4380.8763350911</v>
      </c>
      <c r="AA13" s="111" t="n">
        <f aca="false">AA11+AA10+AA12</f>
        <v>4469.16319006473</v>
      </c>
      <c r="AB13" s="111" t="n">
        <f aca="false">AB11+AB10+AB12</f>
        <v>4556.12574221376</v>
      </c>
      <c r="AC13" s="111" t="n">
        <f aca="false">AC11+AC10+AC12</f>
        <v>4641.78385608056</v>
      </c>
      <c r="AD13" s="111" t="n">
        <f aca="false">AD11+AD10+AD12</f>
        <v>4726.15709823935</v>
      </c>
      <c r="AE13" s="111" t="n">
        <f aca="false">AE11+AE10+AE12</f>
        <v>4809.26474176576</v>
      </c>
      <c r="AF13" s="111" t="n">
        <f aca="false">AF11+AF10+AF12</f>
        <v>4891.12577063927</v>
      </c>
      <c r="AG13" s="111" t="n">
        <f aca="false">AG11+AG10+AG12</f>
        <v>4971.75888407968</v>
      </c>
      <c r="AH13" s="111" t="n">
        <f aca="false">AH11+AH10+AH12</f>
        <v>5051.18250081849</v>
      </c>
      <c r="AI13" s="111" t="n">
        <f aca="false">AI11+AI10+AI12</f>
        <v>5129.41476330621</v>
      </c>
      <c r="AJ13" s="111" t="n">
        <f aca="false">AJ11+AJ10+AJ12</f>
        <v>5206.47354185662</v>
      </c>
      <c r="AK13" s="111" t="n">
        <f aca="false">AK11+AK10+AK12</f>
        <v>5282.37643872877</v>
      </c>
      <c r="AL13" s="111" t="n">
        <f aca="false">AL11+AL10+AL12</f>
        <v>5357.14079214784</v>
      </c>
      <c r="AM13" s="111" t="n">
        <f aca="false">AM11+AM10+AM12</f>
        <v>5468.34368026562</v>
      </c>
      <c r="AN13" s="111" t="n">
        <f aca="false">AN11+AN10+AN12</f>
        <v>5577.87852506163</v>
      </c>
      <c r="AO13" s="111" t="n">
        <f aca="false">AO11+AO10+AO12</f>
        <v>5685.77034718571</v>
      </c>
      <c r="AP13" s="111" t="n">
        <f aca="false">AP11+AP10+AP12</f>
        <v>5792.04379197792</v>
      </c>
      <c r="AQ13" s="111" t="n">
        <f aca="false">AQ11+AQ10+AQ12</f>
        <v>5896.72313509826</v>
      </c>
      <c r="AR13" s="111" t="n">
        <f aca="false">AR11+AR10+AR12</f>
        <v>5999.83228807178</v>
      </c>
      <c r="AS13" s="111" t="n">
        <f aca="false">AS11+AS10+AS12</f>
        <v>6101.39480375071</v>
      </c>
      <c r="AT13" s="111" t="n">
        <f aca="false">AT11+AT10+AT12</f>
        <v>6201.43388169445</v>
      </c>
      <c r="AU13" s="111" t="n">
        <f aca="false">AU11+AU10+AU12</f>
        <v>6299.97237346903</v>
      </c>
      <c r="AV13" s="111" t="n">
        <f aca="false">AV11+AV10+AV12</f>
        <v>6397.032787867</v>
      </c>
      <c r="AW13" s="111" t="n">
        <f aca="false">AW11+AW10+AW12</f>
        <v>6492.63729604899</v>
      </c>
      <c r="AX13" s="111" t="n">
        <f aca="false">AX11+AX10+AX12</f>
        <v>6586.80773660826</v>
      </c>
      <c r="AY13" s="111" t="n">
        <f aca="false">AY11+AY10+AY12</f>
        <v>6726.66562055913</v>
      </c>
      <c r="AZ13" s="111" t="n">
        <f aca="false">AZ11+AZ10+AZ12</f>
        <v>6864.42563625075</v>
      </c>
      <c r="BA13" s="111" t="n">
        <f aca="false">BA11+BA10+BA12</f>
        <v>7000.11925170699</v>
      </c>
      <c r="BB13" s="111" t="n">
        <f aca="false">BB11+BB10+BB12</f>
        <v>7133.77746293138</v>
      </c>
      <c r="BC13" s="111" t="n">
        <f aca="false">BC11+BC10+BC12</f>
        <v>7265.43080098741</v>
      </c>
      <c r="BD13" s="111" t="n">
        <f aca="false">BD11+BD10+BD12</f>
        <v>7395.1093389726</v>
      </c>
      <c r="BE13" s="111" t="n">
        <f aca="false">BE11+BE10+BE12</f>
        <v>7522.84269888801</v>
      </c>
      <c r="BF13" s="111" t="n">
        <f aca="false">BF11+BF10+BF12</f>
        <v>7648.66005840469</v>
      </c>
      <c r="BG13" s="111" t="n">
        <f aca="false">BG11+BG10+BG12</f>
        <v>7772.59015752862</v>
      </c>
      <c r="BH13" s="111" t="n">
        <f aca="false">BH11+BH10+BH12</f>
        <v>7894.66130516569</v>
      </c>
      <c r="BI13" s="111" t="n">
        <f aca="false">BI11+BI10+BI12</f>
        <v>8014.9013855882</v>
      </c>
      <c r="BJ13" s="111" t="n">
        <f aca="false">BJ11+BJ10+BJ12</f>
        <v>8133.33786480438</v>
      </c>
    </row>
    <row r="14" customFormat="false" ht="15" hidden="false" customHeight="false" outlineLevel="0" collapsed="false">
      <c r="A14" s="6" t="s">
        <v>401</v>
      </c>
      <c r="B14" s="6"/>
      <c r="C14" s="112" t="n">
        <f aca="false">Inputs!$E$8*(1+Inputs!$E$9)^(C$5-1)</f>
        <v>250</v>
      </c>
      <c r="D14" s="112" t="n">
        <f aca="false">Inputs!$E$8*(1+Inputs!$E$9)^(D$5-1)</f>
        <v>250</v>
      </c>
      <c r="E14" s="112" t="n">
        <f aca="false">Inputs!$E$8*(1+Inputs!$E$9)^(E$5-1)</f>
        <v>250</v>
      </c>
      <c r="F14" s="112" t="n">
        <f aca="false">Inputs!$E$8*(1+Inputs!$E$9)^(F$5-1)</f>
        <v>250</v>
      </c>
      <c r="G14" s="112" t="n">
        <f aca="false">Inputs!$E$8*(1+Inputs!$E$9)^(G$5-1)</f>
        <v>250</v>
      </c>
      <c r="H14" s="112" t="n">
        <f aca="false">Inputs!$E$8*(1+Inputs!$E$9)^(H$5-1)</f>
        <v>250</v>
      </c>
      <c r="I14" s="112" t="n">
        <f aca="false">Inputs!$E$8*(1+Inputs!$E$9)^(I$5-1)</f>
        <v>250</v>
      </c>
      <c r="J14" s="112" t="n">
        <f aca="false">Inputs!$E$8*(1+Inputs!$E$9)^(J$5-1)</f>
        <v>250</v>
      </c>
      <c r="K14" s="112" t="n">
        <f aca="false">Inputs!$E$8*(1+Inputs!$E$9)^(K$5-1)</f>
        <v>250</v>
      </c>
      <c r="L14" s="112" t="n">
        <f aca="false">Inputs!$E$8*(1+Inputs!$E$9)^(L$5-1)</f>
        <v>250</v>
      </c>
      <c r="M14" s="112" t="n">
        <f aca="false">Inputs!$E$8*(1+Inputs!$E$9)^(M$5-1)</f>
        <v>250</v>
      </c>
      <c r="N14" s="112" t="n">
        <f aca="false">Inputs!$E$8*(1+Inputs!$E$9)^(N$5-1)</f>
        <v>250</v>
      </c>
      <c r="O14" s="112" t="n">
        <f aca="false">Inputs!$E$8*(1+Inputs!$E$9)^(O$5-1)</f>
        <v>257.5</v>
      </c>
      <c r="P14" s="112" t="n">
        <f aca="false">Inputs!$E$8*(1+Inputs!$E$9)^(P$5-1)</f>
        <v>257.5</v>
      </c>
      <c r="Q14" s="112" t="n">
        <f aca="false">Inputs!$E$8*(1+Inputs!$E$9)^(Q$5-1)</f>
        <v>257.5</v>
      </c>
      <c r="R14" s="112" t="n">
        <f aca="false">Inputs!$E$8*(1+Inputs!$E$9)^(R$5-1)</f>
        <v>257.5</v>
      </c>
      <c r="S14" s="112" t="n">
        <f aca="false">Inputs!$E$8*(1+Inputs!$E$9)^(S$5-1)</f>
        <v>257.5</v>
      </c>
      <c r="T14" s="112" t="n">
        <f aca="false">Inputs!$E$8*(1+Inputs!$E$9)^(T$5-1)</f>
        <v>257.5</v>
      </c>
      <c r="U14" s="112" t="n">
        <f aca="false">Inputs!$E$8*(1+Inputs!$E$9)^(U$5-1)</f>
        <v>257.5</v>
      </c>
      <c r="V14" s="112" t="n">
        <f aca="false">Inputs!$E$8*(1+Inputs!$E$9)^(V$5-1)</f>
        <v>257.5</v>
      </c>
      <c r="W14" s="112" t="n">
        <f aca="false">Inputs!$E$8*(1+Inputs!$E$9)^(W$5-1)</f>
        <v>257.5</v>
      </c>
      <c r="X14" s="112" t="n">
        <f aca="false">Inputs!$E$8*(1+Inputs!$E$9)^(X$5-1)</f>
        <v>257.5</v>
      </c>
      <c r="Y14" s="112" t="n">
        <f aca="false">Inputs!$E$8*(1+Inputs!$E$9)^(Y$5-1)</f>
        <v>257.5</v>
      </c>
      <c r="Z14" s="112" t="n">
        <f aca="false">Inputs!$E$8*(1+Inputs!$E$9)^(Z$5-1)</f>
        <v>257.5</v>
      </c>
      <c r="AA14" s="112" t="n">
        <f aca="false">Inputs!$E$8*(1+Inputs!$E$9)^(AA$5-1)</f>
        <v>265.225</v>
      </c>
      <c r="AB14" s="112" t="n">
        <f aca="false">Inputs!$E$8*(1+Inputs!$E$9)^(AB$5-1)</f>
        <v>265.225</v>
      </c>
      <c r="AC14" s="112" t="n">
        <f aca="false">Inputs!$E$8*(1+Inputs!$E$9)^(AC$5-1)</f>
        <v>265.225</v>
      </c>
      <c r="AD14" s="112" t="n">
        <f aca="false">Inputs!$E$8*(1+Inputs!$E$9)^(AD$5-1)</f>
        <v>265.225</v>
      </c>
      <c r="AE14" s="112" t="n">
        <f aca="false">Inputs!$E$8*(1+Inputs!$E$9)^(AE$5-1)</f>
        <v>265.225</v>
      </c>
      <c r="AF14" s="112" t="n">
        <f aca="false">Inputs!$E$8*(1+Inputs!$E$9)^(AF$5-1)</f>
        <v>265.225</v>
      </c>
      <c r="AG14" s="112" t="n">
        <f aca="false">Inputs!$E$8*(1+Inputs!$E$9)^(AG$5-1)</f>
        <v>265.225</v>
      </c>
      <c r="AH14" s="112" t="n">
        <f aca="false">Inputs!$E$8*(1+Inputs!$E$9)^(AH$5-1)</f>
        <v>265.225</v>
      </c>
      <c r="AI14" s="112" t="n">
        <f aca="false">Inputs!$E$8*(1+Inputs!$E$9)^(AI$5-1)</f>
        <v>265.225</v>
      </c>
      <c r="AJ14" s="112" t="n">
        <f aca="false">Inputs!$E$8*(1+Inputs!$E$9)^(AJ$5-1)</f>
        <v>265.225</v>
      </c>
      <c r="AK14" s="112" t="n">
        <f aca="false">Inputs!$E$8*(1+Inputs!$E$9)^(AK$5-1)</f>
        <v>265.225</v>
      </c>
      <c r="AL14" s="112" t="n">
        <f aca="false">Inputs!$E$8*(1+Inputs!$E$9)^(AL$5-1)</f>
        <v>265.225</v>
      </c>
      <c r="AM14" s="112" t="n">
        <f aca="false">Inputs!$E$8*(1+Inputs!$E$9)^(AM$5-1)</f>
        <v>273.18175</v>
      </c>
      <c r="AN14" s="112" t="n">
        <f aca="false">Inputs!$E$8*(1+Inputs!$E$9)^(AN$5-1)</f>
        <v>273.18175</v>
      </c>
      <c r="AO14" s="112" t="n">
        <f aca="false">Inputs!$E$8*(1+Inputs!$E$9)^(AO$5-1)</f>
        <v>273.18175</v>
      </c>
      <c r="AP14" s="112" t="n">
        <f aca="false">Inputs!$E$8*(1+Inputs!$E$9)^(AP$5-1)</f>
        <v>273.18175</v>
      </c>
      <c r="AQ14" s="112" t="n">
        <f aca="false">Inputs!$E$8*(1+Inputs!$E$9)^(AQ$5-1)</f>
        <v>273.18175</v>
      </c>
      <c r="AR14" s="112" t="n">
        <f aca="false">Inputs!$E$8*(1+Inputs!$E$9)^(AR$5-1)</f>
        <v>273.18175</v>
      </c>
      <c r="AS14" s="112" t="n">
        <f aca="false">Inputs!$E$8*(1+Inputs!$E$9)^(AS$5-1)</f>
        <v>273.18175</v>
      </c>
      <c r="AT14" s="112" t="n">
        <f aca="false">Inputs!$E$8*(1+Inputs!$E$9)^(AT$5-1)</f>
        <v>273.18175</v>
      </c>
      <c r="AU14" s="112" t="n">
        <f aca="false">Inputs!$E$8*(1+Inputs!$E$9)^(AU$5-1)</f>
        <v>273.18175</v>
      </c>
      <c r="AV14" s="112" t="n">
        <f aca="false">Inputs!$E$8*(1+Inputs!$E$9)^(AV$5-1)</f>
        <v>273.18175</v>
      </c>
      <c r="AW14" s="112" t="n">
        <f aca="false">Inputs!$E$8*(1+Inputs!$E$9)^(AW$5-1)</f>
        <v>273.18175</v>
      </c>
      <c r="AX14" s="112" t="n">
        <f aca="false">Inputs!$E$8*(1+Inputs!$E$9)^(AX$5-1)</f>
        <v>273.18175</v>
      </c>
      <c r="AY14" s="112" t="n">
        <f aca="false">Inputs!$E$8*(1+Inputs!$E$9)^(AY$5-1)</f>
        <v>281.3772025</v>
      </c>
      <c r="AZ14" s="112" t="n">
        <f aca="false">Inputs!$E$8*(1+Inputs!$E$9)^(AZ$5-1)</f>
        <v>281.3772025</v>
      </c>
      <c r="BA14" s="112" t="n">
        <f aca="false">Inputs!$E$8*(1+Inputs!$E$9)^(BA$5-1)</f>
        <v>281.3772025</v>
      </c>
      <c r="BB14" s="112" t="n">
        <f aca="false">Inputs!$E$8*(1+Inputs!$E$9)^(BB$5-1)</f>
        <v>281.3772025</v>
      </c>
      <c r="BC14" s="112" t="n">
        <f aca="false">Inputs!$E$8*(1+Inputs!$E$9)^(BC$5-1)</f>
        <v>281.3772025</v>
      </c>
      <c r="BD14" s="112" t="n">
        <f aca="false">Inputs!$E$8*(1+Inputs!$E$9)^(BD$5-1)</f>
        <v>281.3772025</v>
      </c>
      <c r="BE14" s="112" t="n">
        <f aca="false">Inputs!$E$8*(1+Inputs!$E$9)^(BE$5-1)</f>
        <v>281.3772025</v>
      </c>
      <c r="BF14" s="112" t="n">
        <f aca="false">Inputs!$E$8*(1+Inputs!$E$9)^(BF$5-1)</f>
        <v>281.3772025</v>
      </c>
      <c r="BG14" s="112" t="n">
        <f aca="false">Inputs!$E$8*(1+Inputs!$E$9)^(BG$5-1)</f>
        <v>281.3772025</v>
      </c>
      <c r="BH14" s="112" t="n">
        <f aca="false">Inputs!$E$8*(1+Inputs!$E$9)^(BH$5-1)</f>
        <v>281.3772025</v>
      </c>
      <c r="BI14" s="112" t="n">
        <f aca="false">Inputs!$E$8*(1+Inputs!$E$9)^(BI$5-1)</f>
        <v>281.3772025</v>
      </c>
      <c r="BJ14" s="112" t="n">
        <f aca="false">Inputs!$E$8*(1+Inputs!$E$9)^(BJ$5-1)</f>
        <v>281.3772025</v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 customFormat="false" ht="15" hidden="false" customHeight="false" outlineLevel="0" collapsed="false">
      <c r="A16" s="57" t="s">
        <v>402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 customFormat="false" ht="15" hidden="false" customHeight="false" outlineLevel="0" collapsed="false">
      <c r="A17" s="6" t="s">
        <v>403</v>
      </c>
      <c r="B17" s="6"/>
      <c r="C17" s="59" t="n">
        <f aca="false">Inputs!$E$7*Inputs!$E$8</f>
        <v>750000</v>
      </c>
      <c r="D17" s="59" t="n">
        <f aca="false">C21</f>
        <v>767500</v>
      </c>
      <c r="E17" s="59" t="n">
        <f aca="false">D21</f>
        <v>784825</v>
      </c>
      <c r="F17" s="59" t="n">
        <f aca="false">E21</f>
        <v>801976.75</v>
      </c>
      <c r="G17" s="59" t="n">
        <f aca="false">F21</f>
        <v>818956.9825</v>
      </c>
      <c r="H17" s="59" t="n">
        <f aca="false">G21</f>
        <v>835767.412675</v>
      </c>
      <c r="I17" s="59" t="n">
        <f aca="false">H21</f>
        <v>852409.73854825</v>
      </c>
      <c r="J17" s="59" t="n">
        <f aca="false">I21</f>
        <v>868885.641162768</v>
      </c>
      <c r="K17" s="59" t="n">
        <f aca="false">J21</f>
        <v>885196.78475114</v>
      </c>
      <c r="L17" s="59" t="n">
        <f aca="false">K21</f>
        <v>901344.816903629</v>
      </c>
      <c r="M17" s="59" t="n">
        <f aca="false">L21</f>
        <v>917331.368734592</v>
      </c>
      <c r="N17" s="59" t="n">
        <f aca="false">M21</f>
        <v>933158.055047246</v>
      </c>
      <c r="O17" s="59" t="n">
        <f aca="false">N21</f>
        <v>948826.474496774</v>
      </c>
      <c r="P17" s="59" t="n">
        <f aca="false">O21</f>
        <v>971268.209751806</v>
      </c>
      <c r="Q17" s="59" t="n">
        <f aca="false">P21</f>
        <v>993485.527654288</v>
      </c>
      <c r="R17" s="59" t="n">
        <f aca="false">Q21</f>
        <v>1015480.67237775</v>
      </c>
      <c r="S17" s="59" t="n">
        <f aca="false">R21</f>
        <v>1037255.86565397</v>
      </c>
      <c r="T17" s="59" t="n">
        <f aca="false">S21</f>
        <v>1058813.30699743</v>
      </c>
      <c r="U17" s="59" t="n">
        <f aca="false">T21</f>
        <v>1080155.17392745</v>
      </c>
      <c r="V17" s="59" t="n">
        <f aca="false">U21</f>
        <v>1101283.62218818</v>
      </c>
      <c r="W17" s="59" t="n">
        <f aca="false">V21</f>
        <v>1122200.7859663</v>
      </c>
      <c r="X17" s="59" t="n">
        <f aca="false">W21</f>
        <v>1142908.77810664</v>
      </c>
      <c r="Y17" s="59" t="n">
        <f aca="false">X21</f>
        <v>1163409.69032557</v>
      </c>
      <c r="Z17" s="59" t="n">
        <f aca="false">Y21</f>
        <v>1183705.59342231</v>
      </c>
      <c r="AA17" s="59" t="n">
        <f aca="false">Z21</f>
        <v>1203798.53748809</v>
      </c>
      <c r="AB17" s="59" t="n">
        <f aca="false">AA21</f>
        <v>1232605.20211321</v>
      </c>
      <c r="AC17" s="59" t="n">
        <f aca="false">AB21</f>
        <v>1261123.80009208</v>
      </c>
      <c r="AD17" s="59" t="n">
        <f aca="false">AC21</f>
        <v>1289357.21209116</v>
      </c>
      <c r="AE17" s="59" t="n">
        <f aca="false">AD21</f>
        <v>1317308.28997024</v>
      </c>
      <c r="AF17" s="59" t="n">
        <f aca="false">AE21</f>
        <v>1344979.85707054</v>
      </c>
      <c r="AG17" s="59" t="n">
        <f aca="false">AF21</f>
        <v>1372374.70849984</v>
      </c>
      <c r="AH17" s="59" t="n">
        <f aca="false">AG21</f>
        <v>1399495.61141484</v>
      </c>
      <c r="AI17" s="59" t="n">
        <f aca="false">AH21</f>
        <v>1426345.30530069</v>
      </c>
      <c r="AJ17" s="59" t="n">
        <f aca="false">AI21</f>
        <v>1452926.50224768</v>
      </c>
      <c r="AK17" s="59" t="n">
        <f aca="false">AJ21</f>
        <v>1479241.88722521</v>
      </c>
      <c r="AL17" s="59" t="n">
        <f aca="false">AK21</f>
        <v>1505294.11835295</v>
      </c>
      <c r="AM17" s="59" t="n">
        <f aca="false">AL21</f>
        <v>1531085.82716942</v>
      </c>
      <c r="AN17" s="59" t="n">
        <f aca="false">AM21</f>
        <v>1568105.66492773</v>
      </c>
      <c r="AO17" s="59" t="n">
        <f aca="false">AN21</f>
        <v>1604755.30430845</v>
      </c>
      <c r="AP17" s="59" t="n">
        <f aca="false">AO21</f>
        <v>1641038.44729537</v>
      </c>
      <c r="AQ17" s="59" t="n">
        <f aca="false">AP21</f>
        <v>1676958.75885241</v>
      </c>
      <c r="AR17" s="59" t="n">
        <f aca="false">AQ21</f>
        <v>1712519.86729389</v>
      </c>
      <c r="AS17" s="59" t="n">
        <f aca="false">AR21</f>
        <v>1747725.36465095</v>
      </c>
      <c r="AT17" s="59" t="n">
        <f aca="false">AS21</f>
        <v>1782578.80703444</v>
      </c>
      <c r="AU17" s="59" t="n">
        <f aca="false">AT21</f>
        <v>1817083.7149941</v>
      </c>
      <c r="AV17" s="59" t="n">
        <f aca="false">AU21</f>
        <v>1851243.57387416</v>
      </c>
      <c r="AW17" s="59" t="n">
        <f aca="false">AV21</f>
        <v>1885061.83416541</v>
      </c>
      <c r="AX17" s="59" t="n">
        <f aca="false">AW21</f>
        <v>1918541.91185376</v>
      </c>
      <c r="AY17" s="59" t="n">
        <f aca="false">AX21</f>
        <v>1951687.18876522</v>
      </c>
      <c r="AZ17" s="59" t="n">
        <f aca="false">AY21</f>
        <v>1999323.80002622</v>
      </c>
      <c r="BA17" s="59" t="n">
        <f aca="false">AZ21</f>
        <v>2046484.04517461</v>
      </c>
      <c r="BB17" s="59" t="n">
        <f aca="false">BA21</f>
        <v>2093172.68787151</v>
      </c>
      <c r="BC17" s="59" t="n">
        <f aca="false">BB21</f>
        <v>2139394.44414145</v>
      </c>
      <c r="BD17" s="59" t="n">
        <f aca="false">BC21</f>
        <v>2185153.98284868</v>
      </c>
      <c r="BE17" s="59" t="n">
        <f aca="false">BD21</f>
        <v>2230455.92616885</v>
      </c>
      <c r="BF17" s="59" t="n">
        <f aca="false">BE21</f>
        <v>2275304.85005581</v>
      </c>
      <c r="BG17" s="59" t="n">
        <f aca="false">BF21</f>
        <v>2319705.2847039</v>
      </c>
      <c r="BH17" s="59" t="n">
        <f aca="false">BG21</f>
        <v>2363661.71500551</v>
      </c>
      <c r="BI17" s="59" t="n">
        <f aca="false">BH21</f>
        <v>2407178.5810041</v>
      </c>
      <c r="BJ17" s="59" t="n">
        <f aca="false">BI21</f>
        <v>2450260.27834271</v>
      </c>
    </row>
    <row r="18" customFormat="false" ht="15" hidden="false" customHeight="false" outlineLevel="0" collapsed="false">
      <c r="A18" s="6" t="s">
        <v>404</v>
      </c>
      <c r="B18" s="6"/>
      <c r="C18" s="59" t="n">
        <f aca="false">C10*C14</f>
        <v>25000</v>
      </c>
      <c r="D18" s="59" t="n">
        <f aca="false">D10*D14</f>
        <v>25000</v>
      </c>
      <c r="E18" s="59" t="n">
        <f aca="false">E10*E14</f>
        <v>25000</v>
      </c>
      <c r="F18" s="59" t="n">
        <f aca="false">F10*F14</f>
        <v>25000</v>
      </c>
      <c r="G18" s="59" t="n">
        <f aca="false">G10*G14</f>
        <v>25000</v>
      </c>
      <c r="H18" s="59" t="n">
        <f aca="false">H10*H14</f>
        <v>25000</v>
      </c>
      <c r="I18" s="59" t="n">
        <f aca="false">I10*I14</f>
        <v>25000</v>
      </c>
      <c r="J18" s="59" t="n">
        <f aca="false">J10*J14</f>
        <v>25000</v>
      </c>
      <c r="K18" s="59" t="n">
        <f aca="false">K10*K14</f>
        <v>25000</v>
      </c>
      <c r="L18" s="59" t="n">
        <f aca="false">L10*L14</f>
        <v>25000</v>
      </c>
      <c r="M18" s="59" t="n">
        <f aca="false">M10*M14</f>
        <v>25000</v>
      </c>
      <c r="N18" s="59" t="n">
        <f aca="false">N10*N14</f>
        <v>25000</v>
      </c>
      <c r="O18" s="59" t="n">
        <f aca="false">O10*O14</f>
        <v>31930</v>
      </c>
      <c r="P18" s="59" t="n">
        <f aca="false">P10*P14</f>
        <v>31930</v>
      </c>
      <c r="Q18" s="59" t="n">
        <f aca="false">Q10*Q14</f>
        <v>31930</v>
      </c>
      <c r="R18" s="59" t="n">
        <f aca="false">R10*R14</f>
        <v>31930</v>
      </c>
      <c r="S18" s="59" t="n">
        <f aca="false">S10*S14</f>
        <v>31930</v>
      </c>
      <c r="T18" s="59" t="n">
        <f aca="false">T10*T14</f>
        <v>31930</v>
      </c>
      <c r="U18" s="59" t="n">
        <f aca="false">U10*U14</f>
        <v>31930</v>
      </c>
      <c r="V18" s="59" t="n">
        <f aca="false">V10*V14</f>
        <v>31930</v>
      </c>
      <c r="W18" s="59" t="n">
        <f aca="false">W10*W14</f>
        <v>31930</v>
      </c>
      <c r="X18" s="59" t="n">
        <f aca="false">X10*X14</f>
        <v>31930</v>
      </c>
      <c r="Y18" s="59" t="n">
        <f aca="false">Y10*Y14</f>
        <v>31930</v>
      </c>
      <c r="Z18" s="59" t="n">
        <f aca="false">Z10*Z14</f>
        <v>31930</v>
      </c>
      <c r="AA18" s="59" t="n">
        <f aca="false">AA10*AA14</f>
        <v>40844.65</v>
      </c>
      <c r="AB18" s="59" t="n">
        <f aca="false">AB10*AB14</f>
        <v>40844.65</v>
      </c>
      <c r="AC18" s="59" t="n">
        <f aca="false">AC10*AC14</f>
        <v>40844.65</v>
      </c>
      <c r="AD18" s="59" t="n">
        <f aca="false">AD10*AD14</f>
        <v>40844.65</v>
      </c>
      <c r="AE18" s="59" t="n">
        <f aca="false">AE10*AE14</f>
        <v>40844.65</v>
      </c>
      <c r="AF18" s="59" t="n">
        <f aca="false">AF10*AF14</f>
        <v>40844.65</v>
      </c>
      <c r="AG18" s="59" t="n">
        <f aca="false">AG10*AG14</f>
        <v>40844.65</v>
      </c>
      <c r="AH18" s="59" t="n">
        <f aca="false">AH10*AH14</f>
        <v>40844.65</v>
      </c>
      <c r="AI18" s="59" t="n">
        <f aca="false">AI10*AI14</f>
        <v>40844.65</v>
      </c>
      <c r="AJ18" s="59" t="n">
        <f aca="false">AJ10*AJ14</f>
        <v>40844.65</v>
      </c>
      <c r="AK18" s="59" t="n">
        <f aca="false">AK10*AK14</f>
        <v>40844.65</v>
      </c>
      <c r="AL18" s="59" t="n">
        <f aca="false">AL10*AL14</f>
        <v>40844.65</v>
      </c>
      <c r="AM18" s="59" t="n">
        <f aca="false">AM10*AM14</f>
        <v>52330.69603</v>
      </c>
      <c r="AN18" s="59" t="n">
        <f aca="false">AN10*AN14</f>
        <v>52330.69603</v>
      </c>
      <c r="AO18" s="59" t="n">
        <f aca="false">AO10*AO14</f>
        <v>52330.69603</v>
      </c>
      <c r="AP18" s="59" t="n">
        <f aca="false">AP10*AP14</f>
        <v>52330.69603</v>
      </c>
      <c r="AQ18" s="59" t="n">
        <f aca="false">AQ10*AQ14</f>
        <v>52330.69603</v>
      </c>
      <c r="AR18" s="59" t="n">
        <f aca="false">AR10*AR14</f>
        <v>52330.69603</v>
      </c>
      <c r="AS18" s="59" t="n">
        <f aca="false">AS10*AS14</f>
        <v>52330.69603</v>
      </c>
      <c r="AT18" s="59" t="n">
        <f aca="false">AT10*AT14</f>
        <v>52330.69603</v>
      </c>
      <c r="AU18" s="59" t="n">
        <f aca="false">AU10*AU14</f>
        <v>52330.69603</v>
      </c>
      <c r="AV18" s="59" t="n">
        <f aca="false">AV10*AV14</f>
        <v>52330.69603</v>
      </c>
      <c r="AW18" s="59" t="n">
        <f aca="false">AW10*AW14</f>
        <v>52330.69603</v>
      </c>
      <c r="AX18" s="59" t="n">
        <f aca="false">AX10*AX14</f>
        <v>52330.69603</v>
      </c>
      <c r="AY18" s="59" t="n">
        <f aca="false">AY10*AY14</f>
        <v>67153.48314865</v>
      </c>
      <c r="AZ18" s="59" t="n">
        <f aca="false">AZ10*AZ14</f>
        <v>67153.48314865</v>
      </c>
      <c r="BA18" s="59" t="n">
        <f aca="false">BA10*BA14</f>
        <v>67153.48314865</v>
      </c>
      <c r="BB18" s="59" t="n">
        <f aca="false">BB10*BB14</f>
        <v>67153.48314865</v>
      </c>
      <c r="BC18" s="59" t="n">
        <f aca="false">BC10*BC14</f>
        <v>67153.48314865</v>
      </c>
      <c r="BD18" s="59" t="n">
        <f aca="false">BD10*BD14</f>
        <v>67153.48314865</v>
      </c>
      <c r="BE18" s="59" t="n">
        <f aca="false">BE10*BE14</f>
        <v>67153.48314865</v>
      </c>
      <c r="BF18" s="59" t="n">
        <f aca="false">BF10*BF14</f>
        <v>67153.48314865</v>
      </c>
      <c r="BG18" s="59" t="n">
        <f aca="false">BG10*BG14</f>
        <v>67153.48314865</v>
      </c>
      <c r="BH18" s="59" t="n">
        <f aca="false">BH10*BH14</f>
        <v>67153.48314865</v>
      </c>
      <c r="BI18" s="59" t="n">
        <f aca="false">BI10*BI14</f>
        <v>67153.48314865</v>
      </c>
      <c r="BJ18" s="59" t="n">
        <f aca="false">BJ10*BJ14</f>
        <v>67153.48314865</v>
      </c>
    </row>
    <row r="19" customFormat="false" ht="15" hidden="false" customHeight="false" outlineLevel="0" collapsed="false">
      <c r="A19" s="6" t="s">
        <v>405</v>
      </c>
      <c r="B19" s="6"/>
      <c r="C19" s="59" t="n">
        <f aca="false">C17*Inputs!$E$11</f>
        <v>3750</v>
      </c>
      <c r="D19" s="59" t="n">
        <f aca="false">D17*Inputs!$E$11</f>
        <v>3837.5</v>
      </c>
      <c r="E19" s="59" t="n">
        <f aca="false">E17*Inputs!$E$11</f>
        <v>3924.125</v>
      </c>
      <c r="F19" s="59" t="n">
        <f aca="false">F17*Inputs!$E$11</f>
        <v>4009.88375</v>
      </c>
      <c r="G19" s="59" t="n">
        <f aca="false">G17*Inputs!$E$11</f>
        <v>4094.7849125</v>
      </c>
      <c r="H19" s="59" t="n">
        <f aca="false">H17*Inputs!$E$11</f>
        <v>4178.837063375</v>
      </c>
      <c r="I19" s="59" t="n">
        <f aca="false">I17*Inputs!$E$11</f>
        <v>4262.04869274125</v>
      </c>
      <c r="J19" s="59" t="n">
        <f aca="false">J17*Inputs!$E$11</f>
        <v>4344.42820581384</v>
      </c>
      <c r="K19" s="59" t="n">
        <f aca="false">K17*Inputs!$E$11</f>
        <v>4425.9839237557</v>
      </c>
      <c r="L19" s="59" t="n">
        <f aca="false">L17*Inputs!$E$11</f>
        <v>4506.72408451814</v>
      </c>
      <c r="M19" s="59" t="n">
        <f aca="false">M17*Inputs!$E$11</f>
        <v>4586.65684367296</v>
      </c>
      <c r="N19" s="59" t="n">
        <f aca="false">N17*Inputs!$E$11</f>
        <v>4665.79027523623</v>
      </c>
      <c r="O19" s="59" t="n">
        <f aca="false">O17*Inputs!$E$11</f>
        <v>4744.13237248387</v>
      </c>
      <c r="P19" s="59" t="n">
        <f aca="false">P17*Inputs!$E$11</f>
        <v>4856.34104875903</v>
      </c>
      <c r="Q19" s="59" t="n">
        <f aca="false">Q17*Inputs!$E$11</f>
        <v>4967.42763827144</v>
      </c>
      <c r="R19" s="59" t="n">
        <f aca="false">R17*Inputs!$E$11</f>
        <v>5077.40336188873</v>
      </c>
      <c r="S19" s="59" t="n">
        <f aca="false">S17*Inputs!$E$11</f>
        <v>5186.27932826984</v>
      </c>
      <c r="T19" s="59" t="n">
        <f aca="false">T17*Inputs!$E$11</f>
        <v>5294.06653498714</v>
      </c>
      <c r="U19" s="59" t="n">
        <f aca="false">U17*Inputs!$E$11</f>
        <v>5400.77586963727</v>
      </c>
      <c r="V19" s="59" t="n">
        <f aca="false">V17*Inputs!$E$11</f>
        <v>5506.4181109409</v>
      </c>
      <c r="W19" s="59" t="n">
        <f aca="false">W17*Inputs!$E$11</f>
        <v>5611.00392983149</v>
      </c>
      <c r="X19" s="59" t="n">
        <f aca="false">X17*Inputs!$E$11</f>
        <v>5714.54389053318</v>
      </c>
      <c r="Y19" s="59" t="n">
        <f aca="false">Y17*Inputs!$E$11</f>
        <v>5817.04845162784</v>
      </c>
      <c r="Z19" s="59" t="n">
        <f aca="false">Z17*Inputs!$E$11</f>
        <v>5918.52796711157</v>
      </c>
      <c r="AA19" s="59" t="n">
        <f aca="false">AA17*Inputs!$E$11</f>
        <v>6018.99268744045</v>
      </c>
      <c r="AB19" s="59" t="n">
        <f aca="false">AB17*Inputs!$E$11</f>
        <v>6163.02601056604</v>
      </c>
      <c r="AC19" s="59" t="n">
        <f aca="false">AC17*Inputs!$E$11</f>
        <v>6305.61900046038</v>
      </c>
      <c r="AD19" s="59" t="n">
        <f aca="false">AD17*Inputs!$E$11</f>
        <v>6446.78606045578</v>
      </c>
      <c r="AE19" s="59" t="n">
        <f aca="false">AE17*Inputs!$E$11</f>
        <v>6586.54144985122</v>
      </c>
      <c r="AF19" s="59" t="n">
        <f aca="false">AF17*Inputs!$E$11</f>
        <v>6724.89928535271</v>
      </c>
      <c r="AG19" s="59" t="n">
        <f aca="false">AG17*Inputs!$E$11</f>
        <v>6861.87354249918</v>
      </c>
      <c r="AH19" s="59" t="n">
        <f aca="false">AH17*Inputs!$E$11</f>
        <v>6997.47805707419</v>
      </c>
      <c r="AI19" s="59" t="n">
        <f aca="false">AI17*Inputs!$E$11</f>
        <v>7131.72652650345</v>
      </c>
      <c r="AJ19" s="59" t="n">
        <f aca="false">AJ17*Inputs!$E$11</f>
        <v>7264.63251123841</v>
      </c>
      <c r="AK19" s="59" t="n">
        <f aca="false">AK17*Inputs!$E$11</f>
        <v>7396.20943612603</v>
      </c>
      <c r="AL19" s="59" t="n">
        <f aca="false">AL17*Inputs!$E$11</f>
        <v>7526.47059176476</v>
      </c>
      <c r="AM19" s="59" t="n">
        <f aca="false">AM17*Inputs!$E$11</f>
        <v>7655.42913584712</v>
      </c>
      <c r="AN19" s="59" t="n">
        <f aca="false">AN17*Inputs!$E$11</f>
        <v>7840.52832463865</v>
      </c>
      <c r="AO19" s="59" t="n">
        <f aca="false">AO17*Inputs!$E$11</f>
        <v>8023.77652154226</v>
      </c>
      <c r="AP19" s="59" t="n">
        <f aca="false">AP17*Inputs!$E$11</f>
        <v>8205.19223647684</v>
      </c>
      <c r="AQ19" s="59" t="n">
        <f aca="false">AQ17*Inputs!$E$11</f>
        <v>8384.79379426207</v>
      </c>
      <c r="AR19" s="59" t="n">
        <f aca="false">AR17*Inputs!$E$11</f>
        <v>8562.59933646945</v>
      </c>
      <c r="AS19" s="59" t="n">
        <f aca="false">AS17*Inputs!$E$11</f>
        <v>8738.62682325475</v>
      </c>
      <c r="AT19" s="59" t="n">
        <f aca="false">AT17*Inputs!$E$11</f>
        <v>8912.89403517221</v>
      </c>
      <c r="AU19" s="59" t="n">
        <f aca="false">AU17*Inputs!$E$11</f>
        <v>9085.41857497048</v>
      </c>
      <c r="AV19" s="59" t="n">
        <f aca="false">AV17*Inputs!$E$11</f>
        <v>9256.21786937078</v>
      </c>
      <c r="AW19" s="59" t="n">
        <f aca="false">AW17*Inputs!$E$11</f>
        <v>9425.30917082707</v>
      </c>
      <c r="AX19" s="59" t="n">
        <f aca="false">AX17*Inputs!$E$11</f>
        <v>9592.7095592688</v>
      </c>
      <c r="AY19" s="59" t="n">
        <f aca="false">AY17*Inputs!$E$11</f>
        <v>9758.43594382611</v>
      </c>
      <c r="AZ19" s="59" t="n">
        <f aca="false">AZ17*Inputs!$E$11</f>
        <v>9996.6190001311</v>
      </c>
      <c r="BA19" s="59" t="n">
        <f aca="false">BA17*Inputs!$E$11</f>
        <v>10232.420225873</v>
      </c>
      <c r="BB19" s="59" t="n">
        <f aca="false">BB17*Inputs!$E$11</f>
        <v>10465.8634393576</v>
      </c>
      <c r="BC19" s="59" t="n">
        <f aca="false">BC17*Inputs!$E$11</f>
        <v>10696.9722207072</v>
      </c>
      <c r="BD19" s="59" t="n">
        <f aca="false">BD17*Inputs!$E$11</f>
        <v>10925.7699142434</v>
      </c>
      <c r="BE19" s="59" t="n">
        <f aca="false">BE17*Inputs!$E$11</f>
        <v>11152.2796308442</v>
      </c>
      <c r="BF19" s="59" t="n">
        <f aca="false">BF17*Inputs!$E$11</f>
        <v>11376.524250279</v>
      </c>
      <c r="BG19" s="59" t="n">
        <f aca="false">BG17*Inputs!$E$11</f>
        <v>11598.5264235195</v>
      </c>
      <c r="BH19" s="59" t="n">
        <f aca="false">BH17*Inputs!$E$11</f>
        <v>11818.3085750275</v>
      </c>
      <c r="BI19" s="59" t="n">
        <f aca="false">BI17*Inputs!$E$11</f>
        <v>12035.8929050205</v>
      </c>
      <c r="BJ19" s="59" t="n">
        <f aca="false">BJ17*Inputs!$E$11</f>
        <v>12251.3013917136</v>
      </c>
    </row>
    <row r="20" customFormat="false" ht="15" hidden="false" customHeight="false" outlineLevel="0" collapsed="false">
      <c r="A20" s="6" t="s">
        <v>406</v>
      </c>
      <c r="B20" s="6"/>
      <c r="C20" s="59" t="n">
        <f aca="false">-C17*Inputs!$E$10</f>
        <v>-11250</v>
      </c>
      <c r="D20" s="59" t="n">
        <f aca="false">-D17*Inputs!$E$10</f>
        <v>-11512.5</v>
      </c>
      <c r="E20" s="59" t="n">
        <f aca="false">-E17*Inputs!$E$10</f>
        <v>-11772.375</v>
      </c>
      <c r="F20" s="59" t="n">
        <f aca="false">-F17*Inputs!$E$10</f>
        <v>-12029.65125</v>
      </c>
      <c r="G20" s="59" t="n">
        <f aca="false">-G17*Inputs!$E$10</f>
        <v>-12284.3547375</v>
      </c>
      <c r="H20" s="59" t="n">
        <f aca="false">-H17*Inputs!$E$10</f>
        <v>-12536.511190125</v>
      </c>
      <c r="I20" s="59" t="n">
        <f aca="false">-I17*Inputs!$E$10</f>
        <v>-12786.1460782238</v>
      </c>
      <c r="J20" s="59" t="n">
        <f aca="false">-J17*Inputs!$E$10</f>
        <v>-13033.2846174415</v>
      </c>
      <c r="K20" s="59" t="n">
        <f aca="false">-K17*Inputs!$E$10</f>
        <v>-13277.9517712671</v>
      </c>
      <c r="L20" s="59" t="n">
        <f aca="false">-L17*Inputs!$E$10</f>
        <v>-13520.1722535544</v>
      </c>
      <c r="M20" s="59" t="n">
        <f aca="false">-M17*Inputs!$E$10</f>
        <v>-13759.9705310189</v>
      </c>
      <c r="N20" s="59" t="n">
        <f aca="false">-N17*Inputs!$E$10</f>
        <v>-13997.3708257087</v>
      </c>
      <c r="O20" s="59" t="n">
        <f aca="false">-O17*Inputs!$E$10</f>
        <v>-14232.3971174516</v>
      </c>
      <c r="P20" s="59" t="n">
        <f aca="false">-P17*Inputs!$E$10</f>
        <v>-14569.0231462771</v>
      </c>
      <c r="Q20" s="59" t="n">
        <f aca="false">-Q17*Inputs!$E$10</f>
        <v>-14902.2829148143</v>
      </c>
      <c r="R20" s="59" t="n">
        <f aca="false">-R17*Inputs!$E$10</f>
        <v>-15232.2100856662</v>
      </c>
      <c r="S20" s="59" t="n">
        <f aca="false">-S17*Inputs!$E$10</f>
        <v>-15558.8379848095</v>
      </c>
      <c r="T20" s="59" t="n">
        <f aca="false">-T17*Inputs!$E$10</f>
        <v>-15882.1996049614</v>
      </c>
      <c r="U20" s="59" t="n">
        <f aca="false">-U17*Inputs!$E$10</f>
        <v>-16202.3276089118</v>
      </c>
      <c r="V20" s="59" t="n">
        <f aca="false">-V17*Inputs!$E$10</f>
        <v>-16519.2543328227</v>
      </c>
      <c r="W20" s="59" t="n">
        <f aca="false">-W17*Inputs!$E$10</f>
        <v>-16833.0117894945</v>
      </c>
      <c r="X20" s="59" t="n">
        <f aca="false">-X17*Inputs!$E$10</f>
        <v>-17143.6316715995</v>
      </c>
      <c r="Y20" s="59" t="n">
        <f aca="false">-Y17*Inputs!$E$10</f>
        <v>-17451.1453548835</v>
      </c>
      <c r="Z20" s="59" t="n">
        <f aca="false">-Z17*Inputs!$E$10</f>
        <v>-17755.5839013347</v>
      </c>
      <c r="AA20" s="59" t="n">
        <f aca="false">-AA17*Inputs!$E$10</f>
        <v>-18056.9780623214</v>
      </c>
      <c r="AB20" s="59" t="n">
        <f aca="false">-AB17*Inputs!$E$10</f>
        <v>-18489.0780316981</v>
      </c>
      <c r="AC20" s="59" t="n">
        <f aca="false">-AC17*Inputs!$E$10</f>
        <v>-18916.8570013811</v>
      </c>
      <c r="AD20" s="59" t="n">
        <f aca="false">-AD17*Inputs!$E$10</f>
        <v>-19340.3581813673</v>
      </c>
      <c r="AE20" s="59" t="n">
        <f aca="false">-AE17*Inputs!$E$10</f>
        <v>-19759.6243495537</v>
      </c>
      <c r="AF20" s="59" t="n">
        <f aca="false">-AF17*Inputs!$E$10</f>
        <v>-20174.6978560581</v>
      </c>
      <c r="AG20" s="59" t="n">
        <f aca="false">-AG17*Inputs!$E$10</f>
        <v>-20585.6206274975</v>
      </c>
      <c r="AH20" s="59" t="n">
        <f aca="false">-AH17*Inputs!$E$10</f>
        <v>-20992.4341712226</v>
      </c>
      <c r="AI20" s="59" t="n">
        <f aca="false">-AI17*Inputs!$E$10</f>
        <v>-21395.1795795103</v>
      </c>
      <c r="AJ20" s="59" t="n">
        <f aca="false">-AJ17*Inputs!$E$10</f>
        <v>-21793.8975337152</v>
      </c>
      <c r="AK20" s="59" t="n">
        <f aca="false">-AK17*Inputs!$E$10</f>
        <v>-22188.6283083781</v>
      </c>
      <c r="AL20" s="59" t="n">
        <f aca="false">-AL17*Inputs!$E$10</f>
        <v>-22579.4117752943</v>
      </c>
      <c r="AM20" s="59" t="n">
        <f aca="false">-AM17*Inputs!$E$10</f>
        <v>-22966.2874075414</v>
      </c>
      <c r="AN20" s="59" t="n">
        <f aca="false">-AN17*Inputs!$E$10</f>
        <v>-23521.5849739159</v>
      </c>
      <c r="AO20" s="59" t="n">
        <f aca="false">-AO17*Inputs!$E$10</f>
        <v>-24071.3295646268</v>
      </c>
      <c r="AP20" s="59" t="n">
        <f aca="false">-AP17*Inputs!$E$10</f>
        <v>-24615.5767094305</v>
      </c>
      <c r="AQ20" s="59" t="n">
        <f aca="false">-AQ17*Inputs!$E$10</f>
        <v>-25154.3813827862</v>
      </c>
      <c r="AR20" s="59" t="n">
        <f aca="false">-AR17*Inputs!$E$10</f>
        <v>-25687.7980094083</v>
      </c>
      <c r="AS20" s="59" t="n">
        <f aca="false">-AS17*Inputs!$E$10</f>
        <v>-26215.8804697643</v>
      </c>
      <c r="AT20" s="59" t="n">
        <f aca="false">-AT17*Inputs!$E$10</f>
        <v>-26738.6821055166</v>
      </c>
      <c r="AU20" s="59" t="n">
        <f aca="false">-AU17*Inputs!$E$10</f>
        <v>-27256.2557249115</v>
      </c>
      <c r="AV20" s="59" t="n">
        <f aca="false">-AV17*Inputs!$E$10</f>
        <v>-27768.6536081123</v>
      </c>
      <c r="AW20" s="59" t="n">
        <f aca="false">-AW17*Inputs!$E$10</f>
        <v>-28275.9275124812</v>
      </c>
      <c r="AX20" s="59" t="n">
        <f aca="false">-AX17*Inputs!$E$10</f>
        <v>-28778.1286778064</v>
      </c>
      <c r="AY20" s="59" t="n">
        <f aca="false">-AY17*Inputs!$E$10</f>
        <v>-29275.3078314783</v>
      </c>
      <c r="AZ20" s="59" t="n">
        <f aca="false">-AZ17*Inputs!$E$10</f>
        <v>-29989.8570003933</v>
      </c>
      <c r="BA20" s="59" t="n">
        <f aca="false">-BA17*Inputs!$E$10</f>
        <v>-30697.2606776191</v>
      </c>
      <c r="BB20" s="59" t="n">
        <f aca="false">-BB17*Inputs!$E$10</f>
        <v>-31397.5903180727</v>
      </c>
      <c r="BC20" s="59" t="n">
        <f aca="false">-BC17*Inputs!$E$10</f>
        <v>-32090.9166621217</v>
      </c>
      <c r="BD20" s="59" t="n">
        <f aca="false">-BD17*Inputs!$E$10</f>
        <v>-32777.3097427302</v>
      </c>
      <c r="BE20" s="59" t="n">
        <f aca="false">-BE17*Inputs!$E$10</f>
        <v>-33456.8388925327</v>
      </c>
      <c r="BF20" s="59" t="n">
        <f aca="false">-BF17*Inputs!$E$10</f>
        <v>-34129.5727508371</v>
      </c>
      <c r="BG20" s="59" t="n">
        <f aca="false">-BG17*Inputs!$E$10</f>
        <v>-34795.5792705585</v>
      </c>
      <c r="BH20" s="59" t="n">
        <f aca="false">-BH17*Inputs!$E$10</f>
        <v>-35454.9257250826</v>
      </c>
      <c r="BI20" s="59" t="n">
        <f aca="false">-BI17*Inputs!$E$10</f>
        <v>-36107.6787150616</v>
      </c>
      <c r="BJ20" s="59" t="n">
        <f aca="false">-BJ17*Inputs!$E$10</f>
        <v>-36753.9041751407</v>
      </c>
    </row>
    <row r="21" customFormat="false" ht="15" hidden="false" customHeight="false" outlineLevel="0" collapsed="false">
      <c r="A21" s="31" t="s">
        <v>407</v>
      </c>
      <c r="B21" s="31"/>
      <c r="C21" s="60" t="n">
        <f aca="false">C17+C18+C19+C20</f>
        <v>767500</v>
      </c>
      <c r="D21" s="60" t="n">
        <f aca="false">D17+D18+D19+D20</f>
        <v>784825</v>
      </c>
      <c r="E21" s="60" t="n">
        <f aca="false">E17+E18+E19+E20</f>
        <v>801976.75</v>
      </c>
      <c r="F21" s="60" t="n">
        <f aca="false">F17+F18+F19+F20</f>
        <v>818956.9825</v>
      </c>
      <c r="G21" s="60" t="n">
        <f aca="false">G17+G18+G19+G20</f>
        <v>835767.412675</v>
      </c>
      <c r="H21" s="60" t="n">
        <f aca="false">H17+H18+H19+H20</f>
        <v>852409.73854825</v>
      </c>
      <c r="I21" s="60" t="n">
        <f aca="false">I17+I18+I19+I20</f>
        <v>868885.641162768</v>
      </c>
      <c r="J21" s="60" t="n">
        <f aca="false">J17+J18+J19+J20</f>
        <v>885196.78475114</v>
      </c>
      <c r="K21" s="60" t="n">
        <f aca="false">K17+K18+K19+K20</f>
        <v>901344.816903629</v>
      </c>
      <c r="L21" s="60" t="n">
        <f aca="false">L17+L18+L19+L20</f>
        <v>917331.368734592</v>
      </c>
      <c r="M21" s="60" t="n">
        <f aca="false">M17+M18+M19+M20</f>
        <v>933158.055047246</v>
      </c>
      <c r="N21" s="60" t="n">
        <f aca="false">N17+N18+N19+N20</f>
        <v>948826.474496774</v>
      </c>
      <c r="O21" s="60" t="n">
        <f aca="false">O17+O18+O19+O20</f>
        <v>971268.209751806</v>
      </c>
      <c r="P21" s="60" t="n">
        <f aca="false">P17+P18+P19+P20</f>
        <v>993485.527654288</v>
      </c>
      <c r="Q21" s="60" t="n">
        <f aca="false">Q17+Q18+Q19+Q20</f>
        <v>1015480.67237775</v>
      </c>
      <c r="R21" s="60" t="n">
        <f aca="false">R17+R18+R19+R20</f>
        <v>1037255.86565397</v>
      </c>
      <c r="S21" s="60" t="n">
        <f aca="false">S17+S18+S19+S20</f>
        <v>1058813.30699743</v>
      </c>
      <c r="T21" s="60" t="n">
        <f aca="false">T17+T18+T19+T20</f>
        <v>1080155.17392745</v>
      </c>
      <c r="U21" s="60" t="n">
        <f aca="false">U17+U18+U19+U20</f>
        <v>1101283.62218818</v>
      </c>
      <c r="V21" s="60" t="n">
        <f aca="false">V17+V18+V19+V20</f>
        <v>1122200.7859663</v>
      </c>
      <c r="W21" s="60" t="n">
        <f aca="false">W17+W18+W19+W20</f>
        <v>1142908.77810664</v>
      </c>
      <c r="X21" s="60" t="n">
        <f aca="false">X17+X18+X19+X20</f>
        <v>1163409.69032557</v>
      </c>
      <c r="Y21" s="60" t="n">
        <f aca="false">Y17+Y18+Y19+Y20</f>
        <v>1183705.59342231</v>
      </c>
      <c r="Z21" s="60" t="n">
        <f aca="false">Z17+Z18+Z19+Z20</f>
        <v>1203798.53748809</v>
      </c>
      <c r="AA21" s="60" t="n">
        <f aca="false">AA17+AA18+AA19+AA20</f>
        <v>1232605.20211321</v>
      </c>
      <c r="AB21" s="60" t="n">
        <f aca="false">AB17+AB18+AB19+AB20</f>
        <v>1261123.80009208</v>
      </c>
      <c r="AC21" s="60" t="n">
        <f aca="false">AC17+AC18+AC19+AC20</f>
        <v>1289357.21209116</v>
      </c>
      <c r="AD21" s="60" t="n">
        <f aca="false">AD17+AD18+AD19+AD20</f>
        <v>1317308.28997024</v>
      </c>
      <c r="AE21" s="60" t="n">
        <f aca="false">AE17+AE18+AE19+AE20</f>
        <v>1344979.85707054</v>
      </c>
      <c r="AF21" s="60" t="n">
        <f aca="false">AF17+AF18+AF19+AF20</f>
        <v>1372374.70849984</v>
      </c>
      <c r="AG21" s="60" t="n">
        <f aca="false">AG17+AG18+AG19+AG20</f>
        <v>1399495.61141484</v>
      </c>
      <c r="AH21" s="60" t="n">
        <f aca="false">AH17+AH18+AH19+AH20</f>
        <v>1426345.30530069</v>
      </c>
      <c r="AI21" s="60" t="n">
        <f aca="false">AI17+AI18+AI19+AI20</f>
        <v>1452926.50224768</v>
      </c>
      <c r="AJ21" s="60" t="n">
        <f aca="false">AJ17+AJ18+AJ19+AJ20</f>
        <v>1479241.88722521</v>
      </c>
      <c r="AK21" s="60" t="n">
        <f aca="false">AK17+AK18+AK19+AK20</f>
        <v>1505294.11835295</v>
      </c>
      <c r="AL21" s="60" t="n">
        <f aca="false">AL17+AL18+AL19+AL20</f>
        <v>1531085.82716942</v>
      </c>
      <c r="AM21" s="60" t="n">
        <f aca="false">AM17+AM18+AM19+AM20</f>
        <v>1568105.66492773</v>
      </c>
      <c r="AN21" s="60" t="n">
        <f aca="false">AN17+AN18+AN19+AN20</f>
        <v>1604755.30430845</v>
      </c>
      <c r="AO21" s="60" t="n">
        <f aca="false">AO17+AO18+AO19+AO20</f>
        <v>1641038.44729537</v>
      </c>
      <c r="AP21" s="60" t="n">
        <f aca="false">AP17+AP18+AP19+AP20</f>
        <v>1676958.75885241</v>
      </c>
      <c r="AQ21" s="60" t="n">
        <f aca="false">AQ17+AQ18+AQ19+AQ20</f>
        <v>1712519.86729389</v>
      </c>
      <c r="AR21" s="60" t="n">
        <f aca="false">AR17+AR18+AR19+AR20</f>
        <v>1747725.36465095</v>
      </c>
      <c r="AS21" s="60" t="n">
        <f aca="false">AS17+AS18+AS19+AS20</f>
        <v>1782578.80703444</v>
      </c>
      <c r="AT21" s="60" t="n">
        <f aca="false">AT17+AT18+AT19+AT20</f>
        <v>1817083.7149941</v>
      </c>
      <c r="AU21" s="60" t="n">
        <f aca="false">AU17+AU18+AU19+AU20</f>
        <v>1851243.57387416</v>
      </c>
      <c r="AV21" s="60" t="n">
        <f aca="false">AV17+AV18+AV19+AV20</f>
        <v>1885061.83416541</v>
      </c>
      <c r="AW21" s="60" t="n">
        <f aca="false">AW17+AW18+AW19+AW20</f>
        <v>1918541.91185376</v>
      </c>
      <c r="AX21" s="60" t="n">
        <f aca="false">AX17+AX18+AX19+AX20</f>
        <v>1951687.18876522</v>
      </c>
      <c r="AY21" s="60" t="n">
        <f aca="false">AY17+AY18+AY19+AY20</f>
        <v>1999323.80002622</v>
      </c>
      <c r="AZ21" s="60" t="n">
        <f aca="false">AZ17+AZ18+AZ19+AZ20</f>
        <v>2046484.04517461</v>
      </c>
      <c r="BA21" s="60" t="n">
        <f aca="false">BA17+BA18+BA19+BA20</f>
        <v>2093172.68787151</v>
      </c>
      <c r="BB21" s="60" t="n">
        <f aca="false">BB17+BB18+BB19+BB20</f>
        <v>2139394.44414145</v>
      </c>
      <c r="BC21" s="60" t="n">
        <f aca="false">BC17+BC18+BC19+BC20</f>
        <v>2185153.98284868</v>
      </c>
      <c r="BD21" s="60" t="n">
        <f aca="false">BD17+BD18+BD19+BD20</f>
        <v>2230455.92616885</v>
      </c>
      <c r="BE21" s="60" t="n">
        <f aca="false">BE17+BE18+BE19+BE20</f>
        <v>2275304.85005581</v>
      </c>
      <c r="BF21" s="60" t="n">
        <f aca="false">BF17+BF18+BF19+BF20</f>
        <v>2319705.2847039</v>
      </c>
      <c r="BG21" s="60" t="n">
        <f aca="false">BG17+BG18+BG19+BG20</f>
        <v>2363661.71500551</v>
      </c>
      <c r="BH21" s="60" t="n">
        <f aca="false">BH17+BH18+BH19+BH20</f>
        <v>2407178.5810041</v>
      </c>
      <c r="BI21" s="60" t="n">
        <f aca="false">BI17+BI18+BI19+BI20</f>
        <v>2450260.27834271</v>
      </c>
      <c r="BJ21" s="60" t="n">
        <f aca="false">BJ17+BJ18+BJ19+BJ20</f>
        <v>2492911.15870794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 customFormat="false" ht="15" hidden="false" customHeight="false" outlineLevel="0" collapsed="false">
      <c r="A23" s="57" t="s">
        <v>408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</row>
    <row r="24" customFormat="false" ht="15" hidden="false" customHeight="false" outlineLevel="0" collapsed="false">
      <c r="A24" s="5" t="s">
        <v>409</v>
      </c>
      <c r="B24" s="6"/>
      <c r="C24" s="113" t="n">
        <f aca="false">(C17+C21)/2*1</f>
        <v>758750</v>
      </c>
      <c r="D24" s="113" t="n">
        <f aca="false">(D17+D21)/2*1</f>
        <v>776162.5</v>
      </c>
      <c r="E24" s="113" t="n">
        <f aca="false">(E17+E21)/2*1</f>
        <v>793400.875</v>
      </c>
      <c r="F24" s="113" t="n">
        <f aca="false">(F17+F21)/2*1</f>
        <v>810466.86625</v>
      </c>
      <c r="G24" s="113" t="n">
        <f aca="false">(G17+G21)/2*1</f>
        <v>827362.1975875</v>
      </c>
      <c r="H24" s="113" t="n">
        <f aca="false">(H17+H21)/2*1</f>
        <v>844088.575611625</v>
      </c>
      <c r="I24" s="113" t="n">
        <f aca="false">(I17+I21)/2*1</f>
        <v>860647.689855509</v>
      </c>
      <c r="J24" s="113" t="n">
        <f aca="false">(J17+J21)/2*1</f>
        <v>877041.212956954</v>
      </c>
      <c r="K24" s="113" t="n">
        <f aca="false">(K17+K21)/2*1</f>
        <v>893270.800827384</v>
      </c>
      <c r="L24" s="113" t="n">
        <f aca="false">(L17+L21)/2*1</f>
        <v>909338.09281911</v>
      </c>
      <c r="M24" s="113" t="n">
        <f aca="false">(M17+M21)/2*1</f>
        <v>925244.711890919</v>
      </c>
      <c r="N24" s="113" t="n">
        <f aca="false">(N17+N21)/2*1</f>
        <v>940992.26477201</v>
      </c>
      <c r="O24" s="113" t="n">
        <f aca="false">(O17+O21)/2*1</f>
        <v>960047.34212429</v>
      </c>
      <c r="P24" s="113" t="n">
        <f aca="false">(P17+P21)/2*1</f>
        <v>982376.868703047</v>
      </c>
      <c r="Q24" s="113" t="n">
        <f aca="false">(Q17+Q21)/2*1</f>
        <v>1004483.10001602</v>
      </c>
      <c r="R24" s="113" t="n">
        <f aca="false">(R17+R21)/2*1</f>
        <v>1026368.26901586</v>
      </c>
      <c r="S24" s="113" t="n">
        <f aca="false">(S17+S21)/2*1</f>
        <v>1048034.5863257</v>
      </c>
      <c r="T24" s="113" t="n">
        <f aca="false">(T17+T21)/2*1</f>
        <v>1069484.24046244</v>
      </c>
      <c r="U24" s="113" t="n">
        <f aca="false">(U17+U21)/2*1</f>
        <v>1090719.39805782</v>
      </c>
      <c r="V24" s="113" t="n">
        <f aca="false">(V17+V21)/2*1</f>
        <v>1111742.20407724</v>
      </c>
      <c r="W24" s="113" t="n">
        <f aca="false">(W17+W21)/2*1</f>
        <v>1132554.78203647</v>
      </c>
      <c r="X24" s="113" t="n">
        <f aca="false">(X17+X21)/2*1</f>
        <v>1153159.2342161</v>
      </c>
      <c r="Y24" s="113" t="n">
        <f aca="false">(Y17+Y21)/2*1</f>
        <v>1173557.64187394</v>
      </c>
      <c r="Z24" s="113" t="n">
        <f aca="false">(Z17+Z21)/2*1</f>
        <v>1193752.0654552</v>
      </c>
      <c r="AA24" s="113" t="n">
        <f aca="false">(AA17+AA21)/2*1</f>
        <v>1218201.86980065</v>
      </c>
      <c r="AB24" s="113" t="n">
        <f aca="false">(AB17+AB21)/2*1</f>
        <v>1246864.50110264</v>
      </c>
      <c r="AC24" s="113" t="n">
        <f aca="false">(AC17+AC21)/2*1</f>
        <v>1275240.50609162</v>
      </c>
      <c r="AD24" s="113" t="n">
        <f aca="false">(AD17+AD21)/2*1</f>
        <v>1303332.7510307</v>
      </c>
      <c r="AE24" s="113" t="n">
        <f aca="false">(AE17+AE21)/2*1</f>
        <v>1331144.07352039</v>
      </c>
      <c r="AF24" s="113" t="n">
        <f aca="false">(AF17+AF21)/2*1</f>
        <v>1358677.28278519</v>
      </c>
      <c r="AG24" s="113" t="n">
        <f aca="false">(AG17+AG21)/2*1</f>
        <v>1385935.15995734</v>
      </c>
      <c r="AH24" s="113" t="n">
        <f aca="false">(AH17+AH21)/2*1</f>
        <v>1412920.45835776</v>
      </c>
      <c r="AI24" s="113" t="n">
        <f aca="false">(AI17+AI21)/2*1</f>
        <v>1439635.90377419</v>
      </c>
      <c r="AJ24" s="113" t="n">
        <f aca="false">(AJ17+AJ21)/2*1</f>
        <v>1466084.19473644</v>
      </c>
      <c r="AK24" s="113" t="n">
        <f aca="false">(AK17+AK21)/2*1</f>
        <v>1492268.00278908</v>
      </c>
      <c r="AL24" s="113" t="n">
        <f aca="false">(AL17+AL21)/2*1</f>
        <v>1518189.97276119</v>
      </c>
      <c r="AM24" s="113" t="n">
        <f aca="false">(AM17+AM21)/2*1</f>
        <v>1549595.74604858</v>
      </c>
      <c r="AN24" s="113" t="n">
        <f aca="false">(AN17+AN21)/2*1</f>
        <v>1586430.48461809</v>
      </c>
      <c r="AO24" s="113" t="n">
        <f aca="false">(AO17+AO21)/2*1</f>
        <v>1622896.87580191</v>
      </c>
      <c r="AP24" s="113" t="n">
        <f aca="false">(AP17+AP21)/2*1</f>
        <v>1658998.60307389</v>
      </c>
      <c r="AQ24" s="113" t="n">
        <f aca="false">(AQ17+AQ21)/2*1</f>
        <v>1694739.31307315</v>
      </c>
      <c r="AR24" s="113" t="n">
        <f aca="false">(AR17+AR21)/2*1</f>
        <v>1730122.61597242</v>
      </c>
      <c r="AS24" s="113" t="n">
        <f aca="false">(AS17+AS21)/2*1</f>
        <v>1765152.0858427</v>
      </c>
      <c r="AT24" s="113" t="n">
        <f aca="false">(AT17+AT21)/2*1</f>
        <v>1799831.26101427</v>
      </c>
      <c r="AU24" s="113" t="n">
        <f aca="false">(AU17+AU21)/2*1</f>
        <v>1834163.64443413</v>
      </c>
      <c r="AV24" s="113" t="n">
        <f aca="false">(AV17+AV21)/2*1</f>
        <v>1868152.70401979</v>
      </c>
      <c r="AW24" s="113" t="n">
        <f aca="false">(AW17+AW21)/2*1</f>
        <v>1901801.87300959</v>
      </c>
      <c r="AX24" s="113" t="n">
        <f aca="false">(AX17+AX21)/2*1</f>
        <v>1935114.55030949</v>
      </c>
      <c r="AY24" s="113" t="n">
        <f aca="false">(AY17+AY21)/2*1</f>
        <v>1975505.49439572</v>
      </c>
      <c r="AZ24" s="113" t="n">
        <f aca="false">(AZ17+AZ21)/2*1</f>
        <v>2022903.92260041</v>
      </c>
      <c r="BA24" s="113" t="n">
        <f aca="false">(BA17+BA21)/2*1</f>
        <v>2069828.36652306</v>
      </c>
      <c r="BB24" s="113" t="n">
        <f aca="false">(BB17+BB21)/2*1</f>
        <v>2116283.56600648</v>
      </c>
      <c r="BC24" s="113" t="n">
        <f aca="false">(BC17+BC21)/2*1</f>
        <v>2162274.21349506</v>
      </c>
      <c r="BD24" s="113" t="n">
        <f aca="false">(BD17+BD21)/2*1</f>
        <v>2207804.95450876</v>
      </c>
      <c r="BE24" s="113" t="n">
        <f aca="false">(BE17+BE21)/2*1</f>
        <v>2252880.38811233</v>
      </c>
      <c r="BF24" s="113" t="n">
        <f aca="false">(BF17+BF21)/2*1</f>
        <v>2297505.06737985</v>
      </c>
      <c r="BG24" s="113" t="n">
        <f aca="false">(BG17+BG21)/2*1</f>
        <v>2341683.4998547</v>
      </c>
      <c r="BH24" s="113" t="n">
        <f aca="false">(BH17+BH21)/2*1</f>
        <v>2385420.14800481</v>
      </c>
      <c r="BI24" s="113" t="n">
        <f aca="false">(BI17+BI21)/2*1</f>
        <v>2428719.42967341</v>
      </c>
      <c r="BJ24" s="113" t="n">
        <f aca="false">(BJ17+BJ21)/2*1</f>
        <v>2471585.71852532</v>
      </c>
    </row>
    <row r="25" customFormat="false" ht="15" hidden="false" customHeight="false" outlineLevel="0" collapsed="false">
      <c r="A25" s="6" t="s">
        <v>315</v>
      </c>
      <c r="B25" s="6"/>
      <c r="C25" s="59" t="n">
        <f aca="false">-(C24*Inputs!$E$18+(C11+C13)/2*Inputs!$E$19*1)</f>
        <v>-81930</v>
      </c>
      <c r="D25" s="59" t="n">
        <f aca="false">-(D24*Inputs!$E$18+(D11+D13)/2*Inputs!$E$19*1)</f>
        <v>-83780.425</v>
      </c>
      <c r="E25" s="59" t="n">
        <f aca="false">-(E24*Inputs!$E$18+(E11+E13)/2*Inputs!$E$19*1)</f>
        <v>-85611.799875</v>
      </c>
      <c r="F25" s="59" t="n">
        <f aca="false">-(F24*Inputs!$E$18+(F11+F13)/2*Inputs!$E$19*1)</f>
        <v>-87424.323314375</v>
      </c>
      <c r="G25" s="59" t="n">
        <f aca="false">-(G24*Inputs!$E$18+(G11+G13)/2*Inputs!$E$19*1)</f>
        <v>-89218.1918977844</v>
      </c>
      <c r="H25" s="59" t="n">
        <f aca="false">-(H24*Inputs!$E$18+(H11+H13)/2*Inputs!$E$19*1)</f>
        <v>-90993.6001181114</v>
      </c>
      <c r="I25" s="59" t="n">
        <f aca="false">-(I24*Inputs!$E$18+(I11+I13)/2*Inputs!$E$19*1)</f>
        <v>-92750.7404041455</v>
      </c>
      <c r="J25" s="59" t="n">
        <f aca="false">-(J24*Inputs!$E$18+(J11+J13)/2*Inputs!$E$19*1)</f>
        <v>-94489.8031430111</v>
      </c>
      <c r="K25" s="59" t="n">
        <f aca="false">-(K24*Inputs!$E$18+(K11+K13)/2*Inputs!$E$19*1)</f>
        <v>-96210.9767023444</v>
      </c>
      <c r="L25" s="59" t="n">
        <f aca="false">-(L24*Inputs!$E$18+(L11+L13)/2*Inputs!$E$19*1)</f>
        <v>-97914.4474522229</v>
      </c>
      <c r="M25" s="59" t="n">
        <f aca="false">-(M24*Inputs!$E$18+(M11+M13)/2*Inputs!$E$19*1)</f>
        <v>-99600.3997868491</v>
      </c>
      <c r="N25" s="59" t="n">
        <f aca="false">-(N24*Inputs!$E$18+(N11+N13)/2*Inputs!$E$19*1)</f>
        <v>-101269.016145992</v>
      </c>
      <c r="O25" s="59" t="n">
        <f aca="false">-(O24*Inputs!$E$18+(O11+O13)/2*Inputs!$E$19*1)</f>
        <v>-103290.977036188</v>
      </c>
      <c r="P25" s="59" t="n">
        <f aca="false">-(P24*Inputs!$E$18+(P11+P13)/2*Inputs!$E$19*1)</f>
        <v>-105662.636051707</v>
      </c>
      <c r="Q25" s="59" t="n">
        <f aca="false">-(Q24*Inputs!$E$18+(Q11+Q13)/2*Inputs!$E$19*1)</f>
        <v>-108009.884945283</v>
      </c>
      <c r="R25" s="59" t="n">
        <f aca="false">-(R24*Inputs!$E$18+(R11+R13)/2*Inputs!$E$19*1)</f>
        <v>-110332.978221112</v>
      </c>
      <c r="S25" s="59" t="n">
        <f aca="false">-(S24*Inputs!$E$18+(S11+S13)/2*Inputs!$E$19*1)</f>
        <v>-112632.167682303</v>
      </c>
      <c r="T25" s="59" t="n">
        <f aca="false">-(T24*Inputs!$E$18+(T11+T13)/2*Inputs!$E$19*1)</f>
        <v>-114907.702460232</v>
      </c>
      <c r="U25" s="59" t="n">
        <f aca="false">-(U24*Inputs!$E$18+(U11+U13)/2*Inputs!$E$19*1)</f>
        <v>-117159.829043559</v>
      </c>
      <c r="V25" s="59" t="n">
        <f aca="false">-(V24*Inputs!$E$18+(V11+V13)/2*Inputs!$E$19*1)</f>
        <v>-119388.791306935</v>
      </c>
      <c r="W25" s="59" t="n">
        <f aca="false">-(W24*Inputs!$E$18+(W11+W13)/2*Inputs!$E$19*1)</f>
        <v>-121594.830539369</v>
      </c>
      <c r="X25" s="59" t="n">
        <f aca="false">-(X24*Inputs!$E$18+(X11+X13)/2*Inputs!$E$19*1)</f>
        <v>-123778.185472297</v>
      </c>
      <c r="Y25" s="59" t="n">
        <f aca="false">-(Y24*Inputs!$E$18+(Y11+Y13)/2*Inputs!$E$19*1)</f>
        <v>-125939.092307321</v>
      </c>
      <c r="Z25" s="59" t="n">
        <f aca="false">-(Z24*Inputs!$E$18+(Z11+Z13)/2*Inputs!$E$19*1)</f>
        <v>-128077.784743648</v>
      </c>
      <c r="AA25" s="59" t="n">
        <f aca="false">-(AA24*Inputs!$E$18+(AA11+AA13)/2*Inputs!$E$19*1)</f>
        <v>-130670.226505221</v>
      </c>
      <c r="AB25" s="59" t="n">
        <f aca="false">-(AB24*Inputs!$E$18+(AB11+AB13)/2*Inputs!$E$19*1)</f>
        <v>-133711.739042543</v>
      </c>
      <c r="AC25" s="59" t="n">
        <f aca="false">-(AC24*Inputs!$E$18+(AC11+AC13)/2*Inputs!$E$19*1)</f>
        <v>-136721.960207456</v>
      </c>
      <c r="AD25" s="59" t="n">
        <f aca="false">-(AD24*Inputs!$E$18+(AD11+AD13)/2*Inputs!$E$19*1)</f>
        <v>-139701.21605739</v>
      </c>
      <c r="AE25" s="59" t="n">
        <f aca="false">-(AE24*Inputs!$E$18+(AE11+AE13)/2*Inputs!$E$19*1)</f>
        <v>-142649.829192044</v>
      </c>
      <c r="AF25" s="59" t="n">
        <f aca="false">-(AF24*Inputs!$E$18+(AF11+AF13)/2*Inputs!$E$19*1)</f>
        <v>-145568.118790924</v>
      </c>
      <c r="AG25" s="59" t="n">
        <f aca="false">-(AG24*Inputs!$E$18+(AG11+AG13)/2*Inputs!$E$19*1)</f>
        <v>-148456.400650453</v>
      </c>
      <c r="AH25" s="59" t="n">
        <f aca="false">-(AH24*Inputs!$E$18+(AH11+AH13)/2*Inputs!$E$19*1)</f>
        <v>-151314.987220675</v>
      </c>
      <c r="AI25" s="59" t="n">
        <f aca="false">-(AI24*Inputs!$E$18+(AI11+AI13)/2*Inputs!$E$19*1)</f>
        <v>-154144.187641543</v>
      </c>
      <c r="AJ25" s="59" t="n">
        <f aca="false">-(AJ24*Inputs!$E$18+(AJ11+AJ13)/2*Inputs!$E$19*1)</f>
        <v>-156944.307778807</v>
      </c>
      <c r="AK25" s="59" t="n">
        <f aca="false">-(AK24*Inputs!$E$18+(AK11+AK13)/2*Inputs!$E$19*1)</f>
        <v>-159715.650259493</v>
      </c>
      <c r="AL25" s="59" t="n">
        <f aca="false">-(AL24*Inputs!$E$18+(AL11+AL13)/2*Inputs!$E$19*1)</f>
        <v>-162458.514506995</v>
      </c>
      <c r="AM25" s="59" t="n">
        <f aca="false">-(AM24*Inputs!$E$18+(AM11+AM13)/2*Inputs!$E$19*1)</f>
        <v>-165785.059077271</v>
      </c>
      <c r="AN25" s="59" t="n">
        <f aca="false">-(AN24*Inputs!$E$18+(AN11+AN13)/2*Inputs!$E$19*1)</f>
        <v>-169689.270667136</v>
      </c>
      <c r="AO25" s="59" t="n">
        <f aca="false">-(AO24*Inputs!$E$18+(AO11+AO13)/2*Inputs!$E$19*1)</f>
        <v>-173553.336452438</v>
      </c>
      <c r="AP25" s="59" t="n">
        <f aca="false">-(AP24*Inputs!$E$18+(AP11+AP13)/2*Inputs!$E$19*1)</f>
        <v>-177377.674446553</v>
      </c>
      <c r="AQ25" s="59" t="n">
        <f aca="false">-(AQ24*Inputs!$E$18+(AQ11+AQ13)/2*Inputs!$E$19*1)</f>
        <v>-181162.698234391</v>
      </c>
      <c r="AR25" s="59" t="n">
        <f aca="false">-(AR24*Inputs!$E$18+(AR11+AR13)/2*Inputs!$E$19*1)</f>
        <v>-184908.817020412</v>
      </c>
      <c r="AS25" s="59" t="n">
        <f aca="false">-(AS24*Inputs!$E$18+(AS11+AS13)/2*Inputs!$E$19*1)</f>
        <v>-188616.435676092</v>
      </c>
      <c r="AT25" s="59" t="n">
        <f aca="false">-(AT24*Inputs!$E$18+(AT11+AT13)/2*Inputs!$E$19*1)</f>
        <v>-192285.954786872</v>
      </c>
      <c r="AU25" s="59" t="n">
        <f aca="false">-(AU24*Inputs!$E$18+(AU11+AU13)/2*Inputs!$E$19*1)</f>
        <v>-195917.770698576</v>
      </c>
      <c r="AV25" s="59" t="n">
        <f aca="false">-(AV24*Inputs!$E$18+(AV11+AV13)/2*Inputs!$E$19*1)</f>
        <v>-199512.275563315</v>
      </c>
      <c r="AW25" s="59" t="n">
        <f aca="false">-(AW24*Inputs!$E$18+(AW11+AW13)/2*Inputs!$E$19*1)</f>
        <v>-203069.857384875</v>
      </c>
      <c r="AX25" s="59" t="n">
        <f aca="false">-(AX24*Inputs!$E$18+(AX11+AX13)/2*Inputs!$E$19*1)</f>
        <v>-206590.900063606</v>
      </c>
      <c r="AY25" s="59" t="n">
        <f aca="false">-(AY24*Inputs!$E$18+(AY11+AY13)/2*Inputs!$E$19*1)</f>
        <v>-210864.02279674</v>
      </c>
      <c r="AZ25" s="59" t="n">
        <f aca="false">-(AZ24*Inputs!$E$18+(AZ11+AZ13)/2*Inputs!$E$19*1)</f>
        <v>-215881.483516851</v>
      </c>
      <c r="BA25" s="59" t="n">
        <f aca="false">-(BA24*Inputs!$E$18+(BA11+BA13)/2*Inputs!$E$19*1)</f>
        <v>-220847.381540264</v>
      </c>
      <c r="BB25" s="59" t="n">
        <f aca="false">-(BB24*Inputs!$E$18+(BB11+BB13)/2*Inputs!$E$19*1)</f>
        <v>-225762.253315286</v>
      </c>
      <c r="BC25" s="59" t="n">
        <f aca="false">-(BC24*Inputs!$E$18+(BC11+BC13)/2*Inputs!$E$19*1)</f>
        <v>-230626.629613425</v>
      </c>
      <c r="BD25" s="59" t="n">
        <f aca="false">-(BD24*Inputs!$E$18+(BD11+BD13)/2*Inputs!$E$19*1)</f>
        <v>-235441.035590836</v>
      </c>
      <c r="BE25" s="59" t="n">
        <f aca="false">-(BE24*Inputs!$E$18+(BE11+BE13)/2*Inputs!$E$19*1)</f>
        <v>-240205.990849093</v>
      </c>
      <c r="BF25" s="59" t="n">
        <f aca="false">-(BF24*Inputs!$E$18+(BF11+BF13)/2*Inputs!$E$19*1)</f>
        <v>-244922.009495278</v>
      </c>
      <c r="BG25" s="59" t="n">
        <f aca="false">-(BG24*Inputs!$E$18+(BG11+BG13)/2*Inputs!$E$19*1)</f>
        <v>-249589.600201404</v>
      </c>
      <c r="BH25" s="59" t="n">
        <f aca="false">-(BH24*Inputs!$E$18+(BH11+BH13)/2*Inputs!$E$19*1)</f>
        <v>-254209.266263175</v>
      </c>
      <c r="BI25" s="59" t="n">
        <f aca="false">-(BI24*Inputs!$E$18+(BI11+BI13)/2*Inputs!$E$19*1)</f>
        <v>-258781.505658095</v>
      </c>
      <c r="BJ25" s="59" t="n">
        <f aca="false">-(BJ24*Inputs!$E$18+(BJ11+BJ13)/2*Inputs!$E$19*1)</f>
        <v>-263306.811102925</v>
      </c>
    </row>
    <row r="26" customFormat="false" ht="15" hidden="false" customHeight="false" outlineLevel="0" collapsed="false">
      <c r="A26" s="31" t="s">
        <v>43</v>
      </c>
      <c r="B26" s="31"/>
      <c r="C26" s="60" t="n">
        <f aca="false">C24+C25</f>
        <v>676820</v>
      </c>
      <c r="D26" s="60" t="n">
        <f aca="false">D24+D25</f>
        <v>692382.075</v>
      </c>
      <c r="E26" s="60" t="n">
        <f aca="false">E24+E25</f>
        <v>707789.075125</v>
      </c>
      <c r="F26" s="60" t="n">
        <f aca="false">F24+F25</f>
        <v>723042.542935625</v>
      </c>
      <c r="G26" s="60" t="n">
        <f aca="false">G24+G25</f>
        <v>738144.005689716</v>
      </c>
      <c r="H26" s="60" t="n">
        <f aca="false">H24+H25</f>
        <v>753094.975493514</v>
      </c>
      <c r="I26" s="60" t="n">
        <f aca="false">I24+I25</f>
        <v>767896.949451363</v>
      </c>
      <c r="J26" s="60" t="n">
        <f aca="false">J24+J25</f>
        <v>782551.409813943</v>
      </c>
      <c r="K26" s="60" t="n">
        <f aca="false">K24+K25</f>
        <v>797059.82412504</v>
      </c>
      <c r="L26" s="60" t="n">
        <f aca="false">L24+L25</f>
        <v>811423.645366887</v>
      </c>
      <c r="M26" s="60" t="n">
        <f aca="false">M24+M25</f>
        <v>825644.31210407</v>
      </c>
      <c r="N26" s="60" t="n">
        <f aca="false">N24+N25</f>
        <v>839723.248626018</v>
      </c>
      <c r="O26" s="60" t="n">
        <f aca="false">O24+O25</f>
        <v>856756.365088102</v>
      </c>
      <c r="P26" s="60" t="n">
        <f aca="false">P24+P25</f>
        <v>876714.23265134</v>
      </c>
      <c r="Q26" s="60" t="n">
        <f aca="false">Q24+Q25</f>
        <v>896473.215070733</v>
      </c>
      <c r="R26" s="60" t="n">
        <f aca="false">R24+R25</f>
        <v>916035.290794745</v>
      </c>
      <c r="S26" s="60" t="n">
        <f aca="false">S24+S25</f>
        <v>935402.418643395</v>
      </c>
      <c r="T26" s="60" t="n">
        <f aca="false">T24+T25</f>
        <v>954576.53800221</v>
      </c>
      <c r="U26" s="60" t="n">
        <f aca="false">U24+U25</f>
        <v>973559.569014258</v>
      </c>
      <c r="V26" s="60" t="n">
        <f aca="false">V24+V25</f>
        <v>992353.412770304</v>
      </c>
      <c r="W26" s="60" t="n">
        <f aca="false">W24+W25</f>
        <v>1010959.9514971</v>
      </c>
      <c r="X26" s="60" t="n">
        <f aca="false">X24+X25</f>
        <v>1029381.0487438</v>
      </c>
      <c r="Y26" s="60" t="n">
        <f aca="false">Y24+Y25</f>
        <v>1047618.54956662</v>
      </c>
      <c r="Z26" s="60" t="n">
        <f aca="false">Z24+Z25</f>
        <v>1065674.28071155</v>
      </c>
      <c r="AA26" s="60" t="n">
        <f aca="false">AA24+AA25</f>
        <v>1087531.64329543</v>
      </c>
      <c r="AB26" s="60" t="n">
        <f aca="false">AB24+AB25</f>
        <v>1113152.7620601</v>
      </c>
      <c r="AC26" s="60" t="n">
        <f aca="false">AC24+AC25</f>
        <v>1138518.54588416</v>
      </c>
      <c r="AD26" s="60" t="n">
        <f aca="false">AD24+AD25</f>
        <v>1163631.53497331</v>
      </c>
      <c r="AE26" s="60" t="n">
        <f aca="false">AE24+AE25</f>
        <v>1188494.24432835</v>
      </c>
      <c r="AF26" s="60" t="n">
        <f aca="false">AF24+AF25</f>
        <v>1213109.16399427</v>
      </c>
      <c r="AG26" s="60" t="n">
        <f aca="false">AG24+AG25</f>
        <v>1237478.75930688</v>
      </c>
      <c r="AH26" s="60" t="n">
        <f aca="false">AH24+AH25</f>
        <v>1261605.47113709</v>
      </c>
      <c r="AI26" s="60" t="n">
        <f aca="false">AI24+AI25</f>
        <v>1285491.71613264</v>
      </c>
      <c r="AJ26" s="60" t="n">
        <f aca="false">AJ24+AJ25</f>
        <v>1309139.88695764</v>
      </c>
      <c r="AK26" s="60" t="n">
        <f aca="false">AK24+AK25</f>
        <v>1332552.35252959</v>
      </c>
      <c r="AL26" s="60" t="n">
        <f aca="false">AL24+AL25</f>
        <v>1355731.45825419</v>
      </c>
      <c r="AM26" s="60" t="n">
        <f aca="false">AM24+AM25</f>
        <v>1383810.68697131</v>
      </c>
      <c r="AN26" s="60" t="n">
        <f aca="false">AN24+AN25</f>
        <v>1416741.21395095</v>
      </c>
      <c r="AO26" s="60" t="n">
        <f aca="false">AO24+AO25</f>
        <v>1449343.53934947</v>
      </c>
      <c r="AP26" s="60" t="n">
        <f aca="false">AP24+AP25</f>
        <v>1481620.92862734</v>
      </c>
      <c r="AQ26" s="60" t="n">
        <f aca="false">AQ24+AQ25</f>
        <v>1513576.61483876</v>
      </c>
      <c r="AR26" s="60" t="n">
        <f aca="false">AR24+AR25</f>
        <v>1545213.79895201</v>
      </c>
      <c r="AS26" s="60" t="n">
        <f aca="false">AS24+AS25</f>
        <v>1576535.6501666</v>
      </c>
      <c r="AT26" s="60" t="n">
        <f aca="false">AT24+AT25</f>
        <v>1607545.3062274</v>
      </c>
      <c r="AU26" s="60" t="n">
        <f aca="false">AU24+AU25</f>
        <v>1638245.87373555</v>
      </c>
      <c r="AV26" s="60" t="n">
        <f aca="false">AV24+AV25</f>
        <v>1668640.42845647</v>
      </c>
      <c r="AW26" s="60" t="n">
        <f aca="false">AW24+AW25</f>
        <v>1698732.01562471</v>
      </c>
      <c r="AX26" s="60" t="n">
        <f aca="false">AX24+AX25</f>
        <v>1728523.65024589</v>
      </c>
      <c r="AY26" s="60" t="n">
        <f aca="false">AY24+AY25</f>
        <v>1764641.47159898</v>
      </c>
      <c r="AZ26" s="60" t="n">
        <f aca="false">AZ24+AZ25</f>
        <v>1807022.43908356</v>
      </c>
      <c r="BA26" s="60" t="n">
        <f aca="false">BA24+BA25</f>
        <v>1848980.9849828</v>
      </c>
      <c r="BB26" s="60" t="n">
        <f aca="false">BB24+BB25</f>
        <v>1890521.31269119</v>
      </c>
      <c r="BC26" s="60" t="n">
        <f aca="false">BC24+BC25</f>
        <v>1931647.58388164</v>
      </c>
      <c r="BD26" s="60" t="n">
        <f aca="false">BD24+BD25</f>
        <v>1972363.91891793</v>
      </c>
      <c r="BE26" s="60" t="n">
        <f aca="false">BE24+BE25</f>
        <v>2012674.39726323</v>
      </c>
      <c r="BF26" s="60" t="n">
        <f aca="false">BF24+BF25</f>
        <v>2052583.05788457</v>
      </c>
      <c r="BG26" s="60" t="n">
        <f aca="false">BG24+BG25</f>
        <v>2092093.8996533</v>
      </c>
      <c r="BH26" s="60" t="n">
        <f aca="false">BH24+BH25</f>
        <v>2131210.88174163</v>
      </c>
      <c r="BI26" s="60" t="n">
        <f aca="false">BI24+BI25</f>
        <v>2169937.92401531</v>
      </c>
      <c r="BJ26" s="60" t="n">
        <f aca="false">BJ24+BJ25</f>
        <v>2208278.9074224</v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</row>
    <row r="28" customFormat="false" ht="15" hidden="false" customHeight="false" outlineLevel="0" collapsed="false">
      <c r="A28" s="57" t="s">
        <v>45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</row>
    <row r="29" customFormat="false" ht="15" hidden="false" customHeight="false" outlineLevel="0" collapsed="false">
      <c r="A29" s="6" t="s">
        <v>316</v>
      </c>
      <c r="B29" s="6"/>
      <c r="C29" s="61" t="n">
        <f aca="false">Headcount!C19</f>
        <v>-523000</v>
      </c>
      <c r="D29" s="61" t="n">
        <f aca="false">Headcount!D19</f>
        <v>-523000</v>
      </c>
      <c r="E29" s="61" t="n">
        <f aca="false">Headcount!E19</f>
        <v>-523000</v>
      </c>
      <c r="F29" s="61" t="n">
        <f aca="false">Headcount!F19</f>
        <v>-523000</v>
      </c>
      <c r="G29" s="61" t="n">
        <f aca="false">Headcount!G19</f>
        <v>-523000</v>
      </c>
      <c r="H29" s="61" t="n">
        <f aca="false">Headcount!H19</f>
        <v>-523000</v>
      </c>
      <c r="I29" s="61" t="n">
        <f aca="false">Headcount!I19</f>
        <v>-523000</v>
      </c>
      <c r="J29" s="61" t="n">
        <f aca="false">Headcount!J19</f>
        <v>-523000</v>
      </c>
      <c r="K29" s="61" t="n">
        <f aca="false">Headcount!K19</f>
        <v>-523000</v>
      </c>
      <c r="L29" s="61" t="n">
        <f aca="false">Headcount!L19</f>
        <v>-523000</v>
      </c>
      <c r="M29" s="61" t="n">
        <f aca="false">Headcount!M19</f>
        <v>-523000</v>
      </c>
      <c r="N29" s="61" t="n">
        <f aca="false">Headcount!N19</f>
        <v>-523000</v>
      </c>
      <c r="O29" s="61" t="n">
        <f aca="false">Headcount!O19</f>
        <v>-649896</v>
      </c>
      <c r="P29" s="61" t="n">
        <f aca="false">Headcount!P19</f>
        <v>-649896</v>
      </c>
      <c r="Q29" s="61" t="n">
        <f aca="false">Headcount!Q19</f>
        <v>-649896</v>
      </c>
      <c r="R29" s="61" t="n">
        <f aca="false">Headcount!R19</f>
        <v>-649896</v>
      </c>
      <c r="S29" s="61" t="n">
        <f aca="false">Headcount!S19</f>
        <v>-649896</v>
      </c>
      <c r="T29" s="61" t="n">
        <f aca="false">Headcount!T19</f>
        <v>-649896</v>
      </c>
      <c r="U29" s="61" t="n">
        <f aca="false">Headcount!U19</f>
        <v>-649896</v>
      </c>
      <c r="V29" s="61" t="n">
        <f aca="false">Headcount!V19</f>
        <v>-649896</v>
      </c>
      <c r="W29" s="61" t="n">
        <f aca="false">Headcount!W19</f>
        <v>-649896</v>
      </c>
      <c r="X29" s="61" t="n">
        <f aca="false">Headcount!X19</f>
        <v>-649896</v>
      </c>
      <c r="Y29" s="61" t="n">
        <f aca="false">Headcount!Y19</f>
        <v>-649896</v>
      </c>
      <c r="Z29" s="61" t="n">
        <f aca="false">Headcount!Z19</f>
        <v>-649896</v>
      </c>
      <c r="AA29" s="61" t="n">
        <f aca="false">Headcount!AA19</f>
        <v>-807711.84</v>
      </c>
      <c r="AB29" s="61" t="n">
        <f aca="false">Headcount!AB19</f>
        <v>-807711.84</v>
      </c>
      <c r="AC29" s="61" t="n">
        <f aca="false">Headcount!AC19</f>
        <v>-807711.84</v>
      </c>
      <c r="AD29" s="61" t="n">
        <f aca="false">Headcount!AD19</f>
        <v>-807711.84</v>
      </c>
      <c r="AE29" s="61" t="n">
        <f aca="false">Headcount!AE19</f>
        <v>-807711.84</v>
      </c>
      <c r="AF29" s="61" t="n">
        <f aca="false">Headcount!AF19</f>
        <v>-807711.84</v>
      </c>
      <c r="AG29" s="61" t="n">
        <f aca="false">Headcount!AG19</f>
        <v>-807711.84</v>
      </c>
      <c r="AH29" s="61" t="n">
        <f aca="false">Headcount!AH19</f>
        <v>-807711.84</v>
      </c>
      <c r="AI29" s="61" t="n">
        <f aca="false">Headcount!AI19</f>
        <v>-807711.84</v>
      </c>
      <c r="AJ29" s="61" t="n">
        <f aca="false">Headcount!AJ19</f>
        <v>-807711.84</v>
      </c>
      <c r="AK29" s="61" t="n">
        <f aca="false">Headcount!AK19</f>
        <v>-807711.84</v>
      </c>
      <c r="AL29" s="61" t="n">
        <f aca="false">Headcount!AL19</f>
        <v>-807711.84</v>
      </c>
      <c r="AM29" s="61" t="n">
        <f aca="false">Headcount!AM19</f>
        <v>-1004007.768192</v>
      </c>
      <c r="AN29" s="61" t="n">
        <f aca="false">Headcount!AN19</f>
        <v>-1004007.768192</v>
      </c>
      <c r="AO29" s="61" t="n">
        <f aca="false">Headcount!AO19</f>
        <v>-1004007.768192</v>
      </c>
      <c r="AP29" s="61" t="n">
        <f aca="false">Headcount!AP19</f>
        <v>-1004007.768192</v>
      </c>
      <c r="AQ29" s="61" t="n">
        <f aca="false">Headcount!AQ19</f>
        <v>-1004007.768192</v>
      </c>
      <c r="AR29" s="61" t="n">
        <f aca="false">Headcount!AR19</f>
        <v>-1004007.768192</v>
      </c>
      <c r="AS29" s="61" t="n">
        <f aca="false">Headcount!AS19</f>
        <v>-1004007.768192</v>
      </c>
      <c r="AT29" s="61" t="n">
        <f aca="false">Headcount!AT19</f>
        <v>-1004007.768192</v>
      </c>
      <c r="AU29" s="61" t="n">
        <f aca="false">Headcount!AU19</f>
        <v>-1004007.768192</v>
      </c>
      <c r="AV29" s="61" t="n">
        <f aca="false">Headcount!AV19</f>
        <v>-1004007.768192</v>
      </c>
      <c r="AW29" s="61" t="n">
        <f aca="false">Headcount!AW19</f>
        <v>-1004007.768192</v>
      </c>
      <c r="AX29" s="61" t="n">
        <f aca="false">Headcount!AX19</f>
        <v>-1004007.768192</v>
      </c>
      <c r="AY29" s="61" t="n">
        <f aca="false">Headcount!AY19</f>
        <v>-1248197.83138253</v>
      </c>
      <c r="AZ29" s="61" t="n">
        <f aca="false">Headcount!AZ19</f>
        <v>-1248197.83138253</v>
      </c>
      <c r="BA29" s="61" t="n">
        <f aca="false">Headcount!BA19</f>
        <v>-1248197.83138253</v>
      </c>
      <c r="BB29" s="61" t="n">
        <f aca="false">Headcount!BB19</f>
        <v>-1248197.83138253</v>
      </c>
      <c r="BC29" s="61" t="n">
        <f aca="false">Headcount!BC19</f>
        <v>-1248197.83138253</v>
      </c>
      <c r="BD29" s="61" t="n">
        <f aca="false">Headcount!BD19</f>
        <v>-1248197.83138253</v>
      </c>
      <c r="BE29" s="61" t="n">
        <f aca="false">Headcount!BE19</f>
        <v>-1248197.83138253</v>
      </c>
      <c r="BF29" s="61" t="n">
        <f aca="false">Headcount!BF19</f>
        <v>-1248197.83138253</v>
      </c>
      <c r="BG29" s="61" t="n">
        <f aca="false">Headcount!BG19</f>
        <v>-1248197.83138253</v>
      </c>
      <c r="BH29" s="61" t="n">
        <f aca="false">Headcount!BH19</f>
        <v>-1248197.83138253</v>
      </c>
      <c r="BI29" s="61" t="n">
        <f aca="false">Headcount!BI19</f>
        <v>-1248197.83138253</v>
      </c>
      <c r="BJ29" s="61" t="n">
        <f aca="false">Headcount!BJ19</f>
        <v>-1248197.83138253</v>
      </c>
    </row>
    <row r="30" customFormat="false" ht="15" hidden="false" customHeight="false" outlineLevel="0" collapsed="false">
      <c r="A30" s="6" t="s">
        <v>317</v>
      </c>
      <c r="B30" s="6"/>
      <c r="C30" s="59" t="n">
        <f aca="false">-Inputs!$E$14*(1+Inputs!$E$15)^(C$5-1)*1</f>
        <v>-60000</v>
      </c>
      <c r="D30" s="59" t="n">
        <f aca="false">-Inputs!$E$14*(1+Inputs!$E$15)^(D$5-1)*1</f>
        <v>-60000</v>
      </c>
      <c r="E30" s="59" t="n">
        <f aca="false">-Inputs!$E$14*(1+Inputs!$E$15)^(E$5-1)*1</f>
        <v>-60000</v>
      </c>
      <c r="F30" s="59" t="n">
        <f aca="false">-Inputs!$E$14*(1+Inputs!$E$15)^(F$5-1)*1</f>
        <v>-60000</v>
      </c>
      <c r="G30" s="59" t="n">
        <f aca="false">-Inputs!$E$14*(1+Inputs!$E$15)^(G$5-1)*1</f>
        <v>-60000</v>
      </c>
      <c r="H30" s="59" t="n">
        <f aca="false">-Inputs!$E$14*(1+Inputs!$E$15)^(H$5-1)*1</f>
        <v>-60000</v>
      </c>
      <c r="I30" s="59" t="n">
        <f aca="false">-Inputs!$E$14*(1+Inputs!$E$15)^(I$5-1)*1</f>
        <v>-60000</v>
      </c>
      <c r="J30" s="59" t="n">
        <f aca="false">-Inputs!$E$14*(1+Inputs!$E$15)^(J$5-1)*1</f>
        <v>-60000</v>
      </c>
      <c r="K30" s="59" t="n">
        <f aca="false">-Inputs!$E$14*(1+Inputs!$E$15)^(K$5-1)*1</f>
        <v>-60000</v>
      </c>
      <c r="L30" s="59" t="n">
        <f aca="false">-Inputs!$E$14*(1+Inputs!$E$15)^(L$5-1)*1</f>
        <v>-60000</v>
      </c>
      <c r="M30" s="59" t="n">
        <f aca="false">-Inputs!$E$14*(1+Inputs!$E$15)^(M$5-1)*1</f>
        <v>-60000</v>
      </c>
      <c r="N30" s="59" t="n">
        <f aca="false">-Inputs!$E$14*(1+Inputs!$E$15)^(N$5-1)*1</f>
        <v>-60000</v>
      </c>
      <c r="O30" s="59" t="n">
        <f aca="false">-Inputs!$E$14*(1+Inputs!$E$15)^(O$5-1)*1</f>
        <v>-72000</v>
      </c>
      <c r="P30" s="59" t="n">
        <f aca="false">-Inputs!$E$14*(1+Inputs!$E$15)^(P$5-1)*1</f>
        <v>-72000</v>
      </c>
      <c r="Q30" s="59" t="n">
        <f aca="false">-Inputs!$E$14*(1+Inputs!$E$15)^(Q$5-1)*1</f>
        <v>-72000</v>
      </c>
      <c r="R30" s="59" t="n">
        <f aca="false">-Inputs!$E$14*(1+Inputs!$E$15)^(R$5-1)*1</f>
        <v>-72000</v>
      </c>
      <c r="S30" s="59" t="n">
        <f aca="false">-Inputs!$E$14*(1+Inputs!$E$15)^(S$5-1)*1</f>
        <v>-72000</v>
      </c>
      <c r="T30" s="59" t="n">
        <f aca="false">-Inputs!$E$14*(1+Inputs!$E$15)^(T$5-1)*1</f>
        <v>-72000</v>
      </c>
      <c r="U30" s="59" t="n">
        <f aca="false">-Inputs!$E$14*(1+Inputs!$E$15)^(U$5-1)*1</f>
        <v>-72000</v>
      </c>
      <c r="V30" s="59" t="n">
        <f aca="false">-Inputs!$E$14*(1+Inputs!$E$15)^(V$5-1)*1</f>
        <v>-72000</v>
      </c>
      <c r="W30" s="59" t="n">
        <f aca="false">-Inputs!$E$14*(1+Inputs!$E$15)^(W$5-1)*1</f>
        <v>-72000</v>
      </c>
      <c r="X30" s="59" t="n">
        <f aca="false">-Inputs!$E$14*(1+Inputs!$E$15)^(X$5-1)*1</f>
        <v>-72000</v>
      </c>
      <c r="Y30" s="59" t="n">
        <f aca="false">-Inputs!$E$14*(1+Inputs!$E$15)^(Y$5-1)*1</f>
        <v>-72000</v>
      </c>
      <c r="Z30" s="59" t="n">
        <f aca="false">-Inputs!$E$14*(1+Inputs!$E$15)^(Z$5-1)*1</f>
        <v>-72000</v>
      </c>
      <c r="AA30" s="59" t="n">
        <f aca="false">-Inputs!$E$14*(1+Inputs!$E$15)^(AA$5-1)*1</f>
        <v>-86400</v>
      </c>
      <c r="AB30" s="59" t="n">
        <f aca="false">-Inputs!$E$14*(1+Inputs!$E$15)^(AB$5-1)*1</f>
        <v>-86400</v>
      </c>
      <c r="AC30" s="59" t="n">
        <f aca="false">-Inputs!$E$14*(1+Inputs!$E$15)^(AC$5-1)*1</f>
        <v>-86400</v>
      </c>
      <c r="AD30" s="59" t="n">
        <f aca="false">-Inputs!$E$14*(1+Inputs!$E$15)^(AD$5-1)*1</f>
        <v>-86400</v>
      </c>
      <c r="AE30" s="59" t="n">
        <f aca="false">-Inputs!$E$14*(1+Inputs!$E$15)^(AE$5-1)*1</f>
        <v>-86400</v>
      </c>
      <c r="AF30" s="59" t="n">
        <f aca="false">-Inputs!$E$14*(1+Inputs!$E$15)^(AF$5-1)*1</f>
        <v>-86400</v>
      </c>
      <c r="AG30" s="59" t="n">
        <f aca="false">-Inputs!$E$14*(1+Inputs!$E$15)^(AG$5-1)*1</f>
        <v>-86400</v>
      </c>
      <c r="AH30" s="59" t="n">
        <f aca="false">-Inputs!$E$14*(1+Inputs!$E$15)^(AH$5-1)*1</f>
        <v>-86400</v>
      </c>
      <c r="AI30" s="59" t="n">
        <f aca="false">-Inputs!$E$14*(1+Inputs!$E$15)^(AI$5-1)*1</f>
        <v>-86400</v>
      </c>
      <c r="AJ30" s="59" t="n">
        <f aca="false">-Inputs!$E$14*(1+Inputs!$E$15)^(AJ$5-1)*1</f>
        <v>-86400</v>
      </c>
      <c r="AK30" s="59" t="n">
        <f aca="false">-Inputs!$E$14*(1+Inputs!$E$15)^(AK$5-1)*1</f>
        <v>-86400</v>
      </c>
      <c r="AL30" s="59" t="n">
        <f aca="false">-Inputs!$E$14*(1+Inputs!$E$15)^(AL$5-1)*1</f>
        <v>-86400</v>
      </c>
      <c r="AM30" s="59" t="n">
        <f aca="false">-Inputs!$E$14*(1+Inputs!$E$15)^(AM$5-1)*1</f>
        <v>-103680</v>
      </c>
      <c r="AN30" s="59" t="n">
        <f aca="false">-Inputs!$E$14*(1+Inputs!$E$15)^(AN$5-1)*1</f>
        <v>-103680</v>
      </c>
      <c r="AO30" s="59" t="n">
        <f aca="false">-Inputs!$E$14*(1+Inputs!$E$15)^(AO$5-1)*1</f>
        <v>-103680</v>
      </c>
      <c r="AP30" s="59" t="n">
        <f aca="false">-Inputs!$E$14*(1+Inputs!$E$15)^(AP$5-1)*1</f>
        <v>-103680</v>
      </c>
      <c r="AQ30" s="59" t="n">
        <f aca="false">-Inputs!$E$14*(1+Inputs!$E$15)^(AQ$5-1)*1</f>
        <v>-103680</v>
      </c>
      <c r="AR30" s="59" t="n">
        <f aca="false">-Inputs!$E$14*(1+Inputs!$E$15)^(AR$5-1)*1</f>
        <v>-103680</v>
      </c>
      <c r="AS30" s="59" t="n">
        <f aca="false">-Inputs!$E$14*(1+Inputs!$E$15)^(AS$5-1)*1</f>
        <v>-103680</v>
      </c>
      <c r="AT30" s="59" t="n">
        <f aca="false">-Inputs!$E$14*(1+Inputs!$E$15)^(AT$5-1)*1</f>
        <v>-103680</v>
      </c>
      <c r="AU30" s="59" t="n">
        <f aca="false">-Inputs!$E$14*(1+Inputs!$E$15)^(AU$5-1)*1</f>
        <v>-103680</v>
      </c>
      <c r="AV30" s="59" t="n">
        <f aca="false">-Inputs!$E$14*(1+Inputs!$E$15)^(AV$5-1)*1</f>
        <v>-103680</v>
      </c>
      <c r="AW30" s="59" t="n">
        <f aca="false">-Inputs!$E$14*(1+Inputs!$E$15)^(AW$5-1)*1</f>
        <v>-103680</v>
      </c>
      <c r="AX30" s="59" t="n">
        <f aca="false">-Inputs!$E$14*(1+Inputs!$E$15)^(AX$5-1)*1</f>
        <v>-103680</v>
      </c>
      <c r="AY30" s="59" t="n">
        <f aca="false">-Inputs!$E$14*(1+Inputs!$E$15)^(AY$5-1)*1</f>
        <v>-124416</v>
      </c>
      <c r="AZ30" s="59" t="n">
        <f aca="false">-Inputs!$E$14*(1+Inputs!$E$15)^(AZ$5-1)*1</f>
        <v>-124416</v>
      </c>
      <c r="BA30" s="59" t="n">
        <f aca="false">-Inputs!$E$14*(1+Inputs!$E$15)^(BA$5-1)*1</f>
        <v>-124416</v>
      </c>
      <c r="BB30" s="59" t="n">
        <f aca="false">-Inputs!$E$14*(1+Inputs!$E$15)^(BB$5-1)*1</f>
        <v>-124416</v>
      </c>
      <c r="BC30" s="59" t="n">
        <f aca="false">-Inputs!$E$14*(1+Inputs!$E$15)^(BC$5-1)*1</f>
        <v>-124416</v>
      </c>
      <c r="BD30" s="59" t="n">
        <f aca="false">-Inputs!$E$14*(1+Inputs!$E$15)^(BD$5-1)*1</f>
        <v>-124416</v>
      </c>
      <c r="BE30" s="59" t="n">
        <f aca="false">-Inputs!$E$14*(1+Inputs!$E$15)^(BE$5-1)*1</f>
        <v>-124416</v>
      </c>
      <c r="BF30" s="59" t="n">
        <f aca="false">-Inputs!$E$14*(1+Inputs!$E$15)^(BF$5-1)*1</f>
        <v>-124416</v>
      </c>
      <c r="BG30" s="59" t="n">
        <f aca="false">-Inputs!$E$14*(1+Inputs!$E$15)^(BG$5-1)*1</f>
        <v>-124416</v>
      </c>
      <c r="BH30" s="59" t="n">
        <f aca="false">-Inputs!$E$14*(1+Inputs!$E$15)^(BH$5-1)*1</f>
        <v>-124416</v>
      </c>
      <c r="BI30" s="59" t="n">
        <f aca="false">-Inputs!$E$14*(1+Inputs!$E$15)^(BI$5-1)*1</f>
        <v>-124416</v>
      </c>
      <c r="BJ30" s="59" t="n">
        <f aca="false">-Inputs!$E$14*(1+Inputs!$E$15)^(BJ$5-1)*1</f>
        <v>-124416</v>
      </c>
    </row>
    <row r="31" customFormat="false" ht="15" hidden="false" customHeight="false" outlineLevel="0" collapsed="false">
      <c r="A31" s="6" t="s">
        <v>318</v>
      </c>
      <c r="B31" s="6"/>
      <c r="C31" s="59" t="n">
        <f aca="false">-Headcount!C12*Inputs!$E$20*1</f>
        <v>-7200</v>
      </c>
      <c r="D31" s="59" t="n">
        <f aca="false">-Headcount!D12*Inputs!$E$20*1</f>
        <v>-7200</v>
      </c>
      <c r="E31" s="59" t="n">
        <f aca="false">-Headcount!E12*Inputs!$E$20*1</f>
        <v>-7200</v>
      </c>
      <c r="F31" s="59" t="n">
        <f aca="false">-Headcount!F12*Inputs!$E$20*1</f>
        <v>-7200</v>
      </c>
      <c r="G31" s="59" t="n">
        <f aca="false">-Headcount!G12*Inputs!$E$20*1</f>
        <v>-7200</v>
      </c>
      <c r="H31" s="59" t="n">
        <f aca="false">-Headcount!H12*Inputs!$E$20*1</f>
        <v>-7200</v>
      </c>
      <c r="I31" s="59" t="n">
        <f aca="false">-Headcount!I12*Inputs!$E$20*1</f>
        <v>-7200</v>
      </c>
      <c r="J31" s="59" t="n">
        <f aca="false">-Headcount!J12*Inputs!$E$20*1</f>
        <v>-7200</v>
      </c>
      <c r="K31" s="59" t="n">
        <f aca="false">-Headcount!K12*Inputs!$E$20*1</f>
        <v>-7200</v>
      </c>
      <c r="L31" s="59" t="n">
        <f aca="false">-Headcount!L12*Inputs!$E$20*1</f>
        <v>-7200</v>
      </c>
      <c r="M31" s="59" t="n">
        <f aca="false">-Headcount!M12*Inputs!$E$20*1</f>
        <v>-7200</v>
      </c>
      <c r="N31" s="59" t="n">
        <f aca="false">-Headcount!N12*Inputs!$E$20*1</f>
        <v>-7200</v>
      </c>
      <c r="O31" s="59" t="n">
        <f aca="false">-Headcount!O12*Inputs!$E$20*1</f>
        <v>-8595</v>
      </c>
      <c r="P31" s="59" t="n">
        <f aca="false">-Headcount!P12*Inputs!$E$20*1</f>
        <v>-8595</v>
      </c>
      <c r="Q31" s="59" t="n">
        <f aca="false">-Headcount!Q12*Inputs!$E$20*1</f>
        <v>-8595</v>
      </c>
      <c r="R31" s="59" t="n">
        <f aca="false">-Headcount!R12*Inputs!$E$20*1</f>
        <v>-8595</v>
      </c>
      <c r="S31" s="59" t="n">
        <f aca="false">-Headcount!S12*Inputs!$E$20*1</f>
        <v>-8595</v>
      </c>
      <c r="T31" s="59" t="n">
        <f aca="false">-Headcount!T12*Inputs!$E$20*1</f>
        <v>-8595</v>
      </c>
      <c r="U31" s="59" t="n">
        <f aca="false">-Headcount!U12*Inputs!$E$20*1</f>
        <v>-8595</v>
      </c>
      <c r="V31" s="59" t="n">
        <f aca="false">-Headcount!V12*Inputs!$E$20*1</f>
        <v>-8595</v>
      </c>
      <c r="W31" s="59" t="n">
        <f aca="false">-Headcount!W12*Inputs!$E$20*1</f>
        <v>-8595</v>
      </c>
      <c r="X31" s="59" t="n">
        <f aca="false">-Headcount!X12*Inputs!$E$20*1</f>
        <v>-8595</v>
      </c>
      <c r="Y31" s="59" t="n">
        <f aca="false">-Headcount!Y12*Inputs!$E$20*1</f>
        <v>-8595</v>
      </c>
      <c r="Z31" s="59" t="n">
        <f aca="false">-Headcount!Z12*Inputs!$E$20*1</f>
        <v>-8595</v>
      </c>
      <c r="AA31" s="59" t="n">
        <f aca="false">-Headcount!AA12*Inputs!$E$20*1</f>
        <v>-10262.25</v>
      </c>
      <c r="AB31" s="59" t="n">
        <f aca="false">-Headcount!AB12*Inputs!$E$20*1</f>
        <v>-10262.25</v>
      </c>
      <c r="AC31" s="59" t="n">
        <f aca="false">-Headcount!AC12*Inputs!$E$20*1</f>
        <v>-10262.25</v>
      </c>
      <c r="AD31" s="59" t="n">
        <f aca="false">-Headcount!AD12*Inputs!$E$20*1</f>
        <v>-10262.25</v>
      </c>
      <c r="AE31" s="59" t="n">
        <f aca="false">-Headcount!AE12*Inputs!$E$20*1</f>
        <v>-10262.25</v>
      </c>
      <c r="AF31" s="59" t="n">
        <f aca="false">-Headcount!AF12*Inputs!$E$20*1</f>
        <v>-10262.25</v>
      </c>
      <c r="AG31" s="59" t="n">
        <f aca="false">-Headcount!AG12*Inputs!$E$20*1</f>
        <v>-10262.25</v>
      </c>
      <c r="AH31" s="59" t="n">
        <f aca="false">-Headcount!AH12*Inputs!$E$20*1</f>
        <v>-10262.25</v>
      </c>
      <c r="AI31" s="59" t="n">
        <f aca="false">-Headcount!AI12*Inputs!$E$20*1</f>
        <v>-10262.25</v>
      </c>
      <c r="AJ31" s="59" t="n">
        <f aca="false">-Headcount!AJ12*Inputs!$E$20*1</f>
        <v>-10262.25</v>
      </c>
      <c r="AK31" s="59" t="n">
        <f aca="false">-Headcount!AK12*Inputs!$E$20*1</f>
        <v>-10262.25</v>
      </c>
      <c r="AL31" s="59" t="n">
        <f aca="false">-Headcount!AL12*Inputs!$E$20*1</f>
        <v>-10262.25</v>
      </c>
      <c r="AM31" s="59" t="n">
        <f aca="false">-Headcount!AM12*Inputs!$E$20*1</f>
        <v>-12255.1875</v>
      </c>
      <c r="AN31" s="59" t="n">
        <f aca="false">-Headcount!AN12*Inputs!$E$20*1</f>
        <v>-12255.1875</v>
      </c>
      <c r="AO31" s="59" t="n">
        <f aca="false">-Headcount!AO12*Inputs!$E$20*1</f>
        <v>-12255.1875</v>
      </c>
      <c r="AP31" s="59" t="n">
        <f aca="false">-Headcount!AP12*Inputs!$E$20*1</f>
        <v>-12255.1875</v>
      </c>
      <c r="AQ31" s="59" t="n">
        <f aca="false">-Headcount!AQ12*Inputs!$E$20*1</f>
        <v>-12255.1875</v>
      </c>
      <c r="AR31" s="59" t="n">
        <f aca="false">-Headcount!AR12*Inputs!$E$20*1</f>
        <v>-12255.1875</v>
      </c>
      <c r="AS31" s="59" t="n">
        <f aca="false">-Headcount!AS12*Inputs!$E$20*1</f>
        <v>-12255.1875</v>
      </c>
      <c r="AT31" s="59" t="n">
        <f aca="false">-Headcount!AT12*Inputs!$E$20*1</f>
        <v>-12255.1875</v>
      </c>
      <c r="AU31" s="59" t="n">
        <f aca="false">-Headcount!AU12*Inputs!$E$20*1</f>
        <v>-12255.1875</v>
      </c>
      <c r="AV31" s="59" t="n">
        <f aca="false">-Headcount!AV12*Inputs!$E$20*1</f>
        <v>-12255.1875</v>
      </c>
      <c r="AW31" s="59" t="n">
        <f aca="false">-Headcount!AW12*Inputs!$E$20*1</f>
        <v>-12255.1875</v>
      </c>
      <c r="AX31" s="59" t="n">
        <f aca="false">-Headcount!AX12*Inputs!$E$20*1</f>
        <v>-12255.1875</v>
      </c>
      <c r="AY31" s="59" t="n">
        <f aca="false">-Headcount!AY12*Inputs!$E$20*1</f>
        <v>-14637.785625</v>
      </c>
      <c r="AZ31" s="59" t="n">
        <f aca="false">-Headcount!AZ12*Inputs!$E$20*1</f>
        <v>-14637.785625</v>
      </c>
      <c r="BA31" s="59" t="n">
        <f aca="false">-Headcount!BA12*Inputs!$E$20*1</f>
        <v>-14637.785625</v>
      </c>
      <c r="BB31" s="59" t="n">
        <f aca="false">-Headcount!BB12*Inputs!$E$20*1</f>
        <v>-14637.785625</v>
      </c>
      <c r="BC31" s="59" t="n">
        <f aca="false">-Headcount!BC12*Inputs!$E$20*1</f>
        <v>-14637.785625</v>
      </c>
      <c r="BD31" s="59" t="n">
        <f aca="false">-Headcount!BD12*Inputs!$E$20*1</f>
        <v>-14637.785625</v>
      </c>
      <c r="BE31" s="59" t="n">
        <f aca="false">-Headcount!BE12*Inputs!$E$20*1</f>
        <v>-14637.785625</v>
      </c>
      <c r="BF31" s="59" t="n">
        <f aca="false">-Headcount!BF12*Inputs!$E$20*1</f>
        <v>-14637.785625</v>
      </c>
      <c r="BG31" s="59" t="n">
        <f aca="false">-Headcount!BG12*Inputs!$E$20*1</f>
        <v>-14637.785625</v>
      </c>
      <c r="BH31" s="59" t="n">
        <f aca="false">-Headcount!BH12*Inputs!$E$20*1</f>
        <v>-14637.785625</v>
      </c>
      <c r="BI31" s="59" t="n">
        <f aca="false">-Headcount!BI12*Inputs!$E$20*1</f>
        <v>-14637.785625</v>
      </c>
      <c r="BJ31" s="59" t="n">
        <f aca="false">-Headcount!BJ12*Inputs!$E$20*1</f>
        <v>-14637.785625</v>
      </c>
    </row>
    <row r="32" customFormat="false" ht="15" hidden="false" customHeight="false" outlineLevel="0" collapsed="false">
      <c r="A32" s="6" t="s">
        <v>319</v>
      </c>
      <c r="B32" s="6"/>
      <c r="C32" s="59" t="n">
        <f aca="false">-Inputs!$E$21*1</f>
        <v>-20000</v>
      </c>
      <c r="D32" s="59" t="n">
        <f aca="false">-Inputs!$E$21*1</f>
        <v>-20000</v>
      </c>
      <c r="E32" s="59" t="n">
        <f aca="false">-Inputs!$E$21*1</f>
        <v>-20000</v>
      </c>
      <c r="F32" s="59" t="n">
        <f aca="false">-Inputs!$E$21*1</f>
        <v>-20000</v>
      </c>
      <c r="G32" s="59" t="n">
        <f aca="false">-Inputs!$E$21*1</f>
        <v>-20000</v>
      </c>
      <c r="H32" s="59" t="n">
        <f aca="false">-Inputs!$E$21*1</f>
        <v>-20000</v>
      </c>
      <c r="I32" s="59" t="n">
        <f aca="false">-Inputs!$E$21*1</f>
        <v>-20000</v>
      </c>
      <c r="J32" s="59" t="n">
        <f aca="false">-Inputs!$E$21*1</f>
        <v>-20000</v>
      </c>
      <c r="K32" s="59" t="n">
        <f aca="false">-Inputs!$E$21*1</f>
        <v>-20000</v>
      </c>
      <c r="L32" s="59" t="n">
        <f aca="false">-Inputs!$E$21*1</f>
        <v>-20000</v>
      </c>
      <c r="M32" s="59" t="n">
        <f aca="false">-Inputs!$E$21*1</f>
        <v>-20000</v>
      </c>
      <c r="N32" s="59" t="n">
        <f aca="false">-Inputs!$E$21*1</f>
        <v>-20000</v>
      </c>
      <c r="O32" s="59" t="n">
        <f aca="false">-Inputs!$E$21*1</f>
        <v>-20000</v>
      </c>
      <c r="P32" s="59" t="n">
        <f aca="false">-Inputs!$E$21*1</f>
        <v>-20000</v>
      </c>
      <c r="Q32" s="59" t="n">
        <f aca="false">-Inputs!$E$21*1</f>
        <v>-20000</v>
      </c>
      <c r="R32" s="59" t="n">
        <f aca="false">-Inputs!$E$21*1</f>
        <v>-20000</v>
      </c>
      <c r="S32" s="59" t="n">
        <f aca="false">-Inputs!$E$21*1</f>
        <v>-20000</v>
      </c>
      <c r="T32" s="59" t="n">
        <f aca="false">-Inputs!$E$21*1</f>
        <v>-20000</v>
      </c>
      <c r="U32" s="59" t="n">
        <f aca="false">-Inputs!$E$21*1</f>
        <v>-20000</v>
      </c>
      <c r="V32" s="59" t="n">
        <f aca="false">-Inputs!$E$21*1</f>
        <v>-20000</v>
      </c>
      <c r="W32" s="59" t="n">
        <f aca="false">-Inputs!$E$21*1</f>
        <v>-20000</v>
      </c>
      <c r="X32" s="59" t="n">
        <f aca="false">-Inputs!$E$21*1</f>
        <v>-20000</v>
      </c>
      <c r="Y32" s="59" t="n">
        <f aca="false">-Inputs!$E$21*1</f>
        <v>-20000</v>
      </c>
      <c r="Z32" s="59" t="n">
        <f aca="false">-Inputs!$E$21*1</f>
        <v>-20000</v>
      </c>
      <c r="AA32" s="59" t="n">
        <f aca="false">-Inputs!$E$21*1</f>
        <v>-20000</v>
      </c>
      <c r="AB32" s="59" t="n">
        <f aca="false">-Inputs!$E$21*1</f>
        <v>-20000</v>
      </c>
      <c r="AC32" s="59" t="n">
        <f aca="false">-Inputs!$E$21*1</f>
        <v>-20000</v>
      </c>
      <c r="AD32" s="59" t="n">
        <f aca="false">-Inputs!$E$21*1</f>
        <v>-20000</v>
      </c>
      <c r="AE32" s="59" t="n">
        <f aca="false">-Inputs!$E$21*1</f>
        <v>-20000</v>
      </c>
      <c r="AF32" s="59" t="n">
        <f aca="false">-Inputs!$E$21*1</f>
        <v>-20000</v>
      </c>
      <c r="AG32" s="59" t="n">
        <f aca="false">-Inputs!$E$21*1</f>
        <v>-20000</v>
      </c>
      <c r="AH32" s="59" t="n">
        <f aca="false">-Inputs!$E$21*1</f>
        <v>-20000</v>
      </c>
      <c r="AI32" s="59" t="n">
        <f aca="false">-Inputs!$E$21*1</f>
        <v>-20000</v>
      </c>
      <c r="AJ32" s="59" t="n">
        <f aca="false">-Inputs!$E$21*1</f>
        <v>-20000</v>
      </c>
      <c r="AK32" s="59" t="n">
        <f aca="false">-Inputs!$E$21*1</f>
        <v>-20000</v>
      </c>
      <c r="AL32" s="59" t="n">
        <f aca="false">-Inputs!$E$21*1</f>
        <v>-20000</v>
      </c>
      <c r="AM32" s="59" t="n">
        <f aca="false">-Inputs!$E$21*1</f>
        <v>-20000</v>
      </c>
      <c r="AN32" s="59" t="n">
        <f aca="false">-Inputs!$E$21*1</f>
        <v>-20000</v>
      </c>
      <c r="AO32" s="59" t="n">
        <f aca="false">-Inputs!$E$21*1</f>
        <v>-20000</v>
      </c>
      <c r="AP32" s="59" t="n">
        <f aca="false">-Inputs!$E$21*1</f>
        <v>-20000</v>
      </c>
      <c r="AQ32" s="59" t="n">
        <f aca="false">-Inputs!$E$21*1</f>
        <v>-20000</v>
      </c>
      <c r="AR32" s="59" t="n">
        <f aca="false">-Inputs!$E$21*1</f>
        <v>-20000</v>
      </c>
      <c r="AS32" s="59" t="n">
        <f aca="false">-Inputs!$E$21*1</f>
        <v>-20000</v>
      </c>
      <c r="AT32" s="59" t="n">
        <f aca="false">-Inputs!$E$21*1</f>
        <v>-20000</v>
      </c>
      <c r="AU32" s="59" t="n">
        <f aca="false">-Inputs!$E$21*1</f>
        <v>-20000</v>
      </c>
      <c r="AV32" s="59" t="n">
        <f aca="false">-Inputs!$E$21*1</f>
        <v>-20000</v>
      </c>
      <c r="AW32" s="59" t="n">
        <f aca="false">-Inputs!$E$21*1</f>
        <v>-20000</v>
      </c>
      <c r="AX32" s="59" t="n">
        <f aca="false">-Inputs!$E$21*1</f>
        <v>-20000</v>
      </c>
      <c r="AY32" s="59" t="n">
        <f aca="false">-Inputs!$E$21*1</f>
        <v>-20000</v>
      </c>
      <c r="AZ32" s="59" t="n">
        <f aca="false">-Inputs!$E$21*1</f>
        <v>-20000</v>
      </c>
      <c r="BA32" s="59" t="n">
        <f aca="false">-Inputs!$E$21*1</f>
        <v>-20000</v>
      </c>
      <c r="BB32" s="59" t="n">
        <f aca="false">-Inputs!$E$21*1</f>
        <v>-20000</v>
      </c>
      <c r="BC32" s="59" t="n">
        <f aca="false">-Inputs!$E$21*1</f>
        <v>-20000</v>
      </c>
      <c r="BD32" s="59" t="n">
        <f aca="false">-Inputs!$E$21*1</f>
        <v>-20000</v>
      </c>
      <c r="BE32" s="59" t="n">
        <f aca="false">-Inputs!$E$21*1</f>
        <v>-20000</v>
      </c>
      <c r="BF32" s="59" t="n">
        <f aca="false">-Inputs!$E$21*1</f>
        <v>-20000</v>
      </c>
      <c r="BG32" s="59" t="n">
        <f aca="false">-Inputs!$E$21*1</f>
        <v>-20000</v>
      </c>
      <c r="BH32" s="59" t="n">
        <f aca="false">-Inputs!$E$21*1</f>
        <v>-20000</v>
      </c>
      <c r="BI32" s="59" t="n">
        <f aca="false">-Inputs!$E$21*1</f>
        <v>-20000</v>
      </c>
      <c r="BJ32" s="59" t="n">
        <f aca="false">-Inputs!$E$21*1</f>
        <v>-20000</v>
      </c>
    </row>
    <row r="33" customFormat="false" ht="15" hidden="false" customHeight="false" outlineLevel="0" collapsed="false">
      <c r="A33" s="6" t="s">
        <v>320</v>
      </c>
      <c r="B33" s="6"/>
      <c r="C33" s="59" t="n">
        <f aca="false">-Inputs!$E$22*1</f>
        <v>-25000</v>
      </c>
      <c r="D33" s="59" t="n">
        <f aca="false">-Inputs!$E$22*1</f>
        <v>-25000</v>
      </c>
      <c r="E33" s="59" t="n">
        <f aca="false">-Inputs!$E$22*1</f>
        <v>-25000</v>
      </c>
      <c r="F33" s="59" t="n">
        <f aca="false">-Inputs!$E$22*1</f>
        <v>-25000</v>
      </c>
      <c r="G33" s="59" t="n">
        <f aca="false">-Inputs!$E$22*1</f>
        <v>-25000</v>
      </c>
      <c r="H33" s="59" t="n">
        <f aca="false">-Inputs!$E$22*1</f>
        <v>-25000</v>
      </c>
      <c r="I33" s="59" t="n">
        <f aca="false">-Inputs!$E$22*1</f>
        <v>-25000</v>
      </c>
      <c r="J33" s="59" t="n">
        <f aca="false">-Inputs!$E$22*1</f>
        <v>-25000</v>
      </c>
      <c r="K33" s="59" t="n">
        <f aca="false">-Inputs!$E$22*1</f>
        <v>-25000</v>
      </c>
      <c r="L33" s="59" t="n">
        <f aca="false">-Inputs!$E$22*1</f>
        <v>-25000</v>
      </c>
      <c r="M33" s="59" t="n">
        <f aca="false">-Inputs!$E$22*1</f>
        <v>-25000</v>
      </c>
      <c r="N33" s="59" t="n">
        <f aca="false">-Inputs!$E$22*1</f>
        <v>-25000</v>
      </c>
      <c r="O33" s="59" t="n">
        <f aca="false">-Inputs!$E$22*1</f>
        <v>-25000</v>
      </c>
      <c r="P33" s="59" t="n">
        <f aca="false">-Inputs!$E$22*1</f>
        <v>-25000</v>
      </c>
      <c r="Q33" s="59" t="n">
        <f aca="false">-Inputs!$E$22*1</f>
        <v>-25000</v>
      </c>
      <c r="R33" s="59" t="n">
        <f aca="false">-Inputs!$E$22*1</f>
        <v>-25000</v>
      </c>
      <c r="S33" s="59" t="n">
        <f aca="false">-Inputs!$E$22*1</f>
        <v>-25000</v>
      </c>
      <c r="T33" s="59" t="n">
        <f aca="false">-Inputs!$E$22*1</f>
        <v>-25000</v>
      </c>
      <c r="U33" s="59" t="n">
        <f aca="false">-Inputs!$E$22*1</f>
        <v>-25000</v>
      </c>
      <c r="V33" s="59" t="n">
        <f aca="false">-Inputs!$E$22*1</f>
        <v>-25000</v>
      </c>
      <c r="W33" s="59" t="n">
        <f aca="false">-Inputs!$E$22*1</f>
        <v>-25000</v>
      </c>
      <c r="X33" s="59" t="n">
        <f aca="false">-Inputs!$E$22*1</f>
        <v>-25000</v>
      </c>
      <c r="Y33" s="59" t="n">
        <f aca="false">-Inputs!$E$22*1</f>
        <v>-25000</v>
      </c>
      <c r="Z33" s="59" t="n">
        <f aca="false">-Inputs!$E$22*1</f>
        <v>-25000</v>
      </c>
      <c r="AA33" s="59" t="n">
        <f aca="false">-Inputs!$E$22*1</f>
        <v>-25000</v>
      </c>
      <c r="AB33" s="59" t="n">
        <f aca="false">-Inputs!$E$22*1</f>
        <v>-25000</v>
      </c>
      <c r="AC33" s="59" t="n">
        <f aca="false">-Inputs!$E$22*1</f>
        <v>-25000</v>
      </c>
      <c r="AD33" s="59" t="n">
        <f aca="false">-Inputs!$E$22*1</f>
        <v>-25000</v>
      </c>
      <c r="AE33" s="59" t="n">
        <f aca="false">-Inputs!$E$22*1</f>
        <v>-25000</v>
      </c>
      <c r="AF33" s="59" t="n">
        <f aca="false">-Inputs!$E$22*1</f>
        <v>-25000</v>
      </c>
      <c r="AG33" s="59" t="n">
        <f aca="false">-Inputs!$E$22*1</f>
        <v>-25000</v>
      </c>
      <c r="AH33" s="59" t="n">
        <f aca="false">-Inputs!$E$22*1</f>
        <v>-25000</v>
      </c>
      <c r="AI33" s="59" t="n">
        <f aca="false">-Inputs!$E$22*1</f>
        <v>-25000</v>
      </c>
      <c r="AJ33" s="59" t="n">
        <f aca="false">-Inputs!$E$22*1</f>
        <v>-25000</v>
      </c>
      <c r="AK33" s="59" t="n">
        <f aca="false">-Inputs!$E$22*1</f>
        <v>-25000</v>
      </c>
      <c r="AL33" s="59" t="n">
        <f aca="false">-Inputs!$E$22*1</f>
        <v>-25000</v>
      </c>
      <c r="AM33" s="59" t="n">
        <f aca="false">-Inputs!$E$22*1</f>
        <v>-25000</v>
      </c>
      <c r="AN33" s="59" t="n">
        <f aca="false">-Inputs!$E$22*1</f>
        <v>-25000</v>
      </c>
      <c r="AO33" s="59" t="n">
        <f aca="false">-Inputs!$E$22*1</f>
        <v>-25000</v>
      </c>
      <c r="AP33" s="59" t="n">
        <f aca="false">-Inputs!$E$22*1</f>
        <v>-25000</v>
      </c>
      <c r="AQ33" s="59" t="n">
        <f aca="false">-Inputs!$E$22*1</f>
        <v>-25000</v>
      </c>
      <c r="AR33" s="59" t="n">
        <f aca="false">-Inputs!$E$22*1</f>
        <v>-25000</v>
      </c>
      <c r="AS33" s="59" t="n">
        <f aca="false">-Inputs!$E$22*1</f>
        <v>-25000</v>
      </c>
      <c r="AT33" s="59" t="n">
        <f aca="false">-Inputs!$E$22*1</f>
        <v>-25000</v>
      </c>
      <c r="AU33" s="59" t="n">
        <f aca="false">-Inputs!$E$22*1</f>
        <v>-25000</v>
      </c>
      <c r="AV33" s="59" t="n">
        <f aca="false">-Inputs!$E$22*1</f>
        <v>-25000</v>
      </c>
      <c r="AW33" s="59" t="n">
        <f aca="false">-Inputs!$E$22*1</f>
        <v>-25000</v>
      </c>
      <c r="AX33" s="59" t="n">
        <f aca="false">-Inputs!$E$22*1</f>
        <v>-25000</v>
      </c>
      <c r="AY33" s="59" t="n">
        <f aca="false">-Inputs!$E$22*1</f>
        <v>-25000</v>
      </c>
      <c r="AZ33" s="59" t="n">
        <f aca="false">-Inputs!$E$22*1</f>
        <v>-25000</v>
      </c>
      <c r="BA33" s="59" t="n">
        <f aca="false">-Inputs!$E$22*1</f>
        <v>-25000</v>
      </c>
      <c r="BB33" s="59" t="n">
        <f aca="false">-Inputs!$E$22*1</f>
        <v>-25000</v>
      </c>
      <c r="BC33" s="59" t="n">
        <f aca="false">-Inputs!$E$22*1</f>
        <v>-25000</v>
      </c>
      <c r="BD33" s="59" t="n">
        <f aca="false">-Inputs!$E$22*1</f>
        <v>-25000</v>
      </c>
      <c r="BE33" s="59" t="n">
        <f aca="false">-Inputs!$E$22*1</f>
        <v>-25000</v>
      </c>
      <c r="BF33" s="59" t="n">
        <f aca="false">-Inputs!$E$22*1</f>
        <v>-25000</v>
      </c>
      <c r="BG33" s="59" t="n">
        <f aca="false">-Inputs!$E$22*1</f>
        <v>-25000</v>
      </c>
      <c r="BH33" s="59" t="n">
        <f aca="false">-Inputs!$E$22*1</f>
        <v>-25000</v>
      </c>
      <c r="BI33" s="59" t="n">
        <f aca="false">-Inputs!$E$22*1</f>
        <v>-25000</v>
      </c>
      <c r="BJ33" s="59" t="n">
        <f aca="false">-Inputs!$E$22*1</f>
        <v>-25000</v>
      </c>
    </row>
    <row r="34" customFormat="false" ht="15" hidden="false" customHeight="false" outlineLevel="0" collapsed="false">
      <c r="A34" s="31" t="s">
        <v>321</v>
      </c>
      <c r="B34" s="31"/>
      <c r="C34" s="60" t="n">
        <f aca="false">C29+C30+C31+C32+C33</f>
        <v>-635200</v>
      </c>
      <c r="D34" s="60" t="n">
        <f aca="false">D29+D30+D31+D32+D33</f>
        <v>-635200</v>
      </c>
      <c r="E34" s="60" t="n">
        <f aca="false">E29+E30+E31+E32+E33</f>
        <v>-635200</v>
      </c>
      <c r="F34" s="60" t="n">
        <f aca="false">F29+F30+F31+F32+F33</f>
        <v>-635200</v>
      </c>
      <c r="G34" s="60" t="n">
        <f aca="false">G29+G30+G31+G32+G33</f>
        <v>-635200</v>
      </c>
      <c r="H34" s="60" t="n">
        <f aca="false">H29+H30+H31+H32+H33</f>
        <v>-635200</v>
      </c>
      <c r="I34" s="60" t="n">
        <f aca="false">I29+I30+I31+I32+I33</f>
        <v>-635200</v>
      </c>
      <c r="J34" s="60" t="n">
        <f aca="false">J29+J30+J31+J32+J33</f>
        <v>-635200</v>
      </c>
      <c r="K34" s="60" t="n">
        <f aca="false">K29+K30+K31+K32+K33</f>
        <v>-635200</v>
      </c>
      <c r="L34" s="60" t="n">
        <f aca="false">L29+L30+L31+L32+L33</f>
        <v>-635200</v>
      </c>
      <c r="M34" s="60" t="n">
        <f aca="false">M29+M30+M31+M32+M33</f>
        <v>-635200</v>
      </c>
      <c r="N34" s="60" t="n">
        <f aca="false">N29+N30+N31+N32+N33</f>
        <v>-635200</v>
      </c>
      <c r="O34" s="60" t="n">
        <f aca="false">O29+O30+O31+O32+O33</f>
        <v>-775491</v>
      </c>
      <c r="P34" s="60" t="n">
        <f aca="false">P29+P30+P31+P32+P33</f>
        <v>-775491</v>
      </c>
      <c r="Q34" s="60" t="n">
        <f aca="false">Q29+Q30+Q31+Q32+Q33</f>
        <v>-775491</v>
      </c>
      <c r="R34" s="60" t="n">
        <f aca="false">R29+R30+R31+R32+R33</f>
        <v>-775491</v>
      </c>
      <c r="S34" s="60" t="n">
        <f aca="false">S29+S30+S31+S32+S33</f>
        <v>-775491</v>
      </c>
      <c r="T34" s="60" t="n">
        <f aca="false">T29+T30+T31+T32+T33</f>
        <v>-775491</v>
      </c>
      <c r="U34" s="60" t="n">
        <f aca="false">U29+U30+U31+U32+U33</f>
        <v>-775491</v>
      </c>
      <c r="V34" s="60" t="n">
        <f aca="false">V29+V30+V31+V32+V33</f>
        <v>-775491</v>
      </c>
      <c r="W34" s="60" t="n">
        <f aca="false">W29+W30+W31+W32+W33</f>
        <v>-775491</v>
      </c>
      <c r="X34" s="60" t="n">
        <f aca="false">X29+X30+X31+X32+X33</f>
        <v>-775491</v>
      </c>
      <c r="Y34" s="60" t="n">
        <f aca="false">Y29+Y30+Y31+Y32+Y33</f>
        <v>-775491</v>
      </c>
      <c r="Z34" s="60" t="n">
        <f aca="false">Z29+Z30+Z31+Z32+Z33</f>
        <v>-775491</v>
      </c>
      <c r="AA34" s="60" t="n">
        <f aca="false">AA29+AA30+AA31+AA32+AA33</f>
        <v>-949374.09</v>
      </c>
      <c r="AB34" s="60" t="n">
        <f aca="false">AB29+AB30+AB31+AB32+AB33</f>
        <v>-949374.09</v>
      </c>
      <c r="AC34" s="60" t="n">
        <f aca="false">AC29+AC30+AC31+AC32+AC33</f>
        <v>-949374.09</v>
      </c>
      <c r="AD34" s="60" t="n">
        <f aca="false">AD29+AD30+AD31+AD32+AD33</f>
        <v>-949374.09</v>
      </c>
      <c r="AE34" s="60" t="n">
        <f aca="false">AE29+AE30+AE31+AE32+AE33</f>
        <v>-949374.09</v>
      </c>
      <c r="AF34" s="60" t="n">
        <f aca="false">AF29+AF30+AF31+AF32+AF33</f>
        <v>-949374.09</v>
      </c>
      <c r="AG34" s="60" t="n">
        <f aca="false">AG29+AG30+AG31+AG32+AG33</f>
        <v>-949374.09</v>
      </c>
      <c r="AH34" s="60" t="n">
        <f aca="false">AH29+AH30+AH31+AH32+AH33</f>
        <v>-949374.09</v>
      </c>
      <c r="AI34" s="60" t="n">
        <f aca="false">AI29+AI30+AI31+AI32+AI33</f>
        <v>-949374.09</v>
      </c>
      <c r="AJ34" s="60" t="n">
        <f aca="false">AJ29+AJ30+AJ31+AJ32+AJ33</f>
        <v>-949374.09</v>
      </c>
      <c r="AK34" s="60" t="n">
        <f aca="false">AK29+AK30+AK31+AK32+AK33</f>
        <v>-949374.09</v>
      </c>
      <c r="AL34" s="60" t="n">
        <f aca="false">AL29+AL30+AL31+AL32+AL33</f>
        <v>-949374.09</v>
      </c>
      <c r="AM34" s="60" t="n">
        <f aca="false">AM29+AM30+AM31+AM32+AM33</f>
        <v>-1164942.955692</v>
      </c>
      <c r="AN34" s="60" t="n">
        <f aca="false">AN29+AN30+AN31+AN32+AN33</f>
        <v>-1164942.955692</v>
      </c>
      <c r="AO34" s="60" t="n">
        <f aca="false">AO29+AO30+AO31+AO32+AO33</f>
        <v>-1164942.955692</v>
      </c>
      <c r="AP34" s="60" t="n">
        <f aca="false">AP29+AP30+AP31+AP32+AP33</f>
        <v>-1164942.955692</v>
      </c>
      <c r="AQ34" s="60" t="n">
        <f aca="false">AQ29+AQ30+AQ31+AQ32+AQ33</f>
        <v>-1164942.955692</v>
      </c>
      <c r="AR34" s="60" t="n">
        <f aca="false">AR29+AR30+AR31+AR32+AR33</f>
        <v>-1164942.955692</v>
      </c>
      <c r="AS34" s="60" t="n">
        <f aca="false">AS29+AS30+AS31+AS32+AS33</f>
        <v>-1164942.955692</v>
      </c>
      <c r="AT34" s="60" t="n">
        <f aca="false">AT29+AT30+AT31+AT32+AT33</f>
        <v>-1164942.955692</v>
      </c>
      <c r="AU34" s="60" t="n">
        <f aca="false">AU29+AU30+AU31+AU32+AU33</f>
        <v>-1164942.955692</v>
      </c>
      <c r="AV34" s="60" t="n">
        <f aca="false">AV29+AV30+AV31+AV32+AV33</f>
        <v>-1164942.955692</v>
      </c>
      <c r="AW34" s="60" t="n">
        <f aca="false">AW29+AW30+AW31+AW32+AW33</f>
        <v>-1164942.955692</v>
      </c>
      <c r="AX34" s="60" t="n">
        <f aca="false">AX29+AX30+AX31+AX32+AX33</f>
        <v>-1164942.955692</v>
      </c>
      <c r="AY34" s="60" t="n">
        <f aca="false">AY29+AY30+AY31+AY32+AY33</f>
        <v>-1432251.61700753</v>
      </c>
      <c r="AZ34" s="60" t="n">
        <f aca="false">AZ29+AZ30+AZ31+AZ32+AZ33</f>
        <v>-1432251.61700753</v>
      </c>
      <c r="BA34" s="60" t="n">
        <f aca="false">BA29+BA30+BA31+BA32+BA33</f>
        <v>-1432251.61700753</v>
      </c>
      <c r="BB34" s="60" t="n">
        <f aca="false">BB29+BB30+BB31+BB32+BB33</f>
        <v>-1432251.61700753</v>
      </c>
      <c r="BC34" s="60" t="n">
        <f aca="false">BC29+BC30+BC31+BC32+BC33</f>
        <v>-1432251.61700753</v>
      </c>
      <c r="BD34" s="60" t="n">
        <f aca="false">BD29+BD30+BD31+BD32+BD33</f>
        <v>-1432251.61700753</v>
      </c>
      <c r="BE34" s="60" t="n">
        <f aca="false">BE29+BE30+BE31+BE32+BE33</f>
        <v>-1432251.61700753</v>
      </c>
      <c r="BF34" s="60" t="n">
        <f aca="false">BF29+BF30+BF31+BF32+BF33</f>
        <v>-1432251.61700753</v>
      </c>
      <c r="BG34" s="60" t="n">
        <f aca="false">BG29+BG30+BG31+BG32+BG33</f>
        <v>-1432251.61700753</v>
      </c>
      <c r="BH34" s="60" t="n">
        <f aca="false">BH29+BH30+BH31+BH32+BH33</f>
        <v>-1432251.61700753</v>
      </c>
      <c r="BI34" s="60" t="n">
        <f aca="false">BI29+BI30+BI31+BI32+BI33</f>
        <v>-1432251.61700753</v>
      </c>
      <c r="BJ34" s="60" t="n">
        <f aca="false">BJ29+BJ30+BJ31+BJ32+BJ33</f>
        <v>-1432251.61700753</v>
      </c>
    </row>
    <row r="35" customFormat="false" ht="15" hidden="false" customHeight="false" outlineLevel="0" collapsed="false">
      <c r="A35" s="31" t="s">
        <v>46</v>
      </c>
      <c r="B35" s="31"/>
      <c r="C35" s="60" t="n">
        <f aca="false">C26+C34</f>
        <v>41620</v>
      </c>
      <c r="D35" s="60" t="n">
        <f aca="false">D26+D34</f>
        <v>57182.075</v>
      </c>
      <c r="E35" s="60" t="n">
        <f aca="false">E26+E34</f>
        <v>72589.075125</v>
      </c>
      <c r="F35" s="60" t="n">
        <f aca="false">F26+F34</f>
        <v>87842.542935625</v>
      </c>
      <c r="G35" s="60" t="n">
        <f aca="false">G26+G34</f>
        <v>102944.005689716</v>
      </c>
      <c r="H35" s="60" t="n">
        <f aca="false">H26+H34</f>
        <v>117894.975493514</v>
      </c>
      <c r="I35" s="60" t="n">
        <f aca="false">I26+I34</f>
        <v>132696.949451363</v>
      </c>
      <c r="J35" s="60" t="n">
        <f aca="false">J26+J34</f>
        <v>147351.409813943</v>
      </c>
      <c r="K35" s="60" t="n">
        <f aca="false">K26+K34</f>
        <v>161859.82412504</v>
      </c>
      <c r="L35" s="60" t="n">
        <f aca="false">L26+L34</f>
        <v>176223.645366887</v>
      </c>
      <c r="M35" s="60" t="n">
        <f aca="false">M26+M34</f>
        <v>190444.31210407</v>
      </c>
      <c r="N35" s="60" t="n">
        <f aca="false">N26+N34</f>
        <v>204523.248626018</v>
      </c>
      <c r="O35" s="60" t="n">
        <f aca="false">O26+O34</f>
        <v>81265.3650881018</v>
      </c>
      <c r="P35" s="60" t="n">
        <f aca="false">P26+P34</f>
        <v>101223.23265134</v>
      </c>
      <c r="Q35" s="60" t="n">
        <f aca="false">Q26+Q34</f>
        <v>120982.215070733</v>
      </c>
      <c r="R35" s="60" t="n">
        <f aca="false">R26+R34</f>
        <v>140544.290794745</v>
      </c>
      <c r="S35" s="60" t="n">
        <f aca="false">S26+S34</f>
        <v>159911.418643395</v>
      </c>
      <c r="T35" s="60" t="n">
        <f aca="false">T26+T34</f>
        <v>179085.53800221</v>
      </c>
      <c r="U35" s="60" t="n">
        <f aca="false">U26+U34</f>
        <v>198068.569014258</v>
      </c>
      <c r="V35" s="60" t="n">
        <f aca="false">V26+V34</f>
        <v>216862.412770304</v>
      </c>
      <c r="W35" s="60" t="n">
        <f aca="false">W26+W34</f>
        <v>235468.951497097</v>
      </c>
      <c r="X35" s="60" t="n">
        <f aca="false">X26+X34</f>
        <v>253890.048743805</v>
      </c>
      <c r="Y35" s="60" t="n">
        <f aca="false">Y26+Y34</f>
        <v>272127.54956662</v>
      </c>
      <c r="Z35" s="60" t="n">
        <f aca="false">Z26+Z34</f>
        <v>290183.280711554</v>
      </c>
      <c r="AA35" s="60" t="n">
        <f aca="false">AA26+AA34</f>
        <v>138157.553295429</v>
      </c>
      <c r="AB35" s="60" t="n">
        <f aca="false">AB26+AB34</f>
        <v>163778.6720601</v>
      </c>
      <c r="AC35" s="60" t="n">
        <f aca="false">AC26+AC34</f>
        <v>189144.45588416</v>
      </c>
      <c r="AD35" s="60" t="n">
        <f aca="false">AD26+AD34</f>
        <v>214257.44497331</v>
      </c>
      <c r="AE35" s="60" t="n">
        <f aca="false">AE26+AE34</f>
        <v>239120.154328348</v>
      </c>
      <c r="AF35" s="60" t="n">
        <f aca="false">AF26+AF34</f>
        <v>263735.073994265</v>
      </c>
      <c r="AG35" s="60" t="n">
        <f aca="false">AG26+AG34</f>
        <v>288104.669306884</v>
      </c>
      <c r="AH35" s="60" t="n">
        <f aca="false">AH26+AH34</f>
        <v>312231.381137089</v>
      </c>
      <c r="AI35" s="60" t="n">
        <f aca="false">AI26+AI34</f>
        <v>336117.626132642</v>
      </c>
      <c r="AJ35" s="60" t="n">
        <f aca="false">AJ26+AJ34</f>
        <v>359765.796957636</v>
      </c>
      <c r="AK35" s="60" t="n">
        <f aca="false">AK26+AK34</f>
        <v>383178.262529586</v>
      </c>
      <c r="AL35" s="60" t="n">
        <f aca="false">AL26+AL34</f>
        <v>406357.368254193</v>
      </c>
      <c r="AM35" s="60" t="n">
        <f aca="false">AM26+AM34</f>
        <v>218867.731279305</v>
      </c>
      <c r="AN35" s="60" t="n">
        <f aca="false">AN26+AN34</f>
        <v>251798.258258954</v>
      </c>
      <c r="AO35" s="60" t="n">
        <f aca="false">AO26+AO34</f>
        <v>284400.583657471</v>
      </c>
      <c r="AP35" s="60" t="n">
        <f aca="false">AP26+AP34</f>
        <v>316677.972935338</v>
      </c>
      <c r="AQ35" s="60" t="n">
        <f aca="false">AQ26+AQ34</f>
        <v>348633.65914676</v>
      </c>
      <c r="AR35" s="60" t="n">
        <f aca="false">AR26+AR34</f>
        <v>380270.843260008</v>
      </c>
      <c r="AS35" s="60" t="n">
        <f aca="false">AS26+AS34</f>
        <v>411592.694474604</v>
      </c>
      <c r="AT35" s="60" t="n">
        <f aca="false">AT26+AT34</f>
        <v>442602.350535397</v>
      </c>
      <c r="AU35" s="60" t="n">
        <f aca="false">AU26+AU34</f>
        <v>473302.91804355</v>
      </c>
      <c r="AV35" s="60" t="n">
        <f aca="false">AV26+AV34</f>
        <v>503697.47276447</v>
      </c>
      <c r="AW35" s="60" t="n">
        <f aca="false">AW26+AW34</f>
        <v>533789.059932713</v>
      </c>
      <c r="AX35" s="60" t="n">
        <f aca="false">AX26+AX34</f>
        <v>563580.694553885</v>
      </c>
      <c r="AY35" s="60" t="n">
        <f aca="false">AY26+AY34</f>
        <v>332389.854591453</v>
      </c>
      <c r="AZ35" s="60" t="n">
        <f aca="false">AZ26+AZ34</f>
        <v>374770.822076035</v>
      </c>
      <c r="BA35" s="60" t="n">
        <f aca="false">BA26+BA34</f>
        <v>416729.367975268</v>
      </c>
      <c r="BB35" s="60" t="n">
        <f aca="false">BB26+BB34</f>
        <v>458269.695683665</v>
      </c>
      <c r="BC35" s="60" t="n">
        <f aca="false">BC26+BC34</f>
        <v>499395.966874111</v>
      </c>
      <c r="BD35" s="60" t="n">
        <f aca="false">BD26+BD34</f>
        <v>540112.301910399</v>
      </c>
      <c r="BE35" s="60" t="n">
        <f aca="false">BE26+BE34</f>
        <v>580422.780255704</v>
      </c>
      <c r="BF35" s="60" t="n">
        <f aca="false">BF26+BF34</f>
        <v>620331.440877046</v>
      </c>
      <c r="BG35" s="60" t="n">
        <f aca="false">BG26+BG34</f>
        <v>659842.282645772</v>
      </c>
      <c r="BH35" s="60" t="n">
        <f aca="false">BH26+BH34</f>
        <v>698959.264734104</v>
      </c>
      <c r="BI35" s="60" t="n">
        <f aca="false">BI26+BI34</f>
        <v>737686.307007785</v>
      </c>
      <c r="BJ35" s="60" t="n">
        <f aca="false">BJ26+BJ34</f>
        <v>776027.290414871</v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</row>
    <row r="37" customFormat="false" ht="15" hidden="false" customHeight="false" outlineLevel="0" collapsed="false">
      <c r="A37" s="57" t="s">
        <v>410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</row>
    <row r="38" customFormat="false" ht="15" hidden="false" customHeight="false" outlineLevel="0" collapsed="false">
      <c r="A38" s="31" t="s">
        <v>75</v>
      </c>
      <c r="B38" s="31"/>
      <c r="C38" s="60" t="n">
        <f aca="false">C35+C49</f>
        <v>37453.3333333333</v>
      </c>
      <c r="D38" s="60" t="n">
        <f aca="false">D35+D49</f>
        <v>53015.4083333333</v>
      </c>
      <c r="E38" s="60" t="n">
        <f aca="false">E35+E49</f>
        <v>68422.4084583333</v>
      </c>
      <c r="F38" s="60" t="n">
        <f aca="false">F35+F49</f>
        <v>83675.8762689583</v>
      </c>
      <c r="G38" s="60" t="n">
        <f aca="false">G35+G49</f>
        <v>98777.3390230491</v>
      </c>
      <c r="H38" s="60" t="n">
        <f aca="false">H35+H49</f>
        <v>113728.308826847</v>
      </c>
      <c r="I38" s="60" t="n">
        <f aca="false">I35+I49</f>
        <v>128530.282784697</v>
      </c>
      <c r="J38" s="60" t="n">
        <f aca="false">J35+J49</f>
        <v>143184.743147276</v>
      </c>
      <c r="K38" s="60" t="n">
        <f aca="false">K35+K49</f>
        <v>157693.157458373</v>
      </c>
      <c r="L38" s="60" t="n">
        <f aca="false">L35+L49</f>
        <v>172056.978700221</v>
      </c>
      <c r="M38" s="60" t="n">
        <f aca="false">M35+M49</f>
        <v>186277.645437403</v>
      </c>
      <c r="N38" s="60" t="n">
        <f aca="false">N35+N49</f>
        <v>200356.581959352</v>
      </c>
      <c r="O38" s="60" t="n">
        <f aca="false">O35+O49</f>
        <v>77098.6984214352</v>
      </c>
      <c r="P38" s="60" t="n">
        <f aca="false">P35+P49</f>
        <v>97056.5659846731</v>
      </c>
      <c r="Q38" s="60" t="n">
        <f aca="false">Q35+Q49</f>
        <v>116815.548404067</v>
      </c>
      <c r="R38" s="60" t="n">
        <f aca="false">R35+R49</f>
        <v>136377.624128078</v>
      </c>
      <c r="S38" s="60" t="n">
        <f aca="false">S35+S49</f>
        <v>155744.751976728</v>
      </c>
      <c r="T38" s="60" t="n">
        <f aca="false">T35+T49</f>
        <v>174918.871335543</v>
      </c>
      <c r="U38" s="60" t="n">
        <f aca="false">U35+U49</f>
        <v>193901.902347591</v>
      </c>
      <c r="V38" s="60" t="n">
        <f aca="false">V35+V49</f>
        <v>212695.746103637</v>
      </c>
      <c r="W38" s="60" t="n">
        <f aca="false">W35+W49</f>
        <v>231302.28483043</v>
      </c>
      <c r="X38" s="60" t="n">
        <f aca="false">X35+X49</f>
        <v>249723.382077138</v>
      </c>
      <c r="Y38" s="60" t="n">
        <f aca="false">Y35+Y49</f>
        <v>267960.882899953</v>
      </c>
      <c r="Z38" s="60" t="n">
        <f aca="false">Z35+Z49</f>
        <v>286016.614044887</v>
      </c>
      <c r="AA38" s="60" t="n">
        <f aca="false">AA35+AA49</f>
        <v>133990.886628762</v>
      </c>
      <c r="AB38" s="60" t="n">
        <f aca="false">AB35+AB49</f>
        <v>159612.005393433</v>
      </c>
      <c r="AC38" s="60" t="n">
        <f aca="false">AC35+AC49</f>
        <v>184977.789217493</v>
      </c>
      <c r="AD38" s="60" t="n">
        <f aca="false">AD35+AD49</f>
        <v>210090.778306643</v>
      </c>
      <c r="AE38" s="60" t="n">
        <f aca="false">AE35+AE49</f>
        <v>234953.487661682</v>
      </c>
      <c r="AF38" s="60" t="n">
        <f aca="false">AF35+AF49</f>
        <v>259568.407327598</v>
      </c>
      <c r="AG38" s="60" t="n">
        <f aca="false">AG35+AG49</f>
        <v>283938.002640218</v>
      </c>
      <c r="AH38" s="60" t="n">
        <f aca="false">AH35+AH49</f>
        <v>308064.714470422</v>
      </c>
      <c r="AI38" s="60" t="n">
        <f aca="false">AI35+AI49</f>
        <v>331950.959465976</v>
      </c>
      <c r="AJ38" s="60" t="n">
        <f aca="false">AJ35+AJ49</f>
        <v>355599.13029097</v>
      </c>
      <c r="AK38" s="60" t="n">
        <f aca="false">AK35+AK49</f>
        <v>379011.595862919</v>
      </c>
      <c r="AL38" s="60" t="n">
        <f aca="false">AL35+AL49</f>
        <v>402190.701587526</v>
      </c>
      <c r="AM38" s="60" t="n">
        <f aca="false">AM35+AM49</f>
        <v>218867.731279305</v>
      </c>
      <c r="AN38" s="60" t="n">
        <f aca="false">AN35+AN49</f>
        <v>251798.258258954</v>
      </c>
      <c r="AO38" s="60" t="n">
        <f aca="false">AO35+AO49</f>
        <v>284400.583657471</v>
      </c>
      <c r="AP38" s="60" t="n">
        <f aca="false">AP35+AP49</f>
        <v>316677.972935338</v>
      </c>
      <c r="AQ38" s="60" t="n">
        <f aca="false">AQ35+AQ49</f>
        <v>348633.65914676</v>
      </c>
      <c r="AR38" s="60" t="n">
        <f aca="false">AR35+AR49</f>
        <v>380270.843260008</v>
      </c>
      <c r="AS38" s="60" t="n">
        <f aca="false">AS35+AS49</f>
        <v>411592.694474604</v>
      </c>
      <c r="AT38" s="60" t="n">
        <f aca="false">AT35+AT49</f>
        <v>442602.350535397</v>
      </c>
      <c r="AU38" s="60" t="n">
        <f aca="false">AU35+AU49</f>
        <v>473302.91804355</v>
      </c>
      <c r="AV38" s="60" t="n">
        <f aca="false">AV35+AV49</f>
        <v>503697.47276447</v>
      </c>
      <c r="AW38" s="60" t="n">
        <f aca="false">AW35+AW49</f>
        <v>533789.059932713</v>
      </c>
      <c r="AX38" s="60" t="n">
        <f aca="false">AX35+AX49</f>
        <v>563580.694553885</v>
      </c>
      <c r="AY38" s="60" t="n">
        <f aca="false">AY35+AY49</f>
        <v>332389.854591453</v>
      </c>
      <c r="AZ38" s="60" t="n">
        <f aca="false">AZ35+AZ49</f>
        <v>374770.822076035</v>
      </c>
      <c r="BA38" s="60" t="n">
        <f aca="false">BA35+BA49</f>
        <v>416729.367975268</v>
      </c>
      <c r="BB38" s="60" t="n">
        <f aca="false">BB35+BB49</f>
        <v>458269.695683665</v>
      </c>
      <c r="BC38" s="60" t="n">
        <f aca="false">BC35+BC49</f>
        <v>499395.966874111</v>
      </c>
      <c r="BD38" s="60" t="n">
        <f aca="false">BD35+BD49</f>
        <v>540112.301910399</v>
      </c>
      <c r="BE38" s="60" t="n">
        <f aca="false">BE35+BE49</f>
        <v>580422.780255704</v>
      </c>
      <c r="BF38" s="60" t="n">
        <f aca="false">BF35+BF49</f>
        <v>620331.440877046</v>
      </c>
      <c r="BG38" s="60" t="n">
        <f aca="false">BG35+BG49</f>
        <v>659842.282645772</v>
      </c>
      <c r="BH38" s="60" t="n">
        <f aca="false">BH35+BH49</f>
        <v>698959.264734104</v>
      </c>
      <c r="BI38" s="60" t="n">
        <f aca="false">BI35+BI49</f>
        <v>737686.307007785</v>
      </c>
      <c r="BJ38" s="60" t="n">
        <f aca="false">BJ35+BJ49</f>
        <v>776027.290414871</v>
      </c>
    </row>
    <row r="39" customFormat="false" ht="15" hidden="false" customHeight="false" outlineLevel="0" collapsed="false">
      <c r="A39" s="6" t="s">
        <v>411</v>
      </c>
      <c r="B39" s="6"/>
      <c r="C39" s="59" t="n">
        <f aca="false">-(C54+C55+C57)/2*Inputs!$E$48/12</f>
        <v>-0</v>
      </c>
      <c r="D39" s="59" t="n">
        <f aca="false">-(D54+D55+D57)/2*Inputs!$E$48/12</f>
        <v>-0</v>
      </c>
      <c r="E39" s="59" t="n">
        <f aca="false">-(E54+E55+E57)/2*Inputs!$E$48/12</f>
        <v>-0</v>
      </c>
      <c r="F39" s="59" t="n">
        <f aca="false">-(F54+F55+F57)/2*Inputs!$E$48/12</f>
        <v>-0</v>
      </c>
      <c r="G39" s="59" t="n">
        <f aca="false">-(G54+G55+G57)/2*Inputs!$E$48/12</f>
        <v>-0</v>
      </c>
      <c r="H39" s="59" t="n">
        <f aca="false">-(H54+H55+H57)/2*Inputs!$E$48/12</f>
        <v>-0</v>
      </c>
      <c r="I39" s="59" t="n">
        <f aca="false">-(I54+I55+I57)/2*Inputs!$E$48/12</f>
        <v>-0</v>
      </c>
      <c r="J39" s="59" t="n">
        <f aca="false">-(J54+J55+J57)/2*Inputs!$E$48/12</f>
        <v>-0</v>
      </c>
      <c r="K39" s="59" t="n">
        <f aca="false">-(K54+K55+K57)/2*Inputs!$E$48/12</f>
        <v>-0</v>
      </c>
      <c r="L39" s="59" t="n">
        <f aca="false">-(L54+L55+L57)/2*Inputs!$E$48/12</f>
        <v>-0</v>
      </c>
      <c r="M39" s="59" t="n">
        <f aca="false">-(M54+M55+M57)/2*Inputs!$E$48/12</f>
        <v>-0</v>
      </c>
      <c r="N39" s="59" t="n">
        <f aca="false">-(N54+N55+N57)/2*Inputs!$E$48/12</f>
        <v>-0</v>
      </c>
      <c r="O39" s="59" t="n">
        <f aca="false">-(O54+O55+O57)/2*Inputs!$E$48/12</f>
        <v>-0</v>
      </c>
      <c r="P39" s="59" t="n">
        <f aca="false">-(P54+P55+P57)/2*Inputs!$E$48/12</f>
        <v>-0</v>
      </c>
      <c r="Q39" s="59" t="n">
        <f aca="false">-(Q54+Q55+Q57)/2*Inputs!$E$48/12</f>
        <v>-0</v>
      </c>
      <c r="R39" s="59" t="n">
        <f aca="false">-(R54+R55+R57)/2*Inputs!$E$48/12</f>
        <v>-0</v>
      </c>
      <c r="S39" s="59" t="n">
        <f aca="false">-(S54+S55+S57)/2*Inputs!$E$48/12</f>
        <v>-0</v>
      </c>
      <c r="T39" s="59" t="n">
        <f aca="false">-(T54+T55+T57)/2*Inputs!$E$48/12</f>
        <v>-0</v>
      </c>
      <c r="U39" s="59" t="n">
        <f aca="false">-(U54+U55+U57)/2*Inputs!$E$48/12</f>
        <v>-0</v>
      </c>
      <c r="V39" s="59" t="n">
        <f aca="false">-(V54+V55+V57)/2*Inputs!$E$48/12</f>
        <v>-0</v>
      </c>
      <c r="W39" s="59" t="n">
        <f aca="false">-(W54+W55+W57)/2*Inputs!$E$48/12</f>
        <v>-0</v>
      </c>
      <c r="X39" s="59" t="n">
        <f aca="false">-(X54+X55+X57)/2*Inputs!$E$48/12</f>
        <v>-0</v>
      </c>
      <c r="Y39" s="59" t="n">
        <f aca="false">-(Y54+Y55+Y57)/2*Inputs!$E$48/12</f>
        <v>-0</v>
      </c>
      <c r="Z39" s="59" t="n">
        <f aca="false">-(Z54+Z55+Z57)/2*Inputs!$E$48/12</f>
        <v>-0</v>
      </c>
      <c r="AA39" s="59" t="n">
        <f aca="false">-(AA54+AA55+AA57)/2*Inputs!$E$48/12</f>
        <v>-0</v>
      </c>
      <c r="AB39" s="59" t="n">
        <f aca="false">-(AB54+AB55+AB57)/2*Inputs!$E$48/12</f>
        <v>-0</v>
      </c>
      <c r="AC39" s="59" t="n">
        <f aca="false">-(AC54+AC55+AC57)/2*Inputs!$E$48/12</f>
        <v>-0</v>
      </c>
      <c r="AD39" s="59" t="n">
        <f aca="false">-(AD54+AD55+AD57)/2*Inputs!$E$48/12</f>
        <v>-0</v>
      </c>
      <c r="AE39" s="59" t="n">
        <f aca="false">-(AE54+AE55+AE57)/2*Inputs!$E$48/12</f>
        <v>-0</v>
      </c>
      <c r="AF39" s="59" t="n">
        <f aca="false">-(AF54+AF55+AF57)/2*Inputs!$E$48/12</f>
        <v>-0</v>
      </c>
      <c r="AG39" s="59" t="n">
        <f aca="false">-(AG54+AG55+AG57)/2*Inputs!$E$48/12</f>
        <v>-0</v>
      </c>
      <c r="AH39" s="59" t="n">
        <f aca="false">-(AH54+AH55+AH57)/2*Inputs!$E$48/12</f>
        <v>-0</v>
      </c>
      <c r="AI39" s="59" t="n">
        <f aca="false">-(AI54+AI55+AI57)/2*Inputs!$E$48/12</f>
        <v>-0</v>
      </c>
      <c r="AJ39" s="59" t="n">
        <f aca="false">-(AJ54+AJ55+AJ57)/2*Inputs!$E$48/12</f>
        <v>-0</v>
      </c>
      <c r="AK39" s="59" t="n">
        <f aca="false">-(AK54+AK55+AK57)/2*Inputs!$E$48/12</f>
        <v>-0</v>
      </c>
      <c r="AL39" s="59" t="n">
        <f aca="false">-(AL54+AL55+AL57)/2*Inputs!$E$48/12</f>
        <v>-0</v>
      </c>
      <c r="AM39" s="59" t="n">
        <f aca="false">-(AM54+AM55+AM57)/2*Inputs!$E$48/12</f>
        <v>-0</v>
      </c>
      <c r="AN39" s="59" t="n">
        <f aca="false">-(AN54+AN55+AN57)/2*Inputs!$E$48/12</f>
        <v>-0</v>
      </c>
      <c r="AO39" s="59" t="n">
        <f aca="false">-(AO54+AO55+AO57)/2*Inputs!$E$48/12</f>
        <v>-0</v>
      </c>
      <c r="AP39" s="59" t="n">
        <f aca="false">-(AP54+AP55+AP57)/2*Inputs!$E$48/12</f>
        <v>-0</v>
      </c>
      <c r="AQ39" s="59" t="n">
        <f aca="false">-(AQ54+AQ55+AQ57)/2*Inputs!$E$48/12</f>
        <v>-0</v>
      </c>
      <c r="AR39" s="59" t="n">
        <f aca="false">-(AR54+AR55+AR57)/2*Inputs!$E$48/12</f>
        <v>-0</v>
      </c>
      <c r="AS39" s="59" t="n">
        <f aca="false">-(AS54+AS55+AS57)/2*Inputs!$E$48/12</f>
        <v>-0</v>
      </c>
      <c r="AT39" s="59" t="n">
        <f aca="false">-(AT54+AT55+AT57)/2*Inputs!$E$48/12</f>
        <v>-0</v>
      </c>
      <c r="AU39" s="59" t="n">
        <f aca="false">-(AU54+AU55+AU57)/2*Inputs!$E$48/12</f>
        <v>-0</v>
      </c>
      <c r="AV39" s="59" t="n">
        <f aca="false">-(AV54+AV55+AV57)/2*Inputs!$E$48/12</f>
        <v>-0</v>
      </c>
      <c r="AW39" s="59" t="n">
        <f aca="false">-(AW54+AW55+AW57)/2*Inputs!$E$48/12</f>
        <v>-0</v>
      </c>
      <c r="AX39" s="59" t="n">
        <f aca="false">-(AX54+AX55+AX57)/2*Inputs!$E$48/12</f>
        <v>-0</v>
      </c>
      <c r="AY39" s="59" t="n">
        <f aca="false">-(AY54+AY55+AY57)/2*Inputs!$E$48/12</f>
        <v>-0</v>
      </c>
      <c r="AZ39" s="59" t="n">
        <f aca="false">-(AZ54+AZ55+AZ57)/2*Inputs!$E$48/12</f>
        <v>-0</v>
      </c>
      <c r="BA39" s="59" t="n">
        <f aca="false">-(BA54+BA55+BA57)/2*Inputs!$E$48/12</f>
        <v>-0</v>
      </c>
      <c r="BB39" s="59" t="n">
        <f aca="false">-(BB54+BB55+BB57)/2*Inputs!$E$48/12</f>
        <v>-0</v>
      </c>
      <c r="BC39" s="59" t="n">
        <f aca="false">-(BC54+BC55+BC57)/2*Inputs!$E$48/12</f>
        <v>-0</v>
      </c>
      <c r="BD39" s="59" t="n">
        <f aca="false">-(BD54+BD55+BD57)/2*Inputs!$E$48/12</f>
        <v>-0</v>
      </c>
      <c r="BE39" s="59" t="n">
        <f aca="false">-(BE54+BE55+BE57)/2*Inputs!$E$48/12</f>
        <v>-0</v>
      </c>
      <c r="BF39" s="59" t="n">
        <f aca="false">-(BF54+BF55+BF57)/2*Inputs!$E$48/12</f>
        <v>-0</v>
      </c>
      <c r="BG39" s="59" t="n">
        <f aca="false">-(BG54+BG55+BG57)/2*Inputs!$E$48/12</f>
        <v>-0</v>
      </c>
      <c r="BH39" s="59" t="n">
        <f aca="false">-(BH54+BH55+BH57)/2*Inputs!$E$48/12</f>
        <v>-0</v>
      </c>
      <c r="BI39" s="59" t="n">
        <f aca="false">-(BI54+BI55+BI57)/2*Inputs!$E$48/12</f>
        <v>-0</v>
      </c>
      <c r="BJ39" s="59" t="n">
        <f aca="false">-(BJ54+BJ55+BJ57)/2*Inputs!$E$48/12</f>
        <v>-0</v>
      </c>
    </row>
    <row r="40" customFormat="false" ht="15" hidden="false" customHeight="false" outlineLevel="0" collapsed="false">
      <c r="A40" s="31" t="s">
        <v>77</v>
      </c>
      <c r="B40" s="31"/>
      <c r="C40" s="60" t="n">
        <f aca="false">C38+C39</f>
        <v>37453.3333333333</v>
      </c>
      <c r="D40" s="60" t="n">
        <f aca="false">D38+D39</f>
        <v>53015.4083333333</v>
      </c>
      <c r="E40" s="60" t="n">
        <f aca="false">E38+E39</f>
        <v>68422.4084583333</v>
      </c>
      <c r="F40" s="60" t="n">
        <f aca="false">F38+F39</f>
        <v>83675.8762689583</v>
      </c>
      <c r="G40" s="60" t="n">
        <f aca="false">G38+G39</f>
        <v>98777.3390230491</v>
      </c>
      <c r="H40" s="60" t="n">
        <f aca="false">H38+H39</f>
        <v>113728.308826847</v>
      </c>
      <c r="I40" s="60" t="n">
        <f aca="false">I38+I39</f>
        <v>128530.282784697</v>
      </c>
      <c r="J40" s="60" t="n">
        <f aca="false">J38+J39</f>
        <v>143184.743147276</v>
      </c>
      <c r="K40" s="60" t="n">
        <f aca="false">K38+K39</f>
        <v>157693.157458373</v>
      </c>
      <c r="L40" s="60" t="n">
        <f aca="false">L38+L39</f>
        <v>172056.978700221</v>
      </c>
      <c r="M40" s="60" t="n">
        <f aca="false">M38+M39</f>
        <v>186277.645437403</v>
      </c>
      <c r="N40" s="60" t="n">
        <f aca="false">N38+N39</f>
        <v>200356.581959352</v>
      </c>
      <c r="O40" s="60" t="n">
        <f aca="false">O38+O39</f>
        <v>77098.6984214352</v>
      </c>
      <c r="P40" s="60" t="n">
        <f aca="false">P38+P39</f>
        <v>97056.5659846731</v>
      </c>
      <c r="Q40" s="60" t="n">
        <f aca="false">Q38+Q39</f>
        <v>116815.548404067</v>
      </c>
      <c r="R40" s="60" t="n">
        <f aca="false">R38+R39</f>
        <v>136377.624128078</v>
      </c>
      <c r="S40" s="60" t="n">
        <f aca="false">S38+S39</f>
        <v>155744.751976728</v>
      </c>
      <c r="T40" s="60" t="n">
        <f aca="false">T38+T39</f>
        <v>174918.871335543</v>
      </c>
      <c r="U40" s="60" t="n">
        <f aca="false">U38+U39</f>
        <v>193901.902347591</v>
      </c>
      <c r="V40" s="60" t="n">
        <f aca="false">V38+V39</f>
        <v>212695.746103637</v>
      </c>
      <c r="W40" s="60" t="n">
        <f aca="false">W38+W39</f>
        <v>231302.28483043</v>
      </c>
      <c r="X40" s="60" t="n">
        <f aca="false">X38+X39</f>
        <v>249723.382077138</v>
      </c>
      <c r="Y40" s="60" t="n">
        <f aca="false">Y38+Y39</f>
        <v>267960.882899953</v>
      </c>
      <c r="Z40" s="60" t="n">
        <f aca="false">Z38+Z39</f>
        <v>286016.614044887</v>
      </c>
      <c r="AA40" s="60" t="n">
        <f aca="false">AA38+AA39</f>
        <v>133990.886628762</v>
      </c>
      <c r="AB40" s="60" t="n">
        <f aca="false">AB38+AB39</f>
        <v>159612.005393433</v>
      </c>
      <c r="AC40" s="60" t="n">
        <f aca="false">AC38+AC39</f>
        <v>184977.789217493</v>
      </c>
      <c r="AD40" s="60" t="n">
        <f aca="false">AD38+AD39</f>
        <v>210090.778306643</v>
      </c>
      <c r="AE40" s="60" t="n">
        <f aca="false">AE38+AE39</f>
        <v>234953.487661682</v>
      </c>
      <c r="AF40" s="60" t="n">
        <f aca="false">AF38+AF39</f>
        <v>259568.407327598</v>
      </c>
      <c r="AG40" s="60" t="n">
        <f aca="false">AG38+AG39</f>
        <v>283938.002640218</v>
      </c>
      <c r="AH40" s="60" t="n">
        <f aca="false">AH38+AH39</f>
        <v>308064.714470422</v>
      </c>
      <c r="AI40" s="60" t="n">
        <f aca="false">AI38+AI39</f>
        <v>331950.959465976</v>
      </c>
      <c r="AJ40" s="60" t="n">
        <f aca="false">AJ38+AJ39</f>
        <v>355599.13029097</v>
      </c>
      <c r="AK40" s="60" t="n">
        <f aca="false">AK38+AK39</f>
        <v>379011.595862919</v>
      </c>
      <c r="AL40" s="60" t="n">
        <f aca="false">AL38+AL39</f>
        <v>402190.701587526</v>
      </c>
      <c r="AM40" s="60" t="n">
        <f aca="false">AM38+AM39</f>
        <v>218867.731279305</v>
      </c>
      <c r="AN40" s="60" t="n">
        <f aca="false">AN38+AN39</f>
        <v>251798.258258954</v>
      </c>
      <c r="AO40" s="60" t="n">
        <f aca="false">AO38+AO39</f>
        <v>284400.583657471</v>
      </c>
      <c r="AP40" s="60" t="n">
        <f aca="false">AP38+AP39</f>
        <v>316677.972935338</v>
      </c>
      <c r="AQ40" s="60" t="n">
        <f aca="false">AQ38+AQ39</f>
        <v>348633.65914676</v>
      </c>
      <c r="AR40" s="60" t="n">
        <f aca="false">AR38+AR39</f>
        <v>380270.843260008</v>
      </c>
      <c r="AS40" s="60" t="n">
        <f aca="false">AS38+AS39</f>
        <v>411592.694474604</v>
      </c>
      <c r="AT40" s="60" t="n">
        <f aca="false">AT38+AT39</f>
        <v>442602.350535397</v>
      </c>
      <c r="AU40" s="60" t="n">
        <f aca="false">AU38+AU39</f>
        <v>473302.91804355</v>
      </c>
      <c r="AV40" s="60" t="n">
        <f aca="false">AV38+AV39</f>
        <v>503697.47276447</v>
      </c>
      <c r="AW40" s="60" t="n">
        <f aca="false">AW38+AW39</f>
        <v>533789.059932713</v>
      </c>
      <c r="AX40" s="60" t="n">
        <f aca="false">AX38+AX39</f>
        <v>563580.694553885</v>
      </c>
      <c r="AY40" s="60" t="n">
        <f aca="false">AY38+AY39</f>
        <v>332389.854591453</v>
      </c>
      <c r="AZ40" s="60" t="n">
        <f aca="false">AZ38+AZ39</f>
        <v>374770.822076035</v>
      </c>
      <c r="BA40" s="60" t="n">
        <f aca="false">BA38+BA39</f>
        <v>416729.367975268</v>
      </c>
      <c r="BB40" s="60" t="n">
        <f aca="false">BB38+BB39</f>
        <v>458269.695683665</v>
      </c>
      <c r="BC40" s="60" t="n">
        <f aca="false">BC38+BC39</f>
        <v>499395.966874111</v>
      </c>
      <c r="BD40" s="60" t="n">
        <f aca="false">BD38+BD39</f>
        <v>540112.301910399</v>
      </c>
      <c r="BE40" s="60" t="n">
        <f aca="false">BE38+BE39</f>
        <v>580422.780255704</v>
      </c>
      <c r="BF40" s="60" t="n">
        <f aca="false">BF38+BF39</f>
        <v>620331.440877046</v>
      </c>
      <c r="BG40" s="60" t="n">
        <f aca="false">BG38+BG39</f>
        <v>659842.282645772</v>
      </c>
      <c r="BH40" s="60" t="n">
        <f aca="false">BH38+BH39</f>
        <v>698959.264734104</v>
      </c>
      <c r="BI40" s="60" t="n">
        <f aca="false">BI38+BI39</f>
        <v>737686.307007785</v>
      </c>
      <c r="BJ40" s="60" t="n">
        <f aca="false">BJ38+BJ39</f>
        <v>776027.290414871</v>
      </c>
    </row>
    <row r="41" customFormat="false" ht="15" hidden="false" customHeight="false" outlineLevel="0" collapsed="false">
      <c r="A41" s="19" t="s">
        <v>412</v>
      </c>
      <c r="B41" s="6"/>
      <c r="C41" s="59" t="n">
        <f aca="false">C40</f>
        <v>37453.3333333333</v>
      </c>
      <c r="D41" s="59" t="n">
        <f aca="false">C41+D40</f>
        <v>90468.7416666666</v>
      </c>
      <c r="E41" s="59" t="n">
        <f aca="false">D41+E40</f>
        <v>158891.150125</v>
      </c>
      <c r="F41" s="59" t="n">
        <f aca="false">E41+F40</f>
        <v>242567.026393958</v>
      </c>
      <c r="G41" s="59" t="n">
        <f aca="false">F41+G40</f>
        <v>341344.365417007</v>
      </c>
      <c r="H41" s="59" t="n">
        <f aca="false">G41+H40</f>
        <v>455072.674243854</v>
      </c>
      <c r="I41" s="59" t="n">
        <f aca="false">H41+I40</f>
        <v>583602.957028551</v>
      </c>
      <c r="J41" s="59" t="n">
        <f aca="false">I41+J40</f>
        <v>726787.700175827</v>
      </c>
      <c r="K41" s="59" t="n">
        <f aca="false">J41+K40</f>
        <v>884480.8576342</v>
      </c>
      <c r="L41" s="59" t="n">
        <f aca="false">K41+L40</f>
        <v>1056537.83633442</v>
      </c>
      <c r="M41" s="59" t="n">
        <f aca="false">L41+M40</f>
        <v>1242815.48177182</v>
      </c>
      <c r="N41" s="59" t="n">
        <f aca="false">M41+N40</f>
        <v>1443172.06373118</v>
      </c>
      <c r="O41" s="59" t="n">
        <f aca="false">N41+O40</f>
        <v>1520270.76215261</v>
      </c>
      <c r="P41" s="59" t="n">
        <f aca="false">O41+P40</f>
        <v>1617327.32813728</v>
      </c>
      <c r="Q41" s="59" t="n">
        <f aca="false">P41+Q40</f>
        <v>1734142.87654135</v>
      </c>
      <c r="R41" s="59" t="n">
        <f aca="false">Q41+R40</f>
        <v>1870520.50066943</v>
      </c>
      <c r="S41" s="59" t="n">
        <f aca="false">R41+S40</f>
        <v>2026265.25264616</v>
      </c>
      <c r="T41" s="59" t="n">
        <f aca="false">S41+T40</f>
        <v>2201184.1239817</v>
      </c>
      <c r="U41" s="59" t="n">
        <f aca="false">T41+U40</f>
        <v>2395086.02632929</v>
      </c>
      <c r="V41" s="59" t="n">
        <f aca="false">U41+V40</f>
        <v>2607781.77243293</v>
      </c>
      <c r="W41" s="59" t="n">
        <f aca="false">V41+W40</f>
        <v>2839084.05726336</v>
      </c>
      <c r="X41" s="59" t="n">
        <f aca="false">W41+X40</f>
        <v>3088807.4393405</v>
      </c>
      <c r="Y41" s="59" t="n">
        <f aca="false">X41+Y40</f>
        <v>3356768.32224045</v>
      </c>
      <c r="Z41" s="59" t="n">
        <f aca="false">Y41+Z40</f>
        <v>3642784.93628534</v>
      </c>
      <c r="AA41" s="59" t="n">
        <f aca="false">Z41+AA40</f>
        <v>3776775.8229141</v>
      </c>
      <c r="AB41" s="59" t="n">
        <f aca="false">AA41+AB40</f>
        <v>3936387.82830753</v>
      </c>
      <c r="AC41" s="59" t="n">
        <f aca="false">AB41+AC40</f>
        <v>4121365.61752503</v>
      </c>
      <c r="AD41" s="59" t="n">
        <f aca="false">AC41+AD40</f>
        <v>4331456.39583167</v>
      </c>
      <c r="AE41" s="59" t="n">
        <f aca="false">AD41+AE40</f>
        <v>4566409.88349335</v>
      </c>
      <c r="AF41" s="59" t="n">
        <f aca="false">AE41+AF40</f>
        <v>4825978.29082095</v>
      </c>
      <c r="AG41" s="59" t="n">
        <f aca="false">AF41+AG40</f>
        <v>5109916.29346117</v>
      </c>
      <c r="AH41" s="59" t="n">
        <f aca="false">AG41+AH40</f>
        <v>5417981.00793159</v>
      </c>
      <c r="AI41" s="59" t="n">
        <f aca="false">AH41+AI40</f>
        <v>5749931.96739756</v>
      </c>
      <c r="AJ41" s="59" t="n">
        <f aca="false">AI41+AJ40</f>
        <v>6105531.09768853</v>
      </c>
      <c r="AK41" s="59" t="n">
        <f aca="false">AJ41+AK40</f>
        <v>6484542.69355145</v>
      </c>
      <c r="AL41" s="59" t="n">
        <f aca="false">AK41+AL40</f>
        <v>6886733.39513898</v>
      </c>
      <c r="AM41" s="59" t="n">
        <f aca="false">AL41+AM40</f>
        <v>7105601.12641828</v>
      </c>
      <c r="AN41" s="59" t="n">
        <f aca="false">AM41+AN40</f>
        <v>7357399.38467724</v>
      </c>
      <c r="AO41" s="59" t="n">
        <f aca="false">AN41+AO40</f>
        <v>7641799.96833471</v>
      </c>
      <c r="AP41" s="59" t="n">
        <f aca="false">AO41+AP40</f>
        <v>7958477.94127005</v>
      </c>
      <c r="AQ41" s="59" t="n">
        <f aca="false">AP41+AQ40</f>
        <v>8307111.60041681</v>
      </c>
      <c r="AR41" s="59" t="n">
        <f aca="false">AQ41+AR40</f>
        <v>8687382.44367681</v>
      </c>
      <c r="AS41" s="59" t="n">
        <f aca="false">AR41+AS40</f>
        <v>9098975.13815142</v>
      </c>
      <c r="AT41" s="59" t="n">
        <f aca="false">AS41+AT40</f>
        <v>9541577.48868682</v>
      </c>
      <c r="AU41" s="59" t="n">
        <f aca="false">AT41+AU40</f>
        <v>10014880.4067304</v>
      </c>
      <c r="AV41" s="59" t="n">
        <f aca="false">AU41+AV40</f>
        <v>10518577.8794948</v>
      </c>
      <c r="AW41" s="59" t="n">
        <f aca="false">AV41+AW40</f>
        <v>11052366.9394275</v>
      </c>
      <c r="AX41" s="59" t="n">
        <f aca="false">AW41+AX40</f>
        <v>11615947.6339814</v>
      </c>
      <c r="AY41" s="59" t="n">
        <f aca="false">AX41+AY40</f>
        <v>11948337.4885729</v>
      </c>
      <c r="AZ41" s="59" t="n">
        <f aca="false">AY41+AZ40</f>
        <v>12323108.3106489</v>
      </c>
      <c r="BA41" s="59" t="n">
        <f aca="false">AZ41+BA40</f>
        <v>12739837.6786242</v>
      </c>
      <c r="BB41" s="59" t="n">
        <f aca="false">BA41+BB40</f>
        <v>13198107.3743079</v>
      </c>
      <c r="BC41" s="59" t="n">
        <f aca="false">BB41+BC40</f>
        <v>13697503.341182</v>
      </c>
      <c r="BD41" s="59" t="n">
        <f aca="false">BC41+BD40</f>
        <v>14237615.6430924</v>
      </c>
      <c r="BE41" s="59" t="n">
        <f aca="false">BD41+BE40</f>
        <v>14818038.4233481</v>
      </c>
      <c r="BF41" s="59" t="n">
        <f aca="false">BE41+BF40</f>
        <v>15438369.8642251</v>
      </c>
      <c r="BG41" s="59" t="n">
        <f aca="false">BF41+BG40</f>
        <v>16098212.1468709</v>
      </c>
      <c r="BH41" s="59" t="n">
        <f aca="false">BG41+BH40</f>
        <v>16797171.411605</v>
      </c>
      <c r="BI41" s="59" t="n">
        <f aca="false">BH41+BI40</f>
        <v>17534857.7186128</v>
      </c>
      <c r="BJ41" s="59" t="n">
        <f aca="false">BI41+BJ40</f>
        <v>18310885.0090276</v>
      </c>
    </row>
    <row r="42" customFormat="false" ht="15" hidden="false" customHeight="false" outlineLevel="0" collapsed="false">
      <c r="A42" s="19" t="s">
        <v>413</v>
      </c>
      <c r="B42" s="6"/>
      <c r="C42" s="59" t="n">
        <f aca="false">MAX(0,C41)</f>
        <v>37453.3333333333</v>
      </c>
      <c r="D42" s="59" t="n">
        <f aca="false">MAX(C42,D41)</f>
        <v>90468.7416666666</v>
      </c>
      <c r="E42" s="59" t="n">
        <f aca="false">MAX(D42,E41)</f>
        <v>158891.150125</v>
      </c>
      <c r="F42" s="59" t="n">
        <f aca="false">MAX(E42,F41)</f>
        <v>242567.026393958</v>
      </c>
      <c r="G42" s="59" t="n">
        <f aca="false">MAX(F42,G41)</f>
        <v>341344.365417007</v>
      </c>
      <c r="H42" s="59" t="n">
        <f aca="false">MAX(G42,H41)</f>
        <v>455072.674243854</v>
      </c>
      <c r="I42" s="59" t="n">
        <f aca="false">MAX(H42,I41)</f>
        <v>583602.957028551</v>
      </c>
      <c r="J42" s="59" t="n">
        <f aca="false">MAX(I42,J41)</f>
        <v>726787.700175827</v>
      </c>
      <c r="K42" s="59" t="n">
        <f aca="false">MAX(J42,K41)</f>
        <v>884480.8576342</v>
      </c>
      <c r="L42" s="59" t="n">
        <f aca="false">MAX(K42,L41)</f>
        <v>1056537.83633442</v>
      </c>
      <c r="M42" s="59" t="n">
        <f aca="false">MAX(L42,M41)</f>
        <v>1242815.48177182</v>
      </c>
      <c r="N42" s="59" t="n">
        <f aca="false">MAX(M42,N41)</f>
        <v>1443172.06373118</v>
      </c>
      <c r="O42" s="59" t="n">
        <f aca="false">MAX(N42,O41)</f>
        <v>1520270.76215261</v>
      </c>
      <c r="P42" s="59" t="n">
        <f aca="false">MAX(O42,P41)</f>
        <v>1617327.32813728</v>
      </c>
      <c r="Q42" s="59" t="n">
        <f aca="false">MAX(P42,Q41)</f>
        <v>1734142.87654135</v>
      </c>
      <c r="R42" s="59" t="n">
        <f aca="false">MAX(Q42,R41)</f>
        <v>1870520.50066943</v>
      </c>
      <c r="S42" s="59" t="n">
        <f aca="false">MAX(R42,S41)</f>
        <v>2026265.25264616</v>
      </c>
      <c r="T42" s="59" t="n">
        <f aca="false">MAX(S42,T41)</f>
        <v>2201184.1239817</v>
      </c>
      <c r="U42" s="59" t="n">
        <f aca="false">MAX(T42,U41)</f>
        <v>2395086.02632929</v>
      </c>
      <c r="V42" s="59" t="n">
        <f aca="false">MAX(U42,V41)</f>
        <v>2607781.77243293</v>
      </c>
      <c r="W42" s="59" t="n">
        <f aca="false">MAX(V42,W41)</f>
        <v>2839084.05726336</v>
      </c>
      <c r="X42" s="59" t="n">
        <f aca="false">MAX(W42,X41)</f>
        <v>3088807.4393405</v>
      </c>
      <c r="Y42" s="59" t="n">
        <f aca="false">MAX(X42,Y41)</f>
        <v>3356768.32224045</v>
      </c>
      <c r="Z42" s="59" t="n">
        <f aca="false">MAX(Y42,Z41)</f>
        <v>3642784.93628534</v>
      </c>
      <c r="AA42" s="59" t="n">
        <f aca="false">MAX(Z42,AA41)</f>
        <v>3776775.8229141</v>
      </c>
      <c r="AB42" s="59" t="n">
        <f aca="false">MAX(AA42,AB41)</f>
        <v>3936387.82830753</v>
      </c>
      <c r="AC42" s="59" t="n">
        <f aca="false">MAX(AB42,AC41)</f>
        <v>4121365.61752503</v>
      </c>
      <c r="AD42" s="59" t="n">
        <f aca="false">MAX(AC42,AD41)</f>
        <v>4331456.39583167</v>
      </c>
      <c r="AE42" s="59" t="n">
        <f aca="false">MAX(AD42,AE41)</f>
        <v>4566409.88349335</v>
      </c>
      <c r="AF42" s="59" t="n">
        <f aca="false">MAX(AE42,AF41)</f>
        <v>4825978.29082095</v>
      </c>
      <c r="AG42" s="59" t="n">
        <f aca="false">MAX(AF42,AG41)</f>
        <v>5109916.29346117</v>
      </c>
      <c r="AH42" s="59" t="n">
        <f aca="false">MAX(AG42,AH41)</f>
        <v>5417981.00793159</v>
      </c>
      <c r="AI42" s="59" t="n">
        <f aca="false">MAX(AH42,AI41)</f>
        <v>5749931.96739756</v>
      </c>
      <c r="AJ42" s="59" t="n">
        <f aca="false">MAX(AI42,AJ41)</f>
        <v>6105531.09768853</v>
      </c>
      <c r="AK42" s="59" t="n">
        <f aca="false">MAX(AJ42,AK41)</f>
        <v>6484542.69355145</v>
      </c>
      <c r="AL42" s="59" t="n">
        <f aca="false">MAX(AK42,AL41)</f>
        <v>6886733.39513898</v>
      </c>
      <c r="AM42" s="59" t="n">
        <f aca="false">MAX(AL42,AM41)</f>
        <v>7105601.12641828</v>
      </c>
      <c r="AN42" s="59" t="n">
        <f aca="false">MAX(AM42,AN41)</f>
        <v>7357399.38467724</v>
      </c>
      <c r="AO42" s="59" t="n">
        <f aca="false">MAX(AN42,AO41)</f>
        <v>7641799.96833471</v>
      </c>
      <c r="AP42" s="59" t="n">
        <f aca="false">MAX(AO42,AP41)</f>
        <v>7958477.94127005</v>
      </c>
      <c r="AQ42" s="59" t="n">
        <f aca="false">MAX(AP42,AQ41)</f>
        <v>8307111.60041681</v>
      </c>
      <c r="AR42" s="59" t="n">
        <f aca="false">MAX(AQ42,AR41)</f>
        <v>8687382.44367681</v>
      </c>
      <c r="AS42" s="59" t="n">
        <f aca="false">MAX(AR42,AS41)</f>
        <v>9098975.13815142</v>
      </c>
      <c r="AT42" s="59" t="n">
        <f aca="false">MAX(AS42,AT41)</f>
        <v>9541577.48868682</v>
      </c>
      <c r="AU42" s="59" t="n">
        <f aca="false">MAX(AT42,AU41)</f>
        <v>10014880.4067304</v>
      </c>
      <c r="AV42" s="59" t="n">
        <f aca="false">MAX(AU42,AV41)</f>
        <v>10518577.8794948</v>
      </c>
      <c r="AW42" s="59" t="n">
        <f aca="false">MAX(AV42,AW41)</f>
        <v>11052366.9394275</v>
      </c>
      <c r="AX42" s="59" t="n">
        <f aca="false">MAX(AW42,AX41)</f>
        <v>11615947.6339814</v>
      </c>
      <c r="AY42" s="59" t="n">
        <f aca="false">MAX(AX42,AY41)</f>
        <v>11948337.4885729</v>
      </c>
      <c r="AZ42" s="59" t="n">
        <f aca="false">MAX(AY42,AZ41)</f>
        <v>12323108.3106489</v>
      </c>
      <c r="BA42" s="59" t="n">
        <f aca="false">MAX(AZ42,BA41)</f>
        <v>12739837.6786242</v>
      </c>
      <c r="BB42" s="59" t="n">
        <f aca="false">MAX(BA42,BB41)</f>
        <v>13198107.3743079</v>
      </c>
      <c r="BC42" s="59" t="n">
        <f aca="false">MAX(BB42,BC41)</f>
        <v>13697503.341182</v>
      </c>
      <c r="BD42" s="59" t="n">
        <f aca="false">MAX(BC42,BD41)</f>
        <v>14237615.6430924</v>
      </c>
      <c r="BE42" s="59" t="n">
        <f aca="false">MAX(BD42,BE41)</f>
        <v>14818038.4233481</v>
      </c>
      <c r="BF42" s="59" t="n">
        <f aca="false">MAX(BE42,BF41)</f>
        <v>15438369.8642251</v>
      </c>
      <c r="BG42" s="59" t="n">
        <f aca="false">MAX(BF42,BG41)</f>
        <v>16098212.1468709</v>
      </c>
      <c r="BH42" s="59" t="n">
        <f aca="false">MAX(BG42,BH41)</f>
        <v>16797171.411605</v>
      </c>
      <c r="BI42" s="59" t="n">
        <f aca="false">MAX(BH42,BI41)</f>
        <v>17534857.7186128</v>
      </c>
      <c r="BJ42" s="59" t="n">
        <f aca="false">MAX(BI42,BJ41)</f>
        <v>18310885.0090276</v>
      </c>
    </row>
    <row r="43" customFormat="false" ht="15" hidden="false" customHeight="false" outlineLevel="0" collapsed="false">
      <c r="A43" s="6" t="s">
        <v>78</v>
      </c>
      <c r="B43" s="6"/>
      <c r="C43" s="59" t="n">
        <f aca="false">-C42*Inputs!$E$58</f>
        <v>-7865.2</v>
      </c>
      <c r="D43" s="59" t="n">
        <f aca="false">-(D42-C42)*Inputs!$E$58</f>
        <v>-11133.23575</v>
      </c>
      <c r="E43" s="59" t="n">
        <f aca="false">-(E42-D42)*Inputs!$E$58</f>
        <v>-14368.70577625</v>
      </c>
      <c r="F43" s="59" t="n">
        <f aca="false">-(F42-E42)*Inputs!$E$58</f>
        <v>-17571.9340164812</v>
      </c>
      <c r="G43" s="59" t="n">
        <f aca="false">-(G42-F42)*Inputs!$E$58</f>
        <v>-20743.2411948403</v>
      </c>
      <c r="H43" s="59" t="n">
        <f aca="false">-(H42-G42)*Inputs!$E$58</f>
        <v>-23882.9448536379</v>
      </c>
      <c r="I43" s="59" t="n">
        <f aca="false">-(I42-H42)*Inputs!$E$58</f>
        <v>-26991.3593847863</v>
      </c>
      <c r="J43" s="59" t="n">
        <f aca="false">-(J42-I42)*Inputs!$E$58</f>
        <v>-30068.796060928</v>
      </c>
      <c r="K43" s="59" t="n">
        <f aca="false">-(K42-J42)*Inputs!$E$58</f>
        <v>-33115.5630662584</v>
      </c>
      <c r="L43" s="59" t="n">
        <f aca="false">-(L42-K42)*Inputs!$E$58</f>
        <v>-36131.9655270464</v>
      </c>
      <c r="M43" s="59" t="n">
        <f aca="false">-(M42-L42)*Inputs!$E$58</f>
        <v>-39118.3055418547</v>
      </c>
      <c r="N43" s="59" t="n">
        <f aca="false">-(N42-M42)*Inputs!$E$58</f>
        <v>-42074.8822114638</v>
      </c>
      <c r="O43" s="59" t="n">
        <f aca="false">-(O42-N42)*Inputs!$E$58</f>
        <v>-16190.7266685014</v>
      </c>
      <c r="P43" s="59" t="n">
        <f aca="false">-(P42-O42)*Inputs!$E$58</f>
        <v>-20381.8788567814</v>
      </c>
      <c r="Q43" s="59" t="n">
        <f aca="false">-(Q42-P42)*Inputs!$E$58</f>
        <v>-24531.265164854</v>
      </c>
      <c r="R43" s="59" t="n">
        <f aca="false">-(R42-Q42)*Inputs!$E$58</f>
        <v>-28639.3010668964</v>
      </c>
      <c r="S43" s="59" t="n">
        <f aca="false">-(S42-R42)*Inputs!$E$58</f>
        <v>-32706.3979151129</v>
      </c>
      <c r="T43" s="59" t="n">
        <f aca="false">-(T42-S42)*Inputs!$E$58</f>
        <v>-36732.9629804641</v>
      </c>
      <c r="U43" s="59" t="n">
        <f aca="false">-(U42-T42)*Inputs!$E$58</f>
        <v>-40719.3994929942</v>
      </c>
      <c r="V43" s="59" t="n">
        <f aca="false">-(V42-U42)*Inputs!$E$58</f>
        <v>-44666.1066817639</v>
      </c>
      <c r="W43" s="59" t="n">
        <f aca="false">-(W42-V42)*Inputs!$E$58</f>
        <v>-48573.4798143904</v>
      </c>
      <c r="X43" s="59" t="n">
        <f aca="false">-(X42-W42)*Inputs!$E$58</f>
        <v>-52441.910236199</v>
      </c>
      <c r="Y43" s="59" t="n">
        <f aca="false">-(Y42-X42)*Inputs!$E$58</f>
        <v>-56271.7854089902</v>
      </c>
      <c r="Z43" s="59" t="n">
        <f aca="false">-(Z42-Y42)*Inputs!$E$58</f>
        <v>-60063.4889494263</v>
      </c>
      <c r="AA43" s="59" t="n">
        <f aca="false">-(AA42-Z42)*Inputs!$E$58</f>
        <v>-28138.08619204</v>
      </c>
      <c r="AB43" s="59" t="n">
        <f aca="false">-(AB42-AA42)*Inputs!$E$58</f>
        <v>-33518.5211326209</v>
      </c>
      <c r="AC43" s="59" t="n">
        <f aca="false">-(AC42-AB42)*Inputs!$E$58</f>
        <v>-38845.3357356736</v>
      </c>
      <c r="AD43" s="59" t="n">
        <f aca="false">-(AD42-AC42)*Inputs!$E$58</f>
        <v>-44119.063444395</v>
      </c>
      <c r="AE43" s="59" t="n">
        <f aca="false">-(AE42-AD42)*Inputs!$E$58</f>
        <v>-49340.232408953</v>
      </c>
      <c r="AF43" s="59" t="n">
        <f aca="false">-(AF42-AE42)*Inputs!$E$58</f>
        <v>-54509.3655387956</v>
      </c>
      <c r="AG43" s="59" t="n">
        <f aca="false">-(AG42-AF42)*Inputs!$E$58</f>
        <v>-59626.9805544457</v>
      </c>
      <c r="AH43" s="59" t="n">
        <f aca="false">-(AH42-AG42)*Inputs!$E$58</f>
        <v>-64693.5900387886</v>
      </c>
      <c r="AI43" s="59" t="n">
        <f aca="false">-(AI42-AH42)*Inputs!$E$58</f>
        <v>-69709.7014878549</v>
      </c>
      <c r="AJ43" s="59" t="n">
        <f aca="false">-(AJ42-AI42)*Inputs!$E$58</f>
        <v>-74675.8173611036</v>
      </c>
      <c r="AK43" s="59" t="n">
        <f aca="false">-(AK42-AJ42)*Inputs!$E$58</f>
        <v>-79592.4351312129</v>
      </c>
      <c r="AL43" s="59" t="n">
        <f aca="false">-(AL42-AK42)*Inputs!$E$58</f>
        <v>-84460.0473333805</v>
      </c>
      <c r="AM43" s="59" t="n">
        <f aca="false">-(AM42-AL42)*Inputs!$E$58</f>
        <v>-45962.2235686541</v>
      </c>
      <c r="AN43" s="59" t="n">
        <f aca="false">-(AN42-AM42)*Inputs!$E$58</f>
        <v>-52877.6342343803</v>
      </c>
      <c r="AO43" s="59" t="n">
        <f aca="false">-(AO42-AN42)*Inputs!$E$58</f>
        <v>-59724.122568069</v>
      </c>
      <c r="AP43" s="59" t="n">
        <f aca="false">-(AP42-AO42)*Inputs!$E$58</f>
        <v>-66502.3743164209</v>
      </c>
      <c r="AQ43" s="59" t="n">
        <f aca="false">-(AQ42-AP42)*Inputs!$E$58</f>
        <v>-73213.0684208197</v>
      </c>
      <c r="AR43" s="59" t="n">
        <f aca="false">-(AR42-AQ42)*Inputs!$E$58</f>
        <v>-79856.8770846019</v>
      </c>
      <c r="AS43" s="59" t="n">
        <f aca="false">-(AS42-AR42)*Inputs!$E$58</f>
        <v>-86434.4658396668</v>
      </c>
      <c r="AT43" s="59" t="n">
        <f aca="false">-(AT42-AS42)*Inputs!$E$58</f>
        <v>-92946.4936124333</v>
      </c>
      <c r="AU43" s="59" t="n">
        <f aca="false">-(AU42-AT42)*Inputs!$E$58</f>
        <v>-99393.6127891455</v>
      </c>
      <c r="AV43" s="59" t="n">
        <f aca="false">-(AV42-AU42)*Inputs!$E$58</f>
        <v>-105776.469280539</v>
      </c>
      <c r="AW43" s="59" t="n">
        <f aca="false">-(AW42-AV42)*Inputs!$E$58</f>
        <v>-112095.70258587</v>
      </c>
      <c r="AX43" s="59" t="n">
        <f aca="false">-(AX42-AW42)*Inputs!$E$58</f>
        <v>-118351.945856316</v>
      </c>
      <c r="AY43" s="59" t="n">
        <f aca="false">-(AY42-AX42)*Inputs!$E$58</f>
        <v>-69801.8694642052</v>
      </c>
      <c r="AZ43" s="59" t="n">
        <f aca="false">-(AZ42-AY42)*Inputs!$E$58</f>
        <v>-78701.8726359671</v>
      </c>
      <c r="BA43" s="59" t="n">
        <f aca="false">-(BA42-AZ42)*Inputs!$E$58</f>
        <v>-87513.1672748064</v>
      </c>
      <c r="BB43" s="59" t="n">
        <f aca="false">-(BB42-BA42)*Inputs!$E$58</f>
        <v>-96236.6360935698</v>
      </c>
      <c r="BC43" s="59" t="n">
        <f aca="false">-(BC42-BB42)*Inputs!$E$58</f>
        <v>-104873.153043563</v>
      </c>
      <c r="BD43" s="59" t="n">
        <f aca="false">-(BD42-BC42)*Inputs!$E$58</f>
        <v>-113423.583401184</v>
      </c>
      <c r="BE43" s="59" t="n">
        <f aca="false">-(BE42-BD42)*Inputs!$E$58</f>
        <v>-121888.783853698</v>
      </c>
      <c r="BF43" s="59" t="n">
        <f aca="false">-(BF42-BE42)*Inputs!$E$58</f>
        <v>-130269.60258418</v>
      </c>
      <c r="BG43" s="59" t="n">
        <f aca="false">-(BG42-BF42)*Inputs!$E$58</f>
        <v>-138566.879355612</v>
      </c>
      <c r="BH43" s="59" t="n">
        <f aca="false">-(BH42-BG42)*Inputs!$E$58</f>
        <v>-146781.445594162</v>
      </c>
      <c r="BI43" s="59" t="n">
        <f aca="false">-(BI42-BH42)*Inputs!$E$58</f>
        <v>-154914.124471635</v>
      </c>
      <c r="BJ43" s="59" t="n">
        <f aca="false">-(BJ42-BI42)*Inputs!$E$58</f>
        <v>-162965.730987123</v>
      </c>
    </row>
    <row r="44" customFormat="false" ht="15" hidden="false" customHeight="false" outlineLevel="0" collapsed="false">
      <c r="A44" s="35" t="s">
        <v>48</v>
      </c>
      <c r="B44" s="35"/>
      <c r="C44" s="62" t="n">
        <f aca="false">C40+C43</f>
        <v>29588.1333333333</v>
      </c>
      <c r="D44" s="62" t="n">
        <f aca="false">D40+D43</f>
        <v>41882.1725833333</v>
      </c>
      <c r="E44" s="62" t="n">
        <f aca="false">E40+E43</f>
        <v>54053.7026820833</v>
      </c>
      <c r="F44" s="62" t="n">
        <f aca="false">F40+F43</f>
        <v>66103.9422524771</v>
      </c>
      <c r="G44" s="62" t="n">
        <f aca="false">G40+G43</f>
        <v>78034.0978282088</v>
      </c>
      <c r="H44" s="62" t="n">
        <f aca="false">H40+H43</f>
        <v>89845.3639732092</v>
      </c>
      <c r="I44" s="62" t="n">
        <f aca="false">I40+I43</f>
        <v>101538.92339991</v>
      </c>
      <c r="J44" s="62" t="n">
        <f aca="false">J40+J43</f>
        <v>113115.947086348</v>
      </c>
      <c r="K44" s="62" t="n">
        <f aca="false">K40+K43</f>
        <v>124577.594392115</v>
      </c>
      <c r="L44" s="62" t="n">
        <f aca="false">L40+L43</f>
        <v>135925.013173174</v>
      </c>
      <c r="M44" s="62" t="n">
        <f aca="false">M40+M43</f>
        <v>147159.339895549</v>
      </c>
      <c r="N44" s="62" t="n">
        <f aca="false">N40+N43</f>
        <v>158281.699747888</v>
      </c>
      <c r="O44" s="62" t="n">
        <f aca="false">O40+O43</f>
        <v>60907.9717529338</v>
      </c>
      <c r="P44" s="62" t="n">
        <f aca="false">P40+P43</f>
        <v>76674.6871278917</v>
      </c>
      <c r="Q44" s="62" t="n">
        <f aca="false">Q40+Q43</f>
        <v>92284.2832392127</v>
      </c>
      <c r="R44" s="62" t="n">
        <f aca="false">R40+R43</f>
        <v>107738.323061182</v>
      </c>
      <c r="S44" s="62" t="n">
        <f aca="false">S40+S43</f>
        <v>123038.354061615</v>
      </c>
      <c r="T44" s="62" t="n">
        <f aca="false">T40+T43</f>
        <v>138185.908355079</v>
      </c>
      <c r="U44" s="62" t="n">
        <f aca="false">U40+U43</f>
        <v>153182.502854597</v>
      </c>
      <c r="V44" s="62" t="n">
        <f aca="false">V40+V43</f>
        <v>168029.639421873</v>
      </c>
      <c r="W44" s="62" t="n">
        <f aca="false">W40+W43</f>
        <v>182728.80501604</v>
      </c>
      <c r="X44" s="62" t="n">
        <f aca="false">X40+X43</f>
        <v>197281.471840939</v>
      </c>
      <c r="Y44" s="62" t="n">
        <f aca="false">Y40+Y43</f>
        <v>211689.097490963</v>
      </c>
      <c r="Z44" s="62" t="n">
        <f aca="false">Z40+Z43</f>
        <v>225953.125095461</v>
      </c>
      <c r="AA44" s="62" t="n">
        <f aca="false">AA40+AA43</f>
        <v>105852.800436722</v>
      </c>
      <c r="AB44" s="62" t="n">
        <f aca="false">AB40+AB43</f>
        <v>126093.484260812</v>
      </c>
      <c r="AC44" s="62" t="n">
        <f aca="false">AC40+AC43</f>
        <v>146132.45348182</v>
      </c>
      <c r="AD44" s="62" t="n">
        <f aca="false">AD40+AD43</f>
        <v>165971.714862248</v>
      </c>
      <c r="AE44" s="62" t="n">
        <f aca="false">AE40+AE43</f>
        <v>185613.255252729</v>
      </c>
      <c r="AF44" s="62" t="n">
        <f aca="false">AF40+AF43</f>
        <v>205059.041788803</v>
      </c>
      <c r="AG44" s="62" t="n">
        <f aca="false">AG40+AG43</f>
        <v>224311.022085772</v>
      </c>
      <c r="AH44" s="62" t="n">
        <f aca="false">AH40+AH43</f>
        <v>243371.124431634</v>
      </c>
      <c r="AI44" s="62" t="n">
        <f aca="false">AI40+AI43</f>
        <v>262241.257978121</v>
      </c>
      <c r="AJ44" s="62" t="n">
        <f aca="false">AJ40+AJ43</f>
        <v>280923.312929866</v>
      </c>
      <c r="AK44" s="62" t="n">
        <f aca="false">AK40+AK43</f>
        <v>299419.160731706</v>
      </c>
      <c r="AL44" s="62" t="n">
        <f aca="false">AL40+AL43</f>
        <v>317730.654254146</v>
      </c>
      <c r="AM44" s="62" t="n">
        <f aca="false">AM40+AM43</f>
        <v>172905.507710651</v>
      </c>
      <c r="AN44" s="62" t="n">
        <f aca="false">AN40+AN43</f>
        <v>198920.624024574</v>
      </c>
      <c r="AO44" s="62" t="n">
        <f aca="false">AO40+AO43</f>
        <v>224676.461089402</v>
      </c>
      <c r="AP44" s="62" t="n">
        <f aca="false">AP40+AP43</f>
        <v>250175.598618917</v>
      </c>
      <c r="AQ44" s="62" t="n">
        <f aca="false">AQ40+AQ43</f>
        <v>275420.59072594</v>
      </c>
      <c r="AR44" s="62" t="n">
        <f aca="false">AR40+AR43</f>
        <v>300413.966175406</v>
      </c>
      <c r="AS44" s="62" t="n">
        <f aca="false">AS40+AS43</f>
        <v>325158.228634937</v>
      </c>
      <c r="AT44" s="62" t="n">
        <f aca="false">AT40+AT43</f>
        <v>349655.856922963</v>
      </c>
      <c r="AU44" s="62" t="n">
        <f aca="false">AU40+AU43</f>
        <v>373909.305254404</v>
      </c>
      <c r="AV44" s="62" t="n">
        <f aca="false">AV40+AV43</f>
        <v>397921.003483932</v>
      </c>
      <c r="AW44" s="62" t="n">
        <f aca="false">AW40+AW43</f>
        <v>421693.357346843</v>
      </c>
      <c r="AX44" s="62" t="n">
        <f aca="false">AX40+AX43</f>
        <v>445228.748697569</v>
      </c>
      <c r="AY44" s="62" t="n">
        <f aca="false">AY40+AY43</f>
        <v>262587.985127248</v>
      </c>
      <c r="AZ44" s="62" t="n">
        <f aca="false">AZ40+AZ43</f>
        <v>296068.949440067</v>
      </c>
      <c r="BA44" s="62" t="n">
        <f aca="false">BA40+BA43</f>
        <v>329216.200700462</v>
      </c>
      <c r="BB44" s="62" t="n">
        <f aca="false">BB40+BB43</f>
        <v>362033.059590095</v>
      </c>
      <c r="BC44" s="62" t="n">
        <f aca="false">BC40+BC43</f>
        <v>394522.813830548</v>
      </c>
      <c r="BD44" s="62" t="n">
        <f aca="false">BD40+BD43</f>
        <v>426688.718509216</v>
      </c>
      <c r="BE44" s="62" t="n">
        <f aca="false">BE40+BE43</f>
        <v>458533.996402006</v>
      </c>
      <c r="BF44" s="62" t="n">
        <f aca="false">BF40+BF43</f>
        <v>490061.838292867</v>
      </c>
      <c r="BG44" s="62" t="n">
        <f aca="false">BG40+BG43</f>
        <v>521275.40329016</v>
      </c>
      <c r="BH44" s="62" t="n">
        <f aca="false">BH40+BH43</f>
        <v>552177.819139942</v>
      </c>
      <c r="BI44" s="62" t="n">
        <f aca="false">BI40+BI43</f>
        <v>582772.18253615</v>
      </c>
      <c r="BJ44" s="62" t="n">
        <f aca="false">BJ40+BJ43</f>
        <v>613061.559427748</v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</row>
    <row r="46" customFormat="false" ht="15" hidden="false" customHeight="false" outlineLevel="0" collapsed="false">
      <c r="A46" s="57" t="s">
        <v>414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 customFormat="false" ht="15" hidden="false" customHeight="false" outlineLevel="0" collapsed="false">
      <c r="A47" s="6" t="s">
        <v>80</v>
      </c>
      <c r="B47" s="6"/>
      <c r="C47" s="59" t="n">
        <f aca="false">IF(C$4=1,Inputs!$E$23,0)</f>
        <v>150000</v>
      </c>
      <c r="D47" s="59" t="n">
        <f aca="false">IF(D$4=1,Inputs!$E$23,0)</f>
        <v>0</v>
      </c>
      <c r="E47" s="59" t="n">
        <f aca="false">IF(E$4=1,Inputs!$E$23,0)</f>
        <v>0</v>
      </c>
      <c r="F47" s="59" t="n">
        <f aca="false">IF(F$4=1,Inputs!$E$23,0)</f>
        <v>0</v>
      </c>
      <c r="G47" s="59" t="n">
        <f aca="false">IF(G$4=1,Inputs!$E$23,0)</f>
        <v>0</v>
      </c>
      <c r="H47" s="59" t="n">
        <f aca="false">IF(H$4=1,Inputs!$E$23,0)</f>
        <v>0</v>
      </c>
      <c r="I47" s="59" t="n">
        <f aca="false">IF(I$4=1,Inputs!$E$23,0)</f>
        <v>0</v>
      </c>
      <c r="J47" s="59" t="n">
        <f aca="false">IF(J$4=1,Inputs!$E$23,0)</f>
        <v>0</v>
      </c>
      <c r="K47" s="59" t="n">
        <f aca="false">IF(K$4=1,Inputs!$E$23,0)</f>
        <v>0</v>
      </c>
      <c r="L47" s="59" t="n">
        <f aca="false">IF(L$4=1,Inputs!$E$23,0)</f>
        <v>0</v>
      </c>
      <c r="M47" s="59" t="n">
        <f aca="false">IF(M$4=1,Inputs!$E$23,0)</f>
        <v>0</v>
      </c>
      <c r="N47" s="59" t="n">
        <f aca="false">IF(N$4=1,Inputs!$E$23,0)</f>
        <v>0</v>
      </c>
      <c r="O47" s="59" t="n">
        <f aca="false">IF(O$4=1,Inputs!$E$23,0)</f>
        <v>0</v>
      </c>
      <c r="P47" s="59" t="n">
        <f aca="false">IF(P$4=1,Inputs!$E$23,0)</f>
        <v>0</v>
      </c>
      <c r="Q47" s="59" t="n">
        <f aca="false">IF(Q$4=1,Inputs!$E$23,0)</f>
        <v>0</v>
      </c>
      <c r="R47" s="59" t="n">
        <f aca="false">IF(R$4=1,Inputs!$E$23,0)</f>
        <v>0</v>
      </c>
      <c r="S47" s="59" t="n">
        <f aca="false">IF(S$4=1,Inputs!$E$23,0)</f>
        <v>0</v>
      </c>
      <c r="T47" s="59" t="n">
        <f aca="false">IF(T$4=1,Inputs!$E$23,0)</f>
        <v>0</v>
      </c>
      <c r="U47" s="59" t="n">
        <f aca="false">IF(U$4=1,Inputs!$E$23,0)</f>
        <v>0</v>
      </c>
      <c r="V47" s="59" t="n">
        <f aca="false">IF(V$4=1,Inputs!$E$23,0)</f>
        <v>0</v>
      </c>
      <c r="W47" s="59" t="n">
        <f aca="false">IF(W$4=1,Inputs!$E$23,0)</f>
        <v>0</v>
      </c>
      <c r="X47" s="59" t="n">
        <f aca="false">IF(X$4=1,Inputs!$E$23,0)</f>
        <v>0</v>
      </c>
      <c r="Y47" s="59" t="n">
        <f aca="false">IF(Y$4=1,Inputs!$E$23,0)</f>
        <v>0</v>
      </c>
      <c r="Z47" s="59" t="n">
        <f aca="false">IF(Z$4=1,Inputs!$E$23,0)</f>
        <v>0</v>
      </c>
      <c r="AA47" s="59" t="n">
        <f aca="false">IF(AA$4=1,Inputs!$E$23,0)</f>
        <v>0</v>
      </c>
      <c r="AB47" s="59" t="n">
        <f aca="false">IF(AB$4=1,Inputs!$E$23,0)</f>
        <v>0</v>
      </c>
      <c r="AC47" s="59" t="n">
        <f aca="false">IF(AC$4=1,Inputs!$E$23,0)</f>
        <v>0</v>
      </c>
      <c r="AD47" s="59" t="n">
        <f aca="false">IF(AD$4=1,Inputs!$E$23,0)</f>
        <v>0</v>
      </c>
      <c r="AE47" s="59" t="n">
        <f aca="false">IF(AE$4=1,Inputs!$E$23,0)</f>
        <v>0</v>
      </c>
      <c r="AF47" s="59" t="n">
        <f aca="false">IF(AF$4=1,Inputs!$E$23,0)</f>
        <v>0</v>
      </c>
      <c r="AG47" s="59" t="n">
        <f aca="false">IF(AG$4=1,Inputs!$E$23,0)</f>
        <v>0</v>
      </c>
      <c r="AH47" s="59" t="n">
        <f aca="false">IF(AH$4=1,Inputs!$E$23,0)</f>
        <v>0</v>
      </c>
      <c r="AI47" s="59" t="n">
        <f aca="false">IF(AI$4=1,Inputs!$E$23,0)</f>
        <v>0</v>
      </c>
      <c r="AJ47" s="59" t="n">
        <f aca="false">IF(AJ$4=1,Inputs!$E$23,0)</f>
        <v>0</v>
      </c>
      <c r="AK47" s="59" t="n">
        <f aca="false">IF(AK$4=1,Inputs!$E$23,0)</f>
        <v>0</v>
      </c>
      <c r="AL47" s="59" t="n">
        <f aca="false">IF(AL$4=1,Inputs!$E$23,0)</f>
        <v>0</v>
      </c>
      <c r="AM47" s="59" t="n">
        <f aca="false">IF(AM$4=1,Inputs!$E$23,0)</f>
        <v>0</v>
      </c>
      <c r="AN47" s="59" t="n">
        <f aca="false">IF(AN$4=1,Inputs!$E$23,0)</f>
        <v>0</v>
      </c>
      <c r="AO47" s="59" t="n">
        <f aca="false">IF(AO$4=1,Inputs!$E$23,0)</f>
        <v>0</v>
      </c>
      <c r="AP47" s="59" t="n">
        <f aca="false">IF(AP$4=1,Inputs!$E$23,0)</f>
        <v>0</v>
      </c>
      <c r="AQ47" s="59" t="n">
        <f aca="false">IF(AQ$4=1,Inputs!$E$23,0)</f>
        <v>0</v>
      </c>
      <c r="AR47" s="59" t="n">
        <f aca="false">IF(AR$4=1,Inputs!$E$23,0)</f>
        <v>0</v>
      </c>
      <c r="AS47" s="59" t="n">
        <f aca="false">IF(AS$4=1,Inputs!$E$23,0)</f>
        <v>0</v>
      </c>
      <c r="AT47" s="59" t="n">
        <f aca="false">IF(AT$4=1,Inputs!$E$23,0)</f>
        <v>0</v>
      </c>
      <c r="AU47" s="59" t="n">
        <f aca="false">IF(AU$4=1,Inputs!$E$23,0)</f>
        <v>0</v>
      </c>
      <c r="AV47" s="59" t="n">
        <f aca="false">IF(AV$4=1,Inputs!$E$23,0)</f>
        <v>0</v>
      </c>
      <c r="AW47" s="59" t="n">
        <f aca="false">IF(AW$4=1,Inputs!$E$23,0)</f>
        <v>0</v>
      </c>
      <c r="AX47" s="59" t="n">
        <f aca="false">IF(AX$4=1,Inputs!$E$23,0)</f>
        <v>0</v>
      </c>
      <c r="AY47" s="59" t="n">
        <f aca="false">IF(AY$4=1,Inputs!$E$23,0)</f>
        <v>0</v>
      </c>
      <c r="AZ47" s="59" t="n">
        <f aca="false">IF(AZ$4=1,Inputs!$E$23,0)</f>
        <v>0</v>
      </c>
      <c r="BA47" s="59" t="n">
        <f aca="false">IF(BA$4=1,Inputs!$E$23,0)</f>
        <v>0</v>
      </c>
      <c r="BB47" s="59" t="n">
        <f aca="false">IF(BB$4=1,Inputs!$E$23,0)</f>
        <v>0</v>
      </c>
      <c r="BC47" s="59" t="n">
        <f aca="false">IF(BC$4=1,Inputs!$E$23,0)</f>
        <v>0</v>
      </c>
      <c r="BD47" s="59" t="n">
        <f aca="false">IF(BD$4=1,Inputs!$E$23,0)</f>
        <v>0</v>
      </c>
      <c r="BE47" s="59" t="n">
        <f aca="false">IF(BE$4=1,Inputs!$E$23,0)</f>
        <v>0</v>
      </c>
      <c r="BF47" s="59" t="n">
        <f aca="false">IF(BF$4=1,Inputs!$E$23,0)</f>
        <v>0</v>
      </c>
      <c r="BG47" s="59" t="n">
        <f aca="false">IF(BG$4=1,Inputs!$E$23,0)</f>
        <v>0</v>
      </c>
      <c r="BH47" s="59" t="n">
        <f aca="false">IF(BH$4=1,Inputs!$E$23,0)</f>
        <v>0</v>
      </c>
      <c r="BI47" s="59" t="n">
        <f aca="false">IF(BI$4=1,Inputs!$E$23,0)</f>
        <v>0</v>
      </c>
      <c r="BJ47" s="59" t="n">
        <f aca="false">IF(BJ$4=1,Inputs!$E$23,0)</f>
        <v>0</v>
      </c>
    </row>
    <row r="48" customFormat="false" ht="15" hidden="false" customHeight="false" outlineLevel="0" collapsed="false">
      <c r="A48" s="6" t="s">
        <v>415</v>
      </c>
      <c r="B48" s="6"/>
      <c r="C48" s="59" t="n">
        <f aca="false">C47</f>
        <v>150000</v>
      </c>
      <c r="D48" s="59" t="n">
        <f aca="false">C48+D47</f>
        <v>150000</v>
      </c>
      <c r="E48" s="59" t="n">
        <f aca="false">D48+E47</f>
        <v>150000</v>
      </c>
      <c r="F48" s="59" t="n">
        <f aca="false">E48+F47</f>
        <v>150000</v>
      </c>
      <c r="G48" s="59" t="n">
        <f aca="false">F48+G47</f>
        <v>150000</v>
      </c>
      <c r="H48" s="59" t="n">
        <f aca="false">G48+H47</f>
        <v>150000</v>
      </c>
      <c r="I48" s="59" t="n">
        <f aca="false">H48+I47</f>
        <v>150000</v>
      </c>
      <c r="J48" s="59" t="n">
        <f aca="false">I48+J47</f>
        <v>150000</v>
      </c>
      <c r="K48" s="59" t="n">
        <f aca="false">J48+K47</f>
        <v>150000</v>
      </c>
      <c r="L48" s="59" t="n">
        <f aca="false">K48+L47</f>
        <v>150000</v>
      </c>
      <c r="M48" s="59" t="n">
        <f aca="false">L48+M47</f>
        <v>150000</v>
      </c>
      <c r="N48" s="59" t="n">
        <f aca="false">M48+N47</f>
        <v>150000</v>
      </c>
      <c r="O48" s="59" t="n">
        <f aca="false">N48+O47</f>
        <v>150000</v>
      </c>
      <c r="P48" s="59" t="n">
        <f aca="false">O48+P47</f>
        <v>150000</v>
      </c>
      <c r="Q48" s="59" t="n">
        <f aca="false">P48+Q47</f>
        <v>150000</v>
      </c>
      <c r="R48" s="59" t="n">
        <f aca="false">Q48+R47</f>
        <v>150000</v>
      </c>
      <c r="S48" s="59" t="n">
        <f aca="false">R48+S47</f>
        <v>150000</v>
      </c>
      <c r="T48" s="59" t="n">
        <f aca="false">S48+T47</f>
        <v>150000</v>
      </c>
      <c r="U48" s="59" t="n">
        <f aca="false">T48+U47</f>
        <v>150000</v>
      </c>
      <c r="V48" s="59" t="n">
        <f aca="false">U48+V47</f>
        <v>150000</v>
      </c>
      <c r="W48" s="59" t="n">
        <f aca="false">V48+W47</f>
        <v>150000</v>
      </c>
      <c r="X48" s="59" t="n">
        <f aca="false">W48+X47</f>
        <v>150000</v>
      </c>
      <c r="Y48" s="59" t="n">
        <f aca="false">X48+Y47</f>
        <v>150000</v>
      </c>
      <c r="Z48" s="59" t="n">
        <f aca="false">Y48+Z47</f>
        <v>150000</v>
      </c>
      <c r="AA48" s="59" t="n">
        <f aca="false">Z48+AA47</f>
        <v>150000</v>
      </c>
      <c r="AB48" s="59" t="n">
        <f aca="false">AA48+AB47</f>
        <v>150000</v>
      </c>
      <c r="AC48" s="59" t="n">
        <f aca="false">AB48+AC47</f>
        <v>150000</v>
      </c>
      <c r="AD48" s="59" t="n">
        <f aca="false">AC48+AD47</f>
        <v>150000</v>
      </c>
      <c r="AE48" s="59" t="n">
        <f aca="false">AD48+AE47</f>
        <v>150000</v>
      </c>
      <c r="AF48" s="59" t="n">
        <f aca="false">AE48+AF47</f>
        <v>150000</v>
      </c>
      <c r="AG48" s="59" t="n">
        <f aca="false">AF48+AG47</f>
        <v>150000</v>
      </c>
      <c r="AH48" s="59" t="n">
        <f aca="false">AG48+AH47</f>
        <v>150000</v>
      </c>
      <c r="AI48" s="59" t="n">
        <f aca="false">AH48+AI47</f>
        <v>150000</v>
      </c>
      <c r="AJ48" s="59" t="n">
        <f aca="false">AI48+AJ47</f>
        <v>150000</v>
      </c>
      <c r="AK48" s="59" t="n">
        <f aca="false">AJ48+AK47</f>
        <v>150000</v>
      </c>
      <c r="AL48" s="59" t="n">
        <f aca="false">AK48+AL47</f>
        <v>150000</v>
      </c>
      <c r="AM48" s="59" t="n">
        <f aca="false">AL48+AM47</f>
        <v>150000</v>
      </c>
      <c r="AN48" s="59" t="n">
        <f aca="false">AM48+AN47</f>
        <v>150000</v>
      </c>
      <c r="AO48" s="59" t="n">
        <f aca="false">AN48+AO47</f>
        <v>150000</v>
      </c>
      <c r="AP48" s="59" t="n">
        <f aca="false">AO48+AP47</f>
        <v>150000</v>
      </c>
      <c r="AQ48" s="59" t="n">
        <f aca="false">AP48+AQ47</f>
        <v>150000</v>
      </c>
      <c r="AR48" s="59" t="n">
        <f aca="false">AQ48+AR47</f>
        <v>150000</v>
      </c>
      <c r="AS48" s="59" t="n">
        <f aca="false">AR48+AS47</f>
        <v>150000</v>
      </c>
      <c r="AT48" s="59" t="n">
        <f aca="false">AS48+AT47</f>
        <v>150000</v>
      </c>
      <c r="AU48" s="59" t="n">
        <f aca="false">AT48+AU47</f>
        <v>150000</v>
      </c>
      <c r="AV48" s="59" t="n">
        <f aca="false">AU48+AV47</f>
        <v>150000</v>
      </c>
      <c r="AW48" s="59" t="n">
        <f aca="false">AV48+AW47</f>
        <v>150000</v>
      </c>
      <c r="AX48" s="59" t="n">
        <f aca="false">AW48+AX47</f>
        <v>150000</v>
      </c>
      <c r="AY48" s="59" t="n">
        <f aca="false">AX48+AY47</f>
        <v>150000</v>
      </c>
      <c r="AZ48" s="59" t="n">
        <f aca="false">AY48+AZ47</f>
        <v>150000</v>
      </c>
      <c r="BA48" s="59" t="n">
        <f aca="false">AZ48+BA47</f>
        <v>150000</v>
      </c>
      <c r="BB48" s="59" t="n">
        <f aca="false">BA48+BB47</f>
        <v>150000</v>
      </c>
      <c r="BC48" s="59" t="n">
        <f aca="false">BB48+BC47</f>
        <v>150000</v>
      </c>
      <c r="BD48" s="59" t="n">
        <f aca="false">BC48+BD47</f>
        <v>150000</v>
      </c>
      <c r="BE48" s="59" t="n">
        <f aca="false">BD48+BE47</f>
        <v>150000</v>
      </c>
      <c r="BF48" s="59" t="n">
        <f aca="false">BE48+BF47</f>
        <v>150000</v>
      </c>
      <c r="BG48" s="59" t="n">
        <f aca="false">BF48+BG47</f>
        <v>150000</v>
      </c>
      <c r="BH48" s="59" t="n">
        <f aca="false">BG48+BH47</f>
        <v>150000</v>
      </c>
      <c r="BI48" s="59" t="n">
        <f aca="false">BH48+BI47</f>
        <v>150000</v>
      </c>
      <c r="BJ48" s="59" t="n">
        <f aca="false">BI48+BJ47</f>
        <v>150000</v>
      </c>
    </row>
    <row r="49" customFormat="false" ht="15" hidden="false" customHeight="false" outlineLevel="0" collapsed="false">
      <c r="A49" s="6" t="s">
        <v>74</v>
      </c>
      <c r="B49" s="6"/>
      <c r="C49" s="59" t="n">
        <f aca="false">-MIN(C48/MAX(1,Inputs!$E$57*12),C47)</f>
        <v>-4166.66666666667</v>
      </c>
      <c r="D49" s="59" t="n">
        <f aca="false">-MIN(D48/MAX(1,Inputs!$E$57*12),C51+D47)</f>
        <v>-4166.66666666667</v>
      </c>
      <c r="E49" s="59" t="n">
        <f aca="false">-MIN(E48/MAX(1,Inputs!$E$57*12),D51+E47)</f>
        <v>-4166.66666666667</v>
      </c>
      <c r="F49" s="59" t="n">
        <f aca="false">-MIN(F48/MAX(1,Inputs!$E$57*12),E51+F47)</f>
        <v>-4166.66666666667</v>
      </c>
      <c r="G49" s="59" t="n">
        <f aca="false">-MIN(G48/MAX(1,Inputs!$E$57*12),F51+G47)</f>
        <v>-4166.66666666667</v>
      </c>
      <c r="H49" s="59" t="n">
        <f aca="false">-MIN(H48/MAX(1,Inputs!$E$57*12),G51+H47)</f>
        <v>-4166.66666666667</v>
      </c>
      <c r="I49" s="59" t="n">
        <f aca="false">-MIN(I48/MAX(1,Inputs!$E$57*12),H51+I47)</f>
        <v>-4166.66666666667</v>
      </c>
      <c r="J49" s="59" t="n">
        <f aca="false">-MIN(J48/MAX(1,Inputs!$E$57*12),I51+J47)</f>
        <v>-4166.66666666667</v>
      </c>
      <c r="K49" s="59" t="n">
        <f aca="false">-MIN(K48/MAX(1,Inputs!$E$57*12),J51+K47)</f>
        <v>-4166.66666666667</v>
      </c>
      <c r="L49" s="59" t="n">
        <f aca="false">-MIN(L48/MAX(1,Inputs!$E$57*12),K51+L47)</f>
        <v>-4166.66666666667</v>
      </c>
      <c r="M49" s="59" t="n">
        <f aca="false">-MIN(M48/MAX(1,Inputs!$E$57*12),L51+M47)</f>
        <v>-4166.66666666667</v>
      </c>
      <c r="N49" s="59" t="n">
        <f aca="false">-MIN(N48/MAX(1,Inputs!$E$57*12),M51+N47)</f>
        <v>-4166.66666666667</v>
      </c>
      <c r="O49" s="59" t="n">
        <f aca="false">-MIN(O48/MAX(1,Inputs!$E$57*12),N51+O47)</f>
        <v>-4166.66666666667</v>
      </c>
      <c r="P49" s="59" t="n">
        <f aca="false">-MIN(P48/MAX(1,Inputs!$E$57*12),O51+P47)</f>
        <v>-4166.66666666667</v>
      </c>
      <c r="Q49" s="59" t="n">
        <f aca="false">-MIN(Q48/MAX(1,Inputs!$E$57*12),P51+Q47)</f>
        <v>-4166.66666666667</v>
      </c>
      <c r="R49" s="59" t="n">
        <f aca="false">-MIN(R48/MAX(1,Inputs!$E$57*12),Q51+R47)</f>
        <v>-4166.66666666667</v>
      </c>
      <c r="S49" s="59" t="n">
        <f aca="false">-MIN(S48/MAX(1,Inputs!$E$57*12),R51+S47)</f>
        <v>-4166.66666666667</v>
      </c>
      <c r="T49" s="59" t="n">
        <f aca="false">-MIN(T48/MAX(1,Inputs!$E$57*12),S51+T47)</f>
        <v>-4166.66666666667</v>
      </c>
      <c r="U49" s="59" t="n">
        <f aca="false">-MIN(U48/MAX(1,Inputs!$E$57*12),T51+U47)</f>
        <v>-4166.66666666667</v>
      </c>
      <c r="V49" s="59" t="n">
        <f aca="false">-MIN(V48/MAX(1,Inputs!$E$57*12),U51+V47)</f>
        <v>-4166.66666666667</v>
      </c>
      <c r="W49" s="59" t="n">
        <f aca="false">-MIN(W48/MAX(1,Inputs!$E$57*12),V51+W47)</f>
        <v>-4166.66666666667</v>
      </c>
      <c r="X49" s="59" t="n">
        <f aca="false">-MIN(X48/MAX(1,Inputs!$E$57*12),W51+X47)</f>
        <v>-4166.66666666667</v>
      </c>
      <c r="Y49" s="59" t="n">
        <f aca="false">-MIN(Y48/MAX(1,Inputs!$E$57*12),X51+Y47)</f>
        <v>-4166.66666666667</v>
      </c>
      <c r="Z49" s="59" t="n">
        <f aca="false">-MIN(Z48/MAX(1,Inputs!$E$57*12),Y51+Z47)</f>
        <v>-4166.66666666667</v>
      </c>
      <c r="AA49" s="59" t="n">
        <f aca="false">-MIN(AA48/MAX(1,Inputs!$E$57*12),Z51+AA47)</f>
        <v>-4166.66666666667</v>
      </c>
      <c r="AB49" s="59" t="n">
        <f aca="false">-MIN(AB48/MAX(1,Inputs!$E$57*12),AA51+AB47)</f>
        <v>-4166.66666666667</v>
      </c>
      <c r="AC49" s="59" t="n">
        <f aca="false">-MIN(AC48/MAX(1,Inputs!$E$57*12),AB51+AC47)</f>
        <v>-4166.66666666667</v>
      </c>
      <c r="AD49" s="59" t="n">
        <f aca="false">-MIN(AD48/MAX(1,Inputs!$E$57*12),AC51+AD47)</f>
        <v>-4166.66666666667</v>
      </c>
      <c r="AE49" s="59" t="n">
        <f aca="false">-MIN(AE48/MAX(1,Inputs!$E$57*12),AD51+AE47)</f>
        <v>-4166.66666666667</v>
      </c>
      <c r="AF49" s="59" t="n">
        <f aca="false">-MIN(AF48/MAX(1,Inputs!$E$57*12),AE51+AF47)</f>
        <v>-4166.66666666667</v>
      </c>
      <c r="AG49" s="59" t="n">
        <f aca="false">-MIN(AG48/MAX(1,Inputs!$E$57*12),AF51+AG47)</f>
        <v>-4166.66666666667</v>
      </c>
      <c r="AH49" s="59" t="n">
        <f aca="false">-MIN(AH48/MAX(1,Inputs!$E$57*12),AG51+AH47)</f>
        <v>-4166.66666666667</v>
      </c>
      <c r="AI49" s="59" t="n">
        <f aca="false">-MIN(AI48/MAX(1,Inputs!$E$57*12),AH51+AI47)</f>
        <v>-4166.66666666667</v>
      </c>
      <c r="AJ49" s="59" t="n">
        <f aca="false">-MIN(AJ48/MAX(1,Inputs!$E$57*12),AI51+AJ47)</f>
        <v>-4166.66666666667</v>
      </c>
      <c r="AK49" s="59" t="n">
        <f aca="false">-MIN(AK48/MAX(1,Inputs!$E$57*12),AJ51+AK47)</f>
        <v>-4166.66666666667</v>
      </c>
      <c r="AL49" s="59" t="n">
        <f aca="false">-MIN(AL48/MAX(1,Inputs!$E$57*12),AK51+AL47)</f>
        <v>-4166.66666666663</v>
      </c>
      <c r="AM49" s="59" t="n">
        <f aca="false">-MIN(AM48/MAX(1,Inputs!$E$57*12),AL51+AM47)</f>
        <v>-0</v>
      </c>
      <c r="AN49" s="59" t="n">
        <f aca="false">-MIN(AN48/MAX(1,Inputs!$E$57*12),AM51+AN47)</f>
        <v>-0</v>
      </c>
      <c r="AO49" s="59" t="n">
        <f aca="false">-MIN(AO48/MAX(1,Inputs!$E$57*12),AN51+AO47)</f>
        <v>-0</v>
      </c>
      <c r="AP49" s="59" t="n">
        <f aca="false">-MIN(AP48/MAX(1,Inputs!$E$57*12),AO51+AP47)</f>
        <v>-0</v>
      </c>
      <c r="AQ49" s="59" t="n">
        <f aca="false">-MIN(AQ48/MAX(1,Inputs!$E$57*12),AP51+AQ47)</f>
        <v>-0</v>
      </c>
      <c r="AR49" s="59" t="n">
        <f aca="false">-MIN(AR48/MAX(1,Inputs!$E$57*12),AQ51+AR47)</f>
        <v>-0</v>
      </c>
      <c r="AS49" s="59" t="n">
        <f aca="false">-MIN(AS48/MAX(1,Inputs!$E$57*12),AR51+AS47)</f>
        <v>-0</v>
      </c>
      <c r="AT49" s="59" t="n">
        <f aca="false">-MIN(AT48/MAX(1,Inputs!$E$57*12),AS51+AT47)</f>
        <v>-0</v>
      </c>
      <c r="AU49" s="59" t="n">
        <f aca="false">-MIN(AU48/MAX(1,Inputs!$E$57*12),AT51+AU47)</f>
        <v>-0</v>
      </c>
      <c r="AV49" s="59" t="n">
        <f aca="false">-MIN(AV48/MAX(1,Inputs!$E$57*12),AU51+AV47)</f>
        <v>-0</v>
      </c>
      <c r="AW49" s="59" t="n">
        <f aca="false">-MIN(AW48/MAX(1,Inputs!$E$57*12),AV51+AW47)</f>
        <v>-0</v>
      </c>
      <c r="AX49" s="59" t="n">
        <f aca="false">-MIN(AX48/MAX(1,Inputs!$E$57*12),AW51+AX47)</f>
        <v>-0</v>
      </c>
      <c r="AY49" s="59" t="n">
        <f aca="false">-MIN(AY48/MAX(1,Inputs!$E$57*12),AX51+AY47)</f>
        <v>-0</v>
      </c>
      <c r="AZ49" s="59" t="n">
        <f aca="false">-MIN(AZ48/MAX(1,Inputs!$E$57*12),AY51+AZ47)</f>
        <v>-0</v>
      </c>
      <c r="BA49" s="59" t="n">
        <f aca="false">-MIN(BA48/MAX(1,Inputs!$E$57*12),AZ51+BA47)</f>
        <v>-0</v>
      </c>
      <c r="BB49" s="59" t="n">
        <f aca="false">-MIN(BB48/MAX(1,Inputs!$E$57*12),BA51+BB47)</f>
        <v>-0</v>
      </c>
      <c r="BC49" s="59" t="n">
        <f aca="false">-MIN(BC48/MAX(1,Inputs!$E$57*12),BB51+BC47)</f>
        <v>-0</v>
      </c>
      <c r="BD49" s="59" t="n">
        <f aca="false">-MIN(BD48/MAX(1,Inputs!$E$57*12),BC51+BD47)</f>
        <v>-0</v>
      </c>
      <c r="BE49" s="59" t="n">
        <f aca="false">-MIN(BE48/MAX(1,Inputs!$E$57*12),BD51+BE47)</f>
        <v>-0</v>
      </c>
      <c r="BF49" s="59" t="n">
        <f aca="false">-MIN(BF48/MAX(1,Inputs!$E$57*12),BE51+BF47)</f>
        <v>-0</v>
      </c>
      <c r="BG49" s="59" t="n">
        <f aca="false">-MIN(BG48/MAX(1,Inputs!$E$57*12),BF51+BG47)</f>
        <v>-0</v>
      </c>
      <c r="BH49" s="59" t="n">
        <f aca="false">-MIN(BH48/MAX(1,Inputs!$E$57*12),BG51+BH47)</f>
        <v>-0</v>
      </c>
      <c r="BI49" s="59" t="n">
        <f aca="false">-MIN(BI48/MAX(1,Inputs!$E$57*12),BH51+BI47)</f>
        <v>-0</v>
      </c>
      <c r="BJ49" s="59" t="n">
        <f aca="false">-MIN(BJ48/MAX(1,Inputs!$E$57*12),BI51+BJ47)</f>
        <v>-0</v>
      </c>
    </row>
    <row r="50" customFormat="false" ht="15" hidden="false" customHeight="false" outlineLevel="0" collapsed="false">
      <c r="A50" s="6" t="s">
        <v>416</v>
      </c>
      <c r="B50" s="6"/>
      <c r="C50" s="59" t="n">
        <f aca="false">C49</f>
        <v>-4166.66666666667</v>
      </c>
      <c r="D50" s="59" t="n">
        <f aca="false">C50+D49</f>
        <v>-8333.33333333333</v>
      </c>
      <c r="E50" s="59" t="n">
        <f aca="false">D50+E49</f>
        <v>-12500</v>
      </c>
      <c r="F50" s="59" t="n">
        <f aca="false">E50+F49</f>
        <v>-16666.6666666667</v>
      </c>
      <c r="G50" s="59" t="n">
        <f aca="false">F50+G49</f>
        <v>-20833.3333333333</v>
      </c>
      <c r="H50" s="59" t="n">
        <f aca="false">G50+H49</f>
        <v>-25000</v>
      </c>
      <c r="I50" s="59" t="n">
        <f aca="false">H50+I49</f>
        <v>-29166.6666666667</v>
      </c>
      <c r="J50" s="59" t="n">
        <f aca="false">I50+J49</f>
        <v>-33333.3333333333</v>
      </c>
      <c r="K50" s="59" t="n">
        <f aca="false">J50+K49</f>
        <v>-37500</v>
      </c>
      <c r="L50" s="59" t="n">
        <f aca="false">K50+L49</f>
        <v>-41666.6666666667</v>
      </c>
      <c r="M50" s="59" t="n">
        <f aca="false">L50+M49</f>
        <v>-45833.3333333333</v>
      </c>
      <c r="N50" s="59" t="n">
        <f aca="false">M50+N49</f>
        <v>-50000</v>
      </c>
      <c r="O50" s="59" t="n">
        <f aca="false">N50+O49</f>
        <v>-54166.6666666667</v>
      </c>
      <c r="P50" s="59" t="n">
        <f aca="false">O50+P49</f>
        <v>-58333.3333333333</v>
      </c>
      <c r="Q50" s="59" t="n">
        <f aca="false">P50+Q49</f>
        <v>-62500</v>
      </c>
      <c r="R50" s="59" t="n">
        <f aca="false">Q50+R49</f>
        <v>-66666.6666666667</v>
      </c>
      <c r="S50" s="59" t="n">
        <f aca="false">R50+S49</f>
        <v>-70833.3333333333</v>
      </c>
      <c r="T50" s="59" t="n">
        <f aca="false">S50+T49</f>
        <v>-75000</v>
      </c>
      <c r="U50" s="59" t="n">
        <f aca="false">T50+U49</f>
        <v>-79166.6666666667</v>
      </c>
      <c r="V50" s="59" t="n">
        <f aca="false">U50+V49</f>
        <v>-83333.3333333333</v>
      </c>
      <c r="W50" s="59" t="n">
        <f aca="false">V50+W49</f>
        <v>-87500</v>
      </c>
      <c r="X50" s="59" t="n">
        <f aca="false">W50+X49</f>
        <v>-91666.6666666667</v>
      </c>
      <c r="Y50" s="59" t="n">
        <f aca="false">X50+Y49</f>
        <v>-95833.3333333334</v>
      </c>
      <c r="Z50" s="59" t="n">
        <f aca="false">Y50+Z49</f>
        <v>-100000</v>
      </c>
      <c r="AA50" s="59" t="n">
        <f aca="false">Z50+AA49</f>
        <v>-104166.666666667</v>
      </c>
      <c r="AB50" s="59" t="n">
        <f aca="false">AA50+AB49</f>
        <v>-108333.333333333</v>
      </c>
      <c r="AC50" s="59" t="n">
        <f aca="false">AB50+AC49</f>
        <v>-112500</v>
      </c>
      <c r="AD50" s="59" t="n">
        <f aca="false">AC50+AD49</f>
        <v>-116666.666666667</v>
      </c>
      <c r="AE50" s="59" t="n">
        <f aca="false">AD50+AE49</f>
        <v>-120833.333333333</v>
      </c>
      <c r="AF50" s="59" t="n">
        <f aca="false">AE50+AF49</f>
        <v>-125000</v>
      </c>
      <c r="AG50" s="59" t="n">
        <f aca="false">AF50+AG49</f>
        <v>-129166.666666667</v>
      </c>
      <c r="AH50" s="59" t="n">
        <f aca="false">AG50+AH49</f>
        <v>-133333.333333333</v>
      </c>
      <c r="AI50" s="59" t="n">
        <f aca="false">AH50+AI49</f>
        <v>-137500</v>
      </c>
      <c r="AJ50" s="59" t="n">
        <f aca="false">AI50+AJ49</f>
        <v>-141666.666666667</v>
      </c>
      <c r="AK50" s="59" t="n">
        <f aca="false">AJ50+AK49</f>
        <v>-145833.333333333</v>
      </c>
      <c r="AL50" s="59" t="n">
        <f aca="false">AK50+AL49</f>
        <v>-150000</v>
      </c>
      <c r="AM50" s="59" t="n">
        <f aca="false">AL50+AM49</f>
        <v>-150000</v>
      </c>
      <c r="AN50" s="59" t="n">
        <f aca="false">AM50+AN49</f>
        <v>-150000</v>
      </c>
      <c r="AO50" s="59" t="n">
        <f aca="false">AN50+AO49</f>
        <v>-150000</v>
      </c>
      <c r="AP50" s="59" t="n">
        <f aca="false">AO50+AP49</f>
        <v>-150000</v>
      </c>
      <c r="AQ50" s="59" t="n">
        <f aca="false">AP50+AQ49</f>
        <v>-150000</v>
      </c>
      <c r="AR50" s="59" t="n">
        <f aca="false">AQ50+AR49</f>
        <v>-150000</v>
      </c>
      <c r="AS50" s="59" t="n">
        <f aca="false">AR50+AS49</f>
        <v>-150000</v>
      </c>
      <c r="AT50" s="59" t="n">
        <f aca="false">AS50+AT49</f>
        <v>-150000</v>
      </c>
      <c r="AU50" s="59" t="n">
        <f aca="false">AT50+AU49</f>
        <v>-150000</v>
      </c>
      <c r="AV50" s="59" t="n">
        <f aca="false">AU50+AV49</f>
        <v>-150000</v>
      </c>
      <c r="AW50" s="59" t="n">
        <f aca="false">AV50+AW49</f>
        <v>-150000</v>
      </c>
      <c r="AX50" s="59" t="n">
        <f aca="false">AW50+AX49</f>
        <v>-150000</v>
      </c>
      <c r="AY50" s="59" t="n">
        <f aca="false">AX50+AY49</f>
        <v>-150000</v>
      </c>
      <c r="AZ50" s="59" t="n">
        <f aca="false">AY50+AZ49</f>
        <v>-150000</v>
      </c>
      <c r="BA50" s="59" t="n">
        <f aca="false">AZ50+BA49</f>
        <v>-150000</v>
      </c>
      <c r="BB50" s="59" t="n">
        <f aca="false">BA50+BB49</f>
        <v>-150000</v>
      </c>
      <c r="BC50" s="59" t="n">
        <f aca="false">BB50+BC49</f>
        <v>-150000</v>
      </c>
      <c r="BD50" s="59" t="n">
        <f aca="false">BC50+BD49</f>
        <v>-150000</v>
      </c>
      <c r="BE50" s="59" t="n">
        <f aca="false">BD50+BE49</f>
        <v>-150000</v>
      </c>
      <c r="BF50" s="59" t="n">
        <f aca="false">BE50+BF49</f>
        <v>-150000</v>
      </c>
      <c r="BG50" s="59" t="n">
        <f aca="false">BF50+BG49</f>
        <v>-150000</v>
      </c>
      <c r="BH50" s="59" t="n">
        <f aca="false">BG50+BH49</f>
        <v>-150000</v>
      </c>
      <c r="BI50" s="59" t="n">
        <f aca="false">BH50+BI49</f>
        <v>-150000</v>
      </c>
      <c r="BJ50" s="59" t="n">
        <f aca="false">BI50+BJ49</f>
        <v>-150000</v>
      </c>
    </row>
    <row r="51" customFormat="false" ht="15" hidden="false" customHeight="false" outlineLevel="0" collapsed="false">
      <c r="A51" s="5" t="s">
        <v>88</v>
      </c>
      <c r="B51" s="6"/>
      <c r="C51" s="65" t="n">
        <f aca="false">C48+C50</f>
        <v>145833.333333333</v>
      </c>
      <c r="D51" s="65" t="n">
        <f aca="false">D48+D50</f>
        <v>141666.666666667</v>
      </c>
      <c r="E51" s="65" t="n">
        <f aca="false">E48+E50</f>
        <v>137500</v>
      </c>
      <c r="F51" s="65" t="n">
        <f aca="false">F48+F50</f>
        <v>133333.333333333</v>
      </c>
      <c r="G51" s="65" t="n">
        <f aca="false">G48+G50</f>
        <v>129166.666666667</v>
      </c>
      <c r="H51" s="65" t="n">
        <f aca="false">H48+H50</f>
        <v>125000</v>
      </c>
      <c r="I51" s="65" t="n">
        <f aca="false">I48+I50</f>
        <v>120833.333333333</v>
      </c>
      <c r="J51" s="65" t="n">
        <f aca="false">J48+J50</f>
        <v>116666.666666667</v>
      </c>
      <c r="K51" s="65" t="n">
        <f aca="false">K48+K50</f>
        <v>112500</v>
      </c>
      <c r="L51" s="65" t="n">
        <f aca="false">L48+L50</f>
        <v>108333.333333333</v>
      </c>
      <c r="M51" s="65" t="n">
        <f aca="false">M48+M50</f>
        <v>104166.666666667</v>
      </c>
      <c r="N51" s="65" t="n">
        <f aca="false">N48+N50</f>
        <v>100000</v>
      </c>
      <c r="O51" s="65" t="n">
        <f aca="false">O48+O50</f>
        <v>95833.3333333333</v>
      </c>
      <c r="P51" s="65" t="n">
        <f aca="false">P48+P50</f>
        <v>91666.6666666667</v>
      </c>
      <c r="Q51" s="65" t="n">
        <f aca="false">Q48+Q50</f>
        <v>87500</v>
      </c>
      <c r="R51" s="65" t="n">
        <f aca="false">R48+R50</f>
        <v>83333.3333333333</v>
      </c>
      <c r="S51" s="65" t="n">
        <f aca="false">S48+S50</f>
        <v>79166.6666666667</v>
      </c>
      <c r="T51" s="65" t="n">
        <f aca="false">T48+T50</f>
        <v>75000</v>
      </c>
      <c r="U51" s="65" t="n">
        <f aca="false">U48+U50</f>
        <v>70833.3333333333</v>
      </c>
      <c r="V51" s="65" t="n">
        <f aca="false">V48+V50</f>
        <v>66666.6666666667</v>
      </c>
      <c r="W51" s="65" t="n">
        <f aca="false">W48+W50</f>
        <v>62500</v>
      </c>
      <c r="X51" s="65" t="n">
        <f aca="false">X48+X50</f>
        <v>58333.3333333333</v>
      </c>
      <c r="Y51" s="65" t="n">
        <f aca="false">Y48+Y50</f>
        <v>54166.6666666666</v>
      </c>
      <c r="Z51" s="65" t="n">
        <f aca="false">Z48+Z50</f>
        <v>50000</v>
      </c>
      <c r="AA51" s="65" t="n">
        <f aca="false">AA48+AA50</f>
        <v>45833.3333333333</v>
      </c>
      <c r="AB51" s="65" t="n">
        <f aca="false">AB48+AB50</f>
        <v>41666.6666666666</v>
      </c>
      <c r="AC51" s="65" t="n">
        <f aca="false">AC48+AC50</f>
        <v>37500</v>
      </c>
      <c r="AD51" s="65" t="n">
        <f aca="false">AD48+AD50</f>
        <v>33333.3333333333</v>
      </c>
      <c r="AE51" s="65" t="n">
        <f aca="false">AE48+AE50</f>
        <v>29166.6666666666</v>
      </c>
      <c r="AF51" s="65" t="n">
        <f aca="false">AF48+AF50</f>
        <v>24999.9999999999</v>
      </c>
      <c r="AG51" s="65" t="n">
        <f aca="false">AG48+AG50</f>
        <v>20833.3333333333</v>
      </c>
      <c r="AH51" s="65" t="n">
        <f aca="false">AH48+AH50</f>
        <v>16666.6666666666</v>
      </c>
      <c r="AI51" s="65" t="n">
        <f aca="false">AI48+AI50</f>
        <v>12499.9999999999</v>
      </c>
      <c r="AJ51" s="65" t="n">
        <f aca="false">AJ48+AJ50</f>
        <v>8333.33333333329</v>
      </c>
      <c r="AK51" s="65" t="n">
        <f aca="false">AK48+AK50</f>
        <v>4166.66666666663</v>
      </c>
      <c r="AL51" s="65" t="n">
        <f aca="false">AL48+AL50</f>
        <v>0</v>
      </c>
      <c r="AM51" s="65" t="n">
        <f aca="false">AM48+AM50</f>
        <v>0</v>
      </c>
      <c r="AN51" s="65" t="n">
        <f aca="false">AN48+AN50</f>
        <v>0</v>
      </c>
      <c r="AO51" s="65" t="n">
        <f aca="false">AO48+AO50</f>
        <v>0</v>
      </c>
      <c r="AP51" s="65" t="n">
        <f aca="false">AP48+AP50</f>
        <v>0</v>
      </c>
      <c r="AQ51" s="65" t="n">
        <f aca="false">AQ48+AQ50</f>
        <v>0</v>
      </c>
      <c r="AR51" s="65" t="n">
        <f aca="false">AR48+AR50</f>
        <v>0</v>
      </c>
      <c r="AS51" s="65" t="n">
        <f aca="false">AS48+AS50</f>
        <v>0</v>
      </c>
      <c r="AT51" s="65" t="n">
        <f aca="false">AT48+AT50</f>
        <v>0</v>
      </c>
      <c r="AU51" s="65" t="n">
        <f aca="false">AU48+AU50</f>
        <v>0</v>
      </c>
      <c r="AV51" s="65" t="n">
        <f aca="false">AV48+AV50</f>
        <v>0</v>
      </c>
      <c r="AW51" s="65" t="n">
        <f aca="false">AW48+AW50</f>
        <v>0</v>
      </c>
      <c r="AX51" s="65" t="n">
        <f aca="false">AX48+AX50</f>
        <v>0</v>
      </c>
      <c r="AY51" s="65" t="n">
        <f aca="false">AY48+AY50</f>
        <v>0</v>
      </c>
      <c r="AZ51" s="65" t="n">
        <f aca="false">AZ48+AZ50</f>
        <v>0</v>
      </c>
      <c r="BA51" s="65" t="n">
        <f aca="false">BA48+BA50</f>
        <v>0</v>
      </c>
      <c r="BB51" s="65" t="n">
        <f aca="false">BB48+BB50</f>
        <v>0</v>
      </c>
      <c r="BC51" s="65" t="n">
        <f aca="false">BC48+BC50</f>
        <v>0</v>
      </c>
      <c r="BD51" s="65" t="n">
        <f aca="false">BD48+BD50</f>
        <v>0</v>
      </c>
      <c r="BE51" s="65" t="n">
        <f aca="false">BE48+BE50</f>
        <v>0</v>
      </c>
      <c r="BF51" s="65" t="n">
        <f aca="false">BF48+BF50</f>
        <v>0</v>
      </c>
      <c r="BG51" s="65" t="n">
        <f aca="false">BG48+BG50</f>
        <v>0</v>
      </c>
      <c r="BH51" s="65" t="n">
        <f aca="false">BH48+BH50</f>
        <v>0</v>
      </c>
      <c r="BI51" s="65" t="n">
        <f aca="false">BI48+BI50</f>
        <v>0</v>
      </c>
      <c r="BJ51" s="65" t="n">
        <f aca="false">BJ48+BJ50</f>
        <v>0</v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 customFormat="false" ht="15" hidden="false" customHeight="false" outlineLevel="0" collapsed="false">
      <c r="A53" s="57" t="s">
        <v>417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</row>
    <row r="54" customFormat="false" ht="15" hidden="false" customHeight="false" outlineLevel="0" collapsed="false">
      <c r="A54" s="6" t="s">
        <v>418</v>
      </c>
      <c r="B54" s="6"/>
      <c r="C54" s="59" t="n">
        <f aca="false">0</f>
        <v>0</v>
      </c>
      <c r="D54" s="59" t="n">
        <f aca="false">C57</f>
        <v>0</v>
      </c>
      <c r="E54" s="59" t="n">
        <f aca="false">D57</f>
        <v>0</v>
      </c>
      <c r="F54" s="59" t="n">
        <f aca="false">E57</f>
        <v>0</v>
      </c>
      <c r="G54" s="59" t="n">
        <f aca="false">F57</f>
        <v>0</v>
      </c>
      <c r="H54" s="59" t="n">
        <f aca="false">G57</f>
        <v>0</v>
      </c>
      <c r="I54" s="59" t="n">
        <f aca="false">H57</f>
        <v>0</v>
      </c>
      <c r="J54" s="59" t="n">
        <f aca="false">I57</f>
        <v>0</v>
      </c>
      <c r="K54" s="59" t="n">
        <f aca="false">J57</f>
        <v>0</v>
      </c>
      <c r="L54" s="59" t="n">
        <f aca="false">K57</f>
        <v>0</v>
      </c>
      <c r="M54" s="59" t="n">
        <f aca="false">L57</f>
        <v>0</v>
      </c>
      <c r="N54" s="59" t="n">
        <f aca="false">M57</f>
        <v>0</v>
      </c>
      <c r="O54" s="59" t="n">
        <f aca="false">N57</f>
        <v>0</v>
      </c>
      <c r="P54" s="59" t="n">
        <f aca="false">O57</f>
        <v>0</v>
      </c>
      <c r="Q54" s="59" t="n">
        <f aca="false">P57</f>
        <v>0</v>
      </c>
      <c r="R54" s="59" t="n">
        <f aca="false">Q57</f>
        <v>0</v>
      </c>
      <c r="S54" s="59" t="n">
        <f aca="false">R57</f>
        <v>0</v>
      </c>
      <c r="T54" s="59" t="n">
        <f aca="false">S57</f>
        <v>0</v>
      </c>
      <c r="U54" s="59" t="n">
        <f aca="false">T57</f>
        <v>0</v>
      </c>
      <c r="V54" s="59" t="n">
        <f aca="false">U57</f>
        <v>0</v>
      </c>
      <c r="W54" s="59" t="n">
        <f aca="false">V57</f>
        <v>0</v>
      </c>
      <c r="X54" s="59" t="n">
        <f aca="false">W57</f>
        <v>0</v>
      </c>
      <c r="Y54" s="59" t="n">
        <f aca="false">X57</f>
        <v>0</v>
      </c>
      <c r="Z54" s="59" t="n">
        <f aca="false">Y57</f>
        <v>0</v>
      </c>
      <c r="AA54" s="59" t="n">
        <f aca="false">Z57</f>
        <v>0</v>
      </c>
      <c r="AB54" s="59" t="n">
        <f aca="false">AA57</f>
        <v>0</v>
      </c>
      <c r="AC54" s="59" t="n">
        <f aca="false">AB57</f>
        <v>0</v>
      </c>
      <c r="AD54" s="59" t="n">
        <f aca="false">AC57</f>
        <v>0</v>
      </c>
      <c r="AE54" s="59" t="n">
        <f aca="false">AD57</f>
        <v>0</v>
      </c>
      <c r="AF54" s="59" t="n">
        <f aca="false">AE57</f>
        <v>0</v>
      </c>
      <c r="AG54" s="59" t="n">
        <f aca="false">AF57</f>
        <v>0</v>
      </c>
      <c r="AH54" s="59" t="n">
        <f aca="false">AG57</f>
        <v>0</v>
      </c>
      <c r="AI54" s="59" t="n">
        <f aca="false">AH57</f>
        <v>0</v>
      </c>
      <c r="AJ54" s="59" t="n">
        <f aca="false">AI57</f>
        <v>0</v>
      </c>
      <c r="AK54" s="59" t="n">
        <f aca="false">AJ57</f>
        <v>0</v>
      </c>
      <c r="AL54" s="59" t="n">
        <f aca="false">AK57</f>
        <v>0</v>
      </c>
      <c r="AM54" s="59" t="n">
        <f aca="false">AL57</f>
        <v>0</v>
      </c>
      <c r="AN54" s="59" t="n">
        <f aca="false">AM57</f>
        <v>0</v>
      </c>
      <c r="AO54" s="59" t="n">
        <f aca="false">AN57</f>
        <v>0</v>
      </c>
      <c r="AP54" s="59" t="n">
        <f aca="false">AO57</f>
        <v>0</v>
      </c>
      <c r="AQ54" s="59" t="n">
        <f aca="false">AP57</f>
        <v>0</v>
      </c>
      <c r="AR54" s="59" t="n">
        <f aca="false">AQ57</f>
        <v>0</v>
      </c>
      <c r="AS54" s="59" t="n">
        <f aca="false">AR57</f>
        <v>0</v>
      </c>
      <c r="AT54" s="59" t="n">
        <f aca="false">AS57</f>
        <v>0</v>
      </c>
      <c r="AU54" s="59" t="n">
        <f aca="false">AT57</f>
        <v>0</v>
      </c>
      <c r="AV54" s="59" t="n">
        <f aca="false">AU57</f>
        <v>0</v>
      </c>
      <c r="AW54" s="59" t="n">
        <f aca="false">AV57</f>
        <v>0</v>
      </c>
      <c r="AX54" s="59" t="n">
        <f aca="false">AW57</f>
        <v>0</v>
      </c>
      <c r="AY54" s="59" t="n">
        <f aca="false">AX57</f>
        <v>0</v>
      </c>
      <c r="AZ54" s="59" t="n">
        <f aca="false">AY57</f>
        <v>0</v>
      </c>
      <c r="BA54" s="59" t="n">
        <f aca="false">AZ57</f>
        <v>0</v>
      </c>
      <c r="BB54" s="59" t="n">
        <f aca="false">BA57</f>
        <v>0</v>
      </c>
      <c r="BC54" s="59" t="n">
        <f aca="false">BB57</f>
        <v>0</v>
      </c>
      <c r="BD54" s="59" t="n">
        <f aca="false">BC57</f>
        <v>0</v>
      </c>
      <c r="BE54" s="59" t="n">
        <f aca="false">BD57</f>
        <v>0</v>
      </c>
      <c r="BF54" s="59" t="n">
        <f aca="false">BE57</f>
        <v>0</v>
      </c>
      <c r="BG54" s="59" t="n">
        <f aca="false">BF57</f>
        <v>0</v>
      </c>
      <c r="BH54" s="59" t="n">
        <f aca="false">BG57</f>
        <v>0</v>
      </c>
      <c r="BI54" s="59" t="n">
        <f aca="false">BH57</f>
        <v>0</v>
      </c>
      <c r="BJ54" s="59" t="n">
        <f aca="false">BI57</f>
        <v>0</v>
      </c>
    </row>
    <row r="55" customFormat="false" ht="15" hidden="false" customHeight="false" outlineLevel="0" collapsed="false">
      <c r="A55" s="6" t="s">
        <v>81</v>
      </c>
      <c r="B55" s="6"/>
      <c r="C55" s="59" t="n">
        <f aca="false">IF(C$4=1,Inputs!$E$47,0)</f>
        <v>0</v>
      </c>
      <c r="D55" s="59" t="n">
        <f aca="false">IF(D$4=1,Inputs!$E$47,0)</f>
        <v>0</v>
      </c>
      <c r="E55" s="59" t="n">
        <f aca="false">IF(E$4=1,Inputs!$E$47,0)</f>
        <v>0</v>
      </c>
      <c r="F55" s="59" t="n">
        <f aca="false">IF(F$4=1,Inputs!$E$47,0)</f>
        <v>0</v>
      </c>
      <c r="G55" s="59" t="n">
        <f aca="false">IF(G$4=1,Inputs!$E$47,0)</f>
        <v>0</v>
      </c>
      <c r="H55" s="59" t="n">
        <f aca="false">IF(H$4=1,Inputs!$E$47,0)</f>
        <v>0</v>
      </c>
      <c r="I55" s="59" t="n">
        <f aca="false">IF(I$4=1,Inputs!$E$47,0)</f>
        <v>0</v>
      </c>
      <c r="J55" s="59" t="n">
        <f aca="false">IF(J$4=1,Inputs!$E$47,0)</f>
        <v>0</v>
      </c>
      <c r="K55" s="59" t="n">
        <f aca="false">IF(K$4=1,Inputs!$E$47,0)</f>
        <v>0</v>
      </c>
      <c r="L55" s="59" t="n">
        <f aca="false">IF(L$4=1,Inputs!$E$47,0)</f>
        <v>0</v>
      </c>
      <c r="M55" s="59" t="n">
        <f aca="false">IF(M$4=1,Inputs!$E$47,0)</f>
        <v>0</v>
      </c>
      <c r="N55" s="59" t="n">
        <f aca="false">IF(N$4=1,Inputs!$E$47,0)</f>
        <v>0</v>
      </c>
      <c r="O55" s="59" t="n">
        <f aca="false">IF(O$4=1,Inputs!$E$47,0)</f>
        <v>0</v>
      </c>
      <c r="P55" s="59" t="n">
        <f aca="false">IF(P$4=1,Inputs!$E$47,0)</f>
        <v>0</v>
      </c>
      <c r="Q55" s="59" t="n">
        <f aca="false">IF(Q$4=1,Inputs!$E$47,0)</f>
        <v>0</v>
      </c>
      <c r="R55" s="59" t="n">
        <f aca="false">IF(R$4=1,Inputs!$E$47,0)</f>
        <v>0</v>
      </c>
      <c r="S55" s="59" t="n">
        <f aca="false">IF(S$4=1,Inputs!$E$47,0)</f>
        <v>0</v>
      </c>
      <c r="T55" s="59" t="n">
        <f aca="false">IF(T$4=1,Inputs!$E$47,0)</f>
        <v>0</v>
      </c>
      <c r="U55" s="59" t="n">
        <f aca="false">IF(U$4=1,Inputs!$E$47,0)</f>
        <v>0</v>
      </c>
      <c r="V55" s="59" t="n">
        <f aca="false">IF(V$4=1,Inputs!$E$47,0)</f>
        <v>0</v>
      </c>
      <c r="W55" s="59" t="n">
        <f aca="false">IF(W$4=1,Inputs!$E$47,0)</f>
        <v>0</v>
      </c>
      <c r="X55" s="59" t="n">
        <f aca="false">IF(X$4=1,Inputs!$E$47,0)</f>
        <v>0</v>
      </c>
      <c r="Y55" s="59" t="n">
        <f aca="false">IF(Y$4=1,Inputs!$E$47,0)</f>
        <v>0</v>
      </c>
      <c r="Z55" s="59" t="n">
        <f aca="false">IF(Z$4=1,Inputs!$E$47,0)</f>
        <v>0</v>
      </c>
      <c r="AA55" s="59" t="n">
        <f aca="false">IF(AA$4=1,Inputs!$E$47,0)</f>
        <v>0</v>
      </c>
      <c r="AB55" s="59" t="n">
        <f aca="false">IF(AB$4=1,Inputs!$E$47,0)</f>
        <v>0</v>
      </c>
      <c r="AC55" s="59" t="n">
        <f aca="false">IF(AC$4=1,Inputs!$E$47,0)</f>
        <v>0</v>
      </c>
      <c r="AD55" s="59" t="n">
        <f aca="false">IF(AD$4=1,Inputs!$E$47,0)</f>
        <v>0</v>
      </c>
      <c r="AE55" s="59" t="n">
        <f aca="false">IF(AE$4=1,Inputs!$E$47,0)</f>
        <v>0</v>
      </c>
      <c r="AF55" s="59" t="n">
        <f aca="false">IF(AF$4=1,Inputs!$E$47,0)</f>
        <v>0</v>
      </c>
      <c r="AG55" s="59" t="n">
        <f aca="false">IF(AG$4=1,Inputs!$E$47,0)</f>
        <v>0</v>
      </c>
      <c r="AH55" s="59" t="n">
        <f aca="false">IF(AH$4=1,Inputs!$E$47,0)</f>
        <v>0</v>
      </c>
      <c r="AI55" s="59" t="n">
        <f aca="false">IF(AI$4=1,Inputs!$E$47,0)</f>
        <v>0</v>
      </c>
      <c r="AJ55" s="59" t="n">
        <f aca="false">IF(AJ$4=1,Inputs!$E$47,0)</f>
        <v>0</v>
      </c>
      <c r="AK55" s="59" t="n">
        <f aca="false">IF(AK$4=1,Inputs!$E$47,0)</f>
        <v>0</v>
      </c>
      <c r="AL55" s="59" t="n">
        <f aca="false">IF(AL$4=1,Inputs!$E$47,0)</f>
        <v>0</v>
      </c>
      <c r="AM55" s="59" t="n">
        <f aca="false">IF(AM$4=1,Inputs!$E$47,0)</f>
        <v>0</v>
      </c>
      <c r="AN55" s="59" t="n">
        <f aca="false">IF(AN$4=1,Inputs!$E$47,0)</f>
        <v>0</v>
      </c>
      <c r="AO55" s="59" t="n">
        <f aca="false">IF(AO$4=1,Inputs!$E$47,0)</f>
        <v>0</v>
      </c>
      <c r="AP55" s="59" t="n">
        <f aca="false">IF(AP$4=1,Inputs!$E$47,0)</f>
        <v>0</v>
      </c>
      <c r="AQ55" s="59" t="n">
        <f aca="false">IF(AQ$4=1,Inputs!$E$47,0)</f>
        <v>0</v>
      </c>
      <c r="AR55" s="59" t="n">
        <f aca="false">IF(AR$4=1,Inputs!$E$47,0)</f>
        <v>0</v>
      </c>
      <c r="AS55" s="59" t="n">
        <f aca="false">IF(AS$4=1,Inputs!$E$47,0)</f>
        <v>0</v>
      </c>
      <c r="AT55" s="59" t="n">
        <f aca="false">IF(AT$4=1,Inputs!$E$47,0)</f>
        <v>0</v>
      </c>
      <c r="AU55" s="59" t="n">
        <f aca="false">IF(AU$4=1,Inputs!$E$47,0)</f>
        <v>0</v>
      </c>
      <c r="AV55" s="59" t="n">
        <f aca="false">IF(AV$4=1,Inputs!$E$47,0)</f>
        <v>0</v>
      </c>
      <c r="AW55" s="59" t="n">
        <f aca="false">IF(AW$4=1,Inputs!$E$47,0)</f>
        <v>0</v>
      </c>
      <c r="AX55" s="59" t="n">
        <f aca="false">IF(AX$4=1,Inputs!$E$47,0)</f>
        <v>0</v>
      </c>
      <c r="AY55" s="59" t="n">
        <f aca="false">IF(AY$4=1,Inputs!$E$47,0)</f>
        <v>0</v>
      </c>
      <c r="AZ55" s="59" t="n">
        <f aca="false">IF(AZ$4=1,Inputs!$E$47,0)</f>
        <v>0</v>
      </c>
      <c r="BA55" s="59" t="n">
        <f aca="false">IF(BA$4=1,Inputs!$E$47,0)</f>
        <v>0</v>
      </c>
      <c r="BB55" s="59" t="n">
        <f aca="false">IF(BB$4=1,Inputs!$E$47,0)</f>
        <v>0</v>
      </c>
      <c r="BC55" s="59" t="n">
        <f aca="false">IF(BC$4=1,Inputs!$E$47,0)</f>
        <v>0</v>
      </c>
      <c r="BD55" s="59" t="n">
        <f aca="false">IF(BD$4=1,Inputs!$E$47,0)</f>
        <v>0</v>
      </c>
      <c r="BE55" s="59" t="n">
        <f aca="false">IF(BE$4=1,Inputs!$E$47,0)</f>
        <v>0</v>
      </c>
      <c r="BF55" s="59" t="n">
        <f aca="false">IF(BF$4=1,Inputs!$E$47,0)</f>
        <v>0</v>
      </c>
      <c r="BG55" s="59" t="n">
        <f aca="false">IF(BG$4=1,Inputs!$E$47,0)</f>
        <v>0</v>
      </c>
      <c r="BH55" s="59" t="n">
        <f aca="false">IF(BH$4=1,Inputs!$E$47,0)</f>
        <v>0</v>
      </c>
      <c r="BI55" s="59" t="n">
        <f aca="false">IF(BI$4=1,Inputs!$E$47,0)</f>
        <v>0</v>
      </c>
      <c r="BJ55" s="59" t="n">
        <f aca="false">IF(BJ$4=1,Inputs!$E$47,0)</f>
        <v>0</v>
      </c>
    </row>
    <row r="56" customFormat="false" ht="15" hidden="false" customHeight="false" outlineLevel="0" collapsed="false">
      <c r="A56" s="6" t="s">
        <v>82</v>
      </c>
      <c r="B56" s="6"/>
      <c r="C56" s="59" t="n">
        <f aca="false">-MIN(C54,Inputs!$E$47/MAX(1,Inputs!$E$49*12))</f>
        <v>-0</v>
      </c>
      <c r="D56" s="59" t="n">
        <f aca="false">-MIN(D54,Inputs!$E$47/MAX(1,Inputs!$E$49*12))</f>
        <v>-0</v>
      </c>
      <c r="E56" s="59" t="n">
        <f aca="false">-MIN(E54,Inputs!$E$47/MAX(1,Inputs!$E$49*12))</f>
        <v>-0</v>
      </c>
      <c r="F56" s="59" t="n">
        <f aca="false">-MIN(F54,Inputs!$E$47/MAX(1,Inputs!$E$49*12))</f>
        <v>-0</v>
      </c>
      <c r="G56" s="59" t="n">
        <f aca="false">-MIN(G54,Inputs!$E$47/MAX(1,Inputs!$E$49*12))</f>
        <v>-0</v>
      </c>
      <c r="H56" s="59" t="n">
        <f aca="false">-MIN(H54,Inputs!$E$47/MAX(1,Inputs!$E$49*12))</f>
        <v>-0</v>
      </c>
      <c r="I56" s="59" t="n">
        <f aca="false">-MIN(I54,Inputs!$E$47/MAX(1,Inputs!$E$49*12))</f>
        <v>-0</v>
      </c>
      <c r="J56" s="59" t="n">
        <f aca="false">-MIN(J54,Inputs!$E$47/MAX(1,Inputs!$E$49*12))</f>
        <v>-0</v>
      </c>
      <c r="K56" s="59" t="n">
        <f aca="false">-MIN(K54,Inputs!$E$47/MAX(1,Inputs!$E$49*12))</f>
        <v>-0</v>
      </c>
      <c r="L56" s="59" t="n">
        <f aca="false">-MIN(L54,Inputs!$E$47/MAX(1,Inputs!$E$49*12))</f>
        <v>-0</v>
      </c>
      <c r="M56" s="59" t="n">
        <f aca="false">-MIN(M54,Inputs!$E$47/MAX(1,Inputs!$E$49*12))</f>
        <v>-0</v>
      </c>
      <c r="N56" s="59" t="n">
        <f aca="false">-MIN(N54,Inputs!$E$47/MAX(1,Inputs!$E$49*12))</f>
        <v>-0</v>
      </c>
      <c r="O56" s="59" t="n">
        <f aca="false">-MIN(O54,Inputs!$E$47/MAX(1,Inputs!$E$49*12))</f>
        <v>-0</v>
      </c>
      <c r="P56" s="59" t="n">
        <f aca="false">-MIN(P54,Inputs!$E$47/MAX(1,Inputs!$E$49*12))</f>
        <v>-0</v>
      </c>
      <c r="Q56" s="59" t="n">
        <f aca="false">-MIN(Q54,Inputs!$E$47/MAX(1,Inputs!$E$49*12))</f>
        <v>-0</v>
      </c>
      <c r="R56" s="59" t="n">
        <f aca="false">-MIN(R54,Inputs!$E$47/MAX(1,Inputs!$E$49*12))</f>
        <v>-0</v>
      </c>
      <c r="S56" s="59" t="n">
        <f aca="false">-MIN(S54,Inputs!$E$47/MAX(1,Inputs!$E$49*12))</f>
        <v>-0</v>
      </c>
      <c r="T56" s="59" t="n">
        <f aca="false">-MIN(T54,Inputs!$E$47/MAX(1,Inputs!$E$49*12))</f>
        <v>-0</v>
      </c>
      <c r="U56" s="59" t="n">
        <f aca="false">-MIN(U54,Inputs!$E$47/MAX(1,Inputs!$E$49*12))</f>
        <v>-0</v>
      </c>
      <c r="V56" s="59" t="n">
        <f aca="false">-MIN(V54,Inputs!$E$47/MAX(1,Inputs!$E$49*12))</f>
        <v>-0</v>
      </c>
      <c r="W56" s="59" t="n">
        <f aca="false">-MIN(W54,Inputs!$E$47/MAX(1,Inputs!$E$49*12))</f>
        <v>-0</v>
      </c>
      <c r="X56" s="59" t="n">
        <f aca="false">-MIN(X54,Inputs!$E$47/MAX(1,Inputs!$E$49*12))</f>
        <v>-0</v>
      </c>
      <c r="Y56" s="59" t="n">
        <f aca="false">-MIN(Y54,Inputs!$E$47/MAX(1,Inputs!$E$49*12))</f>
        <v>-0</v>
      </c>
      <c r="Z56" s="59" t="n">
        <f aca="false">-MIN(Z54,Inputs!$E$47/MAX(1,Inputs!$E$49*12))</f>
        <v>-0</v>
      </c>
      <c r="AA56" s="59" t="n">
        <f aca="false">-MIN(AA54,Inputs!$E$47/MAX(1,Inputs!$E$49*12))</f>
        <v>-0</v>
      </c>
      <c r="AB56" s="59" t="n">
        <f aca="false">-MIN(AB54,Inputs!$E$47/MAX(1,Inputs!$E$49*12))</f>
        <v>-0</v>
      </c>
      <c r="AC56" s="59" t="n">
        <f aca="false">-MIN(AC54,Inputs!$E$47/MAX(1,Inputs!$E$49*12))</f>
        <v>-0</v>
      </c>
      <c r="AD56" s="59" t="n">
        <f aca="false">-MIN(AD54,Inputs!$E$47/MAX(1,Inputs!$E$49*12))</f>
        <v>-0</v>
      </c>
      <c r="AE56" s="59" t="n">
        <f aca="false">-MIN(AE54,Inputs!$E$47/MAX(1,Inputs!$E$49*12))</f>
        <v>-0</v>
      </c>
      <c r="AF56" s="59" t="n">
        <f aca="false">-MIN(AF54,Inputs!$E$47/MAX(1,Inputs!$E$49*12))</f>
        <v>-0</v>
      </c>
      <c r="AG56" s="59" t="n">
        <f aca="false">-MIN(AG54,Inputs!$E$47/MAX(1,Inputs!$E$49*12))</f>
        <v>-0</v>
      </c>
      <c r="AH56" s="59" t="n">
        <f aca="false">-MIN(AH54,Inputs!$E$47/MAX(1,Inputs!$E$49*12))</f>
        <v>-0</v>
      </c>
      <c r="AI56" s="59" t="n">
        <f aca="false">-MIN(AI54,Inputs!$E$47/MAX(1,Inputs!$E$49*12))</f>
        <v>-0</v>
      </c>
      <c r="AJ56" s="59" t="n">
        <f aca="false">-MIN(AJ54,Inputs!$E$47/MAX(1,Inputs!$E$49*12))</f>
        <v>-0</v>
      </c>
      <c r="AK56" s="59" t="n">
        <f aca="false">-MIN(AK54,Inputs!$E$47/MAX(1,Inputs!$E$49*12))</f>
        <v>-0</v>
      </c>
      <c r="AL56" s="59" t="n">
        <f aca="false">-MIN(AL54,Inputs!$E$47/MAX(1,Inputs!$E$49*12))</f>
        <v>-0</v>
      </c>
      <c r="AM56" s="59" t="n">
        <f aca="false">-MIN(AM54,Inputs!$E$47/MAX(1,Inputs!$E$49*12))</f>
        <v>-0</v>
      </c>
      <c r="AN56" s="59" t="n">
        <f aca="false">-MIN(AN54,Inputs!$E$47/MAX(1,Inputs!$E$49*12))</f>
        <v>-0</v>
      </c>
      <c r="AO56" s="59" t="n">
        <f aca="false">-MIN(AO54,Inputs!$E$47/MAX(1,Inputs!$E$49*12))</f>
        <v>-0</v>
      </c>
      <c r="AP56" s="59" t="n">
        <f aca="false">-MIN(AP54,Inputs!$E$47/MAX(1,Inputs!$E$49*12))</f>
        <v>-0</v>
      </c>
      <c r="AQ56" s="59" t="n">
        <f aca="false">-MIN(AQ54,Inputs!$E$47/MAX(1,Inputs!$E$49*12))</f>
        <v>-0</v>
      </c>
      <c r="AR56" s="59" t="n">
        <f aca="false">-MIN(AR54,Inputs!$E$47/MAX(1,Inputs!$E$49*12))</f>
        <v>-0</v>
      </c>
      <c r="AS56" s="59" t="n">
        <f aca="false">-MIN(AS54,Inputs!$E$47/MAX(1,Inputs!$E$49*12))</f>
        <v>-0</v>
      </c>
      <c r="AT56" s="59" t="n">
        <f aca="false">-MIN(AT54,Inputs!$E$47/MAX(1,Inputs!$E$49*12))</f>
        <v>-0</v>
      </c>
      <c r="AU56" s="59" t="n">
        <f aca="false">-MIN(AU54,Inputs!$E$47/MAX(1,Inputs!$E$49*12))</f>
        <v>-0</v>
      </c>
      <c r="AV56" s="59" t="n">
        <f aca="false">-MIN(AV54,Inputs!$E$47/MAX(1,Inputs!$E$49*12))</f>
        <v>-0</v>
      </c>
      <c r="AW56" s="59" t="n">
        <f aca="false">-MIN(AW54,Inputs!$E$47/MAX(1,Inputs!$E$49*12))</f>
        <v>-0</v>
      </c>
      <c r="AX56" s="59" t="n">
        <f aca="false">-MIN(AX54,Inputs!$E$47/MAX(1,Inputs!$E$49*12))</f>
        <v>-0</v>
      </c>
      <c r="AY56" s="59" t="n">
        <f aca="false">-MIN(AY54,Inputs!$E$47/MAX(1,Inputs!$E$49*12))</f>
        <v>-0</v>
      </c>
      <c r="AZ56" s="59" t="n">
        <f aca="false">-MIN(AZ54,Inputs!$E$47/MAX(1,Inputs!$E$49*12))</f>
        <v>-0</v>
      </c>
      <c r="BA56" s="59" t="n">
        <f aca="false">-MIN(BA54,Inputs!$E$47/MAX(1,Inputs!$E$49*12))</f>
        <v>-0</v>
      </c>
      <c r="BB56" s="59" t="n">
        <f aca="false">-MIN(BB54,Inputs!$E$47/MAX(1,Inputs!$E$49*12))</f>
        <v>-0</v>
      </c>
      <c r="BC56" s="59" t="n">
        <f aca="false">-MIN(BC54,Inputs!$E$47/MAX(1,Inputs!$E$49*12))</f>
        <v>-0</v>
      </c>
      <c r="BD56" s="59" t="n">
        <f aca="false">-MIN(BD54,Inputs!$E$47/MAX(1,Inputs!$E$49*12))</f>
        <v>-0</v>
      </c>
      <c r="BE56" s="59" t="n">
        <f aca="false">-MIN(BE54,Inputs!$E$47/MAX(1,Inputs!$E$49*12))</f>
        <v>-0</v>
      </c>
      <c r="BF56" s="59" t="n">
        <f aca="false">-MIN(BF54,Inputs!$E$47/MAX(1,Inputs!$E$49*12))</f>
        <v>-0</v>
      </c>
      <c r="BG56" s="59" t="n">
        <f aca="false">-MIN(BG54,Inputs!$E$47/MAX(1,Inputs!$E$49*12))</f>
        <v>-0</v>
      </c>
      <c r="BH56" s="59" t="n">
        <f aca="false">-MIN(BH54,Inputs!$E$47/MAX(1,Inputs!$E$49*12))</f>
        <v>-0</v>
      </c>
      <c r="BI56" s="59" t="n">
        <f aca="false">-MIN(BI54,Inputs!$E$47/MAX(1,Inputs!$E$49*12))</f>
        <v>-0</v>
      </c>
      <c r="BJ56" s="59" t="n">
        <f aca="false">-MIN(BJ54,Inputs!$E$47/MAX(1,Inputs!$E$49*12))</f>
        <v>-0</v>
      </c>
    </row>
    <row r="57" customFormat="false" ht="15" hidden="false" customHeight="false" outlineLevel="0" collapsed="false">
      <c r="A57" s="5" t="s">
        <v>419</v>
      </c>
      <c r="B57" s="6"/>
      <c r="C57" s="65" t="n">
        <f aca="false">C54+C55+C56</f>
        <v>0</v>
      </c>
      <c r="D57" s="65" t="n">
        <f aca="false">D54+D55+D56</f>
        <v>0</v>
      </c>
      <c r="E57" s="65" t="n">
        <f aca="false">E54+E55+E56</f>
        <v>0</v>
      </c>
      <c r="F57" s="65" t="n">
        <f aca="false">F54+F55+F56</f>
        <v>0</v>
      </c>
      <c r="G57" s="65" t="n">
        <f aca="false">G54+G55+G56</f>
        <v>0</v>
      </c>
      <c r="H57" s="65" t="n">
        <f aca="false">H54+H55+H56</f>
        <v>0</v>
      </c>
      <c r="I57" s="65" t="n">
        <f aca="false">I54+I55+I56</f>
        <v>0</v>
      </c>
      <c r="J57" s="65" t="n">
        <f aca="false">J54+J55+J56</f>
        <v>0</v>
      </c>
      <c r="K57" s="65" t="n">
        <f aca="false">K54+K55+K56</f>
        <v>0</v>
      </c>
      <c r="L57" s="65" t="n">
        <f aca="false">L54+L55+L56</f>
        <v>0</v>
      </c>
      <c r="M57" s="65" t="n">
        <f aca="false">M54+M55+M56</f>
        <v>0</v>
      </c>
      <c r="N57" s="65" t="n">
        <f aca="false">N54+N55+N56</f>
        <v>0</v>
      </c>
      <c r="O57" s="65" t="n">
        <f aca="false">O54+O55+O56</f>
        <v>0</v>
      </c>
      <c r="P57" s="65" t="n">
        <f aca="false">P54+P55+P56</f>
        <v>0</v>
      </c>
      <c r="Q57" s="65" t="n">
        <f aca="false">Q54+Q55+Q56</f>
        <v>0</v>
      </c>
      <c r="R57" s="65" t="n">
        <f aca="false">R54+R55+R56</f>
        <v>0</v>
      </c>
      <c r="S57" s="65" t="n">
        <f aca="false">S54+S55+S56</f>
        <v>0</v>
      </c>
      <c r="T57" s="65" t="n">
        <f aca="false">T54+T55+T56</f>
        <v>0</v>
      </c>
      <c r="U57" s="65" t="n">
        <f aca="false">U54+U55+U56</f>
        <v>0</v>
      </c>
      <c r="V57" s="65" t="n">
        <f aca="false">V54+V55+V56</f>
        <v>0</v>
      </c>
      <c r="W57" s="65" t="n">
        <f aca="false">W54+W55+W56</f>
        <v>0</v>
      </c>
      <c r="X57" s="65" t="n">
        <f aca="false">X54+X55+X56</f>
        <v>0</v>
      </c>
      <c r="Y57" s="65" t="n">
        <f aca="false">Y54+Y55+Y56</f>
        <v>0</v>
      </c>
      <c r="Z57" s="65" t="n">
        <f aca="false">Z54+Z55+Z56</f>
        <v>0</v>
      </c>
      <c r="AA57" s="65" t="n">
        <f aca="false">AA54+AA55+AA56</f>
        <v>0</v>
      </c>
      <c r="AB57" s="65" t="n">
        <f aca="false">AB54+AB55+AB56</f>
        <v>0</v>
      </c>
      <c r="AC57" s="65" t="n">
        <f aca="false">AC54+AC55+AC56</f>
        <v>0</v>
      </c>
      <c r="AD57" s="65" t="n">
        <f aca="false">AD54+AD55+AD56</f>
        <v>0</v>
      </c>
      <c r="AE57" s="65" t="n">
        <f aca="false">AE54+AE55+AE56</f>
        <v>0</v>
      </c>
      <c r="AF57" s="65" t="n">
        <f aca="false">AF54+AF55+AF56</f>
        <v>0</v>
      </c>
      <c r="AG57" s="65" t="n">
        <f aca="false">AG54+AG55+AG56</f>
        <v>0</v>
      </c>
      <c r="AH57" s="65" t="n">
        <f aca="false">AH54+AH55+AH56</f>
        <v>0</v>
      </c>
      <c r="AI57" s="65" t="n">
        <f aca="false">AI54+AI55+AI56</f>
        <v>0</v>
      </c>
      <c r="AJ57" s="65" t="n">
        <f aca="false">AJ54+AJ55+AJ56</f>
        <v>0</v>
      </c>
      <c r="AK57" s="65" t="n">
        <f aca="false">AK54+AK55+AK56</f>
        <v>0</v>
      </c>
      <c r="AL57" s="65" t="n">
        <f aca="false">AL54+AL55+AL56</f>
        <v>0</v>
      </c>
      <c r="AM57" s="65" t="n">
        <f aca="false">AM54+AM55+AM56</f>
        <v>0</v>
      </c>
      <c r="AN57" s="65" t="n">
        <f aca="false">AN54+AN55+AN56</f>
        <v>0</v>
      </c>
      <c r="AO57" s="65" t="n">
        <f aca="false">AO54+AO55+AO56</f>
        <v>0</v>
      </c>
      <c r="AP57" s="65" t="n">
        <f aca="false">AP54+AP55+AP56</f>
        <v>0</v>
      </c>
      <c r="AQ57" s="65" t="n">
        <f aca="false">AQ54+AQ55+AQ56</f>
        <v>0</v>
      </c>
      <c r="AR57" s="65" t="n">
        <f aca="false">AR54+AR55+AR56</f>
        <v>0</v>
      </c>
      <c r="AS57" s="65" t="n">
        <f aca="false">AS54+AS55+AS56</f>
        <v>0</v>
      </c>
      <c r="AT57" s="65" t="n">
        <f aca="false">AT54+AT55+AT56</f>
        <v>0</v>
      </c>
      <c r="AU57" s="65" t="n">
        <f aca="false">AU54+AU55+AU56</f>
        <v>0</v>
      </c>
      <c r="AV57" s="65" t="n">
        <f aca="false">AV54+AV55+AV56</f>
        <v>0</v>
      </c>
      <c r="AW57" s="65" t="n">
        <f aca="false">AW54+AW55+AW56</f>
        <v>0</v>
      </c>
      <c r="AX57" s="65" t="n">
        <f aca="false">AX54+AX55+AX56</f>
        <v>0</v>
      </c>
      <c r="AY57" s="65" t="n">
        <f aca="false">AY54+AY55+AY56</f>
        <v>0</v>
      </c>
      <c r="AZ57" s="65" t="n">
        <f aca="false">AZ54+AZ55+AZ56</f>
        <v>0</v>
      </c>
      <c r="BA57" s="65" t="n">
        <f aca="false">BA54+BA55+BA56</f>
        <v>0</v>
      </c>
      <c r="BB57" s="65" t="n">
        <f aca="false">BB54+BB55+BB56</f>
        <v>0</v>
      </c>
      <c r="BC57" s="65" t="n">
        <f aca="false">BC54+BC55+BC56</f>
        <v>0</v>
      </c>
      <c r="BD57" s="65" t="n">
        <f aca="false">BD54+BD55+BD56</f>
        <v>0</v>
      </c>
      <c r="BE57" s="65" t="n">
        <f aca="false">BE54+BE55+BE56</f>
        <v>0</v>
      </c>
      <c r="BF57" s="65" t="n">
        <f aca="false">BF54+BF55+BF56</f>
        <v>0</v>
      </c>
      <c r="BG57" s="65" t="n">
        <f aca="false">BG54+BG55+BG56</f>
        <v>0</v>
      </c>
      <c r="BH57" s="65" t="n">
        <f aca="false">BH54+BH55+BH56</f>
        <v>0</v>
      </c>
      <c r="BI57" s="65" t="n">
        <f aca="false">BI54+BI55+BI56</f>
        <v>0</v>
      </c>
      <c r="BJ57" s="65" t="n">
        <f aca="false">BJ54+BJ55+BJ56</f>
        <v>0</v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</row>
    <row r="59" customFormat="false" ht="15" hidden="false" customHeight="false" outlineLevel="0" collapsed="false">
      <c r="A59" s="57" t="s">
        <v>298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</row>
    <row r="60" customFormat="false" ht="15" hidden="false" customHeight="false" outlineLevel="0" collapsed="false">
      <c r="A60" s="6" t="s">
        <v>86</v>
      </c>
      <c r="B60" s="6"/>
      <c r="C60" s="59" t="n">
        <f aca="false">C24*Inputs!$E$52/30</f>
        <v>126458.333333333</v>
      </c>
      <c r="D60" s="59" t="n">
        <f aca="false">D24*Inputs!$E$52/30</f>
        <v>129360.416666667</v>
      </c>
      <c r="E60" s="59" t="n">
        <f aca="false">E24*Inputs!$E$52/30</f>
        <v>132233.479166667</v>
      </c>
      <c r="F60" s="59" t="n">
        <f aca="false">F24*Inputs!$E$52/30</f>
        <v>135077.811041667</v>
      </c>
      <c r="G60" s="59" t="n">
        <f aca="false">G24*Inputs!$E$52/30</f>
        <v>137893.699597917</v>
      </c>
      <c r="H60" s="59" t="n">
        <f aca="false">H24*Inputs!$E$52/30</f>
        <v>140681.429268604</v>
      </c>
      <c r="I60" s="59" t="n">
        <f aca="false">I24*Inputs!$E$52/30</f>
        <v>143441.281642585</v>
      </c>
      <c r="J60" s="59" t="n">
        <f aca="false">J24*Inputs!$E$52/30</f>
        <v>146173.535492826</v>
      </c>
      <c r="K60" s="59" t="n">
        <f aca="false">K24*Inputs!$E$52/30</f>
        <v>148878.466804564</v>
      </c>
      <c r="L60" s="59" t="n">
        <f aca="false">L24*Inputs!$E$52/30</f>
        <v>151556.348803185</v>
      </c>
      <c r="M60" s="59" t="n">
        <f aca="false">M24*Inputs!$E$52/30</f>
        <v>154207.45198182</v>
      </c>
      <c r="N60" s="59" t="n">
        <f aca="false">N24*Inputs!$E$52/30</f>
        <v>156832.044128668</v>
      </c>
      <c r="O60" s="59" t="n">
        <f aca="false">O24*Inputs!$E$52/30</f>
        <v>160007.890354048</v>
      </c>
      <c r="P60" s="59" t="n">
        <f aca="false">P24*Inputs!$E$52/30</f>
        <v>163729.478117175</v>
      </c>
      <c r="Q60" s="59" t="n">
        <f aca="false">Q24*Inputs!$E$52/30</f>
        <v>167413.850002669</v>
      </c>
      <c r="R60" s="59" t="n">
        <f aca="false">R24*Inputs!$E$52/30</f>
        <v>171061.378169309</v>
      </c>
      <c r="S60" s="59" t="n">
        <f aca="false">S24*Inputs!$E$52/30</f>
        <v>174672.431054283</v>
      </c>
      <c r="T60" s="59" t="n">
        <f aca="false">T24*Inputs!$E$52/30</f>
        <v>178247.373410407</v>
      </c>
      <c r="U60" s="59" t="n">
        <f aca="false">U24*Inputs!$E$52/30</f>
        <v>181786.566342969</v>
      </c>
      <c r="V60" s="59" t="n">
        <f aca="false">V24*Inputs!$E$52/30</f>
        <v>185290.367346206</v>
      </c>
      <c r="W60" s="59" t="n">
        <f aca="false">W24*Inputs!$E$52/30</f>
        <v>188759.130339411</v>
      </c>
      <c r="X60" s="59" t="n">
        <f aca="false">X24*Inputs!$E$52/30</f>
        <v>192193.205702684</v>
      </c>
      <c r="Y60" s="59" t="n">
        <f aca="false">Y24*Inputs!$E$52/30</f>
        <v>195592.940312323</v>
      </c>
      <c r="Z60" s="59" t="n">
        <f aca="false">Z24*Inputs!$E$52/30</f>
        <v>198958.677575867</v>
      </c>
      <c r="AA60" s="59" t="n">
        <f aca="false">AA24*Inputs!$E$52/30</f>
        <v>203033.644966775</v>
      </c>
      <c r="AB60" s="59" t="n">
        <f aca="false">AB24*Inputs!$E$52/30</f>
        <v>207810.750183774</v>
      </c>
      <c r="AC60" s="59" t="n">
        <f aca="false">AC24*Inputs!$E$52/30</f>
        <v>212540.084348603</v>
      </c>
      <c r="AD60" s="59" t="n">
        <f aca="false">AD24*Inputs!$E$52/30</f>
        <v>217222.125171783</v>
      </c>
      <c r="AE60" s="59" t="n">
        <f aca="false">AE24*Inputs!$E$52/30</f>
        <v>221857.345586732</v>
      </c>
      <c r="AF60" s="59" t="n">
        <f aca="false">AF24*Inputs!$E$52/30</f>
        <v>226446.213797531</v>
      </c>
      <c r="AG60" s="59" t="n">
        <f aca="false">AG24*Inputs!$E$52/30</f>
        <v>230989.193326223</v>
      </c>
      <c r="AH60" s="59" t="n">
        <f aca="false">AH24*Inputs!$E$52/30</f>
        <v>235486.743059627</v>
      </c>
      <c r="AI60" s="59" t="n">
        <f aca="false">AI24*Inputs!$E$52/30</f>
        <v>239939.317295698</v>
      </c>
      <c r="AJ60" s="59" t="n">
        <f aca="false">AJ24*Inputs!$E$52/30</f>
        <v>244347.365789407</v>
      </c>
      <c r="AK60" s="59" t="n">
        <f aca="false">AK24*Inputs!$E$52/30</f>
        <v>248711.33379818</v>
      </c>
      <c r="AL60" s="59" t="n">
        <f aca="false">AL24*Inputs!$E$52/30</f>
        <v>253031.662126865</v>
      </c>
      <c r="AM60" s="59" t="n">
        <f aca="false">AM24*Inputs!$E$52/30</f>
        <v>258265.957674763</v>
      </c>
      <c r="AN60" s="59" t="n">
        <f aca="false">AN24*Inputs!$E$52/30</f>
        <v>264405.080769682</v>
      </c>
      <c r="AO60" s="59" t="n">
        <f aca="false">AO24*Inputs!$E$52/30</f>
        <v>270482.812633652</v>
      </c>
      <c r="AP60" s="59" t="n">
        <f aca="false">AP24*Inputs!$E$52/30</f>
        <v>276499.767178982</v>
      </c>
      <c r="AQ60" s="59" t="n">
        <f aca="false">AQ24*Inputs!$E$52/30</f>
        <v>282456.552178859</v>
      </c>
      <c r="AR60" s="59" t="n">
        <f aca="false">AR24*Inputs!$E$52/30</f>
        <v>288353.769328737</v>
      </c>
      <c r="AS60" s="59" t="n">
        <f aca="false">AS24*Inputs!$E$52/30</f>
        <v>294192.014307116</v>
      </c>
      <c r="AT60" s="59" t="n">
        <f aca="false">AT24*Inputs!$E$52/30</f>
        <v>299971.876835711</v>
      </c>
      <c r="AU60" s="59" t="n">
        <f aca="false">AU24*Inputs!$E$52/30</f>
        <v>305693.940739021</v>
      </c>
      <c r="AV60" s="59" t="n">
        <f aca="false">AV24*Inputs!$E$52/30</f>
        <v>311358.784003298</v>
      </c>
      <c r="AW60" s="59" t="n">
        <f aca="false">AW24*Inputs!$E$52/30</f>
        <v>316966.978834931</v>
      </c>
      <c r="AX60" s="59" t="n">
        <f aca="false">AX24*Inputs!$E$52/30</f>
        <v>322519.091718249</v>
      </c>
      <c r="AY60" s="59" t="n">
        <f aca="false">AY24*Inputs!$E$52/30</f>
        <v>329250.91573262</v>
      </c>
      <c r="AZ60" s="59" t="n">
        <f aca="false">AZ24*Inputs!$E$52/30</f>
        <v>337150.653766736</v>
      </c>
      <c r="BA60" s="59" t="n">
        <f aca="false">BA24*Inputs!$E$52/30</f>
        <v>344971.39442051</v>
      </c>
      <c r="BB60" s="59" t="n">
        <f aca="false">BB24*Inputs!$E$52/30</f>
        <v>352713.927667747</v>
      </c>
      <c r="BC60" s="59" t="n">
        <f aca="false">BC24*Inputs!$E$52/30</f>
        <v>360379.035582511</v>
      </c>
      <c r="BD60" s="59" t="n">
        <f aca="false">BD24*Inputs!$E$52/30</f>
        <v>367967.492418127</v>
      </c>
      <c r="BE60" s="59" t="n">
        <f aca="false">BE24*Inputs!$E$52/30</f>
        <v>375480.064685388</v>
      </c>
      <c r="BF60" s="59" t="n">
        <f aca="false">BF24*Inputs!$E$52/30</f>
        <v>382917.511229975</v>
      </c>
      <c r="BG60" s="59" t="n">
        <f aca="false">BG24*Inputs!$E$52/30</f>
        <v>390280.583309117</v>
      </c>
      <c r="BH60" s="59" t="n">
        <f aca="false">BH24*Inputs!$E$52/30</f>
        <v>397570.024667468</v>
      </c>
      <c r="BI60" s="59" t="n">
        <f aca="false">BI24*Inputs!$E$52/30</f>
        <v>404786.571612235</v>
      </c>
      <c r="BJ60" s="59" t="n">
        <f aca="false">BJ24*Inputs!$E$52/30</f>
        <v>411930.953087554</v>
      </c>
    </row>
    <row r="61" customFormat="false" ht="15" hidden="false" customHeight="false" outlineLevel="0" collapsed="false">
      <c r="A61" s="6" t="s">
        <v>87</v>
      </c>
      <c r="B61" s="6"/>
      <c r="C61" s="59" t="n">
        <f aca="false">-C25*Inputs!$E$53/30</f>
        <v>0</v>
      </c>
      <c r="D61" s="59" t="n">
        <f aca="false">-D25*Inputs!$E$53/30</f>
        <v>0</v>
      </c>
      <c r="E61" s="59" t="n">
        <f aca="false">-E25*Inputs!$E$53/30</f>
        <v>0</v>
      </c>
      <c r="F61" s="59" t="n">
        <f aca="false">-F25*Inputs!$E$53/30</f>
        <v>0</v>
      </c>
      <c r="G61" s="59" t="n">
        <f aca="false">-G25*Inputs!$E$53/30</f>
        <v>0</v>
      </c>
      <c r="H61" s="59" t="n">
        <f aca="false">-H25*Inputs!$E$53/30</f>
        <v>0</v>
      </c>
      <c r="I61" s="59" t="n">
        <f aca="false">-I25*Inputs!$E$53/30</f>
        <v>0</v>
      </c>
      <c r="J61" s="59" t="n">
        <f aca="false">-J25*Inputs!$E$53/30</f>
        <v>0</v>
      </c>
      <c r="K61" s="59" t="n">
        <f aca="false">-K25*Inputs!$E$53/30</f>
        <v>0</v>
      </c>
      <c r="L61" s="59" t="n">
        <f aca="false">-L25*Inputs!$E$53/30</f>
        <v>0</v>
      </c>
      <c r="M61" s="59" t="n">
        <f aca="false">-M25*Inputs!$E$53/30</f>
        <v>0</v>
      </c>
      <c r="N61" s="59" t="n">
        <f aca="false">-N25*Inputs!$E$53/30</f>
        <v>0</v>
      </c>
      <c r="O61" s="59" t="n">
        <f aca="false">-O25*Inputs!$E$53/30</f>
        <v>0</v>
      </c>
      <c r="P61" s="59" t="n">
        <f aca="false">-P25*Inputs!$E$53/30</f>
        <v>0</v>
      </c>
      <c r="Q61" s="59" t="n">
        <f aca="false">-Q25*Inputs!$E$53/30</f>
        <v>0</v>
      </c>
      <c r="R61" s="59" t="n">
        <f aca="false">-R25*Inputs!$E$53/30</f>
        <v>0</v>
      </c>
      <c r="S61" s="59" t="n">
        <f aca="false">-S25*Inputs!$E$53/30</f>
        <v>0</v>
      </c>
      <c r="T61" s="59" t="n">
        <f aca="false">-T25*Inputs!$E$53/30</f>
        <v>0</v>
      </c>
      <c r="U61" s="59" t="n">
        <f aca="false">-U25*Inputs!$E$53/30</f>
        <v>0</v>
      </c>
      <c r="V61" s="59" t="n">
        <f aca="false">-V25*Inputs!$E$53/30</f>
        <v>0</v>
      </c>
      <c r="W61" s="59" t="n">
        <f aca="false">-W25*Inputs!$E$53/30</f>
        <v>0</v>
      </c>
      <c r="X61" s="59" t="n">
        <f aca="false">-X25*Inputs!$E$53/30</f>
        <v>0</v>
      </c>
      <c r="Y61" s="59" t="n">
        <f aca="false">-Y25*Inputs!$E$53/30</f>
        <v>0</v>
      </c>
      <c r="Z61" s="59" t="n">
        <f aca="false">-Z25*Inputs!$E$53/30</f>
        <v>0</v>
      </c>
      <c r="AA61" s="59" t="n">
        <f aca="false">-AA25*Inputs!$E$53/30</f>
        <v>0</v>
      </c>
      <c r="AB61" s="59" t="n">
        <f aca="false">-AB25*Inputs!$E$53/30</f>
        <v>0</v>
      </c>
      <c r="AC61" s="59" t="n">
        <f aca="false">-AC25*Inputs!$E$53/30</f>
        <v>0</v>
      </c>
      <c r="AD61" s="59" t="n">
        <f aca="false">-AD25*Inputs!$E$53/30</f>
        <v>0</v>
      </c>
      <c r="AE61" s="59" t="n">
        <f aca="false">-AE25*Inputs!$E$53/30</f>
        <v>0</v>
      </c>
      <c r="AF61" s="59" t="n">
        <f aca="false">-AF25*Inputs!$E$53/30</f>
        <v>0</v>
      </c>
      <c r="AG61" s="59" t="n">
        <f aca="false">-AG25*Inputs!$E$53/30</f>
        <v>0</v>
      </c>
      <c r="AH61" s="59" t="n">
        <f aca="false">-AH25*Inputs!$E$53/30</f>
        <v>0</v>
      </c>
      <c r="AI61" s="59" t="n">
        <f aca="false">-AI25*Inputs!$E$53/30</f>
        <v>0</v>
      </c>
      <c r="AJ61" s="59" t="n">
        <f aca="false">-AJ25*Inputs!$E$53/30</f>
        <v>0</v>
      </c>
      <c r="AK61" s="59" t="n">
        <f aca="false">-AK25*Inputs!$E$53/30</f>
        <v>0</v>
      </c>
      <c r="AL61" s="59" t="n">
        <f aca="false">-AL25*Inputs!$E$53/30</f>
        <v>0</v>
      </c>
      <c r="AM61" s="59" t="n">
        <f aca="false">-AM25*Inputs!$E$53/30</f>
        <v>0</v>
      </c>
      <c r="AN61" s="59" t="n">
        <f aca="false">-AN25*Inputs!$E$53/30</f>
        <v>0</v>
      </c>
      <c r="AO61" s="59" t="n">
        <f aca="false">-AO25*Inputs!$E$53/30</f>
        <v>0</v>
      </c>
      <c r="AP61" s="59" t="n">
        <f aca="false">-AP25*Inputs!$E$53/30</f>
        <v>0</v>
      </c>
      <c r="AQ61" s="59" t="n">
        <f aca="false">-AQ25*Inputs!$E$53/30</f>
        <v>0</v>
      </c>
      <c r="AR61" s="59" t="n">
        <f aca="false">-AR25*Inputs!$E$53/30</f>
        <v>0</v>
      </c>
      <c r="AS61" s="59" t="n">
        <f aca="false">-AS25*Inputs!$E$53/30</f>
        <v>0</v>
      </c>
      <c r="AT61" s="59" t="n">
        <f aca="false">-AT25*Inputs!$E$53/30</f>
        <v>0</v>
      </c>
      <c r="AU61" s="59" t="n">
        <f aca="false">-AU25*Inputs!$E$53/30</f>
        <v>0</v>
      </c>
      <c r="AV61" s="59" t="n">
        <f aca="false">-AV25*Inputs!$E$53/30</f>
        <v>0</v>
      </c>
      <c r="AW61" s="59" t="n">
        <f aca="false">-AW25*Inputs!$E$53/30</f>
        <v>0</v>
      </c>
      <c r="AX61" s="59" t="n">
        <f aca="false">-AX25*Inputs!$E$53/30</f>
        <v>0</v>
      </c>
      <c r="AY61" s="59" t="n">
        <f aca="false">-AY25*Inputs!$E$53/30</f>
        <v>0</v>
      </c>
      <c r="AZ61" s="59" t="n">
        <f aca="false">-AZ25*Inputs!$E$53/30</f>
        <v>0</v>
      </c>
      <c r="BA61" s="59" t="n">
        <f aca="false">-BA25*Inputs!$E$53/30</f>
        <v>0</v>
      </c>
      <c r="BB61" s="59" t="n">
        <f aca="false">-BB25*Inputs!$E$53/30</f>
        <v>0</v>
      </c>
      <c r="BC61" s="59" t="n">
        <f aca="false">-BC25*Inputs!$E$53/30</f>
        <v>0</v>
      </c>
      <c r="BD61" s="59" t="n">
        <f aca="false">-BD25*Inputs!$E$53/30</f>
        <v>0</v>
      </c>
      <c r="BE61" s="59" t="n">
        <f aca="false">-BE25*Inputs!$E$53/30</f>
        <v>0</v>
      </c>
      <c r="BF61" s="59" t="n">
        <f aca="false">-BF25*Inputs!$E$53/30</f>
        <v>0</v>
      </c>
      <c r="BG61" s="59" t="n">
        <f aca="false">-BG25*Inputs!$E$53/30</f>
        <v>0</v>
      </c>
      <c r="BH61" s="59" t="n">
        <f aca="false">-BH25*Inputs!$E$53/30</f>
        <v>0</v>
      </c>
      <c r="BI61" s="59" t="n">
        <f aca="false">-BI25*Inputs!$E$53/30</f>
        <v>0</v>
      </c>
      <c r="BJ61" s="59" t="n">
        <f aca="false">-BJ25*Inputs!$E$53/30</f>
        <v>0</v>
      </c>
    </row>
    <row r="62" customFormat="false" ht="15" hidden="false" customHeight="false" outlineLevel="0" collapsed="false">
      <c r="A62" s="6" t="s">
        <v>90</v>
      </c>
      <c r="B62" s="6"/>
      <c r="C62" s="59" t="n">
        <f aca="false">-C25*Inputs!$E$54/30</f>
        <v>81930</v>
      </c>
      <c r="D62" s="59" t="n">
        <f aca="false">-D25*Inputs!$E$54/30</f>
        <v>83780.425</v>
      </c>
      <c r="E62" s="59" t="n">
        <f aca="false">-E25*Inputs!$E$54/30</f>
        <v>85611.799875</v>
      </c>
      <c r="F62" s="59" t="n">
        <f aca="false">-F25*Inputs!$E$54/30</f>
        <v>87424.323314375</v>
      </c>
      <c r="G62" s="59" t="n">
        <f aca="false">-G25*Inputs!$E$54/30</f>
        <v>89218.1918977844</v>
      </c>
      <c r="H62" s="59" t="n">
        <f aca="false">-H25*Inputs!$E$54/30</f>
        <v>90993.6001181114</v>
      </c>
      <c r="I62" s="59" t="n">
        <f aca="false">-I25*Inputs!$E$54/30</f>
        <v>92750.7404041455</v>
      </c>
      <c r="J62" s="59" t="n">
        <f aca="false">-J25*Inputs!$E$54/30</f>
        <v>94489.8031430111</v>
      </c>
      <c r="K62" s="59" t="n">
        <f aca="false">-K25*Inputs!$E$54/30</f>
        <v>96210.9767023444</v>
      </c>
      <c r="L62" s="59" t="n">
        <f aca="false">-L25*Inputs!$E$54/30</f>
        <v>97914.4474522229</v>
      </c>
      <c r="M62" s="59" t="n">
        <f aca="false">-M25*Inputs!$E$54/30</f>
        <v>99600.3997868491</v>
      </c>
      <c r="N62" s="59" t="n">
        <f aca="false">-N25*Inputs!$E$54/30</f>
        <v>101269.016145992</v>
      </c>
      <c r="O62" s="59" t="n">
        <f aca="false">-O25*Inputs!$E$54/30</f>
        <v>103290.977036188</v>
      </c>
      <c r="P62" s="59" t="n">
        <f aca="false">-P25*Inputs!$E$54/30</f>
        <v>105662.636051707</v>
      </c>
      <c r="Q62" s="59" t="n">
        <f aca="false">-Q25*Inputs!$E$54/30</f>
        <v>108009.884945283</v>
      </c>
      <c r="R62" s="59" t="n">
        <f aca="false">-R25*Inputs!$E$54/30</f>
        <v>110332.978221112</v>
      </c>
      <c r="S62" s="59" t="n">
        <f aca="false">-S25*Inputs!$E$54/30</f>
        <v>112632.167682303</v>
      </c>
      <c r="T62" s="59" t="n">
        <f aca="false">-T25*Inputs!$E$54/30</f>
        <v>114907.702460232</v>
      </c>
      <c r="U62" s="59" t="n">
        <f aca="false">-U25*Inputs!$E$54/30</f>
        <v>117159.829043559</v>
      </c>
      <c r="V62" s="59" t="n">
        <f aca="false">-V25*Inputs!$E$54/30</f>
        <v>119388.791306935</v>
      </c>
      <c r="W62" s="59" t="n">
        <f aca="false">-W25*Inputs!$E$54/30</f>
        <v>121594.830539369</v>
      </c>
      <c r="X62" s="59" t="n">
        <f aca="false">-X25*Inputs!$E$54/30</f>
        <v>123778.185472297</v>
      </c>
      <c r="Y62" s="59" t="n">
        <f aca="false">-Y25*Inputs!$E$54/30</f>
        <v>125939.092307321</v>
      </c>
      <c r="Z62" s="59" t="n">
        <f aca="false">-Z25*Inputs!$E$54/30</f>
        <v>128077.784743648</v>
      </c>
      <c r="AA62" s="59" t="n">
        <f aca="false">-AA25*Inputs!$E$54/30</f>
        <v>130670.226505221</v>
      </c>
      <c r="AB62" s="59" t="n">
        <f aca="false">-AB25*Inputs!$E$54/30</f>
        <v>133711.739042543</v>
      </c>
      <c r="AC62" s="59" t="n">
        <f aca="false">-AC25*Inputs!$E$54/30</f>
        <v>136721.960207456</v>
      </c>
      <c r="AD62" s="59" t="n">
        <f aca="false">-AD25*Inputs!$E$54/30</f>
        <v>139701.21605739</v>
      </c>
      <c r="AE62" s="59" t="n">
        <f aca="false">-AE25*Inputs!$E$54/30</f>
        <v>142649.829192044</v>
      </c>
      <c r="AF62" s="59" t="n">
        <f aca="false">-AF25*Inputs!$E$54/30</f>
        <v>145568.118790924</v>
      </c>
      <c r="AG62" s="59" t="n">
        <f aca="false">-AG25*Inputs!$E$54/30</f>
        <v>148456.400650453</v>
      </c>
      <c r="AH62" s="59" t="n">
        <f aca="false">-AH25*Inputs!$E$54/30</f>
        <v>151314.987220675</v>
      </c>
      <c r="AI62" s="59" t="n">
        <f aca="false">-AI25*Inputs!$E$54/30</f>
        <v>154144.187641543</v>
      </c>
      <c r="AJ62" s="59" t="n">
        <f aca="false">-AJ25*Inputs!$E$54/30</f>
        <v>156944.307778807</v>
      </c>
      <c r="AK62" s="59" t="n">
        <f aca="false">-AK25*Inputs!$E$54/30</f>
        <v>159715.650259493</v>
      </c>
      <c r="AL62" s="59" t="n">
        <f aca="false">-AL25*Inputs!$E$54/30</f>
        <v>162458.514506995</v>
      </c>
      <c r="AM62" s="59" t="n">
        <f aca="false">-AM25*Inputs!$E$54/30</f>
        <v>165785.059077271</v>
      </c>
      <c r="AN62" s="59" t="n">
        <f aca="false">-AN25*Inputs!$E$54/30</f>
        <v>169689.270667136</v>
      </c>
      <c r="AO62" s="59" t="n">
        <f aca="false">-AO25*Inputs!$E$54/30</f>
        <v>173553.336452438</v>
      </c>
      <c r="AP62" s="59" t="n">
        <f aca="false">-AP25*Inputs!$E$54/30</f>
        <v>177377.674446553</v>
      </c>
      <c r="AQ62" s="59" t="n">
        <f aca="false">-AQ25*Inputs!$E$54/30</f>
        <v>181162.698234391</v>
      </c>
      <c r="AR62" s="59" t="n">
        <f aca="false">-AR25*Inputs!$E$54/30</f>
        <v>184908.817020412</v>
      </c>
      <c r="AS62" s="59" t="n">
        <f aca="false">-AS25*Inputs!$E$54/30</f>
        <v>188616.435676092</v>
      </c>
      <c r="AT62" s="59" t="n">
        <f aca="false">-AT25*Inputs!$E$54/30</f>
        <v>192285.954786872</v>
      </c>
      <c r="AU62" s="59" t="n">
        <f aca="false">-AU25*Inputs!$E$54/30</f>
        <v>195917.770698576</v>
      </c>
      <c r="AV62" s="59" t="n">
        <f aca="false">-AV25*Inputs!$E$54/30</f>
        <v>199512.275563315</v>
      </c>
      <c r="AW62" s="59" t="n">
        <f aca="false">-AW25*Inputs!$E$54/30</f>
        <v>203069.857384875</v>
      </c>
      <c r="AX62" s="59" t="n">
        <f aca="false">-AX25*Inputs!$E$54/30</f>
        <v>206590.900063606</v>
      </c>
      <c r="AY62" s="59" t="n">
        <f aca="false">-AY25*Inputs!$E$54/30</f>
        <v>210864.02279674</v>
      </c>
      <c r="AZ62" s="59" t="n">
        <f aca="false">-AZ25*Inputs!$E$54/30</f>
        <v>215881.483516851</v>
      </c>
      <c r="BA62" s="59" t="n">
        <f aca="false">-BA25*Inputs!$E$54/30</f>
        <v>220847.381540264</v>
      </c>
      <c r="BB62" s="59" t="n">
        <f aca="false">-BB25*Inputs!$E$54/30</f>
        <v>225762.253315286</v>
      </c>
      <c r="BC62" s="59" t="n">
        <f aca="false">-BC25*Inputs!$E$54/30</f>
        <v>230626.629613425</v>
      </c>
      <c r="BD62" s="59" t="n">
        <f aca="false">-BD25*Inputs!$E$54/30</f>
        <v>235441.035590836</v>
      </c>
      <c r="BE62" s="59" t="n">
        <f aca="false">-BE25*Inputs!$E$54/30</f>
        <v>240205.990849093</v>
      </c>
      <c r="BF62" s="59" t="n">
        <f aca="false">-BF25*Inputs!$E$54/30</f>
        <v>244922.009495278</v>
      </c>
      <c r="BG62" s="59" t="n">
        <f aca="false">-BG25*Inputs!$E$54/30</f>
        <v>249589.600201404</v>
      </c>
      <c r="BH62" s="59" t="n">
        <f aca="false">-BH25*Inputs!$E$54/30</f>
        <v>254209.266263175</v>
      </c>
      <c r="BI62" s="59" t="n">
        <f aca="false">-BI25*Inputs!$E$54/30</f>
        <v>258781.505658095</v>
      </c>
      <c r="BJ62" s="59" t="n">
        <f aca="false">-BJ25*Inputs!$E$54/30</f>
        <v>263306.811102925</v>
      </c>
    </row>
    <row r="63" customFormat="false" ht="15" hidden="false" customHeight="false" outlineLevel="0" collapsed="false">
      <c r="A63" s="6" t="s">
        <v>323</v>
      </c>
      <c r="B63" s="6"/>
      <c r="C63" s="59" t="n">
        <f aca="false">-C60</f>
        <v>-126458.333333333</v>
      </c>
      <c r="D63" s="59" t="n">
        <f aca="false">C60-D60</f>
        <v>-2902.08333333334</v>
      </c>
      <c r="E63" s="59" t="n">
        <f aca="false">D60-E60</f>
        <v>-2873.06249999999</v>
      </c>
      <c r="F63" s="59" t="n">
        <f aca="false">E60-F60</f>
        <v>-2844.331875</v>
      </c>
      <c r="G63" s="59" t="n">
        <f aca="false">F60-G60</f>
        <v>-2815.88855625002</v>
      </c>
      <c r="H63" s="59" t="n">
        <f aca="false">G60-H60</f>
        <v>-2787.72967068749</v>
      </c>
      <c r="I63" s="59" t="n">
        <f aca="false">H60-I60</f>
        <v>-2759.8523739806</v>
      </c>
      <c r="J63" s="59" t="n">
        <f aca="false">I60-J60</f>
        <v>-2732.25385024087</v>
      </c>
      <c r="K63" s="59" t="n">
        <f aca="false">J60-K60</f>
        <v>-2704.93131173839</v>
      </c>
      <c r="L63" s="59" t="n">
        <f aca="false">K60-L60</f>
        <v>-2677.88199862101</v>
      </c>
      <c r="M63" s="59" t="n">
        <f aca="false">L60-M60</f>
        <v>-2651.10317863483</v>
      </c>
      <c r="N63" s="59" t="n">
        <f aca="false">M60-N60</f>
        <v>-2624.59214684847</v>
      </c>
      <c r="O63" s="59" t="n">
        <f aca="false">N60-O60</f>
        <v>-3175.84622537997</v>
      </c>
      <c r="P63" s="59" t="n">
        <f aca="false">O60-P60</f>
        <v>-3721.58776312618</v>
      </c>
      <c r="Q63" s="59" t="n">
        <f aca="false">P60-Q60</f>
        <v>-3684.37188549491</v>
      </c>
      <c r="R63" s="59" t="n">
        <f aca="false">Q60-R60</f>
        <v>-3647.52816664</v>
      </c>
      <c r="S63" s="59" t="n">
        <f aca="false">R60-S60</f>
        <v>-3611.05288497359</v>
      </c>
      <c r="T63" s="59" t="n">
        <f aca="false">S60-T60</f>
        <v>-3574.94235612391</v>
      </c>
      <c r="U63" s="59" t="n">
        <f aca="false">T60-U60</f>
        <v>-3539.19293256258</v>
      </c>
      <c r="V63" s="59" t="n">
        <f aca="false">U60-V60</f>
        <v>-3503.80100323694</v>
      </c>
      <c r="W63" s="59" t="n">
        <f aca="false">V60-W60</f>
        <v>-3468.76299320467</v>
      </c>
      <c r="X63" s="59" t="n">
        <f aca="false">W60-X60</f>
        <v>-3434.07536327254</v>
      </c>
      <c r="Y63" s="59" t="n">
        <f aca="false">X60-Y60</f>
        <v>-3399.73460963985</v>
      </c>
      <c r="Z63" s="59" t="n">
        <f aca="false">Y60-Z60</f>
        <v>-3365.73726354347</v>
      </c>
      <c r="AA63" s="59" t="n">
        <f aca="false">Z60-AA60</f>
        <v>-4074.96739090796</v>
      </c>
      <c r="AB63" s="59" t="n">
        <f aca="false">AA60-AB60</f>
        <v>-4777.10521699887</v>
      </c>
      <c r="AC63" s="59" t="n">
        <f aca="false">AB60-AC60</f>
        <v>-4729.33416482891</v>
      </c>
      <c r="AD63" s="59" t="n">
        <f aca="false">AC60-AD60</f>
        <v>-4682.04082318064</v>
      </c>
      <c r="AE63" s="59" t="n">
        <f aca="false">AD60-AE60</f>
        <v>-4635.22041494877</v>
      </c>
      <c r="AF63" s="59" t="n">
        <f aca="false">AE60-AF60</f>
        <v>-4588.86821079938</v>
      </c>
      <c r="AG63" s="59" t="n">
        <f aca="false">AF60-AG60</f>
        <v>-4542.9795286913</v>
      </c>
      <c r="AH63" s="59" t="n">
        <f aca="false">AG60-AH60</f>
        <v>-4497.54973340448</v>
      </c>
      <c r="AI63" s="59" t="n">
        <f aca="false">AH60-AI60</f>
        <v>-4452.57423607033</v>
      </c>
      <c r="AJ63" s="59" t="n">
        <f aca="false">AI60-AJ60</f>
        <v>-4408.04849370968</v>
      </c>
      <c r="AK63" s="59" t="n">
        <f aca="false">AJ60-AK60</f>
        <v>-4363.96800877259</v>
      </c>
      <c r="AL63" s="59" t="n">
        <f aca="false">AK60-AL60</f>
        <v>-4320.32832868485</v>
      </c>
      <c r="AM63" s="59" t="n">
        <f aca="false">AL60-AM60</f>
        <v>-5234.29554789802</v>
      </c>
      <c r="AN63" s="59" t="n">
        <f aca="false">AM60-AN60</f>
        <v>-6139.12309491902</v>
      </c>
      <c r="AO63" s="59" t="n">
        <f aca="false">AN60-AO60</f>
        <v>-6077.73186396988</v>
      </c>
      <c r="AP63" s="59" t="n">
        <f aca="false">AO60-AP60</f>
        <v>-6016.95454533014</v>
      </c>
      <c r="AQ63" s="59" t="n">
        <f aca="false">AP60-AQ60</f>
        <v>-5956.78499987687</v>
      </c>
      <c r="AR63" s="59" t="n">
        <f aca="false">AQ60-AR60</f>
        <v>-5897.21714987804</v>
      </c>
      <c r="AS63" s="59" t="n">
        <f aca="false">AR60-AS60</f>
        <v>-5838.24497837934</v>
      </c>
      <c r="AT63" s="59" t="n">
        <f aca="false">AS60-AT60</f>
        <v>-5779.86252859543</v>
      </c>
      <c r="AU63" s="59" t="n">
        <f aca="false">AT60-AU60</f>
        <v>-5722.06390330958</v>
      </c>
      <c r="AV63" s="59" t="n">
        <f aca="false">AU60-AV60</f>
        <v>-5664.84326427651</v>
      </c>
      <c r="AW63" s="59" t="n">
        <f aca="false">AV60-AW60</f>
        <v>-5608.19483163365</v>
      </c>
      <c r="AX63" s="59" t="n">
        <f aca="false">AW60-AX60</f>
        <v>-5552.11288331734</v>
      </c>
      <c r="AY63" s="59" t="n">
        <f aca="false">AX60-AY60</f>
        <v>-6731.82401437173</v>
      </c>
      <c r="AZ63" s="59" t="n">
        <f aca="false">AY60-AZ60</f>
        <v>-7899.73803411546</v>
      </c>
      <c r="BA63" s="59" t="n">
        <f aca="false">AZ60-BA60</f>
        <v>-7820.74065377435</v>
      </c>
      <c r="BB63" s="59" t="n">
        <f aca="false">BA60-BB60</f>
        <v>-7742.53324723651</v>
      </c>
      <c r="BC63" s="59" t="n">
        <f aca="false">BB60-BC60</f>
        <v>-7665.1079147642</v>
      </c>
      <c r="BD63" s="59" t="n">
        <f aca="false">BC60-BD60</f>
        <v>-7588.4568356165</v>
      </c>
      <c r="BE63" s="59" t="n">
        <f aca="false">BD60-BE60</f>
        <v>-7512.57226726034</v>
      </c>
      <c r="BF63" s="59" t="n">
        <f aca="false">BE60-BF60</f>
        <v>-7437.44654458779</v>
      </c>
      <c r="BG63" s="59" t="n">
        <f aca="false">BF60-BG60</f>
        <v>-7363.0720791418</v>
      </c>
      <c r="BH63" s="59" t="n">
        <f aca="false">BG60-BH60</f>
        <v>-7289.44135835063</v>
      </c>
      <c r="BI63" s="59" t="n">
        <f aca="false">BH60-BI60</f>
        <v>-7216.54694476683</v>
      </c>
      <c r="BJ63" s="59" t="n">
        <f aca="false">BI60-BJ60</f>
        <v>-7144.38147531939</v>
      </c>
    </row>
    <row r="64" customFormat="false" ht="15" hidden="false" customHeight="false" outlineLevel="0" collapsed="false">
      <c r="A64" s="6" t="s">
        <v>324</v>
      </c>
      <c r="B64" s="6"/>
      <c r="C64" s="59" t="n">
        <f aca="false">-C61</f>
        <v>-0</v>
      </c>
      <c r="D64" s="59" t="n">
        <f aca="false">C61-D61</f>
        <v>0</v>
      </c>
      <c r="E64" s="59" t="n">
        <f aca="false">D61-E61</f>
        <v>0</v>
      </c>
      <c r="F64" s="59" t="n">
        <f aca="false">E61-F61</f>
        <v>0</v>
      </c>
      <c r="G64" s="59" t="n">
        <f aca="false">F61-G61</f>
        <v>0</v>
      </c>
      <c r="H64" s="59" t="n">
        <f aca="false">G61-H61</f>
        <v>0</v>
      </c>
      <c r="I64" s="59" t="n">
        <f aca="false">H61-I61</f>
        <v>0</v>
      </c>
      <c r="J64" s="59" t="n">
        <f aca="false">I61-J61</f>
        <v>0</v>
      </c>
      <c r="K64" s="59" t="n">
        <f aca="false">J61-K61</f>
        <v>0</v>
      </c>
      <c r="L64" s="59" t="n">
        <f aca="false">K61-L61</f>
        <v>0</v>
      </c>
      <c r="M64" s="59" t="n">
        <f aca="false">L61-M61</f>
        <v>0</v>
      </c>
      <c r="N64" s="59" t="n">
        <f aca="false">M61-N61</f>
        <v>0</v>
      </c>
      <c r="O64" s="59" t="n">
        <f aca="false">N61-O61</f>
        <v>0</v>
      </c>
      <c r="P64" s="59" t="n">
        <f aca="false">O61-P61</f>
        <v>0</v>
      </c>
      <c r="Q64" s="59" t="n">
        <f aca="false">P61-Q61</f>
        <v>0</v>
      </c>
      <c r="R64" s="59" t="n">
        <f aca="false">Q61-R61</f>
        <v>0</v>
      </c>
      <c r="S64" s="59" t="n">
        <f aca="false">R61-S61</f>
        <v>0</v>
      </c>
      <c r="T64" s="59" t="n">
        <f aca="false">S61-T61</f>
        <v>0</v>
      </c>
      <c r="U64" s="59" t="n">
        <f aca="false">T61-U61</f>
        <v>0</v>
      </c>
      <c r="V64" s="59" t="n">
        <f aca="false">U61-V61</f>
        <v>0</v>
      </c>
      <c r="W64" s="59" t="n">
        <f aca="false">V61-W61</f>
        <v>0</v>
      </c>
      <c r="X64" s="59" t="n">
        <f aca="false">W61-X61</f>
        <v>0</v>
      </c>
      <c r="Y64" s="59" t="n">
        <f aca="false">X61-Y61</f>
        <v>0</v>
      </c>
      <c r="Z64" s="59" t="n">
        <f aca="false">Y61-Z61</f>
        <v>0</v>
      </c>
      <c r="AA64" s="59" t="n">
        <f aca="false">Z61-AA61</f>
        <v>0</v>
      </c>
      <c r="AB64" s="59" t="n">
        <f aca="false">AA61-AB61</f>
        <v>0</v>
      </c>
      <c r="AC64" s="59" t="n">
        <f aca="false">AB61-AC61</f>
        <v>0</v>
      </c>
      <c r="AD64" s="59" t="n">
        <f aca="false">AC61-AD61</f>
        <v>0</v>
      </c>
      <c r="AE64" s="59" t="n">
        <f aca="false">AD61-AE61</f>
        <v>0</v>
      </c>
      <c r="AF64" s="59" t="n">
        <f aca="false">AE61-AF61</f>
        <v>0</v>
      </c>
      <c r="AG64" s="59" t="n">
        <f aca="false">AF61-AG61</f>
        <v>0</v>
      </c>
      <c r="AH64" s="59" t="n">
        <f aca="false">AG61-AH61</f>
        <v>0</v>
      </c>
      <c r="AI64" s="59" t="n">
        <f aca="false">AH61-AI61</f>
        <v>0</v>
      </c>
      <c r="AJ64" s="59" t="n">
        <f aca="false">AI61-AJ61</f>
        <v>0</v>
      </c>
      <c r="AK64" s="59" t="n">
        <f aca="false">AJ61-AK61</f>
        <v>0</v>
      </c>
      <c r="AL64" s="59" t="n">
        <f aca="false">AK61-AL61</f>
        <v>0</v>
      </c>
      <c r="AM64" s="59" t="n">
        <f aca="false">AL61-AM61</f>
        <v>0</v>
      </c>
      <c r="AN64" s="59" t="n">
        <f aca="false">AM61-AN61</f>
        <v>0</v>
      </c>
      <c r="AO64" s="59" t="n">
        <f aca="false">AN61-AO61</f>
        <v>0</v>
      </c>
      <c r="AP64" s="59" t="n">
        <f aca="false">AO61-AP61</f>
        <v>0</v>
      </c>
      <c r="AQ64" s="59" t="n">
        <f aca="false">AP61-AQ61</f>
        <v>0</v>
      </c>
      <c r="AR64" s="59" t="n">
        <f aca="false">AQ61-AR61</f>
        <v>0</v>
      </c>
      <c r="AS64" s="59" t="n">
        <f aca="false">AR61-AS61</f>
        <v>0</v>
      </c>
      <c r="AT64" s="59" t="n">
        <f aca="false">AS61-AT61</f>
        <v>0</v>
      </c>
      <c r="AU64" s="59" t="n">
        <f aca="false">AT61-AU61</f>
        <v>0</v>
      </c>
      <c r="AV64" s="59" t="n">
        <f aca="false">AU61-AV61</f>
        <v>0</v>
      </c>
      <c r="AW64" s="59" t="n">
        <f aca="false">AV61-AW61</f>
        <v>0</v>
      </c>
      <c r="AX64" s="59" t="n">
        <f aca="false">AW61-AX61</f>
        <v>0</v>
      </c>
      <c r="AY64" s="59" t="n">
        <f aca="false">AX61-AY61</f>
        <v>0</v>
      </c>
      <c r="AZ64" s="59" t="n">
        <f aca="false">AY61-AZ61</f>
        <v>0</v>
      </c>
      <c r="BA64" s="59" t="n">
        <f aca="false">AZ61-BA61</f>
        <v>0</v>
      </c>
      <c r="BB64" s="59" t="n">
        <f aca="false">BA61-BB61</f>
        <v>0</v>
      </c>
      <c r="BC64" s="59" t="n">
        <f aca="false">BB61-BC61</f>
        <v>0</v>
      </c>
      <c r="BD64" s="59" t="n">
        <f aca="false">BC61-BD61</f>
        <v>0</v>
      </c>
      <c r="BE64" s="59" t="n">
        <f aca="false">BD61-BE61</f>
        <v>0</v>
      </c>
      <c r="BF64" s="59" t="n">
        <f aca="false">BE61-BF61</f>
        <v>0</v>
      </c>
      <c r="BG64" s="59" t="n">
        <f aca="false">BF61-BG61</f>
        <v>0</v>
      </c>
      <c r="BH64" s="59" t="n">
        <f aca="false">BG61-BH61</f>
        <v>0</v>
      </c>
      <c r="BI64" s="59" t="n">
        <f aca="false">BH61-BI61</f>
        <v>0</v>
      </c>
      <c r="BJ64" s="59" t="n">
        <f aca="false">BI61-BJ61</f>
        <v>0</v>
      </c>
    </row>
    <row r="65" customFormat="false" ht="15" hidden="false" customHeight="false" outlineLevel="0" collapsed="false">
      <c r="A65" s="6" t="s">
        <v>325</v>
      </c>
      <c r="B65" s="6"/>
      <c r="C65" s="59" t="n">
        <f aca="false">C62</f>
        <v>81930</v>
      </c>
      <c r="D65" s="59" t="n">
        <f aca="false">D62-C62</f>
        <v>1850.425</v>
      </c>
      <c r="E65" s="59" t="n">
        <f aca="false">E62-D62</f>
        <v>1831.37487500001</v>
      </c>
      <c r="F65" s="59" t="n">
        <f aca="false">F62-E62</f>
        <v>1812.52343937499</v>
      </c>
      <c r="G65" s="59" t="n">
        <f aca="false">G62-F62</f>
        <v>1793.86858340939</v>
      </c>
      <c r="H65" s="59" t="n">
        <f aca="false">H62-G62</f>
        <v>1775.40822032698</v>
      </c>
      <c r="I65" s="59" t="n">
        <f aca="false">I62-H62</f>
        <v>1757.14028603413</v>
      </c>
      <c r="J65" s="59" t="n">
        <f aca="false">J62-I62</f>
        <v>1739.06273886558</v>
      </c>
      <c r="K65" s="59" t="n">
        <f aca="false">K62-J62</f>
        <v>1721.17355933331</v>
      </c>
      <c r="L65" s="59" t="n">
        <f aca="false">L62-K62</f>
        <v>1703.47074987853</v>
      </c>
      <c r="M65" s="59" t="n">
        <f aca="false">M62-L62</f>
        <v>1685.9523346262</v>
      </c>
      <c r="N65" s="59" t="n">
        <f aca="false">N62-M62</f>
        <v>1668.61635914273</v>
      </c>
      <c r="O65" s="59" t="n">
        <f aca="false">O62-N62</f>
        <v>2021.9608901961</v>
      </c>
      <c r="P65" s="59" t="n">
        <f aca="false">P62-O62</f>
        <v>2371.65901551934</v>
      </c>
      <c r="Q65" s="59" t="n">
        <f aca="false">Q62-P62</f>
        <v>2347.2488935759</v>
      </c>
      <c r="R65" s="59" t="n">
        <f aca="false">R62-Q62</f>
        <v>2323.0932758288</v>
      </c>
      <c r="S65" s="59" t="n">
        <f aca="false">S62-R62</f>
        <v>2299.18946119126</v>
      </c>
      <c r="T65" s="59" t="n">
        <f aca="false">T62-S62</f>
        <v>2275.53477792833</v>
      </c>
      <c r="U65" s="59" t="n">
        <f aca="false">U62-T62</f>
        <v>2252.12658332773</v>
      </c>
      <c r="V65" s="59" t="n">
        <f aca="false">V62-U62</f>
        <v>2228.96226337551</v>
      </c>
      <c r="W65" s="59" t="n">
        <f aca="false">W62-V62</f>
        <v>2206.03923243463</v>
      </c>
      <c r="X65" s="59" t="n">
        <f aca="false">X62-W62</f>
        <v>2183.3549329277</v>
      </c>
      <c r="Y65" s="59" t="n">
        <f aca="false">Y62-X62</f>
        <v>2160.90683502358</v>
      </c>
      <c r="Z65" s="59" t="n">
        <f aca="false">Z62-Y62</f>
        <v>2138.69243632718</v>
      </c>
      <c r="AA65" s="59" t="n">
        <f aca="false">AA62-Z62</f>
        <v>2592.44176157286</v>
      </c>
      <c r="AB65" s="59" t="n">
        <f aca="false">AB62-AA62</f>
        <v>3041.51253732198</v>
      </c>
      <c r="AC65" s="59" t="n">
        <f aca="false">AC62-AB62</f>
        <v>3010.22116491318</v>
      </c>
      <c r="AD65" s="59" t="n">
        <f aca="false">AD62-AC62</f>
        <v>2979.25584993395</v>
      </c>
      <c r="AE65" s="59" t="n">
        <f aca="false">AE62-AD62</f>
        <v>2948.6131346545</v>
      </c>
      <c r="AF65" s="59" t="n">
        <f aca="false">AF62-AE62</f>
        <v>2918.28959887952</v>
      </c>
      <c r="AG65" s="59" t="n">
        <f aca="false">AG62-AF62</f>
        <v>2888.28185952871</v>
      </c>
      <c r="AH65" s="59" t="n">
        <f aca="false">AH62-AG62</f>
        <v>2858.58657022187</v>
      </c>
      <c r="AI65" s="59" t="n">
        <f aca="false">AI62-AH62</f>
        <v>2829.20042086876</v>
      </c>
      <c r="AJ65" s="59" t="n">
        <f aca="false">AJ62-AI62</f>
        <v>2800.12013726393</v>
      </c>
      <c r="AK65" s="59" t="n">
        <f aca="false">AK62-AJ62</f>
        <v>2771.34248068612</v>
      </c>
      <c r="AL65" s="59" t="n">
        <f aca="false">AL62-AK62</f>
        <v>2742.86424750212</v>
      </c>
      <c r="AM65" s="59" t="n">
        <f aca="false">AM62-AL62</f>
        <v>3326.54457027567</v>
      </c>
      <c r="AN65" s="59" t="n">
        <f aca="false">AN62-AM62</f>
        <v>3904.21158986521</v>
      </c>
      <c r="AO65" s="59" t="n">
        <f aca="false">AO62-AN62</f>
        <v>3864.06578530199</v>
      </c>
      <c r="AP65" s="59" t="n">
        <f aca="false">AP62-AO62</f>
        <v>3824.33799411441</v>
      </c>
      <c r="AQ65" s="59" t="n">
        <f aca="false">AQ62-AP62</f>
        <v>3785.02378783864</v>
      </c>
      <c r="AR65" s="59" t="n">
        <f aca="false">AR62-AQ62</f>
        <v>3746.1187860207</v>
      </c>
      <c r="AS65" s="59" t="n">
        <f aca="false">AS62-AR62</f>
        <v>3707.61865568004</v>
      </c>
      <c r="AT65" s="59" t="n">
        <f aca="false">AT62-AS62</f>
        <v>3669.51911077998</v>
      </c>
      <c r="AU65" s="59" t="n">
        <f aca="false">AU62-AT62</f>
        <v>3631.81591170406</v>
      </c>
      <c r="AV65" s="59" t="n">
        <f aca="false">AV62-AU62</f>
        <v>3594.50486473841</v>
      </c>
      <c r="AW65" s="59" t="n">
        <f aca="false">AW62-AV62</f>
        <v>3557.58182156022</v>
      </c>
      <c r="AX65" s="59" t="n">
        <f aca="false">AX62-AW62</f>
        <v>3521.04267873164</v>
      </c>
      <c r="AY65" s="59" t="n">
        <f aca="false">AY62-AX62</f>
        <v>4273.12273313315</v>
      </c>
      <c r="AZ65" s="59" t="n">
        <f aca="false">AZ62-AY62</f>
        <v>5017.46072011179</v>
      </c>
      <c r="BA65" s="59" t="n">
        <f aca="false">BA62-AZ62</f>
        <v>4965.89802341242</v>
      </c>
      <c r="BB65" s="59" t="n">
        <f aca="false">BB62-BA62</f>
        <v>4914.87177502256</v>
      </c>
      <c r="BC65" s="59" t="n">
        <f aca="false">BC62-BB62</f>
        <v>4864.37629813896</v>
      </c>
      <c r="BD65" s="59" t="n">
        <f aca="false">BD62-BC62</f>
        <v>4814.40597741114</v>
      </c>
      <c r="BE65" s="59" t="n">
        <f aca="false">BE62-BD62</f>
        <v>4764.95525825679</v>
      </c>
      <c r="BF65" s="59" t="n">
        <f aca="false">BF62-BE62</f>
        <v>4716.01864618476</v>
      </c>
      <c r="BG65" s="59" t="n">
        <f aca="false">BG62-BF62</f>
        <v>4667.59070612572</v>
      </c>
      <c r="BH65" s="59" t="n">
        <f aca="false">BH62-BG62</f>
        <v>4619.66606177134</v>
      </c>
      <c r="BI65" s="59" t="n">
        <f aca="false">BI62-BH62</f>
        <v>4572.23939491971</v>
      </c>
      <c r="BJ65" s="59" t="n">
        <f aca="false">BJ62-BI62</f>
        <v>4525.30544483027</v>
      </c>
    </row>
    <row r="66" customFormat="false" ht="15" hidden="false" customHeight="false" outlineLevel="0" collapsed="false">
      <c r="A66" s="6" t="s">
        <v>328</v>
      </c>
      <c r="B66" s="6"/>
      <c r="C66" s="59" t="n">
        <f aca="false">C21*Inputs!$E$17*6</f>
        <v>921000</v>
      </c>
      <c r="D66" s="59" t="n">
        <f aca="false">D21*Inputs!$E$17*6</f>
        <v>941790</v>
      </c>
      <c r="E66" s="59" t="n">
        <f aca="false">E21*Inputs!$E$17*6</f>
        <v>962372.1</v>
      </c>
      <c r="F66" s="59" t="n">
        <f aca="false">F21*Inputs!$E$17*6</f>
        <v>982748.379</v>
      </c>
      <c r="G66" s="59" t="n">
        <f aca="false">G21*Inputs!$E$17*6</f>
        <v>1002920.89521</v>
      </c>
      <c r="H66" s="59" t="n">
        <f aca="false">H21*Inputs!$E$17*6</f>
        <v>1022891.6862579</v>
      </c>
      <c r="I66" s="59" t="n">
        <f aca="false">I21*Inputs!$E$17*6</f>
        <v>1042662.76939532</v>
      </c>
      <c r="J66" s="59" t="n">
        <f aca="false">J21*Inputs!$E$17*6</f>
        <v>1062236.14170137</v>
      </c>
      <c r="K66" s="59" t="n">
        <f aca="false">K21*Inputs!$E$17*6</f>
        <v>1081613.78028435</v>
      </c>
      <c r="L66" s="59" t="n">
        <f aca="false">L21*Inputs!$E$17*6</f>
        <v>1100797.64248151</v>
      </c>
      <c r="M66" s="59" t="n">
        <f aca="false">M21*Inputs!$E$17*6</f>
        <v>1119789.6660567</v>
      </c>
      <c r="N66" s="59" t="n">
        <f aca="false">N21*Inputs!$E$17*6</f>
        <v>1138591.76939613</v>
      </c>
      <c r="O66" s="59" t="n">
        <f aca="false">O21*Inputs!$E$17*6</f>
        <v>1165521.85170217</v>
      </c>
      <c r="P66" s="59" t="n">
        <f aca="false">P21*Inputs!$E$17*6</f>
        <v>1192182.63318515</v>
      </c>
      <c r="Q66" s="59" t="n">
        <f aca="false">Q21*Inputs!$E$17*6</f>
        <v>1218576.80685329</v>
      </c>
      <c r="R66" s="59" t="n">
        <f aca="false">R21*Inputs!$E$17*6</f>
        <v>1244707.03878476</v>
      </c>
      <c r="S66" s="59" t="n">
        <f aca="false">S21*Inputs!$E$17*6</f>
        <v>1270575.96839691</v>
      </c>
      <c r="T66" s="59" t="n">
        <f aca="false">T21*Inputs!$E$17*6</f>
        <v>1296186.20871295</v>
      </c>
      <c r="U66" s="59" t="n">
        <f aca="false">U21*Inputs!$E$17*6</f>
        <v>1321540.34662582</v>
      </c>
      <c r="V66" s="59" t="n">
        <f aca="false">V21*Inputs!$E$17*6</f>
        <v>1346640.94315956</v>
      </c>
      <c r="W66" s="59" t="n">
        <f aca="false">W21*Inputs!$E$17*6</f>
        <v>1371490.53372796</v>
      </c>
      <c r="X66" s="59" t="n">
        <f aca="false">X21*Inputs!$E$17*6</f>
        <v>1396091.62839068</v>
      </c>
      <c r="Y66" s="59" t="n">
        <f aca="false">Y21*Inputs!$E$17*6</f>
        <v>1420446.71210678</v>
      </c>
      <c r="Z66" s="59" t="n">
        <f aca="false">Z21*Inputs!$E$17*6</f>
        <v>1444558.24498571</v>
      </c>
      <c r="AA66" s="59" t="n">
        <f aca="false">AA21*Inputs!$E$17*6</f>
        <v>1479126.24253585</v>
      </c>
      <c r="AB66" s="59" t="n">
        <f aca="false">AB21*Inputs!$E$17*6</f>
        <v>1513348.56011049</v>
      </c>
      <c r="AC66" s="59" t="n">
        <f aca="false">AC21*Inputs!$E$17*6</f>
        <v>1547228.65450939</v>
      </c>
      <c r="AD66" s="59" t="n">
        <f aca="false">AD21*Inputs!$E$17*6</f>
        <v>1580769.94796429</v>
      </c>
      <c r="AE66" s="59" t="n">
        <f aca="false">AE21*Inputs!$E$17*6</f>
        <v>1613975.82848465</v>
      </c>
      <c r="AF66" s="59" t="n">
        <f aca="false">AF21*Inputs!$E$17*6</f>
        <v>1646849.6501998</v>
      </c>
      <c r="AG66" s="59" t="n">
        <f aca="false">AG21*Inputs!$E$17*6</f>
        <v>1679394.73369781</v>
      </c>
      <c r="AH66" s="59" t="n">
        <f aca="false">AH21*Inputs!$E$17*6</f>
        <v>1711614.36636083</v>
      </c>
      <c r="AI66" s="59" t="n">
        <f aca="false">AI21*Inputs!$E$17*6</f>
        <v>1743511.80269722</v>
      </c>
      <c r="AJ66" s="59" t="n">
        <f aca="false">AJ21*Inputs!$E$17*6</f>
        <v>1775090.26467025</v>
      </c>
      <c r="AK66" s="59" t="n">
        <f aca="false">AK21*Inputs!$E$17*6</f>
        <v>1806352.94202354</v>
      </c>
      <c r="AL66" s="59" t="n">
        <f aca="false">AL21*Inputs!$E$17*6</f>
        <v>1837302.99260331</v>
      </c>
      <c r="AM66" s="59" t="n">
        <f aca="false">AM21*Inputs!$E$17*6</f>
        <v>1881726.79791327</v>
      </c>
      <c r="AN66" s="59" t="n">
        <f aca="false">AN21*Inputs!$E$17*6</f>
        <v>1925706.36517014</v>
      </c>
      <c r="AO66" s="59" t="n">
        <f aca="false">AO21*Inputs!$E$17*6</f>
        <v>1969246.13675444</v>
      </c>
      <c r="AP66" s="59" t="n">
        <f aca="false">AP21*Inputs!$E$17*6</f>
        <v>2012350.5106229</v>
      </c>
      <c r="AQ66" s="59" t="n">
        <f aca="false">AQ21*Inputs!$E$17*6</f>
        <v>2055023.84075267</v>
      </c>
      <c r="AR66" s="59" t="n">
        <f aca="false">AR21*Inputs!$E$17*6</f>
        <v>2097270.43758114</v>
      </c>
      <c r="AS66" s="59" t="n">
        <f aca="false">AS21*Inputs!$E$17*6</f>
        <v>2139094.56844133</v>
      </c>
      <c r="AT66" s="59" t="n">
        <f aca="false">AT21*Inputs!$E$17*6</f>
        <v>2180500.45799292</v>
      </c>
      <c r="AU66" s="59" t="n">
        <f aca="false">AU21*Inputs!$E$17*6</f>
        <v>2221492.28864899</v>
      </c>
      <c r="AV66" s="59" t="n">
        <f aca="false">AV21*Inputs!$E$17*6</f>
        <v>2262074.2009985</v>
      </c>
      <c r="AW66" s="59" t="n">
        <f aca="false">AW21*Inputs!$E$17*6</f>
        <v>2302250.29422451</v>
      </c>
      <c r="AX66" s="59" t="n">
        <f aca="false">AX21*Inputs!$E$17*6</f>
        <v>2342024.62651827</v>
      </c>
      <c r="AY66" s="59" t="n">
        <f aca="false">AY21*Inputs!$E$17*6</f>
        <v>2399188.56003146</v>
      </c>
      <c r="AZ66" s="59" t="n">
        <f aca="false">AZ21*Inputs!$E$17*6</f>
        <v>2455780.85420953</v>
      </c>
      <c r="BA66" s="59" t="n">
        <f aca="false">BA21*Inputs!$E$17*6</f>
        <v>2511807.22544581</v>
      </c>
      <c r="BB66" s="59" t="n">
        <f aca="false">BB21*Inputs!$E$17*6</f>
        <v>2567273.33296974</v>
      </c>
      <c r="BC66" s="59" t="n">
        <f aca="false">BC21*Inputs!$E$17*6</f>
        <v>2622184.77941842</v>
      </c>
      <c r="BD66" s="59" t="n">
        <f aca="false">BD21*Inputs!$E$17*6</f>
        <v>2676547.11140261</v>
      </c>
      <c r="BE66" s="59" t="n">
        <f aca="false">BE21*Inputs!$E$17*6</f>
        <v>2730365.82006697</v>
      </c>
      <c r="BF66" s="59" t="n">
        <f aca="false">BF21*Inputs!$E$17*6</f>
        <v>2783646.34164468</v>
      </c>
      <c r="BG66" s="59" t="n">
        <f aca="false">BG21*Inputs!$E$17*6</f>
        <v>2836394.05800661</v>
      </c>
      <c r="BH66" s="59" t="n">
        <f aca="false">BH21*Inputs!$E$17*6</f>
        <v>2888614.29720492</v>
      </c>
      <c r="BI66" s="59" t="n">
        <f aca="false">BI21*Inputs!$E$17*6</f>
        <v>2940312.33401126</v>
      </c>
      <c r="BJ66" s="59" t="n">
        <f aca="false">BJ21*Inputs!$E$17*6</f>
        <v>2991493.39044952</v>
      </c>
    </row>
    <row r="67" customFormat="false" ht="15" hidden="false" customHeight="false" outlineLevel="0" collapsed="false">
      <c r="A67" s="6" t="s">
        <v>326</v>
      </c>
      <c r="B67" s="6"/>
      <c r="C67" s="59" t="n">
        <f aca="false">C66</f>
        <v>921000</v>
      </c>
      <c r="D67" s="59" t="n">
        <f aca="false">D66-C66</f>
        <v>20790</v>
      </c>
      <c r="E67" s="59" t="n">
        <f aca="false">E66-D66</f>
        <v>20582.1000000001</v>
      </c>
      <c r="F67" s="59" t="n">
        <f aca="false">F66-E66</f>
        <v>20376.2790000001</v>
      </c>
      <c r="G67" s="59" t="n">
        <f aca="false">G66-F66</f>
        <v>20172.5162099999</v>
      </c>
      <c r="H67" s="59" t="n">
        <f aca="false">H66-G66</f>
        <v>19970.7910479001</v>
      </c>
      <c r="I67" s="59" t="n">
        <f aca="false">I66-H66</f>
        <v>19771.0831374209</v>
      </c>
      <c r="J67" s="59" t="n">
        <f aca="false">J66-I66</f>
        <v>19573.3723060468</v>
      </c>
      <c r="K67" s="59" t="n">
        <f aca="false">K66-J66</f>
        <v>19377.6385829863</v>
      </c>
      <c r="L67" s="59" t="n">
        <f aca="false">L66-K66</f>
        <v>19183.8621971565</v>
      </c>
      <c r="M67" s="59" t="n">
        <f aca="false">M66-L66</f>
        <v>18992.0235751849</v>
      </c>
      <c r="N67" s="59" t="n">
        <f aca="false">N66-M66</f>
        <v>18802.103339433</v>
      </c>
      <c r="O67" s="59" t="n">
        <f aca="false">O66-N66</f>
        <v>26930.0823060386</v>
      </c>
      <c r="P67" s="59" t="n">
        <f aca="false">P66-O66</f>
        <v>26660.7814829785</v>
      </c>
      <c r="Q67" s="59" t="n">
        <f aca="false">Q66-P66</f>
        <v>26394.1736681487</v>
      </c>
      <c r="R67" s="59" t="n">
        <f aca="false">R66-Q66</f>
        <v>26130.2319314671</v>
      </c>
      <c r="S67" s="59" t="n">
        <f aca="false">S66-R66</f>
        <v>25868.9296121527</v>
      </c>
      <c r="T67" s="59" t="n">
        <f aca="false">T66-S66</f>
        <v>25610.240316031</v>
      </c>
      <c r="U67" s="59" t="n">
        <f aca="false">U66-T66</f>
        <v>25354.1379128706</v>
      </c>
      <c r="V67" s="59" t="n">
        <f aca="false">V66-U66</f>
        <v>25100.5965337416</v>
      </c>
      <c r="W67" s="59" t="n">
        <f aca="false">W66-V66</f>
        <v>24849.5905684046</v>
      </c>
      <c r="X67" s="59" t="n">
        <f aca="false">X66-W66</f>
        <v>24601.0946627203</v>
      </c>
      <c r="Y67" s="59" t="n">
        <f aca="false">Y66-X66</f>
        <v>24355.0837160933</v>
      </c>
      <c r="Z67" s="59" t="n">
        <f aca="false">Z66-Y66</f>
        <v>24111.5328789323</v>
      </c>
      <c r="AA67" s="59" t="n">
        <f aca="false">AA66-Z66</f>
        <v>34567.9975501427</v>
      </c>
      <c r="AB67" s="59" t="n">
        <f aca="false">AB66-AA66</f>
        <v>34222.3175746414</v>
      </c>
      <c r="AC67" s="59" t="n">
        <f aca="false">AC66-AB66</f>
        <v>33880.0943988948</v>
      </c>
      <c r="AD67" s="59" t="n">
        <f aca="false">AD66-AC66</f>
        <v>33541.293454906</v>
      </c>
      <c r="AE67" s="59" t="n">
        <f aca="false">AE66-AD66</f>
        <v>33205.8805203568</v>
      </c>
      <c r="AF67" s="59" t="n">
        <f aca="false">AF66-AE66</f>
        <v>32873.8217151533</v>
      </c>
      <c r="AG67" s="59" t="n">
        <f aca="false">AG66-AF66</f>
        <v>32545.0834980023</v>
      </c>
      <c r="AH67" s="59" t="n">
        <f aca="false">AH66-AG66</f>
        <v>32219.6326630216</v>
      </c>
      <c r="AI67" s="59" t="n">
        <f aca="false">AI66-AH66</f>
        <v>31897.4363363916</v>
      </c>
      <c r="AJ67" s="59" t="n">
        <f aca="false">AJ66-AI66</f>
        <v>31578.4619730278</v>
      </c>
      <c r="AK67" s="59" t="n">
        <f aca="false">AK66-AJ66</f>
        <v>31262.6773532974</v>
      </c>
      <c r="AL67" s="59" t="n">
        <f aca="false">AL66-AK66</f>
        <v>30950.0505797644</v>
      </c>
      <c r="AM67" s="59" t="n">
        <f aca="false">AM66-AL66</f>
        <v>44423.8053099667</v>
      </c>
      <c r="AN67" s="59" t="n">
        <f aca="false">AN66-AM66</f>
        <v>43979.5672568674</v>
      </c>
      <c r="AO67" s="59" t="n">
        <f aca="false">AO66-AN66</f>
        <v>43539.7715842987</v>
      </c>
      <c r="AP67" s="59" t="n">
        <f aca="false">AP66-AO66</f>
        <v>43104.3738684556</v>
      </c>
      <c r="AQ67" s="59" t="n">
        <f aca="false">AQ66-AP66</f>
        <v>42673.3301297708</v>
      </c>
      <c r="AR67" s="59" t="n">
        <f aca="false">AR66-AQ66</f>
        <v>42246.5968284733</v>
      </c>
      <c r="AS67" s="59" t="n">
        <f aca="false">AS66-AR66</f>
        <v>41824.130860189</v>
      </c>
      <c r="AT67" s="59" t="n">
        <f aca="false">AT66-AS66</f>
        <v>41405.8895515865</v>
      </c>
      <c r="AU67" s="59" t="n">
        <f aca="false">AU66-AT66</f>
        <v>40991.8306560712</v>
      </c>
      <c r="AV67" s="59" t="n">
        <f aca="false">AV66-AU66</f>
        <v>40581.91234951</v>
      </c>
      <c r="AW67" s="59" t="n">
        <f aca="false">AW66-AV66</f>
        <v>40176.0932260151</v>
      </c>
      <c r="AX67" s="59" t="n">
        <f aca="false">AX66-AW66</f>
        <v>39774.3322937549</v>
      </c>
      <c r="AY67" s="59" t="n">
        <f aca="false">AY66-AX66</f>
        <v>57163.9335131971</v>
      </c>
      <c r="AZ67" s="59" t="n">
        <f aca="false">AZ66-AY66</f>
        <v>56592.2941780654</v>
      </c>
      <c r="BA67" s="59" t="n">
        <f aca="false">BA66-AZ66</f>
        <v>56026.3712362847</v>
      </c>
      <c r="BB67" s="59" t="n">
        <f aca="false">BB66-BA66</f>
        <v>55466.1075239219</v>
      </c>
      <c r="BC67" s="59" t="n">
        <f aca="false">BC66-BB66</f>
        <v>54911.4464486823</v>
      </c>
      <c r="BD67" s="59" t="n">
        <f aca="false">BD66-BC66</f>
        <v>54362.3319841954</v>
      </c>
      <c r="BE67" s="59" t="n">
        <f aca="false">BE66-BD66</f>
        <v>53818.7086643539</v>
      </c>
      <c r="BF67" s="59" t="n">
        <f aca="false">BF66-BE66</f>
        <v>53280.5215777103</v>
      </c>
      <c r="BG67" s="59" t="n">
        <f aca="false">BG66-BF66</f>
        <v>52747.7163619329</v>
      </c>
      <c r="BH67" s="59" t="n">
        <f aca="false">BH66-BG66</f>
        <v>52220.2391983136</v>
      </c>
      <c r="BI67" s="59" t="n">
        <f aca="false">BI66-BH66</f>
        <v>51698.0368063306</v>
      </c>
      <c r="BJ67" s="59" t="n">
        <f aca="false">BJ66-BI66</f>
        <v>51181.0564382672</v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</row>
    <row r="69" customFormat="false" ht="15" hidden="false" customHeight="false" outlineLevel="0" collapsed="false">
      <c r="A69" s="57" t="s">
        <v>420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</row>
    <row r="70" customFormat="false" ht="15" hidden="false" customHeight="false" outlineLevel="0" collapsed="false">
      <c r="A70" s="31" t="s">
        <v>50</v>
      </c>
      <c r="B70" s="31"/>
      <c r="C70" s="60" t="n">
        <f aca="false">C44-C49+C63+C64+C65+C67</f>
        <v>910226.466666667</v>
      </c>
      <c r="D70" s="60" t="n">
        <f aca="false">D44-D49+D63+D64+D65+D67</f>
        <v>65787.1809166666</v>
      </c>
      <c r="E70" s="60" t="n">
        <f aca="false">E44-E49+E63+E64+E65+E67</f>
        <v>77760.7817237501</v>
      </c>
      <c r="F70" s="60" t="n">
        <f aca="false">F44-F49+F63+F64+F65+F67</f>
        <v>89615.0794835188</v>
      </c>
      <c r="G70" s="60" t="n">
        <f aca="false">G44-G49+G63+G64+G65+G67</f>
        <v>101351.260732035</v>
      </c>
      <c r="H70" s="60" t="n">
        <f aca="false">H44-H49+H63+H64+H65+H67</f>
        <v>112970.500237415</v>
      </c>
      <c r="I70" s="60" t="n">
        <f aca="false">I44-I49+I63+I64+I65+I67</f>
        <v>124473.961116051</v>
      </c>
      <c r="J70" s="60" t="n">
        <f aca="false">J44-J49+J63+J64+J65+J67</f>
        <v>135862.794947686</v>
      </c>
      <c r="K70" s="60" t="n">
        <f aca="false">K44-K49+K63+K64+K65+K67</f>
        <v>147138.141889363</v>
      </c>
      <c r="L70" s="60" t="n">
        <f aca="false">L44-L49+L63+L64+L65+L67</f>
        <v>158301.130788255</v>
      </c>
      <c r="M70" s="60" t="n">
        <f aca="false">M44-M49+M63+M64+M65+M67</f>
        <v>169352.879293392</v>
      </c>
      <c r="N70" s="60" t="n">
        <f aca="false">N44-N49+N63+N64+N65+N67</f>
        <v>180294.493966282</v>
      </c>
      <c r="O70" s="60" t="n">
        <f aca="false">O44-O49+O63+O64+O65+O67</f>
        <v>90850.8353904552</v>
      </c>
      <c r="P70" s="60" t="n">
        <f aca="false">P44-P49+P63+P64+P65+P67</f>
        <v>106152.20652993</v>
      </c>
      <c r="Q70" s="60" t="n">
        <f aca="false">Q44-Q49+Q63+Q64+Q65+Q67</f>
        <v>121508.000582109</v>
      </c>
      <c r="R70" s="60" t="n">
        <f aca="false">R44-R49+R63+R64+R65+R67</f>
        <v>136710.786768504</v>
      </c>
      <c r="S70" s="60" t="n">
        <f aca="false">S44-S49+S63+S64+S65+S67</f>
        <v>151762.086916652</v>
      </c>
      <c r="T70" s="60" t="n">
        <f aca="false">T44-T49+T63+T64+T65+T67</f>
        <v>166663.407759581</v>
      </c>
      <c r="U70" s="60" t="n">
        <f aca="false">U44-U49+U63+U64+U65+U67</f>
        <v>181416.241084899</v>
      </c>
      <c r="V70" s="60" t="n">
        <f aca="false">V44-V49+V63+V64+V65+V67</f>
        <v>196022.06388242</v>
      </c>
      <c r="W70" s="60" t="n">
        <f aca="false">W44-W49+W63+W64+W65+W67</f>
        <v>210482.338490341</v>
      </c>
      <c r="X70" s="60" t="n">
        <f aca="false">X44-X49+X63+X64+X65+X67</f>
        <v>224798.512739981</v>
      </c>
      <c r="Y70" s="60" t="n">
        <f aca="false">Y44-Y49+Y63+Y64+Y65+Y67</f>
        <v>238972.020099107</v>
      </c>
      <c r="Z70" s="60" t="n">
        <f aca="false">Z44-Z49+Z63+Z64+Z65+Z67</f>
        <v>253004.279813843</v>
      </c>
      <c r="AA70" s="60" t="n">
        <f aca="false">AA44-AA49+AA63+AA64+AA65+AA67</f>
        <v>143104.939024196</v>
      </c>
      <c r="AB70" s="60" t="n">
        <f aca="false">AB44-AB49+AB63+AB64+AB65+AB67</f>
        <v>162746.875822443</v>
      </c>
      <c r="AC70" s="60" t="n">
        <f aca="false">AC44-AC49+AC63+AC64+AC65+AC67</f>
        <v>182460.101547466</v>
      </c>
      <c r="AD70" s="60" t="n">
        <f aca="false">AD44-AD49+AD63+AD64+AD65+AD67</f>
        <v>201976.890010574</v>
      </c>
      <c r="AE70" s="60" t="n">
        <f aca="false">AE44-AE49+AE63+AE64+AE65+AE67</f>
        <v>221299.195159458</v>
      </c>
      <c r="AF70" s="60" t="n">
        <f aca="false">AF44-AF49+AF63+AF64+AF65+AF67</f>
        <v>240428.951558703</v>
      </c>
      <c r="AG70" s="60" t="n">
        <f aca="false">AG44-AG49+AG63+AG64+AG65+AG67</f>
        <v>259368.074581278</v>
      </c>
      <c r="AH70" s="60" t="n">
        <f aca="false">AH44-AH49+AH63+AH64+AH65+AH67</f>
        <v>278118.460598139</v>
      </c>
      <c r="AI70" s="60" t="n">
        <f aca="false">AI44-AI49+AI63+AI64+AI65+AI67</f>
        <v>296681.987165977</v>
      </c>
      <c r="AJ70" s="60" t="n">
        <f aca="false">AJ44-AJ49+AJ63+AJ64+AJ65+AJ67</f>
        <v>315060.513213115</v>
      </c>
      <c r="AK70" s="60" t="n">
        <f aca="false">AK44-AK49+AK63+AK64+AK65+AK67</f>
        <v>333255.879223584</v>
      </c>
      <c r="AL70" s="60" t="n">
        <f aca="false">AL44-AL49+AL63+AL64+AL65+AL67</f>
        <v>351269.907419394</v>
      </c>
      <c r="AM70" s="60" t="n">
        <f aca="false">AM44-AM49+AM63+AM64+AM65+AM67</f>
        <v>215421.562042995</v>
      </c>
      <c r="AN70" s="60" t="n">
        <f aca="false">AN44-AN49+AN63+AN64+AN65+AN67</f>
        <v>240665.279776387</v>
      </c>
      <c r="AO70" s="60" t="n">
        <f aca="false">AO44-AO49+AO63+AO64+AO65+AO67</f>
        <v>266002.566595033</v>
      </c>
      <c r="AP70" s="60" t="n">
        <f aca="false">AP44-AP49+AP63+AP64+AP65+AP67</f>
        <v>291087.355936157</v>
      </c>
      <c r="AQ70" s="60" t="n">
        <f aca="false">AQ44-AQ49+AQ63+AQ64+AQ65+AQ67</f>
        <v>315922.159643673</v>
      </c>
      <c r="AR70" s="60" t="n">
        <f aca="false">AR44-AR49+AR63+AR64+AR65+AR67</f>
        <v>340509.464640022</v>
      </c>
      <c r="AS70" s="60" t="n">
        <f aca="false">AS44-AS49+AS63+AS64+AS65+AS67</f>
        <v>364851.733172427</v>
      </c>
      <c r="AT70" s="60" t="n">
        <f aca="false">AT44-AT49+AT63+AT64+AT65+AT67</f>
        <v>388951.403056735</v>
      </c>
      <c r="AU70" s="60" t="n">
        <f aca="false">AU44-AU49+AU63+AU64+AU65+AU67</f>
        <v>412810.88791887</v>
      </c>
      <c r="AV70" s="60" t="n">
        <f aca="false">AV44-AV49+AV63+AV64+AV65+AV67</f>
        <v>436432.577433904</v>
      </c>
      <c r="AW70" s="60" t="n">
        <f aca="false">AW44-AW49+AW63+AW64+AW65+AW67</f>
        <v>459818.837562785</v>
      </c>
      <c r="AX70" s="60" t="n">
        <f aca="false">AX44-AX49+AX63+AX64+AX65+AX67</f>
        <v>482972.010786738</v>
      </c>
      <c r="AY70" s="60" t="n">
        <f aca="false">AY44-AY49+AY63+AY64+AY65+AY67</f>
        <v>317293.217359207</v>
      </c>
      <c r="AZ70" s="60" t="n">
        <f aca="false">AZ44-AZ49+AZ63+AZ64+AZ65+AZ67</f>
        <v>349778.966304129</v>
      </c>
      <c r="BA70" s="60" t="n">
        <f aca="false">BA44-BA49+BA63+BA64+BA65+BA67</f>
        <v>382387.729306384</v>
      </c>
      <c r="BB70" s="60" t="n">
        <f aca="false">BB44-BB49+BB63+BB64+BB65+BB67</f>
        <v>414671.505641803</v>
      </c>
      <c r="BC70" s="60" t="n">
        <f aca="false">BC44-BC49+BC63+BC64+BC65+BC67</f>
        <v>446633.528662605</v>
      </c>
      <c r="BD70" s="60" t="n">
        <f aca="false">BD44-BD49+BD63+BD64+BD65+BD67</f>
        <v>478276.999635206</v>
      </c>
      <c r="BE70" s="60" t="n">
        <f aca="false">BE44-BE49+BE63+BE64+BE65+BE67</f>
        <v>509605.088057357</v>
      </c>
      <c r="BF70" s="60" t="n">
        <f aca="false">BF44-BF49+BF63+BF64+BF65+BF67</f>
        <v>540620.931972174</v>
      </c>
      <c r="BG70" s="60" t="n">
        <f aca="false">BG44-BG49+BG63+BG64+BG65+BG67</f>
        <v>571327.638279076</v>
      </c>
      <c r="BH70" s="60" t="n">
        <f aca="false">BH44-BH49+BH63+BH64+BH65+BH67</f>
        <v>601728.283041676</v>
      </c>
      <c r="BI70" s="60" t="n">
        <f aca="false">BI44-BI49+BI63+BI64+BI65+BI67</f>
        <v>631825.911792634</v>
      </c>
      <c r="BJ70" s="60" t="n">
        <f aca="false">BJ44-BJ49+BJ63+BJ64+BJ65+BJ67</f>
        <v>661623.539835526</v>
      </c>
    </row>
    <row r="71" customFormat="false" ht="15" hidden="false" customHeight="false" outlineLevel="0" collapsed="false">
      <c r="A71" s="6" t="s">
        <v>421</v>
      </c>
      <c r="B71" s="6"/>
      <c r="C71" s="59" t="n">
        <f aca="false">-C47</f>
        <v>-150000</v>
      </c>
      <c r="D71" s="59" t="n">
        <f aca="false">-D47</f>
        <v>-0</v>
      </c>
      <c r="E71" s="59" t="n">
        <f aca="false">-E47</f>
        <v>-0</v>
      </c>
      <c r="F71" s="59" t="n">
        <f aca="false">-F47</f>
        <v>-0</v>
      </c>
      <c r="G71" s="59" t="n">
        <f aca="false">-G47</f>
        <v>-0</v>
      </c>
      <c r="H71" s="59" t="n">
        <f aca="false">-H47</f>
        <v>-0</v>
      </c>
      <c r="I71" s="59" t="n">
        <f aca="false">-I47</f>
        <v>-0</v>
      </c>
      <c r="J71" s="59" t="n">
        <f aca="false">-J47</f>
        <v>-0</v>
      </c>
      <c r="K71" s="59" t="n">
        <f aca="false">-K47</f>
        <v>-0</v>
      </c>
      <c r="L71" s="59" t="n">
        <f aca="false">-L47</f>
        <v>-0</v>
      </c>
      <c r="M71" s="59" t="n">
        <f aca="false">-M47</f>
        <v>-0</v>
      </c>
      <c r="N71" s="59" t="n">
        <f aca="false">-N47</f>
        <v>-0</v>
      </c>
      <c r="O71" s="59" t="n">
        <f aca="false">-O47</f>
        <v>-0</v>
      </c>
      <c r="P71" s="59" t="n">
        <f aca="false">-P47</f>
        <v>-0</v>
      </c>
      <c r="Q71" s="59" t="n">
        <f aca="false">-Q47</f>
        <v>-0</v>
      </c>
      <c r="R71" s="59" t="n">
        <f aca="false">-R47</f>
        <v>-0</v>
      </c>
      <c r="S71" s="59" t="n">
        <f aca="false">-S47</f>
        <v>-0</v>
      </c>
      <c r="T71" s="59" t="n">
        <f aca="false">-T47</f>
        <v>-0</v>
      </c>
      <c r="U71" s="59" t="n">
        <f aca="false">-U47</f>
        <v>-0</v>
      </c>
      <c r="V71" s="59" t="n">
        <f aca="false">-V47</f>
        <v>-0</v>
      </c>
      <c r="W71" s="59" t="n">
        <f aca="false">-W47</f>
        <v>-0</v>
      </c>
      <c r="X71" s="59" t="n">
        <f aca="false">-X47</f>
        <v>-0</v>
      </c>
      <c r="Y71" s="59" t="n">
        <f aca="false">-Y47</f>
        <v>-0</v>
      </c>
      <c r="Z71" s="59" t="n">
        <f aca="false">-Z47</f>
        <v>-0</v>
      </c>
      <c r="AA71" s="59" t="n">
        <f aca="false">-AA47</f>
        <v>-0</v>
      </c>
      <c r="AB71" s="59" t="n">
        <f aca="false">-AB47</f>
        <v>-0</v>
      </c>
      <c r="AC71" s="59" t="n">
        <f aca="false">-AC47</f>
        <v>-0</v>
      </c>
      <c r="AD71" s="59" t="n">
        <f aca="false">-AD47</f>
        <v>-0</v>
      </c>
      <c r="AE71" s="59" t="n">
        <f aca="false">-AE47</f>
        <v>-0</v>
      </c>
      <c r="AF71" s="59" t="n">
        <f aca="false">-AF47</f>
        <v>-0</v>
      </c>
      <c r="AG71" s="59" t="n">
        <f aca="false">-AG47</f>
        <v>-0</v>
      </c>
      <c r="AH71" s="59" t="n">
        <f aca="false">-AH47</f>
        <v>-0</v>
      </c>
      <c r="AI71" s="59" t="n">
        <f aca="false">-AI47</f>
        <v>-0</v>
      </c>
      <c r="AJ71" s="59" t="n">
        <f aca="false">-AJ47</f>
        <v>-0</v>
      </c>
      <c r="AK71" s="59" t="n">
        <f aca="false">-AK47</f>
        <v>-0</v>
      </c>
      <c r="AL71" s="59" t="n">
        <f aca="false">-AL47</f>
        <v>-0</v>
      </c>
      <c r="AM71" s="59" t="n">
        <f aca="false">-AM47</f>
        <v>-0</v>
      </c>
      <c r="AN71" s="59" t="n">
        <f aca="false">-AN47</f>
        <v>-0</v>
      </c>
      <c r="AO71" s="59" t="n">
        <f aca="false">-AO47</f>
        <v>-0</v>
      </c>
      <c r="AP71" s="59" t="n">
        <f aca="false">-AP47</f>
        <v>-0</v>
      </c>
      <c r="AQ71" s="59" t="n">
        <f aca="false">-AQ47</f>
        <v>-0</v>
      </c>
      <c r="AR71" s="59" t="n">
        <f aca="false">-AR47</f>
        <v>-0</v>
      </c>
      <c r="AS71" s="59" t="n">
        <f aca="false">-AS47</f>
        <v>-0</v>
      </c>
      <c r="AT71" s="59" t="n">
        <f aca="false">-AT47</f>
        <v>-0</v>
      </c>
      <c r="AU71" s="59" t="n">
        <f aca="false">-AU47</f>
        <v>-0</v>
      </c>
      <c r="AV71" s="59" t="n">
        <f aca="false">-AV47</f>
        <v>-0</v>
      </c>
      <c r="AW71" s="59" t="n">
        <f aca="false">-AW47</f>
        <v>-0</v>
      </c>
      <c r="AX71" s="59" t="n">
        <f aca="false">-AX47</f>
        <v>-0</v>
      </c>
      <c r="AY71" s="59" t="n">
        <f aca="false">-AY47</f>
        <v>-0</v>
      </c>
      <c r="AZ71" s="59" t="n">
        <f aca="false">-AZ47</f>
        <v>-0</v>
      </c>
      <c r="BA71" s="59" t="n">
        <f aca="false">-BA47</f>
        <v>-0</v>
      </c>
      <c r="BB71" s="59" t="n">
        <f aca="false">-BB47</f>
        <v>-0</v>
      </c>
      <c r="BC71" s="59" t="n">
        <f aca="false">-BC47</f>
        <v>-0</v>
      </c>
      <c r="BD71" s="59" t="n">
        <f aca="false">-BD47</f>
        <v>-0</v>
      </c>
      <c r="BE71" s="59" t="n">
        <f aca="false">-BE47</f>
        <v>-0</v>
      </c>
      <c r="BF71" s="59" t="n">
        <f aca="false">-BF47</f>
        <v>-0</v>
      </c>
      <c r="BG71" s="59" t="n">
        <f aca="false">-BG47</f>
        <v>-0</v>
      </c>
      <c r="BH71" s="59" t="n">
        <f aca="false">-BH47</f>
        <v>-0</v>
      </c>
      <c r="BI71" s="59" t="n">
        <f aca="false">-BI47</f>
        <v>-0</v>
      </c>
      <c r="BJ71" s="59" t="n">
        <f aca="false">-BJ47</f>
        <v>-0</v>
      </c>
    </row>
    <row r="72" customFormat="false" ht="15" hidden="false" customHeight="false" outlineLevel="0" collapsed="false">
      <c r="A72" s="6" t="s">
        <v>61</v>
      </c>
      <c r="B72" s="6"/>
      <c r="C72" s="59" t="n">
        <f aca="false">IF(C$4=1,Inputs!$E$46,0)</f>
        <v>1000000</v>
      </c>
      <c r="D72" s="59" t="n">
        <f aca="false">IF(D$4=1,Inputs!$E$46,0)</f>
        <v>0</v>
      </c>
      <c r="E72" s="59" t="n">
        <f aca="false">IF(E$4=1,Inputs!$E$46,0)</f>
        <v>0</v>
      </c>
      <c r="F72" s="59" t="n">
        <f aca="false">IF(F$4=1,Inputs!$E$46,0)</f>
        <v>0</v>
      </c>
      <c r="G72" s="59" t="n">
        <f aca="false">IF(G$4=1,Inputs!$E$46,0)</f>
        <v>0</v>
      </c>
      <c r="H72" s="59" t="n">
        <f aca="false">IF(H$4=1,Inputs!$E$46,0)</f>
        <v>0</v>
      </c>
      <c r="I72" s="59" t="n">
        <f aca="false">IF(I$4=1,Inputs!$E$46,0)</f>
        <v>0</v>
      </c>
      <c r="J72" s="59" t="n">
        <f aca="false">IF(J$4=1,Inputs!$E$46,0)</f>
        <v>0</v>
      </c>
      <c r="K72" s="59" t="n">
        <f aca="false">IF(K$4=1,Inputs!$E$46,0)</f>
        <v>0</v>
      </c>
      <c r="L72" s="59" t="n">
        <f aca="false">IF(L$4=1,Inputs!$E$46,0)</f>
        <v>0</v>
      </c>
      <c r="M72" s="59" t="n">
        <f aca="false">IF(M$4=1,Inputs!$E$46,0)</f>
        <v>0</v>
      </c>
      <c r="N72" s="59" t="n">
        <f aca="false">IF(N$4=1,Inputs!$E$46,0)</f>
        <v>0</v>
      </c>
      <c r="O72" s="59" t="n">
        <f aca="false">IF(O$4=1,Inputs!$E$46,0)</f>
        <v>0</v>
      </c>
      <c r="P72" s="59" t="n">
        <f aca="false">IF(P$4=1,Inputs!$E$46,0)</f>
        <v>0</v>
      </c>
      <c r="Q72" s="59" t="n">
        <f aca="false">IF(Q$4=1,Inputs!$E$46,0)</f>
        <v>0</v>
      </c>
      <c r="R72" s="59" t="n">
        <f aca="false">IF(R$4=1,Inputs!$E$46,0)</f>
        <v>0</v>
      </c>
      <c r="S72" s="59" t="n">
        <f aca="false">IF(S$4=1,Inputs!$E$46,0)</f>
        <v>0</v>
      </c>
      <c r="T72" s="59" t="n">
        <f aca="false">IF(T$4=1,Inputs!$E$46,0)</f>
        <v>0</v>
      </c>
      <c r="U72" s="59" t="n">
        <f aca="false">IF(U$4=1,Inputs!$E$46,0)</f>
        <v>0</v>
      </c>
      <c r="V72" s="59" t="n">
        <f aca="false">IF(V$4=1,Inputs!$E$46,0)</f>
        <v>0</v>
      </c>
      <c r="W72" s="59" t="n">
        <f aca="false">IF(W$4=1,Inputs!$E$46,0)</f>
        <v>0</v>
      </c>
      <c r="X72" s="59" t="n">
        <f aca="false">IF(X$4=1,Inputs!$E$46,0)</f>
        <v>0</v>
      </c>
      <c r="Y72" s="59" t="n">
        <f aca="false">IF(Y$4=1,Inputs!$E$46,0)</f>
        <v>0</v>
      </c>
      <c r="Z72" s="59" t="n">
        <f aca="false">IF(Z$4=1,Inputs!$E$46,0)</f>
        <v>0</v>
      </c>
      <c r="AA72" s="59" t="n">
        <f aca="false">IF(AA$4=1,Inputs!$E$46,0)</f>
        <v>0</v>
      </c>
      <c r="AB72" s="59" t="n">
        <f aca="false">IF(AB$4=1,Inputs!$E$46,0)</f>
        <v>0</v>
      </c>
      <c r="AC72" s="59" t="n">
        <f aca="false">IF(AC$4=1,Inputs!$E$46,0)</f>
        <v>0</v>
      </c>
      <c r="AD72" s="59" t="n">
        <f aca="false">IF(AD$4=1,Inputs!$E$46,0)</f>
        <v>0</v>
      </c>
      <c r="AE72" s="59" t="n">
        <f aca="false">IF(AE$4=1,Inputs!$E$46,0)</f>
        <v>0</v>
      </c>
      <c r="AF72" s="59" t="n">
        <f aca="false">IF(AF$4=1,Inputs!$E$46,0)</f>
        <v>0</v>
      </c>
      <c r="AG72" s="59" t="n">
        <f aca="false">IF(AG$4=1,Inputs!$E$46,0)</f>
        <v>0</v>
      </c>
      <c r="AH72" s="59" t="n">
        <f aca="false">IF(AH$4=1,Inputs!$E$46,0)</f>
        <v>0</v>
      </c>
      <c r="AI72" s="59" t="n">
        <f aca="false">IF(AI$4=1,Inputs!$E$46,0)</f>
        <v>0</v>
      </c>
      <c r="AJ72" s="59" t="n">
        <f aca="false">IF(AJ$4=1,Inputs!$E$46,0)</f>
        <v>0</v>
      </c>
      <c r="AK72" s="59" t="n">
        <f aca="false">IF(AK$4=1,Inputs!$E$46,0)</f>
        <v>0</v>
      </c>
      <c r="AL72" s="59" t="n">
        <f aca="false">IF(AL$4=1,Inputs!$E$46,0)</f>
        <v>0</v>
      </c>
      <c r="AM72" s="59" t="n">
        <f aca="false">IF(AM$4=1,Inputs!$E$46,0)</f>
        <v>0</v>
      </c>
      <c r="AN72" s="59" t="n">
        <f aca="false">IF(AN$4=1,Inputs!$E$46,0)</f>
        <v>0</v>
      </c>
      <c r="AO72" s="59" t="n">
        <f aca="false">IF(AO$4=1,Inputs!$E$46,0)</f>
        <v>0</v>
      </c>
      <c r="AP72" s="59" t="n">
        <f aca="false">IF(AP$4=1,Inputs!$E$46,0)</f>
        <v>0</v>
      </c>
      <c r="AQ72" s="59" t="n">
        <f aca="false">IF(AQ$4=1,Inputs!$E$46,0)</f>
        <v>0</v>
      </c>
      <c r="AR72" s="59" t="n">
        <f aca="false">IF(AR$4=1,Inputs!$E$46,0)</f>
        <v>0</v>
      </c>
      <c r="AS72" s="59" t="n">
        <f aca="false">IF(AS$4=1,Inputs!$E$46,0)</f>
        <v>0</v>
      </c>
      <c r="AT72" s="59" t="n">
        <f aca="false">IF(AT$4=1,Inputs!$E$46,0)</f>
        <v>0</v>
      </c>
      <c r="AU72" s="59" t="n">
        <f aca="false">IF(AU$4=1,Inputs!$E$46,0)</f>
        <v>0</v>
      </c>
      <c r="AV72" s="59" t="n">
        <f aca="false">IF(AV$4=1,Inputs!$E$46,0)</f>
        <v>0</v>
      </c>
      <c r="AW72" s="59" t="n">
        <f aca="false">IF(AW$4=1,Inputs!$E$46,0)</f>
        <v>0</v>
      </c>
      <c r="AX72" s="59" t="n">
        <f aca="false">IF(AX$4=1,Inputs!$E$46,0)</f>
        <v>0</v>
      </c>
      <c r="AY72" s="59" t="n">
        <f aca="false">IF(AY$4=1,Inputs!$E$46,0)</f>
        <v>0</v>
      </c>
      <c r="AZ72" s="59" t="n">
        <f aca="false">IF(AZ$4=1,Inputs!$E$46,0)</f>
        <v>0</v>
      </c>
      <c r="BA72" s="59" t="n">
        <f aca="false">IF(BA$4=1,Inputs!$E$46,0)</f>
        <v>0</v>
      </c>
      <c r="BB72" s="59" t="n">
        <f aca="false">IF(BB$4=1,Inputs!$E$46,0)</f>
        <v>0</v>
      </c>
      <c r="BC72" s="59" t="n">
        <f aca="false">IF(BC$4=1,Inputs!$E$46,0)</f>
        <v>0</v>
      </c>
      <c r="BD72" s="59" t="n">
        <f aca="false">IF(BD$4=1,Inputs!$E$46,0)</f>
        <v>0</v>
      </c>
      <c r="BE72" s="59" t="n">
        <f aca="false">IF(BE$4=1,Inputs!$E$46,0)</f>
        <v>0</v>
      </c>
      <c r="BF72" s="59" t="n">
        <f aca="false">IF(BF$4=1,Inputs!$E$46,0)</f>
        <v>0</v>
      </c>
      <c r="BG72" s="59" t="n">
        <f aca="false">IF(BG$4=1,Inputs!$E$46,0)</f>
        <v>0</v>
      </c>
      <c r="BH72" s="59" t="n">
        <f aca="false">IF(BH$4=1,Inputs!$E$46,0)</f>
        <v>0</v>
      </c>
      <c r="BI72" s="59" t="n">
        <f aca="false">IF(BI$4=1,Inputs!$E$46,0)</f>
        <v>0</v>
      </c>
      <c r="BJ72" s="59" t="n">
        <f aca="false">IF(BJ$4=1,Inputs!$E$46,0)</f>
        <v>0</v>
      </c>
    </row>
    <row r="73" customFormat="false" ht="15" hidden="false" customHeight="false" outlineLevel="0" collapsed="false">
      <c r="A73" s="31" t="s">
        <v>52</v>
      </c>
      <c r="B73" s="31"/>
      <c r="C73" s="60" t="n">
        <f aca="false">C72+C55+C56</f>
        <v>1000000</v>
      </c>
      <c r="D73" s="60" t="n">
        <f aca="false">D72+D55+D56</f>
        <v>0</v>
      </c>
      <c r="E73" s="60" t="n">
        <f aca="false">E72+E55+E56</f>
        <v>0</v>
      </c>
      <c r="F73" s="60" t="n">
        <f aca="false">F72+F55+F56</f>
        <v>0</v>
      </c>
      <c r="G73" s="60" t="n">
        <f aca="false">G72+G55+G56</f>
        <v>0</v>
      </c>
      <c r="H73" s="60" t="n">
        <f aca="false">H72+H55+H56</f>
        <v>0</v>
      </c>
      <c r="I73" s="60" t="n">
        <f aca="false">I72+I55+I56</f>
        <v>0</v>
      </c>
      <c r="J73" s="60" t="n">
        <f aca="false">J72+J55+J56</f>
        <v>0</v>
      </c>
      <c r="K73" s="60" t="n">
        <f aca="false">K72+K55+K56</f>
        <v>0</v>
      </c>
      <c r="L73" s="60" t="n">
        <f aca="false">L72+L55+L56</f>
        <v>0</v>
      </c>
      <c r="M73" s="60" t="n">
        <f aca="false">M72+M55+M56</f>
        <v>0</v>
      </c>
      <c r="N73" s="60" t="n">
        <f aca="false">N72+N55+N56</f>
        <v>0</v>
      </c>
      <c r="O73" s="60" t="n">
        <f aca="false">O72+O55+O56</f>
        <v>0</v>
      </c>
      <c r="P73" s="60" t="n">
        <f aca="false">P72+P55+P56</f>
        <v>0</v>
      </c>
      <c r="Q73" s="60" t="n">
        <f aca="false">Q72+Q55+Q56</f>
        <v>0</v>
      </c>
      <c r="R73" s="60" t="n">
        <f aca="false">R72+R55+R56</f>
        <v>0</v>
      </c>
      <c r="S73" s="60" t="n">
        <f aca="false">S72+S55+S56</f>
        <v>0</v>
      </c>
      <c r="T73" s="60" t="n">
        <f aca="false">T72+T55+T56</f>
        <v>0</v>
      </c>
      <c r="U73" s="60" t="n">
        <f aca="false">U72+U55+U56</f>
        <v>0</v>
      </c>
      <c r="V73" s="60" t="n">
        <f aca="false">V72+V55+V56</f>
        <v>0</v>
      </c>
      <c r="W73" s="60" t="n">
        <f aca="false">W72+W55+W56</f>
        <v>0</v>
      </c>
      <c r="X73" s="60" t="n">
        <f aca="false">X72+X55+X56</f>
        <v>0</v>
      </c>
      <c r="Y73" s="60" t="n">
        <f aca="false">Y72+Y55+Y56</f>
        <v>0</v>
      </c>
      <c r="Z73" s="60" t="n">
        <f aca="false">Z72+Z55+Z56</f>
        <v>0</v>
      </c>
      <c r="AA73" s="60" t="n">
        <f aca="false">AA72+AA55+AA56</f>
        <v>0</v>
      </c>
      <c r="AB73" s="60" t="n">
        <f aca="false">AB72+AB55+AB56</f>
        <v>0</v>
      </c>
      <c r="AC73" s="60" t="n">
        <f aca="false">AC72+AC55+AC56</f>
        <v>0</v>
      </c>
      <c r="AD73" s="60" t="n">
        <f aca="false">AD72+AD55+AD56</f>
        <v>0</v>
      </c>
      <c r="AE73" s="60" t="n">
        <f aca="false">AE72+AE55+AE56</f>
        <v>0</v>
      </c>
      <c r="AF73" s="60" t="n">
        <f aca="false">AF72+AF55+AF56</f>
        <v>0</v>
      </c>
      <c r="AG73" s="60" t="n">
        <f aca="false">AG72+AG55+AG56</f>
        <v>0</v>
      </c>
      <c r="AH73" s="60" t="n">
        <f aca="false">AH72+AH55+AH56</f>
        <v>0</v>
      </c>
      <c r="AI73" s="60" t="n">
        <f aca="false">AI72+AI55+AI56</f>
        <v>0</v>
      </c>
      <c r="AJ73" s="60" t="n">
        <f aca="false">AJ72+AJ55+AJ56</f>
        <v>0</v>
      </c>
      <c r="AK73" s="60" t="n">
        <f aca="false">AK72+AK55+AK56</f>
        <v>0</v>
      </c>
      <c r="AL73" s="60" t="n">
        <f aca="false">AL72+AL55+AL56</f>
        <v>0</v>
      </c>
      <c r="AM73" s="60" t="n">
        <f aca="false">AM72+AM55+AM56</f>
        <v>0</v>
      </c>
      <c r="AN73" s="60" t="n">
        <f aca="false">AN72+AN55+AN56</f>
        <v>0</v>
      </c>
      <c r="AO73" s="60" t="n">
        <f aca="false">AO72+AO55+AO56</f>
        <v>0</v>
      </c>
      <c r="AP73" s="60" t="n">
        <f aca="false">AP72+AP55+AP56</f>
        <v>0</v>
      </c>
      <c r="AQ73" s="60" t="n">
        <f aca="false">AQ72+AQ55+AQ56</f>
        <v>0</v>
      </c>
      <c r="AR73" s="60" t="n">
        <f aca="false">AR72+AR55+AR56</f>
        <v>0</v>
      </c>
      <c r="AS73" s="60" t="n">
        <f aca="false">AS72+AS55+AS56</f>
        <v>0</v>
      </c>
      <c r="AT73" s="60" t="n">
        <f aca="false">AT72+AT55+AT56</f>
        <v>0</v>
      </c>
      <c r="AU73" s="60" t="n">
        <f aca="false">AU72+AU55+AU56</f>
        <v>0</v>
      </c>
      <c r="AV73" s="60" t="n">
        <f aca="false">AV72+AV55+AV56</f>
        <v>0</v>
      </c>
      <c r="AW73" s="60" t="n">
        <f aca="false">AW72+AW55+AW56</f>
        <v>0</v>
      </c>
      <c r="AX73" s="60" t="n">
        <f aca="false">AX72+AX55+AX56</f>
        <v>0</v>
      </c>
      <c r="AY73" s="60" t="n">
        <f aca="false">AY72+AY55+AY56</f>
        <v>0</v>
      </c>
      <c r="AZ73" s="60" t="n">
        <f aca="false">AZ72+AZ55+AZ56</f>
        <v>0</v>
      </c>
      <c r="BA73" s="60" t="n">
        <f aca="false">BA72+BA55+BA56</f>
        <v>0</v>
      </c>
      <c r="BB73" s="60" t="n">
        <f aca="false">BB72+BB55+BB56</f>
        <v>0</v>
      </c>
      <c r="BC73" s="60" t="n">
        <f aca="false">BC72+BC55+BC56</f>
        <v>0</v>
      </c>
      <c r="BD73" s="60" t="n">
        <f aca="false">BD72+BD55+BD56</f>
        <v>0</v>
      </c>
      <c r="BE73" s="60" t="n">
        <f aca="false">BE72+BE55+BE56</f>
        <v>0</v>
      </c>
      <c r="BF73" s="60" t="n">
        <f aca="false">BF72+BF55+BF56</f>
        <v>0</v>
      </c>
      <c r="BG73" s="60" t="n">
        <f aca="false">BG72+BG55+BG56</f>
        <v>0</v>
      </c>
      <c r="BH73" s="60" t="n">
        <f aca="false">BH72+BH55+BH56</f>
        <v>0</v>
      </c>
      <c r="BI73" s="60" t="n">
        <f aca="false">BI72+BI55+BI56</f>
        <v>0</v>
      </c>
      <c r="BJ73" s="60" t="n">
        <f aca="false">BJ72+BJ55+BJ56</f>
        <v>0</v>
      </c>
    </row>
    <row r="74" customFormat="false" ht="15" hidden="false" customHeight="false" outlineLevel="0" collapsed="false">
      <c r="A74" s="31" t="s">
        <v>422</v>
      </c>
      <c r="B74" s="31"/>
      <c r="C74" s="60" t="n">
        <f aca="false">C70+C71+C73</f>
        <v>1760226.46666667</v>
      </c>
      <c r="D74" s="60" t="n">
        <f aca="false">D70+D71+D73</f>
        <v>65787.1809166666</v>
      </c>
      <c r="E74" s="60" t="n">
        <f aca="false">E70+E71+E73</f>
        <v>77760.7817237501</v>
      </c>
      <c r="F74" s="60" t="n">
        <f aca="false">F70+F71+F73</f>
        <v>89615.0794835188</v>
      </c>
      <c r="G74" s="60" t="n">
        <f aca="false">G70+G71+G73</f>
        <v>101351.260732035</v>
      </c>
      <c r="H74" s="60" t="n">
        <f aca="false">H70+H71+H73</f>
        <v>112970.500237415</v>
      </c>
      <c r="I74" s="60" t="n">
        <f aca="false">I70+I71+I73</f>
        <v>124473.961116051</v>
      </c>
      <c r="J74" s="60" t="n">
        <f aca="false">J70+J71+J73</f>
        <v>135862.794947686</v>
      </c>
      <c r="K74" s="60" t="n">
        <f aca="false">K70+K71+K73</f>
        <v>147138.141889363</v>
      </c>
      <c r="L74" s="60" t="n">
        <f aca="false">L70+L71+L73</f>
        <v>158301.130788255</v>
      </c>
      <c r="M74" s="60" t="n">
        <f aca="false">M70+M71+M73</f>
        <v>169352.879293392</v>
      </c>
      <c r="N74" s="60" t="n">
        <f aca="false">N70+N71+N73</f>
        <v>180294.493966282</v>
      </c>
      <c r="O74" s="60" t="n">
        <f aca="false">O70+O71+O73</f>
        <v>90850.8353904552</v>
      </c>
      <c r="P74" s="60" t="n">
        <f aca="false">P70+P71+P73</f>
        <v>106152.20652993</v>
      </c>
      <c r="Q74" s="60" t="n">
        <f aca="false">Q70+Q71+Q73</f>
        <v>121508.000582109</v>
      </c>
      <c r="R74" s="60" t="n">
        <f aca="false">R70+R71+R73</f>
        <v>136710.786768504</v>
      </c>
      <c r="S74" s="60" t="n">
        <f aca="false">S70+S71+S73</f>
        <v>151762.086916652</v>
      </c>
      <c r="T74" s="60" t="n">
        <f aca="false">T70+T71+T73</f>
        <v>166663.407759581</v>
      </c>
      <c r="U74" s="60" t="n">
        <f aca="false">U70+U71+U73</f>
        <v>181416.241084899</v>
      </c>
      <c r="V74" s="60" t="n">
        <f aca="false">V70+V71+V73</f>
        <v>196022.06388242</v>
      </c>
      <c r="W74" s="60" t="n">
        <f aca="false">W70+W71+W73</f>
        <v>210482.338490341</v>
      </c>
      <c r="X74" s="60" t="n">
        <f aca="false">X70+X71+X73</f>
        <v>224798.512739981</v>
      </c>
      <c r="Y74" s="60" t="n">
        <f aca="false">Y70+Y71+Y73</f>
        <v>238972.020099107</v>
      </c>
      <c r="Z74" s="60" t="n">
        <f aca="false">Z70+Z71+Z73</f>
        <v>253004.279813843</v>
      </c>
      <c r="AA74" s="60" t="n">
        <f aca="false">AA70+AA71+AA73</f>
        <v>143104.939024196</v>
      </c>
      <c r="AB74" s="60" t="n">
        <f aca="false">AB70+AB71+AB73</f>
        <v>162746.875822443</v>
      </c>
      <c r="AC74" s="60" t="n">
        <f aca="false">AC70+AC71+AC73</f>
        <v>182460.101547466</v>
      </c>
      <c r="AD74" s="60" t="n">
        <f aca="false">AD70+AD71+AD73</f>
        <v>201976.890010574</v>
      </c>
      <c r="AE74" s="60" t="n">
        <f aca="false">AE70+AE71+AE73</f>
        <v>221299.195159458</v>
      </c>
      <c r="AF74" s="60" t="n">
        <f aca="false">AF70+AF71+AF73</f>
        <v>240428.951558703</v>
      </c>
      <c r="AG74" s="60" t="n">
        <f aca="false">AG70+AG71+AG73</f>
        <v>259368.074581278</v>
      </c>
      <c r="AH74" s="60" t="n">
        <f aca="false">AH70+AH71+AH73</f>
        <v>278118.460598139</v>
      </c>
      <c r="AI74" s="60" t="n">
        <f aca="false">AI70+AI71+AI73</f>
        <v>296681.987165977</v>
      </c>
      <c r="AJ74" s="60" t="n">
        <f aca="false">AJ70+AJ71+AJ73</f>
        <v>315060.513213115</v>
      </c>
      <c r="AK74" s="60" t="n">
        <f aca="false">AK70+AK71+AK73</f>
        <v>333255.879223584</v>
      </c>
      <c r="AL74" s="60" t="n">
        <f aca="false">AL70+AL71+AL73</f>
        <v>351269.907419394</v>
      </c>
      <c r="AM74" s="60" t="n">
        <f aca="false">AM70+AM71+AM73</f>
        <v>215421.562042995</v>
      </c>
      <c r="AN74" s="60" t="n">
        <f aca="false">AN70+AN71+AN73</f>
        <v>240665.279776387</v>
      </c>
      <c r="AO74" s="60" t="n">
        <f aca="false">AO70+AO71+AO73</f>
        <v>266002.566595033</v>
      </c>
      <c r="AP74" s="60" t="n">
        <f aca="false">AP70+AP71+AP73</f>
        <v>291087.355936157</v>
      </c>
      <c r="AQ74" s="60" t="n">
        <f aca="false">AQ70+AQ71+AQ73</f>
        <v>315922.159643673</v>
      </c>
      <c r="AR74" s="60" t="n">
        <f aca="false">AR70+AR71+AR73</f>
        <v>340509.464640022</v>
      </c>
      <c r="AS74" s="60" t="n">
        <f aca="false">AS70+AS71+AS73</f>
        <v>364851.733172427</v>
      </c>
      <c r="AT74" s="60" t="n">
        <f aca="false">AT70+AT71+AT73</f>
        <v>388951.403056735</v>
      </c>
      <c r="AU74" s="60" t="n">
        <f aca="false">AU70+AU71+AU73</f>
        <v>412810.88791887</v>
      </c>
      <c r="AV74" s="60" t="n">
        <f aca="false">AV70+AV71+AV73</f>
        <v>436432.577433904</v>
      </c>
      <c r="AW74" s="60" t="n">
        <f aca="false">AW70+AW71+AW73</f>
        <v>459818.837562785</v>
      </c>
      <c r="AX74" s="60" t="n">
        <f aca="false">AX70+AX71+AX73</f>
        <v>482972.010786738</v>
      </c>
      <c r="AY74" s="60" t="n">
        <f aca="false">AY70+AY71+AY73</f>
        <v>317293.217359207</v>
      </c>
      <c r="AZ74" s="60" t="n">
        <f aca="false">AZ70+AZ71+AZ73</f>
        <v>349778.966304129</v>
      </c>
      <c r="BA74" s="60" t="n">
        <f aca="false">BA70+BA71+BA73</f>
        <v>382387.729306384</v>
      </c>
      <c r="BB74" s="60" t="n">
        <f aca="false">BB70+BB71+BB73</f>
        <v>414671.505641803</v>
      </c>
      <c r="BC74" s="60" t="n">
        <f aca="false">BC70+BC71+BC73</f>
        <v>446633.528662605</v>
      </c>
      <c r="BD74" s="60" t="n">
        <f aca="false">BD70+BD71+BD73</f>
        <v>478276.999635206</v>
      </c>
      <c r="BE74" s="60" t="n">
        <f aca="false">BE70+BE71+BE73</f>
        <v>509605.088057357</v>
      </c>
      <c r="BF74" s="60" t="n">
        <f aca="false">BF70+BF71+BF73</f>
        <v>540620.931972174</v>
      </c>
      <c r="BG74" s="60" t="n">
        <f aca="false">BG70+BG71+BG73</f>
        <v>571327.638279076</v>
      </c>
      <c r="BH74" s="60" t="n">
        <f aca="false">BH70+BH71+BH73</f>
        <v>601728.283041676</v>
      </c>
      <c r="BI74" s="60" t="n">
        <f aca="false">BI70+BI71+BI73</f>
        <v>631825.911792634</v>
      </c>
      <c r="BJ74" s="60" t="n">
        <f aca="false">BJ70+BJ71+BJ73</f>
        <v>661623.539835526</v>
      </c>
    </row>
    <row r="75" customFormat="false" ht="15" hidden="false" customHeight="false" outlineLevel="0" collapsed="false">
      <c r="A75" s="6" t="s">
        <v>327</v>
      </c>
      <c r="B75" s="6"/>
      <c r="C75" s="59" t="n">
        <f aca="false">0</f>
        <v>0</v>
      </c>
      <c r="D75" s="59" t="n">
        <f aca="false">C76</f>
        <v>1760226.46666667</v>
      </c>
      <c r="E75" s="59" t="n">
        <f aca="false">D76</f>
        <v>1826013.64758333</v>
      </c>
      <c r="F75" s="59" t="n">
        <f aca="false">E76</f>
        <v>1903774.42930708</v>
      </c>
      <c r="G75" s="59" t="n">
        <f aca="false">F76</f>
        <v>1993389.5087906</v>
      </c>
      <c r="H75" s="59" t="n">
        <f aca="false">G76</f>
        <v>2094740.76952264</v>
      </c>
      <c r="I75" s="59" t="n">
        <f aca="false">H76</f>
        <v>2207711.26976005</v>
      </c>
      <c r="J75" s="59" t="n">
        <f aca="false">I76</f>
        <v>2332185.2308761</v>
      </c>
      <c r="K75" s="59" t="n">
        <f aca="false">J76</f>
        <v>2468048.02582379</v>
      </c>
      <c r="L75" s="59" t="n">
        <f aca="false">K76</f>
        <v>2615186.16771315</v>
      </c>
      <c r="M75" s="59" t="n">
        <f aca="false">L76</f>
        <v>2773487.29850141</v>
      </c>
      <c r="N75" s="59" t="n">
        <f aca="false">M76</f>
        <v>2942840.1777948</v>
      </c>
      <c r="O75" s="59" t="n">
        <f aca="false">N76</f>
        <v>3123134.67176108</v>
      </c>
      <c r="P75" s="59" t="n">
        <f aca="false">O76</f>
        <v>3213985.50715154</v>
      </c>
      <c r="Q75" s="59" t="n">
        <f aca="false">P76</f>
        <v>3320137.71368147</v>
      </c>
      <c r="R75" s="59" t="n">
        <f aca="false">Q76</f>
        <v>3441645.71426357</v>
      </c>
      <c r="S75" s="59" t="n">
        <f aca="false">R76</f>
        <v>3578356.50103208</v>
      </c>
      <c r="T75" s="59" t="n">
        <f aca="false">S76</f>
        <v>3730118.58794873</v>
      </c>
      <c r="U75" s="59" t="n">
        <f aca="false">T76</f>
        <v>3896781.99570831</v>
      </c>
      <c r="V75" s="59" t="n">
        <f aca="false">U76</f>
        <v>4078198.23679321</v>
      </c>
      <c r="W75" s="59" t="n">
        <f aca="false">V76</f>
        <v>4274220.30067563</v>
      </c>
      <c r="X75" s="59" t="n">
        <f aca="false">W76</f>
        <v>4484702.63916597</v>
      </c>
      <c r="Y75" s="59" t="n">
        <f aca="false">X76</f>
        <v>4709501.15190595</v>
      </c>
      <c r="Z75" s="59" t="n">
        <f aca="false">Y76</f>
        <v>4948473.17200506</v>
      </c>
      <c r="AA75" s="59" t="n">
        <f aca="false">Z76</f>
        <v>5201477.4518189</v>
      </c>
      <c r="AB75" s="59" t="n">
        <f aca="false">AA76</f>
        <v>5344582.3908431</v>
      </c>
      <c r="AC75" s="59" t="n">
        <f aca="false">AB76</f>
        <v>5507329.26666554</v>
      </c>
      <c r="AD75" s="59" t="n">
        <f aca="false">AC76</f>
        <v>5689789.36821301</v>
      </c>
      <c r="AE75" s="59" t="n">
        <f aca="false">AD76</f>
        <v>5891766.25822358</v>
      </c>
      <c r="AF75" s="59" t="n">
        <f aca="false">AE76</f>
        <v>6113065.45338304</v>
      </c>
      <c r="AG75" s="59" t="n">
        <f aca="false">AF76</f>
        <v>6353494.40494174</v>
      </c>
      <c r="AH75" s="59" t="n">
        <f aca="false">AG76</f>
        <v>6612862.47952302</v>
      </c>
      <c r="AI75" s="59" t="n">
        <f aca="false">AH76</f>
        <v>6890980.94012116</v>
      </c>
      <c r="AJ75" s="59" t="n">
        <f aca="false">AI76</f>
        <v>7187662.92728714</v>
      </c>
      <c r="AK75" s="59" t="n">
        <f aca="false">AJ76</f>
        <v>7502723.44050025</v>
      </c>
      <c r="AL75" s="59" t="n">
        <f aca="false">AK76</f>
        <v>7835979.31972384</v>
      </c>
      <c r="AM75" s="59" t="n">
        <f aca="false">AL76</f>
        <v>8187249.22714323</v>
      </c>
      <c r="AN75" s="59" t="n">
        <f aca="false">AM76</f>
        <v>8402670.78918623</v>
      </c>
      <c r="AO75" s="59" t="n">
        <f aca="false">AN76</f>
        <v>8643336.06896261</v>
      </c>
      <c r="AP75" s="59" t="n">
        <f aca="false">AO76</f>
        <v>8909338.63555765</v>
      </c>
      <c r="AQ75" s="59" t="n">
        <f aca="false">AP76</f>
        <v>9200425.9914938</v>
      </c>
      <c r="AR75" s="59" t="n">
        <f aca="false">AQ76</f>
        <v>9516348.15113748</v>
      </c>
      <c r="AS75" s="59" t="n">
        <f aca="false">AR76</f>
        <v>9856857.6157775</v>
      </c>
      <c r="AT75" s="59" t="n">
        <f aca="false">AS76</f>
        <v>10221709.3489499</v>
      </c>
      <c r="AU75" s="59" t="n">
        <f aca="false">AT76</f>
        <v>10610660.7520067</v>
      </c>
      <c r="AV75" s="59" t="n">
        <f aca="false">AU76</f>
        <v>11023471.6399255</v>
      </c>
      <c r="AW75" s="59" t="n">
        <f aca="false">AV76</f>
        <v>11459904.2173594</v>
      </c>
      <c r="AX75" s="59" t="n">
        <f aca="false">AW76</f>
        <v>11919723.0549222</v>
      </c>
      <c r="AY75" s="59" t="n">
        <f aca="false">AX76</f>
        <v>12402695.065709</v>
      </c>
      <c r="AZ75" s="59" t="n">
        <f aca="false">AY76</f>
        <v>12719988.2830682</v>
      </c>
      <c r="BA75" s="59" t="n">
        <f aca="false">AZ76</f>
        <v>13069767.2493723</v>
      </c>
      <c r="BB75" s="59" t="n">
        <f aca="false">BA76</f>
        <v>13452154.9786787</v>
      </c>
      <c r="BC75" s="59" t="n">
        <f aca="false">BB76</f>
        <v>13866826.4843205</v>
      </c>
      <c r="BD75" s="59" t="n">
        <f aca="false">BC76</f>
        <v>14313460.0129831</v>
      </c>
      <c r="BE75" s="59" t="n">
        <f aca="false">BD76</f>
        <v>14791737.0126183</v>
      </c>
      <c r="BF75" s="59" t="n">
        <f aca="false">BE76</f>
        <v>15301342.1006756</v>
      </c>
      <c r="BG75" s="59" t="n">
        <f aca="false">BF76</f>
        <v>15841963.0326478</v>
      </c>
      <c r="BH75" s="59" t="n">
        <f aca="false">BG76</f>
        <v>16413290.6709269</v>
      </c>
      <c r="BI75" s="59" t="n">
        <f aca="false">BH76</f>
        <v>17015018.9539686</v>
      </c>
      <c r="BJ75" s="59" t="n">
        <f aca="false">BI76</f>
        <v>17646844.8657612</v>
      </c>
    </row>
    <row r="76" customFormat="false" ht="15" hidden="false" customHeight="false" outlineLevel="0" collapsed="false">
      <c r="A76" s="35" t="s">
        <v>83</v>
      </c>
      <c r="B76" s="35"/>
      <c r="C76" s="62" t="n">
        <f aca="false">C75+C74</f>
        <v>1760226.46666667</v>
      </c>
      <c r="D76" s="62" t="n">
        <f aca="false">D75+D74</f>
        <v>1826013.64758333</v>
      </c>
      <c r="E76" s="62" t="n">
        <f aca="false">E75+E74</f>
        <v>1903774.42930708</v>
      </c>
      <c r="F76" s="62" t="n">
        <f aca="false">F75+F74</f>
        <v>1993389.5087906</v>
      </c>
      <c r="G76" s="62" t="n">
        <f aca="false">G75+G74</f>
        <v>2094740.76952264</v>
      </c>
      <c r="H76" s="62" t="n">
        <f aca="false">H75+H74</f>
        <v>2207711.26976005</v>
      </c>
      <c r="I76" s="62" t="n">
        <f aca="false">I75+I74</f>
        <v>2332185.2308761</v>
      </c>
      <c r="J76" s="62" t="n">
        <f aca="false">J75+J74</f>
        <v>2468048.02582379</v>
      </c>
      <c r="K76" s="62" t="n">
        <f aca="false">K75+K74</f>
        <v>2615186.16771315</v>
      </c>
      <c r="L76" s="62" t="n">
        <f aca="false">L75+L74</f>
        <v>2773487.29850141</v>
      </c>
      <c r="M76" s="62" t="n">
        <f aca="false">M75+M74</f>
        <v>2942840.1777948</v>
      </c>
      <c r="N76" s="62" t="n">
        <f aca="false">N75+N74</f>
        <v>3123134.67176108</v>
      </c>
      <c r="O76" s="62" t="n">
        <f aca="false">O75+O74</f>
        <v>3213985.50715154</v>
      </c>
      <c r="P76" s="62" t="n">
        <f aca="false">P75+P74</f>
        <v>3320137.71368147</v>
      </c>
      <c r="Q76" s="62" t="n">
        <f aca="false">Q75+Q74</f>
        <v>3441645.71426357</v>
      </c>
      <c r="R76" s="62" t="n">
        <f aca="false">R75+R74</f>
        <v>3578356.50103208</v>
      </c>
      <c r="S76" s="62" t="n">
        <f aca="false">S75+S74</f>
        <v>3730118.58794873</v>
      </c>
      <c r="T76" s="62" t="n">
        <f aca="false">T75+T74</f>
        <v>3896781.99570831</v>
      </c>
      <c r="U76" s="62" t="n">
        <f aca="false">U75+U74</f>
        <v>4078198.23679321</v>
      </c>
      <c r="V76" s="62" t="n">
        <f aca="false">V75+V74</f>
        <v>4274220.30067563</v>
      </c>
      <c r="W76" s="62" t="n">
        <f aca="false">W75+W74</f>
        <v>4484702.63916597</v>
      </c>
      <c r="X76" s="62" t="n">
        <f aca="false">X75+X74</f>
        <v>4709501.15190595</v>
      </c>
      <c r="Y76" s="62" t="n">
        <f aca="false">Y75+Y74</f>
        <v>4948473.17200506</v>
      </c>
      <c r="Z76" s="62" t="n">
        <f aca="false">Z75+Z74</f>
        <v>5201477.4518189</v>
      </c>
      <c r="AA76" s="62" t="n">
        <f aca="false">AA75+AA74</f>
        <v>5344582.3908431</v>
      </c>
      <c r="AB76" s="62" t="n">
        <f aca="false">AB75+AB74</f>
        <v>5507329.26666554</v>
      </c>
      <c r="AC76" s="62" t="n">
        <f aca="false">AC75+AC74</f>
        <v>5689789.36821301</v>
      </c>
      <c r="AD76" s="62" t="n">
        <f aca="false">AD75+AD74</f>
        <v>5891766.25822358</v>
      </c>
      <c r="AE76" s="62" t="n">
        <f aca="false">AE75+AE74</f>
        <v>6113065.45338304</v>
      </c>
      <c r="AF76" s="62" t="n">
        <f aca="false">AF75+AF74</f>
        <v>6353494.40494174</v>
      </c>
      <c r="AG76" s="62" t="n">
        <f aca="false">AG75+AG74</f>
        <v>6612862.47952302</v>
      </c>
      <c r="AH76" s="62" t="n">
        <f aca="false">AH75+AH74</f>
        <v>6890980.94012116</v>
      </c>
      <c r="AI76" s="62" t="n">
        <f aca="false">AI75+AI74</f>
        <v>7187662.92728714</v>
      </c>
      <c r="AJ76" s="62" t="n">
        <f aca="false">AJ75+AJ74</f>
        <v>7502723.44050025</v>
      </c>
      <c r="AK76" s="62" t="n">
        <f aca="false">AK75+AK74</f>
        <v>7835979.31972384</v>
      </c>
      <c r="AL76" s="62" t="n">
        <f aca="false">AL75+AL74</f>
        <v>8187249.22714323</v>
      </c>
      <c r="AM76" s="62" t="n">
        <f aca="false">AM75+AM74</f>
        <v>8402670.78918623</v>
      </c>
      <c r="AN76" s="62" t="n">
        <f aca="false">AN75+AN74</f>
        <v>8643336.06896261</v>
      </c>
      <c r="AO76" s="62" t="n">
        <f aca="false">AO75+AO74</f>
        <v>8909338.63555765</v>
      </c>
      <c r="AP76" s="62" t="n">
        <f aca="false">AP75+AP74</f>
        <v>9200425.9914938</v>
      </c>
      <c r="AQ76" s="62" t="n">
        <f aca="false">AQ75+AQ74</f>
        <v>9516348.15113748</v>
      </c>
      <c r="AR76" s="62" t="n">
        <f aca="false">AR75+AR74</f>
        <v>9856857.6157775</v>
      </c>
      <c r="AS76" s="62" t="n">
        <f aca="false">AS75+AS74</f>
        <v>10221709.3489499</v>
      </c>
      <c r="AT76" s="62" t="n">
        <f aca="false">AT75+AT74</f>
        <v>10610660.7520067</v>
      </c>
      <c r="AU76" s="62" t="n">
        <f aca="false">AU75+AU74</f>
        <v>11023471.6399255</v>
      </c>
      <c r="AV76" s="62" t="n">
        <f aca="false">AV75+AV74</f>
        <v>11459904.2173594</v>
      </c>
      <c r="AW76" s="62" t="n">
        <f aca="false">AW75+AW74</f>
        <v>11919723.0549222</v>
      </c>
      <c r="AX76" s="62" t="n">
        <f aca="false">AX75+AX74</f>
        <v>12402695.065709</v>
      </c>
      <c r="AY76" s="62" t="n">
        <f aca="false">AY75+AY74</f>
        <v>12719988.2830682</v>
      </c>
      <c r="AZ76" s="62" t="n">
        <f aca="false">AZ75+AZ74</f>
        <v>13069767.2493723</v>
      </c>
      <c r="BA76" s="62" t="n">
        <f aca="false">BA75+BA74</f>
        <v>13452154.9786787</v>
      </c>
      <c r="BB76" s="62" t="n">
        <f aca="false">BB75+BB74</f>
        <v>13866826.4843205</v>
      </c>
      <c r="BC76" s="62" t="n">
        <f aca="false">BC75+BC74</f>
        <v>14313460.0129831</v>
      </c>
      <c r="BD76" s="62" t="n">
        <f aca="false">BD75+BD74</f>
        <v>14791737.0126183</v>
      </c>
      <c r="BE76" s="62" t="n">
        <f aca="false">BE75+BE74</f>
        <v>15301342.1006756</v>
      </c>
      <c r="BF76" s="62" t="n">
        <f aca="false">BF75+BF74</f>
        <v>15841963.0326478</v>
      </c>
      <c r="BG76" s="62" t="n">
        <f aca="false">BG75+BG74</f>
        <v>16413290.6709269</v>
      </c>
      <c r="BH76" s="62" t="n">
        <f aca="false">BH75+BH74</f>
        <v>17015018.9539686</v>
      </c>
      <c r="BI76" s="62" t="n">
        <f aca="false">BI75+BI74</f>
        <v>17646844.8657612</v>
      </c>
      <c r="BJ76" s="62" t="n">
        <f aca="false">BJ75+BJ74</f>
        <v>18308468.4055967</v>
      </c>
    </row>
    <row r="77" customFormat="false" ht="15" hidden="false" customHeight="false" outlineLevel="0" collapsed="false">
      <c r="A77" s="19" t="s">
        <v>423</v>
      </c>
      <c r="B77" s="6"/>
      <c r="C77" s="114" t="n">
        <f aca="false">IF(C35&gt;0,1,0)</f>
        <v>1</v>
      </c>
      <c r="D77" s="114" t="n">
        <f aca="false">IF(D35&gt;0,1,0)</f>
        <v>1</v>
      </c>
      <c r="E77" s="114" t="n">
        <f aca="false">IF(E35&gt;0,1,0)</f>
        <v>1</v>
      </c>
      <c r="F77" s="114" t="n">
        <f aca="false">IF(F35&gt;0,1,0)</f>
        <v>1</v>
      </c>
      <c r="G77" s="114" t="n">
        <f aca="false">IF(G35&gt;0,1,0)</f>
        <v>1</v>
      </c>
      <c r="H77" s="114" t="n">
        <f aca="false">IF(H35&gt;0,1,0)</f>
        <v>1</v>
      </c>
      <c r="I77" s="114" t="n">
        <f aca="false">IF(I35&gt;0,1,0)</f>
        <v>1</v>
      </c>
      <c r="J77" s="114" t="n">
        <f aca="false">IF(J35&gt;0,1,0)</f>
        <v>1</v>
      </c>
      <c r="K77" s="114" t="n">
        <f aca="false">IF(K35&gt;0,1,0)</f>
        <v>1</v>
      </c>
      <c r="L77" s="114" t="n">
        <f aca="false">IF(L35&gt;0,1,0)</f>
        <v>1</v>
      </c>
      <c r="M77" s="114" t="n">
        <f aca="false">IF(M35&gt;0,1,0)</f>
        <v>1</v>
      </c>
      <c r="N77" s="114" t="n">
        <f aca="false">IF(N35&gt;0,1,0)</f>
        <v>1</v>
      </c>
      <c r="O77" s="114" t="n">
        <f aca="false">IF(O35&gt;0,1,0)</f>
        <v>1</v>
      </c>
      <c r="P77" s="114" t="n">
        <f aca="false">IF(P35&gt;0,1,0)</f>
        <v>1</v>
      </c>
      <c r="Q77" s="114" t="n">
        <f aca="false">IF(Q35&gt;0,1,0)</f>
        <v>1</v>
      </c>
      <c r="R77" s="114" t="n">
        <f aca="false">IF(R35&gt;0,1,0)</f>
        <v>1</v>
      </c>
      <c r="S77" s="114" t="n">
        <f aca="false">IF(S35&gt;0,1,0)</f>
        <v>1</v>
      </c>
      <c r="T77" s="114" t="n">
        <f aca="false">IF(T35&gt;0,1,0)</f>
        <v>1</v>
      </c>
      <c r="U77" s="114" t="n">
        <f aca="false">IF(U35&gt;0,1,0)</f>
        <v>1</v>
      </c>
      <c r="V77" s="114" t="n">
        <f aca="false">IF(V35&gt;0,1,0)</f>
        <v>1</v>
      </c>
      <c r="W77" s="114" t="n">
        <f aca="false">IF(W35&gt;0,1,0)</f>
        <v>1</v>
      </c>
      <c r="X77" s="114" t="n">
        <f aca="false">IF(X35&gt;0,1,0)</f>
        <v>1</v>
      </c>
      <c r="Y77" s="114" t="n">
        <f aca="false">IF(Y35&gt;0,1,0)</f>
        <v>1</v>
      </c>
      <c r="Z77" s="114" t="n">
        <f aca="false">IF(Z35&gt;0,1,0)</f>
        <v>1</v>
      </c>
      <c r="AA77" s="114" t="n">
        <f aca="false">IF(AA35&gt;0,1,0)</f>
        <v>1</v>
      </c>
      <c r="AB77" s="114" t="n">
        <f aca="false">IF(AB35&gt;0,1,0)</f>
        <v>1</v>
      </c>
      <c r="AC77" s="114" t="n">
        <f aca="false">IF(AC35&gt;0,1,0)</f>
        <v>1</v>
      </c>
      <c r="AD77" s="114" t="n">
        <f aca="false">IF(AD35&gt;0,1,0)</f>
        <v>1</v>
      </c>
      <c r="AE77" s="114" t="n">
        <f aca="false">IF(AE35&gt;0,1,0)</f>
        <v>1</v>
      </c>
      <c r="AF77" s="114" t="n">
        <f aca="false">IF(AF35&gt;0,1,0)</f>
        <v>1</v>
      </c>
      <c r="AG77" s="114" t="n">
        <f aca="false">IF(AG35&gt;0,1,0)</f>
        <v>1</v>
      </c>
      <c r="AH77" s="114" t="n">
        <f aca="false">IF(AH35&gt;0,1,0)</f>
        <v>1</v>
      </c>
      <c r="AI77" s="114" t="n">
        <f aca="false">IF(AI35&gt;0,1,0)</f>
        <v>1</v>
      </c>
      <c r="AJ77" s="114" t="n">
        <f aca="false">IF(AJ35&gt;0,1,0)</f>
        <v>1</v>
      </c>
      <c r="AK77" s="114" t="n">
        <f aca="false">IF(AK35&gt;0,1,0)</f>
        <v>1</v>
      </c>
      <c r="AL77" s="114" t="n">
        <f aca="false">IF(AL35&gt;0,1,0)</f>
        <v>1</v>
      </c>
      <c r="AM77" s="114" t="n">
        <f aca="false">IF(AM35&gt;0,1,0)</f>
        <v>1</v>
      </c>
      <c r="AN77" s="114" t="n">
        <f aca="false">IF(AN35&gt;0,1,0)</f>
        <v>1</v>
      </c>
      <c r="AO77" s="114" t="n">
        <f aca="false">IF(AO35&gt;0,1,0)</f>
        <v>1</v>
      </c>
      <c r="AP77" s="114" t="n">
        <f aca="false">IF(AP35&gt;0,1,0)</f>
        <v>1</v>
      </c>
      <c r="AQ77" s="114" t="n">
        <f aca="false">IF(AQ35&gt;0,1,0)</f>
        <v>1</v>
      </c>
      <c r="AR77" s="114" t="n">
        <f aca="false">IF(AR35&gt;0,1,0)</f>
        <v>1</v>
      </c>
      <c r="AS77" s="114" t="n">
        <f aca="false">IF(AS35&gt;0,1,0)</f>
        <v>1</v>
      </c>
      <c r="AT77" s="114" t="n">
        <f aca="false">IF(AT35&gt;0,1,0)</f>
        <v>1</v>
      </c>
      <c r="AU77" s="114" t="n">
        <f aca="false">IF(AU35&gt;0,1,0)</f>
        <v>1</v>
      </c>
      <c r="AV77" s="114" t="n">
        <f aca="false">IF(AV35&gt;0,1,0)</f>
        <v>1</v>
      </c>
      <c r="AW77" s="114" t="n">
        <f aca="false">IF(AW35&gt;0,1,0)</f>
        <v>1</v>
      </c>
      <c r="AX77" s="114" t="n">
        <f aca="false">IF(AX35&gt;0,1,0)</f>
        <v>1</v>
      </c>
      <c r="AY77" s="114" t="n">
        <f aca="false">IF(AY35&gt;0,1,0)</f>
        <v>1</v>
      </c>
      <c r="AZ77" s="114" t="n">
        <f aca="false">IF(AZ35&gt;0,1,0)</f>
        <v>1</v>
      </c>
      <c r="BA77" s="114" t="n">
        <f aca="false">IF(BA35&gt;0,1,0)</f>
        <v>1</v>
      </c>
      <c r="BB77" s="114" t="n">
        <f aca="false">IF(BB35&gt;0,1,0)</f>
        <v>1</v>
      </c>
      <c r="BC77" s="114" t="n">
        <f aca="false">IF(BC35&gt;0,1,0)</f>
        <v>1</v>
      </c>
      <c r="BD77" s="114" t="n">
        <f aca="false">IF(BD35&gt;0,1,0)</f>
        <v>1</v>
      </c>
      <c r="BE77" s="114" t="n">
        <f aca="false">IF(BE35&gt;0,1,0)</f>
        <v>1</v>
      </c>
      <c r="BF77" s="114" t="n">
        <f aca="false">IF(BF35&gt;0,1,0)</f>
        <v>1</v>
      </c>
      <c r="BG77" s="114" t="n">
        <f aca="false">IF(BG35&gt;0,1,0)</f>
        <v>1</v>
      </c>
      <c r="BH77" s="114" t="n">
        <f aca="false">IF(BH35&gt;0,1,0)</f>
        <v>1</v>
      </c>
      <c r="BI77" s="114" t="n">
        <f aca="false">IF(BI35&gt;0,1,0)</f>
        <v>1</v>
      </c>
      <c r="BJ77" s="114" t="n">
        <f aca="false">IF(BJ35&gt;0,1,0)</f>
        <v>1</v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</row>
    <row r="79" customFormat="false" ht="15" hidden="false" customHeight="false" outlineLevel="0" collapsed="false">
      <c r="A79" s="57" t="s">
        <v>424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</row>
    <row r="80" customFormat="false" ht="15" hidden="false" customHeight="false" outlineLevel="0" collapsed="false">
      <c r="A80" s="6" t="s">
        <v>425</v>
      </c>
      <c r="B80" s="6"/>
      <c r="C80" s="59" t="n">
        <f aca="false">-(C70+C71)/1</f>
        <v>-760226.466666667</v>
      </c>
      <c r="D80" s="59" t="n">
        <f aca="false">-(D70+D71)/1</f>
        <v>-65787.1809166666</v>
      </c>
      <c r="E80" s="59" t="n">
        <f aca="false">-(E70+E71)/1</f>
        <v>-77760.7817237501</v>
      </c>
      <c r="F80" s="59" t="n">
        <f aca="false">-(F70+F71)/1</f>
        <v>-89615.0794835188</v>
      </c>
      <c r="G80" s="59" t="n">
        <f aca="false">-(G70+G71)/1</f>
        <v>-101351.260732035</v>
      </c>
      <c r="H80" s="59" t="n">
        <f aca="false">-(H70+H71)/1</f>
        <v>-112970.500237415</v>
      </c>
      <c r="I80" s="59" t="n">
        <f aca="false">-(I70+I71)/1</f>
        <v>-124473.961116051</v>
      </c>
      <c r="J80" s="59" t="n">
        <f aca="false">-(J70+J71)/1</f>
        <v>-135862.794947686</v>
      </c>
      <c r="K80" s="59" t="n">
        <f aca="false">-(K70+K71)/1</f>
        <v>-147138.141889363</v>
      </c>
      <c r="L80" s="59" t="n">
        <f aca="false">-(L70+L71)/1</f>
        <v>-158301.130788255</v>
      </c>
      <c r="M80" s="59" t="n">
        <f aca="false">-(M70+M71)/1</f>
        <v>-169352.879293392</v>
      </c>
      <c r="N80" s="59" t="n">
        <f aca="false">-(N70+N71)/1</f>
        <v>-180294.493966282</v>
      </c>
      <c r="O80" s="59" t="n">
        <f aca="false">-(O70+O71)/1</f>
        <v>-90850.8353904552</v>
      </c>
      <c r="P80" s="59" t="n">
        <f aca="false">-(P70+P71)/1</f>
        <v>-106152.20652993</v>
      </c>
      <c r="Q80" s="59" t="n">
        <f aca="false">-(Q70+Q71)/1</f>
        <v>-121508.000582109</v>
      </c>
      <c r="R80" s="59" t="n">
        <f aca="false">-(R70+R71)/1</f>
        <v>-136710.786768504</v>
      </c>
      <c r="S80" s="59" t="n">
        <f aca="false">-(S70+S71)/1</f>
        <v>-151762.086916652</v>
      </c>
      <c r="T80" s="59" t="n">
        <f aca="false">-(T70+T71)/1</f>
        <v>-166663.407759581</v>
      </c>
      <c r="U80" s="59" t="n">
        <f aca="false">-(U70+U71)/1</f>
        <v>-181416.241084899</v>
      </c>
      <c r="V80" s="59" t="n">
        <f aca="false">-(V70+V71)/1</f>
        <v>-196022.06388242</v>
      </c>
      <c r="W80" s="59" t="n">
        <f aca="false">-(W70+W71)/1</f>
        <v>-210482.338490341</v>
      </c>
      <c r="X80" s="59" t="n">
        <f aca="false">-(X70+X71)/1</f>
        <v>-224798.512739981</v>
      </c>
      <c r="Y80" s="59" t="n">
        <f aca="false">-(Y70+Y71)/1</f>
        <v>-238972.020099107</v>
      </c>
      <c r="Z80" s="59" t="n">
        <f aca="false">-(Z70+Z71)/1</f>
        <v>-253004.279813843</v>
      </c>
      <c r="AA80" s="59" t="n">
        <f aca="false">-(AA70+AA71)/1</f>
        <v>-143104.939024196</v>
      </c>
      <c r="AB80" s="59" t="n">
        <f aca="false">-(AB70+AB71)/1</f>
        <v>-162746.875822443</v>
      </c>
      <c r="AC80" s="59" t="n">
        <f aca="false">-(AC70+AC71)/1</f>
        <v>-182460.101547466</v>
      </c>
      <c r="AD80" s="59" t="n">
        <f aca="false">-(AD70+AD71)/1</f>
        <v>-201976.890010574</v>
      </c>
      <c r="AE80" s="59" t="n">
        <f aca="false">-(AE70+AE71)/1</f>
        <v>-221299.195159458</v>
      </c>
      <c r="AF80" s="59" t="n">
        <f aca="false">-(AF70+AF71)/1</f>
        <v>-240428.951558703</v>
      </c>
      <c r="AG80" s="59" t="n">
        <f aca="false">-(AG70+AG71)/1</f>
        <v>-259368.074581278</v>
      </c>
      <c r="AH80" s="59" t="n">
        <f aca="false">-(AH70+AH71)/1</f>
        <v>-278118.460598139</v>
      </c>
      <c r="AI80" s="59" t="n">
        <f aca="false">-(AI70+AI71)/1</f>
        <v>-296681.987165977</v>
      </c>
      <c r="AJ80" s="59" t="n">
        <f aca="false">-(AJ70+AJ71)/1</f>
        <v>-315060.513213115</v>
      </c>
      <c r="AK80" s="59" t="n">
        <f aca="false">-(AK70+AK71)/1</f>
        <v>-333255.879223584</v>
      </c>
      <c r="AL80" s="59" t="n">
        <f aca="false">-(AL70+AL71)/1</f>
        <v>-351269.907419394</v>
      </c>
      <c r="AM80" s="59" t="n">
        <f aca="false">-(AM70+AM71)/1</f>
        <v>-215421.562042995</v>
      </c>
      <c r="AN80" s="59" t="n">
        <f aca="false">-(AN70+AN71)/1</f>
        <v>-240665.279776387</v>
      </c>
      <c r="AO80" s="59" t="n">
        <f aca="false">-(AO70+AO71)/1</f>
        <v>-266002.566595033</v>
      </c>
      <c r="AP80" s="59" t="n">
        <f aca="false">-(AP70+AP71)/1</f>
        <v>-291087.355936157</v>
      </c>
      <c r="AQ80" s="59" t="n">
        <f aca="false">-(AQ70+AQ71)/1</f>
        <v>-315922.159643673</v>
      </c>
      <c r="AR80" s="59" t="n">
        <f aca="false">-(AR70+AR71)/1</f>
        <v>-340509.464640022</v>
      </c>
      <c r="AS80" s="59" t="n">
        <f aca="false">-(AS70+AS71)/1</f>
        <v>-364851.733172427</v>
      </c>
      <c r="AT80" s="59" t="n">
        <f aca="false">-(AT70+AT71)/1</f>
        <v>-388951.403056735</v>
      </c>
      <c r="AU80" s="59" t="n">
        <f aca="false">-(AU70+AU71)/1</f>
        <v>-412810.88791887</v>
      </c>
      <c r="AV80" s="59" t="n">
        <f aca="false">-(AV70+AV71)/1</f>
        <v>-436432.577433904</v>
      </c>
      <c r="AW80" s="59" t="n">
        <f aca="false">-(AW70+AW71)/1</f>
        <v>-459818.837562785</v>
      </c>
      <c r="AX80" s="59" t="n">
        <f aca="false">-(AX70+AX71)/1</f>
        <v>-482972.010786738</v>
      </c>
      <c r="AY80" s="59" t="n">
        <f aca="false">-(AY70+AY71)/1</f>
        <v>-317293.217359207</v>
      </c>
      <c r="AZ80" s="59" t="n">
        <f aca="false">-(AZ70+AZ71)/1</f>
        <v>-349778.966304129</v>
      </c>
      <c r="BA80" s="59" t="n">
        <f aca="false">-(BA70+BA71)/1</f>
        <v>-382387.729306384</v>
      </c>
      <c r="BB80" s="59" t="n">
        <f aca="false">-(BB70+BB71)/1</f>
        <v>-414671.505641803</v>
      </c>
      <c r="BC80" s="59" t="n">
        <f aca="false">-(BC70+BC71)/1</f>
        <v>-446633.528662605</v>
      </c>
      <c r="BD80" s="59" t="n">
        <f aca="false">-(BD70+BD71)/1</f>
        <v>-478276.999635206</v>
      </c>
      <c r="BE80" s="59" t="n">
        <f aca="false">-(BE70+BE71)/1</f>
        <v>-509605.088057357</v>
      </c>
      <c r="BF80" s="59" t="n">
        <f aca="false">-(BF70+BF71)/1</f>
        <v>-540620.931972174</v>
      </c>
      <c r="BG80" s="59" t="n">
        <f aca="false">-(BG70+BG71)/1</f>
        <v>-571327.638279076</v>
      </c>
      <c r="BH80" s="59" t="n">
        <f aca="false">-(BH70+BH71)/1</f>
        <v>-601728.283041676</v>
      </c>
      <c r="BI80" s="59" t="n">
        <f aca="false">-(BI70+BI71)/1</f>
        <v>-631825.911792634</v>
      </c>
      <c r="BJ80" s="59" t="n">
        <f aca="false">-(BJ70+BJ71)/1</f>
        <v>-661623.539835526</v>
      </c>
    </row>
    <row r="81" customFormat="false" ht="15" hidden="false" customHeight="false" outlineLevel="0" collapsed="false">
      <c r="A81" s="6" t="s">
        <v>238</v>
      </c>
      <c r="B81" s="6"/>
      <c r="C81" s="69" t="n">
        <f aca="false">Inputs!$E$10</f>
        <v>0.015</v>
      </c>
      <c r="D81" s="69" t="n">
        <f aca="false">Inputs!$E$10</f>
        <v>0.015</v>
      </c>
      <c r="E81" s="69" t="n">
        <f aca="false">Inputs!$E$10</f>
        <v>0.015</v>
      </c>
      <c r="F81" s="69" t="n">
        <f aca="false">Inputs!$E$10</f>
        <v>0.015</v>
      </c>
      <c r="G81" s="69" t="n">
        <f aca="false">Inputs!$E$10</f>
        <v>0.015</v>
      </c>
      <c r="H81" s="69" t="n">
        <f aca="false">Inputs!$E$10</f>
        <v>0.015</v>
      </c>
      <c r="I81" s="69" t="n">
        <f aca="false">Inputs!$E$10</f>
        <v>0.015</v>
      </c>
      <c r="J81" s="69" t="n">
        <f aca="false">Inputs!$E$10</f>
        <v>0.015</v>
      </c>
      <c r="K81" s="69" t="n">
        <f aca="false">Inputs!$E$10</f>
        <v>0.015</v>
      </c>
      <c r="L81" s="69" t="n">
        <f aca="false">Inputs!$E$10</f>
        <v>0.015</v>
      </c>
      <c r="M81" s="69" t="n">
        <f aca="false">Inputs!$E$10</f>
        <v>0.015</v>
      </c>
      <c r="N81" s="69" t="n">
        <f aca="false">Inputs!$E$10</f>
        <v>0.015</v>
      </c>
      <c r="O81" s="69" t="n">
        <f aca="false">Inputs!$E$10</f>
        <v>0.015</v>
      </c>
      <c r="P81" s="69" t="n">
        <f aca="false">Inputs!$E$10</f>
        <v>0.015</v>
      </c>
      <c r="Q81" s="69" t="n">
        <f aca="false">Inputs!$E$10</f>
        <v>0.015</v>
      </c>
      <c r="R81" s="69" t="n">
        <f aca="false">Inputs!$E$10</f>
        <v>0.015</v>
      </c>
      <c r="S81" s="69" t="n">
        <f aca="false">Inputs!$E$10</f>
        <v>0.015</v>
      </c>
      <c r="T81" s="69" t="n">
        <f aca="false">Inputs!$E$10</f>
        <v>0.015</v>
      </c>
      <c r="U81" s="69" t="n">
        <f aca="false">Inputs!$E$10</f>
        <v>0.015</v>
      </c>
      <c r="V81" s="69" t="n">
        <f aca="false">Inputs!$E$10</f>
        <v>0.015</v>
      </c>
      <c r="W81" s="69" t="n">
        <f aca="false">Inputs!$E$10</f>
        <v>0.015</v>
      </c>
      <c r="X81" s="69" t="n">
        <f aca="false">Inputs!$E$10</f>
        <v>0.015</v>
      </c>
      <c r="Y81" s="69" t="n">
        <f aca="false">Inputs!$E$10</f>
        <v>0.015</v>
      </c>
      <c r="Z81" s="69" t="n">
        <f aca="false">Inputs!$E$10</f>
        <v>0.015</v>
      </c>
      <c r="AA81" s="69" t="n">
        <f aca="false">Inputs!$E$10</f>
        <v>0.015</v>
      </c>
      <c r="AB81" s="69" t="n">
        <f aca="false">Inputs!$E$10</f>
        <v>0.015</v>
      </c>
      <c r="AC81" s="69" t="n">
        <f aca="false">Inputs!$E$10</f>
        <v>0.015</v>
      </c>
      <c r="AD81" s="69" t="n">
        <f aca="false">Inputs!$E$10</f>
        <v>0.015</v>
      </c>
      <c r="AE81" s="69" t="n">
        <f aca="false">Inputs!$E$10</f>
        <v>0.015</v>
      </c>
      <c r="AF81" s="69" t="n">
        <f aca="false">Inputs!$E$10</f>
        <v>0.015</v>
      </c>
      <c r="AG81" s="69" t="n">
        <f aca="false">Inputs!$E$10</f>
        <v>0.015</v>
      </c>
      <c r="AH81" s="69" t="n">
        <f aca="false">Inputs!$E$10</f>
        <v>0.015</v>
      </c>
      <c r="AI81" s="69" t="n">
        <f aca="false">Inputs!$E$10</f>
        <v>0.015</v>
      </c>
      <c r="AJ81" s="69" t="n">
        <f aca="false">Inputs!$E$10</f>
        <v>0.015</v>
      </c>
      <c r="AK81" s="69" t="n">
        <f aca="false">Inputs!$E$10</f>
        <v>0.015</v>
      </c>
      <c r="AL81" s="69" t="n">
        <f aca="false">Inputs!$E$10</f>
        <v>0.015</v>
      </c>
      <c r="AM81" s="69" t="n">
        <f aca="false">Inputs!$E$10</f>
        <v>0.015</v>
      </c>
      <c r="AN81" s="69" t="n">
        <f aca="false">Inputs!$E$10</f>
        <v>0.015</v>
      </c>
      <c r="AO81" s="69" t="n">
        <f aca="false">Inputs!$E$10</f>
        <v>0.015</v>
      </c>
      <c r="AP81" s="69" t="n">
        <f aca="false">Inputs!$E$10</f>
        <v>0.015</v>
      </c>
      <c r="AQ81" s="69" t="n">
        <f aca="false">Inputs!$E$10</f>
        <v>0.015</v>
      </c>
      <c r="AR81" s="69" t="n">
        <f aca="false">Inputs!$E$10</f>
        <v>0.015</v>
      </c>
      <c r="AS81" s="69" t="n">
        <f aca="false">Inputs!$E$10</f>
        <v>0.015</v>
      </c>
      <c r="AT81" s="69" t="n">
        <f aca="false">Inputs!$E$10</f>
        <v>0.015</v>
      </c>
      <c r="AU81" s="69" t="n">
        <f aca="false">Inputs!$E$10</f>
        <v>0.015</v>
      </c>
      <c r="AV81" s="69" t="n">
        <f aca="false">Inputs!$E$10</f>
        <v>0.015</v>
      </c>
      <c r="AW81" s="69" t="n">
        <f aca="false">Inputs!$E$10</f>
        <v>0.015</v>
      </c>
      <c r="AX81" s="69" t="n">
        <f aca="false">Inputs!$E$10</f>
        <v>0.015</v>
      </c>
      <c r="AY81" s="69" t="n">
        <f aca="false">Inputs!$E$10</f>
        <v>0.015</v>
      </c>
      <c r="AZ81" s="69" t="n">
        <f aca="false">Inputs!$E$10</f>
        <v>0.015</v>
      </c>
      <c r="BA81" s="69" t="n">
        <f aca="false">Inputs!$E$10</f>
        <v>0.015</v>
      </c>
      <c r="BB81" s="69" t="n">
        <f aca="false">Inputs!$E$10</f>
        <v>0.015</v>
      </c>
      <c r="BC81" s="69" t="n">
        <f aca="false">Inputs!$E$10</f>
        <v>0.015</v>
      </c>
      <c r="BD81" s="69" t="n">
        <f aca="false">Inputs!$E$10</f>
        <v>0.015</v>
      </c>
      <c r="BE81" s="69" t="n">
        <f aca="false">Inputs!$E$10</f>
        <v>0.015</v>
      </c>
      <c r="BF81" s="69" t="n">
        <f aca="false">Inputs!$E$10</f>
        <v>0.015</v>
      </c>
      <c r="BG81" s="69" t="n">
        <f aca="false">Inputs!$E$10</f>
        <v>0.015</v>
      </c>
      <c r="BH81" s="69" t="n">
        <f aca="false">Inputs!$E$10</f>
        <v>0.015</v>
      </c>
      <c r="BI81" s="69" t="n">
        <f aca="false">Inputs!$E$10</f>
        <v>0.015</v>
      </c>
      <c r="BJ81" s="69" t="n">
        <f aca="false">Inputs!$E$10</f>
        <v>0.015</v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</row>
    <row r="83" customFormat="false" ht="15" hidden="false" customHeight="false" outlineLevel="0" collapsed="false">
      <c r="A83" s="57" t="s">
        <v>426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</row>
    <row r="84" customFormat="false" ht="15" hidden="false" customHeight="false" outlineLevel="0" collapsed="false">
      <c r="A84" s="19" t="s">
        <v>427</v>
      </c>
      <c r="B84" s="6"/>
      <c r="C84" s="114" t="n">
        <f aca="false">IF(C44&gt;0,1,0)</f>
        <v>1</v>
      </c>
      <c r="D84" s="114" t="n">
        <f aca="false">IF(D44&gt;0,1,0)</f>
        <v>1</v>
      </c>
      <c r="E84" s="114" t="n">
        <f aca="false">IF(E44&gt;0,1,0)</f>
        <v>1</v>
      </c>
      <c r="F84" s="114" t="n">
        <f aca="false">IF(F44&gt;0,1,0)</f>
        <v>1</v>
      </c>
      <c r="G84" s="114" t="n">
        <f aca="false">IF(G44&gt;0,1,0)</f>
        <v>1</v>
      </c>
      <c r="H84" s="114" t="n">
        <f aca="false">IF(H44&gt;0,1,0)</f>
        <v>1</v>
      </c>
      <c r="I84" s="114" t="n">
        <f aca="false">IF(I44&gt;0,1,0)</f>
        <v>1</v>
      </c>
      <c r="J84" s="114" t="n">
        <f aca="false">IF(J44&gt;0,1,0)</f>
        <v>1</v>
      </c>
      <c r="K84" s="114" t="n">
        <f aca="false">IF(K44&gt;0,1,0)</f>
        <v>1</v>
      </c>
      <c r="L84" s="114" t="n">
        <f aca="false">IF(L44&gt;0,1,0)</f>
        <v>1</v>
      </c>
      <c r="M84" s="114" t="n">
        <f aca="false">IF(M44&gt;0,1,0)</f>
        <v>1</v>
      </c>
      <c r="N84" s="114" t="n">
        <f aca="false">IF(N44&gt;0,1,0)</f>
        <v>1</v>
      </c>
      <c r="O84" s="114" t="n">
        <f aca="false">IF(O44&gt;0,1,0)</f>
        <v>1</v>
      </c>
      <c r="P84" s="114" t="n">
        <f aca="false">IF(P44&gt;0,1,0)</f>
        <v>1</v>
      </c>
      <c r="Q84" s="114" t="n">
        <f aca="false">IF(Q44&gt;0,1,0)</f>
        <v>1</v>
      </c>
      <c r="R84" s="114" t="n">
        <f aca="false">IF(R44&gt;0,1,0)</f>
        <v>1</v>
      </c>
      <c r="S84" s="114" t="n">
        <f aca="false">IF(S44&gt;0,1,0)</f>
        <v>1</v>
      </c>
      <c r="T84" s="114" t="n">
        <f aca="false">IF(T44&gt;0,1,0)</f>
        <v>1</v>
      </c>
      <c r="U84" s="114" t="n">
        <f aca="false">IF(U44&gt;0,1,0)</f>
        <v>1</v>
      </c>
      <c r="V84" s="114" t="n">
        <f aca="false">IF(V44&gt;0,1,0)</f>
        <v>1</v>
      </c>
      <c r="W84" s="114" t="n">
        <f aca="false">IF(W44&gt;0,1,0)</f>
        <v>1</v>
      </c>
      <c r="X84" s="114" t="n">
        <f aca="false">IF(X44&gt;0,1,0)</f>
        <v>1</v>
      </c>
      <c r="Y84" s="114" t="n">
        <f aca="false">IF(Y44&gt;0,1,0)</f>
        <v>1</v>
      </c>
      <c r="Z84" s="114" t="n">
        <f aca="false">IF(Z44&gt;0,1,0)</f>
        <v>1</v>
      </c>
      <c r="AA84" s="114" t="n">
        <f aca="false">IF(AA44&gt;0,1,0)</f>
        <v>1</v>
      </c>
      <c r="AB84" s="114" t="n">
        <f aca="false">IF(AB44&gt;0,1,0)</f>
        <v>1</v>
      </c>
      <c r="AC84" s="114" t="n">
        <f aca="false">IF(AC44&gt;0,1,0)</f>
        <v>1</v>
      </c>
      <c r="AD84" s="114" t="n">
        <f aca="false">IF(AD44&gt;0,1,0)</f>
        <v>1</v>
      </c>
      <c r="AE84" s="114" t="n">
        <f aca="false">IF(AE44&gt;0,1,0)</f>
        <v>1</v>
      </c>
      <c r="AF84" s="114" t="n">
        <f aca="false">IF(AF44&gt;0,1,0)</f>
        <v>1</v>
      </c>
      <c r="AG84" s="114" t="n">
        <f aca="false">IF(AG44&gt;0,1,0)</f>
        <v>1</v>
      </c>
      <c r="AH84" s="114" t="n">
        <f aca="false">IF(AH44&gt;0,1,0)</f>
        <v>1</v>
      </c>
      <c r="AI84" s="114" t="n">
        <f aca="false">IF(AI44&gt;0,1,0)</f>
        <v>1</v>
      </c>
      <c r="AJ84" s="114" t="n">
        <f aca="false">IF(AJ44&gt;0,1,0)</f>
        <v>1</v>
      </c>
      <c r="AK84" s="114" t="n">
        <f aca="false">IF(AK44&gt;0,1,0)</f>
        <v>1</v>
      </c>
      <c r="AL84" s="114" t="n">
        <f aca="false">IF(AL44&gt;0,1,0)</f>
        <v>1</v>
      </c>
      <c r="AM84" s="114" t="n">
        <f aca="false">IF(AM44&gt;0,1,0)</f>
        <v>1</v>
      </c>
      <c r="AN84" s="114" t="n">
        <f aca="false">IF(AN44&gt;0,1,0)</f>
        <v>1</v>
      </c>
      <c r="AO84" s="114" t="n">
        <f aca="false">IF(AO44&gt;0,1,0)</f>
        <v>1</v>
      </c>
      <c r="AP84" s="114" t="n">
        <f aca="false">IF(AP44&gt;0,1,0)</f>
        <v>1</v>
      </c>
      <c r="AQ84" s="114" t="n">
        <f aca="false">IF(AQ44&gt;0,1,0)</f>
        <v>1</v>
      </c>
      <c r="AR84" s="114" t="n">
        <f aca="false">IF(AR44&gt;0,1,0)</f>
        <v>1</v>
      </c>
      <c r="AS84" s="114" t="n">
        <f aca="false">IF(AS44&gt;0,1,0)</f>
        <v>1</v>
      </c>
      <c r="AT84" s="114" t="n">
        <f aca="false">IF(AT44&gt;0,1,0)</f>
        <v>1</v>
      </c>
      <c r="AU84" s="114" t="n">
        <f aca="false">IF(AU44&gt;0,1,0)</f>
        <v>1</v>
      </c>
      <c r="AV84" s="114" t="n">
        <f aca="false">IF(AV44&gt;0,1,0)</f>
        <v>1</v>
      </c>
      <c r="AW84" s="114" t="n">
        <f aca="false">IF(AW44&gt;0,1,0)</f>
        <v>1</v>
      </c>
      <c r="AX84" s="114" t="n">
        <f aca="false">IF(AX44&gt;0,1,0)</f>
        <v>1</v>
      </c>
      <c r="AY84" s="114" t="n">
        <f aca="false">IF(AY44&gt;0,1,0)</f>
        <v>1</v>
      </c>
      <c r="AZ84" s="114" t="n">
        <f aca="false">IF(AZ44&gt;0,1,0)</f>
        <v>1</v>
      </c>
      <c r="BA84" s="114" t="n">
        <f aca="false">IF(BA44&gt;0,1,0)</f>
        <v>1</v>
      </c>
      <c r="BB84" s="114" t="n">
        <f aca="false">IF(BB44&gt;0,1,0)</f>
        <v>1</v>
      </c>
      <c r="BC84" s="114" t="n">
        <f aca="false">IF(BC44&gt;0,1,0)</f>
        <v>1</v>
      </c>
      <c r="BD84" s="114" t="n">
        <f aca="false">IF(BD44&gt;0,1,0)</f>
        <v>1</v>
      </c>
      <c r="BE84" s="114" t="n">
        <f aca="false">IF(BE44&gt;0,1,0)</f>
        <v>1</v>
      </c>
      <c r="BF84" s="114" t="n">
        <f aca="false">IF(BF44&gt;0,1,0)</f>
        <v>1</v>
      </c>
      <c r="BG84" s="114" t="n">
        <f aca="false">IF(BG44&gt;0,1,0)</f>
        <v>1</v>
      </c>
      <c r="BH84" s="114" t="n">
        <f aca="false">IF(BH44&gt;0,1,0)</f>
        <v>1</v>
      </c>
      <c r="BI84" s="114" t="n">
        <f aca="false">IF(BI44&gt;0,1,0)</f>
        <v>1</v>
      </c>
      <c r="BJ84" s="114" t="n">
        <f aca="false">IF(BJ44&gt;0,1,0)</f>
        <v>1</v>
      </c>
    </row>
    <row r="85" customFormat="false" ht="15" hidden="false" customHeight="false" outlineLevel="0" collapsed="false">
      <c r="A85" s="6" t="s">
        <v>428</v>
      </c>
      <c r="B85" s="6"/>
      <c r="C85" s="59" t="n">
        <f aca="false">C70+C71</f>
        <v>760226.466666667</v>
      </c>
      <c r="D85" s="59" t="n">
        <f aca="false">D70+D71</f>
        <v>65787.1809166666</v>
      </c>
      <c r="E85" s="59" t="n">
        <f aca="false">E70+E71</f>
        <v>77760.7817237501</v>
      </c>
      <c r="F85" s="59" t="n">
        <f aca="false">F70+F71</f>
        <v>89615.0794835188</v>
      </c>
      <c r="G85" s="59" t="n">
        <f aca="false">G70+G71</f>
        <v>101351.260732035</v>
      </c>
      <c r="H85" s="59" t="n">
        <f aca="false">H70+H71</f>
        <v>112970.500237415</v>
      </c>
      <c r="I85" s="59" t="n">
        <f aca="false">I70+I71</f>
        <v>124473.961116051</v>
      </c>
      <c r="J85" s="59" t="n">
        <f aca="false">J70+J71</f>
        <v>135862.794947686</v>
      </c>
      <c r="K85" s="59" t="n">
        <f aca="false">K70+K71</f>
        <v>147138.141889363</v>
      </c>
      <c r="L85" s="59" t="n">
        <f aca="false">L70+L71</f>
        <v>158301.130788255</v>
      </c>
      <c r="M85" s="59" t="n">
        <f aca="false">M70+M71</f>
        <v>169352.879293392</v>
      </c>
      <c r="N85" s="59" t="n">
        <f aca="false">N70+N71</f>
        <v>180294.493966282</v>
      </c>
      <c r="O85" s="59" t="n">
        <f aca="false">O70+O71</f>
        <v>90850.8353904552</v>
      </c>
      <c r="P85" s="59" t="n">
        <f aca="false">P70+P71</f>
        <v>106152.20652993</v>
      </c>
      <c r="Q85" s="59" t="n">
        <f aca="false">Q70+Q71</f>
        <v>121508.000582109</v>
      </c>
      <c r="R85" s="59" t="n">
        <f aca="false">R70+R71</f>
        <v>136710.786768504</v>
      </c>
      <c r="S85" s="59" t="n">
        <f aca="false">S70+S71</f>
        <v>151762.086916652</v>
      </c>
      <c r="T85" s="59" t="n">
        <f aca="false">T70+T71</f>
        <v>166663.407759581</v>
      </c>
      <c r="U85" s="59" t="n">
        <f aca="false">U70+U71</f>
        <v>181416.241084899</v>
      </c>
      <c r="V85" s="59" t="n">
        <f aca="false">V70+V71</f>
        <v>196022.06388242</v>
      </c>
      <c r="W85" s="59" t="n">
        <f aca="false">W70+W71</f>
        <v>210482.338490341</v>
      </c>
      <c r="X85" s="59" t="n">
        <f aca="false">X70+X71</f>
        <v>224798.512739981</v>
      </c>
      <c r="Y85" s="59" t="n">
        <f aca="false">Y70+Y71</f>
        <v>238972.020099107</v>
      </c>
      <c r="Z85" s="59" t="n">
        <f aca="false">Z70+Z71</f>
        <v>253004.279813843</v>
      </c>
      <c r="AA85" s="59" t="n">
        <f aca="false">AA70+AA71</f>
        <v>143104.939024196</v>
      </c>
      <c r="AB85" s="59" t="n">
        <f aca="false">AB70+AB71</f>
        <v>162746.875822443</v>
      </c>
      <c r="AC85" s="59" t="n">
        <f aca="false">AC70+AC71</f>
        <v>182460.101547466</v>
      </c>
      <c r="AD85" s="59" t="n">
        <f aca="false">AD70+AD71</f>
        <v>201976.890010574</v>
      </c>
      <c r="AE85" s="59" t="n">
        <f aca="false">AE70+AE71</f>
        <v>221299.195159458</v>
      </c>
      <c r="AF85" s="59" t="n">
        <f aca="false">AF70+AF71</f>
        <v>240428.951558703</v>
      </c>
      <c r="AG85" s="59" t="n">
        <f aca="false">AG70+AG71</f>
        <v>259368.074581278</v>
      </c>
      <c r="AH85" s="59" t="n">
        <f aca="false">AH70+AH71</f>
        <v>278118.460598139</v>
      </c>
      <c r="AI85" s="59" t="n">
        <f aca="false">AI70+AI71</f>
        <v>296681.987165977</v>
      </c>
      <c r="AJ85" s="59" t="n">
        <f aca="false">AJ70+AJ71</f>
        <v>315060.513213115</v>
      </c>
      <c r="AK85" s="59" t="n">
        <f aca="false">AK70+AK71</f>
        <v>333255.879223584</v>
      </c>
      <c r="AL85" s="59" t="n">
        <f aca="false">AL70+AL71</f>
        <v>351269.907419394</v>
      </c>
      <c r="AM85" s="59" t="n">
        <f aca="false">AM70+AM71</f>
        <v>215421.562042995</v>
      </c>
      <c r="AN85" s="59" t="n">
        <f aca="false">AN70+AN71</f>
        <v>240665.279776387</v>
      </c>
      <c r="AO85" s="59" t="n">
        <f aca="false">AO70+AO71</f>
        <v>266002.566595033</v>
      </c>
      <c r="AP85" s="59" t="n">
        <f aca="false">AP70+AP71</f>
        <v>291087.355936157</v>
      </c>
      <c r="AQ85" s="59" t="n">
        <f aca="false">AQ70+AQ71</f>
        <v>315922.159643673</v>
      </c>
      <c r="AR85" s="59" t="n">
        <f aca="false">AR70+AR71</f>
        <v>340509.464640022</v>
      </c>
      <c r="AS85" s="59" t="n">
        <f aca="false">AS70+AS71</f>
        <v>364851.733172427</v>
      </c>
      <c r="AT85" s="59" t="n">
        <f aca="false">AT70+AT71</f>
        <v>388951.403056735</v>
      </c>
      <c r="AU85" s="59" t="n">
        <f aca="false">AU70+AU71</f>
        <v>412810.88791887</v>
      </c>
      <c r="AV85" s="59" t="n">
        <f aca="false">AV70+AV71</f>
        <v>436432.577433904</v>
      </c>
      <c r="AW85" s="59" t="n">
        <f aca="false">AW70+AW71</f>
        <v>459818.837562785</v>
      </c>
      <c r="AX85" s="59" t="n">
        <f aca="false">AX70+AX71</f>
        <v>482972.010786738</v>
      </c>
      <c r="AY85" s="59" t="n">
        <f aca="false">AY70+AY71</f>
        <v>317293.217359207</v>
      </c>
      <c r="AZ85" s="59" t="n">
        <f aca="false">AZ70+AZ71</f>
        <v>349778.966304129</v>
      </c>
      <c r="BA85" s="59" t="n">
        <f aca="false">BA70+BA71</f>
        <v>382387.729306384</v>
      </c>
      <c r="BB85" s="59" t="n">
        <f aca="false">BB70+BB71</f>
        <v>414671.505641803</v>
      </c>
      <c r="BC85" s="59" t="n">
        <f aca="false">BC70+BC71</f>
        <v>446633.528662605</v>
      </c>
      <c r="BD85" s="59" t="n">
        <f aca="false">BD70+BD71</f>
        <v>478276.999635206</v>
      </c>
      <c r="BE85" s="59" t="n">
        <f aca="false">BE70+BE71</f>
        <v>509605.088057357</v>
      </c>
      <c r="BF85" s="59" t="n">
        <f aca="false">BF70+BF71</f>
        <v>540620.931972174</v>
      </c>
      <c r="BG85" s="59" t="n">
        <f aca="false">BG70+BG71</f>
        <v>571327.638279076</v>
      </c>
      <c r="BH85" s="59" t="n">
        <f aca="false">BH70+BH71</f>
        <v>601728.283041676</v>
      </c>
      <c r="BI85" s="59" t="n">
        <f aca="false">BI70+BI71</f>
        <v>631825.911792634</v>
      </c>
      <c r="BJ85" s="59" t="n">
        <f aca="false">BJ70+BJ71</f>
        <v>661623.539835526</v>
      </c>
    </row>
    <row r="86" customFormat="false" ht="15" hidden="false" customHeight="false" outlineLevel="0" collapsed="false">
      <c r="A86" s="6" t="s">
        <v>429</v>
      </c>
      <c r="B86" s="6"/>
      <c r="C86" s="59" t="n">
        <f aca="false">C85</f>
        <v>760226.466666667</v>
      </c>
      <c r="D86" s="59" t="n">
        <f aca="false">C86+D85</f>
        <v>826013.647583333</v>
      </c>
      <c r="E86" s="59" t="n">
        <f aca="false">D86+E85</f>
        <v>903774.429307083</v>
      </c>
      <c r="F86" s="59" t="n">
        <f aca="false">E86+F85</f>
        <v>993389.508790602</v>
      </c>
      <c r="G86" s="59" t="n">
        <f aca="false">F86+G85</f>
        <v>1094740.76952264</v>
      </c>
      <c r="H86" s="59" t="n">
        <f aca="false">G86+H85</f>
        <v>1207711.26976005</v>
      </c>
      <c r="I86" s="59" t="n">
        <f aca="false">H86+I85</f>
        <v>1332185.2308761</v>
      </c>
      <c r="J86" s="59" t="n">
        <f aca="false">I86+J85</f>
        <v>1468048.02582379</v>
      </c>
      <c r="K86" s="59" t="n">
        <f aca="false">J86+K85</f>
        <v>1615186.16771315</v>
      </c>
      <c r="L86" s="59" t="n">
        <f aca="false">K86+L85</f>
        <v>1773487.29850141</v>
      </c>
      <c r="M86" s="59" t="n">
        <f aca="false">L86+M85</f>
        <v>1942840.1777948</v>
      </c>
      <c r="N86" s="59" t="n">
        <f aca="false">M86+N85</f>
        <v>2123134.67176108</v>
      </c>
      <c r="O86" s="59" t="n">
        <f aca="false">N86+O85</f>
        <v>2213985.50715154</v>
      </c>
      <c r="P86" s="59" t="n">
        <f aca="false">O86+P85</f>
        <v>2320137.71368147</v>
      </c>
      <c r="Q86" s="59" t="n">
        <f aca="false">P86+Q85</f>
        <v>2441645.71426358</v>
      </c>
      <c r="R86" s="59" t="n">
        <f aca="false">Q86+R85</f>
        <v>2578356.50103208</v>
      </c>
      <c r="S86" s="59" t="n">
        <f aca="false">R86+S85</f>
        <v>2730118.58794873</v>
      </c>
      <c r="T86" s="59" t="n">
        <f aca="false">S86+T85</f>
        <v>2896781.99570831</v>
      </c>
      <c r="U86" s="59" t="n">
        <f aca="false">T86+U85</f>
        <v>3078198.23679321</v>
      </c>
      <c r="V86" s="59" t="n">
        <f aca="false">U86+V85</f>
        <v>3274220.30067563</v>
      </c>
      <c r="W86" s="59" t="n">
        <f aca="false">V86+W85</f>
        <v>3484702.63916597</v>
      </c>
      <c r="X86" s="59" t="n">
        <f aca="false">W86+X85</f>
        <v>3709501.15190596</v>
      </c>
      <c r="Y86" s="59" t="n">
        <f aca="false">X86+Y85</f>
        <v>3948473.17200506</v>
      </c>
      <c r="Z86" s="59" t="n">
        <f aca="false">Y86+Z85</f>
        <v>4201477.45181891</v>
      </c>
      <c r="AA86" s="59" t="n">
        <f aca="false">Z86+AA85</f>
        <v>4344582.3908431</v>
      </c>
      <c r="AB86" s="59" t="n">
        <f aca="false">AA86+AB85</f>
        <v>4507329.26666555</v>
      </c>
      <c r="AC86" s="59" t="n">
        <f aca="false">AB86+AC85</f>
        <v>4689789.36821301</v>
      </c>
      <c r="AD86" s="59" t="n">
        <f aca="false">AC86+AD85</f>
        <v>4891766.25822359</v>
      </c>
      <c r="AE86" s="59" t="n">
        <f aca="false">AD86+AE85</f>
        <v>5113065.45338304</v>
      </c>
      <c r="AF86" s="59" t="n">
        <f aca="false">AE86+AF85</f>
        <v>5353494.40494175</v>
      </c>
      <c r="AG86" s="59" t="n">
        <f aca="false">AF86+AG85</f>
        <v>5612862.47952302</v>
      </c>
      <c r="AH86" s="59" t="n">
        <f aca="false">AG86+AH85</f>
        <v>5890980.94012116</v>
      </c>
      <c r="AI86" s="59" t="n">
        <f aca="false">AH86+AI85</f>
        <v>6187662.92728714</v>
      </c>
      <c r="AJ86" s="59" t="n">
        <f aca="false">AI86+AJ85</f>
        <v>6502723.44050026</v>
      </c>
      <c r="AK86" s="59" t="n">
        <f aca="false">AJ86+AK85</f>
        <v>6835979.31972384</v>
      </c>
      <c r="AL86" s="59" t="n">
        <f aca="false">AK86+AL85</f>
        <v>7187249.22714323</v>
      </c>
      <c r="AM86" s="59" t="n">
        <f aca="false">AL86+AM85</f>
        <v>7402670.78918623</v>
      </c>
      <c r="AN86" s="59" t="n">
        <f aca="false">AM86+AN85</f>
        <v>7643336.06896261</v>
      </c>
      <c r="AO86" s="59" t="n">
        <f aca="false">AN86+AO85</f>
        <v>7909338.63555765</v>
      </c>
      <c r="AP86" s="59" t="n">
        <f aca="false">AO86+AP85</f>
        <v>8200425.9914938</v>
      </c>
      <c r="AQ86" s="59" t="n">
        <f aca="false">AP86+AQ85</f>
        <v>8516348.15113748</v>
      </c>
      <c r="AR86" s="59" t="n">
        <f aca="false">AQ86+AR85</f>
        <v>8856857.6157775</v>
      </c>
      <c r="AS86" s="59" t="n">
        <f aca="false">AR86+AS85</f>
        <v>9221709.34894992</v>
      </c>
      <c r="AT86" s="59" t="n">
        <f aca="false">AS86+AT85</f>
        <v>9610660.75200666</v>
      </c>
      <c r="AU86" s="59" t="n">
        <f aca="false">AT86+AU85</f>
        <v>10023471.6399255</v>
      </c>
      <c r="AV86" s="59" t="n">
        <f aca="false">AU86+AV85</f>
        <v>10459904.2173594</v>
      </c>
      <c r="AW86" s="59" t="n">
        <f aca="false">AV86+AW85</f>
        <v>10919723.0549222</v>
      </c>
      <c r="AX86" s="59" t="n">
        <f aca="false">AW86+AX85</f>
        <v>11402695.065709</v>
      </c>
      <c r="AY86" s="59" t="n">
        <f aca="false">AX86+AY85</f>
        <v>11719988.2830682</v>
      </c>
      <c r="AZ86" s="59" t="n">
        <f aca="false">AY86+AZ85</f>
        <v>12069767.2493723</v>
      </c>
      <c r="BA86" s="59" t="n">
        <f aca="false">AZ86+BA85</f>
        <v>12452154.9786787</v>
      </c>
      <c r="BB86" s="59" t="n">
        <f aca="false">BA86+BB85</f>
        <v>12866826.4843205</v>
      </c>
      <c r="BC86" s="59" t="n">
        <f aca="false">BB86+BC85</f>
        <v>13313460.0129831</v>
      </c>
      <c r="BD86" s="59" t="n">
        <f aca="false">BC86+BD85</f>
        <v>13791737.0126183</v>
      </c>
      <c r="BE86" s="59" t="n">
        <f aca="false">BD86+BE85</f>
        <v>14301342.1006756</v>
      </c>
      <c r="BF86" s="59" t="n">
        <f aca="false">BE86+BF85</f>
        <v>14841963.0326478</v>
      </c>
      <c r="BG86" s="59" t="n">
        <f aca="false">BF86+BG85</f>
        <v>15413290.6709269</v>
      </c>
      <c r="BH86" s="59" t="n">
        <f aca="false">BG86+BH85</f>
        <v>16015018.9539686</v>
      </c>
      <c r="BI86" s="59" t="n">
        <f aca="false">BH86+BI85</f>
        <v>16646844.8657612</v>
      </c>
      <c r="BJ86" s="59" t="n">
        <f aca="false">BI86+BJ85</f>
        <v>17308468.4055967</v>
      </c>
    </row>
    <row r="87" customFormat="false" ht="15" hidden="false" customHeight="false" outlineLevel="0" collapsed="false">
      <c r="A87" s="19" t="s">
        <v>430</v>
      </c>
      <c r="B87" s="6"/>
      <c r="C87" s="59" t="n">
        <f aca="false">C86</f>
        <v>760226.466666667</v>
      </c>
      <c r="D87" s="59" t="n">
        <f aca="false">MIN(C87,D86)</f>
        <v>760226.466666667</v>
      </c>
      <c r="E87" s="59" t="n">
        <f aca="false">MIN(D87,E86)</f>
        <v>760226.466666667</v>
      </c>
      <c r="F87" s="59" t="n">
        <f aca="false">MIN(E87,F86)</f>
        <v>760226.466666667</v>
      </c>
      <c r="G87" s="59" t="n">
        <f aca="false">MIN(F87,G86)</f>
        <v>760226.466666667</v>
      </c>
      <c r="H87" s="59" t="n">
        <f aca="false">MIN(G87,H86)</f>
        <v>760226.466666667</v>
      </c>
      <c r="I87" s="59" t="n">
        <f aca="false">MIN(H87,I86)</f>
        <v>760226.466666667</v>
      </c>
      <c r="J87" s="59" t="n">
        <f aca="false">MIN(I87,J86)</f>
        <v>760226.466666667</v>
      </c>
      <c r="K87" s="59" t="n">
        <f aca="false">MIN(J87,K86)</f>
        <v>760226.466666667</v>
      </c>
      <c r="L87" s="59" t="n">
        <f aca="false">MIN(K87,L86)</f>
        <v>760226.466666667</v>
      </c>
      <c r="M87" s="59" t="n">
        <f aca="false">MIN(L87,M86)</f>
        <v>760226.466666667</v>
      </c>
      <c r="N87" s="59" t="n">
        <f aca="false">MIN(M87,N86)</f>
        <v>760226.466666667</v>
      </c>
      <c r="O87" s="59" t="n">
        <f aca="false">MIN(N87,O86)</f>
        <v>760226.466666667</v>
      </c>
      <c r="P87" s="59" t="n">
        <f aca="false">MIN(O87,P86)</f>
        <v>760226.466666667</v>
      </c>
      <c r="Q87" s="59" t="n">
        <f aca="false">MIN(P87,Q86)</f>
        <v>760226.466666667</v>
      </c>
      <c r="R87" s="59" t="n">
        <f aca="false">MIN(Q87,R86)</f>
        <v>760226.466666667</v>
      </c>
      <c r="S87" s="59" t="n">
        <f aca="false">MIN(R87,S86)</f>
        <v>760226.466666667</v>
      </c>
      <c r="T87" s="59" t="n">
        <f aca="false">MIN(S87,T86)</f>
        <v>760226.466666667</v>
      </c>
      <c r="U87" s="59" t="n">
        <f aca="false">MIN(T87,U86)</f>
        <v>760226.466666667</v>
      </c>
      <c r="V87" s="59" t="n">
        <f aca="false">MIN(U87,V86)</f>
        <v>760226.466666667</v>
      </c>
      <c r="W87" s="59" t="n">
        <f aca="false">MIN(V87,W86)</f>
        <v>760226.466666667</v>
      </c>
      <c r="X87" s="59" t="n">
        <f aca="false">MIN(W87,X86)</f>
        <v>760226.466666667</v>
      </c>
      <c r="Y87" s="59" t="n">
        <f aca="false">MIN(X87,Y86)</f>
        <v>760226.466666667</v>
      </c>
      <c r="Z87" s="59" t="n">
        <f aca="false">MIN(Y87,Z86)</f>
        <v>760226.466666667</v>
      </c>
      <c r="AA87" s="59" t="n">
        <f aca="false">MIN(Z87,AA86)</f>
        <v>760226.466666667</v>
      </c>
      <c r="AB87" s="59" t="n">
        <f aca="false">MIN(AA87,AB86)</f>
        <v>760226.466666667</v>
      </c>
      <c r="AC87" s="59" t="n">
        <f aca="false">MIN(AB87,AC86)</f>
        <v>760226.466666667</v>
      </c>
      <c r="AD87" s="59" t="n">
        <f aca="false">MIN(AC87,AD86)</f>
        <v>760226.466666667</v>
      </c>
      <c r="AE87" s="59" t="n">
        <f aca="false">MIN(AD87,AE86)</f>
        <v>760226.466666667</v>
      </c>
      <c r="AF87" s="59" t="n">
        <f aca="false">MIN(AE87,AF86)</f>
        <v>760226.466666667</v>
      </c>
      <c r="AG87" s="59" t="n">
        <f aca="false">MIN(AF87,AG86)</f>
        <v>760226.466666667</v>
      </c>
      <c r="AH87" s="59" t="n">
        <f aca="false">MIN(AG87,AH86)</f>
        <v>760226.466666667</v>
      </c>
      <c r="AI87" s="59" t="n">
        <f aca="false">MIN(AH87,AI86)</f>
        <v>760226.466666667</v>
      </c>
      <c r="AJ87" s="59" t="n">
        <f aca="false">MIN(AI87,AJ86)</f>
        <v>760226.466666667</v>
      </c>
      <c r="AK87" s="59" t="n">
        <f aca="false">MIN(AJ87,AK86)</f>
        <v>760226.466666667</v>
      </c>
      <c r="AL87" s="59" t="n">
        <f aca="false">MIN(AK87,AL86)</f>
        <v>760226.466666667</v>
      </c>
      <c r="AM87" s="59" t="n">
        <f aca="false">MIN(AL87,AM86)</f>
        <v>760226.466666667</v>
      </c>
      <c r="AN87" s="59" t="n">
        <f aca="false">MIN(AM87,AN86)</f>
        <v>760226.466666667</v>
      </c>
      <c r="AO87" s="59" t="n">
        <f aca="false">MIN(AN87,AO86)</f>
        <v>760226.466666667</v>
      </c>
      <c r="AP87" s="59" t="n">
        <f aca="false">MIN(AO87,AP86)</f>
        <v>760226.466666667</v>
      </c>
      <c r="AQ87" s="59" t="n">
        <f aca="false">MIN(AP87,AQ86)</f>
        <v>760226.466666667</v>
      </c>
      <c r="AR87" s="59" t="n">
        <f aca="false">MIN(AQ87,AR86)</f>
        <v>760226.466666667</v>
      </c>
      <c r="AS87" s="59" t="n">
        <f aca="false">MIN(AR87,AS86)</f>
        <v>760226.466666667</v>
      </c>
      <c r="AT87" s="59" t="n">
        <f aca="false">MIN(AS87,AT86)</f>
        <v>760226.466666667</v>
      </c>
      <c r="AU87" s="59" t="n">
        <f aca="false">MIN(AT87,AU86)</f>
        <v>760226.466666667</v>
      </c>
      <c r="AV87" s="59" t="n">
        <f aca="false">MIN(AU87,AV86)</f>
        <v>760226.466666667</v>
      </c>
      <c r="AW87" s="59" t="n">
        <f aca="false">MIN(AV87,AW86)</f>
        <v>760226.466666667</v>
      </c>
      <c r="AX87" s="59" t="n">
        <f aca="false">MIN(AW87,AX86)</f>
        <v>760226.466666667</v>
      </c>
      <c r="AY87" s="59" t="n">
        <f aca="false">MIN(AX87,AY86)</f>
        <v>760226.466666667</v>
      </c>
      <c r="AZ87" s="59" t="n">
        <f aca="false">MIN(AY87,AZ86)</f>
        <v>760226.466666667</v>
      </c>
      <c r="BA87" s="59" t="n">
        <f aca="false">MIN(AZ87,BA86)</f>
        <v>760226.466666667</v>
      </c>
      <c r="BB87" s="59" t="n">
        <f aca="false">MIN(BA87,BB86)</f>
        <v>760226.466666667</v>
      </c>
      <c r="BC87" s="59" t="n">
        <f aca="false">MIN(BB87,BC86)</f>
        <v>760226.466666667</v>
      </c>
      <c r="BD87" s="59" t="n">
        <f aca="false">MIN(BC87,BD86)</f>
        <v>760226.466666667</v>
      </c>
      <c r="BE87" s="59" t="n">
        <f aca="false">MIN(BD87,BE86)</f>
        <v>760226.466666667</v>
      </c>
      <c r="BF87" s="59" t="n">
        <f aca="false">MIN(BE87,BF86)</f>
        <v>760226.466666667</v>
      </c>
      <c r="BG87" s="59" t="n">
        <f aca="false">MIN(BF87,BG86)</f>
        <v>760226.466666667</v>
      </c>
      <c r="BH87" s="59" t="n">
        <f aca="false">MIN(BG87,BH86)</f>
        <v>760226.466666667</v>
      </c>
      <c r="BI87" s="59" t="n">
        <f aca="false">MIN(BH87,BI86)</f>
        <v>760226.466666667</v>
      </c>
      <c r="BJ87" s="59" t="n">
        <f aca="false">MIN(BI87,BJ86)</f>
        <v>760226.466666667</v>
      </c>
    </row>
    <row r="88" customFormat="false" ht="15" hidden="false" customHeight="false" outlineLevel="0" collapsed="false">
      <c r="A88" s="19" t="s">
        <v>431</v>
      </c>
      <c r="B88" s="6"/>
      <c r="C88" s="114" t="n">
        <f aca="false">IF(AND(C86&gt;=0,C87&lt;0),1,0)</f>
        <v>0</v>
      </c>
      <c r="D88" s="114" t="n">
        <f aca="false">IF(AND(D86&gt;=0,D87&lt;0),1,0)</f>
        <v>0</v>
      </c>
      <c r="E88" s="114" t="n">
        <f aca="false">IF(AND(E86&gt;=0,E87&lt;0),1,0)</f>
        <v>0</v>
      </c>
      <c r="F88" s="114" t="n">
        <f aca="false">IF(AND(F86&gt;=0,F87&lt;0),1,0)</f>
        <v>0</v>
      </c>
      <c r="G88" s="114" t="n">
        <f aca="false">IF(AND(G86&gt;=0,G87&lt;0),1,0)</f>
        <v>0</v>
      </c>
      <c r="H88" s="114" t="n">
        <f aca="false">IF(AND(H86&gt;=0,H87&lt;0),1,0)</f>
        <v>0</v>
      </c>
      <c r="I88" s="114" t="n">
        <f aca="false">IF(AND(I86&gt;=0,I87&lt;0),1,0)</f>
        <v>0</v>
      </c>
      <c r="J88" s="114" t="n">
        <f aca="false">IF(AND(J86&gt;=0,J87&lt;0),1,0)</f>
        <v>0</v>
      </c>
      <c r="K88" s="114" t="n">
        <f aca="false">IF(AND(K86&gt;=0,K87&lt;0),1,0)</f>
        <v>0</v>
      </c>
      <c r="L88" s="114" t="n">
        <f aca="false">IF(AND(L86&gt;=0,L87&lt;0),1,0)</f>
        <v>0</v>
      </c>
      <c r="M88" s="114" t="n">
        <f aca="false">IF(AND(M86&gt;=0,M87&lt;0),1,0)</f>
        <v>0</v>
      </c>
      <c r="N88" s="114" t="n">
        <f aca="false">IF(AND(N86&gt;=0,N87&lt;0),1,0)</f>
        <v>0</v>
      </c>
      <c r="O88" s="114" t="n">
        <f aca="false">IF(AND(O86&gt;=0,O87&lt;0),1,0)</f>
        <v>0</v>
      </c>
      <c r="P88" s="114" t="n">
        <f aca="false">IF(AND(P86&gt;=0,P87&lt;0),1,0)</f>
        <v>0</v>
      </c>
      <c r="Q88" s="114" t="n">
        <f aca="false">IF(AND(Q86&gt;=0,Q87&lt;0),1,0)</f>
        <v>0</v>
      </c>
      <c r="R88" s="114" t="n">
        <f aca="false">IF(AND(R86&gt;=0,R87&lt;0),1,0)</f>
        <v>0</v>
      </c>
      <c r="S88" s="114" t="n">
        <f aca="false">IF(AND(S86&gt;=0,S87&lt;0),1,0)</f>
        <v>0</v>
      </c>
      <c r="T88" s="114" t="n">
        <f aca="false">IF(AND(T86&gt;=0,T87&lt;0),1,0)</f>
        <v>0</v>
      </c>
      <c r="U88" s="114" t="n">
        <f aca="false">IF(AND(U86&gt;=0,U87&lt;0),1,0)</f>
        <v>0</v>
      </c>
      <c r="V88" s="114" t="n">
        <f aca="false">IF(AND(V86&gt;=0,V87&lt;0),1,0)</f>
        <v>0</v>
      </c>
      <c r="W88" s="114" t="n">
        <f aca="false">IF(AND(W86&gt;=0,W87&lt;0),1,0)</f>
        <v>0</v>
      </c>
      <c r="X88" s="114" t="n">
        <f aca="false">IF(AND(X86&gt;=0,X87&lt;0),1,0)</f>
        <v>0</v>
      </c>
      <c r="Y88" s="114" t="n">
        <f aca="false">IF(AND(Y86&gt;=0,Y87&lt;0),1,0)</f>
        <v>0</v>
      </c>
      <c r="Z88" s="114" t="n">
        <f aca="false">IF(AND(Z86&gt;=0,Z87&lt;0),1,0)</f>
        <v>0</v>
      </c>
      <c r="AA88" s="114" t="n">
        <f aca="false">IF(AND(AA86&gt;=0,AA87&lt;0),1,0)</f>
        <v>0</v>
      </c>
      <c r="AB88" s="114" t="n">
        <f aca="false">IF(AND(AB86&gt;=0,AB87&lt;0),1,0)</f>
        <v>0</v>
      </c>
      <c r="AC88" s="114" t="n">
        <f aca="false">IF(AND(AC86&gt;=0,AC87&lt;0),1,0)</f>
        <v>0</v>
      </c>
      <c r="AD88" s="114" t="n">
        <f aca="false">IF(AND(AD86&gt;=0,AD87&lt;0),1,0)</f>
        <v>0</v>
      </c>
      <c r="AE88" s="114" t="n">
        <f aca="false">IF(AND(AE86&gt;=0,AE87&lt;0),1,0)</f>
        <v>0</v>
      </c>
      <c r="AF88" s="114" t="n">
        <f aca="false">IF(AND(AF86&gt;=0,AF87&lt;0),1,0)</f>
        <v>0</v>
      </c>
      <c r="AG88" s="114" t="n">
        <f aca="false">IF(AND(AG86&gt;=0,AG87&lt;0),1,0)</f>
        <v>0</v>
      </c>
      <c r="AH88" s="114" t="n">
        <f aca="false">IF(AND(AH86&gt;=0,AH87&lt;0),1,0)</f>
        <v>0</v>
      </c>
      <c r="AI88" s="114" t="n">
        <f aca="false">IF(AND(AI86&gt;=0,AI87&lt;0),1,0)</f>
        <v>0</v>
      </c>
      <c r="AJ88" s="114" t="n">
        <f aca="false">IF(AND(AJ86&gt;=0,AJ87&lt;0),1,0)</f>
        <v>0</v>
      </c>
      <c r="AK88" s="114" t="n">
        <f aca="false">IF(AND(AK86&gt;=0,AK87&lt;0),1,0)</f>
        <v>0</v>
      </c>
      <c r="AL88" s="114" t="n">
        <f aca="false">IF(AND(AL86&gt;=0,AL87&lt;0),1,0)</f>
        <v>0</v>
      </c>
      <c r="AM88" s="114" t="n">
        <f aca="false">IF(AND(AM86&gt;=0,AM87&lt;0),1,0)</f>
        <v>0</v>
      </c>
      <c r="AN88" s="114" t="n">
        <f aca="false">IF(AND(AN86&gt;=0,AN87&lt;0),1,0)</f>
        <v>0</v>
      </c>
      <c r="AO88" s="114" t="n">
        <f aca="false">IF(AND(AO86&gt;=0,AO87&lt;0),1,0)</f>
        <v>0</v>
      </c>
      <c r="AP88" s="114" t="n">
        <f aca="false">IF(AND(AP86&gt;=0,AP87&lt;0),1,0)</f>
        <v>0</v>
      </c>
      <c r="AQ88" s="114" t="n">
        <f aca="false">IF(AND(AQ86&gt;=0,AQ87&lt;0),1,0)</f>
        <v>0</v>
      </c>
      <c r="AR88" s="114" t="n">
        <f aca="false">IF(AND(AR86&gt;=0,AR87&lt;0),1,0)</f>
        <v>0</v>
      </c>
      <c r="AS88" s="114" t="n">
        <f aca="false">IF(AND(AS86&gt;=0,AS87&lt;0),1,0)</f>
        <v>0</v>
      </c>
      <c r="AT88" s="114" t="n">
        <f aca="false">IF(AND(AT86&gt;=0,AT87&lt;0),1,0)</f>
        <v>0</v>
      </c>
      <c r="AU88" s="114" t="n">
        <f aca="false">IF(AND(AU86&gt;=0,AU87&lt;0),1,0)</f>
        <v>0</v>
      </c>
      <c r="AV88" s="114" t="n">
        <f aca="false">IF(AND(AV86&gt;=0,AV87&lt;0),1,0)</f>
        <v>0</v>
      </c>
      <c r="AW88" s="114" t="n">
        <f aca="false">IF(AND(AW86&gt;=0,AW87&lt;0),1,0)</f>
        <v>0</v>
      </c>
      <c r="AX88" s="114" t="n">
        <f aca="false">IF(AND(AX86&gt;=0,AX87&lt;0),1,0)</f>
        <v>0</v>
      </c>
      <c r="AY88" s="114" t="n">
        <f aca="false">IF(AND(AY86&gt;=0,AY87&lt;0),1,0)</f>
        <v>0</v>
      </c>
      <c r="AZ88" s="114" t="n">
        <f aca="false">IF(AND(AZ86&gt;=0,AZ87&lt;0),1,0)</f>
        <v>0</v>
      </c>
      <c r="BA88" s="114" t="n">
        <f aca="false">IF(AND(BA86&gt;=0,BA87&lt;0),1,0)</f>
        <v>0</v>
      </c>
      <c r="BB88" s="114" t="n">
        <f aca="false">IF(AND(BB86&gt;=0,BB87&lt;0),1,0)</f>
        <v>0</v>
      </c>
      <c r="BC88" s="114" t="n">
        <f aca="false">IF(AND(BC86&gt;=0,BC87&lt;0),1,0)</f>
        <v>0</v>
      </c>
      <c r="BD88" s="114" t="n">
        <f aca="false">IF(AND(BD86&gt;=0,BD87&lt;0),1,0)</f>
        <v>0</v>
      </c>
      <c r="BE88" s="114" t="n">
        <f aca="false">IF(AND(BE86&gt;=0,BE87&lt;0),1,0)</f>
        <v>0</v>
      </c>
      <c r="BF88" s="114" t="n">
        <f aca="false">IF(AND(BF86&gt;=0,BF87&lt;0),1,0)</f>
        <v>0</v>
      </c>
      <c r="BG88" s="114" t="n">
        <f aca="false">IF(AND(BG86&gt;=0,BG87&lt;0),1,0)</f>
        <v>0</v>
      </c>
      <c r="BH88" s="114" t="n">
        <f aca="false">IF(AND(BH86&gt;=0,BH87&lt;0),1,0)</f>
        <v>0</v>
      </c>
      <c r="BI88" s="114" t="n">
        <f aca="false">IF(AND(BI86&gt;=0,BI87&lt;0),1,0)</f>
        <v>0</v>
      </c>
      <c r="BJ88" s="114" t="n">
        <f aca="false">IF(AND(BJ86&gt;=0,BJ87&lt;0),1,0)</f>
        <v>0</v>
      </c>
    </row>
    <row r="89" customFormat="false" ht="15" hidden="false" customHeight="false" outlineLevel="0" collapsed="false">
      <c r="A89" s="6" t="s">
        <v>432</v>
      </c>
      <c r="B89" s="6"/>
      <c r="C89" s="59" t="n">
        <f aca="false">C70-C39*(1-Inputs!$E$58)+C71</f>
        <v>760226.466666667</v>
      </c>
      <c r="D89" s="59" t="n">
        <f aca="false">D70-D39*(1-Inputs!$E$58)+D71</f>
        <v>65787.1809166666</v>
      </c>
      <c r="E89" s="59" t="n">
        <f aca="false">E70-E39*(1-Inputs!$E$58)+E71</f>
        <v>77760.7817237501</v>
      </c>
      <c r="F89" s="59" t="n">
        <f aca="false">F70-F39*(1-Inputs!$E$58)+F71</f>
        <v>89615.0794835188</v>
      </c>
      <c r="G89" s="59" t="n">
        <f aca="false">G70-G39*(1-Inputs!$E$58)+G71</f>
        <v>101351.260732035</v>
      </c>
      <c r="H89" s="59" t="n">
        <f aca="false">H70-H39*(1-Inputs!$E$58)+H71</f>
        <v>112970.500237415</v>
      </c>
      <c r="I89" s="59" t="n">
        <f aca="false">I70-I39*(1-Inputs!$E$58)+I71</f>
        <v>124473.961116051</v>
      </c>
      <c r="J89" s="59" t="n">
        <f aca="false">J70-J39*(1-Inputs!$E$58)+J71</f>
        <v>135862.794947686</v>
      </c>
      <c r="K89" s="59" t="n">
        <f aca="false">K70-K39*(1-Inputs!$E$58)+K71</f>
        <v>147138.141889363</v>
      </c>
      <c r="L89" s="59" t="n">
        <f aca="false">L70-L39*(1-Inputs!$E$58)+L71</f>
        <v>158301.130788255</v>
      </c>
      <c r="M89" s="59" t="n">
        <f aca="false">M70-M39*(1-Inputs!$E$58)+M71</f>
        <v>169352.879293392</v>
      </c>
      <c r="N89" s="59" t="n">
        <f aca="false">N70-N39*(1-Inputs!$E$58)+N71</f>
        <v>180294.493966282</v>
      </c>
      <c r="O89" s="59" t="n">
        <f aca="false">O70-O39*(1-Inputs!$E$58)+O71</f>
        <v>90850.8353904552</v>
      </c>
      <c r="P89" s="59" t="n">
        <f aca="false">P70-P39*(1-Inputs!$E$58)+P71</f>
        <v>106152.20652993</v>
      </c>
      <c r="Q89" s="59" t="n">
        <f aca="false">Q70-Q39*(1-Inputs!$E$58)+Q71</f>
        <v>121508.000582109</v>
      </c>
      <c r="R89" s="59" t="n">
        <f aca="false">R70-R39*(1-Inputs!$E$58)+R71</f>
        <v>136710.786768504</v>
      </c>
      <c r="S89" s="59" t="n">
        <f aca="false">S70-S39*(1-Inputs!$E$58)+S71</f>
        <v>151762.086916652</v>
      </c>
      <c r="T89" s="59" t="n">
        <f aca="false">T70-T39*(1-Inputs!$E$58)+T71</f>
        <v>166663.407759581</v>
      </c>
      <c r="U89" s="59" t="n">
        <f aca="false">U70-U39*(1-Inputs!$E$58)+U71</f>
        <v>181416.241084899</v>
      </c>
      <c r="V89" s="59" t="n">
        <f aca="false">V70-V39*(1-Inputs!$E$58)+V71</f>
        <v>196022.06388242</v>
      </c>
      <c r="W89" s="59" t="n">
        <f aca="false">W70-W39*(1-Inputs!$E$58)+W71</f>
        <v>210482.338490341</v>
      </c>
      <c r="X89" s="59" t="n">
        <f aca="false">X70-X39*(1-Inputs!$E$58)+X71</f>
        <v>224798.512739981</v>
      </c>
      <c r="Y89" s="59" t="n">
        <f aca="false">Y70-Y39*(1-Inputs!$E$58)+Y71</f>
        <v>238972.020099107</v>
      </c>
      <c r="Z89" s="59" t="n">
        <f aca="false">Z70-Z39*(1-Inputs!$E$58)+Z71</f>
        <v>253004.279813843</v>
      </c>
      <c r="AA89" s="59" t="n">
        <f aca="false">AA70-AA39*(1-Inputs!$E$58)+AA71</f>
        <v>143104.939024196</v>
      </c>
      <c r="AB89" s="59" t="n">
        <f aca="false">AB70-AB39*(1-Inputs!$E$58)+AB71</f>
        <v>162746.875822443</v>
      </c>
      <c r="AC89" s="59" t="n">
        <f aca="false">AC70-AC39*(1-Inputs!$E$58)+AC71</f>
        <v>182460.101547466</v>
      </c>
      <c r="AD89" s="59" t="n">
        <f aca="false">AD70-AD39*(1-Inputs!$E$58)+AD71</f>
        <v>201976.890010574</v>
      </c>
      <c r="AE89" s="59" t="n">
        <f aca="false">AE70-AE39*(1-Inputs!$E$58)+AE71</f>
        <v>221299.195159458</v>
      </c>
      <c r="AF89" s="59" t="n">
        <f aca="false">AF70-AF39*(1-Inputs!$E$58)+AF71</f>
        <v>240428.951558703</v>
      </c>
      <c r="AG89" s="59" t="n">
        <f aca="false">AG70-AG39*(1-Inputs!$E$58)+AG71</f>
        <v>259368.074581278</v>
      </c>
      <c r="AH89" s="59" t="n">
        <f aca="false">AH70-AH39*(1-Inputs!$E$58)+AH71</f>
        <v>278118.460598139</v>
      </c>
      <c r="AI89" s="59" t="n">
        <f aca="false">AI70-AI39*(1-Inputs!$E$58)+AI71</f>
        <v>296681.987165977</v>
      </c>
      <c r="AJ89" s="59" t="n">
        <f aca="false">AJ70-AJ39*(1-Inputs!$E$58)+AJ71</f>
        <v>315060.513213115</v>
      </c>
      <c r="AK89" s="59" t="n">
        <f aca="false">AK70-AK39*(1-Inputs!$E$58)+AK71</f>
        <v>333255.879223584</v>
      </c>
      <c r="AL89" s="59" t="n">
        <f aca="false">AL70-AL39*(1-Inputs!$E$58)+AL71</f>
        <v>351269.907419394</v>
      </c>
      <c r="AM89" s="59" t="n">
        <f aca="false">AM70-AM39*(1-Inputs!$E$58)+AM71</f>
        <v>215421.562042995</v>
      </c>
      <c r="AN89" s="59" t="n">
        <f aca="false">AN70-AN39*(1-Inputs!$E$58)+AN71</f>
        <v>240665.279776387</v>
      </c>
      <c r="AO89" s="59" t="n">
        <f aca="false">AO70-AO39*(1-Inputs!$E$58)+AO71</f>
        <v>266002.566595033</v>
      </c>
      <c r="AP89" s="59" t="n">
        <f aca="false">AP70-AP39*(1-Inputs!$E$58)+AP71</f>
        <v>291087.355936157</v>
      </c>
      <c r="AQ89" s="59" t="n">
        <f aca="false">AQ70-AQ39*(1-Inputs!$E$58)+AQ71</f>
        <v>315922.159643673</v>
      </c>
      <c r="AR89" s="59" t="n">
        <f aca="false">AR70-AR39*(1-Inputs!$E$58)+AR71</f>
        <v>340509.464640022</v>
      </c>
      <c r="AS89" s="59" t="n">
        <f aca="false">AS70-AS39*(1-Inputs!$E$58)+AS71</f>
        <v>364851.733172427</v>
      </c>
      <c r="AT89" s="59" t="n">
        <f aca="false">AT70-AT39*(1-Inputs!$E$58)+AT71</f>
        <v>388951.403056735</v>
      </c>
      <c r="AU89" s="59" t="n">
        <f aca="false">AU70-AU39*(1-Inputs!$E$58)+AU71</f>
        <v>412810.88791887</v>
      </c>
      <c r="AV89" s="59" t="n">
        <f aca="false">AV70-AV39*(1-Inputs!$E$58)+AV71</f>
        <v>436432.577433904</v>
      </c>
      <c r="AW89" s="59" t="n">
        <f aca="false">AW70-AW39*(1-Inputs!$E$58)+AW71</f>
        <v>459818.837562785</v>
      </c>
      <c r="AX89" s="59" t="n">
        <f aca="false">AX70-AX39*(1-Inputs!$E$58)+AX71</f>
        <v>482972.010786738</v>
      </c>
      <c r="AY89" s="59" t="n">
        <f aca="false">AY70-AY39*(1-Inputs!$E$58)+AY71</f>
        <v>317293.217359207</v>
      </c>
      <c r="AZ89" s="59" t="n">
        <f aca="false">AZ70-AZ39*(1-Inputs!$E$58)+AZ71</f>
        <v>349778.966304129</v>
      </c>
      <c r="BA89" s="59" t="n">
        <f aca="false">BA70-BA39*(1-Inputs!$E$58)+BA71</f>
        <v>382387.729306384</v>
      </c>
      <c r="BB89" s="59" t="n">
        <f aca="false">BB70-BB39*(1-Inputs!$E$58)+BB71</f>
        <v>414671.505641803</v>
      </c>
      <c r="BC89" s="59" t="n">
        <f aca="false">BC70-BC39*(1-Inputs!$E$58)+BC71</f>
        <v>446633.528662605</v>
      </c>
      <c r="BD89" s="59" t="n">
        <f aca="false">BD70-BD39*(1-Inputs!$E$58)+BD71</f>
        <v>478276.999635206</v>
      </c>
      <c r="BE89" s="59" t="n">
        <f aca="false">BE70-BE39*(1-Inputs!$E$58)+BE71</f>
        <v>509605.088057357</v>
      </c>
      <c r="BF89" s="59" t="n">
        <f aca="false">BF70-BF39*(1-Inputs!$E$58)+BF71</f>
        <v>540620.931972174</v>
      </c>
      <c r="BG89" s="59" t="n">
        <f aca="false">BG70-BG39*(1-Inputs!$E$58)+BG71</f>
        <v>571327.638279076</v>
      </c>
      <c r="BH89" s="59" t="n">
        <f aca="false">BH70-BH39*(1-Inputs!$E$58)+BH71</f>
        <v>601728.283041676</v>
      </c>
      <c r="BI89" s="59" t="n">
        <f aca="false">BI70-BI39*(1-Inputs!$E$58)+BI71</f>
        <v>631825.911792634</v>
      </c>
      <c r="BJ89" s="59" t="n">
        <f aca="false">BJ70-BJ39*(1-Inputs!$E$58)+BJ71</f>
        <v>661623.539835526</v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</row>
    <row r="91" customFormat="false" ht="15" hidden="false" customHeight="false" outlineLevel="0" collapsed="false">
      <c r="A91" s="57" t="s">
        <v>433</v>
      </c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</row>
    <row r="92" customFormat="false" ht="15" hidden="false" customHeight="false" outlineLevel="0" collapsed="false">
      <c r="A92" s="6" t="s">
        <v>94</v>
      </c>
      <c r="B92" s="6"/>
      <c r="C92" s="59" t="n">
        <f aca="false">C72</f>
        <v>1000000</v>
      </c>
      <c r="D92" s="59" t="n">
        <f aca="false">C92+D72</f>
        <v>1000000</v>
      </c>
      <c r="E92" s="59" t="n">
        <f aca="false">D92+E72</f>
        <v>1000000</v>
      </c>
      <c r="F92" s="59" t="n">
        <f aca="false">E92+F72</f>
        <v>1000000</v>
      </c>
      <c r="G92" s="59" t="n">
        <f aca="false">F92+G72</f>
        <v>1000000</v>
      </c>
      <c r="H92" s="59" t="n">
        <f aca="false">G92+H72</f>
        <v>1000000</v>
      </c>
      <c r="I92" s="59" t="n">
        <f aca="false">H92+I72</f>
        <v>1000000</v>
      </c>
      <c r="J92" s="59" t="n">
        <f aca="false">I92+J72</f>
        <v>1000000</v>
      </c>
      <c r="K92" s="59" t="n">
        <f aca="false">J92+K72</f>
        <v>1000000</v>
      </c>
      <c r="L92" s="59" t="n">
        <f aca="false">K92+L72</f>
        <v>1000000</v>
      </c>
      <c r="M92" s="59" t="n">
        <f aca="false">L92+M72</f>
        <v>1000000</v>
      </c>
      <c r="N92" s="59" t="n">
        <f aca="false">M92+N72</f>
        <v>1000000</v>
      </c>
      <c r="O92" s="59" t="n">
        <f aca="false">N92+O72</f>
        <v>1000000</v>
      </c>
      <c r="P92" s="59" t="n">
        <f aca="false">O92+P72</f>
        <v>1000000</v>
      </c>
      <c r="Q92" s="59" t="n">
        <f aca="false">P92+Q72</f>
        <v>1000000</v>
      </c>
      <c r="R92" s="59" t="n">
        <f aca="false">Q92+R72</f>
        <v>1000000</v>
      </c>
      <c r="S92" s="59" t="n">
        <f aca="false">R92+S72</f>
        <v>1000000</v>
      </c>
      <c r="T92" s="59" t="n">
        <f aca="false">S92+T72</f>
        <v>1000000</v>
      </c>
      <c r="U92" s="59" t="n">
        <f aca="false">T92+U72</f>
        <v>1000000</v>
      </c>
      <c r="V92" s="59" t="n">
        <f aca="false">U92+V72</f>
        <v>1000000</v>
      </c>
      <c r="W92" s="59" t="n">
        <f aca="false">V92+W72</f>
        <v>1000000</v>
      </c>
      <c r="X92" s="59" t="n">
        <f aca="false">W92+X72</f>
        <v>1000000</v>
      </c>
      <c r="Y92" s="59" t="n">
        <f aca="false">X92+Y72</f>
        <v>1000000</v>
      </c>
      <c r="Z92" s="59" t="n">
        <f aca="false">Y92+Z72</f>
        <v>1000000</v>
      </c>
      <c r="AA92" s="59" t="n">
        <f aca="false">Z92+AA72</f>
        <v>1000000</v>
      </c>
      <c r="AB92" s="59" t="n">
        <f aca="false">AA92+AB72</f>
        <v>1000000</v>
      </c>
      <c r="AC92" s="59" t="n">
        <f aca="false">AB92+AC72</f>
        <v>1000000</v>
      </c>
      <c r="AD92" s="59" t="n">
        <f aca="false">AC92+AD72</f>
        <v>1000000</v>
      </c>
      <c r="AE92" s="59" t="n">
        <f aca="false">AD92+AE72</f>
        <v>1000000</v>
      </c>
      <c r="AF92" s="59" t="n">
        <f aca="false">AE92+AF72</f>
        <v>1000000</v>
      </c>
      <c r="AG92" s="59" t="n">
        <f aca="false">AF92+AG72</f>
        <v>1000000</v>
      </c>
      <c r="AH92" s="59" t="n">
        <f aca="false">AG92+AH72</f>
        <v>1000000</v>
      </c>
      <c r="AI92" s="59" t="n">
        <f aca="false">AH92+AI72</f>
        <v>1000000</v>
      </c>
      <c r="AJ92" s="59" t="n">
        <f aca="false">AI92+AJ72</f>
        <v>1000000</v>
      </c>
      <c r="AK92" s="59" t="n">
        <f aca="false">AJ92+AK72</f>
        <v>1000000</v>
      </c>
      <c r="AL92" s="59" t="n">
        <f aca="false">AK92+AL72</f>
        <v>1000000</v>
      </c>
      <c r="AM92" s="59" t="n">
        <f aca="false">AL92+AM72</f>
        <v>1000000</v>
      </c>
      <c r="AN92" s="59" t="n">
        <f aca="false">AM92+AN72</f>
        <v>1000000</v>
      </c>
      <c r="AO92" s="59" t="n">
        <f aca="false">AN92+AO72</f>
        <v>1000000</v>
      </c>
      <c r="AP92" s="59" t="n">
        <f aca="false">AO92+AP72</f>
        <v>1000000</v>
      </c>
      <c r="AQ92" s="59" t="n">
        <f aca="false">AP92+AQ72</f>
        <v>1000000</v>
      </c>
      <c r="AR92" s="59" t="n">
        <f aca="false">AQ92+AR72</f>
        <v>1000000</v>
      </c>
      <c r="AS92" s="59" t="n">
        <f aca="false">AR92+AS72</f>
        <v>1000000</v>
      </c>
      <c r="AT92" s="59" t="n">
        <f aca="false">AS92+AT72</f>
        <v>1000000</v>
      </c>
      <c r="AU92" s="59" t="n">
        <f aca="false">AT92+AU72</f>
        <v>1000000</v>
      </c>
      <c r="AV92" s="59" t="n">
        <f aca="false">AU92+AV72</f>
        <v>1000000</v>
      </c>
      <c r="AW92" s="59" t="n">
        <f aca="false">AV92+AW72</f>
        <v>1000000</v>
      </c>
      <c r="AX92" s="59" t="n">
        <f aca="false">AW92+AX72</f>
        <v>1000000</v>
      </c>
      <c r="AY92" s="59" t="n">
        <f aca="false">AX92+AY72</f>
        <v>1000000</v>
      </c>
      <c r="AZ92" s="59" t="n">
        <f aca="false">AY92+AZ72</f>
        <v>1000000</v>
      </c>
      <c r="BA92" s="59" t="n">
        <f aca="false">AZ92+BA72</f>
        <v>1000000</v>
      </c>
      <c r="BB92" s="59" t="n">
        <f aca="false">BA92+BB72</f>
        <v>1000000</v>
      </c>
      <c r="BC92" s="59" t="n">
        <f aca="false">BB92+BC72</f>
        <v>1000000</v>
      </c>
      <c r="BD92" s="59" t="n">
        <f aca="false">BC92+BD72</f>
        <v>1000000</v>
      </c>
      <c r="BE92" s="59" t="n">
        <f aca="false">BD92+BE72</f>
        <v>1000000</v>
      </c>
      <c r="BF92" s="59" t="n">
        <f aca="false">BE92+BF72</f>
        <v>1000000</v>
      </c>
      <c r="BG92" s="59" t="n">
        <f aca="false">BF92+BG72</f>
        <v>1000000</v>
      </c>
      <c r="BH92" s="59" t="n">
        <f aca="false">BG92+BH72</f>
        <v>1000000</v>
      </c>
      <c r="BI92" s="59" t="n">
        <f aca="false">BH92+BI72</f>
        <v>1000000</v>
      </c>
      <c r="BJ92" s="59" t="n">
        <f aca="false">BI92+BJ72</f>
        <v>1000000</v>
      </c>
    </row>
    <row r="93" customFormat="false" ht="15" hidden="false" customHeight="false" outlineLevel="0" collapsed="false">
      <c r="A93" s="6" t="s">
        <v>95</v>
      </c>
      <c r="B93" s="6"/>
      <c r="C93" s="59" t="n">
        <f aca="false">C44</f>
        <v>29588.1333333333</v>
      </c>
      <c r="D93" s="59" t="n">
        <f aca="false">C93+D44</f>
        <v>71470.3059166666</v>
      </c>
      <c r="E93" s="59" t="n">
        <f aca="false">D93+E44</f>
        <v>125524.00859875</v>
      </c>
      <c r="F93" s="59" t="n">
        <f aca="false">E93+F44</f>
        <v>191627.950851227</v>
      </c>
      <c r="G93" s="59" t="n">
        <f aca="false">F93+G44</f>
        <v>269662.048679436</v>
      </c>
      <c r="H93" s="59" t="n">
        <f aca="false">G93+H44</f>
        <v>359507.412652645</v>
      </c>
      <c r="I93" s="59" t="n">
        <f aca="false">H93+I44</f>
        <v>461046.336052555</v>
      </c>
      <c r="J93" s="59" t="n">
        <f aca="false">I93+J44</f>
        <v>574162.283138903</v>
      </c>
      <c r="K93" s="59" t="n">
        <f aca="false">J93+K44</f>
        <v>698739.877531018</v>
      </c>
      <c r="L93" s="59" t="n">
        <f aca="false">K93+L44</f>
        <v>834664.890704193</v>
      </c>
      <c r="M93" s="59" t="n">
        <f aca="false">L93+M44</f>
        <v>981824.230599741</v>
      </c>
      <c r="N93" s="59" t="n">
        <f aca="false">M93+N44</f>
        <v>1140105.93034763</v>
      </c>
      <c r="O93" s="59" t="n">
        <f aca="false">N93+O44</f>
        <v>1201013.90210056</v>
      </c>
      <c r="P93" s="59" t="n">
        <f aca="false">O93+P44</f>
        <v>1277688.58922845</v>
      </c>
      <c r="Q93" s="59" t="n">
        <f aca="false">P93+Q44</f>
        <v>1369972.87246767</v>
      </c>
      <c r="R93" s="59" t="n">
        <f aca="false">Q93+R44</f>
        <v>1477711.19552885</v>
      </c>
      <c r="S93" s="59" t="n">
        <f aca="false">R93+S44</f>
        <v>1600749.54959046</v>
      </c>
      <c r="T93" s="59" t="n">
        <f aca="false">S93+T44</f>
        <v>1738935.45794554</v>
      </c>
      <c r="U93" s="59" t="n">
        <f aca="false">T93+U44</f>
        <v>1892117.96080014</v>
      </c>
      <c r="V93" s="59" t="n">
        <f aca="false">U93+V44</f>
        <v>2060147.60022201</v>
      </c>
      <c r="W93" s="59" t="n">
        <f aca="false">V93+W44</f>
        <v>2242876.40523805</v>
      </c>
      <c r="X93" s="59" t="n">
        <f aca="false">W93+X44</f>
        <v>2440157.87707899</v>
      </c>
      <c r="Y93" s="59" t="n">
        <f aca="false">X93+Y44</f>
        <v>2651846.97456996</v>
      </c>
      <c r="Z93" s="59" t="n">
        <f aca="false">Y93+Z44</f>
        <v>2877800.09966542</v>
      </c>
      <c r="AA93" s="59" t="n">
        <f aca="false">Z93+AA44</f>
        <v>2983652.90010214</v>
      </c>
      <c r="AB93" s="59" t="n">
        <f aca="false">AA93+AB44</f>
        <v>3109746.38436295</v>
      </c>
      <c r="AC93" s="59" t="n">
        <f aca="false">AB93+AC44</f>
        <v>3255878.83784477</v>
      </c>
      <c r="AD93" s="59" t="n">
        <f aca="false">AC93+AD44</f>
        <v>3421850.55270702</v>
      </c>
      <c r="AE93" s="59" t="n">
        <f aca="false">AD93+AE44</f>
        <v>3607463.80795975</v>
      </c>
      <c r="AF93" s="59" t="n">
        <f aca="false">AE93+AF44</f>
        <v>3812522.84974855</v>
      </c>
      <c r="AG93" s="59" t="n">
        <f aca="false">AF93+AG44</f>
        <v>4036833.87183432</v>
      </c>
      <c r="AH93" s="59" t="n">
        <f aca="false">AG93+AH44</f>
        <v>4280204.99626596</v>
      </c>
      <c r="AI93" s="59" t="n">
        <f aca="false">AH93+AI44</f>
        <v>4542446.25424408</v>
      </c>
      <c r="AJ93" s="59" t="n">
        <f aca="false">AI93+AJ44</f>
        <v>4823369.56717394</v>
      </c>
      <c r="AK93" s="59" t="n">
        <f aca="false">AJ93+AK44</f>
        <v>5122788.72790565</v>
      </c>
      <c r="AL93" s="59" t="n">
        <f aca="false">AK93+AL44</f>
        <v>5440519.38215979</v>
      </c>
      <c r="AM93" s="59" t="n">
        <f aca="false">AL93+AM44</f>
        <v>5613424.88987045</v>
      </c>
      <c r="AN93" s="59" t="n">
        <f aca="false">AM93+AN44</f>
        <v>5812345.51389502</v>
      </c>
      <c r="AO93" s="59" t="n">
        <f aca="false">AN93+AO44</f>
        <v>6037021.97498442</v>
      </c>
      <c r="AP93" s="59" t="n">
        <f aca="false">AO93+AP44</f>
        <v>6287197.57360334</v>
      </c>
      <c r="AQ93" s="59" t="n">
        <f aca="false">AP93+AQ44</f>
        <v>6562618.16432928</v>
      </c>
      <c r="AR93" s="59" t="n">
        <f aca="false">AQ93+AR44</f>
        <v>6863032.13050468</v>
      </c>
      <c r="AS93" s="59" t="n">
        <f aca="false">AR93+AS44</f>
        <v>7188190.35913962</v>
      </c>
      <c r="AT93" s="59" t="n">
        <f aca="false">AS93+AT44</f>
        <v>7537846.21606259</v>
      </c>
      <c r="AU93" s="59" t="n">
        <f aca="false">AT93+AU44</f>
        <v>7911755.52131699</v>
      </c>
      <c r="AV93" s="59" t="n">
        <f aca="false">AU93+AV44</f>
        <v>8309676.52480092</v>
      </c>
      <c r="AW93" s="59" t="n">
        <f aca="false">AV93+AW44</f>
        <v>8731369.88214776</v>
      </c>
      <c r="AX93" s="59" t="n">
        <f aca="false">AW93+AX44</f>
        <v>9176598.63084533</v>
      </c>
      <c r="AY93" s="59" t="n">
        <f aca="false">AX93+AY44</f>
        <v>9439186.61597258</v>
      </c>
      <c r="AZ93" s="59" t="n">
        <f aca="false">AY93+AZ44</f>
        <v>9735255.56541265</v>
      </c>
      <c r="BA93" s="59" t="n">
        <f aca="false">AZ93+BA44</f>
        <v>10064471.7661131</v>
      </c>
      <c r="BB93" s="59" t="n">
        <f aca="false">BA93+BB44</f>
        <v>10426504.8257032</v>
      </c>
      <c r="BC93" s="59" t="n">
        <f aca="false">BB93+BC44</f>
        <v>10821027.6395338</v>
      </c>
      <c r="BD93" s="59" t="n">
        <f aca="false">BC93+BD44</f>
        <v>11247716.358043</v>
      </c>
      <c r="BE93" s="59" t="n">
        <f aca="false">BD93+BE44</f>
        <v>11706250.354445</v>
      </c>
      <c r="BF93" s="59" t="n">
        <f aca="false">BE93+BF44</f>
        <v>12196312.1927378</v>
      </c>
      <c r="BG93" s="59" t="n">
        <f aca="false">BF93+BG44</f>
        <v>12717587.596028</v>
      </c>
      <c r="BH93" s="59" t="n">
        <f aca="false">BG93+BH44</f>
        <v>13269765.4151679</v>
      </c>
      <c r="BI93" s="59" t="n">
        <f aca="false">BH93+BI44</f>
        <v>13852537.5977041</v>
      </c>
      <c r="BJ93" s="59" t="n">
        <f aca="false">BI93+BJ44</f>
        <v>14465599.1571318</v>
      </c>
    </row>
    <row r="94" customFormat="false" ht="15" hidden="false" customHeight="false" outlineLevel="0" collapsed="false">
      <c r="A94" s="31" t="s">
        <v>89</v>
      </c>
      <c r="B94" s="31"/>
      <c r="C94" s="60" t="n">
        <f aca="false">C76+C60+C61+C51</f>
        <v>2032518.13333333</v>
      </c>
      <c r="D94" s="60" t="n">
        <f aca="false">D76+D60+D61+D51</f>
        <v>2097040.73091667</v>
      </c>
      <c r="E94" s="60" t="n">
        <f aca="false">E76+E60+E61+E51</f>
        <v>2173507.90847375</v>
      </c>
      <c r="F94" s="60" t="n">
        <f aca="false">F76+F60+F61+F51</f>
        <v>2261800.6531656</v>
      </c>
      <c r="G94" s="60" t="n">
        <f aca="false">G76+G60+G61+G51</f>
        <v>2361801.13578722</v>
      </c>
      <c r="H94" s="60" t="n">
        <f aca="false">H76+H60+H61+H51</f>
        <v>2473392.69902866</v>
      </c>
      <c r="I94" s="60" t="n">
        <f aca="false">I76+I60+I61+I51</f>
        <v>2596459.84585202</v>
      </c>
      <c r="J94" s="60" t="n">
        <f aca="false">J76+J60+J61+J51</f>
        <v>2730888.22798328</v>
      </c>
      <c r="K94" s="60" t="n">
        <f aca="false">K76+K60+K61+K51</f>
        <v>2876564.63451772</v>
      </c>
      <c r="L94" s="60" t="n">
        <f aca="false">L76+L60+L61+L51</f>
        <v>3033376.98063793</v>
      </c>
      <c r="M94" s="60" t="n">
        <f aca="false">M76+M60+M61+M51</f>
        <v>3201214.29644329</v>
      </c>
      <c r="N94" s="60" t="n">
        <f aca="false">N76+N60+N61+N51</f>
        <v>3379966.71588975</v>
      </c>
      <c r="O94" s="60" t="n">
        <f aca="false">O76+O60+O61+O51</f>
        <v>3469826.73083892</v>
      </c>
      <c r="P94" s="60" t="n">
        <f aca="false">P76+P60+P61+P51</f>
        <v>3575533.85846531</v>
      </c>
      <c r="Q94" s="60" t="n">
        <f aca="false">Q76+Q60+Q61+Q51</f>
        <v>3696559.56426624</v>
      </c>
      <c r="R94" s="60" t="n">
        <f aca="false">R76+R60+R61+R51</f>
        <v>3832751.21253472</v>
      </c>
      <c r="S94" s="60" t="n">
        <f aca="false">S76+S60+S61+S51</f>
        <v>3983957.68566968</v>
      </c>
      <c r="T94" s="60" t="n">
        <f aca="false">T76+T60+T61+T51</f>
        <v>4150029.36911872</v>
      </c>
      <c r="U94" s="60" t="n">
        <f aca="false">U76+U60+U61+U51</f>
        <v>4330818.13646951</v>
      </c>
      <c r="V94" s="60" t="n">
        <f aca="false">V76+V60+V61+V51</f>
        <v>4526177.33468851</v>
      </c>
      <c r="W94" s="60" t="n">
        <f aca="false">W76+W60+W61+W51</f>
        <v>4735961.76950538</v>
      </c>
      <c r="X94" s="60" t="n">
        <f aca="false">X76+X60+X61+X51</f>
        <v>4960027.69094197</v>
      </c>
      <c r="Y94" s="60" t="n">
        <f aca="false">Y76+Y60+Y61+Y51</f>
        <v>5198232.77898405</v>
      </c>
      <c r="Z94" s="60" t="n">
        <f aca="false">Z76+Z60+Z61+Z51</f>
        <v>5450436.12939477</v>
      </c>
      <c r="AA94" s="60" t="n">
        <f aca="false">AA76+AA60+AA61+AA51</f>
        <v>5593449.36914321</v>
      </c>
      <c r="AB94" s="60" t="n">
        <f aca="false">AB76+AB60+AB61+AB51</f>
        <v>5756806.68351599</v>
      </c>
      <c r="AC94" s="60" t="n">
        <f aca="false">AC76+AC60+AC61+AC51</f>
        <v>5939829.45256161</v>
      </c>
      <c r="AD94" s="60" t="n">
        <f aca="false">AD76+AD60+AD61+AD51</f>
        <v>6142321.7167287</v>
      </c>
      <c r="AE94" s="60" t="n">
        <f aca="false">AE76+AE60+AE61+AE51</f>
        <v>6364089.46563644</v>
      </c>
      <c r="AF94" s="60" t="n">
        <f aca="false">AF76+AF60+AF61+AF51</f>
        <v>6604940.61873927</v>
      </c>
      <c r="AG94" s="60" t="n">
        <f aca="false">AG76+AG60+AG61+AG51</f>
        <v>6864685.00618258</v>
      </c>
      <c r="AH94" s="60" t="n">
        <f aca="false">AH76+AH60+AH61+AH51</f>
        <v>7143134.34984746</v>
      </c>
      <c r="AI94" s="60" t="n">
        <f aca="false">AI76+AI60+AI61+AI51</f>
        <v>7440102.24458284</v>
      </c>
      <c r="AJ94" s="60" t="n">
        <f aca="false">AJ76+AJ60+AJ61+AJ51</f>
        <v>7755404.13962299</v>
      </c>
      <c r="AK94" s="60" t="n">
        <f aca="false">AK76+AK60+AK61+AK51</f>
        <v>8088857.32018868</v>
      </c>
      <c r="AL94" s="60" t="n">
        <f aca="false">AL76+AL60+AL61+AL51</f>
        <v>8440280.8892701</v>
      </c>
      <c r="AM94" s="60" t="n">
        <f aca="false">AM76+AM60+AM61+AM51</f>
        <v>8660936.74686099</v>
      </c>
      <c r="AN94" s="60" t="n">
        <f aca="false">AN76+AN60+AN61+AN51</f>
        <v>8907741.1497323</v>
      </c>
      <c r="AO94" s="60" t="n">
        <f aca="false">AO76+AO60+AO61+AO51</f>
        <v>9179821.4481913</v>
      </c>
      <c r="AP94" s="60" t="n">
        <f aca="false">AP76+AP60+AP61+AP51</f>
        <v>9476925.75867279</v>
      </c>
      <c r="AQ94" s="60" t="n">
        <f aca="false">AQ76+AQ60+AQ61+AQ51</f>
        <v>9798804.70331633</v>
      </c>
      <c r="AR94" s="60" t="n">
        <f aca="false">AR76+AR60+AR61+AR51</f>
        <v>10145211.3851062</v>
      </c>
      <c r="AS94" s="60" t="n">
        <f aca="false">AS76+AS60+AS61+AS51</f>
        <v>10515901.363257</v>
      </c>
      <c r="AT94" s="60" t="n">
        <f aca="false">AT76+AT60+AT61+AT51</f>
        <v>10910632.6288424</v>
      </c>
      <c r="AU94" s="60" t="n">
        <f aca="false">AU76+AU60+AU61+AU51</f>
        <v>11329165.5806645</v>
      </c>
      <c r="AV94" s="60" t="n">
        <f aca="false">AV76+AV60+AV61+AV51</f>
        <v>11771263.0013627</v>
      </c>
      <c r="AW94" s="60" t="n">
        <f aca="false">AW76+AW60+AW61+AW51</f>
        <v>12236690.0337571</v>
      </c>
      <c r="AX94" s="60" t="n">
        <f aca="false">AX76+AX60+AX61+AX51</f>
        <v>12725214.1574272</v>
      </c>
      <c r="AY94" s="60" t="n">
        <f aca="false">AY76+AY60+AY61+AY51</f>
        <v>13049239.1988008</v>
      </c>
      <c r="AZ94" s="60" t="n">
        <f aca="false">AZ76+AZ60+AZ61+AZ51</f>
        <v>13406917.903139</v>
      </c>
      <c r="BA94" s="60" t="n">
        <f aca="false">BA76+BA60+BA61+BA51</f>
        <v>13797126.3730992</v>
      </c>
      <c r="BB94" s="60" t="n">
        <f aca="false">BB76+BB60+BB61+BB51</f>
        <v>14219540.4119882</v>
      </c>
      <c r="BC94" s="60" t="n">
        <f aca="false">BC76+BC60+BC61+BC51</f>
        <v>14673839.0485656</v>
      </c>
      <c r="BD94" s="60" t="n">
        <f aca="false">BD76+BD60+BD61+BD51</f>
        <v>15159704.5050364</v>
      </c>
      <c r="BE94" s="60" t="n">
        <f aca="false">BE76+BE60+BE61+BE51</f>
        <v>15676822.165361</v>
      </c>
      <c r="BF94" s="60" t="n">
        <f aca="false">BF76+BF60+BF61+BF51</f>
        <v>16224880.5438778</v>
      </c>
      <c r="BG94" s="60" t="n">
        <f aca="false">BG76+BG60+BG61+BG51</f>
        <v>16803571.254236</v>
      </c>
      <c r="BH94" s="60" t="n">
        <f aca="false">BH76+BH60+BH61+BH51</f>
        <v>17412588.978636</v>
      </c>
      <c r="BI94" s="60" t="n">
        <f aca="false">BI76+BI60+BI61+BI51</f>
        <v>18051631.4373734</v>
      </c>
      <c r="BJ94" s="60" t="n">
        <f aca="false">BJ76+BJ60+BJ61+BJ51</f>
        <v>18720399.3586843</v>
      </c>
    </row>
    <row r="95" customFormat="false" ht="15" hidden="false" customHeight="false" outlineLevel="0" collapsed="false">
      <c r="A95" s="31" t="s">
        <v>93</v>
      </c>
      <c r="B95" s="31"/>
      <c r="C95" s="60" t="n">
        <f aca="false">C62+C57+C66</f>
        <v>1002930</v>
      </c>
      <c r="D95" s="60" t="n">
        <f aca="false">D62+D57+D66</f>
        <v>1025570.425</v>
      </c>
      <c r="E95" s="60" t="n">
        <f aca="false">E62+E57+E66</f>
        <v>1047983.899875</v>
      </c>
      <c r="F95" s="60" t="n">
        <f aca="false">F62+F57+F66</f>
        <v>1070172.70231438</v>
      </c>
      <c r="G95" s="60" t="n">
        <f aca="false">G62+G57+G66</f>
        <v>1092139.08710778</v>
      </c>
      <c r="H95" s="60" t="n">
        <f aca="false">H62+H57+H66</f>
        <v>1113885.28637601</v>
      </c>
      <c r="I95" s="60" t="n">
        <f aca="false">I62+I57+I66</f>
        <v>1135413.50979947</v>
      </c>
      <c r="J95" s="60" t="n">
        <f aca="false">J62+J57+J66</f>
        <v>1156725.94484438</v>
      </c>
      <c r="K95" s="60" t="n">
        <f aca="false">K62+K57+K66</f>
        <v>1177824.7569867</v>
      </c>
      <c r="L95" s="60" t="n">
        <f aca="false">L62+L57+L66</f>
        <v>1198712.08993373</v>
      </c>
      <c r="M95" s="60" t="n">
        <f aca="false">M62+M57+M66</f>
        <v>1219390.06584354</v>
      </c>
      <c r="N95" s="60" t="n">
        <f aca="false">N62+N57+N66</f>
        <v>1239860.78554212</v>
      </c>
      <c r="O95" s="60" t="n">
        <f aca="false">O62+O57+O66</f>
        <v>1268812.82873836</v>
      </c>
      <c r="P95" s="60" t="n">
        <f aca="false">P62+P57+P66</f>
        <v>1297845.26923685</v>
      </c>
      <c r="Q95" s="60" t="n">
        <f aca="false">Q62+Q57+Q66</f>
        <v>1326586.69179858</v>
      </c>
      <c r="R95" s="60" t="n">
        <f aca="false">R62+R57+R66</f>
        <v>1355040.01700587</v>
      </c>
      <c r="S95" s="60" t="n">
        <f aca="false">S62+S57+S66</f>
        <v>1383208.13607922</v>
      </c>
      <c r="T95" s="60" t="n">
        <f aca="false">T62+T57+T66</f>
        <v>1411093.91117318</v>
      </c>
      <c r="U95" s="60" t="n">
        <f aca="false">U62+U57+U66</f>
        <v>1438700.17566938</v>
      </c>
      <c r="V95" s="60" t="n">
        <f aca="false">V62+V57+V66</f>
        <v>1466029.73446649</v>
      </c>
      <c r="W95" s="60" t="n">
        <f aca="false">W62+W57+W66</f>
        <v>1493085.36426733</v>
      </c>
      <c r="X95" s="60" t="n">
        <f aca="false">X62+X57+X66</f>
        <v>1519869.81386298</v>
      </c>
      <c r="Y95" s="60" t="n">
        <f aca="false">Y62+Y57+Y66</f>
        <v>1546385.8044141</v>
      </c>
      <c r="Z95" s="60" t="n">
        <f aca="false">Z62+Z57+Z66</f>
        <v>1572636.02972936</v>
      </c>
      <c r="AA95" s="60" t="n">
        <f aca="false">AA62+AA57+AA66</f>
        <v>1609796.46904107</v>
      </c>
      <c r="AB95" s="60" t="n">
        <f aca="false">AB62+AB57+AB66</f>
        <v>1647060.29915304</v>
      </c>
      <c r="AC95" s="60" t="n">
        <f aca="false">AC62+AC57+AC66</f>
        <v>1683950.61471684</v>
      </c>
      <c r="AD95" s="60" t="n">
        <f aca="false">AD62+AD57+AD66</f>
        <v>1720471.16402168</v>
      </c>
      <c r="AE95" s="60" t="n">
        <f aca="false">AE62+AE57+AE66</f>
        <v>1756625.65767669</v>
      </c>
      <c r="AF95" s="60" t="n">
        <f aca="false">AF62+AF57+AF66</f>
        <v>1792417.76899073</v>
      </c>
      <c r="AG95" s="60" t="n">
        <f aca="false">AG62+AG57+AG66</f>
        <v>1827851.13434826</v>
      </c>
      <c r="AH95" s="60" t="n">
        <f aca="false">AH62+AH57+AH66</f>
        <v>1862929.3535815</v>
      </c>
      <c r="AI95" s="60" t="n">
        <f aca="false">AI62+AI57+AI66</f>
        <v>1897655.99033876</v>
      </c>
      <c r="AJ95" s="60" t="n">
        <f aca="false">AJ62+AJ57+AJ66</f>
        <v>1932034.57244905</v>
      </c>
      <c r="AK95" s="60" t="n">
        <f aca="false">AK62+AK57+AK66</f>
        <v>1966068.59228304</v>
      </c>
      <c r="AL95" s="60" t="n">
        <f aca="false">AL62+AL57+AL66</f>
        <v>1999761.5071103</v>
      </c>
      <c r="AM95" s="60" t="n">
        <f aca="false">AM62+AM57+AM66</f>
        <v>2047511.85699055</v>
      </c>
      <c r="AN95" s="60" t="n">
        <f aca="false">AN62+AN57+AN66</f>
        <v>2095395.63583728</v>
      </c>
      <c r="AO95" s="60" t="n">
        <f aca="false">AO62+AO57+AO66</f>
        <v>2142799.47320688</v>
      </c>
      <c r="AP95" s="60" t="n">
        <f aca="false">AP62+AP57+AP66</f>
        <v>2189728.18506945</v>
      </c>
      <c r="AQ95" s="60" t="n">
        <f aca="false">AQ62+AQ57+AQ66</f>
        <v>2236186.53898706</v>
      </c>
      <c r="AR95" s="60" t="n">
        <f aca="false">AR62+AR57+AR66</f>
        <v>2282179.25460155</v>
      </c>
      <c r="AS95" s="60" t="n">
        <f aca="false">AS62+AS57+AS66</f>
        <v>2327711.00411742</v>
      </c>
      <c r="AT95" s="60" t="n">
        <f aca="false">AT62+AT57+AT66</f>
        <v>2372786.41277979</v>
      </c>
      <c r="AU95" s="60" t="n">
        <f aca="false">AU62+AU57+AU66</f>
        <v>2417410.05934756</v>
      </c>
      <c r="AV95" s="60" t="n">
        <f aca="false">AV62+AV57+AV66</f>
        <v>2461586.47656181</v>
      </c>
      <c r="AW95" s="60" t="n">
        <f aca="false">AW62+AW57+AW66</f>
        <v>2505320.15160939</v>
      </c>
      <c r="AX95" s="60" t="n">
        <f aca="false">AX62+AX57+AX66</f>
        <v>2548615.52658187</v>
      </c>
      <c r="AY95" s="60" t="n">
        <f aca="false">AY62+AY57+AY66</f>
        <v>2610052.5828282</v>
      </c>
      <c r="AZ95" s="60" t="n">
        <f aca="false">AZ62+AZ57+AZ66</f>
        <v>2671662.33772638</v>
      </c>
      <c r="BA95" s="60" t="n">
        <f aca="false">BA62+BA57+BA66</f>
        <v>2732654.60698608</v>
      </c>
      <c r="BB95" s="60" t="n">
        <f aca="false">BB62+BB57+BB66</f>
        <v>2793035.58628502</v>
      </c>
      <c r="BC95" s="60" t="n">
        <f aca="false">BC62+BC57+BC66</f>
        <v>2852811.40903184</v>
      </c>
      <c r="BD95" s="60" t="n">
        <f aca="false">BD62+BD57+BD66</f>
        <v>2911988.14699345</v>
      </c>
      <c r="BE95" s="60" t="n">
        <f aca="false">BE62+BE57+BE66</f>
        <v>2970571.81091606</v>
      </c>
      <c r="BF95" s="60" t="n">
        <f aca="false">BF62+BF57+BF66</f>
        <v>3028568.35113996</v>
      </c>
      <c r="BG95" s="60" t="n">
        <f aca="false">BG62+BG57+BG66</f>
        <v>3085983.65820802</v>
      </c>
      <c r="BH95" s="60" t="n">
        <f aca="false">BH62+BH57+BH66</f>
        <v>3142823.5634681</v>
      </c>
      <c r="BI95" s="60" t="n">
        <f aca="false">BI62+BI57+BI66</f>
        <v>3199093.83966935</v>
      </c>
      <c r="BJ95" s="60" t="n">
        <f aca="false">BJ62+BJ57+BJ66</f>
        <v>3254800.20155245</v>
      </c>
    </row>
    <row r="96" customFormat="false" ht="15" hidden="false" customHeight="false" outlineLevel="0" collapsed="false">
      <c r="A96" s="31" t="s">
        <v>96</v>
      </c>
      <c r="B96" s="31"/>
      <c r="C96" s="60" t="n">
        <f aca="false">C92+C93</f>
        <v>1029588.13333333</v>
      </c>
      <c r="D96" s="60" t="n">
        <f aca="false">D92+D93</f>
        <v>1071470.30591667</v>
      </c>
      <c r="E96" s="60" t="n">
        <f aca="false">E92+E93</f>
        <v>1125524.00859875</v>
      </c>
      <c r="F96" s="60" t="n">
        <f aca="false">F92+F93</f>
        <v>1191627.95085123</v>
      </c>
      <c r="G96" s="60" t="n">
        <f aca="false">G92+G93</f>
        <v>1269662.04867944</v>
      </c>
      <c r="H96" s="60" t="n">
        <f aca="false">H92+H93</f>
        <v>1359507.41265264</v>
      </c>
      <c r="I96" s="60" t="n">
        <f aca="false">I92+I93</f>
        <v>1461046.33605256</v>
      </c>
      <c r="J96" s="60" t="n">
        <f aca="false">J92+J93</f>
        <v>1574162.2831389</v>
      </c>
      <c r="K96" s="60" t="n">
        <f aca="false">K92+K93</f>
        <v>1698739.87753102</v>
      </c>
      <c r="L96" s="60" t="n">
        <f aca="false">L92+L93</f>
        <v>1834664.89070419</v>
      </c>
      <c r="M96" s="60" t="n">
        <f aca="false">M92+M93</f>
        <v>1981824.23059974</v>
      </c>
      <c r="N96" s="60" t="n">
        <f aca="false">N92+N93</f>
        <v>2140105.93034763</v>
      </c>
      <c r="O96" s="60" t="n">
        <f aca="false">O92+O93</f>
        <v>2201013.90210056</v>
      </c>
      <c r="P96" s="60" t="n">
        <f aca="false">P92+P93</f>
        <v>2277688.58922845</v>
      </c>
      <c r="Q96" s="60" t="n">
        <f aca="false">Q92+Q93</f>
        <v>2369972.87246767</v>
      </c>
      <c r="R96" s="60" t="n">
        <f aca="false">R92+R93</f>
        <v>2477711.19552885</v>
      </c>
      <c r="S96" s="60" t="n">
        <f aca="false">S92+S93</f>
        <v>2600749.54959046</v>
      </c>
      <c r="T96" s="60" t="n">
        <f aca="false">T92+T93</f>
        <v>2738935.45794554</v>
      </c>
      <c r="U96" s="60" t="n">
        <f aca="false">U92+U93</f>
        <v>2892117.96080014</v>
      </c>
      <c r="V96" s="60" t="n">
        <f aca="false">V92+V93</f>
        <v>3060147.60022201</v>
      </c>
      <c r="W96" s="60" t="n">
        <f aca="false">W92+W93</f>
        <v>3242876.40523805</v>
      </c>
      <c r="X96" s="60" t="n">
        <f aca="false">X92+X93</f>
        <v>3440157.87707899</v>
      </c>
      <c r="Y96" s="60" t="n">
        <f aca="false">Y92+Y93</f>
        <v>3651846.97456996</v>
      </c>
      <c r="Z96" s="60" t="n">
        <f aca="false">Z92+Z93</f>
        <v>3877800.09966542</v>
      </c>
      <c r="AA96" s="60" t="n">
        <f aca="false">AA92+AA93</f>
        <v>3983652.90010214</v>
      </c>
      <c r="AB96" s="60" t="n">
        <f aca="false">AB92+AB93</f>
        <v>4109746.38436295</v>
      </c>
      <c r="AC96" s="60" t="n">
        <f aca="false">AC92+AC93</f>
        <v>4255878.83784477</v>
      </c>
      <c r="AD96" s="60" t="n">
        <f aca="false">AD92+AD93</f>
        <v>4421850.55270702</v>
      </c>
      <c r="AE96" s="60" t="n">
        <f aca="false">AE92+AE93</f>
        <v>4607463.80795975</v>
      </c>
      <c r="AF96" s="60" t="n">
        <f aca="false">AF92+AF93</f>
        <v>4812522.84974855</v>
      </c>
      <c r="AG96" s="60" t="n">
        <f aca="false">AG92+AG93</f>
        <v>5036833.87183432</v>
      </c>
      <c r="AH96" s="60" t="n">
        <f aca="false">AH92+AH93</f>
        <v>5280204.99626596</v>
      </c>
      <c r="AI96" s="60" t="n">
        <f aca="false">AI92+AI93</f>
        <v>5542446.25424408</v>
      </c>
      <c r="AJ96" s="60" t="n">
        <f aca="false">AJ92+AJ93</f>
        <v>5823369.56717394</v>
      </c>
      <c r="AK96" s="60" t="n">
        <f aca="false">AK92+AK93</f>
        <v>6122788.72790565</v>
      </c>
      <c r="AL96" s="60" t="n">
        <f aca="false">AL92+AL93</f>
        <v>6440519.38215979</v>
      </c>
      <c r="AM96" s="60" t="n">
        <f aca="false">AM92+AM93</f>
        <v>6613424.88987045</v>
      </c>
      <c r="AN96" s="60" t="n">
        <f aca="false">AN92+AN93</f>
        <v>6812345.51389502</v>
      </c>
      <c r="AO96" s="60" t="n">
        <f aca="false">AO92+AO93</f>
        <v>7037021.97498442</v>
      </c>
      <c r="AP96" s="60" t="n">
        <f aca="false">AP92+AP93</f>
        <v>7287197.57360334</v>
      </c>
      <c r="AQ96" s="60" t="n">
        <f aca="false">AQ92+AQ93</f>
        <v>7562618.16432928</v>
      </c>
      <c r="AR96" s="60" t="n">
        <f aca="false">AR92+AR93</f>
        <v>7863032.13050468</v>
      </c>
      <c r="AS96" s="60" t="n">
        <f aca="false">AS92+AS93</f>
        <v>8188190.35913962</v>
      </c>
      <c r="AT96" s="60" t="n">
        <f aca="false">AT92+AT93</f>
        <v>8537846.21606259</v>
      </c>
      <c r="AU96" s="60" t="n">
        <f aca="false">AU92+AU93</f>
        <v>8911755.52131699</v>
      </c>
      <c r="AV96" s="60" t="n">
        <f aca="false">AV92+AV93</f>
        <v>9309676.52480092</v>
      </c>
      <c r="AW96" s="60" t="n">
        <f aca="false">AW92+AW93</f>
        <v>9731369.88214776</v>
      </c>
      <c r="AX96" s="60" t="n">
        <f aca="false">AX92+AX93</f>
        <v>10176598.6308453</v>
      </c>
      <c r="AY96" s="60" t="n">
        <f aca="false">AY92+AY93</f>
        <v>10439186.6159726</v>
      </c>
      <c r="AZ96" s="60" t="n">
        <f aca="false">AZ92+AZ93</f>
        <v>10735255.5654126</v>
      </c>
      <c r="BA96" s="60" t="n">
        <f aca="false">BA92+BA93</f>
        <v>11064471.7661131</v>
      </c>
      <c r="BB96" s="60" t="n">
        <f aca="false">BB92+BB93</f>
        <v>11426504.8257032</v>
      </c>
      <c r="BC96" s="60" t="n">
        <f aca="false">BC92+BC93</f>
        <v>11821027.6395338</v>
      </c>
      <c r="BD96" s="60" t="n">
        <f aca="false">BD92+BD93</f>
        <v>12247716.358043</v>
      </c>
      <c r="BE96" s="60" t="n">
        <f aca="false">BE92+BE93</f>
        <v>12706250.354445</v>
      </c>
      <c r="BF96" s="60" t="n">
        <f aca="false">BF92+BF93</f>
        <v>13196312.1927378</v>
      </c>
      <c r="BG96" s="60" t="n">
        <f aca="false">BG92+BG93</f>
        <v>13717587.596028</v>
      </c>
      <c r="BH96" s="60" t="n">
        <f aca="false">BH92+BH93</f>
        <v>14269765.4151679</v>
      </c>
      <c r="BI96" s="60" t="n">
        <f aca="false">BI92+BI93</f>
        <v>14852537.5977041</v>
      </c>
      <c r="BJ96" s="60" t="n">
        <f aca="false">BJ92+BJ93</f>
        <v>15465599.1571318</v>
      </c>
    </row>
    <row r="97" customFormat="false" ht="15" hidden="false" customHeight="false" outlineLevel="0" collapsed="false">
      <c r="A97" s="35" t="s">
        <v>97</v>
      </c>
      <c r="B97" s="35"/>
      <c r="C97" s="62" t="n">
        <f aca="false">C95+C96</f>
        <v>2032518.13333333</v>
      </c>
      <c r="D97" s="62" t="n">
        <f aca="false">D95+D96</f>
        <v>2097040.73091667</v>
      </c>
      <c r="E97" s="62" t="n">
        <f aca="false">E95+E96</f>
        <v>2173507.90847375</v>
      </c>
      <c r="F97" s="62" t="n">
        <f aca="false">F95+F96</f>
        <v>2261800.6531656</v>
      </c>
      <c r="G97" s="62" t="n">
        <f aca="false">G95+G96</f>
        <v>2361801.13578722</v>
      </c>
      <c r="H97" s="62" t="n">
        <f aca="false">H95+H96</f>
        <v>2473392.69902866</v>
      </c>
      <c r="I97" s="62" t="n">
        <f aca="false">I95+I96</f>
        <v>2596459.84585202</v>
      </c>
      <c r="J97" s="62" t="n">
        <f aca="false">J95+J96</f>
        <v>2730888.22798328</v>
      </c>
      <c r="K97" s="62" t="n">
        <f aca="false">K95+K96</f>
        <v>2876564.63451772</v>
      </c>
      <c r="L97" s="62" t="n">
        <f aca="false">L95+L96</f>
        <v>3033376.98063793</v>
      </c>
      <c r="M97" s="62" t="n">
        <f aca="false">M95+M96</f>
        <v>3201214.29644329</v>
      </c>
      <c r="N97" s="62" t="n">
        <f aca="false">N95+N96</f>
        <v>3379966.71588975</v>
      </c>
      <c r="O97" s="62" t="n">
        <f aca="false">O95+O96</f>
        <v>3469826.73083892</v>
      </c>
      <c r="P97" s="62" t="n">
        <f aca="false">P95+P96</f>
        <v>3575533.85846531</v>
      </c>
      <c r="Q97" s="62" t="n">
        <f aca="false">Q95+Q96</f>
        <v>3696559.56426624</v>
      </c>
      <c r="R97" s="62" t="n">
        <f aca="false">R95+R96</f>
        <v>3832751.21253472</v>
      </c>
      <c r="S97" s="62" t="n">
        <f aca="false">S95+S96</f>
        <v>3983957.68566968</v>
      </c>
      <c r="T97" s="62" t="n">
        <f aca="false">T95+T96</f>
        <v>4150029.36911872</v>
      </c>
      <c r="U97" s="62" t="n">
        <f aca="false">U95+U96</f>
        <v>4330818.13646952</v>
      </c>
      <c r="V97" s="62" t="n">
        <f aca="false">V95+V96</f>
        <v>4526177.33468851</v>
      </c>
      <c r="W97" s="62" t="n">
        <f aca="false">W95+W96</f>
        <v>4735961.76950538</v>
      </c>
      <c r="X97" s="62" t="n">
        <f aca="false">X95+X96</f>
        <v>4960027.69094197</v>
      </c>
      <c r="Y97" s="62" t="n">
        <f aca="false">Y95+Y96</f>
        <v>5198232.77898405</v>
      </c>
      <c r="Z97" s="62" t="n">
        <f aca="false">Z95+Z96</f>
        <v>5450436.12939477</v>
      </c>
      <c r="AA97" s="62" t="n">
        <f aca="false">AA95+AA96</f>
        <v>5593449.36914321</v>
      </c>
      <c r="AB97" s="62" t="n">
        <f aca="false">AB95+AB96</f>
        <v>5756806.68351599</v>
      </c>
      <c r="AC97" s="62" t="n">
        <f aca="false">AC95+AC96</f>
        <v>5939829.45256161</v>
      </c>
      <c r="AD97" s="62" t="n">
        <f aca="false">AD95+AD96</f>
        <v>6142321.7167287</v>
      </c>
      <c r="AE97" s="62" t="n">
        <f aca="false">AE95+AE96</f>
        <v>6364089.46563644</v>
      </c>
      <c r="AF97" s="62" t="n">
        <f aca="false">AF95+AF96</f>
        <v>6604940.61873928</v>
      </c>
      <c r="AG97" s="62" t="n">
        <f aca="false">AG95+AG96</f>
        <v>6864685.00618258</v>
      </c>
      <c r="AH97" s="62" t="n">
        <f aca="false">AH95+AH96</f>
        <v>7143134.34984746</v>
      </c>
      <c r="AI97" s="62" t="n">
        <f aca="false">AI95+AI96</f>
        <v>7440102.24458284</v>
      </c>
      <c r="AJ97" s="62" t="n">
        <f aca="false">AJ95+AJ96</f>
        <v>7755404.139623</v>
      </c>
      <c r="AK97" s="62" t="n">
        <f aca="false">AK95+AK96</f>
        <v>8088857.32018868</v>
      </c>
      <c r="AL97" s="62" t="n">
        <f aca="false">AL95+AL96</f>
        <v>8440280.8892701</v>
      </c>
      <c r="AM97" s="62" t="n">
        <f aca="false">AM95+AM96</f>
        <v>8660936.74686099</v>
      </c>
      <c r="AN97" s="62" t="n">
        <f aca="false">AN95+AN96</f>
        <v>8907741.1497323</v>
      </c>
      <c r="AO97" s="62" t="n">
        <f aca="false">AO95+AO96</f>
        <v>9179821.4481913</v>
      </c>
      <c r="AP97" s="62" t="n">
        <f aca="false">AP95+AP96</f>
        <v>9476925.75867279</v>
      </c>
      <c r="AQ97" s="62" t="n">
        <f aca="false">AQ95+AQ96</f>
        <v>9798804.70331634</v>
      </c>
      <c r="AR97" s="62" t="n">
        <f aca="false">AR95+AR96</f>
        <v>10145211.3851062</v>
      </c>
      <c r="AS97" s="62" t="n">
        <f aca="false">AS95+AS96</f>
        <v>10515901.363257</v>
      </c>
      <c r="AT97" s="62" t="n">
        <f aca="false">AT95+AT96</f>
        <v>10910632.6288424</v>
      </c>
      <c r="AU97" s="62" t="n">
        <f aca="false">AU95+AU96</f>
        <v>11329165.5806646</v>
      </c>
      <c r="AV97" s="62" t="n">
        <f aca="false">AV95+AV96</f>
        <v>11771263.0013627</v>
      </c>
      <c r="AW97" s="62" t="n">
        <f aca="false">AW95+AW96</f>
        <v>12236690.0337572</v>
      </c>
      <c r="AX97" s="62" t="n">
        <f aca="false">AX95+AX96</f>
        <v>12725214.1574272</v>
      </c>
      <c r="AY97" s="62" t="n">
        <f aca="false">AY95+AY96</f>
        <v>13049239.1988008</v>
      </c>
      <c r="AZ97" s="62" t="n">
        <f aca="false">AZ95+AZ96</f>
        <v>13406917.903139</v>
      </c>
      <c r="BA97" s="62" t="n">
        <f aca="false">BA95+BA96</f>
        <v>13797126.3730992</v>
      </c>
      <c r="BB97" s="62" t="n">
        <f aca="false">BB95+BB96</f>
        <v>14219540.4119882</v>
      </c>
      <c r="BC97" s="62" t="n">
        <f aca="false">BC95+BC96</f>
        <v>14673839.0485656</v>
      </c>
      <c r="BD97" s="62" t="n">
        <f aca="false">BD95+BD96</f>
        <v>15159704.5050364</v>
      </c>
      <c r="BE97" s="62" t="n">
        <f aca="false">BE95+BE96</f>
        <v>15676822.165361</v>
      </c>
      <c r="BF97" s="62" t="n">
        <f aca="false">BF95+BF96</f>
        <v>16224880.5438778</v>
      </c>
      <c r="BG97" s="62" t="n">
        <f aca="false">BG95+BG96</f>
        <v>16803571.254236</v>
      </c>
      <c r="BH97" s="62" t="n">
        <f aca="false">BH95+BH96</f>
        <v>17412588.978636</v>
      </c>
      <c r="BI97" s="62" t="n">
        <f aca="false">BI95+BI96</f>
        <v>18051631.4373734</v>
      </c>
      <c r="BJ97" s="62" t="n">
        <f aca="false">BJ95+BJ96</f>
        <v>18720399.3586843</v>
      </c>
    </row>
    <row r="98" customFormat="false" ht="15" hidden="false" customHeight="false" outlineLevel="0" collapsed="false">
      <c r="A98" s="6" t="s">
        <v>434</v>
      </c>
      <c r="B98" s="6"/>
      <c r="C98" s="59" t="n">
        <f aca="false">C94-C97</f>
        <v>0</v>
      </c>
      <c r="D98" s="59" t="n">
        <f aca="false">D94-D97</f>
        <v>0</v>
      </c>
      <c r="E98" s="59" t="n">
        <f aca="false">E94-E97</f>
        <v>0</v>
      </c>
      <c r="F98" s="59" t="n">
        <f aca="false">F94-F97</f>
        <v>0</v>
      </c>
      <c r="G98" s="59" t="n">
        <f aca="false">G94-G97</f>
        <v>0</v>
      </c>
      <c r="H98" s="59" t="n">
        <f aca="false">H94-H97</f>
        <v>0</v>
      </c>
      <c r="I98" s="59" t="n">
        <f aca="false">I94-I97</f>
        <v>0</v>
      </c>
      <c r="J98" s="59" t="n">
        <f aca="false">J94-J97</f>
        <v>0</v>
      </c>
      <c r="K98" s="59" t="n">
        <f aca="false">K94-K97</f>
        <v>0</v>
      </c>
      <c r="L98" s="59" t="n">
        <f aca="false">L94-L97</f>
        <v>0</v>
      </c>
      <c r="M98" s="59" t="n">
        <f aca="false">M94-M97</f>
        <v>0</v>
      </c>
      <c r="N98" s="59" t="n">
        <f aca="false">N94-N97</f>
        <v>0</v>
      </c>
      <c r="O98" s="59" t="n">
        <f aca="false">O94-O97</f>
        <v>0</v>
      </c>
      <c r="P98" s="59" t="n">
        <f aca="false">P94-P97</f>
        <v>0</v>
      </c>
      <c r="Q98" s="59" t="n">
        <f aca="false">Q94-Q97</f>
        <v>0</v>
      </c>
      <c r="R98" s="59" t="n">
        <f aca="false">R94-R97</f>
        <v>0</v>
      </c>
      <c r="S98" s="59" t="n">
        <f aca="false">S94-S97</f>
        <v>0</v>
      </c>
      <c r="T98" s="59" t="n">
        <f aca="false">T94-T97</f>
        <v>0</v>
      </c>
      <c r="U98" s="59" t="n">
        <f aca="false">U94-U97</f>
        <v>0</v>
      </c>
      <c r="V98" s="59" t="n">
        <f aca="false">V94-V97</f>
        <v>0</v>
      </c>
      <c r="W98" s="59" t="n">
        <f aca="false">W94-W97</f>
        <v>0</v>
      </c>
      <c r="X98" s="59" t="n">
        <f aca="false">X94-X97</f>
        <v>0</v>
      </c>
      <c r="Y98" s="59" t="n">
        <f aca="false">Y94-Y97</f>
        <v>0</v>
      </c>
      <c r="Z98" s="59" t="n">
        <f aca="false">Z94-Z97</f>
        <v>0</v>
      </c>
      <c r="AA98" s="59" t="n">
        <f aca="false">AA94-AA97</f>
        <v>0</v>
      </c>
      <c r="AB98" s="59" t="n">
        <f aca="false">AB94-AB97</f>
        <v>0</v>
      </c>
      <c r="AC98" s="59" t="n">
        <f aca="false">AC94-AC97</f>
        <v>0</v>
      </c>
      <c r="AD98" s="59" t="n">
        <f aca="false">AD94-AD97</f>
        <v>0</v>
      </c>
      <c r="AE98" s="59" t="n">
        <f aca="false">AE94-AE97</f>
        <v>0</v>
      </c>
      <c r="AF98" s="59" t="n">
        <f aca="false">AF94-AF97</f>
        <v>0</v>
      </c>
      <c r="AG98" s="59" t="n">
        <f aca="false">AG94-AG97</f>
        <v>0</v>
      </c>
      <c r="AH98" s="59" t="n">
        <f aca="false">AH94-AH97</f>
        <v>0</v>
      </c>
      <c r="AI98" s="59" t="n">
        <f aca="false">AI94-AI97</f>
        <v>0</v>
      </c>
      <c r="AJ98" s="59" t="n">
        <f aca="false">AJ94-AJ97</f>
        <v>0</v>
      </c>
      <c r="AK98" s="59" t="n">
        <f aca="false">AK94-AK97</f>
        <v>0</v>
      </c>
      <c r="AL98" s="59" t="n">
        <f aca="false">AL94-AL97</f>
        <v>0</v>
      </c>
      <c r="AM98" s="59" t="n">
        <f aca="false">AM94-AM97</f>
        <v>0</v>
      </c>
      <c r="AN98" s="59" t="n">
        <f aca="false">AN94-AN97</f>
        <v>0</v>
      </c>
      <c r="AO98" s="59" t="n">
        <f aca="false">AO94-AO97</f>
        <v>0</v>
      </c>
      <c r="AP98" s="59" t="n">
        <f aca="false">AP94-AP97</f>
        <v>0</v>
      </c>
      <c r="AQ98" s="59" t="n">
        <f aca="false">AQ94-AQ97</f>
        <v>0</v>
      </c>
      <c r="AR98" s="59" t="n">
        <f aca="false">AR94-AR97</f>
        <v>0</v>
      </c>
      <c r="AS98" s="59" t="n">
        <f aca="false">AS94-AS97</f>
        <v>0</v>
      </c>
      <c r="AT98" s="59" t="n">
        <f aca="false">AT94-AT97</f>
        <v>0</v>
      </c>
      <c r="AU98" s="59" t="n">
        <f aca="false">AU94-AU97</f>
        <v>0</v>
      </c>
      <c r="AV98" s="59" t="n">
        <f aca="false">AV94-AV97</f>
        <v>0</v>
      </c>
      <c r="AW98" s="59" t="n">
        <f aca="false">AW94-AW97</f>
        <v>0</v>
      </c>
      <c r="AX98" s="59" t="n">
        <f aca="false">AX94-AX97</f>
        <v>0</v>
      </c>
      <c r="AY98" s="59" t="n">
        <f aca="false">AY94-AY97</f>
        <v>0</v>
      </c>
      <c r="AZ98" s="59" t="n">
        <f aca="false">AZ94-AZ97</f>
        <v>0</v>
      </c>
      <c r="BA98" s="59" t="n">
        <f aca="false">BA94-BA97</f>
        <v>0</v>
      </c>
      <c r="BB98" s="59" t="n">
        <f aca="false">BB94-BB97</f>
        <v>0</v>
      </c>
      <c r="BC98" s="59" t="n">
        <f aca="false">BC94-BC97</f>
        <v>0</v>
      </c>
      <c r="BD98" s="59" t="n">
        <f aca="false">BD94-BD97</f>
        <v>0</v>
      </c>
      <c r="BE98" s="59" t="n">
        <f aca="false">BE94-BE97</f>
        <v>0</v>
      </c>
      <c r="BF98" s="59" t="n">
        <f aca="false">BF94-BF97</f>
        <v>0</v>
      </c>
      <c r="BG98" s="59" t="n">
        <f aca="false">BG94-BG97</f>
        <v>0</v>
      </c>
      <c r="BH98" s="59" t="n">
        <f aca="false">BH94-BH97</f>
        <v>0</v>
      </c>
      <c r="BI98" s="59" t="n">
        <f aca="false">BI94-BI97</f>
        <v>0</v>
      </c>
      <c r="BJ98" s="59" t="n">
        <f aca="false">BJ94-BJ97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7" t="s">
        <v>435</v>
      </c>
      <c r="B1" s="6"/>
      <c r="C1" s="6"/>
      <c r="D1" s="18" t="str">
        <f aca="false">HYPERLINK("#'Cover'!A1","◂ Contents")</f>
        <v>◂ Contents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2" customFormat="false" ht="15" hidden="false" customHeight="false" outlineLevel="0" collapsed="false">
      <c r="A2" s="19" t="s">
        <v>331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customFormat="false" ht="15" hidden="false" customHeight="false" outlineLevel="0" collapsed="false">
      <c r="A3" s="28" t="s">
        <v>332</v>
      </c>
      <c r="B3" s="29"/>
      <c r="C3" s="29" t="s">
        <v>333</v>
      </c>
      <c r="D3" s="29" t="s">
        <v>334</v>
      </c>
      <c r="E3" s="29" t="s">
        <v>335</v>
      </c>
      <c r="F3" s="29" t="s">
        <v>336</v>
      </c>
      <c r="G3" s="29" t="s">
        <v>337</v>
      </c>
      <c r="H3" s="29" t="s">
        <v>338</v>
      </c>
      <c r="I3" s="29" t="s">
        <v>339</v>
      </c>
      <c r="J3" s="29" t="s">
        <v>340</v>
      </c>
      <c r="K3" s="29" t="s">
        <v>341</v>
      </c>
      <c r="L3" s="29" t="s">
        <v>342</v>
      </c>
      <c r="M3" s="29" t="s">
        <v>343</v>
      </c>
      <c r="N3" s="29" t="s">
        <v>344</v>
      </c>
      <c r="O3" s="29" t="s">
        <v>345</v>
      </c>
      <c r="P3" s="29" t="s">
        <v>346</v>
      </c>
      <c r="Q3" s="29" t="s">
        <v>347</v>
      </c>
      <c r="R3" s="29" t="s">
        <v>348</v>
      </c>
      <c r="S3" s="29" t="s">
        <v>349</v>
      </c>
      <c r="T3" s="29" t="s">
        <v>350</v>
      </c>
      <c r="U3" s="29" t="s">
        <v>351</v>
      </c>
      <c r="V3" s="29" t="s">
        <v>352</v>
      </c>
      <c r="W3" s="29" t="s">
        <v>353</v>
      </c>
      <c r="X3" s="29" t="s">
        <v>354</v>
      </c>
      <c r="Y3" s="29" t="s">
        <v>355</v>
      </c>
      <c r="Z3" s="29" t="s">
        <v>356</v>
      </c>
      <c r="AA3" s="29" t="s">
        <v>357</v>
      </c>
      <c r="AB3" s="29" t="s">
        <v>358</v>
      </c>
      <c r="AC3" s="29" t="s">
        <v>359</v>
      </c>
      <c r="AD3" s="29" t="s">
        <v>360</v>
      </c>
      <c r="AE3" s="29" t="s">
        <v>361</v>
      </c>
      <c r="AF3" s="29" t="s">
        <v>362</v>
      </c>
      <c r="AG3" s="29" t="s">
        <v>363</v>
      </c>
      <c r="AH3" s="29" t="s">
        <v>364</v>
      </c>
      <c r="AI3" s="29" t="s">
        <v>365</v>
      </c>
      <c r="AJ3" s="29" t="s">
        <v>366</v>
      </c>
      <c r="AK3" s="29" t="s">
        <v>367</v>
      </c>
      <c r="AL3" s="29" t="s">
        <v>368</v>
      </c>
      <c r="AM3" s="29" t="s">
        <v>369</v>
      </c>
      <c r="AN3" s="29" t="s">
        <v>370</v>
      </c>
      <c r="AO3" s="29" t="s">
        <v>371</v>
      </c>
      <c r="AP3" s="29" t="s">
        <v>372</v>
      </c>
      <c r="AQ3" s="29" t="s">
        <v>373</v>
      </c>
      <c r="AR3" s="29" t="s">
        <v>374</v>
      </c>
      <c r="AS3" s="29" t="s">
        <v>375</v>
      </c>
      <c r="AT3" s="29" t="s">
        <v>376</v>
      </c>
      <c r="AU3" s="29" t="s">
        <v>377</v>
      </c>
      <c r="AV3" s="29" t="s">
        <v>378</v>
      </c>
      <c r="AW3" s="29" t="s">
        <v>379</v>
      </c>
      <c r="AX3" s="29" t="s">
        <v>380</v>
      </c>
      <c r="AY3" s="29" t="s">
        <v>381</v>
      </c>
      <c r="AZ3" s="29" t="s">
        <v>382</v>
      </c>
      <c r="BA3" s="29" t="s">
        <v>383</v>
      </c>
      <c r="BB3" s="29" t="s">
        <v>384</v>
      </c>
      <c r="BC3" s="29" t="s">
        <v>385</v>
      </c>
      <c r="BD3" s="29" t="s">
        <v>386</v>
      </c>
      <c r="BE3" s="29" t="s">
        <v>387</v>
      </c>
      <c r="BF3" s="29" t="s">
        <v>388</v>
      </c>
      <c r="BG3" s="29" t="s">
        <v>389</v>
      </c>
      <c r="BH3" s="29" t="s">
        <v>390</v>
      </c>
      <c r="BI3" s="29" t="s">
        <v>391</v>
      </c>
      <c r="BJ3" s="29" t="s">
        <v>392</v>
      </c>
    </row>
    <row r="4" customFormat="false" ht="15" hidden="false" customHeight="false" outlineLevel="0" collapsed="false">
      <c r="A4" s="64" t="s">
        <v>393</v>
      </c>
      <c r="B4" s="64"/>
      <c r="C4" s="64" t="n">
        <v>1</v>
      </c>
      <c r="D4" s="64" t="n">
        <v>2</v>
      </c>
      <c r="E4" s="64" t="n">
        <v>3</v>
      </c>
      <c r="F4" s="64" t="n">
        <v>4</v>
      </c>
      <c r="G4" s="64" t="n">
        <v>5</v>
      </c>
      <c r="H4" s="64" t="n">
        <v>6</v>
      </c>
      <c r="I4" s="64" t="n">
        <v>7</v>
      </c>
      <c r="J4" s="64" t="n">
        <v>8</v>
      </c>
      <c r="K4" s="64" t="n">
        <v>9</v>
      </c>
      <c r="L4" s="64" t="n">
        <v>10</v>
      </c>
      <c r="M4" s="64" t="n">
        <v>11</v>
      </c>
      <c r="N4" s="64" t="n">
        <v>12</v>
      </c>
      <c r="O4" s="64" t="n">
        <v>13</v>
      </c>
      <c r="P4" s="64" t="n">
        <v>14</v>
      </c>
      <c r="Q4" s="64" t="n">
        <v>15</v>
      </c>
      <c r="R4" s="64" t="n">
        <v>16</v>
      </c>
      <c r="S4" s="64" t="n">
        <v>17</v>
      </c>
      <c r="T4" s="64" t="n">
        <v>18</v>
      </c>
      <c r="U4" s="64" t="n">
        <v>19</v>
      </c>
      <c r="V4" s="64" t="n">
        <v>20</v>
      </c>
      <c r="W4" s="64" t="n">
        <v>21</v>
      </c>
      <c r="X4" s="64" t="n">
        <v>22</v>
      </c>
      <c r="Y4" s="64" t="n">
        <v>23</v>
      </c>
      <c r="Z4" s="64" t="n">
        <v>24</v>
      </c>
      <c r="AA4" s="64" t="n">
        <v>25</v>
      </c>
      <c r="AB4" s="64" t="n">
        <v>26</v>
      </c>
      <c r="AC4" s="64" t="n">
        <v>27</v>
      </c>
      <c r="AD4" s="64" t="n">
        <v>28</v>
      </c>
      <c r="AE4" s="64" t="n">
        <v>29</v>
      </c>
      <c r="AF4" s="64" t="n">
        <v>30</v>
      </c>
      <c r="AG4" s="64" t="n">
        <v>31</v>
      </c>
      <c r="AH4" s="64" t="n">
        <v>32</v>
      </c>
      <c r="AI4" s="64" t="n">
        <v>33</v>
      </c>
      <c r="AJ4" s="64" t="n">
        <v>34</v>
      </c>
      <c r="AK4" s="64" t="n">
        <v>35</v>
      </c>
      <c r="AL4" s="64" t="n">
        <v>36</v>
      </c>
      <c r="AM4" s="64" t="n">
        <v>37</v>
      </c>
      <c r="AN4" s="64" t="n">
        <v>38</v>
      </c>
      <c r="AO4" s="64" t="n">
        <v>39</v>
      </c>
      <c r="AP4" s="64" t="n">
        <v>40</v>
      </c>
      <c r="AQ4" s="64" t="n">
        <v>41</v>
      </c>
      <c r="AR4" s="64" t="n">
        <v>42</v>
      </c>
      <c r="AS4" s="64" t="n">
        <v>43</v>
      </c>
      <c r="AT4" s="64" t="n">
        <v>44</v>
      </c>
      <c r="AU4" s="64" t="n">
        <v>45</v>
      </c>
      <c r="AV4" s="64" t="n">
        <v>46</v>
      </c>
      <c r="AW4" s="64" t="n">
        <v>47</v>
      </c>
      <c r="AX4" s="64" t="n">
        <v>48</v>
      </c>
      <c r="AY4" s="64" t="n">
        <v>49</v>
      </c>
      <c r="AZ4" s="64" t="n">
        <v>50</v>
      </c>
      <c r="BA4" s="64" t="n">
        <v>51</v>
      </c>
      <c r="BB4" s="64" t="n">
        <v>52</v>
      </c>
      <c r="BC4" s="64" t="n">
        <v>53</v>
      </c>
      <c r="BD4" s="64" t="n">
        <v>54</v>
      </c>
      <c r="BE4" s="64" t="n">
        <v>55</v>
      </c>
      <c r="BF4" s="64" t="n">
        <v>56</v>
      </c>
      <c r="BG4" s="64" t="n">
        <v>57</v>
      </c>
      <c r="BH4" s="64" t="n">
        <v>58</v>
      </c>
      <c r="BI4" s="64" t="n">
        <v>59</v>
      </c>
      <c r="BJ4" s="64" t="n">
        <v>60</v>
      </c>
    </row>
    <row r="5" customFormat="false" ht="15" hidden="false" customHeight="false" outlineLevel="0" collapsed="false">
      <c r="A5" s="64" t="s">
        <v>156</v>
      </c>
      <c r="B5" s="64"/>
      <c r="C5" s="64" t="n">
        <f aca="false">ROUNDUP(C4*1/12,0)</f>
        <v>1</v>
      </c>
      <c r="D5" s="64" t="n">
        <f aca="false">ROUNDUP(D4*1/12,0)</f>
        <v>1</v>
      </c>
      <c r="E5" s="64" t="n">
        <f aca="false">ROUNDUP(E4*1/12,0)</f>
        <v>1</v>
      </c>
      <c r="F5" s="64" t="n">
        <f aca="false">ROUNDUP(F4*1/12,0)</f>
        <v>1</v>
      </c>
      <c r="G5" s="64" t="n">
        <f aca="false">ROUNDUP(G4*1/12,0)</f>
        <v>1</v>
      </c>
      <c r="H5" s="64" t="n">
        <f aca="false">ROUNDUP(H4*1/12,0)</f>
        <v>1</v>
      </c>
      <c r="I5" s="64" t="n">
        <f aca="false">ROUNDUP(I4*1/12,0)</f>
        <v>1</v>
      </c>
      <c r="J5" s="64" t="n">
        <f aca="false">ROUNDUP(J4*1/12,0)</f>
        <v>1</v>
      </c>
      <c r="K5" s="64" t="n">
        <f aca="false">ROUNDUP(K4*1/12,0)</f>
        <v>1</v>
      </c>
      <c r="L5" s="64" t="n">
        <f aca="false">ROUNDUP(L4*1/12,0)</f>
        <v>1</v>
      </c>
      <c r="M5" s="64" t="n">
        <f aca="false">ROUNDUP(M4*1/12,0)</f>
        <v>1</v>
      </c>
      <c r="N5" s="64" t="n">
        <f aca="false">ROUNDUP(N4*1/12,0)</f>
        <v>1</v>
      </c>
      <c r="O5" s="64" t="n">
        <f aca="false">ROUNDUP(O4*1/12,0)</f>
        <v>2</v>
      </c>
      <c r="P5" s="64" t="n">
        <f aca="false">ROUNDUP(P4*1/12,0)</f>
        <v>2</v>
      </c>
      <c r="Q5" s="64" t="n">
        <f aca="false">ROUNDUP(Q4*1/12,0)</f>
        <v>2</v>
      </c>
      <c r="R5" s="64" t="n">
        <f aca="false">ROUNDUP(R4*1/12,0)</f>
        <v>2</v>
      </c>
      <c r="S5" s="64" t="n">
        <f aca="false">ROUNDUP(S4*1/12,0)</f>
        <v>2</v>
      </c>
      <c r="T5" s="64" t="n">
        <f aca="false">ROUNDUP(T4*1/12,0)</f>
        <v>2</v>
      </c>
      <c r="U5" s="64" t="n">
        <f aca="false">ROUNDUP(U4*1/12,0)</f>
        <v>2</v>
      </c>
      <c r="V5" s="64" t="n">
        <f aca="false">ROUNDUP(V4*1/12,0)</f>
        <v>2</v>
      </c>
      <c r="W5" s="64" t="n">
        <f aca="false">ROUNDUP(W4*1/12,0)</f>
        <v>2</v>
      </c>
      <c r="X5" s="64" t="n">
        <f aca="false">ROUNDUP(X4*1/12,0)</f>
        <v>2</v>
      </c>
      <c r="Y5" s="64" t="n">
        <f aca="false">ROUNDUP(Y4*1/12,0)</f>
        <v>2</v>
      </c>
      <c r="Z5" s="64" t="n">
        <f aca="false">ROUNDUP(Z4*1/12,0)</f>
        <v>2</v>
      </c>
      <c r="AA5" s="64" t="n">
        <f aca="false">ROUNDUP(AA4*1/12,0)</f>
        <v>3</v>
      </c>
      <c r="AB5" s="64" t="n">
        <f aca="false">ROUNDUP(AB4*1/12,0)</f>
        <v>3</v>
      </c>
      <c r="AC5" s="64" t="n">
        <f aca="false">ROUNDUP(AC4*1/12,0)</f>
        <v>3</v>
      </c>
      <c r="AD5" s="64" t="n">
        <f aca="false">ROUNDUP(AD4*1/12,0)</f>
        <v>3</v>
      </c>
      <c r="AE5" s="64" t="n">
        <f aca="false">ROUNDUP(AE4*1/12,0)</f>
        <v>3</v>
      </c>
      <c r="AF5" s="64" t="n">
        <f aca="false">ROUNDUP(AF4*1/12,0)</f>
        <v>3</v>
      </c>
      <c r="AG5" s="64" t="n">
        <f aca="false">ROUNDUP(AG4*1/12,0)</f>
        <v>3</v>
      </c>
      <c r="AH5" s="64" t="n">
        <f aca="false">ROUNDUP(AH4*1/12,0)</f>
        <v>3</v>
      </c>
      <c r="AI5" s="64" t="n">
        <f aca="false">ROUNDUP(AI4*1/12,0)</f>
        <v>3</v>
      </c>
      <c r="AJ5" s="64" t="n">
        <f aca="false">ROUNDUP(AJ4*1/12,0)</f>
        <v>3</v>
      </c>
      <c r="AK5" s="64" t="n">
        <f aca="false">ROUNDUP(AK4*1/12,0)</f>
        <v>3</v>
      </c>
      <c r="AL5" s="64" t="n">
        <f aca="false">ROUNDUP(AL4*1/12,0)</f>
        <v>3</v>
      </c>
      <c r="AM5" s="64" t="n">
        <f aca="false">ROUNDUP(AM4*1/12,0)</f>
        <v>4</v>
      </c>
      <c r="AN5" s="64" t="n">
        <f aca="false">ROUNDUP(AN4*1/12,0)</f>
        <v>4</v>
      </c>
      <c r="AO5" s="64" t="n">
        <f aca="false">ROUNDUP(AO4*1/12,0)</f>
        <v>4</v>
      </c>
      <c r="AP5" s="64" t="n">
        <f aca="false">ROUNDUP(AP4*1/12,0)</f>
        <v>4</v>
      </c>
      <c r="AQ5" s="64" t="n">
        <f aca="false">ROUNDUP(AQ4*1/12,0)</f>
        <v>4</v>
      </c>
      <c r="AR5" s="64" t="n">
        <f aca="false">ROUNDUP(AR4*1/12,0)</f>
        <v>4</v>
      </c>
      <c r="AS5" s="64" t="n">
        <f aca="false">ROUNDUP(AS4*1/12,0)</f>
        <v>4</v>
      </c>
      <c r="AT5" s="64" t="n">
        <f aca="false">ROUNDUP(AT4*1/12,0)</f>
        <v>4</v>
      </c>
      <c r="AU5" s="64" t="n">
        <f aca="false">ROUNDUP(AU4*1/12,0)</f>
        <v>4</v>
      </c>
      <c r="AV5" s="64" t="n">
        <f aca="false">ROUNDUP(AV4*1/12,0)</f>
        <v>4</v>
      </c>
      <c r="AW5" s="64" t="n">
        <f aca="false">ROUNDUP(AW4*1/12,0)</f>
        <v>4</v>
      </c>
      <c r="AX5" s="64" t="n">
        <f aca="false">ROUNDUP(AX4*1/12,0)</f>
        <v>4</v>
      </c>
      <c r="AY5" s="64" t="n">
        <f aca="false">ROUNDUP(AY4*1/12,0)</f>
        <v>5</v>
      </c>
      <c r="AZ5" s="64" t="n">
        <f aca="false">ROUNDUP(AZ4*1/12,0)</f>
        <v>5</v>
      </c>
      <c r="BA5" s="64" t="n">
        <f aca="false">ROUNDUP(BA4*1/12,0)</f>
        <v>5</v>
      </c>
      <c r="BB5" s="64" t="n">
        <f aca="false">ROUNDUP(BB4*1/12,0)</f>
        <v>5</v>
      </c>
      <c r="BC5" s="64" t="n">
        <f aca="false">ROUNDUP(BC4*1/12,0)</f>
        <v>5</v>
      </c>
      <c r="BD5" s="64" t="n">
        <f aca="false">ROUNDUP(BD4*1/12,0)</f>
        <v>5</v>
      </c>
      <c r="BE5" s="64" t="n">
        <f aca="false">ROUNDUP(BE4*1/12,0)</f>
        <v>5</v>
      </c>
      <c r="BF5" s="64" t="n">
        <f aca="false">ROUNDUP(BF4*1/12,0)</f>
        <v>5</v>
      </c>
      <c r="BG5" s="64" t="n">
        <f aca="false">ROUNDUP(BG4*1/12,0)</f>
        <v>5</v>
      </c>
      <c r="BH5" s="64" t="n">
        <f aca="false">ROUNDUP(BH4*1/12,0)</f>
        <v>5</v>
      </c>
      <c r="BI5" s="64" t="n">
        <f aca="false">ROUNDUP(BI4*1/12,0)</f>
        <v>5</v>
      </c>
      <c r="BJ5" s="64" t="n">
        <f aca="false">ROUNDUP(BJ4*1/12,0)</f>
        <v>5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customFormat="false" ht="15" hidden="false" customHeight="false" outlineLevel="0" collapsed="false">
      <c r="A7" s="57" t="s">
        <v>436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 customFormat="false" ht="15" hidden="false" customHeight="false" outlineLevel="0" collapsed="false">
      <c r="A8" s="6" t="s">
        <v>437</v>
      </c>
      <c r="B8" s="6"/>
      <c r="C8" s="95" t="n">
        <f aca="false">Inputs!$E$26*(1+Inputs!$E$28)^(C$5-1)*MAX(0,MIN(1,C$4*1-Inputs!$E$29+1))/1</f>
        <v>20</v>
      </c>
      <c r="D8" s="95" t="n">
        <f aca="false">Inputs!$E$26*(1+Inputs!$E$28)^(D$5-1)*MAX(0,MIN(1,D$4*1-Inputs!$E$29+1))/1</f>
        <v>20</v>
      </c>
      <c r="E8" s="95" t="n">
        <f aca="false">Inputs!$E$26*(1+Inputs!$E$28)^(E$5-1)*MAX(0,MIN(1,E$4*1-Inputs!$E$29+1))/1</f>
        <v>20</v>
      </c>
      <c r="F8" s="95" t="n">
        <f aca="false">Inputs!$E$26*(1+Inputs!$E$28)^(F$5-1)*MAX(0,MIN(1,F$4*1-Inputs!$E$29+1))/1</f>
        <v>20</v>
      </c>
      <c r="G8" s="95" t="n">
        <f aca="false">Inputs!$E$26*(1+Inputs!$E$28)^(G$5-1)*MAX(0,MIN(1,G$4*1-Inputs!$E$29+1))/1</f>
        <v>20</v>
      </c>
      <c r="H8" s="95" t="n">
        <f aca="false">Inputs!$E$26*(1+Inputs!$E$28)^(H$5-1)*MAX(0,MIN(1,H$4*1-Inputs!$E$29+1))/1</f>
        <v>20</v>
      </c>
      <c r="I8" s="95" t="n">
        <f aca="false">Inputs!$E$26*(1+Inputs!$E$28)^(I$5-1)*MAX(0,MIN(1,I$4*1-Inputs!$E$29+1))/1</f>
        <v>20</v>
      </c>
      <c r="J8" s="95" t="n">
        <f aca="false">Inputs!$E$26*(1+Inputs!$E$28)^(J$5-1)*MAX(0,MIN(1,J$4*1-Inputs!$E$29+1))/1</f>
        <v>20</v>
      </c>
      <c r="K8" s="95" t="n">
        <f aca="false">Inputs!$E$26*(1+Inputs!$E$28)^(K$5-1)*MAX(0,MIN(1,K$4*1-Inputs!$E$29+1))/1</f>
        <v>20</v>
      </c>
      <c r="L8" s="95" t="n">
        <f aca="false">Inputs!$E$26*(1+Inputs!$E$28)^(L$5-1)*MAX(0,MIN(1,L$4*1-Inputs!$E$29+1))/1</f>
        <v>20</v>
      </c>
      <c r="M8" s="95" t="n">
        <f aca="false">Inputs!$E$26*(1+Inputs!$E$28)^(M$5-1)*MAX(0,MIN(1,M$4*1-Inputs!$E$29+1))/1</f>
        <v>20</v>
      </c>
      <c r="N8" s="95" t="n">
        <f aca="false">Inputs!$E$26*(1+Inputs!$E$28)^(N$5-1)*MAX(0,MIN(1,N$4*1-Inputs!$E$29+1))/1</f>
        <v>20</v>
      </c>
      <c r="O8" s="95" t="n">
        <f aca="false">Inputs!$E$26*(1+Inputs!$E$28)^(O$5-1)*MAX(0,MIN(1,O$4*1-Inputs!$E$29+1))/1</f>
        <v>24</v>
      </c>
      <c r="P8" s="95" t="n">
        <f aca="false">Inputs!$E$26*(1+Inputs!$E$28)^(P$5-1)*MAX(0,MIN(1,P$4*1-Inputs!$E$29+1))/1</f>
        <v>24</v>
      </c>
      <c r="Q8" s="95" t="n">
        <f aca="false">Inputs!$E$26*(1+Inputs!$E$28)^(Q$5-1)*MAX(0,MIN(1,Q$4*1-Inputs!$E$29+1))/1</f>
        <v>24</v>
      </c>
      <c r="R8" s="95" t="n">
        <f aca="false">Inputs!$E$26*(1+Inputs!$E$28)^(R$5-1)*MAX(0,MIN(1,R$4*1-Inputs!$E$29+1))/1</f>
        <v>24</v>
      </c>
      <c r="S8" s="95" t="n">
        <f aca="false">Inputs!$E$26*(1+Inputs!$E$28)^(S$5-1)*MAX(0,MIN(1,S$4*1-Inputs!$E$29+1))/1</f>
        <v>24</v>
      </c>
      <c r="T8" s="95" t="n">
        <f aca="false">Inputs!$E$26*(1+Inputs!$E$28)^(T$5-1)*MAX(0,MIN(1,T$4*1-Inputs!$E$29+1))/1</f>
        <v>24</v>
      </c>
      <c r="U8" s="95" t="n">
        <f aca="false">Inputs!$E$26*(1+Inputs!$E$28)^(U$5-1)*MAX(0,MIN(1,U$4*1-Inputs!$E$29+1))/1</f>
        <v>24</v>
      </c>
      <c r="V8" s="95" t="n">
        <f aca="false">Inputs!$E$26*(1+Inputs!$E$28)^(V$5-1)*MAX(0,MIN(1,V$4*1-Inputs!$E$29+1))/1</f>
        <v>24</v>
      </c>
      <c r="W8" s="95" t="n">
        <f aca="false">Inputs!$E$26*(1+Inputs!$E$28)^(W$5-1)*MAX(0,MIN(1,W$4*1-Inputs!$E$29+1))/1</f>
        <v>24</v>
      </c>
      <c r="X8" s="95" t="n">
        <f aca="false">Inputs!$E$26*(1+Inputs!$E$28)^(X$5-1)*MAX(0,MIN(1,X$4*1-Inputs!$E$29+1))/1</f>
        <v>24</v>
      </c>
      <c r="Y8" s="95" t="n">
        <f aca="false">Inputs!$E$26*(1+Inputs!$E$28)^(Y$5-1)*MAX(0,MIN(1,Y$4*1-Inputs!$E$29+1))/1</f>
        <v>24</v>
      </c>
      <c r="Z8" s="95" t="n">
        <f aca="false">Inputs!$E$26*(1+Inputs!$E$28)^(Z$5-1)*MAX(0,MIN(1,Z$4*1-Inputs!$E$29+1))/1</f>
        <v>24</v>
      </c>
      <c r="AA8" s="95" t="n">
        <f aca="false">Inputs!$E$26*(1+Inputs!$E$28)^(AA$5-1)*MAX(0,MIN(1,AA$4*1-Inputs!$E$29+1))/1</f>
        <v>28.8</v>
      </c>
      <c r="AB8" s="95" t="n">
        <f aca="false">Inputs!$E$26*(1+Inputs!$E$28)^(AB$5-1)*MAX(0,MIN(1,AB$4*1-Inputs!$E$29+1))/1</f>
        <v>28.8</v>
      </c>
      <c r="AC8" s="95" t="n">
        <f aca="false">Inputs!$E$26*(1+Inputs!$E$28)^(AC$5-1)*MAX(0,MIN(1,AC$4*1-Inputs!$E$29+1))/1</f>
        <v>28.8</v>
      </c>
      <c r="AD8" s="95" t="n">
        <f aca="false">Inputs!$E$26*(1+Inputs!$E$28)^(AD$5-1)*MAX(0,MIN(1,AD$4*1-Inputs!$E$29+1))/1</f>
        <v>28.8</v>
      </c>
      <c r="AE8" s="95" t="n">
        <f aca="false">Inputs!$E$26*(1+Inputs!$E$28)^(AE$5-1)*MAX(0,MIN(1,AE$4*1-Inputs!$E$29+1))/1</f>
        <v>28.8</v>
      </c>
      <c r="AF8" s="95" t="n">
        <f aca="false">Inputs!$E$26*(1+Inputs!$E$28)^(AF$5-1)*MAX(0,MIN(1,AF$4*1-Inputs!$E$29+1))/1</f>
        <v>28.8</v>
      </c>
      <c r="AG8" s="95" t="n">
        <f aca="false">Inputs!$E$26*(1+Inputs!$E$28)^(AG$5-1)*MAX(0,MIN(1,AG$4*1-Inputs!$E$29+1))/1</f>
        <v>28.8</v>
      </c>
      <c r="AH8" s="95" t="n">
        <f aca="false">Inputs!$E$26*(1+Inputs!$E$28)^(AH$5-1)*MAX(0,MIN(1,AH$4*1-Inputs!$E$29+1))/1</f>
        <v>28.8</v>
      </c>
      <c r="AI8" s="95" t="n">
        <f aca="false">Inputs!$E$26*(1+Inputs!$E$28)^(AI$5-1)*MAX(0,MIN(1,AI$4*1-Inputs!$E$29+1))/1</f>
        <v>28.8</v>
      </c>
      <c r="AJ8" s="95" t="n">
        <f aca="false">Inputs!$E$26*(1+Inputs!$E$28)^(AJ$5-1)*MAX(0,MIN(1,AJ$4*1-Inputs!$E$29+1))/1</f>
        <v>28.8</v>
      </c>
      <c r="AK8" s="95" t="n">
        <f aca="false">Inputs!$E$26*(1+Inputs!$E$28)^(AK$5-1)*MAX(0,MIN(1,AK$4*1-Inputs!$E$29+1))/1</f>
        <v>28.8</v>
      </c>
      <c r="AL8" s="95" t="n">
        <f aca="false">Inputs!$E$26*(1+Inputs!$E$28)^(AL$5-1)*MAX(0,MIN(1,AL$4*1-Inputs!$E$29+1))/1</f>
        <v>28.8</v>
      </c>
      <c r="AM8" s="95" t="n">
        <f aca="false">Inputs!$E$26*(1+Inputs!$E$28)^(AM$5-1)*MAX(0,MIN(1,AM$4*1-Inputs!$E$29+1))/1</f>
        <v>34.56</v>
      </c>
      <c r="AN8" s="95" t="n">
        <f aca="false">Inputs!$E$26*(1+Inputs!$E$28)^(AN$5-1)*MAX(0,MIN(1,AN$4*1-Inputs!$E$29+1))/1</f>
        <v>34.56</v>
      </c>
      <c r="AO8" s="95" t="n">
        <f aca="false">Inputs!$E$26*(1+Inputs!$E$28)^(AO$5-1)*MAX(0,MIN(1,AO$4*1-Inputs!$E$29+1))/1</f>
        <v>34.56</v>
      </c>
      <c r="AP8" s="95" t="n">
        <f aca="false">Inputs!$E$26*(1+Inputs!$E$28)^(AP$5-1)*MAX(0,MIN(1,AP$4*1-Inputs!$E$29+1))/1</f>
        <v>34.56</v>
      </c>
      <c r="AQ8" s="95" t="n">
        <f aca="false">Inputs!$E$26*(1+Inputs!$E$28)^(AQ$5-1)*MAX(0,MIN(1,AQ$4*1-Inputs!$E$29+1))/1</f>
        <v>34.56</v>
      </c>
      <c r="AR8" s="95" t="n">
        <f aca="false">Inputs!$E$26*(1+Inputs!$E$28)^(AR$5-1)*MAX(0,MIN(1,AR$4*1-Inputs!$E$29+1))/1</f>
        <v>34.56</v>
      </c>
      <c r="AS8" s="95" t="n">
        <f aca="false">Inputs!$E$26*(1+Inputs!$E$28)^(AS$5-1)*MAX(0,MIN(1,AS$4*1-Inputs!$E$29+1))/1</f>
        <v>34.56</v>
      </c>
      <c r="AT8" s="95" t="n">
        <f aca="false">Inputs!$E$26*(1+Inputs!$E$28)^(AT$5-1)*MAX(0,MIN(1,AT$4*1-Inputs!$E$29+1))/1</f>
        <v>34.56</v>
      </c>
      <c r="AU8" s="95" t="n">
        <f aca="false">Inputs!$E$26*(1+Inputs!$E$28)^(AU$5-1)*MAX(0,MIN(1,AU$4*1-Inputs!$E$29+1))/1</f>
        <v>34.56</v>
      </c>
      <c r="AV8" s="95" t="n">
        <f aca="false">Inputs!$E$26*(1+Inputs!$E$28)^(AV$5-1)*MAX(0,MIN(1,AV$4*1-Inputs!$E$29+1))/1</f>
        <v>34.56</v>
      </c>
      <c r="AW8" s="95" t="n">
        <f aca="false">Inputs!$E$26*(1+Inputs!$E$28)^(AW$5-1)*MAX(0,MIN(1,AW$4*1-Inputs!$E$29+1))/1</f>
        <v>34.56</v>
      </c>
      <c r="AX8" s="95" t="n">
        <f aca="false">Inputs!$E$26*(1+Inputs!$E$28)^(AX$5-1)*MAX(0,MIN(1,AX$4*1-Inputs!$E$29+1))/1</f>
        <v>34.56</v>
      </c>
      <c r="AY8" s="95" t="n">
        <f aca="false">Inputs!$E$26*(1+Inputs!$E$28)^(AY$5-1)*MAX(0,MIN(1,AY$4*1-Inputs!$E$29+1))/1</f>
        <v>41.472</v>
      </c>
      <c r="AZ8" s="95" t="n">
        <f aca="false">Inputs!$E$26*(1+Inputs!$E$28)^(AZ$5-1)*MAX(0,MIN(1,AZ$4*1-Inputs!$E$29+1))/1</f>
        <v>41.472</v>
      </c>
      <c r="BA8" s="95" t="n">
        <f aca="false">Inputs!$E$26*(1+Inputs!$E$28)^(BA$5-1)*MAX(0,MIN(1,BA$4*1-Inputs!$E$29+1))/1</f>
        <v>41.472</v>
      </c>
      <c r="BB8" s="95" t="n">
        <f aca="false">Inputs!$E$26*(1+Inputs!$E$28)^(BB$5-1)*MAX(0,MIN(1,BB$4*1-Inputs!$E$29+1))/1</f>
        <v>41.472</v>
      </c>
      <c r="BC8" s="95" t="n">
        <f aca="false">Inputs!$E$26*(1+Inputs!$E$28)^(BC$5-1)*MAX(0,MIN(1,BC$4*1-Inputs!$E$29+1))/1</f>
        <v>41.472</v>
      </c>
      <c r="BD8" s="95" t="n">
        <f aca="false">Inputs!$E$26*(1+Inputs!$E$28)^(BD$5-1)*MAX(0,MIN(1,BD$4*1-Inputs!$E$29+1))/1</f>
        <v>41.472</v>
      </c>
      <c r="BE8" s="95" t="n">
        <f aca="false">Inputs!$E$26*(1+Inputs!$E$28)^(BE$5-1)*MAX(0,MIN(1,BE$4*1-Inputs!$E$29+1))/1</f>
        <v>41.472</v>
      </c>
      <c r="BF8" s="95" t="n">
        <f aca="false">Inputs!$E$26*(1+Inputs!$E$28)^(BF$5-1)*MAX(0,MIN(1,BF$4*1-Inputs!$E$29+1))/1</f>
        <v>41.472</v>
      </c>
      <c r="BG8" s="95" t="n">
        <f aca="false">Inputs!$E$26*(1+Inputs!$E$28)^(BG$5-1)*MAX(0,MIN(1,BG$4*1-Inputs!$E$29+1))/1</f>
        <v>41.472</v>
      </c>
      <c r="BH8" s="95" t="n">
        <f aca="false">Inputs!$E$26*(1+Inputs!$E$28)^(BH$5-1)*MAX(0,MIN(1,BH$4*1-Inputs!$E$29+1))/1</f>
        <v>41.472</v>
      </c>
      <c r="BI8" s="95" t="n">
        <f aca="false">Inputs!$E$26*(1+Inputs!$E$28)^(BI$5-1)*MAX(0,MIN(1,BI$4*1-Inputs!$E$29+1))/1</f>
        <v>41.472</v>
      </c>
      <c r="BJ8" s="95" t="n">
        <f aca="false">Inputs!$E$26*(1+Inputs!$E$28)^(BJ$5-1)*MAX(0,MIN(1,BJ$4*1-Inputs!$E$29+1))/1</f>
        <v>41.472</v>
      </c>
    </row>
    <row r="9" customFormat="false" ht="15" hidden="false" customHeight="false" outlineLevel="0" collapsed="false">
      <c r="A9" s="6" t="s">
        <v>438</v>
      </c>
      <c r="B9" s="6"/>
      <c r="C9" s="95" t="n">
        <f aca="false">Inputs!$E$30*(1+Inputs!$E$32)^(C$5-1)*MAX(0,MIN(1,C$4*1-Inputs!$E$33+1))/1</f>
        <v>14</v>
      </c>
      <c r="D9" s="95" t="n">
        <f aca="false">Inputs!$E$30*(1+Inputs!$E$32)^(D$5-1)*MAX(0,MIN(1,D$4*1-Inputs!$E$33+1))/1</f>
        <v>14</v>
      </c>
      <c r="E9" s="95" t="n">
        <f aca="false">Inputs!$E$30*(1+Inputs!$E$32)^(E$5-1)*MAX(0,MIN(1,E$4*1-Inputs!$E$33+1))/1</f>
        <v>14</v>
      </c>
      <c r="F9" s="95" t="n">
        <f aca="false">Inputs!$E$30*(1+Inputs!$E$32)^(F$5-1)*MAX(0,MIN(1,F$4*1-Inputs!$E$33+1))/1</f>
        <v>14</v>
      </c>
      <c r="G9" s="95" t="n">
        <f aca="false">Inputs!$E$30*(1+Inputs!$E$32)^(G$5-1)*MAX(0,MIN(1,G$4*1-Inputs!$E$33+1))/1</f>
        <v>14</v>
      </c>
      <c r="H9" s="95" t="n">
        <f aca="false">Inputs!$E$30*(1+Inputs!$E$32)^(H$5-1)*MAX(0,MIN(1,H$4*1-Inputs!$E$33+1))/1</f>
        <v>14</v>
      </c>
      <c r="I9" s="95" t="n">
        <f aca="false">Inputs!$E$30*(1+Inputs!$E$32)^(I$5-1)*MAX(0,MIN(1,I$4*1-Inputs!$E$33+1))/1</f>
        <v>14</v>
      </c>
      <c r="J9" s="95" t="n">
        <f aca="false">Inputs!$E$30*(1+Inputs!$E$32)^(J$5-1)*MAX(0,MIN(1,J$4*1-Inputs!$E$33+1))/1</f>
        <v>14</v>
      </c>
      <c r="K9" s="95" t="n">
        <f aca="false">Inputs!$E$30*(1+Inputs!$E$32)^(K$5-1)*MAX(0,MIN(1,K$4*1-Inputs!$E$33+1))/1</f>
        <v>14</v>
      </c>
      <c r="L9" s="95" t="n">
        <f aca="false">Inputs!$E$30*(1+Inputs!$E$32)^(L$5-1)*MAX(0,MIN(1,L$4*1-Inputs!$E$33+1))/1</f>
        <v>14</v>
      </c>
      <c r="M9" s="95" t="n">
        <f aca="false">Inputs!$E$30*(1+Inputs!$E$32)^(M$5-1)*MAX(0,MIN(1,M$4*1-Inputs!$E$33+1))/1</f>
        <v>14</v>
      </c>
      <c r="N9" s="95" t="n">
        <f aca="false">Inputs!$E$30*(1+Inputs!$E$32)^(N$5-1)*MAX(0,MIN(1,N$4*1-Inputs!$E$33+1))/1</f>
        <v>14</v>
      </c>
      <c r="O9" s="95" t="n">
        <f aca="false">Inputs!$E$30*(1+Inputs!$E$32)^(O$5-1)*MAX(0,MIN(1,O$4*1-Inputs!$E$33+1))/1</f>
        <v>16.8</v>
      </c>
      <c r="P9" s="95" t="n">
        <f aca="false">Inputs!$E$30*(1+Inputs!$E$32)^(P$5-1)*MAX(0,MIN(1,P$4*1-Inputs!$E$33+1))/1</f>
        <v>16.8</v>
      </c>
      <c r="Q9" s="95" t="n">
        <f aca="false">Inputs!$E$30*(1+Inputs!$E$32)^(Q$5-1)*MAX(0,MIN(1,Q$4*1-Inputs!$E$33+1))/1</f>
        <v>16.8</v>
      </c>
      <c r="R9" s="95" t="n">
        <f aca="false">Inputs!$E$30*(1+Inputs!$E$32)^(R$5-1)*MAX(0,MIN(1,R$4*1-Inputs!$E$33+1))/1</f>
        <v>16.8</v>
      </c>
      <c r="S9" s="95" t="n">
        <f aca="false">Inputs!$E$30*(1+Inputs!$E$32)^(S$5-1)*MAX(0,MIN(1,S$4*1-Inputs!$E$33+1))/1</f>
        <v>16.8</v>
      </c>
      <c r="T9" s="95" t="n">
        <f aca="false">Inputs!$E$30*(1+Inputs!$E$32)^(T$5-1)*MAX(0,MIN(1,T$4*1-Inputs!$E$33+1))/1</f>
        <v>16.8</v>
      </c>
      <c r="U9" s="95" t="n">
        <f aca="false">Inputs!$E$30*(1+Inputs!$E$32)^(U$5-1)*MAX(0,MIN(1,U$4*1-Inputs!$E$33+1))/1</f>
        <v>16.8</v>
      </c>
      <c r="V9" s="95" t="n">
        <f aca="false">Inputs!$E$30*(1+Inputs!$E$32)^(V$5-1)*MAX(0,MIN(1,V$4*1-Inputs!$E$33+1))/1</f>
        <v>16.8</v>
      </c>
      <c r="W9" s="95" t="n">
        <f aca="false">Inputs!$E$30*(1+Inputs!$E$32)^(W$5-1)*MAX(0,MIN(1,W$4*1-Inputs!$E$33+1))/1</f>
        <v>16.8</v>
      </c>
      <c r="X9" s="95" t="n">
        <f aca="false">Inputs!$E$30*(1+Inputs!$E$32)^(X$5-1)*MAX(0,MIN(1,X$4*1-Inputs!$E$33+1))/1</f>
        <v>16.8</v>
      </c>
      <c r="Y9" s="95" t="n">
        <f aca="false">Inputs!$E$30*(1+Inputs!$E$32)^(Y$5-1)*MAX(0,MIN(1,Y$4*1-Inputs!$E$33+1))/1</f>
        <v>16.8</v>
      </c>
      <c r="Z9" s="95" t="n">
        <f aca="false">Inputs!$E$30*(1+Inputs!$E$32)^(Z$5-1)*MAX(0,MIN(1,Z$4*1-Inputs!$E$33+1))/1</f>
        <v>16.8</v>
      </c>
      <c r="AA9" s="95" t="n">
        <f aca="false">Inputs!$E$30*(1+Inputs!$E$32)^(AA$5-1)*MAX(0,MIN(1,AA$4*1-Inputs!$E$33+1))/1</f>
        <v>20.16</v>
      </c>
      <c r="AB9" s="95" t="n">
        <f aca="false">Inputs!$E$30*(1+Inputs!$E$32)^(AB$5-1)*MAX(0,MIN(1,AB$4*1-Inputs!$E$33+1))/1</f>
        <v>20.16</v>
      </c>
      <c r="AC9" s="95" t="n">
        <f aca="false">Inputs!$E$30*(1+Inputs!$E$32)^(AC$5-1)*MAX(0,MIN(1,AC$4*1-Inputs!$E$33+1))/1</f>
        <v>20.16</v>
      </c>
      <c r="AD9" s="95" t="n">
        <f aca="false">Inputs!$E$30*(1+Inputs!$E$32)^(AD$5-1)*MAX(0,MIN(1,AD$4*1-Inputs!$E$33+1))/1</f>
        <v>20.16</v>
      </c>
      <c r="AE9" s="95" t="n">
        <f aca="false">Inputs!$E$30*(1+Inputs!$E$32)^(AE$5-1)*MAX(0,MIN(1,AE$4*1-Inputs!$E$33+1))/1</f>
        <v>20.16</v>
      </c>
      <c r="AF9" s="95" t="n">
        <f aca="false">Inputs!$E$30*(1+Inputs!$E$32)^(AF$5-1)*MAX(0,MIN(1,AF$4*1-Inputs!$E$33+1))/1</f>
        <v>20.16</v>
      </c>
      <c r="AG9" s="95" t="n">
        <f aca="false">Inputs!$E$30*(1+Inputs!$E$32)^(AG$5-1)*MAX(0,MIN(1,AG$4*1-Inputs!$E$33+1))/1</f>
        <v>20.16</v>
      </c>
      <c r="AH9" s="95" t="n">
        <f aca="false">Inputs!$E$30*(1+Inputs!$E$32)^(AH$5-1)*MAX(0,MIN(1,AH$4*1-Inputs!$E$33+1))/1</f>
        <v>20.16</v>
      </c>
      <c r="AI9" s="95" t="n">
        <f aca="false">Inputs!$E$30*(1+Inputs!$E$32)^(AI$5-1)*MAX(0,MIN(1,AI$4*1-Inputs!$E$33+1))/1</f>
        <v>20.16</v>
      </c>
      <c r="AJ9" s="95" t="n">
        <f aca="false">Inputs!$E$30*(1+Inputs!$E$32)^(AJ$5-1)*MAX(0,MIN(1,AJ$4*1-Inputs!$E$33+1))/1</f>
        <v>20.16</v>
      </c>
      <c r="AK9" s="95" t="n">
        <f aca="false">Inputs!$E$30*(1+Inputs!$E$32)^(AK$5-1)*MAX(0,MIN(1,AK$4*1-Inputs!$E$33+1))/1</f>
        <v>20.16</v>
      </c>
      <c r="AL9" s="95" t="n">
        <f aca="false">Inputs!$E$30*(1+Inputs!$E$32)^(AL$5-1)*MAX(0,MIN(1,AL$4*1-Inputs!$E$33+1))/1</f>
        <v>20.16</v>
      </c>
      <c r="AM9" s="95" t="n">
        <f aca="false">Inputs!$E$30*(1+Inputs!$E$32)^(AM$5-1)*MAX(0,MIN(1,AM$4*1-Inputs!$E$33+1))/1</f>
        <v>24.192</v>
      </c>
      <c r="AN9" s="95" t="n">
        <f aca="false">Inputs!$E$30*(1+Inputs!$E$32)^(AN$5-1)*MAX(0,MIN(1,AN$4*1-Inputs!$E$33+1))/1</f>
        <v>24.192</v>
      </c>
      <c r="AO9" s="95" t="n">
        <f aca="false">Inputs!$E$30*(1+Inputs!$E$32)^(AO$5-1)*MAX(0,MIN(1,AO$4*1-Inputs!$E$33+1))/1</f>
        <v>24.192</v>
      </c>
      <c r="AP9" s="95" t="n">
        <f aca="false">Inputs!$E$30*(1+Inputs!$E$32)^(AP$5-1)*MAX(0,MIN(1,AP$4*1-Inputs!$E$33+1))/1</f>
        <v>24.192</v>
      </c>
      <c r="AQ9" s="95" t="n">
        <f aca="false">Inputs!$E$30*(1+Inputs!$E$32)^(AQ$5-1)*MAX(0,MIN(1,AQ$4*1-Inputs!$E$33+1))/1</f>
        <v>24.192</v>
      </c>
      <c r="AR9" s="95" t="n">
        <f aca="false">Inputs!$E$30*(1+Inputs!$E$32)^(AR$5-1)*MAX(0,MIN(1,AR$4*1-Inputs!$E$33+1))/1</f>
        <v>24.192</v>
      </c>
      <c r="AS9" s="95" t="n">
        <f aca="false">Inputs!$E$30*(1+Inputs!$E$32)^(AS$5-1)*MAX(0,MIN(1,AS$4*1-Inputs!$E$33+1))/1</f>
        <v>24.192</v>
      </c>
      <c r="AT9" s="95" t="n">
        <f aca="false">Inputs!$E$30*(1+Inputs!$E$32)^(AT$5-1)*MAX(0,MIN(1,AT$4*1-Inputs!$E$33+1))/1</f>
        <v>24.192</v>
      </c>
      <c r="AU9" s="95" t="n">
        <f aca="false">Inputs!$E$30*(1+Inputs!$E$32)^(AU$5-1)*MAX(0,MIN(1,AU$4*1-Inputs!$E$33+1))/1</f>
        <v>24.192</v>
      </c>
      <c r="AV9" s="95" t="n">
        <f aca="false">Inputs!$E$30*(1+Inputs!$E$32)^(AV$5-1)*MAX(0,MIN(1,AV$4*1-Inputs!$E$33+1))/1</f>
        <v>24.192</v>
      </c>
      <c r="AW9" s="95" t="n">
        <f aca="false">Inputs!$E$30*(1+Inputs!$E$32)^(AW$5-1)*MAX(0,MIN(1,AW$4*1-Inputs!$E$33+1))/1</f>
        <v>24.192</v>
      </c>
      <c r="AX9" s="95" t="n">
        <f aca="false">Inputs!$E$30*(1+Inputs!$E$32)^(AX$5-1)*MAX(0,MIN(1,AX$4*1-Inputs!$E$33+1))/1</f>
        <v>24.192</v>
      </c>
      <c r="AY9" s="95" t="n">
        <f aca="false">Inputs!$E$30*(1+Inputs!$E$32)^(AY$5-1)*MAX(0,MIN(1,AY$4*1-Inputs!$E$33+1))/1</f>
        <v>29.0304</v>
      </c>
      <c r="AZ9" s="95" t="n">
        <f aca="false">Inputs!$E$30*(1+Inputs!$E$32)^(AZ$5-1)*MAX(0,MIN(1,AZ$4*1-Inputs!$E$33+1))/1</f>
        <v>29.0304</v>
      </c>
      <c r="BA9" s="95" t="n">
        <f aca="false">Inputs!$E$30*(1+Inputs!$E$32)^(BA$5-1)*MAX(0,MIN(1,BA$4*1-Inputs!$E$33+1))/1</f>
        <v>29.0304</v>
      </c>
      <c r="BB9" s="95" t="n">
        <f aca="false">Inputs!$E$30*(1+Inputs!$E$32)^(BB$5-1)*MAX(0,MIN(1,BB$4*1-Inputs!$E$33+1))/1</f>
        <v>29.0304</v>
      </c>
      <c r="BC9" s="95" t="n">
        <f aca="false">Inputs!$E$30*(1+Inputs!$E$32)^(BC$5-1)*MAX(0,MIN(1,BC$4*1-Inputs!$E$33+1))/1</f>
        <v>29.0304</v>
      </c>
      <c r="BD9" s="95" t="n">
        <f aca="false">Inputs!$E$30*(1+Inputs!$E$32)^(BD$5-1)*MAX(0,MIN(1,BD$4*1-Inputs!$E$33+1))/1</f>
        <v>29.0304</v>
      </c>
      <c r="BE9" s="95" t="n">
        <f aca="false">Inputs!$E$30*(1+Inputs!$E$32)^(BE$5-1)*MAX(0,MIN(1,BE$4*1-Inputs!$E$33+1))/1</f>
        <v>29.0304</v>
      </c>
      <c r="BF9" s="95" t="n">
        <f aca="false">Inputs!$E$30*(1+Inputs!$E$32)^(BF$5-1)*MAX(0,MIN(1,BF$4*1-Inputs!$E$33+1))/1</f>
        <v>29.0304</v>
      </c>
      <c r="BG9" s="95" t="n">
        <f aca="false">Inputs!$E$30*(1+Inputs!$E$32)^(BG$5-1)*MAX(0,MIN(1,BG$4*1-Inputs!$E$33+1))/1</f>
        <v>29.0304</v>
      </c>
      <c r="BH9" s="95" t="n">
        <f aca="false">Inputs!$E$30*(1+Inputs!$E$32)^(BH$5-1)*MAX(0,MIN(1,BH$4*1-Inputs!$E$33+1))/1</f>
        <v>29.0304</v>
      </c>
      <c r="BI9" s="95" t="n">
        <f aca="false">Inputs!$E$30*(1+Inputs!$E$32)^(BI$5-1)*MAX(0,MIN(1,BI$4*1-Inputs!$E$33+1))/1</f>
        <v>29.0304</v>
      </c>
      <c r="BJ9" s="95" t="n">
        <f aca="false">Inputs!$E$30*(1+Inputs!$E$32)^(BJ$5-1)*MAX(0,MIN(1,BJ$4*1-Inputs!$E$33+1))/1</f>
        <v>29.0304</v>
      </c>
    </row>
    <row r="10" customFormat="false" ht="15" hidden="false" customHeight="false" outlineLevel="0" collapsed="false">
      <c r="A10" s="6" t="s">
        <v>439</v>
      </c>
      <c r="B10" s="6"/>
      <c r="C10" s="95" t="n">
        <f aca="false">Inputs!$E$34*(1+Inputs!$E$36)^(C$5-1)*MAX(0,MIN(1,C$4*1-Inputs!$E$37+1))/1</f>
        <v>8</v>
      </c>
      <c r="D10" s="95" t="n">
        <f aca="false">Inputs!$E$34*(1+Inputs!$E$36)^(D$5-1)*MAX(0,MIN(1,D$4*1-Inputs!$E$37+1))/1</f>
        <v>8</v>
      </c>
      <c r="E10" s="95" t="n">
        <f aca="false">Inputs!$E$34*(1+Inputs!$E$36)^(E$5-1)*MAX(0,MIN(1,E$4*1-Inputs!$E$37+1))/1</f>
        <v>8</v>
      </c>
      <c r="F10" s="95" t="n">
        <f aca="false">Inputs!$E$34*(1+Inputs!$E$36)^(F$5-1)*MAX(0,MIN(1,F$4*1-Inputs!$E$37+1))/1</f>
        <v>8</v>
      </c>
      <c r="G10" s="95" t="n">
        <f aca="false">Inputs!$E$34*(1+Inputs!$E$36)^(G$5-1)*MAX(0,MIN(1,G$4*1-Inputs!$E$37+1))/1</f>
        <v>8</v>
      </c>
      <c r="H10" s="95" t="n">
        <f aca="false">Inputs!$E$34*(1+Inputs!$E$36)^(H$5-1)*MAX(0,MIN(1,H$4*1-Inputs!$E$37+1))/1</f>
        <v>8</v>
      </c>
      <c r="I10" s="95" t="n">
        <f aca="false">Inputs!$E$34*(1+Inputs!$E$36)^(I$5-1)*MAX(0,MIN(1,I$4*1-Inputs!$E$37+1))/1</f>
        <v>8</v>
      </c>
      <c r="J10" s="95" t="n">
        <f aca="false">Inputs!$E$34*(1+Inputs!$E$36)^(J$5-1)*MAX(0,MIN(1,J$4*1-Inputs!$E$37+1))/1</f>
        <v>8</v>
      </c>
      <c r="K10" s="95" t="n">
        <f aca="false">Inputs!$E$34*(1+Inputs!$E$36)^(K$5-1)*MAX(0,MIN(1,K$4*1-Inputs!$E$37+1))/1</f>
        <v>8</v>
      </c>
      <c r="L10" s="95" t="n">
        <f aca="false">Inputs!$E$34*(1+Inputs!$E$36)^(L$5-1)*MAX(0,MIN(1,L$4*1-Inputs!$E$37+1))/1</f>
        <v>8</v>
      </c>
      <c r="M10" s="95" t="n">
        <f aca="false">Inputs!$E$34*(1+Inputs!$E$36)^(M$5-1)*MAX(0,MIN(1,M$4*1-Inputs!$E$37+1))/1</f>
        <v>8</v>
      </c>
      <c r="N10" s="95" t="n">
        <f aca="false">Inputs!$E$34*(1+Inputs!$E$36)^(N$5-1)*MAX(0,MIN(1,N$4*1-Inputs!$E$37+1))/1</f>
        <v>8</v>
      </c>
      <c r="O10" s="95" t="n">
        <f aca="false">Inputs!$E$34*(1+Inputs!$E$36)^(O$5-1)*MAX(0,MIN(1,O$4*1-Inputs!$E$37+1))/1</f>
        <v>9.6</v>
      </c>
      <c r="P10" s="95" t="n">
        <f aca="false">Inputs!$E$34*(1+Inputs!$E$36)^(P$5-1)*MAX(0,MIN(1,P$4*1-Inputs!$E$37+1))/1</f>
        <v>9.6</v>
      </c>
      <c r="Q10" s="95" t="n">
        <f aca="false">Inputs!$E$34*(1+Inputs!$E$36)^(Q$5-1)*MAX(0,MIN(1,Q$4*1-Inputs!$E$37+1))/1</f>
        <v>9.6</v>
      </c>
      <c r="R10" s="95" t="n">
        <f aca="false">Inputs!$E$34*(1+Inputs!$E$36)^(R$5-1)*MAX(0,MIN(1,R$4*1-Inputs!$E$37+1))/1</f>
        <v>9.6</v>
      </c>
      <c r="S10" s="95" t="n">
        <f aca="false">Inputs!$E$34*(1+Inputs!$E$36)^(S$5-1)*MAX(0,MIN(1,S$4*1-Inputs!$E$37+1))/1</f>
        <v>9.6</v>
      </c>
      <c r="T10" s="95" t="n">
        <f aca="false">Inputs!$E$34*(1+Inputs!$E$36)^(T$5-1)*MAX(0,MIN(1,T$4*1-Inputs!$E$37+1))/1</f>
        <v>9.6</v>
      </c>
      <c r="U10" s="95" t="n">
        <f aca="false">Inputs!$E$34*(1+Inputs!$E$36)^(U$5-1)*MAX(0,MIN(1,U$4*1-Inputs!$E$37+1))/1</f>
        <v>9.6</v>
      </c>
      <c r="V10" s="95" t="n">
        <f aca="false">Inputs!$E$34*(1+Inputs!$E$36)^(V$5-1)*MAX(0,MIN(1,V$4*1-Inputs!$E$37+1))/1</f>
        <v>9.6</v>
      </c>
      <c r="W10" s="95" t="n">
        <f aca="false">Inputs!$E$34*(1+Inputs!$E$36)^(W$5-1)*MAX(0,MIN(1,W$4*1-Inputs!$E$37+1))/1</f>
        <v>9.6</v>
      </c>
      <c r="X10" s="95" t="n">
        <f aca="false">Inputs!$E$34*(1+Inputs!$E$36)^(X$5-1)*MAX(0,MIN(1,X$4*1-Inputs!$E$37+1))/1</f>
        <v>9.6</v>
      </c>
      <c r="Y10" s="95" t="n">
        <f aca="false">Inputs!$E$34*(1+Inputs!$E$36)^(Y$5-1)*MAX(0,MIN(1,Y$4*1-Inputs!$E$37+1))/1</f>
        <v>9.6</v>
      </c>
      <c r="Z10" s="95" t="n">
        <f aca="false">Inputs!$E$34*(1+Inputs!$E$36)^(Z$5-1)*MAX(0,MIN(1,Z$4*1-Inputs!$E$37+1))/1</f>
        <v>9.6</v>
      </c>
      <c r="AA10" s="95" t="n">
        <f aca="false">Inputs!$E$34*(1+Inputs!$E$36)^(AA$5-1)*MAX(0,MIN(1,AA$4*1-Inputs!$E$37+1))/1</f>
        <v>11.52</v>
      </c>
      <c r="AB10" s="95" t="n">
        <f aca="false">Inputs!$E$34*(1+Inputs!$E$36)^(AB$5-1)*MAX(0,MIN(1,AB$4*1-Inputs!$E$37+1))/1</f>
        <v>11.52</v>
      </c>
      <c r="AC10" s="95" t="n">
        <f aca="false">Inputs!$E$34*(1+Inputs!$E$36)^(AC$5-1)*MAX(0,MIN(1,AC$4*1-Inputs!$E$37+1))/1</f>
        <v>11.52</v>
      </c>
      <c r="AD10" s="95" t="n">
        <f aca="false">Inputs!$E$34*(1+Inputs!$E$36)^(AD$5-1)*MAX(0,MIN(1,AD$4*1-Inputs!$E$37+1))/1</f>
        <v>11.52</v>
      </c>
      <c r="AE10" s="95" t="n">
        <f aca="false">Inputs!$E$34*(1+Inputs!$E$36)^(AE$5-1)*MAX(0,MIN(1,AE$4*1-Inputs!$E$37+1))/1</f>
        <v>11.52</v>
      </c>
      <c r="AF10" s="95" t="n">
        <f aca="false">Inputs!$E$34*(1+Inputs!$E$36)^(AF$5-1)*MAX(0,MIN(1,AF$4*1-Inputs!$E$37+1))/1</f>
        <v>11.52</v>
      </c>
      <c r="AG10" s="95" t="n">
        <f aca="false">Inputs!$E$34*(1+Inputs!$E$36)^(AG$5-1)*MAX(0,MIN(1,AG$4*1-Inputs!$E$37+1))/1</f>
        <v>11.52</v>
      </c>
      <c r="AH10" s="95" t="n">
        <f aca="false">Inputs!$E$34*(1+Inputs!$E$36)^(AH$5-1)*MAX(0,MIN(1,AH$4*1-Inputs!$E$37+1))/1</f>
        <v>11.52</v>
      </c>
      <c r="AI10" s="95" t="n">
        <f aca="false">Inputs!$E$34*(1+Inputs!$E$36)^(AI$5-1)*MAX(0,MIN(1,AI$4*1-Inputs!$E$37+1))/1</f>
        <v>11.52</v>
      </c>
      <c r="AJ10" s="95" t="n">
        <f aca="false">Inputs!$E$34*(1+Inputs!$E$36)^(AJ$5-1)*MAX(0,MIN(1,AJ$4*1-Inputs!$E$37+1))/1</f>
        <v>11.52</v>
      </c>
      <c r="AK10" s="95" t="n">
        <f aca="false">Inputs!$E$34*(1+Inputs!$E$36)^(AK$5-1)*MAX(0,MIN(1,AK$4*1-Inputs!$E$37+1))/1</f>
        <v>11.52</v>
      </c>
      <c r="AL10" s="95" t="n">
        <f aca="false">Inputs!$E$34*(1+Inputs!$E$36)^(AL$5-1)*MAX(0,MIN(1,AL$4*1-Inputs!$E$37+1))/1</f>
        <v>11.52</v>
      </c>
      <c r="AM10" s="95" t="n">
        <f aca="false">Inputs!$E$34*(1+Inputs!$E$36)^(AM$5-1)*MAX(0,MIN(1,AM$4*1-Inputs!$E$37+1))/1</f>
        <v>13.824</v>
      </c>
      <c r="AN10" s="95" t="n">
        <f aca="false">Inputs!$E$34*(1+Inputs!$E$36)^(AN$5-1)*MAX(0,MIN(1,AN$4*1-Inputs!$E$37+1))/1</f>
        <v>13.824</v>
      </c>
      <c r="AO10" s="95" t="n">
        <f aca="false">Inputs!$E$34*(1+Inputs!$E$36)^(AO$5-1)*MAX(0,MIN(1,AO$4*1-Inputs!$E$37+1))/1</f>
        <v>13.824</v>
      </c>
      <c r="AP10" s="95" t="n">
        <f aca="false">Inputs!$E$34*(1+Inputs!$E$36)^(AP$5-1)*MAX(0,MIN(1,AP$4*1-Inputs!$E$37+1))/1</f>
        <v>13.824</v>
      </c>
      <c r="AQ10" s="95" t="n">
        <f aca="false">Inputs!$E$34*(1+Inputs!$E$36)^(AQ$5-1)*MAX(0,MIN(1,AQ$4*1-Inputs!$E$37+1))/1</f>
        <v>13.824</v>
      </c>
      <c r="AR10" s="95" t="n">
        <f aca="false">Inputs!$E$34*(1+Inputs!$E$36)^(AR$5-1)*MAX(0,MIN(1,AR$4*1-Inputs!$E$37+1))/1</f>
        <v>13.824</v>
      </c>
      <c r="AS10" s="95" t="n">
        <f aca="false">Inputs!$E$34*(1+Inputs!$E$36)^(AS$5-1)*MAX(0,MIN(1,AS$4*1-Inputs!$E$37+1))/1</f>
        <v>13.824</v>
      </c>
      <c r="AT10" s="95" t="n">
        <f aca="false">Inputs!$E$34*(1+Inputs!$E$36)^(AT$5-1)*MAX(0,MIN(1,AT$4*1-Inputs!$E$37+1))/1</f>
        <v>13.824</v>
      </c>
      <c r="AU10" s="95" t="n">
        <f aca="false">Inputs!$E$34*(1+Inputs!$E$36)^(AU$5-1)*MAX(0,MIN(1,AU$4*1-Inputs!$E$37+1))/1</f>
        <v>13.824</v>
      </c>
      <c r="AV10" s="95" t="n">
        <f aca="false">Inputs!$E$34*(1+Inputs!$E$36)^(AV$5-1)*MAX(0,MIN(1,AV$4*1-Inputs!$E$37+1))/1</f>
        <v>13.824</v>
      </c>
      <c r="AW10" s="95" t="n">
        <f aca="false">Inputs!$E$34*(1+Inputs!$E$36)^(AW$5-1)*MAX(0,MIN(1,AW$4*1-Inputs!$E$37+1))/1</f>
        <v>13.824</v>
      </c>
      <c r="AX10" s="95" t="n">
        <f aca="false">Inputs!$E$34*(1+Inputs!$E$36)^(AX$5-1)*MAX(0,MIN(1,AX$4*1-Inputs!$E$37+1))/1</f>
        <v>13.824</v>
      </c>
      <c r="AY10" s="95" t="n">
        <f aca="false">Inputs!$E$34*(1+Inputs!$E$36)^(AY$5-1)*MAX(0,MIN(1,AY$4*1-Inputs!$E$37+1))/1</f>
        <v>16.5888</v>
      </c>
      <c r="AZ10" s="95" t="n">
        <f aca="false">Inputs!$E$34*(1+Inputs!$E$36)^(AZ$5-1)*MAX(0,MIN(1,AZ$4*1-Inputs!$E$37+1))/1</f>
        <v>16.5888</v>
      </c>
      <c r="BA10" s="95" t="n">
        <f aca="false">Inputs!$E$34*(1+Inputs!$E$36)^(BA$5-1)*MAX(0,MIN(1,BA$4*1-Inputs!$E$37+1))/1</f>
        <v>16.5888</v>
      </c>
      <c r="BB10" s="95" t="n">
        <f aca="false">Inputs!$E$34*(1+Inputs!$E$36)^(BB$5-1)*MAX(0,MIN(1,BB$4*1-Inputs!$E$37+1))/1</f>
        <v>16.5888</v>
      </c>
      <c r="BC10" s="95" t="n">
        <f aca="false">Inputs!$E$34*(1+Inputs!$E$36)^(BC$5-1)*MAX(0,MIN(1,BC$4*1-Inputs!$E$37+1))/1</f>
        <v>16.5888</v>
      </c>
      <c r="BD10" s="95" t="n">
        <f aca="false">Inputs!$E$34*(1+Inputs!$E$36)^(BD$5-1)*MAX(0,MIN(1,BD$4*1-Inputs!$E$37+1))/1</f>
        <v>16.5888</v>
      </c>
      <c r="BE10" s="95" t="n">
        <f aca="false">Inputs!$E$34*(1+Inputs!$E$36)^(BE$5-1)*MAX(0,MIN(1,BE$4*1-Inputs!$E$37+1))/1</f>
        <v>16.5888</v>
      </c>
      <c r="BF10" s="95" t="n">
        <f aca="false">Inputs!$E$34*(1+Inputs!$E$36)^(BF$5-1)*MAX(0,MIN(1,BF$4*1-Inputs!$E$37+1))/1</f>
        <v>16.5888</v>
      </c>
      <c r="BG10" s="95" t="n">
        <f aca="false">Inputs!$E$34*(1+Inputs!$E$36)^(BG$5-1)*MAX(0,MIN(1,BG$4*1-Inputs!$E$37+1))/1</f>
        <v>16.5888</v>
      </c>
      <c r="BH10" s="95" t="n">
        <f aca="false">Inputs!$E$34*(1+Inputs!$E$36)^(BH$5-1)*MAX(0,MIN(1,BH$4*1-Inputs!$E$37+1))/1</f>
        <v>16.5888</v>
      </c>
      <c r="BI10" s="95" t="n">
        <f aca="false">Inputs!$E$34*(1+Inputs!$E$36)^(BI$5-1)*MAX(0,MIN(1,BI$4*1-Inputs!$E$37+1))/1</f>
        <v>16.5888</v>
      </c>
      <c r="BJ10" s="95" t="n">
        <f aca="false">Inputs!$E$34*(1+Inputs!$E$36)^(BJ$5-1)*MAX(0,MIN(1,BJ$4*1-Inputs!$E$37+1))/1</f>
        <v>16.5888</v>
      </c>
    </row>
    <row r="11" customFormat="false" ht="15" hidden="false" customHeight="false" outlineLevel="0" collapsed="false">
      <c r="A11" s="6" t="s">
        <v>440</v>
      </c>
      <c r="B11" s="6"/>
      <c r="C11" s="95" t="n">
        <f aca="false">Inputs!$E$38*(1+Inputs!$E$40)^(C$5-1)*MAX(0,MIN(1,C$4*1-Inputs!$E$41+1))/1</f>
        <v>6</v>
      </c>
      <c r="D11" s="95" t="n">
        <f aca="false">Inputs!$E$38*(1+Inputs!$E$40)^(D$5-1)*MAX(0,MIN(1,D$4*1-Inputs!$E$41+1))/1</f>
        <v>6</v>
      </c>
      <c r="E11" s="95" t="n">
        <f aca="false">Inputs!$E$38*(1+Inputs!$E$40)^(E$5-1)*MAX(0,MIN(1,E$4*1-Inputs!$E$41+1))/1</f>
        <v>6</v>
      </c>
      <c r="F11" s="95" t="n">
        <f aca="false">Inputs!$E$38*(1+Inputs!$E$40)^(F$5-1)*MAX(0,MIN(1,F$4*1-Inputs!$E$41+1))/1</f>
        <v>6</v>
      </c>
      <c r="G11" s="95" t="n">
        <f aca="false">Inputs!$E$38*(1+Inputs!$E$40)^(G$5-1)*MAX(0,MIN(1,G$4*1-Inputs!$E$41+1))/1</f>
        <v>6</v>
      </c>
      <c r="H11" s="95" t="n">
        <f aca="false">Inputs!$E$38*(1+Inputs!$E$40)^(H$5-1)*MAX(0,MIN(1,H$4*1-Inputs!$E$41+1))/1</f>
        <v>6</v>
      </c>
      <c r="I11" s="95" t="n">
        <f aca="false">Inputs!$E$38*(1+Inputs!$E$40)^(I$5-1)*MAX(0,MIN(1,I$4*1-Inputs!$E$41+1))/1</f>
        <v>6</v>
      </c>
      <c r="J11" s="95" t="n">
        <f aca="false">Inputs!$E$38*(1+Inputs!$E$40)^(J$5-1)*MAX(0,MIN(1,J$4*1-Inputs!$E$41+1))/1</f>
        <v>6</v>
      </c>
      <c r="K11" s="95" t="n">
        <f aca="false">Inputs!$E$38*(1+Inputs!$E$40)^(K$5-1)*MAX(0,MIN(1,K$4*1-Inputs!$E$41+1))/1</f>
        <v>6</v>
      </c>
      <c r="L11" s="95" t="n">
        <f aca="false">Inputs!$E$38*(1+Inputs!$E$40)^(L$5-1)*MAX(0,MIN(1,L$4*1-Inputs!$E$41+1))/1</f>
        <v>6</v>
      </c>
      <c r="M11" s="95" t="n">
        <f aca="false">Inputs!$E$38*(1+Inputs!$E$40)^(M$5-1)*MAX(0,MIN(1,M$4*1-Inputs!$E$41+1))/1</f>
        <v>6</v>
      </c>
      <c r="N11" s="95" t="n">
        <f aca="false">Inputs!$E$38*(1+Inputs!$E$40)^(N$5-1)*MAX(0,MIN(1,N$4*1-Inputs!$E$41+1))/1</f>
        <v>6</v>
      </c>
      <c r="O11" s="95" t="n">
        <f aca="false">Inputs!$E$38*(1+Inputs!$E$40)^(O$5-1)*MAX(0,MIN(1,O$4*1-Inputs!$E$41+1))/1</f>
        <v>6.9</v>
      </c>
      <c r="P11" s="95" t="n">
        <f aca="false">Inputs!$E$38*(1+Inputs!$E$40)^(P$5-1)*MAX(0,MIN(1,P$4*1-Inputs!$E$41+1))/1</f>
        <v>6.9</v>
      </c>
      <c r="Q11" s="95" t="n">
        <f aca="false">Inputs!$E$38*(1+Inputs!$E$40)^(Q$5-1)*MAX(0,MIN(1,Q$4*1-Inputs!$E$41+1))/1</f>
        <v>6.9</v>
      </c>
      <c r="R11" s="95" t="n">
        <f aca="false">Inputs!$E$38*(1+Inputs!$E$40)^(R$5-1)*MAX(0,MIN(1,R$4*1-Inputs!$E$41+1))/1</f>
        <v>6.9</v>
      </c>
      <c r="S11" s="95" t="n">
        <f aca="false">Inputs!$E$38*(1+Inputs!$E$40)^(S$5-1)*MAX(0,MIN(1,S$4*1-Inputs!$E$41+1))/1</f>
        <v>6.9</v>
      </c>
      <c r="T11" s="95" t="n">
        <f aca="false">Inputs!$E$38*(1+Inputs!$E$40)^(T$5-1)*MAX(0,MIN(1,T$4*1-Inputs!$E$41+1))/1</f>
        <v>6.9</v>
      </c>
      <c r="U11" s="95" t="n">
        <f aca="false">Inputs!$E$38*(1+Inputs!$E$40)^(U$5-1)*MAX(0,MIN(1,U$4*1-Inputs!$E$41+1))/1</f>
        <v>6.9</v>
      </c>
      <c r="V11" s="95" t="n">
        <f aca="false">Inputs!$E$38*(1+Inputs!$E$40)^(V$5-1)*MAX(0,MIN(1,V$4*1-Inputs!$E$41+1))/1</f>
        <v>6.9</v>
      </c>
      <c r="W11" s="95" t="n">
        <f aca="false">Inputs!$E$38*(1+Inputs!$E$40)^(W$5-1)*MAX(0,MIN(1,W$4*1-Inputs!$E$41+1))/1</f>
        <v>6.9</v>
      </c>
      <c r="X11" s="95" t="n">
        <f aca="false">Inputs!$E$38*(1+Inputs!$E$40)^(X$5-1)*MAX(0,MIN(1,X$4*1-Inputs!$E$41+1))/1</f>
        <v>6.9</v>
      </c>
      <c r="Y11" s="95" t="n">
        <f aca="false">Inputs!$E$38*(1+Inputs!$E$40)^(Y$5-1)*MAX(0,MIN(1,Y$4*1-Inputs!$E$41+1))/1</f>
        <v>6.9</v>
      </c>
      <c r="Z11" s="95" t="n">
        <f aca="false">Inputs!$E$38*(1+Inputs!$E$40)^(Z$5-1)*MAX(0,MIN(1,Z$4*1-Inputs!$E$41+1))/1</f>
        <v>6.9</v>
      </c>
      <c r="AA11" s="95" t="n">
        <f aca="false">Inputs!$E$38*(1+Inputs!$E$40)^(AA$5-1)*MAX(0,MIN(1,AA$4*1-Inputs!$E$41+1))/1</f>
        <v>7.935</v>
      </c>
      <c r="AB11" s="95" t="n">
        <f aca="false">Inputs!$E$38*(1+Inputs!$E$40)^(AB$5-1)*MAX(0,MIN(1,AB$4*1-Inputs!$E$41+1))/1</f>
        <v>7.935</v>
      </c>
      <c r="AC11" s="95" t="n">
        <f aca="false">Inputs!$E$38*(1+Inputs!$E$40)^(AC$5-1)*MAX(0,MIN(1,AC$4*1-Inputs!$E$41+1))/1</f>
        <v>7.935</v>
      </c>
      <c r="AD11" s="95" t="n">
        <f aca="false">Inputs!$E$38*(1+Inputs!$E$40)^(AD$5-1)*MAX(0,MIN(1,AD$4*1-Inputs!$E$41+1))/1</f>
        <v>7.935</v>
      </c>
      <c r="AE11" s="95" t="n">
        <f aca="false">Inputs!$E$38*(1+Inputs!$E$40)^(AE$5-1)*MAX(0,MIN(1,AE$4*1-Inputs!$E$41+1))/1</f>
        <v>7.935</v>
      </c>
      <c r="AF11" s="95" t="n">
        <f aca="false">Inputs!$E$38*(1+Inputs!$E$40)^(AF$5-1)*MAX(0,MIN(1,AF$4*1-Inputs!$E$41+1))/1</f>
        <v>7.935</v>
      </c>
      <c r="AG11" s="95" t="n">
        <f aca="false">Inputs!$E$38*(1+Inputs!$E$40)^(AG$5-1)*MAX(0,MIN(1,AG$4*1-Inputs!$E$41+1))/1</f>
        <v>7.935</v>
      </c>
      <c r="AH11" s="95" t="n">
        <f aca="false">Inputs!$E$38*(1+Inputs!$E$40)^(AH$5-1)*MAX(0,MIN(1,AH$4*1-Inputs!$E$41+1))/1</f>
        <v>7.935</v>
      </c>
      <c r="AI11" s="95" t="n">
        <f aca="false">Inputs!$E$38*(1+Inputs!$E$40)^(AI$5-1)*MAX(0,MIN(1,AI$4*1-Inputs!$E$41+1))/1</f>
        <v>7.935</v>
      </c>
      <c r="AJ11" s="95" t="n">
        <f aca="false">Inputs!$E$38*(1+Inputs!$E$40)^(AJ$5-1)*MAX(0,MIN(1,AJ$4*1-Inputs!$E$41+1))/1</f>
        <v>7.935</v>
      </c>
      <c r="AK11" s="95" t="n">
        <f aca="false">Inputs!$E$38*(1+Inputs!$E$40)^(AK$5-1)*MAX(0,MIN(1,AK$4*1-Inputs!$E$41+1))/1</f>
        <v>7.935</v>
      </c>
      <c r="AL11" s="95" t="n">
        <f aca="false">Inputs!$E$38*(1+Inputs!$E$40)^(AL$5-1)*MAX(0,MIN(1,AL$4*1-Inputs!$E$41+1))/1</f>
        <v>7.935</v>
      </c>
      <c r="AM11" s="95" t="n">
        <f aca="false">Inputs!$E$38*(1+Inputs!$E$40)^(AM$5-1)*MAX(0,MIN(1,AM$4*1-Inputs!$E$41+1))/1</f>
        <v>9.12525</v>
      </c>
      <c r="AN11" s="95" t="n">
        <f aca="false">Inputs!$E$38*(1+Inputs!$E$40)^(AN$5-1)*MAX(0,MIN(1,AN$4*1-Inputs!$E$41+1))/1</f>
        <v>9.12525</v>
      </c>
      <c r="AO11" s="95" t="n">
        <f aca="false">Inputs!$E$38*(1+Inputs!$E$40)^(AO$5-1)*MAX(0,MIN(1,AO$4*1-Inputs!$E$41+1))/1</f>
        <v>9.12525</v>
      </c>
      <c r="AP11" s="95" t="n">
        <f aca="false">Inputs!$E$38*(1+Inputs!$E$40)^(AP$5-1)*MAX(0,MIN(1,AP$4*1-Inputs!$E$41+1))/1</f>
        <v>9.12525</v>
      </c>
      <c r="AQ11" s="95" t="n">
        <f aca="false">Inputs!$E$38*(1+Inputs!$E$40)^(AQ$5-1)*MAX(0,MIN(1,AQ$4*1-Inputs!$E$41+1))/1</f>
        <v>9.12525</v>
      </c>
      <c r="AR11" s="95" t="n">
        <f aca="false">Inputs!$E$38*(1+Inputs!$E$40)^(AR$5-1)*MAX(0,MIN(1,AR$4*1-Inputs!$E$41+1))/1</f>
        <v>9.12525</v>
      </c>
      <c r="AS11" s="95" t="n">
        <f aca="false">Inputs!$E$38*(1+Inputs!$E$40)^(AS$5-1)*MAX(0,MIN(1,AS$4*1-Inputs!$E$41+1))/1</f>
        <v>9.12525</v>
      </c>
      <c r="AT11" s="95" t="n">
        <f aca="false">Inputs!$E$38*(1+Inputs!$E$40)^(AT$5-1)*MAX(0,MIN(1,AT$4*1-Inputs!$E$41+1))/1</f>
        <v>9.12525</v>
      </c>
      <c r="AU11" s="95" t="n">
        <f aca="false">Inputs!$E$38*(1+Inputs!$E$40)^(AU$5-1)*MAX(0,MIN(1,AU$4*1-Inputs!$E$41+1))/1</f>
        <v>9.12525</v>
      </c>
      <c r="AV11" s="95" t="n">
        <f aca="false">Inputs!$E$38*(1+Inputs!$E$40)^(AV$5-1)*MAX(0,MIN(1,AV$4*1-Inputs!$E$41+1))/1</f>
        <v>9.12525</v>
      </c>
      <c r="AW11" s="95" t="n">
        <f aca="false">Inputs!$E$38*(1+Inputs!$E$40)^(AW$5-1)*MAX(0,MIN(1,AW$4*1-Inputs!$E$41+1))/1</f>
        <v>9.12525</v>
      </c>
      <c r="AX11" s="95" t="n">
        <f aca="false">Inputs!$E$38*(1+Inputs!$E$40)^(AX$5-1)*MAX(0,MIN(1,AX$4*1-Inputs!$E$41+1))/1</f>
        <v>9.12525</v>
      </c>
      <c r="AY11" s="95" t="n">
        <f aca="false">Inputs!$E$38*(1+Inputs!$E$40)^(AY$5-1)*MAX(0,MIN(1,AY$4*1-Inputs!$E$41+1))/1</f>
        <v>10.4940375</v>
      </c>
      <c r="AZ11" s="95" t="n">
        <f aca="false">Inputs!$E$38*(1+Inputs!$E$40)^(AZ$5-1)*MAX(0,MIN(1,AZ$4*1-Inputs!$E$41+1))/1</f>
        <v>10.4940375</v>
      </c>
      <c r="BA11" s="95" t="n">
        <f aca="false">Inputs!$E$38*(1+Inputs!$E$40)^(BA$5-1)*MAX(0,MIN(1,BA$4*1-Inputs!$E$41+1))/1</f>
        <v>10.4940375</v>
      </c>
      <c r="BB11" s="95" t="n">
        <f aca="false">Inputs!$E$38*(1+Inputs!$E$40)^(BB$5-1)*MAX(0,MIN(1,BB$4*1-Inputs!$E$41+1))/1</f>
        <v>10.4940375</v>
      </c>
      <c r="BC11" s="95" t="n">
        <f aca="false">Inputs!$E$38*(1+Inputs!$E$40)^(BC$5-1)*MAX(0,MIN(1,BC$4*1-Inputs!$E$41+1))/1</f>
        <v>10.4940375</v>
      </c>
      <c r="BD11" s="95" t="n">
        <f aca="false">Inputs!$E$38*(1+Inputs!$E$40)^(BD$5-1)*MAX(0,MIN(1,BD$4*1-Inputs!$E$41+1))/1</f>
        <v>10.4940375</v>
      </c>
      <c r="BE11" s="95" t="n">
        <f aca="false">Inputs!$E$38*(1+Inputs!$E$40)^(BE$5-1)*MAX(0,MIN(1,BE$4*1-Inputs!$E$41+1))/1</f>
        <v>10.4940375</v>
      </c>
      <c r="BF11" s="95" t="n">
        <f aca="false">Inputs!$E$38*(1+Inputs!$E$40)^(BF$5-1)*MAX(0,MIN(1,BF$4*1-Inputs!$E$41+1))/1</f>
        <v>10.4940375</v>
      </c>
      <c r="BG11" s="95" t="n">
        <f aca="false">Inputs!$E$38*(1+Inputs!$E$40)^(BG$5-1)*MAX(0,MIN(1,BG$4*1-Inputs!$E$41+1))/1</f>
        <v>10.4940375</v>
      </c>
      <c r="BH11" s="95" t="n">
        <f aca="false">Inputs!$E$38*(1+Inputs!$E$40)^(BH$5-1)*MAX(0,MIN(1,BH$4*1-Inputs!$E$41+1))/1</f>
        <v>10.4940375</v>
      </c>
      <c r="BI11" s="95" t="n">
        <f aca="false">Inputs!$E$38*(1+Inputs!$E$40)^(BI$5-1)*MAX(0,MIN(1,BI$4*1-Inputs!$E$41+1))/1</f>
        <v>10.4940375</v>
      </c>
      <c r="BJ11" s="95" t="n">
        <f aca="false">Inputs!$E$38*(1+Inputs!$E$40)^(BJ$5-1)*MAX(0,MIN(1,BJ$4*1-Inputs!$E$41+1))/1</f>
        <v>10.4940375</v>
      </c>
    </row>
    <row r="12" customFormat="false" ht="15" hidden="false" customHeight="false" outlineLevel="0" collapsed="false">
      <c r="A12" s="31" t="s">
        <v>441</v>
      </c>
      <c r="B12" s="31"/>
      <c r="C12" s="111" t="n">
        <f aca="false">C8+C9+C10+C11</f>
        <v>48</v>
      </c>
      <c r="D12" s="111" t="n">
        <f aca="false">D8+D9+D10+D11</f>
        <v>48</v>
      </c>
      <c r="E12" s="111" t="n">
        <f aca="false">E8+E9+E10+E11</f>
        <v>48</v>
      </c>
      <c r="F12" s="111" t="n">
        <f aca="false">F8+F9+F10+F11</f>
        <v>48</v>
      </c>
      <c r="G12" s="111" t="n">
        <f aca="false">G8+G9+G10+G11</f>
        <v>48</v>
      </c>
      <c r="H12" s="111" t="n">
        <f aca="false">H8+H9+H10+H11</f>
        <v>48</v>
      </c>
      <c r="I12" s="111" t="n">
        <f aca="false">I8+I9+I10+I11</f>
        <v>48</v>
      </c>
      <c r="J12" s="111" t="n">
        <f aca="false">J8+J9+J10+J11</f>
        <v>48</v>
      </c>
      <c r="K12" s="111" t="n">
        <f aca="false">K8+K9+K10+K11</f>
        <v>48</v>
      </c>
      <c r="L12" s="111" t="n">
        <f aca="false">L8+L9+L10+L11</f>
        <v>48</v>
      </c>
      <c r="M12" s="111" t="n">
        <f aca="false">M8+M9+M10+M11</f>
        <v>48</v>
      </c>
      <c r="N12" s="111" t="n">
        <f aca="false">N8+N9+N10+N11</f>
        <v>48</v>
      </c>
      <c r="O12" s="111" t="n">
        <f aca="false">O8+O9+O10+O11</f>
        <v>57.3</v>
      </c>
      <c r="P12" s="111" t="n">
        <f aca="false">P8+P9+P10+P11</f>
        <v>57.3</v>
      </c>
      <c r="Q12" s="111" t="n">
        <f aca="false">Q8+Q9+Q10+Q11</f>
        <v>57.3</v>
      </c>
      <c r="R12" s="111" t="n">
        <f aca="false">R8+R9+R10+R11</f>
        <v>57.3</v>
      </c>
      <c r="S12" s="111" t="n">
        <f aca="false">S8+S9+S10+S11</f>
        <v>57.3</v>
      </c>
      <c r="T12" s="111" t="n">
        <f aca="false">T8+T9+T10+T11</f>
        <v>57.3</v>
      </c>
      <c r="U12" s="111" t="n">
        <f aca="false">U8+U9+U10+U11</f>
        <v>57.3</v>
      </c>
      <c r="V12" s="111" t="n">
        <f aca="false">V8+V9+V10+V11</f>
        <v>57.3</v>
      </c>
      <c r="W12" s="111" t="n">
        <f aca="false">W8+W9+W10+W11</f>
        <v>57.3</v>
      </c>
      <c r="X12" s="111" t="n">
        <f aca="false">X8+X9+X10+X11</f>
        <v>57.3</v>
      </c>
      <c r="Y12" s="111" t="n">
        <f aca="false">Y8+Y9+Y10+Y11</f>
        <v>57.3</v>
      </c>
      <c r="Z12" s="111" t="n">
        <f aca="false">Z8+Z9+Z10+Z11</f>
        <v>57.3</v>
      </c>
      <c r="AA12" s="111" t="n">
        <f aca="false">AA8+AA9+AA10+AA11</f>
        <v>68.415</v>
      </c>
      <c r="AB12" s="111" t="n">
        <f aca="false">AB8+AB9+AB10+AB11</f>
        <v>68.415</v>
      </c>
      <c r="AC12" s="111" t="n">
        <f aca="false">AC8+AC9+AC10+AC11</f>
        <v>68.415</v>
      </c>
      <c r="AD12" s="111" t="n">
        <f aca="false">AD8+AD9+AD10+AD11</f>
        <v>68.415</v>
      </c>
      <c r="AE12" s="111" t="n">
        <f aca="false">AE8+AE9+AE10+AE11</f>
        <v>68.415</v>
      </c>
      <c r="AF12" s="111" t="n">
        <f aca="false">AF8+AF9+AF10+AF11</f>
        <v>68.415</v>
      </c>
      <c r="AG12" s="111" t="n">
        <f aca="false">AG8+AG9+AG10+AG11</f>
        <v>68.415</v>
      </c>
      <c r="AH12" s="111" t="n">
        <f aca="false">AH8+AH9+AH10+AH11</f>
        <v>68.415</v>
      </c>
      <c r="AI12" s="111" t="n">
        <f aca="false">AI8+AI9+AI10+AI11</f>
        <v>68.415</v>
      </c>
      <c r="AJ12" s="111" t="n">
        <f aca="false">AJ8+AJ9+AJ10+AJ11</f>
        <v>68.415</v>
      </c>
      <c r="AK12" s="111" t="n">
        <f aca="false">AK8+AK9+AK10+AK11</f>
        <v>68.415</v>
      </c>
      <c r="AL12" s="111" t="n">
        <f aca="false">AL8+AL9+AL10+AL11</f>
        <v>68.415</v>
      </c>
      <c r="AM12" s="111" t="n">
        <f aca="false">AM8+AM9+AM10+AM11</f>
        <v>81.70125</v>
      </c>
      <c r="AN12" s="111" t="n">
        <f aca="false">AN8+AN9+AN10+AN11</f>
        <v>81.70125</v>
      </c>
      <c r="AO12" s="111" t="n">
        <f aca="false">AO8+AO9+AO10+AO11</f>
        <v>81.70125</v>
      </c>
      <c r="AP12" s="111" t="n">
        <f aca="false">AP8+AP9+AP10+AP11</f>
        <v>81.70125</v>
      </c>
      <c r="AQ12" s="111" t="n">
        <f aca="false">AQ8+AQ9+AQ10+AQ11</f>
        <v>81.70125</v>
      </c>
      <c r="AR12" s="111" t="n">
        <f aca="false">AR8+AR9+AR10+AR11</f>
        <v>81.70125</v>
      </c>
      <c r="AS12" s="111" t="n">
        <f aca="false">AS8+AS9+AS10+AS11</f>
        <v>81.70125</v>
      </c>
      <c r="AT12" s="111" t="n">
        <f aca="false">AT8+AT9+AT10+AT11</f>
        <v>81.70125</v>
      </c>
      <c r="AU12" s="111" t="n">
        <f aca="false">AU8+AU9+AU10+AU11</f>
        <v>81.70125</v>
      </c>
      <c r="AV12" s="111" t="n">
        <f aca="false">AV8+AV9+AV10+AV11</f>
        <v>81.70125</v>
      </c>
      <c r="AW12" s="111" t="n">
        <f aca="false">AW8+AW9+AW10+AW11</f>
        <v>81.70125</v>
      </c>
      <c r="AX12" s="111" t="n">
        <f aca="false">AX8+AX9+AX10+AX11</f>
        <v>81.70125</v>
      </c>
      <c r="AY12" s="111" t="n">
        <f aca="false">AY8+AY9+AY10+AY11</f>
        <v>97.5852375</v>
      </c>
      <c r="AZ12" s="111" t="n">
        <f aca="false">AZ8+AZ9+AZ10+AZ11</f>
        <v>97.5852375</v>
      </c>
      <c r="BA12" s="111" t="n">
        <f aca="false">BA8+BA9+BA10+BA11</f>
        <v>97.5852375</v>
      </c>
      <c r="BB12" s="111" t="n">
        <f aca="false">BB8+BB9+BB10+BB11</f>
        <v>97.5852375</v>
      </c>
      <c r="BC12" s="111" t="n">
        <f aca="false">BC8+BC9+BC10+BC11</f>
        <v>97.5852375</v>
      </c>
      <c r="BD12" s="111" t="n">
        <f aca="false">BD8+BD9+BD10+BD11</f>
        <v>97.5852375</v>
      </c>
      <c r="BE12" s="111" t="n">
        <f aca="false">BE8+BE9+BE10+BE11</f>
        <v>97.5852375</v>
      </c>
      <c r="BF12" s="111" t="n">
        <f aca="false">BF8+BF9+BF10+BF11</f>
        <v>97.5852375</v>
      </c>
      <c r="BG12" s="111" t="n">
        <f aca="false">BG8+BG9+BG10+BG11</f>
        <v>97.5852375</v>
      </c>
      <c r="BH12" s="111" t="n">
        <f aca="false">BH8+BH9+BH10+BH11</f>
        <v>97.5852375</v>
      </c>
      <c r="BI12" s="111" t="n">
        <f aca="false">BI8+BI9+BI10+BI11</f>
        <v>97.5852375</v>
      </c>
      <c r="BJ12" s="111" t="n">
        <f aca="false">BJ8+BJ9+BJ10+BJ11</f>
        <v>97.5852375</v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 customFormat="false" ht="15" hidden="false" customHeight="false" outlineLevel="0" collapsed="false">
      <c r="A14" s="57" t="s">
        <v>442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 customFormat="false" ht="15" hidden="false" customHeight="false" outlineLevel="0" collapsed="false">
      <c r="A15" s="6" t="s">
        <v>443</v>
      </c>
      <c r="B15" s="6"/>
      <c r="C15" s="59" t="n">
        <f aca="false">-C8*Inputs!$E$27/12*1*(1+Inputs!$E$42)*(1+Inputs!$E$43)^(C$5-1)</f>
        <v>-270000</v>
      </c>
      <c r="D15" s="59" t="n">
        <f aca="false">-D8*Inputs!$E$27/12*1*(1+Inputs!$E$42)*(1+Inputs!$E$43)^(D$5-1)</f>
        <v>-270000</v>
      </c>
      <c r="E15" s="59" t="n">
        <f aca="false">-E8*Inputs!$E$27/12*1*(1+Inputs!$E$42)*(1+Inputs!$E$43)^(E$5-1)</f>
        <v>-270000</v>
      </c>
      <c r="F15" s="59" t="n">
        <f aca="false">-F8*Inputs!$E$27/12*1*(1+Inputs!$E$42)*(1+Inputs!$E$43)^(F$5-1)</f>
        <v>-270000</v>
      </c>
      <c r="G15" s="59" t="n">
        <f aca="false">-G8*Inputs!$E$27/12*1*(1+Inputs!$E$42)*(1+Inputs!$E$43)^(G$5-1)</f>
        <v>-270000</v>
      </c>
      <c r="H15" s="59" t="n">
        <f aca="false">-H8*Inputs!$E$27/12*1*(1+Inputs!$E$42)*(1+Inputs!$E$43)^(H$5-1)</f>
        <v>-270000</v>
      </c>
      <c r="I15" s="59" t="n">
        <f aca="false">-I8*Inputs!$E$27/12*1*(1+Inputs!$E$42)*(1+Inputs!$E$43)^(I$5-1)</f>
        <v>-270000</v>
      </c>
      <c r="J15" s="59" t="n">
        <f aca="false">-J8*Inputs!$E$27/12*1*(1+Inputs!$E$42)*(1+Inputs!$E$43)^(J$5-1)</f>
        <v>-270000</v>
      </c>
      <c r="K15" s="59" t="n">
        <f aca="false">-K8*Inputs!$E$27/12*1*(1+Inputs!$E$42)*(1+Inputs!$E$43)^(K$5-1)</f>
        <v>-270000</v>
      </c>
      <c r="L15" s="59" t="n">
        <f aca="false">-L8*Inputs!$E$27/12*1*(1+Inputs!$E$42)*(1+Inputs!$E$43)^(L$5-1)</f>
        <v>-270000</v>
      </c>
      <c r="M15" s="59" t="n">
        <f aca="false">-M8*Inputs!$E$27/12*1*(1+Inputs!$E$42)*(1+Inputs!$E$43)^(M$5-1)</f>
        <v>-270000</v>
      </c>
      <c r="N15" s="59" t="n">
        <f aca="false">-N8*Inputs!$E$27/12*1*(1+Inputs!$E$42)*(1+Inputs!$E$43)^(N$5-1)</f>
        <v>-270000</v>
      </c>
      <c r="O15" s="59" t="n">
        <f aca="false">-O8*Inputs!$E$27/12*1*(1+Inputs!$E$42)*(1+Inputs!$E$43)^(O$5-1)</f>
        <v>-336960</v>
      </c>
      <c r="P15" s="59" t="n">
        <f aca="false">-P8*Inputs!$E$27/12*1*(1+Inputs!$E$42)*(1+Inputs!$E$43)^(P$5-1)</f>
        <v>-336960</v>
      </c>
      <c r="Q15" s="59" t="n">
        <f aca="false">-Q8*Inputs!$E$27/12*1*(1+Inputs!$E$42)*(1+Inputs!$E$43)^(Q$5-1)</f>
        <v>-336960</v>
      </c>
      <c r="R15" s="59" t="n">
        <f aca="false">-R8*Inputs!$E$27/12*1*(1+Inputs!$E$42)*(1+Inputs!$E$43)^(R$5-1)</f>
        <v>-336960</v>
      </c>
      <c r="S15" s="59" t="n">
        <f aca="false">-S8*Inputs!$E$27/12*1*(1+Inputs!$E$42)*(1+Inputs!$E$43)^(S$5-1)</f>
        <v>-336960</v>
      </c>
      <c r="T15" s="59" t="n">
        <f aca="false">-T8*Inputs!$E$27/12*1*(1+Inputs!$E$42)*(1+Inputs!$E$43)^(T$5-1)</f>
        <v>-336960</v>
      </c>
      <c r="U15" s="59" t="n">
        <f aca="false">-U8*Inputs!$E$27/12*1*(1+Inputs!$E$42)*(1+Inputs!$E$43)^(U$5-1)</f>
        <v>-336960</v>
      </c>
      <c r="V15" s="59" t="n">
        <f aca="false">-V8*Inputs!$E$27/12*1*(1+Inputs!$E$42)*(1+Inputs!$E$43)^(V$5-1)</f>
        <v>-336960</v>
      </c>
      <c r="W15" s="59" t="n">
        <f aca="false">-W8*Inputs!$E$27/12*1*(1+Inputs!$E$42)*(1+Inputs!$E$43)^(W$5-1)</f>
        <v>-336960</v>
      </c>
      <c r="X15" s="59" t="n">
        <f aca="false">-X8*Inputs!$E$27/12*1*(1+Inputs!$E$42)*(1+Inputs!$E$43)^(X$5-1)</f>
        <v>-336960</v>
      </c>
      <c r="Y15" s="59" t="n">
        <f aca="false">-Y8*Inputs!$E$27/12*1*(1+Inputs!$E$42)*(1+Inputs!$E$43)^(Y$5-1)</f>
        <v>-336960</v>
      </c>
      <c r="Z15" s="59" t="n">
        <f aca="false">-Z8*Inputs!$E$27/12*1*(1+Inputs!$E$42)*(1+Inputs!$E$43)^(Z$5-1)</f>
        <v>-336960</v>
      </c>
      <c r="AA15" s="59" t="n">
        <f aca="false">-AA8*Inputs!$E$27/12*1*(1+Inputs!$E$42)*(1+Inputs!$E$43)^(AA$5-1)</f>
        <v>-420526.08</v>
      </c>
      <c r="AB15" s="59" t="n">
        <f aca="false">-AB8*Inputs!$E$27/12*1*(1+Inputs!$E$42)*(1+Inputs!$E$43)^(AB$5-1)</f>
        <v>-420526.08</v>
      </c>
      <c r="AC15" s="59" t="n">
        <f aca="false">-AC8*Inputs!$E$27/12*1*(1+Inputs!$E$42)*(1+Inputs!$E$43)^(AC$5-1)</f>
        <v>-420526.08</v>
      </c>
      <c r="AD15" s="59" t="n">
        <f aca="false">-AD8*Inputs!$E$27/12*1*(1+Inputs!$E$42)*(1+Inputs!$E$43)^(AD$5-1)</f>
        <v>-420526.08</v>
      </c>
      <c r="AE15" s="59" t="n">
        <f aca="false">-AE8*Inputs!$E$27/12*1*(1+Inputs!$E$42)*(1+Inputs!$E$43)^(AE$5-1)</f>
        <v>-420526.08</v>
      </c>
      <c r="AF15" s="59" t="n">
        <f aca="false">-AF8*Inputs!$E$27/12*1*(1+Inputs!$E$42)*(1+Inputs!$E$43)^(AF$5-1)</f>
        <v>-420526.08</v>
      </c>
      <c r="AG15" s="59" t="n">
        <f aca="false">-AG8*Inputs!$E$27/12*1*(1+Inputs!$E$42)*(1+Inputs!$E$43)^(AG$5-1)</f>
        <v>-420526.08</v>
      </c>
      <c r="AH15" s="59" t="n">
        <f aca="false">-AH8*Inputs!$E$27/12*1*(1+Inputs!$E$42)*(1+Inputs!$E$43)^(AH$5-1)</f>
        <v>-420526.08</v>
      </c>
      <c r="AI15" s="59" t="n">
        <f aca="false">-AI8*Inputs!$E$27/12*1*(1+Inputs!$E$42)*(1+Inputs!$E$43)^(AI$5-1)</f>
        <v>-420526.08</v>
      </c>
      <c r="AJ15" s="59" t="n">
        <f aca="false">-AJ8*Inputs!$E$27/12*1*(1+Inputs!$E$42)*(1+Inputs!$E$43)^(AJ$5-1)</f>
        <v>-420526.08</v>
      </c>
      <c r="AK15" s="59" t="n">
        <f aca="false">-AK8*Inputs!$E$27/12*1*(1+Inputs!$E$42)*(1+Inputs!$E$43)^(AK$5-1)</f>
        <v>-420526.08</v>
      </c>
      <c r="AL15" s="59" t="n">
        <f aca="false">-AL8*Inputs!$E$27/12*1*(1+Inputs!$E$42)*(1+Inputs!$E$43)^(AL$5-1)</f>
        <v>-420526.08</v>
      </c>
      <c r="AM15" s="59" t="n">
        <f aca="false">-AM8*Inputs!$E$27/12*1*(1+Inputs!$E$42)*(1+Inputs!$E$43)^(AM$5-1)</f>
        <v>-524816.54784</v>
      </c>
      <c r="AN15" s="59" t="n">
        <f aca="false">-AN8*Inputs!$E$27/12*1*(1+Inputs!$E$42)*(1+Inputs!$E$43)^(AN$5-1)</f>
        <v>-524816.54784</v>
      </c>
      <c r="AO15" s="59" t="n">
        <f aca="false">-AO8*Inputs!$E$27/12*1*(1+Inputs!$E$42)*(1+Inputs!$E$43)^(AO$5-1)</f>
        <v>-524816.54784</v>
      </c>
      <c r="AP15" s="59" t="n">
        <f aca="false">-AP8*Inputs!$E$27/12*1*(1+Inputs!$E$42)*(1+Inputs!$E$43)^(AP$5-1)</f>
        <v>-524816.54784</v>
      </c>
      <c r="AQ15" s="59" t="n">
        <f aca="false">-AQ8*Inputs!$E$27/12*1*(1+Inputs!$E$42)*(1+Inputs!$E$43)^(AQ$5-1)</f>
        <v>-524816.54784</v>
      </c>
      <c r="AR15" s="59" t="n">
        <f aca="false">-AR8*Inputs!$E$27/12*1*(1+Inputs!$E$42)*(1+Inputs!$E$43)^(AR$5-1)</f>
        <v>-524816.54784</v>
      </c>
      <c r="AS15" s="59" t="n">
        <f aca="false">-AS8*Inputs!$E$27/12*1*(1+Inputs!$E$42)*(1+Inputs!$E$43)^(AS$5-1)</f>
        <v>-524816.54784</v>
      </c>
      <c r="AT15" s="59" t="n">
        <f aca="false">-AT8*Inputs!$E$27/12*1*(1+Inputs!$E$42)*(1+Inputs!$E$43)^(AT$5-1)</f>
        <v>-524816.54784</v>
      </c>
      <c r="AU15" s="59" t="n">
        <f aca="false">-AU8*Inputs!$E$27/12*1*(1+Inputs!$E$42)*(1+Inputs!$E$43)^(AU$5-1)</f>
        <v>-524816.54784</v>
      </c>
      <c r="AV15" s="59" t="n">
        <f aca="false">-AV8*Inputs!$E$27/12*1*(1+Inputs!$E$42)*(1+Inputs!$E$43)^(AV$5-1)</f>
        <v>-524816.54784</v>
      </c>
      <c r="AW15" s="59" t="n">
        <f aca="false">-AW8*Inputs!$E$27/12*1*(1+Inputs!$E$42)*(1+Inputs!$E$43)^(AW$5-1)</f>
        <v>-524816.54784</v>
      </c>
      <c r="AX15" s="59" t="n">
        <f aca="false">-AX8*Inputs!$E$27/12*1*(1+Inputs!$E$42)*(1+Inputs!$E$43)^(AX$5-1)</f>
        <v>-524816.54784</v>
      </c>
      <c r="AY15" s="59" t="n">
        <f aca="false">-AY8*Inputs!$E$27/12*1*(1+Inputs!$E$42)*(1+Inputs!$E$43)^(AY$5-1)</f>
        <v>-654971.05170432</v>
      </c>
      <c r="AZ15" s="59" t="n">
        <f aca="false">-AZ8*Inputs!$E$27/12*1*(1+Inputs!$E$42)*(1+Inputs!$E$43)^(AZ$5-1)</f>
        <v>-654971.05170432</v>
      </c>
      <c r="BA15" s="59" t="n">
        <f aca="false">-BA8*Inputs!$E$27/12*1*(1+Inputs!$E$42)*(1+Inputs!$E$43)^(BA$5-1)</f>
        <v>-654971.05170432</v>
      </c>
      <c r="BB15" s="59" t="n">
        <f aca="false">-BB8*Inputs!$E$27/12*1*(1+Inputs!$E$42)*(1+Inputs!$E$43)^(BB$5-1)</f>
        <v>-654971.05170432</v>
      </c>
      <c r="BC15" s="59" t="n">
        <f aca="false">-BC8*Inputs!$E$27/12*1*(1+Inputs!$E$42)*(1+Inputs!$E$43)^(BC$5-1)</f>
        <v>-654971.05170432</v>
      </c>
      <c r="BD15" s="59" t="n">
        <f aca="false">-BD8*Inputs!$E$27/12*1*(1+Inputs!$E$42)*(1+Inputs!$E$43)^(BD$5-1)</f>
        <v>-654971.05170432</v>
      </c>
      <c r="BE15" s="59" t="n">
        <f aca="false">-BE8*Inputs!$E$27/12*1*(1+Inputs!$E$42)*(1+Inputs!$E$43)^(BE$5-1)</f>
        <v>-654971.05170432</v>
      </c>
      <c r="BF15" s="59" t="n">
        <f aca="false">-BF8*Inputs!$E$27/12*1*(1+Inputs!$E$42)*(1+Inputs!$E$43)^(BF$5-1)</f>
        <v>-654971.05170432</v>
      </c>
      <c r="BG15" s="59" t="n">
        <f aca="false">-BG8*Inputs!$E$27/12*1*(1+Inputs!$E$42)*(1+Inputs!$E$43)^(BG$5-1)</f>
        <v>-654971.05170432</v>
      </c>
      <c r="BH15" s="59" t="n">
        <f aca="false">-BH8*Inputs!$E$27/12*1*(1+Inputs!$E$42)*(1+Inputs!$E$43)^(BH$5-1)</f>
        <v>-654971.05170432</v>
      </c>
      <c r="BI15" s="59" t="n">
        <f aca="false">-BI8*Inputs!$E$27/12*1*(1+Inputs!$E$42)*(1+Inputs!$E$43)^(BI$5-1)</f>
        <v>-654971.05170432</v>
      </c>
      <c r="BJ15" s="59" t="n">
        <f aca="false">-BJ8*Inputs!$E$27/12*1*(1+Inputs!$E$42)*(1+Inputs!$E$43)^(BJ$5-1)</f>
        <v>-654971.05170432</v>
      </c>
    </row>
    <row r="16" customFormat="false" ht="15" hidden="false" customHeight="false" outlineLevel="0" collapsed="false">
      <c r="A16" s="6" t="s">
        <v>444</v>
      </c>
      <c r="B16" s="6"/>
      <c r="C16" s="59" t="n">
        <f aca="false">-C9*Inputs!$E$31/12*1*(1+Inputs!$E$42)*(1+Inputs!$E$43)^(C$5-1)</f>
        <v>-147000</v>
      </c>
      <c r="D16" s="59" t="n">
        <f aca="false">-D9*Inputs!$E$31/12*1*(1+Inputs!$E$42)*(1+Inputs!$E$43)^(D$5-1)</f>
        <v>-147000</v>
      </c>
      <c r="E16" s="59" t="n">
        <f aca="false">-E9*Inputs!$E$31/12*1*(1+Inputs!$E$42)*(1+Inputs!$E$43)^(E$5-1)</f>
        <v>-147000</v>
      </c>
      <c r="F16" s="59" t="n">
        <f aca="false">-F9*Inputs!$E$31/12*1*(1+Inputs!$E$42)*(1+Inputs!$E$43)^(F$5-1)</f>
        <v>-147000</v>
      </c>
      <c r="G16" s="59" t="n">
        <f aca="false">-G9*Inputs!$E$31/12*1*(1+Inputs!$E$42)*(1+Inputs!$E$43)^(G$5-1)</f>
        <v>-147000</v>
      </c>
      <c r="H16" s="59" t="n">
        <f aca="false">-H9*Inputs!$E$31/12*1*(1+Inputs!$E$42)*(1+Inputs!$E$43)^(H$5-1)</f>
        <v>-147000</v>
      </c>
      <c r="I16" s="59" t="n">
        <f aca="false">-I9*Inputs!$E$31/12*1*(1+Inputs!$E$42)*(1+Inputs!$E$43)^(I$5-1)</f>
        <v>-147000</v>
      </c>
      <c r="J16" s="59" t="n">
        <f aca="false">-J9*Inputs!$E$31/12*1*(1+Inputs!$E$42)*(1+Inputs!$E$43)^(J$5-1)</f>
        <v>-147000</v>
      </c>
      <c r="K16" s="59" t="n">
        <f aca="false">-K9*Inputs!$E$31/12*1*(1+Inputs!$E$42)*(1+Inputs!$E$43)^(K$5-1)</f>
        <v>-147000</v>
      </c>
      <c r="L16" s="59" t="n">
        <f aca="false">-L9*Inputs!$E$31/12*1*(1+Inputs!$E$42)*(1+Inputs!$E$43)^(L$5-1)</f>
        <v>-147000</v>
      </c>
      <c r="M16" s="59" t="n">
        <f aca="false">-M9*Inputs!$E$31/12*1*(1+Inputs!$E$42)*(1+Inputs!$E$43)^(M$5-1)</f>
        <v>-147000</v>
      </c>
      <c r="N16" s="59" t="n">
        <f aca="false">-N9*Inputs!$E$31/12*1*(1+Inputs!$E$42)*(1+Inputs!$E$43)^(N$5-1)</f>
        <v>-147000</v>
      </c>
      <c r="O16" s="59" t="n">
        <f aca="false">-O9*Inputs!$E$31/12*1*(1+Inputs!$E$42)*(1+Inputs!$E$43)^(O$5-1)</f>
        <v>-183456</v>
      </c>
      <c r="P16" s="59" t="n">
        <f aca="false">-P9*Inputs!$E$31/12*1*(1+Inputs!$E$42)*(1+Inputs!$E$43)^(P$5-1)</f>
        <v>-183456</v>
      </c>
      <c r="Q16" s="59" t="n">
        <f aca="false">-Q9*Inputs!$E$31/12*1*(1+Inputs!$E$42)*(1+Inputs!$E$43)^(Q$5-1)</f>
        <v>-183456</v>
      </c>
      <c r="R16" s="59" t="n">
        <f aca="false">-R9*Inputs!$E$31/12*1*(1+Inputs!$E$42)*(1+Inputs!$E$43)^(R$5-1)</f>
        <v>-183456</v>
      </c>
      <c r="S16" s="59" t="n">
        <f aca="false">-S9*Inputs!$E$31/12*1*(1+Inputs!$E$42)*(1+Inputs!$E$43)^(S$5-1)</f>
        <v>-183456</v>
      </c>
      <c r="T16" s="59" t="n">
        <f aca="false">-T9*Inputs!$E$31/12*1*(1+Inputs!$E$42)*(1+Inputs!$E$43)^(T$5-1)</f>
        <v>-183456</v>
      </c>
      <c r="U16" s="59" t="n">
        <f aca="false">-U9*Inputs!$E$31/12*1*(1+Inputs!$E$42)*(1+Inputs!$E$43)^(U$5-1)</f>
        <v>-183456</v>
      </c>
      <c r="V16" s="59" t="n">
        <f aca="false">-V9*Inputs!$E$31/12*1*(1+Inputs!$E$42)*(1+Inputs!$E$43)^(V$5-1)</f>
        <v>-183456</v>
      </c>
      <c r="W16" s="59" t="n">
        <f aca="false">-W9*Inputs!$E$31/12*1*(1+Inputs!$E$42)*(1+Inputs!$E$43)^(W$5-1)</f>
        <v>-183456</v>
      </c>
      <c r="X16" s="59" t="n">
        <f aca="false">-X9*Inputs!$E$31/12*1*(1+Inputs!$E$42)*(1+Inputs!$E$43)^(X$5-1)</f>
        <v>-183456</v>
      </c>
      <c r="Y16" s="59" t="n">
        <f aca="false">-Y9*Inputs!$E$31/12*1*(1+Inputs!$E$42)*(1+Inputs!$E$43)^(Y$5-1)</f>
        <v>-183456</v>
      </c>
      <c r="Z16" s="59" t="n">
        <f aca="false">-Z9*Inputs!$E$31/12*1*(1+Inputs!$E$42)*(1+Inputs!$E$43)^(Z$5-1)</f>
        <v>-183456</v>
      </c>
      <c r="AA16" s="59" t="n">
        <f aca="false">-AA9*Inputs!$E$31/12*1*(1+Inputs!$E$42)*(1+Inputs!$E$43)^(AA$5-1)</f>
        <v>-228953.088</v>
      </c>
      <c r="AB16" s="59" t="n">
        <f aca="false">-AB9*Inputs!$E$31/12*1*(1+Inputs!$E$42)*(1+Inputs!$E$43)^(AB$5-1)</f>
        <v>-228953.088</v>
      </c>
      <c r="AC16" s="59" t="n">
        <f aca="false">-AC9*Inputs!$E$31/12*1*(1+Inputs!$E$42)*(1+Inputs!$E$43)^(AC$5-1)</f>
        <v>-228953.088</v>
      </c>
      <c r="AD16" s="59" t="n">
        <f aca="false">-AD9*Inputs!$E$31/12*1*(1+Inputs!$E$42)*(1+Inputs!$E$43)^(AD$5-1)</f>
        <v>-228953.088</v>
      </c>
      <c r="AE16" s="59" t="n">
        <f aca="false">-AE9*Inputs!$E$31/12*1*(1+Inputs!$E$42)*(1+Inputs!$E$43)^(AE$5-1)</f>
        <v>-228953.088</v>
      </c>
      <c r="AF16" s="59" t="n">
        <f aca="false">-AF9*Inputs!$E$31/12*1*(1+Inputs!$E$42)*(1+Inputs!$E$43)^(AF$5-1)</f>
        <v>-228953.088</v>
      </c>
      <c r="AG16" s="59" t="n">
        <f aca="false">-AG9*Inputs!$E$31/12*1*(1+Inputs!$E$42)*(1+Inputs!$E$43)^(AG$5-1)</f>
        <v>-228953.088</v>
      </c>
      <c r="AH16" s="59" t="n">
        <f aca="false">-AH9*Inputs!$E$31/12*1*(1+Inputs!$E$42)*(1+Inputs!$E$43)^(AH$5-1)</f>
        <v>-228953.088</v>
      </c>
      <c r="AI16" s="59" t="n">
        <f aca="false">-AI9*Inputs!$E$31/12*1*(1+Inputs!$E$42)*(1+Inputs!$E$43)^(AI$5-1)</f>
        <v>-228953.088</v>
      </c>
      <c r="AJ16" s="59" t="n">
        <f aca="false">-AJ9*Inputs!$E$31/12*1*(1+Inputs!$E$42)*(1+Inputs!$E$43)^(AJ$5-1)</f>
        <v>-228953.088</v>
      </c>
      <c r="AK16" s="59" t="n">
        <f aca="false">-AK9*Inputs!$E$31/12*1*(1+Inputs!$E$42)*(1+Inputs!$E$43)^(AK$5-1)</f>
        <v>-228953.088</v>
      </c>
      <c r="AL16" s="59" t="n">
        <f aca="false">-AL9*Inputs!$E$31/12*1*(1+Inputs!$E$42)*(1+Inputs!$E$43)^(AL$5-1)</f>
        <v>-228953.088</v>
      </c>
      <c r="AM16" s="59" t="n">
        <f aca="false">-AM9*Inputs!$E$31/12*1*(1+Inputs!$E$42)*(1+Inputs!$E$43)^(AM$5-1)</f>
        <v>-285733.453824</v>
      </c>
      <c r="AN16" s="59" t="n">
        <f aca="false">-AN9*Inputs!$E$31/12*1*(1+Inputs!$E$42)*(1+Inputs!$E$43)^(AN$5-1)</f>
        <v>-285733.453824</v>
      </c>
      <c r="AO16" s="59" t="n">
        <f aca="false">-AO9*Inputs!$E$31/12*1*(1+Inputs!$E$42)*(1+Inputs!$E$43)^(AO$5-1)</f>
        <v>-285733.453824</v>
      </c>
      <c r="AP16" s="59" t="n">
        <f aca="false">-AP9*Inputs!$E$31/12*1*(1+Inputs!$E$42)*(1+Inputs!$E$43)^(AP$5-1)</f>
        <v>-285733.453824</v>
      </c>
      <c r="AQ16" s="59" t="n">
        <f aca="false">-AQ9*Inputs!$E$31/12*1*(1+Inputs!$E$42)*(1+Inputs!$E$43)^(AQ$5-1)</f>
        <v>-285733.453824</v>
      </c>
      <c r="AR16" s="59" t="n">
        <f aca="false">-AR9*Inputs!$E$31/12*1*(1+Inputs!$E$42)*(1+Inputs!$E$43)^(AR$5-1)</f>
        <v>-285733.453824</v>
      </c>
      <c r="AS16" s="59" t="n">
        <f aca="false">-AS9*Inputs!$E$31/12*1*(1+Inputs!$E$42)*(1+Inputs!$E$43)^(AS$5-1)</f>
        <v>-285733.453824</v>
      </c>
      <c r="AT16" s="59" t="n">
        <f aca="false">-AT9*Inputs!$E$31/12*1*(1+Inputs!$E$42)*(1+Inputs!$E$43)^(AT$5-1)</f>
        <v>-285733.453824</v>
      </c>
      <c r="AU16" s="59" t="n">
        <f aca="false">-AU9*Inputs!$E$31/12*1*(1+Inputs!$E$42)*(1+Inputs!$E$43)^(AU$5-1)</f>
        <v>-285733.453824</v>
      </c>
      <c r="AV16" s="59" t="n">
        <f aca="false">-AV9*Inputs!$E$31/12*1*(1+Inputs!$E$42)*(1+Inputs!$E$43)^(AV$5-1)</f>
        <v>-285733.453824</v>
      </c>
      <c r="AW16" s="59" t="n">
        <f aca="false">-AW9*Inputs!$E$31/12*1*(1+Inputs!$E$42)*(1+Inputs!$E$43)^(AW$5-1)</f>
        <v>-285733.453824</v>
      </c>
      <c r="AX16" s="59" t="n">
        <f aca="false">-AX9*Inputs!$E$31/12*1*(1+Inputs!$E$42)*(1+Inputs!$E$43)^(AX$5-1)</f>
        <v>-285733.453824</v>
      </c>
      <c r="AY16" s="59" t="n">
        <f aca="false">-AY9*Inputs!$E$31/12*1*(1+Inputs!$E$42)*(1+Inputs!$E$43)^(AY$5-1)</f>
        <v>-356595.350372352</v>
      </c>
      <c r="AZ16" s="59" t="n">
        <f aca="false">-AZ9*Inputs!$E$31/12*1*(1+Inputs!$E$42)*(1+Inputs!$E$43)^(AZ$5-1)</f>
        <v>-356595.350372352</v>
      </c>
      <c r="BA16" s="59" t="n">
        <f aca="false">-BA9*Inputs!$E$31/12*1*(1+Inputs!$E$42)*(1+Inputs!$E$43)^(BA$5-1)</f>
        <v>-356595.350372352</v>
      </c>
      <c r="BB16" s="59" t="n">
        <f aca="false">-BB9*Inputs!$E$31/12*1*(1+Inputs!$E$42)*(1+Inputs!$E$43)^(BB$5-1)</f>
        <v>-356595.350372352</v>
      </c>
      <c r="BC16" s="59" t="n">
        <f aca="false">-BC9*Inputs!$E$31/12*1*(1+Inputs!$E$42)*(1+Inputs!$E$43)^(BC$5-1)</f>
        <v>-356595.350372352</v>
      </c>
      <c r="BD16" s="59" t="n">
        <f aca="false">-BD9*Inputs!$E$31/12*1*(1+Inputs!$E$42)*(1+Inputs!$E$43)^(BD$5-1)</f>
        <v>-356595.350372352</v>
      </c>
      <c r="BE16" s="59" t="n">
        <f aca="false">-BE9*Inputs!$E$31/12*1*(1+Inputs!$E$42)*(1+Inputs!$E$43)^(BE$5-1)</f>
        <v>-356595.350372352</v>
      </c>
      <c r="BF16" s="59" t="n">
        <f aca="false">-BF9*Inputs!$E$31/12*1*(1+Inputs!$E$42)*(1+Inputs!$E$43)^(BF$5-1)</f>
        <v>-356595.350372352</v>
      </c>
      <c r="BG16" s="59" t="n">
        <f aca="false">-BG9*Inputs!$E$31/12*1*(1+Inputs!$E$42)*(1+Inputs!$E$43)^(BG$5-1)</f>
        <v>-356595.350372352</v>
      </c>
      <c r="BH16" s="59" t="n">
        <f aca="false">-BH9*Inputs!$E$31/12*1*(1+Inputs!$E$42)*(1+Inputs!$E$43)^(BH$5-1)</f>
        <v>-356595.350372352</v>
      </c>
      <c r="BI16" s="59" t="n">
        <f aca="false">-BI9*Inputs!$E$31/12*1*(1+Inputs!$E$42)*(1+Inputs!$E$43)^(BI$5-1)</f>
        <v>-356595.350372352</v>
      </c>
      <c r="BJ16" s="59" t="n">
        <f aca="false">-BJ9*Inputs!$E$31/12*1*(1+Inputs!$E$42)*(1+Inputs!$E$43)^(BJ$5-1)</f>
        <v>-356595.350372352</v>
      </c>
    </row>
    <row r="17" customFormat="false" ht="15" hidden="false" customHeight="false" outlineLevel="0" collapsed="false">
      <c r="A17" s="6" t="s">
        <v>445</v>
      </c>
      <c r="B17" s="6"/>
      <c r="C17" s="59" t="n">
        <f aca="false">-C10*Inputs!$E$35/12*1*(1+Inputs!$E$42)*(1+Inputs!$E$43)^(C$5-1)</f>
        <v>-52000</v>
      </c>
      <c r="D17" s="59" t="n">
        <f aca="false">-D10*Inputs!$E$35/12*1*(1+Inputs!$E$42)*(1+Inputs!$E$43)^(D$5-1)</f>
        <v>-52000</v>
      </c>
      <c r="E17" s="59" t="n">
        <f aca="false">-E10*Inputs!$E$35/12*1*(1+Inputs!$E$42)*(1+Inputs!$E$43)^(E$5-1)</f>
        <v>-52000</v>
      </c>
      <c r="F17" s="59" t="n">
        <f aca="false">-F10*Inputs!$E$35/12*1*(1+Inputs!$E$42)*(1+Inputs!$E$43)^(F$5-1)</f>
        <v>-52000</v>
      </c>
      <c r="G17" s="59" t="n">
        <f aca="false">-G10*Inputs!$E$35/12*1*(1+Inputs!$E$42)*(1+Inputs!$E$43)^(G$5-1)</f>
        <v>-52000</v>
      </c>
      <c r="H17" s="59" t="n">
        <f aca="false">-H10*Inputs!$E$35/12*1*(1+Inputs!$E$42)*(1+Inputs!$E$43)^(H$5-1)</f>
        <v>-52000</v>
      </c>
      <c r="I17" s="59" t="n">
        <f aca="false">-I10*Inputs!$E$35/12*1*(1+Inputs!$E$42)*(1+Inputs!$E$43)^(I$5-1)</f>
        <v>-52000</v>
      </c>
      <c r="J17" s="59" t="n">
        <f aca="false">-J10*Inputs!$E$35/12*1*(1+Inputs!$E$42)*(1+Inputs!$E$43)^(J$5-1)</f>
        <v>-52000</v>
      </c>
      <c r="K17" s="59" t="n">
        <f aca="false">-K10*Inputs!$E$35/12*1*(1+Inputs!$E$42)*(1+Inputs!$E$43)^(K$5-1)</f>
        <v>-52000</v>
      </c>
      <c r="L17" s="59" t="n">
        <f aca="false">-L10*Inputs!$E$35/12*1*(1+Inputs!$E$42)*(1+Inputs!$E$43)^(L$5-1)</f>
        <v>-52000</v>
      </c>
      <c r="M17" s="59" t="n">
        <f aca="false">-M10*Inputs!$E$35/12*1*(1+Inputs!$E$42)*(1+Inputs!$E$43)^(M$5-1)</f>
        <v>-52000</v>
      </c>
      <c r="N17" s="59" t="n">
        <f aca="false">-N10*Inputs!$E$35/12*1*(1+Inputs!$E$42)*(1+Inputs!$E$43)^(N$5-1)</f>
        <v>-52000</v>
      </c>
      <c r="O17" s="59" t="n">
        <f aca="false">-O10*Inputs!$E$35/12*1*(1+Inputs!$E$42)*(1+Inputs!$E$43)^(O$5-1)</f>
        <v>-64896</v>
      </c>
      <c r="P17" s="59" t="n">
        <f aca="false">-P10*Inputs!$E$35/12*1*(1+Inputs!$E$42)*(1+Inputs!$E$43)^(P$5-1)</f>
        <v>-64896</v>
      </c>
      <c r="Q17" s="59" t="n">
        <f aca="false">-Q10*Inputs!$E$35/12*1*(1+Inputs!$E$42)*(1+Inputs!$E$43)^(Q$5-1)</f>
        <v>-64896</v>
      </c>
      <c r="R17" s="59" t="n">
        <f aca="false">-R10*Inputs!$E$35/12*1*(1+Inputs!$E$42)*(1+Inputs!$E$43)^(R$5-1)</f>
        <v>-64896</v>
      </c>
      <c r="S17" s="59" t="n">
        <f aca="false">-S10*Inputs!$E$35/12*1*(1+Inputs!$E$42)*(1+Inputs!$E$43)^(S$5-1)</f>
        <v>-64896</v>
      </c>
      <c r="T17" s="59" t="n">
        <f aca="false">-T10*Inputs!$E$35/12*1*(1+Inputs!$E$42)*(1+Inputs!$E$43)^(T$5-1)</f>
        <v>-64896</v>
      </c>
      <c r="U17" s="59" t="n">
        <f aca="false">-U10*Inputs!$E$35/12*1*(1+Inputs!$E$42)*(1+Inputs!$E$43)^(U$5-1)</f>
        <v>-64896</v>
      </c>
      <c r="V17" s="59" t="n">
        <f aca="false">-V10*Inputs!$E$35/12*1*(1+Inputs!$E$42)*(1+Inputs!$E$43)^(V$5-1)</f>
        <v>-64896</v>
      </c>
      <c r="W17" s="59" t="n">
        <f aca="false">-W10*Inputs!$E$35/12*1*(1+Inputs!$E$42)*(1+Inputs!$E$43)^(W$5-1)</f>
        <v>-64896</v>
      </c>
      <c r="X17" s="59" t="n">
        <f aca="false">-X10*Inputs!$E$35/12*1*(1+Inputs!$E$42)*(1+Inputs!$E$43)^(X$5-1)</f>
        <v>-64896</v>
      </c>
      <c r="Y17" s="59" t="n">
        <f aca="false">-Y10*Inputs!$E$35/12*1*(1+Inputs!$E$42)*(1+Inputs!$E$43)^(Y$5-1)</f>
        <v>-64896</v>
      </c>
      <c r="Z17" s="59" t="n">
        <f aca="false">-Z10*Inputs!$E$35/12*1*(1+Inputs!$E$42)*(1+Inputs!$E$43)^(Z$5-1)</f>
        <v>-64896</v>
      </c>
      <c r="AA17" s="59" t="n">
        <f aca="false">-AA10*Inputs!$E$35/12*1*(1+Inputs!$E$42)*(1+Inputs!$E$43)^(AA$5-1)</f>
        <v>-80990.208</v>
      </c>
      <c r="AB17" s="59" t="n">
        <f aca="false">-AB10*Inputs!$E$35/12*1*(1+Inputs!$E$42)*(1+Inputs!$E$43)^(AB$5-1)</f>
        <v>-80990.208</v>
      </c>
      <c r="AC17" s="59" t="n">
        <f aca="false">-AC10*Inputs!$E$35/12*1*(1+Inputs!$E$42)*(1+Inputs!$E$43)^(AC$5-1)</f>
        <v>-80990.208</v>
      </c>
      <c r="AD17" s="59" t="n">
        <f aca="false">-AD10*Inputs!$E$35/12*1*(1+Inputs!$E$42)*(1+Inputs!$E$43)^(AD$5-1)</f>
        <v>-80990.208</v>
      </c>
      <c r="AE17" s="59" t="n">
        <f aca="false">-AE10*Inputs!$E$35/12*1*(1+Inputs!$E$42)*(1+Inputs!$E$43)^(AE$5-1)</f>
        <v>-80990.208</v>
      </c>
      <c r="AF17" s="59" t="n">
        <f aca="false">-AF10*Inputs!$E$35/12*1*(1+Inputs!$E$42)*(1+Inputs!$E$43)^(AF$5-1)</f>
        <v>-80990.208</v>
      </c>
      <c r="AG17" s="59" t="n">
        <f aca="false">-AG10*Inputs!$E$35/12*1*(1+Inputs!$E$42)*(1+Inputs!$E$43)^(AG$5-1)</f>
        <v>-80990.208</v>
      </c>
      <c r="AH17" s="59" t="n">
        <f aca="false">-AH10*Inputs!$E$35/12*1*(1+Inputs!$E$42)*(1+Inputs!$E$43)^(AH$5-1)</f>
        <v>-80990.208</v>
      </c>
      <c r="AI17" s="59" t="n">
        <f aca="false">-AI10*Inputs!$E$35/12*1*(1+Inputs!$E$42)*(1+Inputs!$E$43)^(AI$5-1)</f>
        <v>-80990.208</v>
      </c>
      <c r="AJ17" s="59" t="n">
        <f aca="false">-AJ10*Inputs!$E$35/12*1*(1+Inputs!$E$42)*(1+Inputs!$E$43)^(AJ$5-1)</f>
        <v>-80990.208</v>
      </c>
      <c r="AK17" s="59" t="n">
        <f aca="false">-AK10*Inputs!$E$35/12*1*(1+Inputs!$E$42)*(1+Inputs!$E$43)^(AK$5-1)</f>
        <v>-80990.208</v>
      </c>
      <c r="AL17" s="59" t="n">
        <f aca="false">-AL10*Inputs!$E$35/12*1*(1+Inputs!$E$42)*(1+Inputs!$E$43)^(AL$5-1)</f>
        <v>-80990.208</v>
      </c>
      <c r="AM17" s="59" t="n">
        <f aca="false">-AM10*Inputs!$E$35/12*1*(1+Inputs!$E$42)*(1+Inputs!$E$43)^(AM$5-1)</f>
        <v>-101075.779584</v>
      </c>
      <c r="AN17" s="59" t="n">
        <f aca="false">-AN10*Inputs!$E$35/12*1*(1+Inputs!$E$42)*(1+Inputs!$E$43)^(AN$5-1)</f>
        <v>-101075.779584</v>
      </c>
      <c r="AO17" s="59" t="n">
        <f aca="false">-AO10*Inputs!$E$35/12*1*(1+Inputs!$E$42)*(1+Inputs!$E$43)^(AO$5-1)</f>
        <v>-101075.779584</v>
      </c>
      <c r="AP17" s="59" t="n">
        <f aca="false">-AP10*Inputs!$E$35/12*1*(1+Inputs!$E$42)*(1+Inputs!$E$43)^(AP$5-1)</f>
        <v>-101075.779584</v>
      </c>
      <c r="AQ17" s="59" t="n">
        <f aca="false">-AQ10*Inputs!$E$35/12*1*(1+Inputs!$E$42)*(1+Inputs!$E$43)^(AQ$5-1)</f>
        <v>-101075.779584</v>
      </c>
      <c r="AR17" s="59" t="n">
        <f aca="false">-AR10*Inputs!$E$35/12*1*(1+Inputs!$E$42)*(1+Inputs!$E$43)^(AR$5-1)</f>
        <v>-101075.779584</v>
      </c>
      <c r="AS17" s="59" t="n">
        <f aca="false">-AS10*Inputs!$E$35/12*1*(1+Inputs!$E$42)*(1+Inputs!$E$43)^(AS$5-1)</f>
        <v>-101075.779584</v>
      </c>
      <c r="AT17" s="59" t="n">
        <f aca="false">-AT10*Inputs!$E$35/12*1*(1+Inputs!$E$42)*(1+Inputs!$E$43)^(AT$5-1)</f>
        <v>-101075.779584</v>
      </c>
      <c r="AU17" s="59" t="n">
        <f aca="false">-AU10*Inputs!$E$35/12*1*(1+Inputs!$E$42)*(1+Inputs!$E$43)^(AU$5-1)</f>
        <v>-101075.779584</v>
      </c>
      <c r="AV17" s="59" t="n">
        <f aca="false">-AV10*Inputs!$E$35/12*1*(1+Inputs!$E$42)*(1+Inputs!$E$43)^(AV$5-1)</f>
        <v>-101075.779584</v>
      </c>
      <c r="AW17" s="59" t="n">
        <f aca="false">-AW10*Inputs!$E$35/12*1*(1+Inputs!$E$42)*(1+Inputs!$E$43)^(AW$5-1)</f>
        <v>-101075.779584</v>
      </c>
      <c r="AX17" s="59" t="n">
        <f aca="false">-AX10*Inputs!$E$35/12*1*(1+Inputs!$E$42)*(1+Inputs!$E$43)^(AX$5-1)</f>
        <v>-101075.779584</v>
      </c>
      <c r="AY17" s="59" t="n">
        <f aca="false">-AY10*Inputs!$E$35/12*1*(1+Inputs!$E$42)*(1+Inputs!$E$43)^(AY$5-1)</f>
        <v>-126142.572920832</v>
      </c>
      <c r="AZ17" s="59" t="n">
        <f aca="false">-AZ10*Inputs!$E$35/12*1*(1+Inputs!$E$42)*(1+Inputs!$E$43)^(AZ$5-1)</f>
        <v>-126142.572920832</v>
      </c>
      <c r="BA17" s="59" t="n">
        <f aca="false">-BA10*Inputs!$E$35/12*1*(1+Inputs!$E$42)*(1+Inputs!$E$43)^(BA$5-1)</f>
        <v>-126142.572920832</v>
      </c>
      <c r="BB17" s="59" t="n">
        <f aca="false">-BB10*Inputs!$E$35/12*1*(1+Inputs!$E$42)*(1+Inputs!$E$43)^(BB$5-1)</f>
        <v>-126142.572920832</v>
      </c>
      <c r="BC17" s="59" t="n">
        <f aca="false">-BC10*Inputs!$E$35/12*1*(1+Inputs!$E$42)*(1+Inputs!$E$43)^(BC$5-1)</f>
        <v>-126142.572920832</v>
      </c>
      <c r="BD17" s="59" t="n">
        <f aca="false">-BD10*Inputs!$E$35/12*1*(1+Inputs!$E$42)*(1+Inputs!$E$43)^(BD$5-1)</f>
        <v>-126142.572920832</v>
      </c>
      <c r="BE17" s="59" t="n">
        <f aca="false">-BE10*Inputs!$E$35/12*1*(1+Inputs!$E$42)*(1+Inputs!$E$43)^(BE$5-1)</f>
        <v>-126142.572920832</v>
      </c>
      <c r="BF17" s="59" t="n">
        <f aca="false">-BF10*Inputs!$E$35/12*1*(1+Inputs!$E$42)*(1+Inputs!$E$43)^(BF$5-1)</f>
        <v>-126142.572920832</v>
      </c>
      <c r="BG17" s="59" t="n">
        <f aca="false">-BG10*Inputs!$E$35/12*1*(1+Inputs!$E$42)*(1+Inputs!$E$43)^(BG$5-1)</f>
        <v>-126142.572920832</v>
      </c>
      <c r="BH17" s="59" t="n">
        <f aca="false">-BH10*Inputs!$E$35/12*1*(1+Inputs!$E$42)*(1+Inputs!$E$43)^(BH$5-1)</f>
        <v>-126142.572920832</v>
      </c>
      <c r="BI17" s="59" t="n">
        <f aca="false">-BI10*Inputs!$E$35/12*1*(1+Inputs!$E$42)*(1+Inputs!$E$43)^(BI$5-1)</f>
        <v>-126142.572920832</v>
      </c>
      <c r="BJ17" s="59" t="n">
        <f aca="false">-BJ10*Inputs!$E$35/12*1*(1+Inputs!$E$42)*(1+Inputs!$E$43)^(BJ$5-1)</f>
        <v>-126142.572920832</v>
      </c>
    </row>
    <row r="18" customFormat="false" ht="15" hidden="false" customHeight="false" outlineLevel="0" collapsed="false">
      <c r="A18" s="6" t="s">
        <v>446</v>
      </c>
      <c r="B18" s="6"/>
      <c r="C18" s="59" t="n">
        <f aca="false">-C11*Inputs!$E$39/12*1*(1+Inputs!$E$42)*(1+Inputs!$E$43)^(C$5-1)</f>
        <v>-54000</v>
      </c>
      <c r="D18" s="59" t="n">
        <f aca="false">-D11*Inputs!$E$39/12*1*(1+Inputs!$E$42)*(1+Inputs!$E$43)^(D$5-1)</f>
        <v>-54000</v>
      </c>
      <c r="E18" s="59" t="n">
        <f aca="false">-E11*Inputs!$E$39/12*1*(1+Inputs!$E$42)*(1+Inputs!$E$43)^(E$5-1)</f>
        <v>-54000</v>
      </c>
      <c r="F18" s="59" t="n">
        <f aca="false">-F11*Inputs!$E$39/12*1*(1+Inputs!$E$42)*(1+Inputs!$E$43)^(F$5-1)</f>
        <v>-54000</v>
      </c>
      <c r="G18" s="59" t="n">
        <f aca="false">-G11*Inputs!$E$39/12*1*(1+Inputs!$E$42)*(1+Inputs!$E$43)^(G$5-1)</f>
        <v>-54000</v>
      </c>
      <c r="H18" s="59" t="n">
        <f aca="false">-H11*Inputs!$E$39/12*1*(1+Inputs!$E$42)*(1+Inputs!$E$43)^(H$5-1)</f>
        <v>-54000</v>
      </c>
      <c r="I18" s="59" t="n">
        <f aca="false">-I11*Inputs!$E$39/12*1*(1+Inputs!$E$42)*(1+Inputs!$E$43)^(I$5-1)</f>
        <v>-54000</v>
      </c>
      <c r="J18" s="59" t="n">
        <f aca="false">-J11*Inputs!$E$39/12*1*(1+Inputs!$E$42)*(1+Inputs!$E$43)^(J$5-1)</f>
        <v>-54000</v>
      </c>
      <c r="K18" s="59" t="n">
        <f aca="false">-K11*Inputs!$E$39/12*1*(1+Inputs!$E$42)*(1+Inputs!$E$43)^(K$5-1)</f>
        <v>-54000</v>
      </c>
      <c r="L18" s="59" t="n">
        <f aca="false">-L11*Inputs!$E$39/12*1*(1+Inputs!$E$42)*(1+Inputs!$E$43)^(L$5-1)</f>
        <v>-54000</v>
      </c>
      <c r="M18" s="59" t="n">
        <f aca="false">-M11*Inputs!$E$39/12*1*(1+Inputs!$E$42)*(1+Inputs!$E$43)^(M$5-1)</f>
        <v>-54000</v>
      </c>
      <c r="N18" s="59" t="n">
        <f aca="false">-N11*Inputs!$E$39/12*1*(1+Inputs!$E$42)*(1+Inputs!$E$43)^(N$5-1)</f>
        <v>-54000</v>
      </c>
      <c r="O18" s="59" t="n">
        <f aca="false">-O11*Inputs!$E$39/12*1*(1+Inputs!$E$42)*(1+Inputs!$E$43)^(O$5-1)</f>
        <v>-64584</v>
      </c>
      <c r="P18" s="59" t="n">
        <f aca="false">-P11*Inputs!$E$39/12*1*(1+Inputs!$E$42)*(1+Inputs!$E$43)^(P$5-1)</f>
        <v>-64584</v>
      </c>
      <c r="Q18" s="59" t="n">
        <f aca="false">-Q11*Inputs!$E$39/12*1*(1+Inputs!$E$42)*(1+Inputs!$E$43)^(Q$5-1)</f>
        <v>-64584</v>
      </c>
      <c r="R18" s="59" t="n">
        <f aca="false">-R11*Inputs!$E$39/12*1*(1+Inputs!$E$42)*(1+Inputs!$E$43)^(R$5-1)</f>
        <v>-64584</v>
      </c>
      <c r="S18" s="59" t="n">
        <f aca="false">-S11*Inputs!$E$39/12*1*(1+Inputs!$E$42)*(1+Inputs!$E$43)^(S$5-1)</f>
        <v>-64584</v>
      </c>
      <c r="T18" s="59" t="n">
        <f aca="false">-T11*Inputs!$E$39/12*1*(1+Inputs!$E$42)*(1+Inputs!$E$43)^(T$5-1)</f>
        <v>-64584</v>
      </c>
      <c r="U18" s="59" t="n">
        <f aca="false">-U11*Inputs!$E$39/12*1*(1+Inputs!$E$42)*(1+Inputs!$E$43)^(U$5-1)</f>
        <v>-64584</v>
      </c>
      <c r="V18" s="59" t="n">
        <f aca="false">-V11*Inputs!$E$39/12*1*(1+Inputs!$E$42)*(1+Inputs!$E$43)^(V$5-1)</f>
        <v>-64584</v>
      </c>
      <c r="W18" s="59" t="n">
        <f aca="false">-W11*Inputs!$E$39/12*1*(1+Inputs!$E$42)*(1+Inputs!$E$43)^(W$5-1)</f>
        <v>-64584</v>
      </c>
      <c r="X18" s="59" t="n">
        <f aca="false">-X11*Inputs!$E$39/12*1*(1+Inputs!$E$42)*(1+Inputs!$E$43)^(X$5-1)</f>
        <v>-64584</v>
      </c>
      <c r="Y18" s="59" t="n">
        <f aca="false">-Y11*Inputs!$E$39/12*1*(1+Inputs!$E$42)*(1+Inputs!$E$43)^(Y$5-1)</f>
        <v>-64584</v>
      </c>
      <c r="Z18" s="59" t="n">
        <f aca="false">-Z11*Inputs!$E$39/12*1*(1+Inputs!$E$42)*(1+Inputs!$E$43)^(Z$5-1)</f>
        <v>-64584</v>
      </c>
      <c r="AA18" s="59" t="n">
        <f aca="false">-AA11*Inputs!$E$39/12*1*(1+Inputs!$E$42)*(1+Inputs!$E$43)^(AA$5-1)</f>
        <v>-77242.464</v>
      </c>
      <c r="AB18" s="59" t="n">
        <f aca="false">-AB11*Inputs!$E$39/12*1*(1+Inputs!$E$42)*(1+Inputs!$E$43)^(AB$5-1)</f>
        <v>-77242.464</v>
      </c>
      <c r="AC18" s="59" t="n">
        <f aca="false">-AC11*Inputs!$E$39/12*1*(1+Inputs!$E$42)*(1+Inputs!$E$43)^(AC$5-1)</f>
        <v>-77242.464</v>
      </c>
      <c r="AD18" s="59" t="n">
        <f aca="false">-AD11*Inputs!$E$39/12*1*(1+Inputs!$E$42)*(1+Inputs!$E$43)^(AD$5-1)</f>
        <v>-77242.464</v>
      </c>
      <c r="AE18" s="59" t="n">
        <f aca="false">-AE11*Inputs!$E$39/12*1*(1+Inputs!$E$42)*(1+Inputs!$E$43)^(AE$5-1)</f>
        <v>-77242.464</v>
      </c>
      <c r="AF18" s="59" t="n">
        <f aca="false">-AF11*Inputs!$E$39/12*1*(1+Inputs!$E$42)*(1+Inputs!$E$43)^(AF$5-1)</f>
        <v>-77242.464</v>
      </c>
      <c r="AG18" s="59" t="n">
        <f aca="false">-AG11*Inputs!$E$39/12*1*(1+Inputs!$E$42)*(1+Inputs!$E$43)^(AG$5-1)</f>
        <v>-77242.464</v>
      </c>
      <c r="AH18" s="59" t="n">
        <f aca="false">-AH11*Inputs!$E$39/12*1*(1+Inputs!$E$42)*(1+Inputs!$E$43)^(AH$5-1)</f>
        <v>-77242.464</v>
      </c>
      <c r="AI18" s="59" t="n">
        <f aca="false">-AI11*Inputs!$E$39/12*1*(1+Inputs!$E$42)*(1+Inputs!$E$43)^(AI$5-1)</f>
        <v>-77242.464</v>
      </c>
      <c r="AJ18" s="59" t="n">
        <f aca="false">-AJ11*Inputs!$E$39/12*1*(1+Inputs!$E$42)*(1+Inputs!$E$43)^(AJ$5-1)</f>
        <v>-77242.464</v>
      </c>
      <c r="AK18" s="59" t="n">
        <f aca="false">-AK11*Inputs!$E$39/12*1*(1+Inputs!$E$42)*(1+Inputs!$E$43)^(AK$5-1)</f>
        <v>-77242.464</v>
      </c>
      <c r="AL18" s="59" t="n">
        <f aca="false">-AL11*Inputs!$E$39/12*1*(1+Inputs!$E$42)*(1+Inputs!$E$43)^(AL$5-1)</f>
        <v>-77242.464</v>
      </c>
      <c r="AM18" s="59" t="n">
        <f aca="false">-AM11*Inputs!$E$39/12*1*(1+Inputs!$E$42)*(1+Inputs!$E$43)^(AM$5-1)</f>
        <v>-92381.986944</v>
      </c>
      <c r="AN18" s="59" t="n">
        <f aca="false">-AN11*Inputs!$E$39/12*1*(1+Inputs!$E$42)*(1+Inputs!$E$43)^(AN$5-1)</f>
        <v>-92381.986944</v>
      </c>
      <c r="AO18" s="59" t="n">
        <f aca="false">-AO11*Inputs!$E$39/12*1*(1+Inputs!$E$42)*(1+Inputs!$E$43)^(AO$5-1)</f>
        <v>-92381.986944</v>
      </c>
      <c r="AP18" s="59" t="n">
        <f aca="false">-AP11*Inputs!$E$39/12*1*(1+Inputs!$E$42)*(1+Inputs!$E$43)^(AP$5-1)</f>
        <v>-92381.986944</v>
      </c>
      <c r="AQ18" s="59" t="n">
        <f aca="false">-AQ11*Inputs!$E$39/12*1*(1+Inputs!$E$42)*(1+Inputs!$E$43)^(AQ$5-1)</f>
        <v>-92381.986944</v>
      </c>
      <c r="AR18" s="59" t="n">
        <f aca="false">-AR11*Inputs!$E$39/12*1*(1+Inputs!$E$42)*(1+Inputs!$E$43)^(AR$5-1)</f>
        <v>-92381.986944</v>
      </c>
      <c r="AS18" s="59" t="n">
        <f aca="false">-AS11*Inputs!$E$39/12*1*(1+Inputs!$E$42)*(1+Inputs!$E$43)^(AS$5-1)</f>
        <v>-92381.986944</v>
      </c>
      <c r="AT18" s="59" t="n">
        <f aca="false">-AT11*Inputs!$E$39/12*1*(1+Inputs!$E$42)*(1+Inputs!$E$43)^(AT$5-1)</f>
        <v>-92381.986944</v>
      </c>
      <c r="AU18" s="59" t="n">
        <f aca="false">-AU11*Inputs!$E$39/12*1*(1+Inputs!$E$42)*(1+Inputs!$E$43)^(AU$5-1)</f>
        <v>-92381.986944</v>
      </c>
      <c r="AV18" s="59" t="n">
        <f aca="false">-AV11*Inputs!$E$39/12*1*(1+Inputs!$E$42)*(1+Inputs!$E$43)^(AV$5-1)</f>
        <v>-92381.986944</v>
      </c>
      <c r="AW18" s="59" t="n">
        <f aca="false">-AW11*Inputs!$E$39/12*1*(1+Inputs!$E$42)*(1+Inputs!$E$43)^(AW$5-1)</f>
        <v>-92381.986944</v>
      </c>
      <c r="AX18" s="59" t="n">
        <f aca="false">-AX11*Inputs!$E$39/12*1*(1+Inputs!$E$42)*(1+Inputs!$E$43)^(AX$5-1)</f>
        <v>-92381.986944</v>
      </c>
      <c r="AY18" s="59" t="n">
        <f aca="false">-AY11*Inputs!$E$39/12*1*(1+Inputs!$E$42)*(1+Inputs!$E$43)^(AY$5-1)</f>
        <v>-110488.856385024</v>
      </c>
      <c r="AZ18" s="59" t="n">
        <f aca="false">-AZ11*Inputs!$E$39/12*1*(1+Inputs!$E$42)*(1+Inputs!$E$43)^(AZ$5-1)</f>
        <v>-110488.856385024</v>
      </c>
      <c r="BA18" s="59" t="n">
        <f aca="false">-BA11*Inputs!$E$39/12*1*(1+Inputs!$E$42)*(1+Inputs!$E$43)^(BA$5-1)</f>
        <v>-110488.856385024</v>
      </c>
      <c r="BB18" s="59" t="n">
        <f aca="false">-BB11*Inputs!$E$39/12*1*(1+Inputs!$E$42)*(1+Inputs!$E$43)^(BB$5-1)</f>
        <v>-110488.856385024</v>
      </c>
      <c r="BC18" s="59" t="n">
        <f aca="false">-BC11*Inputs!$E$39/12*1*(1+Inputs!$E$42)*(1+Inputs!$E$43)^(BC$5-1)</f>
        <v>-110488.856385024</v>
      </c>
      <c r="BD18" s="59" t="n">
        <f aca="false">-BD11*Inputs!$E$39/12*1*(1+Inputs!$E$42)*(1+Inputs!$E$43)^(BD$5-1)</f>
        <v>-110488.856385024</v>
      </c>
      <c r="BE18" s="59" t="n">
        <f aca="false">-BE11*Inputs!$E$39/12*1*(1+Inputs!$E$42)*(1+Inputs!$E$43)^(BE$5-1)</f>
        <v>-110488.856385024</v>
      </c>
      <c r="BF18" s="59" t="n">
        <f aca="false">-BF11*Inputs!$E$39/12*1*(1+Inputs!$E$42)*(1+Inputs!$E$43)^(BF$5-1)</f>
        <v>-110488.856385024</v>
      </c>
      <c r="BG18" s="59" t="n">
        <f aca="false">-BG11*Inputs!$E$39/12*1*(1+Inputs!$E$42)*(1+Inputs!$E$43)^(BG$5-1)</f>
        <v>-110488.856385024</v>
      </c>
      <c r="BH18" s="59" t="n">
        <f aca="false">-BH11*Inputs!$E$39/12*1*(1+Inputs!$E$42)*(1+Inputs!$E$43)^(BH$5-1)</f>
        <v>-110488.856385024</v>
      </c>
      <c r="BI18" s="59" t="n">
        <f aca="false">-BI11*Inputs!$E$39/12*1*(1+Inputs!$E$42)*(1+Inputs!$E$43)^(BI$5-1)</f>
        <v>-110488.856385024</v>
      </c>
      <c r="BJ18" s="59" t="n">
        <f aca="false">-BJ11*Inputs!$E$39/12*1*(1+Inputs!$E$42)*(1+Inputs!$E$43)^(BJ$5-1)</f>
        <v>-110488.856385024</v>
      </c>
    </row>
    <row r="19" customFormat="false" ht="15" hidden="false" customHeight="false" outlineLevel="0" collapsed="false">
      <c r="A19" s="5" t="s">
        <v>447</v>
      </c>
      <c r="B19" s="6"/>
      <c r="C19" s="113" t="n">
        <f aca="false">C15+C16+C17+C18</f>
        <v>-523000</v>
      </c>
      <c r="D19" s="113" t="n">
        <f aca="false">D15+D16+D17+D18</f>
        <v>-523000</v>
      </c>
      <c r="E19" s="113" t="n">
        <f aca="false">E15+E16+E17+E18</f>
        <v>-523000</v>
      </c>
      <c r="F19" s="113" t="n">
        <f aca="false">F15+F16+F17+F18</f>
        <v>-523000</v>
      </c>
      <c r="G19" s="113" t="n">
        <f aca="false">G15+G16+G17+G18</f>
        <v>-523000</v>
      </c>
      <c r="H19" s="113" t="n">
        <f aca="false">H15+H16+H17+H18</f>
        <v>-523000</v>
      </c>
      <c r="I19" s="113" t="n">
        <f aca="false">I15+I16+I17+I18</f>
        <v>-523000</v>
      </c>
      <c r="J19" s="113" t="n">
        <f aca="false">J15+J16+J17+J18</f>
        <v>-523000</v>
      </c>
      <c r="K19" s="113" t="n">
        <f aca="false">K15+K16+K17+K18</f>
        <v>-523000</v>
      </c>
      <c r="L19" s="113" t="n">
        <f aca="false">L15+L16+L17+L18</f>
        <v>-523000</v>
      </c>
      <c r="M19" s="113" t="n">
        <f aca="false">M15+M16+M17+M18</f>
        <v>-523000</v>
      </c>
      <c r="N19" s="113" t="n">
        <f aca="false">N15+N16+N17+N18</f>
        <v>-523000</v>
      </c>
      <c r="O19" s="113" t="n">
        <f aca="false">O15+O16+O17+O18</f>
        <v>-649896</v>
      </c>
      <c r="P19" s="113" t="n">
        <f aca="false">P15+P16+P17+P18</f>
        <v>-649896</v>
      </c>
      <c r="Q19" s="113" t="n">
        <f aca="false">Q15+Q16+Q17+Q18</f>
        <v>-649896</v>
      </c>
      <c r="R19" s="113" t="n">
        <f aca="false">R15+R16+R17+R18</f>
        <v>-649896</v>
      </c>
      <c r="S19" s="113" t="n">
        <f aca="false">S15+S16+S17+S18</f>
        <v>-649896</v>
      </c>
      <c r="T19" s="113" t="n">
        <f aca="false">T15+T16+T17+T18</f>
        <v>-649896</v>
      </c>
      <c r="U19" s="113" t="n">
        <f aca="false">U15+U16+U17+U18</f>
        <v>-649896</v>
      </c>
      <c r="V19" s="113" t="n">
        <f aca="false">V15+V16+V17+V18</f>
        <v>-649896</v>
      </c>
      <c r="W19" s="113" t="n">
        <f aca="false">W15+W16+W17+W18</f>
        <v>-649896</v>
      </c>
      <c r="X19" s="113" t="n">
        <f aca="false">X15+X16+X17+X18</f>
        <v>-649896</v>
      </c>
      <c r="Y19" s="113" t="n">
        <f aca="false">Y15+Y16+Y17+Y18</f>
        <v>-649896</v>
      </c>
      <c r="Z19" s="113" t="n">
        <f aca="false">Z15+Z16+Z17+Z18</f>
        <v>-649896</v>
      </c>
      <c r="AA19" s="113" t="n">
        <f aca="false">AA15+AA16+AA17+AA18</f>
        <v>-807711.84</v>
      </c>
      <c r="AB19" s="113" t="n">
        <f aca="false">AB15+AB16+AB17+AB18</f>
        <v>-807711.84</v>
      </c>
      <c r="AC19" s="113" t="n">
        <f aca="false">AC15+AC16+AC17+AC18</f>
        <v>-807711.84</v>
      </c>
      <c r="AD19" s="113" t="n">
        <f aca="false">AD15+AD16+AD17+AD18</f>
        <v>-807711.84</v>
      </c>
      <c r="AE19" s="113" t="n">
        <f aca="false">AE15+AE16+AE17+AE18</f>
        <v>-807711.84</v>
      </c>
      <c r="AF19" s="113" t="n">
        <f aca="false">AF15+AF16+AF17+AF18</f>
        <v>-807711.84</v>
      </c>
      <c r="AG19" s="113" t="n">
        <f aca="false">AG15+AG16+AG17+AG18</f>
        <v>-807711.84</v>
      </c>
      <c r="AH19" s="113" t="n">
        <f aca="false">AH15+AH16+AH17+AH18</f>
        <v>-807711.84</v>
      </c>
      <c r="AI19" s="113" t="n">
        <f aca="false">AI15+AI16+AI17+AI18</f>
        <v>-807711.84</v>
      </c>
      <c r="AJ19" s="113" t="n">
        <f aca="false">AJ15+AJ16+AJ17+AJ18</f>
        <v>-807711.84</v>
      </c>
      <c r="AK19" s="113" t="n">
        <f aca="false">AK15+AK16+AK17+AK18</f>
        <v>-807711.84</v>
      </c>
      <c r="AL19" s="113" t="n">
        <f aca="false">AL15+AL16+AL17+AL18</f>
        <v>-807711.84</v>
      </c>
      <c r="AM19" s="113" t="n">
        <f aca="false">AM15+AM16+AM17+AM18</f>
        <v>-1004007.768192</v>
      </c>
      <c r="AN19" s="113" t="n">
        <f aca="false">AN15+AN16+AN17+AN18</f>
        <v>-1004007.768192</v>
      </c>
      <c r="AO19" s="113" t="n">
        <f aca="false">AO15+AO16+AO17+AO18</f>
        <v>-1004007.768192</v>
      </c>
      <c r="AP19" s="113" t="n">
        <f aca="false">AP15+AP16+AP17+AP18</f>
        <v>-1004007.768192</v>
      </c>
      <c r="AQ19" s="113" t="n">
        <f aca="false">AQ15+AQ16+AQ17+AQ18</f>
        <v>-1004007.768192</v>
      </c>
      <c r="AR19" s="113" t="n">
        <f aca="false">AR15+AR16+AR17+AR18</f>
        <v>-1004007.768192</v>
      </c>
      <c r="AS19" s="113" t="n">
        <f aca="false">AS15+AS16+AS17+AS18</f>
        <v>-1004007.768192</v>
      </c>
      <c r="AT19" s="113" t="n">
        <f aca="false">AT15+AT16+AT17+AT18</f>
        <v>-1004007.768192</v>
      </c>
      <c r="AU19" s="113" t="n">
        <f aca="false">AU15+AU16+AU17+AU18</f>
        <v>-1004007.768192</v>
      </c>
      <c r="AV19" s="113" t="n">
        <f aca="false">AV15+AV16+AV17+AV18</f>
        <v>-1004007.768192</v>
      </c>
      <c r="AW19" s="113" t="n">
        <f aca="false">AW15+AW16+AW17+AW18</f>
        <v>-1004007.768192</v>
      </c>
      <c r="AX19" s="113" t="n">
        <f aca="false">AX15+AX16+AX17+AX18</f>
        <v>-1004007.768192</v>
      </c>
      <c r="AY19" s="113" t="n">
        <f aca="false">AY15+AY16+AY17+AY18</f>
        <v>-1248197.83138253</v>
      </c>
      <c r="AZ19" s="113" t="n">
        <f aca="false">AZ15+AZ16+AZ17+AZ18</f>
        <v>-1248197.83138253</v>
      </c>
      <c r="BA19" s="113" t="n">
        <f aca="false">BA15+BA16+BA17+BA18</f>
        <v>-1248197.83138253</v>
      </c>
      <c r="BB19" s="113" t="n">
        <f aca="false">BB15+BB16+BB17+BB18</f>
        <v>-1248197.83138253</v>
      </c>
      <c r="BC19" s="113" t="n">
        <f aca="false">BC15+BC16+BC17+BC18</f>
        <v>-1248197.83138253</v>
      </c>
      <c r="BD19" s="113" t="n">
        <f aca="false">BD15+BD16+BD17+BD18</f>
        <v>-1248197.83138253</v>
      </c>
      <c r="BE19" s="113" t="n">
        <f aca="false">BE15+BE16+BE17+BE18</f>
        <v>-1248197.83138253</v>
      </c>
      <c r="BF19" s="113" t="n">
        <f aca="false">BF15+BF16+BF17+BF18</f>
        <v>-1248197.83138253</v>
      </c>
      <c r="BG19" s="113" t="n">
        <f aca="false">BG15+BG16+BG17+BG18</f>
        <v>-1248197.83138253</v>
      </c>
      <c r="BH19" s="113" t="n">
        <f aca="false">BH15+BH16+BH17+BH18</f>
        <v>-1248197.83138253</v>
      </c>
      <c r="BI19" s="113" t="n">
        <f aca="false">BI15+BI16+BI17+BI18</f>
        <v>-1248197.83138253</v>
      </c>
      <c r="BJ19" s="113" t="n">
        <f aca="false">BJ15+BJ16+BJ17+BJ18</f>
        <v>-1248197.83138253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7" t="s">
        <v>3</v>
      </c>
      <c r="B1" s="6"/>
      <c r="C1" s="6"/>
      <c r="E1" s="18" t="str">
        <f aca="false">HYPERLINK("#'Cover'!A1","◂ Contents")</f>
        <v>◂ Contents</v>
      </c>
    </row>
    <row r="2" customFormat="false" ht="15" hidden="false" customHeight="false" outlineLevel="0" collapsed="false">
      <c r="A2" s="19" t="s">
        <v>448</v>
      </c>
      <c r="B2" s="6"/>
      <c r="C2" s="6"/>
    </row>
    <row r="3" customFormat="false" ht="15" hidden="false" customHeight="false" outlineLevel="0" collapsed="false">
      <c r="A3" s="96" t="s">
        <v>449</v>
      </c>
      <c r="B3" s="29" t="s">
        <v>450</v>
      </c>
      <c r="C3" s="29" t="s">
        <v>451</v>
      </c>
    </row>
    <row r="4" customFormat="false" ht="15" hidden="false" customHeight="false" outlineLevel="0" collapsed="false">
      <c r="A4" s="6" t="s">
        <v>452</v>
      </c>
      <c r="B4" s="5" t="str">
        <f aca="false">IF(ABS(SUM('P&amp;L'!$B$5:$F$5)-SUM(Monthly!$C$24:$BJ$24))&lt;0.5,"PASS","FAIL")</f>
        <v>PASS</v>
      </c>
      <c r="C4" s="19" t="s">
        <v>453</v>
      </c>
    </row>
    <row r="5" customFormat="false" ht="15" hidden="false" customHeight="false" outlineLevel="0" collapsed="false">
      <c r="A5" s="6" t="s">
        <v>454</v>
      </c>
      <c r="B5" s="5" t="str">
        <f aca="false">IF(ABS(SUM('P&amp;L'!$B$22:$F$22)-SUM(Monthly!$C$44:$BJ$44))&lt;0.5,"PASS","FAIL")</f>
        <v>PASS</v>
      </c>
      <c r="C5" s="19" t="s">
        <v>455</v>
      </c>
    </row>
    <row r="6" customFormat="false" ht="15" hidden="false" customHeight="false" outlineLevel="0" collapsed="false">
      <c r="A6" s="6" t="s">
        <v>456</v>
      </c>
      <c r="B6" s="5" t="str">
        <f aca="false">IF(ABS(SUM(Monthly!$C$35:$BJ$35)-SUM(Monthly!$C$26:$BJ$26)-SUM(Monthly!$C$34:$BJ$34))&lt;0.5,"PASS","FAIL")</f>
        <v>PASS</v>
      </c>
      <c r="C6" s="19" t="s">
        <v>457</v>
      </c>
    </row>
    <row r="7" customFormat="false" ht="15" hidden="false" customHeight="false" outlineLevel="0" collapsed="false">
      <c r="A7" s="6" t="s">
        <v>458</v>
      </c>
      <c r="B7" s="5" t="str">
        <f aca="false">IF(ABS(INDEX(Monthly!$C$76:$BJ$76,60)-SUM(Monthly!$C$74:$BJ$74))&lt;0.5,"PASS","FAIL")</f>
        <v>PASS</v>
      </c>
      <c r="C7" s="19" t="s">
        <v>459</v>
      </c>
    </row>
    <row r="8" customFormat="false" ht="15" hidden="false" customHeight="false" outlineLevel="0" collapsed="false">
      <c r="A8" s="6" t="s">
        <v>460</v>
      </c>
      <c r="B8" s="5" t="str">
        <f aca="false">IF(AND(ISNUMBER(Dashboard!B4),Dashboard!B4&gt;=1,Dashboard!B4&lt;=3,INT(Dashboard!B4)=Dashboard!B4),"PASS","FAIL")</f>
        <v>PASS</v>
      </c>
      <c r="C8" s="19" t="s">
        <v>461</v>
      </c>
    </row>
    <row r="9" customFormat="false" ht="15" hidden="false" customHeight="false" outlineLevel="0" collapsed="false">
      <c r="A9" s="6" t="s">
        <v>462</v>
      </c>
      <c r="B9" s="5" t="str">
        <f aca="false">IF(AND(Inputs!$B$7&lt;=Inputs!$C$7,Inputs!$C$7&lt;=Inputs!$D$7,Inputs!$B$8&lt;=Inputs!$C$8,Inputs!$C$8&lt;=Inputs!$D$8,Inputs!$B$9&lt;=Inputs!$C$9,Inputs!$C$9&lt;=Inputs!$D$9,Inputs!$B$10&gt;=Inputs!$C$10,Inputs!$C$10&gt;=Inputs!$D$10,Inputs!$B$11&lt;=Inputs!$C$11,Inputs!$C$11&lt;=Inputs!$D$11,Inputs!$B$12&lt;=Inputs!$C$12,Inputs!$C$12&lt;=Inputs!$D$12,Inputs!$B$13&lt;=Inputs!$C$13,Inputs!$C$13&lt;=Inputs!$D$13,Inputs!$B$16&gt;=Inputs!$C$16,Inputs!$C$16&gt;=Inputs!$D$16,Inputs!$B$18&gt;=Inputs!$C$18,Inputs!$C$18&gt;=Inputs!$D$18,Inputs!$B$19&gt;=Inputs!$C$19,Inputs!$C$19&gt;=Inputs!$D$19,Inputs!$B$26&lt;=Inputs!$C$26,Inputs!$C$26&lt;=Inputs!$D$26,Inputs!$B$28&lt;=Inputs!$C$28,Inputs!$C$28&lt;=Inputs!$D$28,Inputs!$B$30&lt;=Inputs!$C$30,Inputs!$C$30&lt;=Inputs!$D$30,Inputs!$B$32&lt;=Inputs!$C$32,Inputs!$C$32&lt;=Inputs!$D$32,Inputs!$B$34&lt;=Inputs!$C$34,Inputs!$C$34&lt;=Inputs!$D$34,Inputs!$B$36&lt;=Inputs!$C$36,Inputs!$C$36&lt;=Inputs!$D$36,Inputs!$B$38&lt;=Inputs!$C$38,Inputs!$C$38&lt;=Inputs!$D$38,Inputs!$B$40&lt;=Inputs!$C$40,Inputs!$C$40&lt;=Inputs!$D$40,Inputs!$B$64&gt;=Inputs!$C$64,Inputs!$C$64&gt;=Inputs!$D$64,Inputs!$B$65&lt;=Inputs!$C$65,Inputs!$C$65&lt;=Inputs!$D$65,Inputs!$B$66&lt;=Inputs!$C$66,Inputs!$C$66&lt;=Inputs!$D$66),"PASS","FAIL")</f>
        <v>PASS</v>
      </c>
      <c r="C9" s="19" t="s">
        <v>463</v>
      </c>
    </row>
    <row r="10" customFormat="false" ht="15" hidden="false" customHeight="false" outlineLevel="0" collapsed="false">
      <c r="A10" s="6" t="s">
        <v>464</v>
      </c>
      <c r="B10" s="5" t="str">
        <f aca="false">IF(AND(MIN('P&amp;L'!$B$8:$F$8)&gt;=0,MAX('P&amp;L'!$B$8:$F$8)&lt;=1),"PASS","FAIL")</f>
        <v>PASS</v>
      </c>
      <c r="C10" s="19" t="s">
        <v>465</v>
      </c>
    </row>
    <row r="11" customFormat="false" ht="15" hidden="false" customHeight="false" outlineLevel="0" collapsed="false">
      <c r="A11" s="6" t="s">
        <v>466</v>
      </c>
      <c r="B11" s="5" t="str">
        <f aca="false">IF(MIN(Monthly!$C$57:$BJ$57)&gt;=-0.5,"PASS","FAIL")</f>
        <v>PASS</v>
      </c>
      <c r="C11" s="19" t="s">
        <v>467</v>
      </c>
    </row>
    <row r="12" customFormat="false" ht="15" hidden="false" customHeight="false" outlineLevel="0" collapsed="false">
      <c r="A12" s="6" t="s">
        <v>468</v>
      </c>
      <c r="B12" s="5" t="str">
        <f aca="false">IF(ABS('Break-even'!B18-('Break-even'!B16-'Break-even'!B10))&lt;0.5,"PASS","FAIL")</f>
        <v>PASS</v>
      </c>
      <c r="C12" s="19" t="s">
        <v>469</v>
      </c>
    </row>
    <row r="13" customFormat="false" ht="15" hidden="false" customHeight="false" outlineLevel="0" collapsed="false">
      <c r="A13" s="6" t="s">
        <v>470</v>
      </c>
      <c r="B13" s="5" t="str">
        <f aca="false">IF(ABS(Valuation!B23-NPV(Valuation!B6,Valuation!$B$17:$F$17))&lt;0.5,"PASS","FAIL")</f>
        <v>PASS</v>
      </c>
      <c r="C13" s="19" t="s">
        <v>471</v>
      </c>
    </row>
    <row r="14" customFormat="false" ht="15" hidden="false" customHeight="false" outlineLevel="0" collapsed="false">
      <c r="A14" s="6" t="s">
        <v>472</v>
      </c>
      <c r="B14" s="5" t="str">
        <f aca="false">IF(Valuation!B6&gt;Valuation!B7,"PASS","FAIL")</f>
        <v>PASS</v>
      </c>
      <c r="C14" s="19" t="s">
        <v>473</v>
      </c>
    </row>
    <row r="15" customFormat="false" ht="15" hidden="false" customHeight="false" outlineLevel="0" collapsed="false">
      <c r="A15" s="6" t="s">
        <v>474</v>
      </c>
      <c r="B15" s="5" t="str">
        <f aca="false">IF(ABS(Valuation!D36-Valuation!B27)&lt;0.5,"PASS","FAIL")</f>
        <v>PASS</v>
      </c>
      <c r="C15" s="19" t="s">
        <v>475</v>
      </c>
    </row>
    <row r="16" customFormat="false" ht="15" hidden="false" customHeight="false" outlineLevel="0" collapsed="false">
      <c r="A16" s="6" t="s">
        <v>476</v>
      </c>
      <c r="B16" s="5" t="str">
        <f aca="false">IF(Valuation!$F$17&gt;0,"PASS","WARN")</f>
        <v>PASS</v>
      </c>
      <c r="C16" s="19" t="s">
        <v>477</v>
      </c>
    </row>
    <row r="17" customFormat="false" ht="15" hidden="false" customHeight="false" outlineLevel="0" collapsed="false">
      <c r="A17" s="6" t="s">
        <v>478</v>
      </c>
      <c r="B17" s="5" t="str">
        <f aca="false">IF(ABS(SUM(Summary!$B$7:$F$7)-SUM(Monthly!$C$24:$BJ$24))&lt;0.5,"PASS","FAIL")</f>
        <v>PASS</v>
      </c>
      <c r="C17" s="19" t="s">
        <v>479</v>
      </c>
    </row>
    <row r="18" customFormat="false" ht="15" hidden="false" customHeight="false" outlineLevel="0" collapsed="false">
      <c r="A18" s="6" t="s">
        <v>480</v>
      </c>
      <c r="B18" s="5" t="str">
        <f aca="false">IF(SUMPRODUCT(--ISERROR(Monthly!$C$4:$BJ$98))+SUMPRODUCT(--ISERROR(Headcount!$C$4:$BJ$19))+SUMPRODUCT(--ISERROR('P&amp;L'!$B$3:$F$23))+SUMPRODUCT(--ISERROR('Cash Flow'!$B$3:$F$19))+SUMPRODUCT(--ISERROR('Balance Sheet'!$B$3:$F$18))+SUMPRODUCT(--ISERROR(KPIs!$B$4:$F$44))+SUMPRODUCT(--ISERROR('Break-even'!$B$26:$F$33))+SUMPRODUCT(--ISERROR(Valuation!$B$14:$F$19))+SUMPRODUCT(--ISERROR('Break-even'!$B$3:$F$35))+SUMPRODUCT(--ISERROR(Valuation!$A$3:$F$40))+SUMPRODUCT(--ISERROR(Summary!$B$5:$S$55))+SUMPRODUCT(--ISERROR(Dashboard!$A$6:$W$45))+SUMPRODUCT(--ISERROR(Scenarios!$B$5:$F$60))+SUMPRODUCT(--ISERROR('Sources &amp; Uses'!$B$5:$G$30))=0,"PASS","FAIL")</f>
        <v>PASS</v>
      </c>
      <c r="C18" s="19" t="s">
        <v>481</v>
      </c>
    </row>
    <row r="19" customFormat="false" ht="15" hidden="false" customHeight="false" outlineLevel="0" collapsed="false">
      <c r="A19" s="6" t="s">
        <v>482</v>
      </c>
      <c r="B19" s="5" t="str">
        <f aca="false">IF(SUMPRODUCT(--(ABS(Monthly!$C$98:$BJ$98)&gt;0.5))=0,"PASS","FAIL")</f>
        <v>PASS</v>
      </c>
      <c r="C19" s="19" t="s">
        <v>483</v>
      </c>
    </row>
    <row r="20" customFormat="false" ht="15" hidden="false" customHeight="false" outlineLevel="0" collapsed="false">
      <c r="A20" s="6" t="s">
        <v>484</v>
      </c>
      <c r="B20" s="5" t="str">
        <f aca="false">IF(MIN(Monthly!$C$76:$BJ$76)&gt;=0,"PASS","WARN")</f>
        <v>PASS</v>
      </c>
      <c r="C20" s="19" t="s">
        <v>485</v>
      </c>
    </row>
    <row r="21" customFormat="false" ht="15" hidden="false" customHeight="false" outlineLevel="0" collapsed="false">
      <c r="A21" s="6" t="s">
        <v>486</v>
      </c>
      <c r="B21" s="6" t="str">
        <f aca="false">IF(ABS('Sources &amp; Uses'!B21-'Sources &amp; Uses'!F21)&lt;0.5,"PASS","FAIL")</f>
        <v>PASS</v>
      </c>
      <c r="C21" s="6" t="s">
        <v>487</v>
      </c>
    </row>
    <row r="22" customFormat="false" ht="15" hidden="false" customHeight="false" outlineLevel="0" collapsed="false">
      <c r="A22" s="35" t="s">
        <v>488</v>
      </c>
      <c r="B22" s="35" t="str">
        <f aca="false">IF(COUNTIF(B4:B21,"FAIL")&gt;0,"FAIL",IF(COUNTIF(B4:B21,"WARN")&gt;0,"PASS WITH WARNINGS","PASS"))</f>
        <v>PASS</v>
      </c>
      <c r="C22" s="35"/>
    </row>
  </sheetData>
  <conditionalFormatting sqref="B4:B22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2026-10-20T11:51:41Z</dcterms:created>
  <dc:creator/>
  <dc:description/>
  <dc:language>en-US</dc:language>
  <cp:lastModifiedBy/>
  <dcterms:modified xsi:type="dcterms:W3CDTF">2026-10-20T12:16:27Z</dcterms:modified>
  <cp:revision>0</cp:revision>
  <dc:subject/>
  <dc:title>SaaS company —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