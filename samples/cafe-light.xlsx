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Break-even" sheetId="3" state="visible" r:id="rId5"/>
    <sheet name="Inputs" sheetId="4" state="visible" r:id="rId6"/>
    <sheet name="P&amp;L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<sst xmlns="http://schemas.openxmlformats.org/spreadsheetml/2006/main" count="336" uniqueCount="263">
  <si>
    <t xml:space="preserve">Neighborhood Cafe — Financial Plan</t>
  </si>
  <si>
    <t xml:space="preserve">3-year financial model · monthly detail · Low / Base / High scenarios · US dollars · Light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</si>
  <si>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</si>
  <si>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</si>
  <si>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</si>
  <si>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</si>
  <si>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</si>
  <si>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</si>
  <si>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</si>
  <si>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</si>
  <si>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</si>
  <si>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Startup costs, funding need, break-even timing and revenue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</si>
  <si>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</si>
  <si>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</si>
  <si>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</si>
  <si>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</si>
  <si>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</si>
  <si>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</si>
  <si>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</si>
  <si>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</si>
  <si>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</si>
  <si>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</si>
  <si>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</si>
  <si>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</si>
  <si>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</si>
  <si>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</si>
  <si>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</si>
  <si>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</si>
  <si>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</si>
  <si>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</si>
  <si>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FIRST MONTH WITH POSITIVE EBITDA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</si>
  <si>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</si>
  <si>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</si>
  <si>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</si>
  <si>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</si>
  <si>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</si>
  <si>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</si>
  <si>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</si>
  <si>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</si>
  <si>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</si>
  <si>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</si>
  <si>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</si>
  <si>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</si>
  <si>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</si>
  <si>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</si>
  <si>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Cafe metrics</t>
  </si>
  <si>
    <t xml:space="preserve">Customers per day (year end)</t>
  </si>
  <si>
    <t xml:space="preserve">Average ticket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</si>
  <si>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</si>
  <si>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</si>
  <si>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</si>
  <si>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</si>
  <si>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</si>
  <si>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</si>
  <si>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</si>
  <si>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</si>
  <si>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</si>
  <si>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</si>
  <si>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</si>
  <si>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</si>
  <si>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</si>
  <si>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</si>
  <si>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</si>
  <si>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</si>
  <si>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</si>
  <si>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</si>
  <si>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</si>
  <si>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</si>
  <si>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</si>
  <si>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</si>
  <si>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</si>
  <si>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</si>
  <si>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</si>
  <si>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</si>
  <si>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</si>
  <si>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</si>
  <si>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</si>
  <si>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</si>
  <si>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</si>
  <si>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</si>
  <si>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</si>
  <si>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</si>
  <si>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</si>
  <si>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</si>
  <si>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</si>
  <si>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</si>
  <si>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</si>
  <si>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</si>
  <si>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Inputs — Low / Base / High</t>
  </si>
  <si>
    <t xml:space="preserve">Illustrative assumptions for a demo — replace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</si>
  <si>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</si>
  <si>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</si>
  <si>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</si>
  <si>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</si>
  <si>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</si>
  <si>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</si>
  <si>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</si>
  <si>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Business drivers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</si>
  <si>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</si>
  <si>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</si>
  <si>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</si>
  <si>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</si>
  <si>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</si>
  <si>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</si>
  <si>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</si>
  <si>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</si>
  <si>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</si>
  <si>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</t>
  </si>
  <si>
    <t xml:space="preserve">$</t>
  </si>
  <si>
    <t xml:space="preserve">Price growth per year</t>
  </si>
  <si>
    <t xml:space="preserve">Operating days per month</t>
  </si>
  <si>
    <t xml:space="preserve">days</t>
  </si>
  <si>
    <t xml:space="preserve">Food &amp; beverage cost, % of revenue</t>
  </si>
  <si>
    <t xml:space="preserve">Rent per month</t>
  </si>
  <si>
    <t xml:space="preserve">Marketing, % of revenue</t>
  </si>
  <si>
    <t xml:space="preserve">Utilities &amp; other per month</t>
  </si>
  <si>
    <t xml:space="preserve">Start-up capex (fit-out, equipment)</t>
  </si>
  <si>
    <t xml:space="preserve">Headcount</t>
  </si>
  <si>
    <t xml:space="preserve">Cafe staff: headcount (FTE)</t>
  </si>
  <si>
    <t xml:space="preserve">FTE</t>
  </si>
  <si>
    <t xml:space="preserve">Cafe staff: salary per FTE per year</t>
  </si>
  <si>
    <t xml:space="preserve">Cafe staff: headcount growth per year</t>
  </si>
  <si>
    <t xml:space="preserve">Cafe staff: first month on payroll</t>
  </si>
  <si>
    <t xml:space="preserve">month #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</si>
  <si>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</si>
  <si>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</si>
  <si>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</si>
  <si>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</si>
  <si>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</si>
  <si>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</si>
  <si>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</si>
  <si>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</si>
  <si>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</si>
  <si>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</si>
  <si>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</si>
  <si>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</si>
  <si>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</si>
  <si>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</si>
  <si>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</si>
  <si>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</si>
  <si>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</si>
  <si>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</si>
  <si>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Neighborhood Cafe — Financial Plan — P&amp;L</t>
  </si>
  <si>
    <t xml:space="preserve">Rolled up from the period detail (SUMIF on the year row; balances at year end).</t>
  </si>
  <si>
    <t xml:space="preserve">Total operating expenses</t>
  </si>
  <si>
    <t xml:space="preserve">Year-end loan balance</t>
  </si>
  <si>
    <t xml:space="preserve">Monthly detail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</si>
  <si>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</si>
  <si>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</si>
  <si>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</si>
  <si>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</si>
  <si>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</si>
  <si>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</si>
  <si>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</si>
  <si>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</si>
  <si>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</si>
  <si>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</si>
  <si>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</si>
  <si>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</si>
  <si>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</si>
  <si>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</si>
  <si>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</si>
  <si>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</si>
  <si>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</si>
  <si>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</si>
  <si>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</si>
  <si>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</si>
  <si>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</si>
  <si>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</si>
  <si>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</si>
  <si>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</si>
  <si>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</si>
  <si>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</si>
  <si>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</si>
  <si>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</si>
  <si>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</si>
  <si>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</si>
  <si>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</si>
  <si>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</si>
  <si>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</si>
  <si>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</si>
  <si>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</si>
  <si>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</si>
  <si>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</si>
  <si>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</si>
  <si>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Revenue build</t>
  </si>
  <si>
    <t xml:space="preserve">Traffic ramp factor</t>
  </si>
  <si>
    <t xml:space="preserve">Customers per day</t>
  </si>
  <si>
    <t xml:space="preserve">Operating days in period</t>
  </si>
  <si>
    <t xml:space="preserve">Food &amp; beverage cost</t>
  </si>
  <si>
    <t xml:space="preserve">Rent</t>
  </si>
  <si>
    <t xml:space="preserve">Payroll</t>
  </si>
  <si>
    <t xml:space="preserve">Marketing</t>
  </si>
  <si>
    <t xml:space="preserve">Utilities &amp; other</t>
  </si>
  <si>
    <t xml:space="preserve">Profit after depreciation, interest, tax</t>
  </si>
  <si>
    <t xml:space="preserve">EBIT</t>
  </si>
  <si>
    <t xml:space="preserve">Interest on loan (average balance after drawdown)</t>
  </si>
  <si>
    <t xml:space="preserve">Pre-tax income</t>
  </si>
  <si>
    <t xml:space="preserve">Helper: cumulative pre-tax income</t>
  </si>
  <si>
    <t xml:space="preserve">Helper: cumulative taxable income (losses carried forward)</t>
  </si>
  <si>
    <t xml:space="preserve">Income tax</t>
  </si>
  <si>
    <t xml:space="preserve">Fixed assets &amp; capital spending</t>
  </si>
  <si>
    <t xml:space="preserve">Capital spending</t>
  </si>
  <si>
    <t xml:space="preserve">Fixed assets at cost</t>
  </si>
  <si>
    <t xml:space="preserve">Depreciation</t>
  </si>
  <si>
    <t xml:space="preserve">Accumulated depreciation</t>
  </si>
  <si>
    <t xml:space="preserve">Net fixed assets</t>
  </si>
  <si>
    <t xml:space="preserve">Debt</t>
  </si>
  <si>
    <t xml:space="preserve">Loan — opening balance</t>
  </si>
  <si>
    <t xml:space="preserve">Loan drawdown</t>
  </si>
  <si>
    <t xml:space="preserve">Loan repayment</t>
  </si>
  <si>
    <t xml:space="preserve">Loan — closing balance</t>
  </si>
  <si>
    <t xml:space="preserve">Accounts receivable</t>
  </si>
  <si>
    <t xml:space="preserve">Inventory</t>
  </si>
  <si>
    <t xml:space="preserve">Accounts payable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</si>
  <si>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</si>
  <si>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</si>
  <si>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</si>
  <si>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Cash flow</t>
  </si>
  <si>
    <t xml:space="preserve">Investing cash flow (capex)</t>
  </si>
  <si>
    <t xml:space="preserve">Net cash flow</t>
  </si>
  <si>
    <t xml:space="preserve">Opening cash</t>
  </si>
  <si>
    <t xml:space="preserve">Closing cash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</si>
  <si>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</si>
  <si>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</si>
  <si>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</si>
  <si>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</si>
  <si>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</si>
  <si>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</si>
  <si>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</si>
  <si>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Headcount (FTE)</t>
  </si>
  <si>
    <t xml:space="preserve">Cafe staff — FTE</t>
  </si>
  <si>
    <t xml:space="preserve">Total FTE</t>
  </si>
  <si>
    <t xml:space="preserve">Payroll cost (salary + taxes &amp; benefits)</t>
  </si>
  <si>
    <t xml:space="preserve">Cafe staff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</si>
  <si>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</si>
  <si>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</si>
  <si>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</si>
  <si>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</si>
  <si>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</si>
  <si>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</si>
  <si>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</si>
  <si>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</si>
  <si>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</si>
  <si>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</si>
  <si>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</si>
  <si>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</si>
  <si>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</si>
  <si>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</si>
  <si>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</si>
  <si>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</si>
  <si>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</si>
  <si>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</si>
  <si>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</si>
  <si>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</si>
  <si>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</si>
  <si>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</si>
  <si>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</si>
  <si>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No error values</t>
  </si>
  <si>
    <t xml:space="preserve">No error values (divide-by-zero, broken references) on any calculation sheet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</si>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</sst>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Month &quot;0"/>
    <numFmt numFmtId="169" formatCode="&quot;CAGR &quot;0%;&quot;CAGR -&quot;0%;&quot;CAGR &quot;0%"/>
    <numFmt numFmtId="170" formatCode="&quot;EBITDA $&quot;#,##0.0,,\M;&quot;EBITDA -$&quot;#,##0.0,,\M;&quot;EBITDA $&quot;0.0\M"/>
    <numFmt numFmtId="171" formatCode="&quot;Net margin &quot;0%;&quot;Net margin -&quot;0%;&quot;Net margin &quot;0%"/>
    <numFmt numFmtId="172" formatCode="&quot;in month &quot;0"/>
    <numFmt numFmtId="173" formatCode="&quot;Shortfall $&quot;#,##0.0,,\M"/>
    <numFmt numFmtId="174" formatCode="&quot;Year &quot;0"/>
    <numFmt numFmtId="175" formatCode="\$#,##0,;&quot;($&quot;#,##0,\);\-"/>
    <numFmt numFmtId="176" formatCode="#,##0.0;\(#,##0.0\);\-"/>
    <numFmt numFmtId="177" formatCode="\$#,##0.00;&quot;($&quot;#,##0.00\);\-"/>
    <numFmt numFmtId="178" formatCode="\$#,##0.0,,\M"/>
    <numFmt numFmtId="179" formatCode="0%"/>
    <numFmt numFmtId="180" formatCode="#,##0.0"/>
    <numFmt numFmtId="181" formatCode="\$#,##0.00"/>
    <numFmt numFmtId="182" formatCode="0"/>
    <numFmt numFmtId="183" formatCode="\$#,##0;&quot;($&quot;#,##0\);\-"/>
    <numFmt numFmtId="184" formatCode="0.0%;\(0.0%\);\-"/>
    <numFmt numFmtId="185" formatCode="[&gt;=1000000]\$#,##0.0,,\M;[&gt;=1000]\$#,##0,\k;\$#,##0"/>
    <numFmt numFmtId="186" formatCode="#,##0;\(#,##0\);\-"/>
    <numFmt numFmtId="187" formatCode="\$#,##0.00;&quot;($&quot;#,##0.00\);\-"/>
    <numFmt numFmtId="188" formatCode="#,##0.0;\(#,##0.0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808080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319800</c:v>
                </c:pt>
                <c:pt idx="1">
                  <c:v>408769.92</c:v>
                </c:pt>
                <c:pt idx="2">
                  <c:v>446294.998656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1231.99999999997</c:v>
                </c:pt>
                <c:pt idx="1">
                  <c:v>54409.5488</c:v>
                </c:pt>
                <c:pt idx="2">
                  <c:v>74549.5031398401</c:v>
                </c:pt>
              </c:numCache>
            </c:numRef>
          </c:val>
        </c:ser>
        <c:gapWidth val="60"/>
        <c:overlap val="0"/>
        <c:axId val="9581357"/>
        <c:axId val="10190358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0.00385240775484667</c:v>
                </c:pt>
                <c:pt idx="1">
                  <c:v>0.133105559234887</c:v>
                </c:pt>
                <c:pt idx="2">
                  <c:v>0.167040866163284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681893"/>
        <c:axId val="86829420"/>
      </c:lineChart>
      <c:catAx>
        <c:axId val="95813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190358"/>
        <c:crosses val="autoZero"/>
        <c:auto val="1"/>
        <c:lblAlgn val="ctr"/>
        <c:lblOffset val="100"/>
        <c:noMultiLvlLbl val="0"/>
      </c:catAx>
      <c:valAx>
        <c:axId val="101903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81357"/>
        <c:crosses val="autoZero"/>
        <c:crossBetween val="between"/>
      </c:valAx>
      <c:catAx>
        <c:axId val="9068189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829420"/>
        <c:crosses val="autoZero"/>
        <c:auto val="1"/>
        <c:lblAlgn val="ctr"/>
        <c:lblOffset val="100"/>
        <c:noMultiLvlLbl val="0"/>
      </c:catAx>
      <c:valAx>
        <c:axId val="868294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68189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-4307.82222222226</c:v>
                </c:pt>
                <c:pt idx="1">
                  <c:v>49852.4784533334</c:v>
                </c:pt>
                <c:pt idx="2">
                  <c:v>61223.6954946496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-160000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205333.333333333</c:v>
                </c:pt>
                <c:pt idx="1">
                  <c:v>-16000</c:v>
                </c:pt>
                <c:pt idx="2">
                  <c:v>-16000</c:v>
                </c:pt>
              </c:numCache>
            </c:numRef>
          </c:val>
        </c:ser>
        <c:gapWidth val="60"/>
        <c:overlap val="0"/>
        <c:axId val="21517921"/>
        <c:axId val="21663626"/>
      </c:barChart>
      <c:catAx>
        <c:axId val="2151792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663626"/>
        <c:crosses val="autoZero"/>
        <c:auto val="1"/>
        <c:lblAlgn val="ctr"/>
        <c:lblOffset val="100"/>
        <c:noMultiLvlLbl val="0"/>
      </c:catAx>
      <c:valAx>
        <c:axId val="2166362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5179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41025.5111111111</c:v>
                </c:pt>
                <c:pt idx="1">
                  <c:v>74877.9895644444</c:v>
                </c:pt>
                <c:pt idx="2">
                  <c:v>120101.685059094</c:v>
                </c:pt>
              </c:numCache>
            </c:numRef>
          </c:val>
        </c:ser>
        <c:gapWidth val="60"/>
        <c:overlap val="0"/>
        <c:axId val="85345574"/>
        <c:axId val="14633956"/>
      </c:barChart>
      <c:catAx>
        <c:axId val="8534557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633956"/>
        <c:crosses val="autoZero"/>
        <c:auto val="1"/>
        <c:lblAlgn val="ctr"/>
        <c:lblOffset val="100"/>
        <c:noMultiLvlLbl val="0"/>
      </c:catAx>
      <c:valAx>
        <c:axId val="1463395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345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Customers per day &amp; average ticket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Customers per day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#,##0.0;\(#,##0.0\);\-</c:formatCode>
                <c:ptCount val="3"/>
                <c:pt idx="0">
                  <c:v>160</c:v>
                </c:pt>
                <c:pt idx="1">
                  <c:v>169.6</c:v>
                </c:pt>
                <c:pt idx="2">
                  <c:v>179.776</c:v>
                </c:pt>
              </c:numCache>
            </c:numRef>
          </c:val>
        </c:ser>
        <c:gapWidth val="60"/>
        <c:overlap val="0"/>
        <c:axId val="70495492"/>
        <c:axId val="43326866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Average ticket (year end)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\$#,##0.00;"($"#,##0.00\);\-</c:formatCode>
                <c:ptCount val="3"/>
                <c:pt idx="0">
                  <c:v>6.5</c:v>
                </c:pt>
                <c:pt idx="1">
                  <c:v>6.695</c:v>
                </c:pt>
                <c:pt idx="2">
                  <c:v>6.89585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609391"/>
        <c:axId val="2182846"/>
      </c:lineChart>
      <c:catAx>
        <c:axId val="7049549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326866"/>
        <c:crosses val="autoZero"/>
        <c:auto val="1"/>
        <c:lblAlgn val="ctr"/>
        <c:lblOffset val="100"/>
        <c:noMultiLvlLbl val="0"/>
      </c:catAx>
      <c:valAx>
        <c:axId val="433268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495492"/>
        <c:crosses val="autoZero"/>
        <c:crossBetween val="between"/>
      </c:valAx>
      <c:catAx>
        <c:axId val="8760939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82846"/>
        <c:crosses val="autoZero"/>
        <c:auto val="1"/>
        <c:lblAlgn val="ctr"/>
        <c:lblOffset val="100"/>
        <c:noMultiLvlLbl val="0"/>
      </c:catAx>
      <c:valAx>
        <c:axId val="2182846"/>
        <c:scaling>
          <c:orientation val="minMax"/>
        </c:scaling>
        <c:delete val="0"/>
        <c:axPos val="r"/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60939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'Break-even'!$B$28:$D$28</c:f>
              <c:numCache>
                <c:formatCode>\$#,##0;"($"#,##0\);\-</c:formatCode>
                <c:ptCount val="3"/>
                <c:pt idx="0">
                  <c:v>319800</c:v>
                </c:pt>
                <c:pt idx="1">
                  <c:v>408769.92</c:v>
                </c:pt>
                <c:pt idx="2">
                  <c:v>446294.998656</c:v>
                </c:pt>
              </c:numCache>
            </c:numRef>
          </c:val>
        </c:ser>
        <c:gapWidth val="60"/>
        <c:overlap val="0"/>
        <c:axId val="34460877"/>
        <c:axId val="81320010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'Break-even'!$B$32:$D$32</c:f>
              <c:numCache>
                <c:formatCode>\$#,##0;"($"#,##0\);\-</c:formatCode>
                <c:ptCount val="3"/>
                <c:pt idx="0">
                  <c:v>317961.194029851</c:v>
                </c:pt>
                <c:pt idx="1">
                  <c:v>327561.638208955</c:v>
                </c:pt>
                <c:pt idx="2">
                  <c:v>335027.083521911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460877"/>
        <c:axId val="81320010"/>
      </c:lineChart>
      <c:catAx>
        <c:axId val="3446087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320010"/>
        <c:crosses val="autoZero"/>
        <c:auto val="1"/>
        <c:lblAlgn val="ctr"/>
        <c:lblOffset val="100"/>
        <c:noMultiLvlLbl val="0"/>
      </c:catAx>
      <c:valAx>
        <c:axId val="813200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4608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4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Checks!B16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HYPERLINK("#'Break-even'!A1","Break-even")</f>
        <v>Break-even</v>
      </c>
      <c r="D13" s="11" t="s">
        <v>11</v>
      </c>
    </row>
    <row r="14" customFormat="false" ht="15" hidden="false" customHeight="false" outlineLevel="0" collapsed="false">
      <c r="C14" s="8" t="s">
        <v>12</v>
      </c>
    </row>
    <row r="15" customFormat="false" ht="15" hidden="false" customHeight="false" outlineLevel="0" collapsed="false">
      <c r="B15" s="9" t="n">
        <v>3</v>
      </c>
      <c r="C15" s="10" t="str">
        <f aca="false">HYPERLINK("#Inputs!A1","Inputs")</f>
        <v>Inputs</v>
      </c>
      <c r="D15" s="11" t="s">
        <v>13</v>
      </c>
    </row>
    <row r="16" customFormat="false" ht="15" hidden="false" customHeight="false" outlineLevel="0" collapsed="false">
      <c r="C16" s="8" t="s">
        <v>14</v>
      </c>
    </row>
    <row r="17" customFormat="false" ht="15" hidden="false" customHeight="false" outlineLevel="0" collapsed="false">
      <c r="B17" s="9" t="n">
        <v>4</v>
      </c>
      <c r="C17" s="10" t="str">
        <f aca="false">HYPERLINK("#'P&amp;L'!A1","P&amp;L")</f>
        <v>P&amp;L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5</v>
      </c>
      <c r="C19" s="10" t="str">
        <f aca="false">HYPERLINK("#Checks!A1","Checks")</f>
        <v>Checks</v>
      </c>
      <c r="D19" s="11" t="s">
        <v>17</v>
      </c>
    </row>
    <row r="21" customFormat="false" ht="15" hidden="false" customHeight="false" outlineLevel="0" collapsed="false">
      <c r="B21" s="3" t="s">
        <v>18</v>
      </c>
    </row>
    <row r="22" customFormat="false" ht="15" hidden="false" customHeight="false" outlineLevel="0" collapsed="false">
      <c r="C22" s="12" t="n">
        <v>1000</v>
      </c>
      <c r="D22" s="6" t="s">
        <v>19</v>
      </c>
    </row>
    <row r="23" customFormat="false" ht="15" hidden="false" customHeight="false" outlineLevel="0" collapsed="false">
      <c r="C23" s="13" t="n">
        <v>1000</v>
      </c>
      <c r="D23" s="6" t="s">
        <v>20</v>
      </c>
    </row>
    <row r="24" customFormat="false" ht="15" hidden="false" customHeight="false" outlineLevel="0" collapsed="false">
      <c r="C24" s="14" t="n">
        <v>1000</v>
      </c>
      <c r="D24" s="6" t="s">
        <v>21</v>
      </c>
    </row>
    <row r="25" customFormat="false" ht="15" hidden="false" customHeight="false" outlineLevel="0" collapsed="false">
      <c r="C25" s="15" t="n">
        <v>1000</v>
      </c>
      <c r="D25" s="6" t="s">
        <v>22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23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24</v>
      </c>
      <c r="S4" s="22" t="s">
        <v>5</v>
      </c>
      <c r="T4" s="23" t="str">
        <f aca="false">Checks!B16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25</v>
      </c>
      <c r="B6" s="24"/>
      <c r="C6" s="24" t="s">
        <v>26</v>
      </c>
      <c r="D6" s="24"/>
      <c r="E6" s="24"/>
      <c r="F6" s="24"/>
      <c r="H6" s="24" t="s">
        <v>27</v>
      </c>
      <c r="I6" s="24"/>
      <c r="J6" s="24"/>
      <c r="K6" s="24"/>
      <c r="L6" s="24" t="s">
        <v>28</v>
      </c>
      <c r="M6" s="24"/>
      <c r="N6" s="24"/>
      <c r="O6" s="24"/>
      <c r="P6" s="24" t="s">
        <v>29</v>
      </c>
      <c r="Q6" s="24"/>
      <c r="R6" s="24"/>
      <c r="S6" s="24"/>
      <c r="T6" s="24" t="s">
        <v>30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446294.998656</v>
      </c>
      <c r="B7" s="25"/>
      <c r="C7" s="26" t="n">
        <f aca="false">D17</f>
        <v>0.167040866163284</v>
      </c>
      <c r="D7" s="26"/>
      <c r="E7" s="26"/>
      <c r="F7" s="26"/>
      <c r="H7" s="25" t="n">
        <f aca="false">D18</f>
        <v>38334.2393753308</v>
      </c>
      <c r="I7" s="25"/>
      <c r="J7" s="25"/>
      <c r="K7" s="25"/>
      <c r="L7" s="25" t="n">
        <f aca="false">F37</f>
        <v>33683.9777777778</v>
      </c>
      <c r="M7" s="25"/>
      <c r="N7" s="25"/>
      <c r="O7" s="25"/>
      <c r="P7" s="25" t="n">
        <f aca="false">F35</f>
        <v>239316.022222222</v>
      </c>
      <c r="Q7" s="25"/>
      <c r="R7" s="25"/>
      <c r="S7" s="25"/>
      <c r="T7" s="27" t="n">
        <f aca="false">F38</f>
        <v>6</v>
      </c>
      <c r="U7" s="27"/>
      <c r="V7" s="27"/>
      <c r="W7" s="27"/>
    </row>
    <row r="8" customFormat="false" ht="15" hidden="false" customHeight="true" outlineLevel="0" collapsed="false">
      <c r="A8" s="28" t="n">
        <f aca="false">IF(AND(B12&gt;0,D12&gt;=0),(D12/B12)^(1/2)-1,"CAGR n/a")</f>
        <v>0.181331488555883</v>
      </c>
      <c r="B8" s="28"/>
      <c r="C8" s="29" t="n">
        <f aca="false">D16</f>
        <v>74549.5031398401</v>
      </c>
      <c r="D8" s="29"/>
      <c r="E8" s="29"/>
      <c r="F8" s="29"/>
      <c r="H8" s="30" t="n">
        <f aca="false">D19</f>
        <v>0.0858943960626331</v>
      </c>
      <c r="I8" s="30"/>
      <c r="J8" s="30"/>
      <c r="K8" s="30"/>
      <c r="L8" s="31" t="n">
        <f aca="false">'Break-even'!B6</f>
        <v>6</v>
      </c>
      <c r="M8" s="31"/>
      <c r="N8" s="31"/>
      <c r="O8" s="31"/>
      <c r="P8" s="32" t="n">
        <f aca="false">IF(F36&gt;=0,"Covered by funding raised",-F36)</f>
        <v>19316.0222222222</v>
      </c>
      <c r="Q8" s="32"/>
      <c r="R8" s="32"/>
      <c r="S8" s="32"/>
      <c r="T8" s="33" t="str">
        <f aca="false">IF(ISNUMBER('Break-even'!B22),"Net income positive from month "&amp;'Break-even'!B22,"Net income not positive within horizon")</f>
        <v>Net income positive from month 7</v>
      </c>
      <c r="U8" s="33"/>
      <c r="V8" s="33"/>
      <c r="W8" s="33"/>
    </row>
    <row r="10" customFormat="false" ht="15.75" hidden="false" customHeight="true" outlineLevel="0" collapsed="false">
      <c r="A10" s="7" t="s">
        <v>31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4"/>
      <c r="B11" s="35" t="n">
        <v>1</v>
      </c>
      <c r="C11" s="35" t="n">
        <v>2</v>
      </c>
      <c r="D11" s="35" t="n">
        <v>3</v>
      </c>
      <c r="E11" s="36"/>
      <c r="F11" s="36"/>
    </row>
    <row r="12" customFormat="false" ht="15" hidden="false" customHeight="false" outlineLevel="0" collapsed="false">
      <c r="A12" s="6" t="s">
        <v>32</v>
      </c>
      <c r="B12" s="37" t="n">
        <f aca="false">SUMIF('P&amp;L'!$C$27:$AL$27,B$11,'P&amp;L'!$C$34:$AL$34)</f>
        <v>319800</v>
      </c>
      <c r="C12" s="37" t="n">
        <f aca="false">SUMIF('P&amp;L'!$C$27:$AL$27,C$11,'P&amp;L'!$C$34:$AL$34)</f>
        <v>408769.92</v>
      </c>
      <c r="D12" s="37" t="n">
        <f aca="false">SUMIF('P&amp;L'!$C$27:$AL$27,D$11,'P&amp;L'!$C$34:$AL$34)</f>
        <v>446294.998656</v>
      </c>
    </row>
    <row r="13" customFormat="false" ht="15" hidden="false" customHeight="false" outlineLevel="0" collapsed="false">
      <c r="A13" s="38" t="s">
        <v>33</v>
      </c>
      <c r="B13" s="39" t="n">
        <f aca="false">SUMIF('P&amp;L'!$C$27:$AL$27,B$11,'P&amp;L'!$C$36:$AL$36)</f>
        <v>214266</v>
      </c>
      <c r="C13" s="39" t="n">
        <f aca="false">SUMIF('P&amp;L'!$C$27:$AL$27,C$11,'P&amp;L'!$C$36:$AL$36)</f>
        <v>273875.8464</v>
      </c>
      <c r="D13" s="39" t="n">
        <f aca="false">SUMIF('P&amp;L'!$C$27:$AL$27,D$11,'P&amp;L'!$C$36:$AL$36)</f>
        <v>299017.64909952</v>
      </c>
      <c r="E13" s="38"/>
      <c r="F13" s="38"/>
    </row>
    <row r="14" customFormat="false" ht="15" hidden="false" customHeight="false" outlineLevel="0" collapsed="false">
      <c r="A14" s="40" t="s">
        <v>34</v>
      </c>
      <c r="B14" s="41" t="n">
        <f aca="false">IF(B12=0,0,B13/B12)</f>
        <v>0.67</v>
      </c>
      <c r="C14" s="41" t="n">
        <f aca="false">IF(C12=0,0,C13/C12)</f>
        <v>0.67</v>
      </c>
      <c r="D14" s="41" t="n">
        <f aca="false">IF(D12=0,0,D13/D12)</f>
        <v>0.67</v>
      </c>
    </row>
    <row r="15" customFormat="false" ht="15" hidden="false" customHeight="false" outlineLevel="0" collapsed="false">
      <c r="A15" s="6" t="s">
        <v>35</v>
      </c>
      <c r="B15" s="37" t="n">
        <f aca="false">SUMIF('P&amp;L'!$C$27:$AL$27,B$11,'P&amp;L'!$C$43:$AL$43)</f>
        <v>-213034</v>
      </c>
      <c r="C15" s="37" t="n">
        <f aca="false">SUMIF('P&amp;L'!$C$27:$AL$27,C$11,'P&amp;L'!$C$43:$AL$43)</f>
        <v>-219466.2976</v>
      </c>
      <c r="D15" s="37" t="n">
        <f aca="false">SUMIF('P&amp;L'!$C$27:$AL$27,D$11,'P&amp;L'!$C$43:$AL$43)</f>
        <v>-224468.14595968</v>
      </c>
    </row>
    <row r="16" customFormat="false" ht="15" hidden="false" customHeight="false" outlineLevel="0" collapsed="false">
      <c r="A16" s="38" t="s">
        <v>36</v>
      </c>
      <c r="B16" s="39" t="n">
        <f aca="false">SUMIF('P&amp;L'!$C$27:$AL$27,B$11,'P&amp;L'!$C$44:$AL$44)</f>
        <v>1231.99999999997</v>
      </c>
      <c r="C16" s="39" t="n">
        <f aca="false">SUMIF('P&amp;L'!$C$27:$AL$27,C$11,'P&amp;L'!$C$44:$AL$44)</f>
        <v>54409.5488</v>
      </c>
      <c r="D16" s="39" t="n">
        <f aca="false">SUMIF('P&amp;L'!$C$27:$AL$27,D$11,'P&amp;L'!$C$44:$AL$44)</f>
        <v>74549.5031398401</v>
      </c>
      <c r="E16" s="38"/>
      <c r="F16" s="38"/>
    </row>
    <row r="17" customFormat="false" ht="15" hidden="false" customHeight="false" outlineLevel="0" collapsed="false">
      <c r="A17" s="40" t="s">
        <v>37</v>
      </c>
      <c r="B17" s="41" t="n">
        <f aca="false">IF(B12=0,0,B16/B12)</f>
        <v>0.00385240775484667</v>
      </c>
      <c r="C17" s="41" t="n">
        <f aca="false">IF(C12=0,0,C16/C12)</f>
        <v>0.133105559234887</v>
      </c>
      <c r="D17" s="41" t="n">
        <f aca="false">IF(D12=0,0,D16/D12)</f>
        <v>0.167040866163284</v>
      </c>
    </row>
    <row r="18" customFormat="false" ht="15" hidden="false" customHeight="false" outlineLevel="0" collapsed="false">
      <c r="A18" s="42" t="s">
        <v>38</v>
      </c>
      <c r="B18" s="43" t="n">
        <f aca="false">SUMIF('P&amp;L'!$C$27:$AL$27,B$11,'P&amp;L'!$C$53:$AL$53)</f>
        <v>-27487.3650793651</v>
      </c>
      <c r="C18" s="43" t="n">
        <f aca="false">SUMIF('P&amp;L'!$C$27:$AL$27,C$11,'P&amp;L'!$C$53:$AL$53)</f>
        <v>26965.7392761905</v>
      </c>
      <c r="D18" s="43" t="n">
        <f aca="false">SUMIF('P&amp;L'!$C$27:$AL$27,D$11,'P&amp;L'!$C$53:$AL$53)</f>
        <v>38334.2393753308</v>
      </c>
      <c r="E18" s="42"/>
      <c r="F18" s="42"/>
    </row>
    <row r="19" customFormat="false" ht="15" hidden="false" customHeight="false" outlineLevel="0" collapsed="false">
      <c r="A19" s="40" t="s">
        <v>39</v>
      </c>
      <c r="B19" s="41" t="n">
        <f aca="false">IF(B12=0,0,B18/B12)</f>
        <v>-0.0859517357078334</v>
      </c>
      <c r="C19" s="41" t="n">
        <f aca="false">IF(C12=0,0,C18/C12)</f>
        <v>0.0659680127055105</v>
      </c>
      <c r="D19" s="41" t="n">
        <f aca="false">IF(D12=0,0,D18/D12)</f>
        <v>0.0858943960626331</v>
      </c>
    </row>
    <row r="20" customFormat="false" ht="15" hidden="false" customHeight="false" outlineLevel="0" collapsed="false">
      <c r="A20" s="6" t="s">
        <v>40</v>
      </c>
      <c r="B20" s="37" t="n">
        <f aca="false">SUMIF('P&amp;L'!$C$27:$AL$27,B$11,'P&amp;L'!$C$77:$AL$77)</f>
        <v>-4307.82222222226</v>
      </c>
      <c r="C20" s="37" t="n">
        <f aca="false">SUMIF('P&amp;L'!$C$27:$AL$27,C$11,'P&amp;L'!$C$77:$AL$77)</f>
        <v>49852.4784533334</v>
      </c>
      <c r="D20" s="37" t="n">
        <f aca="false">SUMIF('P&amp;L'!$C$27:$AL$27,D$11,'P&amp;L'!$C$77:$AL$77)</f>
        <v>61223.6954946496</v>
      </c>
    </row>
    <row r="21" customFormat="false" ht="15" hidden="false" customHeight="false" outlineLevel="0" collapsed="false">
      <c r="A21" s="6" t="s">
        <v>41</v>
      </c>
      <c r="B21" s="37" t="n">
        <f aca="false">SUMIF('P&amp;L'!$C$27:$AL$27,B$11,'P&amp;L'!$C$78:$AL$78)</f>
        <v>-160000</v>
      </c>
      <c r="C21" s="37" t="n">
        <f aca="false">SUMIF('P&amp;L'!$C$27:$AL$27,C$11,'P&amp;L'!$C$78:$AL$78)</f>
        <v>0</v>
      </c>
      <c r="D21" s="37" t="n">
        <f aca="false">SUMIF('P&amp;L'!$C$27:$AL$27,D$11,'P&amp;L'!$C$78:$AL$78)</f>
        <v>0</v>
      </c>
    </row>
    <row r="22" customFormat="false" ht="15" hidden="false" customHeight="false" outlineLevel="0" collapsed="false">
      <c r="A22" s="6" t="s">
        <v>42</v>
      </c>
      <c r="B22" s="37" t="n">
        <f aca="false">SUMIF('P&amp;L'!$C$27:$AL$27,B$11,'P&amp;L'!$C$80:$AL$80)</f>
        <v>205333.333333333</v>
      </c>
      <c r="C22" s="37" t="n">
        <f aca="false">SUMIF('P&amp;L'!$C$27:$AL$27,C$11,'P&amp;L'!$C$80:$AL$80)</f>
        <v>-16000</v>
      </c>
      <c r="D22" s="37" t="n">
        <f aca="false">SUMIF('P&amp;L'!$C$27:$AL$27,D$11,'P&amp;L'!$C$80:$AL$80)</f>
        <v>-16000</v>
      </c>
    </row>
    <row r="23" customFormat="false" ht="15" hidden="false" customHeight="false" outlineLevel="0" collapsed="false">
      <c r="A23" s="38" t="s">
        <v>43</v>
      </c>
      <c r="B23" s="39" t="n">
        <f aca="false">SUMIF('P&amp;L'!$C$27:$AL$27,B$11,'P&amp;L'!$C$81:$AL$81)</f>
        <v>41025.5111111111</v>
      </c>
      <c r="C23" s="39" t="n">
        <f aca="false">SUMIF('P&amp;L'!$C$27:$AL$27,C$11,'P&amp;L'!$C$81:$AL$81)</f>
        <v>33852.4784533334</v>
      </c>
      <c r="D23" s="39" t="n">
        <f aca="false">SUMIF('P&amp;L'!$C$27:$AL$27,D$11,'P&amp;L'!$C$81:$AL$81)</f>
        <v>45223.6954946496</v>
      </c>
      <c r="E23" s="38"/>
      <c r="F23" s="38"/>
    </row>
    <row r="24" customFormat="false" ht="15" hidden="false" customHeight="false" outlineLevel="0" collapsed="false">
      <c r="A24" s="42" t="s">
        <v>44</v>
      </c>
      <c r="B24" s="43" t="n">
        <f aca="false">INDEX('P&amp;L'!$C$83:$AL$83,B$11*12)</f>
        <v>41025.5111111111</v>
      </c>
      <c r="C24" s="43" t="n">
        <f aca="false">INDEX('P&amp;L'!$C$83:$AL$83,C$11*12)</f>
        <v>74877.9895644444</v>
      </c>
      <c r="D24" s="43" t="n">
        <f aca="false">INDEX('P&amp;L'!$C$83:$AL$83,D$11*12)</f>
        <v>120101.685059094</v>
      </c>
      <c r="E24" s="42"/>
      <c r="F24" s="42"/>
    </row>
    <row r="26" customFormat="false" ht="15.75" hidden="false" customHeight="true" outlineLevel="0" collapsed="false">
      <c r="A26" s="7" t="s">
        <v>45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4"/>
      <c r="B27" s="35" t="n">
        <v>1</v>
      </c>
      <c r="C27" s="35" t="n">
        <v>2</v>
      </c>
      <c r="D27" s="35" t="n">
        <v>3</v>
      </c>
      <c r="E27" s="36"/>
      <c r="F27" s="36"/>
    </row>
    <row r="28" customFormat="false" ht="15" hidden="false" customHeight="false" outlineLevel="0" collapsed="false">
      <c r="A28" s="6" t="s">
        <v>46</v>
      </c>
      <c r="B28" s="44" t="n">
        <f aca="false">INDEX('P&amp;L'!$C$31:$AL$31,B$27*12)</f>
        <v>160</v>
      </c>
      <c r="C28" s="44" t="n">
        <f aca="false">INDEX('P&amp;L'!$C$31:$AL$31,C$27*12)</f>
        <v>169.6</v>
      </c>
      <c r="D28" s="44" t="n">
        <f aca="false">INDEX('P&amp;L'!$C$31:$AL$31,D$27*12)</f>
        <v>179.776</v>
      </c>
    </row>
    <row r="29" customFormat="false" ht="15" hidden="false" customHeight="false" outlineLevel="0" collapsed="false">
      <c r="A29" s="6" t="s">
        <v>47</v>
      </c>
      <c r="B29" s="45" t="n">
        <f aca="false">INDEX('P&amp;L'!$C$32:$AL$32,B$27*12)</f>
        <v>6.5</v>
      </c>
      <c r="C29" s="45" t="n">
        <f aca="false">INDEX('P&amp;L'!$C$32:$AL$32,C$27*12)</f>
        <v>6.695</v>
      </c>
      <c r="D29" s="45" t="n">
        <f aca="false">INDEX('P&amp;L'!$C$32:$AL$32,D$27*12)</f>
        <v>6.89585</v>
      </c>
    </row>
    <row r="30" customFormat="false" ht="15" hidden="false" customHeight="false" outlineLevel="0" collapsed="false">
      <c r="A30" s="6" t="s">
        <v>48</v>
      </c>
      <c r="B30" s="44" t="n">
        <f aca="false">INDEX('P&amp;L'!$C$95:$AL$95,B$27*12)</f>
        <v>3.5</v>
      </c>
      <c r="C30" s="44" t="n">
        <f aca="false">INDEX('P&amp;L'!$C$95:$AL$95,C$27*12)</f>
        <v>3.5</v>
      </c>
      <c r="D30" s="44" t="n">
        <f aca="false">INDEX('P&amp;L'!$C$95:$AL$95,D$27*12)</f>
        <v>3.5</v>
      </c>
    </row>
    <row r="32" customFormat="false" ht="15.75" hidden="false" customHeight="true" outlineLevel="0" collapsed="false">
      <c r="A32" s="7" t="s">
        <v>49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6" t="s">
        <v>50</v>
      </c>
      <c r="B33" s="46"/>
      <c r="C33" s="46"/>
      <c r="D33" s="46"/>
      <c r="E33" s="46"/>
      <c r="F33" s="47" t="n">
        <f aca="false">Inputs!$E$29</f>
        <v>140000</v>
      </c>
    </row>
    <row r="34" customFormat="false" ht="15" hidden="false" customHeight="false" outlineLevel="0" collapsed="false">
      <c r="A34" s="6" t="s">
        <v>51</v>
      </c>
      <c r="B34" s="46"/>
      <c r="C34" s="46"/>
      <c r="D34" s="46"/>
      <c r="E34" s="46"/>
      <c r="F34" s="47" t="n">
        <f aca="false">Inputs!$E$30</f>
        <v>80000</v>
      </c>
    </row>
    <row r="35" customFormat="false" ht="15" hidden="false" customHeight="false" outlineLevel="0" collapsed="false">
      <c r="A35" s="6" t="s">
        <v>52</v>
      </c>
      <c r="B35" s="46"/>
      <c r="C35" s="46"/>
      <c r="D35" s="46"/>
      <c r="E35" s="46"/>
      <c r="F35" s="47" t="n">
        <f aca="false">'Break-even'!B12</f>
        <v>239316.022222222</v>
      </c>
    </row>
    <row r="36" customFormat="false" ht="15" hidden="false" customHeight="false" outlineLevel="0" collapsed="false">
      <c r="A36" s="38" t="s">
        <v>53</v>
      </c>
      <c r="B36" s="38"/>
      <c r="C36" s="38"/>
      <c r="D36" s="38"/>
      <c r="E36" s="38"/>
      <c r="F36" s="39" t="n">
        <f aca="false">'Break-even'!B17</f>
        <v>-19316.0222222222</v>
      </c>
    </row>
    <row r="37" customFormat="false" ht="15" hidden="false" customHeight="false" outlineLevel="0" collapsed="false">
      <c r="A37" s="6" t="str">
        <f aca="false">"Lowest cash balance (month "&amp;'Break-even'!B6&amp;")"</f>
        <v>Lowest cash balance (month 6)</v>
      </c>
      <c r="B37" s="46"/>
      <c r="C37" s="46"/>
      <c r="D37" s="46"/>
      <c r="E37" s="46"/>
      <c r="F37" s="47" t="n">
        <f aca="false">'Break-even'!B18</f>
        <v>33683.9777777778</v>
      </c>
    </row>
    <row r="38" customFormat="false" ht="15" hidden="false" customHeight="false" outlineLevel="0" collapsed="false">
      <c r="A38" s="6" t="s">
        <v>54</v>
      </c>
      <c r="B38" s="46"/>
      <c r="C38" s="46"/>
      <c r="D38" s="46"/>
      <c r="E38" s="46"/>
      <c r="F38" s="48" t="n">
        <f aca="false">'Break-even'!B21</f>
        <v>6</v>
      </c>
    </row>
    <row r="39" customFormat="false" ht="15" hidden="false" customHeight="false" outlineLevel="0" collapsed="false">
      <c r="A39" s="6" t="s">
        <v>55</v>
      </c>
      <c r="B39" s="46"/>
      <c r="C39" s="46"/>
      <c r="D39" s="46"/>
      <c r="E39" s="46"/>
      <c r="F39" s="48" t="str">
        <f aca="false">'Break-even'!B23</f>
        <v>Not within horizon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56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57</v>
      </c>
    </row>
    <row r="3" customFormat="false" ht="15" hidden="false" customHeight="false" outlineLevel="0" collapsed="false">
      <c r="A3" s="4" t="s">
        <v>58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59</v>
      </c>
      <c r="B5" s="7"/>
      <c r="C5" s="7"/>
      <c r="D5" s="7"/>
    </row>
    <row r="6" customFormat="false" ht="15" hidden="false" customHeight="false" outlineLevel="0" collapsed="false">
      <c r="A6" s="6" t="s">
        <v>60</v>
      </c>
      <c r="B6" s="49" t="n">
        <f aca="false">MATCH(MIN('P&amp;L'!$C$83:$AL$83),'P&amp;L'!$C$83:$AL$83,0)</f>
        <v>6</v>
      </c>
    </row>
    <row r="7" customFormat="false" ht="15" hidden="false" customHeight="false" outlineLevel="0" collapsed="false">
      <c r="A7" s="6" t="s">
        <v>61</v>
      </c>
      <c r="B7" s="50" t="n">
        <f aca="false">SUMPRODUCT(--('P&amp;L'!$C$26:$AL$26&lt;=$B$6),'P&amp;L'!$C$56:$AL$56)</f>
        <v>160000</v>
      </c>
    </row>
    <row r="8" customFormat="false" ht="15" hidden="false" customHeight="false" outlineLevel="0" collapsed="false">
      <c r="A8" s="6" t="s">
        <v>62</v>
      </c>
      <c r="B8" s="50" t="n">
        <f aca="false">-SUMPRODUCT(--('P&amp;L'!$C$26:$AL$26&lt;=$B$6),'P&amp;L'!$C$77:$AL$77)</f>
        <v>19649.3555555556</v>
      </c>
      <c r="D8" s="18" t="s">
        <v>63</v>
      </c>
    </row>
    <row r="9" customFormat="false" ht="15" hidden="false" customHeight="false" outlineLevel="0" collapsed="false">
      <c r="A9" s="6" t="s">
        <v>64</v>
      </c>
      <c r="B9" s="50" t="n">
        <f aca="false">-SUMPRODUCT(--('P&amp;L'!$C$26:$AL$26&lt;=$B$6),'P&amp;L'!$C$65:$AL$65)</f>
        <v>6666.66666666667</v>
      </c>
    </row>
    <row r="10" customFormat="false" ht="15" hidden="false" customHeight="false" outlineLevel="0" collapsed="false">
      <c r="A10" s="4" t="s">
        <v>65</v>
      </c>
      <c r="B10" s="51" t="n">
        <f aca="false">B7+B8+B9</f>
        <v>186316.022222222</v>
      </c>
    </row>
    <row r="11" customFormat="false" ht="15" hidden="false" customHeight="false" outlineLevel="0" collapsed="false">
      <c r="A11" s="6" t="s">
        <v>66</v>
      </c>
      <c r="B11" s="52" t="n">
        <f aca="false">Inputs!$E$44</f>
        <v>53000</v>
      </c>
      <c r="D11" s="18" t="s">
        <v>67</v>
      </c>
    </row>
    <row r="12" customFormat="false" ht="15" hidden="false" customHeight="false" outlineLevel="0" collapsed="false">
      <c r="A12" s="4" t="s">
        <v>68</v>
      </c>
      <c r="B12" s="51" t="n">
        <f aca="false">B10+B11</f>
        <v>239316.022222222</v>
      </c>
    </row>
    <row r="14" customFormat="false" ht="15" hidden="false" customHeight="false" outlineLevel="0" collapsed="false">
      <c r="A14" s="6" t="s">
        <v>50</v>
      </c>
      <c r="B14" s="52" t="n">
        <f aca="false">Inputs!$E$29</f>
        <v>140000</v>
      </c>
    </row>
    <row r="15" customFormat="false" ht="15" hidden="false" customHeight="false" outlineLevel="0" collapsed="false">
      <c r="A15" s="6" t="s">
        <v>51</v>
      </c>
      <c r="B15" s="52" t="n">
        <f aca="false">Inputs!$E$30</f>
        <v>80000</v>
      </c>
    </row>
    <row r="16" customFormat="false" ht="15" hidden="false" customHeight="false" outlineLevel="0" collapsed="false">
      <c r="A16" s="4" t="s">
        <v>69</v>
      </c>
      <c r="B16" s="51" t="n">
        <f aca="false">B14+B15</f>
        <v>220000</v>
      </c>
    </row>
    <row r="17" customFormat="false" ht="15" hidden="false" customHeight="false" outlineLevel="0" collapsed="false">
      <c r="A17" s="53" t="s">
        <v>53</v>
      </c>
      <c r="B17" s="54" t="n">
        <f aca="false">B16-B12</f>
        <v>-19316.0222222222</v>
      </c>
      <c r="D17" s="18" t="s">
        <v>70</v>
      </c>
    </row>
    <row r="18" customFormat="false" ht="15" hidden="false" customHeight="false" outlineLevel="0" collapsed="false">
      <c r="A18" s="6" t="s">
        <v>71</v>
      </c>
      <c r="B18" s="50" t="n">
        <f aca="false">MIN('P&amp;L'!$C$83:$AL$83)</f>
        <v>33683.9777777778</v>
      </c>
      <c r="D18" s="18" t="s">
        <v>72</v>
      </c>
    </row>
    <row r="20" customFormat="false" ht="15.75" hidden="false" customHeight="true" outlineLevel="0" collapsed="false">
      <c r="A20" s="7" t="s">
        <v>73</v>
      </c>
      <c r="B20" s="7"/>
      <c r="C20" s="7"/>
      <c r="D20" s="7"/>
    </row>
    <row r="21" customFormat="false" ht="15" hidden="false" customHeight="false" outlineLevel="0" collapsed="false">
      <c r="A21" s="6" t="s">
        <v>74</v>
      </c>
      <c r="B21" s="49" t="n">
        <f aca="false">IFERROR(MATCH(1,'P&amp;L'!$C$84:$AL$84,0),"Not within horizon")</f>
        <v>6</v>
      </c>
    </row>
    <row r="22" customFormat="false" ht="15" hidden="false" customHeight="false" outlineLevel="0" collapsed="false">
      <c r="A22" s="6" t="s">
        <v>75</v>
      </c>
      <c r="B22" s="49" t="n">
        <f aca="false">IFERROR(MATCH(1,'P&amp;L'!$C$87:$AL$87,0),"Not within horizon")</f>
        <v>7</v>
      </c>
    </row>
    <row r="23" customFormat="false" ht="15" hidden="false" customHeight="false" outlineLevel="0" collapsed="false">
      <c r="A23" s="6" t="s">
        <v>76</v>
      </c>
      <c r="B23" s="49" t="str">
        <f aca="false">IF(MIN('P&amp;L'!$C$89:$AL$89)&gt;=0,"No investment to pay back",IFERROR(MATCH(1,'P&amp;L'!$C$91:$AL$91,0),"Not within horizon"))</f>
        <v>Not within horizon</v>
      </c>
      <c r="D23" s="18" t="s">
        <v>77</v>
      </c>
    </row>
    <row r="25" customFormat="false" ht="15.75" hidden="false" customHeight="true" outlineLevel="0" collapsed="false">
      <c r="A25" s="7" t="s">
        <v>78</v>
      </c>
      <c r="B25" s="7"/>
      <c r="C25" s="7"/>
      <c r="D25" s="7"/>
    </row>
    <row r="26" customFormat="false" ht="15" hidden="false" customHeight="false" outlineLevel="0" collapsed="false">
      <c r="A26" s="55" t="s">
        <v>79</v>
      </c>
      <c r="B26" s="55" t="n">
        <v>1</v>
      </c>
      <c r="C26" s="55" t="n">
        <v>2</v>
      </c>
      <c r="D26" s="55" t="n">
        <v>3</v>
      </c>
    </row>
    <row r="27" customFormat="false" ht="15" hidden="false" customHeight="false" outlineLevel="0" collapsed="false">
      <c r="A27" s="34"/>
      <c r="B27" s="36" t="s">
        <v>80</v>
      </c>
      <c r="C27" s="36" t="s">
        <v>81</v>
      </c>
      <c r="D27" s="36" t="s">
        <v>82</v>
      </c>
    </row>
    <row r="28" customFormat="false" ht="15" hidden="false" customHeight="false" outlineLevel="0" collapsed="false">
      <c r="A28" s="4" t="s">
        <v>32</v>
      </c>
      <c r="B28" s="56" t="n">
        <f aca="false">SUMIF('P&amp;L'!$C$27:$AL$27,B$26,'P&amp;L'!$C$34:$AL$34)</f>
        <v>319800</v>
      </c>
      <c r="C28" s="56" t="n">
        <f aca="false">SUMIF('P&amp;L'!$C$27:$AL$27,C$26,'P&amp;L'!$C$34:$AL$34)</f>
        <v>408769.92</v>
      </c>
      <c r="D28" s="56" t="n">
        <f aca="false">SUMIF('P&amp;L'!$C$27:$AL$27,D$26,'P&amp;L'!$C$34:$AL$34)</f>
        <v>446294.998656</v>
      </c>
    </row>
    <row r="29" customFormat="false" ht="15" hidden="false" customHeight="false" outlineLevel="0" collapsed="false">
      <c r="A29" s="6" t="s">
        <v>33</v>
      </c>
      <c r="B29" s="50" t="n">
        <f aca="false">SUMIF('P&amp;L'!$C$27:$AL$27,B$26,'P&amp;L'!$C$36:$AL$36)</f>
        <v>214266</v>
      </c>
      <c r="C29" s="50" t="n">
        <f aca="false">SUMIF('P&amp;L'!$C$27:$AL$27,C$26,'P&amp;L'!$C$36:$AL$36)</f>
        <v>273875.8464</v>
      </c>
      <c r="D29" s="50" t="n">
        <f aca="false">SUMIF('P&amp;L'!$C$27:$AL$27,D$26,'P&amp;L'!$C$36:$AL$36)</f>
        <v>299017.64909952</v>
      </c>
    </row>
    <row r="30" customFormat="false" ht="15" hidden="false" customHeight="false" outlineLevel="0" collapsed="false">
      <c r="A30" s="40" t="s">
        <v>83</v>
      </c>
      <c r="B30" s="57" t="n">
        <f aca="false">IF(B28=0,0,B29/B28)</f>
        <v>0.67</v>
      </c>
      <c r="C30" s="57" t="n">
        <f aca="false">IF(C28=0,0,C29/C28)</f>
        <v>0.67</v>
      </c>
      <c r="D30" s="57" t="n">
        <f aca="false">IF(D28=0,0,D29/D28)</f>
        <v>0.67</v>
      </c>
    </row>
    <row r="31" customFormat="false" ht="15" hidden="false" customHeight="false" outlineLevel="0" collapsed="false">
      <c r="A31" s="6" t="s">
        <v>84</v>
      </c>
      <c r="B31" s="50" t="n">
        <f aca="false">-SUMIF('P&amp;L'!$C$27:$AL$27,B$26,'P&amp;L'!$C$43:$AL$43)</f>
        <v>213034</v>
      </c>
      <c r="C31" s="50" t="n">
        <f aca="false">-SUMIF('P&amp;L'!$C$27:$AL$27,C$26,'P&amp;L'!$C$43:$AL$43)</f>
        <v>219466.2976</v>
      </c>
      <c r="D31" s="50" t="n">
        <f aca="false">-SUMIF('P&amp;L'!$C$27:$AL$27,D$26,'P&amp;L'!$C$43:$AL$43)</f>
        <v>224468.14595968</v>
      </c>
    </row>
    <row r="32" customFormat="false" ht="15" hidden="false" customHeight="false" outlineLevel="0" collapsed="false">
      <c r="A32" s="4" t="s">
        <v>85</v>
      </c>
      <c r="B32" s="56" t="n">
        <f aca="false">IF(B30&gt;0,B31/B30,"n/a")</f>
        <v>317961.194029851</v>
      </c>
      <c r="C32" s="56" t="n">
        <f aca="false">IF(C30&gt;0,C31/C30,"n/a")</f>
        <v>327561.638208955</v>
      </c>
      <c r="D32" s="56" t="n">
        <f aca="false">IF(D30&gt;0,D31/D30,"n/a")</f>
        <v>335027.083521911</v>
      </c>
    </row>
    <row r="33" customFormat="false" ht="15" hidden="false" customHeight="false" outlineLevel="0" collapsed="false">
      <c r="A33" s="40" t="s">
        <v>86</v>
      </c>
      <c r="B33" s="57" t="n">
        <f aca="false">IF(AND(ISNUMBER(B32),B28&gt;0),(B28-B32)/B28,"n/a")</f>
        <v>0.00574986232066676</v>
      </c>
      <c r="C33" s="57" t="n">
        <f aca="false">IF(AND(ISNUMBER(C32),C28&gt;0),(C28-C32)/C28,"n/a")</f>
        <v>0.198665013783413</v>
      </c>
      <c r="D33" s="57" t="n">
        <f aca="false">IF(AND(ISNUMBER(D32),D28&gt;0),(D28-D32)/D28,"n/a")</f>
        <v>0.249314725616842</v>
      </c>
    </row>
    <row r="35" customFormat="false" ht="15" hidden="false" customHeight="false" outlineLevel="0" collapsed="false">
      <c r="A35" s="4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88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89</v>
      </c>
    </row>
    <row r="5" customFormat="false" ht="15" hidden="false" customHeight="false" outlineLevel="0" collapsed="false">
      <c r="A5" s="34" t="s">
        <v>90</v>
      </c>
      <c r="B5" s="36" t="s">
        <v>91</v>
      </c>
      <c r="C5" s="36" t="s">
        <v>92</v>
      </c>
      <c r="D5" s="36" t="s">
        <v>93</v>
      </c>
      <c r="E5" s="36" t="s">
        <v>94</v>
      </c>
      <c r="F5" s="34" t="s">
        <v>95</v>
      </c>
      <c r="G5" s="34" t="s">
        <v>96</v>
      </c>
    </row>
    <row r="6" customFormat="false" ht="15.75" hidden="false" customHeight="true" outlineLevel="0" collapsed="false">
      <c r="A6" s="7" t="s">
        <v>97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98</v>
      </c>
      <c r="B7" s="58" t="n">
        <v>120</v>
      </c>
      <c r="C7" s="58" t="n">
        <v>160</v>
      </c>
      <c r="D7" s="58" t="n">
        <v>210</v>
      </c>
      <c r="E7" s="59" t="n">
        <f aca="false">CHOOSE(Dashboard!$B$4,B7,C7,D7)</f>
        <v>160</v>
      </c>
      <c r="F7" s="40" t="s">
        <v>99</v>
      </c>
      <c r="G7" s="60" t="s">
        <v>100</v>
      </c>
    </row>
    <row r="8" customFormat="false" ht="15" hidden="false" customHeight="false" outlineLevel="0" collapsed="false">
      <c r="A8" s="6" t="s">
        <v>101</v>
      </c>
      <c r="B8" s="58" t="n">
        <v>9</v>
      </c>
      <c r="C8" s="58" t="n">
        <v>6</v>
      </c>
      <c r="D8" s="58" t="n">
        <v>4</v>
      </c>
      <c r="E8" s="59" t="n">
        <f aca="false">CHOOSE(Dashboard!$B$4,B8,C8,D8)</f>
        <v>6</v>
      </c>
      <c r="F8" s="40" t="s">
        <v>102</v>
      </c>
      <c r="G8" s="60" t="s">
        <v>103</v>
      </c>
    </row>
    <row r="9" customFormat="false" ht="15" hidden="false" customHeight="false" outlineLevel="0" collapsed="false">
      <c r="A9" s="6" t="s">
        <v>104</v>
      </c>
      <c r="B9" s="61" t="n">
        <v>0.4</v>
      </c>
      <c r="C9" s="61" t="n">
        <v>0.5</v>
      </c>
      <c r="D9" s="61" t="n">
        <v>0.6</v>
      </c>
      <c r="E9" s="62" t="n">
        <f aca="false">CHOOSE(Dashboard!$B$4,B9,C9,D9)</f>
        <v>0.5</v>
      </c>
      <c r="F9" s="40" t="s">
        <v>105</v>
      </c>
      <c r="G9" s="60" t="s">
        <v>100</v>
      </c>
    </row>
    <row r="10" customFormat="false" ht="15" hidden="false" customHeight="false" outlineLevel="0" collapsed="false">
      <c r="A10" s="6" t="s">
        <v>106</v>
      </c>
      <c r="B10" s="61" t="n">
        <v>0.03</v>
      </c>
      <c r="C10" s="61" t="n">
        <v>0.06</v>
      </c>
      <c r="D10" s="61" t="n">
        <v>0.09</v>
      </c>
      <c r="E10" s="62" t="n">
        <f aca="false">CHOOSE(Dashboard!$B$4,B10,C10,D10)</f>
        <v>0.06</v>
      </c>
      <c r="F10" s="40" t="s">
        <v>105</v>
      </c>
      <c r="G10" s="60" t="s">
        <v>100</v>
      </c>
    </row>
    <row r="11" customFormat="false" ht="15" hidden="false" customHeight="false" outlineLevel="0" collapsed="false">
      <c r="A11" s="6" t="s">
        <v>107</v>
      </c>
      <c r="B11" s="63" t="n">
        <v>5.5</v>
      </c>
      <c r="C11" s="63" t="n">
        <v>6.5</v>
      </c>
      <c r="D11" s="63" t="n">
        <v>7.5</v>
      </c>
      <c r="E11" s="64" t="n">
        <f aca="false">CHOOSE(Dashboard!$B$4,B11,C11,D11)</f>
        <v>6.5</v>
      </c>
      <c r="F11" s="40" t="s">
        <v>108</v>
      </c>
      <c r="G11" s="60" t="s">
        <v>100</v>
      </c>
    </row>
    <row r="12" customFormat="false" ht="15" hidden="false" customHeight="false" outlineLevel="0" collapsed="false">
      <c r="A12" s="6" t="s">
        <v>109</v>
      </c>
      <c r="B12" s="61" t="n">
        <v>0.02</v>
      </c>
      <c r="C12" s="61" t="n">
        <v>0.03</v>
      </c>
      <c r="D12" s="61" t="n">
        <v>0.04</v>
      </c>
      <c r="E12" s="62" t="n">
        <f aca="false">CHOOSE(Dashboard!$B$4,B12,C12,D12)</f>
        <v>0.03</v>
      </c>
      <c r="F12" s="40" t="s">
        <v>105</v>
      </c>
      <c r="G12" s="60" t="s">
        <v>100</v>
      </c>
    </row>
    <row r="13" customFormat="false" ht="15" hidden="false" customHeight="false" outlineLevel="0" collapsed="false">
      <c r="A13" s="6" t="s">
        <v>110</v>
      </c>
      <c r="B13" s="58" t="n">
        <v>30</v>
      </c>
      <c r="C13" s="58" t="n">
        <v>30</v>
      </c>
      <c r="D13" s="58" t="n">
        <v>30</v>
      </c>
      <c r="E13" s="59" t="n">
        <f aca="false">CHOOSE(Dashboard!$B$4,B13,C13,D13)</f>
        <v>30</v>
      </c>
      <c r="F13" s="40" t="s">
        <v>111</v>
      </c>
      <c r="G13" s="60"/>
    </row>
    <row r="14" customFormat="false" ht="15" hidden="false" customHeight="false" outlineLevel="0" collapsed="false">
      <c r="A14" s="6" t="s">
        <v>112</v>
      </c>
      <c r="B14" s="61" t="n">
        <v>0.36</v>
      </c>
      <c r="C14" s="61" t="n">
        <v>0.33</v>
      </c>
      <c r="D14" s="61" t="n">
        <v>0.3</v>
      </c>
      <c r="E14" s="62" t="n">
        <f aca="false">CHOOSE(Dashboard!$B$4,B14,C14,D14)</f>
        <v>0.33</v>
      </c>
      <c r="F14" s="40" t="s">
        <v>105</v>
      </c>
      <c r="G14" s="60" t="s">
        <v>103</v>
      </c>
    </row>
    <row r="15" customFormat="false" ht="15" hidden="false" customHeight="false" outlineLevel="0" collapsed="false">
      <c r="A15" s="6" t="s">
        <v>113</v>
      </c>
      <c r="B15" s="65" t="n">
        <v>4500</v>
      </c>
      <c r="C15" s="65" t="n">
        <v>4500</v>
      </c>
      <c r="D15" s="65" t="n">
        <v>4500</v>
      </c>
      <c r="E15" s="66" t="n">
        <f aca="false">CHOOSE(Dashboard!$B$4,B15,C15,D15)</f>
        <v>4500</v>
      </c>
      <c r="F15" s="40" t="s">
        <v>108</v>
      </c>
      <c r="G15" s="60"/>
    </row>
    <row r="16" customFormat="false" ht="15" hidden="false" customHeight="false" outlineLevel="0" collapsed="false">
      <c r="A16" s="6" t="s">
        <v>114</v>
      </c>
      <c r="B16" s="61" t="n">
        <v>0.04</v>
      </c>
      <c r="C16" s="61" t="n">
        <v>0.03</v>
      </c>
      <c r="D16" s="61" t="n">
        <v>0.03</v>
      </c>
      <c r="E16" s="62" t="n">
        <f aca="false">CHOOSE(Dashboard!$B$4,B16,C16,D16)</f>
        <v>0.03</v>
      </c>
      <c r="F16" s="40" t="s">
        <v>105</v>
      </c>
      <c r="G16" s="60" t="s">
        <v>103</v>
      </c>
    </row>
    <row r="17" customFormat="false" ht="15" hidden="false" customHeight="false" outlineLevel="0" collapsed="false">
      <c r="A17" s="6" t="s">
        <v>115</v>
      </c>
      <c r="B17" s="65" t="n">
        <v>2200</v>
      </c>
      <c r="C17" s="65" t="n">
        <v>2000</v>
      </c>
      <c r="D17" s="65" t="n">
        <v>2000</v>
      </c>
      <c r="E17" s="66" t="n">
        <f aca="false">CHOOSE(Dashboard!$B$4,B17,C17,D17)</f>
        <v>2000</v>
      </c>
      <c r="F17" s="40" t="s">
        <v>108</v>
      </c>
      <c r="G17" s="60" t="s">
        <v>103</v>
      </c>
    </row>
    <row r="18" customFormat="false" ht="15" hidden="false" customHeight="false" outlineLevel="0" collapsed="false">
      <c r="A18" s="6" t="s">
        <v>116</v>
      </c>
      <c r="B18" s="65" t="n">
        <v>180000</v>
      </c>
      <c r="C18" s="65" t="n">
        <v>160000</v>
      </c>
      <c r="D18" s="65" t="n">
        <v>150000</v>
      </c>
      <c r="E18" s="66" t="n">
        <f aca="false">CHOOSE(Dashboard!$B$4,B18,C18,D18)</f>
        <v>160000</v>
      </c>
      <c r="F18" s="40" t="s">
        <v>108</v>
      </c>
      <c r="G18" s="60" t="s">
        <v>103</v>
      </c>
    </row>
    <row r="20" customFormat="false" ht="15.75" hidden="false" customHeight="true" outlineLevel="0" collapsed="false">
      <c r="A20" s="7" t="s">
        <v>117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118</v>
      </c>
      <c r="B21" s="67" t="n">
        <v>3</v>
      </c>
      <c r="C21" s="67" t="n">
        <v>3.5</v>
      </c>
      <c r="D21" s="67" t="n">
        <v>4</v>
      </c>
      <c r="E21" s="68" t="n">
        <f aca="false">CHOOSE(Dashboard!$B$4,B21,C21,D21)</f>
        <v>3.5</v>
      </c>
      <c r="F21" s="40" t="s">
        <v>119</v>
      </c>
      <c r="G21" s="60" t="s">
        <v>100</v>
      </c>
    </row>
    <row r="22" customFormat="false" ht="15" hidden="false" customHeight="false" outlineLevel="0" collapsed="false">
      <c r="A22" s="6" t="s">
        <v>120</v>
      </c>
      <c r="B22" s="65" t="n">
        <v>30000</v>
      </c>
      <c r="C22" s="65" t="n">
        <v>32000</v>
      </c>
      <c r="D22" s="65" t="n">
        <v>34000</v>
      </c>
      <c r="E22" s="66" t="n">
        <f aca="false">CHOOSE(Dashboard!$B$4,B22,C22,D22)</f>
        <v>32000</v>
      </c>
      <c r="F22" s="40" t="s">
        <v>108</v>
      </c>
      <c r="G22" s="60"/>
    </row>
    <row r="23" customFormat="false" ht="15" hidden="false" customHeight="false" outlineLevel="0" collapsed="false">
      <c r="A23" s="6" t="s">
        <v>121</v>
      </c>
      <c r="B23" s="61" t="n">
        <v>0</v>
      </c>
      <c r="C23" s="61" t="n">
        <v>0</v>
      </c>
      <c r="D23" s="61" t="n">
        <v>0</v>
      </c>
      <c r="E23" s="62" t="n">
        <f aca="false">CHOOSE(Dashboard!$B$4,B23,C23,D23)</f>
        <v>0</v>
      </c>
      <c r="F23" s="40" t="s">
        <v>105</v>
      </c>
      <c r="G23" s="60" t="s">
        <v>100</v>
      </c>
    </row>
    <row r="24" customFormat="false" ht="15" hidden="false" customHeight="false" outlineLevel="0" collapsed="false">
      <c r="A24" s="6" t="s">
        <v>122</v>
      </c>
      <c r="B24" s="58" t="n">
        <v>1</v>
      </c>
      <c r="C24" s="58" t="n">
        <v>1</v>
      </c>
      <c r="D24" s="58" t="n">
        <v>1</v>
      </c>
      <c r="E24" s="59" t="n">
        <f aca="false">CHOOSE(Dashboard!$B$4,B24,C24,D24)</f>
        <v>1</v>
      </c>
      <c r="F24" s="40" t="s">
        <v>123</v>
      </c>
      <c r="G24" s="60"/>
    </row>
    <row r="25" customFormat="false" ht="15" hidden="false" customHeight="false" outlineLevel="0" collapsed="false">
      <c r="A25" s="6" t="s">
        <v>124</v>
      </c>
      <c r="B25" s="61" t="n">
        <v>0.12</v>
      </c>
      <c r="C25" s="61" t="n">
        <v>0.12</v>
      </c>
      <c r="D25" s="61" t="n">
        <v>0.12</v>
      </c>
      <c r="E25" s="62" t="n">
        <f aca="false">CHOOSE(Dashboard!$B$4,B25,C25,D25)</f>
        <v>0.12</v>
      </c>
      <c r="F25" s="40" t="s">
        <v>105</v>
      </c>
      <c r="G25" s="60"/>
    </row>
    <row r="26" customFormat="false" ht="15" hidden="false" customHeight="false" outlineLevel="0" collapsed="false">
      <c r="A26" s="6" t="s">
        <v>125</v>
      </c>
      <c r="B26" s="61" t="n">
        <v>0.03</v>
      </c>
      <c r="C26" s="61" t="n">
        <v>0.03</v>
      </c>
      <c r="D26" s="61" t="n">
        <v>0.03</v>
      </c>
      <c r="E26" s="62" t="n">
        <f aca="false">CHOOSE(Dashboard!$B$4,B26,C26,D26)</f>
        <v>0.03</v>
      </c>
      <c r="F26" s="40" t="s">
        <v>105</v>
      </c>
      <c r="G26" s="60"/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127</v>
      </c>
      <c r="B29" s="65" t="n">
        <v>140000</v>
      </c>
      <c r="C29" s="65" t="n">
        <v>140000</v>
      </c>
      <c r="D29" s="65" t="n">
        <v>140000</v>
      </c>
      <c r="E29" s="66" t="n">
        <f aca="false">CHOOSE(Dashboard!$B$4,B29,C29,D29)</f>
        <v>140000</v>
      </c>
      <c r="F29" s="40" t="s">
        <v>108</v>
      </c>
      <c r="G29" s="60"/>
    </row>
    <row r="30" customFormat="false" ht="15" hidden="false" customHeight="false" outlineLevel="0" collapsed="false">
      <c r="A30" s="6" t="s">
        <v>128</v>
      </c>
      <c r="B30" s="65" t="n">
        <v>80000</v>
      </c>
      <c r="C30" s="65" t="n">
        <v>80000</v>
      </c>
      <c r="D30" s="65" t="n">
        <v>80000</v>
      </c>
      <c r="E30" s="66" t="n">
        <f aca="false">CHOOSE(Dashboard!$B$4,B30,C30,D30)</f>
        <v>80000</v>
      </c>
      <c r="F30" s="40" t="s">
        <v>108</v>
      </c>
      <c r="G30" s="60"/>
    </row>
    <row r="31" customFormat="false" ht="15" hidden="false" customHeight="false" outlineLevel="0" collapsed="false">
      <c r="A31" s="6" t="s">
        <v>129</v>
      </c>
      <c r="B31" s="61" t="n">
        <v>0.08</v>
      </c>
      <c r="C31" s="61" t="n">
        <v>0.08</v>
      </c>
      <c r="D31" s="61" t="n">
        <v>0.08</v>
      </c>
      <c r="E31" s="62" t="n">
        <f aca="false">CHOOSE(Dashboard!$B$4,B31,C31,D31)</f>
        <v>0.08</v>
      </c>
      <c r="F31" s="40" t="s">
        <v>105</v>
      </c>
      <c r="G31" s="60"/>
    </row>
    <row r="32" customFormat="false" ht="15" hidden="false" customHeight="false" outlineLevel="0" collapsed="false">
      <c r="A32" s="6" t="s">
        <v>130</v>
      </c>
      <c r="B32" s="58" t="n">
        <v>5</v>
      </c>
      <c r="C32" s="58" t="n">
        <v>5</v>
      </c>
      <c r="D32" s="58" t="n">
        <v>5</v>
      </c>
      <c r="E32" s="59" t="n">
        <f aca="false">CHOOSE(Dashboard!$B$4,B32,C32,D32)</f>
        <v>5</v>
      </c>
      <c r="F32" s="40" t="s">
        <v>131</v>
      </c>
      <c r="G32" s="60"/>
    </row>
    <row r="34" customFormat="false" ht="15.75" hidden="false" customHeight="true" outlineLevel="0" collapsed="false">
      <c r="A34" s="7" t="s">
        <v>132</v>
      </c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6" t="s">
        <v>133</v>
      </c>
      <c r="B35" s="58" t="n">
        <v>2</v>
      </c>
      <c r="C35" s="58" t="n">
        <v>2</v>
      </c>
      <c r="D35" s="58" t="n">
        <v>2</v>
      </c>
      <c r="E35" s="59" t="n">
        <f aca="false">CHOOSE(Dashboard!$B$4,B35,C35,D35)</f>
        <v>2</v>
      </c>
      <c r="F35" s="40" t="s">
        <v>111</v>
      </c>
      <c r="G35" s="60"/>
    </row>
    <row r="36" customFormat="false" ht="15" hidden="false" customHeight="false" outlineLevel="0" collapsed="false">
      <c r="A36" s="6" t="s">
        <v>134</v>
      </c>
      <c r="B36" s="58" t="n">
        <v>7</v>
      </c>
      <c r="C36" s="58" t="n">
        <v>7</v>
      </c>
      <c r="D36" s="58" t="n">
        <v>7</v>
      </c>
      <c r="E36" s="59" t="n">
        <f aca="false">CHOOSE(Dashboard!$B$4,B36,C36,D36)</f>
        <v>7</v>
      </c>
      <c r="F36" s="40" t="s">
        <v>111</v>
      </c>
      <c r="G36" s="60"/>
    </row>
    <row r="37" customFormat="false" ht="15" hidden="false" customHeight="false" outlineLevel="0" collapsed="false">
      <c r="A37" s="6" t="s">
        <v>135</v>
      </c>
      <c r="B37" s="58" t="n">
        <v>14</v>
      </c>
      <c r="C37" s="58" t="n">
        <v>14</v>
      </c>
      <c r="D37" s="58" t="n">
        <v>14</v>
      </c>
      <c r="E37" s="59" t="n">
        <f aca="false">CHOOSE(Dashboard!$B$4,B37,C37,D37)</f>
        <v>14</v>
      </c>
      <c r="F37" s="40" t="s">
        <v>111</v>
      </c>
      <c r="G37" s="60"/>
    </row>
    <row r="39" customFormat="false" ht="15.75" hidden="false" customHeight="true" outlineLevel="0" collapsed="false">
      <c r="A39" s="7" t="s">
        <v>136</v>
      </c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6" t="s">
        <v>137</v>
      </c>
      <c r="B40" s="58" t="n">
        <v>7</v>
      </c>
      <c r="C40" s="58" t="n">
        <v>7</v>
      </c>
      <c r="D40" s="58" t="n">
        <v>7</v>
      </c>
      <c r="E40" s="59" t="n">
        <f aca="false">CHOOSE(Dashboard!$B$4,B40,C40,D40)</f>
        <v>7</v>
      </c>
      <c r="F40" s="40" t="s">
        <v>131</v>
      </c>
      <c r="G40" s="60"/>
    </row>
    <row r="41" customFormat="false" ht="15" hidden="false" customHeight="false" outlineLevel="0" collapsed="false">
      <c r="A41" s="6" t="s">
        <v>138</v>
      </c>
      <c r="B41" s="61" t="n">
        <v>0.21</v>
      </c>
      <c r="C41" s="61" t="n">
        <v>0.21</v>
      </c>
      <c r="D41" s="61" t="n">
        <v>0.21</v>
      </c>
      <c r="E41" s="62" t="n">
        <f aca="false">CHOOSE(Dashboard!$B$4,B41,C41,D41)</f>
        <v>0.21</v>
      </c>
      <c r="F41" s="40" t="s">
        <v>105</v>
      </c>
      <c r="G41" s="60"/>
    </row>
    <row r="43" customFormat="false" ht="15.75" hidden="false" customHeight="true" outlineLevel="0" collapsed="false">
      <c r="A43" s="7" t="s">
        <v>139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6" t="s">
        <v>66</v>
      </c>
      <c r="B44" s="65" t="n">
        <v>53000</v>
      </c>
      <c r="C44" s="65" t="n">
        <v>53000</v>
      </c>
      <c r="D44" s="65" t="n">
        <v>53000</v>
      </c>
      <c r="E44" s="66" t="n">
        <f aca="false">CHOOSE(Dashboard!$B$4,B44,C44,D44)</f>
        <v>53000</v>
      </c>
      <c r="F44" s="40" t="s">
        <v>108</v>
      </c>
      <c r="G44" s="60" t="s">
        <v>140</v>
      </c>
    </row>
    <row r="46" customFormat="false" ht="15" hidden="false" customHeight="false" outlineLevel="0" collapsed="false">
      <c r="A46" s="2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AL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38" min="5" style="0" width="11"/>
  </cols>
  <sheetData>
    <row r="1" customFormat="false" ht="21.75" hidden="false" customHeight="true" outlineLevel="0" collapsed="false">
      <c r="A1" s="16" t="s">
        <v>142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143</v>
      </c>
    </row>
    <row r="3" customFormat="false" ht="15" hidden="false" customHeight="false" outlineLevel="0" collapsed="false">
      <c r="A3" s="55" t="s">
        <v>79</v>
      </c>
      <c r="B3" s="55" t="n">
        <v>1</v>
      </c>
      <c r="C3" s="55" t="n">
        <v>2</v>
      </c>
      <c r="D3" s="55" t="n">
        <v>3</v>
      </c>
    </row>
    <row r="4" customFormat="false" ht="15" hidden="false" customHeight="false" outlineLevel="0" collapsed="false">
      <c r="A4" s="34"/>
      <c r="B4" s="36" t="s">
        <v>80</v>
      </c>
      <c r="C4" s="36" t="s">
        <v>81</v>
      </c>
      <c r="D4" s="36" t="s">
        <v>82</v>
      </c>
    </row>
    <row r="5" customFormat="false" ht="15" hidden="false" customHeight="false" outlineLevel="0" collapsed="false">
      <c r="A5" s="4" t="s">
        <v>32</v>
      </c>
      <c r="B5" s="56" t="n">
        <f aca="false">SUMIF('P&amp;L'!$C$27:$AL$27,B$3,'P&amp;L'!$C$34:$AL$34)</f>
        <v>319800</v>
      </c>
      <c r="C5" s="56" t="n">
        <f aca="false">SUMIF('P&amp;L'!$C$27:$AL$27,C$3,'P&amp;L'!$C$34:$AL$34)</f>
        <v>408769.92</v>
      </c>
      <c r="D5" s="56" t="n">
        <f aca="false">SUMIF('P&amp;L'!$C$27:$AL$27,D$3,'P&amp;L'!$C$34:$AL$34)</f>
        <v>446294.998656</v>
      </c>
    </row>
    <row r="6" customFormat="false" ht="15" hidden="false" customHeight="false" outlineLevel="0" collapsed="false">
      <c r="A6" s="6" t="s">
        <v>33</v>
      </c>
      <c r="B6" s="50" t="n">
        <f aca="false">SUMIF('P&amp;L'!$C$27:$AL$27,B$3,'P&amp;L'!$C$36:$AL$36)</f>
        <v>214266</v>
      </c>
      <c r="C6" s="50" t="n">
        <f aca="false">SUMIF('P&amp;L'!$C$27:$AL$27,C$3,'P&amp;L'!$C$36:$AL$36)</f>
        <v>273875.8464</v>
      </c>
      <c r="D6" s="50" t="n">
        <f aca="false">SUMIF('P&amp;L'!$C$27:$AL$27,D$3,'P&amp;L'!$C$36:$AL$36)</f>
        <v>299017.64909952</v>
      </c>
    </row>
    <row r="7" customFormat="false" ht="15" hidden="false" customHeight="false" outlineLevel="0" collapsed="false">
      <c r="A7" s="40" t="s">
        <v>34</v>
      </c>
      <c r="B7" s="57" t="n">
        <f aca="false">IF(B5=0,0,B6/B5)</f>
        <v>0.67</v>
      </c>
      <c r="C7" s="57" t="n">
        <f aca="false">IF(C5=0,0,C6/C5)</f>
        <v>0.67</v>
      </c>
      <c r="D7" s="57" t="n">
        <f aca="false">IF(D5=0,0,D6/D5)</f>
        <v>0.67</v>
      </c>
    </row>
    <row r="8" customFormat="false" ht="15" hidden="false" customHeight="false" outlineLevel="0" collapsed="false">
      <c r="A8" s="6" t="s">
        <v>144</v>
      </c>
      <c r="B8" s="50" t="n">
        <f aca="false">SUMIF('P&amp;L'!$C$27:$AL$27,B$3,'P&amp;L'!$C$43:$AL$43)</f>
        <v>-213034</v>
      </c>
      <c r="C8" s="50" t="n">
        <f aca="false">SUMIF('P&amp;L'!$C$27:$AL$27,C$3,'P&amp;L'!$C$43:$AL$43)</f>
        <v>-219466.2976</v>
      </c>
      <c r="D8" s="50" t="n">
        <f aca="false">SUMIF('P&amp;L'!$C$27:$AL$27,D$3,'P&amp;L'!$C$43:$AL$43)</f>
        <v>-224468.14595968</v>
      </c>
    </row>
    <row r="9" customFormat="false" ht="15" hidden="false" customHeight="false" outlineLevel="0" collapsed="false">
      <c r="A9" s="69" t="s">
        <v>36</v>
      </c>
      <c r="B9" s="51" t="n">
        <f aca="false">SUMIF('P&amp;L'!$C$27:$AL$27,B$3,'P&amp;L'!$C$44:$AL$44)</f>
        <v>1231.99999999997</v>
      </c>
      <c r="C9" s="51" t="n">
        <f aca="false">SUMIF('P&amp;L'!$C$27:$AL$27,C$3,'P&amp;L'!$C$44:$AL$44)</f>
        <v>54409.5488</v>
      </c>
      <c r="D9" s="51" t="n">
        <f aca="false">SUMIF('P&amp;L'!$C$27:$AL$27,D$3,'P&amp;L'!$C$44:$AL$44)</f>
        <v>74549.5031398401</v>
      </c>
    </row>
    <row r="10" customFormat="false" ht="15" hidden="false" customHeight="false" outlineLevel="0" collapsed="false">
      <c r="A10" s="40" t="s">
        <v>37</v>
      </c>
      <c r="B10" s="57" t="n">
        <f aca="false">IF(B5=0,0,B9/B5)</f>
        <v>0.00385240775484667</v>
      </c>
      <c r="C10" s="57" t="n">
        <f aca="false">IF(C5=0,0,C9/C5)</f>
        <v>0.133105559234887</v>
      </c>
      <c r="D10" s="57" t="n">
        <f aca="false">IF(D5=0,0,D9/D5)</f>
        <v>0.167040866163284</v>
      </c>
    </row>
    <row r="11" customFormat="false" ht="15" hidden="false" customHeight="false" outlineLevel="0" collapsed="false">
      <c r="A11" s="53" t="s">
        <v>38</v>
      </c>
      <c r="B11" s="54" t="n">
        <f aca="false">SUMIF('P&amp;L'!$C$27:$AL$27,B$3,'P&amp;L'!$C$53:$AL$53)</f>
        <v>-27487.3650793651</v>
      </c>
      <c r="C11" s="54" t="n">
        <f aca="false">SUMIF('P&amp;L'!$C$27:$AL$27,C$3,'P&amp;L'!$C$53:$AL$53)</f>
        <v>26965.7392761905</v>
      </c>
      <c r="D11" s="54" t="n">
        <f aca="false">SUMIF('P&amp;L'!$C$27:$AL$27,D$3,'P&amp;L'!$C$53:$AL$53)</f>
        <v>38334.2393753308</v>
      </c>
    </row>
    <row r="12" customFormat="false" ht="15" hidden="false" customHeight="false" outlineLevel="0" collapsed="false">
      <c r="A12" s="53" t="s">
        <v>44</v>
      </c>
      <c r="B12" s="54" t="n">
        <f aca="false">INDEX('P&amp;L'!$C$83:$AL$83,B$3*12)</f>
        <v>41025.5111111111</v>
      </c>
      <c r="C12" s="54" t="n">
        <f aca="false">INDEX('P&amp;L'!$C$83:$AL$83,C$3*12)</f>
        <v>74877.9895644444</v>
      </c>
      <c r="D12" s="54" t="n">
        <f aca="false">INDEX('P&amp;L'!$C$83:$AL$83,D$3*12)</f>
        <v>120101.685059094</v>
      </c>
    </row>
    <row r="13" customFormat="false" ht="15" hidden="false" customHeight="false" outlineLevel="0" collapsed="false">
      <c r="A13" s="6" t="s">
        <v>145</v>
      </c>
      <c r="B13" s="50" t="n">
        <f aca="false">INDEX('P&amp;L'!$C$66:$AL$66,B$3*12)</f>
        <v>65333.3333333334</v>
      </c>
      <c r="C13" s="50" t="n">
        <f aca="false">INDEX('P&amp;L'!$C$66:$AL$66,C$3*12)</f>
        <v>49333.3333333334</v>
      </c>
      <c r="D13" s="50" t="n">
        <f aca="false">INDEX('P&amp;L'!$C$66:$AL$66,D$3*12)</f>
        <v>33333.3333333333</v>
      </c>
    </row>
    <row r="15" customFormat="false" ht="15.75" hidden="false" customHeight="true" outlineLevel="0" collapsed="false">
      <c r="A15" s="7" t="s">
        <v>45</v>
      </c>
      <c r="B15" s="7"/>
      <c r="C15" s="7"/>
      <c r="D15" s="7"/>
    </row>
    <row r="16" customFormat="false" ht="15" hidden="false" customHeight="false" outlineLevel="0" collapsed="false">
      <c r="A16" s="55" t="s">
        <v>79</v>
      </c>
      <c r="B16" s="55" t="n">
        <v>1</v>
      </c>
      <c r="C16" s="55" t="n">
        <v>2</v>
      </c>
      <c r="D16" s="55" t="n">
        <v>3</v>
      </c>
    </row>
    <row r="17" customFormat="false" ht="15" hidden="false" customHeight="false" outlineLevel="0" collapsed="false">
      <c r="A17" s="34"/>
      <c r="B17" s="36" t="s">
        <v>80</v>
      </c>
      <c r="C17" s="36" t="s">
        <v>81</v>
      </c>
      <c r="D17" s="36" t="s">
        <v>82</v>
      </c>
    </row>
    <row r="18" customFormat="false" ht="15" hidden="false" customHeight="false" outlineLevel="0" collapsed="false">
      <c r="A18" s="4" t="s">
        <v>46</v>
      </c>
      <c r="B18" s="70" t="n">
        <f aca="false">INDEX('P&amp;L'!$C$31:$AL$31,B$16*12)</f>
        <v>160</v>
      </c>
      <c r="C18" s="70" t="n">
        <f aca="false">INDEX('P&amp;L'!$C$31:$AL$31,C$16*12)</f>
        <v>169.6</v>
      </c>
      <c r="D18" s="70" t="n">
        <f aca="false">INDEX('P&amp;L'!$C$31:$AL$31,D$16*12)</f>
        <v>179.776</v>
      </c>
    </row>
    <row r="19" customFormat="false" ht="15" hidden="false" customHeight="false" outlineLevel="0" collapsed="false">
      <c r="A19" s="6" t="s">
        <v>47</v>
      </c>
      <c r="B19" s="71" t="n">
        <f aca="false">INDEX('P&amp;L'!$C$32:$AL$32,B$16*12)</f>
        <v>6.5</v>
      </c>
      <c r="C19" s="71" t="n">
        <f aca="false">INDEX('P&amp;L'!$C$32:$AL$32,C$16*12)</f>
        <v>6.695</v>
      </c>
      <c r="D19" s="71" t="n">
        <f aca="false">INDEX('P&amp;L'!$C$32:$AL$32,D$16*12)</f>
        <v>6.89585</v>
      </c>
    </row>
    <row r="20" customFormat="false" ht="15" hidden="false" customHeight="false" outlineLevel="0" collapsed="false">
      <c r="A20" s="4" t="s">
        <v>32</v>
      </c>
      <c r="B20" s="56" t="n">
        <f aca="false">SUMIF('P&amp;L'!$C$27:$AL$27,B$16,'P&amp;L'!$C$34:$AL$34)</f>
        <v>319800</v>
      </c>
      <c r="C20" s="56" t="n">
        <f aca="false">SUMIF('P&amp;L'!$C$27:$AL$27,C$16,'P&amp;L'!$C$34:$AL$34)</f>
        <v>408769.92</v>
      </c>
      <c r="D20" s="56" t="n">
        <f aca="false">SUMIF('P&amp;L'!$C$27:$AL$27,D$16,'P&amp;L'!$C$34:$AL$34)</f>
        <v>446294.998656</v>
      </c>
    </row>
    <row r="21" customFormat="false" ht="15" hidden="false" customHeight="false" outlineLevel="0" collapsed="false">
      <c r="A21" s="6" t="s">
        <v>33</v>
      </c>
      <c r="B21" s="50" t="n">
        <f aca="false">SUMIF('P&amp;L'!$C$27:$AL$27,B$16,'P&amp;L'!$C$36:$AL$36)</f>
        <v>214266</v>
      </c>
      <c r="C21" s="50" t="n">
        <f aca="false">SUMIF('P&amp;L'!$C$27:$AL$27,C$16,'P&amp;L'!$C$36:$AL$36)</f>
        <v>273875.8464</v>
      </c>
      <c r="D21" s="50" t="n">
        <f aca="false">SUMIF('P&amp;L'!$C$27:$AL$27,D$16,'P&amp;L'!$C$36:$AL$36)</f>
        <v>299017.64909952</v>
      </c>
    </row>
    <row r="22" customFormat="false" ht="15" hidden="false" customHeight="false" outlineLevel="0" collapsed="false">
      <c r="A22" s="40" t="s">
        <v>34</v>
      </c>
      <c r="B22" s="57" t="n">
        <f aca="false">IF(B20=0,0,B21/B20)</f>
        <v>0.67</v>
      </c>
      <c r="C22" s="57" t="n">
        <f aca="false">IF(C20=0,0,C21/C20)</f>
        <v>0.67</v>
      </c>
      <c r="D22" s="57" t="n">
        <f aca="false">IF(D20=0,0,D21/D20)</f>
        <v>0.67</v>
      </c>
    </row>
    <row r="24" customFormat="false" ht="15.75" hidden="false" customHeight="true" outlineLevel="0" collapsed="false">
      <c r="A24" s="7" t="s">
        <v>146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34" t="s">
        <v>147</v>
      </c>
      <c r="C25" s="36" t="s">
        <v>148</v>
      </c>
      <c r="D25" s="36" t="s">
        <v>149</v>
      </c>
      <c r="E25" s="36" t="s">
        <v>150</v>
      </c>
      <c r="F25" s="36" t="s">
        <v>151</v>
      </c>
      <c r="G25" s="36" t="s">
        <v>152</v>
      </c>
      <c r="H25" s="36" t="s">
        <v>153</v>
      </c>
      <c r="I25" s="36" t="s">
        <v>154</v>
      </c>
      <c r="J25" s="36" t="s">
        <v>155</v>
      </c>
      <c r="K25" s="36" t="s">
        <v>156</v>
      </c>
      <c r="L25" s="36" t="s">
        <v>157</v>
      </c>
      <c r="M25" s="36" t="s">
        <v>158</v>
      </c>
      <c r="N25" s="36" t="s">
        <v>159</v>
      </c>
      <c r="O25" s="36" t="s">
        <v>160</v>
      </c>
      <c r="P25" s="36" t="s">
        <v>161</v>
      </c>
      <c r="Q25" s="36" t="s">
        <v>162</v>
      </c>
      <c r="R25" s="36" t="s">
        <v>163</v>
      </c>
      <c r="S25" s="36" t="s">
        <v>164</v>
      </c>
      <c r="T25" s="36" t="s">
        <v>165</v>
      </c>
      <c r="U25" s="36" t="s">
        <v>166</v>
      </c>
      <c r="V25" s="36" t="s">
        <v>167</v>
      </c>
      <c r="W25" s="36" t="s">
        <v>168</v>
      </c>
      <c r="X25" s="36" t="s">
        <v>169</v>
      </c>
      <c r="Y25" s="36" t="s">
        <v>170</v>
      </c>
      <c r="Z25" s="36" t="s">
        <v>171</v>
      </c>
      <c r="AA25" s="36" t="s">
        <v>172</v>
      </c>
      <c r="AB25" s="36" t="s">
        <v>173</v>
      </c>
      <c r="AC25" s="36" t="s">
        <v>174</v>
      </c>
      <c r="AD25" s="36" t="s">
        <v>175</v>
      </c>
      <c r="AE25" s="36" t="s">
        <v>176</v>
      </c>
      <c r="AF25" s="36" t="s">
        <v>177</v>
      </c>
      <c r="AG25" s="36" t="s">
        <v>178</v>
      </c>
      <c r="AH25" s="36" t="s">
        <v>179</v>
      </c>
      <c r="AI25" s="36" t="s">
        <v>180</v>
      </c>
      <c r="AJ25" s="36" t="s">
        <v>181</v>
      </c>
      <c r="AK25" s="36" t="s">
        <v>182</v>
      </c>
      <c r="AL25" s="36" t="s">
        <v>183</v>
      </c>
    </row>
    <row r="26" customFormat="false" ht="15" hidden="false" customHeight="false" outlineLevel="0" collapsed="false">
      <c r="A26" s="55" t="s">
        <v>184</v>
      </c>
      <c r="C26" s="55" t="n">
        <v>1</v>
      </c>
      <c r="D26" s="55" t="n">
        <v>2</v>
      </c>
      <c r="E26" s="55" t="n">
        <v>3</v>
      </c>
      <c r="F26" s="55" t="n">
        <v>4</v>
      </c>
      <c r="G26" s="55" t="n">
        <v>5</v>
      </c>
      <c r="H26" s="55" t="n">
        <v>6</v>
      </c>
      <c r="I26" s="55" t="n">
        <v>7</v>
      </c>
      <c r="J26" s="55" t="n">
        <v>8</v>
      </c>
      <c r="K26" s="55" t="n">
        <v>9</v>
      </c>
      <c r="L26" s="55" t="n">
        <v>10</v>
      </c>
      <c r="M26" s="55" t="n">
        <v>11</v>
      </c>
      <c r="N26" s="55" t="n">
        <v>12</v>
      </c>
      <c r="O26" s="55" t="n">
        <v>13</v>
      </c>
      <c r="P26" s="55" t="n">
        <v>14</v>
      </c>
      <c r="Q26" s="55" t="n">
        <v>15</v>
      </c>
      <c r="R26" s="55" t="n">
        <v>16</v>
      </c>
      <c r="S26" s="55" t="n">
        <v>17</v>
      </c>
      <c r="T26" s="55" t="n">
        <v>18</v>
      </c>
      <c r="U26" s="55" t="n">
        <v>19</v>
      </c>
      <c r="V26" s="55" t="n">
        <v>20</v>
      </c>
      <c r="W26" s="55" t="n">
        <v>21</v>
      </c>
      <c r="X26" s="55" t="n">
        <v>22</v>
      </c>
      <c r="Y26" s="55" t="n">
        <v>23</v>
      </c>
      <c r="Z26" s="55" t="n">
        <v>24</v>
      </c>
      <c r="AA26" s="55" t="n">
        <v>25</v>
      </c>
      <c r="AB26" s="55" t="n">
        <v>26</v>
      </c>
      <c r="AC26" s="55" t="n">
        <v>27</v>
      </c>
      <c r="AD26" s="55" t="n">
        <v>28</v>
      </c>
      <c r="AE26" s="55" t="n">
        <v>29</v>
      </c>
      <c r="AF26" s="55" t="n">
        <v>30</v>
      </c>
      <c r="AG26" s="55" t="n">
        <v>31</v>
      </c>
      <c r="AH26" s="55" t="n">
        <v>32</v>
      </c>
      <c r="AI26" s="55" t="n">
        <v>33</v>
      </c>
      <c r="AJ26" s="55" t="n">
        <v>34</v>
      </c>
      <c r="AK26" s="55" t="n">
        <v>35</v>
      </c>
      <c r="AL26" s="55" t="n">
        <v>36</v>
      </c>
    </row>
    <row r="27" customFormat="false" ht="15" hidden="false" customHeight="false" outlineLevel="0" collapsed="false">
      <c r="A27" s="55" t="s">
        <v>79</v>
      </c>
      <c r="C27" s="55" t="n">
        <f aca="false">ROUNDUP(C26*1/12,0)</f>
        <v>1</v>
      </c>
      <c r="D27" s="55" t="n">
        <f aca="false">ROUNDUP(D26*1/12,0)</f>
        <v>1</v>
      </c>
      <c r="E27" s="55" t="n">
        <f aca="false">ROUNDUP(E26*1/12,0)</f>
        <v>1</v>
      </c>
      <c r="F27" s="55" t="n">
        <f aca="false">ROUNDUP(F26*1/12,0)</f>
        <v>1</v>
      </c>
      <c r="G27" s="55" t="n">
        <f aca="false">ROUNDUP(G26*1/12,0)</f>
        <v>1</v>
      </c>
      <c r="H27" s="55" t="n">
        <f aca="false">ROUNDUP(H26*1/12,0)</f>
        <v>1</v>
      </c>
      <c r="I27" s="55" t="n">
        <f aca="false">ROUNDUP(I26*1/12,0)</f>
        <v>1</v>
      </c>
      <c r="J27" s="55" t="n">
        <f aca="false">ROUNDUP(J26*1/12,0)</f>
        <v>1</v>
      </c>
      <c r="K27" s="55" t="n">
        <f aca="false">ROUNDUP(K26*1/12,0)</f>
        <v>1</v>
      </c>
      <c r="L27" s="55" t="n">
        <f aca="false">ROUNDUP(L26*1/12,0)</f>
        <v>1</v>
      </c>
      <c r="M27" s="55" t="n">
        <f aca="false">ROUNDUP(M26*1/12,0)</f>
        <v>1</v>
      </c>
      <c r="N27" s="55" t="n">
        <f aca="false">ROUNDUP(N26*1/12,0)</f>
        <v>1</v>
      </c>
      <c r="O27" s="55" t="n">
        <f aca="false">ROUNDUP(O26*1/12,0)</f>
        <v>2</v>
      </c>
      <c r="P27" s="55" t="n">
        <f aca="false">ROUNDUP(P26*1/12,0)</f>
        <v>2</v>
      </c>
      <c r="Q27" s="55" t="n">
        <f aca="false">ROUNDUP(Q26*1/12,0)</f>
        <v>2</v>
      </c>
      <c r="R27" s="55" t="n">
        <f aca="false">ROUNDUP(R26*1/12,0)</f>
        <v>2</v>
      </c>
      <c r="S27" s="55" t="n">
        <f aca="false">ROUNDUP(S26*1/12,0)</f>
        <v>2</v>
      </c>
      <c r="T27" s="55" t="n">
        <f aca="false">ROUNDUP(T26*1/12,0)</f>
        <v>2</v>
      </c>
      <c r="U27" s="55" t="n">
        <f aca="false">ROUNDUP(U26*1/12,0)</f>
        <v>2</v>
      </c>
      <c r="V27" s="55" t="n">
        <f aca="false">ROUNDUP(V26*1/12,0)</f>
        <v>2</v>
      </c>
      <c r="W27" s="55" t="n">
        <f aca="false">ROUNDUP(W26*1/12,0)</f>
        <v>2</v>
      </c>
      <c r="X27" s="55" t="n">
        <f aca="false">ROUNDUP(X26*1/12,0)</f>
        <v>2</v>
      </c>
      <c r="Y27" s="55" t="n">
        <f aca="false">ROUNDUP(Y26*1/12,0)</f>
        <v>2</v>
      </c>
      <c r="Z27" s="55" t="n">
        <f aca="false">ROUNDUP(Z26*1/12,0)</f>
        <v>2</v>
      </c>
      <c r="AA27" s="55" t="n">
        <f aca="false">ROUNDUP(AA26*1/12,0)</f>
        <v>3</v>
      </c>
      <c r="AB27" s="55" t="n">
        <f aca="false">ROUNDUP(AB26*1/12,0)</f>
        <v>3</v>
      </c>
      <c r="AC27" s="55" t="n">
        <f aca="false">ROUNDUP(AC26*1/12,0)</f>
        <v>3</v>
      </c>
      <c r="AD27" s="55" t="n">
        <f aca="false">ROUNDUP(AD26*1/12,0)</f>
        <v>3</v>
      </c>
      <c r="AE27" s="55" t="n">
        <f aca="false">ROUNDUP(AE26*1/12,0)</f>
        <v>3</v>
      </c>
      <c r="AF27" s="55" t="n">
        <f aca="false">ROUNDUP(AF26*1/12,0)</f>
        <v>3</v>
      </c>
      <c r="AG27" s="55" t="n">
        <f aca="false">ROUNDUP(AG26*1/12,0)</f>
        <v>3</v>
      </c>
      <c r="AH27" s="55" t="n">
        <f aca="false">ROUNDUP(AH26*1/12,0)</f>
        <v>3</v>
      </c>
      <c r="AI27" s="55" t="n">
        <f aca="false">ROUNDUP(AI26*1/12,0)</f>
        <v>3</v>
      </c>
      <c r="AJ27" s="55" t="n">
        <f aca="false">ROUNDUP(AJ26*1/12,0)</f>
        <v>3</v>
      </c>
      <c r="AK27" s="55" t="n">
        <f aca="false">ROUNDUP(AK26*1/12,0)</f>
        <v>3</v>
      </c>
      <c r="AL27" s="55" t="n">
        <f aca="false">ROUNDUP(AL26*1/12,0)</f>
        <v>3</v>
      </c>
    </row>
    <row r="29" customFormat="false" ht="15.75" hidden="false" customHeight="true" outlineLevel="0" collapsed="false">
      <c r="A29" s="7" t="s">
        <v>185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40" t="s">
        <v>186</v>
      </c>
      <c r="C30" s="57" t="n">
        <f aca="false">MIN(1,Inputs!$E$9+(1-Inputs!$E$9)*(C$26-1)/MAX(1,Inputs!$E$8))</f>
        <v>0.5</v>
      </c>
      <c r="D30" s="57" t="n">
        <f aca="false">MIN(1,Inputs!$E$9+(1-Inputs!$E$9)*(D$26-1)/MAX(1,Inputs!$E$8))</f>
        <v>0.583333333333333</v>
      </c>
      <c r="E30" s="57" t="n">
        <f aca="false">MIN(1,Inputs!$E$9+(1-Inputs!$E$9)*(E$26-1)/MAX(1,Inputs!$E$8))</f>
        <v>0.666666666666667</v>
      </c>
      <c r="F30" s="57" t="n">
        <f aca="false">MIN(1,Inputs!$E$9+(1-Inputs!$E$9)*(F$26-1)/MAX(1,Inputs!$E$8))</f>
        <v>0.75</v>
      </c>
      <c r="G30" s="57" t="n">
        <f aca="false">MIN(1,Inputs!$E$9+(1-Inputs!$E$9)*(G$26-1)/MAX(1,Inputs!$E$8))</f>
        <v>0.833333333333333</v>
      </c>
      <c r="H30" s="57" t="n">
        <f aca="false">MIN(1,Inputs!$E$9+(1-Inputs!$E$9)*(H$26-1)/MAX(1,Inputs!$E$8))</f>
        <v>0.916666666666667</v>
      </c>
      <c r="I30" s="57" t="n">
        <f aca="false">MIN(1,Inputs!$E$9+(1-Inputs!$E$9)*(I$26-1)/MAX(1,Inputs!$E$8))</f>
        <v>1</v>
      </c>
      <c r="J30" s="57" t="n">
        <f aca="false">MIN(1,Inputs!$E$9+(1-Inputs!$E$9)*(J$26-1)/MAX(1,Inputs!$E$8))</f>
        <v>1</v>
      </c>
      <c r="K30" s="57" t="n">
        <f aca="false">MIN(1,Inputs!$E$9+(1-Inputs!$E$9)*(K$26-1)/MAX(1,Inputs!$E$8))</f>
        <v>1</v>
      </c>
      <c r="L30" s="57" t="n">
        <f aca="false">MIN(1,Inputs!$E$9+(1-Inputs!$E$9)*(L$26-1)/MAX(1,Inputs!$E$8))</f>
        <v>1</v>
      </c>
      <c r="M30" s="57" t="n">
        <f aca="false">MIN(1,Inputs!$E$9+(1-Inputs!$E$9)*(M$26-1)/MAX(1,Inputs!$E$8))</f>
        <v>1</v>
      </c>
      <c r="N30" s="57" t="n">
        <f aca="false">MIN(1,Inputs!$E$9+(1-Inputs!$E$9)*(N$26-1)/MAX(1,Inputs!$E$8))</f>
        <v>1</v>
      </c>
      <c r="O30" s="57" t="n">
        <f aca="false">MIN(1,Inputs!$E$9+(1-Inputs!$E$9)*(O$26-1)/MAX(1,Inputs!$E$8))</f>
        <v>1</v>
      </c>
      <c r="P30" s="57" t="n">
        <f aca="false">MIN(1,Inputs!$E$9+(1-Inputs!$E$9)*(P$26-1)/MAX(1,Inputs!$E$8))</f>
        <v>1</v>
      </c>
      <c r="Q30" s="57" t="n">
        <f aca="false">MIN(1,Inputs!$E$9+(1-Inputs!$E$9)*(Q$26-1)/MAX(1,Inputs!$E$8))</f>
        <v>1</v>
      </c>
      <c r="R30" s="57" t="n">
        <f aca="false">MIN(1,Inputs!$E$9+(1-Inputs!$E$9)*(R$26-1)/MAX(1,Inputs!$E$8))</f>
        <v>1</v>
      </c>
      <c r="S30" s="57" t="n">
        <f aca="false">MIN(1,Inputs!$E$9+(1-Inputs!$E$9)*(S$26-1)/MAX(1,Inputs!$E$8))</f>
        <v>1</v>
      </c>
      <c r="T30" s="57" t="n">
        <f aca="false">MIN(1,Inputs!$E$9+(1-Inputs!$E$9)*(T$26-1)/MAX(1,Inputs!$E$8))</f>
        <v>1</v>
      </c>
      <c r="U30" s="57" t="n">
        <f aca="false">MIN(1,Inputs!$E$9+(1-Inputs!$E$9)*(U$26-1)/MAX(1,Inputs!$E$8))</f>
        <v>1</v>
      </c>
      <c r="V30" s="57" t="n">
        <f aca="false">MIN(1,Inputs!$E$9+(1-Inputs!$E$9)*(V$26-1)/MAX(1,Inputs!$E$8))</f>
        <v>1</v>
      </c>
      <c r="W30" s="57" t="n">
        <f aca="false">MIN(1,Inputs!$E$9+(1-Inputs!$E$9)*(W$26-1)/MAX(1,Inputs!$E$8))</f>
        <v>1</v>
      </c>
      <c r="X30" s="57" t="n">
        <f aca="false">MIN(1,Inputs!$E$9+(1-Inputs!$E$9)*(X$26-1)/MAX(1,Inputs!$E$8))</f>
        <v>1</v>
      </c>
      <c r="Y30" s="57" t="n">
        <f aca="false">MIN(1,Inputs!$E$9+(1-Inputs!$E$9)*(Y$26-1)/MAX(1,Inputs!$E$8))</f>
        <v>1</v>
      </c>
      <c r="Z30" s="57" t="n">
        <f aca="false">MIN(1,Inputs!$E$9+(1-Inputs!$E$9)*(Z$26-1)/MAX(1,Inputs!$E$8))</f>
        <v>1</v>
      </c>
      <c r="AA30" s="57" t="n">
        <f aca="false">MIN(1,Inputs!$E$9+(1-Inputs!$E$9)*(AA$26-1)/MAX(1,Inputs!$E$8))</f>
        <v>1</v>
      </c>
      <c r="AB30" s="57" t="n">
        <f aca="false">MIN(1,Inputs!$E$9+(1-Inputs!$E$9)*(AB$26-1)/MAX(1,Inputs!$E$8))</f>
        <v>1</v>
      </c>
      <c r="AC30" s="57" t="n">
        <f aca="false">MIN(1,Inputs!$E$9+(1-Inputs!$E$9)*(AC$26-1)/MAX(1,Inputs!$E$8))</f>
        <v>1</v>
      </c>
      <c r="AD30" s="57" t="n">
        <f aca="false">MIN(1,Inputs!$E$9+(1-Inputs!$E$9)*(AD$26-1)/MAX(1,Inputs!$E$8))</f>
        <v>1</v>
      </c>
      <c r="AE30" s="57" t="n">
        <f aca="false">MIN(1,Inputs!$E$9+(1-Inputs!$E$9)*(AE$26-1)/MAX(1,Inputs!$E$8))</f>
        <v>1</v>
      </c>
      <c r="AF30" s="57" t="n">
        <f aca="false">MIN(1,Inputs!$E$9+(1-Inputs!$E$9)*(AF$26-1)/MAX(1,Inputs!$E$8))</f>
        <v>1</v>
      </c>
      <c r="AG30" s="57" t="n">
        <f aca="false">MIN(1,Inputs!$E$9+(1-Inputs!$E$9)*(AG$26-1)/MAX(1,Inputs!$E$8))</f>
        <v>1</v>
      </c>
      <c r="AH30" s="57" t="n">
        <f aca="false">MIN(1,Inputs!$E$9+(1-Inputs!$E$9)*(AH$26-1)/MAX(1,Inputs!$E$8))</f>
        <v>1</v>
      </c>
      <c r="AI30" s="57" t="n">
        <f aca="false">MIN(1,Inputs!$E$9+(1-Inputs!$E$9)*(AI$26-1)/MAX(1,Inputs!$E$8))</f>
        <v>1</v>
      </c>
      <c r="AJ30" s="57" t="n">
        <f aca="false">MIN(1,Inputs!$E$9+(1-Inputs!$E$9)*(AJ$26-1)/MAX(1,Inputs!$E$8))</f>
        <v>1</v>
      </c>
      <c r="AK30" s="57" t="n">
        <f aca="false">MIN(1,Inputs!$E$9+(1-Inputs!$E$9)*(AK$26-1)/MAX(1,Inputs!$E$8))</f>
        <v>1</v>
      </c>
      <c r="AL30" s="57" t="n">
        <f aca="false">MIN(1,Inputs!$E$9+(1-Inputs!$E$9)*(AL$26-1)/MAX(1,Inputs!$E$8))</f>
        <v>1</v>
      </c>
    </row>
    <row r="31" customFormat="false" ht="15" hidden="false" customHeight="false" outlineLevel="0" collapsed="false">
      <c r="A31" s="6" t="s">
        <v>187</v>
      </c>
      <c r="C31" s="72" t="n">
        <f aca="false">Inputs!$E$7*C30*(1+Inputs!$E$10)^(C$27-1)</f>
        <v>80</v>
      </c>
      <c r="D31" s="72" t="n">
        <f aca="false">Inputs!$E$7*D30*(1+Inputs!$E$10)^(D$27-1)</f>
        <v>93.3333333333333</v>
      </c>
      <c r="E31" s="72" t="n">
        <f aca="false">Inputs!$E$7*E30*(1+Inputs!$E$10)^(E$27-1)</f>
        <v>106.666666666667</v>
      </c>
      <c r="F31" s="72" t="n">
        <f aca="false">Inputs!$E$7*F30*(1+Inputs!$E$10)^(F$27-1)</f>
        <v>120</v>
      </c>
      <c r="G31" s="72" t="n">
        <f aca="false">Inputs!$E$7*G30*(1+Inputs!$E$10)^(G$27-1)</f>
        <v>133.333333333333</v>
      </c>
      <c r="H31" s="72" t="n">
        <f aca="false">Inputs!$E$7*H30*(1+Inputs!$E$10)^(H$27-1)</f>
        <v>146.666666666667</v>
      </c>
      <c r="I31" s="72" t="n">
        <f aca="false">Inputs!$E$7*I30*(1+Inputs!$E$10)^(I$27-1)</f>
        <v>160</v>
      </c>
      <c r="J31" s="72" t="n">
        <f aca="false">Inputs!$E$7*J30*(1+Inputs!$E$10)^(J$27-1)</f>
        <v>160</v>
      </c>
      <c r="K31" s="72" t="n">
        <f aca="false">Inputs!$E$7*K30*(1+Inputs!$E$10)^(K$27-1)</f>
        <v>160</v>
      </c>
      <c r="L31" s="72" t="n">
        <f aca="false">Inputs!$E$7*L30*(1+Inputs!$E$10)^(L$27-1)</f>
        <v>160</v>
      </c>
      <c r="M31" s="72" t="n">
        <f aca="false">Inputs!$E$7*M30*(1+Inputs!$E$10)^(M$27-1)</f>
        <v>160</v>
      </c>
      <c r="N31" s="72" t="n">
        <f aca="false">Inputs!$E$7*N30*(1+Inputs!$E$10)^(N$27-1)</f>
        <v>160</v>
      </c>
      <c r="O31" s="72" t="n">
        <f aca="false">Inputs!$E$7*O30*(1+Inputs!$E$10)^(O$27-1)</f>
        <v>169.6</v>
      </c>
      <c r="P31" s="72" t="n">
        <f aca="false">Inputs!$E$7*P30*(1+Inputs!$E$10)^(P$27-1)</f>
        <v>169.6</v>
      </c>
      <c r="Q31" s="72" t="n">
        <f aca="false">Inputs!$E$7*Q30*(1+Inputs!$E$10)^(Q$27-1)</f>
        <v>169.6</v>
      </c>
      <c r="R31" s="72" t="n">
        <f aca="false">Inputs!$E$7*R30*(1+Inputs!$E$10)^(R$27-1)</f>
        <v>169.6</v>
      </c>
      <c r="S31" s="72" t="n">
        <f aca="false">Inputs!$E$7*S30*(1+Inputs!$E$10)^(S$27-1)</f>
        <v>169.6</v>
      </c>
      <c r="T31" s="72" t="n">
        <f aca="false">Inputs!$E$7*T30*(1+Inputs!$E$10)^(T$27-1)</f>
        <v>169.6</v>
      </c>
      <c r="U31" s="72" t="n">
        <f aca="false">Inputs!$E$7*U30*(1+Inputs!$E$10)^(U$27-1)</f>
        <v>169.6</v>
      </c>
      <c r="V31" s="72" t="n">
        <f aca="false">Inputs!$E$7*V30*(1+Inputs!$E$10)^(V$27-1)</f>
        <v>169.6</v>
      </c>
      <c r="W31" s="72" t="n">
        <f aca="false">Inputs!$E$7*W30*(1+Inputs!$E$10)^(W$27-1)</f>
        <v>169.6</v>
      </c>
      <c r="X31" s="72" t="n">
        <f aca="false">Inputs!$E$7*X30*(1+Inputs!$E$10)^(X$27-1)</f>
        <v>169.6</v>
      </c>
      <c r="Y31" s="72" t="n">
        <f aca="false">Inputs!$E$7*Y30*(1+Inputs!$E$10)^(Y$27-1)</f>
        <v>169.6</v>
      </c>
      <c r="Z31" s="72" t="n">
        <f aca="false">Inputs!$E$7*Z30*(1+Inputs!$E$10)^(Z$27-1)</f>
        <v>169.6</v>
      </c>
      <c r="AA31" s="72" t="n">
        <f aca="false">Inputs!$E$7*AA30*(1+Inputs!$E$10)^(AA$27-1)</f>
        <v>179.776</v>
      </c>
      <c r="AB31" s="72" t="n">
        <f aca="false">Inputs!$E$7*AB30*(1+Inputs!$E$10)^(AB$27-1)</f>
        <v>179.776</v>
      </c>
      <c r="AC31" s="72" t="n">
        <f aca="false">Inputs!$E$7*AC30*(1+Inputs!$E$10)^(AC$27-1)</f>
        <v>179.776</v>
      </c>
      <c r="AD31" s="72" t="n">
        <f aca="false">Inputs!$E$7*AD30*(1+Inputs!$E$10)^(AD$27-1)</f>
        <v>179.776</v>
      </c>
      <c r="AE31" s="72" t="n">
        <f aca="false">Inputs!$E$7*AE30*(1+Inputs!$E$10)^(AE$27-1)</f>
        <v>179.776</v>
      </c>
      <c r="AF31" s="72" t="n">
        <f aca="false">Inputs!$E$7*AF30*(1+Inputs!$E$10)^(AF$27-1)</f>
        <v>179.776</v>
      </c>
      <c r="AG31" s="72" t="n">
        <f aca="false">Inputs!$E$7*AG30*(1+Inputs!$E$10)^(AG$27-1)</f>
        <v>179.776</v>
      </c>
      <c r="AH31" s="72" t="n">
        <f aca="false">Inputs!$E$7*AH30*(1+Inputs!$E$10)^(AH$27-1)</f>
        <v>179.776</v>
      </c>
      <c r="AI31" s="72" t="n">
        <f aca="false">Inputs!$E$7*AI30*(1+Inputs!$E$10)^(AI$27-1)</f>
        <v>179.776</v>
      </c>
      <c r="AJ31" s="72" t="n">
        <f aca="false">Inputs!$E$7*AJ30*(1+Inputs!$E$10)^(AJ$27-1)</f>
        <v>179.776</v>
      </c>
      <c r="AK31" s="72" t="n">
        <f aca="false">Inputs!$E$7*AK30*(1+Inputs!$E$10)^(AK$27-1)</f>
        <v>179.776</v>
      </c>
      <c r="AL31" s="72" t="n">
        <f aca="false">Inputs!$E$7*AL30*(1+Inputs!$E$10)^(AL$27-1)</f>
        <v>179.776</v>
      </c>
    </row>
    <row r="32" customFormat="false" ht="15" hidden="false" customHeight="false" outlineLevel="0" collapsed="false">
      <c r="A32" s="6" t="s">
        <v>107</v>
      </c>
      <c r="C32" s="71" t="n">
        <f aca="false">Inputs!$E$11*(1+Inputs!$E$12)^(C$27-1)</f>
        <v>6.5</v>
      </c>
      <c r="D32" s="71" t="n">
        <f aca="false">Inputs!$E$11*(1+Inputs!$E$12)^(D$27-1)</f>
        <v>6.5</v>
      </c>
      <c r="E32" s="71" t="n">
        <f aca="false">Inputs!$E$11*(1+Inputs!$E$12)^(E$27-1)</f>
        <v>6.5</v>
      </c>
      <c r="F32" s="71" t="n">
        <f aca="false">Inputs!$E$11*(1+Inputs!$E$12)^(F$27-1)</f>
        <v>6.5</v>
      </c>
      <c r="G32" s="71" t="n">
        <f aca="false">Inputs!$E$11*(1+Inputs!$E$12)^(G$27-1)</f>
        <v>6.5</v>
      </c>
      <c r="H32" s="71" t="n">
        <f aca="false">Inputs!$E$11*(1+Inputs!$E$12)^(H$27-1)</f>
        <v>6.5</v>
      </c>
      <c r="I32" s="71" t="n">
        <f aca="false">Inputs!$E$11*(1+Inputs!$E$12)^(I$27-1)</f>
        <v>6.5</v>
      </c>
      <c r="J32" s="71" t="n">
        <f aca="false">Inputs!$E$11*(1+Inputs!$E$12)^(J$27-1)</f>
        <v>6.5</v>
      </c>
      <c r="K32" s="71" t="n">
        <f aca="false">Inputs!$E$11*(1+Inputs!$E$12)^(K$27-1)</f>
        <v>6.5</v>
      </c>
      <c r="L32" s="71" t="n">
        <f aca="false">Inputs!$E$11*(1+Inputs!$E$12)^(L$27-1)</f>
        <v>6.5</v>
      </c>
      <c r="M32" s="71" t="n">
        <f aca="false">Inputs!$E$11*(1+Inputs!$E$12)^(M$27-1)</f>
        <v>6.5</v>
      </c>
      <c r="N32" s="71" t="n">
        <f aca="false">Inputs!$E$11*(1+Inputs!$E$12)^(N$27-1)</f>
        <v>6.5</v>
      </c>
      <c r="O32" s="71" t="n">
        <f aca="false">Inputs!$E$11*(1+Inputs!$E$12)^(O$27-1)</f>
        <v>6.695</v>
      </c>
      <c r="P32" s="71" t="n">
        <f aca="false">Inputs!$E$11*(1+Inputs!$E$12)^(P$27-1)</f>
        <v>6.695</v>
      </c>
      <c r="Q32" s="71" t="n">
        <f aca="false">Inputs!$E$11*(1+Inputs!$E$12)^(Q$27-1)</f>
        <v>6.695</v>
      </c>
      <c r="R32" s="71" t="n">
        <f aca="false">Inputs!$E$11*(1+Inputs!$E$12)^(R$27-1)</f>
        <v>6.695</v>
      </c>
      <c r="S32" s="71" t="n">
        <f aca="false">Inputs!$E$11*(1+Inputs!$E$12)^(S$27-1)</f>
        <v>6.695</v>
      </c>
      <c r="T32" s="71" t="n">
        <f aca="false">Inputs!$E$11*(1+Inputs!$E$12)^(T$27-1)</f>
        <v>6.695</v>
      </c>
      <c r="U32" s="71" t="n">
        <f aca="false">Inputs!$E$11*(1+Inputs!$E$12)^(U$27-1)</f>
        <v>6.695</v>
      </c>
      <c r="V32" s="71" t="n">
        <f aca="false">Inputs!$E$11*(1+Inputs!$E$12)^(V$27-1)</f>
        <v>6.695</v>
      </c>
      <c r="W32" s="71" t="n">
        <f aca="false">Inputs!$E$11*(1+Inputs!$E$12)^(W$27-1)</f>
        <v>6.695</v>
      </c>
      <c r="X32" s="71" t="n">
        <f aca="false">Inputs!$E$11*(1+Inputs!$E$12)^(X$27-1)</f>
        <v>6.695</v>
      </c>
      <c r="Y32" s="71" t="n">
        <f aca="false">Inputs!$E$11*(1+Inputs!$E$12)^(Y$27-1)</f>
        <v>6.695</v>
      </c>
      <c r="Z32" s="71" t="n">
        <f aca="false">Inputs!$E$11*(1+Inputs!$E$12)^(Z$27-1)</f>
        <v>6.695</v>
      </c>
      <c r="AA32" s="71" t="n">
        <f aca="false">Inputs!$E$11*(1+Inputs!$E$12)^(AA$27-1)</f>
        <v>6.89585</v>
      </c>
      <c r="AB32" s="71" t="n">
        <f aca="false">Inputs!$E$11*(1+Inputs!$E$12)^(AB$27-1)</f>
        <v>6.89585</v>
      </c>
      <c r="AC32" s="71" t="n">
        <f aca="false">Inputs!$E$11*(1+Inputs!$E$12)^(AC$27-1)</f>
        <v>6.89585</v>
      </c>
      <c r="AD32" s="71" t="n">
        <f aca="false">Inputs!$E$11*(1+Inputs!$E$12)^(AD$27-1)</f>
        <v>6.89585</v>
      </c>
      <c r="AE32" s="71" t="n">
        <f aca="false">Inputs!$E$11*(1+Inputs!$E$12)^(AE$27-1)</f>
        <v>6.89585</v>
      </c>
      <c r="AF32" s="71" t="n">
        <f aca="false">Inputs!$E$11*(1+Inputs!$E$12)^(AF$27-1)</f>
        <v>6.89585</v>
      </c>
      <c r="AG32" s="71" t="n">
        <f aca="false">Inputs!$E$11*(1+Inputs!$E$12)^(AG$27-1)</f>
        <v>6.89585</v>
      </c>
      <c r="AH32" s="71" t="n">
        <f aca="false">Inputs!$E$11*(1+Inputs!$E$12)^(AH$27-1)</f>
        <v>6.89585</v>
      </c>
      <c r="AI32" s="71" t="n">
        <f aca="false">Inputs!$E$11*(1+Inputs!$E$12)^(AI$27-1)</f>
        <v>6.89585</v>
      </c>
      <c r="AJ32" s="71" t="n">
        <f aca="false">Inputs!$E$11*(1+Inputs!$E$12)^(AJ$27-1)</f>
        <v>6.89585</v>
      </c>
      <c r="AK32" s="71" t="n">
        <f aca="false">Inputs!$E$11*(1+Inputs!$E$12)^(AK$27-1)</f>
        <v>6.89585</v>
      </c>
      <c r="AL32" s="71" t="n">
        <f aca="false">Inputs!$E$11*(1+Inputs!$E$12)^(AL$27-1)</f>
        <v>6.89585</v>
      </c>
    </row>
    <row r="33" customFormat="false" ht="15" hidden="false" customHeight="false" outlineLevel="0" collapsed="false">
      <c r="A33" s="6" t="s">
        <v>188</v>
      </c>
      <c r="C33" s="73" t="n">
        <f aca="false">Inputs!$E$13*1</f>
        <v>30</v>
      </c>
      <c r="D33" s="73" t="n">
        <f aca="false">Inputs!$E$13*1</f>
        <v>30</v>
      </c>
      <c r="E33" s="73" t="n">
        <f aca="false">Inputs!$E$13*1</f>
        <v>30</v>
      </c>
      <c r="F33" s="73" t="n">
        <f aca="false">Inputs!$E$13*1</f>
        <v>30</v>
      </c>
      <c r="G33" s="73" t="n">
        <f aca="false">Inputs!$E$13*1</f>
        <v>30</v>
      </c>
      <c r="H33" s="73" t="n">
        <f aca="false">Inputs!$E$13*1</f>
        <v>30</v>
      </c>
      <c r="I33" s="73" t="n">
        <f aca="false">Inputs!$E$13*1</f>
        <v>30</v>
      </c>
      <c r="J33" s="73" t="n">
        <f aca="false">Inputs!$E$13*1</f>
        <v>30</v>
      </c>
      <c r="K33" s="73" t="n">
        <f aca="false">Inputs!$E$13*1</f>
        <v>30</v>
      </c>
      <c r="L33" s="73" t="n">
        <f aca="false">Inputs!$E$13*1</f>
        <v>30</v>
      </c>
      <c r="M33" s="73" t="n">
        <f aca="false">Inputs!$E$13*1</f>
        <v>30</v>
      </c>
      <c r="N33" s="73" t="n">
        <f aca="false">Inputs!$E$13*1</f>
        <v>30</v>
      </c>
      <c r="O33" s="73" t="n">
        <f aca="false">Inputs!$E$13*1</f>
        <v>30</v>
      </c>
      <c r="P33" s="73" t="n">
        <f aca="false">Inputs!$E$13*1</f>
        <v>30</v>
      </c>
      <c r="Q33" s="73" t="n">
        <f aca="false">Inputs!$E$13*1</f>
        <v>30</v>
      </c>
      <c r="R33" s="73" t="n">
        <f aca="false">Inputs!$E$13*1</f>
        <v>30</v>
      </c>
      <c r="S33" s="73" t="n">
        <f aca="false">Inputs!$E$13*1</f>
        <v>30</v>
      </c>
      <c r="T33" s="73" t="n">
        <f aca="false">Inputs!$E$13*1</f>
        <v>30</v>
      </c>
      <c r="U33" s="73" t="n">
        <f aca="false">Inputs!$E$13*1</f>
        <v>30</v>
      </c>
      <c r="V33" s="73" t="n">
        <f aca="false">Inputs!$E$13*1</f>
        <v>30</v>
      </c>
      <c r="W33" s="73" t="n">
        <f aca="false">Inputs!$E$13*1</f>
        <v>30</v>
      </c>
      <c r="X33" s="73" t="n">
        <f aca="false">Inputs!$E$13*1</f>
        <v>30</v>
      </c>
      <c r="Y33" s="73" t="n">
        <f aca="false">Inputs!$E$13*1</f>
        <v>30</v>
      </c>
      <c r="Z33" s="73" t="n">
        <f aca="false">Inputs!$E$13*1</f>
        <v>30</v>
      </c>
      <c r="AA33" s="73" t="n">
        <f aca="false">Inputs!$E$13*1</f>
        <v>30</v>
      </c>
      <c r="AB33" s="73" t="n">
        <f aca="false">Inputs!$E$13*1</f>
        <v>30</v>
      </c>
      <c r="AC33" s="73" t="n">
        <f aca="false">Inputs!$E$13*1</f>
        <v>30</v>
      </c>
      <c r="AD33" s="73" t="n">
        <f aca="false">Inputs!$E$13*1</f>
        <v>30</v>
      </c>
      <c r="AE33" s="73" t="n">
        <f aca="false">Inputs!$E$13*1</f>
        <v>30</v>
      </c>
      <c r="AF33" s="73" t="n">
        <f aca="false">Inputs!$E$13*1</f>
        <v>30</v>
      </c>
      <c r="AG33" s="73" t="n">
        <f aca="false">Inputs!$E$13*1</f>
        <v>30</v>
      </c>
      <c r="AH33" s="73" t="n">
        <f aca="false">Inputs!$E$13*1</f>
        <v>30</v>
      </c>
      <c r="AI33" s="73" t="n">
        <f aca="false">Inputs!$E$13*1</f>
        <v>30</v>
      </c>
      <c r="AJ33" s="73" t="n">
        <f aca="false">Inputs!$E$13*1</f>
        <v>30</v>
      </c>
      <c r="AK33" s="73" t="n">
        <f aca="false">Inputs!$E$13*1</f>
        <v>30</v>
      </c>
      <c r="AL33" s="73" t="n">
        <f aca="false">Inputs!$E$13*1</f>
        <v>30</v>
      </c>
    </row>
    <row r="34" customFormat="false" ht="15" hidden="false" customHeight="false" outlineLevel="0" collapsed="false">
      <c r="A34" s="69" t="s">
        <v>32</v>
      </c>
      <c r="C34" s="51" t="n">
        <f aca="false">C31*C32*C33</f>
        <v>15600</v>
      </c>
      <c r="D34" s="51" t="n">
        <f aca="false">D31*D32*D33</f>
        <v>18200</v>
      </c>
      <c r="E34" s="51" t="n">
        <f aca="false">E31*E32*E33</f>
        <v>20800</v>
      </c>
      <c r="F34" s="51" t="n">
        <f aca="false">F31*F32*F33</f>
        <v>23400</v>
      </c>
      <c r="G34" s="51" t="n">
        <f aca="false">G31*G32*G33</f>
        <v>26000</v>
      </c>
      <c r="H34" s="51" t="n">
        <f aca="false">H31*H32*H33</f>
        <v>28600</v>
      </c>
      <c r="I34" s="51" t="n">
        <f aca="false">I31*I32*I33</f>
        <v>31200</v>
      </c>
      <c r="J34" s="51" t="n">
        <f aca="false">J31*J32*J33</f>
        <v>31200</v>
      </c>
      <c r="K34" s="51" t="n">
        <f aca="false">K31*K32*K33</f>
        <v>31200</v>
      </c>
      <c r="L34" s="51" t="n">
        <f aca="false">L31*L32*L33</f>
        <v>31200</v>
      </c>
      <c r="M34" s="51" t="n">
        <f aca="false">M31*M32*M33</f>
        <v>31200</v>
      </c>
      <c r="N34" s="51" t="n">
        <f aca="false">N31*N32*N33</f>
        <v>31200</v>
      </c>
      <c r="O34" s="51" t="n">
        <f aca="false">O31*O32*O33</f>
        <v>34064.16</v>
      </c>
      <c r="P34" s="51" t="n">
        <f aca="false">P31*P32*P33</f>
        <v>34064.16</v>
      </c>
      <c r="Q34" s="51" t="n">
        <f aca="false">Q31*Q32*Q33</f>
        <v>34064.16</v>
      </c>
      <c r="R34" s="51" t="n">
        <f aca="false">R31*R32*R33</f>
        <v>34064.16</v>
      </c>
      <c r="S34" s="51" t="n">
        <f aca="false">S31*S32*S33</f>
        <v>34064.16</v>
      </c>
      <c r="T34" s="51" t="n">
        <f aca="false">T31*T32*T33</f>
        <v>34064.16</v>
      </c>
      <c r="U34" s="51" t="n">
        <f aca="false">U31*U32*U33</f>
        <v>34064.16</v>
      </c>
      <c r="V34" s="51" t="n">
        <f aca="false">V31*V32*V33</f>
        <v>34064.16</v>
      </c>
      <c r="W34" s="51" t="n">
        <f aca="false">W31*W32*W33</f>
        <v>34064.16</v>
      </c>
      <c r="X34" s="51" t="n">
        <f aca="false">X31*X32*X33</f>
        <v>34064.16</v>
      </c>
      <c r="Y34" s="51" t="n">
        <f aca="false">Y31*Y32*Y33</f>
        <v>34064.16</v>
      </c>
      <c r="Z34" s="51" t="n">
        <f aca="false">Z31*Z32*Z33</f>
        <v>34064.16</v>
      </c>
      <c r="AA34" s="51" t="n">
        <f aca="false">AA31*AA32*AA33</f>
        <v>37191.249888</v>
      </c>
      <c r="AB34" s="51" t="n">
        <f aca="false">AB31*AB32*AB33</f>
        <v>37191.249888</v>
      </c>
      <c r="AC34" s="51" t="n">
        <f aca="false">AC31*AC32*AC33</f>
        <v>37191.249888</v>
      </c>
      <c r="AD34" s="51" t="n">
        <f aca="false">AD31*AD32*AD33</f>
        <v>37191.249888</v>
      </c>
      <c r="AE34" s="51" t="n">
        <f aca="false">AE31*AE32*AE33</f>
        <v>37191.249888</v>
      </c>
      <c r="AF34" s="51" t="n">
        <f aca="false">AF31*AF32*AF33</f>
        <v>37191.249888</v>
      </c>
      <c r="AG34" s="51" t="n">
        <f aca="false">AG31*AG32*AG33</f>
        <v>37191.249888</v>
      </c>
      <c r="AH34" s="51" t="n">
        <f aca="false">AH31*AH32*AH33</f>
        <v>37191.249888</v>
      </c>
      <c r="AI34" s="51" t="n">
        <f aca="false">AI31*AI32*AI33</f>
        <v>37191.249888</v>
      </c>
      <c r="AJ34" s="51" t="n">
        <f aca="false">AJ31*AJ32*AJ33</f>
        <v>37191.249888</v>
      </c>
      <c r="AK34" s="51" t="n">
        <f aca="false">AK31*AK32*AK33</f>
        <v>37191.249888</v>
      </c>
      <c r="AL34" s="51" t="n">
        <f aca="false">AL31*AL32*AL33</f>
        <v>37191.249888</v>
      </c>
    </row>
    <row r="35" customFormat="false" ht="15" hidden="false" customHeight="false" outlineLevel="0" collapsed="false">
      <c r="A35" s="6" t="s">
        <v>189</v>
      </c>
      <c r="C35" s="50" t="n">
        <f aca="false">-C34*Inputs!$E$14</f>
        <v>-5148</v>
      </c>
      <c r="D35" s="50" t="n">
        <f aca="false">-D34*Inputs!$E$14</f>
        <v>-6006</v>
      </c>
      <c r="E35" s="50" t="n">
        <f aca="false">-E34*Inputs!$E$14</f>
        <v>-6864</v>
      </c>
      <c r="F35" s="50" t="n">
        <f aca="false">-F34*Inputs!$E$14</f>
        <v>-7722</v>
      </c>
      <c r="G35" s="50" t="n">
        <f aca="false">-G34*Inputs!$E$14</f>
        <v>-8580</v>
      </c>
      <c r="H35" s="50" t="n">
        <f aca="false">-H34*Inputs!$E$14</f>
        <v>-9438</v>
      </c>
      <c r="I35" s="50" t="n">
        <f aca="false">-I34*Inputs!$E$14</f>
        <v>-10296</v>
      </c>
      <c r="J35" s="50" t="n">
        <f aca="false">-J34*Inputs!$E$14</f>
        <v>-10296</v>
      </c>
      <c r="K35" s="50" t="n">
        <f aca="false">-K34*Inputs!$E$14</f>
        <v>-10296</v>
      </c>
      <c r="L35" s="50" t="n">
        <f aca="false">-L34*Inputs!$E$14</f>
        <v>-10296</v>
      </c>
      <c r="M35" s="50" t="n">
        <f aca="false">-M34*Inputs!$E$14</f>
        <v>-10296</v>
      </c>
      <c r="N35" s="50" t="n">
        <f aca="false">-N34*Inputs!$E$14</f>
        <v>-10296</v>
      </c>
      <c r="O35" s="50" t="n">
        <f aca="false">-O34*Inputs!$E$14</f>
        <v>-11241.1728</v>
      </c>
      <c r="P35" s="50" t="n">
        <f aca="false">-P34*Inputs!$E$14</f>
        <v>-11241.1728</v>
      </c>
      <c r="Q35" s="50" t="n">
        <f aca="false">-Q34*Inputs!$E$14</f>
        <v>-11241.1728</v>
      </c>
      <c r="R35" s="50" t="n">
        <f aca="false">-R34*Inputs!$E$14</f>
        <v>-11241.1728</v>
      </c>
      <c r="S35" s="50" t="n">
        <f aca="false">-S34*Inputs!$E$14</f>
        <v>-11241.1728</v>
      </c>
      <c r="T35" s="50" t="n">
        <f aca="false">-T34*Inputs!$E$14</f>
        <v>-11241.1728</v>
      </c>
      <c r="U35" s="50" t="n">
        <f aca="false">-U34*Inputs!$E$14</f>
        <v>-11241.1728</v>
      </c>
      <c r="V35" s="50" t="n">
        <f aca="false">-V34*Inputs!$E$14</f>
        <v>-11241.1728</v>
      </c>
      <c r="W35" s="50" t="n">
        <f aca="false">-W34*Inputs!$E$14</f>
        <v>-11241.1728</v>
      </c>
      <c r="X35" s="50" t="n">
        <f aca="false">-X34*Inputs!$E$14</f>
        <v>-11241.1728</v>
      </c>
      <c r="Y35" s="50" t="n">
        <f aca="false">-Y34*Inputs!$E$14</f>
        <v>-11241.1728</v>
      </c>
      <c r="Z35" s="50" t="n">
        <f aca="false">-Z34*Inputs!$E$14</f>
        <v>-11241.1728</v>
      </c>
      <c r="AA35" s="50" t="n">
        <f aca="false">-AA34*Inputs!$E$14</f>
        <v>-12273.11246304</v>
      </c>
      <c r="AB35" s="50" t="n">
        <f aca="false">-AB34*Inputs!$E$14</f>
        <v>-12273.11246304</v>
      </c>
      <c r="AC35" s="50" t="n">
        <f aca="false">-AC34*Inputs!$E$14</f>
        <v>-12273.11246304</v>
      </c>
      <c r="AD35" s="50" t="n">
        <f aca="false">-AD34*Inputs!$E$14</f>
        <v>-12273.11246304</v>
      </c>
      <c r="AE35" s="50" t="n">
        <f aca="false">-AE34*Inputs!$E$14</f>
        <v>-12273.11246304</v>
      </c>
      <c r="AF35" s="50" t="n">
        <f aca="false">-AF34*Inputs!$E$14</f>
        <v>-12273.11246304</v>
      </c>
      <c r="AG35" s="50" t="n">
        <f aca="false">-AG34*Inputs!$E$14</f>
        <v>-12273.11246304</v>
      </c>
      <c r="AH35" s="50" t="n">
        <f aca="false">-AH34*Inputs!$E$14</f>
        <v>-12273.11246304</v>
      </c>
      <c r="AI35" s="50" t="n">
        <f aca="false">-AI34*Inputs!$E$14</f>
        <v>-12273.11246304</v>
      </c>
      <c r="AJ35" s="50" t="n">
        <f aca="false">-AJ34*Inputs!$E$14</f>
        <v>-12273.11246304</v>
      </c>
      <c r="AK35" s="50" t="n">
        <f aca="false">-AK34*Inputs!$E$14</f>
        <v>-12273.11246304</v>
      </c>
      <c r="AL35" s="50" t="n">
        <f aca="false">-AL34*Inputs!$E$14</f>
        <v>-12273.11246304</v>
      </c>
    </row>
    <row r="36" customFormat="false" ht="15" hidden="false" customHeight="false" outlineLevel="0" collapsed="false">
      <c r="A36" s="69" t="s">
        <v>33</v>
      </c>
      <c r="C36" s="51" t="n">
        <f aca="false">C34+C35</f>
        <v>10452</v>
      </c>
      <c r="D36" s="51" t="n">
        <f aca="false">D34+D35</f>
        <v>12194</v>
      </c>
      <c r="E36" s="51" t="n">
        <f aca="false">E34+E35</f>
        <v>13936</v>
      </c>
      <c r="F36" s="51" t="n">
        <f aca="false">F34+F35</f>
        <v>15678</v>
      </c>
      <c r="G36" s="51" t="n">
        <f aca="false">G34+G35</f>
        <v>17420</v>
      </c>
      <c r="H36" s="51" t="n">
        <f aca="false">H34+H35</f>
        <v>19162</v>
      </c>
      <c r="I36" s="51" t="n">
        <f aca="false">I34+I35</f>
        <v>20904</v>
      </c>
      <c r="J36" s="51" t="n">
        <f aca="false">J34+J35</f>
        <v>20904</v>
      </c>
      <c r="K36" s="51" t="n">
        <f aca="false">K34+K35</f>
        <v>20904</v>
      </c>
      <c r="L36" s="51" t="n">
        <f aca="false">L34+L35</f>
        <v>20904</v>
      </c>
      <c r="M36" s="51" t="n">
        <f aca="false">M34+M35</f>
        <v>20904</v>
      </c>
      <c r="N36" s="51" t="n">
        <f aca="false">N34+N35</f>
        <v>20904</v>
      </c>
      <c r="O36" s="51" t="n">
        <f aca="false">O34+O35</f>
        <v>22822.9872</v>
      </c>
      <c r="P36" s="51" t="n">
        <f aca="false">P34+P35</f>
        <v>22822.9872</v>
      </c>
      <c r="Q36" s="51" t="n">
        <f aca="false">Q34+Q35</f>
        <v>22822.9872</v>
      </c>
      <c r="R36" s="51" t="n">
        <f aca="false">R34+R35</f>
        <v>22822.9872</v>
      </c>
      <c r="S36" s="51" t="n">
        <f aca="false">S34+S35</f>
        <v>22822.9872</v>
      </c>
      <c r="T36" s="51" t="n">
        <f aca="false">T34+T35</f>
        <v>22822.9872</v>
      </c>
      <c r="U36" s="51" t="n">
        <f aca="false">U34+U35</f>
        <v>22822.9872</v>
      </c>
      <c r="V36" s="51" t="n">
        <f aca="false">V34+V35</f>
        <v>22822.9872</v>
      </c>
      <c r="W36" s="51" t="n">
        <f aca="false">W34+W35</f>
        <v>22822.9872</v>
      </c>
      <c r="X36" s="51" t="n">
        <f aca="false">X34+X35</f>
        <v>22822.9872</v>
      </c>
      <c r="Y36" s="51" t="n">
        <f aca="false">Y34+Y35</f>
        <v>22822.9872</v>
      </c>
      <c r="Z36" s="51" t="n">
        <f aca="false">Z34+Z35</f>
        <v>22822.9872</v>
      </c>
      <c r="AA36" s="51" t="n">
        <f aca="false">AA34+AA35</f>
        <v>24918.13742496</v>
      </c>
      <c r="AB36" s="51" t="n">
        <f aca="false">AB34+AB35</f>
        <v>24918.13742496</v>
      </c>
      <c r="AC36" s="51" t="n">
        <f aca="false">AC34+AC35</f>
        <v>24918.13742496</v>
      </c>
      <c r="AD36" s="51" t="n">
        <f aca="false">AD34+AD35</f>
        <v>24918.13742496</v>
      </c>
      <c r="AE36" s="51" t="n">
        <f aca="false">AE34+AE35</f>
        <v>24918.13742496</v>
      </c>
      <c r="AF36" s="51" t="n">
        <f aca="false">AF34+AF35</f>
        <v>24918.13742496</v>
      </c>
      <c r="AG36" s="51" t="n">
        <f aca="false">AG34+AG35</f>
        <v>24918.13742496</v>
      </c>
      <c r="AH36" s="51" t="n">
        <f aca="false">AH34+AH35</f>
        <v>24918.13742496</v>
      </c>
      <c r="AI36" s="51" t="n">
        <f aca="false">AI34+AI35</f>
        <v>24918.13742496</v>
      </c>
      <c r="AJ36" s="51" t="n">
        <f aca="false">AJ34+AJ35</f>
        <v>24918.13742496</v>
      </c>
      <c r="AK36" s="51" t="n">
        <f aca="false">AK34+AK35</f>
        <v>24918.13742496</v>
      </c>
      <c r="AL36" s="51" t="n">
        <f aca="false">AL34+AL35</f>
        <v>24918.13742496</v>
      </c>
    </row>
    <row r="38" customFormat="false" ht="15.75" hidden="false" customHeight="true" outlineLevel="0" collapsed="false">
      <c r="A38" s="7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customFormat="false" ht="15" hidden="false" customHeight="false" outlineLevel="0" collapsed="false">
      <c r="A39" s="6" t="s">
        <v>190</v>
      </c>
      <c r="C39" s="50" t="n">
        <f aca="false">-Inputs!$E$15*1</f>
        <v>-4500</v>
      </c>
      <c r="D39" s="50" t="n">
        <f aca="false">-Inputs!$E$15*1</f>
        <v>-4500</v>
      </c>
      <c r="E39" s="50" t="n">
        <f aca="false">-Inputs!$E$15*1</f>
        <v>-4500</v>
      </c>
      <c r="F39" s="50" t="n">
        <f aca="false">-Inputs!$E$15*1</f>
        <v>-4500</v>
      </c>
      <c r="G39" s="50" t="n">
        <f aca="false">-Inputs!$E$15*1</f>
        <v>-4500</v>
      </c>
      <c r="H39" s="50" t="n">
        <f aca="false">-Inputs!$E$15*1</f>
        <v>-4500</v>
      </c>
      <c r="I39" s="50" t="n">
        <f aca="false">-Inputs!$E$15*1</f>
        <v>-4500</v>
      </c>
      <c r="J39" s="50" t="n">
        <f aca="false">-Inputs!$E$15*1</f>
        <v>-4500</v>
      </c>
      <c r="K39" s="50" t="n">
        <f aca="false">-Inputs!$E$15*1</f>
        <v>-4500</v>
      </c>
      <c r="L39" s="50" t="n">
        <f aca="false">-Inputs!$E$15*1</f>
        <v>-4500</v>
      </c>
      <c r="M39" s="50" t="n">
        <f aca="false">-Inputs!$E$15*1</f>
        <v>-4500</v>
      </c>
      <c r="N39" s="50" t="n">
        <f aca="false">-Inputs!$E$15*1</f>
        <v>-4500</v>
      </c>
      <c r="O39" s="50" t="n">
        <f aca="false">-Inputs!$E$15*1</f>
        <v>-4500</v>
      </c>
      <c r="P39" s="50" t="n">
        <f aca="false">-Inputs!$E$15*1</f>
        <v>-4500</v>
      </c>
      <c r="Q39" s="50" t="n">
        <f aca="false">-Inputs!$E$15*1</f>
        <v>-4500</v>
      </c>
      <c r="R39" s="50" t="n">
        <f aca="false">-Inputs!$E$15*1</f>
        <v>-4500</v>
      </c>
      <c r="S39" s="50" t="n">
        <f aca="false">-Inputs!$E$15*1</f>
        <v>-4500</v>
      </c>
      <c r="T39" s="50" t="n">
        <f aca="false">-Inputs!$E$15*1</f>
        <v>-4500</v>
      </c>
      <c r="U39" s="50" t="n">
        <f aca="false">-Inputs!$E$15*1</f>
        <v>-4500</v>
      </c>
      <c r="V39" s="50" t="n">
        <f aca="false">-Inputs!$E$15*1</f>
        <v>-4500</v>
      </c>
      <c r="W39" s="50" t="n">
        <f aca="false">-Inputs!$E$15*1</f>
        <v>-4500</v>
      </c>
      <c r="X39" s="50" t="n">
        <f aca="false">-Inputs!$E$15*1</f>
        <v>-4500</v>
      </c>
      <c r="Y39" s="50" t="n">
        <f aca="false">-Inputs!$E$15*1</f>
        <v>-4500</v>
      </c>
      <c r="Z39" s="50" t="n">
        <f aca="false">-Inputs!$E$15*1</f>
        <v>-4500</v>
      </c>
      <c r="AA39" s="50" t="n">
        <f aca="false">-Inputs!$E$15*1</f>
        <v>-4500</v>
      </c>
      <c r="AB39" s="50" t="n">
        <f aca="false">-Inputs!$E$15*1</f>
        <v>-4500</v>
      </c>
      <c r="AC39" s="50" t="n">
        <f aca="false">-Inputs!$E$15*1</f>
        <v>-4500</v>
      </c>
      <c r="AD39" s="50" t="n">
        <f aca="false">-Inputs!$E$15*1</f>
        <v>-4500</v>
      </c>
      <c r="AE39" s="50" t="n">
        <f aca="false">-Inputs!$E$15*1</f>
        <v>-4500</v>
      </c>
      <c r="AF39" s="50" t="n">
        <f aca="false">-Inputs!$E$15*1</f>
        <v>-4500</v>
      </c>
      <c r="AG39" s="50" t="n">
        <f aca="false">-Inputs!$E$15*1</f>
        <v>-4500</v>
      </c>
      <c r="AH39" s="50" t="n">
        <f aca="false">-Inputs!$E$15*1</f>
        <v>-4500</v>
      </c>
      <c r="AI39" s="50" t="n">
        <f aca="false">-Inputs!$E$15*1</f>
        <v>-4500</v>
      </c>
      <c r="AJ39" s="50" t="n">
        <f aca="false">-Inputs!$E$15*1</f>
        <v>-4500</v>
      </c>
      <c r="AK39" s="50" t="n">
        <f aca="false">-Inputs!$E$15*1</f>
        <v>-4500</v>
      </c>
      <c r="AL39" s="50" t="n">
        <f aca="false">-Inputs!$E$15*1</f>
        <v>-4500</v>
      </c>
    </row>
    <row r="40" customFormat="false" ht="15" hidden="false" customHeight="false" outlineLevel="0" collapsed="false">
      <c r="A40" s="6" t="s">
        <v>191</v>
      </c>
      <c r="C40" s="50" t="n">
        <f aca="false">C99</f>
        <v>-10453.3333333333</v>
      </c>
      <c r="D40" s="50" t="n">
        <f aca="false">D99</f>
        <v>-10453.3333333333</v>
      </c>
      <c r="E40" s="50" t="n">
        <f aca="false">E99</f>
        <v>-10453.3333333333</v>
      </c>
      <c r="F40" s="50" t="n">
        <f aca="false">F99</f>
        <v>-10453.3333333333</v>
      </c>
      <c r="G40" s="50" t="n">
        <f aca="false">G99</f>
        <v>-10453.3333333333</v>
      </c>
      <c r="H40" s="50" t="n">
        <f aca="false">H99</f>
        <v>-10453.3333333333</v>
      </c>
      <c r="I40" s="50" t="n">
        <f aca="false">I99</f>
        <v>-10453.3333333333</v>
      </c>
      <c r="J40" s="50" t="n">
        <f aca="false">J99</f>
        <v>-10453.3333333333</v>
      </c>
      <c r="K40" s="50" t="n">
        <f aca="false">K99</f>
        <v>-10453.3333333333</v>
      </c>
      <c r="L40" s="50" t="n">
        <f aca="false">L99</f>
        <v>-10453.3333333333</v>
      </c>
      <c r="M40" s="50" t="n">
        <f aca="false">M99</f>
        <v>-10453.3333333333</v>
      </c>
      <c r="N40" s="50" t="n">
        <f aca="false">N99</f>
        <v>-10453.3333333333</v>
      </c>
      <c r="O40" s="50" t="n">
        <f aca="false">O99</f>
        <v>-10766.9333333333</v>
      </c>
      <c r="P40" s="50" t="n">
        <f aca="false">P99</f>
        <v>-10766.9333333333</v>
      </c>
      <c r="Q40" s="50" t="n">
        <f aca="false">Q99</f>
        <v>-10766.9333333333</v>
      </c>
      <c r="R40" s="50" t="n">
        <f aca="false">R99</f>
        <v>-10766.9333333333</v>
      </c>
      <c r="S40" s="50" t="n">
        <f aca="false">S99</f>
        <v>-10766.9333333333</v>
      </c>
      <c r="T40" s="50" t="n">
        <f aca="false">T99</f>
        <v>-10766.9333333333</v>
      </c>
      <c r="U40" s="50" t="n">
        <f aca="false">U99</f>
        <v>-10766.9333333333</v>
      </c>
      <c r="V40" s="50" t="n">
        <f aca="false">V99</f>
        <v>-10766.9333333333</v>
      </c>
      <c r="W40" s="50" t="n">
        <f aca="false">W99</f>
        <v>-10766.9333333333</v>
      </c>
      <c r="X40" s="50" t="n">
        <f aca="false">X99</f>
        <v>-10766.9333333333</v>
      </c>
      <c r="Y40" s="50" t="n">
        <f aca="false">Y99</f>
        <v>-10766.9333333333</v>
      </c>
      <c r="Z40" s="50" t="n">
        <f aca="false">Z99</f>
        <v>-10766.9333333333</v>
      </c>
      <c r="AA40" s="50" t="n">
        <f aca="false">AA99</f>
        <v>-11089.9413333333</v>
      </c>
      <c r="AB40" s="50" t="n">
        <f aca="false">AB99</f>
        <v>-11089.9413333333</v>
      </c>
      <c r="AC40" s="50" t="n">
        <f aca="false">AC99</f>
        <v>-11089.9413333333</v>
      </c>
      <c r="AD40" s="50" t="n">
        <f aca="false">AD99</f>
        <v>-11089.9413333333</v>
      </c>
      <c r="AE40" s="50" t="n">
        <f aca="false">AE99</f>
        <v>-11089.9413333333</v>
      </c>
      <c r="AF40" s="50" t="n">
        <f aca="false">AF99</f>
        <v>-11089.9413333333</v>
      </c>
      <c r="AG40" s="50" t="n">
        <f aca="false">AG99</f>
        <v>-11089.9413333333</v>
      </c>
      <c r="AH40" s="50" t="n">
        <f aca="false">AH99</f>
        <v>-11089.9413333333</v>
      </c>
      <c r="AI40" s="50" t="n">
        <f aca="false">AI99</f>
        <v>-11089.9413333333</v>
      </c>
      <c r="AJ40" s="50" t="n">
        <f aca="false">AJ99</f>
        <v>-11089.9413333333</v>
      </c>
      <c r="AK40" s="50" t="n">
        <f aca="false">AK99</f>
        <v>-11089.9413333333</v>
      </c>
      <c r="AL40" s="50" t="n">
        <f aca="false">AL99</f>
        <v>-11089.9413333333</v>
      </c>
    </row>
    <row r="41" customFormat="false" ht="15" hidden="false" customHeight="false" outlineLevel="0" collapsed="false">
      <c r="A41" s="6" t="s">
        <v>192</v>
      </c>
      <c r="C41" s="50" t="n">
        <f aca="false">-C34*Inputs!$E$16</f>
        <v>-468</v>
      </c>
      <c r="D41" s="50" t="n">
        <f aca="false">-D34*Inputs!$E$16</f>
        <v>-546</v>
      </c>
      <c r="E41" s="50" t="n">
        <f aca="false">-E34*Inputs!$E$16</f>
        <v>-624</v>
      </c>
      <c r="F41" s="50" t="n">
        <f aca="false">-F34*Inputs!$E$16</f>
        <v>-702</v>
      </c>
      <c r="G41" s="50" t="n">
        <f aca="false">-G34*Inputs!$E$16</f>
        <v>-780</v>
      </c>
      <c r="H41" s="50" t="n">
        <f aca="false">-H34*Inputs!$E$16</f>
        <v>-858</v>
      </c>
      <c r="I41" s="50" t="n">
        <f aca="false">-I34*Inputs!$E$16</f>
        <v>-936</v>
      </c>
      <c r="J41" s="50" t="n">
        <f aca="false">-J34*Inputs!$E$16</f>
        <v>-936</v>
      </c>
      <c r="K41" s="50" t="n">
        <f aca="false">-K34*Inputs!$E$16</f>
        <v>-936</v>
      </c>
      <c r="L41" s="50" t="n">
        <f aca="false">-L34*Inputs!$E$16</f>
        <v>-936</v>
      </c>
      <c r="M41" s="50" t="n">
        <f aca="false">-M34*Inputs!$E$16</f>
        <v>-936</v>
      </c>
      <c r="N41" s="50" t="n">
        <f aca="false">-N34*Inputs!$E$16</f>
        <v>-936</v>
      </c>
      <c r="O41" s="50" t="n">
        <f aca="false">-O34*Inputs!$E$16</f>
        <v>-1021.9248</v>
      </c>
      <c r="P41" s="50" t="n">
        <f aca="false">-P34*Inputs!$E$16</f>
        <v>-1021.9248</v>
      </c>
      <c r="Q41" s="50" t="n">
        <f aca="false">-Q34*Inputs!$E$16</f>
        <v>-1021.9248</v>
      </c>
      <c r="R41" s="50" t="n">
        <f aca="false">-R34*Inputs!$E$16</f>
        <v>-1021.9248</v>
      </c>
      <c r="S41" s="50" t="n">
        <f aca="false">-S34*Inputs!$E$16</f>
        <v>-1021.9248</v>
      </c>
      <c r="T41" s="50" t="n">
        <f aca="false">-T34*Inputs!$E$16</f>
        <v>-1021.9248</v>
      </c>
      <c r="U41" s="50" t="n">
        <f aca="false">-U34*Inputs!$E$16</f>
        <v>-1021.9248</v>
      </c>
      <c r="V41" s="50" t="n">
        <f aca="false">-V34*Inputs!$E$16</f>
        <v>-1021.9248</v>
      </c>
      <c r="W41" s="50" t="n">
        <f aca="false">-W34*Inputs!$E$16</f>
        <v>-1021.9248</v>
      </c>
      <c r="X41" s="50" t="n">
        <f aca="false">-X34*Inputs!$E$16</f>
        <v>-1021.9248</v>
      </c>
      <c r="Y41" s="50" t="n">
        <f aca="false">-Y34*Inputs!$E$16</f>
        <v>-1021.9248</v>
      </c>
      <c r="Z41" s="50" t="n">
        <f aca="false">-Z34*Inputs!$E$16</f>
        <v>-1021.9248</v>
      </c>
      <c r="AA41" s="50" t="n">
        <f aca="false">-AA34*Inputs!$E$16</f>
        <v>-1115.73749664</v>
      </c>
      <c r="AB41" s="50" t="n">
        <f aca="false">-AB34*Inputs!$E$16</f>
        <v>-1115.73749664</v>
      </c>
      <c r="AC41" s="50" t="n">
        <f aca="false">-AC34*Inputs!$E$16</f>
        <v>-1115.73749664</v>
      </c>
      <c r="AD41" s="50" t="n">
        <f aca="false">-AD34*Inputs!$E$16</f>
        <v>-1115.73749664</v>
      </c>
      <c r="AE41" s="50" t="n">
        <f aca="false">-AE34*Inputs!$E$16</f>
        <v>-1115.73749664</v>
      </c>
      <c r="AF41" s="50" t="n">
        <f aca="false">-AF34*Inputs!$E$16</f>
        <v>-1115.73749664</v>
      </c>
      <c r="AG41" s="50" t="n">
        <f aca="false">-AG34*Inputs!$E$16</f>
        <v>-1115.73749664</v>
      </c>
      <c r="AH41" s="50" t="n">
        <f aca="false">-AH34*Inputs!$E$16</f>
        <v>-1115.73749664</v>
      </c>
      <c r="AI41" s="50" t="n">
        <f aca="false">-AI34*Inputs!$E$16</f>
        <v>-1115.73749664</v>
      </c>
      <c r="AJ41" s="50" t="n">
        <f aca="false">-AJ34*Inputs!$E$16</f>
        <v>-1115.73749664</v>
      </c>
      <c r="AK41" s="50" t="n">
        <f aca="false">-AK34*Inputs!$E$16</f>
        <v>-1115.73749664</v>
      </c>
      <c r="AL41" s="50" t="n">
        <f aca="false">-AL34*Inputs!$E$16</f>
        <v>-1115.73749664</v>
      </c>
    </row>
    <row r="42" customFormat="false" ht="15" hidden="false" customHeight="false" outlineLevel="0" collapsed="false">
      <c r="A42" s="6" t="s">
        <v>193</v>
      </c>
      <c r="C42" s="50" t="n">
        <f aca="false">-Inputs!$E$17*1</f>
        <v>-2000</v>
      </c>
      <c r="D42" s="50" t="n">
        <f aca="false">-Inputs!$E$17*1</f>
        <v>-2000</v>
      </c>
      <c r="E42" s="50" t="n">
        <f aca="false">-Inputs!$E$17*1</f>
        <v>-2000</v>
      </c>
      <c r="F42" s="50" t="n">
        <f aca="false">-Inputs!$E$17*1</f>
        <v>-2000</v>
      </c>
      <c r="G42" s="50" t="n">
        <f aca="false">-Inputs!$E$17*1</f>
        <v>-2000</v>
      </c>
      <c r="H42" s="50" t="n">
        <f aca="false">-Inputs!$E$17*1</f>
        <v>-2000</v>
      </c>
      <c r="I42" s="50" t="n">
        <f aca="false">-Inputs!$E$17*1</f>
        <v>-2000</v>
      </c>
      <c r="J42" s="50" t="n">
        <f aca="false">-Inputs!$E$17*1</f>
        <v>-2000</v>
      </c>
      <c r="K42" s="50" t="n">
        <f aca="false">-Inputs!$E$17*1</f>
        <v>-2000</v>
      </c>
      <c r="L42" s="50" t="n">
        <f aca="false">-Inputs!$E$17*1</f>
        <v>-2000</v>
      </c>
      <c r="M42" s="50" t="n">
        <f aca="false">-Inputs!$E$17*1</f>
        <v>-2000</v>
      </c>
      <c r="N42" s="50" t="n">
        <f aca="false">-Inputs!$E$17*1</f>
        <v>-2000</v>
      </c>
      <c r="O42" s="50" t="n">
        <f aca="false">-Inputs!$E$17*1</f>
        <v>-2000</v>
      </c>
      <c r="P42" s="50" t="n">
        <f aca="false">-Inputs!$E$17*1</f>
        <v>-2000</v>
      </c>
      <c r="Q42" s="50" t="n">
        <f aca="false">-Inputs!$E$17*1</f>
        <v>-2000</v>
      </c>
      <c r="R42" s="50" t="n">
        <f aca="false">-Inputs!$E$17*1</f>
        <v>-2000</v>
      </c>
      <c r="S42" s="50" t="n">
        <f aca="false">-Inputs!$E$17*1</f>
        <v>-2000</v>
      </c>
      <c r="T42" s="50" t="n">
        <f aca="false">-Inputs!$E$17*1</f>
        <v>-2000</v>
      </c>
      <c r="U42" s="50" t="n">
        <f aca="false">-Inputs!$E$17*1</f>
        <v>-2000</v>
      </c>
      <c r="V42" s="50" t="n">
        <f aca="false">-Inputs!$E$17*1</f>
        <v>-2000</v>
      </c>
      <c r="W42" s="50" t="n">
        <f aca="false">-Inputs!$E$17*1</f>
        <v>-2000</v>
      </c>
      <c r="X42" s="50" t="n">
        <f aca="false">-Inputs!$E$17*1</f>
        <v>-2000</v>
      </c>
      <c r="Y42" s="50" t="n">
        <f aca="false">-Inputs!$E$17*1</f>
        <v>-2000</v>
      </c>
      <c r="Z42" s="50" t="n">
        <f aca="false">-Inputs!$E$17*1</f>
        <v>-2000</v>
      </c>
      <c r="AA42" s="50" t="n">
        <f aca="false">-Inputs!$E$17*1</f>
        <v>-2000</v>
      </c>
      <c r="AB42" s="50" t="n">
        <f aca="false">-Inputs!$E$17*1</f>
        <v>-2000</v>
      </c>
      <c r="AC42" s="50" t="n">
        <f aca="false">-Inputs!$E$17*1</f>
        <v>-2000</v>
      </c>
      <c r="AD42" s="50" t="n">
        <f aca="false">-Inputs!$E$17*1</f>
        <v>-2000</v>
      </c>
      <c r="AE42" s="50" t="n">
        <f aca="false">-Inputs!$E$17*1</f>
        <v>-2000</v>
      </c>
      <c r="AF42" s="50" t="n">
        <f aca="false">-Inputs!$E$17*1</f>
        <v>-2000</v>
      </c>
      <c r="AG42" s="50" t="n">
        <f aca="false">-Inputs!$E$17*1</f>
        <v>-2000</v>
      </c>
      <c r="AH42" s="50" t="n">
        <f aca="false">-Inputs!$E$17*1</f>
        <v>-2000</v>
      </c>
      <c r="AI42" s="50" t="n">
        <f aca="false">-Inputs!$E$17*1</f>
        <v>-2000</v>
      </c>
      <c r="AJ42" s="50" t="n">
        <f aca="false">-Inputs!$E$17*1</f>
        <v>-2000</v>
      </c>
      <c r="AK42" s="50" t="n">
        <f aca="false">-Inputs!$E$17*1</f>
        <v>-2000</v>
      </c>
      <c r="AL42" s="50" t="n">
        <f aca="false">-Inputs!$E$17*1</f>
        <v>-2000</v>
      </c>
    </row>
    <row r="43" customFormat="false" ht="15" hidden="false" customHeight="false" outlineLevel="0" collapsed="false">
      <c r="A43" s="69" t="s">
        <v>144</v>
      </c>
      <c r="C43" s="51" t="n">
        <f aca="false">C39+C40+C41+C42</f>
        <v>-17421.3333333333</v>
      </c>
      <c r="D43" s="51" t="n">
        <f aca="false">D39+D40+D41+D42</f>
        <v>-17499.3333333333</v>
      </c>
      <c r="E43" s="51" t="n">
        <f aca="false">E39+E40+E41+E42</f>
        <v>-17577.3333333333</v>
      </c>
      <c r="F43" s="51" t="n">
        <f aca="false">F39+F40+F41+F42</f>
        <v>-17655.3333333333</v>
      </c>
      <c r="G43" s="51" t="n">
        <f aca="false">G39+G40+G41+G42</f>
        <v>-17733.3333333333</v>
      </c>
      <c r="H43" s="51" t="n">
        <f aca="false">H39+H40+H41+H42</f>
        <v>-17811.3333333333</v>
      </c>
      <c r="I43" s="51" t="n">
        <f aca="false">I39+I40+I41+I42</f>
        <v>-17889.3333333333</v>
      </c>
      <c r="J43" s="51" t="n">
        <f aca="false">J39+J40+J41+J42</f>
        <v>-17889.3333333333</v>
      </c>
      <c r="K43" s="51" t="n">
        <f aca="false">K39+K40+K41+K42</f>
        <v>-17889.3333333333</v>
      </c>
      <c r="L43" s="51" t="n">
        <f aca="false">L39+L40+L41+L42</f>
        <v>-17889.3333333333</v>
      </c>
      <c r="M43" s="51" t="n">
        <f aca="false">M39+M40+M41+M42</f>
        <v>-17889.3333333333</v>
      </c>
      <c r="N43" s="51" t="n">
        <f aca="false">N39+N40+N41+N42</f>
        <v>-17889.3333333333</v>
      </c>
      <c r="O43" s="51" t="n">
        <f aca="false">O39+O40+O41+O42</f>
        <v>-18288.8581333333</v>
      </c>
      <c r="P43" s="51" t="n">
        <f aca="false">P39+P40+P41+P42</f>
        <v>-18288.8581333333</v>
      </c>
      <c r="Q43" s="51" t="n">
        <f aca="false">Q39+Q40+Q41+Q42</f>
        <v>-18288.8581333333</v>
      </c>
      <c r="R43" s="51" t="n">
        <f aca="false">R39+R40+R41+R42</f>
        <v>-18288.8581333333</v>
      </c>
      <c r="S43" s="51" t="n">
        <f aca="false">S39+S40+S41+S42</f>
        <v>-18288.8581333333</v>
      </c>
      <c r="T43" s="51" t="n">
        <f aca="false">T39+T40+T41+T42</f>
        <v>-18288.8581333333</v>
      </c>
      <c r="U43" s="51" t="n">
        <f aca="false">U39+U40+U41+U42</f>
        <v>-18288.8581333333</v>
      </c>
      <c r="V43" s="51" t="n">
        <f aca="false">V39+V40+V41+V42</f>
        <v>-18288.8581333333</v>
      </c>
      <c r="W43" s="51" t="n">
        <f aca="false">W39+W40+W41+W42</f>
        <v>-18288.8581333333</v>
      </c>
      <c r="X43" s="51" t="n">
        <f aca="false">X39+X40+X41+X42</f>
        <v>-18288.8581333333</v>
      </c>
      <c r="Y43" s="51" t="n">
        <f aca="false">Y39+Y40+Y41+Y42</f>
        <v>-18288.8581333333</v>
      </c>
      <c r="Z43" s="51" t="n">
        <f aca="false">Z39+Z40+Z41+Z42</f>
        <v>-18288.8581333333</v>
      </c>
      <c r="AA43" s="51" t="n">
        <f aca="false">AA39+AA40+AA41+AA42</f>
        <v>-18705.6788299733</v>
      </c>
      <c r="AB43" s="51" t="n">
        <f aca="false">AB39+AB40+AB41+AB42</f>
        <v>-18705.6788299733</v>
      </c>
      <c r="AC43" s="51" t="n">
        <f aca="false">AC39+AC40+AC41+AC42</f>
        <v>-18705.6788299733</v>
      </c>
      <c r="AD43" s="51" t="n">
        <f aca="false">AD39+AD40+AD41+AD42</f>
        <v>-18705.6788299733</v>
      </c>
      <c r="AE43" s="51" t="n">
        <f aca="false">AE39+AE40+AE41+AE42</f>
        <v>-18705.6788299733</v>
      </c>
      <c r="AF43" s="51" t="n">
        <f aca="false">AF39+AF40+AF41+AF42</f>
        <v>-18705.6788299733</v>
      </c>
      <c r="AG43" s="51" t="n">
        <f aca="false">AG39+AG40+AG41+AG42</f>
        <v>-18705.6788299733</v>
      </c>
      <c r="AH43" s="51" t="n">
        <f aca="false">AH39+AH40+AH41+AH42</f>
        <v>-18705.6788299733</v>
      </c>
      <c r="AI43" s="51" t="n">
        <f aca="false">AI39+AI40+AI41+AI42</f>
        <v>-18705.6788299733</v>
      </c>
      <c r="AJ43" s="51" t="n">
        <f aca="false">AJ39+AJ40+AJ41+AJ42</f>
        <v>-18705.6788299733</v>
      </c>
      <c r="AK43" s="51" t="n">
        <f aca="false">AK39+AK40+AK41+AK42</f>
        <v>-18705.6788299733</v>
      </c>
      <c r="AL43" s="51" t="n">
        <f aca="false">AL39+AL40+AL41+AL42</f>
        <v>-18705.6788299733</v>
      </c>
    </row>
    <row r="44" customFormat="false" ht="15" hidden="false" customHeight="false" outlineLevel="0" collapsed="false">
      <c r="A44" s="69" t="s">
        <v>36</v>
      </c>
      <c r="C44" s="51" t="n">
        <f aca="false">C36+C43</f>
        <v>-6969.33333333334</v>
      </c>
      <c r="D44" s="51" t="n">
        <f aca="false">D36+D43</f>
        <v>-5305.33333333333</v>
      </c>
      <c r="E44" s="51" t="n">
        <f aca="false">E36+E43</f>
        <v>-3641.33333333334</v>
      </c>
      <c r="F44" s="51" t="n">
        <f aca="false">F36+F43</f>
        <v>-1977.33333333334</v>
      </c>
      <c r="G44" s="51" t="n">
        <f aca="false">G36+G43</f>
        <v>-313.333333333339</v>
      </c>
      <c r="H44" s="51" t="n">
        <f aca="false">H36+H43</f>
        <v>1350.66666666666</v>
      </c>
      <c r="I44" s="51" t="n">
        <f aca="false">I36+I43</f>
        <v>3014.66666666666</v>
      </c>
      <c r="J44" s="51" t="n">
        <f aca="false">J36+J43</f>
        <v>3014.66666666666</v>
      </c>
      <c r="K44" s="51" t="n">
        <f aca="false">K36+K43</f>
        <v>3014.66666666666</v>
      </c>
      <c r="L44" s="51" t="n">
        <f aca="false">L36+L43</f>
        <v>3014.66666666666</v>
      </c>
      <c r="M44" s="51" t="n">
        <f aca="false">M36+M43</f>
        <v>3014.66666666666</v>
      </c>
      <c r="N44" s="51" t="n">
        <f aca="false">N36+N43</f>
        <v>3014.66666666666</v>
      </c>
      <c r="O44" s="51" t="n">
        <f aca="false">O36+O43</f>
        <v>4534.12906666667</v>
      </c>
      <c r="P44" s="51" t="n">
        <f aca="false">P36+P43</f>
        <v>4534.12906666667</v>
      </c>
      <c r="Q44" s="51" t="n">
        <f aca="false">Q36+Q43</f>
        <v>4534.12906666667</v>
      </c>
      <c r="R44" s="51" t="n">
        <f aca="false">R36+R43</f>
        <v>4534.12906666667</v>
      </c>
      <c r="S44" s="51" t="n">
        <f aca="false">S36+S43</f>
        <v>4534.12906666667</v>
      </c>
      <c r="T44" s="51" t="n">
        <f aca="false">T36+T43</f>
        <v>4534.12906666667</v>
      </c>
      <c r="U44" s="51" t="n">
        <f aca="false">U36+U43</f>
        <v>4534.12906666667</v>
      </c>
      <c r="V44" s="51" t="n">
        <f aca="false">V36+V43</f>
        <v>4534.12906666667</v>
      </c>
      <c r="W44" s="51" t="n">
        <f aca="false">W36+W43</f>
        <v>4534.12906666667</v>
      </c>
      <c r="X44" s="51" t="n">
        <f aca="false">X36+X43</f>
        <v>4534.12906666667</v>
      </c>
      <c r="Y44" s="51" t="n">
        <f aca="false">Y36+Y43</f>
        <v>4534.12906666667</v>
      </c>
      <c r="Z44" s="51" t="n">
        <f aca="false">Z36+Z43</f>
        <v>4534.12906666667</v>
      </c>
      <c r="AA44" s="51" t="n">
        <f aca="false">AA36+AA43</f>
        <v>6212.45859498667</v>
      </c>
      <c r="AB44" s="51" t="n">
        <f aca="false">AB36+AB43</f>
        <v>6212.45859498667</v>
      </c>
      <c r="AC44" s="51" t="n">
        <f aca="false">AC36+AC43</f>
        <v>6212.45859498667</v>
      </c>
      <c r="AD44" s="51" t="n">
        <f aca="false">AD36+AD43</f>
        <v>6212.45859498667</v>
      </c>
      <c r="AE44" s="51" t="n">
        <f aca="false">AE36+AE43</f>
        <v>6212.45859498667</v>
      </c>
      <c r="AF44" s="51" t="n">
        <f aca="false">AF36+AF43</f>
        <v>6212.45859498667</v>
      </c>
      <c r="AG44" s="51" t="n">
        <f aca="false">AG36+AG43</f>
        <v>6212.45859498667</v>
      </c>
      <c r="AH44" s="51" t="n">
        <f aca="false">AH36+AH43</f>
        <v>6212.45859498667</v>
      </c>
      <c r="AI44" s="51" t="n">
        <f aca="false">AI36+AI43</f>
        <v>6212.45859498667</v>
      </c>
      <c r="AJ44" s="51" t="n">
        <f aca="false">AJ36+AJ43</f>
        <v>6212.45859498667</v>
      </c>
      <c r="AK44" s="51" t="n">
        <f aca="false">AK36+AK43</f>
        <v>6212.45859498667</v>
      </c>
      <c r="AL44" s="51" t="n">
        <f aca="false">AL36+AL43</f>
        <v>6212.45859498667</v>
      </c>
    </row>
    <row r="46" customFormat="false" ht="15.75" hidden="false" customHeight="true" outlineLevel="0" collapsed="false">
      <c r="A46" s="7" t="s">
        <v>194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4" t="s">
        <v>195</v>
      </c>
      <c r="C47" s="56" t="n">
        <f aca="false">C44+C58</f>
        <v>-8874.09523809524</v>
      </c>
      <c r="D47" s="56" t="n">
        <f aca="false">D44+D58</f>
        <v>-7210.09523809524</v>
      </c>
      <c r="E47" s="56" t="n">
        <f aca="false">E44+E58</f>
        <v>-5546.09523809524</v>
      </c>
      <c r="F47" s="56" t="n">
        <f aca="false">F44+F58</f>
        <v>-3882.09523809524</v>
      </c>
      <c r="G47" s="56" t="n">
        <f aca="false">G44+G58</f>
        <v>-2218.09523809524</v>
      </c>
      <c r="H47" s="56" t="n">
        <f aca="false">H44+H58</f>
        <v>-554.095238095241</v>
      </c>
      <c r="I47" s="56" t="n">
        <f aca="false">I44+I58</f>
        <v>1109.90476190476</v>
      </c>
      <c r="J47" s="56" t="n">
        <f aca="false">J44+J58</f>
        <v>1109.90476190476</v>
      </c>
      <c r="K47" s="56" t="n">
        <f aca="false">K44+K58</f>
        <v>1109.90476190476</v>
      </c>
      <c r="L47" s="56" t="n">
        <f aca="false">L44+L58</f>
        <v>1109.90476190476</v>
      </c>
      <c r="M47" s="56" t="n">
        <f aca="false">M44+M58</f>
        <v>1109.90476190476</v>
      </c>
      <c r="N47" s="56" t="n">
        <f aca="false">N44+N58</f>
        <v>1109.90476190476</v>
      </c>
      <c r="O47" s="56" t="n">
        <f aca="false">O44+O58</f>
        <v>2629.36716190476</v>
      </c>
      <c r="P47" s="56" t="n">
        <f aca="false">P44+P58</f>
        <v>2629.36716190476</v>
      </c>
      <c r="Q47" s="56" t="n">
        <f aca="false">Q44+Q58</f>
        <v>2629.36716190476</v>
      </c>
      <c r="R47" s="56" t="n">
        <f aca="false">R44+R58</f>
        <v>2629.36716190476</v>
      </c>
      <c r="S47" s="56" t="n">
        <f aca="false">S44+S58</f>
        <v>2629.36716190476</v>
      </c>
      <c r="T47" s="56" t="n">
        <f aca="false">T44+T58</f>
        <v>2629.36716190476</v>
      </c>
      <c r="U47" s="56" t="n">
        <f aca="false">U44+U58</f>
        <v>2629.36716190476</v>
      </c>
      <c r="V47" s="56" t="n">
        <f aca="false">V44+V58</f>
        <v>2629.36716190476</v>
      </c>
      <c r="W47" s="56" t="n">
        <f aca="false">W44+W58</f>
        <v>2629.36716190476</v>
      </c>
      <c r="X47" s="56" t="n">
        <f aca="false">X44+X58</f>
        <v>2629.36716190476</v>
      </c>
      <c r="Y47" s="56" t="n">
        <f aca="false">Y44+Y58</f>
        <v>2629.36716190476</v>
      </c>
      <c r="Z47" s="56" t="n">
        <f aca="false">Z44+Z58</f>
        <v>2629.36716190476</v>
      </c>
      <c r="AA47" s="56" t="n">
        <f aca="false">AA44+AA58</f>
        <v>4307.69669022477</v>
      </c>
      <c r="AB47" s="56" t="n">
        <f aca="false">AB44+AB58</f>
        <v>4307.69669022477</v>
      </c>
      <c r="AC47" s="56" t="n">
        <f aca="false">AC44+AC58</f>
        <v>4307.69669022477</v>
      </c>
      <c r="AD47" s="56" t="n">
        <f aca="false">AD44+AD58</f>
        <v>4307.69669022477</v>
      </c>
      <c r="AE47" s="56" t="n">
        <f aca="false">AE44+AE58</f>
        <v>4307.69669022477</v>
      </c>
      <c r="AF47" s="56" t="n">
        <f aca="false">AF44+AF58</f>
        <v>4307.69669022477</v>
      </c>
      <c r="AG47" s="56" t="n">
        <f aca="false">AG44+AG58</f>
        <v>4307.69669022477</v>
      </c>
      <c r="AH47" s="56" t="n">
        <f aca="false">AH44+AH58</f>
        <v>4307.69669022477</v>
      </c>
      <c r="AI47" s="56" t="n">
        <f aca="false">AI44+AI58</f>
        <v>4307.69669022477</v>
      </c>
      <c r="AJ47" s="56" t="n">
        <f aca="false">AJ44+AJ58</f>
        <v>4307.69669022477</v>
      </c>
      <c r="AK47" s="56" t="n">
        <f aca="false">AK44+AK58</f>
        <v>4307.69669022477</v>
      </c>
      <c r="AL47" s="56" t="n">
        <f aca="false">AL44+AL58</f>
        <v>4307.69669022477</v>
      </c>
    </row>
    <row r="48" customFormat="false" ht="15" hidden="false" customHeight="false" outlineLevel="0" collapsed="false">
      <c r="A48" s="6" t="s">
        <v>196</v>
      </c>
      <c r="C48" s="50" t="n">
        <f aca="false">-(C63+C64+C66)/2*Inputs!$E$31/12</f>
        <v>-533.333333333333</v>
      </c>
      <c r="D48" s="50" t="n">
        <f aca="false">-(D63+D64+D66)/2*Inputs!$E$31/12</f>
        <v>-528.888888888889</v>
      </c>
      <c r="E48" s="50" t="n">
        <f aca="false">-(E63+E64+E66)/2*Inputs!$E$31/12</f>
        <v>-520</v>
      </c>
      <c r="F48" s="50" t="n">
        <f aca="false">-(F63+F64+F66)/2*Inputs!$E$31/12</f>
        <v>-511.111111111111</v>
      </c>
      <c r="G48" s="50" t="n">
        <f aca="false">-(G63+G64+G66)/2*Inputs!$E$31/12</f>
        <v>-502.222222222222</v>
      </c>
      <c r="H48" s="50" t="n">
        <f aca="false">-(H63+H64+H66)/2*Inputs!$E$31/12</f>
        <v>-493.333333333334</v>
      </c>
      <c r="I48" s="50" t="n">
        <f aca="false">-(I63+I64+I66)/2*Inputs!$E$31/12</f>
        <v>-484.444444444445</v>
      </c>
      <c r="J48" s="50" t="n">
        <f aca="false">-(J63+J64+J66)/2*Inputs!$E$31/12</f>
        <v>-475.555555555556</v>
      </c>
      <c r="K48" s="50" t="n">
        <f aca="false">-(K63+K64+K66)/2*Inputs!$E$31/12</f>
        <v>-466.666666666667</v>
      </c>
      <c r="L48" s="50" t="n">
        <f aca="false">-(L63+L64+L66)/2*Inputs!$E$31/12</f>
        <v>-457.777777777778</v>
      </c>
      <c r="M48" s="50" t="n">
        <f aca="false">-(M63+M64+M66)/2*Inputs!$E$31/12</f>
        <v>-448.888888888889</v>
      </c>
      <c r="N48" s="50" t="n">
        <f aca="false">-(N63+N64+N66)/2*Inputs!$E$31/12</f>
        <v>-440</v>
      </c>
      <c r="O48" s="50" t="n">
        <f aca="false">-(O63+O64+O66)/2*Inputs!$E$31/12</f>
        <v>-431.111111111112</v>
      </c>
      <c r="P48" s="50" t="n">
        <f aca="false">-(P63+P64+P66)/2*Inputs!$E$31/12</f>
        <v>-422.222222222222</v>
      </c>
      <c r="Q48" s="50" t="n">
        <f aca="false">-(Q63+Q64+Q66)/2*Inputs!$E$31/12</f>
        <v>-413.333333333334</v>
      </c>
      <c r="R48" s="50" t="n">
        <f aca="false">-(R63+R64+R66)/2*Inputs!$E$31/12</f>
        <v>-404.444444444445</v>
      </c>
      <c r="S48" s="50" t="n">
        <f aca="false">-(S63+S64+S66)/2*Inputs!$E$31/12</f>
        <v>-395.555555555556</v>
      </c>
      <c r="T48" s="50" t="n">
        <f aca="false">-(T63+T64+T66)/2*Inputs!$E$31/12</f>
        <v>-386.666666666667</v>
      </c>
      <c r="U48" s="50" t="n">
        <f aca="false">-(U63+U64+U66)/2*Inputs!$E$31/12</f>
        <v>-377.777777777778</v>
      </c>
      <c r="V48" s="50" t="n">
        <f aca="false">-(V63+V64+V66)/2*Inputs!$E$31/12</f>
        <v>-368.888888888889</v>
      </c>
      <c r="W48" s="50" t="n">
        <f aca="false">-(W63+W64+W66)/2*Inputs!$E$31/12</f>
        <v>-360</v>
      </c>
      <c r="X48" s="50" t="n">
        <f aca="false">-(X63+X64+X66)/2*Inputs!$E$31/12</f>
        <v>-351.111111111111</v>
      </c>
      <c r="Y48" s="50" t="n">
        <f aca="false">-(Y63+Y64+Y66)/2*Inputs!$E$31/12</f>
        <v>-342.222222222222</v>
      </c>
      <c r="Z48" s="50" t="n">
        <f aca="false">-(Z63+Z64+Z66)/2*Inputs!$E$31/12</f>
        <v>-333.333333333333</v>
      </c>
      <c r="AA48" s="50" t="n">
        <f aca="false">-(AA63+AA64+AA66)/2*Inputs!$E$31/12</f>
        <v>-324.444444444445</v>
      </c>
      <c r="AB48" s="50" t="n">
        <f aca="false">-(AB63+AB64+AB66)/2*Inputs!$E$31/12</f>
        <v>-315.555555555556</v>
      </c>
      <c r="AC48" s="50" t="n">
        <f aca="false">-(AC63+AC64+AC66)/2*Inputs!$E$31/12</f>
        <v>-306.666666666667</v>
      </c>
      <c r="AD48" s="50" t="n">
        <f aca="false">-(AD63+AD64+AD66)/2*Inputs!$E$31/12</f>
        <v>-297.777777777778</v>
      </c>
      <c r="AE48" s="50" t="n">
        <f aca="false">-(AE63+AE64+AE66)/2*Inputs!$E$31/12</f>
        <v>-288.888888888889</v>
      </c>
      <c r="AF48" s="50" t="n">
        <f aca="false">-(AF63+AF64+AF66)/2*Inputs!$E$31/12</f>
        <v>-280</v>
      </c>
      <c r="AG48" s="50" t="n">
        <f aca="false">-(AG63+AG64+AG66)/2*Inputs!$E$31/12</f>
        <v>-271.111111111111</v>
      </c>
      <c r="AH48" s="50" t="n">
        <f aca="false">-(AH63+AH64+AH66)/2*Inputs!$E$31/12</f>
        <v>-262.222222222222</v>
      </c>
      <c r="AI48" s="50" t="n">
        <f aca="false">-(AI63+AI64+AI66)/2*Inputs!$E$31/12</f>
        <v>-253.333333333333</v>
      </c>
      <c r="AJ48" s="50" t="n">
        <f aca="false">-(AJ63+AJ64+AJ66)/2*Inputs!$E$31/12</f>
        <v>-244.444444444444</v>
      </c>
      <c r="AK48" s="50" t="n">
        <f aca="false">-(AK63+AK64+AK66)/2*Inputs!$E$31/12</f>
        <v>-235.555555555556</v>
      </c>
      <c r="AL48" s="50" t="n">
        <f aca="false">-(AL63+AL64+AL66)/2*Inputs!$E$31/12</f>
        <v>-226.666666666667</v>
      </c>
    </row>
    <row r="49" customFormat="false" ht="15" hidden="false" customHeight="false" outlineLevel="0" collapsed="false">
      <c r="A49" s="69" t="s">
        <v>197</v>
      </c>
      <c r="C49" s="51" t="n">
        <f aca="false">C47+C48</f>
        <v>-9407.42857142857</v>
      </c>
      <c r="D49" s="51" t="n">
        <f aca="false">D47+D48</f>
        <v>-7738.98412698413</v>
      </c>
      <c r="E49" s="51" t="n">
        <f aca="false">E47+E48</f>
        <v>-6066.09523809524</v>
      </c>
      <c r="F49" s="51" t="n">
        <f aca="false">F47+F48</f>
        <v>-4393.20634920635</v>
      </c>
      <c r="G49" s="51" t="n">
        <f aca="false">G47+G48</f>
        <v>-2720.31746031747</v>
      </c>
      <c r="H49" s="51" t="n">
        <f aca="false">H47+H48</f>
        <v>-1047.42857142857</v>
      </c>
      <c r="I49" s="51" t="n">
        <f aca="false">I47+I48</f>
        <v>625.460317460315</v>
      </c>
      <c r="J49" s="51" t="n">
        <f aca="false">J47+J48</f>
        <v>634.349206349204</v>
      </c>
      <c r="K49" s="51" t="n">
        <f aca="false">K47+K48</f>
        <v>643.238095238093</v>
      </c>
      <c r="L49" s="51" t="n">
        <f aca="false">L47+L48</f>
        <v>652.126984126981</v>
      </c>
      <c r="M49" s="51" t="n">
        <f aca="false">M47+M48</f>
        <v>661.01587301587</v>
      </c>
      <c r="N49" s="51" t="n">
        <f aca="false">N47+N48</f>
        <v>669.904761904759</v>
      </c>
      <c r="O49" s="51" t="n">
        <f aca="false">O47+O48</f>
        <v>2198.25605079365</v>
      </c>
      <c r="P49" s="51" t="n">
        <f aca="false">P47+P48</f>
        <v>2207.14493968254</v>
      </c>
      <c r="Q49" s="51" t="n">
        <f aca="false">Q47+Q48</f>
        <v>2216.03382857143</v>
      </c>
      <c r="R49" s="51" t="n">
        <f aca="false">R47+R48</f>
        <v>2224.92271746032</v>
      </c>
      <c r="S49" s="51" t="n">
        <f aca="false">S47+S48</f>
        <v>2233.81160634921</v>
      </c>
      <c r="T49" s="51" t="n">
        <f aca="false">T47+T48</f>
        <v>2242.7004952381</v>
      </c>
      <c r="U49" s="51" t="n">
        <f aca="false">U47+U48</f>
        <v>2251.58938412699</v>
      </c>
      <c r="V49" s="51" t="n">
        <f aca="false">V47+V48</f>
        <v>2260.47827301587</v>
      </c>
      <c r="W49" s="51" t="n">
        <f aca="false">W47+W48</f>
        <v>2269.36716190476</v>
      </c>
      <c r="X49" s="51" t="n">
        <f aca="false">X47+X48</f>
        <v>2278.25605079365</v>
      </c>
      <c r="Y49" s="51" t="n">
        <f aca="false">Y47+Y48</f>
        <v>2287.14493968254</v>
      </c>
      <c r="Z49" s="51" t="n">
        <f aca="false">Z47+Z48</f>
        <v>2296.03382857143</v>
      </c>
      <c r="AA49" s="51" t="n">
        <f aca="false">AA47+AA48</f>
        <v>3983.25224578032</v>
      </c>
      <c r="AB49" s="51" t="n">
        <f aca="false">AB47+AB48</f>
        <v>3992.14113466921</v>
      </c>
      <c r="AC49" s="51" t="n">
        <f aca="false">AC47+AC48</f>
        <v>4001.0300235581</v>
      </c>
      <c r="AD49" s="51" t="n">
        <f aca="false">AD47+AD48</f>
        <v>4009.91891244699</v>
      </c>
      <c r="AE49" s="51" t="n">
        <f aca="false">AE47+AE48</f>
        <v>4018.80780133588</v>
      </c>
      <c r="AF49" s="51" t="n">
        <f aca="false">AF47+AF48</f>
        <v>4027.69669022477</v>
      </c>
      <c r="AG49" s="51" t="n">
        <f aca="false">AG47+AG48</f>
        <v>4036.58557911365</v>
      </c>
      <c r="AH49" s="51" t="n">
        <f aca="false">AH47+AH48</f>
        <v>4045.47446800254</v>
      </c>
      <c r="AI49" s="51" t="n">
        <f aca="false">AI47+AI48</f>
        <v>4054.36335689143</v>
      </c>
      <c r="AJ49" s="51" t="n">
        <f aca="false">AJ47+AJ48</f>
        <v>4063.25224578032</v>
      </c>
      <c r="AK49" s="51" t="n">
        <f aca="false">AK47+AK48</f>
        <v>4072.14113466921</v>
      </c>
      <c r="AL49" s="51" t="n">
        <f aca="false">AL47+AL48</f>
        <v>4081.0300235581</v>
      </c>
    </row>
    <row r="50" customFormat="false" ht="15" hidden="false" customHeight="false" outlineLevel="0" collapsed="false">
      <c r="A50" s="74" t="s">
        <v>198</v>
      </c>
      <c r="C50" s="50" t="n">
        <f aca="false">C49</f>
        <v>-9407.42857142857</v>
      </c>
      <c r="D50" s="50" t="n">
        <f aca="false">C50+D49</f>
        <v>-17146.4126984127</v>
      </c>
      <c r="E50" s="50" t="n">
        <f aca="false">D50+E49</f>
        <v>-23212.5079365079</v>
      </c>
      <c r="F50" s="50" t="n">
        <f aca="false">E50+F49</f>
        <v>-27605.7142857143</v>
      </c>
      <c r="G50" s="50" t="n">
        <f aca="false">F50+G49</f>
        <v>-30326.0317460318</v>
      </c>
      <c r="H50" s="50" t="n">
        <f aca="false">G50+H49</f>
        <v>-31373.4603174603</v>
      </c>
      <c r="I50" s="50" t="n">
        <f aca="false">H50+I49</f>
        <v>-30748</v>
      </c>
      <c r="J50" s="50" t="n">
        <f aca="false">I50+J49</f>
        <v>-30113.6507936508</v>
      </c>
      <c r="K50" s="50" t="n">
        <f aca="false">J50+K49</f>
        <v>-29470.4126984127</v>
      </c>
      <c r="L50" s="50" t="n">
        <f aca="false">K50+L49</f>
        <v>-28818.2857142857</v>
      </c>
      <c r="M50" s="50" t="n">
        <f aca="false">L50+M49</f>
        <v>-28157.2698412699</v>
      </c>
      <c r="N50" s="50" t="n">
        <f aca="false">M50+N49</f>
        <v>-27487.3650793651</v>
      </c>
      <c r="O50" s="50" t="n">
        <f aca="false">N50+O49</f>
        <v>-25289.1090285715</v>
      </c>
      <c r="P50" s="50" t="n">
        <f aca="false">O50+P49</f>
        <v>-23081.9640888889</v>
      </c>
      <c r="Q50" s="50" t="n">
        <f aca="false">P50+Q49</f>
        <v>-20865.9302603175</v>
      </c>
      <c r="R50" s="50" t="n">
        <f aca="false">Q50+R49</f>
        <v>-18641.0075428572</v>
      </c>
      <c r="S50" s="50" t="n">
        <f aca="false">R50+S49</f>
        <v>-16407.195936508</v>
      </c>
      <c r="T50" s="50" t="n">
        <f aca="false">S50+T49</f>
        <v>-14164.4954412699</v>
      </c>
      <c r="U50" s="50" t="n">
        <f aca="false">T50+U49</f>
        <v>-11912.9060571429</v>
      </c>
      <c r="V50" s="50" t="n">
        <f aca="false">U50+V49</f>
        <v>-9652.427784127</v>
      </c>
      <c r="W50" s="50" t="n">
        <f aca="false">V50+W49</f>
        <v>-7383.06062222224</v>
      </c>
      <c r="X50" s="50" t="n">
        <f aca="false">W50+X49</f>
        <v>-5104.80457142859</v>
      </c>
      <c r="Y50" s="50" t="n">
        <f aca="false">X50+Y49</f>
        <v>-2817.65963174605</v>
      </c>
      <c r="Z50" s="50" t="n">
        <f aca="false">Y50+Z49</f>
        <v>-521.625803174616</v>
      </c>
      <c r="AA50" s="50" t="n">
        <f aca="false">Z50+AA49</f>
        <v>3461.62644260571</v>
      </c>
      <c r="AB50" s="50" t="n">
        <f aca="false">AA50+AB49</f>
        <v>7453.76757727492</v>
      </c>
      <c r="AC50" s="50" t="n">
        <f aca="false">AB50+AC49</f>
        <v>11454.797600833</v>
      </c>
      <c r="AD50" s="50" t="n">
        <f aca="false">AC50+AD49</f>
        <v>15464.71651328</v>
      </c>
      <c r="AE50" s="50" t="n">
        <f aca="false">AD50+AE49</f>
        <v>19483.5243146159</v>
      </c>
      <c r="AF50" s="50" t="n">
        <f aca="false">AE50+AF49</f>
        <v>23511.2210048406</v>
      </c>
      <c r="AG50" s="50" t="n">
        <f aca="false">AF50+AG49</f>
        <v>27547.8065839543</v>
      </c>
      <c r="AH50" s="50" t="n">
        <f aca="false">AG50+AH49</f>
        <v>31593.2810519568</v>
      </c>
      <c r="AI50" s="50" t="n">
        <f aca="false">AH50+AI49</f>
        <v>35647.6444088483</v>
      </c>
      <c r="AJ50" s="50" t="n">
        <f aca="false">AI50+AJ49</f>
        <v>39710.8966546286</v>
      </c>
      <c r="AK50" s="50" t="n">
        <f aca="false">AJ50+AK49</f>
        <v>43783.0377892978</v>
      </c>
      <c r="AL50" s="50" t="n">
        <f aca="false">AK50+AL49</f>
        <v>47864.0678128559</v>
      </c>
    </row>
    <row r="51" customFormat="false" ht="15" hidden="false" customHeight="false" outlineLevel="0" collapsed="false">
      <c r="A51" s="74" t="s">
        <v>199</v>
      </c>
      <c r="C51" s="50" t="n">
        <f aca="false">MAX(0,C50)</f>
        <v>0</v>
      </c>
      <c r="D51" s="50" t="n">
        <f aca="false">MAX(C51,D50)</f>
        <v>0</v>
      </c>
      <c r="E51" s="50" t="n">
        <f aca="false">MAX(D51,E50)</f>
        <v>0</v>
      </c>
      <c r="F51" s="50" t="n">
        <f aca="false">MAX(E51,F50)</f>
        <v>0</v>
      </c>
      <c r="G51" s="50" t="n">
        <f aca="false">MAX(F51,G50)</f>
        <v>0</v>
      </c>
      <c r="H51" s="50" t="n">
        <f aca="false">MAX(G51,H50)</f>
        <v>0</v>
      </c>
      <c r="I51" s="50" t="n">
        <f aca="false">MAX(H51,I50)</f>
        <v>0</v>
      </c>
      <c r="J51" s="50" t="n">
        <f aca="false">MAX(I51,J50)</f>
        <v>0</v>
      </c>
      <c r="K51" s="50" t="n">
        <f aca="false">MAX(J51,K50)</f>
        <v>0</v>
      </c>
      <c r="L51" s="50" t="n">
        <f aca="false">MAX(K51,L50)</f>
        <v>0</v>
      </c>
      <c r="M51" s="50" t="n">
        <f aca="false">MAX(L51,M50)</f>
        <v>0</v>
      </c>
      <c r="N51" s="50" t="n">
        <f aca="false">MAX(M51,N50)</f>
        <v>0</v>
      </c>
      <c r="O51" s="50" t="n">
        <f aca="false">MAX(N51,O50)</f>
        <v>0</v>
      </c>
      <c r="P51" s="50" t="n">
        <f aca="false">MAX(O51,P50)</f>
        <v>0</v>
      </c>
      <c r="Q51" s="50" t="n">
        <f aca="false">MAX(P51,Q50)</f>
        <v>0</v>
      </c>
      <c r="R51" s="50" t="n">
        <f aca="false">MAX(Q51,R50)</f>
        <v>0</v>
      </c>
      <c r="S51" s="50" t="n">
        <f aca="false">MAX(R51,S50)</f>
        <v>0</v>
      </c>
      <c r="T51" s="50" t="n">
        <f aca="false">MAX(S51,T50)</f>
        <v>0</v>
      </c>
      <c r="U51" s="50" t="n">
        <f aca="false">MAX(T51,U50)</f>
        <v>0</v>
      </c>
      <c r="V51" s="50" t="n">
        <f aca="false">MAX(U51,V50)</f>
        <v>0</v>
      </c>
      <c r="W51" s="50" t="n">
        <f aca="false">MAX(V51,W50)</f>
        <v>0</v>
      </c>
      <c r="X51" s="50" t="n">
        <f aca="false">MAX(W51,X50)</f>
        <v>0</v>
      </c>
      <c r="Y51" s="50" t="n">
        <f aca="false">MAX(X51,Y50)</f>
        <v>0</v>
      </c>
      <c r="Z51" s="50" t="n">
        <f aca="false">MAX(Y51,Z50)</f>
        <v>0</v>
      </c>
      <c r="AA51" s="50" t="n">
        <f aca="false">MAX(Z51,AA50)</f>
        <v>3461.62644260571</v>
      </c>
      <c r="AB51" s="50" t="n">
        <f aca="false">MAX(AA51,AB50)</f>
        <v>7453.76757727492</v>
      </c>
      <c r="AC51" s="50" t="n">
        <f aca="false">MAX(AB51,AC50)</f>
        <v>11454.797600833</v>
      </c>
      <c r="AD51" s="50" t="n">
        <f aca="false">MAX(AC51,AD50)</f>
        <v>15464.71651328</v>
      </c>
      <c r="AE51" s="50" t="n">
        <f aca="false">MAX(AD51,AE50)</f>
        <v>19483.5243146159</v>
      </c>
      <c r="AF51" s="50" t="n">
        <f aca="false">MAX(AE51,AF50)</f>
        <v>23511.2210048406</v>
      </c>
      <c r="AG51" s="50" t="n">
        <f aca="false">MAX(AF51,AG50)</f>
        <v>27547.8065839543</v>
      </c>
      <c r="AH51" s="50" t="n">
        <f aca="false">MAX(AG51,AH50)</f>
        <v>31593.2810519568</v>
      </c>
      <c r="AI51" s="50" t="n">
        <f aca="false">MAX(AH51,AI50)</f>
        <v>35647.6444088483</v>
      </c>
      <c r="AJ51" s="50" t="n">
        <f aca="false">MAX(AI51,AJ50)</f>
        <v>39710.8966546286</v>
      </c>
      <c r="AK51" s="50" t="n">
        <f aca="false">MAX(AJ51,AK50)</f>
        <v>43783.0377892978</v>
      </c>
      <c r="AL51" s="50" t="n">
        <f aca="false">MAX(AK51,AL50)</f>
        <v>47864.0678128559</v>
      </c>
    </row>
    <row r="52" customFormat="false" ht="15" hidden="false" customHeight="false" outlineLevel="0" collapsed="false">
      <c r="A52" s="6" t="s">
        <v>200</v>
      </c>
      <c r="C52" s="50" t="n">
        <f aca="false">-C51*Inputs!$E$41</f>
        <v>-0</v>
      </c>
      <c r="D52" s="50" t="n">
        <f aca="false">-(D51-C51)*Inputs!$E$41</f>
        <v>-0</v>
      </c>
      <c r="E52" s="50" t="n">
        <f aca="false">-(E51-D51)*Inputs!$E$41</f>
        <v>-0</v>
      </c>
      <c r="F52" s="50" t="n">
        <f aca="false">-(F51-E51)*Inputs!$E$41</f>
        <v>-0</v>
      </c>
      <c r="G52" s="50" t="n">
        <f aca="false">-(G51-F51)*Inputs!$E$41</f>
        <v>-0</v>
      </c>
      <c r="H52" s="50" t="n">
        <f aca="false">-(H51-G51)*Inputs!$E$41</f>
        <v>-0</v>
      </c>
      <c r="I52" s="50" t="n">
        <f aca="false">-(I51-H51)*Inputs!$E$41</f>
        <v>-0</v>
      </c>
      <c r="J52" s="50" t="n">
        <f aca="false">-(J51-I51)*Inputs!$E$41</f>
        <v>-0</v>
      </c>
      <c r="K52" s="50" t="n">
        <f aca="false">-(K51-J51)*Inputs!$E$41</f>
        <v>-0</v>
      </c>
      <c r="L52" s="50" t="n">
        <f aca="false">-(L51-K51)*Inputs!$E$41</f>
        <v>-0</v>
      </c>
      <c r="M52" s="50" t="n">
        <f aca="false">-(M51-L51)*Inputs!$E$41</f>
        <v>-0</v>
      </c>
      <c r="N52" s="50" t="n">
        <f aca="false">-(N51-M51)*Inputs!$E$41</f>
        <v>-0</v>
      </c>
      <c r="O52" s="50" t="n">
        <f aca="false">-(O51-N51)*Inputs!$E$41</f>
        <v>-0</v>
      </c>
      <c r="P52" s="50" t="n">
        <f aca="false">-(P51-O51)*Inputs!$E$41</f>
        <v>-0</v>
      </c>
      <c r="Q52" s="50" t="n">
        <f aca="false">-(Q51-P51)*Inputs!$E$41</f>
        <v>-0</v>
      </c>
      <c r="R52" s="50" t="n">
        <f aca="false">-(R51-Q51)*Inputs!$E$41</f>
        <v>-0</v>
      </c>
      <c r="S52" s="50" t="n">
        <f aca="false">-(S51-R51)*Inputs!$E$41</f>
        <v>-0</v>
      </c>
      <c r="T52" s="50" t="n">
        <f aca="false">-(T51-S51)*Inputs!$E$41</f>
        <v>-0</v>
      </c>
      <c r="U52" s="50" t="n">
        <f aca="false">-(U51-T51)*Inputs!$E$41</f>
        <v>-0</v>
      </c>
      <c r="V52" s="50" t="n">
        <f aca="false">-(V51-U51)*Inputs!$E$41</f>
        <v>-0</v>
      </c>
      <c r="W52" s="50" t="n">
        <f aca="false">-(W51-V51)*Inputs!$E$41</f>
        <v>-0</v>
      </c>
      <c r="X52" s="50" t="n">
        <f aca="false">-(X51-W51)*Inputs!$E$41</f>
        <v>-0</v>
      </c>
      <c r="Y52" s="50" t="n">
        <f aca="false">-(Y51-X51)*Inputs!$E$41</f>
        <v>-0</v>
      </c>
      <c r="Z52" s="50" t="n">
        <f aca="false">-(Z51-Y51)*Inputs!$E$41</f>
        <v>-0</v>
      </c>
      <c r="AA52" s="50" t="n">
        <f aca="false">-(AA51-Z51)*Inputs!$E$41</f>
        <v>-726.941552947198</v>
      </c>
      <c r="AB52" s="50" t="n">
        <f aca="false">-(AB51-AA51)*Inputs!$E$41</f>
        <v>-838.349638280534</v>
      </c>
      <c r="AC52" s="50" t="n">
        <f aca="false">-(AC51-AB51)*Inputs!$E$41</f>
        <v>-840.216304947201</v>
      </c>
      <c r="AD52" s="50" t="n">
        <f aca="false">-(AD51-AC51)*Inputs!$E$41</f>
        <v>-842.082971613868</v>
      </c>
      <c r="AE52" s="50" t="n">
        <f aca="false">-(AE51-AD51)*Inputs!$E$41</f>
        <v>-843.949638280534</v>
      </c>
      <c r="AF52" s="50" t="n">
        <f aca="false">-(AF51-AE51)*Inputs!$E$41</f>
        <v>-845.816304947201</v>
      </c>
      <c r="AG52" s="50" t="n">
        <f aca="false">-(AG51-AF51)*Inputs!$E$41</f>
        <v>-847.682971613867</v>
      </c>
      <c r="AH52" s="50" t="n">
        <f aca="false">-(AH51-AG51)*Inputs!$E$41</f>
        <v>-849.549638280534</v>
      </c>
      <c r="AI52" s="50" t="n">
        <f aca="false">-(AI51-AH51)*Inputs!$E$41</f>
        <v>-851.416304947201</v>
      </c>
      <c r="AJ52" s="50" t="n">
        <f aca="false">-(AJ51-AI51)*Inputs!$E$41</f>
        <v>-853.282971613867</v>
      </c>
      <c r="AK52" s="50" t="n">
        <f aca="false">-(AK51-AJ51)*Inputs!$E$41</f>
        <v>-855.149638280534</v>
      </c>
      <c r="AL52" s="50" t="n">
        <f aca="false">-(AL51-AK51)*Inputs!$E$41</f>
        <v>-857.016304947201</v>
      </c>
    </row>
    <row r="53" customFormat="false" ht="15" hidden="false" customHeight="false" outlineLevel="0" collapsed="false">
      <c r="A53" s="69" t="s">
        <v>38</v>
      </c>
      <c r="C53" s="51" t="n">
        <f aca="false">C49+C52</f>
        <v>-9407.42857142857</v>
      </c>
      <c r="D53" s="51" t="n">
        <f aca="false">D49+D52</f>
        <v>-7738.98412698413</v>
      </c>
      <c r="E53" s="51" t="n">
        <f aca="false">E49+E52</f>
        <v>-6066.09523809524</v>
      </c>
      <c r="F53" s="51" t="n">
        <f aca="false">F49+F52</f>
        <v>-4393.20634920635</v>
      </c>
      <c r="G53" s="51" t="n">
        <f aca="false">G49+G52</f>
        <v>-2720.31746031747</v>
      </c>
      <c r="H53" s="51" t="n">
        <f aca="false">H49+H52</f>
        <v>-1047.42857142857</v>
      </c>
      <c r="I53" s="51" t="n">
        <f aca="false">I49+I52</f>
        <v>625.460317460315</v>
      </c>
      <c r="J53" s="51" t="n">
        <f aca="false">J49+J52</f>
        <v>634.349206349204</v>
      </c>
      <c r="K53" s="51" t="n">
        <f aca="false">K49+K52</f>
        <v>643.238095238093</v>
      </c>
      <c r="L53" s="51" t="n">
        <f aca="false">L49+L52</f>
        <v>652.126984126981</v>
      </c>
      <c r="M53" s="51" t="n">
        <f aca="false">M49+M52</f>
        <v>661.01587301587</v>
      </c>
      <c r="N53" s="51" t="n">
        <f aca="false">N49+N52</f>
        <v>669.904761904759</v>
      </c>
      <c r="O53" s="51" t="n">
        <f aca="false">O49+O52</f>
        <v>2198.25605079365</v>
      </c>
      <c r="P53" s="51" t="n">
        <f aca="false">P49+P52</f>
        <v>2207.14493968254</v>
      </c>
      <c r="Q53" s="51" t="n">
        <f aca="false">Q49+Q52</f>
        <v>2216.03382857143</v>
      </c>
      <c r="R53" s="51" t="n">
        <f aca="false">R49+R52</f>
        <v>2224.92271746032</v>
      </c>
      <c r="S53" s="51" t="n">
        <f aca="false">S49+S52</f>
        <v>2233.81160634921</v>
      </c>
      <c r="T53" s="51" t="n">
        <f aca="false">T49+T52</f>
        <v>2242.7004952381</v>
      </c>
      <c r="U53" s="51" t="n">
        <f aca="false">U49+U52</f>
        <v>2251.58938412699</v>
      </c>
      <c r="V53" s="51" t="n">
        <f aca="false">V49+V52</f>
        <v>2260.47827301587</v>
      </c>
      <c r="W53" s="51" t="n">
        <f aca="false">W49+W52</f>
        <v>2269.36716190476</v>
      </c>
      <c r="X53" s="51" t="n">
        <f aca="false">X49+X52</f>
        <v>2278.25605079365</v>
      </c>
      <c r="Y53" s="51" t="n">
        <f aca="false">Y49+Y52</f>
        <v>2287.14493968254</v>
      </c>
      <c r="Z53" s="51" t="n">
        <f aca="false">Z49+Z52</f>
        <v>2296.03382857143</v>
      </c>
      <c r="AA53" s="51" t="n">
        <f aca="false">AA49+AA52</f>
        <v>3256.31069283312</v>
      </c>
      <c r="AB53" s="51" t="n">
        <f aca="false">AB49+AB52</f>
        <v>3153.79149638868</v>
      </c>
      <c r="AC53" s="51" t="n">
        <f aca="false">AC49+AC52</f>
        <v>3160.8137186109</v>
      </c>
      <c r="AD53" s="51" t="n">
        <f aca="false">AD49+AD52</f>
        <v>3167.83594083312</v>
      </c>
      <c r="AE53" s="51" t="n">
        <f aca="false">AE49+AE52</f>
        <v>3174.85816305534</v>
      </c>
      <c r="AF53" s="51" t="n">
        <f aca="false">AF49+AF52</f>
        <v>3181.88038527757</v>
      </c>
      <c r="AG53" s="51" t="n">
        <f aca="false">AG49+AG52</f>
        <v>3188.90260749979</v>
      </c>
      <c r="AH53" s="51" t="n">
        <f aca="false">AH49+AH52</f>
        <v>3195.92482972201</v>
      </c>
      <c r="AI53" s="51" t="n">
        <f aca="false">AI49+AI52</f>
        <v>3202.94705194423</v>
      </c>
      <c r="AJ53" s="51" t="n">
        <f aca="false">AJ49+AJ52</f>
        <v>3209.96927416645</v>
      </c>
      <c r="AK53" s="51" t="n">
        <f aca="false">AK49+AK52</f>
        <v>3216.99149638868</v>
      </c>
      <c r="AL53" s="51" t="n">
        <f aca="false">AL49+AL52</f>
        <v>3224.0137186109</v>
      </c>
    </row>
    <row r="55" customFormat="false" ht="15.75" hidden="false" customHeight="true" outlineLevel="0" collapsed="false">
      <c r="A55" s="7" t="s">
        <v>201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6" t="s">
        <v>202</v>
      </c>
      <c r="C56" s="50" t="n">
        <f aca="false">IF(C$26=1,Inputs!$E$18,0)</f>
        <v>160000</v>
      </c>
      <c r="D56" s="50" t="n">
        <f aca="false">IF(D$26=1,Inputs!$E$18,0)</f>
        <v>0</v>
      </c>
      <c r="E56" s="50" t="n">
        <f aca="false">IF(E$26=1,Inputs!$E$18,0)</f>
        <v>0</v>
      </c>
      <c r="F56" s="50" t="n">
        <f aca="false">IF(F$26=1,Inputs!$E$18,0)</f>
        <v>0</v>
      </c>
      <c r="G56" s="50" t="n">
        <f aca="false">IF(G$26=1,Inputs!$E$18,0)</f>
        <v>0</v>
      </c>
      <c r="H56" s="50" t="n">
        <f aca="false">IF(H$26=1,Inputs!$E$18,0)</f>
        <v>0</v>
      </c>
      <c r="I56" s="50" t="n">
        <f aca="false">IF(I$26=1,Inputs!$E$18,0)</f>
        <v>0</v>
      </c>
      <c r="J56" s="50" t="n">
        <f aca="false">IF(J$26=1,Inputs!$E$18,0)</f>
        <v>0</v>
      </c>
      <c r="K56" s="50" t="n">
        <f aca="false">IF(K$26=1,Inputs!$E$18,0)</f>
        <v>0</v>
      </c>
      <c r="L56" s="50" t="n">
        <f aca="false">IF(L$26=1,Inputs!$E$18,0)</f>
        <v>0</v>
      </c>
      <c r="M56" s="50" t="n">
        <f aca="false">IF(M$26=1,Inputs!$E$18,0)</f>
        <v>0</v>
      </c>
      <c r="N56" s="50" t="n">
        <f aca="false">IF(N$26=1,Inputs!$E$18,0)</f>
        <v>0</v>
      </c>
      <c r="O56" s="50" t="n">
        <f aca="false">IF(O$26=1,Inputs!$E$18,0)</f>
        <v>0</v>
      </c>
      <c r="P56" s="50" t="n">
        <f aca="false">IF(P$26=1,Inputs!$E$18,0)</f>
        <v>0</v>
      </c>
      <c r="Q56" s="50" t="n">
        <f aca="false">IF(Q$26=1,Inputs!$E$18,0)</f>
        <v>0</v>
      </c>
      <c r="R56" s="50" t="n">
        <f aca="false">IF(R$26=1,Inputs!$E$18,0)</f>
        <v>0</v>
      </c>
      <c r="S56" s="50" t="n">
        <f aca="false">IF(S$26=1,Inputs!$E$18,0)</f>
        <v>0</v>
      </c>
      <c r="T56" s="50" t="n">
        <f aca="false">IF(T$26=1,Inputs!$E$18,0)</f>
        <v>0</v>
      </c>
      <c r="U56" s="50" t="n">
        <f aca="false">IF(U$26=1,Inputs!$E$18,0)</f>
        <v>0</v>
      </c>
      <c r="V56" s="50" t="n">
        <f aca="false">IF(V$26=1,Inputs!$E$18,0)</f>
        <v>0</v>
      </c>
      <c r="W56" s="50" t="n">
        <f aca="false">IF(W$26=1,Inputs!$E$18,0)</f>
        <v>0</v>
      </c>
      <c r="X56" s="50" t="n">
        <f aca="false">IF(X$26=1,Inputs!$E$18,0)</f>
        <v>0</v>
      </c>
      <c r="Y56" s="50" t="n">
        <f aca="false">IF(Y$26=1,Inputs!$E$18,0)</f>
        <v>0</v>
      </c>
      <c r="Z56" s="50" t="n">
        <f aca="false">IF(Z$26=1,Inputs!$E$18,0)</f>
        <v>0</v>
      </c>
      <c r="AA56" s="50" t="n">
        <f aca="false">IF(AA$26=1,Inputs!$E$18,0)</f>
        <v>0</v>
      </c>
      <c r="AB56" s="50" t="n">
        <f aca="false">IF(AB$26=1,Inputs!$E$18,0)</f>
        <v>0</v>
      </c>
      <c r="AC56" s="50" t="n">
        <f aca="false">IF(AC$26=1,Inputs!$E$18,0)</f>
        <v>0</v>
      </c>
      <c r="AD56" s="50" t="n">
        <f aca="false">IF(AD$26=1,Inputs!$E$18,0)</f>
        <v>0</v>
      </c>
      <c r="AE56" s="50" t="n">
        <f aca="false">IF(AE$26=1,Inputs!$E$18,0)</f>
        <v>0</v>
      </c>
      <c r="AF56" s="50" t="n">
        <f aca="false">IF(AF$26=1,Inputs!$E$18,0)</f>
        <v>0</v>
      </c>
      <c r="AG56" s="50" t="n">
        <f aca="false">IF(AG$26=1,Inputs!$E$18,0)</f>
        <v>0</v>
      </c>
      <c r="AH56" s="50" t="n">
        <f aca="false">IF(AH$26=1,Inputs!$E$18,0)</f>
        <v>0</v>
      </c>
      <c r="AI56" s="50" t="n">
        <f aca="false">IF(AI$26=1,Inputs!$E$18,0)</f>
        <v>0</v>
      </c>
      <c r="AJ56" s="50" t="n">
        <f aca="false">IF(AJ$26=1,Inputs!$E$18,0)</f>
        <v>0</v>
      </c>
      <c r="AK56" s="50" t="n">
        <f aca="false">IF(AK$26=1,Inputs!$E$18,0)</f>
        <v>0</v>
      </c>
      <c r="AL56" s="50" t="n">
        <f aca="false">IF(AL$26=1,Inputs!$E$18,0)</f>
        <v>0</v>
      </c>
    </row>
    <row r="57" customFormat="false" ht="15" hidden="false" customHeight="false" outlineLevel="0" collapsed="false">
      <c r="A57" s="6" t="s">
        <v>203</v>
      </c>
      <c r="C57" s="50" t="n">
        <f aca="false">C56</f>
        <v>160000</v>
      </c>
      <c r="D57" s="50" t="n">
        <f aca="false">C57+D56</f>
        <v>160000</v>
      </c>
      <c r="E57" s="50" t="n">
        <f aca="false">D57+E56</f>
        <v>160000</v>
      </c>
      <c r="F57" s="50" t="n">
        <f aca="false">E57+F56</f>
        <v>160000</v>
      </c>
      <c r="G57" s="50" t="n">
        <f aca="false">F57+G56</f>
        <v>160000</v>
      </c>
      <c r="H57" s="50" t="n">
        <f aca="false">G57+H56</f>
        <v>160000</v>
      </c>
      <c r="I57" s="50" t="n">
        <f aca="false">H57+I56</f>
        <v>160000</v>
      </c>
      <c r="J57" s="50" t="n">
        <f aca="false">I57+J56</f>
        <v>160000</v>
      </c>
      <c r="K57" s="50" t="n">
        <f aca="false">J57+K56</f>
        <v>160000</v>
      </c>
      <c r="L57" s="50" t="n">
        <f aca="false">K57+L56</f>
        <v>160000</v>
      </c>
      <c r="M57" s="50" t="n">
        <f aca="false">L57+M56</f>
        <v>160000</v>
      </c>
      <c r="N57" s="50" t="n">
        <f aca="false">M57+N56</f>
        <v>160000</v>
      </c>
      <c r="O57" s="50" t="n">
        <f aca="false">N57+O56</f>
        <v>160000</v>
      </c>
      <c r="P57" s="50" t="n">
        <f aca="false">O57+P56</f>
        <v>160000</v>
      </c>
      <c r="Q57" s="50" t="n">
        <f aca="false">P57+Q56</f>
        <v>160000</v>
      </c>
      <c r="R57" s="50" t="n">
        <f aca="false">Q57+R56</f>
        <v>160000</v>
      </c>
      <c r="S57" s="50" t="n">
        <f aca="false">R57+S56</f>
        <v>160000</v>
      </c>
      <c r="T57" s="50" t="n">
        <f aca="false">S57+T56</f>
        <v>160000</v>
      </c>
      <c r="U57" s="50" t="n">
        <f aca="false">T57+U56</f>
        <v>160000</v>
      </c>
      <c r="V57" s="50" t="n">
        <f aca="false">U57+V56</f>
        <v>160000</v>
      </c>
      <c r="W57" s="50" t="n">
        <f aca="false">V57+W56</f>
        <v>160000</v>
      </c>
      <c r="X57" s="50" t="n">
        <f aca="false">W57+X56</f>
        <v>160000</v>
      </c>
      <c r="Y57" s="50" t="n">
        <f aca="false">X57+Y56</f>
        <v>160000</v>
      </c>
      <c r="Z57" s="50" t="n">
        <f aca="false">Y57+Z56</f>
        <v>160000</v>
      </c>
      <c r="AA57" s="50" t="n">
        <f aca="false">Z57+AA56</f>
        <v>160000</v>
      </c>
      <c r="AB57" s="50" t="n">
        <f aca="false">AA57+AB56</f>
        <v>160000</v>
      </c>
      <c r="AC57" s="50" t="n">
        <f aca="false">AB57+AC56</f>
        <v>160000</v>
      </c>
      <c r="AD57" s="50" t="n">
        <f aca="false">AC57+AD56</f>
        <v>160000</v>
      </c>
      <c r="AE57" s="50" t="n">
        <f aca="false">AD57+AE56</f>
        <v>160000</v>
      </c>
      <c r="AF57" s="50" t="n">
        <f aca="false">AE57+AF56</f>
        <v>160000</v>
      </c>
      <c r="AG57" s="50" t="n">
        <f aca="false">AF57+AG56</f>
        <v>160000</v>
      </c>
      <c r="AH57" s="50" t="n">
        <f aca="false">AG57+AH56</f>
        <v>160000</v>
      </c>
      <c r="AI57" s="50" t="n">
        <f aca="false">AH57+AI56</f>
        <v>160000</v>
      </c>
      <c r="AJ57" s="50" t="n">
        <f aca="false">AI57+AJ56</f>
        <v>160000</v>
      </c>
      <c r="AK57" s="50" t="n">
        <f aca="false">AJ57+AK56</f>
        <v>160000</v>
      </c>
      <c r="AL57" s="50" t="n">
        <f aca="false">AK57+AL56</f>
        <v>160000</v>
      </c>
    </row>
    <row r="58" customFormat="false" ht="15" hidden="false" customHeight="false" outlineLevel="0" collapsed="false">
      <c r="A58" s="6" t="s">
        <v>204</v>
      </c>
      <c r="C58" s="50" t="n">
        <f aca="false">-MIN(C57/MAX(1,Inputs!$E$40*12),C56)</f>
        <v>-1904.7619047619</v>
      </c>
      <c r="D58" s="50" t="n">
        <f aca="false">-MIN(D57/MAX(1,Inputs!$E$40*12),C60+D56)</f>
        <v>-1904.7619047619</v>
      </c>
      <c r="E58" s="50" t="n">
        <f aca="false">-MIN(E57/MAX(1,Inputs!$E$40*12),D60+E56)</f>
        <v>-1904.7619047619</v>
      </c>
      <c r="F58" s="50" t="n">
        <f aca="false">-MIN(F57/MAX(1,Inputs!$E$40*12),E60+F56)</f>
        <v>-1904.7619047619</v>
      </c>
      <c r="G58" s="50" t="n">
        <f aca="false">-MIN(G57/MAX(1,Inputs!$E$40*12),F60+G56)</f>
        <v>-1904.7619047619</v>
      </c>
      <c r="H58" s="50" t="n">
        <f aca="false">-MIN(H57/MAX(1,Inputs!$E$40*12),G60+H56)</f>
        <v>-1904.7619047619</v>
      </c>
      <c r="I58" s="50" t="n">
        <f aca="false">-MIN(I57/MAX(1,Inputs!$E$40*12),H60+I56)</f>
        <v>-1904.7619047619</v>
      </c>
      <c r="J58" s="50" t="n">
        <f aca="false">-MIN(J57/MAX(1,Inputs!$E$40*12),I60+J56)</f>
        <v>-1904.7619047619</v>
      </c>
      <c r="K58" s="50" t="n">
        <f aca="false">-MIN(K57/MAX(1,Inputs!$E$40*12),J60+K56)</f>
        <v>-1904.7619047619</v>
      </c>
      <c r="L58" s="50" t="n">
        <f aca="false">-MIN(L57/MAX(1,Inputs!$E$40*12),K60+L56)</f>
        <v>-1904.7619047619</v>
      </c>
      <c r="M58" s="50" t="n">
        <f aca="false">-MIN(M57/MAX(1,Inputs!$E$40*12),L60+M56)</f>
        <v>-1904.7619047619</v>
      </c>
      <c r="N58" s="50" t="n">
        <f aca="false">-MIN(N57/MAX(1,Inputs!$E$40*12),M60+N56)</f>
        <v>-1904.7619047619</v>
      </c>
      <c r="O58" s="50" t="n">
        <f aca="false">-MIN(O57/MAX(1,Inputs!$E$40*12),N60+O56)</f>
        <v>-1904.7619047619</v>
      </c>
      <c r="P58" s="50" t="n">
        <f aca="false">-MIN(P57/MAX(1,Inputs!$E$40*12),O60+P56)</f>
        <v>-1904.7619047619</v>
      </c>
      <c r="Q58" s="50" t="n">
        <f aca="false">-MIN(Q57/MAX(1,Inputs!$E$40*12),P60+Q56)</f>
        <v>-1904.7619047619</v>
      </c>
      <c r="R58" s="50" t="n">
        <f aca="false">-MIN(R57/MAX(1,Inputs!$E$40*12),Q60+R56)</f>
        <v>-1904.7619047619</v>
      </c>
      <c r="S58" s="50" t="n">
        <f aca="false">-MIN(S57/MAX(1,Inputs!$E$40*12),R60+S56)</f>
        <v>-1904.7619047619</v>
      </c>
      <c r="T58" s="50" t="n">
        <f aca="false">-MIN(T57/MAX(1,Inputs!$E$40*12),S60+T56)</f>
        <v>-1904.7619047619</v>
      </c>
      <c r="U58" s="50" t="n">
        <f aca="false">-MIN(U57/MAX(1,Inputs!$E$40*12),T60+U56)</f>
        <v>-1904.7619047619</v>
      </c>
      <c r="V58" s="50" t="n">
        <f aca="false">-MIN(V57/MAX(1,Inputs!$E$40*12),U60+V56)</f>
        <v>-1904.7619047619</v>
      </c>
      <c r="W58" s="50" t="n">
        <f aca="false">-MIN(W57/MAX(1,Inputs!$E$40*12),V60+W56)</f>
        <v>-1904.7619047619</v>
      </c>
      <c r="X58" s="50" t="n">
        <f aca="false">-MIN(X57/MAX(1,Inputs!$E$40*12),W60+X56)</f>
        <v>-1904.7619047619</v>
      </c>
      <c r="Y58" s="50" t="n">
        <f aca="false">-MIN(Y57/MAX(1,Inputs!$E$40*12),X60+Y56)</f>
        <v>-1904.7619047619</v>
      </c>
      <c r="Z58" s="50" t="n">
        <f aca="false">-MIN(Z57/MAX(1,Inputs!$E$40*12),Y60+Z56)</f>
        <v>-1904.7619047619</v>
      </c>
      <c r="AA58" s="50" t="n">
        <f aca="false">-MIN(AA57/MAX(1,Inputs!$E$40*12),Z60+AA56)</f>
        <v>-1904.7619047619</v>
      </c>
      <c r="AB58" s="50" t="n">
        <f aca="false">-MIN(AB57/MAX(1,Inputs!$E$40*12),AA60+AB56)</f>
        <v>-1904.7619047619</v>
      </c>
      <c r="AC58" s="50" t="n">
        <f aca="false">-MIN(AC57/MAX(1,Inputs!$E$40*12),AB60+AC56)</f>
        <v>-1904.7619047619</v>
      </c>
      <c r="AD58" s="50" t="n">
        <f aca="false">-MIN(AD57/MAX(1,Inputs!$E$40*12),AC60+AD56)</f>
        <v>-1904.7619047619</v>
      </c>
      <c r="AE58" s="50" t="n">
        <f aca="false">-MIN(AE57/MAX(1,Inputs!$E$40*12),AD60+AE56)</f>
        <v>-1904.7619047619</v>
      </c>
      <c r="AF58" s="50" t="n">
        <f aca="false">-MIN(AF57/MAX(1,Inputs!$E$40*12),AE60+AF56)</f>
        <v>-1904.7619047619</v>
      </c>
      <c r="AG58" s="50" t="n">
        <f aca="false">-MIN(AG57/MAX(1,Inputs!$E$40*12),AF60+AG56)</f>
        <v>-1904.7619047619</v>
      </c>
      <c r="AH58" s="50" t="n">
        <f aca="false">-MIN(AH57/MAX(1,Inputs!$E$40*12),AG60+AH56)</f>
        <v>-1904.7619047619</v>
      </c>
      <c r="AI58" s="50" t="n">
        <f aca="false">-MIN(AI57/MAX(1,Inputs!$E$40*12),AH60+AI56)</f>
        <v>-1904.7619047619</v>
      </c>
      <c r="AJ58" s="50" t="n">
        <f aca="false">-MIN(AJ57/MAX(1,Inputs!$E$40*12),AI60+AJ56)</f>
        <v>-1904.7619047619</v>
      </c>
      <c r="AK58" s="50" t="n">
        <f aca="false">-MIN(AK57/MAX(1,Inputs!$E$40*12),AJ60+AK56)</f>
        <v>-1904.7619047619</v>
      </c>
      <c r="AL58" s="50" t="n">
        <f aca="false">-MIN(AL57/MAX(1,Inputs!$E$40*12),AK60+AL56)</f>
        <v>-1904.7619047619</v>
      </c>
    </row>
    <row r="59" customFormat="false" ht="15" hidden="false" customHeight="false" outlineLevel="0" collapsed="false">
      <c r="A59" s="6" t="s">
        <v>205</v>
      </c>
      <c r="C59" s="50" t="n">
        <f aca="false">C58</f>
        <v>-1904.7619047619</v>
      </c>
      <c r="D59" s="50" t="n">
        <f aca="false">C59+D58</f>
        <v>-3809.52380952381</v>
      </c>
      <c r="E59" s="50" t="n">
        <f aca="false">D59+E58</f>
        <v>-5714.28571428572</v>
      </c>
      <c r="F59" s="50" t="n">
        <f aca="false">E59+F58</f>
        <v>-7619.04761904762</v>
      </c>
      <c r="G59" s="50" t="n">
        <f aca="false">F59+G58</f>
        <v>-9523.80952380953</v>
      </c>
      <c r="H59" s="50" t="n">
        <f aca="false">G59+H58</f>
        <v>-11428.5714285714</v>
      </c>
      <c r="I59" s="50" t="n">
        <f aca="false">H59+I58</f>
        <v>-13333.3333333333</v>
      </c>
      <c r="J59" s="50" t="n">
        <f aca="false">I59+J58</f>
        <v>-15238.0952380952</v>
      </c>
      <c r="K59" s="50" t="n">
        <f aca="false">J59+K58</f>
        <v>-17142.8571428571</v>
      </c>
      <c r="L59" s="50" t="n">
        <f aca="false">K59+L58</f>
        <v>-19047.6190476191</v>
      </c>
      <c r="M59" s="50" t="n">
        <f aca="false">L59+M58</f>
        <v>-20952.380952381</v>
      </c>
      <c r="N59" s="50" t="n">
        <f aca="false">M59+N58</f>
        <v>-22857.1428571429</v>
      </c>
      <c r="O59" s="50" t="n">
        <f aca="false">N59+O58</f>
        <v>-24761.9047619048</v>
      </c>
      <c r="P59" s="50" t="n">
        <f aca="false">O59+P58</f>
        <v>-26666.6666666667</v>
      </c>
      <c r="Q59" s="50" t="n">
        <f aca="false">P59+Q58</f>
        <v>-28571.4285714286</v>
      </c>
      <c r="R59" s="50" t="n">
        <f aca="false">Q59+R58</f>
        <v>-30476.1904761905</v>
      </c>
      <c r="S59" s="50" t="n">
        <f aca="false">R59+S58</f>
        <v>-32380.9523809524</v>
      </c>
      <c r="T59" s="50" t="n">
        <f aca="false">S59+T58</f>
        <v>-34285.7142857143</v>
      </c>
      <c r="U59" s="50" t="n">
        <f aca="false">T59+U58</f>
        <v>-36190.4761904762</v>
      </c>
      <c r="V59" s="50" t="n">
        <f aca="false">U59+V58</f>
        <v>-38095.2380952381</v>
      </c>
      <c r="W59" s="50" t="n">
        <f aca="false">V59+W58</f>
        <v>-40000</v>
      </c>
      <c r="X59" s="50" t="n">
        <f aca="false">W59+X58</f>
        <v>-41904.7619047619</v>
      </c>
      <c r="Y59" s="50" t="n">
        <f aca="false">X59+Y58</f>
        <v>-43809.5238095238</v>
      </c>
      <c r="Z59" s="50" t="n">
        <f aca="false">Y59+Z58</f>
        <v>-45714.2857142857</v>
      </c>
      <c r="AA59" s="50" t="n">
        <f aca="false">Z59+AA58</f>
        <v>-47619.0476190477</v>
      </c>
      <c r="AB59" s="50" t="n">
        <f aca="false">AA59+AB58</f>
        <v>-49523.8095238096</v>
      </c>
      <c r="AC59" s="50" t="n">
        <f aca="false">AB59+AC58</f>
        <v>-51428.5714285715</v>
      </c>
      <c r="AD59" s="50" t="n">
        <f aca="false">AC59+AD58</f>
        <v>-53333.3333333334</v>
      </c>
      <c r="AE59" s="50" t="n">
        <f aca="false">AD59+AE58</f>
        <v>-55238.0952380953</v>
      </c>
      <c r="AF59" s="50" t="n">
        <f aca="false">AE59+AF58</f>
        <v>-57142.8571428572</v>
      </c>
      <c r="AG59" s="50" t="n">
        <f aca="false">AF59+AG58</f>
        <v>-59047.6190476191</v>
      </c>
      <c r="AH59" s="50" t="n">
        <f aca="false">AG59+AH58</f>
        <v>-60952.380952381</v>
      </c>
      <c r="AI59" s="50" t="n">
        <f aca="false">AH59+AI58</f>
        <v>-62857.1428571429</v>
      </c>
      <c r="AJ59" s="50" t="n">
        <f aca="false">AI59+AJ58</f>
        <v>-64761.9047619048</v>
      </c>
      <c r="AK59" s="50" t="n">
        <f aca="false">AJ59+AK58</f>
        <v>-66666.6666666667</v>
      </c>
      <c r="AL59" s="50" t="n">
        <f aca="false">AK59+AL58</f>
        <v>-68571.4285714286</v>
      </c>
    </row>
    <row r="60" customFormat="false" ht="15" hidden="false" customHeight="false" outlineLevel="0" collapsed="false">
      <c r="A60" s="4" t="s">
        <v>206</v>
      </c>
      <c r="C60" s="56" t="n">
        <f aca="false">C57+C59</f>
        <v>158095.238095238</v>
      </c>
      <c r="D60" s="56" t="n">
        <f aca="false">D57+D59</f>
        <v>156190.476190476</v>
      </c>
      <c r="E60" s="56" t="n">
        <f aca="false">E57+E59</f>
        <v>154285.714285714</v>
      </c>
      <c r="F60" s="56" t="n">
        <f aca="false">F57+F59</f>
        <v>152380.952380952</v>
      </c>
      <c r="G60" s="56" t="n">
        <f aca="false">G57+G59</f>
        <v>150476.19047619</v>
      </c>
      <c r="H60" s="56" t="n">
        <f aca="false">H57+H59</f>
        <v>148571.428571429</v>
      </c>
      <c r="I60" s="56" t="n">
        <f aca="false">I57+I59</f>
        <v>146666.666666667</v>
      </c>
      <c r="J60" s="56" t="n">
        <f aca="false">J57+J59</f>
        <v>144761.904761905</v>
      </c>
      <c r="K60" s="56" t="n">
        <f aca="false">K57+K59</f>
        <v>142857.142857143</v>
      </c>
      <c r="L60" s="56" t="n">
        <f aca="false">L57+L59</f>
        <v>140952.380952381</v>
      </c>
      <c r="M60" s="56" t="n">
        <f aca="false">M57+M59</f>
        <v>139047.619047619</v>
      </c>
      <c r="N60" s="56" t="n">
        <f aca="false">N57+N59</f>
        <v>137142.857142857</v>
      </c>
      <c r="O60" s="56" t="n">
        <f aca="false">O57+O59</f>
        <v>135238.095238095</v>
      </c>
      <c r="P60" s="56" t="n">
        <f aca="false">P57+P59</f>
        <v>133333.333333333</v>
      </c>
      <c r="Q60" s="56" t="n">
        <f aca="false">Q57+Q59</f>
        <v>131428.571428571</v>
      </c>
      <c r="R60" s="56" t="n">
        <f aca="false">R57+R59</f>
        <v>129523.80952381</v>
      </c>
      <c r="S60" s="56" t="n">
        <f aca="false">S57+S59</f>
        <v>127619.047619048</v>
      </c>
      <c r="T60" s="56" t="n">
        <f aca="false">T57+T59</f>
        <v>125714.285714286</v>
      </c>
      <c r="U60" s="56" t="n">
        <f aca="false">U57+U59</f>
        <v>123809.523809524</v>
      </c>
      <c r="V60" s="56" t="n">
        <f aca="false">V57+V59</f>
        <v>121904.761904762</v>
      </c>
      <c r="W60" s="56" t="n">
        <f aca="false">W57+W59</f>
        <v>120000</v>
      </c>
      <c r="X60" s="56" t="n">
        <f aca="false">X57+X59</f>
        <v>118095.238095238</v>
      </c>
      <c r="Y60" s="56" t="n">
        <f aca="false">Y57+Y59</f>
        <v>116190.476190476</v>
      </c>
      <c r="Z60" s="56" t="n">
        <f aca="false">Z57+Z59</f>
        <v>114285.714285714</v>
      </c>
      <c r="AA60" s="56" t="n">
        <f aca="false">AA57+AA59</f>
        <v>112380.952380952</v>
      </c>
      <c r="AB60" s="56" t="n">
        <f aca="false">AB57+AB59</f>
        <v>110476.19047619</v>
      </c>
      <c r="AC60" s="56" t="n">
        <f aca="false">AC57+AC59</f>
        <v>108571.428571429</v>
      </c>
      <c r="AD60" s="56" t="n">
        <f aca="false">AD57+AD59</f>
        <v>106666.666666667</v>
      </c>
      <c r="AE60" s="56" t="n">
        <f aca="false">AE57+AE59</f>
        <v>104761.904761905</v>
      </c>
      <c r="AF60" s="56" t="n">
        <f aca="false">AF57+AF59</f>
        <v>102857.142857143</v>
      </c>
      <c r="AG60" s="56" t="n">
        <f aca="false">AG57+AG59</f>
        <v>100952.380952381</v>
      </c>
      <c r="AH60" s="56" t="n">
        <f aca="false">AH57+AH59</f>
        <v>99047.619047619</v>
      </c>
      <c r="AI60" s="56" t="n">
        <f aca="false">AI57+AI59</f>
        <v>97142.8571428571</v>
      </c>
      <c r="AJ60" s="56" t="n">
        <f aca="false">AJ57+AJ59</f>
        <v>95238.0952380952</v>
      </c>
      <c r="AK60" s="56" t="n">
        <f aca="false">AK57+AK59</f>
        <v>93333.3333333333</v>
      </c>
      <c r="AL60" s="56" t="n">
        <f aca="false">AL57+AL59</f>
        <v>91428.5714285714</v>
      </c>
    </row>
    <row r="62" customFormat="false" ht="15.75" hidden="false" customHeight="true" outlineLevel="0" collapsed="false">
      <c r="A62" s="7" t="s">
        <v>207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6" t="s">
        <v>208</v>
      </c>
      <c r="C63" s="50" t="n">
        <f aca="false">0</f>
        <v>0</v>
      </c>
      <c r="D63" s="50" t="n">
        <f aca="false">C66</f>
        <v>80000</v>
      </c>
      <c r="E63" s="50" t="n">
        <f aca="false">D66</f>
        <v>78666.6666666667</v>
      </c>
      <c r="F63" s="50" t="n">
        <f aca="false">E66</f>
        <v>77333.3333333333</v>
      </c>
      <c r="G63" s="50" t="n">
        <f aca="false">F66</f>
        <v>76000</v>
      </c>
      <c r="H63" s="50" t="n">
        <f aca="false">G66</f>
        <v>74666.6666666667</v>
      </c>
      <c r="I63" s="50" t="n">
        <f aca="false">H66</f>
        <v>73333.3333333334</v>
      </c>
      <c r="J63" s="50" t="n">
        <f aca="false">I66</f>
        <v>72000</v>
      </c>
      <c r="K63" s="50" t="n">
        <f aca="false">J66</f>
        <v>70666.6666666667</v>
      </c>
      <c r="L63" s="50" t="n">
        <f aca="false">K66</f>
        <v>69333.3333333334</v>
      </c>
      <c r="M63" s="50" t="n">
        <f aca="false">L66</f>
        <v>68000</v>
      </c>
      <c r="N63" s="50" t="n">
        <f aca="false">M66</f>
        <v>66666.6666666667</v>
      </c>
      <c r="O63" s="50" t="n">
        <f aca="false">N66</f>
        <v>65333.3333333334</v>
      </c>
      <c r="P63" s="50" t="n">
        <f aca="false">O66</f>
        <v>64000</v>
      </c>
      <c r="Q63" s="50" t="n">
        <f aca="false">P66</f>
        <v>62666.6666666667</v>
      </c>
      <c r="R63" s="50" t="n">
        <f aca="false">Q66</f>
        <v>61333.3333333334</v>
      </c>
      <c r="S63" s="50" t="n">
        <f aca="false">R66</f>
        <v>60000</v>
      </c>
      <c r="T63" s="50" t="n">
        <f aca="false">S66</f>
        <v>58666.6666666667</v>
      </c>
      <c r="U63" s="50" t="n">
        <f aca="false">T66</f>
        <v>57333.3333333334</v>
      </c>
      <c r="V63" s="50" t="n">
        <f aca="false">U66</f>
        <v>56000</v>
      </c>
      <c r="W63" s="50" t="n">
        <f aca="false">V66</f>
        <v>54666.6666666667</v>
      </c>
      <c r="X63" s="50" t="n">
        <f aca="false">W66</f>
        <v>53333.3333333334</v>
      </c>
      <c r="Y63" s="50" t="n">
        <f aca="false">X66</f>
        <v>52000</v>
      </c>
      <c r="Z63" s="50" t="n">
        <f aca="false">Y66</f>
        <v>50666.6666666667</v>
      </c>
      <c r="AA63" s="50" t="n">
        <f aca="false">Z66</f>
        <v>49333.3333333334</v>
      </c>
      <c r="AB63" s="50" t="n">
        <f aca="false">AA66</f>
        <v>48000</v>
      </c>
      <c r="AC63" s="50" t="n">
        <f aca="false">AB66</f>
        <v>46666.6666666667</v>
      </c>
      <c r="AD63" s="50" t="n">
        <f aca="false">AC66</f>
        <v>45333.3333333333</v>
      </c>
      <c r="AE63" s="50" t="n">
        <f aca="false">AD66</f>
        <v>44000</v>
      </c>
      <c r="AF63" s="50" t="n">
        <f aca="false">AE66</f>
        <v>42666.6666666667</v>
      </c>
      <c r="AG63" s="50" t="n">
        <f aca="false">AF66</f>
        <v>41333.3333333333</v>
      </c>
      <c r="AH63" s="50" t="n">
        <f aca="false">AG66</f>
        <v>40000</v>
      </c>
      <c r="AI63" s="50" t="n">
        <f aca="false">AH66</f>
        <v>38666.6666666667</v>
      </c>
      <c r="AJ63" s="50" t="n">
        <f aca="false">AI66</f>
        <v>37333.3333333333</v>
      </c>
      <c r="AK63" s="50" t="n">
        <f aca="false">AJ66</f>
        <v>36000</v>
      </c>
      <c r="AL63" s="50" t="n">
        <f aca="false">AK66</f>
        <v>34666.6666666667</v>
      </c>
    </row>
    <row r="64" customFormat="false" ht="15" hidden="false" customHeight="false" outlineLevel="0" collapsed="false">
      <c r="A64" s="6" t="s">
        <v>209</v>
      </c>
      <c r="C64" s="50" t="n">
        <f aca="false">IF(C$26=1,Inputs!$E$30,0)</f>
        <v>80000</v>
      </c>
      <c r="D64" s="50" t="n">
        <f aca="false">IF(D$26=1,Inputs!$E$30,0)</f>
        <v>0</v>
      </c>
      <c r="E64" s="50" t="n">
        <f aca="false">IF(E$26=1,Inputs!$E$30,0)</f>
        <v>0</v>
      </c>
      <c r="F64" s="50" t="n">
        <f aca="false">IF(F$26=1,Inputs!$E$30,0)</f>
        <v>0</v>
      </c>
      <c r="G64" s="50" t="n">
        <f aca="false">IF(G$26=1,Inputs!$E$30,0)</f>
        <v>0</v>
      </c>
      <c r="H64" s="50" t="n">
        <f aca="false">IF(H$26=1,Inputs!$E$30,0)</f>
        <v>0</v>
      </c>
      <c r="I64" s="50" t="n">
        <f aca="false">IF(I$26=1,Inputs!$E$30,0)</f>
        <v>0</v>
      </c>
      <c r="J64" s="50" t="n">
        <f aca="false">IF(J$26=1,Inputs!$E$30,0)</f>
        <v>0</v>
      </c>
      <c r="K64" s="50" t="n">
        <f aca="false">IF(K$26=1,Inputs!$E$30,0)</f>
        <v>0</v>
      </c>
      <c r="L64" s="50" t="n">
        <f aca="false">IF(L$26=1,Inputs!$E$30,0)</f>
        <v>0</v>
      </c>
      <c r="M64" s="50" t="n">
        <f aca="false">IF(M$26=1,Inputs!$E$30,0)</f>
        <v>0</v>
      </c>
      <c r="N64" s="50" t="n">
        <f aca="false">IF(N$26=1,Inputs!$E$30,0)</f>
        <v>0</v>
      </c>
      <c r="O64" s="50" t="n">
        <f aca="false">IF(O$26=1,Inputs!$E$30,0)</f>
        <v>0</v>
      </c>
      <c r="P64" s="50" t="n">
        <f aca="false">IF(P$26=1,Inputs!$E$30,0)</f>
        <v>0</v>
      </c>
      <c r="Q64" s="50" t="n">
        <f aca="false">IF(Q$26=1,Inputs!$E$30,0)</f>
        <v>0</v>
      </c>
      <c r="R64" s="50" t="n">
        <f aca="false">IF(R$26=1,Inputs!$E$30,0)</f>
        <v>0</v>
      </c>
      <c r="S64" s="50" t="n">
        <f aca="false">IF(S$26=1,Inputs!$E$30,0)</f>
        <v>0</v>
      </c>
      <c r="T64" s="50" t="n">
        <f aca="false">IF(T$26=1,Inputs!$E$30,0)</f>
        <v>0</v>
      </c>
      <c r="U64" s="50" t="n">
        <f aca="false">IF(U$26=1,Inputs!$E$30,0)</f>
        <v>0</v>
      </c>
      <c r="V64" s="50" t="n">
        <f aca="false">IF(V$26=1,Inputs!$E$30,0)</f>
        <v>0</v>
      </c>
      <c r="W64" s="50" t="n">
        <f aca="false">IF(W$26=1,Inputs!$E$30,0)</f>
        <v>0</v>
      </c>
      <c r="X64" s="50" t="n">
        <f aca="false">IF(X$26=1,Inputs!$E$30,0)</f>
        <v>0</v>
      </c>
      <c r="Y64" s="50" t="n">
        <f aca="false">IF(Y$26=1,Inputs!$E$30,0)</f>
        <v>0</v>
      </c>
      <c r="Z64" s="50" t="n">
        <f aca="false">IF(Z$26=1,Inputs!$E$30,0)</f>
        <v>0</v>
      </c>
      <c r="AA64" s="50" t="n">
        <f aca="false">IF(AA$26=1,Inputs!$E$30,0)</f>
        <v>0</v>
      </c>
      <c r="AB64" s="50" t="n">
        <f aca="false">IF(AB$26=1,Inputs!$E$30,0)</f>
        <v>0</v>
      </c>
      <c r="AC64" s="50" t="n">
        <f aca="false">IF(AC$26=1,Inputs!$E$30,0)</f>
        <v>0</v>
      </c>
      <c r="AD64" s="50" t="n">
        <f aca="false">IF(AD$26=1,Inputs!$E$30,0)</f>
        <v>0</v>
      </c>
      <c r="AE64" s="50" t="n">
        <f aca="false">IF(AE$26=1,Inputs!$E$30,0)</f>
        <v>0</v>
      </c>
      <c r="AF64" s="50" t="n">
        <f aca="false">IF(AF$26=1,Inputs!$E$30,0)</f>
        <v>0</v>
      </c>
      <c r="AG64" s="50" t="n">
        <f aca="false">IF(AG$26=1,Inputs!$E$30,0)</f>
        <v>0</v>
      </c>
      <c r="AH64" s="50" t="n">
        <f aca="false">IF(AH$26=1,Inputs!$E$30,0)</f>
        <v>0</v>
      </c>
      <c r="AI64" s="50" t="n">
        <f aca="false">IF(AI$26=1,Inputs!$E$30,0)</f>
        <v>0</v>
      </c>
      <c r="AJ64" s="50" t="n">
        <f aca="false">IF(AJ$26=1,Inputs!$E$30,0)</f>
        <v>0</v>
      </c>
      <c r="AK64" s="50" t="n">
        <f aca="false">IF(AK$26=1,Inputs!$E$30,0)</f>
        <v>0</v>
      </c>
      <c r="AL64" s="50" t="n">
        <f aca="false">IF(AL$26=1,Inputs!$E$30,0)</f>
        <v>0</v>
      </c>
    </row>
    <row r="65" customFormat="false" ht="15" hidden="false" customHeight="false" outlineLevel="0" collapsed="false">
      <c r="A65" s="6" t="s">
        <v>210</v>
      </c>
      <c r="C65" s="50" t="n">
        <f aca="false">-MIN(C63,Inputs!$E$30/MAX(1,Inputs!$E$32*12))</f>
        <v>-0</v>
      </c>
      <c r="D65" s="50" t="n">
        <f aca="false">-MIN(D63,Inputs!$E$30/MAX(1,Inputs!$E$32*12))</f>
        <v>-1333.33333333333</v>
      </c>
      <c r="E65" s="50" t="n">
        <f aca="false">-MIN(E63,Inputs!$E$30/MAX(1,Inputs!$E$32*12))</f>
        <v>-1333.33333333333</v>
      </c>
      <c r="F65" s="50" t="n">
        <f aca="false">-MIN(F63,Inputs!$E$30/MAX(1,Inputs!$E$32*12))</f>
        <v>-1333.33333333333</v>
      </c>
      <c r="G65" s="50" t="n">
        <f aca="false">-MIN(G63,Inputs!$E$30/MAX(1,Inputs!$E$32*12))</f>
        <v>-1333.33333333333</v>
      </c>
      <c r="H65" s="50" t="n">
        <f aca="false">-MIN(H63,Inputs!$E$30/MAX(1,Inputs!$E$32*12))</f>
        <v>-1333.33333333333</v>
      </c>
      <c r="I65" s="50" t="n">
        <f aca="false">-MIN(I63,Inputs!$E$30/MAX(1,Inputs!$E$32*12))</f>
        <v>-1333.33333333333</v>
      </c>
      <c r="J65" s="50" t="n">
        <f aca="false">-MIN(J63,Inputs!$E$30/MAX(1,Inputs!$E$32*12))</f>
        <v>-1333.33333333333</v>
      </c>
      <c r="K65" s="50" t="n">
        <f aca="false">-MIN(K63,Inputs!$E$30/MAX(1,Inputs!$E$32*12))</f>
        <v>-1333.33333333333</v>
      </c>
      <c r="L65" s="50" t="n">
        <f aca="false">-MIN(L63,Inputs!$E$30/MAX(1,Inputs!$E$32*12))</f>
        <v>-1333.33333333333</v>
      </c>
      <c r="M65" s="50" t="n">
        <f aca="false">-MIN(M63,Inputs!$E$30/MAX(1,Inputs!$E$32*12))</f>
        <v>-1333.33333333333</v>
      </c>
      <c r="N65" s="50" t="n">
        <f aca="false">-MIN(N63,Inputs!$E$30/MAX(1,Inputs!$E$32*12))</f>
        <v>-1333.33333333333</v>
      </c>
      <c r="O65" s="50" t="n">
        <f aca="false">-MIN(O63,Inputs!$E$30/MAX(1,Inputs!$E$32*12))</f>
        <v>-1333.33333333333</v>
      </c>
      <c r="P65" s="50" t="n">
        <f aca="false">-MIN(P63,Inputs!$E$30/MAX(1,Inputs!$E$32*12))</f>
        <v>-1333.33333333333</v>
      </c>
      <c r="Q65" s="50" t="n">
        <f aca="false">-MIN(Q63,Inputs!$E$30/MAX(1,Inputs!$E$32*12))</f>
        <v>-1333.33333333333</v>
      </c>
      <c r="R65" s="50" t="n">
        <f aca="false">-MIN(R63,Inputs!$E$30/MAX(1,Inputs!$E$32*12))</f>
        <v>-1333.33333333333</v>
      </c>
      <c r="S65" s="50" t="n">
        <f aca="false">-MIN(S63,Inputs!$E$30/MAX(1,Inputs!$E$32*12))</f>
        <v>-1333.33333333333</v>
      </c>
      <c r="T65" s="50" t="n">
        <f aca="false">-MIN(T63,Inputs!$E$30/MAX(1,Inputs!$E$32*12))</f>
        <v>-1333.33333333333</v>
      </c>
      <c r="U65" s="50" t="n">
        <f aca="false">-MIN(U63,Inputs!$E$30/MAX(1,Inputs!$E$32*12))</f>
        <v>-1333.33333333333</v>
      </c>
      <c r="V65" s="50" t="n">
        <f aca="false">-MIN(V63,Inputs!$E$30/MAX(1,Inputs!$E$32*12))</f>
        <v>-1333.33333333333</v>
      </c>
      <c r="W65" s="50" t="n">
        <f aca="false">-MIN(W63,Inputs!$E$30/MAX(1,Inputs!$E$32*12))</f>
        <v>-1333.33333333333</v>
      </c>
      <c r="X65" s="50" t="n">
        <f aca="false">-MIN(X63,Inputs!$E$30/MAX(1,Inputs!$E$32*12))</f>
        <v>-1333.33333333333</v>
      </c>
      <c r="Y65" s="50" t="n">
        <f aca="false">-MIN(Y63,Inputs!$E$30/MAX(1,Inputs!$E$32*12))</f>
        <v>-1333.33333333333</v>
      </c>
      <c r="Z65" s="50" t="n">
        <f aca="false">-MIN(Z63,Inputs!$E$30/MAX(1,Inputs!$E$32*12))</f>
        <v>-1333.33333333333</v>
      </c>
      <c r="AA65" s="50" t="n">
        <f aca="false">-MIN(AA63,Inputs!$E$30/MAX(1,Inputs!$E$32*12))</f>
        <v>-1333.33333333333</v>
      </c>
      <c r="AB65" s="50" t="n">
        <f aca="false">-MIN(AB63,Inputs!$E$30/MAX(1,Inputs!$E$32*12))</f>
        <v>-1333.33333333333</v>
      </c>
      <c r="AC65" s="50" t="n">
        <f aca="false">-MIN(AC63,Inputs!$E$30/MAX(1,Inputs!$E$32*12))</f>
        <v>-1333.33333333333</v>
      </c>
      <c r="AD65" s="50" t="n">
        <f aca="false">-MIN(AD63,Inputs!$E$30/MAX(1,Inputs!$E$32*12))</f>
        <v>-1333.33333333333</v>
      </c>
      <c r="AE65" s="50" t="n">
        <f aca="false">-MIN(AE63,Inputs!$E$30/MAX(1,Inputs!$E$32*12))</f>
        <v>-1333.33333333333</v>
      </c>
      <c r="AF65" s="50" t="n">
        <f aca="false">-MIN(AF63,Inputs!$E$30/MAX(1,Inputs!$E$32*12))</f>
        <v>-1333.33333333333</v>
      </c>
      <c r="AG65" s="50" t="n">
        <f aca="false">-MIN(AG63,Inputs!$E$30/MAX(1,Inputs!$E$32*12))</f>
        <v>-1333.33333333333</v>
      </c>
      <c r="AH65" s="50" t="n">
        <f aca="false">-MIN(AH63,Inputs!$E$30/MAX(1,Inputs!$E$32*12))</f>
        <v>-1333.33333333333</v>
      </c>
      <c r="AI65" s="50" t="n">
        <f aca="false">-MIN(AI63,Inputs!$E$30/MAX(1,Inputs!$E$32*12))</f>
        <v>-1333.33333333333</v>
      </c>
      <c r="AJ65" s="50" t="n">
        <f aca="false">-MIN(AJ63,Inputs!$E$30/MAX(1,Inputs!$E$32*12))</f>
        <v>-1333.33333333333</v>
      </c>
      <c r="AK65" s="50" t="n">
        <f aca="false">-MIN(AK63,Inputs!$E$30/MAX(1,Inputs!$E$32*12))</f>
        <v>-1333.33333333333</v>
      </c>
      <c r="AL65" s="50" t="n">
        <f aca="false">-MIN(AL63,Inputs!$E$30/MAX(1,Inputs!$E$32*12))</f>
        <v>-1333.33333333333</v>
      </c>
    </row>
    <row r="66" customFormat="false" ht="15" hidden="false" customHeight="false" outlineLevel="0" collapsed="false">
      <c r="A66" s="4" t="s">
        <v>211</v>
      </c>
      <c r="C66" s="56" t="n">
        <f aca="false">C63+C64+C65</f>
        <v>80000</v>
      </c>
      <c r="D66" s="56" t="n">
        <f aca="false">D63+D64+D65</f>
        <v>78666.6666666667</v>
      </c>
      <c r="E66" s="56" t="n">
        <f aca="false">E63+E64+E65</f>
        <v>77333.3333333333</v>
      </c>
      <c r="F66" s="56" t="n">
        <f aca="false">F63+F64+F65</f>
        <v>76000</v>
      </c>
      <c r="G66" s="56" t="n">
        <f aca="false">G63+G64+G65</f>
        <v>74666.6666666667</v>
      </c>
      <c r="H66" s="56" t="n">
        <f aca="false">H63+H64+H65</f>
        <v>73333.3333333334</v>
      </c>
      <c r="I66" s="56" t="n">
        <f aca="false">I63+I64+I65</f>
        <v>72000</v>
      </c>
      <c r="J66" s="56" t="n">
        <f aca="false">J63+J64+J65</f>
        <v>70666.6666666667</v>
      </c>
      <c r="K66" s="56" t="n">
        <f aca="false">K63+K64+K65</f>
        <v>69333.3333333334</v>
      </c>
      <c r="L66" s="56" t="n">
        <f aca="false">L63+L64+L65</f>
        <v>68000</v>
      </c>
      <c r="M66" s="56" t="n">
        <f aca="false">M63+M64+M65</f>
        <v>66666.6666666667</v>
      </c>
      <c r="N66" s="56" t="n">
        <f aca="false">N63+N64+N65</f>
        <v>65333.3333333334</v>
      </c>
      <c r="O66" s="56" t="n">
        <f aca="false">O63+O64+O65</f>
        <v>64000</v>
      </c>
      <c r="P66" s="56" t="n">
        <f aca="false">P63+P64+P65</f>
        <v>62666.6666666667</v>
      </c>
      <c r="Q66" s="56" t="n">
        <f aca="false">Q63+Q64+Q65</f>
        <v>61333.3333333334</v>
      </c>
      <c r="R66" s="56" t="n">
        <f aca="false">R63+R64+R65</f>
        <v>60000</v>
      </c>
      <c r="S66" s="56" t="n">
        <f aca="false">S63+S64+S65</f>
        <v>58666.6666666667</v>
      </c>
      <c r="T66" s="56" t="n">
        <f aca="false">T63+T64+T65</f>
        <v>57333.3333333334</v>
      </c>
      <c r="U66" s="56" t="n">
        <f aca="false">U63+U64+U65</f>
        <v>56000</v>
      </c>
      <c r="V66" s="56" t="n">
        <f aca="false">V63+V64+V65</f>
        <v>54666.6666666667</v>
      </c>
      <c r="W66" s="56" t="n">
        <f aca="false">W63+W64+W65</f>
        <v>53333.3333333334</v>
      </c>
      <c r="X66" s="56" t="n">
        <f aca="false">X63+X64+X65</f>
        <v>52000</v>
      </c>
      <c r="Y66" s="56" t="n">
        <f aca="false">Y63+Y64+Y65</f>
        <v>50666.6666666667</v>
      </c>
      <c r="Z66" s="56" t="n">
        <f aca="false">Z63+Z64+Z65</f>
        <v>49333.3333333334</v>
      </c>
      <c r="AA66" s="56" t="n">
        <f aca="false">AA63+AA64+AA65</f>
        <v>48000</v>
      </c>
      <c r="AB66" s="56" t="n">
        <f aca="false">AB63+AB64+AB65</f>
        <v>46666.6666666667</v>
      </c>
      <c r="AC66" s="56" t="n">
        <f aca="false">AC63+AC64+AC65</f>
        <v>45333.3333333333</v>
      </c>
      <c r="AD66" s="56" t="n">
        <f aca="false">AD63+AD64+AD65</f>
        <v>44000</v>
      </c>
      <c r="AE66" s="56" t="n">
        <f aca="false">AE63+AE64+AE65</f>
        <v>42666.6666666667</v>
      </c>
      <c r="AF66" s="56" t="n">
        <f aca="false">AF63+AF64+AF65</f>
        <v>41333.3333333333</v>
      </c>
      <c r="AG66" s="56" t="n">
        <f aca="false">AG63+AG64+AG65</f>
        <v>40000</v>
      </c>
      <c r="AH66" s="56" t="n">
        <f aca="false">AH63+AH64+AH65</f>
        <v>38666.6666666667</v>
      </c>
      <c r="AI66" s="56" t="n">
        <f aca="false">AI63+AI64+AI65</f>
        <v>37333.3333333333</v>
      </c>
      <c r="AJ66" s="56" t="n">
        <f aca="false">AJ63+AJ64+AJ65</f>
        <v>36000</v>
      </c>
      <c r="AK66" s="56" t="n">
        <f aca="false">AK63+AK64+AK65</f>
        <v>34666.6666666667</v>
      </c>
      <c r="AL66" s="56" t="n">
        <f aca="false">AL63+AL64+AL65</f>
        <v>33333.3333333333</v>
      </c>
    </row>
    <row r="68" customFormat="false" ht="15.75" hidden="false" customHeight="true" outlineLevel="0" collapsed="false">
      <c r="A68" s="7" t="s">
        <v>132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212</v>
      </c>
      <c r="C69" s="50" t="n">
        <f aca="false">C34*Inputs!$E$35/30</f>
        <v>1040</v>
      </c>
      <c r="D69" s="50" t="n">
        <f aca="false">D34*Inputs!$E$35/30</f>
        <v>1213.33333333333</v>
      </c>
      <c r="E69" s="50" t="n">
        <f aca="false">E34*Inputs!$E$35/30</f>
        <v>1386.66666666667</v>
      </c>
      <c r="F69" s="50" t="n">
        <f aca="false">F34*Inputs!$E$35/30</f>
        <v>1560</v>
      </c>
      <c r="G69" s="50" t="n">
        <f aca="false">G34*Inputs!$E$35/30</f>
        <v>1733.33333333333</v>
      </c>
      <c r="H69" s="50" t="n">
        <f aca="false">H34*Inputs!$E$35/30</f>
        <v>1906.66666666667</v>
      </c>
      <c r="I69" s="50" t="n">
        <f aca="false">I34*Inputs!$E$35/30</f>
        <v>2080</v>
      </c>
      <c r="J69" s="50" t="n">
        <f aca="false">J34*Inputs!$E$35/30</f>
        <v>2080</v>
      </c>
      <c r="K69" s="50" t="n">
        <f aca="false">K34*Inputs!$E$35/30</f>
        <v>2080</v>
      </c>
      <c r="L69" s="50" t="n">
        <f aca="false">L34*Inputs!$E$35/30</f>
        <v>2080</v>
      </c>
      <c r="M69" s="50" t="n">
        <f aca="false">M34*Inputs!$E$35/30</f>
        <v>2080</v>
      </c>
      <c r="N69" s="50" t="n">
        <f aca="false">N34*Inputs!$E$35/30</f>
        <v>2080</v>
      </c>
      <c r="O69" s="50" t="n">
        <f aca="false">O34*Inputs!$E$35/30</f>
        <v>2270.944</v>
      </c>
      <c r="P69" s="50" t="n">
        <f aca="false">P34*Inputs!$E$35/30</f>
        <v>2270.944</v>
      </c>
      <c r="Q69" s="50" t="n">
        <f aca="false">Q34*Inputs!$E$35/30</f>
        <v>2270.944</v>
      </c>
      <c r="R69" s="50" t="n">
        <f aca="false">R34*Inputs!$E$35/30</f>
        <v>2270.944</v>
      </c>
      <c r="S69" s="50" t="n">
        <f aca="false">S34*Inputs!$E$35/30</f>
        <v>2270.944</v>
      </c>
      <c r="T69" s="50" t="n">
        <f aca="false">T34*Inputs!$E$35/30</f>
        <v>2270.944</v>
      </c>
      <c r="U69" s="50" t="n">
        <f aca="false">U34*Inputs!$E$35/30</f>
        <v>2270.944</v>
      </c>
      <c r="V69" s="50" t="n">
        <f aca="false">V34*Inputs!$E$35/30</f>
        <v>2270.944</v>
      </c>
      <c r="W69" s="50" t="n">
        <f aca="false">W34*Inputs!$E$35/30</f>
        <v>2270.944</v>
      </c>
      <c r="X69" s="50" t="n">
        <f aca="false">X34*Inputs!$E$35/30</f>
        <v>2270.944</v>
      </c>
      <c r="Y69" s="50" t="n">
        <f aca="false">Y34*Inputs!$E$35/30</f>
        <v>2270.944</v>
      </c>
      <c r="Z69" s="50" t="n">
        <f aca="false">Z34*Inputs!$E$35/30</f>
        <v>2270.944</v>
      </c>
      <c r="AA69" s="50" t="n">
        <f aca="false">AA34*Inputs!$E$35/30</f>
        <v>2479.4166592</v>
      </c>
      <c r="AB69" s="50" t="n">
        <f aca="false">AB34*Inputs!$E$35/30</f>
        <v>2479.4166592</v>
      </c>
      <c r="AC69" s="50" t="n">
        <f aca="false">AC34*Inputs!$E$35/30</f>
        <v>2479.4166592</v>
      </c>
      <c r="AD69" s="50" t="n">
        <f aca="false">AD34*Inputs!$E$35/30</f>
        <v>2479.4166592</v>
      </c>
      <c r="AE69" s="50" t="n">
        <f aca="false">AE34*Inputs!$E$35/30</f>
        <v>2479.4166592</v>
      </c>
      <c r="AF69" s="50" t="n">
        <f aca="false">AF34*Inputs!$E$35/30</f>
        <v>2479.4166592</v>
      </c>
      <c r="AG69" s="50" t="n">
        <f aca="false">AG34*Inputs!$E$35/30</f>
        <v>2479.4166592</v>
      </c>
      <c r="AH69" s="50" t="n">
        <f aca="false">AH34*Inputs!$E$35/30</f>
        <v>2479.4166592</v>
      </c>
      <c r="AI69" s="50" t="n">
        <f aca="false">AI34*Inputs!$E$35/30</f>
        <v>2479.4166592</v>
      </c>
      <c r="AJ69" s="50" t="n">
        <f aca="false">AJ34*Inputs!$E$35/30</f>
        <v>2479.4166592</v>
      </c>
      <c r="AK69" s="50" t="n">
        <f aca="false">AK34*Inputs!$E$35/30</f>
        <v>2479.4166592</v>
      </c>
      <c r="AL69" s="50" t="n">
        <f aca="false">AL34*Inputs!$E$35/30</f>
        <v>2479.4166592</v>
      </c>
    </row>
    <row r="70" customFormat="false" ht="15" hidden="false" customHeight="false" outlineLevel="0" collapsed="false">
      <c r="A70" s="6" t="s">
        <v>213</v>
      </c>
      <c r="C70" s="50" t="n">
        <f aca="false">-C35*Inputs!$E$36/30</f>
        <v>1201.2</v>
      </c>
      <c r="D70" s="50" t="n">
        <f aca="false">-D35*Inputs!$E$36/30</f>
        <v>1401.4</v>
      </c>
      <c r="E70" s="50" t="n">
        <f aca="false">-E35*Inputs!$E$36/30</f>
        <v>1601.6</v>
      </c>
      <c r="F70" s="50" t="n">
        <f aca="false">-F35*Inputs!$E$36/30</f>
        <v>1801.8</v>
      </c>
      <c r="G70" s="50" t="n">
        <f aca="false">-G35*Inputs!$E$36/30</f>
        <v>2002</v>
      </c>
      <c r="H70" s="50" t="n">
        <f aca="false">-H35*Inputs!$E$36/30</f>
        <v>2202.2</v>
      </c>
      <c r="I70" s="50" t="n">
        <f aca="false">-I35*Inputs!$E$36/30</f>
        <v>2402.4</v>
      </c>
      <c r="J70" s="50" t="n">
        <f aca="false">-J35*Inputs!$E$36/30</f>
        <v>2402.4</v>
      </c>
      <c r="K70" s="50" t="n">
        <f aca="false">-K35*Inputs!$E$36/30</f>
        <v>2402.4</v>
      </c>
      <c r="L70" s="50" t="n">
        <f aca="false">-L35*Inputs!$E$36/30</f>
        <v>2402.4</v>
      </c>
      <c r="M70" s="50" t="n">
        <f aca="false">-M35*Inputs!$E$36/30</f>
        <v>2402.4</v>
      </c>
      <c r="N70" s="50" t="n">
        <f aca="false">-N35*Inputs!$E$36/30</f>
        <v>2402.4</v>
      </c>
      <c r="O70" s="50" t="n">
        <f aca="false">-O35*Inputs!$E$36/30</f>
        <v>2622.94032</v>
      </c>
      <c r="P70" s="50" t="n">
        <f aca="false">-P35*Inputs!$E$36/30</f>
        <v>2622.94032</v>
      </c>
      <c r="Q70" s="50" t="n">
        <f aca="false">-Q35*Inputs!$E$36/30</f>
        <v>2622.94032</v>
      </c>
      <c r="R70" s="50" t="n">
        <f aca="false">-R35*Inputs!$E$36/30</f>
        <v>2622.94032</v>
      </c>
      <c r="S70" s="50" t="n">
        <f aca="false">-S35*Inputs!$E$36/30</f>
        <v>2622.94032</v>
      </c>
      <c r="T70" s="50" t="n">
        <f aca="false">-T35*Inputs!$E$36/30</f>
        <v>2622.94032</v>
      </c>
      <c r="U70" s="50" t="n">
        <f aca="false">-U35*Inputs!$E$36/30</f>
        <v>2622.94032</v>
      </c>
      <c r="V70" s="50" t="n">
        <f aca="false">-V35*Inputs!$E$36/30</f>
        <v>2622.94032</v>
      </c>
      <c r="W70" s="50" t="n">
        <f aca="false">-W35*Inputs!$E$36/30</f>
        <v>2622.94032</v>
      </c>
      <c r="X70" s="50" t="n">
        <f aca="false">-X35*Inputs!$E$36/30</f>
        <v>2622.94032</v>
      </c>
      <c r="Y70" s="50" t="n">
        <f aca="false">-Y35*Inputs!$E$36/30</f>
        <v>2622.94032</v>
      </c>
      <c r="Z70" s="50" t="n">
        <f aca="false">-Z35*Inputs!$E$36/30</f>
        <v>2622.94032</v>
      </c>
      <c r="AA70" s="50" t="n">
        <f aca="false">-AA35*Inputs!$E$36/30</f>
        <v>2863.726241376</v>
      </c>
      <c r="AB70" s="50" t="n">
        <f aca="false">-AB35*Inputs!$E$36/30</f>
        <v>2863.726241376</v>
      </c>
      <c r="AC70" s="50" t="n">
        <f aca="false">-AC35*Inputs!$E$36/30</f>
        <v>2863.726241376</v>
      </c>
      <c r="AD70" s="50" t="n">
        <f aca="false">-AD35*Inputs!$E$36/30</f>
        <v>2863.726241376</v>
      </c>
      <c r="AE70" s="50" t="n">
        <f aca="false">-AE35*Inputs!$E$36/30</f>
        <v>2863.726241376</v>
      </c>
      <c r="AF70" s="50" t="n">
        <f aca="false">-AF35*Inputs!$E$36/30</f>
        <v>2863.726241376</v>
      </c>
      <c r="AG70" s="50" t="n">
        <f aca="false">-AG35*Inputs!$E$36/30</f>
        <v>2863.726241376</v>
      </c>
      <c r="AH70" s="50" t="n">
        <f aca="false">-AH35*Inputs!$E$36/30</f>
        <v>2863.726241376</v>
      </c>
      <c r="AI70" s="50" t="n">
        <f aca="false">-AI35*Inputs!$E$36/30</f>
        <v>2863.726241376</v>
      </c>
      <c r="AJ70" s="50" t="n">
        <f aca="false">-AJ35*Inputs!$E$36/30</f>
        <v>2863.726241376</v>
      </c>
      <c r="AK70" s="50" t="n">
        <f aca="false">-AK35*Inputs!$E$36/30</f>
        <v>2863.726241376</v>
      </c>
      <c r="AL70" s="50" t="n">
        <f aca="false">-AL35*Inputs!$E$36/30</f>
        <v>2863.726241376</v>
      </c>
    </row>
    <row r="71" customFormat="false" ht="15" hidden="false" customHeight="false" outlineLevel="0" collapsed="false">
      <c r="A71" s="6" t="s">
        <v>214</v>
      </c>
      <c r="C71" s="50" t="n">
        <f aca="false">-C35*Inputs!$E$37/30</f>
        <v>2402.4</v>
      </c>
      <c r="D71" s="50" t="n">
        <f aca="false">-D35*Inputs!$E$37/30</f>
        <v>2802.8</v>
      </c>
      <c r="E71" s="50" t="n">
        <f aca="false">-E35*Inputs!$E$37/30</f>
        <v>3203.2</v>
      </c>
      <c r="F71" s="50" t="n">
        <f aca="false">-F35*Inputs!$E$37/30</f>
        <v>3603.6</v>
      </c>
      <c r="G71" s="50" t="n">
        <f aca="false">-G35*Inputs!$E$37/30</f>
        <v>4004</v>
      </c>
      <c r="H71" s="50" t="n">
        <f aca="false">-H35*Inputs!$E$37/30</f>
        <v>4404.4</v>
      </c>
      <c r="I71" s="50" t="n">
        <f aca="false">-I35*Inputs!$E$37/30</f>
        <v>4804.8</v>
      </c>
      <c r="J71" s="50" t="n">
        <f aca="false">-J35*Inputs!$E$37/30</f>
        <v>4804.8</v>
      </c>
      <c r="K71" s="50" t="n">
        <f aca="false">-K35*Inputs!$E$37/30</f>
        <v>4804.8</v>
      </c>
      <c r="L71" s="50" t="n">
        <f aca="false">-L35*Inputs!$E$37/30</f>
        <v>4804.8</v>
      </c>
      <c r="M71" s="50" t="n">
        <f aca="false">-M35*Inputs!$E$37/30</f>
        <v>4804.8</v>
      </c>
      <c r="N71" s="50" t="n">
        <f aca="false">-N35*Inputs!$E$37/30</f>
        <v>4804.8</v>
      </c>
      <c r="O71" s="50" t="n">
        <f aca="false">-O35*Inputs!$E$37/30</f>
        <v>5245.88064</v>
      </c>
      <c r="P71" s="50" t="n">
        <f aca="false">-P35*Inputs!$E$37/30</f>
        <v>5245.88064</v>
      </c>
      <c r="Q71" s="50" t="n">
        <f aca="false">-Q35*Inputs!$E$37/30</f>
        <v>5245.88064</v>
      </c>
      <c r="R71" s="50" t="n">
        <f aca="false">-R35*Inputs!$E$37/30</f>
        <v>5245.88064</v>
      </c>
      <c r="S71" s="50" t="n">
        <f aca="false">-S35*Inputs!$E$37/30</f>
        <v>5245.88064</v>
      </c>
      <c r="T71" s="50" t="n">
        <f aca="false">-T35*Inputs!$E$37/30</f>
        <v>5245.88064</v>
      </c>
      <c r="U71" s="50" t="n">
        <f aca="false">-U35*Inputs!$E$37/30</f>
        <v>5245.88064</v>
      </c>
      <c r="V71" s="50" t="n">
        <f aca="false">-V35*Inputs!$E$37/30</f>
        <v>5245.88064</v>
      </c>
      <c r="W71" s="50" t="n">
        <f aca="false">-W35*Inputs!$E$37/30</f>
        <v>5245.88064</v>
      </c>
      <c r="X71" s="50" t="n">
        <f aca="false">-X35*Inputs!$E$37/30</f>
        <v>5245.88064</v>
      </c>
      <c r="Y71" s="50" t="n">
        <f aca="false">-Y35*Inputs!$E$37/30</f>
        <v>5245.88064</v>
      </c>
      <c r="Z71" s="50" t="n">
        <f aca="false">-Z35*Inputs!$E$37/30</f>
        <v>5245.88064</v>
      </c>
      <c r="AA71" s="50" t="n">
        <f aca="false">-AA35*Inputs!$E$37/30</f>
        <v>5727.452482752</v>
      </c>
      <c r="AB71" s="50" t="n">
        <f aca="false">-AB35*Inputs!$E$37/30</f>
        <v>5727.452482752</v>
      </c>
      <c r="AC71" s="50" t="n">
        <f aca="false">-AC35*Inputs!$E$37/30</f>
        <v>5727.452482752</v>
      </c>
      <c r="AD71" s="50" t="n">
        <f aca="false">-AD35*Inputs!$E$37/30</f>
        <v>5727.452482752</v>
      </c>
      <c r="AE71" s="50" t="n">
        <f aca="false">-AE35*Inputs!$E$37/30</f>
        <v>5727.452482752</v>
      </c>
      <c r="AF71" s="50" t="n">
        <f aca="false">-AF35*Inputs!$E$37/30</f>
        <v>5727.452482752</v>
      </c>
      <c r="AG71" s="50" t="n">
        <f aca="false">-AG35*Inputs!$E$37/30</f>
        <v>5727.452482752</v>
      </c>
      <c r="AH71" s="50" t="n">
        <f aca="false">-AH35*Inputs!$E$37/30</f>
        <v>5727.452482752</v>
      </c>
      <c r="AI71" s="50" t="n">
        <f aca="false">-AI35*Inputs!$E$37/30</f>
        <v>5727.452482752</v>
      </c>
      <c r="AJ71" s="50" t="n">
        <f aca="false">-AJ35*Inputs!$E$37/30</f>
        <v>5727.452482752</v>
      </c>
      <c r="AK71" s="50" t="n">
        <f aca="false">-AK35*Inputs!$E$37/30</f>
        <v>5727.452482752</v>
      </c>
      <c r="AL71" s="50" t="n">
        <f aca="false">-AL35*Inputs!$E$37/30</f>
        <v>5727.452482752</v>
      </c>
    </row>
    <row r="72" customFormat="false" ht="15" hidden="false" customHeight="false" outlineLevel="0" collapsed="false">
      <c r="A72" s="6" t="s">
        <v>215</v>
      </c>
      <c r="C72" s="50" t="n">
        <f aca="false">-C69</f>
        <v>-1040</v>
      </c>
      <c r="D72" s="50" t="n">
        <f aca="false">C69-D69</f>
        <v>-173.333333333333</v>
      </c>
      <c r="E72" s="50" t="n">
        <f aca="false">D69-E69</f>
        <v>-173.333333333333</v>
      </c>
      <c r="F72" s="50" t="n">
        <f aca="false">E69-F69</f>
        <v>-173.333333333333</v>
      </c>
      <c r="G72" s="50" t="n">
        <f aca="false">F69-G69</f>
        <v>-173.333333333333</v>
      </c>
      <c r="H72" s="50" t="n">
        <f aca="false">G69-H69</f>
        <v>-173.333333333334</v>
      </c>
      <c r="I72" s="50" t="n">
        <f aca="false">H69-I69</f>
        <v>-173.333333333333</v>
      </c>
      <c r="J72" s="50" t="n">
        <f aca="false">I69-J69</f>
        <v>0</v>
      </c>
      <c r="K72" s="50" t="n">
        <f aca="false">J69-K69</f>
        <v>0</v>
      </c>
      <c r="L72" s="50" t="n">
        <f aca="false">K69-L69</f>
        <v>0</v>
      </c>
      <c r="M72" s="50" t="n">
        <f aca="false">L69-M69</f>
        <v>0</v>
      </c>
      <c r="N72" s="50" t="n">
        <f aca="false">M69-N69</f>
        <v>0</v>
      </c>
      <c r="O72" s="50" t="n">
        <f aca="false">N69-O69</f>
        <v>-190.944</v>
      </c>
      <c r="P72" s="50" t="n">
        <f aca="false">O69-P69</f>
        <v>0</v>
      </c>
      <c r="Q72" s="50" t="n">
        <f aca="false">P69-Q69</f>
        <v>0</v>
      </c>
      <c r="R72" s="50" t="n">
        <f aca="false">Q69-R69</f>
        <v>0</v>
      </c>
      <c r="S72" s="50" t="n">
        <f aca="false">R69-S69</f>
        <v>0</v>
      </c>
      <c r="T72" s="50" t="n">
        <f aca="false">S69-T69</f>
        <v>0</v>
      </c>
      <c r="U72" s="50" t="n">
        <f aca="false">T69-U69</f>
        <v>0</v>
      </c>
      <c r="V72" s="50" t="n">
        <f aca="false">U69-V69</f>
        <v>0</v>
      </c>
      <c r="W72" s="50" t="n">
        <f aca="false">V69-W69</f>
        <v>0</v>
      </c>
      <c r="X72" s="50" t="n">
        <f aca="false">W69-X69</f>
        <v>0</v>
      </c>
      <c r="Y72" s="50" t="n">
        <f aca="false">X69-Y69</f>
        <v>0</v>
      </c>
      <c r="Z72" s="50" t="n">
        <f aca="false">Y69-Z69</f>
        <v>0</v>
      </c>
      <c r="AA72" s="50" t="n">
        <f aca="false">Z69-AA69</f>
        <v>-208.4726592</v>
      </c>
      <c r="AB72" s="50" t="n">
        <f aca="false">AA69-AB69</f>
        <v>0</v>
      </c>
      <c r="AC72" s="50" t="n">
        <f aca="false">AB69-AC69</f>
        <v>0</v>
      </c>
      <c r="AD72" s="50" t="n">
        <f aca="false">AC69-AD69</f>
        <v>0</v>
      </c>
      <c r="AE72" s="50" t="n">
        <f aca="false">AD69-AE69</f>
        <v>0</v>
      </c>
      <c r="AF72" s="50" t="n">
        <f aca="false">AE69-AF69</f>
        <v>0</v>
      </c>
      <c r="AG72" s="50" t="n">
        <f aca="false">AF69-AG69</f>
        <v>0</v>
      </c>
      <c r="AH72" s="50" t="n">
        <f aca="false">AG69-AH69</f>
        <v>0</v>
      </c>
      <c r="AI72" s="50" t="n">
        <f aca="false">AH69-AI69</f>
        <v>0</v>
      </c>
      <c r="AJ72" s="50" t="n">
        <f aca="false">AI69-AJ69</f>
        <v>0</v>
      </c>
      <c r="AK72" s="50" t="n">
        <f aca="false">AJ69-AK69</f>
        <v>0</v>
      </c>
      <c r="AL72" s="50" t="n">
        <f aca="false">AK69-AL69</f>
        <v>0</v>
      </c>
    </row>
    <row r="73" customFormat="false" ht="15" hidden="false" customHeight="false" outlineLevel="0" collapsed="false">
      <c r="A73" s="6" t="s">
        <v>216</v>
      </c>
      <c r="C73" s="50" t="n">
        <f aca="false">-C70</f>
        <v>-1201.2</v>
      </c>
      <c r="D73" s="50" t="n">
        <f aca="false">C70-D70</f>
        <v>-200.200000000001</v>
      </c>
      <c r="E73" s="50" t="n">
        <f aca="false">D70-E70</f>
        <v>-200.199999999999</v>
      </c>
      <c r="F73" s="50" t="n">
        <f aca="false">E70-F70</f>
        <v>-200.2</v>
      </c>
      <c r="G73" s="50" t="n">
        <f aca="false">F70-G70</f>
        <v>-200.2</v>
      </c>
      <c r="H73" s="50" t="n">
        <f aca="false">G70-H70</f>
        <v>-200.2</v>
      </c>
      <c r="I73" s="50" t="n">
        <f aca="false">H70-I70</f>
        <v>-200.2</v>
      </c>
      <c r="J73" s="50" t="n">
        <f aca="false">I70-J70</f>
        <v>0</v>
      </c>
      <c r="K73" s="50" t="n">
        <f aca="false">J70-K70</f>
        <v>0</v>
      </c>
      <c r="L73" s="50" t="n">
        <f aca="false">K70-L70</f>
        <v>0</v>
      </c>
      <c r="M73" s="50" t="n">
        <f aca="false">L70-M70</f>
        <v>0</v>
      </c>
      <c r="N73" s="50" t="n">
        <f aca="false">M70-N70</f>
        <v>0</v>
      </c>
      <c r="O73" s="50" t="n">
        <f aca="false">N70-O70</f>
        <v>-220.540320000001</v>
      </c>
      <c r="P73" s="50" t="n">
        <f aca="false">O70-P70</f>
        <v>0</v>
      </c>
      <c r="Q73" s="50" t="n">
        <f aca="false">P70-Q70</f>
        <v>0</v>
      </c>
      <c r="R73" s="50" t="n">
        <f aca="false">Q70-R70</f>
        <v>0</v>
      </c>
      <c r="S73" s="50" t="n">
        <f aca="false">R70-S70</f>
        <v>0</v>
      </c>
      <c r="T73" s="50" t="n">
        <f aca="false">S70-T70</f>
        <v>0</v>
      </c>
      <c r="U73" s="50" t="n">
        <f aca="false">T70-U70</f>
        <v>0</v>
      </c>
      <c r="V73" s="50" t="n">
        <f aca="false">U70-V70</f>
        <v>0</v>
      </c>
      <c r="W73" s="50" t="n">
        <f aca="false">V70-W70</f>
        <v>0</v>
      </c>
      <c r="X73" s="50" t="n">
        <f aca="false">W70-X70</f>
        <v>0</v>
      </c>
      <c r="Y73" s="50" t="n">
        <f aca="false">X70-Y70</f>
        <v>0</v>
      </c>
      <c r="Z73" s="50" t="n">
        <f aca="false">Y70-Z70</f>
        <v>0</v>
      </c>
      <c r="AA73" s="50" t="n">
        <f aca="false">Z70-AA70</f>
        <v>-240.785921376</v>
      </c>
      <c r="AB73" s="50" t="n">
        <f aca="false">AA70-AB70</f>
        <v>0</v>
      </c>
      <c r="AC73" s="50" t="n">
        <f aca="false">AB70-AC70</f>
        <v>0</v>
      </c>
      <c r="AD73" s="50" t="n">
        <f aca="false">AC70-AD70</f>
        <v>0</v>
      </c>
      <c r="AE73" s="50" t="n">
        <f aca="false">AD70-AE70</f>
        <v>0</v>
      </c>
      <c r="AF73" s="50" t="n">
        <f aca="false">AE70-AF70</f>
        <v>0</v>
      </c>
      <c r="AG73" s="50" t="n">
        <f aca="false">AF70-AG70</f>
        <v>0</v>
      </c>
      <c r="AH73" s="50" t="n">
        <f aca="false">AG70-AH70</f>
        <v>0</v>
      </c>
      <c r="AI73" s="50" t="n">
        <f aca="false">AH70-AI70</f>
        <v>0</v>
      </c>
      <c r="AJ73" s="50" t="n">
        <f aca="false">AI70-AJ70</f>
        <v>0</v>
      </c>
      <c r="AK73" s="50" t="n">
        <f aca="false">AJ70-AK70</f>
        <v>0</v>
      </c>
      <c r="AL73" s="50" t="n">
        <f aca="false">AK70-AL70</f>
        <v>0</v>
      </c>
    </row>
    <row r="74" customFormat="false" ht="15" hidden="false" customHeight="false" outlineLevel="0" collapsed="false">
      <c r="A74" s="6" t="s">
        <v>217</v>
      </c>
      <c r="C74" s="50" t="n">
        <f aca="false">C71</f>
        <v>2402.4</v>
      </c>
      <c r="D74" s="50" t="n">
        <f aca="false">D71-C71</f>
        <v>400.400000000001</v>
      </c>
      <c r="E74" s="50" t="n">
        <f aca="false">E71-D71</f>
        <v>400.399999999998</v>
      </c>
      <c r="F74" s="50" t="n">
        <f aca="false">F71-E71</f>
        <v>400.400000000001</v>
      </c>
      <c r="G74" s="50" t="n">
        <f aca="false">G71-F71</f>
        <v>400.4</v>
      </c>
      <c r="H74" s="50" t="n">
        <f aca="false">H71-G71</f>
        <v>400.400000000001</v>
      </c>
      <c r="I74" s="50" t="n">
        <f aca="false">I71-H71</f>
        <v>400.4</v>
      </c>
      <c r="J74" s="50" t="n">
        <f aca="false">J71-I71</f>
        <v>0</v>
      </c>
      <c r="K74" s="50" t="n">
        <f aca="false">K71-J71</f>
        <v>0</v>
      </c>
      <c r="L74" s="50" t="n">
        <f aca="false">L71-K71</f>
        <v>0</v>
      </c>
      <c r="M74" s="50" t="n">
        <f aca="false">M71-L71</f>
        <v>0</v>
      </c>
      <c r="N74" s="50" t="n">
        <f aca="false">N71-M71</f>
        <v>0</v>
      </c>
      <c r="O74" s="50" t="n">
        <f aca="false">O71-N71</f>
        <v>441.080640000001</v>
      </c>
      <c r="P74" s="50" t="n">
        <f aca="false">P71-O71</f>
        <v>0</v>
      </c>
      <c r="Q74" s="50" t="n">
        <f aca="false">Q71-P71</f>
        <v>0</v>
      </c>
      <c r="R74" s="50" t="n">
        <f aca="false">R71-Q71</f>
        <v>0</v>
      </c>
      <c r="S74" s="50" t="n">
        <f aca="false">S71-R71</f>
        <v>0</v>
      </c>
      <c r="T74" s="50" t="n">
        <f aca="false">T71-S71</f>
        <v>0</v>
      </c>
      <c r="U74" s="50" t="n">
        <f aca="false">U71-T71</f>
        <v>0</v>
      </c>
      <c r="V74" s="50" t="n">
        <f aca="false">V71-U71</f>
        <v>0</v>
      </c>
      <c r="W74" s="50" t="n">
        <f aca="false">W71-V71</f>
        <v>0</v>
      </c>
      <c r="X74" s="50" t="n">
        <f aca="false">X71-W71</f>
        <v>0</v>
      </c>
      <c r="Y74" s="50" t="n">
        <f aca="false">Y71-X71</f>
        <v>0</v>
      </c>
      <c r="Z74" s="50" t="n">
        <f aca="false">Z71-Y71</f>
        <v>0</v>
      </c>
      <c r="AA74" s="50" t="n">
        <f aca="false">AA71-Z71</f>
        <v>481.571842752001</v>
      </c>
      <c r="AB74" s="50" t="n">
        <f aca="false">AB71-AA71</f>
        <v>0</v>
      </c>
      <c r="AC74" s="50" t="n">
        <f aca="false">AC71-AB71</f>
        <v>0</v>
      </c>
      <c r="AD74" s="50" t="n">
        <f aca="false">AD71-AC71</f>
        <v>0</v>
      </c>
      <c r="AE74" s="50" t="n">
        <f aca="false">AE71-AD71</f>
        <v>0</v>
      </c>
      <c r="AF74" s="50" t="n">
        <f aca="false">AF71-AE71</f>
        <v>0</v>
      </c>
      <c r="AG74" s="50" t="n">
        <f aca="false">AG71-AF71</f>
        <v>0</v>
      </c>
      <c r="AH74" s="50" t="n">
        <f aca="false">AH71-AG71</f>
        <v>0</v>
      </c>
      <c r="AI74" s="50" t="n">
        <f aca="false">AI71-AH71</f>
        <v>0</v>
      </c>
      <c r="AJ74" s="50" t="n">
        <f aca="false">AJ71-AI71</f>
        <v>0</v>
      </c>
      <c r="AK74" s="50" t="n">
        <f aca="false">AK71-AJ71</f>
        <v>0</v>
      </c>
      <c r="AL74" s="50" t="n">
        <f aca="false">AL71-AK71</f>
        <v>0</v>
      </c>
    </row>
    <row r="76" customFormat="false" ht="15.75" hidden="false" customHeight="true" outlineLevel="0" collapsed="false">
      <c r="A76" s="7" t="s">
        <v>218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4" t="s">
        <v>40</v>
      </c>
      <c r="C77" s="56" t="n">
        <f aca="false">C53-C58+C72+C73+C74</f>
        <v>-7341.46666666667</v>
      </c>
      <c r="D77" s="56" t="n">
        <f aca="false">D53-D58+D72+D73+D74</f>
        <v>-5807.35555555556</v>
      </c>
      <c r="E77" s="56" t="n">
        <f aca="false">E53-E58+E72+E73+E74</f>
        <v>-4134.46666666667</v>
      </c>
      <c r="F77" s="56" t="n">
        <f aca="false">F53-F58+F72+F73+F74</f>
        <v>-2461.57777777778</v>
      </c>
      <c r="G77" s="56" t="n">
        <f aca="false">G53-G58+G72+G73+G74</f>
        <v>-788.688888888894</v>
      </c>
      <c r="H77" s="56" t="n">
        <f aca="false">H53-H58+H72+H73+H74</f>
        <v>884.199999999997</v>
      </c>
      <c r="I77" s="56" t="n">
        <f aca="false">I53-I58+I72+I73+I74</f>
        <v>2557.08888888889</v>
      </c>
      <c r="J77" s="56" t="n">
        <f aca="false">J53-J58+J72+J73+J74</f>
        <v>2539.11111111111</v>
      </c>
      <c r="K77" s="56" t="n">
        <f aca="false">K53-K58+K72+K73+K74</f>
        <v>2548</v>
      </c>
      <c r="L77" s="56" t="n">
        <f aca="false">L53-L58+L72+L73+L74</f>
        <v>2556.88888888889</v>
      </c>
      <c r="M77" s="56" t="n">
        <f aca="false">M53-M58+M72+M73+M74</f>
        <v>2565.77777777778</v>
      </c>
      <c r="N77" s="56" t="n">
        <f aca="false">N53-N58+N72+N73+N74</f>
        <v>2574.66666666666</v>
      </c>
      <c r="O77" s="56" t="n">
        <f aca="false">O53-O58+O72+O73+O74</f>
        <v>4132.61427555556</v>
      </c>
      <c r="P77" s="56" t="n">
        <f aca="false">P53-P58+P72+P73+P74</f>
        <v>4111.90684444445</v>
      </c>
      <c r="Q77" s="56" t="n">
        <f aca="false">Q53-Q58+Q72+Q73+Q74</f>
        <v>4120.79573333334</v>
      </c>
      <c r="R77" s="56" t="n">
        <f aca="false">R53-R58+R72+R73+R74</f>
        <v>4129.68462222222</v>
      </c>
      <c r="S77" s="56" t="n">
        <f aca="false">S53-S58+S72+S73+S74</f>
        <v>4138.57351111111</v>
      </c>
      <c r="T77" s="56" t="n">
        <f aca="false">T53-T58+T72+T73+T74</f>
        <v>4147.4624</v>
      </c>
      <c r="U77" s="56" t="n">
        <f aca="false">U53-U58+U72+U73+U74</f>
        <v>4156.35128888889</v>
      </c>
      <c r="V77" s="56" t="n">
        <f aca="false">V53-V58+V72+V73+V74</f>
        <v>4165.24017777778</v>
      </c>
      <c r="W77" s="56" t="n">
        <f aca="false">W53-W58+W72+W73+W74</f>
        <v>4174.12906666667</v>
      </c>
      <c r="X77" s="56" t="n">
        <f aca="false">X53-X58+X72+X73+X74</f>
        <v>4183.01795555556</v>
      </c>
      <c r="Y77" s="56" t="n">
        <f aca="false">Y53-Y58+Y72+Y73+Y74</f>
        <v>4191.90684444445</v>
      </c>
      <c r="Z77" s="56" t="n">
        <f aca="false">Z53-Z58+Z72+Z73+Z74</f>
        <v>4200.79573333334</v>
      </c>
      <c r="AA77" s="56" t="n">
        <f aca="false">AA53-AA58+AA72+AA73+AA74</f>
        <v>5193.38585977103</v>
      </c>
      <c r="AB77" s="56" t="n">
        <f aca="false">AB53-AB58+AB72+AB73+AB74</f>
        <v>5058.55340115058</v>
      </c>
      <c r="AC77" s="56" t="n">
        <f aca="false">AC53-AC58+AC72+AC73+AC74</f>
        <v>5065.5756233728</v>
      </c>
      <c r="AD77" s="56" t="n">
        <f aca="false">AD53-AD58+AD72+AD73+AD74</f>
        <v>5072.59784559503</v>
      </c>
      <c r="AE77" s="56" t="n">
        <f aca="false">AE53-AE58+AE72+AE73+AE74</f>
        <v>5079.62006781725</v>
      </c>
      <c r="AF77" s="56" t="n">
        <f aca="false">AF53-AF58+AF72+AF73+AF74</f>
        <v>5086.64229003947</v>
      </c>
      <c r="AG77" s="56" t="n">
        <f aca="false">AG53-AG58+AG72+AG73+AG74</f>
        <v>5093.66451226169</v>
      </c>
      <c r="AH77" s="56" t="n">
        <f aca="false">AH53-AH58+AH72+AH73+AH74</f>
        <v>5100.68673448392</v>
      </c>
      <c r="AI77" s="56" t="n">
        <f aca="false">AI53-AI58+AI72+AI73+AI74</f>
        <v>5107.70895670614</v>
      </c>
      <c r="AJ77" s="56" t="n">
        <f aca="false">AJ53-AJ58+AJ72+AJ73+AJ74</f>
        <v>5114.73117892836</v>
      </c>
      <c r="AK77" s="56" t="n">
        <f aca="false">AK53-AK58+AK72+AK73+AK74</f>
        <v>5121.75340115058</v>
      </c>
      <c r="AL77" s="56" t="n">
        <f aca="false">AL53-AL58+AL72+AL73+AL74</f>
        <v>5128.7756233728</v>
      </c>
    </row>
    <row r="78" customFormat="false" ht="15" hidden="false" customHeight="false" outlineLevel="0" collapsed="false">
      <c r="A78" s="6" t="s">
        <v>219</v>
      </c>
      <c r="C78" s="50" t="n">
        <f aca="false">-C56</f>
        <v>-160000</v>
      </c>
      <c r="D78" s="50" t="n">
        <f aca="false">-D56</f>
        <v>-0</v>
      </c>
      <c r="E78" s="50" t="n">
        <f aca="false">-E56</f>
        <v>-0</v>
      </c>
      <c r="F78" s="50" t="n">
        <f aca="false">-F56</f>
        <v>-0</v>
      </c>
      <c r="G78" s="50" t="n">
        <f aca="false">-G56</f>
        <v>-0</v>
      </c>
      <c r="H78" s="50" t="n">
        <f aca="false">-H56</f>
        <v>-0</v>
      </c>
      <c r="I78" s="50" t="n">
        <f aca="false">-I56</f>
        <v>-0</v>
      </c>
      <c r="J78" s="50" t="n">
        <f aca="false">-J56</f>
        <v>-0</v>
      </c>
      <c r="K78" s="50" t="n">
        <f aca="false">-K56</f>
        <v>-0</v>
      </c>
      <c r="L78" s="50" t="n">
        <f aca="false">-L56</f>
        <v>-0</v>
      </c>
      <c r="M78" s="50" t="n">
        <f aca="false">-M56</f>
        <v>-0</v>
      </c>
      <c r="N78" s="50" t="n">
        <f aca="false">-N56</f>
        <v>-0</v>
      </c>
      <c r="O78" s="50" t="n">
        <f aca="false">-O56</f>
        <v>-0</v>
      </c>
      <c r="P78" s="50" t="n">
        <f aca="false">-P56</f>
        <v>-0</v>
      </c>
      <c r="Q78" s="50" t="n">
        <f aca="false">-Q56</f>
        <v>-0</v>
      </c>
      <c r="R78" s="50" t="n">
        <f aca="false">-R56</f>
        <v>-0</v>
      </c>
      <c r="S78" s="50" t="n">
        <f aca="false">-S56</f>
        <v>-0</v>
      </c>
      <c r="T78" s="50" t="n">
        <f aca="false">-T56</f>
        <v>-0</v>
      </c>
      <c r="U78" s="50" t="n">
        <f aca="false">-U56</f>
        <v>-0</v>
      </c>
      <c r="V78" s="50" t="n">
        <f aca="false">-V56</f>
        <v>-0</v>
      </c>
      <c r="W78" s="50" t="n">
        <f aca="false">-W56</f>
        <v>-0</v>
      </c>
      <c r="X78" s="50" t="n">
        <f aca="false">-X56</f>
        <v>-0</v>
      </c>
      <c r="Y78" s="50" t="n">
        <f aca="false">-Y56</f>
        <v>-0</v>
      </c>
      <c r="Z78" s="50" t="n">
        <f aca="false">-Z56</f>
        <v>-0</v>
      </c>
      <c r="AA78" s="50" t="n">
        <f aca="false">-AA56</f>
        <v>-0</v>
      </c>
      <c r="AB78" s="50" t="n">
        <f aca="false">-AB56</f>
        <v>-0</v>
      </c>
      <c r="AC78" s="50" t="n">
        <f aca="false">-AC56</f>
        <v>-0</v>
      </c>
      <c r="AD78" s="50" t="n">
        <f aca="false">-AD56</f>
        <v>-0</v>
      </c>
      <c r="AE78" s="50" t="n">
        <f aca="false">-AE56</f>
        <v>-0</v>
      </c>
      <c r="AF78" s="50" t="n">
        <f aca="false">-AF56</f>
        <v>-0</v>
      </c>
      <c r="AG78" s="50" t="n">
        <f aca="false">-AG56</f>
        <v>-0</v>
      </c>
      <c r="AH78" s="50" t="n">
        <f aca="false">-AH56</f>
        <v>-0</v>
      </c>
      <c r="AI78" s="50" t="n">
        <f aca="false">-AI56</f>
        <v>-0</v>
      </c>
      <c r="AJ78" s="50" t="n">
        <f aca="false">-AJ56</f>
        <v>-0</v>
      </c>
      <c r="AK78" s="50" t="n">
        <f aca="false">-AK56</f>
        <v>-0</v>
      </c>
      <c r="AL78" s="50" t="n">
        <f aca="false">-AL56</f>
        <v>-0</v>
      </c>
    </row>
    <row r="79" customFormat="false" ht="15" hidden="false" customHeight="false" outlineLevel="0" collapsed="false">
      <c r="A79" s="6" t="s">
        <v>50</v>
      </c>
      <c r="C79" s="50" t="n">
        <f aca="false">IF(C$26=1,Inputs!$E$29,0)</f>
        <v>140000</v>
      </c>
      <c r="D79" s="50" t="n">
        <f aca="false">IF(D$26=1,Inputs!$E$29,0)</f>
        <v>0</v>
      </c>
      <c r="E79" s="50" t="n">
        <f aca="false">IF(E$26=1,Inputs!$E$29,0)</f>
        <v>0</v>
      </c>
      <c r="F79" s="50" t="n">
        <f aca="false">IF(F$26=1,Inputs!$E$29,0)</f>
        <v>0</v>
      </c>
      <c r="G79" s="50" t="n">
        <f aca="false">IF(G$26=1,Inputs!$E$29,0)</f>
        <v>0</v>
      </c>
      <c r="H79" s="50" t="n">
        <f aca="false">IF(H$26=1,Inputs!$E$29,0)</f>
        <v>0</v>
      </c>
      <c r="I79" s="50" t="n">
        <f aca="false">IF(I$26=1,Inputs!$E$29,0)</f>
        <v>0</v>
      </c>
      <c r="J79" s="50" t="n">
        <f aca="false">IF(J$26=1,Inputs!$E$29,0)</f>
        <v>0</v>
      </c>
      <c r="K79" s="50" t="n">
        <f aca="false">IF(K$26=1,Inputs!$E$29,0)</f>
        <v>0</v>
      </c>
      <c r="L79" s="50" t="n">
        <f aca="false">IF(L$26=1,Inputs!$E$29,0)</f>
        <v>0</v>
      </c>
      <c r="M79" s="50" t="n">
        <f aca="false">IF(M$26=1,Inputs!$E$29,0)</f>
        <v>0</v>
      </c>
      <c r="N79" s="50" t="n">
        <f aca="false">IF(N$26=1,Inputs!$E$29,0)</f>
        <v>0</v>
      </c>
      <c r="O79" s="50" t="n">
        <f aca="false">IF(O$26=1,Inputs!$E$29,0)</f>
        <v>0</v>
      </c>
      <c r="P79" s="50" t="n">
        <f aca="false">IF(P$26=1,Inputs!$E$29,0)</f>
        <v>0</v>
      </c>
      <c r="Q79" s="50" t="n">
        <f aca="false">IF(Q$26=1,Inputs!$E$29,0)</f>
        <v>0</v>
      </c>
      <c r="R79" s="50" t="n">
        <f aca="false">IF(R$26=1,Inputs!$E$29,0)</f>
        <v>0</v>
      </c>
      <c r="S79" s="50" t="n">
        <f aca="false">IF(S$26=1,Inputs!$E$29,0)</f>
        <v>0</v>
      </c>
      <c r="T79" s="50" t="n">
        <f aca="false">IF(T$26=1,Inputs!$E$29,0)</f>
        <v>0</v>
      </c>
      <c r="U79" s="50" t="n">
        <f aca="false">IF(U$26=1,Inputs!$E$29,0)</f>
        <v>0</v>
      </c>
      <c r="V79" s="50" t="n">
        <f aca="false">IF(V$26=1,Inputs!$E$29,0)</f>
        <v>0</v>
      </c>
      <c r="W79" s="50" t="n">
        <f aca="false">IF(W$26=1,Inputs!$E$29,0)</f>
        <v>0</v>
      </c>
      <c r="X79" s="50" t="n">
        <f aca="false">IF(X$26=1,Inputs!$E$29,0)</f>
        <v>0</v>
      </c>
      <c r="Y79" s="50" t="n">
        <f aca="false">IF(Y$26=1,Inputs!$E$29,0)</f>
        <v>0</v>
      </c>
      <c r="Z79" s="50" t="n">
        <f aca="false">IF(Z$26=1,Inputs!$E$29,0)</f>
        <v>0</v>
      </c>
      <c r="AA79" s="50" t="n">
        <f aca="false">IF(AA$26=1,Inputs!$E$29,0)</f>
        <v>0</v>
      </c>
      <c r="AB79" s="50" t="n">
        <f aca="false">IF(AB$26=1,Inputs!$E$29,0)</f>
        <v>0</v>
      </c>
      <c r="AC79" s="50" t="n">
        <f aca="false">IF(AC$26=1,Inputs!$E$29,0)</f>
        <v>0</v>
      </c>
      <c r="AD79" s="50" t="n">
        <f aca="false">IF(AD$26=1,Inputs!$E$29,0)</f>
        <v>0</v>
      </c>
      <c r="AE79" s="50" t="n">
        <f aca="false">IF(AE$26=1,Inputs!$E$29,0)</f>
        <v>0</v>
      </c>
      <c r="AF79" s="50" t="n">
        <f aca="false">IF(AF$26=1,Inputs!$E$29,0)</f>
        <v>0</v>
      </c>
      <c r="AG79" s="50" t="n">
        <f aca="false">IF(AG$26=1,Inputs!$E$29,0)</f>
        <v>0</v>
      </c>
      <c r="AH79" s="50" t="n">
        <f aca="false">IF(AH$26=1,Inputs!$E$29,0)</f>
        <v>0</v>
      </c>
      <c r="AI79" s="50" t="n">
        <f aca="false">IF(AI$26=1,Inputs!$E$29,0)</f>
        <v>0</v>
      </c>
      <c r="AJ79" s="50" t="n">
        <f aca="false">IF(AJ$26=1,Inputs!$E$29,0)</f>
        <v>0</v>
      </c>
      <c r="AK79" s="50" t="n">
        <f aca="false">IF(AK$26=1,Inputs!$E$29,0)</f>
        <v>0</v>
      </c>
      <c r="AL79" s="50" t="n">
        <f aca="false">IF(AL$26=1,Inputs!$E$29,0)</f>
        <v>0</v>
      </c>
    </row>
    <row r="80" customFormat="false" ht="15" hidden="false" customHeight="false" outlineLevel="0" collapsed="false">
      <c r="A80" s="6" t="s">
        <v>42</v>
      </c>
      <c r="C80" s="50" t="n">
        <f aca="false">C79+C64+C65</f>
        <v>220000</v>
      </c>
      <c r="D80" s="50" t="n">
        <f aca="false">D79+D64+D65</f>
        <v>-1333.33333333333</v>
      </c>
      <c r="E80" s="50" t="n">
        <f aca="false">E79+E64+E65</f>
        <v>-1333.33333333333</v>
      </c>
      <c r="F80" s="50" t="n">
        <f aca="false">F79+F64+F65</f>
        <v>-1333.33333333333</v>
      </c>
      <c r="G80" s="50" t="n">
        <f aca="false">G79+G64+G65</f>
        <v>-1333.33333333333</v>
      </c>
      <c r="H80" s="50" t="n">
        <f aca="false">H79+H64+H65</f>
        <v>-1333.33333333333</v>
      </c>
      <c r="I80" s="50" t="n">
        <f aca="false">I79+I64+I65</f>
        <v>-1333.33333333333</v>
      </c>
      <c r="J80" s="50" t="n">
        <f aca="false">J79+J64+J65</f>
        <v>-1333.33333333333</v>
      </c>
      <c r="K80" s="50" t="n">
        <f aca="false">K79+K64+K65</f>
        <v>-1333.33333333333</v>
      </c>
      <c r="L80" s="50" t="n">
        <f aca="false">L79+L64+L65</f>
        <v>-1333.33333333333</v>
      </c>
      <c r="M80" s="50" t="n">
        <f aca="false">M79+M64+M65</f>
        <v>-1333.33333333333</v>
      </c>
      <c r="N80" s="50" t="n">
        <f aca="false">N79+N64+N65</f>
        <v>-1333.33333333333</v>
      </c>
      <c r="O80" s="50" t="n">
        <f aca="false">O79+O64+O65</f>
        <v>-1333.33333333333</v>
      </c>
      <c r="P80" s="50" t="n">
        <f aca="false">P79+P64+P65</f>
        <v>-1333.33333333333</v>
      </c>
      <c r="Q80" s="50" t="n">
        <f aca="false">Q79+Q64+Q65</f>
        <v>-1333.33333333333</v>
      </c>
      <c r="R80" s="50" t="n">
        <f aca="false">R79+R64+R65</f>
        <v>-1333.33333333333</v>
      </c>
      <c r="S80" s="50" t="n">
        <f aca="false">S79+S64+S65</f>
        <v>-1333.33333333333</v>
      </c>
      <c r="T80" s="50" t="n">
        <f aca="false">T79+T64+T65</f>
        <v>-1333.33333333333</v>
      </c>
      <c r="U80" s="50" t="n">
        <f aca="false">U79+U64+U65</f>
        <v>-1333.33333333333</v>
      </c>
      <c r="V80" s="50" t="n">
        <f aca="false">V79+V64+V65</f>
        <v>-1333.33333333333</v>
      </c>
      <c r="W80" s="50" t="n">
        <f aca="false">W79+W64+W65</f>
        <v>-1333.33333333333</v>
      </c>
      <c r="X80" s="50" t="n">
        <f aca="false">X79+X64+X65</f>
        <v>-1333.33333333333</v>
      </c>
      <c r="Y80" s="50" t="n">
        <f aca="false">Y79+Y64+Y65</f>
        <v>-1333.33333333333</v>
      </c>
      <c r="Z80" s="50" t="n">
        <f aca="false">Z79+Z64+Z65</f>
        <v>-1333.33333333333</v>
      </c>
      <c r="AA80" s="50" t="n">
        <f aca="false">AA79+AA64+AA65</f>
        <v>-1333.33333333333</v>
      </c>
      <c r="AB80" s="50" t="n">
        <f aca="false">AB79+AB64+AB65</f>
        <v>-1333.33333333333</v>
      </c>
      <c r="AC80" s="50" t="n">
        <f aca="false">AC79+AC64+AC65</f>
        <v>-1333.33333333333</v>
      </c>
      <c r="AD80" s="50" t="n">
        <f aca="false">AD79+AD64+AD65</f>
        <v>-1333.33333333333</v>
      </c>
      <c r="AE80" s="50" t="n">
        <f aca="false">AE79+AE64+AE65</f>
        <v>-1333.33333333333</v>
      </c>
      <c r="AF80" s="50" t="n">
        <f aca="false">AF79+AF64+AF65</f>
        <v>-1333.33333333333</v>
      </c>
      <c r="AG80" s="50" t="n">
        <f aca="false">AG79+AG64+AG65</f>
        <v>-1333.33333333333</v>
      </c>
      <c r="AH80" s="50" t="n">
        <f aca="false">AH79+AH64+AH65</f>
        <v>-1333.33333333333</v>
      </c>
      <c r="AI80" s="50" t="n">
        <f aca="false">AI79+AI64+AI65</f>
        <v>-1333.33333333333</v>
      </c>
      <c r="AJ80" s="50" t="n">
        <f aca="false">AJ79+AJ64+AJ65</f>
        <v>-1333.33333333333</v>
      </c>
      <c r="AK80" s="50" t="n">
        <f aca="false">AK79+AK64+AK65</f>
        <v>-1333.33333333333</v>
      </c>
      <c r="AL80" s="50" t="n">
        <f aca="false">AL79+AL64+AL65</f>
        <v>-1333.33333333333</v>
      </c>
    </row>
    <row r="81" customFormat="false" ht="15" hidden="false" customHeight="false" outlineLevel="0" collapsed="false">
      <c r="A81" s="69" t="s">
        <v>220</v>
      </c>
      <c r="C81" s="51" t="n">
        <f aca="false">C77+C78+C80</f>
        <v>52658.5333333333</v>
      </c>
      <c r="D81" s="51" t="n">
        <f aca="false">D77+D78+D80</f>
        <v>-7140.68888888889</v>
      </c>
      <c r="E81" s="51" t="n">
        <f aca="false">E77+E78+E80</f>
        <v>-5467.80000000001</v>
      </c>
      <c r="F81" s="51" t="n">
        <f aca="false">F77+F78+F80</f>
        <v>-3794.91111111111</v>
      </c>
      <c r="G81" s="51" t="n">
        <f aca="false">G77+G78+G80</f>
        <v>-2122.02222222223</v>
      </c>
      <c r="H81" s="51" t="n">
        <f aca="false">H77+H78+H80</f>
        <v>-449.133333333336</v>
      </c>
      <c r="I81" s="51" t="n">
        <f aca="false">I77+I78+I80</f>
        <v>1223.75555555555</v>
      </c>
      <c r="J81" s="51" t="n">
        <f aca="false">J77+J78+J80</f>
        <v>1205.77777777778</v>
      </c>
      <c r="K81" s="51" t="n">
        <f aca="false">K77+K78+K80</f>
        <v>1214.66666666666</v>
      </c>
      <c r="L81" s="51" t="n">
        <f aca="false">L77+L78+L80</f>
        <v>1223.55555555555</v>
      </c>
      <c r="M81" s="51" t="n">
        <f aca="false">M77+M78+M80</f>
        <v>1232.44444444444</v>
      </c>
      <c r="N81" s="51" t="n">
        <f aca="false">N77+N78+N80</f>
        <v>1241.33333333333</v>
      </c>
      <c r="O81" s="51" t="n">
        <f aca="false">O77+O78+O80</f>
        <v>2799.28094222222</v>
      </c>
      <c r="P81" s="51" t="n">
        <f aca="false">P77+P78+P80</f>
        <v>2778.57351111111</v>
      </c>
      <c r="Q81" s="51" t="n">
        <f aca="false">Q77+Q78+Q80</f>
        <v>2787.4624</v>
      </c>
      <c r="R81" s="51" t="n">
        <f aca="false">R77+R78+R80</f>
        <v>2796.35128888889</v>
      </c>
      <c r="S81" s="51" t="n">
        <f aca="false">S77+S78+S80</f>
        <v>2805.24017777778</v>
      </c>
      <c r="T81" s="51" t="n">
        <f aca="false">T77+T78+T80</f>
        <v>2814.12906666667</v>
      </c>
      <c r="U81" s="51" t="n">
        <f aca="false">U77+U78+U80</f>
        <v>2823.01795555556</v>
      </c>
      <c r="V81" s="51" t="n">
        <f aca="false">V77+V78+V80</f>
        <v>2831.90684444445</v>
      </c>
      <c r="W81" s="51" t="n">
        <f aca="false">W77+W78+W80</f>
        <v>2840.79573333334</v>
      </c>
      <c r="X81" s="51" t="n">
        <f aca="false">X77+X78+X80</f>
        <v>2849.68462222222</v>
      </c>
      <c r="Y81" s="51" t="n">
        <f aca="false">Y77+Y78+Y80</f>
        <v>2858.57351111111</v>
      </c>
      <c r="Z81" s="51" t="n">
        <f aca="false">Z77+Z78+Z80</f>
        <v>2867.4624</v>
      </c>
      <c r="AA81" s="51" t="n">
        <f aca="false">AA77+AA78+AA80</f>
        <v>3860.05252643769</v>
      </c>
      <c r="AB81" s="51" t="n">
        <f aca="false">AB77+AB78+AB80</f>
        <v>3725.22006781725</v>
      </c>
      <c r="AC81" s="51" t="n">
        <f aca="false">AC77+AC78+AC80</f>
        <v>3732.24229003947</v>
      </c>
      <c r="AD81" s="51" t="n">
        <f aca="false">AD77+AD78+AD80</f>
        <v>3739.26451226169</v>
      </c>
      <c r="AE81" s="51" t="n">
        <f aca="false">AE77+AE78+AE80</f>
        <v>3746.28673448392</v>
      </c>
      <c r="AF81" s="51" t="n">
        <f aca="false">AF77+AF78+AF80</f>
        <v>3753.30895670614</v>
      </c>
      <c r="AG81" s="51" t="n">
        <f aca="false">AG77+AG78+AG80</f>
        <v>3760.33117892836</v>
      </c>
      <c r="AH81" s="51" t="n">
        <f aca="false">AH77+AH78+AH80</f>
        <v>3767.35340115058</v>
      </c>
      <c r="AI81" s="51" t="n">
        <f aca="false">AI77+AI78+AI80</f>
        <v>3774.3756233728</v>
      </c>
      <c r="AJ81" s="51" t="n">
        <f aca="false">AJ77+AJ78+AJ80</f>
        <v>3781.39784559503</v>
      </c>
      <c r="AK81" s="51" t="n">
        <f aca="false">AK77+AK78+AK80</f>
        <v>3788.42006781725</v>
      </c>
      <c r="AL81" s="51" t="n">
        <f aca="false">AL77+AL78+AL80</f>
        <v>3795.44229003947</v>
      </c>
    </row>
    <row r="82" customFormat="false" ht="15" hidden="false" customHeight="false" outlineLevel="0" collapsed="false">
      <c r="A82" s="6" t="s">
        <v>221</v>
      </c>
      <c r="C82" s="50" t="n">
        <f aca="false">0</f>
        <v>0</v>
      </c>
      <c r="D82" s="50" t="n">
        <f aca="false">C83</f>
        <v>52658.5333333333</v>
      </c>
      <c r="E82" s="50" t="n">
        <f aca="false">D83</f>
        <v>45517.8444444444</v>
      </c>
      <c r="F82" s="50" t="n">
        <f aca="false">E83</f>
        <v>40050.0444444444</v>
      </c>
      <c r="G82" s="50" t="n">
        <f aca="false">F83</f>
        <v>36255.1333333333</v>
      </c>
      <c r="H82" s="50" t="n">
        <f aca="false">G83</f>
        <v>34133.1111111111</v>
      </c>
      <c r="I82" s="50" t="n">
        <f aca="false">H83</f>
        <v>33683.9777777778</v>
      </c>
      <c r="J82" s="50" t="n">
        <f aca="false">I83</f>
        <v>34907.7333333333</v>
      </c>
      <c r="K82" s="50" t="n">
        <f aca="false">J83</f>
        <v>36113.5111111111</v>
      </c>
      <c r="L82" s="50" t="n">
        <f aca="false">K83</f>
        <v>37328.1777777777</v>
      </c>
      <c r="M82" s="50" t="n">
        <f aca="false">L83</f>
        <v>38551.7333333333</v>
      </c>
      <c r="N82" s="50" t="n">
        <f aca="false">M83</f>
        <v>39784.1777777777</v>
      </c>
      <c r="O82" s="50" t="n">
        <f aca="false">N83</f>
        <v>41025.5111111111</v>
      </c>
      <c r="P82" s="50" t="n">
        <f aca="false">O83</f>
        <v>43824.7920533333</v>
      </c>
      <c r="Q82" s="50" t="n">
        <f aca="false">P83</f>
        <v>46603.3655644444</v>
      </c>
      <c r="R82" s="50" t="n">
        <f aca="false">Q83</f>
        <v>49390.8279644444</v>
      </c>
      <c r="S82" s="50" t="n">
        <f aca="false">R83</f>
        <v>52187.1792533333</v>
      </c>
      <c r="T82" s="50" t="n">
        <f aca="false">S83</f>
        <v>54992.4194311111</v>
      </c>
      <c r="U82" s="50" t="n">
        <f aca="false">T83</f>
        <v>57806.5484977778</v>
      </c>
      <c r="V82" s="50" t="n">
        <f aca="false">U83</f>
        <v>60629.5664533333</v>
      </c>
      <c r="W82" s="50" t="n">
        <f aca="false">V83</f>
        <v>63461.4732977778</v>
      </c>
      <c r="X82" s="50" t="n">
        <f aca="false">W83</f>
        <v>66302.2690311111</v>
      </c>
      <c r="Y82" s="50" t="n">
        <f aca="false">X83</f>
        <v>69151.9536533333</v>
      </c>
      <c r="Z82" s="50" t="n">
        <f aca="false">Y83</f>
        <v>72010.5271644444</v>
      </c>
      <c r="AA82" s="50" t="n">
        <f aca="false">Z83</f>
        <v>74877.9895644444</v>
      </c>
      <c r="AB82" s="50" t="n">
        <f aca="false">AA83</f>
        <v>78738.0420908821</v>
      </c>
      <c r="AC82" s="50" t="n">
        <f aca="false">AB83</f>
        <v>82463.2621586994</v>
      </c>
      <c r="AD82" s="50" t="n">
        <f aca="false">AC83</f>
        <v>86195.5044487389</v>
      </c>
      <c r="AE82" s="50" t="n">
        <f aca="false">AD83</f>
        <v>89934.7689610006</v>
      </c>
      <c r="AF82" s="50" t="n">
        <f aca="false">AE83</f>
        <v>93681.0556954845</v>
      </c>
      <c r="AG82" s="50" t="n">
        <f aca="false">AF83</f>
        <v>97434.3646521906</v>
      </c>
      <c r="AH82" s="50" t="n">
        <f aca="false">AG83</f>
        <v>101194.695831119</v>
      </c>
      <c r="AI82" s="50" t="n">
        <f aca="false">AH83</f>
        <v>104962.04923227</v>
      </c>
      <c r="AJ82" s="50" t="n">
        <f aca="false">AI83</f>
        <v>108736.424855642</v>
      </c>
      <c r="AK82" s="50" t="n">
        <f aca="false">AJ83</f>
        <v>112517.822701237</v>
      </c>
      <c r="AL82" s="50" t="n">
        <f aca="false">AK83</f>
        <v>116306.242769055</v>
      </c>
    </row>
    <row r="83" customFormat="false" ht="15" hidden="false" customHeight="false" outlineLevel="0" collapsed="false">
      <c r="A83" s="69" t="s">
        <v>222</v>
      </c>
      <c r="C83" s="51" t="n">
        <f aca="false">C82+C81</f>
        <v>52658.5333333333</v>
      </c>
      <c r="D83" s="51" t="n">
        <f aca="false">D82+D81</f>
        <v>45517.8444444444</v>
      </c>
      <c r="E83" s="51" t="n">
        <f aca="false">E82+E81</f>
        <v>40050.0444444444</v>
      </c>
      <c r="F83" s="51" t="n">
        <f aca="false">F82+F81</f>
        <v>36255.1333333333</v>
      </c>
      <c r="G83" s="51" t="n">
        <f aca="false">G82+G81</f>
        <v>34133.1111111111</v>
      </c>
      <c r="H83" s="51" t="n">
        <f aca="false">H82+H81</f>
        <v>33683.9777777778</v>
      </c>
      <c r="I83" s="51" t="n">
        <f aca="false">I82+I81</f>
        <v>34907.7333333333</v>
      </c>
      <c r="J83" s="51" t="n">
        <f aca="false">J82+J81</f>
        <v>36113.5111111111</v>
      </c>
      <c r="K83" s="51" t="n">
        <f aca="false">K82+K81</f>
        <v>37328.1777777777</v>
      </c>
      <c r="L83" s="51" t="n">
        <f aca="false">L82+L81</f>
        <v>38551.7333333333</v>
      </c>
      <c r="M83" s="51" t="n">
        <f aca="false">M82+M81</f>
        <v>39784.1777777777</v>
      </c>
      <c r="N83" s="51" t="n">
        <f aca="false">N82+N81</f>
        <v>41025.5111111111</v>
      </c>
      <c r="O83" s="51" t="n">
        <f aca="false">O82+O81</f>
        <v>43824.7920533333</v>
      </c>
      <c r="P83" s="51" t="n">
        <f aca="false">P82+P81</f>
        <v>46603.3655644444</v>
      </c>
      <c r="Q83" s="51" t="n">
        <f aca="false">Q82+Q81</f>
        <v>49390.8279644444</v>
      </c>
      <c r="R83" s="51" t="n">
        <f aca="false">R82+R81</f>
        <v>52187.1792533333</v>
      </c>
      <c r="S83" s="51" t="n">
        <f aca="false">S82+S81</f>
        <v>54992.4194311111</v>
      </c>
      <c r="T83" s="51" t="n">
        <f aca="false">T82+T81</f>
        <v>57806.5484977778</v>
      </c>
      <c r="U83" s="51" t="n">
        <f aca="false">U82+U81</f>
        <v>60629.5664533333</v>
      </c>
      <c r="V83" s="51" t="n">
        <f aca="false">V82+V81</f>
        <v>63461.4732977778</v>
      </c>
      <c r="W83" s="51" t="n">
        <f aca="false">W82+W81</f>
        <v>66302.2690311111</v>
      </c>
      <c r="X83" s="51" t="n">
        <f aca="false">X82+X81</f>
        <v>69151.9536533333</v>
      </c>
      <c r="Y83" s="51" t="n">
        <f aca="false">Y82+Y81</f>
        <v>72010.5271644444</v>
      </c>
      <c r="Z83" s="51" t="n">
        <f aca="false">Z82+Z81</f>
        <v>74877.9895644444</v>
      </c>
      <c r="AA83" s="51" t="n">
        <f aca="false">AA82+AA81</f>
        <v>78738.0420908821</v>
      </c>
      <c r="AB83" s="51" t="n">
        <f aca="false">AB82+AB81</f>
        <v>82463.2621586994</v>
      </c>
      <c r="AC83" s="51" t="n">
        <f aca="false">AC82+AC81</f>
        <v>86195.5044487389</v>
      </c>
      <c r="AD83" s="51" t="n">
        <f aca="false">AD82+AD81</f>
        <v>89934.7689610006</v>
      </c>
      <c r="AE83" s="51" t="n">
        <f aca="false">AE82+AE81</f>
        <v>93681.0556954845</v>
      </c>
      <c r="AF83" s="51" t="n">
        <f aca="false">AF82+AF81</f>
        <v>97434.3646521906</v>
      </c>
      <c r="AG83" s="51" t="n">
        <f aca="false">AG82+AG81</f>
        <v>101194.695831119</v>
      </c>
      <c r="AH83" s="51" t="n">
        <f aca="false">AH82+AH81</f>
        <v>104962.04923227</v>
      </c>
      <c r="AI83" s="51" t="n">
        <f aca="false">AI82+AI81</f>
        <v>108736.424855642</v>
      </c>
      <c r="AJ83" s="51" t="n">
        <f aca="false">AJ82+AJ81</f>
        <v>112517.822701237</v>
      </c>
      <c r="AK83" s="51" t="n">
        <f aca="false">AK82+AK81</f>
        <v>116306.242769055</v>
      </c>
      <c r="AL83" s="51" t="n">
        <f aca="false">AL82+AL81</f>
        <v>120101.685059094</v>
      </c>
    </row>
    <row r="84" customFormat="false" ht="15" hidden="false" customHeight="false" outlineLevel="0" collapsed="false">
      <c r="A84" s="74" t="s">
        <v>223</v>
      </c>
      <c r="C84" s="73" t="n">
        <f aca="false">IF(C44&gt;0,1,0)</f>
        <v>0</v>
      </c>
      <c r="D84" s="73" t="n">
        <f aca="false">IF(D44&gt;0,1,0)</f>
        <v>0</v>
      </c>
      <c r="E84" s="73" t="n">
        <f aca="false">IF(E44&gt;0,1,0)</f>
        <v>0</v>
      </c>
      <c r="F84" s="73" t="n">
        <f aca="false">IF(F44&gt;0,1,0)</f>
        <v>0</v>
      </c>
      <c r="G84" s="73" t="n">
        <f aca="false">IF(G44&gt;0,1,0)</f>
        <v>0</v>
      </c>
      <c r="H84" s="73" t="n">
        <f aca="false">IF(H44&gt;0,1,0)</f>
        <v>1</v>
      </c>
      <c r="I84" s="73" t="n">
        <f aca="false">IF(I44&gt;0,1,0)</f>
        <v>1</v>
      </c>
      <c r="J84" s="73" t="n">
        <f aca="false">IF(J44&gt;0,1,0)</f>
        <v>1</v>
      </c>
      <c r="K84" s="73" t="n">
        <f aca="false">IF(K44&gt;0,1,0)</f>
        <v>1</v>
      </c>
      <c r="L84" s="73" t="n">
        <f aca="false">IF(L44&gt;0,1,0)</f>
        <v>1</v>
      </c>
      <c r="M84" s="73" t="n">
        <f aca="false">IF(M44&gt;0,1,0)</f>
        <v>1</v>
      </c>
      <c r="N84" s="73" t="n">
        <f aca="false">IF(N44&gt;0,1,0)</f>
        <v>1</v>
      </c>
      <c r="O84" s="73" t="n">
        <f aca="false">IF(O44&gt;0,1,0)</f>
        <v>1</v>
      </c>
      <c r="P84" s="73" t="n">
        <f aca="false">IF(P44&gt;0,1,0)</f>
        <v>1</v>
      </c>
      <c r="Q84" s="73" t="n">
        <f aca="false">IF(Q44&gt;0,1,0)</f>
        <v>1</v>
      </c>
      <c r="R84" s="73" t="n">
        <f aca="false">IF(R44&gt;0,1,0)</f>
        <v>1</v>
      </c>
      <c r="S84" s="73" t="n">
        <f aca="false">IF(S44&gt;0,1,0)</f>
        <v>1</v>
      </c>
      <c r="T84" s="73" t="n">
        <f aca="false">IF(T44&gt;0,1,0)</f>
        <v>1</v>
      </c>
      <c r="U84" s="73" t="n">
        <f aca="false">IF(U44&gt;0,1,0)</f>
        <v>1</v>
      </c>
      <c r="V84" s="73" t="n">
        <f aca="false">IF(V44&gt;0,1,0)</f>
        <v>1</v>
      </c>
      <c r="W84" s="73" t="n">
        <f aca="false">IF(W44&gt;0,1,0)</f>
        <v>1</v>
      </c>
      <c r="X84" s="73" t="n">
        <f aca="false">IF(X44&gt;0,1,0)</f>
        <v>1</v>
      </c>
      <c r="Y84" s="73" t="n">
        <f aca="false">IF(Y44&gt;0,1,0)</f>
        <v>1</v>
      </c>
      <c r="Z84" s="73" t="n">
        <f aca="false">IF(Z44&gt;0,1,0)</f>
        <v>1</v>
      </c>
      <c r="AA84" s="73" t="n">
        <f aca="false">IF(AA44&gt;0,1,0)</f>
        <v>1</v>
      </c>
      <c r="AB84" s="73" t="n">
        <f aca="false">IF(AB44&gt;0,1,0)</f>
        <v>1</v>
      </c>
      <c r="AC84" s="73" t="n">
        <f aca="false">IF(AC44&gt;0,1,0)</f>
        <v>1</v>
      </c>
      <c r="AD84" s="73" t="n">
        <f aca="false">IF(AD44&gt;0,1,0)</f>
        <v>1</v>
      </c>
      <c r="AE84" s="73" t="n">
        <f aca="false">IF(AE44&gt;0,1,0)</f>
        <v>1</v>
      </c>
      <c r="AF84" s="73" t="n">
        <f aca="false">IF(AF44&gt;0,1,0)</f>
        <v>1</v>
      </c>
      <c r="AG84" s="73" t="n">
        <f aca="false">IF(AG44&gt;0,1,0)</f>
        <v>1</v>
      </c>
      <c r="AH84" s="73" t="n">
        <f aca="false">IF(AH44&gt;0,1,0)</f>
        <v>1</v>
      </c>
      <c r="AI84" s="73" t="n">
        <f aca="false">IF(AI44&gt;0,1,0)</f>
        <v>1</v>
      </c>
      <c r="AJ84" s="73" t="n">
        <f aca="false">IF(AJ44&gt;0,1,0)</f>
        <v>1</v>
      </c>
      <c r="AK84" s="73" t="n">
        <f aca="false">IF(AK44&gt;0,1,0)</f>
        <v>1</v>
      </c>
      <c r="AL84" s="73" t="n">
        <f aca="false">IF(AL44&gt;0,1,0)</f>
        <v>1</v>
      </c>
    </row>
    <row r="86" customFormat="false" ht="15.75" hidden="false" customHeight="true" outlineLevel="0" collapsed="false">
      <c r="A86" s="7" t="s">
        <v>224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customFormat="false" ht="15" hidden="false" customHeight="false" outlineLevel="0" collapsed="false">
      <c r="A87" s="74" t="s">
        <v>225</v>
      </c>
      <c r="C87" s="73" t="n">
        <f aca="false">IF(C53&gt;0,1,0)</f>
        <v>0</v>
      </c>
      <c r="D87" s="73" t="n">
        <f aca="false">IF(D53&gt;0,1,0)</f>
        <v>0</v>
      </c>
      <c r="E87" s="73" t="n">
        <f aca="false">IF(E53&gt;0,1,0)</f>
        <v>0</v>
      </c>
      <c r="F87" s="73" t="n">
        <f aca="false">IF(F53&gt;0,1,0)</f>
        <v>0</v>
      </c>
      <c r="G87" s="73" t="n">
        <f aca="false">IF(G53&gt;0,1,0)</f>
        <v>0</v>
      </c>
      <c r="H87" s="73" t="n">
        <f aca="false">IF(H53&gt;0,1,0)</f>
        <v>0</v>
      </c>
      <c r="I87" s="73" t="n">
        <f aca="false">IF(I53&gt;0,1,0)</f>
        <v>1</v>
      </c>
      <c r="J87" s="73" t="n">
        <f aca="false">IF(J53&gt;0,1,0)</f>
        <v>1</v>
      </c>
      <c r="K87" s="73" t="n">
        <f aca="false">IF(K53&gt;0,1,0)</f>
        <v>1</v>
      </c>
      <c r="L87" s="73" t="n">
        <f aca="false">IF(L53&gt;0,1,0)</f>
        <v>1</v>
      </c>
      <c r="M87" s="73" t="n">
        <f aca="false">IF(M53&gt;0,1,0)</f>
        <v>1</v>
      </c>
      <c r="N87" s="73" t="n">
        <f aca="false">IF(N53&gt;0,1,0)</f>
        <v>1</v>
      </c>
      <c r="O87" s="73" t="n">
        <f aca="false">IF(O53&gt;0,1,0)</f>
        <v>1</v>
      </c>
      <c r="P87" s="73" t="n">
        <f aca="false">IF(P53&gt;0,1,0)</f>
        <v>1</v>
      </c>
      <c r="Q87" s="73" t="n">
        <f aca="false">IF(Q53&gt;0,1,0)</f>
        <v>1</v>
      </c>
      <c r="R87" s="73" t="n">
        <f aca="false">IF(R53&gt;0,1,0)</f>
        <v>1</v>
      </c>
      <c r="S87" s="73" t="n">
        <f aca="false">IF(S53&gt;0,1,0)</f>
        <v>1</v>
      </c>
      <c r="T87" s="73" t="n">
        <f aca="false">IF(T53&gt;0,1,0)</f>
        <v>1</v>
      </c>
      <c r="U87" s="73" t="n">
        <f aca="false">IF(U53&gt;0,1,0)</f>
        <v>1</v>
      </c>
      <c r="V87" s="73" t="n">
        <f aca="false">IF(V53&gt;0,1,0)</f>
        <v>1</v>
      </c>
      <c r="W87" s="73" t="n">
        <f aca="false">IF(W53&gt;0,1,0)</f>
        <v>1</v>
      </c>
      <c r="X87" s="73" t="n">
        <f aca="false">IF(X53&gt;0,1,0)</f>
        <v>1</v>
      </c>
      <c r="Y87" s="73" t="n">
        <f aca="false">IF(Y53&gt;0,1,0)</f>
        <v>1</v>
      </c>
      <c r="Z87" s="73" t="n">
        <f aca="false">IF(Z53&gt;0,1,0)</f>
        <v>1</v>
      </c>
      <c r="AA87" s="73" t="n">
        <f aca="false">IF(AA53&gt;0,1,0)</f>
        <v>1</v>
      </c>
      <c r="AB87" s="73" t="n">
        <f aca="false">IF(AB53&gt;0,1,0)</f>
        <v>1</v>
      </c>
      <c r="AC87" s="73" t="n">
        <f aca="false">IF(AC53&gt;0,1,0)</f>
        <v>1</v>
      </c>
      <c r="AD87" s="73" t="n">
        <f aca="false">IF(AD53&gt;0,1,0)</f>
        <v>1</v>
      </c>
      <c r="AE87" s="73" t="n">
        <f aca="false">IF(AE53&gt;0,1,0)</f>
        <v>1</v>
      </c>
      <c r="AF87" s="73" t="n">
        <f aca="false">IF(AF53&gt;0,1,0)</f>
        <v>1</v>
      </c>
      <c r="AG87" s="73" t="n">
        <f aca="false">IF(AG53&gt;0,1,0)</f>
        <v>1</v>
      </c>
      <c r="AH87" s="73" t="n">
        <f aca="false">IF(AH53&gt;0,1,0)</f>
        <v>1</v>
      </c>
      <c r="AI87" s="73" t="n">
        <f aca="false">IF(AI53&gt;0,1,0)</f>
        <v>1</v>
      </c>
      <c r="AJ87" s="73" t="n">
        <f aca="false">IF(AJ53&gt;0,1,0)</f>
        <v>1</v>
      </c>
      <c r="AK87" s="73" t="n">
        <f aca="false">IF(AK53&gt;0,1,0)</f>
        <v>1</v>
      </c>
      <c r="AL87" s="73" t="n">
        <f aca="false">IF(AL53&gt;0,1,0)</f>
        <v>1</v>
      </c>
    </row>
    <row r="88" customFormat="false" ht="15" hidden="false" customHeight="false" outlineLevel="0" collapsed="false">
      <c r="A88" s="6" t="s">
        <v>226</v>
      </c>
      <c r="C88" s="50" t="n">
        <f aca="false">C77+C78</f>
        <v>-167341.466666667</v>
      </c>
      <c r="D88" s="50" t="n">
        <f aca="false">D77+D78</f>
        <v>-5807.35555555556</v>
      </c>
      <c r="E88" s="50" t="n">
        <f aca="false">E77+E78</f>
        <v>-4134.46666666667</v>
      </c>
      <c r="F88" s="50" t="n">
        <f aca="false">F77+F78</f>
        <v>-2461.57777777778</v>
      </c>
      <c r="G88" s="50" t="n">
        <f aca="false">G77+G78</f>
        <v>-788.688888888894</v>
      </c>
      <c r="H88" s="50" t="n">
        <f aca="false">H77+H78</f>
        <v>884.199999999997</v>
      </c>
      <c r="I88" s="50" t="n">
        <f aca="false">I77+I78</f>
        <v>2557.08888888889</v>
      </c>
      <c r="J88" s="50" t="n">
        <f aca="false">J77+J78</f>
        <v>2539.11111111111</v>
      </c>
      <c r="K88" s="50" t="n">
        <f aca="false">K77+K78</f>
        <v>2548</v>
      </c>
      <c r="L88" s="50" t="n">
        <f aca="false">L77+L78</f>
        <v>2556.88888888889</v>
      </c>
      <c r="M88" s="50" t="n">
        <f aca="false">M77+M78</f>
        <v>2565.77777777778</v>
      </c>
      <c r="N88" s="50" t="n">
        <f aca="false">N77+N78</f>
        <v>2574.66666666666</v>
      </c>
      <c r="O88" s="50" t="n">
        <f aca="false">O77+O78</f>
        <v>4132.61427555556</v>
      </c>
      <c r="P88" s="50" t="n">
        <f aca="false">P77+P78</f>
        <v>4111.90684444445</v>
      </c>
      <c r="Q88" s="50" t="n">
        <f aca="false">Q77+Q78</f>
        <v>4120.79573333334</v>
      </c>
      <c r="R88" s="50" t="n">
        <f aca="false">R77+R78</f>
        <v>4129.68462222222</v>
      </c>
      <c r="S88" s="50" t="n">
        <f aca="false">S77+S78</f>
        <v>4138.57351111111</v>
      </c>
      <c r="T88" s="50" t="n">
        <f aca="false">T77+T78</f>
        <v>4147.4624</v>
      </c>
      <c r="U88" s="50" t="n">
        <f aca="false">U77+U78</f>
        <v>4156.35128888889</v>
      </c>
      <c r="V88" s="50" t="n">
        <f aca="false">V77+V78</f>
        <v>4165.24017777778</v>
      </c>
      <c r="W88" s="50" t="n">
        <f aca="false">W77+W78</f>
        <v>4174.12906666667</v>
      </c>
      <c r="X88" s="50" t="n">
        <f aca="false">X77+X78</f>
        <v>4183.01795555556</v>
      </c>
      <c r="Y88" s="50" t="n">
        <f aca="false">Y77+Y78</f>
        <v>4191.90684444445</v>
      </c>
      <c r="Z88" s="50" t="n">
        <f aca="false">Z77+Z78</f>
        <v>4200.79573333334</v>
      </c>
      <c r="AA88" s="50" t="n">
        <f aca="false">AA77+AA78</f>
        <v>5193.38585977103</v>
      </c>
      <c r="AB88" s="50" t="n">
        <f aca="false">AB77+AB78</f>
        <v>5058.55340115058</v>
      </c>
      <c r="AC88" s="50" t="n">
        <f aca="false">AC77+AC78</f>
        <v>5065.5756233728</v>
      </c>
      <c r="AD88" s="50" t="n">
        <f aca="false">AD77+AD78</f>
        <v>5072.59784559503</v>
      </c>
      <c r="AE88" s="50" t="n">
        <f aca="false">AE77+AE78</f>
        <v>5079.62006781725</v>
      </c>
      <c r="AF88" s="50" t="n">
        <f aca="false">AF77+AF78</f>
        <v>5086.64229003947</v>
      </c>
      <c r="AG88" s="50" t="n">
        <f aca="false">AG77+AG78</f>
        <v>5093.66451226169</v>
      </c>
      <c r="AH88" s="50" t="n">
        <f aca="false">AH77+AH78</f>
        <v>5100.68673448392</v>
      </c>
      <c r="AI88" s="50" t="n">
        <f aca="false">AI77+AI78</f>
        <v>5107.70895670614</v>
      </c>
      <c r="AJ88" s="50" t="n">
        <f aca="false">AJ77+AJ78</f>
        <v>5114.73117892836</v>
      </c>
      <c r="AK88" s="50" t="n">
        <f aca="false">AK77+AK78</f>
        <v>5121.75340115058</v>
      </c>
      <c r="AL88" s="50" t="n">
        <f aca="false">AL77+AL78</f>
        <v>5128.7756233728</v>
      </c>
    </row>
    <row r="89" customFormat="false" ht="15" hidden="false" customHeight="false" outlineLevel="0" collapsed="false">
      <c r="A89" s="6" t="s">
        <v>227</v>
      </c>
      <c r="C89" s="50" t="n">
        <f aca="false">C88</f>
        <v>-167341.466666667</v>
      </c>
      <c r="D89" s="50" t="n">
        <f aca="false">C89+D88</f>
        <v>-173148.822222222</v>
      </c>
      <c r="E89" s="50" t="n">
        <f aca="false">D89+E88</f>
        <v>-177283.288888889</v>
      </c>
      <c r="F89" s="50" t="n">
        <f aca="false">E89+F88</f>
        <v>-179744.866666667</v>
      </c>
      <c r="G89" s="50" t="n">
        <f aca="false">F89+G88</f>
        <v>-180533.555555556</v>
      </c>
      <c r="H89" s="50" t="n">
        <f aca="false">G89+H88</f>
        <v>-179649.355555556</v>
      </c>
      <c r="I89" s="50" t="n">
        <f aca="false">H89+I88</f>
        <v>-177092.266666667</v>
      </c>
      <c r="J89" s="50" t="n">
        <f aca="false">I89+J88</f>
        <v>-174553.155555556</v>
      </c>
      <c r="K89" s="50" t="n">
        <f aca="false">J89+K88</f>
        <v>-172005.155555556</v>
      </c>
      <c r="L89" s="50" t="n">
        <f aca="false">K89+L88</f>
        <v>-169448.266666667</v>
      </c>
      <c r="M89" s="50" t="n">
        <f aca="false">L89+M88</f>
        <v>-166882.488888889</v>
      </c>
      <c r="N89" s="50" t="n">
        <f aca="false">M89+N88</f>
        <v>-164307.822222222</v>
      </c>
      <c r="O89" s="50" t="n">
        <f aca="false">N89+O88</f>
        <v>-160175.207946667</v>
      </c>
      <c r="P89" s="50" t="n">
        <f aca="false">O89+P88</f>
        <v>-156063.301102222</v>
      </c>
      <c r="Q89" s="50" t="n">
        <f aca="false">P89+Q88</f>
        <v>-151942.505368889</v>
      </c>
      <c r="R89" s="50" t="n">
        <f aca="false">Q89+R88</f>
        <v>-147812.820746667</v>
      </c>
      <c r="S89" s="50" t="n">
        <f aca="false">R89+S88</f>
        <v>-143674.247235556</v>
      </c>
      <c r="T89" s="50" t="n">
        <f aca="false">S89+T88</f>
        <v>-139526.784835556</v>
      </c>
      <c r="U89" s="50" t="n">
        <f aca="false">T89+U88</f>
        <v>-135370.433546667</v>
      </c>
      <c r="V89" s="50" t="n">
        <f aca="false">U89+V88</f>
        <v>-131205.193368889</v>
      </c>
      <c r="W89" s="50" t="n">
        <f aca="false">V89+W88</f>
        <v>-127031.064302222</v>
      </c>
      <c r="X89" s="50" t="n">
        <f aca="false">W89+X88</f>
        <v>-122848.046346667</v>
      </c>
      <c r="Y89" s="50" t="n">
        <f aca="false">X89+Y88</f>
        <v>-118656.139502222</v>
      </c>
      <c r="Z89" s="50" t="n">
        <f aca="false">Y89+Z88</f>
        <v>-114455.343768889</v>
      </c>
      <c r="AA89" s="50" t="n">
        <f aca="false">Z89+AA88</f>
        <v>-109261.957909118</v>
      </c>
      <c r="AB89" s="50" t="n">
        <f aca="false">AA89+AB88</f>
        <v>-104203.404507967</v>
      </c>
      <c r="AC89" s="50" t="n">
        <f aca="false">AB89+AC88</f>
        <v>-99137.8288845945</v>
      </c>
      <c r="AD89" s="50" t="n">
        <f aca="false">AC89+AD88</f>
        <v>-94065.2310389995</v>
      </c>
      <c r="AE89" s="50" t="n">
        <f aca="false">AD89+AE88</f>
        <v>-88985.6109711822</v>
      </c>
      <c r="AF89" s="50" t="n">
        <f aca="false">AE89+AF88</f>
        <v>-83898.9686811427</v>
      </c>
      <c r="AG89" s="50" t="n">
        <f aca="false">AF89+AG88</f>
        <v>-78805.3041688811</v>
      </c>
      <c r="AH89" s="50" t="n">
        <f aca="false">AG89+AH88</f>
        <v>-73704.6174343971</v>
      </c>
      <c r="AI89" s="50" t="n">
        <f aca="false">AH89+AI88</f>
        <v>-68596.908477691</v>
      </c>
      <c r="AJ89" s="50" t="n">
        <f aca="false">AI89+AJ88</f>
        <v>-63482.1772987627</v>
      </c>
      <c r="AK89" s="50" t="n">
        <f aca="false">AJ89+AK88</f>
        <v>-58360.4238976121</v>
      </c>
      <c r="AL89" s="50" t="n">
        <f aca="false">AK89+AL88</f>
        <v>-53231.6482742393</v>
      </c>
    </row>
    <row r="90" customFormat="false" ht="15" hidden="false" customHeight="false" outlineLevel="0" collapsed="false">
      <c r="A90" s="74" t="s">
        <v>228</v>
      </c>
      <c r="C90" s="50" t="n">
        <f aca="false">C89</f>
        <v>-167341.466666667</v>
      </c>
      <c r="D90" s="50" t="n">
        <f aca="false">MIN(C90,D89)</f>
        <v>-173148.822222222</v>
      </c>
      <c r="E90" s="50" t="n">
        <f aca="false">MIN(D90,E89)</f>
        <v>-177283.288888889</v>
      </c>
      <c r="F90" s="50" t="n">
        <f aca="false">MIN(E90,F89)</f>
        <v>-179744.866666667</v>
      </c>
      <c r="G90" s="50" t="n">
        <f aca="false">MIN(F90,G89)</f>
        <v>-180533.555555556</v>
      </c>
      <c r="H90" s="50" t="n">
        <f aca="false">MIN(G90,H89)</f>
        <v>-180533.555555556</v>
      </c>
      <c r="I90" s="50" t="n">
        <f aca="false">MIN(H90,I89)</f>
        <v>-180533.555555556</v>
      </c>
      <c r="J90" s="50" t="n">
        <f aca="false">MIN(I90,J89)</f>
        <v>-180533.555555556</v>
      </c>
      <c r="K90" s="50" t="n">
        <f aca="false">MIN(J90,K89)</f>
        <v>-180533.555555556</v>
      </c>
      <c r="L90" s="50" t="n">
        <f aca="false">MIN(K90,L89)</f>
        <v>-180533.555555556</v>
      </c>
      <c r="M90" s="50" t="n">
        <f aca="false">MIN(L90,M89)</f>
        <v>-180533.555555556</v>
      </c>
      <c r="N90" s="50" t="n">
        <f aca="false">MIN(M90,N89)</f>
        <v>-180533.555555556</v>
      </c>
      <c r="O90" s="50" t="n">
        <f aca="false">MIN(N90,O89)</f>
        <v>-180533.555555556</v>
      </c>
      <c r="P90" s="50" t="n">
        <f aca="false">MIN(O90,P89)</f>
        <v>-180533.555555556</v>
      </c>
      <c r="Q90" s="50" t="n">
        <f aca="false">MIN(P90,Q89)</f>
        <v>-180533.555555556</v>
      </c>
      <c r="R90" s="50" t="n">
        <f aca="false">MIN(Q90,R89)</f>
        <v>-180533.555555556</v>
      </c>
      <c r="S90" s="50" t="n">
        <f aca="false">MIN(R90,S89)</f>
        <v>-180533.555555556</v>
      </c>
      <c r="T90" s="50" t="n">
        <f aca="false">MIN(S90,T89)</f>
        <v>-180533.555555556</v>
      </c>
      <c r="U90" s="50" t="n">
        <f aca="false">MIN(T90,U89)</f>
        <v>-180533.555555556</v>
      </c>
      <c r="V90" s="50" t="n">
        <f aca="false">MIN(U90,V89)</f>
        <v>-180533.555555556</v>
      </c>
      <c r="W90" s="50" t="n">
        <f aca="false">MIN(V90,W89)</f>
        <v>-180533.555555556</v>
      </c>
      <c r="X90" s="50" t="n">
        <f aca="false">MIN(W90,X89)</f>
        <v>-180533.555555556</v>
      </c>
      <c r="Y90" s="50" t="n">
        <f aca="false">MIN(X90,Y89)</f>
        <v>-180533.555555556</v>
      </c>
      <c r="Z90" s="50" t="n">
        <f aca="false">MIN(Y90,Z89)</f>
        <v>-180533.555555556</v>
      </c>
      <c r="AA90" s="50" t="n">
        <f aca="false">MIN(Z90,AA89)</f>
        <v>-180533.555555556</v>
      </c>
      <c r="AB90" s="50" t="n">
        <f aca="false">MIN(AA90,AB89)</f>
        <v>-180533.555555556</v>
      </c>
      <c r="AC90" s="50" t="n">
        <f aca="false">MIN(AB90,AC89)</f>
        <v>-180533.555555556</v>
      </c>
      <c r="AD90" s="50" t="n">
        <f aca="false">MIN(AC90,AD89)</f>
        <v>-180533.555555556</v>
      </c>
      <c r="AE90" s="50" t="n">
        <f aca="false">MIN(AD90,AE89)</f>
        <v>-180533.555555556</v>
      </c>
      <c r="AF90" s="50" t="n">
        <f aca="false">MIN(AE90,AF89)</f>
        <v>-180533.555555556</v>
      </c>
      <c r="AG90" s="50" t="n">
        <f aca="false">MIN(AF90,AG89)</f>
        <v>-180533.555555556</v>
      </c>
      <c r="AH90" s="50" t="n">
        <f aca="false">MIN(AG90,AH89)</f>
        <v>-180533.555555556</v>
      </c>
      <c r="AI90" s="50" t="n">
        <f aca="false">MIN(AH90,AI89)</f>
        <v>-180533.555555556</v>
      </c>
      <c r="AJ90" s="50" t="n">
        <f aca="false">MIN(AI90,AJ89)</f>
        <v>-180533.555555556</v>
      </c>
      <c r="AK90" s="50" t="n">
        <f aca="false">MIN(AJ90,AK89)</f>
        <v>-180533.555555556</v>
      </c>
      <c r="AL90" s="50" t="n">
        <f aca="false">MIN(AK90,AL89)</f>
        <v>-180533.555555556</v>
      </c>
    </row>
    <row r="91" customFormat="false" ht="15" hidden="false" customHeight="false" outlineLevel="0" collapsed="false">
      <c r="A91" s="74" t="s">
        <v>229</v>
      </c>
      <c r="C91" s="73" t="n">
        <f aca="false">IF(AND(C89&gt;=0,C90&lt;0),1,0)</f>
        <v>0</v>
      </c>
      <c r="D91" s="73" t="n">
        <f aca="false">IF(AND(D89&gt;=0,D90&lt;0),1,0)</f>
        <v>0</v>
      </c>
      <c r="E91" s="73" t="n">
        <f aca="false">IF(AND(E89&gt;=0,E90&lt;0),1,0)</f>
        <v>0</v>
      </c>
      <c r="F91" s="73" t="n">
        <f aca="false">IF(AND(F89&gt;=0,F90&lt;0),1,0)</f>
        <v>0</v>
      </c>
      <c r="G91" s="73" t="n">
        <f aca="false">IF(AND(G89&gt;=0,G90&lt;0),1,0)</f>
        <v>0</v>
      </c>
      <c r="H91" s="73" t="n">
        <f aca="false">IF(AND(H89&gt;=0,H90&lt;0),1,0)</f>
        <v>0</v>
      </c>
      <c r="I91" s="73" t="n">
        <f aca="false">IF(AND(I89&gt;=0,I90&lt;0),1,0)</f>
        <v>0</v>
      </c>
      <c r="J91" s="73" t="n">
        <f aca="false">IF(AND(J89&gt;=0,J90&lt;0),1,0)</f>
        <v>0</v>
      </c>
      <c r="K91" s="73" t="n">
        <f aca="false">IF(AND(K89&gt;=0,K90&lt;0),1,0)</f>
        <v>0</v>
      </c>
      <c r="L91" s="73" t="n">
        <f aca="false">IF(AND(L89&gt;=0,L90&lt;0),1,0)</f>
        <v>0</v>
      </c>
      <c r="M91" s="73" t="n">
        <f aca="false">IF(AND(M89&gt;=0,M90&lt;0),1,0)</f>
        <v>0</v>
      </c>
      <c r="N91" s="73" t="n">
        <f aca="false">IF(AND(N89&gt;=0,N90&lt;0),1,0)</f>
        <v>0</v>
      </c>
      <c r="O91" s="73" t="n">
        <f aca="false">IF(AND(O89&gt;=0,O90&lt;0),1,0)</f>
        <v>0</v>
      </c>
      <c r="P91" s="73" t="n">
        <f aca="false">IF(AND(P89&gt;=0,P90&lt;0),1,0)</f>
        <v>0</v>
      </c>
      <c r="Q91" s="73" t="n">
        <f aca="false">IF(AND(Q89&gt;=0,Q90&lt;0),1,0)</f>
        <v>0</v>
      </c>
      <c r="R91" s="73" t="n">
        <f aca="false">IF(AND(R89&gt;=0,R90&lt;0),1,0)</f>
        <v>0</v>
      </c>
      <c r="S91" s="73" t="n">
        <f aca="false">IF(AND(S89&gt;=0,S90&lt;0),1,0)</f>
        <v>0</v>
      </c>
      <c r="T91" s="73" t="n">
        <f aca="false">IF(AND(T89&gt;=0,T90&lt;0),1,0)</f>
        <v>0</v>
      </c>
      <c r="U91" s="73" t="n">
        <f aca="false">IF(AND(U89&gt;=0,U90&lt;0),1,0)</f>
        <v>0</v>
      </c>
      <c r="V91" s="73" t="n">
        <f aca="false">IF(AND(V89&gt;=0,V90&lt;0),1,0)</f>
        <v>0</v>
      </c>
      <c r="W91" s="73" t="n">
        <f aca="false">IF(AND(W89&gt;=0,W90&lt;0),1,0)</f>
        <v>0</v>
      </c>
      <c r="X91" s="73" t="n">
        <f aca="false">IF(AND(X89&gt;=0,X90&lt;0),1,0)</f>
        <v>0</v>
      </c>
      <c r="Y91" s="73" t="n">
        <f aca="false">IF(AND(Y89&gt;=0,Y90&lt;0),1,0)</f>
        <v>0</v>
      </c>
      <c r="Z91" s="73" t="n">
        <f aca="false">IF(AND(Z89&gt;=0,Z90&lt;0),1,0)</f>
        <v>0</v>
      </c>
      <c r="AA91" s="73" t="n">
        <f aca="false">IF(AND(AA89&gt;=0,AA90&lt;0),1,0)</f>
        <v>0</v>
      </c>
      <c r="AB91" s="73" t="n">
        <f aca="false">IF(AND(AB89&gt;=0,AB90&lt;0),1,0)</f>
        <v>0</v>
      </c>
      <c r="AC91" s="73" t="n">
        <f aca="false">IF(AND(AC89&gt;=0,AC90&lt;0),1,0)</f>
        <v>0</v>
      </c>
      <c r="AD91" s="73" t="n">
        <f aca="false">IF(AND(AD89&gt;=0,AD90&lt;0),1,0)</f>
        <v>0</v>
      </c>
      <c r="AE91" s="73" t="n">
        <f aca="false">IF(AND(AE89&gt;=0,AE90&lt;0),1,0)</f>
        <v>0</v>
      </c>
      <c r="AF91" s="73" t="n">
        <f aca="false">IF(AND(AF89&gt;=0,AF90&lt;0),1,0)</f>
        <v>0</v>
      </c>
      <c r="AG91" s="73" t="n">
        <f aca="false">IF(AND(AG89&gt;=0,AG90&lt;0),1,0)</f>
        <v>0</v>
      </c>
      <c r="AH91" s="73" t="n">
        <f aca="false">IF(AND(AH89&gt;=0,AH90&lt;0),1,0)</f>
        <v>0</v>
      </c>
      <c r="AI91" s="73" t="n">
        <f aca="false">IF(AND(AI89&gt;=0,AI90&lt;0),1,0)</f>
        <v>0</v>
      </c>
      <c r="AJ91" s="73" t="n">
        <f aca="false">IF(AND(AJ89&gt;=0,AJ90&lt;0),1,0)</f>
        <v>0</v>
      </c>
      <c r="AK91" s="73" t="n">
        <f aca="false">IF(AND(AK89&gt;=0,AK90&lt;0),1,0)</f>
        <v>0</v>
      </c>
      <c r="AL91" s="73" t="n">
        <f aca="false">IF(AND(AL89&gt;=0,AL90&lt;0),1,0)</f>
        <v>0</v>
      </c>
    </row>
    <row r="93" customFormat="false" ht="15.75" hidden="false" customHeight="true" outlineLevel="0" collapsed="false">
      <c r="A93" s="7" t="s">
        <v>230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6" t="s">
        <v>231</v>
      </c>
      <c r="C94" s="72" t="n">
        <f aca="false">Inputs!$E$21*(1+Inputs!$E$23)^(C$27-1)*MAX(0,MIN(1,C$26*1-Inputs!$E$24+1))/1</f>
        <v>3.5</v>
      </c>
      <c r="D94" s="72" t="n">
        <f aca="false">Inputs!$E$21*(1+Inputs!$E$23)^(D$27-1)*MAX(0,MIN(1,D$26*1-Inputs!$E$24+1))/1</f>
        <v>3.5</v>
      </c>
      <c r="E94" s="72" t="n">
        <f aca="false">Inputs!$E$21*(1+Inputs!$E$23)^(E$27-1)*MAX(0,MIN(1,E$26*1-Inputs!$E$24+1))/1</f>
        <v>3.5</v>
      </c>
      <c r="F94" s="72" t="n">
        <f aca="false">Inputs!$E$21*(1+Inputs!$E$23)^(F$27-1)*MAX(0,MIN(1,F$26*1-Inputs!$E$24+1))/1</f>
        <v>3.5</v>
      </c>
      <c r="G94" s="72" t="n">
        <f aca="false">Inputs!$E$21*(1+Inputs!$E$23)^(G$27-1)*MAX(0,MIN(1,G$26*1-Inputs!$E$24+1))/1</f>
        <v>3.5</v>
      </c>
      <c r="H94" s="72" t="n">
        <f aca="false">Inputs!$E$21*(1+Inputs!$E$23)^(H$27-1)*MAX(0,MIN(1,H$26*1-Inputs!$E$24+1))/1</f>
        <v>3.5</v>
      </c>
      <c r="I94" s="72" t="n">
        <f aca="false">Inputs!$E$21*(1+Inputs!$E$23)^(I$27-1)*MAX(0,MIN(1,I$26*1-Inputs!$E$24+1))/1</f>
        <v>3.5</v>
      </c>
      <c r="J94" s="72" t="n">
        <f aca="false">Inputs!$E$21*(1+Inputs!$E$23)^(J$27-1)*MAX(0,MIN(1,J$26*1-Inputs!$E$24+1))/1</f>
        <v>3.5</v>
      </c>
      <c r="K94" s="72" t="n">
        <f aca="false">Inputs!$E$21*(1+Inputs!$E$23)^(K$27-1)*MAX(0,MIN(1,K$26*1-Inputs!$E$24+1))/1</f>
        <v>3.5</v>
      </c>
      <c r="L94" s="72" t="n">
        <f aca="false">Inputs!$E$21*(1+Inputs!$E$23)^(L$27-1)*MAX(0,MIN(1,L$26*1-Inputs!$E$24+1))/1</f>
        <v>3.5</v>
      </c>
      <c r="M94" s="72" t="n">
        <f aca="false">Inputs!$E$21*(1+Inputs!$E$23)^(M$27-1)*MAX(0,MIN(1,M$26*1-Inputs!$E$24+1))/1</f>
        <v>3.5</v>
      </c>
      <c r="N94" s="72" t="n">
        <f aca="false">Inputs!$E$21*(1+Inputs!$E$23)^(N$27-1)*MAX(0,MIN(1,N$26*1-Inputs!$E$24+1))/1</f>
        <v>3.5</v>
      </c>
      <c r="O94" s="72" t="n">
        <f aca="false">Inputs!$E$21*(1+Inputs!$E$23)^(O$27-1)*MAX(0,MIN(1,O$26*1-Inputs!$E$24+1))/1</f>
        <v>3.5</v>
      </c>
      <c r="P94" s="72" t="n">
        <f aca="false">Inputs!$E$21*(1+Inputs!$E$23)^(P$27-1)*MAX(0,MIN(1,P$26*1-Inputs!$E$24+1))/1</f>
        <v>3.5</v>
      </c>
      <c r="Q94" s="72" t="n">
        <f aca="false">Inputs!$E$21*(1+Inputs!$E$23)^(Q$27-1)*MAX(0,MIN(1,Q$26*1-Inputs!$E$24+1))/1</f>
        <v>3.5</v>
      </c>
      <c r="R94" s="72" t="n">
        <f aca="false">Inputs!$E$21*(1+Inputs!$E$23)^(R$27-1)*MAX(0,MIN(1,R$26*1-Inputs!$E$24+1))/1</f>
        <v>3.5</v>
      </c>
      <c r="S94" s="72" t="n">
        <f aca="false">Inputs!$E$21*(1+Inputs!$E$23)^(S$27-1)*MAX(0,MIN(1,S$26*1-Inputs!$E$24+1))/1</f>
        <v>3.5</v>
      </c>
      <c r="T94" s="72" t="n">
        <f aca="false">Inputs!$E$21*(1+Inputs!$E$23)^(T$27-1)*MAX(0,MIN(1,T$26*1-Inputs!$E$24+1))/1</f>
        <v>3.5</v>
      </c>
      <c r="U94" s="72" t="n">
        <f aca="false">Inputs!$E$21*(1+Inputs!$E$23)^(U$27-1)*MAX(0,MIN(1,U$26*1-Inputs!$E$24+1))/1</f>
        <v>3.5</v>
      </c>
      <c r="V94" s="72" t="n">
        <f aca="false">Inputs!$E$21*(1+Inputs!$E$23)^(V$27-1)*MAX(0,MIN(1,V$26*1-Inputs!$E$24+1))/1</f>
        <v>3.5</v>
      </c>
      <c r="W94" s="72" t="n">
        <f aca="false">Inputs!$E$21*(1+Inputs!$E$23)^(W$27-1)*MAX(0,MIN(1,W$26*1-Inputs!$E$24+1))/1</f>
        <v>3.5</v>
      </c>
      <c r="X94" s="72" t="n">
        <f aca="false">Inputs!$E$21*(1+Inputs!$E$23)^(X$27-1)*MAX(0,MIN(1,X$26*1-Inputs!$E$24+1))/1</f>
        <v>3.5</v>
      </c>
      <c r="Y94" s="72" t="n">
        <f aca="false">Inputs!$E$21*(1+Inputs!$E$23)^(Y$27-1)*MAX(0,MIN(1,Y$26*1-Inputs!$E$24+1))/1</f>
        <v>3.5</v>
      </c>
      <c r="Z94" s="72" t="n">
        <f aca="false">Inputs!$E$21*(1+Inputs!$E$23)^(Z$27-1)*MAX(0,MIN(1,Z$26*1-Inputs!$E$24+1))/1</f>
        <v>3.5</v>
      </c>
      <c r="AA94" s="72" t="n">
        <f aca="false">Inputs!$E$21*(1+Inputs!$E$23)^(AA$27-1)*MAX(0,MIN(1,AA$26*1-Inputs!$E$24+1))/1</f>
        <v>3.5</v>
      </c>
      <c r="AB94" s="72" t="n">
        <f aca="false">Inputs!$E$21*(1+Inputs!$E$23)^(AB$27-1)*MAX(0,MIN(1,AB$26*1-Inputs!$E$24+1))/1</f>
        <v>3.5</v>
      </c>
      <c r="AC94" s="72" t="n">
        <f aca="false">Inputs!$E$21*(1+Inputs!$E$23)^(AC$27-1)*MAX(0,MIN(1,AC$26*1-Inputs!$E$24+1))/1</f>
        <v>3.5</v>
      </c>
      <c r="AD94" s="72" t="n">
        <f aca="false">Inputs!$E$21*(1+Inputs!$E$23)^(AD$27-1)*MAX(0,MIN(1,AD$26*1-Inputs!$E$24+1))/1</f>
        <v>3.5</v>
      </c>
      <c r="AE94" s="72" t="n">
        <f aca="false">Inputs!$E$21*(1+Inputs!$E$23)^(AE$27-1)*MAX(0,MIN(1,AE$26*1-Inputs!$E$24+1))/1</f>
        <v>3.5</v>
      </c>
      <c r="AF94" s="72" t="n">
        <f aca="false">Inputs!$E$21*(1+Inputs!$E$23)^(AF$27-1)*MAX(0,MIN(1,AF$26*1-Inputs!$E$24+1))/1</f>
        <v>3.5</v>
      </c>
      <c r="AG94" s="72" t="n">
        <f aca="false">Inputs!$E$21*(1+Inputs!$E$23)^(AG$27-1)*MAX(0,MIN(1,AG$26*1-Inputs!$E$24+1))/1</f>
        <v>3.5</v>
      </c>
      <c r="AH94" s="72" t="n">
        <f aca="false">Inputs!$E$21*(1+Inputs!$E$23)^(AH$27-1)*MAX(0,MIN(1,AH$26*1-Inputs!$E$24+1))/1</f>
        <v>3.5</v>
      </c>
      <c r="AI94" s="72" t="n">
        <f aca="false">Inputs!$E$21*(1+Inputs!$E$23)^(AI$27-1)*MAX(0,MIN(1,AI$26*1-Inputs!$E$24+1))/1</f>
        <v>3.5</v>
      </c>
      <c r="AJ94" s="72" t="n">
        <f aca="false">Inputs!$E$21*(1+Inputs!$E$23)^(AJ$27-1)*MAX(0,MIN(1,AJ$26*1-Inputs!$E$24+1))/1</f>
        <v>3.5</v>
      </c>
      <c r="AK94" s="72" t="n">
        <f aca="false">Inputs!$E$21*(1+Inputs!$E$23)^(AK$27-1)*MAX(0,MIN(1,AK$26*1-Inputs!$E$24+1))/1</f>
        <v>3.5</v>
      </c>
      <c r="AL94" s="72" t="n">
        <f aca="false">Inputs!$E$21*(1+Inputs!$E$23)^(AL$27-1)*MAX(0,MIN(1,AL$26*1-Inputs!$E$24+1))/1</f>
        <v>3.5</v>
      </c>
    </row>
    <row r="95" customFormat="false" ht="15" hidden="false" customHeight="false" outlineLevel="0" collapsed="false">
      <c r="A95" s="69" t="s">
        <v>232</v>
      </c>
      <c r="C95" s="75" t="n">
        <f aca="false">C94</f>
        <v>3.5</v>
      </c>
      <c r="D95" s="75" t="n">
        <f aca="false">D94</f>
        <v>3.5</v>
      </c>
      <c r="E95" s="75" t="n">
        <f aca="false">E94</f>
        <v>3.5</v>
      </c>
      <c r="F95" s="75" t="n">
        <f aca="false">F94</f>
        <v>3.5</v>
      </c>
      <c r="G95" s="75" t="n">
        <f aca="false">G94</f>
        <v>3.5</v>
      </c>
      <c r="H95" s="75" t="n">
        <f aca="false">H94</f>
        <v>3.5</v>
      </c>
      <c r="I95" s="75" t="n">
        <f aca="false">I94</f>
        <v>3.5</v>
      </c>
      <c r="J95" s="75" t="n">
        <f aca="false">J94</f>
        <v>3.5</v>
      </c>
      <c r="K95" s="75" t="n">
        <f aca="false">K94</f>
        <v>3.5</v>
      </c>
      <c r="L95" s="75" t="n">
        <f aca="false">L94</f>
        <v>3.5</v>
      </c>
      <c r="M95" s="75" t="n">
        <f aca="false">M94</f>
        <v>3.5</v>
      </c>
      <c r="N95" s="75" t="n">
        <f aca="false">N94</f>
        <v>3.5</v>
      </c>
      <c r="O95" s="75" t="n">
        <f aca="false">O94</f>
        <v>3.5</v>
      </c>
      <c r="P95" s="75" t="n">
        <f aca="false">P94</f>
        <v>3.5</v>
      </c>
      <c r="Q95" s="75" t="n">
        <f aca="false">Q94</f>
        <v>3.5</v>
      </c>
      <c r="R95" s="75" t="n">
        <f aca="false">R94</f>
        <v>3.5</v>
      </c>
      <c r="S95" s="75" t="n">
        <f aca="false">S94</f>
        <v>3.5</v>
      </c>
      <c r="T95" s="75" t="n">
        <f aca="false">T94</f>
        <v>3.5</v>
      </c>
      <c r="U95" s="75" t="n">
        <f aca="false">U94</f>
        <v>3.5</v>
      </c>
      <c r="V95" s="75" t="n">
        <f aca="false">V94</f>
        <v>3.5</v>
      </c>
      <c r="W95" s="75" t="n">
        <f aca="false">W94</f>
        <v>3.5</v>
      </c>
      <c r="X95" s="75" t="n">
        <f aca="false">X94</f>
        <v>3.5</v>
      </c>
      <c r="Y95" s="75" t="n">
        <f aca="false">Y94</f>
        <v>3.5</v>
      </c>
      <c r="Z95" s="75" t="n">
        <f aca="false">Z94</f>
        <v>3.5</v>
      </c>
      <c r="AA95" s="75" t="n">
        <f aca="false">AA94</f>
        <v>3.5</v>
      </c>
      <c r="AB95" s="75" t="n">
        <f aca="false">AB94</f>
        <v>3.5</v>
      </c>
      <c r="AC95" s="75" t="n">
        <f aca="false">AC94</f>
        <v>3.5</v>
      </c>
      <c r="AD95" s="75" t="n">
        <f aca="false">AD94</f>
        <v>3.5</v>
      </c>
      <c r="AE95" s="75" t="n">
        <f aca="false">AE94</f>
        <v>3.5</v>
      </c>
      <c r="AF95" s="75" t="n">
        <f aca="false">AF94</f>
        <v>3.5</v>
      </c>
      <c r="AG95" s="75" t="n">
        <f aca="false">AG94</f>
        <v>3.5</v>
      </c>
      <c r="AH95" s="75" t="n">
        <f aca="false">AH94</f>
        <v>3.5</v>
      </c>
      <c r="AI95" s="75" t="n">
        <f aca="false">AI94</f>
        <v>3.5</v>
      </c>
      <c r="AJ95" s="75" t="n">
        <f aca="false">AJ94</f>
        <v>3.5</v>
      </c>
      <c r="AK95" s="75" t="n">
        <f aca="false">AK94</f>
        <v>3.5</v>
      </c>
      <c r="AL95" s="75" t="n">
        <f aca="false">AL94</f>
        <v>3.5</v>
      </c>
    </row>
    <row r="97" customFormat="false" ht="15.75" hidden="false" customHeight="true" outlineLevel="0" collapsed="false">
      <c r="A97" s="7" t="s">
        <v>233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customFormat="false" ht="15" hidden="false" customHeight="false" outlineLevel="0" collapsed="false">
      <c r="A98" s="6" t="s">
        <v>234</v>
      </c>
      <c r="C98" s="50" t="n">
        <f aca="false">-C94*Inputs!$E$22/12*1*(1+Inputs!$E$25)*(1+Inputs!$E$26)^(C$27-1)</f>
        <v>-10453.3333333333</v>
      </c>
      <c r="D98" s="50" t="n">
        <f aca="false">-D94*Inputs!$E$22/12*1*(1+Inputs!$E$25)*(1+Inputs!$E$26)^(D$27-1)</f>
        <v>-10453.3333333333</v>
      </c>
      <c r="E98" s="50" t="n">
        <f aca="false">-E94*Inputs!$E$22/12*1*(1+Inputs!$E$25)*(1+Inputs!$E$26)^(E$27-1)</f>
        <v>-10453.3333333333</v>
      </c>
      <c r="F98" s="50" t="n">
        <f aca="false">-F94*Inputs!$E$22/12*1*(1+Inputs!$E$25)*(1+Inputs!$E$26)^(F$27-1)</f>
        <v>-10453.3333333333</v>
      </c>
      <c r="G98" s="50" t="n">
        <f aca="false">-G94*Inputs!$E$22/12*1*(1+Inputs!$E$25)*(1+Inputs!$E$26)^(G$27-1)</f>
        <v>-10453.3333333333</v>
      </c>
      <c r="H98" s="50" t="n">
        <f aca="false">-H94*Inputs!$E$22/12*1*(1+Inputs!$E$25)*(1+Inputs!$E$26)^(H$27-1)</f>
        <v>-10453.3333333333</v>
      </c>
      <c r="I98" s="50" t="n">
        <f aca="false">-I94*Inputs!$E$22/12*1*(1+Inputs!$E$25)*(1+Inputs!$E$26)^(I$27-1)</f>
        <v>-10453.3333333333</v>
      </c>
      <c r="J98" s="50" t="n">
        <f aca="false">-J94*Inputs!$E$22/12*1*(1+Inputs!$E$25)*(1+Inputs!$E$26)^(J$27-1)</f>
        <v>-10453.3333333333</v>
      </c>
      <c r="K98" s="50" t="n">
        <f aca="false">-K94*Inputs!$E$22/12*1*(1+Inputs!$E$25)*(1+Inputs!$E$26)^(K$27-1)</f>
        <v>-10453.3333333333</v>
      </c>
      <c r="L98" s="50" t="n">
        <f aca="false">-L94*Inputs!$E$22/12*1*(1+Inputs!$E$25)*(1+Inputs!$E$26)^(L$27-1)</f>
        <v>-10453.3333333333</v>
      </c>
      <c r="M98" s="50" t="n">
        <f aca="false">-M94*Inputs!$E$22/12*1*(1+Inputs!$E$25)*(1+Inputs!$E$26)^(M$27-1)</f>
        <v>-10453.3333333333</v>
      </c>
      <c r="N98" s="50" t="n">
        <f aca="false">-N94*Inputs!$E$22/12*1*(1+Inputs!$E$25)*(1+Inputs!$E$26)^(N$27-1)</f>
        <v>-10453.3333333333</v>
      </c>
      <c r="O98" s="50" t="n">
        <f aca="false">-O94*Inputs!$E$22/12*1*(1+Inputs!$E$25)*(1+Inputs!$E$26)^(O$27-1)</f>
        <v>-10766.9333333333</v>
      </c>
      <c r="P98" s="50" t="n">
        <f aca="false">-P94*Inputs!$E$22/12*1*(1+Inputs!$E$25)*(1+Inputs!$E$26)^(P$27-1)</f>
        <v>-10766.9333333333</v>
      </c>
      <c r="Q98" s="50" t="n">
        <f aca="false">-Q94*Inputs!$E$22/12*1*(1+Inputs!$E$25)*(1+Inputs!$E$26)^(Q$27-1)</f>
        <v>-10766.9333333333</v>
      </c>
      <c r="R98" s="50" t="n">
        <f aca="false">-R94*Inputs!$E$22/12*1*(1+Inputs!$E$25)*(1+Inputs!$E$26)^(R$27-1)</f>
        <v>-10766.9333333333</v>
      </c>
      <c r="S98" s="50" t="n">
        <f aca="false">-S94*Inputs!$E$22/12*1*(1+Inputs!$E$25)*(1+Inputs!$E$26)^(S$27-1)</f>
        <v>-10766.9333333333</v>
      </c>
      <c r="T98" s="50" t="n">
        <f aca="false">-T94*Inputs!$E$22/12*1*(1+Inputs!$E$25)*(1+Inputs!$E$26)^(T$27-1)</f>
        <v>-10766.9333333333</v>
      </c>
      <c r="U98" s="50" t="n">
        <f aca="false">-U94*Inputs!$E$22/12*1*(1+Inputs!$E$25)*(1+Inputs!$E$26)^(U$27-1)</f>
        <v>-10766.9333333333</v>
      </c>
      <c r="V98" s="50" t="n">
        <f aca="false">-V94*Inputs!$E$22/12*1*(1+Inputs!$E$25)*(1+Inputs!$E$26)^(V$27-1)</f>
        <v>-10766.9333333333</v>
      </c>
      <c r="W98" s="50" t="n">
        <f aca="false">-W94*Inputs!$E$22/12*1*(1+Inputs!$E$25)*(1+Inputs!$E$26)^(W$27-1)</f>
        <v>-10766.9333333333</v>
      </c>
      <c r="X98" s="50" t="n">
        <f aca="false">-X94*Inputs!$E$22/12*1*(1+Inputs!$E$25)*(1+Inputs!$E$26)^(X$27-1)</f>
        <v>-10766.9333333333</v>
      </c>
      <c r="Y98" s="50" t="n">
        <f aca="false">-Y94*Inputs!$E$22/12*1*(1+Inputs!$E$25)*(1+Inputs!$E$26)^(Y$27-1)</f>
        <v>-10766.9333333333</v>
      </c>
      <c r="Z98" s="50" t="n">
        <f aca="false">-Z94*Inputs!$E$22/12*1*(1+Inputs!$E$25)*(1+Inputs!$E$26)^(Z$27-1)</f>
        <v>-10766.9333333333</v>
      </c>
      <c r="AA98" s="50" t="n">
        <f aca="false">-AA94*Inputs!$E$22/12*1*(1+Inputs!$E$25)*(1+Inputs!$E$26)^(AA$27-1)</f>
        <v>-11089.9413333333</v>
      </c>
      <c r="AB98" s="50" t="n">
        <f aca="false">-AB94*Inputs!$E$22/12*1*(1+Inputs!$E$25)*(1+Inputs!$E$26)^(AB$27-1)</f>
        <v>-11089.9413333333</v>
      </c>
      <c r="AC98" s="50" t="n">
        <f aca="false">-AC94*Inputs!$E$22/12*1*(1+Inputs!$E$25)*(1+Inputs!$E$26)^(AC$27-1)</f>
        <v>-11089.9413333333</v>
      </c>
      <c r="AD98" s="50" t="n">
        <f aca="false">-AD94*Inputs!$E$22/12*1*(1+Inputs!$E$25)*(1+Inputs!$E$26)^(AD$27-1)</f>
        <v>-11089.9413333333</v>
      </c>
      <c r="AE98" s="50" t="n">
        <f aca="false">-AE94*Inputs!$E$22/12*1*(1+Inputs!$E$25)*(1+Inputs!$E$26)^(AE$27-1)</f>
        <v>-11089.9413333333</v>
      </c>
      <c r="AF98" s="50" t="n">
        <f aca="false">-AF94*Inputs!$E$22/12*1*(1+Inputs!$E$25)*(1+Inputs!$E$26)^(AF$27-1)</f>
        <v>-11089.9413333333</v>
      </c>
      <c r="AG98" s="50" t="n">
        <f aca="false">-AG94*Inputs!$E$22/12*1*(1+Inputs!$E$25)*(1+Inputs!$E$26)^(AG$27-1)</f>
        <v>-11089.9413333333</v>
      </c>
      <c r="AH98" s="50" t="n">
        <f aca="false">-AH94*Inputs!$E$22/12*1*(1+Inputs!$E$25)*(1+Inputs!$E$26)^(AH$27-1)</f>
        <v>-11089.9413333333</v>
      </c>
      <c r="AI98" s="50" t="n">
        <f aca="false">-AI94*Inputs!$E$22/12*1*(1+Inputs!$E$25)*(1+Inputs!$E$26)^(AI$27-1)</f>
        <v>-11089.9413333333</v>
      </c>
      <c r="AJ98" s="50" t="n">
        <f aca="false">-AJ94*Inputs!$E$22/12*1*(1+Inputs!$E$25)*(1+Inputs!$E$26)^(AJ$27-1)</f>
        <v>-11089.9413333333</v>
      </c>
      <c r="AK98" s="50" t="n">
        <f aca="false">-AK94*Inputs!$E$22/12*1*(1+Inputs!$E$25)*(1+Inputs!$E$26)^(AK$27-1)</f>
        <v>-11089.9413333333</v>
      </c>
      <c r="AL98" s="50" t="n">
        <f aca="false">-AL94*Inputs!$E$22/12*1*(1+Inputs!$E$25)*(1+Inputs!$E$26)^(AL$27-1)</f>
        <v>-11089.9413333333</v>
      </c>
    </row>
    <row r="99" customFormat="false" ht="15" hidden="false" customHeight="false" outlineLevel="0" collapsed="false">
      <c r="A99" s="69" t="s">
        <v>235</v>
      </c>
      <c r="C99" s="51" t="n">
        <f aca="false">C98</f>
        <v>-10453.3333333333</v>
      </c>
      <c r="D99" s="51" t="n">
        <f aca="false">D98</f>
        <v>-10453.3333333333</v>
      </c>
      <c r="E99" s="51" t="n">
        <f aca="false">E98</f>
        <v>-10453.3333333333</v>
      </c>
      <c r="F99" s="51" t="n">
        <f aca="false">F98</f>
        <v>-10453.3333333333</v>
      </c>
      <c r="G99" s="51" t="n">
        <f aca="false">G98</f>
        <v>-10453.3333333333</v>
      </c>
      <c r="H99" s="51" t="n">
        <f aca="false">H98</f>
        <v>-10453.3333333333</v>
      </c>
      <c r="I99" s="51" t="n">
        <f aca="false">I98</f>
        <v>-10453.3333333333</v>
      </c>
      <c r="J99" s="51" t="n">
        <f aca="false">J98</f>
        <v>-10453.3333333333</v>
      </c>
      <c r="K99" s="51" t="n">
        <f aca="false">K98</f>
        <v>-10453.3333333333</v>
      </c>
      <c r="L99" s="51" t="n">
        <f aca="false">L98</f>
        <v>-10453.3333333333</v>
      </c>
      <c r="M99" s="51" t="n">
        <f aca="false">M98</f>
        <v>-10453.3333333333</v>
      </c>
      <c r="N99" s="51" t="n">
        <f aca="false">N98</f>
        <v>-10453.3333333333</v>
      </c>
      <c r="O99" s="51" t="n">
        <f aca="false">O98</f>
        <v>-10766.9333333333</v>
      </c>
      <c r="P99" s="51" t="n">
        <f aca="false">P98</f>
        <v>-10766.9333333333</v>
      </c>
      <c r="Q99" s="51" t="n">
        <f aca="false">Q98</f>
        <v>-10766.9333333333</v>
      </c>
      <c r="R99" s="51" t="n">
        <f aca="false">R98</f>
        <v>-10766.9333333333</v>
      </c>
      <c r="S99" s="51" t="n">
        <f aca="false">S98</f>
        <v>-10766.9333333333</v>
      </c>
      <c r="T99" s="51" t="n">
        <f aca="false">T98</f>
        <v>-10766.9333333333</v>
      </c>
      <c r="U99" s="51" t="n">
        <f aca="false">U98</f>
        <v>-10766.9333333333</v>
      </c>
      <c r="V99" s="51" t="n">
        <f aca="false">V98</f>
        <v>-10766.9333333333</v>
      </c>
      <c r="W99" s="51" t="n">
        <f aca="false">W98</f>
        <v>-10766.9333333333</v>
      </c>
      <c r="X99" s="51" t="n">
        <f aca="false">X98</f>
        <v>-10766.9333333333</v>
      </c>
      <c r="Y99" s="51" t="n">
        <f aca="false">Y98</f>
        <v>-10766.9333333333</v>
      </c>
      <c r="Z99" s="51" t="n">
        <f aca="false">Z98</f>
        <v>-10766.9333333333</v>
      </c>
      <c r="AA99" s="51" t="n">
        <f aca="false">AA98</f>
        <v>-11089.9413333333</v>
      </c>
      <c r="AB99" s="51" t="n">
        <f aca="false">AB98</f>
        <v>-11089.9413333333</v>
      </c>
      <c r="AC99" s="51" t="n">
        <f aca="false">AC98</f>
        <v>-11089.9413333333</v>
      </c>
      <c r="AD99" s="51" t="n">
        <f aca="false">AD98</f>
        <v>-11089.9413333333</v>
      </c>
      <c r="AE99" s="51" t="n">
        <f aca="false">AE98</f>
        <v>-11089.9413333333</v>
      </c>
      <c r="AF99" s="51" t="n">
        <f aca="false">AF98</f>
        <v>-11089.9413333333</v>
      </c>
      <c r="AG99" s="51" t="n">
        <f aca="false">AG98</f>
        <v>-11089.9413333333</v>
      </c>
      <c r="AH99" s="51" t="n">
        <f aca="false">AH98</f>
        <v>-11089.9413333333</v>
      </c>
      <c r="AI99" s="51" t="n">
        <f aca="false">AI98</f>
        <v>-11089.9413333333</v>
      </c>
      <c r="AJ99" s="51" t="n">
        <f aca="false">AJ98</f>
        <v>-11089.9413333333</v>
      </c>
      <c r="AK99" s="51" t="n">
        <f aca="false">AK98</f>
        <v>-11089.9413333333</v>
      </c>
      <c r="AL99" s="51" t="n">
        <f aca="false">AL98</f>
        <v>-11089.9413333333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236</v>
      </c>
    </row>
    <row r="3" customFormat="false" ht="15" hidden="false" customHeight="false" outlineLevel="0" collapsed="false">
      <c r="A3" s="34" t="s">
        <v>237</v>
      </c>
      <c r="B3" s="34" t="s">
        <v>238</v>
      </c>
      <c r="C3" s="34" t="s">
        <v>239</v>
      </c>
    </row>
    <row r="4" customFormat="false" ht="15" hidden="false" customHeight="false" outlineLevel="0" collapsed="false">
      <c r="A4" s="6" t="s">
        <v>240</v>
      </c>
      <c r="B4" s="4" t="str">
        <f aca="false">IF(ABS(SUM('P&amp;L'!$B$5:$D$5)-SUM('P&amp;L'!$C$34:$AL$34))&lt;0.5,"PASS","FAIL")</f>
        <v>PASS</v>
      </c>
      <c r="C4" s="18" t="s">
        <v>241</v>
      </c>
    </row>
    <row r="5" customFormat="false" ht="15" hidden="false" customHeight="false" outlineLevel="0" collapsed="false">
      <c r="A5" s="6" t="s">
        <v>242</v>
      </c>
      <c r="B5" s="4" t="str">
        <f aca="false">IF(ABS(SUM('P&amp;L'!$B$11:$D$11)-SUM('P&amp;L'!$C$53:$AL$53))&lt;0.5,"PASS","FAIL")</f>
        <v>PASS</v>
      </c>
      <c r="C5" s="18" t="s">
        <v>243</v>
      </c>
    </row>
    <row r="6" customFormat="false" ht="15" hidden="false" customHeight="false" outlineLevel="0" collapsed="false">
      <c r="A6" s="6" t="s">
        <v>244</v>
      </c>
      <c r="B6" s="4" t="str">
        <f aca="false">IF(ABS(SUM('P&amp;L'!$C$44:$AL$44)-SUM('P&amp;L'!$C$36:$AL$36)-SUM('P&amp;L'!$C$43:$AL$43))&lt;0.5,"PASS","FAIL")</f>
        <v>PASS</v>
      </c>
      <c r="C6" s="18" t="s">
        <v>245</v>
      </c>
    </row>
    <row r="7" customFormat="false" ht="15" hidden="false" customHeight="false" outlineLevel="0" collapsed="false">
      <c r="A7" s="6" t="s">
        <v>246</v>
      </c>
      <c r="B7" s="4" t="str">
        <f aca="false">IF(ABS(INDEX('P&amp;L'!$C$83:$AL$83,36)-SUM('P&amp;L'!$C$81:$AL$81))&lt;0.5,"PASS","FAIL")</f>
        <v>PASS</v>
      </c>
      <c r="C7" s="18" t="s">
        <v>247</v>
      </c>
    </row>
    <row r="8" customFormat="false" ht="15" hidden="false" customHeight="false" outlineLevel="0" collapsed="false">
      <c r="A8" s="6" t="s">
        <v>248</v>
      </c>
      <c r="B8" s="4" t="str">
        <f aca="false">IF(AND(ISNUMBER(Dashboard!B4),Dashboard!B4&gt;=1,Dashboard!B4&lt;=3,INT(Dashboard!B4)=Dashboard!B4),"PASS","FAIL")</f>
        <v>PASS</v>
      </c>
      <c r="C8" s="18" t="s">
        <v>249</v>
      </c>
    </row>
    <row r="9" customFormat="false" ht="15" hidden="false" customHeight="false" outlineLevel="0" collapsed="false">
      <c r="A9" s="6" t="s">
        <v>250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$14&gt;=Inputs!$C$14,Inputs!$C$14&gt;=Inputs!$D$14,Inputs!$B$16&gt;=Inputs!$C$16,Inputs!$C$16&gt;=Inputs!$D$16,Inputs!$B$17&gt;=Inputs!$C$17,Inputs!$C$17&gt;=Inputs!$D$17,Inputs!$B$18&gt;=Inputs!$C$18,Inputs!$C$18&gt;=Inputs!$D$18,Inputs!$B$21&lt;=Inputs!$C$21,Inputs!$C$21&lt;=Inputs!$D$21,Inputs!$B$23&lt;=Inputs!$C$23,Inputs!$C$23&lt;=Inputs!$D$23),"PASS","FAIL")</f>
        <v>PASS</v>
      </c>
      <c r="C9" s="18" t="s">
        <v>251</v>
      </c>
    </row>
    <row r="10" customFormat="false" ht="15" hidden="false" customHeight="false" outlineLevel="0" collapsed="false">
      <c r="A10" s="6" t="s">
        <v>252</v>
      </c>
      <c r="B10" s="4" t="str">
        <f aca="false">IF(AND(MIN('P&amp;L'!$B$7:$D$7)&gt;=0,MAX('P&amp;L'!$B$7:$D$7)&lt;=1),"PASS","FAIL")</f>
        <v>PASS</v>
      </c>
      <c r="C10" s="18" t="s">
        <v>253</v>
      </c>
    </row>
    <row r="11" customFormat="false" ht="15" hidden="false" customHeight="false" outlineLevel="0" collapsed="false">
      <c r="A11" s="6" t="s">
        <v>254</v>
      </c>
      <c r="B11" s="4" t="str">
        <f aca="false">IF(MIN('P&amp;L'!$C$66:$AL$66)&gt;=-0.5,"PASS","FAIL")</f>
        <v>PASS</v>
      </c>
      <c r="C11" s="18" t="s">
        <v>255</v>
      </c>
    </row>
    <row r="12" customFormat="false" ht="15" hidden="false" customHeight="false" outlineLevel="0" collapsed="false">
      <c r="A12" s="6" t="s">
        <v>256</v>
      </c>
      <c r="B12" s="4" t="str">
        <f aca="false">IF(ABS('Break-even'!B18-('Break-even'!B16-'Break-even'!B10))&lt;0.5,"PASS","FAIL")</f>
        <v>PASS</v>
      </c>
      <c r="C12" s="18" t="s">
        <v>257</v>
      </c>
    </row>
    <row r="13" customFormat="false" ht="15" hidden="false" customHeight="false" outlineLevel="0" collapsed="false">
      <c r="A13" s="6" t="s">
        <v>258</v>
      </c>
      <c r="B13" s="4" t="str">
        <f aca="false">IF(SUMPRODUCT(--ISERROR('P&amp;L'!$C$26:$AL$99))+SUMPRODUCT(--ISERROR('P&amp;L'!$B$3:$D$13))+SUMPRODUCT(--ISERROR('P&amp;L'!$B$16:$D$22))+SUMPRODUCT(--ISERROR('Break-even'!$B$26:$D$33))+SUMPRODUCT(--ISERROR('Break-even'!$B$3:$D$35))+SUMPRODUCT(--ISERROR(Dashboard!$A$6:$W$39))=0,"PASS","FAIL")</f>
        <v>PASS</v>
      </c>
      <c r="C13" s="18" t="s">
        <v>259</v>
      </c>
    </row>
    <row r="14" customFormat="false" ht="15" hidden="false" customHeight="false" outlineLevel="0" collapsed="false">
      <c r="A14" s="6" t="s">
        <v>260</v>
      </c>
      <c r="B14" s="4" t="str">
        <f aca="false">IF(MIN('P&amp;L'!$C$83:$AL$83)&gt;=0,"PASS","WARN")</f>
        <v>PASS</v>
      </c>
      <c r="C14" s="18" t="s">
        <v>261</v>
      </c>
    </row>
    <row r="16" customFormat="false" ht="15" hidden="false" customHeight="false" outlineLevel="0" collapsed="false">
      <c r="A16" s="53" t="s">
        <v>262</v>
      </c>
      <c r="B16" s="53" t="str">
        <f aca="false">IF(COUNTIF(B4:B14,"FAIL")&gt;0,"FAIL",IF(COUNTIF(B4:B14,"WARN")&gt;0,"PASS WITH WARNINGS","PASS"))</f>
        <v>PASS</v>
      </c>
      <c r="C16" s="76"/>
    </row>
  </sheetData>
  <conditionalFormatting sqref="B4:B16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2026-10-22T13:59:30Z</dcterms:created>
  <dc:creator/>
  <dc:description/>
  <dc:language>en-US</dc:language>
  <cp:lastModifiedBy/>
  <dcterms:modified xsi:type="dcterms:W3CDTF">2026-10-22T13:59:30Z</dcterms:modified>
  <cp:revision>0</cp:revision>
  <dc:subject/>
  <dc:title>Neighborhood Cafe — Financial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