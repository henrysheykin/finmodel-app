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<sst xmlns="http://schemas.openxmlformats.org/spreadsheetml/2006/main" count="1361" uniqueCount="518">
  <si>
    <t xml:space="preserve">Pet grooming &amp; boarding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</si>
  <si>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</si>
  <si>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</si>
  <si>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</si>
  <si>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</si>
  <si>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</si>
  <si>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</si>
  <si>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</si>
  <si>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</si>
  <si>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</si>
  <si>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</si>
  <si>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</si>
  <si>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</si>
  <si>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</si>
  <si>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</si>
  <si>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</si>
  <si>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</si>
  <si>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</si>
  <si>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</si>
  <si>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</si>
  <si>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</si>
  <si>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</si>
  <si>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</si>
  <si>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</si>
  <si>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</si>
  <si>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</si>
  <si>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</si>
  <si>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</si>
  <si>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</si>
  <si>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</si>
  <si>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</si>
  <si>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</si>
  <si>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</si>
  <si>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</si>
  <si>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</si>
  <si>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</si>
  <si>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</si>
  <si>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</si>
  <si>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</si>
  <si>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</si>
  <si>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</si>
  <si>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</si>
  <si>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</si>
  <si>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</si>
  <si>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</si>
  <si>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</si>
  <si>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</si>
  <si>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</si>
  <si>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</si>
  <si>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</si>
  <si>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</si>
  <si>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</si>
  <si>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</si>
  <si>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</si>
  <si>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</si>
  <si>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</si>
  <si>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</si>
  <si>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Pet care metrics</t>
  </si>
  <si>
    <t xml:space="preserve">Grooms completed</t>
  </si>
  <si>
    <t xml:space="preserve">Grooming capacity used</t>
  </si>
  <si>
    <t xml:space="preserve">Boarding occupancy</t>
  </si>
  <si>
    <t xml:space="preserve">Boarding revenue per available run-night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</si>
  <si>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</si>
  <si>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</si>
  <si>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</si>
  <si>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</si>
  <si>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</si>
  <si>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</si>
  <si>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</si>
  <si>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</si>
  <si>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</si>
  <si>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</si>
  <si>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</si>
  <si>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</si>
  <si>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</si>
  <si>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</si>
  <si>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</si>
  <si>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</si>
  <si>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</si>
  <si>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</si>
  <si>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</si>
  <si>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</si>
  <si>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</si>
  <si>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</si>
  <si>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</si>
  <si>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</si>
  <si>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</si>
  <si>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</si>
  <si>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</si>
  <si>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</si>
  <si>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</si>
  <si>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</si>
  <si>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</si>
  <si>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</si>
  <si>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</si>
  <si>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</si>
  <si>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</si>
  <si>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</si>
  <si>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</si>
  <si>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</si>
  <si>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</si>
  <si>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</si>
  <si>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</si>
  <si>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</si>
  <si>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</si>
  <si>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</si>
  <si>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</si>
  <si>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</si>
  <si>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</si>
  <si>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Grooming appointments per operating day at maturity (year 1) (grooms)</t>
  </si>
  <si>
    <t xml:space="preserve">Average price per groom (year 1) ($)</t>
  </si>
  <si>
    <t xml:space="preserve">Kennel runs / suites (runs)</t>
  </si>
  <si>
    <t xml:space="preserve">Average boarding occupancy at maturity, % of run-nights (year 1) (%)</t>
  </si>
  <si>
    <t xml:space="preserve">Average nightly rate per run (year 1) ($)</t>
  </si>
  <si>
    <t xml:space="preserve">Shop rent or land cost per month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</si>
  <si>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</si>
  <si>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</si>
  <si>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</si>
  <si>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</si>
  <si>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</si>
  <si>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</si>
  <si>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</si>
  <si>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</si>
  <si>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</si>
  <si>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</si>
  <si>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</si>
  <si>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</si>
  <si>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</si>
  <si>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</si>
  <si>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</si>
  <si>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</si>
  <si>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</si>
  <si>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</si>
  <si>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</si>
  <si>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</si>
  <si>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</si>
  <si>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</si>
  <si>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</si>
  <si>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</si>
  <si>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</si>
  <si>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</si>
  <si>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</si>
  <si>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</si>
  <si>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</si>
  <si>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</si>
  <si>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</si>
  <si>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</si>
  <si>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</si>
  <si>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</si>
  <si>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</si>
  <si>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</si>
  <si>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</si>
  <si>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</si>
  <si>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</si>
  <si>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</si>
  <si>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</si>
  <si>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</si>
  <si>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</si>
  <si>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</si>
  <si>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</si>
  <si>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</si>
  <si>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</si>
  <si>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</si>
  <si>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</si>
  <si>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</si>
  <si>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</si>
  <si>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</si>
  <si>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</si>
  <si>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</si>
  <si>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</si>
  <si>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</si>
  <si>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</si>
  <si>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</si>
  <si>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</si>
  <si>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</si>
  <si>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</si>
  <si>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</si>
  <si>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</si>
  <si>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</si>
  <si>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</si>
  <si>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</si>
  <si>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</si>
  <si>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</si>
  <si>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</si>
  <si>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</si>
  <si>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</si>
  <si>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</si>
  <si>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</si>
  <si>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</si>
  <si>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</si>
  <si>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</si>
  <si>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</si>
  <si>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</si>
  <si>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</si>
  <si>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</si>
  <si>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</si>
  <si>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</si>
  <si>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</si>
  <si>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</si>
  <si>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</si>
  <si>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</si>
  <si>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</si>
  <si>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</si>
  <si>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</si>
  <si>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</si>
  <si>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</si>
  <si>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</si>
  <si>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</si>
  <si>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</si>
  <si>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</si>
  <si>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</si>
  <si>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</si>
  <si>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</si>
  <si>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</si>
  <si>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</si>
  <si>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</si>
  <si>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Pet grooming &amp; boarding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</si>
  <si>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</si>
  <si>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</si>
  <si>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</si>
  <si>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</si>
  <si>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</si>
  <si>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</si>
  <si>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</si>
  <si>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</si>
  <si>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</si>
  <si>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</si>
  <si>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</si>
  <si>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</si>
  <si>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</si>
  <si>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</si>
  <si>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</si>
  <si>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Pet care metrics ($'000; per-unit rows in $)</t>
  </si>
  <si>
    <t xml:space="preserve">Groomers (FTE)</t>
  </si>
  <si>
    <t xml:space="preserve">Grooming capacity (lower of stations and groomers)</t>
  </si>
  <si>
    <t xml:space="preserve">Grooms lost to the capacity limit</t>
  </si>
  <si>
    <t xml:space="preserve">Boarded run-nights</t>
  </si>
  <si>
    <t xml:space="preserve">Available run-nights</t>
  </si>
  <si>
    <t xml:space="preserve">Grooming revenue</t>
  </si>
  <si>
    <t xml:space="preserve">Boarding revenue</t>
  </si>
  <si>
    <t xml:space="preserve">Retail revenue</t>
  </si>
  <si>
    <t xml:space="preserve">Boarding share of revenue</t>
  </si>
  <si>
    <t xml:space="preserve">Revenue per groom (grooming + retail) ($)</t>
  </si>
  <si>
    <t xml:space="preserve">Boarding revenue per available run-night ($)</t>
  </si>
  <si>
    <t xml:space="preserve">Revenue per groomer (year-end FTE)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</si>
  <si>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</si>
  <si>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</si>
  <si>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</si>
  <si>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</si>
  <si>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Grooming demand</t>
  </si>
  <si>
    <t xml:space="preserve">Grooming appointments per operating day at maturity (year 1)</t>
  </si>
  <si>
    <t xml:space="preserve">grooms</t>
  </si>
  <si>
    <t xml:space="preserve">Low ≤ Base ≤ High</t>
  </si>
  <si>
    <t xml:space="preserve">Grooming volume growth per year</t>
  </si>
  <si>
    <t xml:space="preserve">%</t>
  </si>
  <si>
    <t xml:space="preserve">Operating days per month</t>
  </si>
  <si>
    <t xml:space="preserve">days</t>
  </si>
  <si>
    <t xml:space="preserve">Months to reach mature volume (0 = already mature)</t>
  </si>
  <si>
    <t xml:space="preserve">months</t>
  </si>
  <si>
    <t xml:space="preserve">Low ≥ Base ≥ High (lower is better)</t>
  </si>
  <si>
    <t xml:space="preserve">Volume in month 1, % of mature (grooming and boarding)</t>
  </si>
  <si>
    <t xml:space="preserve">Grooming capacity</t>
  </si>
  <si>
    <t xml:space="preserve">Grooming tables / tub stations</t>
  </si>
  <si>
    <t xml:space="preserve">stations</t>
  </si>
  <si>
    <t xml:space="preserve">Grooms one station can turn per operating day</t>
  </si>
  <si>
    <t xml:space="preserve">Grooms one groomer can finish per operating day</t>
  </si>
  <si>
    <t xml:space="preserve">Grooming prices &amp; retail</t>
  </si>
  <si>
    <t xml:space="preserve">Average price per groom (year 1)</t>
  </si>
  <si>
    <t xml:space="preserve">$</t>
  </si>
  <si>
    <t xml:space="preserve">Price increase per year (grooming, boarding, retail)</t>
  </si>
  <si>
    <t xml:space="preserve">Retail sales per groom (shampoo, treats, accessories; year 1)</t>
  </si>
  <si>
    <t xml:space="preserve">Retail gross margin, % of retail sales</t>
  </si>
  <si>
    <t xml:space="preserve">Boarding</t>
  </si>
  <si>
    <t xml:space="preserve">Kennel runs / suites</t>
  </si>
  <si>
    <t xml:space="preserve">runs</t>
  </si>
  <si>
    <t xml:space="preserve">Average boarding occupancy at maturity, % of run-nights (year 1)</t>
  </si>
  <si>
    <t xml:space="preserve">Occupancy growth per year (capped at 100%)</t>
  </si>
  <si>
    <t xml:space="preserve">Peak-season uplift, June-August and December (monthly models)</t>
  </si>
  <si>
    <t xml:space="preserve">Calendar nights per month</t>
  </si>
  <si>
    <t xml:space="preserve">nights</t>
  </si>
  <si>
    <t xml:space="preserve">Average nightly rate per run (year 1)</t>
  </si>
  <si>
    <t xml:space="preserve">Groomer commission, % of grooming revenue</t>
  </si>
  <si>
    <t xml:space="preserve">Shampoo, blades &amp; supplies per groom (year 1)</t>
  </si>
  <si>
    <t xml:space="preserve">Food, cleaning &amp; laundry per boarded night (year 1)</t>
  </si>
  <si>
    <t xml:space="preserve">Shop costs</t>
  </si>
  <si>
    <t xml:space="preserve">Shop rent or land cost per month</t>
  </si>
  <si>
    <t xml:space="preserve">Rent increase per year</t>
  </si>
  <si>
    <t xml:space="preserve">Insurance (care, custody, liability) per month</t>
  </si>
  <si>
    <t xml:space="preserve">Utilities, software, vet-on-call &amp; other G&amp;A per month</t>
  </si>
  <si>
    <t xml:space="preserve">Marketing budget per month (year 1)</t>
  </si>
  <si>
    <t xml:space="preserve">Marketing budget growth per year</t>
  </si>
  <si>
    <t xml:space="preserve">Card processing fees, % of revenue</t>
  </si>
  <si>
    <t xml:space="preserve">Cost increase per year (insurance, utilities, supplies, food)</t>
  </si>
  <si>
    <t xml:space="preserve">Grooming table, tub &amp; dryer per station (month 1)</t>
  </si>
  <si>
    <t xml:space="preserve">Kennel run build-out per run (month 1)</t>
  </si>
  <si>
    <t xml:space="preserve">Leasehold improvements, flooring, HVAC &amp; signage (month 1)</t>
  </si>
  <si>
    <t xml:space="preserve">Land or building purchase (month 1; never depreciated, 0 = leased shop)</t>
  </si>
  <si>
    <t xml:space="preserve">Equipment &amp; kennel refresh per year (from year 2)</t>
  </si>
  <si>
    <t xml:space="preserve">Headcount</t>
  </si>
  <si>
    <t xml:space="preserve">Groomers (guaranteed base pay): headcount (FTE)</t>
  </si>
  <si>
    <t xml:space="preserve">FTE</t>
  </si>
  <si>
    <t xml:space="preserve">Groomers (guaranteed base pay): salary per FTE per year</t>
  </si>
  <si>
    <t xml:space="preserve">Groomers (guaranteed base pay): headcount growth per year</t>
  </si>
  <si>
    <t xml:space="preserve">Groomers (guaranteed base pay): first month on payroll</t>
  </si>
  <si>
    <t xml:space="preserve">month #</t>
  </si>
  <si>
    <t xml:space="preserve">Kennel attendants &amp; daycare: headcount (FTE)</t>
  </si>
  <si>
    <t xml:space="preserve">Kennel attendants &amp; daycare: salary per FTE per year</t>
  </si>
  <si>
    <t xml:space="preserve">Kennel attendants &amp; daycare: headcount growth per year</t>
  </si>
  <si>
    <t xml:space="preserve">Kennel attendants &amp; daycare: first month on payroll</t>
  </si>
  <si>
    <t xml:space="preserve">Manager &amp; front desk: headcount (FTE)</t>
  </si>
  <si>
    <t xml:space="preserve">Manager &amp; front desk: salary per FTE per year</t>
  </si>
  <si>
    <t xml:space="preserve">Manager &amp; front desk: headcount growth per year</t>
  </si>
  <si>
    <t xml:space="preserve">Manager &amp; front desk: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</si>
  <si>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</si>
  <si>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</si>
  <si>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</si>
  <si>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</si>
  <si>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</si>
  <si>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</si>
  <si>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</si>
  <si>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</si>
  <si>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</si>
  <si>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</si>
  <si>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</si>
  <si>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</si>
  <si>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</si>
  <si>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</si>
  <si>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</si>
  <si>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</si>
  <si>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</si>
  <si>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</si>
  <si>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</si>
  <si>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</si>
  <si>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</si>
  <si>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</si>
  <si>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</si>
  <si>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</si>
  <si>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Attendants, manager &amp; other payroll</t>
  </si>
  <si>
    <t xml:space="preserve">Shop rent or land cost</t>
  </si>
  <si>
    <t xml:space="preserve">Insurance</t>
  </si>
  <si>
    <t xml:space="preserve">Utilities, software &amp; other G&amp;A</t>
  </si>
  <si>
    <t xml:space="preserve">Marketing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</si>
  <si>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</si>
  <si>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</si>
  <si>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</si>
  <si>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</si>
  <si>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</si>
  <si>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</si>
  <si>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</si>
  <si>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</si>
  <si>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</si>
  <si>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</si>
  <si>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</si>
  <si>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</si>
  <si>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</si>
  <si>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</si>
  <si>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</si>
  <si>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</si>
  <si>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</si>
  <si>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</si>
  <si>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</si>
  <si>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</si>
  <si>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</si>
  <si>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</si>
  <si>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</si>
  <si>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</si>
  <si>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</si>
  <si>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</si>
  <si>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</si>
  <si>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</si>
  <si>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</si>
  <si>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</si>
  <si>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</si>
  <si>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</si>
  <si>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</si>
  <si>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</si>
  <si>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</si>
  <si>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</si>
  <si>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</si>
  <si>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</si>
  <si>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</si>
  <si>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</si>
  <si>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</si>
  <si>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</si>
  <si>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</si>
  <si>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</si>
  <si>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</si>
  <si>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</si>
  <si>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</si>
  <si>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</si>
  <si>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</si>
  <si>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</si>
  <si>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</si>
  <si>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</si>
  <si>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</si>
  <si>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</si>
  <si>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</si>
  <si>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</si>
  <si>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</si>
  <si>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</si>
  <si>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</si>
  <si>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</si>
  <si>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</si>
  <si>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</si>
  <si>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</si>
  <si>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</si>
  <si>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</si>
  <si>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</si>
  <si>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</si>
  <si>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</si>
  <si>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</si>
  <si>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</si>
  <si>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</si>
  <si>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Helper: months of the period still on the ramp-up</t>
  </si>
  <si>
    <t xml:space="preserve">Ramp-up factor (share of mature volume)</t>
  </si>
  <si>
    <t xml:space="preserve">Grooms demanded</t>
  </si>
  <si>
    <t xml:space="preserve">Station capacity (stations × grooms per station-day × operating days)</t>
  </si>
  <si>
    <t xml:space="preserve">Groomer capacity (FTE × grooms per groomer-day × operating days)</t>
  </si>
  <si>
    <t xml:space="preserve">Grooms completed (demand capped by capacity)</t>
  </si>
  <si>
    <t xml:space="preserve">Boarding season factor (June-August, December)</t>
  </si>
  <si>
    <t xml:space="preserve">Available run-nights (runs × calendar nights)</t>
  </si>
  <si>
    <t xml:space="preserve">Occupancy (maturity × growth × ramp × season, capped at 100%)</t>
  </si>
  <si>
    <t xml:space="preserve">Average price per groom</t>
  </si>
  <si>
    <t xml:space="preserve">Groomer base pay</t>
  </si>
  <si>
    <t xml:space="preserve">Groomer commission</t>
  </si>
  <si>
    <t xml:space="preserve">Grooming supplies</t>
  </si>
  <si>
    <t xml:space="preserve">Boarding food, cleaning &amp; laundry</t>
  </si>
  <si>
    <t xml:space="preserve">Retail cost of goods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</si>
  <si>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</si>
  <si>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</si>
  <si>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</si>
  <si>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</si>
  <si>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</si>
  <si>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Grooming tables, tubs &amp; dryers</t>
  </si>
  <si>
    <t xml:space="preserve">Kennel run build-out</t>
  </si>
  <si>
    <t xml:space="preserve">Leasehold improvements &amp; signage</t>
  </si>
  <si>
    <t xml:space="preserve">Land or building (not depreciated)</t>
  </si>
  <si>
    <t xml:space="preserve">Equipment &amp; kennel refresh (first period of each year from year 2)</t>
  </si>
  <si>
    <t xml:space="preserve">Fixed assets at cost</t>
  </si>
  <si>
    <t xml:space="preserve">Land at cost (not depreciated)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</si>
  <si>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</si>
  <si>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</si>
  <si>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</si>
  <si>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</si>
  <si>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</si>
  <si>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</si>
  <si>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</si>
  <si>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</si>
  <si>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</si>
  <si>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</si>
  <si>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</si>
  <si>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</si>
  <si>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</si>
  <si>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</si>
  <si>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</si>
  <si>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</si>
  <si>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</si>
  <si>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</si>
  <si>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</si>
  <si>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Groomers (guaranteed base pay) — FTE</t>
  </si>
  <si>
    <t xml:space="preserve">Kennel attendants &amp; daycare — FTE</t>
  </si>
  <si>
    <t xml:space="preserve">Manager &amp; front desk — FTE</t>
  </si>
  <si>
    <t xml:space="preserve">Total FTE</t>
  </si>
  <si>
    <t xml:space="preserve">Payroll cost (salary + taxes &amp; benefits)</t>
  </si>
  <si>
    <t xml:space="preserve">Groomers (guaranteed base pay) — payroll cost</t>
  </si>
  <si>
    <t xml:space="preserve">Kennel attendants &amp; daycare — payroll cost</t>
  </si>
  <si>
    <t xml:space="preserve">Manager &amp; front desk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</si>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</sst>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574501.9488</c:v>
                </c:pt>
                <c:pt idx="1">
                  <c:v>835486.75776</c:v>
                </c:pt>
                <c:pt idx="2">
                  <c:v>886367.901307584</c:v>
                </c:pt>
                <c:pt idx="3">
                  <c:v>940347.706497216</c:v>
                </c:pt>
                <c:pt idx="4">
                  <c:v>997614.881822897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-64148.398624</c:v>
                </c:pt>
                <c:pt idx="1">
                  <c:v>111882.3786752</c:v>
                </c:pt>
                <c:pt idx="2">
                  <c:v>140856.64848652</c:v>
                </c:pt>
                <c:pt idx="3">
                  <c:v>170244.035117849</c:v>
                </c:pt>
                <c:pt idx="4">
                  <c:v>200432.401937181</c:v>
                </c:pt>
              </c:numCache>
            </c:numRef>
          </c:val>
        </c:ser>
        <c:gapWidth val="60"/>
        <c:overlap val="0"/>
        <c:axId val="83539252"/>
        <c:axId val="35359707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  <c:pt idx="3">
                  <c:v>0.18104370749412</c:v>
                </c:pt>
                <c:pt idx="4">
                  <c:v>0.200911599845964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4329103"/>
        <c:axId val="23442926"/>
      </c:lineChart>
      <c:catAx>
        <c:axId val="835392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359707"/>
        <c:crosses val="autoZero"/>
        <c:auto val="1"/>
        <c:lblAlgn val="ctr"/>
        <c:lblOffset val="100"/>
        <c:noMultiLvlLbl val="0"/>
      </c:catAx>
      <c:valAx>
        <c:axId val="3535970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539252"/>
        <c:crosses val="autoZero"/>
        <c:crossBetween val="between"/>
      </c:valAx>
      <c:catAx>
        <c:axId val="6432910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442926"/>
        <c:crosses val="autoZero"/>
        <c:auto val="1"/>
        <c:lblAlgn val="ctr"/>
        <c:lblOffset val="100"/>
        <c:noMultiLvlLbl val="0"/>
      </c:catAx>
      <c:valAx>
        <c:axId val="2344292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32910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-62809.5271128889</c:v>
                </c:pt>
                <c:pt idx="1">
                  <c:v>105940.941991893</c:v>
                </c:pt>
                <c:pt idx="2">
                  <c:v>116873.338266278</c:v>
                </c:pt>
                <c:pt idx="3">
                  <c:v>138557.724561487</c:v>
                </c:pt>
                <c:pt idx="4">
                  <c:v>164123.218867504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-189000</c:v>
                </c:pt>
                <c:pt idx="1">
                  <c:v>-10000</c:v>
                </c:pt>
                <c:pt idx="2">
                  <c:v>-10000</c:v>
                </c:pt>
                <c:pt idx="3">
                  <c:v>-10000</c:v>
                </c:pt>
                <c:pt idx="4">
                  <c:v>-10000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411666.666666667</c:v>
                </c:pt>
                <c:pt idx="1">
                  <c:v>-20000</c:v>
                </c:pt>
                <c:pt idx="2">
                  <c:v>-20000</c:v>
                </c:pt>
                <c:pt idx="3">
                  <c:v>-20000</c:v>
                </c:pt>
                <c:pt idx="4">
                  <c:v>-20000</c:v>
                </c:pt>
              </c:numCache>
            </c:numRef>
          </c:val>
        </c:ser>
        <c:gapWidth val="60"/>
        <c:overlap val="0"/>
        <c:axId val="84406195"/>
        <c:axId val="54764492"/>
      </c:barChart>
      <c:catAx>
        <c:axId val="844061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764492"/>
        <c:crosses val="autoZero"/>
        <c:auto val="1"/>
        <c:lblAlgn val="ctr"/>
        <c:lblOffset val="100"/>
        <c:noMultiLvlLbl val="0"/>
      </c:catAx>
      <c:valAx>
        <c:axId val="547644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4061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159857.139553778</c:v>
                </c:pt>
                <c:pt idx="1">
                  <c:v>235798.081545671</c:v>
                </c:pt>
                <c:pt idx="2">
                  <c:v>322671.41981195</c:v>
                </c:pt>
                <c:pt idx="3">
                  <c:v>431229.144373436</c:v>
                </c:pt>
                <c:pt idx="4">
                  <c:v>565352.36324094</c:v>
                </c:pt>
              </c:numCache>
            </c:numRef>
          </c:val>
        </c:ser>
        <c:gapWidth val="60"/>
        <c:overlap val="0"/>
        <c:axId val="78866384"/>
        <c:axId val="62213877"/>
      </c:barChart>
      <c:catAx>
        <c:axId val="7886638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213877"/>
        <c:crosses val="autoZero"/>
        <c:auto val="1"/>
        <c:lblAlgn val="ctr"/>
        <c:lblOffset val="100"/>
        <c:noMultiLvlLbl val="0"/>
      </c:catAx>
      <c:valAx>
        <c:axId val="6221387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866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Grooms completed &amp; boarding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Grooms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3619.2</c:v>
                </c:pt>
                <c:pt idx="1">
                  <c:v>5141.76</c:v>
                </c:pt>
                <c:pt idx="2">
                  <c:v>5296.0128</c:v>
                </c:pt>
                <c:pt idx="3">
                  <c:v>5454.893184</c:v>
                </c:pt>
                <c:pt idx="4">
                  <c:v>5618.53997952</c:v>
                </c:pt>
              </c:numCache>
            </c:numRef>
          </c:val>
        </c:ser>
        <c:gapWidth val="60"/>
        <c:overlap val="0"/>
        <c:axId val="11737754"/>
        <c:axId val="89311064"/>
      </c:barChart>
      <c:lineChart>
        <c:grouping val="standard"/>
        <c:varyColors val="0"/>
        <c:ser>
          <c:idx val="1"/>
          <c:order val="1"/>
          <c:tx>
            <c:strRef>
              <c:f>Dashboard!$A$30</c:f>
              <c:strCache>
                <c:ptCount val="1"/>
                <c:pt idx="0">
                  <c:v>Boarding 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Dashboard!$B$30:$F$30</c:f>
              <c:numCache>
                <c:formatCode>0.0%;\(0.0%\);\-</c:formatCode>
                <c:ptCount val="5"/>
                <c:pt idx="0">
                  <c:v>0.45539</c:v>
                </c:pt>
                <c:pt idx="1">
                  <c:v>0.6386</c:v>
                </c:pt>
                <c:pt idx="2">
                  <c:v>0.657758</c:v>
                </c:pt>
                <c:pt idx="3">
                  <c:v>0.67749074</c:v>
                </c:pt>
                <c:pt idx="4">
                  <c:v>0.6978154622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119358"/>
        <c:axId val="10793406"/>
      </c:lineChart>
      <c:catAx>
        <c:axId val="1173775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9311064"/>
        <c:crosses val="autoZero"/>
        <c:auto val="1"/>
        <c:lblAlgn val="ctr"/>
        <c:lblOffset val="100"/>
        <c:noMultiLvlLbl val="0"/>
      </c:catAx>
      <c:valAx>
        <c:axId val="8931106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737754"/>
        <c:crosses val="autoZero"/>
        <c:crossBetween val="between"/>
      </c:valAx>
      <c:catAx>
        <c:axId val="51119358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0793406"/>
        <c:crosses val="autoZero"/>
        <c:auto val="1"/>
        <c:lblAlgn val="ctr"/>
        <c:lblOffset val="100"/>
        <c:noMultiLvlLbl val="0"/>
      </c:catAx>
      <c:valAx>
        <c:axId val="1079340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11935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25006.912</c:v>
                </c:pt>
                <c:pt idx="1">
                  <c:v>28757.9488</c:v>
                </c:pt>
                <c:pt idx="2">
                  <c:v>32508.9856</c:v>
                </c:pt>
                <c:pt idx="3">
                  <c:v>36260.0224</c:v>
                </c:pt>
                <c:pt idx="4">
                  <c:v>40011.0592</c:v>
                </c:pt>
                <c:pt idx="5">
                  <c:v>50292.928</c:v>
                </c:pt>
                <c:pt idx="6">
                  <c:v>54603.7504</c:v>
                </c:pt>
                <c:pt idx="7">
                  <c:v>58914.5728</c:v>
                </c:pt>
                <c:pt idx="8">
                  <c:v>55015.2064</c:v>
                </c:pt>
                <c:pt idx="9">
                  <c:v>58766.2432</c:v>
                </c:pt>
                <c:pt idx="10">
                  <c:v>62517.28</c:v>
                </c:pt>
                <c:pt idx="11">
                  <c:v>71847.04</c:v>
                </c:pt>
              </c:numCache>
            </c:numRef>
          </c:val>
        </c:ser>
        <c:gapWidth val="60"/>
        <c:overlap val="0"/>
        <c:axId val="72968321"/>
        <c:axId val="17186292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-21450.9990933333</c:v>
                </c:pt>
                <c:pt idx="1">
                  <c:v>-18883.0239573333</c:v>
                </c:pt>
                <c:pt idx="2">
                  <c:v>-16315.0488213333</c:v>
                </c:pt>
                <c:pt idx="3">
                  <c:v>-13747.0736853333</c:v>
                </c:pt>
                <c:pt idx="4">
                  <c:v>-11179.0985493333</c:v>
                </c:pt>
                <c:pt idx="5">
                  <c:v>-2988.67077333334</c:v>
                </c:pt>
                <c:pt idx="6">
                  <c:v>61.2288746666673</c:v>
                </c:pt>
                <c:pt idx="7">
                  <c:v>3111.12852266667</c:v>
                </c:pt>
                <c:pt idx="8">
                  <c:v>-907.198005333339</c:v>
                </c:pt>
                <c:pt idx="9">
                  <c:v>1660.77713066666</c:v>
                </c:pt>
                <c:pt idx="10">
                  <c:v>4228.75226666666</c:v>
                </c:pt>
                <c:pt idx="11">
                  <c:v>12260.8274666667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-24169.7490933333</c:v>
                </c:pt>
                <c:pt idx="1">
                  <c:v>-21595.5239573333</c:v>
                </c:pt>
                <c:pt idx="2">
                  <c:v>-19015.0488213333</c:v>
                </c:pt>
                <c:pt idx="3">
                  <c:v>-16434.5736853333</c:v>
                </c:pt>
                <c:pt idx="4">
                  <c:v>-13854.0985493333</c:v>
                </c:pt>
                <c:pt idx="5">
                  <c:v>-5651.17077333334</c:v>
                </c:pt>
                <c:pt idx="6">
                  <c:v>-2588.77112533333</c:v>
                </c:pt>
                <c:pt idx="7">
                  <c:v>473.628522666666</c:v>
                </c:pt>
                <c:pt idx="8">
                  <c:v>-3532.19800533334</c:v>
                </c:pt>
                <c:pt idx="9">
                  <c:v>-951.722869333338</c:v>
                </c:pt>
                <c:pt idx="10">
                  <c:v>1628.75226666666</c:v>
                </c:pt>
                <c:pt idx="11">
                  <c:v>9673.32746666667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968321"/>
        <c:axId val="17186292"/>
      </c:lineChart>
      <c:catAx>
        <c:axId val="7296832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186292"/>
        <c:crosses val="autoZero"/>
        <c:auto val="1"/>
        <c:lblAlgn val="ctr"/>
        <c:lblOffset val="100"/>
        <c:noMultiLvlLbl val="0"/>
      </c:catAx>
      <c:valAx>
        <c:axId val="171862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9683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-16920.3308622222</c:v>
                </c:pt>
                <c:pt idx="1">
                  <c:v>-19198.8403893333</c:v>
                </c:pt>
                <c:pt idx="2">
                  <c:v>-16618.3652533333</c:v>
                </c:pt>
                <c:pt idx="3">
                  <c:v>-14037.8901173333</c:v>
                </c:pt>
                <c:pt idx="4">
                  <c:v>-11457.4149813333</c:v>
                </c:pt>
                <c:pt idx="5">
                  <c:v>-3238.65488533334</c:v>
                </c:pt>
                <c:pt idx="6">
                  <c:v>-190.730501333334</c:v>
                </c:pt>
                <c:pt idx="7">
                  <c:v>2871.66914666667</c:v>
                </c:pt>
                <c:pt idx="8">
                  <c:v>-1154.06086933334</c:v>
                </c:pt>
                <c:pt idx="9">
                  <c:v>1444.96069866666</c:v>
                </c:pt>
                <c:pt idx="10">
                  <c:v>4025.43583466666</c:v>
                </c:pt>
                <c:pt idx="11">
                  <c:v>11664.6950666667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-189000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430000</c:v>
                </c:pt>
                <c:pt idx="1">
                  <c:v>-1666.66666666667</c:v>
                </c:pt>
                <c:pt idx="2">
                  <c:v>-1666.66666666667</c:v>
                </c:pt>
                <c:pt idx="3">
                  <c:v>-1666.66666666667</c:v>
                </c:pt>
                <c:pt idx="4">
                  <c:v>-1666.66666666667</c:v>
                </c:pt>
                <c:pt idx="5">
                  <c:v>-1666.66666666667</c:v>
                </c:pt>
                <c:pt idx="6">
                  <c:v>-1666.66666666667</c:v>
                </c:pt>
                <c:pt idx="7">
                  <c:v>-1666.66666666667</c:v>
                </c:pt>
                <c:pt idx="8">
                  <c:v>-1666.66666666667</c:v>
                </c:pt>
                <c:pt idx="9">
                  <c:v>-1666.66666666667</c:v>
                </c:pt>
                <c:pt idx="10">
                  <c:v>-1666.66666666667</c:v>
                </c:pt>
                <c:pt idx="11">
                  <c:v>-1666.66666666667</c:v>
                </c:pt>
              </c:numCache>
            </c:numRef>
          </c:val>
        </c:ser>
        <c:gapWidth val="60"/>
        <c:overlap val="0"/>
        <c:axId val="80147425"/>
        <c:axId val="94775744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224079.669137778</c:v>
                </c:pt>
                <c:pt idx="1">
                  <c:v>203214.162081778</c:v>
                </c:pt>
                <c:pt idx="2">
                  <c:v>184929.130161778</c:v>
                </c:pt>
                <c:pt idx="3">
                  <c:v>169224.573377778</c:v>
                </c:pt>
                <c:pt idx="4">
                  <c:v>156100.491729778</c:v>
                </c:pt>
                <c:pt idx="5">
                  <c:v>151195.170177778</c:v>
                </c:pt>
                <c:pt idx="6">
                  <c:v>149337.773009778</c:v>
                </c:pt>
                <c:pt idx="7">
                  <c:v>150542.775489778</c:v>
                </c:pt>
                <c:pt idx="8">
                  <c:v>147722.047953778</c:v>
                </c:pt>
                <c:pt idx="9">
                  <c:v>147500.341985778</c:v>
                </c:pt>
                <c:pt idx="10">
                  <c:v>149859.111153778</c:v>
                </c:pt>
                <c:pt idx="11">
                  <c:v>159857.139553778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3594445"/>
        <c:axId val="58474039"/>
      </c:lineChart>
      <c:catAx>
        <c:axId val="80147425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775744"/>
        <c:crosses val="autoZero"/>
        <c:auto val="1"/>
        <c:lblAlgn val="ctr"/>
        <c:lblOffset val="100"/>
        <c:noMultiLvlLbl val="0"/>
      </c:catAx>
      <c:valAx>
        <c:axId val="9477574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0147425"/>
        <c:crosses val="autoZero"/>
        <c:crossBetween val="between"/>
      </c:valAx>
      <c:catAx>
        <c:axId val="53594445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474039"/>
        <c:crosses val="autoZero"/>
        <c:auto val="1"/>
        <c:lblAlgn val="ctr"/>
        <c:lblOffset val="100"/>
        <c:noMultiLvlLbl val="0"/>
      </c:catAx>
      <c:valAx>
        <c:axId val="58474039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59444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224079.669137778</c:v>
                </c:pt>
                <c:pt idx="1">
                  <c:v>203214.162081778</c:v>
                </c:pt>
                <c:pt idx="2">
                  <c:v>184929.130161778</c:v>
                </c:pt>
                <c:pt idx="3">
                  <c:v>169224.573377778</c:v>
                </c:pt>
                <c:pt idx="4">
                  <c:v>156100.491729778</c:v>
                </c:pt>
                <c:pt idx="5">
                  <c:v>151195.170177778</c:v>
                </c:pt>
                <c:pt idx="6">
                  <c:v>149337.773009778</c:v>
                </c:pt>
                <c:pt idx="7">
                  <c:v>150542.775489778</c:v>
                </c:pt>
                <c:pt idx="8">
                  <c:v>147722.047953778</c:v>
                </c:pt>
                <c:pt idx="9">
                  <c:v>147500.341985778</c:v>
                </c:pt>
                <c:pt idx="10">
                  <c:v>149859.111153778</c:v>
                </c:pt>
                <c:pt idx="11">
                  <c:v>159857.139553778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1667.12746666667</c:v>
                </c:pt>
                <c:pt idx="1">
                  <c:v>1917.19658666667</c:v>
                </c:pt>
                <c:pt idx="2">
                  <c:v>2167.26570666667</c:v>
                </c:pt>
                <c:pt idx="3">
                  <c:v>2417.33482666667</c:v>
                </c:pt>
                <c:pt idx="4">
                  <c:v>2667.40394666667</c:v>
                </c:pt>
                <c:pt idx="5">
                  <c:v>3352.86186666667</c:v>
                </c:pt>
                <c:pt idx="6">
                  <c:v>3640.25002666667</c:v>
                </c:pt>
                <c:pt idx="7">
                  <c:v>3927.63818666667</c:v>
                </c:pt>
                <c:pt idx="8">
                  <c:v>3667.68042666667</c:v>
                </c:pt>
                <c:pt idx="9">
                  <c:v>3917.74954666667</c:v>
                </c:pt>
                <c:pt idx="10">
                  <c:v>4167.81866666667</c:v>
                </c:pt>
                <c:pt idx="11">
                  <c:v>4789.80266666667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187031.25</c:v>
                </c:pt>
                <c:pt idx="1">
                  <c:v>185062.5</c:v>
                </c:pt>
                <c:pt idx="2">
                  <c:v>183093.75</c:v>
                </c:pt>
                <c:pt idx="3">
                  <c:v>181125</c:v>
                </c:pt>
                <c:pt idx="4">
                  <c:v>179156.25</c:v>
                </c:pt>
                <c:pt idx="5">
                  <c:v>177187.5</c:v>
                </c:pt>
                <c:pt idx="6">
                  <c:v>175218.75</c:v>
                </c:pt>
                <c:pt idx="7">
                  <c:v>173250</c:v>
                </c:pt>
                <c:pt idx="8">
                  <c:v>171281.25</c:v>
                </c:pt>
                <c:pt idx="9">
                  <c:v>169312.5</c:v>
                </c:pt>
                <c:pt idx="10">
                  <c:v>167343.75</c:v>
                </c:pt>
                <c:pt idx="11">
                  <c:v>165375</c:v>
                </c:pt>
              </c:numCache>
            </c:numRef>
          </c:val>
        </c:ser>
        <c:gapWidth val="60"/>
        <c:overlap val="100"/>
        <c:axId val="94383541"/>
        <c:axId val="56221925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305830.250906667</c:v>
                </c:pt>
                <c:pt idx="1">
                  <c:v>284234.726949333</c:v>
                </c:pt>
                <c:pt idx="2">
                  <c:v>265219.678128</c:v>
                </c:pt>
                <c:pt idx="3">
                  <c:v>248785.104442667</c:v>
                </c:pt>
                <c:pt idx="4">
                  <c:v>234931.005893333</c:v>
                </c:pt>
                <c:pt idx="5">
                  <c:v>229279.83512</c:v>
                </c:pt>
                <c:pt idx="6">
                  <c:v>226691.063994667</c:v>
                </c:pt>
                <c:pt idx="7">
                  <c:v>227164.692517333</c:v>
                </c:pt>
                <c:pt idx="8">
                  <c:v>223632.494512</c:v>
                </c:pt>
                <c:pt idx="9">
                  <c:v>222680.771642667</c:v>
                </c:pt>
                <c:pt idx="10">
                  <c:v>224309.523909333</c:v>
                </c:pt>
                <c:pt idx="11">
                  <c:v>233982.851376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4383541"/>
        <c:axId val="56221925"/>
      </c:lineChart>
      <c:catAx>
        <c:axId val="9438354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6221925"/>
        <c:crosses val="autoZero"/>
        <c:auto val="1"/>
        <c:lblAlgn val="ctr"/>
        <c:lblOffset val="100"/>
        <c:noMultiLvlLbl val="0"/>
      </c:catAx>
      <c:valAx>
        <c:axId val="5622192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3835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331698.3</c:v>
                </c:pt>
                <c:pt idx="1">
                  <c:v>572496.987</c:v>
                </c:pt>
                <c:pt idx="2">
                  <c:v>585276.2544</c:v>
                </c:pt>
                <c:pt idx="3">
                  <c:v>591129.016944</c:v>
                </c:pt>
                <c:pt idx="4">
                  <c:v>597040.30711344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574501.9488</c:v>
                </c:pt>
                <c:pt idx="1">
                  <c:v>835486.75776</c:v>
                </c:pt>
                <c:pt idx="2">
                  <c:v>886367.901307584</c:v>
                </c:pt>
                <c:pt idx="3">
                  <c:v>940347.706497216</c:v>
                </c:pt>
                <c:pt idx="4">
                  <c:v>997614.881822897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832792.8</c:v>
                </c:pt>
                <c:pt idx="1">
                  <c:v>1117499.136</c:v>
                </c:pt>
                <c:pt idx="2">
                  <c:v>1226561.77053696</c:v>
                </c:pt>
                <c:pt idx="3">
                  <c:v>1335991.46951698</c:v>
                </c:pt>
                <c:pt idx="4">
                  <c:v>1453698.58694779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029730"/>
        <c:axId val="28053855"/>
      </c:lineChart>
      <c:catAx>
        <c:axId val="402973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053855"/>
        <c:crosses val="autoZero"/>
        <c:auto val="1"/>
        <c:lblAlgn val="ctr"/>
        <c:lblOffset val="100"/>
        <c:noMultiLvlLbl val="0"/>
      </c:catAx>
      <c:valAx>
        <c:axId val="2805385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297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-243337.0156</c:v>
                </c:pt>
                <c:pt idx="1">
                  <c:v>-89345.267984</c:v>
                </c:pt>
                <c:pt idx="2">
                  <c:v>-90341.0425408001</c:v>
                </c:pt>
                <c:pt idx="3">
                  <c:v>-99208.487398208</c:v>
                </c:pt>
                <c:pt idx="4">
                  <c:v>-110629.38464147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-64148.398624</c:v>
                </c:pt>
                <c:pt idx="1">
                  <c:v>111882.3786752</c:v>
                </c:pt>
                <c:pt idx="2">
                  <c:v>140856.64848652</c:v>
                </c:pt>
                <c:pt idx="3">
                  <c:v>170244.035117849</c:v>
                </c:pt>
                <c:pt idx="4">
                  <c:v>200432.401937181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134331.5216</c:v>
                </c:pt>
                <c:pt idx="1">
                  <c:v>329513.80304</c:v>
                </c:pt>
                <c:pt idx="2">
                  <c:v>399100.85925468</c:v>
                </c:pt>
                <c:pt idx="3">
                  <c:v>466503.174053524</c:v>
                </c:pt>
                <c:pt idx="4">
                  <c:v>538537.463751013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678872"/>
        <c:axId val="72749230"/>
      </c:lineChart>
      <c:catAx>
        <c:axId val="1467887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749230"/>
        <c:crosses val="autoZero"/>
        <c:auto val="1"/>
        <c:lblAlgn val="ctr"/>
        <c:lblOffset val="100"/>
        <c:noMultiLvlLbl val="0"/>
      </c:catAx>
      <c:valAx>
        <c:axId val="727492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6788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-275205.7656</c:v>
                </c:pt>
                <c:pt idx="1">
                  <c:v>-120670.267984</c:v>
                </c:pt>
                <c:pt idx="2">
                  <c:v>-121116.0425408</c:v>
                </c:pt>
                <c:pt idx="3">
                  <c:v>-129433.487398208</c:v>
                </c:pt>
                <c:pt idx="4">
                  <c:v>-140304.38464147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-96017.148624</c:v>
                </c:pt>
                <c:pt idx="1">
                  <c:v>80557.3786752</c:v>
                </c:pt>
                <c:pt idx="2">
                  <c:v>90211.0539935985</c:v>
                </c:pt>
                <c:pt idx="3">
                  <c:v>110615.037743101</c:v>
                </c:pt>
                <c:pt idx="4">
                  <c:v>134898.347530373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80945.589564</c:v>
                </c:pt>
                <c:pt idx="1">
                  <c:v>235569.1544016</c:v>
                </c:pt>
                <c:pt idx="2">
                  <c:v>290977.428811198</c:v>
                </c:pt>
                <c:pt idx="3">
                  <c:v>344659.757502284</c:v>
                </c:pt>
                <c:pt idx="4">
                  <c:v>402001.3463633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495394"/>
        <c:axId val="94157521"/>
      </c:lineChart>
      <c:catAx>
        <c:axId val="4149539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4157521"/>
        <c:crosses val="autoZero"/>
        <c:auto val="1"/>
        <c:lblAlgn val="ctr"/>
        <c:lblOffset val="100"/>
        <c:noMultiLvlLbl val="0"/>
      </c:catAx>
      <c:valAx>
        <c:axId val="9415752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4953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-21226.8271555556</c:v>
                </c:pt>
                <c:pt idx="1">
                  <c:v>-145833.106428444</c:v>
                </c:pt>
                <c:pt idx="2">
                  <c:v>-270553.710289689</c:v>
                </c:pt>
                <c:pt idx="3">
                  <c:v>-402331.787578559</c:v>
                </c:pt>
                <c:pt idx="4">
                  <c:v>-543720.400284892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159857.139553778</c:v>
                </c:pt>
                <c:pt idx="1">
                  <c:v>235798.081545671</c:v>
                </c:pt>
                <c:pt idx="2">
                  <c:v>322671.41981195</c:v>
                </c:pt>
                <c:pt idx="3">
                  <c:v>431229.144373436</c:v>
                </c:pt>
                <c:pt idx="4">
                  <c:v>565352.36324094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337680.779341778</c:v>
                </c:pt>
                <c:pt idx="1">
                  <c:v>568958.060370844</c:v>
                </c:pt>
                <c:pt idx="2">
                  <c:v>856969.374097323</c:v>
                </c:pt>
                <c:pt idx="3">
                  <c:v>1200024.64823435</c:v>
                </c:pt>
                <c:pt idx="4">
                  <c:v>1601776.97106811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204445"/>
        <c:axId val="71894173"/>
      </c:lineChart>
      <c:catAx>
        <c:axId val="6520444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894173"/>
        <c:crosses val="autoZero"/>
        <c:auto val="1"/>
        <c:lblAlgn val="ctr"/>
        <c:lblOffset val="100"/>
        <c:noMultiLvlLbl val="0"/>
      </c:catAx>
      <c:valAx>
        <c:axId val="7189417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2044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330000</c:v>
                </c:pt>
                <c:pt idx="1">
                  <c:v>100000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62809.5271128889</c:v>
                </c:pt>
                <c:pt idx="1">
                  <c:v>189000</c:v>
                </c:pt>
                <c:pt idx="2">
                  <c:v>18333.3333333333</c:v>
                </c:pt>
                <c:pt idx="3">
                  <c:v>159857.139553778</c:v>
                </c:pt>
              </c:numCache>
            </c:numRef>
          </c:val>
        </c:ser>
        <c:gapWidth val="60"/>
        <c:overlap val="0"/>
        <c:axId val="34421682"/>
        <c:axId val="83671488"/>
      </c:barChart>
      <c:catAx>
        <c:axId val="3442168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671488"/>
        <c:crosses val="autoZero"/>
        <c:auto val="1"/>
        <c:lblAlgn val="ctr"/>
        <c:lblOffset val="100"/>
        <c:noMultiLvlLbl val="0"/>
      </c:catAx>
      <c:valAx>
        <c:axId val="8367148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42168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0.643925857192845</c:v>
                </c:pt>
                <c:pt idx="1">
                  <c:v>0.666249316626392</c:v>
                </c:pt>
                <c:pt idx="2">
                  <c:v>0.66790104837101</c:v>
                </c:pt>
                <c:pt idx="3">
                  <c:v>0.669504671424037</c:v>
                </c:pt>
                <c:pt idx="4">
                  <c:v>0.6710615870095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  <c:pt idx="3">
                  <c:v>0.18104370749412</c:v>
                </c:pt>
                <c:pt idx="4">
                  <c:v>0.200911599845964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-0.167131110389716</c:v>
                </c:pt>
                <c:pt idx="1">
                  <c:v>0.0964196953775547</c:v>
                </c:pt>
                <c:pt idx="2">
                  <c:v>0.101776084017165</c:v>
                </c:pt>
                <c:pt idx="3">
                  <c:v>0.117632059905947</c:v>
                </c:pt>
                <c:pt idx="4">
                  <c:v>0.135220865274062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925647"/>
        <c:axId val="43885738"/>
      </c:lineChart>
      <c:catAx>
        <c:axId val="4892564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885738"/>
        <c:crosses val="autoZero"/>
        <c:auto val="1"/>
        <c:lblAlgn val="ctr"/>
        <c:lblOffset val="100"/>
        <c:noMultiLvlLbl val="0"/>
      </c:catAx>
      <c:valAx>
        <c:axId val="4388573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9256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-0.28699478632634</c:v>
                </c:pt>
                <c:pt idx="1">
                  <c:v>0.203339939676496</c:v>
                </c:pt>
                <c:pt idx="2">
                  <c:v>0.192966409023321</c:v>
                </c:pt>
                <c:pt idx="3">
                  <c:v>0.197777559395811</c:v>
                </c:pt>
                <c:pt idx="4">
                  <c:v>0.199720375307953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-0.41035976807422</c:v>
                </c:pt>
                <c:pt idx="1">
                  <c:v>0.256111527171221</c:v>
                </c:pt>
                <c:pt idx="2">
                  <c:v>0.222880216937406</c:v>
                </c:pt>
                <c:pt idx="3">
                  <c:v>0.214633811071234</c:v>
                </c:pt>
                <c:pt idx="4">
                  <c:v>0.207451448456824</c:v>
                </c:pt>
              </c:numCache>
            </c:numRef>
          </c:val>
        </c:ser>
        <c:gapWidth val="60"/>
        <c:overlap val="0"/>
        <c:axId val="44292685"/>
        <c:axId val="74285331"/>
      </c:barChart>
      <c:catAx>
        <c:axId val="442926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285331"/>
        <c:crosses val="autoZero"/>
        <c:auto val="1"/>
        <c:lblAlgn val="ctr"/>
        <c:lblOffset val="100"/>
        <c:noMultiLvlLbl val="0"/>
      </c:catAx>
      <c:valAx>
        <c:axId val="7428533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2926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Grooms completed and boarding occupancy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Grooms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#,##0;\(#,##0\);\-</c:formatCode>
                <c:ptCount val="5"/>
                <c:pt idx="0">
                  <c:v>3619.2</c:v>
                </c:pt>
                <c:pt idx="1">
                  <c:v>5141.76</c:v>
                </c:pt>
                <c:pt idx="2">
                  <c:v>5296.0128</c:v>
                </c:pt>
                <c:pt idx="3">
                  <c:v>5454.893184</c:v>
                </c:pt>
                <c:pt idx="4">
                  <c:v>5618.53997952</c:v>
                </c:pt>
              </c:numCache>
            </c:numRef>
          </c:val>
        </c:ser>
        <c:gapWidth val="60"/>
        <c:overlap val="0"/>
        <c:axId val="98682971"/>
        <c:axId val="43454632"/>
      </c:barChart>
      <c:lineChart>
        <c:grouping val="standard"/>
        <c:varyColors val="0"/>
        <c:ser>
          <c:idx val="1"/>
          <c:order val="1"/>
          <c:tx>
            <c:strRef>
              <c:f>KPIs!$A$36</c:f>
              <c:strCache>
                <c:ptCount val="1"/>
                <c:pt idx="0">
                  <c:v>Boarding occupancy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KPIs!$B$36:$F$36</c:f>
              <c:numCache>
                <c:formatCode>0.0%;\(0.0%\);\-</c:formatCode>
                <c:ptCount val="5"/>
                <c:pt idx="0">
                  <c:v>0.45539</c:v>
                </c:pt>
                <c:pt idx="1">
                  <c:v>0.6386</c:v>
                </c:pt>
                <c:pt idx="2">
                  <c:v>0.657758</c:v>
                </c:pt>
                <c:pt idx="3">
                  <c:v>0.67749074</c:v>
                </c:pt>
                <c:pt idx="4">
                  <c:v>0.6978154622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76942"/>
        <c:axId val="31603823"/>
      </c:lineChart>
      <c:catAx>
        <c:axId val="9868297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454632"/>
        <c:crosses val="autoZero"/>
        <c:auto val="1"/>
        <c:lblAlgn val="ctr"/>
        <c:lblOffset val="100"/>
        <c:noMultiLvlLbl val="0"/>
      </c:catAx>
      <c:valAx>
        <c:axId val="4345463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682971"/>
        <c:crosses val="autoZero"/>
        <c:crossBetween val="between"/>
      </c:valAx>
      <c:catAx>
        <c:axId val="467694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603823"/>
        <c:crosses val="autoZero"/>
        <c:auto val="1"/>
        <c:lblAlgn val="ctr"/>
        <c:lblOffset val="100"/>
        <c:noMultiLvlLbl val="0"/>
      </c:catAx>
      <c:valAx>
        <c:axId val="3160382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67694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Grooming, boarding and retail revenue,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KPIs!$A$38</c:f>
              <c:strCache>
                <c:ptCount val="1"/>
                <c:pt idx="0">
                  <c:v>Grooming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KPIs!$B$38:$F$38</c:f>
              <c:numCache>
                <c:formatCode>\$#,##0,;"($"#,##0,\);\-</c:formatCode>
                <c:ptCount val="5"/>
                <c:pt idx="0">
                  <c:v>271440</c:v>
                </c:pt>
                <c:pt idx="1">
                  <c:v>397200.96</c:v>
                </c:pt>
                <c:pt idx="2">
                  <c:v>421390.498464</c:v>
                </c:pt>
                <c:pt idx="3">
                  <c:v>447053.179820458</c:v>
                </c:pt>
                <c:pt idx="4">
                  <c:v>474278.718471524</c:v>
                </c:pt>
              </c:numCache>
            </c:numRef>
          </c:val>
        </c:ser>
        <c:ser>
          <c:idx val="1"/>
          <c:order val="1"/>
          <c:tx>
            <c:strRef>
              <c:f>KPIs!$A$39</c:f>
              <c:strCache>
                <c:ptCount val="1"/>
                <c:pt idx="0">
                  <c:v>Boarding revenue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KPIs!$B$39:$F$39</c:f>
              <c:numCache>
                <c:formatCode>\$#,##0,;"($"#,##0,\);\-</c:formatCode>
                <c:ptCount val="5"/>
                <c:pt idx="0">
                  <c:v>274108.3488</c:v>
                </c:pt>
                <c:pt idx="1">
                  <c:v>395917.69536</c:v>
                </c:pt>
                <c:pt idx="2">
                  <c:v>420029.083007424</c:v>
                </c:pt>
                <c:pt idx="3">
                  <c:v>445608.854162576</c:v>
                </c:pt>
                <c:pt idx="4">
                  <c:v>472746.433381077</c:v>
                </c:pt>
              </c:numCache>
            </c:numRef>
          </c:val>
        </c:ser>
        <c:ser>
          <c:idx val="2"/>
          <c:order val="2"/>
          <c:tx>
            <c:strRef>
              <c:f>KPIs!$A$40</c:f>
              <c:strCache>
                <c:ptCount val="1"/>
                <c:pt idx="0">
                  <c:v>Retail revenue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KPIs!$B$40:$F$40</c:f>
              <c:numCache>
                <c:formatCode>\$#,##0,;"($"#,##0,\);\-</c:formatCode>
                <c:ptCount val="5"/>
                <c:pt idx="0">
                  <c:v>28953.6</c:v>
                </c:pt>
                <c:pt idx="1">
                  <c:v>42368.1024</c:v>
                </c:pt>
                <c:pt idx="2">
                  <c:v>44948.31983616</c:v>
                </c:pt>
                <c:pt idx="3">
                  <c:v>47685.6725141821</c:v>
                </c:pt>
                <c:pt idx="4">
                  <c:v>50589.7299702959</c:v>
                </c:pt>
              </c:numCache>
            </c:numRef>
          </c:val>
        </c:ser>
        <c:gapWidth val="60"/>
        <c:overlap val="100"/>
        <c:axId val="63014280"/>
        <c:axId val="60302440"/>
      </c:barChart>
      <c:lineChart>
        <c:grouping val="stacked"/>
        <c:varyColors val="0"/>
        <c:ser>
          <c:idx val="3"/>
          <c:order val="3"/>
          <c:tx>
            <c:strRef>
              <c:f>KPIs!$A$48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KPIs!$B$48:$F$48</c:f>
              <c:numCache>
                <c:formatCode>0.0%;\(0.0%\);\-</c:formatCode>
                <c:ptCount val="5"/>
                <c:pt idx="0">
                  <c:v>-0.111659148864492</c:v>
                </c:pt>
                <c:pt idx="1">
                  <c:v>0.133912809073318</c:v>
                </c:pt>
                <c:pt idx="2">
                  <c:v>0.158914428510696</c:v>
                </c:pt>
                <c:pt idx="3">
                  <c:v>0.18104370749412</c:v>
                </c:pt>
                <c:pt idx="4">
                  <c:v>0.200911599845964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157064"/>
        <c:axId val="11067073"/>
      </c:lineChart>
      <c:catAx>
        <c:axId val="6301428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0302440"/>
        <c:crosses val="autoZero"/>
        <c:auto val="1"/>
        <c:lblAlgn val="ctr"/>
        <c:lblOffset val="100"/>
        <c:noMultiLvlLbl val="0"/>
      </c:catAx>
      <c:valAx>
        <c:axId val="6030244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014280"/>
        <c:crosses val="autoZero"/>
        <c:crossBetween val="between"/>
      </c:valAx>
      <c:catAx>
        <c:axId val="14157064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067073"/>
        <c:crosses val="autoZero"/>
        <c:auto val="1"/>
        <c:lblAlgn val="ctr"/>
        <c:lblOffset val="100"/>
        <c:noMultiLvlLbl val="0"/>
      </c:catAx>
      <c:valAx>
        <c:axId val="11067073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15706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997614.881822897</v>
      </c>
      <c r="B7" s="25"/>
      <c r="C7" s="26" t="n">
        <f aca="false">F17</f>
        <v>0.200911599845964</v>
      </c>
      <c r="D7" s="26"/>
      <c r="E7" s="26"/>
      <c r="F7" s="26"/>
      <c r="H7" s="25" t="n">
        <f aca="false">F18</f>
        <v>134898.347530373</v>
      </c>
      <c r="I7" s="25"/>
      <c r="J7" s="25"/>
      <c r="K7" s="25"/>
      <c r="L7" s="25" t="n">
        <f aca="false">F39</f>
        <v>147500.341985778</v>
      </c>
      <c r="M7" s="25"/>
      <c r="N7" s="25"/>
      <c r="O7" s="25"/>
      <c r="P7" s="25" t="n">
        <f aca="false">F37</f>
        <v>391499.658014222</v>
      </c>
      <c r="Q7" s="25"/>
      <c r="R7" s="25"/>
      <c r="S7" s="25"/>
      <c r="T7" s="25" t="n">
        <f aca="false">F44</f>
        <v>273323.313689435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0.147936468809106</v>
      </c>
      <c r="B8" s="27"/>
      <c r="C8" s="28" t="n">
        <f aca="false">F16</f>
        <v>200432.401937181</v>
      </c>
      <c r="D8" s="28"/>
      <c r="E8" s="28"/>
      <c r="F8" s="28"/>
      <c r="H8" s="29" t="n">
        <f aca="false">F19</f>
        <v>0.135220865274062</v>
      </c>
      <c r="I8" s="29"/>
      <c r="J8" s="29"/>
      <c r="K8" s="29"/>
      <c r="L8" s="30" t="n">
        <f aca="false">'Break-even'!B6</f>
        <v>10</v>
      </c>
      <c r="M8" s="30"/>
      <c r="N8" s="30"/>
      <c r="O8" s="30"/>
      <c r="P8" s="31" t="str">
        <f aca="false">IF(F38&gt;=0,"Covered by funding raised",-F38)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SUMIF(Monthly!$C$5:$BJ$5,B$11,Monthly!$C$31:$BJ$31)</f>
        <v>574501.9488</v>
      </c>
      <c r="C12" s="35" t="n">
        <f aca="false">SUMIF(Monthly!$C$5:$BJ$5,C$11,Monthly!$C$31:$BJ$31)</f>
        <v>835486.75776</v>
      </c>
      <c r="D12" s="35" t="n">
        <f aca="false">SUMIF(Monthly!$C$5:$BJ$5,D$11,Monthly!$C$31:$BJ$31)</f>
        <v>886367.901307584</v>
      </c>
      <c r="E12" s="35" t="n">
        <f aca="false">SUMIF(Monthly!$C$5:$BJ$5,E$11,Monthly!$C$31:$BJ$31)</f>
        <v>940347.706497216</v>
      </c>
      <c r="F12" s="35" t="n">
        <f aca="false">SUMIF(Monthly!$C$5:$BJ$5,F$11,Monthly!$C$31:$BJ$31)</f>
        <v>997614.881822897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SUMIF(Monthly!$C$5:$BJ$5,B$11,Monthly!$C$40:$BJ$40)</f>
        <v>369936.65984</v>
      </c>
      <c r="C13" s="37" t="n">
        <f aca="false">SUMIF(Monthly!$C$5:$BJ$5,C$11,Monthly!$C$40:$BJ$40)</f>
        <v>556642.481408</v>
      </c>
      <c r="D13" s="37" t="n">
        <f aca="false">SUMIF(Monthly!$C$5:$BJ$5,D$11,Monthly!$C$40:$BJ$40)</f>
        <v>592006.050525747</v>
      </c>
      <c r="E13" s="37" t="n">
        <f aca="false">SUMIF(Monthly!$C$5:$BJ$5,E$11,Monthly!$C$40:$BJ$40)</f>
        <v>629567.182262765</v>
      </c>
      <c r="F13" s="37" t="n">
        <f aca="false">SUMIF(Monthly!$C$5:$BJ$5,F$11,Monthly!$C$40:$BJ$40)</f>
        <v>669461.025820368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0.643925857192845</v>
      </c>
      <c r="C14" s="39" t="n">
        <f aca="false">IF(C12=0,0,C13/C12)</f>
        <v>0.666249316626392</v>
      </c>
      <c r="D14" s="39" t="n">
        <f aca="false">IF(D12=0,0,D13/D12)</f>
        <v>0.66790104837101</v>
      </c>
      <c r="E14" s="39" t="n">
        <f aca="false">IF(E12=0,0,E13/E12)</f>
        <v>0.669504671424037</v>
      </c>
      <c r="F14" s="39" t="n">
        <f aca="false">IF(F12=0,0,F13/F12)</f>
        <v>0.6710615870095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SUMIF(Monthly!$C$5:$BJ$5,B$11,Monthly!$C$49:$BJ$49)</f>
        <v>-434085.058464</v>
      </c>
      <c r="C15" s="35" t="n">
        <f aca="false">SUMIF(Monthly!$C$5:$BJ$5,C$11,Monthly!$C$49:$BJ$49)</f>
        <v>-444760.1027328</v>
      </c>
      <c r="D15" s="35" t="n">
        <f aca="false">SUMIF(Monthly!$C$5:$BJ$5,D$11,Monthly!$C$49:$BJ$49)</f>
        <v>-451149.402039228</v>
      </c>
      <c r="E15" s="35" t="n">
        <f aca="false">SUMIF(Monthly!$C$5:$BJ$5,E$11,Monthly!$C$49:$BJ$49)</f>
        <v>-459323.147144917</v>
      </c>
      <c r="F15" s="35" t="n">
        <f aca="false">SUMIF(Monthly!$C$5:$BJ$5,F$11,Monthly!$C$49:$BJ$49)</f>
        <v>-469028.623883187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SUMIF(Monthly!$C$5:$BJ$5,B$11,Monthly!$C$50:$BJ$50)</f>
        <v>-64148.398624</v>
      </c>
      <c r="C16" s="37" t="n">
        <f aca="false">SUMIF(Monthly!$C$5:$BJ$5,C$11,Monthly!$C$50:$BJ$50)</f>
        <v>111882.3786752</v>
      </c>
      <c r="D16" s="37" t="n">
        <f aca="false">SUMIF(Monthly!$C$5:$BJ$5,D$11,Monthly!$C$50:$BJ$50)</f>
        <v>140856.64848652</v>
      </c>
      <c r="E16" s="37" t="n">
        <f aca="false">SUMIF(Monthly!$C$5:$BJ$5,E$11,Monthly!$C$50:$BJ$50)</f>
        <v>170244.035117849</v>
      </c>
      <c r="F16" s="37" t="n">
        <f aca="false">SUMIF(Monthly!$C$5:$BJ$5,F$11,Monthly!$C$50:$BJ$50)</f>
        <v>200432.401937181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-0.111659148864492</v>
      </c>
      <c r="C17" s="39" t="n">
        <f aca="false">IF(C12=0,0,C16/C12)</f>
        <v>0.133912809073318</v>
      </c>
      <c r="D17" s="39" t="n">
        <f aca="false">IF(D12=0,0,D16/D12)</f>
        <v>0.158914428510696</v>
      </c>
      <c r="E17" s="39" t="n">
        <f aca="false">IF(E12=0,0,E16/E12)</f>
        <v>0.18104370749412</v>
      </c>
      <c r="F17" s="39" t="n">
        <f aca="false">IF(F12=0,0,F16/F12)</f>
        <v>0.200911599845964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SUMIF(Monthly!$C$5:$BJ$5,B$11,Monthly!$C$59:$BJ$59)</f>
        <v>-96017.148624</v>
      </c>
      <c r="C18" s="41" t="n">
        <f aca="false">SUMIF(Monthly!$C$5:$BJ$5,C$11,Monthly!$C$59:$BJ$59)</f>
        <v>80557.3786752</v>
      </c>
      <c r="D18" s="41" t="n">
        <f aca="false">SUMIF(Monthly!$C$5:$BJ$5,D$11,Monthly!$C$59:$BJ$59)</f>
        <v>90211.0539935985</v>
      </c>
      <c r="E18" s="41" t="n">
        <f aca="false">SUMIF(Monthly!$C$5:$BJ$5,E$11,Monthly!$C$59:$BJ$59)</f>
        <v>110615.037743101</v>
      </c>
      <c r="F18" s="41" t="n">
        <f aca="false">SUMIF(Monthly!$C$5:$BJ$5,F$11,Monthly!$C$59:$BJ$59)</f>
        <v>134898.347530373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-0.167131110389716</v>
      </c>
      <c r="C19" s="39" t="n">
        <f aca="false">IF(C12=0,0,C18/C12)</f>
        <v>0.0964196953775547</v>
      </c>
      <c r="D19" s="39" t="n">
        <f aca="false">IF(D12=0,0,D18/D12)</f>
        <v>0.101776084017165</v>
      </c>
      <c r="E19" s="39" t="n">
        <f aca="false">IF(E12=0,0,E18/E12)</f>
        <v>0.117632059905947</v>
      </c>
      <c r="F19" s="39" t="n">
        <f aca="false">IF(F12=0,0,F18/F12)</f>
        <v>0.135220865274062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SUMIF(Monthly!$C$5:$BJ$5,B$11,Monthly!$C$89:$BJ$89)</f>
        <v>-62809.5271128889</v>
      </c>
      <c r="C20" s="35" t="n">
        <f aca="false">SUMIF(Monthly!$C$5:$BJ$5,C$11,Monthly!$C$89:$BJ$89)</f>
        <v>105940.941991893</v>
      </c>
      <c r="D20" s="35" t="n">
        <f aca="false">SUMIF(Monthly!$C$5:$BJ$5,D$11,Monthly!$C$89:$BJ$89)</f>
        <v>116873.338266278</v>
      </c>
      <c r="E20" s="35" t="n">
        <f aca="false">SUMIF(Monthly!$C$5:$BJ$5,E$11,Monthly!$C$89:$BJ$89)</f>
        <v>138557.724561487</v>
      </c>
      <c r="F20" s="35" t="n">
        <f aca="false">SUMIF(Monthly!$C$5:$BJ$5,F$11,Monthly!$C$89:$BJ$89)</f>
        <v>164123.218867504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SUMIF(Monthly!$C$5:$BJ$5,B$11,Monthly!$C$90:$BJ$90)</f>
        <v>-189000</v>
      </c>
      <c r="C21" s="35" t="n">
        <f aca="false">SUMIF(Monthly!$C$5:$BJ$5,C$11,Monthly!$C$90:$BJ$90)</f>
        <v>-10000</v>
      </c>
      <c r="D21" s="35" t="n">
        <f aca="false">SUMIF(Monthly!$C$5:$BJ$5,D$11,Monthly!$C$90:$BJ$90)</f>
        <v>-10000</v>
      </c>
      <c r="E21" s="35" t="n">
        <f aca="false">SUMIF(Monthly!$C$5:$BJ$5,E$11,Monthly!$C$90:$BJ$90)</f>
        <v>-10000</v>
      </c>
      <c r="F21" s="35" t="n">
        <f aca="false">SUMIF(Monthly!$C$5:$BJ$5,F$11,Monthly!$C$90:$BJ$90)</f>
        <v>-10000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SUMIF(Monthly!$C$5:$BJ$5,B$11,Monthly!$C$92:$BJ$92)</f>
        <v>411666.666666667</v>
      </c>
      <c r="C22" s="35" t="n">
        <f aca="false">SUMIF(Monthly!$C$5:$BJ$5,C$11,Monthly!$C$92:$BJ$92)</f>
        <v>-20000</v>
      </c>
      <c r="D22" s="35" t="n">
        <f aca="false">SUMIF(Monthly!$C$5:$BJ$5,D$11,Monthly!$C$92:$BJ$92)</f>
        <v>-20000</v>
      </c>
      <c r="E22" s="35" t="n">
        <f aca="false">SUMIF(Monthly!$C$5:$BJ$5,E$11,Monthly!$C$92:$BJ$92)</f>
        <v>-20000</v>
      </c>
      <c r="F22" s="35" t="n">
        <f aca="false">SUMIF(Monthly!$C$5:$BJ$5,F$11,Monthly!$C$92:$BJ$92)</f>
        <v>-20000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SUMIF(Monthly!$C$5:$BJ$5,B$11,Monthly!$C$93:$BJ$93)</f>
        <v>159857.139553778</v>
      </c>
      <c r="C23" s="37" t="n">
        <f aca="false">SUMIF(Monthly!$C$5:$BJ$5,C$11,Monthly!$C$93:$BJ$93)</f>
        <v>75940.9419918933</v>
      </c>
      <c r="D23" s="37" t="n">
        <f aca="false">SUMIF(Monthly!$C$5:$BJ$5,D$11,Monthly!$C$93:$BJ$93)</f>
        <v>86873.3382662784</v>
      </c>
      <c r="E23" s="37" t="n">
        <f aca="false">SUMIF(Monthly!$C$5:$BJ$5,E$11,Monthly!$C$93:$BJ$93)</f>
        <v>108557.724561487</v>
      </c>
      <c r="F23" s="37" t="n">
        <f aca="false">SUMIF(Monthly!$C$5:$BJ$5,F$11,Monthly!$C$93:$BJ$93)</f>
        <v>134123.218867504</v>
      </c>
    </row>
    <row r="24" customFormat="false" ht="15" hidden="false" customHeight="false" outlineLevel="0" collapsed="false">
      <c r="A24" s="40" t="s">
        <v>56</v>
      </c>
      <c r="B24" s="41" t="n">
        <f aca="false">INDEX(Monthly!$C$95:$BJ$95,B$11*12)</f>
        <v>159857.139553778</v>
      </c>
      <c r="C24" s="41" t="n">
        <f aca="false">INDEX(Monthly!$C$95:$BJ$95,C$11*12)</f>
        <v>235798.081545671</v>
      </c>
      <c r="D24" s="41" t="n">
        <f aca="false">INDEX(Monthly!$C$95:$BJ$95,D$11*12)</f>
        <v>322671.41981195</v>
      </c>
      <c r="E24" s="41" t="n">
        <f aca="false">INDEX(Monthly!$C$95:$BJ$95,E$11*12)</f>
        <v>431229.144373436</v>
      </c>
      <c r="F24" s="41" t="n">
        <f aca="false">INDEX(Monthly!$C$95:$BJ$95,F$11*12)</f>
        <v>565352.36324094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KPIs!B30</f>
        <v>3619.2</v>
      </c>
      <c r="C28" s="42" t="n">
        <f aca="false">KPIs!C30</f>
        <v>5141.76</v>
      </c>
      <c r="D28" s="42" t="n">
        <f aca="false">KPIs!D30</f>
        <v>5296.0128</v>
      </c>
      <c r="E28" s="42" t="n">
        <f aca="false">KPIs!E30</f>
        <v>5454.893184</v>
      </c>
      <c r="F28" s="42" t="n">
        <f aca="false">KPIs!F30</f>
        <v>5618.53997952</v>
      </c>
    </row>
    <row r="29" customFormat="false" ht="15" hidden="false" customHeight="false" outlineLevel="0" collapsed="false">
      <c r="A29" s="6" t="s">
        <v>59</v>
      </c>
      <c r="B29" s="43" t="n">
        <f aca="false">KPIs!B32</f>
        <v>0.527272727272727</v>
      </c>
      <c r="C29" s="43" t="n">
        <f aca="false">KPIs!C32</f>
        <v>0.749090909090909</v>
      </c>
      <c r="D29" s="43" t="n">
        <f aca="false">KPIs!D32</f>
        <v>0.771563636363636</v>
      </c>
      <c r="E29" s="43" t="n">
        <f aca="false">KPIs!E32</f>
        <v>0.794710545454546</v>
      </c>
      <c r="F29" s="43" t="n">
        <f aca="false">KPIs!F32</f>
        <v>0.818551861818182</v>
      </c>
    </row>
    <row r="30" customFormat="false" ht="15" hidden="false" customHeight="false" outlineLevel="0" collapsed="false">
      <c r="A30" s="6" t="s">
        <v>60</v>
      </c>
      <c r="B30" s="43" t="n">
        <f aca="false">KPIs!B36</f>
        <v>0.45539</v>
      </c>
      <c r="C30" s="43" t="n">
        <f aca="false">KPIs!C36</f>
        <v>0.6386</v>
      </c>
      <c r="D30" s="43" t="n">
        <f aca="false">KPIs!D36</f>
        <v>0.657758</v>
      </c>
      <c r="E30" s="43" t="n">
        <f aca="false">KPIs!E36</f>
        <v>0.67749074</v>
      </c>
      <c r="F30" s="43" t="n">
        <f aca="false">KPIs!F36</f>
        <v>0.6978154622</v>
      </c>
    </row>
    <row r="31" customFormat="false" ht="15" hidden="false" customHeight="false" outlineLevel="0" collapsed="false">
      <c r="A31" s="6" t="s">
        <v>61</v>
      </c>
      <c r="B31" s="44" t="n">
        <f aca="false">KPIs!B43</f>
        <v>25.04645</v>
      </c>
      <c r="C31" s="44" t="n">
        <f aca="false">KPIs!C43</f>
        <v>36.17669</v>
      </c>
      <c r="D31" s="44" t="n">
        <f aca="false">KPIs!D43</f>
        <v>38.379850421</v>
      </c>
      <c r="E31" s="44" t="n">
        <f aca="false">KPIs!E43</f>
        <v>40.7171833116389</v>
      </c>
      <c r="F31" s="44" t="n">
        <f aca="false">KPIs!F43</f>
        <v>43.1968597753177</v>
      </c>
    </row>
    <row r="32" customFormat="false" ht="15" hidden="false" customHeight="false" outlineLevel="0" collapsed="false">
      <c r="A32" s="6" t="s">
        <v>62</v>
      </c>
      <c r="B32" s="45" t="n">
        <f aca="false">INDEX(Headcount!$C$11:$BJ$11,B$27*12)</f>
        <v>8</v>
      </c>
      <c r="C32" s="45" t="n">
        <f aca="false">INDEX(Headcount!$C$11:$BJ$11,C$27*12)</f>
        <v>8</v>
      </c>
      <c r="D32" s="45" t="n">
        <f aca="false">INDEX(Headcount!$C$11:$BJ$11,D$27*12)</f>
        <v>8</v>
      </c>
      <c r="E32" s="45" t="n">
        <f aca="false">INDEX(Headcount!$C$11:$BJ$11,E$27*12)</f>
        <v>8</v>
      </c>
      <c r="F32" s="45" t="n">
        <f aca="false">INDEX(Headcount!$C$11:$BJ$11,F$27*12)</f>
        <v>8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Inputs!$E$71</f>
        <v>330000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Inputs!$E$72</f>
        <v>100000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391499.658014222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38500.3419857778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10)</v>
      </c>
      <c r="B39" s="46"/>
      <c r="C39" s="46"/>
      <c r="D39" s="46"/>
      <c r="E39" s="46"/>
      <c r="F39" s="47" t="n">
        <f aca="false">'Break-even'!B18</f>
        <v>147500.341985778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7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n">
        <f aca="false">'Break-even'!B23</f>
        <v>42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254555.771836044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292090.855542826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273323.313689435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574501.9488</v>
      </c>
      <c r="C7" s="35" t="n">
        <f aca="false">'P&amp;L'!C5</f>
        <v>835486.75776</v>
      </c>
      <c r="D7" s="35" t="n">
        <f aca="false">'P&amp;L'!D5</f>
        <v>886367.901307584</v>
      </c>
      <c r="E7" s="35" t="n">
        <f aca="false">'P&amp;L'!E5</f>
        <v>940347.706497216</v>
      </c>
      <c r="F7" s="35" t="n">
        <f aca="false">'P&amp;L'!F5</f>
        <v>997614.881822897</v>
      </c>
      <c r="H7" s="35" t="n">
        <f aca="false">INDEX(Monthly!$C$31:$BJ$31,($R$2-1)*12+1)</f>
        <v>25006.912</v>
      </c>
      <c r="I7" s="35" t="n">
        <f aca="false">INDEX(Monthly!$C$31:$BJ$31,($R$2-1)*12+2)</f>
        <v>28757.9488</v>
      </c>
      <c r="J7" s="35" t="n">
        <f aca="false">INDEX(Monthly!$C$31:$BJ$31,($R$2-1)*12+3)</f>
        <v>32508.9856</v>
      </c>
      <c r="K7" s="35" t="n">
        <f aca="false">INDEX(Monthly!$C$31:$BJ$31,($R$2-1)*12+4)</f>
        <v>36260.0224</v>
      </c>
      <c r="L7" s="35" t="n">
        <f aca="false">INDEX(Monthly!$C$31:$BJ$31,($R$2-1)*12+5)</f>
        <v>40011.0592</v>
      </c>
      <c r="M7" s="35" t="n">
        <f aca="false">INDEX(Monthly!$C$31:$BJ$31,($R$2-1)*12+6)</f>
        <v>50292.928</v>
      </c>
      <c r="N7" s="35" t="n">
        <f aca="false">INDEX(Monthly!$C$31:$BJ$31,($R$2-1)*12+7)</f>
        <v>54603.7504</v>
      </c>
      <c r="O7" s="35" t="n">
        <f aca="false">INDEX(Monthly!$C$31:$BJ$31,($R$2-1)*12+8)</f>
        <v>58914.5728</v>
      </c>
      <c r="P7" s="35" t="n">
        <f aca="false">INDEX(Monthly!$C$31:$BJ$31,($R$2-1)*12+9)</f>
        <v>55015.2064</v>
      </c>
      <c r="Q7" s="35" t="n">
        <f aca="false">INDEX(Monthly!$C$31:$BJ$31,($R$2-1)*12+10)</f>
        <v>58766.2432</v>
      </c>
      <c r="R7" s="35" t="n">
        <f aca="false">INDEX(Monthly!$C$31:$BJ$31,($R$2-1)*12+11)</f>
        <v>62517.28</v>
      </c>
      <c r="S7" s="35" t="n">
        <f aca="false">INDEX(Monthly!$C$31:$BJ$31,($R$2-1)*12+12)</f>
        <v>71847.04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-204565.28896</v>
      </c>
      <c r="C8" s="35" t="n">
        <f aca="false">'P&amp;L'!C6</f>
        <v>-278844.276352</v>
      </c>
      <c r="D8" s="35" t="n">
        <f aca="false">'P&amp;L'!D6</f>
        <v>-294361.850781837</v>
      </c>
      <c r="E8" s="35" t="n">
        <f aca="false">'P&amp;L'!E6</f>
        <v>-310780.524234451</v>
      </c>
      <c r="F8" s="35" t="n">
        <f aca="false">'P&amp;L'!F6</f>
        <v>-328153.856002529</v>
      </c>
      <c r="H8" s="35" t="n">
        <f aca="false">INDEX(Monthly!$C$39:$BJ$39,($R$2-1)*12+1)</f>
        <v>-10970.2037333333</v>
      </c>
      <c r="I8" s="35" t="n">
        <f aca="false">INDEX(Monthly!$C$39:$BJ$39,($R$2-1)*12+2)</f>
        <v>-12040.7342933333</v>
      </c>
      <c r="J8" s="35" t="n">
        <f aca="false">INDEX(Monthly!$C$39:$BJ$39,($R$2-1)*12+3)</f>
        <v>-13111.2648533333</v>
      </c>
      <c r="K8" s="35" t="n">
        <f aca="false">INDEX(Monthly!$C$39:$BJ$39,($R$2-1)*12+4)</f>
        <v>-14181.7954133333</v>
      </c>
      <c r="L8" s="35" t="n">
        <f aca="false">INDEX(Monthly!$C$39:$BJ$39,($R$2-1)*12+5)</f>
        <v>-15252.3259733333</v>
      </c>
      <c r="M8" s="35" t="n">
        <f aca="false">INDEX(Monthly!$C$39:$BJ$39,($R$2-1)*12+6)</f>
        <v>-17035.3109333333</v>
      </c>
      <c r="N8" s="35" t="n">
        <f aca="false">INDEX(Monthly!$C$39:$BJ$39,($R$2-1)*12+7)</f>
        <v>-18166.9090133333</v>
      </c>
      <c r="O8" s="35" t="n">
        <f aca="false">INDEX(Monthly!$C$39:$BJ$39,($R$2-1)*12+8)</f>
        <v>-19298.5070933333</v>
      </c>
      <c r="P8" s="35" t="n">
        <f aca="false">INDEX(Monthly!$C$39:$BJ$39,($R$2-1)*12+9)</f>
        <v>-19534.4482133333</v>
      </c>
      <c r="Q8" s="35" t="n">
        <f aca="false">INDEX(Monthly!$C$39:$BJ$39,($R$2-1)*12+10)</f>
        <v>-20604.9787733333</v>
      </c>
      <c r="R8" s="35" t="n">
        <f aca="false">INDEX(Monthly!$C$39:$BJ$39,($R$2-1)*12+11)</f>
        <v>-21675.5093333333</v>
      </c>
      <c r="S8" s="35" t="n">
        <f aca="false">INDEX(Monthly!$C$39:$BJ$39,($R$2-1)*12+12)</f>
        <v>-22693.3013333333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369936.65984</v>
      </c>
      <c r="C9" s="37" t="n">
        <f aca="false">'P&amp;L'!C7</f>
        <v>556642.481408</v>
      </c>
      <c r="D9" s="37" t="n">
        <f aca="false">'P&amp;L'!D7</f>
        <v>592006.050525747</v>
      </c>
      <c r="E9" s="37" t="n">
        <f aca="false">'P&amp;L'!E7</f>
        <v>629567.182262765</v>
      </c>
      <c r="F9" s="37" t="n">
        <f aca="false">'P&amp;L'!F7</f>
        <v>669461.025820368</v>
      </c>
      <c r="H9" s="37" t="n">
        <f aca="false">INDEX(Monthly!$C$40:$BJ$40,($R$2-1)*12+1)</f>
        <v>14036.7082666667</v>
      </c>
      <c r="I9" s="37" t="n">
        <f aca="false">INDEX(Monthly!$C$40:$BJ$40,($R$2-1)*12+2)</f>
        <v>16717.2145066667</v>
      </c>
      <c r="J9" s="37" t="n">
        <f aca="false">INDEX(Monthly!$C$40:$BJ$40,($R$2-1)*12+3)</f>
        <v>19397.7207466667</v>
      </c>
      <c r="K9" s="37" t="n">
        <f aca="false">INDEX(Monthly!$C$40:$BJ$40,($R$2-1)*12+4)</f>
        <v>22078.2269866667</v>
      </c>
      <c r="L9" s="37" t="n">
        <f aca="false">INDEX(Monthly!$C$40:$BJ$40,($R$2-1)*12+5)</f>
        <v>24758.7332266667</v>
      </c>
      <c r="M9" s="37" t="n">
        <f aca="false">INDEX(Monthly!$C$40:$BJ$40,($R$2-1)*12+6)</f>
        <v>33257.6170666667</v>
      </c>
      <c r="N9" s="37" t="n">
        <f aca="false">INDEX(Monthly!$C$40:$BJ$40,($R$2-1)*12+7)</f>
        <v>36436.8413866667</v>
      </c>
      <c r="O9" s="37" t="n">
        <f aca="false">INDEX(Monthly!$C$40:$BJ$40,($R$2-1)*12+8)</f>
        <v>39616.0657066667</v>
      </c>
      <c r="P9" s="37" t="n">
        <f aca="false">INDEX(Monthly!$C$40:$BJ$40,($R$2-1)*12+9)</f>
        <v>35480.7581866667</v>
      </c>
      <c r="Q9" s="37" t="n">
        <f aca="false">INDEX(Monthly!$C$40:$BJ$40,($R$2-1)*12+10)</f>
        <v>38161.2644266667</v>
      </c>
      <c r="R9" s="37" t="n">
        <f aca="false">INDEX(Monthly!$C$40:$BJ$40,($R$2-1)*12+11)</f>
        <v>40841.7706666667</v>
      </c>
      <c r="S9" s="37" t="n">
        <f aca="false">INDEX(Monthly!$C$40:$BJ$40,($R$2-1)*12+12)</f>
        <v>49153.7386666667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0.643925857192845</v>
      </c>
      <c r="C10" s="39" t="n">
        <f aca="false">'P&amp;L'!C8</f>
        <v>0.666249316626392</v>
      </c>
      <c r="D10" s="39" t="n">
        <f aca="false">'P&amp;L'!D8</f>
        <v>0.66790104837101</v>
      </c>
      <c r="E10" s="39" t="n">
        <f aca="false">'P&amp;L'!E8</f>
        <v>0.669504671424037</v>
      </c>
      <c r="F10" s="39" t="n">
        <f aca="false">'P&amp;L'!F8</f>
        <v>0.6710615870095</v>
      </c>
      <c r="H10" s="39" t="n">
        <f aca="false">IF(H7=0,0,H9/H7)</f>
        <v>0.561313138810049</v>
      </c>
      <c r="I10" s="39" t="n">
        <f aca="false">IF(I7=0,0,I9/I7)</f>
        <v>0.58130761073845</v>
      </c>
      <c r="J10" s="39" t="n">
        <f aca="false">IF(J7=0,0,J9/J7)</f>
        <v>0.596687973760297</v>
      </c>
      <c r="K10" s="39" t="n">
        <f aca="false">IF(K7=0,0,K9/K7)</f>
        <v>0.608886192708658</v>
      </c>
      <c r="L10" s="39" t="n">
        <f aca="false">IF(L7=0,0,L9/L7)</f>
        <v>0.618797245604202</v>
      </c>
      <c r="M10" s="39" t="n">
        <f aca="false">IF(M7=0,0,M9/M7)</f>
        <v>0.661278203302593</v>
      </c>
      <c r="N10" s="39" t="n">
        <f aca="false">IF(N7=0,0,N9/N7)</f>
        <v>0.667295581709103</v>
      </c>
      <c r="O10" s="39" t="n">
        <f aca="false">IF(O7=0,0,O9/O7)</f>
        <v>0.672432368153685</v>
      </c>
      <c r="P10" s="39" t="n">
        <f aca="false">IF(P7=0,0,P9/P7)</f>
        <v>0.64492638505609</v>
      </c>
      <c r="Q10" s="39" t="n">
        <f aca="false">IF(Q7=0,0,Q9/Q7)</f>
        <v>0.649373898154284</v>
      </c>
      <c r="R10" s="39" t="n">
        <f aca="false">IF(R7=0,0,R9/R7)</f>
        <v>0.653287709680694</v>
      </c>
      <c r="S10" s="39" t="n">
        <f aca="false">IF(S7=0,0,S9/S7)</f>
        <v>0.684144241247331</v>
      </c>
    </row>
    <row r="11" customFormat="false" ht="15" hidden="false" customHeight="false" outlineLevel="0" collapsed="false">
      <c r="A11" s="51" t="s">
        <v>77</v>
      </c>
      <c r="B11" s="35" t="n">
        <f aca="false">'P&amp;L'!B15</f>
        <v>-434085.058464</v>
      </c>
      <c r="C11" s="35" t="n">
        <f aca="false">'P&amp;L'!C15</f>
        <v>-444760.1027328</v>
      </c>
      <c r="D11" s="35" t="n">
        <f aca="false">'P&amp;L'!D15</f>
        <v>-451149.402039228</v>
      </c>
      <c r="E11" s="35" t="n">
        <f aca="false">'P&amp;L'!E15</f>
        <v>-459323.147144917</v>
      </c>
      <c r="F11" s="35" t="n">
        <f aca="false">'P&amp;L'!F15</f>
        <v>-469028.623883187</v>
      </c>
      <c r="H11" s="35" t="n">
        <f aca="false">INDEX(Monthly!$C$49:$BJ$49,($R$2-1)*12+1)</f>
        <v>-35487.70736</v>
      </c>
      <c r="I11" s="35" t="n">
        <f aca="false">INDEX(Monthly!$C$49:$BJ$49,($R$2-1)*12+2)</f>
        <v>-35600.238464</v>
      </c>
      <c r="J11" s="35" t="n">
        <f aca="false">INDEX(Monthly!$C$49:$BJ$49,($R$2-1)*12+3)</f>
        <v>-35712.769568</v>
      </c>
      <c r="K11" s="35" t="n">
        <f aca="false">INDEX(Monthly!$C$49:$BJ$49,($R$2-1)*12+4)</f>
        <v>-35825.300672</v>
      </c>
      <c r="L11" s="35" t="n">
        <f aca="false">INDEX(Monthly!$C$49:$BJ$49,($R$2-1)*12+5)</f>
        <v>-35937.831776</v>
      </c>
      <c r="M11" s="35" t="n">
        <f aca="false">INDEX(Monthly!$C$49:$BJ$49,($R$2-1)*12+6)</f>
        <v>-36246.28784</v>
      </c>
      <c r="N11" s="35" t="n">
        <f aca="false">INDEX(Monthly!$C$49:$BJ$49,($R$2-1)*12+7)</f>
        <v>-36375.612512</v>
      </c>
      <c r="O11" s="35" t="n">
        <f aca="false">INDEX(Monthly!$C$49:$BJ$49,($R$2-1)*12+8)</f>
        <v>-36504.937184</v>
      </c>
      <c r="P11" s="35" t="n">
        <f aca="false">INDEX(Monthly!$C$49:$BJ$49,($R$2-1)*12+9)</f>
        <v>-36387.956192</v>
      </c>
      <c r="Q11" s="35" t="n">
        <f aca="false">INDEX(Monthly!$C$49:$BJ$49,($R$2-1)*12+10)</f>
        <v>-36500.487296</v>
      </c>
      <c r="R11" s="35" t="n">
        <f aca="false">INDEX(Monthly!$C$49:$BJ$49,($R$2-1)*12+11)</f>
        <v>-36613.0184</v>
      </c>
      <c r="S11" s="35" t="n">
        <f aca="false">INDEX(Monthly!$C$49:$BJ$49,($R$2-1)*12+12)</f>
        <v>-36892.9112</v>
      </c>
    </row>
    <row r="12" customFormat="false" ht="15" hidden="false" customHeight="false" outlineLevel="0" collapsed="false">
      <c r="A12" s="36" t="s">
        <v>48</v>
      </c>
      <c r="B12" s="37" t="n">
        <f aca="false">'P&amp;L'!B16</f>
        <v>-64148.398624</v>
      </c>
      <c r="C12" s="37" t="n">
        <f aca="false">'P&amp;L'!C16</f>
        <v>111882.3786752</v>
      </c>
      <c r="D12" s="37" t="n">
        <f aca="false">'P&amp;L'!D16</f>
        <v>140856.64848652</v>
      </c>
      <c r="E12" s="37" t="n">
        <f aca="false">'P&amp;L'!E16</f>
        <v>170244.035117849</v>
      </c>
      <c r="F12" s="37" t="n">
        <f aca="false">'P&amp;L'!F16</f>
        <v>200432.401937181</v>
      </c>
      <c r="H12" s="37" t="n">
        <f aca="false">INDEX(Monthly!$C$50:$BJ$50,($R$2-1)*12+1)</f>
        <v>-21450.9990933333</v>
      </c>
      <c r="I12" s="37" t="n">
        <f aca="false">INDEX(Monthly!$C$50:$BJ$50,($R$2-1)*12+2)</f>
        <v>-18883.0239573333</v>
      </c>
      <c r="J12" s="37" t="n">
        <f aca="false">INDEX(Monthly!$C$50:$BJ$50,($R$2-1)*12+3)</f>
        <v>-16315.0488213333</v>
      </c>
      <c r="K12" s="37" t="n">
        <f aca="false">INDEX(Monthly!$C$50:$BJ$50,($R$2-1)*12+4)</f>
        <v>-13747.0736853333</v>
      </c>
      <c r="L12" s="37" t="n">
        <f aca="false">INDEX(Monthly!$C$50:$BJ$50,($R$2-1)*12+5)</f>
        <v>-11179.0985493333</v>
      </c>
      <c r="M12" s="37" t="n">
        <f aca="false">INDEX(Monthly!$C$50:$BJ$50,($R$2-1)*12+6)</f>
        <v>-2988.67077333334</v>
      </c>
      <c r="N12" s="37" t="n">
        <f aca="false">INDEX(Monthly!$C$50:$BJ$50,($R$2-1)*12+7)</f>
        <v>61.2288746666673</v>
      </c>
      <c r="O12" s="37" t="n">
        <f aca="false">INDEX(Monthly!$C$50:$BJ$50,($R$2-1)*12+8)</f>
        <v>3111.12852266667</v>
      </c>
      <c r="P12" s="37" t="n">
        <f aca="false">INDEX(Monthly!$C$50:$BJ$50,($R$2-1)*12+9)</f>
        <v>-907.198005333339</v>
      </c>
      <c r="Q12" s="37" t="n">
        <f aca="false">INDEX(Monthly!$C$50:$BJ$50,($R$2-1)*12+10)</f>
        <v>1660.77713066666</v>
      </c>
      <c r="R12" s="37" t="n">
        <f aca="false">INDEX(Monthly!$C$50:$BJ$50,($R$2-1)*12+11)</f>
        <v>4228.75226666666</v>
      </c>
      <c r="S12" s="37" t="n">
        <f aca="false">INDEX(Monthly!$C$50:$BJ$50,($R$2-1)*12+12)</f>
        <v>12260.8274666667</v>
      </c>
    </row>
    <row r="13" customFormat="false" ht="15" hidden="false" customHeight="false" outlineLevel="0" collapsed="false">
      <c r="A13" s="38" t="s">
        <v>49</v>
      </c>
      <c r="B13" s="39" t="n">
        <f aca="false">'P&amp;L'!B17</f>
        <v>-0.111659148864492</v>
      </c>
      <c r="C13" s="39" t="n">
        <f aca="false">'P&amp;L'!C17</f>
        <v>0.133912809073318</v>
      </c>
      <c r="D13" s="39" t="n">
        <f aca="false">'P&amp;L'!D17</f>
        <v>0.158914428510696</v>
      </c>
      <c r="E13" s="39" t="n">
        <f aca="false">'P&amp;L'!E17</f>
        <v>0.18104370749412</v>
      </c>
      <c r="F13" s="39" t="n">
        <f aca="false">'P&amp;L'!F17</f>
        <v>0.200911599845964</v>
      </c>
      <c r="H13" s="39" t="n">
        <f aca="false">IF(H7=0,0,H12/H7)</f>
        <v>-0.857802798415628</v>
      </c>
      <c r="I13" s="39" t="n">
        <f aca="false">IF(I7=0,0,I12/I7)</f>
        <v>-0.656619291196921</v>
      </c>
      <c r="J13" s="39" t="n">
        <f aca="false">IF(J7=0,0,J12/J7)</f>
        <v>-0.501862747182531</v>
      </c>
      <c r="K13" s="39" t="n">
        <f aca="false">IF(K7=0,0,K12/K7)</f>
        <v>-0.379124798481463</v>
      </c>
      <c r="L13" s="39" t="n">
        <f aca="false">IF(L7=0,0,L12/L7)</f>
        <v>-0.279400215161845</v>
      </c>
      <c r="M13" s="39" t="n">
        <f aca="false">IF(M7=0,0,M12/M7)</f>
        <v>-0.0594252689629313</v>
      </c>
      <c r="N13" s="39" t="n">
        <f aca="false">IF(N7=0,0,N12/N7)</f>
        <v>0.00112133093822558</v>
      </c>
      <c r="O13" s="39" t="n">
        <f aca="false">IF(O7=0,0,O12/O7)</f>
        <v>0.0528074528050667</v>
      </c>
      <c r="P13" s="39" t="n">
        <f aca="false">IF(P7=0,0,P12/P7)</f>
        <v>-0.01648995004649</v>
      </c>
      <c r="Q13" s="39" t="n">
        <f aca="false">IF(Q7=0,0,Q12/Q7)</f>
        <v>0.0282607333774003</v>
      </c>
      <c r="R13" s="39" t="n">
        <f aca="false">IF(R7=0,0,R12/R7)</f>
        <v>0.0676413347904238</v>
      </c>
      <c r="S13" s="39" t="n">
        <f aca="false">IF(S7=0,0,S12/S7)</f>
        <v>0.170651810661465</v>
      </c>
    </row>
    <row r="14" customFormat="false" ht="15" hidden="false" customHeight="false" outlineLevel="0" collapsed="false">
      <c r="A14" s="51" t="s">
        <v>78</v>
      </c>
      <c r="B14" s="35" t="n">
        <f aca="false">'P&amp;L'!B18</f>
        <v>-23625</v>
      </c>
      <c r="C14" s="35" t="n">
        <f aca="false">'P&amp;L'!C18</f>
        <v>-24875</v>
      </c>
      <c r="D14" s="35" t="n">
        <f aca="false">'P&amp;L'!D18</f>
        <v>-26125</v>
      </c>
      <c r="E14" s="35" t="n">
        <f aca="false">'P&amp;L'!E18</f>
        <v>-27375</v>
      </c>
      <c r="F14" s="35" t="n">
        <f aca="false">'P&amp;L'!F18</f>
        <v>-28625</v>
      </c>
      <c r="H14" s="35" t="n">
        <f aca="false">INDEX(Monthly!$C$70:$BJ$70,($R$2-1)*12+1)</f>
        <v>-1968.75</v>
      </c>
      <c r="I14" s="35" t="n">
        <f aca="false">INDEX(Monthly!$C$70:$BJ$70,($R$2-1)*12+2)</f>
        <v>-1968.75</v>
      </c>
      <c r="J14" s="35" t="n">
        <f aca="false">INDEX(Monthly!$C$70:$BJ$70,($R$2-1)*12+3)</f>
        <v>-1968.75</v>
      </c>
      <c r="K14" s="35" t="n">
        <f aca="false">INDEX(Monthly!$C$70:$BJ$70,($R$2-1)*12+4)</f>
        <v>-1968.75</v>
      </c>
      <c r="L14" s="35" t="n">
        <f aca="false">INDEX(Monthly!$C$70:$BJ$70,($R$2-1)*12+5)</f>
        <v>-1968.75</v>
      </c>
      <c r="M14" s="35" t="n">
        <f aca="false">INDEX(Monthly!$C$70:$BJ$70,($R$2-1)*12+6)</f>
        <v>-1968.75</v>
      </c>
      <c r="N14" s="35" t="n">
        <f aca="false">INDEX(Monthly!$C$70:$BJ$70,($R$2-1)*12+7)</f>
        <v>-1968.75</v>
      </c>
      <c r="O14" s="35" t="n">
        <f aca="false">INDEX(Monthly!$C$70:$BJ$70,($R$2-1)*12+8)</f>
        <v>-1968.75</v>
      </c>
      <c r="P14" s="35" t="n">
        <f aca="false">INDEX(Monthly!$C$70:$BJ$70,($R$2-1)*12+9)</f>
        <v>-1968.75</v>
      </c>
      <c r="Q14" s="35" t="n">
        <f aca="false">INDEX(Monthly!$C$70:$BJ$70,($R$2-1)*12+10)</f>
        <v>-1968.75</v>
      </c>
      <c r="R14" s="35" t="n">
        <f aca="false">INDEX(Monthly!$C$70:$BJ$70,($R$2-1)*12+11)</f>
        <v>-1968.75</v>
      </c>
      <c r="S14" s="35" t="n">
        <f aca="false">INDEX(Monthly!$C$70:$BJ$70,($R$2-1)*12+12)</f>
        <v>-1968.75</v>
      </c>
    </row>
    <row r="15" customFormat="false" ht="15" hidden="false" customHeight="false" outlineLevel="0" collapsed="false">
      <c r="A15" s="36" t="s">
        <v>79</v>
      </c>
      <c r="B15" s="37" t="n">
        <f aca="false">'P&amp;L'!B19</f>
        <v>-87773.398624</v>
      </c>
      <c r="C15" s="37" t="n">
        <f aca="false">'P&amp;L'!C19</f>
        <v>87007.3786752</v>
      </c>
      <c r="D15" s="37" t="n">
        <f aca="false">'P&amp;L'!D19</f>
        <v>114731.64848652</v>
      </c>
      <c r="E15" s="37" t="n">
        <f aca="false">'P&amp;L'!E19</f>
        <v>142869.035117849</v>
      </c>
      <c r="F15" s="37" t="n">
        <f aca="false">'P&amp;L'!F19</f>
        <v>171807.401937181</v>
      </c>
      <c r="H15" s="37" t="n">
        <f aca="false">INDEX(Monthly!$C$53:$BJ$53,($R$2-1)*12+1)</f>
        <v>-23419.7490933333</v>
      </c>
      <c r="I15" s="37" t="n">
        <f aca="false">INDEX(Monthly!$C$53:$BJ$53,($R$2-1)*12+2)</f>
        <v>-20851.7739573333</v>
      </c>
      <c r="J15" s="37" t="n">
        <f aca="false">INDEX(Monthly!$C$53:$BJ$53,($R$2-1)*12+3)</f>
        <v>-18283.7988213333</v>
      </c>
      <c r="K15" s="37" t="n">
        <f aca="false">INDEX(Monthly!$C$53:$BJ$53,($R$2-1)*12+4)</f>
        <v>-15715.8236853333</v>
      </c>
      <c r="L15" s="37" t="n">
        <f aca="false">INDEX(Monthly!$C$53:$BJ$53,($R$2-1)*12+5)</f>
        <v>-13147.8485493333</v>
      </c>
      <c r="M15" s="37" t="n">
        <f aca="false">INDEX(Monthly!$C$53:$BJ$53,($R$2-1)*12+6)</f>
        <v>-4957.42077333334</v>
      </c>
      <c r="N15" s="37" t="n">
        <f aca="false">INDEX(Monthly!$C$53:$BJ$53,($R$2-1)*12+7)</f>
        <v>-1907.52112533333</v>
      </c>
      <c r="O15" s="37" t="n">
        <f aca="false">INDEX(Monthly!$C$53:$BJ$53,($R$2-1)*12+8)</f>
        <v>1142.37852266667</v>
      </c>
      <c r="P15" s="37" t="n">
        <f aca="false">INDEX(Monthly!$C$53:$BJ$53,($R$2-1)*12+9)</f>
        <v>-2875.94800533334</v>
      </c>
      <c r="Q15" s="37" t="n">
        <f aca="false">INDEX(Monthly!$C$53:$BJ$53,($R$2-1)*12+10)</f>
        <v>-307.972869333338</v>
      </c>
      <c r="R15" s="37" t="n">
        <f aca="false">INDEX(Monthly!$C$53:$BJ$53,($R$2-1)*12+11)</f>
        <v>2260.00226666666</v>
      </c>
      <c r="S15" s="37" t="n">
        <f aca="false">INDEX(Monthly!$C$53:$BJ$53,($R$2-1)*12+12)</f>
        <v>10292.0774666667</v>
      </c>
    </row>
    <row r="16" customFormat="false" ht="15" hidden="false" customHeight="false" outlineLevel="0" collapsed="false">
      <c r="A16" s="51" t="s">
        <v>80</v>
      </c>
      <c r="B16" s="35" t="n">
        <f aca="false">'P&amp;L'!B20</f>
        <v>-8243.75</v>
      </c>
      <c r="C16" s="35" t="n">
        <f aca="false">'P&amp;L'!C20</f>
        <v>-6449.99999999999</v>
      </c>
      <c r="D16" s="35" t="n">
        <f aca="false">'P&amp;L'!D20</f>
        <v>-4649.99999999999</v>
      </c>
      <c r="E16" s="35" t="n">
        <f aca="false">'P&amp;L'!E20</f>
        <v>-2850</v>
      </c>
      <c r="F16" s="35" t="n">
        <f aca="false">'P&amp;L'!F20</f>
        <v>-1049.99999999999</v>
      </c>
      <c r="H16" s="35" t="n">
        <f aca="false">INDEX(Monthly!$C$54:$BJ$54,($R$2-1)*12+1)</f>
        <v>-750</v>
      </c>
      <c r="I16" s="35" t="n">
        <f aca="false">INDEX(Monthly!$C$54:$BJ$54,($R$2-1)*12+2)</f>
        <v>-743.75</v>
      </c>
      <c r="J16" s="35" t="n">
        <f aca="false">INDEX(Monthly!$C$54:$BJ$54,($R$2-1)*12+3)</f>
        <v>-731.25</v>
      </c>
      <c r="K16" s="35" t="n">
        <f aca="false">INDEX(Monthly!$C$54:$BJ$54,($R$2-1)*12+4)</f>
        <v>-718.75</v>
      </c>
      <c r="L16" s="35" t="n">
        <f aca="false">INDEX(Monthly!$C$54:$BJ$54,($R$2-1)*12+5)</f>
        <v>-706.25</v>
      </c>
      <c r="M16" s="35" t="n">
        <f aca="false">INDEX(Monthly!$C$54:$BJ$54,($R$2-1)*12+6)</f>
        <v>-693.75</v>
      </c>
      <c r="N16" s="35" t="n">
        <f aca="false">INDEX(Monthly!$C$54:$BJ$54,($R$2-1)*12+7)</f>
        <v>-681.25</v>
      </c>
      <c r="O16" s="35" t="n">
        <f aca="false">INDEX(Monthly!$C$54:$BJ$54,($R$2-1)*12+8)</f>
        <v>-668.75</v>
      </c>
      <c r="P16" s="35" t="n">
        <f aca="false">INDEX(Monthly!$C$54:$BJ$54,($R$2-1)*12+9)</f>
        <v>-656.25</v>
      </c>
      <c r="Q16" s="35" t="n">
        <f aca="false">INDEX(Monthly!$C$54:$BJ$54,($R$2-1)*12+10)</f>
        <v>-643.75</v>
      </c>
      <c r="R16" s="35" t="n">
        <f aca="false">INDEX(Monthly!$C$54:$BJ$54,($R$2-1)*12+11)</f>
        <v>-631.25</v>
      </c>
      <c r="S16" s="35" t="n">
        <f aca="false">INDEX(Monthly!$C$54:$BJ$54,($R$2-1)*12+12)</f>
        <v>-618.75</v>
      </c>
    </row>
    <row r="17" customFormat="false" ht="15" hidden="false" customHeight="false" outlineLevel="0" collapsed="false">
      <c r="A17" s="51" t="s">
        <v>81</v>
      </c>
      <c r="B17" s="35" t="n">
        <f aca="false">'P&amp;L'!B21</f>
        <v>-96017.148624</v>
      </c>
      <c r="C17" s="35" t="n">
        <f aca="false">'P&amp;L'!C21</f>
        <v>80557.3786752</v>
      </c>
      <c r="D17" s="35" t="n">
        <f aca="false">'P&amp;L'!D21</f>
        <v>110081.64848652</v>
      </c>
      <c r="E17" s="35" t="n">
        <f aca="false">'P&amp;L'!E21</f>
        <v>140019.035117849</v>
      </c>
      <c r="F17" s="35" t="n">
        <f aca="false">'P&amp;L'!F21</f>
        <v>170757.401937181</v>
      </c>
      <c r="H17" s="35" t="n">
        <f aca="false">INDEX(Monthly!$C$55:$BJ$55,($R$2-1)*12+1)</f>
        <v>-24169.7490933333</v>
      </c>
      <c r="I17" s="35" t="n">
        <f aca="false">INDEX(Monthly!$C$55:$BJ$55,($R$2-1)*12+2)</f>
        <v>-21595.5239573333</v>
      </c>
      <c r="J17" s="35" t="n">
        <f aca="false">INDEX(Monthly!$C$55:$BJ$55,($R$2-1)*12+3)</f>
        <v>-19015.0488213333</v>
      </c>
      <c r="K17" s="35" t="n">
        <f aca="false">INDEX(Monthly!$C$55:$BJ$55,($R$2-1)*12+4)</f>
        <v>-16434.5736853333</v>
      </c>
      <c r="L17" s="35" t="n">
        <f aca="false">INDEX(Monthly!$C$55:$BJ$55,($R$2-1)*12+5)</f>
        <v>-13854.0985493333</v>
      </c>
      <c r="M17" s="35" t="n">
        <f aca="false">INDEX(Monthly!$C$55:$BJ$55,($R$2-1)*12+6)</f>
        <v>-5651.17077333334</v>
      </c>
      <c r="N17" s="35" t="n">
        <f aca="false">INDEX(Monthly!$C$55:$BJ$55,($R$2-1)*12+7)</f>
        <v>-2588.77112533333</v>
      </c>
      <c r="O17" s="35" t="n">
        <f aca="false">INDEX(Monthly!$C$55:$BJ$55,($R$2-1)*12+8)</f>
        <v>473.628522666666</v>
      </c>
      <c r="P17" s="35" t="n">
        <f aca="false">INDEX(Monthly!$C$55:$BJ$55,($R$2-1)*12+9)</f>
        <v>-3532.19800533334</v>
      </c>
      <c r="Q17" s="35" t="n">
        <f aca="false">INDEX(Monthly!$C$55:$BJ$55,($R$2-1)*12+10)</f>
        <v>-951.722869333338</v>
      </c>
      <c r="R17" s="35" t="n">
        <f aca="false">INDEX(Monthly!$C$55:$BJ$55,($R$2-1)*12+11)</f>
        <v>1628.75226666666</v>
      </c>
      <c r="S17" s="35" t="n">
        <f aca="false">INDEX(Monthly!$C$55:$BJ$55,($R$2-1)*12+12)</f>
        <v>9673.32746666667</v>
      </c>
    </row>
    <row r="18" customFormat="false" ht="15" hidden="false" customHeight="false" outlineLevel="0" collapsed="false">
      <c r="A18" s="51" t="s">
        <v>82</v>
      </c>
      <c r="B18" s="35" t="n">
        <f aca="false">'P&amp;L'!B22</f>
        <v>0</v>
      </c>
      <c r="C18" s="35" t="n">
        <f aca="false">'P&amp;L'!C22</f>
        <v>0</v>
      </c>
      <c r="D18" s="35" t="n">
        <f aca="false">'P&amp;L'!D22</f>
        <v>-19870.5944929211</v>
      </c>
      <c r="E18" s="35" t="n">
        <f aca="false">'P&amp;L'!E22</f>
        <v>-29403.9973747482</v>
      </c>
      <c r="F18" s="35" t="n">
        <f aca="false">'P&amp;L'!F22</f>
        <v>-35859.054406808</v>
      </c>
      <c r="H18" s="35" t="n">
        <f aca="false">INDEX(Monthly!$C$58:$BJ$58,($R$2-1)*12+1)</f>
        <v>-0</v>
      </c>
      <c r="I18" s="35" t="n">
        <f aca="false">INDEX(Monthly!$C$58:$BJ$58,($R$2-1)*12+2)</f>
        <v>-0</v>
      </c>
      <c r="J18" s="35" t="n">
        <f aca="false">INDEX(Monthly!$C$58:$BJ$58,($R$2-1)*12+3)</f>
        <v>-0</v>
      </c>
      <c r="K18" s="35" t="n">
        <f aca="false">INDEX(Monthly!$C$58:$BJ$58,($R$2-1)*12+4)</f>
        <v>-0</v>
      </c>
      <c r="L18" s="35" t="n">
        <f aca="false">INDEX(Monthly!$C$58:$BJ$58,($R$2-1)*12+5)</f>
        <v>-0</v>
      </c>
      <c r="M18" s="35" t="n">
        <f aca="false">INDEX(Monthly!$C$58:$BJ$58,($R$2-1)*12+6)</f>
        <v>-0</v>
      </c>
      <c r="N18" s="35" t="n">
        <f aca="false">INDEX(Monthly!$C$58:$BJ$58,($R$2-1)*12+7)</f>
        <v>-0</v>
      </c>
      <c r="O18" s="35" t="n">
        <f aca="false">INDEX(Monthly!$C$58:$BJ$58,($R$2-1)*12+8)</f>
        <v>-0</v>
      </c>
      <c r="P18" s="35" t="n">
        <f aca="false">INDEX(Monthly!$C$58:$BJ$58,($R$2-1)*12+9)</f>
        <v>-0</v>
      </c>
      <c r="Q18" s="35" t="n">
        <f aca="false">INDEX(Monthly!$C$58:$BJ$58,($R$2-1)*12+10)</f>
        <v>-0</v>
      </c>
      <c r="R18" s="35" t="n">
        <f aca="false">INDEX(Monthly!$C$58:$BJ$58,($R$2-1)*12+11)</f>
        <v>-0</v>
      </c>
      <c r="S18" s="35" t="n">
        <f aca="false">INDEX(Monthly!$C$58:$BJ$58,($R$2-1)*12+12)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'P&amp;L'!B23</f>
        <v>-96017.148624</v>
      </c>
      <c r="C19" s="41" t="n">
        <f aca="false">'P&amp;L'!C23</f>
        <v>80557.3786752</v>
      </c>
      <c r="D19" s="41" t="n">
        <f aca="false">'P&amp;L'!D23</f>
        <v>90211.0539935985</v>
      </c>
      <c r="E19" s="41" t="n">
        <f aca="false">'P&amp;L'!E23</f>
        <v>110615.037743101</v>
      </c>
      <c r="F19" s="41" t="n">
        <f aca="false">'P&amp;L'!F23</f>
        <v>134898.347530373</v>
      </c>
      <c r="H19" s="41" t="n">
        <f aca="false">INDEX(Monthly!$C$59:$BJ$59,($R$2-1)*12+1)</f>
        <v>-24169.7490933333</v>
      </c>
      <c r="I19" s="41" t="n">
        <f aca="false">INDEX(Monthly!$C$59:$BJ$59,($R$2-1)*12+2)</f>
        <v>-21595.5239573333</v>
      </c>
      <c r="J19" s="41" t="n">
        <f aca="false">INDEX(Monthly!$C$59:$BJ$59,($R$2-1)*12+3)</f>
        <v>-19015.0488213333</v>
      </c>
      <c r="K19" s="41" t="n">
        <f aca="false">INDEX(Monthly!$C$59:$BJ$59,($R$2-1)*12+4)</f>
        <v>-16434.5736853333</v>
      </c>
      <c r="L19" s="41" t="n">
        <f aca="false">INDEX(Monthly!$C$59:$BJ$59,($R$2-1)*12+5)</f>
        <v>-13854.0985493333</v>
      </c>
      <c r="M19" s="41" t="n">
        <f aca="false">INDEX(Monthly!$C$59:$BJ$59,($R$2-1)*12+6)</f>
        <v>-5651.17077333334</v>
      </c>
      <c r="N19" s="41" t="n">
        <f aca="false">INDEX(Monthly!$C$59:$BJ$59,($R$2-1)*12+7)</f>
        <v>-2588.77112533333</v>
      </c>
      <c r="O19" s="41" t="n">
        <f aca="false">INDEX(Monthly!$C$59:$BJ$59,($R$2-1)*12+8)</f>
        <v>473.628522666666</v>
      </c>
      <c r="P19" s="41" t="n">
        <f aca="false">INDEX(Monthly!$C$59:$BJ$59,($R$2-1)*12+9)</f>
        <v>-3532.19800533334</v>
      </c>
      <c r="Q19" s="41" t="n">
        <f aca="false">INDEX(Monthly!$C$59:$BJ$59,($R$2-1)*12+10)</f>
        <v>-951.722869333338</v>
      </c>
      <c r="R19" s="41" t="n">
        <f aca="false">INDEX(Monthly!$C$59:$BJ$59,($R$2-1)*12+11)</f>
        <v>1628.75226666666</v>
      </c>
      <c r="S19" s="41" t="n">
        <f aca="false">INDEX(Monthly!$C$59:$BJ$59,($R$2-1)*12+12)</f>
        <v>9673.32746666667</v>
      </c>
    </row>
    <row r="20" customFormat="false" ht="15" hidden="false" customHeight="false" outlineLevel="0" collapsed="false">
      <c r="A20" s="38" t="s">
        <v>51</v>
      </c>
      <c r="B20" s="39" t="n">
        <f aca="false">'P&amp;L'!B24</f>
        <v>-0.167131110389716</v>
      </c>
      <c r="C20" s="39" t="n">
        <f aca="false">'P&amp;L'!C24</f>
        <v>0.0964196953775547</v>
      </c>
      <c r="D20" s="39" t="n">
        <f aca="false">'P&amp;L'!D24</f>
        <v>0.101776084017165</v>
      </c>
      <c r="E20" s="39" t="n">
        <f aca="false">'P&amp;L'!E24</f>
        <v>0.117632059905947</v>
      </c>
      <c r="F20" s="39" t="n">
        <f aca="false">'P&amp;L'!F24</f>
        <v>0.135220865274062</v>
      </c>
      <c r="H20" s="39" t="n">
        <f aca="false">IF(H7=0,0,H19/H7)</f>
        <v>-0.966522739526309</v>
      </c>
      <c r="I20" s="39" t="n">
        <f aca="false">IF(I7=0,0,I19/I7)</f>
        <v>-0.750941039206988</v>
      </c>
      <c r="J20" s="39" t="n">
        <f aca="false">IF(J7=0,0,J19/J7)</f>
        <v>-0.584916707500505</v>
      </c>
      <c r="K20" s="39" t="n">
        <f aca="false">IF(K7=0,0,K19/K7)</f>
        <v>-0.453242237526399</v>
      </c>
      <c r="L20" s="39" t="n">
        <f aca="false">IF(L7=0,0,L19/L7)</f>
        <v>-0.346256730672437</v>
      </c>
      <c r="M20" s="39" t="n">
        <f aca="false">IF(M7=0,0,M19/M7)</f>
        <v>-0.112365117682815</v>
      </c>
      <c r="N20" s="39" t="n">
        <f aca="false">IF(N7=0,0,N19/N7)</f>
        <v>-0.0474101340360191</v>
      </c>
      <c r="O20" s="39" t="n">
        <f aca="false">IF(O7=0,0,O19/O7)</f>
        <v>0.00803924224783085</v>
      </c>
      <c r="P20" s="39" t="n">
        <f aca="false">IF(P7=0,0,P19/P7)</f>
        <v>-0.0642040307847203</v>
      </c>
      <c r="Q20" s="39" t="n">
        <f aca="false">IF(Q7=0,0,Q19/Q7)</f>
        <v>-0.0161950605910663</v>
      </c>
      <c r="R20" s="39" t="n">
        <f aca="false">IF(R7=0,0,R19/R7)</f>
        <v>0.0260528331793492</v>
      </c>
      <c r="S20" s="39" t="n">
        <f aca="false">IF(S7=0,0,S19/S7)</f>
        <v>0.134637800898501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-62809.5271128889</v>
      </c>
      <c r="C24" s="37" t="n">
        <f aca="false">'Cash Flow'!C10</f>
        <v>105940.941991893</v>
      </c>
      <c r="D24" s="37" t="n">
        <f aca="false">'Cash Flow'!D10</f>
        <v>116873.338266278</v>
      </c>
      <c r="E24" s="37" t="n">
        <f aca="false">'Cash Flow'!E10</f>
        <v>138557.724561487</v>
      </c>
      <c r="F24" s="37" t="n">
        <f aca="false">'Cash Flow'!F10</f>
        <v>164123.218867504</v>
      </c>
      <c r="H24" s="37" t="n">
        <f aca="false">INDEX(Monthly!$C$89:$BJ$89,($R$2-1)*12+1)</f>
        <v>-16920.3308622222</v>
      </c>
      <c r="I24" s="37" t="n">
        <f aca="false">INDEX(Monthly!$C$89:$BJ$89,($R$2-1)*12+2)</f>
        <v>-19198.8403893333</v>
      </c>
      <c r="J24" s="37" t="n">
        <f aca="false">INDEX(Monthly!$C$89:$BJ$89,($R$2-1)*12+3)</f>
        <v>-16618.3652533333</v>
      </c>
      <c r="K24" s="37" t="n">
        <f aca="false">INDEX(Monthly!$C$89:$BJ$89,($R$2-1)*12+4)</f>
        <v>-14037.8901173333</v>
      </c>
      <c r="L24" s="37" t="n">
        <f aca="false">INDEX(Monthly!$C$89:$BJ$89,($R$2-1)*12+5)</f>
        <v>-11457.4149813333</v>
      </c>
      <c r="M24" s="37" t="n">
        <f aca="false">INDEX(Monthly!$C$89:$BJ$89,($R$2-1)*12+6)</f>
        <v>-3238.65488533334</v>
      </c>
      <c r="N24" s="37" t="n">
        <f aca="false">INDEX(Monthly!$C$89:$BJ$89,($R$2-1)*12+7)</f>
        <v>-190.730501333334</v>
      </c>
      <c r="O24" s="37" t="n">
        <f aca="false">INDEX(Monthly!$C$89:$BJ$89,($R$2-1)*12+8)</f>
        <v>2871.66914666667</v>
      </c>
      <c r="P24" s="37" t="n">
        <f aca="false">INDEX(Monthly!$C$89:$BJ$89,($R$2-1)*12+9)</f>
        <v>-1154.06086933334</v>
      </c>
      <c r="Q24" s="37" t="n">
        <f aca="false">INDEX(Monthly!$C$89:$BJ$89,($R$2-1)*12+10)</f>
        <v>1444.96069866666</v>
      </c>
      <c r="R24" s="37" t="n">
        <f aca="false">INDEX(Monthly!$C$89:$BJ$89,($R$2-1)*12+11)</f>
        <v>4025.43583466666</v>
      </c>
      <c r="S24" s="37" t="n">
        <f aca="false">INDEX(Monthly!$C$89:$BJ$89,($R$2-1)*12+12)</f>
        <v>11664.6950666667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-189000</v>
      </c>
      <c r="C25" s="35" t="n">
        <f aca="false">'Cash Flow'!C11</f>
        <v>-10000</v>
      </c>
      <c r="D25" s="35" t="n">
        <f aca="false">'Cash Flow'!D11</f>
        <v>-10000</v>
      </c>
      <c r="E25" s="35" t="n">
        <f aca="false">'Cash Flow'!E11</f>
        <v>-10000</v>
      </c>
      <c r="F25" s="35" t="n">
        <f aca="false">'Cash Flow'!F11</f>
        <v>-10000</v>
      </c>
      <c r="H25" s="35" t="n">
        <f aca="false">INDEX(Monthly!$C$90:$BJ$90,($R$2-1)*12+1)</f>
        <v>-189000</v>
      </c>
      <c r="I25" s="35" t="n">
        <f aca="false">INDEX(Monthly!$C$90:$BJ$90,($R$2-1)*12+2)</f>
        <v>-0</v>
      </c>
      <c r="J25" s="35" t="n">
        <f aca="false">INDEX(Monthly!$C$90:$BJ$90,($R$2-1)*12+3)</f>
        <v>-0</v>
      </c>
      <c r="K25" s="35" t="n">
        <f aca="false">INDEX(Monthly!$C$90:$BJ$90,($R$2-1)*12+4)</f>
        <v>-0</v>
      </c>
      <c r="L25" s="35" t="n">
        <f aca="false">INDEX(Monthly!$C$90:$BJ$90,($R$2-1)*12+5)</f>
        <v>-0</v>
      </c>
      <c r="M25" s="35" t="n">
        <f aca="false">INDEX(Monthly!$C$90:$BJ$90,($R$2-1)*12+6)</f>
        <v>-0</v>
      </c>
      <c r="N25" s="35" t="n">
        <f aca="false">INDEX(Monthly!$C$90:$BJ$90,($R$2-1)*12+7)</f>
        <v>-0</v>
      </c>
      <c r="O25" s="35" t="n">
        <f aca="false">INDEX(Monthly!$C$90:$BJ$90,($R$2-1)*12+8)</f>
        <v>-0</v>
      </c>
      <c r="P25" s="35" t="n">
        <f aca="false">INDEX(Monthly!$C$90:$BJ$90,($R$2-1)*12+9)</f>
        <v>-0</v>
      </c>
      <c r="Q25" s="35" t="n">
        <f aca="false">INDEX(Monthly!$C$90:$BJ$90,($R$2-1)*12+10)</f>
        <v>-0</v>
      </c>
      <c r="R25" s="35" t="n">
        <f aca="false">INDEX(Monthly!$C$90:$BJ$90,($R$2-1)*12+11)</f>
        <v>-0</v>
      </c>
      <c r="S25" s="35" t="n">
        <f aca="false">INDEX(Monthly!$C$90:$BJ$90,($R$2-1)*12+12)</f>
        <v>-0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330000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INDEX(Monthly!$C$91:$BJ$91,($R$2-1)*12+1)</f>
        <v>330000</v>
      </c>
      <c r="I26" s="35" t="n">
        <f aca="false">INDEX(Monthly!$C$91:$BJ$91,($R$2-1)*12+2)</f>
        <v>0</v>
      </c>
      <c r="J26" s="35" t="n">
        <f aca="false">INDEX(Monthly!$C$91:$BJ$91,($R$2-1)*12+3)</f>
        <v>0</v>
      </c>
      <c r="K26" s="35" t="n">
        <f aca="false">INDEX(Monthly!$C$91:$BJ$91,($R$2-1)*12+4)</f>
        <v>0</v>
      </c>
      <c r="L26" s="35" t="n">
        <f aca="false">INDEX(Monthly!$C$91:$BJ$91,($R$2-1)*12+5)</f>
        <v>0</v>
      </c>
      <c r="M26" s="35" t="n">
        <f aca="false">INDEX(Monthly!$C$91:$BJ$91,($R$2-1)*12+6)</f>
        <v>0</v>
      </c>
      <c r="N26" s="35" t="n">
        <f aca="false">INDEX(Monthly!$C$91:$BJ$91,($R$2-1)*12+7)</f>
        <v>0</v>
      </c>
      <c r="O26" s="35" t="n">
        <f aca="false">INDEX(Monthly!$C$91:$BJ$91,($R$2-1)*12+8)</f>
        <v>0</v>
      </c>
      <c r="P26" s="35" t="n">
        <f aca="false">INDEX(Monthly!$C$91:$BJ$91,($R$2-1)*12+9)</f>
        <v>0</v>
      </c>
      <c r="Q26" s="35" t="n">
        <f aca="false">INDEX(Monthly!$C$91:$BJ$91,($R$2-1)*12+10)</f>
        <v>0</v>
      </c>
      <c r="R26" s="35" t="n">
        <f aca="false">INDEX(Monthly!$C$91:$BJ$91,($R$2-1)*12+11)</f>
        <v>0</v>
      </c>
      <c r="S26" s="35" t="n">
        <f aca="false">INDEX(Monthly!$C$91:$BJ$91,($R$2-1)*12+12)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100000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INDEX(Monthly!$C$76:$BJ$76,($R$2-1)*12+1)</f>
        <v>100000</v>
      </c>
      <c r="I27" s="35" t="n">
        <f aca="false">INDEX(Monthly!$C$76:$BJ$76,($R$2-1)*12+2)</f>
        <v>0</v>
      </c>
      <c r="J27" s="35" t="n">
        <f aca="false">INDEX(Monthly!$C$76:$BJ$76,($R$2-1)*12+3)</f>
        <v>0</v>
      </c>
      <c r="K27" s="35" t="n">
        <f aca="false">INDEX(Monthly!$C$76:$BJ$76,($R$2-1)*12+4)</f>
        <v>0</v>
      </c>
      <c r="L27" s="35" t="n">
        <f aca="false">INDEX(Monthly!$C$76:$BJ$76,($R$2-1)*12+5)</f>
        <v>0</v>
      </c>
      <c r="M27" s="35" t="n">
        <f aca="false">INDEX(Monthly!$C$76:$BJ$76,($R$2-1)*12+6)</f>
        <v>0</v>
      </c>
      <c r="N27" s="35" t="n">
        <f aca="false">INDEX(Monthly!$C$76:$BJ$76,($R$2-1)*12+7)</f>
        <v>0</v>
      </c>
      <c r="O27" s="35" t="n">
        <f aca="false">INDEX(Monthly!$C$76:$BJ$76,($R$2-1)*12+8)</f>
        <v>0</v>
      </c>
      <c r="P27" s="35" t="n">
        <f aca="false">INDEX(Monthly!$C$76:$BJ$76,($R$2-1)*12+9)</f>
        <v>0</v>
      </c>
      <c r="Q27" s="35" t="n">
        <f aca="false">INDEX(Monthly!$C$76:$BJ$76,($R$2-1)*12+10)</f>
        <v>0</v>
      </c>
      <c r="R27" s="35" t="n">
        <f aca="false">INDEX(Monthly!$C$76:$BJ$76,($R$2-1)*12+11)</f>
        <v>0</v>
      </c>
      <c r="S27" s="35" t="n">
        <f aca="false">INDEX(Monthly!$C$76:$BJ$76,($R$2-1)*12+12)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-18333.3333333333</v>
      </c>
      <c r="C28" s="35" t="n">
        <f aca="false">'Cash Flow'!C14</f>
        <v>-20000</v>
      </c>
      <c r="D28" s="35" t="n">
        <f aca="false">'Cash Flow'!D14</f>
        <v>-20000</v>
      </c>
      <c r="E28" s="35" t="n">
        <f aca="false">'Cash Flow'!E14</f>
        <v>-20000</v>
      </c>
      <c r="F28" s="35" t="n">
        <f aca="false">'Cash Flow'!F14</f>
        <v>-20000</v>
      </c>
      <c r="H28" s="35" t="n">
        <f aca="false">INDEX(Monthly!$C$77:$BJ$77,($R$2-1)*12+1)</f>
        <v>-0</v>
      </c>
      <c r="I28" s="35" t="n">
        <f aca="false">INDEX(Monthly!$C$77:$BJ$77,($R$2-1)*12+2)</f>
        <v>-1666.66666666667</v>
      </c>
      <c r="J28" s="35" t="n">
        <f aca="false">INDEX(Monthly!$C$77:$BJ$77,($R$2-1)*12+3)</f>
        <v>-1666.66666666667</v>
      </c>
      <c r="K28" s="35" t="n">
        <f aca="false">INDEX(Monthly!$C$77:$BJ$77,($R$2-1)*12+4)</f>
        <v>-1666.66666666667</v>
      </c>
      <c r="L28" s="35" t="n">
        <f aca="false">INDEX(Monthly!$C$77:$BJ$77,($R$2-1)*12+5)</f>
        <v>-1666.66666666667</v>
      </c>
      <c r="M28" s="35" t="n">
        <f aca="false">INDEX(Monthly!$C$77:$BJ$77,($R$2-1)*12+6)</f>
        <v>-1666.66666666667</v>
      </c>
      <c r="N28" s="35" t="n">
        <f aca="false">INDEX(Monthly!$C$77:$BJ$77,($R$2-1)*12+7)</f>
        <v>-1666.66666666667</v>
      </c>
      <c r="O28" s="35" t="n">
        <f aca="false">INDEX(Monthly!$C$77:$BJ$77,($R$2-1)*12+8)</f>
        <v>-1666.66666666667</v>
      </c>
      <c r="P28" s="35" t="n">
        <f aca="false">INDEX(Monthly!$C$77:$BJ$77,($R$2-1)*12+9)</f>
        <v>-1666.66666666667</v>
      </c>
      <c r="Q28" s="35" t="n">
        <f aca="false">INDEX(Monthly!$C$77:$BJ$77,($R$2-1)*12+10)</f>
        <v>-1666.66666666667</v>
      </c>
      <c r="R28" s="35" t="n">
        <f aca="false">INDEX(Monthly!$C$77:$BJ$77,($R$2-1)*12+11)</f>
        <v>-1666.66666666667</v>
      </c>
      <c r="S28" s="35" t="n">
        <f aca="false">INDEX(Monthly!$C$77:$BJ$77,($R$2-1)*12+12)</f>
        <v>-1666.66666666667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411666.666666667</v>
      </c>
      <c r="C29" s="37" t="n">
        <f aca="false">'Cash Flow'!C15</f>
        <v>-20000</v>
      </c>
      <c r="D29" s="37" t="n">
        <f aca="false">'Cash Flow'!D15</f>
        <v>-20000</v>
      </c>
      <c r="E29" s="37" t="n">
        <f aca="false">'Cash Flow'!E15</f>
        <v>-20000</v>
      </c>
      <c r="F29" s="37" t="n">
        <f aca="false">'Cash Flow'!F15</f>
        <v>-20000</v>
      </c>
      <c r="H29" s="37" t="n">
        <f aca="false">INDEX(Monthly!$C$92:$BJ$92,($R$2-1)*12+1)</f>
        <v>430000</v>
      </c>
      <c r="I29" s="37" t="n">
        <f aca="false">INDEX(Monthly!$C$92:$BJ$92,($R$2-1)*12+2)</f>
        <v>-1666.66666666667</v>
      </c>
      <c r="J29" s="37" t="n">
        <f aca="false">INDEX(Monthly!$C$92:$BJ$92,($R$2-1)*12+3)</f>
        <v>-1666.66666666667</v>
      </c>
      <c r="K29" s="37" t="n">
        <f aca="false">INDEX(Monthly!$C$92:$BJ$92,($R$2-1)*12+4)</f>
        <v>-1666.66666666667</v>
      </c>
      <c r="L29" s="37" t="n">
        <f aca="false">INDEX(Monthly!$C$92:$BJ$92,($R$2-1)*12+5)</f>
        <v>-1666.66666666667</v>
      </c>
      <c r="M29" s="37" t="n">
        <f aca="false">INDEX(Monthly!$C$92:$BJ$92,($R$2-1)*12+6)</f>
        <v>-1666.66666666667</v>
      </c>
      <c r="N29" s="37" t="n">
        <f aca="false">INDEX(Monthly!$C$92:$BJ$92,($R$2-1)*12+7)</f>
        <v>-1666.66666666667</v>
      </c>
      <c r="O29" s="37" t="n">
        <f aca="false">INDEX(Monthly!$C$92:$BJ$92,($R$2-1)*12+8)</f>
        <v>-1666.66666666667</v>
      </c>
      <c r="P29" s="37" t="n">
        <f aca="false">INDEX(Monthly!$C$92:$BJ$92,($R$2-1)*12+9)</f>
        <v>-1666.66666666667</v>
      </c>
      <c r="Q29" s="37" t="n">
        <f aca="false">INDEX(Monthly!$C$92:$BJ$92,($R$2-1)*12+10)</f>
        <v>-1666.66666666667</v>
      </c>
      <c r="R29" s="37" t="n">
        <f aca="false">INDEX(Monthly!$C$92:$BJ$92,($R$2-1)*12+11)</f>
        <v>-1666.66666666667</v>
      </c>
      <c r="S29" s="37" t="n">
        <f aca="false">INDEX(Monthly!$C$92:$BJ$92,($R$2-1)*12+12)</f>
        <v>-1666.66666666667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159857.139553778</v>
      </c>
      <c r="C30" s="37" t="n">
        <f aca="false">'Cash Flow'!C16</f>
        <v>75940.9419918933</v>
      </c>
      <c r="D30" s="37" t="n">
        <f aca="false">'Cash Flow'!D16</f>
        <v>86873.3382662784</v>
      </c>
      <c r="E30" s="37" t="n">
        <f aca="false">'Cash Flow'!E16</f>
        <v>108557.724561487</v>
      </c>
      <c r="F30" s="37" t="n">
        <f aca="false">'Cash Flow'!F16</f>
        <v>134123.218867504</v>
      </c>
      <c r="H30" s="37" t="n">
        <f aca="false">INDEX(Monthly!$C$93:$BJ$93,($R$2-1)*12+1)</f>
        <v>224079.669137778</v>
      </c>
      <c r="I30" s="37" t="n">
        <f aca="false">INDEX(Monthly!$C$93:$BJ$93,($R$2-1)*12+2)</f>
        <v>-20865.507056</v>
      </c>
      <c r="J30" s="37" t="n">
        <f aca="false">INDEX(Monthly!$C$93:$BJ$93,($R$2-1)*12+3)</f>
        <v>-18285.03192</v>
      </c>
      <c r="K30" s="37" t="n">
        <f aca="false">INDEX(Monthly!$C$93:$BJ$93,($R$2-1)*12+4)</f>
        <v>-15704.556784</v>
      </c>
      <c r="L30" s="37" t="n">
        <f aca="false">INDEX(Monthly!$C$93:$BJ$93,($R$2-1)*12+5)</f>
        <v>-13124.081648</v>
      </c>
      <c r="M30" s="37" t="n">
        <f aca="false">INDEX(Monthly!$C$93:$BJ$93,($R$2-1)*12+6)</f>
        <v>-4905.32155200001</v>
      </c>
      <c r="N30" s="37" t="n">
        <f aca="false">INDEX(Monthly!$C$93:$BJ$93,($R$2-1)*12+7)</f>
        <v>-1857.397168</v>
      </c>
      <c r="O30" s="37" t="n">
        <f aca="false">INDEX(Monthly!$C$93:$BJ$93,($R$2-1)*12+8)</f>
        <v>1205.00248</v>
      </c>
      <c r="P30" s="37" t="n">
        <f aca="false">INDEX(Monthly!$C$93:$BJ$93,($R$2-1)*12+9)</f>
        <v>-2820.72753600001</v>
      </c>
      <c r="Q30" s="37" t="n">
        <f aca="false">INDEX(Monthly!$C$93:$BJ$93,($R$2-1)*12+10)</f>
        <v>-221.705968000009</v>
      </c>
      <c r="R30" s="37" t="n">
        <f aca="false">INDEX(Monthly!$C$93:$BJ$93,($R$2-1)*12+11)</f>
        <v>2358.769168</v>
      </c>
      <c r="S30" s="37" t="n">
        <f aca="false">INDEX(Monthly!$C$93:$BJ$93,($R$2-1)*12+12)</f>
        <v>9998.02840000001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159857.139553778</v>
      </c>
      <c r="C31" s="41" t="n">
        <f aca="false">'Cash Flow'!C18</f>
        <v>235798.081545671</v>
      </c>
      <c r="D31" s="41" t="n">
        <f aca="false">'Cash Flow'!D18</f>
        <v>322671.41981195</v>
      </c>
      <c r="E31" s="41" t="n">
        <f aca="false">'Cash Flow'!E18</f>
        <v>431229.144373436</v>
      </c>
      <c r="F31" s="41" t="n">
        <f aca="false">'Cash Flow'!F18</f>
        <v>565352.36324094</v>
      </c>
      <c r="H31" s="41" t="n">
        <f aca="false">INDEX(Monthly!$C$95:$BJ$95,($R$2-1)*12+1)</f>
        <v>224079.669137778</v>
      </c>
      <c r="I31" s="41" t="n">
        <f aca="false">INDEX(Monthly!$C$95:$BJ$95,($R$2-1)*12+2)</f>
        <v>203214.162081778</v>
      </c>
      <c r="J31" s="41" t="n">
        <f aca="false">INDEX(Monthly!$C$95:$BJ$95,($R$2-1)*12+3)</f>
        <v>184929.130161778</v>
      </c>
      <c r="K31" s="41" t="n">
        <f aca="false">INDEX(Monthly!$C$95:$BJ$95,($R$2-1)*12+4)</f>
        <v>169224.573377778</v>
      </c>
      <c r="L31" s="41" t="n">
        <f aca="false">INDEX(Monthly!$C$95:$BJ$95,($R$2-1)*12+5)</f>
        <v>156100.491729778</v>
      </c>
      <c r="M31" s="41" t="n">
        <f aca="false">INDEX(Monthly!$C$95:$BJ$95,($R$2-1)*12+6)</f>
        <v>151195.170177778</v>
      </c>
      <c r="N31" s="41" t="n">
        <f aca="false">INDEX(Monthly!$C$95:$BJ$95,($R$2-1)*12+7)</f>
        <v>149337.773009778</v>
      </c>
      <c r="O31" s="41" t="n">
        <f aca="false">INDEX(Monthly!$C$95:$BJ$95,($R$2-1)*12+8)</f>
        <v>150542.775489778</v>
      </c>
      <c r="P31" s="41" t="n">
        <f aca="false">INDEX(Monthly!$C$95:$BJ$95,($R$2-1)*12+9)</f>
        <v>147722.047953778</v>
      </c>
      <c r="Q31" s="41" t="n">
        <f aca="false">INDEX(Monthly!$C$95:$BJ$95,($R$2-1)*12+10)</f>
        <v>147500.341985778</v>
      </c>
      <c r="R31" s="41" t="n">
        <f aca="false">INDEX(Monthly!$C$95:$BJ$95,($R$2-1)*12+11)</f>
        <v>149859.111153778</v>
      </c>
      <c r="S31" s="41" t="n">
        <f aca="false">INDEX(Monthly!$C$95:$BJ$95,($R$2-1)*12+12)</f>
        <v>159857.139553778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159857.139553778</v>
      </c>
      <c r="C41" s="35" t="n">
        <f aca="false">'Balance Sheet'!C5</f>
        <v>235798.081545671</v>
      </c>
      <c r="D41" s="35" t="n">
        <f aca="false">'Balance Sheet'!D5</f>
        <v>322671.41981195</v>
      </c>
      <c r="E41" s="35" t="n">
        <f aca="false">'Balance Sheet'!E5</f>
        <v>431229.144373436</v>
      </c>
      <c r="F41" s="35" t="n">
        <f aca="false">'Balance Sheet'!F5</f>
        <v>565352.36324094</v>
      </c>
      <c r="H41" s="35" t="n">
        <f aca="false">INDEX(Monthly!$C$95:$BJ$95,($R$2-1)*12+1)</f>
        <v>224079.669137778</v>
      </c>
      <c r="I41" s="35" t="n">
        <f aca="false">INDEX(Monthly!$C$95:$BJ$95,($R$2-1)*12+2)</f>
        <v>203214.162081778</v>
      </c>
      <c r="J41" s="35" t="n">
        <f aca="false">INDEX(Monthly!$C$95:$BJ$95,($R$2-1)*12+3)</f>
        <v>184929.130161778</v>
      </c>
      <c r="K41" s="35" t="n">
        <f aca="false">INDEX(Monthly!$C$95:$BJ$95,($R$2-1)*12+4)</f>
        <v>169224.573377778</v>
      </c>
      <c r="L41" s="35" t="n">
        <f aca="false">INDEX(Monthly!$C$95:$BJ$95,($R$2-1)*12+5)</f>
        <v>156100.491729778</v>
      </c>
      <c r="M41" s="35" t="n">
        <f aca="false">INDEX(Monthly!$C$95:$BJ$95,($R$2-1)*12+6)</f>
        <v>151195.170177778</v>
      </c>
      <c r="N41" s="35" t="n">
        <f aca="false">INDEX(Monthly!$C$95:$BJ$95,($R$2-1)*12+7)</f>
        <v>149337.773009778</v>
      </c>
      <c r="O41" s="35" t="n">
        <f aca="false">INDEX(Monthly!$C$95:$BJ$95,($R$2-1)*12+8)</f>
        <v>150542.775489778</v>
      </c>
      <c r="P41" s="35" t="n">
        <f aca="false">INDEX(Monthly!$C$95:$BJ$95,($R$2-1)*12+9)</f>
        <v>147722.047953778</v>
      </c>
      <c r="Q41" s="35" t="n">
        <f aca="false">INDEX(Monthly!$C$95:$BJ$95,($R$2-1)*12+10)</f>
        <v>147500.341985778</v>
      </c>
      <c r="R41" s="35" t="n">
        <f aca="false">INDEX(Monthly!$C$95:$BJ$95,($R$2-1)*12+11)</f>
        <v>149859.111153778</v>
      </c>
      <c r="S41" s="35" t="n">
        <f aca="false">INDEX(Monthly!$C$95:$BJ$95,($R$2-1)*12+12)</f>
        <v>159857.139553778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4789.80266666667</v>
      </c>
      <c r="C42" s="35" t="n">
        <f aca="false">'Balance Sheet'!C6</f>
        <v>5081.50164906667</v>
      </c>
      <c r="D42" s="35" t="n">
        <f aca="false">'Balance Sheet'!D6</f>
        <v>5390.96509949483</v>
      </c>
      <c r="E42" s="35" t="n">
        <f aca="false">'Balance Sheet'!E6</f>
        <v>5719.27487405406</v>
      </c>
      <c r="F42" s="35" t="n">
        <f aca="false">'Balance Sheet'!F6</f>
        <v>6067.57871388396</v>
      </c>
      <c r="H42" s="35" t="n">
        <f aca="false">INDEX(Monthly!$C$81:$BJ$81,($R$2-1)*12+1)</f>
        <v>1667.12746666667</v>
      </c>
      <c r="I42" s="35" t="n">
        <f aca="false">INDEX(Monthly!$C$81:$BJ$81,($R$2-1)*12+2)</f>
        <v>1917.19658666667</v>
      </c>
      <c r="J42" s="35" t="n">
        <f aca="false">INDEX(Monthly!$C$81:$BJ$81,($R$2-1)*12+3)</f>
        <v>2167.26570666667</v>
      </c>
      <c r="K42" s="35" t="n">
        <f aca="false">INDEX(Monthly!$C$81:$BJ$81,($R$2-1)*12+4)</f>
        <v>2417.33482666667</v>
      </c>
      <c r="L42" s="35" t="n">
        <f aca="false">INDEX(Monthly!$C$81:$BJ$81,($R$2-1)*12+5)</f>
        <v>2667.40394666667</v>
      </c>
      <c r="M42" s="35" t="n">
        <f aca="false">INDEX(Monthly!$C$81:$BJ$81,($R$2-1)*12+6)</f>
        <v>3352.86186666667</v>
      </c>
      <c r="N42" s="35" t="n">
        <f aca="false">INDEX(Monthly!$C$81:$BJ$81,($R$2-1)*12+7)</f>
        <v>3640.25002666667</v>
      </c>
      <c r="O42" s="35" t="n">
        <f aca="false">INDEX(Monthly!$C$81:$BJ$81,($R$2-1)*12+8)</f>
        <v>3927.63818666667</v>
      </c>
      <c r="P42" s="35" t="n">
        <f aca="false">INDEX(Monthly!$C$81:$BJ$81,($R$2-1)*12+9)</f>
        <v>3667.68042666667</v>
      </c>
      <c r="Q42" s="35" t="n">
        <f aca="false">INDEX(Monthly!$C$81:$BJ$81,($R$2-1)*12+10)</f>
        <v>3917.74954666667</v>
      </c>
      <c r="R42" s="35" t="n">
        <f aca="false">INDEX(Monthly!$C$81:$BJ$81,($R$2-1)*12+11)</f>
        <v>4167.81866666667</v>
      </c>
      <c r="S42" s="35" t="n">
        <f aca="false">INDEX(Monthly!$C$81:$BJ$81,($R$2-1)*12+12)</f>
        <v>4789.80266666667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4538.66026666667</v>
      </c>
      <c r="C43" s="35" t="n">
        <f aca="false">'Balance Sheet'!C7</f>
        <v>4791.37467690667</v>
      </c>
      <c r="D43" s="35" t="n">
        <f aca="false">'Balance Sheet'!D7</f>
        <v>5058.76869473028</v>
      </c>
      <c r="E43" s="35" t="n">
        <f aca="false">'Balance Sheet'!E7</f>
        <v>5341.71498723936</v>
      </c>
      <c r="F43" s="35" t="n">
        <f aca="false">'Balance Sheet'!F7</f>
        <v>5641.13872733224</v>
      </c>
      <c r="H43" s="35" t="n">
        <f aca="false">INDEX(Monthly!$C$82:$BJ$82,($R$2-1)*12+1)</f>
        <v>2194.04074666667</v>
      </c>
      <c r="I43" s="35" t="n">
        <f aca="false">INDEX(Monthly!$C$82:$BJ$82,($R$2-1)*12+2)</f>
        <v>2408.14685866667</v>
      </c>
      <c r="J43" s="35" t="n">
        <f aca="false">INDEX(Monthly!$C$82:$BJ$82,($R$2-1)*12+3)</f>
        <v>2622.25297066667</v>
      </c>
      <c r="K43" s="35" t="n">
        <f aca="false">INDEX(Monthly!$C$82:$BJ$82,($R$2-1)*12+4)</f>
        <v>2836.35908266667</v>
      </c>
      <c r="L43" s="35" t="n">
        <f aca="false">INDEX(Monthly!$C$82:$BJ$82,($R$2-1)*12+5)</f>
        <v>3050.46519466667</v>
      </c>
      <c r="M43" s="35" t="n">
        <f aca="false">INDEX(Monthly!$C$82:$BJ$82,($R$2-1)*12+6)</f>
        <v>3407.06218666667</v>
      </c>
      <c r="N43" s="35" t="n">
        <f aca="false">INDEX(Monthly!$C$82:$BJ$82,($R$2-1)*12+7)</f>
        <v>3633.38180266667</v>
      </c>
      <c r="O43" s="35" t="n">
        <f aca="false">INDEX(Monthly!$C$82:$BJ$82,($R$2-1)*12+8)</f>
        <v>3859.70141866667</v>
      </c>
      <c r="P43" s="35" t="n">
        <f aca="false">INDEX(Monthly!$C$82:$BJ$82,($R$2-1)*12+9)</f>
        <v>3906.88964266667</v>
      </c>
      <c r="Q43" s="35" t="n">
        <f aca="false">INDEX(Monthly!$C$82:$BJ$82,($R$2-1)*12+10)</f>
        <v>4120.99575466667</v>
      </c>
      <c r="R43" s="35" t="n">
        <f aca="false">INDEX(Monthly!$C$82:$BJ$82,($R$2-1)*12+11)</f>
        <v>4335.10186666667</v>
      </c>
      <c r="S43" s="35" t="n">
        <f aca="false">INDEX(Monthly!$C$82:$BJ$82,($R$2-1)*12+12)</f>
        <v>4538.66026666667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165375</v>
      </c>
      <c r="C44" s="35" t="n">
        <f aca="false">'Balance Sheet'!C8</f>
        <v>150500</v>
      </c>
      <c r="D44" s="35" t="n">
        <f aca="false">'Balance Sheet'!D8</f>
        <v>134375</v>
      </c>
      <c r="E44" s="35" t="n">
        <f aca="false">'Balance Sheet'!E8</f>
        <v>117000</v>
      </c>
      <c r="F44" s="35" t="n">
        <f aca="false">'Balance Sheet'!F8</f>
        <v>98375</v>
      </c>
      <c r="H44" s="35" t="n">
        <f aca="false">INDEX(Monthly!$C$72:$BJ$72,($R$2-1)*12+1)</f>
        <v>187031.25</v>
      </c>
      <c r="I44" s="35" t="n">
        <f aca="false">INDEX(Monthly!$C$72:$BJ$72,($R$2-1)*12+2)</f>
        <v>185062.5</v>
      </c>
      <c r="J44" s="35" t="n">
        <f aca="false">INDEX(Monthly!$C$72:$BJ$72,($R$2-1)*12+3)</f>
        <v>183093.75</v>
      </c>
      <c r="K44" s="35" t="n">
        <f aca="false">INDEX(Monthly!$C$72:$BJ$72,($R$2-1)*12+4)</f>
        <v>181125</v>
      </c>
      <c r="L44" s="35" t="n">
        <f aca="false">INDEX(Monthly!$C$72:$BJ$72,($R$2-1)*12+5)</f>
        <v>179156.25</v>
      </c>
      <c r="M44" s="35" t="n">
        <f aca="false">INDEX(Monthly!$C$72:$BJ$72,($R$2-1)*12+6)</f>
        <v>177187.5</v>
      </c>
      <c r="N44" s="35" t="n">
        <f aca="false">INDEX(Monthly!$C$72:$BJ$72,($R$2-1)*12+7)</f>
        <v>175218.75</v>
      </c>
      <c r="O44" s="35" t="n">
        <f aca="false">INDEX(Monthly!$C$72:$BJ$72,($R$2-1)*12+8)</f>
        <v>173250</v>
      </c>
      <c r="P44" s="35" t="n">
        <f aca="false">INDEX(Monthly!$C$72:$BJ$72,($R$2-1)*12+9)</f>
        <v>171281.25</v>
      </c>
      <c r="Q44" s="35" t="n">
        <f aca="false">INDEX(Monthly!$C$72:$BJ$72,($R$2-1)*12+10)</f>
        <v>169312.5</v>
      </c>
      <c r="R44" s="35" t="n">
        <f aca="false">INDEX(Monthly!$C$72:$BJ$72,($R$2-1)*12+11)</f>
        <v>167343.75</v>
      </c>
      <c r="S44" s="35" t="n">
        <f aca="false">INDEX(Monthly!$C$72:$BJ$72,($R$2-1)*12+12)</f>
        <v>165375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334560.602487111</v>
      </c>
      <c r="C45" s="37" t="n">
        <f aca="false">'Balance Sheet'!C9</f>
        <v>396170.957871644</v>
      </c>
      <c r="D45" s="37" t="n">
        <f aca="false">'Balance Sheet'!D9</f>
        <v>467496.153606175</v>
      </c>
      <c r="E45" s="37" t="n">
        <f aca="false">'Balance Sheet'!E9</f>
        <v>559290.13423473</v>
      </c>
      <c r="F45" s="37" t="n">
        <f aca="false">'Balance Sheet'!F9</f>
        <v>675436.080682157</v>
      </c>
      <c r="H45" s="37" t="n">
        <f aca="false">INDEX(Monthly!$C$109:$BJ$109,($R$2-1)*12+1)</f>
        <v>414972.087351111</v>
      </c>
      <c r="I45" s="37" t="n">
        <f aca="false">INDEX(Monthly!$C$109:$BJ$109,($R$2-1)*12+2)</f>
        <v>392602.005527111</v>
      </c>
      <c r="J45" s="37" t="n">
        <f aca="false">INDEX(Monthly!$C$109:$BJ$109,($R$2-1)*12+3)</f>
        <v>372812.398839111</v>
      </c>
      <c r="K45" s="37" t="n">
        <f aca="false">INDEX(Monthly!$C$109:$BJ$109,($R$2-1)*12+4)</f>
        <v>355603.267287111</v>
      </c>
      <c r="L45" s="37" t="n">
        <f aca="false">INDEX(Monthly!$C$109:$BJ$109,($R$2-1)*12+5)</f>
        <v>340974.610871111</v>
      </c>
      <c r="M45" s="37" t="n">
        <f aca="false">INDEX(Monthly!$C$109:$BJ$109,($R$2-1)*12+6)</f>
        <v>335142.594231111</v>
      </c>
      <c r="N45" s="37" t="n">
        <f aca="false">INDEX(Monthly!$C$109:$BJ$109,($R$2-1)*12+7)</f>
        <v>331830.154839111</v>
      </c>
      <c r="O45" s="37" t="n">
        <f aca="false">INDEX(Monthly!$C$109:$BJ$109,($R$2-1)*12+8)</f>
        <v>331580.115095111</v>
      </c>
      <c r="P45" s="37" t="n">
        <f aca="false">INDEX(Monthly!$C$109:$BJ$109,($R$2-1)*12+9)</f>
        <v>326577.868023111</v>
      </c>
      <c r="Q45" s="37" t="n">
        <f aca="false">INDEX(Monthly!$C$109:$BJ$109,($R$2-1)*12+10)</f>
        <v>324851.587287111</v>
      </c>
      <c r="R45" s="37" t="n">
        <f aca="false">INDEX(Monthly!$C$109:$BJ$109,($R$2-1)*12+11)</f>
        <v>325705.781687111</v>
      </c>
      <c r="S45" s="37" t="n">
        <f aca="false">INDEX(Monthly!$C$109:$BJ$109,($R$2-1)*12+12)</f>
        <v>334560.602487111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18911.0844444444</v>
      </c>
      <c r="C46" s="35" t="n">
        <f aca="false">'Balance Sheet'!C10</f>
        <v>19964.0611537778</v>
      </c>
      <c r="D46" s="35" t="n">
        <f aca="false">'Balance Sheet'!D10</f>
        <v>21078.2028947095</v>
      </c>
      <c r="E46" s="35" t="n">
        <f aca="false">'Balance Sheet'!E10</f>
        <v>22257.145780164</v>
      </c>
      <c r="F46" s="35" t="n">
        <f aca="false">'Balance Sheet'!F10</f>
        <v>23504.7446972176</v>
      </c>
      <c r="H46" s="35" t="n">
        <f aca="false">INDEX(Monthly!$C$83:$BJ$83,($R$2-1)*12+1)</f>
        <v>9141.83644444444</v>
      </c>
      <c r="I46" s="35" t="n">
        <f aca="false">INDEX(Monthly!$C$83:$BJ$83,($R$2-1)*12+2)</f>
        <v>10033.9452444444</v>
      </c>
      <c r="J46" s="35" t="n">
        <f aca="false">INDEX(Monthly!$C$83:$BJ$83,($R$2-1)*12+3)</f>
        <v>10926.0540444444</v>
      </c>
      <c r="K46" s="35" t="n">
        <f aca="false">INDEX(Monthly!$C$83:$BJ$83,($R$2-1)*12+4)</f>
        <v>11818.1628444444</v>
      </c>
      <c r="L46" s="35" t="n">
        <f aca="false">INDEX(Monthly!$C$83:$BJ$83,($R$2-1)*12+5)</f>
        <v>12710.2716444444</v>
      </c>
      <c r="M46" s="35" t="n">
        <f aca="false">INDEX(Monthly!$C$83:$BJ$83,($R$2-1)*12+6)</f>
        <v>14196.0924444444</v>
      </c>
      <c r="N46" s="35" t="n">
        <f aca="false">INDEX(Monthly!$C$83:$BJ$83,($R$2-1)*12+7)</f>
        <v>15139.0908444444</v>
      </c>
      <c r="O46" s="35" t="n">
        <f aca="false">INDEX(Monthly!$C$83:$BJ$83,($R$2-1)*12+8)</f>
        <v>16082.0892444444</v>
      </c>
      <c r="P46" s="35" t="n">
        <f aca="false">INDEX(Monthly!$C$83:$BJ$83,($R$2-1)*12+9)</f>
        <v>16278.7068444444</v>
      </c>
      <c r="Q46" s="35" t="n">
        <f aca="false">INDEX(Monthly!$C$83:$BJ$83,($R$2-1)*12+10)</f>
        <v>17170.8156444444</v>
      </c>
      <c r="R46" s="35" t="n">
        <f aca="false">INDEX(Monthly!$C$83:$BJ$83,($R$2-1)*12+11)</f>
        <v>18062.9244444444</v>
      </c>
      <c r="S46" s="35" t="n">
        <f aca="false">INDEX(Monthly!$C$83:$BJ$83,($R$2-1)*12+12)</f>
        <v>18911.0844444444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81666.6666666666</v>
      </c>
      <c r="C47" s="35" t="n">
        <f aca="false">'Balance Sheet'!C11</f>
        <v>61666.6666666666</v>
      </c>
      <c r="D47" s="35" t="n">
        <f aca="false">'Balance Sheet'!D11</f>
        <v>41666.6666666666</v>
      </c>
      <c r="E47" s="35" t="n">
        <f aca="false">'Balance Sheet'!E11</f>
        <v>21666.6666666666</v>
      </c>
      <c r="F47" s="35" t="n">
        <f aca="false">'Balance Sheet'!F11</f>
        <v>1666.66666666661</v>
      </c>
      <c r="H47" s="35" t="n">
        <f aca="false">INDEX(Monthly!$C$78:$BJ$78,($R$2-1)*12+1)</f>
        <v>100000</v>
      </c>
      <c r="I47" s="35" t="n">
        <f aca="false">INDEX(Monthly!$C$78:$BJ$78,($R$2-1)*12+2)</f>
        <v>98333.3333333333</v>
      </c>
      <c r="J47" s="35" t="n">
        <f aca="false">INDEX(Monthly!$C$78:$BJ$78,($R$2-1)*12+3)</f>
        <v>96666.6666666667</v>
      </c>
      <c r="K47" s="35" t="n">
        <f aca="false">INDEX(Monthly!$C$78:$BJ$78,($R$2-1)*12+4)</f>
        <v>95000</v>
      </c>
      <c r="L47" s="35" t="n">
        <f aca="false">INDEX(Monthly!$C$78:$BJ$78,($R$2-1)*12+5)</f>
        <v>93333.3333333333</v>
      </c>
      <c r="M47" s="35" t="n">
        <f aca="false">INDEX(Monthly!$C$78:$BJ$78,($R$2-1)*12+6)</f>
        <v>91666.6666666666</v>
      </c>
      <c r="N47" s="35" t="n">
        <f aca="false">INDEX(Monthly!$C$78:$BJ$78,($R$2-1)*12+7)</f>
        <v>90000</v>
      </c>
      <c r="O47" s="35" t="n">
        <f aca="false">INDEX(Monthly!$C$78:$BJ$78,($R$2-1)*12+8)</f>
        <v>88333.3333333333</v>
      </c>
      <c r="P47" s="35" t="n">
        <f aca="false">INDEX(Monthly!$C$78:$BJ$78,($R$2-1)*12+9)</f>
        <v>86666.6666666666</v>
      </c>
      <c r="Q47" s="35" t="n">
        <f aca="false">INDEX(Monthly!$C$78:$BJ$78,($R$2-1)*12+10)</f>
        <v>85000</v>
      </c>
      <c r="R47" s="35" t="n">
        <f aca="false">INDEX(Monthly!$C$78:$BJ$78,($R$2-1)*12+11)</f>
        <v>83333.3333333333</v>
      </c>
      <c r="S47" s="35" t="n">
        <f aca="false">INDEX(Monthly!$C$78:$BJ$78,($R$2-1)*12+12)</f>
        <v>81666.6666666666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100577.751111111</v>
      </c>
      <c r="C48" s="37" t="n">
        <f aca="false">'Balance Sheet'!C12</f>
        <v>81630.7278204444</v>
      </c>
      <c r="D48" s="37" t="n">
        <f aca="false">'Balance Sheet'!D12</f>
        <v>62744.8695613761</v>
      </c>
      <c r="E48" s="37" t="n">
        <f aca="false">'Balance Sheet'!E12</f>
        <v>43923.8124468306</v>
      </c>
      <c r="F48" s="37" t="n">
        <f aca="false">'Balance Sheet'!F12</f>
        <v>25171.4113638843</v>
      </c>
      <c r="H48" s="37" t="n">
        <f aca="false">INDEX(Monthly!$C$110:$BJ$110,($R$2-1)*12+1)</f>
        <v>109141.836444444</v>
      </c>
      <c r="I48" s="37" t="n">
        <f aca="false">INDEX(Monthly!$C$110:$BJ$110,($R$2-1)*12+2)</f>
        <v>108367.278577778</v>
      </c>
      <c r="J48" s="37" t="n">
        <f aca="false">INDEX(Monthly!$C$110:$BJ$110,($R$2-1)*12+3)</f>
        <v>107592.720711111</v>
      </c>
      <c r="K48" s="37" t="n">
        <f aca="false">INDEX(Monthly!$C$110:$BJ$110,($R$2-1)*12+4)</f>
        <v>106818.162844444</v>
      </c>
      <c r="L48" s="37" t="n">
        <f aca="false">INDEX(Monthly!$C$110:$BJ$110,($R$2-1)*12+5)</f>
        <v>106043.604977778</v>
      </c>
      <c r="M48" s="37" t="n">
        <f aca="false">INDEX(Monthly!$C$110:$BJ$110,($R$2-1)*12+6)</f>
        <v>105862.759111111</v>
      </c>
      <c r="N48" s="37" t="n">
        <f aca="false">INDEX(Monthly!$C$110:$BJ$110,($R$2-1)*12+7)</f>
        <v>105139.090844444</v>
      </c>
      <c r="O48" s="37" t="n">
        <f aca="false">INDEX(Monthly!$C$110:$BJ$110,($R$2-1)*12+8)</f>
        <v>104415.422577778</v>
      </c>
      <c r="P48" s="37" t="n">
        <f aca="false">INDEX(Monthly!$C$110:$BJ$110,($R$2-1)*12+9)</f>
        <v>102945.373511111</v>
      </c>
      <c r="Q48" s="37" t="n">
        <f aca="false">INDEX(Monthly!$C$110:$BJ$110,($R$2-1)*12+10)</f>
        <v>102170.815644444</v>
      </c>
      <c r="R48" s="37" t="n">
        <f aca="false">INDEX(Monthly!$C$110:$BJ$110,($R$2-1)*12+11)</f>
        <v>101396.257777778</v>
      </c>
      <c r="S48" s="37" t="n">
        <f aca="false">INDEX(Monthly!$C$110:$BJ$110,($R$2-1)*12+12)</f>
        <v>100577.751111111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330000</v>
      </c>
      <c r="C49" s="35" t="n">
        <f aca="false">'Balance Sheet'!C13</f>
        <v>330000</v>
      </c>
      <c r="D49" s="35" t="n">
        <f aca="false">'Balance Sheet'!D13</f>
        <v>330000</v>
      </c>
      <c r="E49" s="35" t="n">
        <f aca="false">'Balance Sheet'!E13</f>
        <v>330000</v>
      </c>
      <c r="F49" s="35" t="n">
        <f aca="false">'Balance Sheet'!F13</f>
        <v>330000</v>
      </c>
      <c r="H49" s="35" t="n">
        <f aca="false">INDEX(Monthly!$C$107:$BJ$107,($R$2-1)*12+1)</f>
        <v>330000</v>
      </c>
      <c r="I49" s="35" t="n">
        <f aca="false">INDEX(Monthly!$C$107:$BJ$107,($R$2-1)*12+2)</f>
        <v>330000</v>
      </c>
      <c r="J49" s="35" t="n">
        <f aca="false">INDEX(Monthly!$C$107:$BJ$107,($R$2-1)*12+3)</f>
        <v>330000</v>
      </c>
      <c r="K49" s="35" t="n">
        <f aca="false">INDEX(Monthly!$C$107:$BJ$107,($R$2-1)*12+4)</f>
        <v>330000</v>
      </c>
      <c r="L49" s="35" t="n">
        <f aca="false">INDEX(Monthly!$C$107:$BJ$107,($R$2-1)*12+5)</f>
        <v>330000</v>
      </c>
      <c r="M49" s="35" t="n">
        <f aca="false">INDEX(Monthly!$C$107:$BJ$107,($R$2-1)*12+6)</f>
        <v>330000</v>
      </c>
      <c r="N49" s="35" t="n">
        <f aca="false">INDEX(Monthly!$C$107:$BJ$107,($R$2-1)*12+7)</f>
        <v>330000</v>
      </c>
      <c r="O49" s="35" t="n">
        <f aca="false">INDEX(Monthly!$C$107:$BJ$107,($R$2-1)*12+8)</f>
        <v>330000</v>
      </c>
      <c r="P49" s="35" t="n">
        <f aca="false">INDEX(Monthly!$C$107:$BJ$107,($R$2-1)*12+9)</f>
        <v>330000</v>
      </c>
      <c r="Q49" s="35" t="n">
        <f aca="false">INDEX(Monthly!$C$107:$BJ$107,($R$2-1)*12+10)</f>
        <v>330000</v>
      </c>
      <c r="R49" s="35" t="n">
        <f aca="false">INDEX(Monthly!$C$107:$BJ$107,($R$2-1)*12+11)</f>
        <v>330000</v>
      </c>
      <c r="S49" s="35" t="n">
        <f aca="false">INDEX(Monthly!$C$107:$BJ$107,($R$2-1)*12+12)</f>
        <v>330000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-96017.148624</v>
      </c>
      <c r="C50" s="35" t="n">
        <f aca="false">'Balance Sheet'!C14</f>
        <v>-15459.7699488</v>
      </c>
      <c r="D50" s="35" t="n">
        <f aca="false">'Balance Sheet'!D14</f>
        <v>74751.2840447985</v>
      </c>
      <c r="E50" s="35" t="n">
        <f aca="false">'Balance Sheet'!E14</f>
        <v>185366.321787899</v>
      </c>
      <c r="F50" s="35" t="n">
        <f aca="false">'Balance Sheet'!F14</f>
        <v>320264.669318272</v>
      </c>
      <c r="H50" s="35" t="n">
        <f aca="false">INDEX(Monthly!$C$108:$BJ$108,($R$2-1)*12+1)</f>
        <v>-24169.7490933333</v>
      </c>
      <c r="I50" s="35" t="n">
        <f aca="false">INDEX(Monthly!$C$108:$BJ$108,($R$2-1)*12+2)</f>
        <v>-45765.2730506667</v>
      </c>
      <c r="J50" s="35" t="n">
        <f aca="false">INDEX(Monthly!$C$108:$BJ$108,($R$2-1)*12+3)</f>
        <v>-64780.321872</v>
      </c>
      <c r="K50" s="35" t="n">
        <f aca="false">INDEX(Monthly!$C$108:$BJ$108,($R$2-1)*12+4)</f>
        <v>-81214.8955573333</v>
      </c>
      <c r="L50" s="35" t="n">
        <f aca="false">INDEX(Monthly!$C$108:$BJ$108,($R$2-1)*12+5)</f>
        <v>-95068.9941066667</v>
      </c>
      <c r="M50" s="35" t="n">
        <f aca="false">INDEX(Monthly!$C$108:$BJ$108,($R$2-1)*12+6)</f>
        <v>-100720.16488</v>
      </c>
      <c r="N50" s="35" t="n">
        <f aca="false">INDEX(Monthly!$C$108:$BJ$108,($R$2-1)*12+7)</f>
        <v>-103308.936005333</v>
      </c>
      <c r="O50" s="35" t="n">
        <f aca="false">INDEX(Monthly!$C$108:$BJ$108,($R$2-1)*12+8)</f>
        <v>-102835.307482667</v>
      </c>
      <c r="P50" s="35" t="n">
        <f aca="false">INDEX(Monthly!$C$108:$BJ$108,($R$2-1)*12+9)</f>
        <v>-106367.505488</v>
      </c>
      <c r="Q50" s="35" t="n">
        <f aca="false">INDEX(Monthly!$C$108:$BJ$108,($R$2-1)*12+10)</f>
        <v>-107319.228357333</v>
      </c>
      <c r="R50" s="35" t="n">
        <f aca="false">INDEX(Monthly!$C$108:$BJ$108,($R$2-1)*12+11)</f>
        <v>-105690.476090667</v>
      </c>
      <c r="S50" s="35" t="n">
        <f aca="false">INDEX(Monthly!$C$108:$BJ$108,($R$2-1)*12+12)</f>
        <v>-96017.148624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233982.851376</v>
      </c>
      <c r="C51" s="37" t="n">
        <f aca="false">'Balance Sheet'!C15</f>
        <v>314540.2300512</v>
      </c>
      <c r="D51" s="37" t="n">
        <f aca="false">'Balance Sheet'!D15</f>
        <v>404751.284044798</v>
      </c>
      <c r="E51" s="37" t="n">
        <f aca="false">'Balance Sheet'!E15</f>
        <v>515366.321787899</v>
      </c>
      <c r="F51" s="37" t="n">
        <f aca="false">'Balance Sheet'!F15</f>
        <v>650264.669318272</v>
      </c>
      <c r="H51" s="37" t="n">
        <f aca="false">INDEX(Monthly!$C$111:$BJ$111,($R$2-1)*12+1)</f>
        <v>305830.250906667</v>
      </c>
      <c r="I51" s="37" t="n">
        <f aca="false">INDEX(Monthly!$C$111:$BJ$111,($R$2-1)*12+2)</f>
        <v>284234.726949333</v>
      </c>
      <c r="J51" s="37" t="n">
        <f aca="false">INDEX(Monthly!$C$111:$BJ$111,($R$2-1)*12+3)</f>
        <v>265219.678128</v>
      </c>
      <c r="K51" s="37" t="n">
        <f aca="false">INDEX(Monthly!$C$111:$BJ$111,($R$2-1)*12+4)</f>
        <v>248785.104442667</v>
      </c>
      <c r="L51" s="37" t="n">
        <f aca="false">INDEX(Monthly!$C$111:$BJ$111,($R$2-1)*12+5)</f>
        <v>234931.005893333</v>
      </c>
      <c r="M51" s="37" t="n">
        <f aca="false">INDEX(Monthly!$C$111:$BJ$111,($R$2-1)*12+6)</f>
        <v>229279.83512</v>
      </c>
      <c r="N51" s="37" t="n">
        <f aca="false">INDEX(Monthly!$C$111:$BJ$111,($R$2-1)*12+7)</f>
        <v>226691.063994667</v>
      </c>
      <c r="O51" s="37" t="n">
        <f aca="false">INDEX(Monthly!$C$111:$BJ$111,($R$2-1)*12+8)</f>
        <v>227164.692517333</v>
      </c>
      <c r="P51" s="37" t="n">
        <f aca="false">INDEX(Monthly!$C$111:$BJ$111,($R$2-1)*12+9)</f>
        <v>223632.494512</v>
      </c>
      <c r="Q51" s="37" t="n">
        <f aca="false">INDEX(Monthly!$C$111:$BJ$111,($R$2-1)*12+10)</f>
        <v>222680.771642667</v>
      </c>
      <c r="R51" s="37" t="n">
        <f aca="false">INDEX(Monthly!$C$111:$BJ$111,($R$2-1)*12+11)</f>
        <v>224309.523909333</v>
      </c>
      <c r="S51" s="37" t="n">
        <f aca="false">INDEX(Monthly!$C$111:$BJ$111,($R$2-1)*12+12)</f>
        <v>233982.851376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334560.602487111</v>
      </c>
      <c r="C52" s="41" t="n">
        <f aca="false">'Balance Sheet'!C16</f>
        <v>396170.957871644</v>
      </c>
      <c r="D52" s="41" t="n">
        <f aca="false">'Balance Sheet'!D16</f>
        <v>467496.153606175</v>
      </c>
      <c r="E52" s="41" t="n">
        <f aca="false">'Balance Sheet'!E16</f>
        <v>559290.13423473</v>
      </c>
      <c r="F52" s="41" t="n">
        <f aca="false">'Balance Sheet'!F16</f>
        <v>675436.080682156</v>
      </c>
      <c r="H52" s="41" t="n">
        <f aca="false">INDEX(Monthly!$C$112:$BJ$112,($R$2-1)*12+1)</f>
        <v>414972.087351111</v>
      </c>
      <c r="I52" s="41" t="n">
        <f aca="false">INDEX(Monthly!$C$112:$BJ$112,($R$2-1)*12+2)</f>
        <v>392602.005527111</v>
      </c>
      <c r="J52" s="41" t="n">
        <f aca="false">INDEX(Monthly!$C$112:$BJ$112,($R$2-1)*12+3)</f>
        <v>372812.398839111</v>
      </c>
      <c r="K52" s="41" t="n">
        <f aca="false">INDEX(Monthly!$C$112:$BJ$112,($R$2-1)*12+4)</f>
        <v>355603.267287111</v>
      </c>
      <c r="L52" s="41" t="n">
        <f aca="false">INDEX(Monthly!$C$112:$BJ$112,($R$2-1)*12+5)</f>
        <v>340974.610871111</v>
      </c>
      <c r="M52" s="41" t="n">
        <f aca="false">INDEX(Monthly!$C$112:$BJ$112,($R$2-1)*12+6)</f>
        <v>335142.594231111</v>
      </c>
      <c r="N52" s="41" t="n">
        <f aca="false">INDEX(Monthly!$C$112:$BJ$112,($R$2-1)*12+7)</f>
        <v>331830.154839111</v>
      </c>
      <c r="O52" s="41" t="n">
        <f aca="false">INDEX(Monthly!$C$112:$BJ$112,($R$2-1)*12+8)</f>
        <v>331580.115095111</v>
      </c>
      <c r="P52" s="41" t="n">
        <f aca="false">INDEX(Monthly!$C$112:$BJ$112,($R$2-1)*12+9)</f>
        <v>326577.868023111</v>
      </c>
      <c r="Q52" s="41" t="n">
        <f aca="false">INDEX(Monthly!$C$112:$BJ$112,($R$2-1)*12+10)</f>
        <v>324851.587287111</v>
      </c>
      <c r="R52" s="41" t="n">
        <f aca="false">INDEX(Monthly!$C$112:$BJ$112,($R$2-1)*12+11)</f>
        <v>325705.781687111</v>
      </c>
      <c r="S52" s="41" t="n">
        <f aca="false">INDEX(Monthly!$C$112:$BJ$112,($R$2-1)*12+12)</f>
        <v>334560.602487111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13</v>
      </c>
      <c r="C7" s="53" t="n">
        <f aca="false">Inputs!$C$7</f>
        <v>16</v>
      </c>
      <c r="D7" s="53" t="n">
        <f aca="false">Inputs!$D$7</f>
        <v>19</v>
      </c>
      <c r="E7" s="54" t="n">
        <f aca="false">Inputs!$E$7</f>
        <v>16</v>
      </c>
    </row>
    <row r="8" customFormat="false" ht="15" hidden="false" customHeight="false" outlineLevel="0" collapsed="false">
      <c r="A8" s="6" t="s">
        <v>110</v>
      </c>
      <c r="B8" s="55" t="n">
        <f aca="false">Inputs!$B$19</f>
        <v>68</v>
      </c>
      <c r="C8" s="55" t="n">
        <f aca="false">Inputs!$C$19</f>
        <v>75</v>
      </c>
      <c r="D8" s="55" t="n">
        <f aca="false">Inputs!$D$19</f>
        <v>82</v>
      </c>
      <c r="E8" s="56" t="n">
        <f aca="false">Inputs!$E$19</f>
        <v>75</v>
      </c>
    </row>
    <row r="9" customFormat="false" ht="15" hidden="false" customHeight="false" outlineLevel="0" collapsed="false">
      <c r="A9" s="6" t="s">
        <v>111</v>
      </c>
      <c r="B9" s="57" t="n">
        <f aca="false">Inputs!$B$25</f>
        <v>30</v>
      </c>
      <c r="C9" s="57" t="n">
        <f aca="false">Inputs!$C$25</f>
        <v>30</v>
      </c>
      <c r="D9" s="57" t="n">
        <f aca="false">Inputs!$D$25</f>
        <v>30</v>
      </c>
      <c r="E9" s="58" t="n">
        <f aca="false">Inputs!$E$25</f>
        <v>30</v>
      </c>
    </row>
    <row r="10" customFormat="false" ht="15" hidden="false" customHeight="false" outlineLevel="0" collapsed="false">
      <c r="A10" s="6" t="s">
        <v>112</v>
      </c>
      <c r="B10" s="59" t="n">
        <f aca="false">Inputs!$B$26</f>
        <v>0.5</v>
      </c>
      <c r="C10" s="59" t="n">
        <f aca="false">Inputs!$C$26</f>
        <v>0.62</v>
      </c>
      <c r="D10" s="59" t="n">
        <f aca="false">Inputs!$D$26</f>
        <v>0.72</v>
      </c>
      <c r="E10" s="60" t="n">
        <f aca="false">Inputs!$E$26</f>
        <v>0.62</v>
      </c>
    </row>
    <row r="11" customFormat="false" ht="15" hidden="false" customHeight="false" outlineLevel="0" collapsed="false">
      <c r="A11" s="6" t="s">
        <v>113</v>
      </c>
      <c r="B11" s="55" t="n">
        <f aca="false">Inputs!$B$30</f>
        <v>50</v>
      </c>
      <c r="C11" s="55" t="n">
        <f aca="false">Inputs!$C$30</f>
        <v>55</v>
      </c>
      <c r="D11" s="55" t="n">
        <f aca="false">Inputs!$D$30</f>
        <v>60</v>
      </c>
      <c r="E11" s="56" t="n">
        <f aca="false">Inputs!$E$30</f>
        <v>55</v>
      </c>
    </row>
    <row r="12" customFormat="false" ht="15" hidden="false" customHeight="false" outlineLevel="0" collapsed="false">
      <c r="A12" s="6" t="s">
        <v>114</v>
      </c>
      <c r="B12" s="61" t="n">
        <f aca="false">Inputs!$B$38</f>
        <v>9000</v>
      </c>
      <c r="C12" s="61" t="n">
        <f aca="false">Inputs!$C$38</f>
        <v>9000</v>
      </c>
      <c r="D12" s="61" t="n">
        <f aca="false">Inputs!$D$38</f>
        <v>9000</v>
      </c>
      <c r="E12" s="62" t="n">
        <f aca="false">Inputs!$E$38</f>
        <v>9000</v>
      </c>
    </row>
    <row r="13" customFormat="false" ht="15" hidden="false" customHeight="false" outlineLevel="0" collapsed="false">
      <c r="A13" s="6" t="s">
        <v>115</v>
      </c>
      <c r="B13" s="61" t="n">
        <f aca="false">Inputs!$B$71</f>
        <v>330000</v>
      </c>
      <c r="C13" s="61" t="n">
        <f aca="false">Inputs!$C$71</f>
        <v>330000</v>
      </c>
      <c r="D13" s="61" t="n">
        <f aca="false">Inputs!$D$71</f>
        <v>330000</v>
      </c>
      <c r="E13" s="62" t="n">
        <f aca="false">Inputs!$E$71</f>
        <v>330000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2" t="s">
        <v>105</v>
      </c>
      <c r="C16" s="52" t="s">
        <v>106</v>
      </c>
      <c r="D16" s="52" t="s">
        <v>107</v>
      </c>
      <c r="E16" s="52" t="s">
        <v>108</v>
      </c>
    </row>
    <row r="17" customFormat="false" ht="15" hidden="false" customHeight="false" outlineLevel="0" collapsed="false">
      <c r="A17" s="6" t="s">
        <v>118</v>
      </c>
      <c r="B17" s="63" t="n">
        <f aca="false">F30</f>
        <v>597040.30711344</v>
      </c>
      <c r="C17" s="63" t="n">
        <f aca="false">F31</f>
        <v>997614.881822897</v>
      </c>
      <c r="D17" s="63" t="n">
        <f aca="false">F32</f>
        <v>1453698.58694779</v>
      </c>
      <c r="E17" s="64" t="n">
        <f aca="false">'P&amp;L'!F5</f>
        <v>997614.881822897</v>
      </c>
    </row>
    <row r="18" customFormat="false" ht="15" hidden="false" customHeight="false" outlineLevel="0" collapsed="false">
      <c r="A18" s="6" t="s">
        <v>119</v>
      </c>
      <c r="B18" s="63" t="n">
        <f aca="false">SUM(B30:F30)</f>
        <v>2677640.86545744</v>
      </c>
      <c r="C18" s="63" t="n">
        <f aca="false">SUM(B31:F31)</f>
        <v>4234319.1961877</v>
      </c>
      <c r="D18" s="63" t="n">
        <f aca="false">SUM(B32:F32)</f>
        <v>5966543.76300173</v>
      </c>
      <c r="E18" s="64" t="n">
        <f aca="false">SUM('P&amp;L'!$B$5:$F$5)</f>
        <v>4234319.1961877</v>
      </c>
    </row>
    <row r="19" customFormat="false" ht="15" hidden="false" customHeight="false" outlineLevel="0" collapsed="false">
      <c r="A19" s="6" t="s">
        <v>120</v>
      </c>
      <c r="B19" s="63" t="n">
        <f aca="false">F36</f>
        <v>-110629.38464147</v>
      </c>
      <c r="C19" s="63" t="n">
        <f aca="false">F37</f>
        <v>200432.401937181</v>
      </c>
      <c r="D19" s="63" t="n">
        <f aca="false">F38</f>
        <v>538537.463751013</v>
      </c>
      <c r="E19" s="64" t="n">
        <f aca="false">'P&amp;L'!F16</f>
        <v>200432.401937181</v>
      </c>
    </row>
    <row r="20" customFormat="false" ht="15" hidden="false" customHeight="false" outlineLevel="0" collapsed="false">
      <c r="A20" s="6" t="s">
        <v>121</v>
      </c>
      <c r="B20" s="65" t="n">
        <f aca="false">IF(B17=0,0,B19/B17)</f>
        <v>-0.185296341508899</v>
      </c>
      <c r="C20" s="65" t="n">
        <f aca="false">IF(C17=0,0,C19/C17)</f>
        <v>0.200911599845964</v>
      </c>
      <c r="D20" s="65" t="n">
        <f aca="false">IF(D17=0,0,D19/D17)</f>
        <v>0.370460196210093</v>
      </c>
      <c r="E20" s="66" t="n">
        <f aca="false">IF(E17=0,0,E19/E17)</f>
        <v>0.200911599845964</v>
      </c>
    </row>
    <row r="21" customFormat="false" ht="15" hidden="false" customHeight="false" outlineLevel="0" collapsed="false">
      <c r="A21" s="6" t="s">
        <v>122</v>
      </c>
      <c r="B21" s="63" t="n">
        <f aca="false">F42</f>
        <v>-140304.38464147</v>
      </c>
      <c r="C21" s="63" t="n">
        <f aca="false">F43</f>
        <v>134898.347530373</v>
      </c>
      <c r="D21" s="63" t="n">
        <f aca="false">F44</f>
        <v>402001.3463633</v>
      </c>
      <c r="E21" s="64" t="n">
        <f aca="false">'P&amp;L'!F23</f>
        <v>134898.347530373</v>
      </c>
    </row>
    <row r="22" customFormat="false" ht="15" hidden="false" customHeight="false" outlineLevel="0" collapsed="false">
      <c r="A22" s="6" t="s">
        <v>123</v>
      </c>
      <c r="B22" s="63" t="n">
        <f aca="false">SUM(B42:F42)</f>
        <v>-786729.948164478</v>
      </c>
      <c r="C22" s="63" t="n">
        <f aca="false">SUM(B43:F43)</f>
        <v>320264.669318272</v>
      </c>
      <c r="D22" s="63" t="n">
        <f aca="false">SUM(B44:F44)</f>
        <v>1354153.27664238</v>
      </c>
      <c r="E22" s="64" t="n">
        <f aca="false">SUM('P&amp;L'!$B$23:$F$23)</f>
        <v>320264.669318272</v>
      </c>
    </row>
    <row r="23" customFormat="false" ht="15" hidden="false" customHeight="false" outlineLevel="0" collapsed="false">
      <c r="A23" s="6" t="s">
        <v>124</v>
      </c>
      <c r="B23" s="63" t="n">
        <f aca="false">F48</f>
        <v>-543720.400284892</v>
      </c>
      <c r="C23" s="63" t="n">
        <f aca="false">F49</f>
        <v>565352.36324094</v>
      </c>
      <c r="D23" s="63" t="n">
        <f aca="false">F50</f>
        <v>1601776.97106811</v>
      </c>
      <c r="E23" s="64" t="n">
        <f aca="false">'Balance Sheet'!F5</f>
        <v>565352.36324094</v>
      </c>
    </row>
    <row r="24" customFormat="false" ht="15" hidden="false" customHeight="false" outlineLevel="0" collapsed="false">
      <c r="A24" s="6" t="s">
        <v>125</v>
      </c>
      <c r="B24" s="63" t="n">
        <f aca="false">MIN('Scenario calc'!$C$97:$BJ$97)</f>
        <v>-543720.400284892</v>
      </c>
      <c r="C24" s="63" t="n">
        <f aca="false">MIN('Scenario calc'!$C$223:$BJ$223)</f>
        <v>147500.341985778</v>
      </c>
      <c r="D24" s="63" t="n">
        <f aca="false">MIN('Scenario calc'!$C$349:$BJ$349)</f>
        <v>220781.464461111</v>
      </c>
      <c r="E24" s="64" t="n">
        <f aca="false">'Break-even'!B18</f>
        <v>147500.341985778</v>
      </c>
    </row>
    <row r="25" customFormat="false" ht="15" hidden="false" customHeight="false" outlineLevel="0" collapsed="false">
      <c r="A25" s="6" t="s">
        <v>126</v>
      </c>
      <c r="B25" s="67" t="n">
        <f aca="false">MATCH(MIN('Scenario calc'!$C$97:$BJ$97),'Scenario calc'!$C$97:$BJ$97,0)</f>
        <v>60</v>
      </c>
      <c r="C25" s="67" t="n">
        <f aca="false">MATCH(MIN('Scenario calc'!$C$223:$BJ$223),'Scenario calc'!$C$223:$BJ$223,0)</f>
        <v>10</v>
      </c>
      <c r="D25" s="67" t="n">
        <f aca="false">MATCH(MIN('Scenario calc'!$C$349:$BJ$349),'Scenario calc'!$C$349:$BJ$349,0)</f>
        <v>4</v>
      </c>
      <c r="E25" s="68" t="n">
        <f aca="false">'Break-even'!B6</f>
        <v>10</v>
      </c>
    </row>
    <row r="26" customFormat="false" ht="15" hidden="false" customHeight="false" outlineLevel="0" collapsed="false">
      <c r="A26" s="4" t="s">
        <v>66</v>
      </c>
      <c r="B26" s="63" t="n">
        <f aca="false">SUMPRODUCT(--('Scenario calc'!$C$6:$BJ$6&lt;=B25),'Scenario calc'!$C$69:$BJ$69)-SUMPRODUCT(--('Scenario calc'!$C$6:$BJ$6&lt;=B25),'Scenario calc'!$C$91:$BJ$91)-SUMPRODUCT(--('Scenario calc'!$C$6:$BJ$6&lt;=B25),'Scenario calc'!$C$79:$BJ$79)+Inputs!$B$86</f>
        <v>1082720.40028489</v>
      </c>
      <c r="C26" s="63" t="n">
        <f aca="false">SUMPRODUCT(--('Scenario calc'!$C$132:$BJ$132&lt;=C25),'Scenario calc'!$C$195:$BJ$195)-SUMPRODUCT(--('Scenario calc'!$C$132:$BJ$132&lt;=C25),'Scenario calc'!$C$217:$BJ$217)-SUMPRODUCT(--('Scenario calc'!$C$132:$BJ$132&lt;=C25),'Scenario calc'!$C$205:$BJ$205)+Inputs!$C$86</f>
        <v>391499.658014222</v>
      </c>
      <c r="D26" s="63" t="n">
        <f aca="false">SUMPRODUCT(--('Scenario calc'!$C$258:$BJ$258&lt;=D25),'Scenario calc'!$C$321:$BJ$321)-SUMPRODUCT(--('Scenario calc'!$C$258:$BJ$258&lt;=D25),'Scenario calc'!$C$343:$BJ$343)-SUMPRODUCT(--('Scenario calc'!$C$258:$BJ$258&lt;=D25),'Scenario calc'!$C$331:$BJ$331)+Inputs!$D$86</f>
        <v>318218.535538889</v>
      </c>
      <c r="E26" s="64" t="n">
        <f aca="false">'Break-even'!B12</f>
        <v>391499.658014222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63" t="n">
        <f aca="false">SUMIF('Scenario calc'!$C$7:$BJ$7,B$29,'Scenario calc'!$C$33:$BJ$33)</f>
        <v>331698.3</v>
      </c>
      <c r="C30" s="63" t="n">
        <f aca="false">SUMIF('Scenario calc'!$C$7:$BJ$7,C$29,'Scenario calc'!$C$33:$BJ$33)</f>
        <v>572496.987</v>
      </c>
      <c r="D30" s="63" t="n">
        <f aca="false">SUMIF('Scenario calc'!$C$7:$BJ$7,D$29,'Scenario calc'!$C$33:$BJ$33)</f>
        <v>585276.2544</v>
      </c>
      <c r="E30" s="63" t="n">
        <f aca="false">SUMIF('Scenario calc'!$C$7:$BJ$7,E$29,'Scenario calc'!$C$33:$BJ$33)</f>
        <v>591129.016944</v>
      </c>
      <c r="F30" s="63" t="n">
        <f aca="false">SUMIF('Scenario calc'!$C$7:$BJ$7,F$29,'Scenario calc'!$C$33:$BJ$33)</f>
        <v>597040.30711344</v>
      </c>
    </row>
    <row r="31" customFormat="false" ht="15" hidden="false" customHeight="false" outlineLevel="0" collapsed="false">
      <c r="A31" s="6" t="s">
        <v>106</v>
      </c>
      <c r="B31" s="63" t="n">
        <f aca="false">SUMIF('Scenario calc'!$C$133:$BJ$133,B$29,'Scenario calc'!$C$159:$BJ$159)</f>
        <v>574501.9488</v>
      </c>
      <c r="C31" s="63" t="n">
        <f aca="false">SUMIF('Scenario calc'!$C$133:$BJ$133,C$29,'Scenario calc'!$C$159:$BJ$159)</f>
        <v>835486.75776</v>
      </c>
      <c r="D31" s="63" t="n">
        <f aca="false">SUMIF('Scenario calc'!$C$133:$BJ$133,D$29,'Scenario calc'!$C$159:$BJ$159)</f>
        <v>886367.901307584</v>
      </c>
      <c r="E31" s="63" t="n">
        <f aca="false">SUMIF('Scenario calc'!$C$133:$BJ$133,E$29,'Scenario calc'!$C$159:$BJ$159)</f>
        <v>940347.706497216</v>
      </c>
      <c r="F31" s="63" t="n">
        <f aca="false">SUMIF('Scenario calc'!$C$133:$BJ$133,F$29,'Scenario calc'!$C$159:$BJ$159)</f>
        <v>997614.881822897</v>
      </c>
    </row>
    <row r="32" customFormat="false" ht="15" hidden="false" customHeight="false" outlineLevel="0" collapsed="false">
      <c r="A32" s="6" t="s">
        <v>107</v>
      </c>
      <c r="B32" s="63" t="n">
        <f aca="false">SUMIF('Scenario calc'!$C$259:$BJ$259,B$29,'Scenario calc'!$C$285:$BJ$285)</f>
        <v>832792.8</v>
      </c>
      <c r="C32" s="63" t="n">
        <f aca="false">SUMIF('Scenario calc'!$C$259:$BJ$259,C$29,'Scenario calc'!$C$285:$BJ$285)</f>
        <v>1117499.136</v>
      </c>
      <c r="D32" s="63" t="n">
        <f aca="false">SUMIF('Scenario calc'!$C$259:$BJ$259,D$29,'Scenario calc'!$C$285:$BJ$285)</f>
        <v>1226561.77053696</v>
      </c>
      <c r="E32" s="63" t="n">
        <f aca="false">SUMIF('Scenario calc'!$C$259:$BJ$259,E$29,'Scenario calc'!$C$285:$BJ$285)</f>
        <v>1335991.46951698</v>
      </c>
      <c r="F32" s="63" t="n">
        <f aca="false">SUMIF('Scenario calc'!$C$259:$BJ$259,F$29,'Scenario calc'!$C$285:$BJ$285)</f>
        <v>1453698.58694779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63" t="n">
        <f aca="false">SUMIF('Scenario calc'!$C$7:$BJ$7,B$35,'Scenario calc'!$C$52:$BJ$52)</f>
        <v>-243337.0156</v>
      </c>
      <c r="C36" s="63" t="n">
        <f aca="false">SUMIF('Scenario calc'!$C$7:$BJ$7,C$35,'Scenario calc'!$C$52:$BJ$52)</f>
        <v>-89345.267984</v>
      </c>
      <c r="D36" s="63" t="n">
        <f aca="false">SUMIF('Scenario calc'!$C$7:$BJ$7,D$35,'Scenario calc'!$C$52:$BJ$52)</f>
        <v>-90341.0425408001</v>
      </c>
      <c r="E36" s="63" t="n">
        <f aca="false">SUMIF('Scenario calc'!$C$7:$BJ$7,E$35,'Scenario calc'!$C$52:$BJ$52)</f>
        <v>-99208.487398208</v>
      </c>
      <c r="F36" s="63" t="n">
        <f aca="false">SUMIF('Scenario calc'!$C$7:$BJ$7,F$35,'Scenario calc'!$C$52:$BJ$52)</f>
        <v>-110629.38464147</v>
      </c>
    </row>
    <row r="37" customFormat="false" ht="15" hidden="false" customHeight="false" outlineLevel="0" collapsed="false">
      <c r="A37" s="6" t="s">
        <v>106</v>
      </c>
      <c r="B37" s="63" t="n">
        <f aca="false">SUMIF('Scenario calc'!$C$133:$BJ$133,B$35,'Scenario calc'!$C$178:$BJ$178)</f>
        <v>-64148.398624</v>
      </c>
      <c r="C37" s="63" t="n">
        <f aca="false">SUMIF('Scenario calc'!$C$133:$BJ$133,C$35,'Scenario calc'!$C$178:$BJ$178)</f>
        <v>111882.3786752</v>
      </c>
      <c r="D37" s="63" t="n">
        <f aca="false">SUMIF('Scenario calc'!$C$133:$BJ$133,D$35,'Scenario calc'!$C$178:$BJ$178)</f>
        <v>140856.64848652</v>
      </c>
      <c r="E37" s="63" t="n">
        <f aca="false">SUMIF('Scenario calc'!$C$133:$BJ$133,E$35,'Scenario calc'!$C$178:$BJ$178)</f>
        <v>170244.035117849</v>
      </c>
      <c r="F37" s="63" t="n">
        <f aca="false">SUMIF('Scenario calc'!$C$133:$BJ$133,F$35,'Scenario calc'!$C$178:$BJ$178)</f>
        <v>200432.401937181</v>
      </c>
    </row>
    <row r="38" customFormat="false" ht="15" hidden="false" customHeight="false" outlineLevel="0" collapsed="false">
      <c r="A38" s="6" t="s">
        <v>107</v>
      </c>
      <c r="B38" s="63" t="n">
        <f aca="false">SUMIF('Scenario calc'!$C$259:$BJ$259,B$35,'Scenario calc'!$C$304:$BJ$304)</f>
        <v>134331.5216</v>
      </c>
      <c r="C38" s="63" t="n">
        <f aca="false">SUMIF('Scenario calc'!$C$259:$BJ$259,C$35,'Scenario calc'!$C$304:$BJ$304)</f>
        <v>329513.80304</v>
      </c>
      <c r="D38" s="63" t="n">
        <f aca="false">SUMIF('Scenario calc'!$C$259:$BJ$259,D$35,'Scenario calc'!$C$304:$BJ$304)</f>
        <v>399100.85925468</v>
      </c>
      <c r="E38" s="63" t="n">
        <f aca="false">SUMIF('Scenario calc'!$C$259:$BJ$259,E$35,'Scenario calc'!$C$304:$BJ$304)</f>
        <v>466503.174053524</v>
      </c>
      <c r="F38" s="63" t="n">
        <f aca="false">SUMIF('Scenario calc'!$C$259:$BJ$259,F$35,'Scenario calc'!$C$304:$BJ$304)</f>
        <v>538537.463751013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63" t="n">
        <f aca="false">SUMIF('Scenario calc'!$C$7:$BJ$7,B$41,'Scenario calc'!$C$61:$BJ$61)</f>
        <v>-275205.7656</v>
      </c>
      <c r="C42" s="63" t="n">
        <f aca="false">SUMIF('Scenario calc'!$C$7:$BJ$7,C$41,'Scenario calc'!$C$61:$BJ$61)</f>
        <v>-120670.267984</v>
      </c>
      <c r="D42" s="63" t="n">
        <f aca="false">SUMIF('Scenario calc'!$C$7:$BJ$7,D$41,'Scenario calc'!$C$61:$BJ$61)</f>
        <v>-121116.0425408</v>
      </c>
      <c r="E42" s="63" t="n">
        <f aca="false">SUMIF('Scenario calc'!$C$7:$BJ$7,E$41,'Scenario calc'!$C$61:$BJ$61)</f>
        <v>-129433.487398208</v>
      </c>
      <c r="F42" s="63" t="n">
        <f aca="false">SUMIF('Scenario calc'!$C$7:$BJ$7,F$41,'Scenario calc'!$C$61:$BJ$61)</f>
        <v>-140304.38464147</v>
      </c>
    </row>
    <row r="43" customFormat="false" ht="15" hidden="false" customHeight="false" outlineLevel="0" collapsed="false">
      <c r="A43" s="6" t="s">
        <v>106</v>
      </c>
      <c r="B43" s="63" t="n">
        <f aca="false">SUMIF('Scenario calc'!$C$133:$BJ$133,B$41,'Scenario calc'!$C$187:$BJ$187)</f>
        <v>-96017.148624</v>
      </c>
      <c r="C43" s="63" t="n">
        <f aca="false">SUMIF('Scenario calc'!$C$133:$BJ$133,C$41,'Scenario calc'!$C$187:$BJ$187)</f>
        <v>80557.3786752</v>
      </c>
      <c r="D43" s="63" t="n">
        <f aca="false">SUMIF('Scenario calc'!$C$133:$BJ$133,D$41,'Scenario calc'!$C$187:$BJ$187)</f>
        <v>90211.0539935985</v>
      </c>
      <c r="E43" s="63" t="n">
        <f aca="false">SUMIF('Scenario calc'!$C$133:$BJ$133,E$41,'Scenario calc'!$C$187:$BJ$187)</f>
        <v>110615.037743101</v>
      </c>
      <c r="F43" s="63" t="n">
        <f aca="false">SUMIF('Scenario calc'!$C$133:$BJ$133,F$41,'Scenario calc'!$C$187:$BJ$187)</f>
        <v>134898.347530373</v>
      </c>
    </row>
    <row r="44" customFormat="false" ht="15" hidden="false" customHeight="false" outlineLevel="0" collapsed="false">
      <c r="A44" s="6" t="s">
        <v>107</v>
      </c>
      <c r="B44" s="63" t="n">
        <f aca="false">SUMIF('Scenario calc'!$C$259:$BJ$259,B$41,'Scenario calc'!$C$313:$BJ$313)</f>
        <v>80945.589564</v>
      </c>
      <c r="C44" s="63" t="n">
        <f aca="false">SUMIF('Scenario calc'!$C$259:$BJ$259,C$41,'Scenario calc'!$C$313:$BJ$313)</f>
        <v>235569.1544016</v>
      </c>
      <c r="D44" s="63" t="n">
        <f aca="false">SUMIF('Scenario calc'!$C$259:$BJ$259,D$41,'Scenario calc'!$C$313:$BJ$313)</f>
        <v>290977.428811198</v>
      </c>
      <c r="E44" s="63" t="n">
        <f aca="false">SUMIF('Scenario calc'!$C$259:$BJ$259,E$41,'Scenario calc'!$C$313:$BJ$313)</f>
        <v>344659.757502284</v>
      </c>
      <c r="F44" s="63" t="n">
        <f aca="false">SUMIF('Scenario calc'!$C$259:$BJ$259,F$41,'Scenario calc'!$C$313:$BJ$313)</f>
        <v>402001.3463633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63" t="n">
        <f aca="false">INDEX('Scenario calc'!$C$97:$BJ$97,B$47*12)</f>
        <v>-21226.8271555556</v>
      </c>
      <c r="C48" s="63" t="n">
        <f aca="false">INDEX('Scenario calc'!$C$97:$BJ$97,C$47*12)</f>
        <v>-145833.106428444</v>
      </c>
      <c r="D48" s="63" t="n">
        <f aca="false">INDEX('Scenario calc'!$C$97:$BJ$97,D$47*12)</f>
        <v>-270553.710289689</v>
      </c>
      <c r="E48" s="63" t="n">
        <f aca="false">INDEX('Scenario calc'!$C$97:$BJ$97,E$47*12)</f>
        <v>-402331.787578559</v>
      </c>
      <c r="F48" s="63" t="n">
        <f aca="false">INDEX('Scenario calc'!$C$97:$BJ$97,F$47*12)</f>
        <v>-543720.400284892</v>
      </c>
    </row>
    <row r="49" customFormat="false" ht="15" hidden="false" customHeight="false" outlineLevel="0" collapsed="false">
      <c r="A49" s="6" t="s">
        <v>106</v>
      </c>
      <c r="B49" s="63" t="n">
        <f aca="false">INDEX('Scenario calc'!$C$223:$BJ$223,B$47*12)</f>
        <v>159857.139553778</v>
      </c>
      <c r="C49" s="63" t="n">
        <f aca="false">INDEX('Scenario calc'!$C$223:$BJ$223,C$47*12)</f>
        <v>235798.081545671</v>
      </c>
      <c r="D49" s="63" t="n">
        <f aca="false">INDEX('Scenario calc'!$C$223:$BJ$223,D$47*12)</f>
        <v>322671.41981195</v>
      </c>
      <c r="E49" s="63" t="n">
        <f aca="false">INDEX('Scenario calc'!$C$223:$BJ$223,E$47*12)</f>
        <v>431229.144373436</v>
      </c>
      <c r="F49" s="63" t="n">
        <f aca="false">INDEX('Scenario calc'!$C$223:$BJ$223,F$47*12)</f>
        <v>565352.36324094</v>
      </c>
    </row>
    <row r="50" customFormat="false" ht="15" hidden="false" customHeight="false" outlineLevel="0" collapsed="false">
      <c r="A50" s="6" t="s">
        <v>107</v>
      </c>
      <c r="B50" s="63" t="n">
        <f aca="false">INDEX('Scenario calc'!$C$349:$BJ$349,B$47*12)</f>
        <v>337680.779341778</v>
      </c>
      <c r="C50" s="63" t="n">
        <f aca="false">INDEX('Scenario calc'!$C$349:$BJ$349,C$47*12)</f>
        <v>568958.060370844</v>
      </c>
      <c r="D50" s="63" t="n">
        <f aca="false">INDEX('Scenario calc'!$C$349:$BJ$349,D$47*12)</f>
        <v>856969.374097323</v>
      </c>
      <c r="E50" s="63" t="n">
        <f aca="false">INDEX('Scenario calc'!$C$349:$BJ$349,E$47*12)</f>
        <v>1200024.64823435</v>
      </c>
      <c r="F50" s="63" t="n">
        <f aca="false">INDEX('Scenario calc'!$C$349:$BJ$349,F$47*12)</f>
        <v>1601776.97106811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7" t="n">
        <f aca="false">MATCH(MIN(Monthly!$C$95:$BJ$95),Monthly!$C$95:$BJ$95,0)</f>
        <v>10</v>
      </c>
    </row>
    <row r="7" customFormat="false" ht="15" hidden="false" customHeight="false" outlineLevel="0" collapsed="false">
      <c r="A7" s="6" t="s">
        <v>136</v>
      </c>
      <c r="B7" s="69" t="n">
        <f aca="false">SUMPRODUCT(--(Monthly!$C$4:$BJ$4&lt;=$B$6),Monthly!$C$67:$BJ$67)</f>
        <v>189000</v>
      </c>
    </row>
    <row r="8" customFormat="false" ht="15" hidden="false" customHeight="false" outlineLevel="0" collapsed="false">
      <c r="A8" s="6" t="s">
        <v>137</v>
      </c>
      <c r="B8" s="69" t="n">
        <f aca="false">-SUMPRODUCT(--(Monthly!$C$4:$BJ$4&lt;=$B$6),Monthly!$C$89:$BJ$89)</f>
        <v>78499.6580142222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9" t="n">
        <f aca="false">-SUMPRODUCT(--(Monthly!$C$4:$BJ$4&lt;=$B$6),Monthly!$C$77:$BJ$77)</f>
        <v>15000</v>
      </c>
    </row>
    <row r="10" customFormat="false" ht="15" hidden="false" customHeight="false" outlineLevel="0" collapsed="false">
      <c r="A10" s="4" t="s">
        <v>140</v>
      </c>
      <c r="B10" s="70" t="n">
        <f aca="false">B7+B8+B9</f>
        <v>282499.658014222</v>
      </c>
    </row>
    <row r="11" customFormat="false" ht="15" hidden="false" customHeight="false" outlineLevel="0" collapsed="false">
      <c r="A11" s="6" t="s">
        <v>141</v>
      </c>
      <c r="B11" s="71" t="n">
        <f aca="false">Inputs!$E$86</f>
        <v>109000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70" t="n">
        <f aca="false">B10+B11</f>
        <v>391499.658014222</v>
      </c>
    </row>
    <row r="14" customFormat="false" ht="15" hidden="false" customHeight="false" outlineLevel="0" collapsed="false">
      <c r="A14" s="6" t="s">
        <v>64</v>
      </c>
      <c r="B14" s="71" t="n">
        <f aca="false">Inputs!$E$71</f>
        <v>330000</v>
      </c>
    </row>
    <row r="15" customFormat="false" ht="15" hidden="false" customHeight="false" outlineLevel="0" collapsed="false">
      <c r="A15" s="6" t="s">
        <v>65</v>
      </c>
      <c r="B15" s="71" t="n">
        <f aca="false">Inputs!$E$72</f>
        <v>100000</v>
      </c>
    </row>
    <row r="16" customFormat="false" ht="15" hidden="false" customHeight="false" outlineLevel="0" collapsed="false">
      <c r="A16" s="4" t="s">
        <v>144</v>
      </c>
      <c r="B16" s="70" t="n">
        <f aca="false">B14+B15</f>
        <v>430000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38500.3419857778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9" t="n">
        <f aca="false">MIN(Monthly!$C$95:$BJ$95)</f>
        <v>147500.341985778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7" t="n">
        <f aca="false">IFERROR(MATCH(1,Monthly!$C$96:$BJ$96,0),"Not within horizon")</f>
        <v>7</v>
      </c>
    </row>
    <row r="22" customFormat="false" ht="15" hidden="false" customHeight="false" outlineLevel="0" collapsed="false">
      <c r="A22" s="6" t="s">
        <v>150</v>
      </c>
      <c r="B22" s="67" t="n">
        <f aca="false">IFERROR(MATCH(1,Monthly!$C$99:$BJ$99,0),"Not within horizon")</f>
        <v>8</v>
      </c>
    </row>
    <row r="23" customFormat="false" ht="15" hidden="false" customHeight="false" outlineLevel="0" collapsed="false">
      <c r="A23" s="6" t="s">
        <v>151</v>
      </c>
      <c r="B23" s="67" t="n">
        <f aca="false">IF(MIN(Monthly!$C$101:$BJ$101)&gt;=0,"No investment to pay back",IFERROR(MATCH(1,Monthly!$C$103:$BJ$103,0),"Not within horizon"))</f>
        <v>42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4" t="s">
        <v>154</v>
      </c>
      <c r="B26" s="74" t="n">
        <v>1</v>
      </c>
      <c r="C26" s="74" t="n">
        <v>2</v>
      </c>
      <c r="D26" s="74" t="n">
        <v>3</v>
      </c>
      <c r="E26" s="74" t="n">
        <v>4</v>
      </c>
      <c r="F26" s="74" t="n">
        <v>5</v>
      </c>
    </row>
    <row r="27" customFormat="false" ht="15" hidden="false" customHeight="false" outlineLevel="0" collapsed="false">
      <c r="A27" s="33"/>
      <c r="B27" s="52" t="s">
        <v>155</v>
      </c>
      <c r="C27" s="52" t="s">
        <v>156</v>
      </c>
      <c r="D27" s="52" t="s">
        <v>157</v>
      </c>
      <c r="E27" s="52" t="s">
        <v>158</v>
      </c>
      <c r="F27" s="52" t="s">
        <v>159</v>
      </c>
    </row>
    <row r="28" customFormat="false" ht="15" hidden="false" customHeight="false" outlineLevel="0" collapsed="false">
      <c r="A28" s="4" t="s">
        <v>44</v>
      </c>
      <c r="B28" s="75" t="n">
        <f aca="false">SUMIF(Monthly!$C$5:$BJ$5,B$26,Monthly!$C$31:$BJ$31)</f>
        <v>574501.9488</v>
      </c>
      <c r="C28" s="75" t="n">
        <f aca="false">SUMIF(Monthly!$C$5:$BJ$5,C$26,Monthly!$C$31:$BJ$31)</f>
        <v>835486.75776</v>
      </c>
      <c r="D28" s="75" t="n">
        <f aca="false">SUMIF(Monthly!$C$5:$BJ$5,D$26,Monthly!$C$31:$BJ$31)</f>
        <v>886367.901307584</v>
      </c>
      <c r="E28" s="75" t="n">
        <f aca="false">SUMIF(Monthly!$C$5:$BJ$5,E$26,Monthly!$C$31:$BJ$31)</f>
        <v>940347.706497216</v>
      </c>
      <c r="F28" s="75" t="n">
        <f aca="false">SUMIF(Monthly!$C$5:$BJ$5,F$26,Monthly!$C$31:$BJ$31)</f>
        <v>997614.881822897</v>
      </c>
    </row>
    <row r="29" customFormat="false" ht="15" hidden="false" customHeight="false" outlineLevel="0" collapsed="false">
      <c r="A29" s="6" t="s">
        <v>45</v>
      </c>
      <c r="B29" s="69" t="n">
        <f aca="false">SUMIF(Monthly!$C$5:$BJ$5,B$26,Monthly!$C$40:$BJ$40)</f>
        <v>369936.65984</v>
      </c>
      <c r="C29" s="69" t="n">
        <f aca="false">SUMIF(Monthly!$C$5:$BJ$5,C$26,Monthly!$C$40:$BJ$40)</f>
        <v>556642.481408</v>
      </c>
      <c r="D29" s="69" t="n">
        <f aca="false">SUMIF(Monthly!$C$5:$BJ$5,D$26,Monthly!$C$40:$BJ$40)</f>
        <v>592006.050525747</v>
      </c>
      <c r="E29" s="69" t="n">
        <f aca="false">SUMIF(Monthly!$C$5:$BJ$5,E$26,Monthly!$C$40:$BJ$40)</f>
        <v>629567.182262765</v>
      </c>
      <c r="F29" s="69" t="n">
        <f aca="false">SUMIF(Monthly!$C$5:$BJ$5,F$26,Monthly!$C$40:$BJ$40)</f>
        <v>669461.025820368</v>
      </c>
    </row>
    <row r="30" customFormat="false" ht="15" hidden="false" customHeight="false" outlineLevel="0" collapsed="false">
      <c r="A30" s="38" t="s">
        <v>160</v>
      </c>
      <c r="B30" s="76" t="n">
        <f aca="false">IF(B28=0,0,B29/B28)</f>
        <v>0.643925857192845</v>
      </c>
      <c r="C30" s="76" t="n">
        <f aca="false">IF(C28=0,0,C29/C28)</f>
        <v>0.666249316626392</v>
      </c>
      <c r="D30" s="76" t="n">
        <f aca="false">IF(D28=0,0,D29/D28)</f>
        <v>0.66790104837101</v>
      </c>
      <c r="E30" s="76" t="n">
        <f aca="false">IF(E28=0,0,E29/E28)</f>
        <v>0.669504671424037</v>
      </c>
      <c r="F30" s="76" t="n">
        <f aca="false">IF(F28=0,0,F29/F28)</f>
        <v>0.6710615870095</v>
      </c>
    </row>
    <row r="31" customFormat="false" ht="15" hidden="false" customHeight="false" outlineLevel="0" collapsed="false">
      <c r="A31" s="6" t="s">
        <v>161</v>
      </c>
      <c r="B31" s="69" t="n">
        <f aca="false">-SUMIF(Monthly!$C$5:$BJ$5,B$26,Monthly!$C$49:$BJ$49)</f>
        <v>434085.058464</v>
      </c>
      <c r="C31" s="69" t="n">
        <f aca="false">-SUMIF(Monthly!$C$5:$BJ$5,C$26,Monthly!$C$49:$BJ$49)</f>
        <v>444760.1027328</v>
      </c>
      <c r="D31" s="69" t="n">
        <f aca="false">-SUMIF(Monthly!$C$5:$BJ$5,D$26,Monthly!$C$49:$BJ$49)</f>
        <v>451149.402039228</v>
      </c>
      <c r="E31" s="69" t="n">
        <f aca="false">-SUMIF(Monthly!$C$5:$BJ$5,E$26,Monthly!$C$49:$BJ$49)</f>
        <v>459323.147144917</v>
      </c>
      <c r="F31" s="69" t="n">
        <f aca="false">-SUMIF(Monthly!$C$5:$BJ$5,F$26,Monthly!$C$49:$BJ$49)</f>
        <v>469028.623883187</v>
      </c>
    </row>
    <row r="32" customFormat="false" ht="15" hidden="false" customHeight="false" outlineLevel="0" collapsed="false">
      <c r="A32" s="4" t="s">
        <v>162</v>
      </c>
      <c r="B32" s="75" t="n">
        <f aca="false">IF(B30&gt;0,B31/B30,"n/a")</f>
        <v>674122.732633175</v>
      </c>
      <c r="C32" s="75" t="n">
        <f aca="false">IF(C30&gt;0,C31/C30,"n/a")</f>
        <v>667558.062175402</v>
      </c>
      <c r="D32" s="75" t="n">
        <f aca="false">IF(D30&gt;0,D31/D30,"n/a")</f>
        <v>675473.415020933</v>
      </c>
      <c r="E32" s="75" t="n">
        <f aca="false">IF(E30&gt;0,E31/E30,"n/a")</f>
        <v>686064.140774307</v>
      </c>
      <c r="F32" s="75" t="n">
        <f aca="false">IF(F30&gt;0,F31/F30,"n/a")</f>
        <v>698935.288448491</v>
      </c>
    </row>
    <row r="33" customFormat="false" ht="15" hidden="false" customHeight="false" outlineLevel="0" collapsed="false">
      <c r="A33" s="38" t="s">
        <v>163</v>
      </c>
      <c r="B33" s="76" t="n">
        <f aca="false">IF(AND(ISNUMBER(B32),B28&gt;0),(B28-B32)/B28,"n/a")</f>
        <v>-0.173403735254961</v>
      </c>
      <c r="C33" s="76" t="n">
        <f aca="false">IF(AND(ISNUMBER(C32),C28&gt;0),(C28-C32)/C28,"n/a")</f>
        <v>0.200995041543001</v>
      </c>
      <c r="D33" s="76" t="n">
        <f aca="false">IF(AND(ISNUMBER(D32),D28&gt;0),(D28-D32)/D28,"n/a")</f>
        <v>0.237931096078204</v>
      </c>
      <c r="E33" s="76" t="n">
        <f aca="false">IF(AND(ISNUMBER(E32),E28&gt;0),(E28-E32)/E28,"n/a")</f>
        <v>0.2704144051886</v>
      </c>
      <c r="F33" s="76" t="n">
        <f aca="false">IF(AND(ISNUMBER(F32),F28&gt;0),(F28-F32)/F28,"n/a")</f>
        <v>0.299393682689097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7" t="n">
        <f aca="false">Inputs!$E$89</f>
        <v>0.25</v>
      </c>
    </row>
    <row r="7" customFormat="false" ht="15" hidden="false" customHeight="false" outlineLevel="0" collapsed="false">
      <c r="A7" s="38" t="s">
        <v>169</v>
      </c>
      <c r="B7" s="77" t="n">
        <f aca="false">Inputs!$E$90</f>
        <v>0.02</v>
      </c>
    </row>
    <row r="8" customFormat="false" ht="15" hidden="false" customHeight="false" outlineLevel="0" collapsed="false">
      <c r="A8" s="6" t="s">
        <v>170</v>
      </c>
      <c r="B8" s="78" t="n">
        <f aca="false">Inputs!$E$91</f>
        <v>4</v>
      </c>
    </row>
    <row r="9" customFormat="false" ht="15" hidden="false" customHeight="false" outlineLevel="0" collapsed="false">
      <c r="A9" s="38" t="s">
        <v>171</v>
      </c>
      <c r="B9" s="77" t="n">
        <f aca="false">Inputs!$E$83</f>
        <v>0.21</v>
      </c>
    </row>
    <row r="10" customFormat="false" ht="15" hidden="false" customHeight="false" outlineLevel="0" collapsed="false">
      <c r="A10" s="38" t="s">
        <v>172</v>
      </c>
      <c r="B10" s="77" t="n">
        <f aca="false">Inputs!$E$92</f>
        <v>0.01</v>
      </c>
    </row>
    <row r="11" customFormat="false" ht="15" hidden="false" customHeight="false" outlineLevel="0" collapsed="false">
      <c r="A11" s="38" t="s">
        <v>173</v>
      </c>
      <c r="B11" s="77" t="n">
        <f aca="false">Inputs!$E$93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4" t="s">
        <v>154</v>
      </c>
      <c r="B14" s="74" t="n">
        <v>1</v>
      </c>
      <c r="C14" s="74" t="n">
        <v>2</v>
      </c>
      <c r="D14" s="74" t="n">
        <v>3</v>
      </c>
      <c r="E14" s="74" t="n">
        <v>4</v>
      </c>
      <c r="F14" s="74" t="n">
        <v>5</v>
      </c>
    </row>
    <row r="15" customFormat="false" ht="15" hidden="false" customHeight="false" outlineLevel="0" collapsed="false">
      <c r="A15" s="33"/>
      <c r="B15" s="52" t="s">
        <v>155</v>
      </c>
      <c r="C15" s="52" t="s">
        <v>156</v>
      </c>
      <c r="D15" s="52" t="s">
        <v>157</v>
      </c>
      <c r="E15" s="52" t="s">
        <v>158</v>
      </c>
      <c r="F15" s="52" t="s">
        <v>159</v>
      </c>
    </row>
    <row r="16" customFormat="false" ht="15" hidden="false" customHeight="false" outlineLevel="0" collapsed="false">
      <c r="A16" s="6" t="s">
        <v>48</v>
      </c>
      <c r="B16" s="69" t="n">
        <f aca="false">SUMIF(Monthly!$C$5:$BJ$5,B$14,Monthly!$C$50:$BJ$50)</f>
        <v>-64148.398624</v>
      </c>
      <c r="C16" s="69" t="n">
        <f aca="false">SUMIF(Monthly!$C$5:$BJ$5,C$14,Monthly!$C$50:$BJ$50)</f>
        <v>111882.3786752</v>
      </c>
      <c r="D16" s="69" t="n">
        <f aca="false">SUMIF(Monthly!$C$5:$BJ$5,D$14,Monthly!$C$50:$BJ$50)</f>
        <v>140856.64848652</v>
      </c>
      <c r="E16" s="69" t="n">
        <f aca="false">SUMIF(Monthly!$C$5:$BJ$5,E$14,Monthly!$C$50:$BJ$50)</f>
        <v>170244.035117849</v>
      </c>
      <c r="F16" s="69" t="n">
        <f aca="false">SUMIF(Monthly!$C$5:$BJ$5,F$14,Monthly!$C$50:$BJ$50)</f>
        <v>200432.401937181</v>
      </c>
    </row>
    <row r="17" customFormat="false" ht="15" hidden="false" customHeight="false" outlineLevel="0" collapsed="false">
      <c r="A17" s="4" t="s">
        <v>175</v>
      </c>
      <c r="B17" s="75" t="n">
        <f aca="false">SUMIF(Monthly!$C$5:$BJ$5,B$14,Monthly!$C$104:$BJ$104)</f>
        <v>-245296.964612889</v>
      </c>
      <c r="C17" s="75" t="n">
        <f aca="false">SUMIF(Monthly!$C$5:$BJ$5,C$14,Monthly!$C$104:$BJ$104)</f>
        <v>101036.441991893</v>
      </c>
      <c r="D17" s="75" t="n">
        <f aca="false">SUMIF(Monthly!$C$5:$BJ$5,D$14,Monthly!$C$104:$BJ$104)</f>
        <v>110546.838266278</v>
      </c>
      <c r="E17" s="75" t="n">
        <f aca="false">SUMIF(Monthly!$C$5:$BJ$5,E$14,Monthly!$C$104:$BJ$104)</f>
        <v>130809.224561487</v>
      </c>
      <c r="F17" s="75" t="n">
        <f aca="false">SUMIF(Monthly!$C$5:$BJ$5,F$14,Monthly!$C$104:$BJ$104)</f>
        <v>154952.718867504</v>
      </c>
    </row>
    <row r="18" customFormat="false" ht="15" hidden="false" customHeight="false" outlineLevel="0" collapsed="false">
      <c r="A18" s="6" t="s">
        <v>176</v>
      </c>
      <c r="B18" s="79" t="n">
        <f aca="false">1/(1+Inputs!$E$89)^B$14</f>
        <v>0.8</v>
      </c>
      <c r="C18" s="79" t="n">
        <f aca="false">1/(1+Inputs!$E$89)^C$14</f>
        <v>0.64</v>
      </c>
      <c r="D18" s="79" t="n">
        <f aca="false">1/(1+Inputs!$E$89)^D$14</f>
        <v>0.512</v>
      </c>
      <c r="E18" s="79" t="n">
        <f aca="false">1/(1+Inputs!$E$89)^E$14</f>
        <v>0.4096</v>
      </c>
      <c r="F18" s="79" t="n">
        <f aca="false">1/(1+Inputs!$E$89)^F$14</f>
        <v>0.32768</v>
      </c>
    </row>
    <row r="19" customFormat="false" ht="15" hidden="false" customHeight="false" outlineLevel="0" collapsed="false">
      <c r="A19" s="6" t="s">
        <v>177</v>
      </c>
      <c r="B19" s="69" t="n">
        <f aca="false">B17*B18</f>
        <v>-196237.571690311</v>
      </c>
      <c r="C19" s="69" t="n">
        <f aca="false">C17*C18</f>
        <v>64663.3228748117</v>
      </c>
      <c r="D19" s="69" t="n">
        <f aca="false">D17*D18</f>
        <v>56599.9811923346</v>
      </c>
      <c r="E19" s="69" t="n">
        <f aca="false">E17*E18</f>
        <v>53579.458380385</v>
      </c>
      <c r="F19" s="69" t="n">
        <f aca="false">F17*F18</f>
        <v>50774.9069185037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179</v>
      </c>
      <c r="C22" s="52" t="s">
        <v>180</v>
      </c>
    </row>
    <row r="23" customFormat="false" ht="15" hidden="false" customHeight="false" outlineLevel="0" collapsed="false">
      <c r="A23" s="6" t="s">
        <v>181</v>
      </c>
      <c r="B23" s="69" t="n">
        <f aca="false">SUM($B$19:$F$19)</f>
        <v>29380.0976757238</v>
      </c>
      <c r="C23" s="69" t="n">
        <f aca="false">B23</f>
        <v>29380.0976757238</v>
      </c>
    </row>
    <row r="24" customFormat="false" ht="15" hidden="false" customHeight="false" outlineLevel="0" collapsed="false">
      <c r="A24" s="6" t="s">
        <v>182</v>
      </c>
      <c r="B24" s="69" t="n">
        <f aca="false">$F$17</f>
        <v>154952.718867504</v>
      </c>
      <c r="C24" s="69" t="n">
        <f aca="false">$F$16</f>
        <v>200432.401937181</v>
      </c>
    </row>
    <row r="25" customFormat="false" ht="15" hidden="false" customHeight="false" outlineLevel="0" collapsed="false">
      <c r="A25" s="6" t="s">
        <v>183</v>
      </c>
      <c r="B25" s="69" t="n">
        <f aca="false">IF($B$6&gt;$B$7,B24*(1+$B$7)/($B$6-$B$7),0)</f>
        <v>687181.622803713</v>
      </c>
      <c r="C25" s="69" t="n">
        <f aca="false">C24*$B$8</f>
        <v>801729.607748724</v>
      </c>
    </row>
    <row r="26" customFormat="false" ht="15" hidden="false" customHeight="false" outlineLevel="0" collapsed="false">
      <c r="A26" s="6" t="s">
        <v>184</v>
      </c>
      <c r="B26" s="69" t="n">
        <f aca="false">B25/(1+$B$6)^$F$14</f>
        <v>225175.674160321</v>
      </c>
      <c r="C26" s="69" t="n">
        <f aca="false">C25/(1+$B$6)^$F$14</f>
        <v>262710.757867102</v>
      </c>
    </row>
    <row r="27" customFormat="false" ht="15" hidden="false" customHeight="false" outlineLevel="0" collapsed="false">
      <c r="A27" s="4" t="s">
        <v>178</v>
      </c>
      <c r="B27" s="70" t="n">
        <f aca="false">B23+B26</f>
        <v>254555.771836044</v>
      </c>
      <c r="C27" s="70" t="n">
        <f aca="false">C23+C26</f>
        <v>292090.855542826</v>
      </c>
    </row>
    <row r="28" customFormat="false" ht="15" hidden="false" customHeight="false" outlineLevel="0" collapsed="false">
      <c r="A28" s="38" t="s">
        <v>185</v>
      </c>
      <c r="B28" s="76" t="n">
        <f aca="false">IF(B27&lt;&gt;0,B26/B27,0)</f>
        <v>0.884582865814384</v>
      </c>
      <c r="C28" s="76" t="n">
        <f aca="false">IF(C27&lt;&gt;0,C26/C27,0)</f>
        <v>0.899414524220132</v>
      </c>
    </row>
    <row r="29" customFormat="false" ht="15" hidden="false" customHeight="false" outlineLevel="0" collapsed="false">
      <c r="A29" s="6" t="s">
        <v>186</v>
      </c>
      <c r="B29" s="80" t="n">
        <f aca="false">IF(C24&gt;0,B25/C24,"n/a")</f>
        <v>3.4284956731651</v>
      </c>
      <c r="C29" s="76" t="n">
        <f aca="false">IF(C25+B24&lt;&gt;0,(C25*$B$6-B24)/(C25+B24),"n/a")</f>
        <v>0.0475389602215587</v>
      </c>
    </row>
    <row r="30" customFormat="false" ht="15" hidden="false" customHeight="false" outlineLevel="0" collapsed="false">
      <c r="A30" s="72" t="s">
        <v>187</v>
      </c>
      <c r="B30" s="73" t="n">
        <f aca="false">AVERAGE(B27,C27)</f>
        <v>273323.313689435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IF($A34&gt;B$33,SUMPRODUCT($B$17:$F$17/(1+$A34)^$B$14:$F$14)+$F$17*(1+B$33)/($A34-B$33)/(1+$A34)^$F$14,"n/a")</f>
        <v>291631.429191662</v>
      </c>
      <c r="C34" s="69" t="n">
        <f aca="false">IF($A34&gt;C$33,SUMPRODUCT($B$17:$F$17/(1+$A34)^$B$14:$F$14)+$F$17*(1+C$33)/($A34-C$33)/(1+$A34)^$F$14,"n/a")</f>
        <v>298787.714038856</v>
      </c>
      <c r="D34" s="69" t="n">
        <f aca="false">IF($A34&gt;D$33,SUMPRODUCT($B$17:$F$17/(1+$A34)^$B$14:$F$14)+$F$17*(1+D$33)/($A34-D$33)/(1+$A34)^$F$14,"n/a")</f>
        <v>306284.774354965</v>
      </c>
      <c r="E34" s="69" t="n">
        <f aca="false">IF($A34&gt;E$33,SUMPRODUCT($B$17:$F$17/(1+$A34)^$B$14:$F$14)+$F$17*(1+E$33)/($A34-E$33)/(1+$A34)^$F$14,"n/a")</f>
        <v>314147.544930396</v>
      </c>
      <c r="F34" s="69" t="n">
        <f aca="false">IF($A34&gt;F$33,SUMPRODUCT($B$17:$F$17/(1+$A34)^$B$14:$F$14)+$F$17*(1+F$33)/($A34-F$33)/(1+$A34)^$F$14,"n/a")</f>
        <v>322403.454034598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IF($A35&gt;B$33,SUMPRODUCT($B$17:$F$17/(1+$A35)^$B$14:$F$14)+$F$17*(1+B$33)/($A35-B$33)/(1+$A35)^$F$14,"n/a")</f>
        <v>266160.083044816</v>
      </c>
      <c r="C35" s="69" t="n">
        <f aca="false">IF($A35&gt;C$33,SUMPRODUCT($B$17:$F$17/(1+$A35)^$B$14:$F$14)+$F$17*(1+C$33)/($A35-C$33)/(1+$A35)^$F$14,"n/a")</f>
        <v>272492.538019304</v>
      </c>
      <c r="D35" s="69" t="n">
        <f aca="false">IF($A35&gt;D$33,SUMPRODUCT($B$17:$F$17/(1+$A35)^$B$14:$F$14)+$F$17*(1+D$33)/($A35-D$33)/(1+$A35)^$F$14,"n/a")</f>
        <v>279112.831856269</v>
      </c>
      <c r="E35" s="69" t="n">
        <f aca="false">IF($A35&gt;E$33,SUMPRODUCT($B$17:$F$17/(1+$A35)^$B$14:$F$14)+$F$17*(1+E$33)/($A35-E$33)/(1+$A35)^$F$14,"n/a")</f>
        <v>286041.046336814</v>
      </c>
      <c r="F35" s="69" t="n">
        <f aca="false">IF($A35&gt;F$33,SUMPRODUCT($B$17:$F$17/(1+$A35)^$B$14:$F$14)+$F$17*(1+F$33)/($A35-F$33)/(1+$A35)^$F$14,"n/a")</f>
        <v>293299.175792623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IF($A36&gt;B$33,SUMPRODUCT($B$17:$F$17/(1+$A36)^$B$14:$F$14)+$F$17*(1+B$33)/($A36-B$33)/(1+$A36)^$F$14,"n/a")</f>
        <v>243057.83095776</v>
      </c>
      <c r="C36" s="69" t="n">
        <f aca="false">IF($A36&gt;C$33,SUMPRODUCT($B$17:$F$17/(1+$A36)^$B$14:$F$14)+$F$17*(1+C$33)/($A36-C$33)/(1+$A36)^$F$14,"n/a")</f>
        <v>248684.48287692</v>
      </c>
      <c r="D36" s="69" t="n">
        <f aca="false">IF($A36&gt;D$33,SUMPRODUCT($B$17:$F$17/(1+$A36)^$B$14:$F$14)+$F$17*(1+D$33)/($A36-D$33)/(1+$A36)^$F$14,"n/a")</f>
        <v>254555.771836044</v>
      </c>
      <c r="E36" s="69" t="n">
        <f aca="false">IF($A36&gt;E$33,SUMPRODUCT($B$17:$F$17/(1+$A36)^$B$14:$F$14)+$F$17*(1+E$33)/($A36-E$33)/(1+$A36)^$F$14,"n/a")</f>
        <v>260688.006971129</v>
      </c>
      <c r="F36" s="69" t="n">
        <f aca="false">IF($A36&gt;F$33,SUMPRODUCT($B$17:$F$17/(1+$A36)^$B$14:$F$14)+$F$17*(1+F$33)/($A36-F$33)/(1+$A36)^$F$14,"n/a")</f>
        <v>267098.9800669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IF($A37&gt;B$33,SUMPRODUCT($B$17:$F$17/(1+$A37)^$B$14:$F$14)+$F$17*(1+B$33)/($A37-B$33)/(1+$A37)^$F$14,"n/a")</f>
        <v>222033.023929942</v>
      </c>
      <c r="C37" s="69" t="n">
        <f aca="false">IF($A37&gt;C$33,SUMPRODUCT($B$17:$F$17/(1+$A37)^$B$14:$F$14)+$F$17*(1+C$33)/($A37-C$33)/(1+$A37)^$F$14,"n/a")</f>
        <v>227051.604857444</v>
      </c>
      <c r="D37" s="69" t="n">
        <f aca="false">IF($A37&gt;D$33,SUMPRODUCT($B$17:$F$17/(1+$A37)^$B$14:$F$14)+$F$17*(1+D$33)/($A37-D$33)/(1+$A37)^$F$14,"n/a")</f>
        <v>232279.293323591</v>
      </c>
      <c r="E37" s="69" t="n">
        <f aca="false">IF($A37&gt;E$33,SUMPRODUCT($B$17:$F$17/(1+$A37)^$B$14:$F$14)+$F$17*(1+E$33)/($A37-E$33)/(1+$A37)^$F$14,"n/a")</f>
        <v>237729.436618085</v>
      </c>
      <c r="F37" s="69" t="n">
        <f aca="false">IF($A37&gt;F$33,SUMPRODUCT($B$17:$F$17/(1+$A37)^$B$14:$F$14)+$F$17*(1+F$33)/($A37-F$33)/(1+$A37)^$F$14,"n/a")</f>
        <v>243416.542664514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IF($A38&gt;B$33,SUMPRODUCT($B$17:$F$17/(1+$A38)^$B$14:$F$14)+$F$17*(1+B$33)/($A38-B$33)/(1+$A38)^$F$14,"n/a")</f>
        <v>202839.177389777</v>
      </c>
      <c r="C38" s="69" t="n">
        <f aca="false">IF($A38&gt;C$33,SUMPRODUCT($B$17:$F$17/(1+$A38)^$B$14:$F$14)+$F$17*(1+C$33)/($A38-C$33)/(1+$A38)^$F$14,"n/a")</f>
        <v>207331.188203403</v>
      </c>
      <c r="D38" s="69" t="n">
        <f aca="false">IF($A38&gt;D$33,SUMPRODUCT($B$17:$F$17/(1+$A38)^$B$14:$F$14)+$F$17*(1+D$33)/($A38-D$33)/(1+$A38)^$F$14,"n/a")</f>
        <v>212002.879449574</v>
      </c>
      <c r="E38" s="69" t="n">
        <f aca="false">IF($A38&gt;E$33,SUMPRODUCT($B$17:$F$17/(1+$A38)^$B$14:$F$14)+$F$17*(1+E$33)/($A38-E$33)/(1+$A38)^$F$14,"n/a")</f>
        <v>216865.251971099</v>
      </c>
      <c r="F38" s="69" t="n">
        <f aca="false">IF($A38&gt;F$33,SUMPRODUCT($B$17:$F$17/(1+$A38)^$B$14:$F$14)+$F$17*(1+F$33)/($A38-F$33)/(1+$A38)^$F$14,"n/a")</f>
        <v>221930.223347688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2" t="s">
        <v>194</v>
      </c>
      <c r="C6" s="52" t="s">
        <v>195</v>
      </c>
    </row>
    <row r="7" customFormat="false" ht="15" hidden="false" customHeight="false" outlineLevel="0" collapsed="false">
      <c r="A7" s="6" t="s">
        <v>196</v>
      </c>
      <c r="B7" s="82" t="n">
        <f aca="false">Inputs!$E$71</f>
        <v>330000</v>
      </c>
      <c r="C7" s="76" t="n">
        <f aca="false">IF($B$9=0,0,B7/$B$9)</f>
        <v>0.767441860465116</v>
      </c>
    </row>
    <row r="8" customFormat="false" ht="15" hidden="false" customHeight="false" outlineLevel="0" collapsed="false">
      <c r="A8" s="6" t="s">
        <v>197</v>
      </c>
      <c r="B8" s="82" t="n">
        <f aca="false">Inputs!$E$72</f>
        <v>100000</v>
      </c>
      <c r="C8" s="76" t="n">
        <f aca="false">IF($B$9=0,0,B8/$B$9)</f>
        <v>0.232558139534884</v>
      </c>
    </row>
    <row r="9" customFormat="false" ht="15" hidden="false" customHeight="false" outlineLevel="0" collapsed="false">
      <c r="A9" s="4" t="s">
        <v>198</v>
      </c>
      <c r="B9" s="83" t="n">
        <f aca="false">B7+B8</f>
        <v>430000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80" t="n">
        <f aca="false">IF(B7&lt;=0,IF(B8&gt;0,"n/a",0),B8/B7)</f>
        <v>0.303030303030303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82" t="n">
        <f aca="false">'Break-even'!B12</f>
        <v>391499.658014222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38500.3419857778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6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7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2" t="s">
        <v>194</v>
      </c>
      <c r="C17" s="52" t="s">
        <v>195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SUMPRODUCT(--(Monthly!$C$4:$BJ$4&lt;=$B$16),Monthly!$C$91:$BJ$91)</f>
        <v>330000</v>
      </c>
      <c r="C18" s="76" t="n">
        <f aca="false">IF($B$21=0,0,B18/$B$21)</f>
        <v>0.767441860465116</v>
      </c>
    </row>
    <row r="19" customFormat="false" ht="15" hidden="false" customHeight="false" outlineLevel="0" collapsed="false">
      <c r="A19" s="6" t="s">
        <v>206</v>
      </c>
      <c r="B19" s="63" t="n">
        <f aca="false">SUMPRODUCT(--(Monthly!$C$4:$BJ$4&lt;=$B$16),Monthly!$C$76:$BJ$76)</f>
        <v>100000</v>
      </c>
      <c r="C19" s="76" t="n">
        <f aca="false">IF($B$21=0,0,B19/$B$21)</f>
        <v>0.232558139534884</v>
      </c>
    </row>
    <row r="20" customFormat="false" ht="15" hidden="false" customHeight="false" outlineLevel="0" collapsed="false">
      <c r="A20" s="6" t="s">
        <v>207</v>
      </c>
      <c r="B20" s="63" t="n">
        <f aca="false">MAX(0,SUMPRODUCT(--(Monthly!$C$4:$BJ$4&lt;=$B$16),Monthly!$C$89:$BJ$89))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83" t="n">
        <f aca="false">SUM(B18:B20)</f>
        <v>430000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2" t="s">
        <v>194</v>
      </c>
      <c r="C23" s="52" t="s">
        <v>195</v>
      </c>
    </row>
    <row r="24" customFormat="false" ht="15" hidden="false" customHeight="false" outlineLevel="0" collapsed="false">
      <c r="A24" s="6" t="s">
        <v>210</v>
      </c>
      <c r="B24" s="63" t="n">
        <f aca="false">MAX(0,-SUMPRODUCT(--(Monthly!$C$4:$BJ$4&lt;=$B$16),Monthly!$C$89:$BJ$89))</f>
        <v>62809.5271128889</v>
      </c>
      <c r="C24" s="76" t="n">
        <f aca="false">IF($B$28=0,0,B24/$B$28)</f>
        <v>0.146068667704393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-SUMPRODUCT(--(Monthly!$C$4:$BJ$4&lt;=$B$16),Monthly!$C$90:$BJ$90)</f>
        <v>189000</v>
      </c>
      <c r="C25" s="76" t="n">
        <f aca="false">IF($B$28=0,0,B25/$B$28)</f>
        <v>0.43953488372093</v>
      </c>
    </row>
    <row r="26" customFormat="false" ht="15" hidden="false" customHeight="false" outlineLevel="0" collapsed="false">
      <c r="A26" s="6" t="s">
        <v>211</v>
      </c>
      <c r="B26" s="63" t="n">
        <f aca="false">-SUMPRODUCT(--(Monthly!$C$4:$BJ$4&lt;=$B$16),Monthly!$C$77:$BJ$77)</f>
        <v>18333.3333333333</v>
      </c>
      <c r="C26" s="76" t="n">
        <f aca="false">IF($B$28=0,0,B26/$B$28)</f>
        <v>0.0426356589147287</v>
      </c>
    </row>
    <row r="27" customFormat="false" ht="15" hidden="false" customHeight="false" outlineLevel="0" collapsed="false">
      <c r="A27" s="6" t="s">
        <v>212</v>
      </c>
      <c r="B27" s="63" t="n">
        <f aca="false">INDEX(Monthly!$C$95:$BJ$95,$B$16)</f>
        <v>159857.139553778</v>
      </c>
      <c r="C27" s="76" t="n">
        <f aca="false">IF($B$28=0,0,B27/$B$28)</f>
        <v>0.371760789659948</v>
      </c>
    </row>
    <row r="28" customFormat="false" ht="15" hidden="false" customHeight="false" outlineLevel="0" collapsed="false">
      <c r="A28" s="4" t="s">
        <v>213</v>
      </c>
      <c r="B28" s="83" t="n">
        <f aca="false">SUM(B24:B27)</f>
        <v>430000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63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0.45428011080752</v>
      </c>
      <c r="D6" s="39" t="n">
        <f aca="false">IF(N('P&amp;L'!C5)&lt;=0,"n/a",'P&amp;L'!D5/'P&amp;L'!C5-1)</f>
        <v>0.0608999999999997</v>
      </c>
      <c r="E6" s="39" t="n">
        <f aca="false">IF(N('P&amp;L'!D5)&lt;=0,"n/a",'P&amp;L'!E5/'P&amp;L'!D5-1)</f>
        <v>0.0609000000000004</v>
      </c>
      <c r="F6" s="39" t="n">
        <f aca="false">IF(N('P&amp;L'!E5)&lt;=0,"n/a",'P&amp;L'!F5/'P&amp;L'!E5-1)</f>
        <v>0.0609000000000004</v>
      </c>
      <c r="G6" s="87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0.643925857192845</v>
      </c>
      <c r="C7" s="39" t="n">
        <f aca="false">IF('P&amp;L'!C5&lt;=0,"n/a",'P&amp;L'!C7/'P&amp;L'!C5)</f>
        <v>0.666249316626392</v>
      </c>
      <c r="D7" s="39" t="n">
        <f aca="false">IF('P&amp;L'!D5&lt;=0,"n/a",'P&amp;L'!D7/'P&amp;L'!D5)</f>
        <v>0.66790104837101</v>
      </c>
      <c r="E7" s="39" t="n">
        <f aca="false">IF('P&amp;L'!E5&lt;=0,"n/a",'P&amp;L'!E7/'P&amp;L'!E5)</f>
        <v>0.669504671424037</v>
      </c>
      <c r="F7" s="39" t="n">
        <f aca="false">IF('P&amp;L'!F5&lt;=0,"n/a",'P&amp;L'!F7/'P&amp;L'!F5)</f>
        <v>0.6710615870095</v>
      </c>
      <c r="G7" s="87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IF('P&amp;L'!B5&lt;=0,"n/a",'P&amp;L'!B16/'P&amp;L'!B5)</f>
        <v>-0.111659148864492</v>
      </c>
      <c r="C8" s="39" t="n">
        <f aca="false">IF('P&amp;L'!C5&lt;=0,"n/a",'P&amp;L'!C16/'P&amp;L'!C5)</f>
        <v>0.133912809073318</v>
      </c>
      <c r="D8" s="39" t="n">
        <f aca="false">IF('P&amp;L'!D5&lt;=0,"n/a",'P&amp;L'!D16/'P&amp;L'!D5)</f>
        <v>0.158914428510696</v>
      </c>
      <c r="E8" s="39" t="n">
        <f aca="false">IF('P&amp;L'!E5&lt;=0,"n/a",'P&amp;L'!E16/'P&amp;L'!E5)</f>
        <v>0.18104370749412</v>
      </c>
      <c r="F8" s="39" t="n">
        <f aca="false">IF('P&amp;L'!F5&lt;=0,"n/a",'P&amp;L'!F16/'P&amp;L'!F5)</f>
        <v>0.200911599845964</v>
      </c>
      <c r="G8" s="87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IF('P&amp;L'!B5&lt;=0,"n/a",'P&amp;L'!B23/'P&amp;L'!B5)</f>
        <v>-0.167131110389716</v>
      </c>
      <c r="C9" s="39" t="n">
        <f aca="false">IF('P&amp;L'!C5&lt;=0,"n/a",'P&amp;L'!C23/'P&amp;L'!C5)</f>
        <v>0.0964196953775547</v>
      </c>
      <c r="D9" s="39" t="n">
        <f aca="false">IF('P&amp;L'!D5&lt;=0,"n/a",'P&amp;L'!D23/'P&amp;L'!D5)</f>
        <v>0.101776084017165</v>
      </c>
      <c r="E9" s="39" t="n">
        <f aca="false">IF('P&amp;L'!E5&lt;=0,"n/a",'P&amp;L'!E23/'P&amp;L'!E5)</f>
        <v>0.117632059905947</v>
      </c>
      <c r="F9" s="39" t="n">
        <f aca="false">IF('P&amp;L'!F5&lt;=0,"n/a",'P&amp;L'!F23/'P&amp;L'!F5)</f>
        <v>0.135220865274062</v>
      </c>
      <c r="G9" s="87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IF('P&amp;L'!B5&lt;=0,"n/a",-SUMIF(Headcount!$C$5:$BJ$5,B$5,Headcount!$C$17:$BJ$17)/'P&amp;L'!B5)</f>
        <v>0.398345036910691</v>
      </c>
      <c r="C10" s="39" t="n">
        <f aca="false">IF('P&amp;L'!C5&lt;=0,"n/a",-SUMIF(Headcount!$C$5:$BJ$5,C$5,Headcount!$C$17:$BJ$17)/'P&amp;L'!C5)</f>
        <v>0.282129546411927</v>
      </c>
      <c r="D10" s="39" t="n">
        <f aca="false">IF('P&amp;L'!D5&lt;=0,"n/a",-SUMIF(Headcount!$C$5:$BJ$5,D$5,Headcount!$C$17:$BJ$17)/'P&amp;L'!D5)</f>
        <v>0.273912180982453</v>
      </c>
      <c r="E10" s="39" t="n">
        <f aca="false">IF('P&amp;L'!E5&lt;=0,"n/a",-SUMIF(Headcount!$C$5:$BJ$5,E$5,Headcount!$C$17:$BJ$17)/'P&amp;L'!E5)</f>
        <v>0.265934156293644</v>
      </c>
      <c r="F10" s="39" t="n">
        <f aca="false">IF('P&amp;L'!F5&lt;=0,"n/a",-SUMIF(Headcount!$C$5:$BJ$5,F$5,Headcount!$C$17:$BJ$17)/'P&amp;L'!F5)</f>
        <v>0.258188501255965</v>
      </c>
      <c r="G10" s="87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IF('P&amp;L'!B5&lt;=0,"n/a",-'P&amp;L'!B13/'P&amp;L'!B5)</f>
        <v>0.0731068016178677</v>
      </c>
      <c r="C11" s="39" t="n">
        <f aca="false">IF('P&amp;L'!C5&lt;=0,"n/a",-'P&amp;L'!C13/'P&amp;L'!C5)</f>
        <v>0.0402160772602597</v>
      </c>
      <c r="D11" s="39" t="n">
        <f aca="false">IF('P&amp;L'!D5&lt;=0,"n/a",-'P&amp;L'!D13/'P&amp;L'!D5)</f>
        <v>0.0303260079255422</v>
      </c>
      <c r="E11" s="39" t="n">
        <f aca="false">IF('P&amp;L'!E5&lt;=0,"n/a",-'P&amp;L'!E13/'P&amp;L'!E5)</f>
        <v>0.0228681368087791</v>
      </c>
      <c r="F11" s="39" t="n">
        <f aca="false">IF('P&amp;L'!F5&lt;=0,"n/a",-'P&amp;L'!F13/'P&amp;L'!F5)</f>
        <v>0.017244329764373</v>
      </c>
      <c r="G11" s="87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IF('P&amp;L'!B5&lt;=0,"n/a",-'P&amp;L'!B15/'P&amp;L'!B5)</f>
        <v>0.755585006057337</v>
      </c>
      <c r="C12" s="39" t="n">
        <f aca="false">IF('P&amp;L'!C5&lt;=0,"n/a",-'P&amp;L'!C15/'P&amp;L'!C5)</f>
        <v>0.532336507553075</v>
      </c>
      <c r="D12" s="39" t="n">
        <f aca="false">IF('P&amp;L'!D5&lt;=0,"n/a",-'P&amp;L'!D15/'P&amp;L'!D5)</f>
        <v>0.508986619860314</v>
      </c>
      <c r="E12" s="39" t="n">
        <f aca="false">IF('P&amp;L'!E5&lt;=0,"n/a",-'P&amp;L'!E15/'P&amp;L'!E5)</f>
        <v>0.488460963929917</v>
      </c>
      <c r="F12" s="39" t="n">
        <f aca="false">IF('P&amp;L'!F5&lt;=0,"n/a",-'P&amp;L'!F15/'P&amp;L'!F5)</f>
        <v>0.470149987163536</v>
      </c>
      <c r="G12" s="87"/>
    </row>
    <row r="13" customFormat="false" ht="15" hidden="false" customHeight="false" outlineLevel="0" collapsed="false">
      <c r="A13" s="6" t="s">
        <v>223</v>
      </c>
      <c r="B13" s="88" t="n">
        <f aca="false">IF(('Balance Sheet'!B12-'Balance Sheet'!B11)&lt;=0,"n/a",('Balance Sheet'!B5+'Balance Sheet'!B6+'Balance Sheet'!B7)/('Balance Sheet'!B12-'Balance Sheet'!B11))</f>
        <v>8.94637232381527</v>
      </c>
      <c r="C13" s="88" t="n">
        <f aca="false">IF(('Balance Sheet'!C12-'Balance Sheet'!C11)&lt;=0,"n/a",('Balance Sheet'!C5+'Balance Sheet'!C6+'Balance Sheet'!C7)/('Balance Sheet'!C12-'Balance Sheet'!C11))</f>
        <v>12.3056604555209</v>
      </c>
      <c r="D13" s="88" t="n">
        <f aca="false">IF(('Balance Sheet'!D12-'Balance Sheet'!D11)&lt;=0,"n/a",('Balance Sheet'!D5+'Balance Sheet'!D6+'Balance Sheet'!D7)/('Balance Sheet'!D12-'Balance Sheet'!D11))</f>
        <v>15.8040585940932</v>
      </c>
      <c r="E13" s="88" t="n">
        <f aca="false">IF(('Balance Sheet'!E12-'Balance Sheet'!E11)&lt;=0,"n/a",('Balance Sheet'!E5+'Balance Sheet'!E6+'Balance Sheet'!E7)/('Balance Sheet'!E12-'Balance Sheet'!E11))</f>
        <v>19.8718262711344</v>
      </c>
      <c r="F13" s="88" t="n">
        <f aca="false">IF(('Balance Sheet'!F12-'Balance Sheet'!F11)&lt;=0,"n/a",('Balance Sheet'!F5+'Balance Sheet'!F6+'Balance Sheet'!F7)/('Balance Sheet'!F12-'Balance Sheet'!F11))</f>
        <v>24.5508338046516</v>
      </c>
      <c r="G13" s="89"/>
    </row>
    <row r="14" customFormat="false" ht="15" hidden="false" customHeight="false" outlineLevel="0" collapsed="false">
      <c r="A14" s="6" t="s">
        <v>224</v>
      </c>
      <c r="B14" s="88" t="n">
        <f aca="false">IF('Balance Sheet'!B15&lt;=0,"n/a",'Balance Sheet'!B11/'Balance Sheet'!B15)</f>
        <v>0.349028427452711</v>
      </c>
      <c r="C14" s="88" t="n">
        <f aca="false">IF('Balance Sheet'!C15&lt;=0,"n/a",'Balance Sheet'!C11/'Balance Sheet'!C15)</f>
        <v>0.196053352719392</v>
      </c>
      <c r="D14" s="88" t="n">
        <f aca="false">IF('Balance Sheet'!D15&lt;=0,"n/a",'Balance Sheet'!D11/'Balance Sheet'!D15)</f>
        <v>0.1029438776581</v>
      </c>
      <c r="E14" s="88" t="n">
        <f aca="false">IF('Balance Sheet'!E15&lt;=0,"n/a",'Balance Sheet'!E11/'Balance Sheet'!E15)</f>
        <v>0.0420412932523434</v>
      </c>
      <c r="F14" s="88" t="n">
        <f aca="false">IF('Balance Sheet'!F15&lt;=0,"n/a",'Balance Sheet'!F11/'Balance Sheet'!F15)</f>
        <v>0.00256305892862658</v>
      </c>
      <c r="G14" s="89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Sheet'!B9&lt;=0,"n/a",'P&amp;L'!B23/'Balance Sheet'!B9)</f>
        <v>-0.28699478632634</v>
      </c>
      <c r="C15" s="39" t="n">
        <f aca="false">IF('Balance Sheet'!C9&lt;=0,"n/a",'P&amp;L'!C23/'Balance Sheet'!C9)</f>
        <v>0.203339939676496</v>
      </c>
      <c r="D15" s="39" t="n">
        <f aca="false">IF('Balance Sheet'!D9&lt;=0,"n/a",'P&amp;L'!D23/'Balance Sheet'!D9)</f>
        <v>0.192966409023321</v>
      </c>
      <c r="E15" s="39" t="n">
        <f aca="false">IF('Balance Sheet'!E9&lt;=0,"n/a",'P&amp;L'!E23/'Balance Sheet'!E9)</f>
        <v>0.197777559395811</v>
      </c>
      <c r="F15" s="39" t="n">
        <f aca="false">IF('Balance Sheet'!F9&lt;=0,"n/a",'P&amp;L'!F23/'Balance Sheet'!F9)</f>
        <v>0.199720375307953</v>
      </c>
      <c r="G15" s="87"/>
    </row>
    <row r="16" customFormat="false" ht="15" hidden="false" customHeight="false" outlineLevel="0" collapsed="false">
      <c r="A16" s="38" t="s">
        <v>226</v>
      </c>
      <c r="B16" s="39" t="n">
        <f aca="false">IF('Balance Sheet'!B15&lt;=0,"n/a",'P&amp;L'!B23/'Balance Sheet'!B15)</f>
        <v>-0.41035976807422</v>
      </c>
      <c r="C16" s="39" t="n">
        <f aca="false">IF('Balance Sheet'!C15&lt;=0,"n/a",'P&amp;L'!C23/'Balance Sheet'!C15)</f>
        <v>0.256111527171221</v>
      </c>
      <c r="D16" s="39" t="n">
        <f aca="false">IF('Balance Sheet'!D15&lt;=0,"n/a",'P&amp;L'!D23/'Balance Sheet'!D15)</f>
        <v>0.222880216937406</v>
      </c>
      <c r="E16" s="39" t="n">
        <f aca="false">IF('Balance Sheet'!E15&lt;=0,"n/a",'P&amp;L'!E23/'Balance Sheet'!E15)</f>
        <v>0.214633811071234</v>
      </c>
      <c r="F16" s="39" t="n">
        <f aca="false">IF('Balance Sheet'!F15&lt;=0,"n/a",'P&amp;L'!F23/'Balance Sheet'!F15)</f>
        <v>0.207451448456824</v>
      </c>
      <c r="G16" s="87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IF('P&amp;L'!B5&lt;=0,"n/a",'P&amp;L'!B23/'P&amp;L'!B5)</f>
        <v>-0.167131110389716</v>
      </c>
      <c r="C20" s="39" t="n">
        <f aca="false">IF('P&amp;L'!C5&lt;=0,"n/a",'P&amp;L'!C23/'P&amp;L'!C5)</f>
        <v>0.0964196953775547</v>
      </c>
      <c r="D20" s="39" t="n">
        <f aca="false">IF('P&amp;L'!D5&lt;=0,"n/a",'P&amp;L'!D23/'P&amp;L'!D5)</f>
        <v>0.101776084017165</v>
      </c>
      <c r="E20" s="39" t="n">
        <f aca="false">IF('P&amp;L'!E5&lt;=0,"n/a",'P&amp;L'!E23/'P&amp;L'!E5)</f>
        <v>0.117632059905947</v>
      </c>
      <c r="F20" s="39" t="n">
        <f aca="false">IF('P&amp;L'!F5&lt;=0,"n/a",'P&amp;L'!F23/'P&amp;L'!F5)</f>
        <v>0.135220865274062</v>
      </c>
    </row>
    <row r="21" customFormat="false" ht="15" hidden="false" customHeight="false" outlineLevel="0" collapsed="false">
      <c r="A21" s="51" t="s">
        <v>228</v>
      </c>
      <c r="B21" s="88" t="n">
        <f aca="false">IF('Balance Sheet'!B9&lt;=0,"n/a",'P&amp;L'!B5/'Balance Sheet'!B9)</f>
        <v>1.71718350735016</v>
      </c>
      <c r="C21" s="88" t="n">
        <f aca="false">IF('Balance Sheet'!C9&lt;=0,"n/a",'P&amp;L'!C5/'Balance Sheet'!C9)</f>
        <v>2.10890460585122</v>
      </c>
      <c r="D21" s="88" t="n">
        <f aca="false">IF('Balance Sheet'!D9&lt;=0,"n/a",'P&amp;L'!D5/'Balance Sheet'!D9)</f>
        <v>1.89598971985184</v>
      </c>
      <c r="E21" s="88" t="n">
        <f aca="false">IF('Balance Sheet'!E9&lt;=0,"n/a",'P&amp;L'!E5/'Balance Sheet'!E9)</f>
        <v>1.68132360815533</v>
      </c>
      <c r="F21" s="88" t="n">
        <f aca="false">IF('Balance Sheet'!F9&lt;=0,"n/a",'P&amp;L'!F5/'Balance Sheet'!F9)</f>
        <v>1.47699376796004</v>
      </c>
    </row>
    <row r="22" customFormat="false" ht="15" hidden="false" customHeight="false" outlineLevel="0" collapsed="false">
      <c r="A22" s="51" t="s">
        <v>229</v>
      </c>
      <c r="B22" s="88" t="n">
        <f aca="false">IF('Balance Sheet'!B15&lt;=0,"n/a",'Balance Sheet'!B9/'Balance Sheet'!B15)</f>
        <v>1.42985095069846</v>
      </c>
      <c r="C22" s="88" t="n">
        <f aca="false">IF('Balance Sheet'!C15&lt;=0,"n/a",'Balance Sheet'!C9/'Balance Sheet'!C15)</f>
        <v>1.25952396552631</v>
      </c>
      <c r="D22" s="88" t="n">
        <f aca="false">IF('Balance Sheet'!D15&lt;=0,"n/a",'Balance Sheet'!D9/'Balance Sheet'!D15)</f>
        <v>1.15502080421919</v>
      </c>
      <c r="E22" s="88" t="n">
        <f aca="false">IF('Balance Sheet'!E15&lt;=0,"n/a",'Balance Sheet'!E9/'Balance Sheet'!E15)</f>
        <v>1.08522833291561</v>
      </c>
      <c r="F22" s="88" t="n">
        <f aca="false">IF('Balance Sheet'!F15&lt;=0,"n/a",'Balance Sheet'!F9/'Balance Sheet'!F15)</f>
        <v>1.0387094863854</v>
      </c>
    </row>
    <row r="23" customFormat="false" ht="15" hidden="false" customHeight="false" outlineLevel="0" collapsed="false">
      <c r="A23" s="40" t="s">
        <v>230</v>
      </c>
      <c r="B23" s="90" t="n">
        <f aca="false">IF(AND(ISNUMBER(B20),ISNUMBER(B21),ISNUMBER(B22)),B20*B21*B22,"n/a")</f>
        <v>-0.41035976807422</v>
      </c>
      <c r="C23" s="90" t="n">
        <f aca="false">IF(AND(ISNUMBER(C20),ISNUMBER(C21),ISNUMBER(C22)),C20*C21*C22,"n/a")</f>
        <v>0.256111527171221</v>
      </c>
      <c r="D23" s="90" t="n">
        <f aca="false">IF(AND(ISNUMBER(D20),ISNUMBER(D21),ISNUMBER(D22)),D20*D21*D22,"n/a")</f>
        <v>0.222880216937406</v>
      </c>
      <c r="E23" s="90" t="n">
        <f aca="false">IF(AND(ISNUMBER(E20),ISNUMBER(E21),ISNUMBER(E22)),E20*E21*E22,"n/a")</f>
        <v>0.214633811071234</v>
      </c>
      <c r="F23" s="90" t="n">
        <f aca="false">IF(AND(ISNUMBER(F20),ISNUMBER(F21),ISNUMBER(F22)),F20*F21*F22,"n/a")</f>
        <v>0.207451448456824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4" t="s">
        <v>154</v>
      </c>
      <c r="B27" s="74" t="n">
        <v>1</v>
      </c>
      <c r="C27" s="74" t="n">
        <v>2</v>
      </c>
      <c r="D27" s="74" t="n">
        <v>3</v>
      </c>
      <c r="E27" s="74" t="n">
        <v>4</v>
      </c>
      <c r="F27" s="74" t="n">
        <v>5</v>
      </c>
    </row>
    <row r="28" customFormat="false" ht="15" hidden="false" customHeight="false" outlineLevel="0" collapsed="false">
      <c r="A28" s="33"/>
      <c r="B28" s="52" t="s">
        <v>155</v>
      </c>
      <c r="C28" s="52" t="s">
        <v>156</v>
      </c>
      <c r="D28" s="52" t="s">
        <v>157</v>
      </c>
      <c r="E28" s="52" t="s">
        <v>158</v>
      </c>
      <c r="F28" s="52" t="s">
        <v>159</v>
      </c>
      <c r="G28" s="52" t="s">
        <v>218</v>
      </c>
    </row>
    <row r="29" customFormat="false" ht="15" hidden="false" customHeight="false" outlineLevel="0" collapsed="false">
      <c r="A29" s="4" t="s">
        <v>233</v>
      </c>
      <c r="B29" s="91" t="n">
        <f aca="false">INDEX(Monthly!$C$13:$BJ$13,B$27*12)</f>
        <v>4</v>
      </c>
      <c r="C29" s="91" t="n">
        <f aca="false">INDEX(Monthly!$C$13:$BJ$13,C$27*12)</f>
        <v>4</v>
      </c>
      <c r="D29" s="91" t="n">
        <f aca="false">INDEX(Monthly!$C$13:$BJ$13,D$27*12)</f>
        <v>4</v>
      </c>
      <c r="E29" s="91" t="n">
        <f aca="false">INDEX(Monthly!$C$13:$BJ$13,E$27*12)</f>
        <v>4</v>
      </c>
      <c r="F29" s="91" t="n">
        <f aca="false">INDEX(Monthly!$C$13:$BJ$13,F$27*12)</f>
        <v>4</v>
      </c>
      <c r="G29" s="92"/>
    </row>
    <row r="30" customFormat="false" ht="15" hidden="false" customHeight="false" outlineLevel="0" collapsed="false">
      <c r="A30" s="4" t="s">
        <v>58</v>
      </c>
      <c r="B30" s="93" t="n">
        <f aca="false">SUMIF(Monthly!$C$5:$BJ$5,B$27,Monthly!$C$17:$BJ$17)</f>
        <v>3619.2</v>
      </c>
      <c r="C30" s="93" t="n">
        <f aca="false">SUMIF(Monthly!$C$5:$BJ$5,C$27,Monthly!$C$17:$BJ$17)</f>
        <v>5141.76</v>
      </c>
      <c r="D30" s="93" t="n">
        <f aca="false">SUMIF(Monthly!$C$5:$BJ$5,D$27,Monthly!$C$17:$BJ$17)</f>
        <v>5296.0128</v>
      </c>
      <c r="E30" s="93" t="n">
        <f aca="false">SUMIF(Monthly!$C$5:$BJ$5,E$27,Monthly!$C$17:$BJ$17)</f>
        <v>5454.893184</v>
      </c>
      <c r="F30" s="93" t="n">
        <f aca="false">SUMIF(Monthly!$C$5:$BJ$5,F$27,Monthly!$C$17:$BJ$17)</f>
        <v>5618.53997952</v>
      </c>
      <c r="G30" s="94"/>
    </row>
    <row r="31" customFormat="false" ht="15" hidden="false" customHeight="false" outlineLevel="0" collapsed="false">
      <c r="A31" s="6" t="s">
        <v>234</v>
      </c>
      <c r="B31" s="95" t="n">
        <f aca="false">SUMIF(Monthly!$C$5:$BJ$5,B$27,Monthly!$C$16:$BJ$16)</f>
        <v>6864</v>
      </c>
      <c r="C31" s="95" t="n">
        <f aca="false">SUMIF(Monthly!$C$5:$BJ$5,C$27,Monthly!$C$16:$BJ$16)</f>
        <v>6864</v>
      </c>
      <c r="D31" s="95" t="n">
        <f aca="false">SUMIF(Monthly!$C$5:$BJ$5,D$27,Monthly!$C$16:$BJ$16)</f>
        <v>6864</v>
      </c>
      <c r="E31" s="95" t="n">
        <f aca="false">SUMIF(Monthly!$C$5:$BJ$5,E$27,Monthly!$C$16:$BJ$16)</f>
        <v>6864</v>
      </c>
      <c r="F31" s="95" t="n">
        <f aca="false">SUMIF(Monthly!$C$5:$BJ$5,F$27,Monthly!$C$16:$BJ$16)</f>
        <v>6864</v>
      </c>
      <c r="G31" s="94"/>
    </row>
    <row r="32" customFormat="false" ht="15" hidden="false" customHeight="false" outlineLevel="0" collapsed="false">
      <c r="A32" s="38" t="s">
        <v>59</v>
      </c>
      <c r="B32" s="96" t="n">
        <f aca="false">IF(B31=0,0,B30/B31)</f>
        <v>0.527272727272727</v>
      </c>
      <c r="C32" s="96" t="n">
        <f aca="false">IF(C31=0,0,C30/C31)</f>
        <v>0.749090909090909</v>
      </c>
      <c r="D32" s="96" t="n">
        <f aca="false">IF(D31=0,0,D30/D31)</f>
        <v>0.771563636363636</v>
      </c>
      <c r="E32" s="96" t="n">
        <f aca="false">IF(E31=0,0,E30/E31)</f>
        <v>0.794710545454546</v>
      </c>
      <c r="F32" s="96" t="n">
        <f aca="false">IF(F31=0,0,F30/F31)</f>
        <v>0.818551861818182</v>
      </c>
      <c r="G32" s="97"/>
    </row>
    <row r="33" customFormat="false" ht="15" hidden="false" customHeight="false" outlineLevel="0" collapsed="false">
      <c r="A33" s="6" t="s">
        <v>235</v>
      </c>
      <c r="B33" s="95" t="n">
        <f aca="false">SUMIF(Monthly!$C$5:$BJ$5,B$27,Monthly!$C$18:$BJ$18)</f>
        <v>0</v>
      </c>
      <c r="C33" s="95" t="n">
        <f aca="false">SUMIF(Monthly!$C$5:$BJ$5,C$27,Monthly!$C$18:$BJ$18)</f>
        <v>0</v>
      </c>
      <c r="D33" s="95" t="n">
        <f aca="false">SUMIF(Monthly!$C$5:$BJ$5,D$27,Monthly!$C$18:$BJ$18)</f>
        <v>0</v>
      </c>
      <c r="E33" s="95" t="n">
        <f aca="false">SUMIF(Monthly!$C$5:$BJ$5,E$27,Monthly!$C$18:$BJ$18)</f>
        <v>0</v>
      </c>
      <c r="F33" s="95" t="n">
        <f aca="false">SUMIF(Monthly!$C$5:$BJ$5,F$27,Monthly!$C$18:$BJ$18)</f>
        <v>0</v>
      </c>
      <c r="G33" s="94"/>
    </row>
    <row r="34" customFormat="false" ht="15" hidden="false" customHeight="false" outlineLevel="0" collapsed="false">
      <c r="A34" s="4" t="s">
        <v>236</v>
      </c>
      <c r="B34" s="93" t="n">
        <f aca="false">SUMIF(Monthly!$C$5:$BJ$5,B$27,Monthly!$C$24:$BJ$24)</f>
        <v>4983.78816</v>
      </c>
      <c r="C34" s="93" t="n">
        <f aca="false">SUMIF(Monthly!$C$5:$BJ$5,C$27,Monthly!$C$24:$BJ$24)</f>
        <v>6988.8384</v>
      </c>
      <c r="D34" s="93" t="n">
        <f aca="false">SUMIF(Monthly!$C$5:$BJ$5,D$27,Monthly!$C$24:$BJ$24)</f>
        <v>7198.503552</v>
      </c>
      <c r="E34" s="93" t="n">
        <f aca="false">SUMIF(Monthly!$C$5:$BJ$5,E$27,Monthly!$C$24:$BJ$24)</f>
        <v>7414.45865856</v>
      </c>
      <c r="F34" s="93" t="n">
        <f aca="false">SUMIF(Monthly!$C$5:$BJ$5,F$27,Monthly!$C$24:$BJ$24)</f>
        <v>7636.8924183168</v>
      </c>
      <c r="G34" s="94"/>
    </row>
    <row r="35" customFormat="false" ht="15" hidden="false" customHeight="false" outlineLevel="0" collapsed="false">
      <c r="A35" s="6" t="s">
        <v>237</v>
      </c>
      <c r="B35" s="95" t="n">
        <f aca="false">SUMIF(Monthly!$C$5:$BJ$5,B$27,Monthly!$C$22:$BJ$22)</f>
        <v>10944</v>
      </c>
      <c r="C35" s="95" t="n">
        <f aca="false">SUMIF(Monthly!$C$5:$BJ$5,C$27,Monthly!$C$22:$BJ$22)</f>
        <v>10944</v>
      </c>
      <c r="D35" s="95" t="n">
        <f aca="false">SUMIF(Monthly!$C$5:$BJ$5,D$27,Monthly!$C$22:$BJ$22)</f>
        <v>10944</v>
      </c>
      <c r="E35" s="95" t="n">
        <f aca="false">SUMIF(Monthly!$C$5:$BJ$5,E$27,Monthly!$C$22:$BJ$22)</f>
        <v>10944</v>
      </c>
      <c r="F35" s="95" t="n">
        <f aca="false">SUMIF(Monthly!$C$5:$BJ$5,F$27,Monthly!$C$22:$BJ$22)</f>
        <v>10944</v>
      </c>
      <c r="G35" s="94"/>
    </row>
    <row r="36" customFormat="false" ht="15" hidden="false" customHeight="false" outlineLevel="0" collapsed="false">
      <c r="A36" s="38" t="s">
        <v>60</v>
      </c>
      <c r="B36" s="96" t="n">
        <f aca="false">IF(B35=0,0,B34/B35)</f>
        <v>0.45539</v>
      </c>
      <c r="C36" s="96" t="n">
        <f aca="false">IF(C35=0,0,C34/C35)</f>
        <v>0.6386</v>
      </c>
      <c r="D36" s="96" t="n">
        <f aca="false">IF(D35=0,0,D34/D35)</f>
        <v>0.657758</v>
      </c>
      <c r="E36" s="96" t="n">
        <f aca="false">IF(E35=0,0,E34/E35)</f>
        <v>0.67749074</v>
      </c>
      <c r="F36" s="96" t="n">
        <f aca="false">IF(F35=0,0,F34/F35)</f>
        <v>0.6978154622</v>
      </c>
      <c r="G36" s="97"/>
    </row>
    <row r="37" customFormat="false" ht="15" hidden="false" customHeight="false" outlineLevel="0" collapsed="false">
      <c r="A37" s="4" t="s">
        <v>44</v>
      </c>
      <c r="B37" s="98" t="n">
        <f aca="false">SUMIF(Monthly!$C$5:$BJ$5,B$27,Monthly!$C$31:$BJ$31)</f>
        <v>574501.9488</v>
      </c>
      <c r="C37" s="98" t="n">
        <f aca="false">SUMIF(Monthly!$C$5:$BJ$5,C$27,Monthly!$C$31:$BJ$31)</f>
        <v>835486.75776</v>
      </c>
      <c r="D37" s="98" t="n">
        <f aca="false">SUMIF(Monthly!$C$5:$BJ$5,D$27,Monthly!$C$31:$BJ$31)</f>
        <v>886367.901307584</v>
      </c>
      <c r="E37" s="98" t="n">
        <f aca="false">SUMIF(Monthly!$C$5:$BJ$5,E$27,Monthly!$C$31:$BJ$31)</f>
        <v>940347.706497216</v>
      </c>
      <c r="F37" s="98" t="n">
        <f aca="false">SUMIF(Monthly!$C$5:$BJ$5,F$27,Monthly!$C$31:$BJ$31)</f>
        <v>997614.881822897</v>
      </c>
      <c r="G37" s="99"/>
    </row>
    <row r="38" customFormat="false" ht="15" hidden="false" customHeight="false" outlineLevel="0" collapsed="false">
      <c r="A38" s="6" t="s">
        <v>238</v>
      </c>
      <c r="B38" s="35" t="n">
        <f aca="false">SUMIF(Monthly!$C$5:$BJ$5,B$27,Monthly!$C$28:$BJ$28)</f>
        <v>271440</v>
      </c>
      <c r="C38" s="35" t="n">
        <f aca="false">SUMIF(Monthly!$C$5:$BJ$5,C$27,Monthly!$C$28:$BJ$28)</f>
        <v>397200.96</v>
      </c>
      <c r="D38" s="35" t="n">
        <f aca="false">SUMIF(Monthly!$C$5:$BJ$5,D$27,Monthly!$C$28:$BJ$28)</f>
        <v>421390.498464</v>
      </c>
      <c r="E38" s="35" t="n">
        <f aca="false">SUMIF(Monthly!$C$5:$BJ$5,E$27,Monthly!$C$28:$BJ$28)</f>
        <v>447053.179820458</v>
      </c>
      <c r="F38" s="35" t="n">
        <f aca="false">SUMIF(Monthly!$C$5:$BJ$5,F$27,Monthly!$C$28:$BJ$28)</f>
        <v>474278.718471524</v>
      </c>
      <c r="G38" s="99"/>
    </row>
    <row r="39" customFormat="false" ht="15" hidden="false" customHeight="false" outlineLevel="0" collapsed="false">
      <c r="A39" s="6" t="s">
        <v>239</v>
      </c>
      <c r="B39" s="35" t="n">
        <f aca="false">SUMIF(Monthly!$C$5:$BJ$5,B$27,Monthly!$C$29:$BJ$29)</f>
        <v>274108.3488</v>
      </c>
      <c r="C39" s="35" t="n">
        <f aca="false">SUMIF(Monthly!$C$5:$BJ$5,C$27,Monthly!$C$29:$BJ$29)</f>
        <v>395917.69536</v>
      </c>
      <c r="D39" s="35" t="n">
        <f aca="false">SUMIF(Monthly!$C$5:$BJ$5,D$27,Monthly!$C$29:$BJ$29)</f>
        <v>420029.083007424</v>
      </c>
      <c r="E39" s="35" t="n">
        <f aca="false">SUMIF(Monthly!$C$5:$BJ$5,E$27,Monthly!$C$29:$BJ$29)</f>
        <v>445608.854162576</v>
      </c>
      <c r="F39" s="35" t="n">
        <f aca="false">SUMIF(Monthly!$C$5:$BJ$5,F$27,Monthly!$C$29:$BJ$29)</f>
        <v>472746.433381077</v>
      </c>
      <c r="G39" s="99"/>
    </row>
    <row r="40" customFormat="false" ht="15" hidden="false" customHeight="false" outlineLevel="0" collapsed="false">
      <c r="A40" s="6" t="s">
        <v>240</v>
      </c>
      <c r="B40" s="35" t="n">
        <f aca="false">SUMIF(Monthly!$C$5:$BJ$5,B$27,Monthly!$C$30:$BJ$30)</f>
        <v>28953.6</v>
      </c>
      <c r="C40" s="35" t="n">
        <f aca="false">SUMIF(Monthly!$C$5:$BJ$5,C$27,Monthly!$C$30:$BJ$30)</f>
        <v>42368.1024</v>
      </c>
      <c r="D40" s="35" t="n">
        <f aca="false">SUMIF(Monthly!$C$5:$BJ$5,D$27,Monthly!$C$30:$BJ$30)</f>
        <v>44948.31983616</v>
      </c>
      <c r="E40" s="35" t="n">
        <f aca="false">SUMIF(Monthly!$C$5:$BJ$5,E$27,Monthly!$C$30:$BJ$30)</f>
        <v>47685.6725141821</v>
      </c>
      <c r="F40" s="35" t="n">
        <f aca="false">SUMIF(Monthly!$C$5:$BJ$5,F$27,Monthly!$C$30:$BJ$30)</f>
        <v>50589.7299702959</v>
      </c>
      <c r="G40" s="99"/>
    </row>
    <row r="41" customFormat="false" ht="15" hidden="false" customHeight="false" outlineLevel="0" collapsed="false">
      <c r="A41" s="38" t="s">
        <v>241</v>
      </c>
      <c r="B41" s="96" t="n">
        <f aca="false">IF(B37=0,0,B39/B37)</f>
        <v>0.477123444702926</v>
      </c>
      <c r="C41" s="96" t="n">
        <f aca="false">IF(C37=0,0,C39/C37)</f>
        <v>0.473876685276836</v>
      </c>
      <c r="D41" s="96" t="n">
        <f aca="false">IF(D37=0,0,D39/D37)</f>
        <v>0.473876685276837</v>
      </c>
      <c r="E41" s="96" t="n">
        <f aca="false">IF(E37=0,0,E39/E37)</f>
        <v>0.473876685276836</v>
      </c>
      <c r="F41" s="96" t="n">
        <f aca="false">IF(F37=0,0,F39/F37)</f>
        <v>0.473876685276836</v>
      </c>
      <c r="G41" s="97"/>
    </row>
    <row r="42" customFormat="false" ht="15" hidden="false" customHeight="false" outlineLevel="0" collapsed="false">
      <c r="A42" s="6" t="s">
        <v>242</v>
      </c>
      <c r="B42" s="100" t="n">
        <f aca="false">IF(B30=0,0,(B38+B40)/B30)</f>
        <v>83</v>
      </c>
      <c r="C42" s="100" t="n">
        <f aca="false">IF(C30=0,0,(C38+C40)/C30)</f>
        <v>85.49</v>
      </c>
      <c r="D42" s="100" t="n">
        <f aca="false">IF(D30=0,0,(D38+D40)/D30)</f>
        <v>88.0547</v>
      </c>
      <c r="E42" s="100" t="n">
        <f aca="false">IF(E30=0,0,(E38+E40)/E30)</f>
        <v>90.696341</v>
      </c>
      <c r="F42" s="100" t="n">
        <f aca="false">IF(F30=0,0,(F38+F40)/F30)</f>
        <v>93.41723123</v>
      </c>
      <c r="G42" s="101"/>
    </row>
    <row r="43" customFormat="false" ht="15" hidden="false" customHeight="false" outlineLevel="0" collapsed="false">
      <c r="A43" s="6" t="s">
        <v>243</v>
      </c>
      <c r="B43" s="100" t="n">
        <f aca="false">IF(B35=0,0,B39/B35)</f>
        <v>25.04645</v>
      </c>
      <c r="C43" s="100" t="n">
        <f aca="false">IF(C35=0,0,C39/C35)</f>
        <v>36.17669</v>
      </c>
      <c r="D43" s="100" t="n">
        <f aca="false">IF(D35=0,0,D39/D35)</f>
        <v>38.379850421</v>
      </c>
      <c r="E43" s="100" t="n">
        <f aca="false">IF(E35=0,0,E39/E35)</f>
        <v>40.7171833116389</v>
      </c>
      <c r="F43" s="100" t="n">
        <f aca="false">IF(F35=0,0,F39/F35)</f>
        <v>43.1968597753177</v>
      </c>
      <c r="G43" s="101"/>
    </row>
    <row r="44" customFormat="false" ht="15" hidden="false" customHeight="false" outlineLevel="0" collapsed="false">
      <c r="A44" s="6" t="s">
        <v>244</v>
      </c>
      <c r="B44" s="35" t="n">
        <f aca="false">IF(B29=0,0,B37/B29)</f>
        <v>143625.4872</v>
      </c>
      <c r="C44" s="35" t="n">
        <f aca="false">IF(C29=0,0,C37/C29)</f>
        <v>208871.68944</v>
      </c>
      <c r="D44" s="35" t="n">
        <f aca="false">IF(D29=0,0,D37/D29)</f>
        <v>221591.975326896</v>
      </c>
      <c r="E44" s="35" t="n">
        <f aca="false">IF(E29=0,0,E37/E29)</f>
        <v>235086.926624304</v>
      </c>
      <c r="F44" s="35" t="n">
        <f aca="false">IF(F29=0,0,F37/F29)</f>
        <v>249403.720455724</v>
      </c>
      <c r="G44" s="99"/>
    </row>
    <row r="45" customFormat="false" ht="15" hidden="false" customHeight="false" outlineLevel="0" collapsed="false">
      <c r="A45" s="6" t="s">
        <v>45</v>
      </c>
      <c r="B45" s="35" t="n">
        <f aca="false">SUMIF(Monthly!$C$5:$BJ$5,B$27,Monthly!$C$40:$BJ$40)</f>
        <v>369936.65984</v>
      </c>
      <c r="C45" s="35" t="n">
        <f aca="false">SUMIF(Monthly!$C$5:$BJ$5,C$27,Monthly!$C$40:$BJ$40)</f>
        <v>556642.481408</v>
      </c>
      <c r="D45" s="35" t="n">
        <f aca="false">SUMIF(Monthly!$C$5:$BJ$5,D$27,Monthly!$C$40:$BJ$40)</f>
        <v>592006.050525747</v>
      </c>
      <c r="E45" s="35" t="n">
        <f aca="false">SUMIF(Monthly!$C$5:$BJ$5,E$27,Monthly!$C$40:$BJ$40)</f>
        <v>629567.182262765</v>
      </c>
      <c r="F45" s="35" t="n">
        <f aca="false">SUMIF(Monthly!$C$5:$BJ$5,F$27,Monthly!$C$40:$BJ$40)</f>
        <v>669461.025820368</v>
      </c>
      <c r="G45" s="99"/>
    </row>
    <row r="46" customFormat="false" ht="15" hidden="false" customHeight="false" outlineLevel="0" collapsed="false">
      <c r="A46" s="38" t="s">
        <v>46</v>
      </c>
      <c r="B46" s="96" t="n">
        <f aca="false">IF(B37=0,0,B45/B37)</f>
        <v>0.643925857192845</v>
      </c>
      <c r="C46" s="96" t="n">
        <f aca="false">IF(C37=0,0,C45/C37)</f>
        <v>0.666249316626392</v>
      </c>
      <c r="D46" s="96" t="n">
        <f aca="false">IF(D37=0,0,D45/D37)</f>
        <v>0.66790104837101</v>
      </c>
      <c r="E46" s="96" t="n">
        <f aca="false">IF(E37=0,0,E45/E37)</f>
        <v>0.669504671424037</v>
      </c>
      <c r="F46" s="96" t="n">
        <f aca="false">IF(F37=0,0,F45/F37)</f>
        <v>0.6710615870095</v>
      </c>
      <c r="G46" s="97"/>
    </row>
    <row r="47" customFormat="false" ht="15" hidden="false" customHeight="false" outlineLevel="0" collapsed="false">
      <c r="A47" s="6" t="s">
        <v>48</v>
      </c>
      <c r="B47" s="35" t="n">
        <f aca="false">SUMIF(Monthly!$C$5:$BJ$5,B$27,Monthly!$C$50:$BJ$50)</f>
        <v>-64148.398624</v>
      </c>
      <c r="C47" s="35" t="n">
        <f aca="false">SUMIF(Monthly!$C$5:$BJ$5,C$27,Monthly!$C$50:$BJ$50)</f>
        <v>111882.3786752</v>
      </c>
      <c r="D47" s="35" t="n">
        <f aca="false">SUMIF(Monthly!$C$5:$BJ$5,D$27,Monthly!$C$50:$BJ$50)</f>
        <v>140856.64848652</v>
      </c>
      <c r="E47" s="35" t="n">
        <f aca="false">SUMIF(Monthly!$C$5:$BJ$5,E$27,Monthly!$C$50:$BJ$50)</f>
        <v>170244.035117849</v>
      </c>
      <c r="F47" s="35" t="n">
        <f aca="false">SUMIF(Monthly!$C$5:$BJ$5,F$27,Monthly!$C$50:$BJ$50)</f>
        <v>200432.401937181</v>
      </c>
      <c r="G47" s="99"/>
    </row>
    <row r="48" customFormat="false" ht="15" hidden="false" customHeight="false" outlineLevel="0" collapsed="false">
      <c r="A48" s="38" t="s">
        <v>49</v>
      </c>
      <c r="B48" s="96" t="n">
        <f aca="false">IF(B37=0,0,B47/B37)</f>
        <v>-0.111659148864492</v>
      </c>
      <c r="C48" s="96" t="n">
        <f aca="false">IF(C37=0,0,C47/C37)</f>
        <v>0.133912809073318</v>
      </c>
      <c r="D48" s="96" t="n">
        <f aca="false">IF(D37=0,0,D47/D37)</f>
        <v>0.158914428510696</v>
      </c>
      <c r="E48" s="96" t="n">
        <f aca="false">IF(E37=0,0,E47/E37)</f>
        <v>0.18104370749412</v>
      </c>
      <c r="F48" s="96" t="n">
        <f aca="false">IF(F37=0,0,F47/F37)</f>
        <v>0.200911599845964</v>
      </c>
      <c r="G48" s="97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246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247</v>
      </c>
      <c r="G5" s="33" t="s">
        <v>248</v>
      </c>
    </row>
    <row r="6" customFormat="false" ht="15.75" hidden="false" customHeight="true" outlineLevel="0" collapsed="false">
      <c r="A6" s="7" t="s">
        <v>249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250</v>
      </c>
      <c r="B7" s="102" t="n">
        <v>13</v>
      </c>
      <c r="C7" s="102" t="n">
        <v>16</v>
      </c>
      <c r="D7" s="102" t="n">
        <v>19</v>
      </c>
      <c r="E7" s="103" t="n">
        <f aca="false">CHOOSE(Dashboard!$B$4,B7,C7,D7)</f>
        <v>16</v>
      </c>
      <c r="F7" s="38" t="s">
        <v>251</v>
      </c>
      <c r="G7" s="104" t="s">
        <v>252</v>
      </c>
    </row>
    <row r="8" customFormat="false" ht="15" hidden="false" customHeight="false" outlineLevel="0" collapsed="false">
      <c r="A8" s="6" t="s">
        <v>253</v>
      </c>
      <c r="B8" s="105" t="n">
        <v>0</v>
      </c>
      <c r="C8" s="105" t="n">
        <v>0.03</v>
      </c>
      <c r="D8" s="105" t="n">
        <v>0.06</v>
      </c>
      <c r="E8" s="106" t="n">
        <f aca="false">CHOOSE(Dashboard!$B$4,B8,C8,D8)</f>
        <v>0.03</v>
      </c>
      <c r="F8" s="38" t="s">
        <v>254</v>
      </c>
      <c r="G8" s="104" t="s">
        <v>252</v>
      </c>
    </row>
    <row r="9" customFormat="false" ht="15" hidden="false" customHeight="false" outlineLevel="0" collapsed="false">
      <c r="A9" s="6" t="s">
        <v>255</v>
      </c>
      <c r="B9" s="102" t="n">
        <v>26</v>
      </c>
      <c r="C9" s="102" t="n">
        <v>26</v>
      </c>
      <c r="D9" s="102" t="n">
        <v>26</v>
      </c>
      <c r="E9" s="103" t="n">
        <f aca="false">CHOOSE(Dashboard!$B$4,B9,C9,D9)</f>
        <v>26</v>
      </c>
      <c r="F9" s="38" t="s">
        <v>256</v>
      </c>
      <c r="G9" s="104"/>
    </row>
    <row r="10" customFormat="false" ht="15" hidden="false" customHeight="false" outlineLevel="0" collapsed="false">
      <c r="A10" s="6" t="s">
        <v>257</v>
      </c>
      <c r="B10" s="107" t="n">
        <v>14</v>
      </c>
      <c r="C10" s="107" t="n">
        <v>10</v>
      </c>
      <c r="D10" s="107" t="n">
        <v>8</v>
      </c>
      <c r="E10" s="108" t="n">
        <f aca="false">CHOOSE(Dashboard!$B$4,B10,C10,D10)</f>
        <v>10</v>
      </c>
      <c r="F10" s="38" t="s">
        <v>258</v>
      </c>
      <c r="G10" s="104" t="s">
        <v>259</v>
      </c>
    </row>
    <row r="11" customFormat="false" ht="15" hidden="false" customHeight="false" outlineLevel="0" collapsed="false">
      <c r="A11" s="6" t="s">
        <v>260</v>
      </c>
      <c r="B11" s="105" t="n">
        <v>0.3</v>
      </c>
      <c r="C11" s="105" t="n">
        <v>0.4</v>
      </c>
      <c r="D11" s="105" t="n">
        <v>0.5</v>
      </c>
      <c r="E11" s="106" t="n">
        <f aca="false">CHOOSE(Dashboard!$B$4,B11,C11,D11)</f>
        <v>0.4</v>
      </c>
      <c r="F11" s="38" t="s">
        <v>254</v>
      </c>
      <c r="G11" s="104" t="s">
        <v>252</v>
      </c>
    </row>
    <row r="13" customFormat="false" ht="15.75" hidden="false" customHeight="true" outlineLevel="0" collapsed="false">
      <c r="A13" s="7" t="s">
        <v>261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262</v>
      </c>
      <c r="B14" s="107" t="n">
        <v>4</v>
      </c>
      <c r="C14" s="107" t="n">
        <v>4</v>
      </c>
      <c r="D14" s="107" t="n">
        <v>4</v>
      </c>
      <c r="E14" s="108" t="n">
        <f aca="false">CHOOSE(Dashboard!$B$4,B14,C14,D14)</f>
        <v>4</v>
      </c>
      <c r="F14" s="38" t="s">
        <v>263</v>
      </c>
      <c r="G14" s="104"/>
    </row>
    <row r="15" customFormat="false" ht="15" hidden="false" customHeight="false" outlineLevel="0" collapsed="false">
      <c r="A15" s="6" t="s">
        <v>264</v>
      </c>
      <c r="B15" s="102" t="n">
        <v>6</v>
      </c>
      <c r="C15" s="102" t="n">
        <v>6</v>
      </c>
      <c r="D15" s="102" t="n">
        <v>6</v>
      </c>
      <c r="E15" s="103" t="n">
        <f aca="false">CHOOSE(Dashboard!$B$4,B15,C15,D15)</f>
        <v>6</v>
      </c>
      <c r="F15" s="38" t="s">
        <v>251</v>
      </c>
      <c r="G15" s="104" t="s">
        <v>252</v>
      </c>
    </row>
    <row r="16" customFormat="false" ht="15" hidden="false" customHeight="false" outlineLevel="0" collapsed="false">
      <c r="A16" s="6" t="s">
        <v>265</v>
      </c>
      <c r="B16" s="102" t="n">
        <v>5</v>
      </c>
      <c r="C16" s="102" t="n">
        <v>5.5</v>
      </c>
      <c r="D16" s="102" t="n">
        <v>6</v>
      </c>
      <c r="E16" s="103" t="n">
        <f aca="false">CHOOSE(Dashboard!$B$4,B16,C16,D16)</f>
        <v>5.5</v>
      </c>
      <c r="F16" s="38" t="s">
        <v>251</v>
      </c>
      <c r="G16" s="104" t="s">
        <v>252</v>
      </c>
    </row>
    <row r="18" customFormat="false" ht="15.75" hidden="false" customHeight="true" outlineLevel="0" collapsed="false">
      <c r="A18" s="7" t="s">
        <v>266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6" t="s">
        <v>267</v>
      </c>
      <c r="B19" s="109" t="n">
        <v>68</v>
      </c>
      <c r="C19" s="109" t="n">
        <v>75</v>
      </c>
      <c r="D19" s="109" t="n">
        <v>82</v>
      </c>
      <c r="E19" s="110" t="n">
        <f aca="false">CHOOSE(Dashboard!$B$4,B19,C19,D19)</f>
        <v>75</v>
      </c>
      <c r="F19" s="38" t="s">
        <v>268</v>
      </c>
      <c r="G19" s="104" t="s">
        <v>252</v>
      </c>
    </row>
    <row r="20" customFormat="false" ht="15" hidden="false" customHeight="false" outlineLevel="0" collapsed="false">
      <c r="A20" s="6" t="s">
        <v>269</v>
      </c>
      <c r="B20" s="105" t="n">
        <v>0.01</v>
      </c>
      <c r="C20" s="105" t="n">
        <v>0.03</v>
      </c>
      <c r="D20" s="105" t="n">
        <v>0.04</v>
      </c>
      <c r="E20" s="106" t="n">
        <f aca="false">CHOOSE(Dashboard!$B$4,B20,C20,D20)</f>
        <v>0.03</v>
      </c>
      <c r="F20" s="38" t="s">
        <v>254</v>
      </c>
      <c r="G20" s="104" t="s">
        <v>252</v>
      </c>
    </row>
    <row r="21" customFormat="false" ht="15" hidden="false" customHeight="false" outlineLevel="0" collapsed="false">
      <c r="A21" s="6" t="s">
        <v>270</v>
      </c>
      <c r="B21" s="109" t="n">
        <v>6</v>
      </c>
      <c r="C21" s="109" t="n">
        <v>8</v>
      </c>
      <c r="D21" s="109" t="n">
        <v>10</v>
      </c>
      <c r="E21" s="110" t="n">
        <f aca="false">CHOOSE(Dashboard!$B$4,B21,C21,D21)</f>
        <v>8</v>
      </c>
      <c r="F21" s="38" t="s">
        <v>268</v>
      </c>
      <c r="G21" s="104" t="s">
        <v>252</v>
      </c>
    </row>
    <row r="22" customFormat="false" ht="15" hidden="false" customHeight="false" outlineLevel="0" collapsed="false">
      <c r="A22" s="6" t="s">
        <v>271</v>
      </c>
      <c r="B22" s="105" t="n">
        <v>0.36</v>
      </c>
      <c r="C22" s="105" t="n">
        <v>0.4</v>
      </c>
      <c r="D22" s="105" t="n">
        <v>0.44</v>
      </c>
      <c r="E22" s="106" t="n">
        <f aca="false">CHOOSE(Dashboard!$B$4,B22,C22,D22)</f>
        <v>0.4</v>
      </c>
      <c r="F22" s="38" t="s">
        <v>254</v>
      </c>
      <c r="G22" s="104" t="s">
        <v>252</v>
      </c>
    </row>
    <row r="24" customFormat="false" ht="15.75" hidden="false" customHeight="true" outlineLevel="0" collapsed="false">
      <c r="A24" s="7" t="s">
        <v>272</v>
      </c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6" t="s">
        <v>273</v>
      </c>
      <c r="B25" s="107" t="n">
        <v>30</v>
      </c>
      <c r="C25" s="107" t="n">
        <v>30</v>
      </c>
      <c r="D25" s="107" t="n">
        <v>30</v>
      </c>
      <c r="E25" s="108" t="n">
        <f aca="false">CHOOSE(Dashboard!$B$4,B25,C25,D25)</f>
        <v>30</v>
      </c>
      <c r="F25" s="38" t="s">
        <v>274</v>
      </c>
      <c r="G25" s="104"/>
    </row>
    <row r="26" customFormat="false" ht="15" hidden="false" customHeight="false" outlineLevel="0" collapsed="false">
      <c r="A26" s="6" t="s">
        <v>275</v>
      </c>
      <c r="B26" s="105" t="n">
        <v>0.5</v>
      </c>
      <c r="C26" s="105" t="n">
        <v>0.62</v>
      </c>
      <c r="D26" s="105" t="n">
        <v>0.72</v>
      </c>
      <c r="E26" s="106" t="n">
        <f aca="false">CHOOSE(Dashboard!$B$4,B26,C26,D26)</f>
        <v>0.62</v>
      </c>
      <c r="F26" s="38" t="s">
        <v>254</v>
      </c>
      <c r="G26" s="104" t="s">
        <v>252</v>
      </c>
    </row>
    <row r="27" customFormat="false" ht="15" hidden="false" customHeight="false" outlineLevel="0" collapsed="false">
      <c r="A27" s="6" t="s">
        <v>276</v>
      </c>
      <c r="B27" s="105" t="n">
        <v>0</v>
      </c>
      <c r="C27" s="105" t="n">
        <v>0.03</v>
      </c>
      <c r="D27" s="105" t="n">
        <v>0.05</v>
      </c>
      <c r="E27" s="106" t="n">
        <f aca="false">CHOOSE(Dashboard!$B$4,B27,C27,D27)</f>
        <v>0.03</v>
      </c>
      <c r="F27" s="38" t="s">
        <v>254</v>
      </c>
      <c r="G27" s="104" t="s">
        <v>252</v>
      </c>
    </row>
    <row r="28" customFormat="false" ht="15" hidden="false" customHeight="false" outlineLevel="0" collapsed="false">
      <c r="A28" s="6" t="s">
        <v>277</v>
      </c>
      <c r="B28" s="105" t="n">
        <v>0.15</v>
      </c>
      <c r="C28" s="105" t="n">
        <v>0.2</v>
      </c>
      <c r="D28" s="105" t="n">
        <v>0.25</v>
      </c>
      <c r="E28" s="106" t="n">
        <f aca="false">CHOOSE(Dashboard!$B$4,B28,C28,D28)</f>
        <v>0.2</v>
      </c>
      <c r="F28" s="38" t="s">
        <v>254</v>
      </c>
      <c r="G28" s="104"/>
    </row>
    <row r="29" customFormat="false" ht="15" hidden="false" customHeight="false" outlineLevel="0" collapsed="false">
      <c r="A29" s="6" t="s">
        <v>278</v>
      </c>
      <c r="B29" s="102" t="n">
        <v>30.4</v>
      </c>
      <c r="C29" s="102" t="n">
        <v>30.4</v>
      </c>
      <c r="D29" s="102" t="n">
        <v>30.4</v>
      </c>
      <c r="E29" s="103" t="n">
        <f aca="false">CHOOSE(Dashboard!$B$4,B29,C29,D29)</f>
        <v>30.4</v>
      </c>
      <c r="F29" s="38" t="s">
        <v>279</v>
      </c>
      <c r="G29" s="104"/>
    </row>
    <row r="30" customFormat="false" ht="15" hidden="false" customHeight="false" outlineLevel="0" collapsed="false">
      <c r="A30" s="6" t="s">
        <v>280</v>
      </c>
      <c r="B30" s="109" t="n">
        <v>50</v>
      </c>
      <c r="C30" s="109" t="n">
        <v>55</v>
      </c>
      <c r="D30" s="109" t="n">
        <v>60</v>
      </c>
      <c r="E30" s="110" t="n">
        <f aca="false">CHOOSE(Dashboard!$B$4,B30,C30,D30)</f>
        <v>55</v>
      </c>
      <c r="F30" s="38" t="s">
        <v>268</v>
      </c>
      <c r="G30" s="104" t="s">
        <v>252</v>
      </c>
    </row>
    <row r="32" customFormat="false" ht="15.75" hidden="false" customHeight="true" outlineLevel="0" collapsed="false">
      <c r="A32" s="7" t="s">
        <v>76</v>
      </c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6" t="s">
        <v>281</v>
      </c>
      <c r="B33" s="105" t="n">
        <v>0.37</v>
      </c>
      <c r="C33" s="105" t="n">
        <v>0.35</v>
      </c>
      <c r="D33" s="105" t="n">
        <v>0.33</v>
      </c>
      <c r="E33" s="106" t="n">
        <f aca="false">CHOOSE(Dashboard!$B$4,B33,C33,D33)</f>
        <v>0.35</v>
      </c>
      <c r="F33" s="38" t="s">
        <v>254</v>
      </c>
      <c r="G33" s="104" t="s">
        <v>259</v>
      </c>
    </row>
    <row r="34" customFormat="false" ht="15" hidden="false" customHeight="false" outlineLevel="0" collapsed="false">
      <c r="A34" s="6" t="s">
        <v>282</v>
      </c>
      <c r="B34" s="109" t="n">
        <v>5</v>
      </c>
      <c r="C34" s="109" t="n">
        <v>4.5</v>
      </c>
      <c r="D34" s="109" t="n">
        <v>4</v>
      </c>
      <c r="E34" s="110" t="n">
        <f aca="false">CHOOSE(Dashboard!$B$4,B34,C34,D34)</f>
        <v>4.5</v>
      </c>
      <c r="F34" s="38" t="s">
        <v>268</v>
      </c>
      <c r="G34" s="104" t="s">
        <v>259</v>
      </c>
    </row>
    <row r="35" customFormat="false" ht="15" hidden="false" customHeight="false" outlineLevel="0" collapsed="false">
      <c r="A35" s="6" t="s">
        <v>283</v>
      </c>
      <c r="B35" s="109" t="n">
        <v>7</v>
      </c>
      <c r="C35" s="109" t="n">
        <v>6</v>
      </c>
      <c r="D35" s="109" t="n">
        <v>5.5</v>
      </c>
      <c r="E35" s="110" t="n">
        <f aca="false">CHOOSE(Dashboard!$B$4,B35,C35,D35)</f>
        <v>6</v>
      </c>
      <c r="F35" s="38" t="s">
        <v>268</v>
      </c>
      <c r="G35" s="104" t="s">
        <v>259</v>
      </c>
    </row>
    <row r="37" customFormat="false" ht="15.75" hidden="false" customHeight="true" outlineLevel="0" collapsed="false">
      <c r="A37" s="7" t="s">
        <v>284</v>
      </c>
      <c r="B37" s="7"/>
      <c r="C37" s="7"/>
      <c r="D37" s="7"/>
      <c r="E37" s="7"/>
      <c r="F37" s="7"/>
      <c r="G37" s="7"/>
    </row>
    <row r="38" customFormat="false" ht="15" hidden="false" customHeight="false" outlineLevel="0" collapsed="false">
      <c r="A38" s="6" t="s">
        <v>285</v>
      </c>
      <c r="B38" s="111" t="n">
        <v>9000</v>
      </c>
      <c r="C38" s="111" t="n">
        <v>9000</v>
      </c>
      <c r="D38" s="111" t="n">
        <v>9000</v>
      </c>
      <c r="E38" s="112" t="n">
        <f aca="false">CHOOSE(Dashboard!$B$4,B38,C38,D38)</f>
        <v>9000</v>
      </c>
      <c r="F38" s="38" t="s">
        <v>268</v>
      </c>
      <c r="G38" s="104"/>
    </row>
    <row r="39" customFormat="false" ht="15" hidden="false" customHeight="false" outlineLevel="0" collapsed="false">
      <c r="A39" s="6" t="s">
        <v>286</v>
      </c>
      <c r="B39" s="105" t="n">
        <v>0.03</v>
      </c>
      <c r="C39" s="105" t="n">
        <v>0.03</v>
      </c>
      <c r="D39" s="105" t="n">
        <v>0.03</v>
      </c>
      <c r="E39" s="106" t="n">
        <f aca="false">CHOOSE(Dashboard!$B$4,B39,C39,D39)</f>
        <v>0.03</v>
      </c>
      <c r="F39" s="38" t="s">
        <v>254</v>
      </c>
      <c r="G39" s="104"/>
    </row>
    <row r="40" customFormat="false" ht="15" hidden="false" customHeight="false" outlineLevel="0" collapsed="false">
      <c r="A40" s="6" t="s">
        <v>287</v>
      </c>
      <c r="B40" s="111" t="n">
        <v>2500</v>
      </c>
      <c r="C40" s="111" t="n">
        <v>2500</v>
      </c>
      <c r="D40" s="111" t="n">
        <v>2500</v>
      </c>
      <c r="E40" s="112" t="n">
        <f aca="false">CHOOSE(Dashboard!$B$4,B40,C40,D40)</f>
        <v>2500</v>
      </c>
      <c r="F40" s="38" t="s">
        <v>268</v>
      </c>
      <c r="G40" s="104"/>
    </row>
    <row r="41" customFormat="false" ht="15" hidden="false" customHeight="false" outlineLevel="0" collapsed="false">
      <c r="A41" s="6" t="s">
        <v>288</v>
      </c>
      <c r="B41" s="111" t="n">
        <v>4500</v>
      </c>
      <c r="C41" s="111" t="n">
        <v>4500</v>
      </c>
      <c r="D41" s="111" t="n">
        <v>4500</v>
      </c>
      <c r="E41" s="112" t="n">
        <f aca="false">CHOOSE(Dashboard!$B$4,B41,C41,D41)</f>
        <v>4500</v>
      </c>
      <c r="F41" s="38" t="s">
        <v>268</v>
      </c>
      <c r="G41" s="104"/>
    </row>
    <row r="42" customFormat="false" ht="15" hidden="false" customHeight="false" outlineLevel="0" collapsed="false">
      <c r="A42" s="6" t="s">
        <v>289</v>
      </c>
      <c r="B42" s="111" t="n">
        <v>3500</v>
      </c>
      <c r="C42" s="111" t="n">
        <v>3500</v>
      </c>
      <c r="D42" s="111" t="n">
        <v>3500</v>
      </c>
      <c r="E42" s="112" t="n">
        <f aca="false">CHOOSE(Dashboard!$B$4,B42,C42,D42)</f>
        <v>3500</v>
      </c>
      <c r="F42" s="38" t="s">
        <v>268</v>
      </c>
      <c r="G42" s="104"/>
    </row>
    <row r="43" customFormat="false" ht="15" hidden="false" customHeight="false" outlineLevel="0" collapsed="false">
      <c r="A43" s="6" t="s">
        <v>290</v>
      </c>
      <c r="B43" s="105" t="n">
        <v>-0.3</v>
      </c>
      <c r="C43" s="105" t="n">
        <v>-0.2</v>
      </c>
      <c r="D43" s="105" t="n">
        <v>-0.1</v>
      </c>
      <c r="E43" s="106" t="n">
        <f aca="false">CHOOSE(Dashboard!$B$4,B43,C43,D43)</f>
        <v>-0.2</v>
      </c>
      <c r="F43" s="38" t="s">
        <v>254</v>
      </c>
      <c r="G43" s="104" t="s">
        <v>252</v>
      </c>
    </row>
    <row r="44" customFormat="false" ht="15" hidden="false" customHeight="false" outlineLevel="0" collapsed="false">
      <c r="A44" s="6" t="s">
        <v>291</v>
      </c>
      <c r="B44" s="105" t="n">
        <v>0.032</v>
      </c>
      <c r="C44" s="105" t="n">
        <v>0.03</v>
      </c>
      <c r="D44" s="105" t="n">
        <v>0.028</v>
      </c>
      <c r="E44" s="106" t="n">
        <f aca="false">CHOOSE(Dashboard!$B$4,B44,C44,D44)</f>
        <v>0.03</v>
      </c>
      <c r="F44" s="38" t="s">
        <v>254</v>
      </c>
      <c r="G44" s="104" t="s">
        <v>259</v>
      </c>
    </row>
    <row r="45" customFormat="false" ht="15" hidden="false" customHeight="false" outlineLevel="0" collapsed="false">
      <c r="A45" s="6" t="s">
        <v>292</v>
      </c>
      <c r="B45" s="105" t="n">
        <v>0.04</v>
      </c>
      <c r="C45" s="105" t="n">
        <v>0.03</v>
      </c>
      <c r="D45" s="105" t="n">
        <v>0.025</v>
      </c>
      <c r="E45" s="106" t="n">
        <f aca="false">CHOOSE(Dashboard!$B$4,B45,C45,D45)</f>
        <v>0.03</v>
      </c>
      <c r="F45" s="38" t="s">
        <v>254</v>
      </c>
      <c r="G45" s="104" t="s">
        <v>259</v>
      </c>
    </row>
    <row r="47" customFormat="false" ht="15.75" hidden="false" customHeight="true" outlineLevel="0" collapsed="false">
      <c r="A47" s="7" t="s">
        <v>84</v>
      </c>
      <c r="B47" s="7"/>
      <c r="C47" s="7"/>
      <c r="D47" s="7"/>
      <c r="E47" s="7"/>
      <c r="F47" s="7"/>
      <c r="G47" s="7"/>
    </row>
    <row r="48" customFormat="false" ht="15" hidden="false" customHeight="false" outlineLevel="0" collapsed="false">
      <c r="A48" s="6" t="s">
        <v>293</v>
      </c>
      <c r="B48" s="111" t="n">
        <v>6000</v>
      </c>
      <c r="C48" s="111" t="n">
        <v>6000</v>
      </c>
      <c r="D48" s="111" t="n">
        <v>6000</v>
      </c>
      <c r="E48" s="112" t="n">
        <f aca="false">CHOOSE(Dashboard!$B$4,B48,C48,D48)</f>
        <v>6000</v>
      </c>
      <c r="F48" s="38" t="s">
        <v>268</v>
      </c>
      <c r="G48" s="104"/>
    </row>
    <row r="49" customFormat="false" ht="15" hidden="false" customHeight="false" outlineLevel="0" collapsed="false">
      <c r="A49" s="6" t="s">
        <v>294</v>
      </c>
      <c r="B49" s="111" t="n">
        <v>2500</v>
      </c>
      <c r="C49" s="111" t="n">
        <v>2500</v>
      </c>
      <c r="D49" s="111" t="n">
        <v>2500</v>
      </c>
      <c r="E49" s="112" t="n">
        <f aca="false">CHOOSE(Dashboard!$B$4,B49,C49,D49)</f>
        <v>2500</v>
      </c>
      <c r="F49" s="38" t="s">
        <v>268</v>
      </c>
      <c r="G49" s="104"/>
    </row>
    <row r="50" customFormat="false" ht="15" hidden="false" customHeight="false" outlineLevel="0" collapsed="false">
      <c r="A50" s="6" t="s">
        <v>295</v>
      </c>
      <c r="B50" s="111" t="n">
        <v>90000</v>
      </c>
      <c r="C50" s="111" t="n">
        <v>90000</v>
      </c>
      <c r="D50" s="111" t="n">
        <v>90000</v>
      </c>
      <c r="E50" s="112" t="n">
        <f aca="false">CHOOSE(Dashboard!$B$4,B50,C50,D50)</f>
        <v>90000</v>
      </c>
      <c r="F50" s="38" t="s">
        <v>268</v>
      </c>
      <c r="G50" s="104"/>
    </row>
    <row r="51" customFormat="false" ht="15" hidden="false" customHeight="false" outlineLevel="0" collapsed="false">
      <c r="A51" s="6" t="s">
        <v>296</v>
      </c>
      <c r="B51" s="111" t="n">
        <v>0</v>
      </c>
      <c r="C51" s="111" t="n">
        <v>0</v>
      </c>
      <c r="D51" s="111" t="n">
        <v>0</v>
      </c>
      <c r="E51" s="112" t="n">
        <f aca="false">CHOOSE(Dashboard!$B$4,B51,C51,D51)</f>
        <v>0</v>
      </c>
      <c r="F51" s="38" t="s">
        <v>268</v>
      </c>
      <c r="G51" s="104"/>
    </row>
    <row r="52" customFormat="false" ht="15" hidden="false" customHeight="false" outlineLevel="0" collapsed="false">
      <c r="A52" s="6" t="s">
        <v>297</v>
      </c>
      <c r="B52" s="111" t="n">
        <v>10000</v>
      </c>
      <c r="C52" s="111" t="n">
        <v>10000</v>
      </c>
      <c r="D52" s="111" t="n">
        <v>10000</v>
      </c>
      <c r="E52" s="112" t="n">
        <f aca="false">CHOOSE(Dashboard!$B$4,B52,C52,D52)</f>
        <v>10000</v>
      </c>
      <c r="F52" s="38" t="s">
        <v>268</v>
      </c>
      <c r="G52" s="104"/>
    </row>
    <row r="54" customFormat="false" ht="15.75" hidden="false" customHeight="true" outlineLevel="0" collapsed="false">
      <c r="A54" s="7" t="s">
        <v>298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6" t="s">
        <v>299</v>
      </c>
      <c r="B55" s="102" t="n">
        <v>4</v>
      </c>
      <c r="C55" s="102" t="n">
        <v>4</v>
      </c>
      <c r="D55" s="102" t="n">
        <v>4</v>
      </c>
      <c r="E55" s="103" t="n">
        <f aca="false">CHOOSE(Dashboard!$B$4,B55,C55,D55)</f>
        <v>4</v>
      </c>
      <c r="F55" s="38" t="s">
        <v>300</v>
      </c>
      <c r="G55" s="104" t="s">
        <v>252</v>
      </c>
    </row>
    <row r="56" customFormat="false" ht="15" hidden="false" customHeight="false" outlineLevel="0" collapsed="false">
      <c r="A56" s="6" t="s">
        <v>301</v>
      </c>
      <c r="B56" s="111" t="n">
        <v>10000</v>
      </c>
      <c r="C56" s="111" t="n">
        <v>10000</v>
      </c>
      <c r="D56" s="111" t="n">
        <v>10000</v>
      </c>
      <c r="E56" s="112" t="n">
        <f aca="false">CHOOSE(Dashboard!$B$4,B56,C56,D56)</f>
        <v>10000</v>
      </c>
      <c r="F56" s="38" t="s">
        <v>268</v>
      </c>
      <c r="G56" s="104"/>
    </row>
    <row r="57" customFormat="false" ht="15" hidden="false" customHeight="false" outlineLevel="0" collapsed="false">
      <c r="A57" s="6" t="s">
        <v>302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8" t="s">
        <v>254</v>
      </c>
      <c r="G57" s="104" t="s">
        <v>252</v>
      </c>
    </row>
    <row r="58" customFormat="false" ht="15" hidden="false" customHeight="false" outlineLevel="0" collapsed="false">
      <c r="A58" s="6" t="s">
        <v>303</v>
      </c>
      <c r="B58" s="107" t="n">
        <v>1</v>
      </c>
      <c r="C58" s="107" t="n">
        <v>1</v>
      </c>
      <c r="D58" s="107" t="n">
        <v>1</v>
      </c>
      <c r="E58" s="108" t="n">
        <f aca="false">CHOOSE(Dashboard!$B$4,B58,C58,D58)</f>
        <v>1</v>
      </c>
      <c r="F58" s="38" t="s">
        <v>304</v>
      </c>
      <c r="G58" s="104"/>
    </row>
    <row r="59" customFormat="false" ht="15" hidden="false" customHeight="false" outlineLevel="0" collapsed="false">
      <c r="A59" s="6" t="s">
        <v>305</v>
      </c>
      <c r="B59" s="102" t="n">
        <v>3</v>
      </c>
      <c r="C59" s="102" t="n">
        <v>3</v>
      </c>
      <c r="D59" s="102" t="n">
        <v>3</v>
      </c>
      <c r="E59" s="103" t="n">
        <f aca="false">CHOOSE(Dashboard!$B$4,B59,C59,D59)</f>
        <v>3</v>
      </c>
      <c r="F59" s="38" t="s">
        <v>300</v>
      </c>
      <c r="G59" s="104" t="s">
        <v>252</v>
      </c>
    </row>
    <row r="60" customFormat="false" ht="15" hidden="false" customHeight="false" outlineLevel="0" collapsed="false">
      <c r="A60" s="6" t="s">
        <v>306</v>
      </c>
      <c r="B60" s="111" t="n">
        <v>33000</v>
      </c>
      <c r="C60" s="111" t="n">
        <v>33000</v>
      </c>
      <c r="D60" s="111" t="n">
        <v>33000</v>
      </c>
      <c r="E60" s="112" t="n">
        <f aca="false">CHOOSE(Dashboard!$B$4,B60,C60,D60)</f>
        <v>33000</v>
      </c>
      <c r="F60" s="38" t="s">
        <v>268</v>
      </c>
      <c r="G60" s="104"/>
    </row>
    <row r="61" customFormat="false" ht="15" hidden="false" customHeight="false" outlineLevel="0" collapsed="false">
      <c r="A61" s="6" t="s">
        <v>307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8" t="s">
        <v>254</v>
      </c>
      <c r="G61" s="104" t="s">
        <v>252</v>
      </c>
    </row>
    <row r="62" customFormat="false" ht="15" hidden="false" customHeight="false" outlineLevel="0" collapsed="false">
      <c r="A62" s="6" t="s">
        <v>308</v>
      </c>
      <c r="B62" s="107" t="n">
        <v>1</v>
      </c>
      <c r="C62" s="107" t="n">
        <v>1</v>
      </c>
      <c r="D62" s="107" t="n">
        <v>1</v>
      </c>
      <c r="E62" s="108" t="n">
        <f aca="false">CHOOSE(Dashboard!$B$4,B62,C62,D62)</f>
        <v>1</v>
      </c>
      <c r="F62" s="38" t="s">
        <v>304</v>
      </c>
      <c r="G62" s="104"/>
    </row>
    <row r="63" customFormat="false" ht="15" hidden="false" customHeight="false" outlineLevel="0" collapsed="false">
      <c r="A63" s="6" t="s">
        <v>309</v>
      </c>
      <c r="B63" s="102" t="n">
        <v>1</v>
      </c>
      <c r="C63" s="102" t="n">
        <v>1</v>
      </c>
      <c r="D63" s="102" t="n">
        <v>1</v>
      </c>
      <c r="E63" s="103" t="n">
        <f aca="false">CHOOSE(Dashboard!$B$4,B63,C63,D63)</f>
        <v>1</v>
      </c>
      <c r="F63" s="38" t="s">
        <v>300</v>
      </c>
      <c r="G63" s="104" t="s">
        <v>252</v>
      </c>
    </row>
    <row r="64" customFormat="false" ht="15" hidden="false" customHeight="false" outlineLevel="0" collapsed="false">
      <c r="A64" s="6" t="s">
        <v>310</v>
      </c>
      <c r="B64" s="111" t="n">
        <v>60000</v>
      </c>
      <c r="C64" s="111" t="n">
        <v>60000</v>
      </c>
      <c r="D64" s="111" t="n">
        <v>60000</v>
      </c>
      <c r="E64" s="112" t="n">
        <f aca="false">CHOOSE(Dashboard!$B$4,B64,C64,D64)</f>
        <v>60000</v>
      </c>
      <c r="F64" s="38" t="s">
        <v>268</v>
      </c>
      <c r="G64" s="104"/>
    </row>
    <row r="65" customFormat="false" ht="15" hidden="false" customHeight="false" outlineLevel="0" collapsed="false">
      <c r="A65" s="6" t="s">
        <v>311</v>
      </c>
      <c r="B65" s="105" t="n">
        <v>0</v>
      </c>
      <c r="C65" s="105" t="n">
        <v>0</v>
      </c>
      <c r="D65" s="105" t="n">
        <v>0</v>
      </c>
      <c r="E65" s="106" t="n">
        <f aca="false">CHOOSE(Dashboard!$B$4,B65,C65,D65)</f>
        <v>0</v>
      </c>
      <c r="F65" s="38" t="s">
        <v>254</v>
      </c>
      <c r="G65" s="104" t="s">
        <v>252</v>
      </c>
    </row>
    <row r="66" customFormat="false" ht="15" hidden="false" customHeight="false" outlineLevel="0" collapsed="false">
      <c r="A66" s="6" t="s">
        <v>312</v>
      </c>
      <c r="B66" s="107" t="n">
        <v>1</v>
      </c>
      <c r="C66" s="107" t="n">
        <v>1</v>
      </c>
      <c r="D66" s="107" t="n">
        <v>1</v>
      </c>
      <c r="E66" s="108" t="n">
        <f aca="false">CHOOSE(Dashboard!$B$4,B66,C66,D66)</f>
        <v>1</v>
      </c>
      <c r="F66" s="38" t="s">
        <v>304</v>
      </c>
      <c r="G66" s="104"/>
    </row>
    <row r="67" customFormat="false" ht="15" hidden="false" customHeight="false" outlineLevel="0" collapsed="false">
      <c r="A67" s="6" t="s">
        <v>313</v>
      </c>
      <c r="B67" s="105" t="n">
        <v>0.15</v>
      </c>
      <c r="C67" s="105" t="n">
        <v>0.15</v>
      </c>
      <c r="D67" s="105" t="n">
        <v>0.15</v>
      </c>
      <c r="E67" s="106" t="n">
        <f aca="false">CHOOSE(Dashboard!$B$4,B67,C67,D67)</f>
        <v>0.15</v>
      </c>
      <c r="F67" s="38" t="s">
        <v>254</v>
      </c>
      <c r="G67" s="104"/>
    </row>
    <row r="68" customFormat="false" ht="15" hidden="false" customHeight="false" outlineLevel="0" collapsed="false">
      <c r="A68" s="6" t="s">
        <v>314</v>
      </c>
      <c r="B68" s="105" t="n">
        <v>0.04</v>
      </c>
      <c r="C68" s="105" t="n">
        <v>0.03</v>
      </c>
      <c r="D68" s="105" t="n">
        <v>0.03</v>
      </c>
      <c r="E68" s="106" t="n">
        <f aca="false">CHOOSE(Dashboard!$B$4,B68,C68,D68)</f>
        <v>0.03</v>
      </c>
      <c r="F68" s="38" t="s">
        <v>254</v>
      </c>
      <c r="G68" s="104"/>
    </row>
    <row r="70" customFormat="false" ht="15.75" hidden="false" customHeight="true" outlineLevel="0" collapsed="false">
      <c r="A70" s="7" t="s">
        <v>315</v>
      </c>
      <c r="B70" s="7"/>
      <c r="C70" s="7"/>
      <c r="D70" s="7"/>
      <c r="E70" s="7"/>
      <c r="F70" s="7"/>
      <c r="G70" s="7"/>
    </row>
    <row r="71" customFormat="false" ht="15" hidden="false" customHeight="false" outlineLevel="0" collapsed="false">
      <c r="A71" s="6" t="s">
        <v>316</v>
      </c>
      <c r="B71" s="111" t="n">
        <v>330000</v>
      </c>
      <c r="C71" s="111" t="n">
        <v>330000</v>
      </c>
      <c r="D71" s="111" t="n">
        <v>330000</v>
      </c>
      <c r="E71" s="112" t="n">
        <f aca="false">CHOOSE(Dashboard!$B$4,B71,C71,D71)</f>
        <v>330000</v>
      </c>
      <c r="F71" s="38" t="s">
        <v>268</v>
      </c>
      <c r="G71" s="104"/>
    </row>
    <row r="72" customFormat="false" ht="15" hidden="false" customHeight="false" outlineLevel="0" collapsed="false">
      <c r="A72" s="6" t="s">
        <v>317</v>
      </c>
      <c r="B72" s="111" t="n">
        <v>100000</v>
      </c>
      <c r="C72" s="111" t="n">
        <v>100000</v>
      </c>
      <c r="D72" s="111" t="n">
        <v>100000</v>
      </c>
      <c r="E72" s="112" t="n">
        <f aca="false">CHOOSE(Dashboard!$B$4,B72,C72,D72)</f>
        <v>100000</v>
      </c>
      <c r="F72" s="38" t="s">
        <v>268</v>
      </c>
      <c r="G72" s="104"/>
    </row>
    <row r="73" customFormat="false" ht="15" hidden="false" customHeight="false" outlineLevel="0" collapsed="false">
      <c r="A73" s="6" t="s">
        <v>318</v>
      </c>
      <c r="B73" s="105" t="n">
        <v>0.09</v>
      </c>
      <c r="C73" s="105" t="n">
        <v>0.09</v>
      </c>
      <c r="D73" s="105" t="n">
        <v>0.09</v>
      </c>
      <c r="E73" s="106" t="n">
        <f aca="false">CHOOSE(Dashboard!$B$4,B73,C73,D73)</f>
        <v>0.09</v>
      </c>
      <c r="F73" s="38" t="s">
        <v>254</v>
      </c>
      <c r="G73" s="104"/>
    </row>
    <row r="74" customFormat="false" ht="15" hidden="false" customHeight="false" outlineLevel="0" collapsed="false">
      <c r="A74" s="6" t="s">
        <v>319</v>
      </c>
      <c r="B74" s="107" t="n">
        <v>5</v>
      </c>
      <c r="C74" s="107" t="n">
        <v>5</v>
      </c>
      <c r="D74" s="107" t="n">
        <v>5</v>
      </c>
      <c r="E74" s="108" t="n">
        <f aca="false">CHOOSE(Dashboard!$B$4,B74,C74,D74)</f>
        <v>5</v>
      </c>
      <c r="F74" s="38" t="s">
        <v>320</v>
      </c>
      <c r="G74" s="104"/>
    </row>
    <row r="76" customFormat="false" ht="15.75" hidden="false" customHeight="true" outlineLevel="0" collapsed="false">
      <c r="A76" s="7" t="s">
        <v>321</v>
      </c>
      <c r="B76" s="7"/>
      <c r="C76" s="7"/>
      <c r="D76" s="7"/>
      <c r="E76" s="7"/>
      <c r="F76" s="7"/>
      <c r="G76" s="7"/>
    </row>
    <row r="77" customFormat="false" ht="15" hidden="false" customHeight="false" outlineLevel="0" collapsed="false">
      <c r="A77" s="6" t="s">
        <v>322</v>
      </c>
      <c r="B77" s="107" t="n">
        <v>2</v>
      </c>
      <c r="C77" s="107" t="n">
        <v>2</v>
      </c>
      <c r="D77" s="107" t="n">
        <v>2</v>
      </c>
      <c r="E77" s="108" t="n">
        <f aca="false">CHOOSE(Dashboard!$B$4,B77,C77,D77)</f>
        <v>2</v>
      </c>
      <c r="F77" s="38" t="s">
        <v>256</v>
      </c>
      <c r="G77" s="104"/>
    </row>
    <row r="78" customFormat="false" ht="15" hidden="false" customHeight="false" outlineLevel="0" collapsed="false">
      <c r="A78" s="6" t="s">
        <v>323</v>
      </c>
      <c r="B78" s="107" t="n">
        <v>6</v>
      </c>
      <c r="C78" s="107" t="n">
        <v>6</v>
      </c>
      <c r="D78" s="107" t="n">
        <v>6</v>
      </c>
      <c r="E78" s="108" t="n">
        <f aca="false">CHOOSE(Dashboard!$B$4,B78,C78,D78)</f>
        <v>6</v>
      </c>
      <c r="F78" s="38" t="s">
        <v>256</v>
      </c>
      <c r="G78" s="104"/>
    </row>
    <row r="79" customFormat="false" ht="15" hidden="false" customHeight="false" outlineLevel="0" collapsed="false">
      <c r="A79" s="6" t="s">
        <v>324</v>
      </c>
      <c r="B79" s="107" t="n">
        <v>25</v>
      </c>
      <c r="C79" s="107" t="n">
        <v>25</v>
      </c>
      <c r="D79" s="107" t="n">
        <v>25</v>
      </c>
      <c r="E79" s="108" t="n">
        <f aca="false">CHOOSE(Dashboard!$B$4,B79,C79,D79)</f>
        <v>25</v>
      </c>
      <c r="F79" s="38" t="s">
        <v>256</v>
      </c>
      <c r="G79" s="104"/>
    </row>
    <row r="81" customFormat="false" ht="15.75" hidden="false" customHeight="true" outlineLevel="0" collapsed="false">
      <c r="A81" s="7" t="s">
        <v>325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326</v>
      </c>
      <c r="B82" s="107" t="n">
        <v>8</v>
      </c>
      <c r="C82" s="107" t="n">
        <v>8</v>
      </c>
      <c r="D82" s="107" t="n">
        <v>8</v>
      </c>
      <c r="E82" s="108" t="n">
        <f aca="false">CHOOSE(Dashboard!$B$4,B82,C82,D82)</f>
        <v>8</v>
      </c>
      <c r="F82" s="38" t="s">
        <v>320</v>
      </c>
      <c r="G82" s="104"/>
    </row>
    <row r="83" customFormat="false" ht="15" hidden="false" customHeight="false" outlineLevel="0" collapsed="false">
      <c r="A83" s="6" t="s">
        <v>327</v>
      </c>
      <c r="B83" s="105" t="n">
        <v>0.21</v>
      </c>
      <c r="C83" s="105" t="n">
        <v>0.21</v>
      </c>
      <c r="D83" s="105" t="n">
        <v>0.21</v>
      </c>
      <c r="E83" s="106" t="n">
        <f aca="false">CHOOSE(Dashboard!$B$4,B83,C83,D83)</f>
        <v>0.21</v>
      </c>
      <c r="F83" s="38" t="s">
        <v>254</v>
      </c>
      <c r="G83" s="104"/>
    </row>
    <row r="85" customFormat="false" ht="15.75" hidden="false" customHeight="true" outlineLevel="0" collapsed="false">
      <c r="A85" s="7" t="s">
        <v>328</v>
      </c>
      <c r="B85" s="7"/>
      <c r="C85" s="7"/>
      <c r="D85" s="7"/>
      <c r="E85" s="7"/>
      <c r="F85" s="7"/>
      <c r="G85" s="7"/>
    </row>
    <row r="86" customFormat="false" ht="15" hidden="false" customHeight="false" outlineLevel="0" collapsed="false">
      <c r="A86" s="6" t="s">
        <v>141</v>
      </c>
      <c r="B86" s="111" t="n">
        <v>109000</v>
      </c>
      <c r="C86" s="111" t="n">
        <v>109000</v>
      </c>
      <c r="D86" s="111" t="n">
        <v>109000</v>
      </c>
      <c r="E86" s="112" t="n">
        <f aca="false">CHOOSE(Dashboard!$B$4,B86,C86,D86)</f>
        <v>109000</v>
      </c>
      <c r="F86" s="38" t="s">
        <v>268</v>
      </c>
      <c r="G86" s="104" t="s">
        <v>329</v>
      </c>
    </row>
    <row r="88" customFormat="false" ht="15.75" hidden="false" customHeight="true" outlineLevel="0" collapsed="false">
      <c r="A88" s="7" t="s">
        <v>330</v>
      </c>
      <c r="B88" s="7"/>
      <c r="C88" s="7"/>
      <c r="D88" s="7"/>
      <c r="E88" s="7"/>
      <c r="F88" s="7"/>
      <c r="G88" s="7"/>
    </row>
    <row r="89" customFormat="false" ht="15" hidden="false" customHeight="false" outlineLevel="0" collapsed="false">
      <c r="A89" s="6" t="s">
        <v>168</v>
      </c>
      <c r="B89" s="105" t="n">
        <v>0.3</v>
      </c>
      <c r="C89" s="105" t="n">
        <v>0.25</v>
      </c>
      <c r="D89" s="105" t="n">
        <v>0.2</v>
      </c>
      <c r="E89" s="106" t="n">
        <f aca="false">CHOOSE(Dashboard!$B$4,B89,C89,D89)</f>
        <v>0.25</v>
      </c>
      <c r="F89" s="38" t="s">
        <v>254</v>
      </c>
      <c r="G89" s="104" t="s">
        <v>259</v>
      </c>
    </row>
    <row r="90" customFormat="false" ht="15" hidden="false" customHeight="false" outlineLevel="0" collapsed="false">
      <c r="A90" s="6" t="s">
        <v>331</v>
      </c>
      <c r="B90" s="105" t="n">
        <v>0.01</v>
      </c>
      <c r="C90" s="105" t="n">
        <v>0.02</v>
      </c>
      <c r="D90" s="105" t="n">
        <v>0.03</v>
      </c>
      <c r="E90" s="106" t="n">
        <f aca="false">CHOOSE(Dashboard!$B$4,B90,C90,D90)</f>
        <v>0.02</v>
      </c>
      <c r="F90" s="38" t="s">
        <v>254</v>
      </c>
      <c r="G90" s="104" t="s">
        <v>252</v>
      </c>
    </row>
    <row r="91" customFormat="false" ht="15" hidden="false" customHeight="false" outlineLevel="0" collapsed="false">
      <c r="A91" s="6" t="s">
        <v>170</v>
      </c>
      <c r="B91" s="113" t="n">
        <v>3</v>
      </c>
      <c r="C91" s="113" t="n">
        <v>4</v>
      </c>
      <c r="D91" s="113" t="n">
        <v>5</v>
      </c>
      <c r="E91" s="114" t="n">
        <f aca="false">CHOOSE(Dashboard!$B$4,B91,C91,D91)</f>
        <v>4</v>
      </c>
      <c r="F91" s="38" t="s">
        <v>332</v>
      </c>
      <c r="G91" s="104" t="s">
        <v>252</v>
      </c>
    </row>
    <row r="92" customFormat="false" ht="15" hidden="false" customHeight="false" outlineLevel="0" collapsed="false">
      <c r="A92" s="6" t="s">
        <v>333</v>
      </c>
      <c r="B92" s="105" t="n">
        <v>0.01</v>
      </c>
      <c r="C92" s="105" t="n">
        <v>0.01</v>
      </c>
      <c r="D92" s="105" t="n">
        <v>0.01</v>
      </c>
      <c r="E92" s="106" t="n">
        <f aca="false">CHOOSE(Dashboard!$B$4,B92,C92,D92)</f>
        <v>0.01</v>
      </c>
      <c r="F92" s="38" t="s">
        <v>254</v>
      </c>
      <c r="G92" s="104"/>
    </row>
    <row r="93" customFormat="false" ht="15" hidden="false" customHeight="false" outlineLevel="0" collapsed="false">
      <c r="A93" s="6" t="s">
        <v>334</v>
      </c>
      <c r="B93" s="105" t="n">
        <v>0.005</v>
      </c>
      <c r="C93" s="105" t="n">
        <v>0.005</v>
      </c>
      <c r="D93" s="105" t="n">
        <v>0.005</v>
      </c>
      <c r="E93" s="106" t="n">
        <f aca="false">CHOOSE(Dashboard!$B$4,B93,C93,D93)</f>
        <v>0.005</v>
      </c>
      <c r="F93" s="38" t="s">
        <v>254</v>
      </c>
      <c r="G93" s="104"/>
    </row>
    <row r="95" customFormat="false" ht="15" hidden="false" customHeight="false" outlineLevel="0" collapsed="false">
      <c r="A95" s="21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336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4" t="s">
        <v>44</v>
      </c>
      <c r="B5" s="75" t="n">
        <f aca="false">SUMIF(Monthly!$C$5:$BJ$5,B$3,Monthly!$C$31:$BJ$31)</f>
        <v>574501.9488</v>
      </c>
      <c r="C5" s="75" t="n">
        <f aca="false">SUMIF(Monthly!$C$5:$BJ$5,C$3,Monthly!$C$31:$BJ$31)</f>
        <v>835486.75776</v>
      </c>
      <c r="D5" s="75" t="n">
        <f aca="false">SUMIF(Monthly!$C$5:$BJ$5,D$3,Monthly!$C$31:$BJ$31)</f>
        <v>886367.901307584</v>
      </c>
      <c r="E5" s="75" t="n">
        <f aca="false">SUMIF(Monthly!$C$5:$BJ$5,E$3,Monthly!$C$31:$BJ$31)</f>
        <v>940347.706497216</v>
      </c>
      <c r="F5" s="75" t="n">
        <f aca="false">SUMIF(Monthly!$C$5:$BJ$5,F$3,Monthly!$C$31:$BJ$31)</f>
        <v>997614.881822897</v>
      </c>
    </row>
    <row r="6" customFormat="false" ht="15" hidden="false" customHeight="false" outlineLevel="0" collapsed="false">
      <c r="A6" s="6" t="s">
        <v>76</v>
      </c>
      <c r="B6" s="69" t="n">
        <f aca="false">SUMIF(Monthly!$C$5:$BJ$5,B$3,Monthly!$C$39:$BJ$39)</f>
        <v>-204565.28896</v>
      </c>
      <c r="C6" s="69" t="n">
        <f aca="false">SUMIF(Monthly!$C$5:$BJ$5,C$3,Monthly!$C$39:$BJ$39)</f>
        <v>-278844.276352</v>
      </c>
      <c r="D6" s="69" t="n">
        <f aca="false">SUMIF(Monthly!$C$5:$BJ$5,D$3,Monthly!$C$39:$BJ$39)</f>
        <v>-294361.850781837</v>
      </c>
      <c r="E6" s="69" t="n">
        <f aca="false">SUMIF(Monthly!$C$5:$BJ$5,E$3,Monthly!$C$39:$BJ$39)</f>
        <v>-310780.524234451</v>
      </c>
      <c r="F6" s="69" t="n">
        <f aca="false">SUMIF(Monthly!$C$5:$BJ$5,F$3,Monthly!$C$39:$BJ$39)</f>
        <v>-328153.856002529</v>
      </c>
    </row>
    <row r="7" customFormat="false" ht="15" hidden="false" customHeight="false" outlineLevel="0" collapsed="false">
      <c r="A7" s="115" t="s">
        <v>45</v>
      </c>
      <c r="B7" s="70" t="n">
        <f aca="false">SUMIF(Monthly!$C$5:$BJ$5,B$3,Monthly!$C$40:$BJ$40)</f>
        <v>369936.65984</v>
      </c>
      <c r="C7" s="70" t="n">
        <f aca="false">SUMIF(Monthly!$C$5:$BJ$5,C$3,Monthly!$C$40:$BJ$40)</f>
        <v>556642.481408</v>
      </c>
      <c r="D7" s="70" t="n">
        <f aca="false">SUMIF(Monthly!$C$5:$BJ$5,D$3,Monthly!$C$40:$BJ$40)</f>
        <v>592006.050525747</v>
      </c>
      <c r="E7" s="70" t="n">
        <f aca="false">SUMIF(Monthly!$C$5:$BJ$5,E$3,Monthly!$C$40:$BJ$40)</f>
        <v>629567.182262765</v>
      </c>
      <c r="F7" s="70" t="n">
        <f aca="false">SUMIF(Monthly!$C$5:$BJ$5,F$3,Monthly!$C$40:$BJ$40)</f>
        <v>669461.025820368</v>
      </c>
    </row>
    <row r="8" customFormat="false" ht="15" hidden="false" customHeight="false" outlineLevel="0" collapsed="false">
      <c r="A8" s="38" t="s">
        <v>46</v>
      </c>
      <c r="B8" s="76" t="n">
        <f aca="false">IF(B5=0,0,B7/B5)</f>
        <v>0.643925857192845</v>
      </c>
      <c r="C8" s="76" t="n">
        <f aca="false">IF(C5=0,0,C7/C5)</f>
        <v>0.666249316626392</v>
      </c>
      <c r="D8" s="76" t="n">
        <f aca="false">IF(D5=0,0,D7/D5)</f>
        <v>0.66790104837101</v>
      </c>
      <c r="E8" s="76" t="n">
        <f aca="false">IF(E5=0,0,E7/E5)</f>
        <v>0.669504671424037</v>
      </c>
      <c r="F8" s="76" t="n">
        <f aca="false">IF(F5=0,0,F7/F5)</f>
        <v>0.6710615870095</v>
      </c>
    </row>
    <row r="9" customFormat="false" ht="15" hidden="false" customHeight="false" outlineLevel="0" collapsed="false">
      <c r="A9" s="6" t="s">
        <v>337</v>
      </c>
      <c r="B9" s="69" t="n">
        <f aca="false">SUMIF(Monthly!$C$5:$BJ$5,B$3,Monthly!$C$43:$BJ$43)</f>
        <v>-182850</v>
      </c>
      <c r="C9" s="69" t="n">
        <f aca="false">SUMIF(Monthly!$C$5:$BJ$5,C$3,Monthly!$C$43:$BJ$43)</f>
        <v>-188335.5</v>
      </c>
      <c r="D9" s="69" t="n">
        <f aca="false">SUMIF(Monthly!$C$5:$BJ$5,D$3,Monthly!$C$43:$BJ$43)</f>
        <v>-193985.565</v>
      </c>
      <c r="E9" s="69" t="n">
        <f aca="false">SUMIF(Monthly!$C$5:$BJ$5,E$3,Monthly!$C$43:$BJ$43)</f>
        <v>-199805.13195</v>
      </c>
      <c r="F9" s="69" t="n">
        <f aca="false">SUMIF(Monthly!$C$5:$BJ$5,F$3,Monthly!$C$43:$BJ$43)</f>
        <v>-205799.2859085</v>
      </c>
    </row>
    <row r="10" customFormat="false" ht="15" hidden="false" customHeight="false" outlineLevel="0" collapsed="false">
      <c r="A10" s="6" t="s">
        <v>338</v>
      </c>
      <c r="B10" s="69" t="n">
        <f aca="false">SUMIF(Monthly!$C$5:$BJ$5,B$3,Monthly!$C$44:$BJ$44)</f>
        <v>-108000</v>
      </c>
      <c r="C10" s="69" t="n">
        <f aca="false">SUMIF(Monthly!$C$5:$BJ$5,C$3,Monthly!$C$44:$BJ$44)</f>
        <v>-111240</v>
      </c>
      <c r="D10" s="69" t="n">
        <f aca="false">SUMIF(Monthly!$C$5:$BJ$5,D$3,Monthly!$C$44:$BJ$44)</f>
        <v>-114577.2</v>
      </c>
      <c r="E10" s="69" t="n">
        <f aca="false">SUMIF(Monthly!$C$5:$BJ$5,E$3,Monthly!$C$44:$BJ$44)</f>
        <v>-118014.516</v>
      </c>
      <c r="F10" s="69" t="n">
        <f aca="false">SUMIF(Monthly!$C$5:$BJ$5,F$3,Monthly!$C$44:$BJ$44)</f>
        <v>-121554.95148</v>
      </c>
    </row>
    <row r="11" customFormat="false" ht="15" hidden="false" customHeight="false" outlineLevel="0" collapsed="false">
      <c r="A11" s="6" t="s">
        <v>339</v>
      </c>
      <c r="B11" s="69" t="n">
        <f aca="false">SUMIF(Monthly!$C$5:$BJ$5,B$3,Monthly!$C$45:$BJ$45)</f>
        <v>-30000</v>
      </c>
      <c r="C11" s="69" t="n">
        <f aca="false">SUMIF(Monthly!$C$5:$BJ$5,C$3,Monthly!$C$45:$BJ$45)</f>
        <v>-30900</v>
      </c>
      <c r="D11" s="69" t="n">
        <f aca="false">SUMIF(Monthly!$C$5:$BJ$5,D$3,Monthly!$C$45:$BJ$45)</f>
        <v>-31827</v>
      </c>
      <c r="E11" s="69" t="n">
        <f aca="false">SUMIF(Monthly!$C$5:$BJ$5,E$3,Monthly!$C$45:$BJ$45)</f>
        <v>-32781.81</v>
      </c>
      <c r="F11" s="69" t="n">
        <f aca="false">SUMIF(Monthly!$C$5:$BJ$5,F$3,Monthly!$C$45:$BJ$45)</f>
        <v>-33765.2643</v>
      </c>
    </row>
    <row r="12" customFormat="false" ht="15" hidden="false" customHeight="false" outlineLevel="0" collapsed="false">
      <c r="A12" s="6" t="s">
        <v>340</v>
      </c>
      <c r="B12" s="69" t="n">
        <f aca="false">SUMIF(Monthly!$C$5:$BJ$5,B$3,Monthly!$C$46:$BJ$46)</f>
        <v>-54000</v>
      </c>
      <c r="C12" s="69" t="n">
        <f aca="false">SUMIF(Monthly!$C$5:$BJ$5,C$3,Monthly!$C$46:$BJ$46)</f>
        <v>-55620</v>
      </c>
      <c r="D12" s="69" t="n">
        <f aca="false">SUMIF(Monthly!$C$5:$BJ$5,D$3,Monthly!$C$46:$BJ$46)</f>
        <v>-57288.6</v>
      </c>
      <c r="E12" s="69" t="n">
        <f aca="false">SUMIF(Monthly!$C$5:$BJ$5,E$3,Monthly!$C$46:$BJ$46)</f>
        <v>-59007.258</v>
      </c>
      <c r="F12" s="69" t="n">
        <f aca="false">SUMIF(Monthly!$C$5:$BJ$5,F$3,Monthly!$C$46:$BJ$46)</f>
        <v>-60777.47574</v>
      </c>
    </row>
    <row r="13" customFormat="false" ht="15" hidden="false" customHeight="false" outlineLevel="0" collapsed="false">
      <c r="A13" s="6" t="s">
        <v>341</v>
      </c>
      <c r="B13" s="69" t="n">
        <f aca="false">SUMIF(Monthly!$C$5:$BJ$5,B$3,Monthly!$C$47:$BJ$47)</f>
        <v>-42000</v>
      </c>
      <c r="C13" s="69" t="n">
        <f aca="false">SUMIF(Monthly!$C$5:$BJ$5,C$3,Monthly!$C$47:$BJ$47)</f>
        <v>-33600</v>
      </c>
      <c r="D13" s="69" t="n">
        <f aca="false">SUMIF(Monthly!$C$5:$BJ$5,D$3,Monthly!$C$47:$BJ$47)</f>
        <v>-26880</v>
      </c>
      <c r="E13" s="69" t="n">
        <f aca="false">SUMIF(Monthly!$C$5:$BJ$5,E$3,Monthly!$C$47:$BJ$47)</f>
        <v>-21504</v>
      </c>
      <c r="F13" s="69" t="n">
        <f aca="false">SUMIF(Monthly!$C$5:$BJ$5,F$3,Monthly!$C$47:$BJ$47)</f>
        <v>-17203.2</v>
      </c>
    </row>
    <row r="14" customFormat="false" ht="15" hidden="false" customHeight="false" outlineLevel="0" collapsed="false">
      <c r="A14" s="6" t="s">
        <v>342</v>
      </c>
      <c r="B14" s="69" t="n">
        <f aca="false">SUMIF(Monthly!$C$5:$BJ$5,B$3,Monthly!$C$48:$BJ$48)</f>
        <v>-17235.058464</v>
      </c>
      <c r="C14" s="69" t="n">
        <f aca="false">SUMIF(Monthly!$C$5:$BJ$5,C$3,Monthly!$C$48:$BJ$48)</f>
        <v>-25064.6027328</v>
      </c>
      <c r="D14" s="69" t="n">
        <f aca="false">SUMIF(Monthly!$C$5:$BJ$5,D$3,Monthly!$C$48:$BJ$48)</f>
        <v>-26591.0370392275</v>
      </c>
      <c r="E14" s="69" t="n">
        <f aca="false">SUMIF(Monthly!$C$5:$BJ$5,E$3,Monthly!$C$48:$BJ$48)</f>
        <v>-28210.4311949165</v>
      </c>
      <c r="F14" s="69" t="n">
        <f aca="false">SUMIF(Monthly!$C$5:$BJ$5,F$3,Monthly!$C$48:$BJ$48)</f>
        <v>-29928.4464546869</v>
      </c>
    </row>
    <row r="15" customFormat="false" ht="15" hidden="false" customHeight="false" outlineLevel="0" collapsed="false">
      <c r="A15" s="115" t="s">
        <v>77</v>
      </c>
      <c r="B15" s="70" t="n">
        <f aca="false">SUMIF(Monthly!$C$5:$BJ$5,B$3,Monthly!$C$49:$BJ$49)</f>
        <v>-434085.058464</v>
      </c>
      <c r="C15" s="70" t="n">
        <f aca="false">SUMIF(Monthly!$C$5:$BJ$5,C$3,Monthly!$C$49:$BJ$49)</f>
        <v>-444760.1027328</v>
      </c>
      <c r="D15" s="70" t="n">
        <f aca="false">SUMIF(Monthly!$C$5:$BJ$5,D$3,Monthly!$C$49:$BJ$49)</f>
        <v>-451149.402039228</v>
      </c>
      <c r="E15" s="70" t="n">
        <f aca="false">SUMIF(Monthly!$C$5:$BJ$5,E$3,Monthly!$C$49:$BJ$49)</f>
        <v>-459323.147144917</v>
      </c>
      <c r="F15" s="70" t="n">
        <f aca="false">SUMIF(Monthly!$C$5:$BJ$5,F$3,Monthly!$C$49:$BJ$49)</f>
        <v>-469028.623883187</v>
      </c>
    </row>
    <row r="16" customFormat="false" ht="15" hidden="false" customHeight="false" outlineLevel="0" collapsed="false">
      <c r="A16" s="115" t="s">
        <v>48</v>
      </c>
      <c r="B16" s="70" t="n">
        <f aca="false">SUMIF(Monthly!$C$5:$BJ$5,B$3,Monthly!$C$50:$BJ$50)</f>
        <v>-64148.398624</v>
      </c>
      <c r="C16" s="70" t="n">
        <f aca="false">SUMIF(Monthly!$C$5:$BJ$5,C$3,Monthly!$C$50:$BJ$50)</f>
        <v>111882.3786752</v>
      </c>
      <c r="D16" s="70" t="n">
        <f aca="false">SUMIF(Monthly!$C$5:$BJ$5,D$3,Monthly!$C$50:$BJ$50)</f>
        <v>140856.64848652</v>
      </c>
      <c r="E16" s="70" t="n">
        <f aca="false">SUMIF(Monthly!$C$5:$BJ$5,E$3,Monthly!$C$50:$BJ$50)</f>
        <v>170244.035117849</v>
      </c>
      <c r="F16" s="70" t="n">
        <f aca="false">SUMIF(Monthly!$C$5:$BJ$5,F$3,Monthly!$C$50:$BJ$50)</f>
        <v>200432.401937181</v>
      </c>
    </row>
    <row r="17" customFormat="false" ht="15" hidden="false" customHeight="false" outlineLevel="0" collapsed="false">
      <c r="A17" s="38" t="s">
        <v>49</v>
      </c>
      <c r="B17" s="76" t="n">
        <f aca="false">IF(B5=0,0,B16/B5)</f>
        <v>-0.111659148864492</v>
      </c>
      <c r="C17" s="76" t="n">
        <f aca="false">IF(C5=0,0,C16/C5)</f>
        <v>0.133912809073318</v>
      </c>
      <c r="D17" s="76" t="n">
        <f aca="false">IF(D5=0,0,D16/D5)</f>
        <v>0.158914428510696</v>
      </c>
      <c r="E17" s="76" t="n">
        <f aca="false">IF(E5=0,0,E16/E5)</f>
        <v>0.18104370749412</v>
      </c>
      <c r="F17" s="76" t="n">
        <f aca="false">IF(F5=0,0,F16/F5)</f>
        <v>0.200911599845964</v>
      </c>
    </row>
    <row r="18" customFormat="false" ht="15" hidden="false" customHeight="false" outlineLevel="0" collapsed="false">
      <c r="A18" s="6" t="s">
        <v>78</v>
      </c>
      <c r="B18" s="69" t="n">
        <f aca="false">SUMIF(Monthly!$C$5:$BJ$5,B$3,Monthly!$C$70:$BJ$70)</f>
        <v>-23625</v>
      </c>
      <c r="C18" s="69" t="n">
        <f aca="false">SUMIF(Monthly!$C$5:$BJ$5,C$3,Monthly!$C$70:$BJ$70)</f>
        <v>-24875</v>
      </c>
      <c r="D18" s="69" t="n">
        <f aca="false">SUMIF(Monthly!$C$5:$BJ$5,D$3,Monthly!$C$70:$BJ$70)</f>
        <v>-26125</v>
      </c>
      <c r="E18" s="69" t="n">
        <f aca="false">SUMIF(Monthly!$C$5:$BJ$5,E$3,Monthly!$C$70:$BJ$70)</f>
        <v>-27375</v>
      </c>
      <c r="F18" s="69" t="n">
        <f aca="false">SUMIF(Monthly!$C$5:$BJ$5,F$3,Monthly!$C$70:$BJ$70)</f>
        <v>-28625</v>
      </c>
    </row>
    <row r="19" customFormat="false" ht="15" hidden="false" customHeight="false" outlineLevel="0" collapsed="false">
      <c r="A19" s="4" t="s">
        <v>79</v>
      </c>
      <c r="B19" s="75" t="n">
        <f aca="false">SUMIF(Monthly!$C$5:$BJ$5,B$3,Monthly!$C$53:$BJ$53)</f>
        <v>-87773.398624</v>
      </c>
      <c r="C19" s="75" t="n">
        <f aca="false">SUMIF(Monthly!$C$5:$BJ$5,C$3,Monthly!$C$53:$BJ$53)</f>
        <v>87007.3786752</v>
      </c>
      <c r="D19" s="75" t="n">
        <f aca="false">SUMIF(Monthly!$C$5:$BJ$5,D$3,Monthly!$C$53:$BJ$53)</f>
        <v>114731.64848652</v>
      </c>
      <c r="E19" s="75" t="n">
        <f aca="false">SUMIF(Monthly!$C$5:$BJ$5,E$3,Monthly!$C$53:$BJ$53)</f>
        <v>142869.035117849</v>
      </c>
      <c r="F19" s="75" t="n">
        <f aca="false">SUMIF(Monthly!$C$5:$BJ$5,F$3,Monthly!$C$53:$BJ$53)</f>
        <v>171807.401937181</v>
      </c>
    </row>
    <row r="20" customFormat="false" ht="15" hidden="false" customHeight="false" outlineLevel="0" collapsed="false">
      <c r="A20" s="6" t="s">
        <v>80</v>
      </c>
      <c r="B20" s="69" t="n">
        <f aca="false">SUMIF(Monthly!$C$5:$BJ$5,B$3,Monthly!$C$54:$BJ$54)</f>
        <v>-8243.75</v>
      </c>
      <c r="C20" s="69" t="n">
        <f aca="false">SUMIF(Monthly!$C$5:$BJ$5,C$3,Monthly!$C$54:$BJ$54)</f>
        <v>-6449.99999999999</v>
      </c>
      <c r="D20" s="69" t="n">
        <f aca="false">SUMIF(Monthly!$C$5:$BJ$5,D$3,Monthly!$C$54:$BJ$54)</f>
        <v>-4649.99999999999</v>
      </c>
      <c r="E20" s="69" t="n">
        <f aca="false">SUMIF(Monthly!$C$5:$BJ$5,E$3,Monthly!$C$54:$BJ$54)</f>
        <v>-2850</v>
      </c>
      <c r="F20" s="69" t="n">
        <f aca="false">SUMIF(Monthly!$C$5:$BJ$5,F$3,Monthly!$C$54:$BJ$54)</f>
        <v>-1049.99999999999</v>
      </c>
    </row>
    <row r="21" customFormat="false" ht="15" hidden="false" customHeight="false" outlineLevel="0" collapsed="false">
      <c r="A21" s="116" t="s">
        <v>81</v>
      </c>
      <c r="B21" s="117" t="n">
        <f aca="false">SUMIF(Monthly!$C$5:$BJ$5,B$3,Monthly!$C$55:$BJ$55)</f>
        <v>-96017.148624</v>
      </c>
      <c r="C21" s="117" t="n">
        <f aca="false">SUMIF(Monthly!$C$5:$BJ$5,C$3,Monthly!$C$55:$BJ$55)</f>
        <v>80557.3786752</v>
      </c>
      <c r="D21" s="117" t="n">
        <f aca="false">SUMIF(Monthly!$C$5:$BJ$5,D$3,Monthly!$C$55:$BJ$55)</f>
        <v>110081.64848652</v>
      </c>
      <c r="E21" s="117" t="n">
        <f aca="false">SUMIF(Monthly!$C$5:$BJ$5,E$3,Monthly!$C$55:$BJ$55)</f>
        <v>140019.035117849</v>
      </c>
      <c r="F21" s="117" t="n">
        <f aca="false">SUMIF(Monthly!$C$5:$BJ$5,F$3,Monthly!$C$55:$BJ$55)</f>
        <v>170757.401937181</v>
      </c>
    </row>
    <row r="22" customFormat="false" ht="15" hidden="false" customHeight="false" outlineLevel="0" collapsed="false">
      <c r="A22" s="6" t="s">
        <v>82</v>
      </c>
      <c r="B22" s="69" t="n">
        <f aca="false">SUMIF(Monthly!$C$5:$BJ$5,B$3,Monthly!$C$58:$BJ$58)</f>
        <v>0</v>
      </c>
      <c r="C22" s="69" t="n">
        <f aca="false">SUMIF(Monthly!$C$5:$BJ$5,C$3,Monthly!$C$58:$BJ$58)</f>
        <v>0</v>
      </c>
      <c r="D22" s="69" t="n">
        <f aca="false">SUMIF(Monthly!$C$5:$BJ$5,D$3,Monthly!$C$58:$BJ$58)</f>
        <v>-19870.5944929211</v>
      </c>
      <c r="E22" s="69" t="n">
        <f aca="false">SUMIF(Monthly!$C$5:$BJ$5,E$3,Monthly!$C$58:$BJ$58)</f>
        <v>-29403.9973747482</v>
      </c>
      <c r="F22" s="69" t="n">
        <f aca="false">SUMIF(Monthly!$C$5:$BJ$5,F$3,Monthly!$C$58:$BJ$58)</f>
        <v>-35859.054406808</v>
      </c>
    </row>
    <row r="23" customFormat="false" ht="15" hidden="false" customHeight="false" outlineLevel="0" collapsed="false">
      <c r="A23" s="72" t="s">
        <v>50</v>
      </c>
      <c r="B23" s="73" t="n">
        <f aca="false">SUMIF(Monthly!$C$5:$BJ$5,B$3,Monthly!$C$59:$BJ$59)</f>
        <v>-96017.148624</v>
      </c>
      <c r="C23" s="73" t="n">
        <f aca="false">SUMIF(Monthly!$C$5:$BJ$5,C$3,Monthly!$C$59:$BJ$59)</f>
        <v>80557.3786752</v>
      </c>
      <c r="D23" s="73" t="n">
        <f aca="false">SUMIF(Monthly!$C$5:$BJ$5,D$3,Monthly!$C$59:$BJ$59)</f>
        <v>90211.0539935985</v>
      </c>
      <c r="E23" s="73" t="n">
        <f aca="false">SUMIF(Monthly!$C$5:$BJ$5,E$3,Monthly!$C$59:$BJ$59)</f>
        <v>110615.037743101</v>
      </c>
      <c r="F23" s="73" t="n">
        <f aca="false">SUMIF(Monthly!$C$5:$BJ$5,F$3,Monthly!$C$59:$BJ$59)</f>
        <v>134898.347530373</v>
      </c>
    </row>
    <row r="24" customFormat="false" ht="15" hidden="false" customHeight="false" outlineLevel="0" collapsed="false">
      <c r="A24" s="38" t="s">
        <v>51</v>
      </c>
      <c r="B24" s="76" t="n">
        <f aca="false">IF(B5=0,0,B23/B5)</f>
        <v>-0.167131110389716</v>
      </c>
      <c r="C24" s="76" t="n">
        <f aca="false">IF(C5=0,0,C23/C5)</f>
        <v>0.0964196953775547</v>
      </c>
      <c r="D24" s="76" t="n">
        <f aca="false">IF(D5=0,0,D23/D5)</f>
        <v>0.101776084017165</v>
      </c>
      <c r="E24" s="76" t="n">
        <f aca="false">IF(E5=0,0,E23/E5)</f>
        <v>0.117632059905947</v>
      </c>
      <c r="F24" s="76" t="n">
        <f aca="false">IF(F5=0,0,F23/F5)</f>
        <v>0.135220865274062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336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50</v>
      </c>
      <c r="B5" s="69" t="n">
        <f aca="false">SUMIF(Monthly!$C$5:$BJ$5,B$3,Monthly!$C$59:$BJ$59)</f>
        <v>-96017.148624</v>
      </c>
      <c r="C5" s="69" t="n">
        <f aca="false">SUMIF(Monthly!$C$5:$BJ$5,C$3,Monthly!$C$59:$BJ$59)</f>
        <v>80557.3786752</v>
      </c>
      <c r="D5" s="69" t="n">
        <f aca="false">SUMIF(Monthly!$C$5:$BJ$5,D$3,Monthly!$C$59:$BJ$59)</f>
        <v>90211.0539935985</v>
      </c>
      <c r="E5" s="69" t="n">
        <f aca="false">SUMIF(Monthly!$C$5:$BJ$5,E$3,Monthly!$C$59:$BJ$59)</f>
        <v>110615.037743101</v>
      </c>
      <c r="F5" s="69" t="n">
        <f aca="false">SUMIF(Monthly!$C$5:$BJ$5,F$3,Monthly!$C$59:$BJ$59)</f>
        <v>134898.347530373</v>
      </c>
    </row>
    <row r="6" customFormat="false" ht="15" hidden="false" customHeight="false" outlineLevel="0" collapsed="false">
      <c r="A6" s="6" t="s">
        <v>343</v>
      </c>
      <c r="B6" s="69" t="n">
        <f aca="false">-SUMIF(Monthly!$C$5:$BJ$5,B$3,Monthly!$C$70:$BJ$70)</f>
        <v>23625</v>
      </c>
      <c r="C6" s="69" t="n">
        <f aca="false">-SUMIF(Monthly!$C$5:$BJ$5,C$3,Monthly!$C$70:$BJ$70)</f>
        <v>24875</v>
      </c>
      <c r="D6" s="69" t="n">
        <f aca="false">-SUMIF(Monthly!$C$5:$BJ$5,D$3,Monthly!$C$70:$BJ$70)</f>
        <v>26125</v>
      </c>
      <c r="E6" s="69" t="n">
        <f aca="false">-SUMIF(Monthly!$C$5:$BJ$5,E$3,Monthly!$C$70:$BJ$70)</f>
        <v>27375</v>
      </c>
      <c r="F6" s="69" t="n">
        <f aca="false">-SUMIF(Monthly!$C$5:$BJ$5,F$3,Monthly!$C$70:$BJ$70)</f>
        <v>28625</v>
      </c>
    </row>
    <row r="7" customFormat="false" ht="15" hidden="false" customHeight="false" outlineLevel="0" collapsed="false">
      <c r="A7" s="6" t="s">
        <v>344</v>
      </c>
      <c r="B7" s="69" t="n">
        <f aca="false">SUMIF(Monthly!$C$5:$BJ$5,B$3,Monthly!$C$84:$BJ$84)</f>
        <v>-4789.80266666667</v>
      </c>
      <c r="C7" s="69" t="n">
        <f aca="false">SUMIF(Monthly!$C$5:$BJ$5,C$3,Monthly!$C$84:$BJ$84)</f>
        <v>-291.698982399998</v>
      </c>
      <c r="D7" s="69" t="n">
        <f aca="false">SUMIF(Monthly!$C$5:$BJ$5,D$3,Monthly!$C$84:$BJ$84)</f>
        <v>-309.46345042816</v>
      </c>
      <c r="E7" s="69" t="n">
        <f aca="false">SUMIF(Monthly!$C$5:$BJ$5,E$3,Monthly!$C$84:$BJ$84)</f>
        <v>-328.309774559235</v>
      </c>
      <c r="F7" s="69" t="n">
        <f aca="false">SUMIF(Monthly!$C$5:$BJ$5,F$3,Monthly!$C$84:$BJ$84)</f>
        <v>-348.303839829895</v>
      </c>
    </row>
    <row r="8" customFormat="false" ht="15" hidden="false" customHeight="false" outlineLevel="0" collapsed="false">
      <c r="A8" s="6" t="s">
        <v>345</v>
      </c>
      <c r="B8" s="69" t="n">
        <f aca="false">SUMIF(Monthly!$C$5:$BJ$5,B$3,Monthly!$C$85:$BJ$85)</f>
        <v>-4538.66026666667</v>
      </c>
      <c r="C8" s="69" t="n">
        <f aca="false">SUMIF(Monthly!$C$5:$BJ$5,C$3,Monthly!$C$85:$BJ$85)</f>
        <v>-252.71441024</v>
      </c>
      <c r="D8" s="69" t="n">
        <f aca="false">SUMIF(Monthly!$C$5:$BJ$5,D$3,Monthly!$C$85:$BJ$85)</f>
        <v>-267.394017823615</v>
      </c>
      <c r="E8" s="69" t="n">
        <f aca="false">SUMIF(Monthly!$C$5:$BJ$5,E$3,Monthly!$C$85:$BJ$85)</f>
        <v>-282.946292509074</v>
      </c>
      <c r="F8" s="69" t="n">
        <f aca="false">SUMIF(Monthly!$C$5:$BJ$5,F$3,Monthly!$C$85:$BJ$85)</f>
        <v>-299.42374009288</v>
      </c>
    </row>
    <row r="9" customFormat="false" ht="15" hidden="false" customHeight="false" outlineLevel="0" collapsed="false">
      <c r="A9" s="6" t="s">
        <v>346</v>
      </c>
      <c r="B9" s="69" t="n">
        <f aca="false">SUMIF(Monthly!$C$5:$BJ$5,B$3,Monthly!$C$86:$BJ$86)</f>
        <v>18911.0844444444</v>
      </c>
      <c r="C9" s="69" t="n">
        <f aca="false">SUMIF(Monthly!$C$5:$BJ$5,C$3,Monthly!$C$86:$BJ$86)</f>
        <v>1052.97670933333</v>
      </c>
      <c r="D9" s="69" t="n">
        <f aca="false">SUMIF(Monthly!$C$5:$BJ$5,D$3,Monthly!$C$86:$BJ$86)</f>
        <v>1114.14174093173</v>
      </c>
      <c r="E9" s="69" t="n">
        <f aca="false">SUMIF(Monthly!$C$5:$BJ$5,E$3,Monthly!$C$86:$BJ$86)</f>
        <v>1178.94288545448</v>
      </c>
      <c r="F9" s="69" t="n">
        <f aca="false">SUMIF(Monthly!$C$5:$BJ$5,F$3,Monthly!$C$86:$BJ$86)</f>
        <v>1247.59891705366</v>
      </c>
    </row>
    <row r="10" customFormat="false" ht="15" hidden="false" customHeight="false" outlineLevel="0" collapsed="false">
      <c r="A10" s="115" t="s">
        <v>52</v>
      </c>
      <c r="B10" s="70" t="n">
        <f aca="false">SUMIF(Monthly!$C$5:$BJ$5,B$3,Monthly!$C$89:$BJ$89)</f>
        <v>-62809.5271128889</v>
      </c>
      <c r="C10" s="70" t="n">
        <f aca="false">SUMIF(Monthly!$C$5:$BJ$5,C$3,Monthly!$C$89:$BJ$89)</f>
        <v>105940.941991893</v>
      </c>
      <c r="D10" s="70" t="n">
        <f aca="false">SUMIF(Monthly!$C$5:$BJ$5,D$3,Monthly!$C$89:$BJ$89)</f>
        <v>116873.338266278</v>
      </c>
      <c r="E10" s="70" t="n">
        <f aca="false">SUMIF(Monthly!$C$5:$BJ$5,E$3,Monthly!$C$89:$BJ$89)</f>
        <v>138557.724561487</v>
      </c>
      <c r="F10" s="70" t="n">
        <f aca="false">SUMIF(Monthly!$C$5:$BJ$5,F$3,Monthly!$C$89:$BJ$89)</f>
        <v>164123.218867504</v>
      </c>
    </row>
    <row r="11" customFormat="false" ht="15" hidden="false" customHeight="false" outlineLevel="0" collapsed="false">
      <c r="A11" s="6" t="s">
        <v>84</v>
      </c>
      <c r="B11" s="69" t="n">
        <f aca="false">SUMIF(Monthly!$C$5:$BJ$5,B$3,Monthly!$C$90:$BJ$90)</f>
        <v>-189000</v>
      </c>
      <c r="C11" s="69" t="n">
        <f aca="false">SUMIF(Monthly!$C$5:$BJ$5,C$3,Monthly!$C$90:$BJ$90)</f>
        <v>-10000</v>
      </c>
      <c r="D11" s="69" t="n">
        <f aca="false">SUMIF(Monthly!$C$5:$BJ$5,D$3,Monthly!$C$90:$BJ$90)</f>
        <v>-10000</v>
      </c>
      <c r="E11" s="69" t="n">
        <f aca="false">SUMIF(Monthly!$C$5:$BJ$5,E$3,Monthly!$C$90:$BJ$90)</f>
        <v>-10000</v>
      </c>
      <c r="F11" s="69" t="n">
        <f aca="false">SUMIF(Monthly!$C$5:$BJ$5,F$3,Monthly!$C$90:$BJ$90)</f>
        <v>-10000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SUMIF(Monthly!$C$5:$BJ$5,B$3,Monthly!$C$91:$BJ$91)</f>
        <v>330000</v>
      </c>
      <c r="C12" s="69" t="n">
        <f aca="false">SUMIF(Monthly!$C$5:$BJ$5,C$3,Monthly!$C$91:$BJ$91)</f>
        <v>0</v>
      </c>
      <c r="D12" s="69" t="n">
        <f aca="false">SUMIF(Monthly!$C$5:$BJ$5,D$3,Monthly!$C$91:$BJ$91)</f>
        <v>0</v>
      </c>
      <c r="E12" s="69" t="n">
        <f aca="false">SUMIF(Monthly!$C$5:$BJ$5,E$3,Monthly!$C$91:$BJ$91)</f>
        <v>0</v>
      </c>
      <c r="F12" s="69" t="n">
        <f aca="false">SUMIF(Monthly!$C$5:$BJ$5,F$3,Monthly!$C$91:$BJ$91)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SUMIF(Monthly!$C$5:$BJ$5,B$3,Monthly!$C$76:$BJ$76)</f>
        <v>100000</v>
      </c>
      <c r="C13" s="69" t="n">
        <f aca="false">SUMIF(Monthly!$C$5:$BJ$5,C$3,Monthly!$C$76:$BJ$76)</f>
        <v>0</v>
      </c>
      <c r="D13" s="69" t="n">
        <f aca="false">SUMIF(Monthly!$C$5:$BJ$5,D$3,Monthly!$C$76:$BJ$76)</f>
        <v>0</v>
      </c>
      <c r="E13" s="69" t="n">
        <f aca="false">SUMIF(Monthly!$C$5:$BJ$5,E$3,Monthly!$C$76:$BJ$76)</f>
        <v>0</v>
      </c>
      <c r="F13" s="69" t="n">
        <f aca="false">SUMIF(Monthly!$C$5:$BJ$5,F$3,Monthly!$C$76:$BJ$76)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SUMIF(Monthly!$C$5:$BJ$5,B$3,Monthly!$C$77:$BJ$77)</f>
        <v>-18333.3333333333</v>
      </c>
      <c r="C14" s="69" t="n">
        <f aca="false">SUMIF(Monthly!$C$5:$BJ$5,C$3,Monthly!$C$77:$BJ$77)</f>
        <v>-20000</v>
      </c>
      <c r="D14" s="69" t="n">
        <f aca="false">SUMIF(Monthly!$C$5:$BJ$5,D$3,Monthly!$C$77:$BJ$77)</f>
        <v>-20000</v>
      </c>
      <c r="E14" s="69" t="n">
        <f aca="false">SUMIF(Monthly!$C$5:$BJ$5,E$3,Monthly!$C$77:$BJ$77)</f>
        <v>-20000</v>
      </c>
      <c r="F14" s="69" t="n">
        <f aca="false">SUMIF(Monthly!$C$5:$BJ$5,F$3,Monthly!$C$77:$BJ$77)</f>
        <v>-20000</v>
      </c>
    </row>
    <row r="15" customFormat="false" ht="15" hidden="false" customHeight="false" outlineLevel="0" collapsed="false">
      <c r="A15" s="115" t="s">
        <v>54</v>
      </c>
      <c r="B15" s="70" t="n">
        <f aca="false">SUMIF(Monthly!$C$5:$BJ$5,B$3,Monthly!$C$92:$BJ$92)</f>
        <v>411666.666666667</v>
      </c>
      <c r="C15" s="70" t="n">
        <f aca="false">SUMIF(Monthly!$C$5:$BJ$5,C$3,Monthly!$C$92:$BJ$92)</f>
        <v>-20000</v>
      </c>
      <c r="D15" s="70" t="n">
        <f aca="false">SUMIF(Monthly!$C$5:$BJ$5,D$3,Monthly!$C$92:$BJ$92)</f>
        <v>-20000</v>
      </c>
      <c r="E15" s="70" t="n">
        <f aca="false">SUMIF(Monthly!$C$5:$BJ$5,E$3,Monthly!$C$92:$BJ$92)</f>
        <v>-20000</v>
      </c>
      <c r="F15" s="70" t="n">
        <f aca="false">SUMIF(Monthly!$C$5:$BJ$5,F$3,Monthly!$C$92:$BJ$92)</f>
        <v>-20000</v>
      </c>
    </row>
    <row r="16" customFormat="false" ht="15" hidden="false" customHeight="false" outlineLevel="0" collapsed="false">
      <c r="A16" s="4" t="s">
        <v>55</v>
      </c>
      <c r="B16" s="75" t="n">
        <f aca="false">SUMIF(Monthly!$C$5:$BJ$5,B$3,Monthly!$C$93:$BJ$93)</f>
        <v>159857.139553778</v>
      </c>
      <c r="C16" s="75" t="n">
        <f aca="false">SUMIF(Monthly!$C$5:$BJ$5,C$3,Monthly!$C$93:$BJ$93)</f>
        <v>75940.9419918933</v>
      </c>
      <c r="D16" s="75" t="n">
        <f aca="false">SUMIF(Monthly!$C$5:$BJ$5,D$3,Monthly!$C$93:$BJ$93)</f>
        <v>86873.3382662784</v>
      </c>
      <c r="E16" s="75" t="n">
        <f aca="false">SUMIF(Monthly!$C$5:$BJ$5,E$3,Monthly!$C$93:$BJ$93)</f>
        <v>108557.724561487</v>
      </c>
      <c r="F16" s="75" t="n">
        <f aca="false">SUMIF(Monthly!$C$5:$BJ$5,F$3,Monthly!$C$93:$BJ$93)</f>
        <v>134123.218867504</v>
      </c>
    </row>
    <row r="17" customFormat="false" ht="15" hidden="false" customHeight="false" outlineLevel="0" collapsed="false">
      <c r="A17" s="6" t="s">
        <v>347</v>
      </c>
      <c r="B17" s="69" t="n">
        <f aca="false">INDEX(Monthly!$C$94:$BJ$94,(B$3-1)*12+1)</f>
        <v>0</v>
      </c>
      <c r="C17" s="69" t="n">
        <f aca="false">INDEX(Monthly!$C$94:$BJ$94,(C$3-1)*12+1)</f>
        <v>159857.139553778</v>
      </c>
      <c r="D17" s="69" t="n">
        <f aca="false">INDEX(Monthly!$C$94:$BJ$94,(D$3-1)*12+1)</f>
        <v>235798.081545671</v>
      </c>
      <c r="E17" s="69" t="n">
        <f aca="false">INDEX(Monthly!$C$94:$BJ$94,(E$3-1)*12+1)</f>
        <v>322671.41981195</v>
      </c>
      <c r="F17" s="69" t="n">
        <f aca="false">INDEX(Monthly!$C$94:$BJ$94,(F$3-1)*12+1)</f>
        <v>431229.144373436</v>
      </c>
    </row>
    <row r="18" customFormat="false" ht="15" hidden="false" customHeight="false" outlineLevel="0" collapsed="false">
      <c r="A18" s="72" t="s">
        <v>87</v>
      </c>
      <c r="B18" s="73" t="n">
        <f aca="false">INDEX(Monthly!$C$95:$BJ$95,B$3*12)</f>
        <v>159857.139553778</v>
      </c>
      <c r="C18" s="73" t="n">
        <f aca="false">INDEX(Monthly!$C$95:$BJ$95,C$3*12)</f>
        <v>235798.081545671</v>
      </c>
      <c r="D18" s="73" t="n">
        <f aca="false">INDEX(Monthly!$C$95:$BJ$95,D$3*12)</f>
        <v>322671.41981195</v>
      </c>
      <c r="E18" s="73" t="n">
        <f aca="false">INDEX(Monthly!$C$95:$BJ$95,E$3*12)</f>
        <v>431229.144373436</v>
      </c>
      <c r="F18" s="73" t="n">
        <f aca="false">INDEX(Monthly!$C$95:$BJ$95,F$3*12)</f>
        <v>565352.36324094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336</v>
      </c>
    </row>
    <row r="3" customFormat="false" ht="15" hidden="false" customHeight="false" outlineLevel="0" collapsed="false">
      <c r="A3" s="74" t="s">
        <v>154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155</v>
      </c>
      <c r="C4" s="52" t="s">
        <v>156</v>
      </c>
      <c r="D4" s="52" t="s">
        <v>157</v>
      </c>
      <c r="E4" s="52" t="s">
        <v>158</v>
      </c>
      <c r="F4" s="52" t="s">
        <v>159</v>
      </c>
    </row>
    <row r="5" customFormat="false" ht="15" hidden="false" customHeight="false" outlineLevel="0" collapsed="false">
      <c r="A5" s="6" t="s">
        <v>89</v>
      </c>
      <c r="B5" s="69" t="n">
        <f aca="false">INDEX(Monthly!$C$95:$BJ$95,B$3*12)</f>
        <v>159857.139553778</v>
      </c>
      <c r="C5" s="69" t="n">
        <f aca="false">INDEX(Monthly!$C$95:$BJ$95,C$3*12)</f>
        <v>235798.081545671</v>
      </c>
      <c r="D5" s="69" t="n">
        <f aca="false">INDEX(Monthly!$C$95:$BJ$95,D$3*12)</f>
        <v>322671.41981195</v>
      </c>
      <c r="E5" s="69" t="n">
        <f aca="false">INDEX(Monthly!$C$95:$BJ$95,E$3*12)</f>
        <v>431229.144373436</v>
      </c>
      <c r="F5" s="69" t="n">
        <f aca="false">INDEX(Monthly!$C$95:$BJ$95,F$3*12)</f>
        <v>565352.36324094</v>
      </c>
    </row>
    <row r="6" customFormat="false" ht="15" hidden="false" customHeight="false" outlineLevel="0" collapsed="false">
      <c r="A6" s="6" t="s">
        <v>90</v>
      </c>
      <c r="B6" s="69" t="n">
        <f aca="false">INDEX(Monthly!$C$81:$BJ$81,B$3*12)</f>
        <v>4789.80266666667</v>
      </c>
      <c r="C6" s="69" t="n">
        <f aca="false">INDEX(Monthly!$C$81:$BJ$81,C$3*12)</f>
        <v>5081.50164906667</v>
      </c>
      <c r="D6" s="69" t="n">
        <f aca="false">INDEX(Monthly!$C$81:$BJ$81,D$3*12)</f>
        <v>5390.96509949483</v>
      </c>
      <c r="E6" s="69" t="n">
        <f aca="false">INDEX(Monthly!$C$81:$BJ$81,E$3*12)</f>
        <v>5719.27487405406</v>
      </c>
      <c r="F6" s="69" t="n">
        <f aca="false">INDEX(Monthly!$C$81:$BJ$81,F$3*12)</f>
        <v>6067.57871388396</v>
      </c>
    </row>
    <row r="7" customFormat="false" ht="15" hidden="false" customHeight="false" outlineLevel="0" collapsed="false">
      <c r="A7" s="6" t="s">
        <v>91</v>
      </c>
      <c r="B7" s="69" t="n">
        <f aca="false">INDEX(Monthly!$C$82:$BJ$82,B$3*12)</f>
        <v>4538.66026666667</v>
      </c>
      <c r="C7" s="69" t="n">
        <f aca="false">INDEX(Monthly!$C$82:$BJ$82,C$3*12)</f>
        <v>4791.37467690667</v>
      </c>
      <c r="D7" s="69" t="n">
        <f aca="false">INDEX(Monthly!$C$82:$BJ$82,D$3*12)</f>
        <v>5058.76869473028</v>
      </c>
      <c r="E7" s="69" t="n">
        <f aca="false">INDEX(Monthly!$C$82:$BJ$82,E$3*12)</f>
        <v>5341.71498723936</v>
      </c>
      <c r="F7" s="69" t="n">
        <f aca="false">INDEX(Monthly!$C$82:$BJ$82,F$3*12)</f>
        <v>5641.13872733224</v>
      </c>
    </row>
    <row r="8" customFormat="false" ht="15" hidden="false" customHeight="false" outlineLevel="0" collapsed="false">
      <c r="A8" s="6" t="s">
        <v>92</v>
      </c>
      <c r="B8" s="69" t="n">
        <f aca="false">INDEX(Monthly!$C$72:$BJ$72,B$3*12)</f>
        <v>165375</v>
      </c>
      <c r="C8" s="69" t="n">
        <f aca="false">INDEX(Monthly!$C$72:$BJ$72,C$3*12)</f>
        <v>150500</v>
      </c>
      <c r="D8" s="69" t="n">
        <f aca="false">INDEX(Monthly!$C$72:$BJ$72,D$3*12)</f>
        <v>134375</v>
      </c>
      <c r="E8" s="69" t="n">
        <f aca="false">INDEX(Monthly!$C$72:$BJ$72,E$3*12)</f>
        <v>117000</v>
      </c>
      <c r="F8" s="69" t="n">
        <f aca="false">INDEX(Monthly!$C$72:$BJ$72,F$3*12)</f>
        <v>98375</v>
      </c>
    </row>
    <row r="9" customFormat="false" ht="15" hidden="false" customHeight="false" outlineLevel="0" collapsed="false">
      <c r="A9" s="115" t="s">
        <v>93</v>
      </c>
      <c r="B9" s="70" t="n">
        <f aca="false">INDEX(Monthly!$C$109:$BJ$109,B$3*12)</f>
        <v>334560.602487111</v>
      </c>
      <c r="C9" s="70" t="n">
        <f aca="false">INDEX(Monthly!$C$109:$BJ$109,C$3*12)</f>
        <v>396170.957871644</v>
      </c>
      <c r="D9" s="70" t="n">
        <f aca="false">INDEX(Monthly!$C$109:$BJ$109,D$3*12)</f>
        <v>467496.153606175</v>
      </c>
      <c r="E9" s="70" t="n">
        <f aca="false">INDEX(Monthly!$C$109:$BJ$109,E$3*12)</f>
        <v>559290.13423473</v>
      </c>
      <c r="F9" s="70" t="n">
        <f aca="false">INDEX(Monthly!$C$109:$BJ$109,F$3*12)</f>
        <v>675436.080682157</v>
      </c>
    </row>
    <row r="10" customFormat="false" ht="15" hidden="false" customHeight="false" outlineLevel="0" collapsed="false">
      <c r="A10" s="6" t="s">
        <v>94</v>
      </c>
      <c r="B10" s="69" t="n">
        <f aca="false">INDEX(Monthly!$C$83:$BJ$83,B$3*12)</f>
        <v>18911.0844444444</v>
      </c>
      <c r="C10" s="69" t="n">
        <f aca="false">INDEX(Monthly!$C$83:$BJ$83,C$3*12)</f>
        <v>19964.0611537778</v>
      </c>
      <c r="D10" s="69" t="n">
        <f aca="false">INDEX(Monthly!$C$83:$BJ$83,D$3*12)</f>
        <v>21078.2028947095</v>
      </c>
      <c r="E10" s="69" t="n">
        <f aca="false">INDEX(Monthly!$C$83:$BJ$83,E$3*12)</f>
        <v>22257.145780164</v>
      </c>
      <c r="F10" s="69" t="n">
        <f aca="false">INDEX(Monthly!$C$83:$BJ$83,F$3*12)</f>
        <v>23504.7446972176</v>
      </c>
    </row>
    <row r="11" customFormat="false" ht="15" hidden="false" customHeight="false" outlineLevel="0" collapsed="false">
      <c r="A11" s="6" t="s">
        <v>95</v>
      </c>
      <c r="B11" s="69" t="n">
        <f aca="false">INDEX(Monthly!$C$78:$BJ$78,B$3*12)</f>
        <v>81666.6666666666</v>
      </c>
      <c r="C11" s="69" t="n">
        <f aca="false">INDEX(Monthly!$C$78:$BJ$78,C$3*12)</f>
        <v>61666.6666666666</v>
      </c>
      <c r="D11" s="69" t="n">
        <f aca="false">INDEX(Monthly!$C$78:$BJ$78,D$3*12)</f>
        <v>41666.6666666666</v>
      </c>
      <c r="E11" s="69" t="n">
        <f aca="false">INDEX(Monthly!$C$78:$BJ$78,E$3*12)</f>
        <v>21666.6666666666</v>
      </c>
      <c r="F11" s="69" t="n">
        <f aca="false">INDEX(Monthly!$C$78:$BJ$78,F$3*12)</f>
        <v>1666.66666666661</v>
      </c>
    </row>
    <row r="12" customFormat="false" ht="15" hidden="false" customHeight="false" outlineLevel="0" collapsed="false">
      <c r="A12" s="116" t="s">
        <v>96</v>
      </c>
      <c r="B12" s="117" t="n">
        <f aca="false">INDEX(Monthly!$C$110:$BJ$110,B$3*12)</f>
        <v>100577.751111111</v>
      </c>
      <c r="C12" s="117" t="n">
        <f aca="false">INDEX(Monthly!$C$110:$BJ$110,C$3*12)</f>
        <v>81630.7278204444</v>
      </c>
      <c r="D12" s="117" t="n">
        <f aca="false">INDEX(Monthly!$C$110:$BJ$110,D$3*12)</f>
        <v>62744.8695613761</v>
      </c>
      <c r="E12" s="117" t="n">
        <f aca="false">INDEX(Monthly!$C$110:$BJ$110,E$3*12)</f>
        <v>43923.8124468306</v>
      </c>
      <c r="F12" s="117" t="n">
        <f aca="false">INDEX(Monthly!$C$110:$BJ$110,F$3*12)</f>
        <v>25171.4113638843</v>
      </c>
    </row>
    <row r="13" customFormat="false" ht="15" hidden="false" customHeight="false" outlineLevel="0" collapsed="false">
      <c r="A13" s="6" t="s">
        <v>97</v>
      </c>
      <c r="B13" s="69" t="n">
        <f aca="false">INDEX(Monthly!$C$107:$BJ$107,B$3*12)</f>
        <v>330000</v>
      </c>
      <c r="C13" s="69" t="n">
        <f aca="false">INDEX(Monthly!$C$107:$BJ$107,C$3*12)</f>
        <v>330000</v>
      </c>
      <c r="D13" s="69" t="n">
        <f aca="false">INDEX(Monthly!$C$107:$BJ$107,D$3*12)</f>
        <v>330000</v>
      </c>
      <c r="E13" s="69" t="n">
        <f aca="false">INDEX(Monthly!$C$107:$BJ$107,E$3*12)</f>
        <v>330000</v>
      </c>
      <c r="F13" s="69" t="n">
        <f aca="false">INDEX(Monthly!$C$107:$BJ$107,F$3*12)</f>
        <v>330000</v>
      </c>
    </row>
    <row r="14" customFormat="false" ht="15" hidden="false" customHeight="false" outlineLevel="0" collapsed="false">
      <c r="A14" s="6" t="s">
        <v>98</v>
      </c>
      <c r="B14" s="69" t="n">
        <f aca="false">INDEX(Monthly!$C$108:$BJ$108,B$3*12)</f>
        <v>-96017.148624</v>
      </c>
      <c r="C14" s="69" t="n">
        <f aca="false">INDEX(Monthly!$C$108:$BJ$108,C$3*12)</f>
        <v>-15459.7699488</v>
      </c>
      <c r="D14" s="69" t="n">
        <f aca="false">INDEX(Monthly!$C$108:$BJ$108,D$3*12)</f>
        <v>74751.2840447985</v>
      </c>
      <c r="E14" s="69" t="n">
        <f aca="false">INDEX(Monthly!$C$108:$BJ$108,E$3*12)</f>
        <v>185366.321787899</v>
      </c>
      <c r="F14" s="69" t="n">
        <f aca="false">INDEX(Monthly!$C$108:$BJ$108,F$3*12)</f>
        <v>320264.669318272</v>
      </c>
    </row>
    <row r="15" customFormat="false" ht="15" hidden="false" customHeight="false" outlineLevel="0" collapsed="false">
      <c r="A15" s="116" t="s">
        <v>99</v>
      </c>
      <c r="B15" s="117" t="n">
        <f aca="false">INDEX(Monthly!$C$111:$BJ$111,B$3*12)</f>
        <v>233982.851376</v>
      </c>
      <c r="C15" s="117" t="n">
        <f aca="false">INDEX(Monthly!$C$111:$BJ$111,C$3*12)</f>
        <v>314540.2300512</v>
      </c>
      <c r="D15" s="117" t="n">
        <f aca="false">INDEX(Monthly!$C$111:$BJ$111,D$3*12)</f>
        <v>404751.284044798</v>
      </c>
      <c r="E15" s="117" t="n">
        <f aca="false">INDEX(Monthly!$C$111:$BJ$111,E$3*12)</f>
        <v>515366.321787899</v>
      </c>
      <c r="F15" s="117" t="n">
        <f aca="false">INDEX(Monthly!$C$111:$BJ$111,F$3*12)</f>
        <v>650264.669318272</v>
      </c>
    </row>
    <row r="16" customFormat="false" ht="15" hidden="false" customHeight="false" outlineLevel="0" collapsed="false">
      <c r="A16" s="72" t="s">
        <v>100</v>
      </c>
      <c r="B16" s="73" t="n">
        <f aca="false">INDEX(Monthly!$C$112:$BJ$112,B$3*12)</f>
        <v>334560.602487111</v>
      </c>
      <c r="C16" s="73" t="n">
        <f aca="false">INDEX(Monthly!$C$112:$BJ$112,C$3*12)</f>
        <v>396170.957871644</v>
      </c>
      <c r="D16" s="73" t="n">
        <f aca="false">INDEX(Monthly!$C$112:$BJ$112,D$3*12)</f>
        <v>467496.153606175</v>
      </c>
      <c r="E16" s="73" t="n">
        <f aca="false">INDEX(Monthly!$C$112:$BJ$112,E$3*12)</f>
        <v>559290.13423473</v>
      </c>
      <c r="F16" s="73" t="n">
        <f aca="false">INDEX(Monthly!$C$112:$BJ$112,F$3*12)</f>
        <v>675436.080682156</v>
      </c>
    </row>
    <row r="17" customFormat="false" ht="15" hidden="false" customHeight="false" outlineLevel="0" collapsed="false">
      <c r="A17" s="6" t="s">
        <v>348</v>
      </c>
      <c r="B17" s="69" t="n">
        <f aca="false">INDEX(Monthly!$C$113:$BJ$113,B$3*12)</f>
        <v>0</v>
      </c>
      <c r="C17" s="69" t="n">
        <f aca="false">INDEX(Monthly!$C$113:$BJ$113,C$3*12)</f>
        <v>0</v>
      </c>
      <c r="D17" s="69" t="n">
        <f aca="false">INDEX(Monthly!$C$113:$BJ$113,D$3*12)</f>
        <v>0</v>
      </c>
      <c r="E17" s="69" t="n">
        <f aca="false">INDEX(Monthly!$C$113:$BJ$113,E$3*12)</f>
        <v>0</v>
      </c>
      <c r="F17" s="69" t="n">
        <f aca="false">INDEX(Monthly!$C$113:$BJ$113,F$3*12)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349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350</v>
      </c>
    </row>
    <row r="3" customFormat="false" ht="15" hidden="false" customHeight="false" outlineLevel="0" collapsed="false">
      <c r="A3" s="33" t="s">
        <v>351</v>
      </c>
      <c r="C3" s="52" t="s">
        <v>352</v>
      </c>
      <c r="D3" s="52" t="s">
        <v>353</v>
      </c>
      <c r="E3" s="52" t="s">
        <v>354</v>
      </c>
      <c r="F3" s="52" t="s">
        <v>355</v>
      </c>
      <c r="G3" s="52" t="s">
        <v>356</v>
      </c>
      <c r="H3" s="52" t="s">
        <v>357</v>
      </c>
      <c r="I3" s="52" t="s">
        <v>358</v>
      </c>
      <c r="J3" s="52" t="s">
        <v>359</v>
      </c>
      <c r="K3" s="52" t="s">
        <v>360</v>
      </c>
      <c r="L3" s="52" t="s">
        <v>361</v>
      </c>
      <c r="M3" s="52" t="s">
        <v>362</v>
      </c>
      <c r="N3" s="52" t="s">
        <v>363</v>
      </c>
      <c r="O3" s="52" t="s">
        <v>364</v>
      </c>
      <c r="P3" s="52" t="s">
        <v>365</v>
      </c>
      <c r="Q3" s="52" t="s">
        <v>366</v>
      </c>
      <c r="R3" s="52" t="s">
        <v>367</v>
      </c>
      <c r="S3" s="52" t="s">
        <v>368</v>
      </c>
      <c r="T3" s="52" t="s">
        <v>369</v>
      </c>
      <c r="U3" s="52" t="s">
        <v>370</v>
      </c>
      <c r="V3" s="52" t="s">
        <v>371</v>
      </c>
      <c r="W3" s="52" t="s">
        <v>372</v>
      </c>
      <c r="X3" s="52" t="s">
        <v>373</v>
      </c>
      <c r="Y3" s="52" t="s">
        <v>374</v>
      </c>
      <c r="Z3" s="52" t="s">
        <v>375</v>
      </c>
      <c r="AA3" s="52" t="s">
        <v>376</v>
      </c>
      <c r="AB3" s="52" t="s">
        <v>377</v>
      </c>
      <c r="AC3" s="52" t="s">
        <v>378</v>
      </c>
      <c r="AD3" s="52" t="s">
        <v>379</v>
      </c>
      <c r="AE3" s="52" t="s">
        <v>380</v>
      </c>
      <c r="AF3" s="52" t="s">
        <v>381</v>
      </c>
      <c r="AG3" s="52" t="s">
        <v>382</v>
      </c>
      <c r="AH3" s="52" t="s">
        <v>383</v>
      </c>
      <c r="AI3" s="52" t="s">
        <v>384</v>
      </c>
      <c r="AJ3" s="52" t="s">
        <v>385</v>
      </c>
      <c r="AK3" s="52" t="s">
        <v>386</v>
      </c>
      <c r="AL3" s="52" t="s">
        <v>387</v>
      </c>
      <c r="AM3" s="52" t="s">
        <v>388</v>
      </c>
      <c r="AN3" s="52" t="s">
        <v>389</v>
      </c>
      <c r="AO3" s="52" t="s">
        <v>390</v>
      </c>
      <c r="AP3" s="52" t="s">
        <v>391</v>
      </c>
      <c r="AQ3" s="52" t="s">
        <v>392</v>
      </c>
      <c r="AR3" s="52" t="s">
        <v>393</v>
      </c>
      <c r="AS3" s="52" t="s">
        <v>394</v>
      </c>
      <c r="AT3" s="52" t="s">
        <v>395</v>
      </c>
      <c r="AU3" s="52" t="s">
        <v>396</v>
      </c>
      <c r="AV3" s="52" t="s">
        <v>397</v>
      </c>
      <c r="AW3" s="52" t="s">
        <v>398</v>
      </c>
      <c r="AX3" s="52" t="s">
        <v>399</v>
      </c>
      <c r="AY3" s="52" t="s">
        <v>400</v>
      </c>
      <c r="AZ3" s="52" t="s">
        <v>401</v>
      </c>
      <c r="BA3" s="52" t="s">
        <v>402</v>
      </c>
      <c r="BB3" s="52" t="s">
        <v>403</v>
      </c>
      <c r="BC3" s="52" t="s">
        <v>404</v>
      </c>
      <c r="BD3" s="52" t="s">
        <v>405</v>
      </c>
      <c r="BE3" s="52" t="s">
        <v>406</v>
      </c>
      <c r="BF3" s="52" t="s">
        <v>407</v>
      </c>
      <c r="BG3" s="52" t="s">
        <v>408</v>
      </c>
      <c r="BH3" s="52" t="s">
        <v>409</v>
      </c>
      <c r="BI3" s="52" t="s">
        <v>410</v>
      </c>
      <c r="BJ3" s="52" t="s">
        <v>411</v>
      </c>
    </row>
    <row r="4" customFormat="false" ht="15" hidden="false" customHeight="false" outlineLevel="0" collapsed="false">
      <c r="A4" s="74" t="s">
        <v>412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249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8" t="s">
        <v>413</v>
      </c>
      <c r="C8" s="119" t="n">
        <f aca="false">MAX(0,MIN(1,Inputs!$E$10-(C$4-1)*1))</f>
        <v>1</v>
      </c>
      <c r="D8" s="119" t="n">
        <f aca="false">MAX(0,MIN(1,Inputs!$E$10-(D$4-1)*1))</f>
        <v>1</v>
      </c>
      <c r="E8" s="119" t="n">
        <f aca="false">MAX(0,MIN(1,Inputs!$E$10-(E$4-1)*1))</f>
        <v>1</v>
      </c>
      <c r="F8" s="119" t="n">
        <f aca="false">MAX(0,MIN(1,Inputs!$E$10-(F$4-1)*1))</f>
        <v>1</v>
      </c>
      <c r="G8" s="119" t="n">
        <f aca="false">MAX(0,MIN(1,Inputs!$E$10-(G$4-1)*1))</f>
        <v>1</v>
      </c>
      <c r="H8" s="119" t="n">
        <f aca="false">MAX(0,MIN(1,Inputs!$E$10-(H$4-1)*1))</f>
        <v>1</v>
      </c>
      <c r="I8" s="119" t="n">
        <f aca="false">MAX(0,MIN(1,Inputs!$E$10-(I$4-1)*1))</f>
        <v>1</v>
      </c>
      <c r="J8" s="119" t="n">
        <f aca="false">MAX(0,MIN(1,Inputs!$E$10-(J$4-1)*1))</f>
        <v>1</v>
      </c>
      <c r="K8" s="119" t="n">
        <f aca="false">MAX(0,MIN(1,Inputs!$E$10-(K$4-1)*1))</f>
        <v>1</v>
      </c>
      <c r="L8" s="119" t="n">
        <f aca="false">MAX(0,MIN(1,Inputs!$E$10-(L$4-1)*1))</f>
        <v>1</v>
      </c>
      <c r="M8" s="119" t="n">
        <f aca="false">MAX(0,MIN(1,Inputs!$E$10-(M$4-1)*1))</f>
        <v>0</v>
      </c>
      <c r="N8" s="119" t="n">
        <f aca="false">MAX(0,MIN(1,Inputs!$E$10-(N$4-1)*1))</f>
        <v>0</v>
      </c>
      <c r="O8" s="119" t="n">
        <f aca="false">MAX(0,MIN(1,Inputs!$E$10-(O$4-1)*1))</f>
        <v>0</v>
      </c>
      <c r="P8" s="119" t="n">
        <f aca="false">MAX(0,MIN(1,Inputs!$E$10-(P$4-1)*1))</f>
        <v>0</v>
      </c>
      <c r="Q8" s="119" t="n">
        <f aca="false">MAX(0,MIN(1,Inputs!$E$10-(Q$4-1)*1))</f>
        <v>0</v>
      </c>
      <c r="R8" s="119" t="n">
        <f aca="false">MAX(0,MIN(1,Inputs!$E$10-(R$4-1)*1))</f>
        <v>0</v>
      </c>
      <c r="S8" s="119" t="n">
        <f aca="false">MAX(0,MIN(1,Inputs!$E$10-(S$4-1)*1))</f>
        <v>0</v>
      </c>
      <c r="T8" s="119" t="n">
        <f aca="false">MAX(0,MIN(1,Inputs!$E$10-(T$4-1)*1))</f>
        <v>0</v>
      </c>
      <c r="U8" s="119" t="n">
        <f aca="false">MAX(0,MIN(1,Inputs!$E$10-(U$4-1)*1))</f>
        <v>0</v>
      </c>
      <c r="V8" s="119" t="n">
        <f aca="false">MAX(0,MIN(1,Inputs!$E$10-(V$4-1)*1))</f>
        <v>0</v>
      </c>
      <c r="W8" s="119" t="n">
        <f aca="false">MAX(0,MIN(1,Inputs!$E$10-(W$4-1)*1))</f>
        <v>0</v>
      </c>
      <c r="X8" s="119" t="n">
        <f aca="false">MAX(0,MIN(1,Inputs!$E$10-(X$4-1)*1))</f>
        <v>0</v>
      </c>
      <c r="Y8" s="119" t="n">
        <f aca="false">MAX(0,MIN(1,Inputs!$E$10-(Y$4-1)*1))</f>
        <v>0</v>
      </c>
      <c r="Z8" s="119" t="n">
        <f aca="false">MAX(0,MIN(1,Inputs!$E$10-(Z$4-1)*1))</f>
        <v>0</v>
      </c>
      <c r="AA8" s="119" t="n">
        <f aca="false">MAX(0,MIN(1,Inputs!$E$10-(AA$4-1)*1))</f>
        <v>0</v>
      </c>
      <c r="AB8" s="119" t="n">
        <f aca="false">MAX(0,MIN(1,Inputs!$E$10-(AB$4-1)*1))</f>
        <v>0</v>
      </c>
      <c r="AC8" s="119" t="n">
        <f aca="false">MAX(0,MIN(1,Inputs!$E$10-(AC$4-1)*1))</f>
        <v>0</v>
      </c>
      <c r="AD8" s="119" t="n">
        <f aca="false">MAX(0,MIN(1,Inputs!$E$10-(AD$4-1)*1))</f>
        <v>0</v>
      </c>
      <c r="AE8" s="119" t="n">
        <f aca="false">MAX(0,MIN(1,Inputs!$E$10-(AE$4-1)*1))</f>
        <v>0</v>
      </c>
      <c r="AF8" s="119" t="n">
        <f aca="false">MAX(0,MIN(1,Inputs!$E$10-(AF$4-1)*1))</f>
        <v>0</v>
      </c>
      <c r="AG8" s="119" t="n">
        <f aca="false">MAX(0,MIN(1,Inputs!$E$10-(AG$4-1)*1))</f>
        <v>0</v>
      </c>
      <c r="AH8" s="119" t="n">
        <f aca="false">MAX(0,MIN(1,Inputs!$E$10-(AH$4-1)*1))</f>
        <v>0</v>
      </c>
      <c r="AI8" s="119" t="n">
        <f aca="false">MAX(0,MIN(1,Inputs!$E$10-(AI$4-1)*1))</f>
        <v>0</v>
      </c>
      <c r="AJ8" s="119" t="n">
        <f aca="false">MAX(0,MIN(1,Inputs!$E$10-(AJ$4-1)*1))</f>
        <v>0</v>
      </c>
      <c r="AK8" s="119" t="n">
        <f aca="false">MAX(0,MIN(1,Inputs!$E$10-(AK$4-1)*1))</f>
        <v>0</v>
      </c>
      <c r="AL8" s="119" t="n">
        <f aca="false">MAX(0,MIN(1,Inputs!$E$10-(AL$4-1)*1))</f>
        <v>0</v>
      </c>
      <c r="AM8" s="119" t="n">
        <f aca="false">MAX(0,MIN(1,Inputs!$E$10-(AM$4-1)*1))</f>
        <v>0</v>
      </c>
      <c r="AN8" s="119" t="n">
        <f aca="false">MAX(0,MIN(1,Inputs!$E$10-(AN$4-1)*1))</f>
        <v>0</v>
      </c>
      <c r="AO8" s="119" t="n">
        <f aca="false">MAX(0,MIN(1,Inputs!$E$10-(AO$4-1)*1))</f>
        <v>0</v>
      </c>
      <c r="AP8" s="119" t="n">
        <f aca="false">MAX(0,MIN(1,Inputs!$E$10-(AP$4-1)*1))</f>
        <v>0</v>
      </c>
      <c r="AQ8" s="119" t="n">
        <f aca="false">MAX(0,MIN(1,Inputs!$E$10-(AQ$4-1)*1))</f>
        <v>0</v>
      </c>
      <c r="AR8" s="119" t="n">
        <f aca="false">MAX(0,MIN(1,Inputs!$E$10-(AR$4-1)*1))</f>
        <v>0</v>
      </c>
      <c r="AS8" s="119" t="n">
        <f aca="false">MAX(0,MIN(1,Inputs!$E$10-(AS$4-1)*1))</f>
        <v>0</v>
      </c>
      <c r="AT8" s="119" t="n">
        <f aca="false">MAX(0,MIN(1,Inputs!$E$10-(AT$4-1)*1))</f>
        <v>0</v>
      </c>
      <c r="AU8" s="119" t="n">
        <f aca="false">MAX(0,MIN(1,Inputs!$E$10-(AU$4-1)*1))</f>
        <v>0</v>
      </c>
      <c r="AV8" s="119" t="n">
        <f aca="false">MAX(0,MIN(1,Inputs!$E$10-(AV$4-1)*1))</f>
        <v>0</v>
      </c>
      <c r="AW8" s="119" t="n">
        <f aca="false">MAX(0,MIN(1,Inputs!$E$10-(AW$4-1)*1))</f>
        <v>0</v>
      </c>
      <c r="AX8" s="119" t="n">
        <f aca="false">MAX(0,MIN(1,Inputs!$E$10-(AX$4-1)*1))</f>
        <v>0</v>
      </c>
      <c r="AY8" s="119" t="n">
        <f aca="false">MAX(0,MIN(1,Inputs!$E$10-(AY$4-1)*1))</f>
        <v>0</v>
      </c>
      <c r="AZ8" s="119" t="n">
        <f aca="false">MAX(0,MIN(1,Inputs!$E$10-(AZ$4-1)*1))</f>
        <v>0</v>
      </c>
      <c r="BA8" s="119" t="n">
        <f aca="false">MAX(0,MIN(1,Inputs!$E$10-(BA$4-1)*1))</f>
        <v>0</v>
      </c>
      <c r="BB8" s="119" t="n">
        <f aca="false">MAX(0,MIN(1,Inputs!$E$10-(BB$4-1)*1))</f>
        <v>0</v>
      </c>
      <c r="BC8" s="119" t="n">
        <f aca="false">MAX(0,MIN(1,Inputs!$E$10-(BC$4-1)*1))</f>
        <v>0</v>
      </c>
      <c r="BD8" s="119" t="n">
        <f aca="false">MAX(0,MIN(1,Inputs!$E$10-(BD$4-1)*1))</f>
        <v>0</v>
      </c>
      <c r="BE8" s="119" t="n">
        <f aca="false">MAX(0,MIN(1,Inputs!$E$10-(BE$4-1)*1))</f>
        <v>0</v>
      </c>
      <c r="BF8" s="119" t="n">
        <f aca="false">MAX(0,MIN(1,Inputs!$E$10-(BF$4-1)*1))</f>
        <v>0</v>
      </c>
      <c r="BG8" s="119" t="n">
        <f aca="false">MAX(0,MIN(1,Inputs!$E$10-(BG$4-1)*1))</f>
        <v>0</v>
      </c>
      <c r="BH8" s="119" t="n">
        <f aca="false">MAX(0,MIN(1,Inputs!$E$10-(BH$4-1)*1))</f>
        <v>0</v>
      </c>
      <c r="BI8" s="119" t="n">
        <f aca="false">MAX(0,MIN(1,Inputs!$E$10-(BI$4-1)*1))</f>
        <v>0</v>
      </c>
      <c r="BJ8" s="119" t="n">
        <f aca="false">MAX(0,MIN(1,Inputs!$E$10-(BJ$4-1)*1))</f>
        <v>0</v>
      </c>
    </row>
    <row r="9" customFormat="false" ht="15" hidden="false" customHeight="false" outlineLevel="0" collapsed="false">
      <c r="A9" s="38" t="s">
        <v>414</v>
      </c>
      <c r="C9" s="76" t="n">
        <f aca="false">IF(Inputs!$E$10&lt;=0,1,(C8*Inputs!$E$11+(1-Inputs!$E$11)/MAX(1,Inputs!$E$10)*(C8*(C$4-1)*1+C8*(C8-1)/2)+1-C8)/1)</f>
        <v>0.4</v>
      </c>
      <c r="D9" s="76" t="n">
        <f aca="false">IF(Inputs!$E$10&lt;=0,1,(D8*Inputs!$E$11+(1-Inputs!$E$11)/MAX(1,Inputs!$E$10)*(D8*(D$4-1)*1+D8*(D8-1)/2)+1-D8)/1)</f>
        <v>0.46</v>
      </c>
      <c r="E9" s="76" t="n">
        <f aca="false">IF(Inputs!$E$10&lt;=0,1,(E8*Inputs!$E$11+(1-Inputs!$E$11)/MAX(1,Inputs!$E$10)*(E8*(E$4-1)*1+E8*(E8-1)/2)+1-E8)/1)</f>
        <v>0.52</v>
      </c>
      <c r="F9" s="76" t="n">
        <f aca="false">IF(Inputs!$E$10&lt;=0,1,(F8*Inputs!$E$11+(1-Inputs!$E$11)/MAX(1,Inputs!$E$10)*(F8*(F$4-1)*1+F8*(F8-1)/2)+1-F8)/1)</f>
        <v>0.58</v>
      </c>
      <c r="G9" s="76" t="n">
        <f aca="false">IF(Inputs!$E$10&lt;=0,1,(G8*Inputs!$E$11+(1-Inputs!$E$11)/MAX(1,Inputs!$E$10)*(G8*(G$4-1)*1+G8*(G8-1)/2)+1-G8)/1)</f>
        <v>0.64</v>
      </c>
      <c r="H9" s="76" t="n">
        <f aca="false">IF(Inputs!$E$10&lt;=0,1,(H8*Inputs!$E$11+(1-Inputs!$E$11)/MAX(1,Inputs!$E$10)*(H8*(H$4-1)*1+H8*(H8-1)/2)+1-H8)/1)</f>
        <v>0.7</v>
      </c>
      <c r="I9" s="76" t="n">
        <f aca="false">IF(Inputs!$E$10&lt;=0,1,(I8*Inputs!$E$11+(1-Inputs!$E$11)/MAX(1,Inputs!$E$10)*(I8*(I$4-1)*1+I8*(I8-1)/2)+1-I8)/1)</f>
        <v>0.76</v>
      </c>
      <c r="J9" s="76" t="n">
        <f aca="false">IF(Inputs!$E$10&lt;=0,1,(J8*Inputs!$E$11+(1-Inputs!$E$11)/MAX(1,Inputs!$E$10)*(J8*(J$4-1)*1+J8*(J8-1)/2)+1-J8)/1)</f>
        <v>0.82</v>
      </c>
      <c r="K9" s="76" t="n">
        <f aca="false">IF(Inputs!$E$10&lt;=0,1,(K8*Inputs!$E$11+(1-Inputs!$E$11)/MAX(1,Inputs!$E$10)*(K8*(K$4-1)*1+K8*(K8-1)/2)+1-K8)/1)</f>
        <v>0.88</v>
      </c>
      <c r="L9" s="76" t="n">
        <f aca="false">IF(Inputs!$E$10&lt;=0,1,(L8*Inputs!$E$11+(1-Inputs!$E$11)/MAX(1,Inputs!$E$10)*(L8*(L$4-1)*1+L8*(L8-1)/2)+1-L8)/1)</f>
        <v>0.94</v>
      </c>
      <c r="M9" s="76" t="n">
        <f aca="false">IF(Inputs!$E$10&lt;=0,1,(M8*Inputs!$E$11+(1-Inputs!$E$11)/MAX(1,Inputs!$E$10)*(M8*(M$4-1)*1+M8*(M8-1)/2)+1-M8)/1)</f>
        <v>1</v>
      </c>
      <c r="N9" s="76" t="n">
        <f aca="false">IF(Inputs!$E$10&lt;=0,1,(N8*Inputs!$E$11+(1-Inputs!$E$11)/MAX(1,Inputs!$E$10)*(N8*(N$4-1)*1+N8*(N8-1)/2)+1-N8)/1)</f>
        <v>1</v>
      </c>
      <c r="O9" s="76" t="n">
        <f aca="false">IF(Inputs!$E$10&lt;=0,1,(O8*Inputs!$E$11+(1-Inputs!$E$11)/MAX(1,Inputs!$E$10)*(O8*(O$4-1)*1+O8*(O8-1)/2)+1-O8)/1)</f>
        <v>1</v>
      </c>
      <c r="P9" s="76" t="n">
        <f aca="false">IF(Inputs!$E$10&lt;=0,1,(P8*Inputs!$E$11+(1-Inputs!$E$11)/MAX(1,Inputs!$E$10)*(P8*(P$4-1)*1+P8*(P8-1)/2)+1-P8)/1)</f>
        <v>1</v>
      </c>
      <c r="Q9" s="76" t="n">
        <f aca="false">IF(Inputs!$E$10&lt;=0,1,(Q8*Inputs!$E$11+(1-Inputs!$E$11)/MAX(1,Inputs!$E$10)*(Q8*(Q$4-1)*1+Q8*(Q8-1)/2)+1-Q8)/1)</f>
        <v>1</v>
      </c>
      <c r="R9" s="76" t="n">
        <f aca="false">IF(Inputs!$E$10&lt;=0,1,(R8*Inputs!$E$11+(1-Inputs!$E$11)/MAX(1,Inputs!$E$10)*(R8*(R$4-1)*1+R8*(R8-1)/2)+1-R8)/1)</f>
        <v>1</v>
      </c>
      <c r="S9" s="76" t="n">
        <f aca="false">IF(Inputs!$E$10&lt;=0,1,(S8*Inputs!$E$11+(1-Inputs!$E$11)/MAX(1,Inputs!$E$10)*(S8*(S$4-1)*1+S8*(S8-1)/2)+1-S8)/1)</f>
        <v>1</v>
      </c>
      <c r="T9" s="76" t="n">
        <f aca="false">IF(Inputs!$E$10&lt;=0,1,(T8*Inputs!$E$11+(1-Inputs!$E$11)/MAX(1,Inputs!$E$10)*(T8*(T$4-1)*1+T8*(T8-1)/2)+1-T8)/1)</f>
        <v>1</v>
      </c>
      <c r="U9" s="76" t="n">
        <f aca="false">IF(Inputs!$E$10&lt;=0,1,(U8*Inputs!$E$11+(1-Inputs!$E$11)/MAX(1,Inputs!$E$10)*(U8*(U$4-1)*1+U8*(U8-1)/2)+1-U8)/1)</f>
        <v>1</v>
      </c>
      <c r="V9" s="76" t="n">
        <f aca="false">IF(Inputs!$E$10&lt;=0,1,(V8*Inputs!$E$11+(1-Inputs!$E$11)/MAX(1,Inputs!$E$10)*(V8*(V$4-1)*1+V8*(V8-1)/2)+1-V8)/1)</f>
        <v>1</v>
      </c>
      <c r="W9" s="76" t="n">
        <f aca="false">IF(Inputs!$E$10&lt;=0,1,(W8*Inputs!$E$11+(1-Inputs!$E$11)/MAX(1,Inputs!$E$10)*(W8*(W$4-1)*1+W8*(W8-1)/2)+1-W8)/1)</f>
        <v>1</v>
      </c>
      <c r="X9" s="76" t="n">
        <f aca="false">IF(Inputs!$E$10&lt;=0,1,(X8*Inputs!$E$11+(1-Inputs!$E$11)/MAX(1,Inputs!$E$10)*(X8*(X$4-1)*1+X8*(X8-1)/2)+1-X8)/1)</f>
        <v>1</v>
      </c>
      <c r="Y9" s="76" t="n">
        <f aca="false">IF(Inputs!$E$10&lt;=0,1,(Y8*Inputs!$E$11+(1-Inputs!$E$11)/MAX(1,Inputs!$E$10)*(Y8*(Y$4-1)*1+Y8*(Y8-1)/2)+1-Y8)/1)</f>
        <v>1</v>
      </c>
      <c r="Z9" s="76" t="n">
        <f aca="false">IF(Inputs!$E$10&lt;=0,1,(Z8*Inputs!$E$11+(1-Inputs!$E$11)/MAX(1,Inputs!$E$10)*(Z8*(Z$4-1)*1+Z8*(Z8-1)/2)+1-Z8)/1)</f>
        <v>1</v>
      </c>
      <c r="AA9" s="76" t="n">
        <f aca="false">IF(Inputs!$E$10&lt;=0,1,(AA8*Inputs!$E$11+(1-Inputs!$E$11)/MAX(1,Inputs!$E$10)*(AA8*(AA$4-1)*1+AA8*(AA8-1)/2)+1-AA8)/1)</f>
        <v>1</v>
      </c>
      <c r="AB9" s="76" t="n">
        <f aca="false">IF(Inputs!$E$10&lt;=0,1,(AB8*Inputs!$E$11+(1-Inputs!$E$11)/MAX(1,Inputs!$E$10)*(AB8*(AB$4-1)*1+AB8*(AB8-1)/2)+1-AB8)/1)</f>
        <v>1</v>
      </c>
      <c r="AC9" s="76" t="n">
        <f aca="false">IF(Inputs!$E$10&lt;=0,1,(AC8*Inputs!$E$11+(1-Inputs!$E$11)/MAX(1,Inputs!$E$10)*(AC8*(AC$4-1)*1+AC8*(AC8-1)/2)+1-AC8)/1)</f>
        <v>1</v>
      </c>
      <c r="AD9" s="76" t="n">
        <f aca="false">IF(Inputs!$E$10&lt;=0,1,(AD8*Inputs!$E$11+(1-Inputs!$E$11)/MAX(1,Inputs!$E$10)*(AD8*(AD$4-1)*1+AD8*(AD8-1)/2)+1-AD8)/1)</f>
        <v>1</v>
      </c>
      <c r="AE9" s="76" t="n">
        <f aca="false">IF(Inputs!$E$10&lt;=0,1,(AE8*Inputs!$E$11+(1-Inputs!$E$11)/MAX(1,Inputs!$E$10)*(AE8*(AE$4-1)*1+AE8*(AE8-1)/2)+1-AE8)/1)</f>
        <v>1</v>
      </c>
      <c r="AF9" s="76" t="n">
        <f aca="false">IF(Inputs!$E$10&lt;=0,1,(AF8*Inputs!$E$11+(1-Inputs!$E$11)/MAX(1,Inputs!$E$10)*(AF8*(AF$4-1)*1+AF8*(AF8-1)/2)+1-AF8)/1)</f>
        <v>1</v>
      </c>
      <c r="AG9" s="76" t="n">
        <f aca="false">IF(Inputs!$E$10&lt;=0,1,(AG8*Inputs!$E$11+(1-Inputs!$E$11)/MAX(1,Inputs!$E$10)*(AG8*(AG$4-1)*1+AG8*(AG8-1)/2)+1-AG8)/1)</f>
        <v>1</v>
      </c>
      <c r="AH9" s="76" t="n">
        <f aca="false">IF(Inputs!$E$10&lt;=0,1,(AH8*Inputs!$E$11+(1-Inputs!$E$11)/MAX(1,Inputs!$E$10)*(AH8*(AH$4-1)*1+AH8*(AH8-1)/2)+1-AH8)/1)</f>
        <v>1</v>
      </c>
      <c r="AI9" s="76" t="n">
        <f aca="false">IF(Inputs!$E$10&lt;=0,1,(AI8*Inputs!$E$11+(1-Inputs!$E$11)/MAX(1,Inputs!$E$10)*(AI8*(AI$4-1)*1+AI8*(AI8-1)/2)+1-AI8)/1)</f>
        <v>1</v>
      </c>
      <c r="AJ9" s="76" t="n">
        <f aca="false">IF(Inputs!$E$10&lt;=0,1,(AJ8*Inputs!$E$11+(1-Inputs!$E$11)/MAX(1,Inputs!$E$10)*(AJ8*(AJ$4-1)*1+AJ8*(AJ8-1)/2)+1-AJ8)/1)</f>
        <v>1</v>
      </c>
      <c r="AK9" s="76" t="n">
        <f aca="false">IF(Inputs!$E$10&lt;=0,1,(AK8*Inputs!$E$11+(1-Inputs!$E$11)/MAX(1,Inputs!$E$10)*(AK8*(AK$4-1)*1+AK8*(AK8-1)/2)+1-AK8)/1)</f>
        <v>1</v>
      </c>
      <c r="AL9" s="76" t="n">
        <f aca="false">IF(Inputs!$E$10&lt;=0,1,(AL8*Inputs!$E$11+(1-Inputs!$E$11)/MAX(1,Inputs!$E$10)*(AL8*(AL$4-1)*1+AL8*(AL8-1)/2)+1-AL8)/1)</f>
        <v>1</v>
      </c>
      <c r="AM9" s="76" t="n">
        <f aca="false">IF(Inputs!$E$10&lt;=0,1,(AM8*Inputs!$E$11+(1-Inputs!$E$11)/MAX(1,Inputs!$E$10)*(AM8*(AM$4-1)*1+AM8*(AM8-1)/2)+1-AM8)/1)</f>
        <v>1</v>
      </c>
      <c r="AN9" s="76" t="n">
        <f aca="false">IF(Inputs!$E$10&lt;=0,1,(AN8*Inputs!$E$11+(1-Inputs!$E$11)/MAX(1,Inputs!$E$10)*(AN8*(AN$4-1)*1+AN8*(AN8-1)/2)+1-AN8)/1)</f>
        <v>1</v>
      </c>
      <c r="AO9" s="76" t="n">
        <f aca="false">IF(Inputs!$E$10&lt;=0,1,(AO8*Inputs!$E$11+(1-Inputs!$E$11)/MAX(1,Inputs!$E$10)*(AO8*(AO$4-1)*1+AO8*(AO8-1)/2)+1-AO8)/1)</f>
        <v>1</v>
      </c>
      <c r="AP9" s="76" t="n">
        <f aca="false">IF(Inputs!$E$10&lt;=0,1,(AP8*Inputs!$E$11+(1-Inputs!$E$11)/MAX(1,Inputs!$E$10)*(AP8*(AP$4-1)*1+AP8*(AP8-1)/2)+1-AP8)/1)</f>
        <v>1</v>
      </c>
      <c r="AQ9" s="76" t="n">
        <f aca="false">IF(Inputs!$E$10&lt;=0,1,(AQ8*Inputs!$E$11+(1-Inputs!$E$11)/MAX(1,Inputs!$E$10)*(AQ8*(AQ$4-1)*1+AQ8*(AQ8-1)/2)+1-AQ8)/1)</f>
        <v>1</v>
      </c>
      <c r="AR9" s="76" t="n">
        <f aca="false">IF(Inputs!$E$10&lt;=0,1,(AR8*Inputs!$E$11+(1-Inputs!$E$11)/MAX(1,Inputs!$E$10)*(AR8*(AR$4-1)*1+AR8*(AR8-1)/2)+1-AR8)/1)</f>
        <v>1</v>
      </c>
      <c r="AS9" s="76" t="n">
        <f aca="false">IF(Inputs!$E$10&lt;=0,1,(AS8*Inputs!$E$11+(1-Inputs!$E$11)/MAX(1,Inputs!$E$10)*(AS8*(AS$4-1)*1+AS8*(AS8-1)/2)+1-AS8)/1)</f>
        <v>1</v>
      </c>
      <c r="AT9" s="76" t="n">
        <f aca="false">IF(Inputs!$E$10&lt;=0,1,(AT8*Inputs!$E$11+(1-Inputs!$E$11)/MAX(1,Inputs!$E$10)*(AT8*(AT$4-1)*1+AT8*(AT8-1)/2)+1-AT8)/1)</f>
        <v>1</v>
      </c>
      <c r="AU9" s="76" t="n">
        <f aca="false">IF(Inputs!$E$10&lt;=0,1,(AU8*Inputs!$E$11+(1-Inputs!$E$11)/MAX(1,Inputs!$E$10)*(AU8*(AU$4-1)*1+AU8*(AU8-1)/2)+1-AU8)/1)</f>
        <v>1</v>
      </c>
      <c r="AV9" s="76" t="n">
        <f aca="false">IF(Inputs!$E$10&lt;=0,1,(AV8*Inputs!$E$11+(1-Inputs!$E$11)/MAX(1,Inputs!$E$10)*(AV8*(AV$4-1)*1+AV8*(AV8-1)/2)+1-AV8)/1)</f>
        <v>1</v>
      </c>
      <c r="AW9" s="76" t="n">
        <f aca="false">IF(Inputs!$E$10&lt;=0,1,(AW8*Inputs!$E$11+(1-Inputs!$E$11)/MAX(1,Inputs!$E$10)*(AW8*(AW$4-1)*1+AW8*(AW8-1)/2)+1-AW8)/1)</f>
        <v>1</v>
      </c>
      <c r="AX9" s="76" t="n">
        <f aca="false">IF(Inputs!$E$10&lt;=0,1,(AX8*Inputs!$E$11+(1-Inputs!$E$11)/MAX(1,Inputs!$E$10)*(AX8*(AX$4-1)*1+AX8*(AX8-1)/2)+1-AX8)/1)</f>
        <v>1</v>
      </c>
      <c r="AY9" s="76" t="n">
        <f aca="false">IF(Inputs!$E$10&lt;=0,1,(AY8*Inputs!$E$11+(1-Inputs!$E$11)/MAX(1,Inputs!$E$10)*(AY8*(AY$4-1)*1+AY8*(AY8-1)/2)+1-AY8)/1)</f>
        <v>1</v>
      </c>
      <c r="AZ9" s="76" t="n">
        <f aca="false">IF(Inputs!$E$10&lt;=0,1,(AZ8*Inputs!$E$11+(1-Inputs!$E$11)/MAX(1,Inputs!$E$10)*(AZ8*(AZ$4-1)*1+AZ8*(AZ8-1)/2)+1-AZ8)/1)</f>
        <v>1</v>
      </c>
      <c r="BA9" s="76" t="n">
        <f aca="false">IF(Inputs!$E$10&lt;=0,1,(BA8*Inputs!$E$11+(1-Inputs!$E$11)/MAX(1,Inputs!$E$10)*(BA8*(BA$4-1)*1+BA8*(BA8-1)/2)+1-BA8)/1)</f>
        <v>1</v>
      </c>
      <c r="BB9" s="76" t="n">
        <f aca="false">IF(Inputs!$E$10&lt;=0,1,(BB8*Inputs!$E$11+(1-Inputs!$E$11)/MAX(1,Inputs!$E$10)*(BB8*(BB$4-1)*1+BB8*(BB8-1)/2)+1-BB8)/1)</f>
        <v>1</v>
      </c>
      <c r="BC9" s="76" t="n">
        <f aca="false">IF(Inputs!$E$10&lt;=0,1,(BC8*Inputs!$E$11+(1-Inputs!$E$11)/MAX(1,Inputs!$E$10)*(BC8*(BC$4-1)*1+BC8*(BC8-1)/2)+1-BC8)/1)</f>
        <v>1</v>
      </c>
      <c r="BD9" s="76" t="n">
        <f aca="false">IF(Inputs!$E$10&lt;=0,1,(BD8*Inputs!$E$11+(1-Inputs!$E$11)/MAX(1,Inputs!$E$10)*(BD8*(BD$4-1)*1+BD8*(BD8-1)/2)+1-BD8)/1)</f>
        <v>1</v>
      </c>
      <c r="BE9" s="76" t="n">
        <f aca="false">IF(Inputs!$E$10&lt;=0,1,(BE8*Inputs!$E$11+(1-Inputs!$E$11)/MAX(1,Inputs!$E$10)*(BE8*(BE$4-1)*1+BE8*(BE8-1)/2)+1-BE8)/1)</f>
        <v>1</v>
      </c>
      <c r="BF9" s="76" t="n">
        <f aca="false">IF(Inputs!$E$10&lt;=0,1,(BF8*Inputs!$E$11+(1-Inputs!$E$11)/MAX(1,Inputs!$E$10)*(BF8*(BF$4-1)*1+BF8*(BF8-1)/2)+1-BF8)/1)</f>
        <v>1</v>
      </c>
      <c r="BG9" s="76" t="n">
        <f aca="false">IF(Inputs!$E$10&lt;=0,1,(BG8*Inputs!$E$11+(1-Inputs!$E$11)/MAX(1,Inputs!$E$10)*(BG8*(BG$4-1)*1+BG8*(BG8-1)/2)+1-BG8)/1)</f>
        <v>1</v>
      </c>
      <c r="BH9" s="76" t="n">
        <f aca="false">IF(Inputs!$E$10&lt;=0,1,(BH8*Inputs!$E$11+(1-Inputs!$E$11)/MAX(1,Inputs!$E$10)*(BH8*(BH$4-1)*1+BH8*(BH8-1)/2)+1-BH8)/1)</f>
        <v>1</v>
      </c>
      <c r="BI9" s="76" t="n">
        <f aca="false">IF(Inputs!$E$10&lt;=0,1,(BI8*Inputs!$E$11+(1-Inputs!$E$11)/MAX(1,Inputs!$E$10)*(BI8*(BI$4-1)*1+BI8*(BI8-1)/2)+1-BI8)/1)</f>
        <v>1</v>
      </c>
      <c r="BJ9" s="76" t="n">
        <f aca="false">IF(Inputs!$E$10&lt;=0,1,(BJ8*Inputs!$E$11+(1-Inputs!$E$11)/MAX(1,Inputs!$E$10)*(BJ8*(BJ$4-1)*1+BJ8*(BJ8-1)/2)+1-BJ8)/1)</f>
        <v>1</v>
      </c>
    </row>
    <row r="10" customFormat="false" ht="15" hidden="false" customHeight="false" outlineLevel="0" collapsed="false">
      <c r="A10" s="6" t="s">
        <v>415</v>
      </c>
      <c r="C10" s="120" t="n">
        <f aca="false">Inputs!$E$7*(1+Inputs!$E$8)^(C$5-1)*Inputs!$E$9*1*C9</f>
        <v>166.4</v>
      </c>
      <c r="D10" s="120" t="n">
        <f aca="false">Inputs!$E$7*(1+Inputs!$E$8)^(D$5-1)*Inputs!$E$9*1*D9</f>
        <v>191.36</v>
      </c>
      <c r="E10" s="120" t="n">
        <f aca="false">Inputs!$E$7*(1+Inputs!$E$8)^(E$5-1)*Inputs!$E$9*1*E9</f>
        <v>216.32</v>
      </c>
      <c r="F10" s="120" t="n">
        <f aca="false">Inputs!$E$7*(1+Inputs!$E$8)^(F$5-1)*Inputs!$E$9*1*F9</f>
        <v>241.28</v>
      </c>
      <c r="G10" s="120" t="n">
        <f aca="false">Inputs!$E$7*(1+Inputs!$E$8)^(G$5-1)*Inputs!$E$9*1*G9</f>
        <v>266.24</v>
      </c>
      <c r="H10" s="120" t="n">
        <f aca="false">Inputs!$E$7*(1+Inputs!$E$8)^(H$5-1)*Inputs!$E$9*1*H9</f>
        <v>291.2</v>
      </c>
      <c r="I10" s="120" t="n">
        <f aca="false">Inputs!$E$7*(1+Inputs!$E$8)^(I$5-1)*Inputs!$E$9*1*I9</f>
        <v>316.16</v>
      </c>
      <c r="J10" s="120" t="n">
        <f aca="false">Inputs!$E$7*(1+Inputs!$E$8)^(J$5-1)*Inputs!$E$9*1*J9</f>
        <v>341.12</v>
      </c>
      <c r="K10" s="120" t="n">
        <f aca="false">Inputs!$E$7*(1+Inputs!$E$8)^(K$5-1)*Inputs!$E$9*1*K9</f>
        <v>366.08</v>
      </c>
      <c r="L10" s="120" t="n">
        <f aca="false">Inputs!$E$7*(1+Inputs!$E$8)^(L$5-1)*Inputs!$E$9*1*L9</f>
        <v>391.04</v>
      </c>
      <c r="M10" s="120" t="n">
        <f aca="false">Inputs!$E$7*(1+Inputs!$E$8)^(M$5-1)*Inputs!$E$9*1*M9</f>
        <v>416</v>
      </c>
      <c r="N10" s="120" t="n">
        <f aca="false">Inputs!$E$7*(1+Inputs!$E$8)^(N$5-1)*Inputs!$E$9*1*N9</f>
        <v>416</v>
      </c>
      <c r="O10" s="120" t="n">
        <f aca="false">Inputs!$E$7*(1+Inputs!$E$8)^(O$5-1)*Inputs!$E$9*1*O9</f>
        <v>428.48</v>
      </c>
      <c r="P10" s="120" t="n">
        <f aca="false">Inputs!$E$7*(1+Inputs!$E$8)^(P$5-1)*Inputs!$E$9*1*P9</f>
        <v>428.48</v>
      </c>
      <c r="Q10" s="120" t="n">
        <f aca="false">Inputs!$E$7*(1+Inputs!$E$8)^(Q$5-1)*Inputs!$E$9*1*Q9</f>
        <v>428.48</v>
      </c>
      <c r="R10" s="120" t="n">
        <f aca="false">Inputs!$E$7*(1+Inputs!$E$8)^(R$5-1)*Inputs!$E$9*1*R9</f>
        <v>428.48</v>
      </c>
      <c r="S10" s="120" t="n">
        <f aca="false">Inputs!$E$7*(1+Inputs!$E$8)^(S$5-1)*Inputs!$E$9*1*S9</f>
        <v>428.48</v>
      </c>
      <c r="T10" s="120" t="n">
        <f aca="false">Inputs!$E$7*(1+Inputs!$E$8)^(T$5-1)*Inputs!$E$9*1*T9</f>
        <v>428.48</v>
      </c>
      <c r="U10" s="120" t="n">
        <f aca="false">Inputs!$E$7*(1+Inputs!$E$8)^(U$5-1)*Inputs!$E$9*1*U9</f>
        <v>428.48</v>
      </c>
      <c r="V10" s="120" t="n">
        <f aca="false">Inputs!$E$7*(1+Inputs!$E$8)^(V$5-1)*Inputs!$E$9*1*V9</f>
        <v>428.48</v>
      </c>
      <c r="W10" s="120" t="n">
        <f aca="false">Inputs!$E$7*(1+Inputs!$E$8)^(W$5-1)*Inputs!$E$9*1*W9</f>
        <v>428.48</v>
      </c>
      <c r="X10" s="120" t="n">
        <f aca="false">Inputs!$E$7*(1+Inputs!$E$8)^(X$5-1)*Inputs!$E$9*1*X9</f>
        <v>428.48</v>
      </c>
      <c r="Y10" s="120" t="n">
        <f aca="false">Inputs!$E$7*(1+Inputs!$E$8)^(Y$5-1)*Inputs!$E$9*1*Y9</f>
        <v>428.48</v>
      </c>
      <c r="Z10" s="120" t="n">
        <f aca="false">Inputs!$E$7*(1+Inputs!$E$8)^(Z$5-1)*Inputs!$E$9*1*Z9</f>
        <v>428.48</v>
      </c>
      <c r="AA10" s="120" t="n">
        <f aca="false">Inputs!$E$7*(1+Inputs!$E$8)^(AA$5-1)*Inputs!$E$9*1*AA9</f>
        <v>441.3344</v>
      </c>
      <c r="AB10" s="120" t="n">
        <f aca="false">Inputs!$E$7*(1+Inputs!$E$8)^(AB$5-1)*Inputs!$E$9*1*AB9</f>
        <v>441.3344</v>
      </c>
      <c r="AC10" s="120" t="n">
        <f aca="false">Inputs!$E$7*(1+Inputs!$E$8)^(AC$5-1)*Inputs!$E$9*1*AC9</f>
        <v>441.3344</v>
      </c>
      <c r="AD10" s="120" t="n">
        <f aca="false">Inputs!$E$7*(1+Inputs!$E$8)^(AD$5-1)*Inputs!$E$9*1*AD9</f>
        <v>441.3344</v>
      </c>
      <c r="AE10" s="120" t="n">
        <f aca="false">Inputs!$E$7*(1+Inputs!$E$8)^(AE$5-1)*Inputs!$E$9*1*AE9</f>
        <v>441.3344</v>
      </c>
      <c r="AF10" s="120" t="n">
        <f aca="false">Inputs!$E$7*(1+Inputs!$E$8)^(AF$5-1)*Inputs!$E$9*1*AF9</f>
        <v>441.3344</v>
      </c>
      <c r="AG10" s="120" t="n">
        <f aca="false">Inputs!$E$7*(1+Inputs!$E$8)^(AG$5-1)*Inputs!$E$9*1*AG9</f>
        <v>441.3344</v>
      </c>
      <c r="AH10" s="120" t="n">
        <f aca="false">Inputs!$E$7*(1+Inputs!$E$8)^(AH$5-1)*Inputs!$E$9*1*AH9</f>
        <v>441.3344</v>
      </c>
      <c r="AI10" s="120" t="n">
        <f aca="false">Inputs!$E$7*(1+Inputs!$E$8)^(AI$5-1)*Inputs!$E$9*1*AI9</f>
        <v>441.3344</v>
      </c>
      <c r="AJ10" s="120" t="n">
        <f aca="false">Inputs!$E$7*(1+Inputs!$E$8)^(AJ$5-1)*Inputs!$E$9*1*AJ9</f>
        <v>441.3344</v>
      </c>
      <c r="AK10" s="120" t="n">
        <f aca="false">Inputs!$E$7*(1+Inputs!$E$8)^(AK$5-1)*Inputs!$E$9*1*AK9</f>
        <v>441.3344</v>
      </c>
      <c r="AL10" s="120" t="n">
        <f aca="false">Inputs!$E$7*(1+Inputs!$E$8)^(AL$5-1)*Inputs!$E$9*1*AL9</f>
        <v>441.3344</v>
      </c>
      <c r="AM10" s="120" t="n">
        <f aca="false">Inputs!$E$7*(1+Inputs!$E$8)^(AM$5-1)*Inputs!$E$9*1*AM9</f>
        <v>454.574432</v>
      </c>
      <c r="AN10" s="120" t="n">
        <f aca="false">Inputs!$E$7*(1+Inputs!$E$8)^(AN$5-1)*Inputs!$E$9*1*AN9</f>
        <v>454.574432</v>
      </c>
      <c r="AO10" s="120" t="n">
        <f aca="false">Inputs!$E$7*(1+Inputs!$E$8)^(AO$5-1)*Inputs!$E$9*1*AO9</f>
        <v>454.574432</v>
      </c>
      <c r="AP10" s="120" t="n">
        <f aca="false">Inputs!$E$7*(1+Inputs!$E$8)^(AP$5-1)*Inputs!$E$9*1*AP9</f>
        <v>454.574432</v>
      </c>
      <c r="AQ10" s="120" t="n">
        <f aca="false">Inputs!$E$7*(1+Inputs!$E$8)^(AQ$5-1)*Inputs!$E$9*1*AQ9</f>
        <v>454.574432</v>
      </c>
      <c r="AR10" s="120" t="n">
        <f aca="false">Inputs!$E$7*(1+Inputs!$E$8)^(AR$5-1)*Inputs!$E$9*1*AR9</f>
        <v>454.574432</v>
      </c>
      <c r="AS10" s="120" t="n">
        <f aca="false">Inputs!$E$7*(1+Inputs!$E$8)^(AS$5-1)*Inputs!$E$9*1*AS9</f>
        <v>454.574432</v>
      </c>
      <c r="AT10" s="120" t="n">
        <f aca="false">Inputs!$E$7*(1+Inputs!$E$8)^(AT$5-1)*Inputs!$E$9*1*AT9</f>
        <v>454.574432</v>
      </c>
      <c r="AU10" s="120" t="n">
        <f aca="false">Inputs!$E$7*(1+Inputs!$E$8)^(AU$5-1)*Inputs!$E$9*1*AU9</f>
        <v>454.574432</v>
      </c>
      <c r="AV10" s="120" t="n">
        <f aca="false">Inputs!$E$7*(1+Inputs!$E$8)^(AV$5-1)*Inputs!$E$9*1*AV9</f>
        <v>454.574432</v>
      </c>
      <c r="AW10" s="120" t="n">
        <f aca="false">Inputs!$E$7*(1+Inputs!$E$8)^(AW$5-1)*Inputs!$E$9*1*AW9</f>
        <v>454.574432</v>
      </c>
      <c r="AX10" s="120" t="n">
        <f aca="false">Inputs!$E$7*(1+Inputs!$E$8)^(AX$5-1)*Inputs!$E$9*1*AX9</f>
        <v>454.574432</v>
      </c>
      <c r="AY10" s="120" t="n">
        <f aca="false">Inputs!$E$7*(1+Inputs!$E$8)^(AY$5-1)*Inputs!$E$9*1*AY9</f>
        <v>468.21166496</v>
      </c>
      <c r="AZ10" s="120" t="n">
        <f aca="false">Inputs!$E$7*(1+Inputs!$E$8)^(AZ$5-1)*Inputs!$E$9*1*AZ9</f>
        <v>468.21166496</v>
      </c>
      <c r="BA10" s="120" t="n">
        <f aca="false">Inputs!$E$7*(1+Inputs!$E$8)^(BA$5-1)*Inputs!$E$9*1*BA9</f>
        <v>468.21166496</v>
      </c>
      <c r="BB10" s="120" t="n">
        <f aca="false">Inputs!$E$7*(1+Inputs!$E$8)^(BB$5-1)*Inputs!$E$9*1*BB9</f>
        <v>468.21166496</v>
      </c>
      <c r="BC10" s="120" t="n">
        <f aca="false">Inputs!$E$7*(1+Inputs!$E$8)^(BC$5-1)*Inputs!$E$9*1*BC9</f>
        <v>468.21166496</v>
      </c>
      <c r="BD10" s="120" t="n">
        <f aca="false">Inputs!$E$7*(1+Inputs!$E$8)^(BD$5-1)*Inputs!$E$9*1*BD9</f>
        <v>468.21166496</v>
      </c>
      <c r="BE10" s="120" t="n">
        <f aca="false">Inputs!$E$7*(1+Inputs!$E$8)^(BE$5-1)*Inputs!$E$9*1*BE9</f>
        <v>468.21166496</v>
      </c>
      <c r="BF10" s="120" t="n">
        <f aca="false">Inputs!$E$7*(1+Inputs!$E$8)^(BF$5-1)*Inputs!$E$9*1*BF9</f>
        <v>468.21166496</v>
      </c>
      <c r="BG10" s="120" t="n">
        <f aca="false">Inputs!$E$7*(1+Inputs!$E$8)^(BG$5-1)*Inputs!$E$9*1*BG9</f>
        <v>468.21166496</v>
      </c>
      <c r="BH10" s="120" t="n">
        <f aca="false">Inputs!$E$7*(1+Inputs!$E$8)^(BH$5-1)*Inputs!$E$9*1*BH9</f>
        <v>468.21166496</v>
      </c>
      <c r="BI10" s="120" t="n">
        <f aca="false">Inputs!$E$7*(1+Inputs!$E$8)^(BI$5-1)*Inputs!$E$9*1*BI9</f>
        <v>468.21166496</v>
      </c>
      <c r="BJ10" s="120" t="n">
        <f aca="false">Inputs!$E$7*(1+Inputs!$E$8)^(BJ$5-1)*Inputs!$E$9*1*BJ9</f>
        <v>468.21166496</v>
      </c>
    </row>
    <row r="12" customFormat="false" ht="15.75" hidden="false" customHeight="true" outlineLevel="0" collapsed="false">
      <c r="A12" s="7" t="s">
        <v>261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233</v>
      </c>
      <c r="C13" s="121" t="n">
        <f aca="false">Headcount!C8</f>
        <v>4</v>
      </c>
      <c r="D13" s="121" t="n">
        <f aca="false">Headcount!D8</f>
        <v>4</v>
      </c>
      <c r="E13" s="121" t="n">
        <f aca="false">Headcount!E8</f>
        <v>4</v>
      </c>
      <c r="F13" s="121" t="n">
        <f aca="false">Headcount!F8</f>
        <v>4</v>
      </c>
      <c r="G13" s="121" t="n">
        <f aca="false">Headcount!G8</f>
        <v>4</v>
      </c>
      <c r="H13" s="121" t="n">
        <f aca="false">Headcount!H8</f>
        <v>4</v>
      </c>
      <c r="I13" s="121" t="n">
        <f aca="false">Headcount!I8</f>
        <v>4</v>
      </c>
      <c r="J13" s="121" t="n">
        <f aca="false">Headcount!J8</f>
        <v>4</v>
      </c>
      <c r="K13" s="121" t="n">
        <f aca="false">Headcount!K8</f>
        <v>4</v>
      </c>
      <c r="L13" s="121" t="n">
        <f aca="false">Headcount!L8</f>
        <v>4</v>
      </c>
      <c r="M13" s="121" t="n">
        <f aca="false">Headcount!M8</f>
        <v>4</v>
      </c>
      <c r="N13" s="121" t="n">
        <f aca="false">Headcount!N8</f>
        <v>4</v>
      </c>
      <c r="O13" s="121" t="n">
        <f aca="false">Headcount!O8</f>
        <v>4</v>
      </c>
      <c r="P13" s="121" t="n">
        <f aca="false">Headcount!P8</f>
        <v>4</v>
      </c>
      <c r="Q13" s="121" t="n">
        <f aca="false">Headcount!Q8</f>
        <v>4</v>
      </c>
      <c r="R13" s="121" t="n">
        <f aca="false">Headcount!R8</f>
        <v>4</v>
      </c>
      <c r="S13" s="121" t="n">
        <f aca="false">Headcount!S8</f>
        <v>4</v>
      </c>
      <c r="T13" s="121" t="n">
        <f aca="false">Headcount!T8</f>
        <v>4</v>
      </c>
      <c r="U13" s="121" t="n">
        <f aca="false">Headcount!U8</f>
        <v>4</v>
      </c>
      <c r="V13" s="121" t="n">
        <f aca="false">Headcount!V8</f>
        <v>4</v>
      </c>
      <c r="W13" s="121" t="n">
        <f aca="false">Headcount!W8</f>
        <v>4</v>
      </c>
      <c r="X13" s="121" t="n">
        <f aca="false">Headcount!X8</f>
        <v>4</v>
      </c>
      <c r="Y13" s="121" t="n">
        <f aca="false">Headcount!Y8</f>
        <v>4</v>
      </c>
      <c r="Z13" s="121" t="n">
        <f aca="false">Headcount!Z8</f>
        <v>4</v>
      </c>
      <c r="AA13" s="121" t="n">
        <f aca="false">Headcount!AA8</f>
        <v>4</v>
      </c>
      <c r="AB13" s="121" t="n">
        <f aca="false">Headcount!AB8</f>
        <v>4</v>
      </c>
      <c r="AC13" s="121" t="n">
        <f aca="false">Headcount!AC8</f>
        <v>4</v>
      </c>
      <c r="AD13" s="121" t="n">
        <f aca="false">Headcount!AD8</f>
        <v>4</v>
      </c>
      <c r="AE13" s="121" t="n">
        <f aca="false">Headcount!AE8</f>
        <v>4</v>
      </c>
      <c r="AF13" s="121" t="n">
        <f aca="false">Headcount!AF8</f>
        <v>4</v>
      </c>
      <c r="AG13" s="121" t="n">
        <f aca="false">Headcount!AG8</f>
        <v>4</v>
      </c>
      <c r="AH13" s="121" t="n">
        <f aca="false">Headcount!AH8</f>
        <v>4</v>
      </c>
      <c r="AI13" s="121" t="n">
        <f aca="false">Headcount!AI8</f>
        <v>4</v>
      </c>
      <c r="AJ13" s="121" t="n">
        <f aca="false">Headcount!AJ8</f>
        <v>4</v>
      </c>
      <c r="AK13" s="121" t="n">
        <f aca="false">Headcount!AK8</f>
        <v>4</v>
      </c>
      <c r="AL13" s="121" t="n">
        <f aca="false">Headcount!AL8</f>
        <v>4</v>
      </c>
      <c r="AM13" s="121" t="n">
        <f aca="false">Headcount!AM8</f>
        <v>4</v>
      </c>
      <c r="AN13" s="121" t="n">
        <f aca="false">Headcount!AN8</f>
        <v>4</v>
      </c>
      <c r="AO13" s="121" t="n">
        <f aca="false">Headcount!AO8</f>
        <v>4</v>
      </c>
      <c r="AP13" s="121" t="n">
        <f aca="false">Headcount!AP8</f>
        <v>4</v>
      </c>
      <c r="AQ13" s="121" t="n">
        <f aca="false">Headcount!AQ8</f>
        <v>4</v>
      </c>
      <c r="AR13" s="121" t="n">
        <f aca="false">Headcount!AR8</f>
        <v>4</v>
      </c>
      <c r="AS13" s="121" t="n">
        <f aca="false">Headcount!AS8</f>
        <v>4</v>
      </c>
      <c r="AT13" s="121" t="n">
        <f aca="false">Headcount!AT8</f>
        <v>4</v>
      </c>
      <c r="AU13" s="121" t="n">
        <f aca="false">Headcount!AU8</f>
        <v>4</v>
      </c>
      <c r="AV13" s="121" t="n">
        <f aca="false">Headcount!AV8</f>
        <v>4</v>
      </c>
      <c r="AW13" s="121" t="n">
        <f aca="false">Headcount!AW8</f>
        <v>4</v>
      </c>
      <c r="AX13" s="121" t="n">
        <f aca="false">Headcount!AX8</f>
        <v>4</v>
      </c>
      <c r="AY13" s="121" t="n">
        <f aca="false">Headcount!AY8</f>
        <v>4</v>
      </c>
      <c r="AZ13" s="121" t="n">
        <f aca="false">Headcount!AZ8</f>
        <v>4</v>
      </c>
      <c r="BA13" s="121" t="n">
        <f aca="false">Headcount!BA8</f>
        <v>4</v>
      </c>
      <c r="BB13" s="121" t="n">
        <f aca="false">Headcount!BB8</f>
        <v>4</v>
      </c>
      <c r="BC13" s="121" t="n">
        <f aca="false">Headcount!BC8</f>
        <v>4</v>
      </c>
      <c r="BD13" s="121" t="n">
        <f aca="false">Headcount!BD8</f>
        <v>4</v>
      </c>
      <c r="BE13" s="121" t="n">
        <f aca="false">Headcount!BE8</f>
        <v>4</v>
      </c>
      <c r="BF13" s="121" t="n">
        <f aca="false">Headcount!BF8</f>
        <v>4</v>
      </c>
      <c r="BG13" s="121" t="n">
        <f aca="false">Headcount!BG8</f>
        <v>4</v>
      </c>
      <c r="BH13" s="121" t="n">
        <f aca="false">Headcount!BH8</f>
        <v>4</v>
      </c>
      <c r="BI13" s="121" t="n">
        <f aca="false">Headcount!BI8</f>
        <v>4</v>
      </c>
      <c r="BJ13" s="121" t="n">
        <f aca="false">Headcount!BJ8</f>
        <v>4</v>
      </c>
    </row>
    <row r="14" customFormat="false" ht="15" hidden="false" customHeight="false" outlineLevel="0" collapsed="false">
      <c r="A14" s="6" t="s">
        <v>416</v>
      </c>
      <c r="C14" s="120" t="n">
        <f aca="false">Inputs!$E$14*Inputs!$E$15*Inputs!$E$9*1</f>
        <v>624</v>
      </c>
      <c r="D14" s="120" t="n">
        <f aca="false">Inputs!$E$14*Inputs!$E$15*Inputs!$E$9*1</f>
        <v>624</v>
      </c>
      <c r="E14" s="120" t="n">
        <f aca="false">Inputs!$E$14*Inputs!$E$15*Inputs!$E$9*1</f>
        <v>624</v>
      </c>
      <c r="F14" s="120" t="n">
        <f aca="false">Inputs!$E$14*Inputs!$E$15*Inputs!$E$9*1</f>
        <v>624</v>
      </c>
      <c r="G14" s="120" t="n">
        <f aca="false">Inputs!$E$14*Inputs!$E$15*Inputs!$E$9*1</f>
        <v>624</v>
      </c>
      <c r="H14" s="120" t="n">
        <f aca="false">Inputs!$E$14*Inputs!$E$15*Inputs!$E$9*1</f>
        <v>624</v>
      </c>
      <c r="I14" s="120" t="n">
        <f aca="false">Inputs!$E$14*Inputs!$E$15*Inputs!$E$9*1</f>
        <v>624</v>
      </c>
      <c r="J14" s="120" t="n">
        <f aca="false">Inputs!$E$14*Inputs!$E$15*Inputs!$E$9*1</f>
        <v>624</v>
      </c>
      <c r="K14" s="120" t="n">
        <f aca="false">Inputs!$E$14*Inputs!$E$15*Inputs!$E$9*1</f>
        <v>624</v>
      </c>
      <c r="L14" s="120" t="n">
        <f aca="false">Inputs!$E$14*Inputs!$E$15*Inputs!$E$9*1</f>
        <v>624</v>
      </c>
      <c r="M14" s="120" t="n">
        <f aca="false">Inputs!$E$14*Inputs!$E$15*Inputs!$E$9*1</f>
        <v>624</v>
      </c>
      <c r="N14" s="120" t="n">
        <f aca="false">Inputs!$E$14*Inputs!$E$15*Inputs!$E$9*1</f>
        <v>624</v>
      </c>
      <c r="O14" s="120" t="n">
        <f aca="false">Inputs!$E$14*Inputs!$E$15*Inputs!$E$9*1</f>
        <v>624</v>
      </c>
      <c r="P14" s="120" t="n">
        <f aca="false">Inputs!$E$14*Inputs!$E$15*Inputs!$E$9*1</f>
        <v>624</v>
      </c>
      <c r="Q14" s="120" t="n">
        <f aca="false">Inputs!$E$14*Inputs!$E$15*Inputs!$E$9*1</f>
        <v>624</v>
      </c>
      <c r="R14" s="120" t="n">
        <f aca="false">Inputs!$E$14*Inputs!$E$15*Inputs!$E$9*1</f>
        <v>624</v>
      </c>
      <c r="S14" s="120" t="n">
        <f aca="false">Inputs!$E$14*Inputs!$E$15*Inputs!$E$9*1</f>
        <v>624</v>
      </c>
      <c r="T14" s="120" t="n">
        <f aca="false">Inputs!$E$14*Inputs!$E$15*Inputs!$E$9*1</f>
        <v>624</v>
      </c>
      <c r="U14" s="120" t="n">
        <f aca="false">Inputs!$E$14*Inputs!$E$15*Inputs!$E$9*1</f>
        <v>624</v>
      </c>
      <c r="V14" s="120" t="n">
        <f aca="false">Inputs!$E$14*Inputs!$E$15*Inputs!$E$9*1</f>
        <v>624</v>
      </c>
      <c r="W14" s="120" t="n">
        <f aca="false">Inputs!$E$14*Inputs!$E$15*Inputs!$E$9*1</f>
        <v>624</v>
      </c>
      <c r="X14" s="120" t="n">
        <f aca="false">Inputs!$E$14*Inputs!$E$15*Inputs!$E$9*1</f>
        <v>624</v>
      </c>
      <c r="Y14" s="120" t="n">
        <f aca="false">Inputs!$E$14*Inputs!$E$15*Inputs!$E$9*1</f>
        <v>624</v>
      </c>
      <c r="Z14" s="120" t="n">
        <f aca="false">Inputs!$E$14*Inputs!$E$15*Inputs!$E$9*1</f>
        <v>624</v>
      </c>
      <c r="AA14" s="120" t="n">
        <f aca="false">Inputs!$E$14*Inputs!$E$15*Inputs!$E$9*1</f>
        <v>624</v>
      </c>
      <c r="AB14" s="120" t="n">
        <f aca="false">Inputs!$E$14*Inputs!$E$15*Inputs!$E$9*1</f>
        <v>624</v>
      </c>
      <c r="AC14" s="120" t="n">
        <f aca="false">Inputs!$E$14*Inputs!$E$15*Inputs!$E$9*1</f>
        <v>624</v>
      </c>
      <c r="AD14" s="120" t="n">
        <f aca="false">Inputs!$E$14*Inputs!$E$15*Inputs!$E$9*1</f>
        <v>624</v>
      </c>
      <c r="AE14" s="120" t="n">
        <f aca="false">Inputs!$E$14*Inputs!$E$15*Inputs!$E$9*1</f>
        <v>624</v>
      </c>
      <c r="AF14" s="120" t="n">
        <f aca="false">Inputs!$E$14*Inputs!$E$15*Inputs!$E$9*1</f>
        <v>624</v>
      </c>
      <c r="AG14" s="120" t="n">
        <f aca="false">Inputs!$E$14*Inputs!$E$15*Inputs!$E$9*1</f>
        <v>624</v>
      </c>
      <c r="AH14" s="120" t="n">
        <f aca="false">Inputs!$E$14*Inputs!$E$15*Inputs!$E$9*1</f>
        <v>624</v>
      </c>
      <c r="AI14" s="120" t="n">
        <f aca="false">Inputs!$E$14*Inputs!$E$15*Inputs!$E$9*1</f>
        <v>624</v>
      </c>
      <c r="AJ14" s="120" t="n">
        <f aca="false">Inputs!$E$14*Inputs!$E$15*Inputs!$E$9*1</f>
        <v>624</v>
      </c>
      <c r="AK14" s="120" t="n">
        <f aca="false">Inputs!$E$14*Inputs!$E$15*Inputs!$E$9*1</f>
        <v>624</v>
      </c>
      <c r="AL14" s="120" t="n">
        <f aca="false">Inputs!$E$14*Inputs!$E$15*Inputs!$E$9*1</f>
        <v>624</v>
      </c>
      <c r="AM14" s="120" t="n">
        <f aca="false">Inputs!$E$14*Inputs!$E$15*Inputs!$E$9*1</f>
        <v>624</v>
      </c>
      <c r="AN14" s="120" t="n">
        <f aca="false">Inputs!$E$14*Inputs!$E$15*Inputs!$E$9*1</f>
        <v>624</v>
      </c>
      <c r="AO14" s="120" t="n">
        <f aca="false">Inputs!$E$14*Inputs!$E$15*Inputs!$E$9*1</f>
        <v>624</v>
      </c>
      <c r="AP14" s="120" t="n">
        <f aca="false">Inputs!$E$14*Inputs!$E$15*Inputs!$E$9*1</f>
        <v>624</v>
      </c>
      <c r="AQ14" s="120" t="n">
        <f aca="false">Inputs!$E$14*Inputs!$E$15*Inputs!$E$9*1</f>
        <v>624</v>
      </c>
      <c r="AR14" s="120" t="n">
        <f aca="false">Inputs!$E$14*Inputs!$E$15*Inputs!$E$9*1</f>
        <v>624</v>
      </c>
      <c r="AS14" s="120" t="n">
        <f aca="false">Inputs!$E$14*Inputs!$E$15*Inputs!$E$9*1</f>
        <v>624</v>
      </c>
      <c r="AT14" s="120" t="n">
        <f aca="false">Inputs!$E$14*Inputs!$E$15*Inputs!$E$9*1</f>
        <v>624</v>
      </c>
      <c r="AU14" s="120" t="n">
        <f aca="false">Inputs!$E$14*Inputs!$E$15*Inputs!$E$9*1</f>
        <v>624</v>
      </c>
      <c r="AV14" s="120" t="n">
        <f aca="false">Inputs!$E$14*Inputs!$E$15*Inputs!$E$9*1</f>
        <v>624</v>
      </c>
      <c r="AW14" s="120" t="n">
        <f aca="false">Inputs!$E$14*Inputs!$E$15*Inputs!$E$9*1</f>
        <v>624</v>
      </c>
      <c r="AX14" s="120" t="n">
        <f aca="false">Inputs!$E$14*Inputs!$E$15*Inputs!$E$9*1</f>
        <v>624</v>
      </c>
      <c r="AY14" s="120" t="n">
        <f aca="false">Inputs!$E$14*Inputs!$E$15*Inputs!$E$9*1</f>
        <v>624</v>
      </c>
      <c r="AZ14" s="120" t="n">
        <f aca="false">Inputs!$E$14*Inputs!$E$15*Inputs!$E$9*1</f>
        <v>624</v>
      </c>
      <c r="BA14" s="120" t="n">
        <f aca="false">Inputs!$E$14*Inputs!$E$15*Inputs!$E$9*1</f>
        <v>624</v>
      </c>
      <c r="BB14" s="120" t="n">
        <f aca="false">Inputs!$E$14*Inputs!$E$15*Inputs!$E$9*1</f>
        <v>624</v>
      </c>
      <c r="BC14" s="120" t="n">
        <f aca="false">Inputs!$E$14*Inputs!$E$15*Inputs!$E$9*1</f>
        <v>624</v>
      </c>
      <c r="BD14" s="120" t="n">
        <f aca="false">Inputs!$E$14*Inputs!$E$15*Inputs!$E$9*1</f>
        <v>624</v>
      </c>
      <c r="BE14" s="120" t="n">
        <f aca="false">Inputs!$E$14*Inputs!$E$15*Inputs!$E$9*1</f>
        <v>624</v>
      </c>
      <c r="BF14" s="120" t="n">
        <f aca="false">Inputs!$E$14*Inputs!$E$15*Inputs!$E$9*1</f>
        <v>624</v>
      </c>
      <c r="BG14" s="120" t="n">
        <f aca="false">Inputs!$E$14*Inputs!$E$15*Inputs!$E$9*1</f>
        <v>624</v>
      </c>
      <c r="BH14" s="120" t="n">
        <f aca="false">Inputs!$E$14*Inputs!$E$15*Inputs!$E$9*1</f>
        <v>624</v>
      </c>
      <c r="BI14" s="120" t="n">
        <f aca="false">Inputs!$E$14*Inputs!$E$15*Inputs!$E$9*1</f>
        <v>624</v>
      </c>
      <c r="BJ14" s="120" t="n">
        <f aca="false">Inputs!$E$14*Inputs!$E$15*Inputs!$E$9*1</f>
        <v>624</v>
      </c>
    </row>
    <row r="15" customFormat="false" ht="15" hidden="false" customHeight="false" outlineLevel="0" collapsed="false">
      <c r="A15" s="6" t="s">
        <v>417</v>
      </c>
      <c r="C15" s="120" t="n">
        <f aca="false">C13*Inputs!$E$16*Inputs!$E$9*1</f>
        <v>572</v>
      </c>
      <c r="D15" s="120" t="n">
        <f aca="false">D13*Inputs!$E$16*Inputs!$E$9*1</f>
        <v>572</v>
      </c>
      <c r="E15" s="120" t="n">
        <f aca="false">E13*Inputs!$E$16*Inputs!$E$9*1</f>
        <v>572</v>
      </c>
      <c r="F15" s="120" t="n">
        <f aca="false">F13*Inputs!$E$16*Inputs!$E$9*1</f>
        <v>572</v>
      </c>
      <c r="G15" s="120" t="n">
        <f aca="false">G13*Inputs!$E$16*Inputs!$E$9*1</f>
        <v>572</v>
      </c>
      <c r="H15" s="120" t="n">
        <f aca="false">H13*Inputs!$E$16*Inputs!$E$9*1</f>
        <v>572</v>
      </c>
      <c r="I15" s="120" t="n">
        <f aca="false">I13*Inputs!$E$16*Inputs!$E$9*1</f>
        <v>572</v>
      </c>
      <c r="J15" s="120" t="n">
        <f aca="false">J13*Inputs!$E$16*Inputs!$E$9*1</f>
        <v>572</v>
      </c>
      <c r="K15" s="120" t="n">
        <f aca="false">K13*Inputs!$E$16*Inputs!$E$9*1</f>
        <v>572</v>
      </c>
      <c r="L15" s="120" t="n">
        <f aca="false">L13*Inputs!$E$16*Inputs!$E$9*1</f>
        <v>572</v>
      </c>
      <c r="M15" s="120" t="n">
        <f aca="false">M13*Inputs!$E$16*Inputs!$E$9*1</f>
        <v>572</v>
      </c>
      <c r="N15" s="120" t="n">
        <f aca="false">N13*Inputs!$E$16*Inputs!$E$9*1</f>
        <v>572</v>
      </c>
      <c r="O15" s="120" t="n">
        <f aca="false">O13*Inputs!$E$16*Inputs!$E$9*1</f>
        <v>572</v>
      </c>
      <c r="P15" s="120" t="n">
        <f aca="false">P13*Inputs!$E$16*Inputs!$E$9*1</f>
        <v>572</v>
      </c>
      <c r="Q15" s="120" t="n">
        <f aca="false">Q13*Inputs!$E$16*Inputs!$E$9*1</f>
        <v>572</v>
      </c>
      <c r="R15" s="120" t="n">
        <f aca="false">R13*Inputs!$E$16*Inputs!$E$9*1</f>
        <v>572</v>
      </c>
      <c r="S15" s="120" t="n">
        <f aca="false">S13*Inputs!$E$16*Inputs!$E$9*1</f>
        <v>572</v>
      </c>
      <c r="T15" s="120" t="n">
        <f aca="false">T13*Inputs!$E$16*Inputs!$E$9*1</f>
        <v>572</v>
      </c>
      <c r="U15" s="120" t="n">
        <f aca="false">U13*Inputs!$E$16*Inputs!$E$9*1</f>
        <v>572</v>
      </c>
      <c r="V15" s="120" t="n">
        <f aca="false">V13*Inputs!$E$16*Inputs!$E$9*1</f>
        <v>572</v>
      </c>
      <c r="W15" s="120" t="n">
        <f aca="false">W13*Inputs!$E$16*Inputs!$E$9*1</f>
        <v>572</v>
      </c>
      <c r="X15" s="120" t="n">
        <f aca="false">X13*Inputs!$E$16*Inputs!$E$9*1</f>
        <v>572</v>
      </c>
      <c r="Y15" s="120" t="n">
        <f aca="false">Y13*Inputs!$E$16*Inputs!$E$9*1</f>
        <v>572</v>
      </c>
      <c r="Z15" s="120" t="n">
        <f aca="false">Z13*Inputs!$E$16*Inputs!$E$9*1</f>
        <v>572</v>
      </c>
      <c r="AA15" s="120" t="n">
        <f aca="false">AA13*Inputs!$E$16*Inputs!$E$9*1</f>
        <v>572</v>
      </c>
      <c r="AB15" s="120" t="n">
        <f aca="false">AB13*Inputs!$E$16*Inputs!$E$9*1</f>
        <v>572</v>
      </c>
      <c r="AC15" s="120" t="n">
        <f aca="false">AC13*Inputs!$E$16*Inputs!$E$9*1</f>
        <v>572</v>
      </c>
      <c r="AD15" s="120" t="n">
        <f aca="false">AD13*Inputs!$E$16*Inputs!$E$9*1</f>
        <v>572</v>
      </c>
      <c r="AE15" s="120" t="n">
        <f aca="false">AE13*Inputs!$E$16*Inputs!$E$9*1</f>
        <v>572</v>
      </c>
      <c r="AF15" s="120" t="n">
        <f aca="false">AF13*Inputs!$E$16*Inputs!$E$9*1</f>
        <v>572</v>
      </c>
      <c r="AG15" s="120" t="n">
        <f aca="false">AG13*Inputs!$E$16*Inputs!$E$9*1</f>
        <v>572</v>
      </c>
      <c r="AH15" s="120" t="n">
        <f aca="false">AH13*Inputs!$E$16*Inputs!$E$9*1</f>
        <v>572</v>
      </c>
      <c r="AI15" s="120" t="n">
        <f aca="false">AI13*Inputs!$E$16*Inputs!$E$9*1</f>
        <v>572</v>
      </c>
      <c r="AJ15" s="120" t="n">
        <f aca="false">AJ13*Inputs!$E$16*Inputs!$E$9*1</f>
        <v>572</v>
      </c>
      <c r="AK15" s="120" t="n">
        <f aca="false">AK13*Inputs!$E$16*Inputs!$E$9*1</f>
        <v>572</v>
      </c>
      <c r="AL15" s="120" t="n">
        <f aca="false">AL13*Inputs!$E$16*Inputs!$E$9*1</f>
        <v>572</v>
      </c>
      <c r="AM15" s="120" t="n">
        <f aca="false">AM13*Inputs!$E$16*Inputs!$E$9*1</f>
        <v>572</v>
      </c>
      <c r="AN15" s="120" t="n">
        <f aca="false">AN13*Inputs!$E$16*Inputs!$E$9*1</f>
        <v>572</v>
      </c>
      <c r="AO15" s="120" t="n">
        <f aca="false">AO13*Inputs!$E$16*Inputs!$E$9*1</f>
        <v>572</v>
      </c>
      <c r="AP15" s="120" t="n">
        <f aca="false">AP13*Inputs!$E$16*Inputs!$E$9*1</f>
        <v>572</v>
      </c>
      <c r="AQ15" s="120" t="n">
        <f aca="false">AQ13*Inputs!$E$16*Inputs!$E$9*1</f>
        <v>572</v>
      </c>
      <c r="AR15" s="120" t="n">
        <f aca="false">AR13*Inputs!$E$16*Inputs!$E$9*1</f>
        <v>572</v>
      </c>
      <c r="AS15" s="120" t="n">
        <f aca="false">AS13*Inputs!$E$16*Inputs!$E$9*1</f>
        <v>572</v>
      </c>
      <c r="AT15" s="120" t="n">
        <f aca="false">AT13*Inputs!$E$16*Inputs!$E$9*1</f>
        <v>572</v>
      </c>
      <c r="AU15" s="120" t="n">
        <f aca="false">AU13*Inputs!$E$16*Inputs!$E$9*1</f>
        <v>572</v>
      </c>
      <c r="AV15" s="120" t="n">
        <f aca="false">AV13*Inputs!$E$16*Inputs!$E$9*1</f>
        <v>572</v>
      </c>
      <c r="AW15" s="120" t="n">
        <f aca="false">AW13*Inputs!$E$16*Inputs!$E$9*1</f>
        <v>572</v>
      </c>
      <c r="AX15" s="120" t="n">
        <f aca="false">AX13*Inputs!$E$16*Inputs!$E$9*1</f>
        <v>572</v>
      </c>
      <c r="AY15" s="120" t="n">
        <f aca="false">AY13*Inputs!$E$16*Inputs!$E$9*1</f>
        <v>572</v>
      </c>
      <c r="AZ15" s="120" t="n">
        <f aca="false">AZ13*Inputs!$E$16*Inputs!$E$9*1</f>
        <v>572</v>
      </c>
      <c r="BA15" s="120" t="n">
        <f aca="false">BA13*Inputs!$E$16*Inputs!$E$9*1</f>
        <v>572</v>
      </c>
      <c r="BB15" s="120" t="n">
        <f aca="false">BB13*Inputs!$E$16*Inputs!$E$9*1</f>
        <v>572</v>
      </c>
      <c r="BC15" s="120" t="n">
        <f aca="false">BC13*Inputs!$E$16*Inputs!$E$9*1</f>
        <v>572</v>
      </c>
      <c r="BD15" s="120" t="n">
        <f aca="false">BD13*Inputs!$E$16*Inputs!$E$9*1</f>
        <v>572</v>
      </c>
      <c r="BE15" s="120" t="n">
        <f aca="false">BE13*Inputs!$E$16*Inputs!$E$9*1</f>
        <v>572</v>
      </c>
      <c r="BF15" s="120" t="n">
        <f aca="false">BF13*Inputs!$E$16*Inputs!$E$9*1</f>
        <v>572</v>
      </c>
      <c r="BG15" s="120" t="n">
        <f aca="false">BG13*Inputs!$E$16*Inputs!$E$9*1</f>
        <v>572</v>
      </c>
      <c r="BH15" s="120" t="n">
        <f aca="false">BH13*Inputs!$E$16*Inputs!$E$9*1</f>
        <v>572</v>
      </c>
      <c r="BI15" s="120" t="n">
        <f aca="false">BI13*Inputs!$E$16*Inputs!$E$9*1</f>
        <v>572</v>
      </c>
      <c r="BJ15" s="120" t="n">
        <f aca="false">BJ13*Inputs!$E$16*Inputs!$E$9*1</f>
        <v>572</v>
      </c>
    </row>
    <row r="16" customFormat="false" ht="15" hidden="false" customHeight="false" outlineLevel="0" collapsed="false">
      <c r="A16" s="6" t="s">
        <v>234</v>
      </c>
      <c r="C16" s="120" t="n">
        <f aca="false">MIN(C14,C15)</f>
        <v>572</v>
      </c>
      <c r="D16" s="120" t="n">
        <f aca="false">MIN(D14,D15)</f>
        <v>572</v>
      </c>
      <c r="E16" s="120" t="n">
        <f aca="false">MIN(E14,E15)</f>
        <v>572</v>
      </c>
      <c r="F16" s="120" t="n">
        <f aca="false">MIN(F14,F15)</f>
        <v>572</v>
      </c>
      <c r="G16" s="120" t="n">
        <f aca="false">MIN(G14,G15)</f>
        <v>572</v>
      </c>
      <c r="H16" s="120" t="n">
        <f aca="false">MIN(H14,H15)</f>
        <v>572</v>
      </c>
      <c r="I16" s="120" t="n">
        <f aca="false">MIN(I14,I15)</f>
        <v>572</v>
      </c>
      <c r="J16" s="120" t="n">
        <f aca="false">MIN(J14,J15)</f>
        <v>572</v>
      </c>
      <c r="K16" s="120" t="n">
        <f aca="false">MIN(K14,K15)</f>
        <v>572</v>
      </c>
      <c r="L16" s="120" t="n">
        <f aca="false">MIN(L14,L15)</f>
        <v>572</v>
      </c>
      <c r="M16" s="120" t="n">
        <f aca="false">MIN(M14,M15)</f>
        <v>572</v>
      </c>
      <c r="N16" s="120" t="n">
        <f aca="false">MIN(N14,N15)</f>
        <v>572</v>
      </c>
      <c r="O16" s="120" t="n">
        <f aca="false">MIN(O14,O15)</f>
        <v>572</v>
      </c>
      <c r="P16" s="120" t="n">
        <f aca="false">MIN(P14,P15)</f>
        <v>572</v>
      </c>
      <c r="Q16" s="120" t="n">
        <f aca="false">MIN(Q14,Q15)</f>
        <v>572</v>
      </c>
      <c r="R16" s="120" t="n">
        <f aca="false">MIN(R14,R15)</f>
        <v>572</v>
      </c>
      <c r="S16" s="120" t="n">
        <f aca="false">MIN(S14,S15)</f>
        <v>572</v>
      </c>
      <c r="T16" s="120" t="n">
        <f aca="false">MIN(T14,T15)</f>
        <v>572</v>
      </c>
      <c r="U16" s="120" t="n">
        <f aca="false">MIN(U14,U15)</f>
        <v>572</v>
      </c>
      <c r="V16" s="120" t="n">
        <f aca="false">MIN(V14,V15)</f>
        <v>572</v>
      </c>
      <c r="W16" s="120" t="n">
        <f aca="false">MIN(W14,W15)</f>
        <v>572</v>
      </c>
      <c r="X16" s="120" t="n">
        <f aca="false">MIN(X14,X15)</f>
        <v>572</v>
      </c>
      <c r="Y16" s="120" t="n">
        <f aca="false">MIN(Y14,Y15)</f>
        <v>572</v>
      </c>
      <c r="Z16" s="120" t="n">
        <f aca="false">MIN(Z14,Z15)</f>
        <v>572</v>
      </c>
      <c r="AA16" s="120" t="n">
        <f aca="false">MIN(AA14,AA15)</f>
        <v>572</v>
      </c>
      <c r="AB16" s="120" t="n">
        <f aca="false">MIN(AB14,AB15)</f>
        <v>572</v>
      </c>
      <c r="AC16" s="120" t="n">
        <f aca="false">MIN(AC14,AC15)</f>
        <v>572</v>
      </c>
      <c r="AD16" s="120" t="n">
        <f aca="false">MIN(AD14,AD15)</f>
        <v>572</v>
      </c>
      <c r="AE16" s="120" t="n">
        <f aca="false">MIN(AE14,AE15)</f>
        <v>572</v>
      </c>
      <c r="AF16" s="120" t="n">
        <f aca="false">MIN(AF14,AF15)</f>
        <v>572</v>
      </c>
      <c r="AG16" s="120" t="n">
        <f aca="false">MIN(AG14,AG15)</f>
        <v>572</v>
      </c>
      <c r="AH16" s="120" t="n">
        <f aca="false">MIN(AH14,AH15)</f>
        <v>572</v>
      </c>
      <c r="AI16" s="120" t="n">
        <f aca="false">MIN(AI14,AI15)</f>
        <v>572</v>
      </c>
      <c r="AJ16" s="120" t="n">
        <f aca="false">MIN(AJ14,AJ15)</f>
        <v>572</v>
      </c>
      <c r="AK16" s="120" t="n">
        <f aca="false">MIN(AK14,AK15)</f>
        <v>572</v>
      </c>
      <c r="AL16" s="120" t="n">
        <f aca="false">MIN(AL14,AL15)</f>
        <v>572</v>
      </c>
      <c r="AM16" s="120" t="n">
        <f aca="false">MIN(AM14,AM15)</f>
        <v>572</v>
      </c>
      <c r="AN16" s="120" t="n">
        <f aca="false">MIN(AN14,AN15)</f>
        <v>572</v>
      </c>
      <c r="AO16" s="120" t="n">
        <f aca="false">MIN(AO14,AO15)</f>
        <v>572</v>
      </c>
      <c r="AP16" s="120" t="n">
        <f aca="false">MIN(AP14,AP15)</f>
        <v>572</v>
      </c>
      <c r="AQ16" s="120" t="n">
        <f aca="false">MIN(AQ14,AQ15)</f>
        <v>572</v>
      </c>
      <c r="AR16" s="120" t="n">
        <f aca="false">MIN(AR14,AR15)</f>
        <v>572</v>
      </c>
      <c r="AS16" s="120" t="n">
        <f aca="false">MIN(AS14,AS15)</f>
        <v>572</v>
      </c>
      <c r="AT16" s="120" t="n">
        <f aca="false">MIN(AT14,AT15)</f>
        <v>572</v>
      </c>
      <c r="AU16" s="120" t="n">
        <f aca="false">MIN(AU14,AU15)</f>
        <v>572</v>
      </c>
      <c r="AV16" s="120" t="n">
        <f aca="false">MIN(AV14,AV15)</f>
        <v>572</v>
      </c>
      <c r="AW16" s="120" t="n">
        <f aca="false">MIN(AW14,AW15)</f>
        <v>572</v>
      </c>
      <c r="AX16" s="120" t="n">
        <f aca="false">MIN(AX14,AX15)</f>
        <v>572</v>
      </c>
      <c r="AY16" s="120" t="n">
        <f aca="false">MIN(AY14,AY15)</f>
        <v>572</v>
      </c>
      <c r="AZ16" s="120" t="n">
        <f aca="false">MIN(AZ14,AZ15)</f>
        <v>572</v>
      </c>
      <c r="BA16" s="120" t="n">
        <f aca="false">MIN(BA14,BA15)</f>
        <v>572</v>
      </c>
      <c r="BB16" s="120" t="n">
        <f aca="false">MIN(BB14,BB15)</f>
        <v>572</v>
      </c>
      <c r="BC16" s="120" t="n">
        <f aca="false">MIN(BC14,BC15)</f>
        <v>572</v>
      </c>
      <c r="BD16" s="120" t="n">
        <f aca="false">MIN(BD14,BD15)</f>
        <v>572</v>
      </c>
      <c r="BE16" s="120" t="n">
        <f aca="false">MIN(BE14,BE15)</f>
        <v>572</v>
      </c>
      <c r="BF16" s="120" t="n">
        <f aca="false">MIN(BF14,BF15)</f>
        <v>572</v>
      </c>
      <c r="BG16" s="120" t="n">
        <f aca="false">MIN(BG14,BG15)</f>
        <v>572</v>
      </c>
      <c r="BH16" s="120" t="n">
        <f aca="false">MIN(BH14,BH15)</f>
        <v>572</v>
      </c>
      <c r="BI16" s="120" t="n">
        <f aca="false">MIN(BI14,BI15)</f>
        <v>572</v>
      </c>
      <c r="BJ16" s="120" t="n">
        <f aca="false">MIN(BJ14,BJ15)</f>
        <v>572</v>
      </c>
    </row>
    <row r="17" customFormat="false" ht="15" hidden="false" customHeight="false" outlineLevel="0" collapsed="false">
      <c r="A17" s="4" t="s">
        <v>418</v>
      </c>
      <c r="C17" s="122" t="n">
        <f aca="false">MIN(C10,C16)</f>
        <v>166.4</v>
      </c>
      <c r="D17" s="122" t="n">
        <f aca="false">MIN(D10,D16)</f>
        <v>191.36</v>
      </c>
      <c r="E17" s="122" t="n">
        <f aca="false">MIN(E10,E16)</f>
        <v>216.32</v>
      </c>
      <c r="F17" s="122" t="n">
        <f aca="false">MIN(F10,F16)</f>
        <v>241.28</v>
      </c>
      <c r="G17" s="122" t="n">
        <f aca="false">MIN(G10,G16)</f>
        <v>266.24</v>
      </c>
      <c r="H17" s="122" t="n">
        <f aca="false">MIN(H10,H16)</f>
        <v>291.2</v>
      </c>
      <c r="I17" s="122" t="n">
        <f aca="false">MIN(I10,I16)</f>
        <v>316.16</v>
      </c>
      <c r="J17" s="122" t="n">
        <f aca="false">MIN(J10,J16)</f>
        <v>341.12</v>
      </c>
      <c r="K17" s="122" t="n">
        <f aca="false">MIN(K10,K16)</f>
        <v>366.08</v>
      </c>
      <c r="L17" s="122" t="n">
        <f aca="false">MIN(L10,L16)</f>
        <v>391.04</v>
      </c>
      <c r="M17" s="122" t="n">
        <f aca="false">MIN(M10,M16)</f>
        <v>416</v>
      </c>
      <c r="N17" s="122" t="n">
        <f aca="false">MIN(N10,N16)</f>
        <v>416</v>
      </c>
      <c r="O17" s="122" t="n">
        <f aca="false">MIN(O10,O16)</f>
        <v>428.48</v>
      </c>
      <c r="P17" s="122" t="n">
        <f aca="false">MIN(P10,P16)</f>
        <v>428.48</v>
      </c>
      <c r="Q17" s="122" t="n">
        <f aca="false">MIN(Q10,Q16)</f>
        <v>428.48</v>
      </c>
      <c r="R17" s="122" t="n">
        <f aca="false">MIN(R10,R16)</f>
        <v>428.48</v>
      </c>
      <c r="S17" s="122" t="n">
        <f aca="false">MIN(S10,S16)</f>
        <v>428.48</v>
      </c>
      <c r="T17" s="122" t="n">
        <f aca="false">MIN(T10,T16)</f>
        <v>428.48</v>
      </c>
      <c r="U17" s="122" t="n">
        <f aca="false">MIN(U10,U16)</f>
        <v>428.48</v>
      </c>
      <c r="V17" s="122" t="n">
        <f aca="false">MIN(V10,V16)</f>
        <v>428.48</v>
      </c>
      <c r="W17" s="122" t="n">
        <f aca="false">MIN(W10,W16)</f>
        <v>428.48</v>
      </c>
      <c r="X17" s="122" t="n">
        <f aca="false">MIN(X10,X16)</f>
        <v>428.48</v>
      </c>
      <c r="Y17" s="122" t="n">
        <f aca="false">MIN(Y10,Y16)</f>
        <v>428.48</v>
      </c>
      <c r="Z17" s="122" t="n">
        <f aca="false">MIN(Z10,Z16)</f>
        <v>428.48</v>
      </c>
      <c r="AA17" s="122" t="n">
        <f aca="false">MIN(AA10,AA16)</f>
        <v>441.3344</v>
      </c>
      <c r="AB17" s="122" t="n">
        <f aca="false">MIN(AB10,AB16)</f>
        <v>441.3344</v>
      </c>
      <c r="AC17" s="122" t="n">
        <f aca="false">MIN(AC10,AC16)</f>
        <v>441.3344</v>
      </c>
      <c r="AD17" s="122" t="n">
        <f aca="false">MIN(AD10,AD16)</f>
        <v>441.3344</v>
      </c>
      <c r="AE17" s="122" t="n">
        <f aca="false">MIN(AE10,AE16)</f>
        <v>441.3344</v>
      </c>
      <c r="AF17" s="122" t="n">
        <f aca="false">MIN(AF10,AF16)</f>
        <v>441.3344</v>
      </c>
      <c r="AG17" s="122" t="n">
        <f aca="false">MIN(AG10,AG16)</f>
        <v>441.3344</v>
      </c>
      <c r="AH17" s="122" t="n">
        <f aca="false">MIN(AH10,AH16)</f>
        <v>441.3344</v>
      </c>
      <c r="AI17" s="122" t="n">
        <f aca="false">MIN(AI10,AI16)</f>
        <v>441.3344</v>
      </c>
      <c r="AJ17" s="122" t="n">
        <f aca="false">MIN(AJ10,AJ16)</f>
        <v>441.3344</v>
      </c>
      <c r="AK17" s="122" t="n">
        <f aca="false">MIN(AK10,AK16)</f>
        <v>441.3344</v>
      </c>
      <c r="AL17" s="122" t="n">
        <f aca="false">MIN(AL10,AL16)</f>
        <v>441.3344</v>
      </c>
      <c r="AM17" s="122" t="n">
        <f aca="false">MIN(AM10,AM16)</f>
        <v>454.574432</v>
      </c>
      <c r="AN17" s="122" t="n">
        <f aca="false">MIN(AN10,AN16)</f>
        <v>454.574432</v>
      </c>
      <c r="AO17" s="122" t="n">
        <f aca="false">MIN(AO10,AO16)</f>
        <v>454.574432</v>
      </c>
      <c r="AP17" s="122" t="n">
        <f aca="false">MIN(AP10,AP16)</f>
        <v>454.574432</v>
      </c>
      <c r="AQ17" s="122" t="n">
        <f aca="false">MIN(AQ10,AQ16)</f>
        <v>454.574432</v>
      </c>
      <c r="AR17" s="122" t="n">
        <f aca="false">MIN(AR10,AR16)</f>
        <v>454.574432</v>
      </c>
      <c r="AS17" s="122" t="n">
        <f aca="false">MIN(AS10,AS16)</f>
        <v>454.574432</v>
      </c>
      <c r="AT17" s="122" t="n">
        <f aca="false">MIN(AT10,AT16)</f>
        <v>454.574432</v>
      </c>
      <c r="AU17" s="122" t="n">
        <f aca="false">MIN(AU10,AU16)</f>
        <v>454.574432</v>
      </c>
      <c r="AV17" s="122" t="n">
        <f aca="false">MIN(AV10,AV16)</f>
        <v>454.574432</v>
      </c>
      <c r="AW17" s="122" t="n">
        <f aca="false">MIN(AW10,AW16)</f>
        <v>454.574432</v>
      </c>
      <c r="AX17" s="122" t="n">
        <f aca="false">MIN(AX10,AX16)</f>
        <v>454.574432</v>
      </c>
      <c r="AY17" s="122" t="n">
        <f aca="false">MIN(AY10,AY16)</f>
        <v>468.21166496</v>
      </c>
      <c r="AZ17" s="122" t="n">
        <f aca="false">MIN(AZ10,AZ16)</f>
        <v>468.21166496</v>
      </c>
      <c r="BA17" s="122" t="n">
        <f aca="false">MIN(BA10,BA16)</f>
        <v>468.21166496</v>
      </c>
      <c r="BB17" s="122" t="n">
        <f aca="false">MIN(BB10,BB16)</f>
        <v>468.21166496</v>
      </c>
      <c r="BC17" s="122" t="n">
        <f aca="false">MIN(BC10,BC16)</f>
        <v>468.21166496</v>
      </c>
      <c r="BD17" s="122" t="n">
        <f aca="false">MIN(BD10,BD16)</f>
        <v>468.21166496</v>
      </c>
      <c r="BE17" s="122" t="n">
        <f aca="false">MIN(BE10,BE16)</f>
        <v>468.21166496</v>
      </c>
      <c r="BF17" s="122" t="n">
        <f aca="false">MIN(BF10,BF16)</f>
        <v>468.21166496</v>
      </c>
      <c r="BG17" s="122" t="n">
        <f aca="false">MIN(BG10,BG16)</f>
        <v>468.21166496</v>
      </c>
      <c r="BH17" s="122" t="n">
        <f aca="false">MIN(BH10,BH16)</f>
        <v>468.21166496</v>
      </c>
      <c r="BI17" s="122" t="n">
        <f aca="false">MIN(BI10,BI16)</f>
        <v>468.21166496</v>
      </c>
      <c r="BJ17" s="122" t="n">
        <f aca="false">MIN(BJ10,BJ16)</f>
        <v>468.21166496</v>
      </c>
    </row>
    <row r="18" customFormat="false" ht="15" hidden="false" customHeight="false" outlineLevel="0" collapsed="false">
      <c r="A18" s="6" t="s">
        <v>235</v>
      </c>
      <c r="C18" s="120" t="n">
        <f aca="false">C10-C17</f>
        <v>0</v>
      </c>
      <c r="D18" s="120" t="n">
        <f aca="false">D10-D17</f>
        <v>0</v>
      </c>
      <c r="E18" s="120" t="n">
        <f aca="false">E10-E17</f>
        <v>0</v>
      </c>
      <c r="F18" s="120" t="n">
        <f aca="false">F10-F17</f>
        <v>0</v>
      </c>
      <c r="G18" s="120" t="n">
        <f aca="false">G10-G17</f>
        <v>0</v>
      </c>
      <c r="H18" s="120" t="n">
        <f aca="false">H10-H17</f>
        <v>0</v>
      </c>
      <c r="I18" s="120" t="n">
        <f aca="false">I10-I17</f>
        <v>0</v>
      </c>
      <c r="J18" s="120" t="n">
        <f aca="false">J10-J17</f>
        <v>0</v>
      </c>
      <c r="K18" s="120" t="n">
        <f aca="false">K10-K17</f>
        <v>0</v>
      </c>
      <c r="L18" s="120" t="n">
        <f aca="false">L10-L17</f>
        <v>0</v>
      </c>
      <c r="M18" s="120" t="n">
        <f aca="false">M10-M17</f>
        <v>0</v>
      </c>
      <c r="N18" s="120" t="n">
        <f aca="false">N10-N17</f>
        <v>0</v>
      </c>
      <c r="O18" s="120" t="n">
        <f aca="false">O10-O17</f>
        <v>0</v>
      </c>
      <c r="P18" s="120" t="n">
        <f aca="false">P10-P17</f>
        <v>0</v>
      </c>
      <c r="Q18" s="120" t="n">
        <f aca="false">Q10-Q17</f>
        <v>0</v>
      </c>
      <c r="R18" s="120" t="n">
        <f aca="false">R10-R17</f>
        <v>0</v>
      </c>
      <c r="S18" s="120" t="n">
        <f aca="false">S10-S17</f>
        <v>0</v>
      </c>
      <c r="T18" s="120" t="n">
        <f aca="false">T10-T17</f>
        <v>0</v>
      </c>
      <c r="U18" s="120" t="n">
        <f aca="false">U10-U17</f>
        <v>0</v>
      </c>
      <c r="V18" s="120" t="n">
        <f aca="false">V10-V17</f>
        <v>0</v>
      </c>
      <c r="W18" s="120" t="n">
        <f aca="false">W10-W17</f>
        <v>0</v>
      </c>
      <c r="X18" s="120" t="n">
        <f aca="false">X10-X17</f>
        <v>0</v>
      </c>
      <c r="Y18" s="120" t="n">
        <f aca="false">Y10-Y17</f>
        <v>0</v>
      </c>
      <c r="Z18" s="120" t="n">
        <f aca="false">Z10-Z17</f>
        <v>0</v>
      </c>
      <c r="AA18" s="120" t="n">
        <f aca="false">AA10-AA17</f>
        <v>0</v>
      </c>
      <c r="AB18" s="120" t="n">
        <f aca="false">AB10-AB17</f>
        <v>0</v>
      </c>
      <c r="AC18" s="120" t="n">
        <f aca="false">AC10-AC17</f>
        <v>0</v>
      </c>
      <c r="AD18" s="120" t="n">
        <f aca="false">AD10-AD17</f>
        <v>0</v>
      </c>
      <c r="AE18" s="120" t="n">
        <f aca="false">AE10-AE17</f>
        <v>0</v>
      </c>
      <c r="AF18" s="120" t="n">
        <f aca="false">AF10-AF17</f>
        <v>0</v>
      </c>
      <c r="AG18" s="120" t="n">
        <f aca="false">AG10-AG17</f>
        <v>0</v>
      </c>
      <c r="AH18" s="120" t="n">
        <f aca="false">AH10-AH17</f>
        <v>0</v>
      </c>
      <c r="AI18" s="120" t="n">
        <f aca="false">AI10-AI17</f>
        <v>0</v>
      </c>
      <c r="AJ18" s="120" t="n">
        <f aca="false">AJ10-AJ17</f>
        <v>0</v>
      </c>
      <c r="AK18" s="120" t="n">
        <f aca="false">AK10-AK17</f>
        <v>0</v>
      </c>
      <c r="AL18" s="120" t="n">
        <f aca="false">AL10-AL17</f>
        <v>0</v>
      </c>
      <c r="AM18" s="120" t="n">
        <f aca="false">AM10-AM17</f>
        <v>0</v>
      </c>
      <c r="AN18" s="120" t="n">
        <f aca="false">AN10-AN17</f>
        <v>0</v>
      </c>
      <c r="AO18" s="120" t="n">
        <f aca="false">AO10-AO17</f>
        <v>0</v>
      </c>
      <c r="AP18" s="120" t="n">
        <f aca="false">AP10-AP17</f>
        <v>0</v>
      </c>
      <c r="AQ18" s="120" t="n">
        <f aca="false">AQ10-AQ17</f>
        <v>0</v>
      </c>
      <c r="AR18" s="120" t="n">
        <f aca="false">AR10-AR17</f>
        <v>0</v>
      </c>
      <c r="AS18" s="120" t="n">
        <f aca="false">AS10-AS17</f>
        <v>0</v>
      </c>
      <c r="AT18" s="120" t="n">
        <f aca="false">AT10-AT17</f>
        <v>0</v>
      </c>
      <c r="AU18" s="120" t="n">
        <f aca="false">AU10-AU17</f>
        <v>0</v>
      </c>
      <c r="AV18" s="120" t="n">
        <f aca="false">AV10-AV17</f>
        <v>0</v>
      </c>
      <c r="AW18" s="120" t="n">
        <f aca="false">AW10-AW17</f>
        <v>0</v>
      </c>
      <c r="AX18" s="120" t="n">
        <f aca="false">AX10-AX17</f>
        <v>0</v>
      </c>
      <c r="AY18" s="120" t="n">
        <f aca="false">AY10-AY17</f>
        <v>0</v>
      </c>
      <c r="AZ18" s="120" t="n">
        <f aca="false">AZ10-AZ17</f>
        <v>0</v>
      </c>
      <c r="BA18" s="120" t="n">
        <f aca="false">BA10-BA17</f>
        <v>0</v>
      </c>
      <c r="BB18" s="120" t="n">
        <f aca="false">BB10-BB17</f>
        <v>0</v>
      </c>
      <c r="BC18" s="120" t="n">
        <f aca="false">BC10-BC17</f>
        <v>0</v>
      </c>
      <c r="BD18" s="120" t="n">
        <f aca="false">BD10-BD17</f>
        <v>0</v>
      </c>
      <c r="BE18" s="120" t="n">
        <f aca="false">BE10-BE17</f>
        <v>0</v>
      </c>
      <c r="BF18" s="120" t="n">
        <f aca="false">BF10-BF17</f>
        <v>0</v>
      </c>
      <c r="BG18" s="120" t="n">
        <f aca="false">BG10-BG17</f>
        <v>0</v>
      </c>
      <c r="BH18" s="120" t="n">
        <f aca="false">BH10-BH17</f>
        <v>0</v>
      </c>
      <c r="BI18" s="120" t="n">
        <f aca="false">BI10-BI17</f>
        <v>0</v>
      </c>
      <c r="BJ18" s="120" t="n">
        <f aca="false">BJ10-BJ17</f>
        <v>0</v>
      </c>
    </row>
    <row r="20" customFormat="false" ht="15.75" hidden="false" customHeight="true" outlineLevel="0" collapsed="false">
      <c r="A20" s="7" t="s">
        <v>272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false" outlineLevel="0" collapsed="false">
      <c r="A21" s="6" t="s">
        <v>419</v>
      </c>
      <c r="C21" s="79" t="n">
        <f aca="false">IF(OR(AND(MOD(C$4-1,12)&gt;=5,MOD(C$4-1,12)&lt;=7),MOD(C$4-1,12)=11),1+Inputs!$E$28,1-Inputs!$E$28/2)</f>
        <v>0.9</v>
      </c>
      <c r="D21" s="79" t="n">
        <f aca="false">IF(OR(AND(MOD(D$4-1,12)&gt;=5,MOD(D$4-1,12)&lt;=7),MOD(D$4-1,12)=11),1+Inputs!$E$28,1-Inputs!$E$28/2)</f>
        <v>0.9</v>
      </c>
      <c r="E21" s="79" t="n">
        <f aca="false">IF(OR(AND(MOD(E$4-1,12)&gt;=5,MOD(E$4-1,12)&lt;=7),MOD(E$4-1,12)=11),1+Inputs!$E$28,1-Inputs!$E$28/2)</f>
        <v>0.9</v>
      </c>
      <c r="F21" s="79" t="n">
        <f aca="false">IF(OR(AND(MOD(F$4-1,12)&gt;=5,MOD(F$4-1,12)&lt;=7),MOD(F$4-1,12)=11),1+Inputs!$E$28,1-Inputs!$E$28/2)</f>
        <v>0.9</v>
      </c>
      <c r="G21" s="79" t="n">
        <f aca="false">IF(OR(AND(MOD(G$4-1,12)&gt;=5,MOD(G$4-1,12)&lt;=7),MOD(G$4-1,12)=11),1+Inputs!$E$28,1-Inputs!$E$28/2)</f>
        <v>0.9</v>
      </c>
      <c r="H21" s="79" t="n">
        <f aca="false">IF(OR(AND(MOD(H$4-1,12)&gt;=5,MOD(H$4-1,12)&lt;=7),MOD(H$4-1,12)=11),1+Inputs!$E$28,1-Inputs!$E$28/2)</f>
        <v>1.2</v>
      </c>
      <c r="I21" s="79" t="n">
        <f aca="false">IF(OR(AND(MOD(I$4-1,12)&gt;=5,MOD(I$4-1,12)&lt;=7),MOD(I$4-1,12)=11),1+Inputs!$E$28,1-Inputs!$E$28/2)</f>
        <v>1.2</v>
      </c>
      <c r="J21" s="79" t="n">
        <f aca="false">IF(OR(AND(MOD(J$4-1,12)&gt;=5,MOD(J$4-1,12)&lt;=7),MOD(J$4-1,12)=11),1+Inputs!$E$28,1-Inputs!$E$28/2)</f>
        <v>1.2</v>
      </c>
      <c r="K21" s="79" t="n">
        <f aca="false">IF(OR(AND(MOD(K$4-1,12)&gt;=5,MOD(K$4-1,12)&lt;=7),MOD(K$4-1,12)=11),1+Inputs!$E$28,1-Inputs!$E$28/2)</f>
        <v>0.9</v>
      </c>
      <c r="L21" s="79" t="n">
        <f aca="false">IF(OR(AND(MOD(L$4-1,12)&gt;=5,MOD(L$4-1,12)&lt;=7),MOD(L$4-1,12)=11),1+Inputs!$E$28,1-Inputs!$E$28/2)</f>
        <v>0.9</v>
      </c>
      <c r="M21" s="79" t="n">
        <f aca="false">IF(OR(AND(MOD(M$4-1,12)&gt;=5,MOD(M$4-1,12)&lt;=7),MOD(M$4-1,12)=11),1+Inputs!$E$28,1-Inputs!$E$28/2)</f>
        <v>0.9</v>
      </c>
      <c r="N21" s="79" t="n">
        <f aca="false">IF(OR(AND(MOD(N$4-1,12)&gt;=5,MOD(N$4-1,12)&lt;=7),MOD(N$4-1,12)=11),1+Inputs!$E$28,1-Inputs!$E$28/2)</f>
        <v>1.2</v>
      </c>
      <c r="O21" s="79" t="n">
        <f aca="false">IF(OR(AND(MOD(O$4-1,12)&gt;=5,MOD(O$4-1,12)&lt;=7),MOD(O$4-1,12)=11),1+Inputs!$E$28,1-Inputs!$E$28/2)</f>
        <v>0.9</v>
      </c>
      <c r="P21" s="79" t="n">
        <f aca="false">IF(OR(AND(MOD(P$4-1,12)&gt;=5,MOD(P$4-1,12)&lt;=7),MOD(P$4-1,12)=11),1+Inputs!$E$28,1-Inputs!$E$28/2)</f>
        <v>0.9</v>
      </c>
      <c r="Q21" s="79" t="n">
        <f aca="false">IF(OR(AND(MOD(Q$4-1,12)&gt;=5,MOD(Q$4-1,12)&lt;=7),MOD(Q$4-1,12)=11),1+Inputs!$E$28,1-Inputs!$E$28/2)</f>
        <v>0.9</v>
      </c>
      <c r="R21" s="79" t="n">
        <f aca="false">IF(OR(AND(MOD(R$4-1,12)&gt;=5,MOD(R$4-1,12)&lt;=7),MOD(R$4-1,12)=11),1+Inputs!$E$28,1-Inputs!$E$28/2)</f>
        <v>0.9</v>
      </c>
      <c r="S21" s="79" t="n">
        <f aca="false">IF(OR(AND(MOD(S$4-1,12)&gt;=5,MOD(S$4-1,12)&lt;=7),MOD(S$4-1,12)=11),1+Inputs!$E$28,1-Inputs!$E$28/2)</f>
        <v>0.9</v>
      </c>
      <c r="T21" s="79" t="n">
        <f aca="false">IF(OR(AND(MOD(T$4-1,12)&gt;=5,MOD(T$4-1,12)&lt;=7),MOD(T$4-1,12)=11),1+Inputs!$E$28,1-Inputs!$E$28/2)</f>
        <v>1.2</v>
      </c>
      <c r="U21" s="79" t="n">
        <f aca="false">IF(OR(AND(MOD(U$4-1,12)&gt;=5,MOD(U$4-1,12)&lt;=7),MOD(U$4-1,12)=11),1+Inputs!$E$28,1-Inputs!$E$28/2)</f>
        <v>1.2</v>
      </c>
      <c r="V21" s="79" t="n">
        <f aca="false">IF(OR(AND(MOD(V$4-1,12)&gt;=5,MOD(V$4-1,12)&lt;=7),MOD(V$4-1,12)=11),1+Inputs!$E$28,1-Inputs!$E$28/2)</f>
        <v>1.2</v>
      </c>
      <c r="W21" s="79" t="n">
        <f aca="false">IF(OR(AND(MOD(W$4-1,12)&gt;=5,MOD(W$4-1,12)&lt;=7),MOD(W$4-1,12)=11),1+Inputs!$E$28,1-Inputs!$E$28/2)</f>
        <v>0.9</v>
      </c>
      <c r="X21" s="79" t="n">
        <f aca="false">IF(OR(AND(MOD(X$4-1,12)&gt;=5,MOD(X$4-1,12)&lt;=7),MOD(X$4-1,12)=11),1+Inputs!$E$28,1-Inputs!$E$28/2)</f>
        <v>0.9</v>
      </c>
      <c r="Y21" s="79" t="n">
        <f aca="false">IF(OR(AND(MOD(Y$4-1,12)&gt;=5,MOD(Y$4-1,12)&lt;=7),MOD(Y$4-1,12)=11),1+Inputs!$E$28,1-Inputs!$E$28/2)</f>
        <v>0.9</v>
      </c>
      <c r="Z21" s="79" t="n">
        <f aca="false">IF(OR(AND(MOD(Z$4-1,12)&gt;=5,MOD(Z$4-1,12)&lt;=7),MOD(Z$4-1,12)=11),1+Inputs!$E$28,1-Inputs!$E$28/2)</f>
        <v>1.2</v>
      </c>
      <c r="AA21" s="79" t="n">
        <f aca="false">IF(OR(AND(MOD(AA$4-1,12)&gt;=5,MOD(AA$4-1,12)&lt;=7),MOD(AA$4-1,12)=11),1+Inputs!$E$28,1-Inputs!$E$28/2)</f>
        <v>0.9</v>
      </c>
      <c r="AB21" s="79" t="n">
        <f aca="false">IF(OR(AND(MOD(AB$4-1,12)&gt;=5,MOD(AB$4-1,12)&lt;=7),MOD(AB$4-1,12)=11),1+Inputs!$E$28,1-Inputs!$E$28/2)</f>
        <v>0.9</v>
      </c>
      <c r="AC21" s="79" t="n">
        <f aca="false">IF(OR(AND(MOD(AC$4-1,12)&gt;=5,MOD(AC$4-1,12)&lt;=7),MOD(AC$4-1,12)=11),1+Inputs!$E$28,1-Inputs!$E$28/2)</f>
        <v>0.9</v>
      </c>
      <c r="AD21" s="79" t="n">
        <f aca="false">IF(OR(AND(MOD(AD$4-1,12)&gt;=5,MOD(AD$4-1,12)&lt;=7),MOD(AD$4-1,12)=11),1+Inputs!$E$28,1-Inputs!$E$28/2)</f>
        <v>0.9</v>
      </c>
      <c r="AE21" s="79" t="n">
        <f aca="false">IF(OR(AND(MOD(AE$4-1,12)&gt;=5,MOD(AE$4-1,12)&lt;=7),MOD(AE$4-1,12)=11),1+Inputs!$E$28,1-Inputs!$E$28/2)</f>
        <v>0.9</v>
      </c>
      <c r="AF21" s="79" t="n">
        <f aca="false">IF(OR(AND(MOD(AF$4-1,12)&gt;=5,MOD(AF$4-1,12)&lt;=7),MOD(AF$4-1,12)=11),1+Inputs!$E$28,1-Inputs!$E$28/2)</f>
        <v>1.2</v>
      </c>
      <c r="AG21" s="79" t="n">
        <f aca="false">IF(OR(AND(MOD(AG$4-1,12)&gt;=5,MOD(AG$4-1,12)&lt;=7),MOD(AG$4-1,12)=11),1+Inputs!$E$28,1-Inputs!$E$28/2)</f>
        <v>1.2</v>
      </c>
      <c r="AH21" s="79" t="n">
        <f aca="false">IF(OR(AND(MOD(AH$4-1,12)&gt;=5,MOD(AH$4-1,12)&lt;=7),MOD(AH$4-1,12)=11),1+Inputs!$E$28,1-Inputs!$E$28/2)</f>
        <v>1.2</v>
      </c>
      <c r="AI21" s="79" t="n">
        <f aca="false">IF(OR(AND(MOD(AI$4-1,12)&gt;=5,MOD(AI$4-1,12)&lt;=7),MOD(AI$4-1,12)=11),1+Inputs!$E$28,1-Inputs!$E$28/2)</f>
        <v>0.9</v>
      </c>
      <c r="AJ21" s="79" t="n">
        <f aca="false">IF(OR(AND(MOD(AJ$4-1,12)&gt;=5,MOD(AJ$4-1,12)&lt;=7),MOD(AJ$4-1,12)=11),1+Inputs!$E$28,1-Inputs!$E$28/2)</f>
        <v>0.9</v>
      </c>
      <c r="AK21" s="79" t="n">
        <f aca="false">IF(OR(AND(MOD(AK$4-1,12)&gt;=5,MOD(AK$4-1,12)&lt;=7),MOD(AK$4-1,12)=11),1+Inputs!$E$28,1-Inputs!$E$28/2)</f>
        <v>0.9</v>
      </c>
      <c r="AL21" s="79" t="n">
        <f aca="false">IF(OR(AND(MOD(AL$4-1,12)&gt;=5,MOD(AL$4-1,12)&lt;=7),MOD(AL$4-1,12)=11),1+Inputs!$E$28,1-Inputs!$E$28/2)</f>
        <v>1.2</v>
      </c>
      <c r="AM21" s="79" t="n">
        <f aca="false">IF(OR(AND(MOD(AM$4-1,12)&gt;=5,MOD(AM$4-1,12)&lt;=7),MOD(AM$4-1,12)=11),1+Inputs!$E$28,1-Inputs!$E$28/2)</f>
        <v>0.9</v>
      </c>
      <c r="AN21" s="79" t="n">
        <f aca="false">IF(OR(AND(MOD(AN$4-1,12)&gt;=5,MOD(AN$4-1,12)&lt;=7),MOD(AN$4-1,12)=11),1+Inputs!$E$28,1-Inputs!$E$28/2)</f>
        <v>0.9</v>
      </c>
      <c r="AO21" s="79" t="n">
        <f aca="false">IF(OR(AND(MOD(AO$4-1,12)&gt;=5,MOD(AO$4-1,12)&lt;=7),MOD(AO$4-1,12)=11),1+Inputs!$E$28,1-Inputs!$E$28/2)</f>
        <v>0.9</v>
      </c>
      <c r="AP21" s="79" t="n">
        <f aca="false">IF(OR(AND(MOD(AP$4-1,12)&gt;=5,MOD(AP$4-1,12)&lt;=7),MOD(AP$4-1,12)=11),1+Inputs!$E$28,1-Inputs!$E$28/2)</f>
        <v>0.9</v>
      </c>
      <c r="AQ21" s="79" t="n">
        <f aca="false">IF(OR(AND(MOD(AQ$4-1,12)&gt;=5,MOD(AQ$4-1,12)&lt;=7),MOD(AQ$4-1,12)=11),1+Inputs!$E$28,1-Inputs!$E$28/2)</f>
        <v>0.9</v>
      </c>
      <c r="AR21" s="79" t="n">
        <f aca="false">IF(OR(AND(MOD(AR$4-1,12)&gt;=5,MOD(AR$4-1,12)&lt;=7),MOD(AR$4-1,12)=11),1+Inputs!$E$28,1-Inputs!$E$28/2)</f>
        <v>1.2</v>
      </c>
      <c r="AS21" s="79" t="n">
        <f aca="false">IF(OR(AND(MOD(AS$4-1,12)&gt;=5,MOD(AS$4-1,12)&lt;=7),MOD(AS$4-1,12)=11),1+Inputs!$E$28,1-Inputs!$E$28/2)</f>
        <v>1.2</v>
      </c>
      <c r="AT21" s="79" t="n">
        <f aca="false">IF(OR(AND(MOD(AT$4-1,12)&gt;=5,MOD(AT$4-1,12)&lt;=7),MOD(AT$4-1,12)=11),1+Inputs!$E$28,1-Inputs!$E$28/2)</f>
        <v>1.2</v>
      </c>
      <c r="AU21" s="79" t="n">
        <f aca="false">IF(OR(AND(MOD(AU$4-1,12)&gt;=5,MOD(AU$4-1,12)&lt;=7),MOD(AU$4-1,12)=11),1+Inputs!$E$28,1-Inputs!$E$28/2)</f>
        <v>0.9</v>
      </c>
      <c r="AV21" s="79" t="n">
        <f aca="false">IF(OR(AND(MOD(AV$4-1,12)&gt;=5,MOD(AV$4-1,12)&lt;=7),MOD(AV$4-1,12)=11),1+Inputs!$E$28,1-Inputs!$E$28/2)</f>
        <v>0.9</v>
      </c>
      <c r="AW21" s="79" t="n">
        <f aca="false">IF(OR(AND(MOD(AW$4-1,12)&gt;=5,MOD(AW$4-1,12)&lt;=7),MOD(AW$4-1,12)=11),1+Inputs!$E$28,1-Inputs!$E$28/2)</f>
        <v>0.9</v>
      </c>
      <c r="AX21" s="79" t="n">
        <f aca="false">IF(OR(AND(MOD(AX$4-1,12)&gt;=5,MOD(AX$4-1,12)&lt;=7),MOD(AX$4-1,12)=11),1+Inputs!$E$28,1-Inputs!$E$28/2)</f>
        <v>1.2</v>
      </c>
      <c r="AY21" s="79" t="n">
        <f aca="false">IF(OR(AND(MOD(AY$4-1,12)&gt;=5,MOD(AY$4-1,12)&lt;=7),MOD(AY$4-1,12)=11),1+Inputs!$E$28,1-Inputs!$E$28/2)</f>
        <v>0.9</v>
      </c>
      <c r="AZ21" s="79" t="n">
        <f aca="false">IF(OR(AND(MOD(AZ$4-1,12)&gt;=5,MOD(AZ$4-1,12)&lt;=7),MOD(AZ$4-1,12)=11),1+Inputs!$E$28,1-Inputs!$E$28/2)</f>
        <v>0.9</v>
      </c>
      <c r="BA21" s="79" t="n">
        <f aca="false">IF(OR(AND(MOD(BA$4-1,12)&gt;=5,MOD(BA$4-1,12)&lt;=7),MOD(BA$4-1,12)=11),1+Inputs!$E$28,1-Inputs!$E$28/2)</f>
        <v>0.9</v>
      </c>
      <c r="BB21" s="79" t="n">
        <f aca="false">IF(OR(AND(MOD(BB$4-1,12)&gt;=5,MOD(BB$4-1,12)&lt;=7),MOD(BB$4-1,12)=11),1+Inputs!$E$28,1-Inputs!$E$28/2)</f>
        <v>0.9</v>
      </c>
      <c r="BC21" s="79" t="n">
        <f aca="false">IF(OR(AND(MOD(BC$4-1,12)&gt;=5,MOD(BC$4-1,12)&lt;=7),MOD(BC$4-1,12)=11),1+Inputs!$E$28,1-Inputs!$E$28/2)</f>
        <v>0.9</v>
      </c>
      <c r="BD21" s="79" t="n">
        <f aca="false">IF(OR(AND(MOD(BD$4-1,12)&gt;=5,MOD(BD$4-1,12)&lt;=7),MOD(BD$4-1,12)=11),1+Inputs!$E$28,1-Inputs!$E$28/2)</f>
        <v>1.2</v>
      </c>
      <c r="BE21" s="79" t="n">
        <f aca="false">IF(OR(AND(MOD(BE$4-1,12)&gt;=5,MOD(BE$4-1,12)&lt;=7),MOD(BE$4-1,12)=11),1+Inputs!$E$28,1-Inputs!$E$28/2)</f>
        <v>1.2</v>
      </c>
      <c r="BF21" s="79" t="n">
        <f aca="false">IF(OR(AND(MOD(BF$4-1,12)&gt;=5,MOD(BF$4-1,12)&lt;=7),MOD(BF$4-1,12)=11),1+Inputs!$E$28,1-Inputs!$E$28/2)</f>
        <v>1.2</v>
      </c>
      <c r="BG21" s="79" t="n">
        <f aca="false">IF(OR(AND(MOD(BG$4-1,12)&gt;=5,MOD(BG$4-1,12)&lt;=7),MOD(BG$4-1,12)=11),1+Inputs!$E$28,1-Inputs!$E$28/2)</f>
        <v>0.9</v>
      </c>
      <c r="BH21" s="79" t="n">
        <f aca="false">IF(OR(AND(MOD(BH$4-1,12)&gt;=5,MOD(BH$4-1,12)&lt;=7),MOD(BH$4-1,12)=11),1+Inputs!$E$28,1-Inputs!$E$28/2)</f>
        <v>0.9</v>
      </c>
      <c r="BI21" s="79" t="n">
        <f aca="false">IF(OR(AND(MOD(BI$4-1,12)&gt;=5,MOD(BI$4-1,12)&lt;=7),MOD(BI$4-1,12)=11),1+Inputs!$E$28,1-Inputs!$E$28/2)</f>
        <v>0.9</v>
      </c>
      <c r="BJ21" s="79" t="n">
        <f aca="false">IF(OR(AND(MOD(BJ$4-1,12)&gt;=5,MOD(BJ$4-1,12)&lt;=7),MOD(BJ$4-1,12)=11),1+Inputs!$E$28,1-Inputs!$E$28/2)</f>
        <v>1.2</v>
      </c>
    </row>
    <row r="22" customFormat="false" ht="15" hidden="false" customHeight="false" outlineLevel="0" collapsed="false">
      <c r="A22" s="6" t="s">
        <v>420</v>
      </c>
      <c r="C22" s="120" t="n">
        <f aca="false">Inputs!$E$25*Inputs!$E$29*1</f>
        <v>912</v>
      </c>
      <c r="D22" s="120" t="n">
        <f aca="false">Inputs!$E$25*Inputs!$E$29*1</f>
        <v>912</v>
      </c>
      <c r="E22" s="120" t="n">
        <f aca="false">Inputs!$E$25*Inputs!$E$29*1</f>
        <v>912</v>
      </c>
      <c r="F22" s="120" t="n">
        <f aca="false">Inputs!$E$25*Inputs!$E$29*1</f>
        <v>912</v>
      </c>
      <c r="G22" s="120" t="n">
        <f aca="false">Inputs!$E$25*Inputs!$E$29*1</f>
        <v>912</v>
      </c>
      <c r="H22" s="120" t="n">
        <f aca="false">Inputs!$E$25*Inputs!$E$29*1</f>
        <v>912</v>
      </c>
      <c r="I22" s="120" t="n">
        <f aca="false">Inputs!$E$25*Inputs!$E$29*1</f>
        <v>912</v>
      </c>
      <c r="J22" s="120" t="n">
        <f aca="false">Inputs!$E$25*Inputs!$E$29*1</f>
        <v>912</v>
      </c>
      <c r="K22" s="120" t="n">
        <f aca="false">Inputs!$E$25*Inputs!$E$29*1</f>
        <v>912</v>
      </c>
      <c r="L22" s="120" t="n">
        <f aca="false">Inputs!$E$25*Inputs!$E$29*1</f>
        <v>912</v>
      </c>
      <c r="M22" s="120" t="n">
        <f aca="false">Inputs!$E$25*Inputs!$E$29*1</f>
        <v>912</v>
      </c>
      <c r="N22" s="120" t="n">
        <f aca="false">Inputs!$E$25*Inputs!$E$29*1</f>
        <v>912</v>
      </c>
      <c r="O22" s="120" t="n">
        <f aca="false">Inputs!$E$25*Inputs!$E$29*1</f>
        <v>912</v>
      </c>
      <c r="P22" s="120" t="n">
        <f aca="false">Inputs!$E$25*Inputs!$E$29*1</f>
        <v>912</v>
      </c>
      <c r="Q22" s="120" t="n">
        <f aca="false">Inputs!$E$25*Inputs!$E$29*1</f>
        <v>912</v>
      </c>
      <c r="R22" s="120" t="n">
        <f aca="false">Inputs!$E$25*Inputs!$E$29*1</f>
        <v>912</v>
      </c>
      <c r="S22" s="120" t="n">
        <f aca="false">Inputs!$E$25*Inputs!$E$29*1</f>
        <v>912</v>
      </c>
      <c r="T22" s="120" t="n">
        <f aca="false">Inputs!$E$25*Inputs!$E$29*1</f>
        <v>912</v>
      </c>
      <c r="U22" s="120" t="n">
        <f aca="false">Inputs!$E$25*Inputs!$E$29*1</f>
        <v>912</v>
      </c>
      <c r="V22" s="120" t="n">
        <f aca="false">Inputs!$E$25*Inputs!$E$29*1</f>
        <v>912</v>
      </c>
      <c r="W22" s="120" t="n">
        <f aca="false">Inputs!$E$25*Inputs!$E$29*1</f>
        <v>912</v>
      </c>
      <c r="X22" s="120" t="n">
        <f aca="false">Inputs!$E$25*Inputs!$E$29*1</f>
        <v>912</v>
      </c>
      <c r="Y22" s="120" t="n">
        <f aca="false">Inputs!$E$25*Inputs!$E$29*1</f>
        <v>912</v>
      </c>
      <c r="Z22" s="120" t="n">
        <f aca="false">Inputs!$E$25*Inputs!$E$29*1</f>
        <v>912</v>
      </c>
      <c r="AA22" s="120" t="n">
        <f aca="false">Inputs!$E$25*Inputs!$E$29*1</f>
        <v>912</v>
      </c>
      <c r="AB22" s="120" t="n">
        <f aca="false">Inputs!$E$25*Inputs!$E$29*1</f>
        <v>912</v>
      </c>
      <c r="AC22" s="120" t="n">
        <f aca="false">Inputs!$E$25*Inputs!$E$29*1</f>
        <v>912</v>
      </c>
      <c r="AD22" s="120" t="n">
        <f aca="false">Inputs!$E$25*Inputs!$E$29*1</f>
        <v>912</v>
      </c>
      <c r="AE22" s="120" t="n">
        <f aca="false">Inputs!$E$25*Inputs!$E$29*1</f>
        <v>912</v>
      </c>
      <c r="AF22" s="120" t="n">
        <f aca="false">Inputs!$E$25*Inputs!$E$29*1</f>
        <v>912</v>
      </c>
      <c r="AG22" s="120" t="n">
        <f aca="false">Inputs!$E$25*Inputs!$E$29*1</f>
        <v>912</v>
      </c>
      <c r="AH22" s="120" t="n">
        <f aca="false">Inputs!$E$25*Inputs!$E$29*1</f>
        <v>912</v>
      </c>
      <c r="AI22" s="120" t="n">
        <f aca="false">Inputs!$E$25*Inputs!$E$29*1</f>
        <v>912</v>
      </c>
      <c r="AJ22" s="120" t="n">
        <f aca="false">Inputs!$E$25*Inputs!$E$29*1</f>
        <v>912</v>
      </c>
      <c r="AK22" s="120" t="n">
        <f aca="false">Inputs!$E$25*Inputs!$E$29*1</f>
        <v>912</v>
      </c>
      <c r="AL22" s="120" t="n">
        <f aca="false">Inputs!$E$25*Inputs!$E$29*1</f>
        <v>912</v>
      </c>
      <c r="AM22" s="120" t="n">
        <f aca="false">Inputs!$E$25*Inputs!$E$29*1</f>
        <v>912</v>
      </c>
      <c r="AN22" s="120" t="n">
        <f aca="false">Inputs!$E$25*Inputs!$E$29*1</f>
        <v>912</v>
      </c>
      <c r="AO22" s="120" t="n">
        <f aca="false">Inputs!$E$25*Inputs!$E$29*1</f>
        <v>912</v>
      </c>
      <c r="AP22" s="120" t="n">
        <f aca="false">Inputs!$E$25*Inputs!$E$29*1</f>
        <v>912</v>
      </c>
      <c r="AQ22" s="120" t="n">
        <f aca="false">Inputs!$E$25*Inputs!$E$29*1</f>
        <v>912</v>
      </c>
      <c r="AR22" s="120" t="n">
        <f aca="false">Inputs!$E$25*Inputs!$E$29*1</f>
        <v>912</v>
      </c>
      <c r="AS22" s="120" t="n">
        <f aca="false">Inputs!$E$25*Inputs!$E$29*1</f>
        <v>912</v>
      </c>
      <c r="AT22" s="120" t="n">
        <f aca="false">Inputs!$E$25*Inputs!$E$29*1</f>
        <v>912</v>
      </c>
      <c r="AU22" s="120" t="n">
        <f aca="false">Inputs!$E$25*Inputs!$E$29*1</f>
        <v>912</v>
      </c>
      <c r="AV22" s="120" t="n">
        <f aca="false">Inputs!$E$25*Inputs!$E$29*1</f>
        <v>912</v>
      </c>
      <c r="AW22" s="120" t="n">
        <f aca="false">Inputs!$E$25*Inputs!$E$29*1</f>
        <v>912</v>
      </c>
      <c r="AX22" s="120" t="n">
        <f aca="false">Inputs!$E$25*Inputs!$E$29*1</f>
        <v>912</v>
      </c>
      <c r="AY22" s="120" t="n">
        <f aca="false">Inputs!$E$25*Inputs!$E$29*1</f>
        <v>912</v>
      </c>
      <c r="AZ22" s="120" t="n">
        <f aca="false">Inputs!$E$25*Inputs!$E$29*1</f>
        <v>912</v>
      </c>
      <c r="BA22" s="120" t="n">
        <f aca="false">Inputs!$E$25*Inputs!$E$29*1</f>
        <v>912</v>
      </c>
      <c r="BB22" s="120" t="n">
        <f aca="false">Inputs!$E$25*Inputs!$E$29*1</f>
        <v>912</v>
      </c>
      <c r="BC22" s="120" t="n">
        <f aca="false">Inputs!$E$25*Inputs!$E$29*1</f>
        <v>912</v>
      </c>
      <c r="BD22" s="120" t="n">
        <f aca="false">Inputs!$E$25*Inputs!$E$29*1</f>
        <v>912</v>
      </c>
      <c r="BE22" s="120" t="n">
        <f aca="false">Inputs!$E$25*Inputs!$E$29*1</f>
        <v>912</v>
      </c>
      <c r="BF22" s="120" t="n">
        <f aca="false">Inputs!$E$25*Inputs!$E$29*1</f>
        <v>912</v>
      </c>
      <c r="BG22" s="120" t="n">
        <f aca="false">Inputs!$E$25*Inputs!$E$29*1</f>
        <v>912</v>
      </c>
      <c r="BH22" s="120" t="n">
        <f aca="false">Inputs!$E$25*Inputs!$E$29*1</f>
        <v>912</v>
      </c>
      <c r="BI22" s="120" t="n">
        <f aca="false">Inputs!$E$25*Inputs!$E$29*1</f>
        <v>912</v>
      </c>
      <c r="BJ22" s="120" t="n">
        <f aca="false">Inputs!$E$25*Inputs!$E$29*1</f>
        <v>912</v>
      </c>
    </row>
    <row r="23" customFormat="false" ht="15" hidden="false" customHeight="false" outlineLevel="0" collapsed="false">
      <c r="A23" s="38" t="s">
        <v>421</v>
      </c>
      <c r="C23" s="76" t="n">
        <f aca="false">MIN(1,Inputs!$E$26*(1+Inputs!$E$27)^(C$5-1)*C9*C21)</f>
        <v>0.2232</v>
      </c>
      <c r="D23" s="76" t="n">
        <f aca="false">MIN(1,Inputs!$E$26*(1+Inputs!$E$27)^(D$5-1)*D9*D21)</f>
        <v>0.25668</v>
      </c>
      <c r="E23" s="76" t="n">
        <f aca="false">MIN(1,Inputs!$E$26*(1+Inputs!$E$27)^(E$5-1)*E9*E21)</f>
        <v>0.29016</v>
      </c>
      <c r="F23" s="76" t="n">
        <f aca="false">MIN(1,Inputs!$E$26*(1+Inputs!$E$27)^(F$5-1)*F9*F21)</f>
        <v>0.32364</v>
      </c>
      <c r="G23" s="76" t="n">
        <f aca="false">MIN(1,Inputs!$E$26*(1+Inputs!$E$27)^(G$5-1)*G9*G21)</f>
        <v>0.35712</v>
      </c>
      <c r="H23" s="76" t="n">
        <f aca="false">MIN(1,Inputs!$E$26*(1+Inputs!$E$27)^(H$5-1)*H9*H21)</f>
        <v>0.5208</v>
      </c>
      <c r="I23" s="76" t="n">
        <f aca="false">MIN(1,Inputs!$E$26*(1+Inputs!$E$27)^(I$5-1)*I9*I21)</f>
        <v>0.56544</v>
      </c>
      <c r="J23" s="76" t="n">
        <f aca="false">MIN(1,Inputs!$E$26*(1+Inputs!$E$27)^(J$5-1)*J9*J21)</f>
        <v>0.61008</v>
      </c>
      <c r="K23" s="76" t="n">
        <f aca="false">MIN(1,Inputs!$E$26*(1+Inputs!$E$27)^(K$5-1)*K9*K21)</f>
        <v>0.49104</v>
      </c>
      <c r="L23" s="76" t="n">
        <f aca="false">MIN(1,Inputs!$E$26*(1+Inputs!$E$27)^(L$5-1)*L9*L21)</f>
        <v>0.52452</v>
      </c>
      <c r="M23" s="76" t="n">
        <f aca="false">MIN(1,Inputs!$E$26*(1+Inputs!$E$27)^(M$5-1)*M9*M21)</f>
        <v>0.558</v>
      </c>
      <c r="N23" s="76" t="n">
        <f aca="false">MIN(1,Inputs!$E$26*(1+Inputs!$E$27)^(N$5-1)*N9*N21)</f>
        <v>0.744</v>
      </c>
      <c r="O23" s="76" t="n">
        <f aca="false">MIN(1,Inputs!$E$26*(1+Inputs!$E$27)^(O$5-1)*O9*O21)</f>
        <v>0.57474</v>
      </c>
      <c r="P23" s="76" t="n">
        <f aca="false">MIN(1,Inputs!$E$26*(1+Inputs!$E$27)^(P$5-1)*P9*P21)</f>
        <v>0.57474</v>
      </c>
      <c r="Q23" s="76" t="n">
        <f aca="false">MIN(1,Inputs!$E$26*(1+Inputs!$E$27)^(Q$5-1)*Q9*Q21)</f>
        <v>0.57474</v>
      </c>
      <c r="R23" s="76" t="n">
        <f aca="false">MIN(1,Inputs!$E$26*(1+Inputs!$E$27)^(R$5-1)*R9*R21)</f>
        <v>0.57474</v>
      </c>
      <c r="S23" s="76" t="n">
        <f aca="false">MIN(1,Inputs!$E$26*(1+Inputs!$E$27)^(S$5-1)*S9*S21)</f>
        <v>0.57474</v>
      </c>
      <c r="T23" s="76" t="n">
        <f aca="false">MIN(1,Inputs!$E$26*(1+Inputs!$E$27)^(T$5-1)*T9*T21)</f>
        <v>0.76632</v>
      </c>
      <c r="U23" s="76" t="n">
        <f aca="false">MIN(1,Inputs!$E$26*(1+Inputs!$E$27)^(U$5-1)*U9*U21)</f>
        <v>0.76632</v>
      </c>
      <c r="V23" s="76" t="n">
        <f aca="false">MIN(1,Inputs!$E$26*(1+Inputs!$E$27)^(V$5-1)*V9*V21)</f>
        <v>0.76632</v>
      </c>
      <c r="W23" s="76" t="n">
        <f aca="false">MIN(1,Inputs!$E$26*(1+Inputs!$E$27)^(W$5-1)*W9*W21)</f>
        <v>0.57474</v>
      </c>
      <c r="X23" s="76" t="n">
        <f aca="false">MIN(1,Inputs!$E$26*(1+Inputs!$E$27)^(X$5-1)*X9*X21)</f>
        <v>0.57474</v>
      </c>
      <c r="Y23" s="76" t="n">
        <f aca="false">MIN(1,Inputs!$E$26*(1+Inputs!$E$27)^(Y$5-1)*Y9*Y21)</f>
        <v>0.57474</v>
      </c>
      <c r="Z23" s="76" t="n">
        <f aca="false">MIN(1,Inputs!$E$26*(1+Inputs!$E$27)^(Z$5-1)*Z9*Z21)</f>
        <v>0.76632</v>
      </c>
      <c r="AA23" s="76" t="n">
        <f aca="false">MIN(1,Inputs!$E$26*(1+Inputs!$E$27)^(AA$5-1)*AA9*AA21)</f>
        <v>0.5919822</v>
      </c>
      <c r="AB23" s="76" t="n">
        <f aca="false">MIN(1,Inputs!$E$26*(1+Inputs!$E$27)^(AB$5-1)*AB9*AB21)</f>
        <v>0.5919822</v>
      </c>
      <c r="AC23" s="76" t="n">
        <f aca="false">MIN(1,Inputs!$E$26*(1+Inputs!$E$27)^(AC$5-1)*AC9*AC21)</f>
        <v>0.5919822</v>
      </c>
      <c r="AD23" s="76" t="n">
        <f aca="false">MIN(1,Inputs!$E$26*(1+Inputs!$E$27)^(AD$5-1)*AD9*AD21)</f>
        <v>0.5919822</v>
      </c>
      <c r="AE23" s="76" t="n">
        <f aca="false">MIN(1,Inputs!$E$26*(1+Inputs!$E$27)^(AE$5-1)*AE9*AE21)</f>
        <v>0.5919822</v>
      </c>
      <c r="AF23" s="76" t="n">
        <f aca="false">MIN(1,Inputs!$E$26*(1+Inputs!$E$27)^(AF$5-1)*AF9*AF21)</f>
        <v>0.7893096</v>
      </c>
      <c r="AG23" s="76" t="n">
        <f aca="false">MIN(1,Inputs!$E$26*(1+Inputs!$E$27)^(AG$5-1)*AG9*AG21)</f>
        <v>0.7893096</v>
      </c>
      <c r="AH23" s="76" t="n">
        <f aca="false">MIN(1,Inputs!$E$26*(1+Inputs!$E$27)^(AH$5-1)*AH9*AH21)</f>
        <v>0.7893096</v>
      </c>
      <c r="AI23" s="76" t="n">
        <f aca="false">MIN(1,Inputs!$E$26*(1+Inputs!$E$27)^(AI$5-1)*AI9*AI21)</f>
        <v>0.5919822</v>
      </c>
      <c r="AJ23" s="76" t="n">
        <f aca="false">MIN(1,Inputs!$E$26*(1+Inputs!$E$27)^(AJ$5-1)*AJ9*AJ21)</f>
        <v>0.5919822</v>
      </c>
      <c r="AK23" s="76" t="n">
        <f aca="false">MIN(1,Inputs!$E$26*(1+Inputs!$E$27)^(AK$5-1)*AK9*AK21)</f>
        <v>0.5919822</v>
      </c>
      <c r="AL23" s="76" t="n">
        <f aca="false">MIN(1,Inputs!$E$26*(1+Inputs!$E$27)^(AL$5-1)*AL9*AL21)</f>
        <v>0.7893096</v>
      </c>
      <c r="AM23" s="76" t="n">
        <f aca="false">MIN(1,Inputs!$E$26*(1+Inputs!$E$27)^(AM$5-1)*AM9*AM21)</f>
        <v>0.609741666</v>
      </c>
      <c r="AN23" s="76" t="n">
        <f aca="false">MIN(1,Inputs!$E$26*(1+Inputs!$E$27)^(AN$5-1)*AN9*AN21)</f>
        <v>0.609741666</v>
      </c>
      <c r="AO23" s="76" t="n">
        <f aca="false">MIN(1,Inputs!$E$26*(1+Inputs!$E$27)^(AO$5-1)*AO9*AO21)</f>
        <v>0.609741666</v>
      </c>
      <c r="AP23" s="76" t="n">
        <f aca="false">MIN(1,Inputs!$E$26*(1+Inputs!$E$27)^(AP$5-1)*AP9*AP21)</f>
        <v>0.609741666</v>
      </c>
      <c r="AQ23" s="76" t="n">
        <f aca="false">MIN(1,Inputs!$E$26*(1+Inputs!$E$27)^(AQ$5-1)*AQ9*AQ21)</f>
        <v>0.609741666</v>
      </c>
      <c r="AR23" s="76" t="n">
        <f aca="false">MIN(1,Inputs!$E$26*(1+Inputs!$E$27)^(AR$5-1)*AR9*AR21)</f>
        <v>0.812988888</v>
      </c>
      <c r="AS23" s="76" t="n">
        <f aca="false">MIN(1,Inputs!$E$26*(1+Inputs!$E$27)^(AS$5-1)*AS9*AS21)</f>
        <v>0.812988888</v>
      </c>
      <c r="AT23" s="76" t="n">
        <f aca="false">MIN(1,Inputs!$E$26*(1+Inputs!$E$27)^(AT$5-1)*AT9*AT21)</f>
        <v>0.812988888</v>
      </c>
      <c r="AU23" s="76" t="n">
        <f aca="false">MIN(1,Inputs!$E$26*(1+Inputs!$E$27)^(AU$5-1)*AU9*AU21)</f>
        <v>0.609741666</v>
      </c>
      <c r="AV23" s="76" t="n">
        <f aca="false">MIN(1,Inputs!$E$26*(1+Inputs!$E$27)^(AV$5-1)*AV9*AV21)</f>
        <v>0.609741666</v>
      </c>
      <c r="AW23" s="76" t="n">
        <f aca="false">MIN(1,Inputs!$E$26*(1+Inputs!$E$27)^(AW$5-1)*AW9*AW21)</f>
        <v>0.609741666</v>
      </c>
      <c r="AX23" s="76" t="n">
        <f aca="false">MIN(1,Inputs!$E$26*(1+Inputs!$E$27)^(AX$5-1)*AX9*AX21)</f>
        <v>0.812988888</v>
      </c>
      <c r="AY23" s="76" t="n">
        <f aca="false">MIN(1,Inputs!$E$26*(1+Inputs!$E$27)^(AY$5-1)*AY9*AY21)</f>
        <v>0.62803391598</v>
      </c>
      <c r="AZ23" s="76" t="n">
        <f aca="false">MIN(1,Inputs!$E$26*(1+Inputs!$E$27)^(AZ$5-1)*AZ9*AZ21)</f>
        <v>0.62803391598</v>
      </c>
      <c r="BA23" s="76" t="n">
        <f aca="false">MIN(1,Inputs!$E$26*(1+Inputs!$E$27)^(BA$5-1)*BA9*BA21)</f>
        <v>0.62803391598</v>
      </c>
      <c r="BB23" s="76" t="n">
        <f aca="false">MIN(1,Inputs!$E$26*(1+Inputs!$E$27)^(BB$5-1)*BB9*BB21)</f>
        <v>0.62803391598</v>
      </c>
      <c r="BC23" s="76" t="n">
        <f aca="false">MIN(1,Inputs!$E$26*(1+Inputs!$E$27)^(BC$5-1)*BC9*BC21)</f>
        <v>0.62803391598</v>
      </c>
      <c r="BD23" s="76" t="n">
        <f aca="false">MIN(1,Inputs!$E$26*(1+Inputs!$E$27)^(BD$5-1)*BD9*BD21)</f>
        <v>0.83737855464</v>
      </c>
      <c r="BE23" s="76" t="n">
        <f aca="false">MIN(1,Inputs!$E$26*(1+Inputs!$E$27)^(BE$5-1)*BE9*BE21)</f>
        <v>0.83737855464</v>
      </c>
      <c r="BF23" s="76" t="n">
        <f aca="false">MIN(1,Inputs!$E$26*(1+Inputs!$E$27)^(BF$5-1)*BF9*BF21)</f>
        <v>0.83737855464</v>
      </c>
      <c r="BG23" s="76" t="n">
        <f aca="false">MIN(1,Inputs!$E$26*(1+Inputs!$E$27)^(BG$5-1)*BG9*BG21)</f>
        <v>0.62803391598</v>
      </c>
      <c r="BH23" s="76" t="n">
        <f aca="false">MIN(1,Inputs!$E$26*(1+Inputs!$E$27)^(BH$5-1)*BH9*BH21)</f>
        <v>0.62803391598</v>
      </c>
      <c r="BI23" s="76" t="n">
        <f aca="false">MIN(1,Inputs!$E$26*(1+Inputs!$E$27)^(BI$5-1)*BI9*BI21)</f>
        <v>0.62803391598</v>
      </c>
      <c r="BJ23" s="76" t="n">
        <f aca="false">MIN(1,Inputs!$E$26*(1+Inputs!$E$27)^(BJ$5-1)*BJ9*BJ21)</f>
        <v>0.83737855464</v>
      </c>
    </row>
    <row r="24" customFormat="false" ht="15" hidden="false" customHeight="false" outlineLevel="0" collapsed="false">
      <c r="A24" s="4" t="s">
        <v>236</v>
      </c>
      <c r="C24" s="122" t="n">
        <f aca="false">C22*C23</f>
        <v>203.5584</v>
      </c>
      <c r="D24" s="122" t="n">
        <f aca="false">D22*D23</f>
        <v>234.09216</v>
      </c>
      <c r="E24" s="122" t="n">
        <f aca="false">E22*E23</f>
        <v>264.62592</v>
      </c>
      <c r="F24" s="122" t="n">
        <f aca="false">F22*F23</f>
        <v>295.15968</v>
      </c>
      <c r="G24" s="122" t="n">
        <f aca="false">G22*G23</f>
        <v>325.69344</v>
      </c>
      <c r="H24" s="122" t="n">
        <f aca="false">H22*H23</f>
        <v>474.9696</v>
      </c>
      <c r="I24" s="122" t="n">
        <f aca="false">I22*I23</f>
        <v>515.68128</v>
      </c>
      <c r="J24" s="122" t="n">
        <f aca="false">J22*J23</f>
        <v>556.39296</v>
      </c>
      <c r="K24" s="122" t="n">
        <f aca="false">K22*K23</f>
        <v>447.82848</v>
      </c>
      <c r="L24" s="122" t="n">
        <f aca="false">L22*L23</f>
        <v>478.36224</v>
      </c>
      <c r="M24" s="122" t="n">
        <f aca="false">M22*M23</f>
        <v>508.896</v>
      </c>
      <c r="N24" s="122" t="n">
        <f aca="false">N22*N23</f>
        <v>678.528</v>
      </c>
      <c r="O24" s="122" t="n">
        <f aca="false">O22*O23</f>
        <v>524.16288</v>
      </c>
      <c r="P24" s="122" t="n">
        <f aca="false">P22*P23</f>
        <v>524.16288</v>
      </c>
      <c r="Q24" s="122" t="n">
        <f aca="false">Q22*Q23</f>
        <v>524.16288</v>
      </c>
      <c r="R24" s="122" t="n">
        <f aca="false">R22*R23</f>
        <v>524.16288</v>
      </c>
      <c r="S24" s="122" t="n">
        <f aca="false">S22*S23</f>
        <v>524.16288</v>
      </c>
      <c r="T24" s="122" t="n">
        <f aca="false">T22*T23</f>
        <v>698.88384</v>
      </c>
      <c r="U24" s="122" t="n">
        <f aca="false">U22*U23</f>
        <v>698.88384</v>
      </c>
      <c r="V24" s="122" t="n">
        <f aca="false">V22*V23</f>
        <v>698.88384</v>
      </c>
      <c r="W24" s="122" t="n">
        <f aca="false">W22*W23</f>
        <v>524.16288</v>
      </c>
      <c r="X24" s="122" t="n">
        <f aca="false">X22*X23</f>
        <v>524.16288</v>
      </c>
      <c r="Y24" s="122" t="n">
        <f aca="false">Y22*Y23</f>
        <v>524.16288</v>
      </c>
      <c r="Z24" s="122" t="n">
        <f aca="false">Z22*Z23</f>
        <v>698.88384</v>
      </c>
      <c r="AA24" s="122" t="n">
        <f aca="false">AA22*AA23</f>
        <v>539.8877664</v>
      </c>
      <c r="AB24" s="122" t="n">
        <f aca="false">AB22*AB23</f>
        <v>539.8877664</v>
      </c>
      <c r="AC24" s="122" t="n">
        <f aca="false">AC22*AC23</f>
        <v>539.8877664</v>
      </c>
      <c r="AD24" s="122" t="n">
        <f aca="false">AD22*AD23</f>
        <v>539.8877664</v>
      </c>
      <c r="AE24" s="122" t="n">
        <f aca="false">AE22*AE23</f>
        <v>539.8877664</v>
      </c>
      <c r="AF24" s="122" t="n">
        <f aca="false">AF22*AF23</f>
        <v>719.8503552</v>
      </c>
      <c r="AG24" s="122" t="n">
        <f aca="false">AG22*AG23</f>
        <v>719.8503552</v>
      </c>
      <c r="AH24" s="122" t="n">
        <f aca="false">AH22*AH23</f>
        <v>719.8503552</v>
      </c>
      <c r="AI24" s="122" t="n">
        <f aca="false">AI22*AI23</f>
        <v>539.8877664</v>
      </c>
      <c r="AJ24" s="122" t="n">
        <f aca="false">AJ22*AJ23</f>
        <v>539.8877664</v>
      </c>
      <c r="AK24" s="122" t="n">
        <f aca="false">AK22*AK23</f>
        <v>539.8877664</v>
      </c>
      <c r="AL24" s="122" t="n">
        <f aca="false">AL22*AL23</f>
        <v>719.8503552</v>
      </c>
      <c r="AM24" s="122" t="n">
        <f aca="false">AM22*AM23</f>
        <v>556.084399392</v>
      </c>
      <c r="AN24" s="122" t="n">
        <f aca="false">AN22*AN23</f>
        <v>556.084399392</v>
      </c>
      <c r="AO24" s="122" t="n">
        <f aca="false">AO22*AO23</f>
        <v>556.084399392</v>
      </c>
      <c r="AP24" s="122" t="n">
        <f aca="false">AP22*AP23</f>
        <v>556.084399392</v>
      </c>
      <c r="AQ24" s="122" t="n">
        <f aca="false">AQ22*AQ23</f>
        <v>556.084399392</v>
      </c>
      <c r="AR24" s="122" t="n">
        <f aca="false">AR22*AR23</f>
        <v>741.445865856</v>
      </c>
      <c r="AS24" s="122" t="n">
        <f aca="false">AS22*AS23</f>
        <v>741.445865856</v>
      </c>
      <c r="AT24" s="122" t="n">
        <f aca="false">AT22*AT23</f>
        <v>741.445865856</v>
      </c>
      <c r="AU24" s="122" t="n">
        <f aca="false">AU22*AU23</f>
        <v>556.084399392</v>
      </c>
      <c r="AV24" s="122" t="n">
        <f aca="false">AV22*AV23</f>
        <v>556.084399392</v>
      </c>
      <c r="AW24" s="122" t="n">
        <f aca="false">AW22*AW23</f>
        <v>556.084399392</v>
      </c>
      <c r="AX24" s="122" t="n">
        <f aca="false">AX22*AX23</f>
        <v>741.445865856</v>
      </c>
      <c r="AY24" s="122" t="n">
        <f aca="false">AY22*AY23</f>
        <v>572.76693137376</v>
      </c>
      <c r="AZ24" s="122" t="n">
        <f aca="false">AZ22*AZ23</f>
        <v>572.76693137376</v>
      </c>
      <c r="BA24" s="122" t="n">
        <f aca="false">BA22*BA23</f>
        <v>572.76693137376</v>
      </c>
      <c r="BB24" s="122" t="n">
        <f aca="false">BB22*BB23</f>
        <v>572.76693137376</v>
      </c>
      <c r="BC24" s="122" t="n">
        <f aca="false">BC22*BC23</f>
        <v>572.76693137376</v>
      </c>
      <c r="BD24" s="122" t="n">
        <f aca="false">BD22*BD23</f>
        <v>763.68924183168</v>
      </c>
      <c r="BE24" s="122" t="n">
        <f aca="false">BE22*BE23</f>
        <v>763.68924183168</v>
      </c>
      <c r="BF24" s="122" t="n">
        <f aca="false">BF22*BF23</f>
        <v>763.68924183168</v>
      </c>
      <c r="BG24" s="122" t="n">
        <f aca="false">BG22*BG23</f>
        <v>572.76693137376</v>
      </c>
      <c r="BH24" s="122" t="n">
        <f aca="false">BH22*BH23</f>
        <v>572.76693137376</v>
      </c>
      <c r="BI24" s="122" t="n">
        <f aca="false">BI22*BI23</f>
        <v>572.76693137376</v>
      </c>
      <c r="BJ24" s="122" t="n">
        <f aca="false">BJ22*BJ23</f>
        <v>763.68924183168</v>
      </c>
    </row>
    <row r="26" customFormat="false" ht="15.75" hidden="false" customHeight="true" outlineLevel="0" collapsed="false">
      <c r="A26" s="7" t="s">
        <v>44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422</v>
      </c>
      <c r="C27" s="123" t="n">
        <f aca="false">Inputs!$E$19*(1+Inputs!$E$20)^(C$5-1)</f>
        <v>75</v>
      </c>
      <c r="D27" s="123" t="n">
        <f aca="false">Inputs!$E$19*(1+Inputs!$E$20)^(D$5-1)</f>
        <v>75</v>
      </c>
      <c r="E27" s="123" t="n">
        <f aca="false">Inputs!$E$19*(1+Inputs!$E$20)^(E$5-1)</f>
        <v>75</v>
      </c>
      <c r="F27" s="123" t="n">
        <f aca="false">Inputs!$E$19*(1+Inputs!$E$20)^(F$5-1)</f>
        <v>75</v>
      </c>
      <c r="G27" s="123" t="n">
        <f aca="false">Inputs!$E$19*(1+Inputs!$E$20)^(G$5-1)</f>
        <v>75</v>
      </c>
      <c r="H27" s="123" t="n">
        <f aca="false">Inputs!$E$19*(1+Inputs!$E$20)^(H$5-1)</f>
        <v>75</v>
      </c>
      <c r="I27" s="123" t="n">
        <f aca="false">Inputs!$E$19*(1+Inputs!$E$20)^(I$5-1)</f>
        <v>75</v>
      </c>
      <c r="J27" s="123" t="n">
        <f aca="false">Inputs!$E$19*(1+Inputs!$E$20)^(J$5-1)</f>
        <v>75</v>
      </c>
      <c r="K27" s="123" t="n">
        <f aca="false">Inputs!$E$19*(1+Inputs!$E$20)^(K$5-1)</f>
        <v>75</v>
      </c>
      <c r="L27" s="123" t="n">
        <f aca="false">Inputs!$E$19*(1+Inputs!$E$20)^(L$5-1)</f>
        <v>75</v>
      </c>
      <c r="M27" s="123" t="n">
        <f aca="false">Inputs!$E$19*(1+Inputs!$E$20)^(M$5-1)</f>
        <v>75</v>
      </c>
      <c r="N27" s="123" t="n">
        <f aca="false">Inputs!$E$19*(1+Inputs!$E$20)^(N$5-1)</f>
        <v>75</v>
      </c>
      <c r="O27" s="123" t="n">
        <f aca="false">Inputs!$E$19*(1+Inputs!$E$20)^(O$5-1)</f>
        <v>77.25</v>
      </c>
      <c r="P27" s="123" t="n">
        <f aca="false">Inputs!$E$19*(1+Inputs!$E$20)^(P$5-1)</f>
        <v>77.25</v>
      </c>
      <c r="Q27" s="123" t="n">
        <f aca="false">Inputs!$E$19*(1+Inputs!$E$20)^(Q$5-1)</f>
        <v>77.25</v>
      </c>
      <c r="R27" s="123" t="n">
        <f aca="false">Inputs!$E$19*(1+Inputs!$E$20)^(R$5-1)</f>
        <v>77.25</v>
      </c>
      <c r="S27" s="123" t="n">
        <f aca="false">Inputs!$E$19*(1+Inputs!$E$20)^(S$5-1)</f>
        <v>77.25</v>
      </c>
      <c r="T27" s="123" t="n">
        <f aca="false">Inputs!$E$19*(1+Inputs!$E$20)^(T$5-1)</f>
        <v>77.25</v>
      </c>
      <c r="U27" s="123" t="n">
        <f aca="false">Inputs!$E$19*(1+Inputs!$E$20)^(U$5-1)</f>
        <v>77.25</v>
      </c>
      <c r="V27" s="123" t="n">
        <f aca="false">Inputs!$E$19*(1+Inputs!$E$20)^(V$5-1)</f>
        <v>77.25</v>
      </c>
      <c r="W27" s="123" t="n">
        <f aca="false">Inputs!$E$19*(1+Inputs!$E$20)^(W$5-1)</f>
        <v>77.25</v>
      </c>
      <c r="X27" s="123" t="n">
        <f aca="false">Inputs!$E$19*(1+Inputs!$E$20)^(X$5-1)</f>
        <v>77.25</v>
      </c>
      <c r="Y27" s="123" t="n">
        <f aca="false">Inputs!$E$19*(1+Inputs!$E$20)^(Y$5-1)</f>
        <v>77.25</v>
      </c>
      <c r="Z27" s="123" t="n">
        <f aca="false">Inputs!$E$19*(1+Inputs!$E$20)^(Z$5-1)</f>
        <v>77.25</v>
      </c>
      <c r="AA27" s="123" t="n">
        <f aca="false">Inputs!$E$19*(1+Inputs!$E$20)^(AA$5-1)</f>
        <v>79.5675</v>
      </c>
      <c r="AB27" s="123" t="n">
        <f aca="false">Inputs!$E$19*(1+Inputs!$E$20)^(AB$5-1)</f>
        <v>79.5675</v>
      </c>
      <c r="AC27" s="123" t="n">
        <f aca="false">Inputs!$E$19*(1+Inputs!$E$20)^(AC$5-1)</f>
        <v>79.5675</v>
      </c>
      <c r="AD27" s="123" t="n">
        <f aca="false">Inputs!$E$19*(1+Inputs!$E$20)^(AD$5-1)</f>
        <v>79.5675</v>
      </c>
      <c r="AE27" s="123" t="n">
        <f aca="false">Inputs!$E$19*(1+Inputs!$E$20)^(AE$5-1)</f>
        <v>79.5675</v>
      </c>
      <c r="AF27" s="123" t="n">
        <f aca="false">Inputs!$E$19*(1+Inputs!$E$20)^(AF$5-1)</f>
        <v>79.5675</v>
      </c>
      <c r="AG27" s="123" t="n">
        <f aca="false">Inputs!$E$19*(1+Inputs!$E$20)^(AG$5-1)</f>
        <v>79.5675</v>
      </c>
      <c r="AH27" s="123" t="n">
        <f aca="false">Inputs!$E$19*(1+Inputs!$E$20)^(AH$5-1)</f>
        <v>79.5675</v>
      </c>
      <c r="AI27" s="123" t="n">
        <f aca="false">Inputs!$E$19*(1+Inputs!$E$20)^(AI$5-1)</f>
        <v>79.5675</v>
      </c>
      <c r="AJ27" s="123" t="n">
        <f aca="false">Inputs!$E$19*(1+Inputs!$E$20)^(AJ$5-1)</f>
        <v>79.5675</v>
      </c>
      <c r="AK27" s="123" t="n">
        <f aca="false">Inputs!$E$19*(1+Inputs!$E$20)^(AK$5-1)</f>
        <v>79.5675</v>
      </c>
      <c r="AL27" s="123" t="n">
        <f aca="false">Inputs!$E$19*(1+Inputs!$E$20)^(AL$5-1)</f>
        <v>79.5675</v>
      </c>
      <c r="AM27" s="123" t="n">
        <f aca="false">Inputs!$E$19*(1+Inputs!$E$20)^(AM$5-1)</f>
        <v>81.954525</v>
      </c>
      <c r="AN27" s="123" t="n">
        <f aca="false">Inputs!$E$19*(1+Inputs!$E$20)^(AN$5-1)</f>
        <v>81.954525</v>
      </c>
      <c r="AO27" s="123" t="n">
        <f aca="false">Inputs!$E$19*(1+Inputs!$E$20)^(AO$5-1)</f>
        <v>81.954525</v>
      </c>
      <c r="AP27" s="123" t="n">
        <f aca="false">Inputs!$E$19*(1+Inputs!$E$20)^(AP$5-1)</f>
        <v>81.954525</v>
      </c>
      <c r="AQ27" s="123" t="n">
        <f aca="false">Inputs!$E$19*(1+Inputs!$E$20)^(AQ$5-1)</f>
        <v>81.954525</v>
      </c>
      <c r="AR27" s="123" t="n">
        <f aca="false">Inputs!$E$19*(1+Inputs!$E$20)^(AR$5-1)</f>
        <v>81.954525</v>
      </c>
      <c r="AS27" s="123" t="n">
        <f aca="false">Inputs!$E$19*(1+Inputs!$E$20)^(AS$5-1)</f>
        <v>81.954525</v>
      </c>
      <c r="AT27" s="123" t="n">
        <f aca="false">Inputs!$E$19*(1+Inputs!$E$20)^(AT$5-1)</f>
        <v>81.954525</v>
      </c>
      <c r="AU27" s="123" t="n">
        <f aca="false">Inputs!$E$19*(1+Inputs!$E$20)^(AU$5-1)</f>
        <v>81.954525</v>
      </c>
      <c r="AV27" s="123" t="n">
        <f aca="false">Inputs!$E$19*(1+Inputs!$E$20)^(AV$5-1)</f>
        <v>81.954525</v>
      </c>
      <c r="AW27" s="123" t="n">
        <f aca="false">Inputs!$E$19*(1+Inputs!$E$20)^(AW$5-1)</f>
        <v>81.954525</v>
      </c>
      <c r="AX27" s="123" t="n">
        <f aca="false">Inputs!$E$19*(1+Inputs!$E$20)^(AX$5-1)</f>
        <v>81.954525</v>
      </c>
      <c r="AY27" s="123" t="n">
        <f aca="false">Inputs!$E$19*(1+Inputs!$E$20)^(AY$5-1)</f>
        <v>84.41316075</v>
      </c>
      <c r="AZ27" s="123" t="n">
        <f aca="false">Inputs!$E$19*(1+Inputs!$E$20)^(AZ$5-1)</f>
        <v>84.41316075</v>
      </c>
      <c r="BA27" s="123" t="n">
        <f aca="false">Inputs!$E$19*(1+Inputs!$E$20)^(BA$5-1)</f>
        <v>84.41316075</v>
      </c>
      <c r="BB27" s="123" t="n">
        <f aca="false">Inputs!$E$19*(1+Inputs!$E$20)^(BB$5-1)</f>
        <v>84.41316075</v>
      </c>
      <c r="BC27" s="123" t="n">
        <f aca="false">Inputs!$E$19*(1+Inputs!$E$20)^(BC$5-1)</f>
        <v>84.41316075</v>
      </c>
      <c r="BD27" s="123" t="n">
        <f aca="false">Inputs!$E$19*(1+Inputs!$E$20)^(BD$5-1)</f>
        <v>84.41316075</v>
      </c>
      <c r="BE27" s="123" t="n">
        <f aca="false">Inputs!$E$19*(1+Inputs!$E$20)^(BE$5-1)</f>
        <v>84.41316075</v>
      </c>
      <c r="BF27" s="123" t="n">
        <f aca="false">Inputs!$E$19*(1+Inputs!$E$20)^(BF$5-1)</f>
        <v>84.41316075</v>
      </c>
      <c r="BG27" s="123" t="n">
        <f aca="false">Inputs!$E$19*(1+Inputs!$E$20)^(BG$5-1)</f>
        <v>84.41316075</v>
      </c>
      <c r="BH27" s="123" t="n">
        <f aca="false">Inputs!$E$19*(1+Inputs!$E$20)^(BH$5-1)</f>
        <v>84.41316075</v>
      </c>
      <c r="BI27" s="123" t="n">
        <f aca="false">Inputs!$E$19*(1+Inputs!$E$20)^(BI$5-1)</f>
        <v>84.41316075</v>
      </c>
      <c r="BJ27" s="123" t="n">
        <f aca="false">Inputs!$E$19*(1+Inputs!$E$20)^(BJ$5-1)</f>
        <v>84.41316075</v>
      </c>
    </row>
    <row r="28" customFormat="false" ht="15" hidden="false" customHeight="false" outlineLevel="0" collapsed="false">
      <c r="A28" s="6" t="s">
        <v>238</v>
      </c>
      <c r="C28" s="69" t="n">
        <f aca="false">C17*C27</f>
        <v>12480</v>
      </c>
      <c r="D28" s="69" t="n">
        <f aca="false">D17*D27</f>
        <v>14352</v>
      </c>
      <c r="E28" s="69" t="n">
        <f aca="false">E17*E27</f>
        <v>16224</v>
      </c>
      <c r="F28" s="69" t="n">
        <f aca="false">F17*F27</f>
        <v>18096</v>
      </c>
      <c r="G28" s="69" t="n">
        <f aca="false">G17*G27</f>
        <v>19968</v>
      </c>
      <c r="H28" s="69" t="n">
        <f aca="false">H17*H27</f>
        <v>21840</v>
      </c>
      <c r="I28" s="69" t="n">
        <f aca="false">I17*I27</f>
        <v>23712</v>
      </c>
      <c r="J28" s="69" t="n">
        <f aca="false">J17*J27</f>
        <v>25584</v>
      </c>
      <c r="K28" s="69" t="n">
        <f aca="false">K17*K27</f>
        <v>27456</v>
      </c>
      <c r="L28" s="69" t="n">
        <f aca="false">L17*L27</f>
        <v>29328</v>
      </c>
      <c r="M28" s="69" t="n">
        <f aca="false">M17*M27</f>
        <v>31200</v>
      </c>
      <c r="N28" s="69" t="n">
        <f aca="false">N17*N27</f>
        <v>31200</v>
      </c>
      <c r="O28" s="69" t="n">
        <f aca="false">O17*O27</f>
        <v>33100.08</v>
      </c>
      <c r="P28" s="69" t="n">
        <f aca="false">P17*P27</f>
        <v>33100.08</v>
      </c>
      <c r="Q28" s="69" t="n">
        <f aca="false">Q17*Q27</f>
        <v>33100.08</v>
      </c>
      <c r="R28" s="69" t="n">
        <f aca="false">R17*R27</f>
        <v>33100.08</v>
      </c>
      <c r="S28" s="69" t="n">
        <f aca="false">S17*S27</f>
        <v>33100.08</v>
      </c>
      <c r="T28" s="69" t="n">
        <f aca="false">T17*T27</f>
        <v>33100.08</v>
      </c>
      <c r="U28" s="69" t="n">
        <f aca="false">U17*U27</f>
        <v>33100.08</v>
      </c>
      <c r="V28" s="69" t="n">
        <f aca="false">V17*V27</f>
        <v>33100.08</v>
      </c>
      <c r="W28" s="69" t="n">
        <f aca="false">W17*W27</f>
        <v>33100.08</v>
      </c>
      <c r="X28" s="69" t="n">
        <f aca="false">X17*X27</f>
        <v>33100.08</v>
      </c>
      <c r="Y28" s="69" t="n">
        <f aca="false">Y17*Y27</f>
        <v>33100.08</v>
      </c>
      <c r="Z28" s="69" t="n">
        <f aca="false">Z17*Z27</f>
        <v>33100.08</v>
      </c>
      <c r="AA28" s="69" t="n">
        <f aca="false">AA17*AA27</f>
        <v>35115.874872</v>
      </c>
      <c r="AB28" s="69" t="n">
        <f aca="false">AB17*AB27</f>
        <v>35115.874872</v>
      </c>
      <c r="AC28" s="69" t="n">
        <f aca="false">AC17*AC27</f>
        <v>35115.874872</v>
      </c>
      <c r="AD28" s="69" t="n">
        <f aca="false">AD17*AD27</f>
        <v>35115.874872</v>
      </c>
      <c r="AE28" s="69" t="n">
        <f aca="false">AE17*AE27</f>
        <v>35115.874872</v>
      </c>
      <c r="AF28" s="69" t="n">
        <f aca="false">AF17*AF27</f>
        <v>35115.874872</v>
      </c>
      <c r="AG28" s="69" t="n">
        <f aca="false">AG17*AG27</f>
        <v>35115.874872</v>
      </c>
      <c r="AH28" s="69" t="n">
        <f aca="false">AH17*AH27</f>
        <v>35115.874872</v>
      </c>
      <c r="AI28" s="69" t="n">
        <f aca="false">AI17*AI27</f>
        <v>35115.874872</v>
      </c>
      <c r="AJ28" s="69" t="n">
        <f aca="false">AJ17*AJ27</f>
        <v>35115.874872</v>
      </c>
      <c r="AK28" s="69" t="n">
        <f aca="false">AK17*AK27</f>
        <v>35115.874872</v>
      </c>
      <c r="AL28" s="69" t="n">
        <f aca="false">AL17*AL27</f>
        <v>35115.874872</v>
      </c>
      <c r="AM28" s="69" t="n">
        <f aca="false">AM17*AM27</f>
        <v>37254.4316517048</v>
      </c>
      <c r="AN28" s="69" t="n">
        <f aca="false">AN17*AN27</f>
        <v>37254.4316517048</v>
      </c>
      <c r="AO28" s="69" t="n">
        <f aca="false">AO17*AO27</f>
        <v>37254.4316517048</v>
      </c>
      <c r="AP28" s="69" t="n">
        <f aca="false">AP17*AP27</f>
        <v>37254.4316517048</v>
      </c>
      <c r="AQ28" s="69" t="n">
        <f aca="false">AQ17*AQ27</f>
        <v>37254.4316517048</v>
      </c>
      <c r="AR28" s="69" t="n">
        <f aca="false">AR17*AR27</f>
        <v>37254.4316517048</v>
      </c>
      <c r="AS28" s="69" t="n">
        <f aca="false">AS17*AS27</f>
        <v>37254.4316517048</v>
      </c>
      <c r="AT28" s="69" t="n">
        <f aca="false">AT17*AT27</f>
        <v>37254.4316517048</v>
      </c>
      <c r="AU28" s="69" t="n">
        <f aca="false">AU17*AU27</f>
        <v>37254.4316517048</v>
      </c>
      <c r="AV28" s="69" t="n">
        <f aca="false">AV17*AV27</f>
        <v>37254.4316517048</v>
      </c>
      <c r="AW28" s="69" t="n">
        <f aca="false">AW17*AW27</f>
        <v>37254.4316517048</v>
      </c>
      <c r="AX28" s="69" t="n">
        <f aca="false">AX17*AX27</f>
        <v>37254.4316517048</v>
      </c>
      <c r="AY28" s="69" t="n">
        <f aca="false">AY17*AY27</f>
        <v>39523.2265392936</v>
      </c>
      <c r="AZ28" s="69" t="n">
        <f aca="false">AZ17*AZ27</f>
        <v>39523.2265392936</v>
      </c>
      <c r="BA28" s="69" t="n">
        <f aca="false">BA17*BA27</f>
        <v>39523.2265392936</v>
      </c>
      <c r="BB28" s="69" t="n">
        <f aca="false">BB17*BB27</f>
        <v>39523.2265392936</v>
      </c>
      <c r="BC28" s="69" t="n">
        <f aca="false">BC17*BC27</f>
        <v>39523.2265392936</v>
      </c>
      <c r="BD28" s="69" t="n">
        <f aca="false">BD17*BD27</f>
        <v>39523.2265392936</v>
      </c>
      <c r="BE28" s="69" t="n">
        <f aca="false">BE17*BE27</f>
        <v>39523.2265392936</v>
      </c>
      <c r="BF28" s="69" t="n">
        <f aca="false">BF17*BF27</f>
        <v>39523.2265392936</v>
      </c>
      <c r="BG28" s="69" t="n">
        <f aca="false">BG17*BG27</f>
        <v>39523.2265392936</v>
      </c>
      <c r="BH28" s="69" t="n">
        <f aca="false">BH17*BH27</f>
        <v>39523.2265392936</v>
      </c>
      <c r="BI28" s="69" t="n">
        <f aca="false">BI17*BI27</f>
        <v>39523.2265392936</v>
      </c>
      <c r="BJ28" s="69" t="n">
        <f aca="false">BJ17*BJ27</f>
        <v>39523.2265392936</v>
      </c>
    </row>
    <row r="29" customFormat="false" ht="15" hidden="false" customHeight="false" outlineLevel="0" collapsed="false">
      <c r="A29" s="6" t="s">
        <v>239</v>
      </c>
      <c r="C29" s="69" t="n">
        <f aca="false">C24*Inputs!$E$30*(1+Inputs!$E$20)^(C$5-1)</f>
        <v>11195.712</v>
      </c>
      <c r="D29" s="69" t="n">
        <f aca="false">D24*Inputs!$E$30*(1+Inputs!$E$20)^(D$5-1)</f>
        <v>12875.0688</v>
      </c>
      <c r="E29" s="69" t="n">
        <f aca="false">E24*Inputs!$E$30*(1+Inputs!$E$20)^(E$5-1)</f>
        <v>14554.4256</v>
      </c>
      <c r="F29" s="69" t="n">
        <f aca="false">F24*Inputs!$E$30*(1+Inputs!$E$20)^(F$5-1)</f>
        <v>16233.7824</v>
      </c>
      <c r="G29" s="69" t="n">
        <f aca="false">G24*Inputs!$E$30*(1+Inputs!$E$20)^(G$5-1)</f>
        <v>17913.1392</v>
      </c>
      <c r="H29" s="69" t="n">
        <f aca="false">H24*Inputs!$E$30*(1+Inputs!$E$20)^(H$5-1)</f>
        <v>26123.328</v>
      </c>
      <c r="I29" s="69" t="n">
        <f aca="false">I24*Inputs!$E$30*(1+Inputs!$E$20)^(I$5-1)</f>
        <v>28362.4704</v>
      </c>
      <c r="J29" s="69" t="n">
        <f aca="false">J24*Inputs!$E$30*(1+Inputs!$E$20)^(J$5-1)</f>
        <v>30601.6128</v>
      </c>
      <c r="K29" s="69" t="n">
        <f aca="false">K24*Inputs!$E$30*(1+Inputs!$E$20)^(K$5-1)</f>
        <v>24630.5664</v>
      </c>
      <c r="L29" s="69" t="n">
        <f aca="false">L24*Inputs!$E$30*(1+Inputs!$E$20)^(L$5-1)</f>
        <v>26309.9232</v>
      </c>
      <c r="M29" s="69" t="n">
        <f aca="false">M24*Inputs!$E$30*(1+Inputs!$E$20)^(M$5-1)</f>
        <v>27989.28</v>
      </c>
      <c r="N29" s="69" t="n">
        <f aca="false">N24*Inputs!$E$30*(1+Inputs!$E$20)^(N$5-1)</f>
        <v>37319.04</v>
      </c>
      <c r="O29" s="69" t="n">
        <f aca="false">O24*Inputs!$E$30*(1+Inputs!$E$20)^(O$5-1)</f>
        <v>29693.827152</v>
      </c>
      <c r="P29" s="69" t="n">
        <f aca="false">P24*Inputs!$E$30*(1+Inputs!$E$20)^(P$5-1)</f>
        <v>29693.827152</v>
      </c>
      <c r="Q29" s="69" t="n">
        <f aca="false">Q24*Inputs!$E$30*(1+Inputs!$E$20)^(Q$5-1)</f>
        <v>29693.827152</v>
      </c>
      <c r="R29" s="69" t="n">
        <f aca="false">R24*Inputs!$E$30*(1+Inputs!$E$20)^(R$5-1)</f>
        <v>29693.827152</v>
      </c>
      <c r="S29" s="69" t="n">
        <f aca="false">S24*Inputs!$E$30*(1+Inputs!$E$20)^(S$5-1)</f>
        <v>29693.827152</v>
      </c>
      <c r="T29" s="69" t="n">
        <f aca="false">T24*Inputs!$E$30*(1+Inputs!$E$20)^(T$5-1)</f>
        <v>39591.769536</v>
      </c>
      <c r="U29" s="69" t="n">
        <f aca="false">U24*Inputs!$E$30*(1+Inputs!$E$20)^(U$5-1)</f>
        <v>39591.769536</v>
      </c>
      <c r="V29" s="69" t="n">
        <f aca="false">V24*Inputs!$E$30*(1+Inputs!$E$20)^(V$5-1)</f>
        <v>39591.769536</v>
      </c>
      <c r="W29" s="69" t="n">
        <f aca="false">W24*Inputs!$E$30*(1+Inputs!$E$20)^(W$5-1)</f>
        <v>29693.827152</v>
      </c>
      <c r="X29" s="69" t="n">
        <f aca="false">X24*Inputs!$E$30*(1+Inputs!$E$20)^(X$5-1)</f>
        <v>29693.827152</v>
      </c>
      <c r="Y29" s="69" t="n">
        <f aca="false">Y24*Inputs!$E$30*(1+Inputs!$E$20)^(Y$5-1)</f>
        <v>29693.827152</v>
      </c>
      <c r="Z29" s="69" t="n">
        <f aca="false">Z24*Inputs!$E$30*(1+Inputs!$E$20)^(Z$5-1)</f>
        <v>39591.769536</v>
      </c>
      <c r="AA29" s="69" t="n">
        <f aca="false">AA24*Inputs!$E$30*(1+Inputs!$E$20)^(AA$5-1)</f>
        <v>31502.1812255568</v>
      </c>
      <c r="AB29" s="69" t="n">
        <f aca="false">AB24*Inputs!$E$30*(1+Inputs!$E$20)^(AB$5-1)</f>
        <v>31502.1812255568</v>
      </c>
      <c r="AC29" s="69" t="n">
        <f aca="false">AC24*Inputs!$E$30*(1+Inputs!$E$20)^(AC$5-1)</f>
        <v>31502.1812255568</v>
      </c>
      <c r="AD29" s="69" t="n">
        <f aca="false">AD24*Inputs!$E$30*(1+Inputs!$E$20)^(AD$5-1)</f>
        <v>31502.1812255568</v>
      </c>
      <c r="AE29" s="69" t="n">
        <f aca="false">AE24*Inputs!$E$30*(1+Inputs!$E$20)^(AE$5-1)</f>
        <v>31502.1812255568</v>
      </c>
      <c r="AF29" s="69" t="n">
        <f aca="false">AF24*Inputs!$E$30*(1+Inputs!$E$20)^(AF$5-1)</f>
        <v>42002.9083007424</v>
      </c>
      <c r="AG29" s="69" t="n">
        <f aca="false">AG24*Inputs!$E$30*(1+Inputs!$E$20)^(AG$5-1)</f>
        <v>42002.9083007424</v>
      </c>
      <c r="AH29" s="69" t="n">
        <f aca="false">AH24*Inputs!$E$30*(1+Inputs!$E$20)^(AH$5-1)</f>
        <v>42002.9083007424</v>
      </c>
      <c r="AI29" s="69" t="n">
        <f aca="false">AI24*Inputs!$E$30*(1+Inputs!$E$20)^(AI$5-1)</f>
        <v>31502.1812255568</v>
      </c>
      <c r="AJ29" s="69" t="n">
        <f aca="false">AJ24*Inputs!$E$30*(1+Inputs!$E$20)^(AJ$5-1)</f>
        <v>31502.1812255568</v>
      </c>
      <c r="AK29" s="69" t="n">
        <f aca="false">AK24*Inputs!$E$30*(1+Inputs!$E$20)^(AK$5-1)</f>
        <v>31502.1812255568</v>
      </c>
      <c r="AL29" s="69" t="n">
        <f aca="false">AL24*Inputs!$E$30*(1+Inputs!$E$20)^(AL$5-1)</f>
        <v>42002.9083007424</v>
      </c>
      <c r="AM29" s="69" t="n">
        <f aca="false">AM24*Inputs!$E$30*(1+Inputs!$E$20)^(AM$5-1)</f>
        <v>33420.6640621932</v>
      </c>
      <c r="AN29" s="69" t="n">
        <f aca="false">AN24*Inputs!$E$30*(1+Inputs!$E$20)^(AN$5-1)</f>
        <v>33420.6640621932</v>
      </c>
      <c r="AO29" s="69" t="n">
        <f aca="false">AO24*Inputs!$E$30*(1+Inputs!$E$20)^(AO$5-1)</f>
        <v>33420.6640621932</v>
      </c>
      <c r="AP29" s="69" t="n">
        <f aca="false">AP24*Inputs!$E$30*(1+Inputs!$E$20)^(AP$5-1)</f>
        <v>33420.6640621932</v>
      </c>
      <c r="AQ29" s="69" t="n">
        <f aca="false">AQ24*Inputs!$E$30*(1+Inputs!$E$20)^(AQ$5-1)</f>
        <v>33420.6640621932</v>
      </c>
      <c r="AR29" s="69" t="n">
        <f aca="false">AR24*Inputs!$E$30*(1+Inputs!$E$20)^(AR$5-1)</f>
        <v>44560.8854162576</v>
      </c>
      <c r="AS29" s="69" t="n">
        <f aca="false">AS24*Inputs!$E$30*(1+Inputs!$E$20)^(AS$5-1)</f>
        <v>44560.8854162576</v>
      </c>
      <c r="AT29" s="69" t="n">
        <f aca="false">AT24*Inputs!$E$30*(1+Inputs!$E$20)^(AT$5-1)</f>
        <v>44560.8854162576</v>
      </c>
      <c r="AU29" s="69" t="n">
        <f aca="false">AU24*Inputs!$E$30*(1+Inputs!$E$20)^(AU$5-1)</f>
        <v>33420.6640621932</v>
      </c>
      <c r="AV29" s="69" t="n">
        <f aca="false">AV24*Inputs!$E$30*(1+Inputs!$E$20)^(AV$5-1)</f>
        <v>33420.6640621932</v>
      </c>
      <c r="AW29" s="69" t="n">
        <f aca="false">AW24*Inputs!$E$30*(1+Inputs!$E$20)^(AW$5-1)</f>
        <v>33420.6640621932</v>
      </c>
      <c r="AX29" s="69" t="n">
        <f aca="false">AX24*Inputs!$E$30*(1+Inputs!$E$20)^(AX$5-1)</f>
        <v>44560.8854162576</v>
      </c>
      <c r="AY29" s="69" t="n">
        <f aca="false">AY24*Inputs!$E$30*(1+Inputs!$E$20)^(AY$5-1)</f>
        <v>35455.9825035808</v>
      </c>
      <c r="AZ29" s="69" t="n">
        <f aca="false">AZ24*Inputs!$E$30*(1+Inputs!$E$20)^(AZ$5-1)</f>
        <v>35455.9825035808</v>
      </c>
      <c r="BA29" s="69" t="n">
        <f aca="false">BA24*Inputs!$E$30*(1+Inputs!$E$20)^(BA$5-1)</f>
        <v>35455.9825035808</v>
      </c>
      <c r="BB29" s="69" t="n">
        <f aca="false">BB24*Inputs!$E$30*(1+Inputs!$E$20)^(BB$5-1)</f>
        <v>35455.9825035808</v>
      </c>
      <c r="BC29" s="69" t="n">
        <f aca="false">BC24*Inputs!$E$30*(1+Inputs!$E$20)^(BC$5-1)</f>
        <v>35455.9825035808</v>
      </c>
      <c r="BD29" s="69" t="n">
        <f aca="false">BD24*Inputs!$E$30*(1+Inputs!$E$20)^(BD$5-1)</f>
        <v>47274.6433381077</v>
      </c>
      <c r="BE29" s="69" t="n">
        <f aca="false">BE24*Inputs!$E$30*(1+Inputs!$E$20)^(BE$5-1)</f>
        <v>47274.6433381077</v>
      </c>
      <c r="BF29" s="69" t="n">
        <f aca="false">BF24*Inputs!$E$30*(1+Inputs!$E$20)^(BF$5-1)</f>
        <v>47274.6433381077</v>
      </c>
      <c r="BG29" s="69" t="n">
        <f aca="false">BG24*Inputs!$E$30*(1+Inputs!$E$20)^(BG$5-1)</f>
        <v>35455.9825035808</v>
      </c>
      <c r="BH29" s="69" t="n">
        <f aca="false">BH24*Inputs!$E$30*(1+Inputs!$E$20)^(BH$5-1)</f>
        <v>35455.9825035808</v>
      </c>
      <c r="BI29" s="69" t="n">
        <f aca="false">BI24*Inputs!$E$30*(1+Inputs!$E$20)^(BI$5-1)</f>
        <v>35455.9825035808</v>
      </c>
      <c r="BJ29" s="69" t="n">
        <f aca="false">BJ24*Inputs!$E$30*(1+Inputs!$E$20)^(BJ$5-1)</f>
        <v>47274.6433381077</v>
      </c>
    </row>
    <row r="30" customFormat="false" ht="15" hidden="false" customHeight="false" outlineLevel="0" collapsed="false">
      <c r="A30" s="6" t="s">
        <v>240</v>
      </c>
      <c r="C30" s="69" t="n">
        <f aca="false">C17*Inputs!$E$21*(1+Inputs!$E$20)^(C$5-1)</f>
        <v>1331.2</v>
      </c>
      <c r="D30" s="69" t="n">
        <f aca="false">D17*Inputs!$E$21*(1+Inputs!$E$20)^(D$5-1)</f>
        <v>1530.88</v>
      </c>
      <c r="E30" s="69" t="n">
        <f aca="false">E17*Inputs!$E$21*(1+Inputs!$E$20)^(E$5-1)</f>
        <v>1730.56</v>
      </c>
      <c r="F30" s="69" t="n">
        <f aca="false">F17*Inputs!$E$21*(1+Inputs!$E$20)^(F$5-1)</f>
        <v>1930.24</v>
      </c>
      <c r="G30" s="69" t="n">
        <f aca="false">G17*Inputs!$E$21*(1+Inputs!$E$20)^(G$5-1)</f>
        <v>2129.92</v>
      </c>
      <c r="H30" s="69" t="n">
        <f aca="false">H17*Inputs!$E$21*(1+Inputs!$E$20)^(H$5-1)</f>
        <v>2329.6</v>
      </c>
      <c r="I30" s="69" t="n">
        <f aca="false">I17*Inputs!$E$21*(1+Inputs!$E$20)^(I$5-1)</f>
        <v>2529.28</v>
      </c>
      <c r="J30" s="69" t="n">
        <f aca="false">J17*Inputs!$E$21*(1+Inputs!$E$20)^(J$5-1)</f>
        <v>2728.96</v>
      </c>
      <c r="K30" s="69" t="n">
        <f aca="false">K17*Inputs!$E$21*(1+Inputs!$E$20)^(K$5-1)</f>
        <v>2928.64</v>
      </c>
      <c r="L30" s="69" t="n">
        <f aca="false">L17*Inputs!$E$21*(1+Inputs!$E$20)^(L$5-1)</f>
        <v>3128.32</v>
      </c>
      <c r="M30" s="69" t="n">
        <f aca="false">M17*Inputs!$E$21*(1+Inputs!$E$20)^(M$5-1)</f>
        <v>3328</v>
      </c>
      <c r="N30" s="69" t="n">
        <f aca="false">N17*Inputs!$E$21*(1+Inputs!$E$20)^(N$5-1)</f>
        <v>3328</v>
      </c>
      <c r="O30" s="69" t="n">
        <f aca="false">O17*Inputs!$E$21*(1+Inputs!$E$20)^(O$5-1)</f>
        <v>3530.6752</v>
      </c>
      <c r="P30" s="69" t="n">
        <f aca="false">P17*Inputs!$E$21*(1+Inputs!$E$20)^(P$5-1)</f>
        <v>3530.6752</v>
      </c>
      <c r="Q30" s="69" t="n">
        <f aca="false">Q17*Inputs!$E$21*(1+Inputs!$E$20)^(Q$5-1)</f>
        <v>3530.6752</v>
      </c>
      <c r="R30" s="69" t="n">
        <f aca="false">R17*Inputs!$E$21*(1+Inputs!$E$20)^(R$5-1)</f>
        <v>3530.6752</v>
      </c>
      <c r="S30" s="69" t="n">
        <f aca="false">S17*Inputs!$E$21*(1+Inputs!$E$20)^(S$5-1)</f>
        <v>3530.6752</v>
      </c>
      <c r="T30" s="69" t="n">
        <f aca="false">T17*Inputs!$E$21*(1+Inputs!$E$20)^(T$5-1)</f>
        <v>3530.6752</v>
      </c>
      <c r="U30" s="69" t="n">
        <f aca="false">U17*Inputs!$E$21*(1+Inputs!$E$20)^(U$5-1)</f>
        <v>3530.6752</v>
      </c>
      <c r="V30" s="69" t="n">
        <f aca="false">V17*Inputs!$E$21*(1+Inputs!$E$20)^(V$5-1)</f>
        <v>3530.6752</v>
      </c>
      <c r="W30" s="69" t="n">
        <f aca="false">W17*Inputs!$E$21*(1+Inputs!$E$20)^(W$5-1)</f>
        <v>3530.6752</v>
      </c>
      <c r="X30" s="69" t="n">
        <f aca="false">X17*Inputs!$E$21*(1+Inputs!$E$20)^(X$5-1)</f>
        <v>3530.6752</v>
      </c>
      <c r="Y30" s="69" t="n">
        <f aca="false">Y17*Inputs!$E$21*(1+Inputs!$E$20)^(Y$5-1)</f>
        <v>3530.6752</v>
      </c>
      <c r="Z30" s="69" t="n">
        <f aca="false">Z17*Inputs!$E$21*(1+Inputs!$E$20)^(Z$5-1)</f>
        <v>3530.6752</v>
      </c>
      <c r="AA30" s="69" t="n">
        <f aca="false">AA17*Inputs!$E$21*(1+Inputs!$E$20)^(AA$5-1)</f>
        <v>3745.69331968</v>
      </c>
      <c r="AB30" s="69" t="n">
        <f aca="false">AB17*Inputs!$E$21*(1+Inputs!$E$20)^(AB$5-1)</f>
        <v>3745.69331968</v>
      </c>
      <c r="AC30" s="69" t="n">
        <f aca="false">AC17*Inputs!$E$21*(1+Inputs!$E$20)^(AC$5-1)</f>
        <v>3745.69331968</v>
      </c>
      <c r="AD30" s="69" t="n">
        <f aca="false">AD17*Inputs!$E$21*(1+Inputs!$E$20)^(AD$5-1)</f>
        <v>3745.69331968</v>
      </c>
      <c r="AE30" s="69" t="n">
        <f aca="false">AE17*Inputs!$E$21*(1+Inputs!$E$20)^(AE$5-1)</f>
        <v>3745.69331968</v>
      </c>
      <c r="AF30" s="69" t="n">
        <f aca="false">AF17*Inputs!$E$21*(1+Inputs!$E$20)^(AF$5-1)</f>
        <v>3745.69331968</v>
      </c>
      <c r="AG30" s="69" t="n">
        <f aca="false">AG17*Inputs!$E$21*(1+Inputs!$E$20)^(AG$5-1)</f>
        <v>3745.69331968</v>
      </c>
      <c r="AH30" s="69" t="n">
        <f aca="false">AH17*Inputs!$E$21*(1+Inputs!$E$20)^(AH$5-1)</f>
        <v>3745.69331968</v>
      </c>
      <c r="AI30" s="69" t="n">
        <f aca="false">AI17*Inputs!$E$21*(1+Inputs!$E$20)^(AI$5-1)</f>
        <v>3745.69331968</v>
      </c>
      <c r="AJ30" s="69" t="n">
        <f aca="false">AJ17*Inputs!$E$21*(1+Inputs!$E$20)^(AJ$5-1)</f>
        <v>3745.69331968</v>
      </c>
      <c r="AK30" s="69" t="n">
        <f aca="false">AK17*Inputs!$E$21*(1+Inputs!$E$20)^(AK$5-1)</f>
        <v>3745.69331968</v>
      </c>
      <c r="AL30" s="69" t="n">
        <f aca="false">AL17*Inputs!$E$21*(1+Inputs!$E$20)^(AL$5-1)</f>
        <v>3745.69331968</v>
      </c>
      <c r="AM30" s="69" t="n">
        <f aca="false">AM17*Inputs!$E$21*(1+Inputs!$E$20)^(AM$5-1)</f>
        <v>3973.80604284851</v>
      </c>
      <c r="AN30" s="69" t="n">
        <f aca="false">AN17*Inputs!$E$21*(1+Inputs!$E$20)^(AN$5-1)</f>
        <v>3973.80604284851</v>
      </c>
      <c r="AO30" s="69" t="n">
        <f aca="false">AO17*Inputs!$E$21*(1+Inputs!$E$20)^(AO$5-1)</f>
        <v>3973.80604284851</v>
      </c>
      <c r="AP30" s="69" t="n">
        <f aca="false">AP17*Inputs!$E$21*(1+Inputs!$E$20)^(AP$5-1)</f>
        <v>3973.80604284851</v>
      </c>
      <c r="AQ30" s="69" t="n">
        <f aca="false">AQ17*Inputs!$E$21*(1+Inputs!$E$20)^(AQ$5-1)</f>
        <v>3973.80604284851</v>
      </c>
      <c r="AR30" s="69" t="n">
        <f aca="false">AR17*Inputs!$E$21*(1+Inputs!$E$20)^(AR$5-1)</f>
        <v>3973.80604284851</v>
      </c>
      <c r="AS30" s="69" t="n">
        <f aca="false">AS17*Inputs!$E$21*(1+Inputs!$E$20)^(AS$5-1)</f>
        <v>3973.80604284851</v>
      </c>
      <c r="AT30" s="69" t="n">
        <f aca="false">AT17*Inputs!$E$21*(1+Inputs!$E$20)^(AT$5-1)</f>
        <v>3973.80604284851</v>
      </c>
      <c r="AU30" s="69" t="n">
        <f aca="false">AU17*Inputs!$E$21*(1+Inputs!$E$20)^(AU$5-1)</f>
        <v>3973.80604284851</v>
      </c>
      <c r="AV30" s="69" t="n">
        <f aca="false">AV17*Inputs!$E$21*(1+Inputs!$E$20)^(AV$5-1)</f>
        <v>3973.80604284851</v>
      </c>
      <c r="AW30" s="69" t="n">
        <f aca="false">AW17*Inputs!$E$21*(1+Inputs!$E$20)^(AW$5-1)</f>
        <v>3973.80604284851</v>
      </c>
      <c r="AX30" s="69" t="n">
        <f aca="false">AX17*Inputs!$E$21*(1+Inputs!$E$20)^(AX$5-1)</f>
        <v>3973.80604284851</v>
      </c>
      <c r="AY30" s="69" t="n">
        <f aca="false">AY17*Inputs!$E$21*(1+Inputs!$E$20)^(AY$5-1)</f>
        <v>4215.81083085799</v>
      </c>
      <c r="AZ30" s="69" t="n">
        <f aca="false">AZ17*Inputs!$E$21*(1+Inputs!$E$20)^(AZ$5-1)</f>
        <v>4215.81083085799</v>
      </c>
      <c r="BA30" s="69" t="n">
        <f aca="false">BA17*Inputs!$E$21*(1+Inputs!$E$20)^(BA$5-1)</f>
        <v>4215.81083085799</v>
      </c>
      <c r="BB30" s="69" t="n">
        <f aca="false">BB17*Inputs!$E$21*(1+Inputs!$E$20)^(BB$5-1)</f>
        <v>4215.81083085799</v>
      </c>
      <c r="BC30" s="69" t="n">
        <f aca="false">BC17*Inputs!$E$21*(1+Inputs!$E$20)^(BC$5-1)</f>
        <v>4215.81083085799</v>
      </c>
      <c r="BD30" s="69" t="n">
        <f aca="false">BD17*Inputs!$E$21*(1+Inputs!$E$20)^(BD$5-1)</f>
        <v>4215.81083085799</v>
      </c>
      <c r="BE30" s="69" t="n">
        <f aca="false">BE17*Inputs!$E$21*(1+Inputs!$E$20)^(BE$5-1)</f>
        <v>4215.81083085799</v>
      </c>
      <c r="BF30" s="69" t="n">
        <f aca="false">BF17*Inputs!$E$21*(1+Inputs!$E$20)^(BF$5-1)</f>
        <v>4215.81083085799</v>
      </c>
      <c r="BG30" s="69" t="n">
        <f aca="false">BG17*Inputs!$E$21*(1+Inputs!$E$20)^(BG$5-1)</f>
        <v>4215.81083085799</v>
      </c>
      <c r="BH30" s="69" t="n">
        <f aca="false">BH17*Inputs!$E$21*(1+Inputs!$E$20)^(BH$5-1)</f>
        <v>4215.81083085799</v>
      </c>
      <c r="BI30" s="69" t="n">
        <f aca="false">BI17*Inputs!$E$21*(1+Inputs!$E$20)^(BI$5-1)</f>
        <v>4215.81083085799</v>
      </c>
      <c r="BJ30" s="69" t="n">
        <f aca="false">BJ17*Inputs!$E$21*(1+Inputs!$E$20)^(BJ$5-1)</f>
        <v>4215.81083085799</v>
      </c>
    </row>
    <row r="31" customFormat="false" ht="15" hidden="false" customHeight="false" outlineLevel="0" collapsed="false">
      <c r="A31" s="115" t="s">
        <v>44</v>
      </c>
      <c r="C31" s="70" t="n">
        <f aca="false">C28+C29+C30</f>
        <v>25006.912</v>
      </c>
      <c r="D31" s="70" t="n">
        <f aca="false">D28+D29+D30</f>
        <v>28757.9488</v>
      </c>
      <c r="E31" s="70" t="n">
        <f aca="false">E28+E29+E30</f>
        <v>32508.9856</v>
      </c>
      <c r="F31" s="70" t="n">
        <f aca="false">F28+F29+F30</f>
        <v>36260.0224</v>
      </c>
      <c r="G31" s="70" t="n">
        <f aca="false">G28+G29+G30</f>
        <v>40011.0592</v>
      </c>
      <c r="H31" s="70" t="n">
        <f aca="false">H28+H29+H30</f>
        <v>50292.928</v>
      </c>
      <c r="I31" s="70" t="n">
        <f aca="false">I28+I29+I30</f>
        <v>54603.7504</v>
      </c>
      <c r="J31" s="70" t="n">
        <f aca="false">J28+J29+J30</f>
        <v>58914.5728</v>
      </c>
      <c r="K31" s="70" t="n">
        <f aca="false">K28+K29+K30</f>
        <v>55015.2064</v>
      </c>
      <c r="L31" s="70" t="n">
        <f aca="false">L28+L29+L30</f>
        <v>58766.2432</v>
      </c>
      <c r="M31" s="70" t="n">
        <f aca="false">M28+M29+M30</f>
        <v>62517.28</v>
      </c>
      <c r="N31" s="70" t="n">
        <f aca="false">N28+N29+N30</f>
        <v>71847.04</v>
      </c>
      <c r="O31" s="70" t="n">
        <f aca="false">O28+O29+O30</f>
        <v>66324.582352</v>
      </c>
      <c r="P31" s="70" t="n">
        <f aca="false">P28+P29+P30</f>
        <v>66324.582352</v>
      </c>
      <c r="Q31" s="70" t="n">
        <f aca="false">Q28+Q29+Q30</f>
        <v>66324.582352</v>
      </c>
      <c r="R31" s="70" t="n">
        <f aca="false">R28+R29+R30</f>
        <v>66324.582352</v>
      </c>
      <c r="S31" s="70" t="n">
        <f aca="false">S28+S29+S30</f>
        <v>66324.582352</v>
      </c>
      <c r="T31" s="70" t="n">
        <f aca="false">T28+T29+T30</f>
        <v>76222.524736</v>
      </c>
      <c r="U31" s="70" t="n">
        <f aca="false">U28+U29+U30</f>
        <v>76222.524736</v>
      </c>
      <c r="V31" s="70" t="n">
        <f aca="false">V28+V29+V30</f>
        <v>76222.524736</v>
      </c>
      <c r="W31" s="70" t="n">
        <f aca="false">W28+W29+W30</f>
        <v>66324.582352</v>
      </c>
      <c r="X31" s="70" t="n">
        <f aca="false">X28+X29+X30</f>
        <v>66324.582352</v>
      </c>
      <c r="Y31" s="70" t="n">
        <f aca="false">Y28+Y29+Y30</f>
        <v>66324.582352</v>
      </c>
      <c r="Z31" s="70" t="n">
        <f aca="false">Z28+Z29+Z30</f>
        <v>76222.524736</v>
      </c>
      <c r="AA31" s="70" t="n">
        <f aca="false">AA28+AA29+AA30</f>
        <v>70363.7494172368</v>
      </c>
      <c r="AB31" s="70" t="n">
        <f aca="false">AB28+AB29+AB30</f>
        <v>70363.7494172368</v>
      </c>
      <c r="AC31" s="70" t="n">
        <f aca="false">AC28+AC29+AC30</f>
        <v>70363.7494172368</v>
      </c>
      <c r="AD31" s="70" t="n">
        <f aca="false">AD28+AD29+AD30</f>
        <v>70363.7494172368</v>
      </c>
      <c r="AE31" s="70" t="n">
        <f aca="false">AE28+AE29+AE30</f>
        <v>70363.7494172368</v>
      </c>
      <c r="AF31" s="70" t="n">
        <f aca="false">AF28+AF29+AF30</f>
        <v>80864.4764924224</v>
      </c>
      <c r="AG31" s="70" t="n">
        <f aca="false">AG28+AG29+AG30</f>
        <v>80864.4764924224</v>
      </c>
      <c r="AH31" s="70" t="n">
        <f aca="false">AH28+AH29+AH30</f>
        <v>80864.4764924224</v>
      </c>
      <c r="AI31" s="70" t="n">
        <f aca="false">AI28+AI29+AI30</f>
        <v>70363.7494172368</v>
      </c>
      <c r="AJ31" s="70" t="n">
        <f aca="false">AJ28+AJ29+AJ30</f>
        <v>70363.7494172368</v>
      </c>
      <c r="AK31" s="70" t="n">
        <f aca="false">AK28+AK29+AK30</f>
        <v>70363.7494172368</v>
      </c>
      <c r="AL31" s="70" t="n">
        <f aca="false">AL28+AL29+AL30</f>
        <v>80864.4764924224</v>
      </c>
      <c r="AM31" s="70" t="n">
        <f aca="false">AM28+AM29+AM30</f>
        <v>74648.9017567465</v>
      </c>
      <c r="AN31" s="70" t="n">
        <f aca="false">AN28+AN29+AN30</f>
        <v>74648.9017567465</v>
      </c>
      <c r="AO31" s="70" t="n">
        <f aca="false">AO28+AO29+AO30</f>
        <v>74648.9017567465</v>
      </c>
      <c r="AP31" s="70" t="n">
        <f aca="false">AP28+AP29+AP30</f>
        <v>74648.9017567465</v>
      </c>
      <c r="AQ31" s="70" t="n">
        <f aca="false">AQ28+AQ29+AQ30</f>
        <v>74648.9017567465</v>
      </c>
      <c r="AR31" s="70" t="n">
        <f aca="false">AR28+AR29+AR30</f>
        <v>85789.1231108109</v>
      </c>
      <c r="AS31" s="70" t="n">
        <f aca="false">AS28+AS29+AS30</f>
        <v>85789.1231108109</v>
      </c>
      <c r="AT31" s="70" t="n">
        <f aca="false">AT28+AT29+AT30</f>
        <v>85789.1231108109</v>
      </c>
      <c r="AU31" s="70" t="n">
        <f aca="false">AU28+AU29+AU30</f>
        <v>74648.9017567465</v>
      </c>
      <c r="AV31" s="70" t="n">
        <f aca="false">AV28+AV29+AV30</f>
        <v>74648.9017567465</v>
      </c>
      <c r="AW31" s="70" t="n">
        <f aca="false">AW28+AW29+AW30</f>
        <v>74648.9017567465</v>
      </c>
      <c r="AX31" s="70" t="n">
        <f aca="false">AX28+AX29+AX30</f>
        <v>85789.1231108109</v>
      </c>
      <c r="AY31" s="70" t="n">
        <f aca="false">AY28+AY29+AY30</f>
        <v>79195.0198737324</v>
      </c>
      <c r="AZ31" s="70" t="n">
        <f aca="false">AZ28+AZ29+AZ30</f>
        <v>79195.0198737324</v>
      </c>
      <c r="BA31" s="70" t="n">
        <f aca="false">BA28+BA29+BA30</f>
        <v>79195.0198737324</v>
      </c>
      <c r="BB31" s="70" t="n">
        <f aca="false">BB28+BB29+BB30</f>
        <v>79195.0198737324</v>
      </c>
      <c r="BC31" s="70" t="n">
        <f aca="false">BC28+BC29+BC30</f>
        <v>79195.0198737324</v>
      </c>
      <c r="BD31" s="70" t="n">
        <f aca="false">BD28+BD29+BD30</f>
        <v>91013.6807082593</v>
      </c>
      <c r="BE31" s="70" t="n">
        <f aca="false">BE28+BE29+BE30</f>
        <v>91013.6807082593</v>
      </c>
      <c r="BF31" s="70" t="n">
        <f aca="false">BF28+BF29+BF30</f>
        <v>91013.6807082593</v>
      </c>
      <c r="BG31" s="70" t="n">
        <f aca="false">BG28+BG29+BG30</f>
        <v>79195.0198737324</v>
      </c>
      <c r="BH31" s="70" t="n">
        <f aca="false">BH28+BH29+BH30</f>
        <v>79195.0198737324</v>
      </c>
      <c r="BI31" s="70" t="n">
        <f aca="false">BI28+BI29+BI30</f>
        <v>79195.0198737324</v>
      </c>
      <c r="BJ31" s="70" t="n">
        <f aca="false">BJ28+BJ29+BJ30</f>
        <v>91013.6807082593</v>
      </c>
    </row>
    <row r="33" customFormat="false" ht="15.75" hidden="false" customHeight="true" outlineLevel="0" collapsed="false">
      <c r="A33" s="7" t="s">
        <v>76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423</v>
      </c>
      <c r="C34" s="71" t="n">
        <f aca="false">Headcount!C14</f>
        <v>-3833.33333333333</v>
      </c>
      <c r="D34" s="71" t="n">
        <f aca="false">Headcount!D14</f>
        <v>-3833.33333333333</v>
      </c>
      <c r="E34" s="71" t="n">
        <f aca="false">Headcount!E14</f>
        <v>-3833.33333333333</v>
      </c>
      <c r="F34" s="71" t="n">
        <f aca="false">Headcount!F14</f>
        <v>-3833.33333333333</v>
      </c>
      <c r="G34" s="71" t="n">
        <f aca="false">Headcount!G14</f>
        <v>-3833.33333333333</v>
      </c>
      <c r="H34" s="71" t="n">
        <f aca="false">Headcount!H14</f>
        <v>-3833.33333333333</v>
      </c>
      <c r="I34" s="71" t="n">
        <f aca="false">Headcount!I14</f>
        <v>-3833.33333333333</v>
      </c>
      <c r="J34" s="71" t="n">
        <f aca="false">Headcount!J14</f>
        <v>-3833.33333333333</v>
      </c>
      <c r="K34" s="71" t="n">
        <f aca="false">Headcount!K14</f>
        <v>-3833.33333333333</v>
      </c>
      <c r="L34" s="71" t="n">
        <f aca="false">Headcount!L14</f>
        <v>-3833.33333333333</v>
      </c>
      <c r="M34" s="71" t="n">
        <f aca="false">Headcount!M14</f>
        <v>-3833.33333333333</v>
      </c>
      <c r="N34" s="71" t="n">
        <f aca="false">Headcount!N14</f>
        <v>-3833.33333333333</v>
      </c>
      <c r="O34" s="71" t="n">
        <f aca="false">Headcount!O14</f>
        <v>-3948.33333333333</v>
      </c>
      <c r="P34" s="71" t="n">
        <f aca="false">Headcount!P14</f>
        <v>-3948.33333333333</v>
      </c>
      <c r="Q34" s="71" t="n">
        <f aca="false">Headcount!Q14</f>
        <v>-3948.33333333333</v>
      </c>
      <c r="R34" s="71" t="n">
        <f aca="false">Headcount!R14</f>
        <v>-3948.33333333333</v>
      </c>
      <c r="S34" s="71" t="n">
        <f aca="false">Headcount!S14</f>
        <v>-3948.33333333333</v>
      </c>
      <c r="T34" s="71" t="n">
        <f aca="false">Headcount!T14</f>
        <v>-3948.33333333333</v>
      </c>
      <c r="U34" s="71" t="n">
        <f aca="false">Headcount!U14</f>
        <v>-3948.33333333333</v>
      </c>
      <c r="V34" s="71" t="n">
        <f aca="false">Headcount!V14</f>
        <v>-3948.33333333333</v>
      </c>
      <c r="W34" s="71" t="n">
        <f aca="false">Headcount!W14</f>
        <v>-3948.33333333333</v>
      </c>
      <c r="X34" s="71" t="n">
        <f aca="false">Headcount!X14</f>
        <v>-3948.33333333333</v>
      </c>
      <c r="Y34" s="71" t="n">
        <f aca="false">Headcount!Y14</f>
        <v>-3948.33333333333</v>
      </c>
      <c r="Z34" s="71" t="n">
        <f aca="false">Headcount!Z14</f>
        <v>-3948.33333333333</v>
      </c>
      <c r="AA34" s="71" t="n">
        <f aca="false">Headcount!AA14</f>
        <v>-4066.78333333333</v>
      </c>
      <c r="AB34" s="71" t="n">
        <f aca="false">Headcount!AB14</f>
        <v>-4066.78333333333</v>
      </c>
      <c r="AC34" s="71" t="n">
        <f aca="false">Headcount!AC14</f>
        <v>-4066.78333333333</v>
      </c>
      <c r="AD34" s="71" t="n">
        <f aca="false">Headcount!AD14</f>
        <v>-4066.78333333333</v>
      </c>
      <c r="AE34" s="71" t="n">
        <f aca="false">Headcount!AE14</f>
        <v>-4066.78333333333</v>
      </c>
      <c r="AF34" s="71" t="n">
        <f aca="false">Headcount!AF14</f>
        <v>-4066.78333333333</v>
      </c>
      <c r="AG34" s="71" t="n">
        <f aca="false">Headcount!AG14</f>
        <v>-4066.78333333333</v>
      </c>
      <c r="AH34" s="71" t="n">
        <f aca="false">Headcount!AH14</f>
        <v>-4066.78333333333</v>
      </c>
      <c r="AI34" s="71" t="n">
        <f aca="false">Headcount!AI14</f>
        <v>-4066.78333333333</v>
      </c>
      <c r="AJ34" s="71" t="n">
        <f aca="false">Headcount!AJ14</f>
        <v>-4066.78333333333</v>
      </c>
      <c r="AK34" s="71" t="n">
        <f aca="false">Headcount!AK14</f>
        <v>-4066.78333333333</v>
      </c>
      <c r="AL34" s="71" t="n">
        <f aca="false">Headcount!AL14</f>
        <v>-4066.78333333333</v>
      </c>
      <c r="AM34" s="71" t="n">
        <f aca="false">Headcount!AM14</f>
        <v>-4188.78683333333</v>
      </c>
      <c r="AN34" s="71" t="n">
        <f aca="false">Headcount!AN14</f>
        <v>-4188.78683333333</v>
      </c>
      <c r="AO34" s="71" t="n">
        <f aca="false">Headcount!AO14</f>
        <v>-4188.78683333333</v>
      </c>
      <c r="AP34" s="71" t="n">
        <f aca="false">Headcount!AP14</f>
        <v>-4188.78683333333</v>
      </c>
      <c r="AQ34" s="71" t="n">
        <f aca="false">Headcount!AQ14</f>
        <v>-4188.78683333333</v>
      </c>
      <c r="AR34" s="71" t="n">
        <f aca="false">Headcount!AR14</f>
        <v>-4188.78683333333</v>
      </c>
      <c r="AS34" s="71" t="n">
        <f aca="false">Headcount!AS14</f>
        <v>-4188.78683333333</v>
      </c>
      <c r="AT34" s="71" t="n">
        <f aca="false">Headcount!AT14</f>
        <v>-4188.78683333333</v>
      </c>
      <c r="AU34" s="71" t="n">
        <f aca="false">Headcount!AU14</f>
        <v>-4188.78683333333</v>
      </c>
      <c r="AV34" s="71" t="n">
        <f aca="false">Headcount!AV14</f>
        <v>-4188.78683333333</v>
      </c>
      <c r="AW34" s="71" t="n">
        <f aca="false">Headcount!AW14</f>
        <v>-4188.78683333333</v>
      </c>
      <c r="AX34" s="71" t="n">
        <f aca="false">Headcount!AX14</f>
        <v>-4188.78683333333</v>
      </c>
      <c r="AY34" s="71" t="n">
        <f aca="false">Headcount!AY14</f>
        <v>-4314.45043833333</v>
      </c>
      <c r="AZ34" s="71" t="n">
        <f aca="false">Headcount!AZ14</f>
        <v>-4314.45043833333</v>
      </c>
      <c r="BA34" s="71" t="n">
        <f aca="false">Headcount!BA14</f>
        <v>-4314.45043833333</v>
      </c>
      <c r="BB34" s="71" t="n">
        <f aca="false">Headcount!BB14</f>
        <v>-4314.45043833333</v>
      </c>
      <c r="BC34" s="71" t="n">
        <f aca="false">Headcount!BC14</f>
        <v>-4314.45043833333</v>
      </c>
      <c r="BD34" s="71" t="n">
        <f aca="false">Headcount!BD14</f>
        <v>-4314.45043833333</v>
      </c>
      <c r="BE34" s="71" t="n">
        <f aca="false">Headcount!BE14</f>
        <v>-4314.45043833333</v>
      </c>
      <c r="BF34" s="71" t="n">
        <f aca="false">Headcount!BF14</f>
        <v>-4314.45043833333</v>
      </c>
      <c r="BG34" s="71" t="n">
        <f aca="false">Headcount!BG14</f>
        <v>-4314.45043833333</v>
      </c>
      <c r="BH34" s="71" t="n">
        <f aca="false">Headcount!BH14</f>
        <v>-4314.45043833333</v>
      </c>
      <c r="BI34" s="71" t="n">
        <f aca="false">Headcount!BI14</f>
        <v>-4314.45043833333</v>
      </c>
      <c r="BJ34" s="71" t="n">
        <f aca="false">Headcount!BJ14</f>
        <v>-4314.45043833333</v>
      </c>
    </row>
    <row r="35" customFormat="false" ht="15" hidden="false" customHeight="false" outlineLevel="0" collapsed="false">
      <c r="A35" s="6" t="s">
        <v>424</v>
      </c>
      <c r="C35" s="69" t="n">
        <f aca="false">-C28*Inputs!$E$33</f>
        <v>-4368</v>
      </c>
      <c r="D35" s="69" t="n">
        <f aca="false">-D28*Inputs!$E$33</f>
        <v>-5023.2</v>
      </c>
      <c r="E35" s="69" t="n">
        <f aca="false">-E28*Inputs!$E$33</f>
        <v>-5678.4</v>
      </c>
      <c r="F35" s="69" t="n">
        <f aca="false">-F28*Inputs!$E$33</f>
        <v>-6333.6</v>
      </c>
      <c r="G35" s="69" t="n">
        <f aca="false">-G28*Inputs!$E$33</f>
        <v>-6988.8</v>
      </c>
      <c r="H35" s="69" t="n">
        <f aca="false">-H28*Inputs!$E$33</f>
        <v>-7644</v>
      </c>
      <c r="I35" s="69" t="n">
        <f aca="false">-I28*Inputs!$E$33</f>
        <v>-8299.2</v>
      </c>
      <c r="J35" s="69" t="n">
        <f aca="false">-J28*Inputs!$E$33</f>
        <v>-8954.4</v>
      </c>
      <c r="K35" s="69" t="n">
        <f aca="false">-K28*Inputs!$E$33</f>
        <v>-9609.6</v>
      </c>
      <c r="L35" s="69" t="n">
        <f aca="false">-L28*Inputs!$E$33</f>
        <v>-10264.8</v>
      </c>
      <c r="M35" s="69" t="n">
        <f aca="false">-M28*Inputs!$E$33</f>
        <v>-10920</v>
      </c>
      <c r="N35" s="69" t="n">
        <f aca="false">-N28*Inputs!$E$33</f>
        <v>-10920</v>
      </c>
      <c r="O35" s="69" t="n">
        <f aca="false">-O28*Inputs!$E$33</f>
        <v>-11585.028</v>
      </c>
      <c r="P35" s="69" t="n">
        <f aca="false">-P28*Inputs!$E$33</f>
        <v>-11585.028</v>
      </c>
      <c r="Q35" s="69" t="n">
        <f aca="false">-Q28*Inputs!$E$33</f>
        <v>-11585.028</v>
      </c>
      <c r="R35" s="69" t="n">
        <f aca="false">-R28*Inputs!$E$33</f>
        <v>-11585.028</v>
      </c>
      <c r="S35" s="69" t="n">
        <f aca="false">-S28*Inputs!$E$33</f>
        <v>-11585.028</v>
      </c>
      <c r="T35" s="69" t="n">
        <f aca="false">-T28*Inputs!$E$33</f>
        <v>-11585.028</v>
      </c>
      <c r="U35" s="69" t="n">
        <f aca="false">-U28*Inputs!$E$33</f>
        <v>-11585.028</v>
      </c>
      <c r="V35" s="69" t="n">
        <f aca="false">-V28*Inputs!$E$33</f>
        <v>-11585.028</v>
      </c>
      <c r="W35" s="69" t="n">
        <f aca="false">-W28*Inputs!$E$33</f>
        <v>-11585.028</v>
      </c>
      <c r="X35" s="69" t="n">
        <f aca="false">-X28*Inputs!$E$33</f>
        <v>-11585.028</v>
      </c>
      <c r="Y35" s="69" t="n">
        <f aca="false">-Y28*Inputs!$E$33</f>
        <v>-11585.028</v>
      </c>
      <c r="Z35" s="69" t="n">
        <f aca="false">-Z28*Inputs!$E$33</f>
        <v>-11585.028</v>
      </c>
      <c r="AA35" s="69" t="n">
        <f aca="false">-AA28*Inputs!$E$33</f>
        <v>-12290.5562052</v>
      </c>
      <c r="AB35" s="69" t="n">
        <f aca="false">-AB28*Inputs!$E$33</f>
        <v>-12290.5562052</v>
      </c>
      <c r="AC35" s="69" t="n">
        <f aca="false">-AC28*Inputs!$E$33</f>
        <v>-12290.5562052</v>
      </c>
      <c r="AD35" s="69" t="n">
        <f aca="false">-AD28*Inputs!$E$33</f>
        <v>-12290.5562052</v>
      </c>
      <c r="AE35" s="69" t="n">
        <f aca="false">-AE28*Inputs!$E$33</f>
        <v>-12290.5562052</v>
      </c>
      <c r="AF35" s="69" t="n">
        <f aca="false">-AF28*Inputs!$E$33</f>
        <v>-12290.5562052</v>
      </c>
      <c r="AG35" s="69" t="n">
        <f aca="false">-AG28*Inputs!$E$33</f>
        <v>-12290.5562052</v>
      </c>
      <c r="AH35" s="69" t="n">
        <f aca="false">-AH28*Inputs!$E$33</f>
        <v>-12290.5562052</v>
      </c>
      <c r="AI35" s="69" t="n">
        <f aca="false">-AI28*Inputs!$E$33</f>
        <v>-12290.5562052</v>
      </c>
      <c r="AJ35" s="69" t="n">
        <f aca="false">-AJ28*Inputs!$E$33</f>
        <v>-12290.5562052</v>
      </c>
      <c r="AK35" s="69" t="n">
        <f aca="false">-AK28*Inputs!$E$33</f>
        <v>-12290.5562052</v>
      </c>
      <c r="AL35" s="69" t="n">
        <f aca="false">-AL28*Inputs!$E$33</f>
        <v>-12290.5562052</v>
      </c>
      <c r="AM35" s="69" t="n">
        <f aca="false">-AM28*Inputs!$E$33</f>
        <v>-13039.0510780967</v>
      </c>
      <c r="AN35" s="69" t="n">
        <f aca="false">-AN28*Inputs!$E$33</f>
        <v>-13039.0510780967</v>
      </c>
      <c r="AO35" s="69" t="n">
        <f aca="false">-AO28*Inputs!$E$33</f>
        <v>-13039.0510780967</v>
      </c>
      <c r="AP35" s="69" t="n">
        <f aca="false">-AP28*Inputs!$E$33</f>
        <v>-13039.0510780967</v>
      </c>
      <c r="AQ35" s="69" t="n">
        <f aca="false">-AQ28*Inputs!$E$33</f>
        <v>-13039.0510780967</v>
      </c>
      <c r="AR35" s="69" t="n">
        <f aca="false">-AR28*Inputs!$E$33</f>
        <v>-13039.0510780967</v>
      </c>
      <c r="AS35" s="69" t="n">
        <f aca="false">-AS28*Inputs!$E$33</f>
        <v>-13039.0510780967</v>
      </c>
      <c r="AT35" s="69" t="n">
        <f aca="false">-AT28*Inputs!$E$33</f>
        <v>-13039.0510780967</v>
      </c>
      <c r="AU35" s="69" t="n">
        <f aca="false">-AU28*Inputs!$E$33</f>
        <v>-13039.0510780967</v>
      </c>
      <c r="AV35" s="69" t="n">
        <f aca="false">-AV28*Inputs!$E$33</f>
        <v>-13039.0510780967</v>
      </c>
      <c r="AW35" s="69" t="n">
        <f aca="false">-AW28*Inputs!$E$33</f>
        <v>-13039.0510780967</v>
      </c>
      <c r="AX35" s="69" t="n">
        <f aca="false">-AX28*Inputs!$E$33</f>
        <v>-13039.0510780967</v>
      </c>
      <c r="AY35" s="69" t="n">
        <f aca="false">-AY28*Inputs!$E$33</f>
        <v>-13833.1292887528</v>
      </c>
      <c r="AZ35" s="69" t="n">
        <f aca="false">-AZ28*Inputs!$E$33</f>
        <v>-13833.1292887528</v>
      </c>
      <c r="BA35" s="69" t="n">
        <f aca="false">-BA28*Inputs!$E$33</f>
        <v>-13833.1292887528</v>
      </c>
      <c r="BB35" s="69" t="n">
        <f aca="false">-BB28*Inputs!$E$33</f>
        <v>-13833.1292887528</v>
      </c>
      <c r="BC35" s="69" t="n">
        <f aca="false">-BC28*Inputs!$E$33</f>
        <v>-13833.1292887528</v>
      </c>
      <c r="BD35" s="69" t="n">
        <f aca="false">-BD28*Inputs!$E$33</f>
        <v>-13833.1292887528</v>
      </c>
      <c r="BE35" s="69" t="n">
        <f aca="false">-BE28*Inputs!$E$33</f>
        <v>-13833.1292887528</v>
      </c>
      <c r="BF35" s="69" t="n">
        <f aca="false">-BF28*Inputs!$E$33</f>
        <v>-13833.1292887528</v>
      </c>
      <c r="BG35" s="69" t="n">
        <f aca="false">-BG28*Inputs!$E$33</f>
        <v>-13833.1292887528</v>
      </c>
      <c r="BH35" s="69" t="n">
        <f aca="false">-BH28*Inputs!$E$33</f>
        <v>-13833.1292887528</v>
      </c>
      <c r="BI35" s="69" t="n">
        <f aca="false">-BI28*Inputs!$E$33</f>
        <v>-13833.1292887528</v>
      </c>
      <c r="BJ35" s="69" t="n">
        <f aca="false">-BJ28*Inputs!$E$33</f>
        <v>-13833.1292887528</v>
      </c>
    </row>
    <row r="36" customFormat="false" ht="15" hidden="false" customHeight="false" outlineLevel="0" collapsed="false">
      <c r="A36" s="6" t="s">
        <v>425</v>
      </c>
      <c r="C36" s="69" t="n">
        <f aca="false">-C17*Inputs!$E$34*(1+Inputs!$E$45)^(C$5-1)</f>
        <v>-748.8</v>
      </c>
      <c r="D36" s="69" t="n">
        <f aca="false">-D17*Inputs!$E$34*(1+Inputs!$E$45)^(D$5-1)</f>
        <v>-861.12</v>
      </c>
      <c r="E36" s="69" t="n">
        <f aca="false">-E17*Inputs!$E$34*(1+Inputs!$E$45)^(E$5-1)</f>
        <v>-973.44</v>
      </c>
      <c r="F36" s="69" t="n">
        <f aca="false">-F17*Inputs!$E$34*(1+Inputs!$E$45)^(F$5-1)</f>
        <v>-1085.76</v>
      </c>
      <c r="G36" s="69" t="n">
        <f aca="false">-G17*Inputs!$E$34*(1+Inputs!$E$45)^(G$5-1)</f>
        <v>-1198.08</v>
      </c>
      <c r="H36" s="69" t="n">
        <f aca="false">-H17*Inputs!$E$34*(1+Inputs!$E$45)^(H$5-1)</f>
        <v>-1310.4</v>
      </c>
      <c r="I36" s="69" t="n">
        <f aca="false">-I17*Inputs!$E$34*(1+Inputs!$E$45)^(I$5-1)</f>
        <v>-1422.72</v>
      </c>
      <c r="J36" s="69" t="n">
        <f aca="false">-J17*Inputs!$E$34*(1+Inputs!$E$45)^(J$5-1)</f>
        <v>-1535.04</v>
      </c>
      <c r="K36" s="69" t="n">
        <f aca="false">-K17*Inputs!$E$34*(1+Inputs!$E$45)^(K$5-1)</f>
        <v>-1647.36</v>
      </c>
      <c r="L36" s="69" t="n">
        <f aca="false">-L17*Inputs!$E$34*(1+Inputs!$E$45)^(L$5-1)</f>
        <v>-1759.68</v>
      </c>
      <c r="M36" s="69" t="n">
        <f aca="false">-M17*Inputs!$E$34*(1+Inputs!$E$45)^(M$5-1)</f>
        <v>-1872</v>
      </c>
      <c r="N36" s="69" t="n">
        <f aca="false">-N17*Inputs!$E$34*(1+Inputs!$E$45)^(N$5-1)</f>
        <v>-1872</v>
      </c>
      <c r="O36" s="69" t="n">
        <f aca="false">-O17*Inputs!$E$34*(1+Inputs!$E$45)^(O$5-1)</f>
        <v>-1986.0048</v>
      </c>
      <c r="P36" s="69" t="n">
        <f aca="false">-P17*Inputs!$E$34*(1+Inputs!$E$45)^(P$5-1)</f>
        <v>-1986.0048</v>
      </c>
      <c r="Q36" s="69" t="n">
        <f aca="false">-Q17*Inputs!$E$34*(1+Inputs!$E$45)^(Q$5-1)</f>
        <v>-1986.0048</v>
      </c>
      <c r="R36" s="69" t="n">
        <f aca="false">-R17*Inputs!$E$34*(1+Inputs!$E$45)^(R$5-1)</f>
        <v>-1986.0048</v>
      </c>
      <c r="S36" s="69" t="n">
        <f aca="false">-S17*Inputs!$E$34*(1+Inputs!$E$45)^(S$5-1)</f>
        <v>-1986.0048</v>
      </c>
      <c r="T36" s="69" t="n">
        <f aca="false">-T17*Inputs!$E$34*(1+Inputs!$E$45)^(T$5-1)</f>
        <v>-1986.0048</v>
      </c>
      <c r="U36" s="69" t="n">
        <f aca="false">-U17*Inputs!$E$34*(1+Inputs!$E$45)^(U$5-1)</f>
        <v>-1986.0048</v>
      </c>
      <c r="V36" s="69" t="n">
        <f aca="false">-V17*Inputs!$E$34*(1+Inputs!$E$45)^(V$5-1)</f>
        <v>-1986.0048</v>
      </c>
      <c r="W36" s="69" t="n">
        <f aca="false">-W17*Inputs!$E$34*(1+Inputs!$E$45)^(W$5-1)</f>
        <v>-1986.0048</v>
      </c>
      <c r="X36" s="69" t="n">
        <f aca="false">-X17*Inputs!$E$34*(1+Inputs!$E$45)^(X$5-1)</f>
        <v>-1986.0048</v>
      </c>
      <c r="Y36" s="69" t="n">
        <f aca="false">-Y17*Inputs!$E$34*(1+Inputs!$E$45)^(Y$5-1)</f>
        <v>-1986.0048</v>
      </c>
      <c r="Z36" s="69" t="n">
        <f aca="false">-Z17*Inputs!$E$34*(1+Inputs!$E$45)^(Z$5-1)</f>
        <v>-1986.0048</v>
      </c>
      <c r="AA36" s="69" t="n">
        <f aca="false">-AA17*Inputs!$E$34*(1+Inputs!$E$45)^(AA$5-1)</f>
        <v>-2106.95249232</v>
      </c>
      <c r="AB36" s="69" t="n">
        <f aca="false">-AB17*Inputs!$E$34*(1+Inputs!$E$45)^(AB$5-1)</f>
        <v>-2106.95249232</v>
      </c>
      <c r="AC36" s="69" t="n">
        <f aca="false">-AC17*Inputs!$E$34*(1+Inputs!$E$45)^(AC$5-1)</f>
        <v>-2106.95249232</v>
      </c>
      <c r="AD36" s="69" t="n">
        <f aca="false">-AD17*Inputs!$E$34*(1+Inputs!$E$45)^(AD$5-1)</f>
        <v>-2106.95249232</v>
      </c>
      <c r="AE36" s="69" t="n">
        <f aca="false">-AE17*Inputs!$E$34*(1+Inputs!$E$45)^(AE$5-1)</f>
        <v>-2106.95249232</v>
      </c>
      <c r="AF36" s="69" t="n">
        <f aca="false">-AF17*Inputs!$E$34*(1+Inputs!$E$45)^(AF$5-1)</f>
        <v>-2106.95249232</v>
      </c>
      <c r="AG36" s="69" t="n">
        <f aca="false">-AG17*Inputs!$E$34*(1+Inputs!$E$45)^(AG$5-1)</f>
        <v>-2106.95249232</v>
      </c>
      <c r="AH36" s="69" t="n">
        <f aca="false">-AH17*Inputs!$E$34*(1+Inputs!$E$45)^(AH$5-1)</f>
        <v>-2106.95249232</v>
      </c>
      <c r="AI36" s="69" t="n">
        <f aca="false">-AI17*Inputs!$E$34*(1+Inputs!$E$45)^(AI$5-1)</f>
        <v>-2106.95249232</v>
      </c>
      <c r="AJ36" s="69" t="n">
        <f aca="false">-AJ17*Inputs!$E$34*(1+Inputs!$E$45)^(AJ$5-1)</f>
        <v>-2106.95249232</v>
      </c>
      <c r="AK36" s="69" t="n">
        <f aca="false">-AK17*Inputs!$E$34*(1+Inputs!$E$45)^(AK$5-1)</f>
        <v>-2106.95249232</v>
      </c>
      <c r="AL36" s="69" t="n">
        <f aca="false">-AL17*Inputs!$E$34*(1+Inputs!$E$45)^(AL$5-1)</f>
        <v>-2106.95249232</v>
      </c>
      <c r="AM36" s="69" t="n">
        <f aca="false">-AM17*Inputs!$E$34*(1+Inputs!$E$45)^(AM$5-1)</f>
        <v>-2235.26589910229</v>
      </c>
      <c r="AN36" s="69" t="n">
        <f aca="false">-AN17*Inputs!$E$34*(1+Inputs!$E$45)^(AN$5-1)</f>
        <v>-2235.26589910229</v>
      </c>
      <c r="AO36" s="69" t="n">
        <f aca="false">-AO17*Inputs!$E$34*(1+Inputs!$E$45)^(AO$5-1)</f>
        <v>-2235.26589910229</v>
      </c>
      <c r="AP36" s="69" t="n">
        <f aca="false">-AP17*Inputs!$E$34*(1+Inputs!$E$45)^(AP$5-1)</f>
        <v>-2235.26589910229</v>
      </c>
      <c r="AQ36" s="69" t="n">
        <f aca="false">-AQ17*Inputs!$E$34*(1+Inputs!$E$45)^(AQ$5-1)</f>
        <v>-2235.26589910229</v>
      </c>
      <c r="AR36" s="69" t="n">
        <f aca="false">-AR17*Inputs!$E$34*(1+Inputs!$E$45)^(AR$5-1)</f>
        <v>-2235.26589910229</v>
      </c>
      <c r="AS36" s="69" t="n">
        <f aca="false">-AS17*Inputs!$E$34*(1+Inputs!$E$45)^(AS$5-1)</f>
        <v>-2235.26589910229</v>
      </c>
      <c r="AT36" s="69" t="n">
        <f aca="false">-AT17*Inputs!$E$34*(1+Inputs!$E$45)^(AT$5-1)</f>
        <v>-2235.26589910229</v>
      </c>
      <c r="AU36" s="69" t="n">
        <f aca="false">-AU17*Inputs!$E$34*(1+Inputs!$E$45)^(AU$5-1)</f>
        <v>-2235.26589910229</v>
      </c>
      <c r="AV36" s="69" t="n">
        <f aca="false">-AV17*Inputs!$E$34*(1+Inputs!$E$45)^(AV$5-1)</f>
        <v>-2235.26589910229</v>
      </c>
      <c r="AW36" s="69" t="n">
        <f aca="false">-AW17*Inputs!$E$34*(1+Inputs!$E$45)^(AW$5-1)</f>
        <v>-2235.26589910229</v>
      </c>
      <c r="AX36" s="69" t="n">
        <f aca="false">-AX17*Inputs!$E$34*(1+Inputs!$E$45)^(AX$5-1)</f>
        <v>-2235.26589910229</v>
      </c>
      <c r="AY36" s="69" t="n">
        <f aca="false">-AY17*Inputs!$E$34*(1+Inputs!$E$45)^(AY$5-1)</f>
        <v>-2371.39359235762</v>
      </c>
      <c r="AZ36" s="69" t="n">
        <f aca="false">-AZ17*Inputs!$E$34*(1+Inputs!$E$45)^(AZ$5-1)</f>
        <v>-2371.39359235762</v>
      </c>
      <c r="BA36" s="69" t="n">
        <f aca="false">-BA17*Inputs!$E$34*(1+Inputs!$E$45)^(BA$5-1)</f>
        <v>-2371.39359235762</v>
      </c>
      <c r="BB36" s="69" t="n">
        <f aca="false">-BB17*Inputs!$E$34*(1+Inputs!$E$45)^(BB$5-1)</f>
        <v>-2371.39359235762</v>
      </c>
      <c r="BC36" s="69" t="n">
        <f aca="false">-BC17*Inputs!$E$34*(1+Inputs!$E$45)^(BC$5-1)</f>
        <v>-2371.39359235762</v>
      </c>
      <c r="BD36" s="69" t="n">
        <f aca="false">-BD17*Inputs!$E$34*(1+Inputs!$E$45)^(BD$5-1)</f>
        <v>-2371.39359235762</v>
      </c>
      <c r="BE36" s="69" t="n">
        <f aca="false">-BE17*Inputs!$E$34*(1+Inputs!$E$45)^(BE$5-1)</f>
        <v>-2371.39359235762</v>
      </c>
      <c r="BF36" s="69" t="n">
        <f aca="false">-BF17*Inputs!$E$34*(1+Inputs!$E$45)^(BF$5-1)</f>
        <v>-2371.39359235762</v>
      </c>
      <c r="BG36" s="69" t="n">
        <f aca="false">-BG17*Inputs!$E$34*(1+Inputs!$E$45)^(BG$5-1)</f>
        <v>-2371.39359235762</v>
      </c>
      <c r="BH36" s="69" t="n">
        <f aca="false">-BH17*Inputs!$E$34*(1+Inputs!$E$45)^(BH$5-1)</f>
        <v>-2371.39359235762</v>
      </c>
      <c r="BI36" s="69" t="n">
        <f aca="false">-BI17*Inputs!$E$34*(1+Inputs!$E$45)^(BI$5-1)</f>
        <v>-2371.39359235762</v>
      </c>
      <c r="BJ36" s="69" t="n">
        <f aca="false">-BJ17*Inputs!$E$34*(1+Inputs!$E$45)^(BJ$5-1)</f>
        <v>-2371.39359235762</v>
      </c>
    </row>
    <row r="37" customFormat="false" ht="15" hidden="false" customHeight="false" outlineLevel="0" collapsed="false">
      <c r="A37" s="6" t="s">
        <v>426</v>
      </c>
      <c r="C37" s="69" t="n">
        <f aca="false">-C24*Inputs!$E$35*(1+Inputs!$E$45)^(C$5-1)</f>
        <v>-1221.3504</v>
      </c>
      <c r="D37" s="69" t="n">
        <f aca="false">-D24*Inputs!$E$35*(1+Inputs!$E$45)^(D$5-1)</f>
        <v>-1404.55296</v>
      </c>
      <c r="E37" s="69" t="n">
        <f aca="false">-E24*Inputs!$E$35*(1+Inputs!$E$45)^(E$5-1)</f>
        <v>-1587.75552</v>
      </c>
      <c r="F37" s="69" t="n">
        <f aca="false">-F24*Inputs!$E$35*(1+Inputs!$E$45)^(F$5-1)</f>
        <v>-1770.95808</v>
      </c>
      <c r="G37" s="69" t="n">
        <f aca="false">-G24*Inputs!$E$35*(1+Inputs!$E$45)^(G$5-1)</f>
        <v>-1954.16064</v>
      </c>
      <c r="H37" s="69" t="n">
        <f aca="false">-H24*Inputs!$E$35*(1+Inputs!$E$45)^(H$5-1)</f>
        <v>-2849.8176</v>
      </c>
      <c r="I37" s="69" t="n">
        <f aca="false">-I24*Inputs!$E$35*(1+Inputs!$E$45)^(I$5-1)</f>
        <v>-3094.08768</v>
      </c>
      <c r="J37" s="69" t="n">
        <f aca="false">-J24*Inputs!$E$35*(1+Inputs!$E$45)^(J$5-1)</f>
        <v>-3338.35776</v>
      </c>
      <c r="K37" s="69" t="n">
        <f aca="false">-K24*Inputs!$E$35*(1+Inputs!$E$45)^(K$5-1)</f>
        <v>-2686.97088</v>
      </c>
      <c r="L37" s="69" t="n">
        <f aca="false">-L24*Inputs!$E$35*(1+Inputs!$E$45)^(L$5-1)</f>
        <v>-2870.17344</v>
      </c>
      <c r="M37" s="69" t="n">
        <f aca="false">-M24*Inputs!$E$35*(1+Inputs!$E$45)^(M$5-1)</f>
        <v>-3053.376</v>
      </c>
      <c r="N37" s="69" t="n">
        <f aca="false">-N24*Inputs!$E$35*(1+Inputs!$E$45)^(N$5-1)</f>
        <v>-4071.168</v>
      </c>
      <c r="O37" s="69" t="n">
        <f aca="false">-O24*Inputs!$E$35*(1+Inputs!$E$45)^(O$5-1)</f>
        <v>-3239.3265984</v>
      </c>
      <c r="P37" s="69" t="n">
        <f aca="false">-P24*Inputs!$E$35*(1+Inputs!$E$45)^(P$5-1)</f>
        <v>-3239.3265984</v>
      </c>
      <c r="Q37" s="69" t="n">
        <f aca="false">-Q24*Inputs!$E$35*(1+Inputs!$E$45)^(Q$5-1)</f>
        <v>-3239.3265984</v>
      </c>
      <c r="R37" s="69" t="n">
        <f aca="false">-R24*Inputs!$E$35*(1+Inputs!$E$45)^(R$5-1)</f>
        <v>-3239.3265984</v>
      </c>
      <c r="S37" s="69" t="n">
        <f aca="false">-S24*Inputs!$E$35*(1+Inputs!$E$45)^(S$5-1)</f>
        <v>-3239.3265984</v>
      </c>
      <c r="T37" s="69" t="n">
        <f aca="false">-T24*Inputs!$E$35*(1+Inputs!$E$45)^(T$5-1)</f>
        <v>-4319.1021312</v>
      </c>
      <c r="U37" s="69" t="n">
        <f aca="false">-U24*Inputs!$E$35*(1+Inputs!$E$45)^(U$5-1)</f>
        <v>-4319.1021312</v>
      </c>
      <c r="V37" s="69" t="n">
        <f aca="false">-V24*Inputs!$E$35*(1+Inputs!$E$45)^(V$5-1)</f>
        <v>-4319.1021312</v>
      </c>
      <c r="W37" s="69" t="n">
        <f aca="false">-W24*Inputs!$E$35*(1+Inputs!$E$45)^(W$5-1)</f>
        <v>-3239.3265984</v>
      </c>
      <c r="X37" s="69" t="n">
        <f aca="false">-X24*Inputs!$E$35*(1+Inputs!$E$45)^(X$5-1)</f>
        <v>-3239.3265984</v>
      </c>
      <c r="Y37" s="69" t="n">
        <f aca="false">-Y24*Inputs!$E$35*(1+Inputs!$E$45)^(Y$5-1)</f>
        <v>-3239.3265984</v>
      </c>
      <c r="Z37" s="69" t="n">
        <f aca="false">-Z24*Inputs!$E$35*(1+Inputs!$E$45)^(Z$5-1)</f>
        <v>-4319.1021312</v>
      </c>
      <c r="AA37" s="69" t="n">
        <f aca="false">-AA24*Inputs!$E$35*(1+Inputs!$E$45)^(AA$5-1)</f>
        <v>-3436.60158824256</v>
      </c>
      <c r="AB37" s="69" t="n">
        <f aca="false">-AB24*Inputs!$E$35*(1+Inputs!$E$45)^(AB$5-1)</f>
        <v>-3436.60158824256</v>
      </c>
      <c r="AC37" s="69" t="n">
        <f aca="false">-AC24*Inputs!$E$35*(1+Inputs!$E$45)^(AC$5-1)</f>
        <v>-3436.60158824256</v>
      </c>
      <c r="AD37" s="69" t="n">
        <f aca="false">-AD24*Inputs!$E$35*(1+Inputs!$E$45)^(AD$5-1)</f>
        <v>-3436.60158824256</v>
      </c>
      <c r="AE37" s="69" t="n">
        <f aca="false">-AE24*Inputs!$E$35*(1+Inputs!$E$45)^(AE$5-1)</f>
        <v>-3436.60158824256</v>
      </c>
      <c r="AF37" s="69" t="n">
        <f aca="false">-AF24*Inputs!$E$35*(1+Inputs!$E$45)^(AF$5-1)</f>
        <v>-4582.13545099008</v>
      </c>
      <c r="AG37" s="69" t="n">
        <f aca="false">-AG24*Inputs!$E$35*(1+Inputs!$E$45)^(AG$5-1)</f>
        <v>-4582.13545099008</v>
      </c>
      <c r="AH37" s="69" t="n">
        <f aca="false">-AH24*Inputs!$E$35*(1+Inputs!$E$45)^(AH$5-1)</f>
        <v>-4582.13545099008</v>
      </c>
      <c r="AI37" s="69" t="n">
        <f aca="false">-AI24*Inputs!$E$35*(1+Inputs!$E$45)^(AI$5-1)</f>
        <v>-3436.60158824256</v>
      </c>
      <c r="AJ37" s="69" t="n">
        <f aca="false">-AJ24*Inputs!$E$35*(1+Inputs!$E$45)^(AJ$5-1)</f>
        <v>-3436.60158824256</v>
      </c>
      <c r="AK37" s="69" t="n">
        <f aca="false">-AK24*Inputs!$E$35*(1+Inputs!$E$45)^(AK$5-1)</f>
        <v>-3436.60158824256</v>
      </c>
      <c r="AL37" s="69" t="n">
        <f aca="false">-AL24*Inputs!$E$35*(1+Inputs!$E$45)^(AL$5-1)</f>
        <v>-4582.13545099008</v>
      </c>
      <c r="AM37" s="69" t="n">
        <f aca="false">-AM24*Inputs!$E$35*(1+Inputs!$E$45)^(AM$5-1)</f>
        <v>-3645.89062496653</v>
      </c>
      <c r="AN37" s="69" t="n">
        <f aca="false">-AN24*Inputs!$E$35*(1+Inputs!$E$45)^(AN$5-1)</f>
        <v>-3645.89062496653</v>
      </c>
      <c r="AO37" s="69" t="n">
        <f aca="false">-AO24*Inputs!$E$35*(1+Inputs!$E$45)^(AO$5-1)</f>
        <v>-3645.89062496653</v>
      </c>
      <c r="AP37" s="69" t="n">
        <f aca="false">-AP24*Inputs!$E$35*(1+Inputs!$E$45)^(AP$5-1)</f>
        <v>-3645.89062496653</v>
      </c>
      <c r="AQ37" s="69" t="n">
        <f aca="false">-AQ24*Inputs!$E$35*(1+Inputs!$E$45)^(AQ$5-1)</f>
        <v>-3645.89062496653</v>
      </c>
      <c r="AR37" s="69" t="n">
        <f aca="false">-AR24*Inputs!$E$35*(1+Inputs!$E$45)^(AR$5-1)</f>
        <v>-4861.18749995538</v>
      </c>
      <c r="AS37" s="69" t="n">
        <f aca="false">-AS24*Inputs!$E$35*(1+Inputs!$E$45)^(AS$5-1)</f>
        <v>-4861.18749995538</v>
      </c>
      <c r="AT37" s="69" t="n">
        <f aca="false">-AT24*Inputs!$E$35*(1+Inputs!$E$45)^(AT$5-1)</f>
        <v>-4861.18749995538</v>
      </c>
      <c r="AU37" s="69" t="n">
        <f aca="false">-AU24*Inputs!$E$35*(1+Inputs!$E$45)^(AU$5-1)</f>
        <v>-3645.89062496653</v>
      </c>
      <c r="AV37" s="69" t="n">
        <f aca="false">-AV24*Inputs!$E$35*(1+Inputs!$E$45)^(AV$5-1)</f>
        <v>-3645.89062496653</v>
      </c>
      <c r="AW37" s="69" t="n">
        <f aca="false">-AW24*Inputs!$E$35*(1+Inputs!$E$45)^(AW$5-1)</f>
        <v>-3645.89062496653</v>
      </c>
      <c r="AX37" s="69" t="n">
        <f aca="false">-AX24*Inputs!$E$35*(1+Inputs!$E$45)^(AX$5-1)</f>
        <v>-4861.18749995538</v>
      </c>
      <c r="AY37" s="69" t="n">
        <f aca="false">-AY24*Inputs!$E$35*(1+Inputs!$E$45)^(AY$5-1)</f>
        <v>-3867.925364027</v>
      </c>
      <c r="AZ37" s="69" t="n">
        <f aca="false">-AZ24*Inputs!$E$35*(1+Inputs!$E$45)^(AZ$5-1)</f>
        <v>-3867.925364027</v>
      </c>
      <c r="BA37" s="69" t="n">
        <f aca="false">-BA24*Inputs!$E$35*(1+Inputs!$E$45)^(BA$5-1)</f>
        <v>-3867.925364027</v>
      </c>
      <c r="BB37" s="69" t="n">
        <f aca="false">-BB24*Inputs!$E$35*(1+Inputs!$E$45)^(BB$5-1)</f>
        <v>-3867.925364027</v>
      </c>
      <c r="BC37" s="69" t="n">
        <f aca="false">-BC24*Inputs!$E$35*(1+Inputs!$E$45)^(BC$5-1)</f>
        <v>-3867.925364027</v>
      </c>
      <c r="BD37" s="69" t="n">
        <f aca="false">-BD24*Inputs!$E$35*(1+Inputs!$E$45)^(BD$5-1)</f>
        <v>-5157.23381870266</v>
      </c>
      <c r="BE37" s="69" t="n">
        <f aca="false">-BE24*Inputs!$E$35*(1+Inputs!$E$45)^(BE$5-1)</f>
        <v>-5157.23381870266</v>
      </c>
      <c r="BF37" s="69" t="n">
        <f aca="false">-BF24*Inputs!$E$35*(1+Inputs!$E$45)^(BF$5-1)</f>
        <v>-5157.23381870266</v>
      </c>
      <c r="BG37" s="69" t="n">
        <f aca="false">-BG24*Inputs!$E$35*(1+Inputs!$E$45)^(BG$5-1)</f>
        <v>-3867.925364027</v>
      </c>
      <c r="BH37" s="69" t="n">
        <f aca="false">-BH24*Inputs!$E$35*(1+Inputs!$E$45)^(BH$5-1)</f>
        <v>-3867.925364027</v>
      </c>
      <c r="BI37" s="69" t="n">
        <f aca="false">-BI24*Inputs!$E$35*(1+Inputs!$E$45)^(BI$5-1)</f>
        <v>-3867.925364027</v>
      </c>
      <c r="BJ37" s="69" t="n">
        <f aca="false">-BJ24*Inputs!$E$35*(1+Inputs!$E$45)^(BJ$5-1)</f>
        <v>-5157.23381870266</v>
      </c>
    </row>
    <row r="38" customFormat="false" ht="15" hidden="false" customHeight="false" outlineLevel="0" collapsed="false">
      <c r="A38" s="6" t="s">
        <v>427</v>
      </c>
      <c r="C38" s="69" t="n">
        <f aca="false">-C30*(1-Inputs!$E$22)</f>
        <v>-798.72</v>
      </c>
      <c r="D38" s="69" t="n">
        <f aca="false">-D30*(1-Inputs!$E$22)</f>
        <v>-918.528</v>
      </c>
      <c r="E38" s="69" t="n">
        <f aca="false">-E30*(1-Inputs!$E$22)</f>
        <v>-1038.336</v>
      </c>
      <c r="F38" s="69" t="n">
        <f aca="false">-F30*(1-Inputs!$E$22)</f>
        <v>-1158.144</v>
      </c>
      <c r="G38" s="69" t="n">
        <f aca="false">-G30*(1-Inputs!$E$22)</f>
        <v>-1277.952</v>
      </c>
      <c r="H38" s="69" t="n">
        <f aca="false">-H30*(1-Inputs!$E$22)</f>
        <v>-1397.76</v>
      </c>
      <c r="I38" s="69" t="n">
        <f aca="false">-I30*(1-Inputs!$E$22)</f>
        <v>-1517.568</v>
      </c>
      <c r="J38" s="69" t="n">
        <f aca="false">-J30*(1-Inputs!$E$22)</f>
        <v>-1637.376</v>
      </c>
      <c r="K38" s="69" t="n">
        <f aca="false">-K30*(1-Inputs!$E$22)</f>
        <v>-1757.184</v>
      </c>
      <c r="L38" s="69" t="n">
        <f aca="false">-L30*(1-Inputs!$E$22)</f>
        <v>-1876.992</v>
      </c>
      <c r="M38" s="69" t="n">
        <f aca="false">-M30*(1-Inputs!$E$22)</f>
        <v>-1996.8</v>
      </c>
      <c r="N38" s="69" t="n">
        <f aca="false">-N30*(1-Inputs!$E$22)</f>
        <v>-1996.8</v>
      </c>
      <c r="O38" s="69" t="n">
        <f aca="false">-O30*(1-Inputs!$E$22)</f>
        <v>-2118.40512</v>
      </c>
      <c r="P38" s="69" t="n">
        <f aca="false">-P30*(1-Inputs!$E$22)</f>
        <v>-2118.40512</v>
      </c>
      <c r="Q38" s="69" t="n">
        <f aca="false">-Q30*(1-Inputs!$E$22)</f>
        <v>-2118.40512</v>
      </c>
      <c r="R38" s="69" t="n">
        <f aca="false">-R30*(1-Inputs!$E$22)</f>
        <v>-2118.40512</v>
      </c>
      <c r="S38" s="69" t="n">
        <f aca="false">-S30*(1-Inputs!$E$22)</f>
        <v>-2118.40512</v>
      </c>
      <c r="T38" s="69" t="n">
        <f aca="false">-T30*(1-Inputs!$E$22)</f>
        <v>-2118.40512</v>
      </c>
      <c r="U38" s="69" t="n">
        <f aca="false">-U30*(1-Inputs!$E$22)</f>
        <v>-2118.40512</v>
      </c>
      <c r="V38" s="69" t="n">
        <f aca="false">-V30*(1-Inputs!$E$22)</f>
        <v>-2118.40512</v>
      </c>
      <c r="W38" s="69" t="n">
        <f aca="false">-W30*(1-Inputs!$E$22)</f>
        <v>-2118.40512</v>
      </c>
      <c r="X38" s="69" t="n">
        <f aca="false">-X30*(1-Inputs!$E$22)</f>
        <v>-2118.40512</v>
      </c>
      <c r="Y38" s="69" t="n">
        <f aca="false">-Y30*(1-Inputs!$E$22)</f>
        <v>-2118.40512</v>
      </c>
      <c r="Z38" s="69" t="n">
        <f aca="false">-Z30*(1-Inputs!$E$22)</f>
        <v>-2118.40512</v>
      </c>
      <c r="AA38" s="69" t="n">
        <f aca="false">-AA30*(1-Inputs!$E$22)</f>
        <v>-2247.415991808</v>
      </c>
      <c r="AB38" s="69" t="n">
        <f aca="false">-AB30*(1-Inputs!$E$22)</f>
        <v>-2247.415991808</v>
      </c>
      <c r="AC38" s="69" t="n">
        <f aca="false">-AC30*(1-Inputs!$E$22)</f>
        <v>-2247.415991808</v>
      </c>
      <c r="AD38" s="69" t="n">
        <f aca="false">-AD30*(1-Inputs!$E$22)</f>
        <v>-2247.415991808</v>
      </c>
      <c r="AE38" s="69" t="n">
        <f aca="false">-AE30*(1-Inputs!$E$22)</f>
        <v>-2247.415991808</v>
      </c>
      <c r="AF38" s="69" t="n">
        <f aca="false">-AF30*(1-Inputs!$E$22)</f>
        <v>-2247.415991808</v>
      </c>
      <c r="AG38" s="69" t="n">
        <f aca="false">-AG30*(1-Inputs!$E$22)</f>
        <v>-2247.415991808</v>
      </c>
      <c r="AH38" s="69" t="n">
        <f aca="false">-AH30*(1-Inputs!$E$22)</f>
        <v>-2247.415991808</v>
      </c>
      <c r="AI38" s="69" t="n">
        <f aca="false">-AI30*(1-Inputs!$E$22)</f>
        <v>-2247.415991808</v>
      </c>
      <c r="AJ38" s="69" t="n">
        <f aca="false">-AJ30*(1-Inputs!$E$22)</f>
        <v>-2247.415991808</v>
      </c>
      <c r="AK38" s="69" t="n">
        <f aca="false">-AK30*(1-Inputs!$E$22)</f>
        <v>-2247.415991808</v>
      </c>
      <c r="AL38" s="69" t="n">
        <f aca="false">-AL30*(1-Inputs!$E$22)</f>
        <v>-2247.415991808</v>
      </c>
      <c r="AM38" s="69" t="n">
        <f aca="false">-AM30*(1-Inputs!$E$22)</f>
        <v>-2384.28362570911</v>
      </c>
      <c r="AN38" s="69" t="n">
        <f aca="false">-AN30*(1-Inputs!$E$22)</f>
        <v>-2384.28362570911</v>
      </c>
      <c r="AO38" s="69" t="n">
        <f aca="false">-AO30*(1-Inputs!$E$22)</f>
        <v>-2384.28362570911</v>
      </c>
      <c r="AP38" s="69" t="n">
        <f aca="false">-AP30*(1-Inputs!$E$22)</f>
        <v>-2384.28362570911</v>
      </c>
      <c r="AQ38" s="69" t="n">
        <f aca="false">-AQ30*(1-Inputs!$E$22)</f>
        <v>-2384.28362570911</v>
      </c>
      <c r="AR38" s="69" t="n">
        <f aca="false">-AR30*(1-Inputs!$E$22)</f>
        <v>-2384.28362570911</v>
      </c>
      <c r="AS38" s="69" t="n">
        <f aca="false">-AS30*(1-Inputs!$E$22)</f>
        <v>-2384.28362570911</v>
      </c>
      <c r="AT38" s="69" t="n">
        <f aca="false">-AT30*(1-Inputs!$E$22)</f>
        <v>-2384.28362570911</v>
      </c>
      <c r="AU38" s="69" t="n">
        <f aca="false">-AU30*(1-Inputs!$E$22)</f>
        <v>-2384.28362570911</v>
      </c>
      <c r="AV38" s="69" t="n">
        <f aca="false">-AV30*(1-Inputs!$E$22)</f>
        <v>-2384.28362570911</v>
      </c>
      <c r="AW38" s="69" t="n">
        <f aca="false">-AW30*(1-Inputs!$E$22)</f>
        <v>-2384.28362570911</v>
      </c>
      <c r="AX38" s="69" t="n">
        <f aca="false">-AX30*(1-Inputs!$E$22)</f>
        <v>-2384.28362570911</v>
      </c>
      <c r="AY38" s="69" t="n">
        <f aca="false">-AY30*(1-Inputs!$E$22)</f>
        <v>-2529.48649851479</v>
      </c>
      <c r="AZ38" s="69" t="n">
        <f aca="false">-AZ30*(1-Inputs!$E$22)</f>
        <v>-2529.48649851479</v>
      </c>
      <c r="BA38" s="69" t="n">
        <f aca="false">-BA30*(1-Inputs!$E$22)</f>
        <v>-2529.48649851479</v>
      </c>
      <c r="BB38" s="69" t="n">
        <f aca="false">-BB30*(1-Inputs!$E$22)</f>
        <v>-2529.48649851479</v>
      </c>
      <c r="BC38" s="69" t="n">
        <f aca="false">-BC30*(1-Inputs!$E$22)</f>
        <v>-2529.48649851479</v>
      </c>
      <c r="BD38" s="69" t="n">
        <f aca="false">-BD30*(1-Inputs!$E$22)</f>
        <v>-2529.48649851479</v>
      </c>
      <c r="BE38" s="69" t="n">
        <f aca="false">-BE30*(1-Inputs!$E$22)</f>
        <v>-2529.48649851479</v>
      </c>
      <c r="BF38" s="69" t="n">
        <f aca="false">-BF30*(1-Inputs!$E$22)</f>
        <v>-2529.48649851479</v>
      </c>
      <c r="BG38" s="69" t="n">
        <f aca="false">-BG30*(1-Inputs!$E$22)</f>
        <v>-2529.48649851479</v>
      </c>
      <c r="BH38" s="69" t="n">
        <f aca="false">-BH30*(1-Inputs!$E$22)</f>
        <v>-2529.48649851479</v>
      </c>
      <c r="BI38" s="69" t="n">
        <f aca="false">-BI30*(1-Inputs!$E$22)</f>
        <v>-2529.48649851479</v>
      </c>
      <c r="BJ38" s="69" t="n">
        <f aca="false">-BJ30*(1-Inputs!$E$22)</f>
        <v>-2529.48649851479</v>
      </c>
    </row>
    <row r="39" customFormat="false" ht="15" hidden="false" customHeight="false" outlineLevel="0" collapsed="false">
      <c r="A39" s="4" t="s">
        <v>76</v>
      </c>
      <c r="C39" s="75" t="n">
        <f aca="false">C34+C35+C36+C37+C38</f>
        <v>-10970.2037333333</v>
      </c>
      <c r="D39" s="75" t="n">
        <f aca="false">D34+D35+D36+D37+D38</f>
        <v>-12040.7342933333</v>
      </c>
      <c r="E39" s="75" t="n">
        <f aca="false">E34+E35+E36+E37+E38</f>
        <v>-13111.2648533333</v>
      </c>
      <c r="F39" s="75" t="n">
        <f aca="false">F34+F35+F36+F37+F38</f>
        <v>-14181.7954133333</v>
      </c>
      <c r="G39" s="75" t="n">
        <f aca="false">G34+G35+G36+G37+G38</f>
        <v>-15252.3259733333</v>
      </c>
      <c r="H39" s="75" t="n">
        <f aca="false">H34+H35+H36+H37+H38</f>
        <v>-17035.3109333333</v>
      </c>
      <c r="I39" s="75" t="n">
        <f aca="false">I34+I35+I36+I37+I38</f>
        <v>-18166.9090133333</v>
      </c>
      <c r="J39" s="75" t="n">
        <f aca="false">J34+J35+J36+J37+J38</f>
        <v>-19298.5070933333</v>
      </c>
      <c r="K39" s="75" t="n">
        <f aca="false">K34+K35+K36+K37+K38</f>
        <v>-19534.4482133333</v>
      </c>
      <c r="L39" s="75" t="n">
        <f aca="false">L34+L35+L36+L37+L38</f>
        <v>-20604.9787733333</v>
      </c>
      <c r="M39" s="75" t="n">
        <f aca="false">M34+M35+M36+M37+M38</f>
        <v>-21675.5093333333</v>
      </c>
      <c r="N39" s="75" t="n">
        <f aca="false">N34+N35+N36+N37+N38</f>
        <v>-22693.3013333333</v>
      </c>
      <c r="O39" s="75" t="n">
        <f aca="false">O34+O35+O36+O37+O38</f>
        <v>-22877.0978517333</v>
      </c>
      <c r="P39" s="75" t="n">
        <f aca="false">P34+P35+P36+P37+P38</f>
        <v>-22877.0978517333</v>
      </c>
      <c r="Q39" s="75" t="n">
        <f aca="false">Q34+Q35+Q36+Q37+Q38</f>
        <v>-22877.0978517333</v>
      </c>
      <c r="R39" s="75" t="n">
        <f aca="false">R34+R35+R36+R37+R38</f>
        <v>-22877.0978517333</v>
      </c>
      <c r="S39" s="75" t="n">
        <f aca="false">S34+S35+S36+S37+S38</f>
        <v>-22877.0978517333</v>
      </c>
      <c r="T39" s="75" t="n">
        <f aca="false">T34+T35+T36+T37+T38</f>
        <v>-23956.8733845333</v>
      </c>
      <c r="U39" s="75" t="n">
        <f aca="false">U34+U35+U36+U37+U38</f>
        <v>-23956.8733845333</v>
      </c>
      <c r="V39" s="75" t="n">
        <f aca="false">V34+V35+V36+V37+V38</f>
        <v>-23956.8733845333</v>
      </c>
      <c r="W39" s="75" t="n">
        <f aca="false">W34+W35+W36+W37+W38</f>
        <v>-22877.0978517333</v>
      </c>
      <c r="X39" s="75" t="n">
        <f aca="false">X34+X35+X36+X37+X38</f>
        <v>-22877.0978517333</v>
      </c>
      <c r="Y39" s="75" t="n">
        <f aca="false">Y34+Y35+Y36+Y37+Y38</f>
        <v>-22877.0978517333</v>
      </c>
      <c r="Z39" s="75" t="n">
        <f aca="false">Z34+Z35+Z36+Z37+Z38</f>
        <v>-23956.8733845333</v>
      </c>
      <c r="AA39" s="75" t="n">
        <f aca="false">AA34+AA35+AA36+AA37+AA38</f>
        <v>-24148.3096109039</v>
      </c>
      <c r="AB39" s="75" t="n">
        <f aca="false">AB34+AB35+AB36+AB37+AB38</f>
        <v>-24148.3096109039</v>
      </c>
      <c r="AC39" s="75" t="n">
        <f aca="false">AC34+AC35+AC36+AC37+AC38</f>
        <v>-24148.3096109039</v>
      </c>
      <c r="AD39" s="75" t="n">
        <f aca="false">AD34+AD35+AD36+AD37+AD38</f>
        <v>-24148.3096109039</v>
      </c>
      <c r="AE39" s="75" t="n">
        <f aca="false">AE34+AE35+AE36+AE37+AE38</f>
        <v>-24148.3096109039</v>
      </c>
      <c r="AF39" s="75" t="n">
        <f aca="false">AF34+AF35+AF36+AF37+AF38</f>
        <v>-25293.8434736514</v>
      </c>
      <c r="AG39" s="75" t="n">
        <f aca="false">AG34+AG35+AG36+AG37+AG38</f>
        <v>-25293.8434736514</v>
      </c>
      <c r="AH39" s="75" t="n">
        <f aca="false">AH34+AH35+AH36+AH37+AH38</f>
        <v>-25293.8434736514</v>
      </c>
      <c r="AI39" s="75" t="n">
        <f aca="false">AI34+AI35+AI36+AI37+AI38</f>
        <v>-24148.3096109039</v>
      </c>
      <c r="AJ39" s="75" t="n">
        <f aca="false">AJ34+AJ35+AJ36+AJ37+AJ38</f>
        <v>-24148.3096109039</v>
      </c>
      <c r="AK39" s="75" t="n">
        <f aca="false">AK34+AK35+AK36+AK37+AK38</f>
        <v>-24148.3096109039</v>
      </c>
      <c r="AL39" s="75" t="n">
        <f aca="false">AL34+AL35+AL36+AL37+AL38</f>
        <v>-25293.8434736514</v>
      </c>
      <c r="AM39" s="75" t="n">
        <f aca="false">AM34+AM35+AM36+AM37+AM38</f>
        <v>-25493.2780612079</v>
      </c>
      <c r="AN39" s="75" t="n">
        <f aca="false">AN34+AN35+AN36+AN37+AN38</f>
        <v>-25493.2780612079</v>
      </c>
      <c r="AO39" s="75" t="n">
        <f aca="false">AO34+AO35+AO36+AO37+AO38</f>
        <v>-25493.2780612079</v>
      </c>
      <c r="AP39" s="75" t="n">
        <f aca="false">AP34+AP35+AP36+AP37+AP38</f>
        <v>-25493.2780612079</v>
      </c>
      <c r="AQ39" s="75" t="n">
        <f aca="false">AQ34+AQ35+AQ36+AQ37+AQ38</f>
        <v>-25493.2780612079</v>
      </c>
      <c r="AR39" s="75" t="n">
        <f aca="false">AR34+AR35+AR36+AR37+AR38</f>
        <v>-26708.5749361968</v>
      </c>
      <c r="AS39" s="75" t="n">
        <f aca="false">AS34+AS35+AS36+AS37+AS38</f>
        <v>-26708.5749361968</v>
      </c>
      <c r="AT39" s="75" t="n">
        <f aca="false">AT34+AT35+AT36+AT37+AT38</f>
        <v>-26708.5749361968</v>
      </c>
      <c r="AU39" s="75" t="n">
        <f aca="false">AU34+AU35+AU36+AU37+AU38</f>
        <v>-25493.2780612079</v>
      </c>
      <c r="AV39" s="75" t="n">
        <f aca="false">AV34+AV35+AV36+AV37+AV38</f>
        <v>-25493.2780612079</v>
      </c>
      <c r="AW39" s="75" t="n">
        <f aca="false">AW34+AW35+AW36+AW37+AW38</f>
        <v>-25493.2780612079</v>
      </c>
      <c r="AX39" s="75" t="n">
        <f aca="false">AX34+AX35+AX36+AX37+AX38</f>
        <v>-26708.5749361968</v>
      </c>
      <c r="AY39" s="75" t="n">
        <f aca="false">AY34+AY35+AY36+AY37+AY38</f>
        <v>-26916.3851819855</v>
      </c>
      <c r="AZ39" s="75" t="n">
        <f aca="false">AZ34+AZ35+AZ36+AZ37+AZ38</f>
        <v>-26916.3851819855</v>
      </c>
      <c r="BA39" s="75" t="n">
        <f aca="false">BA34+BA35+BA36+BA37+BA38</f>
        <v>-26916.3851819855</v>
      </c>
      <c r="BB39" s="75" t="n">
        <f aca="false">BB34+BB35+BB36+BB37+BB38</f>
        <v>-26916.3851819855</v>
      </c>
      <c r="BC39" s="75" t="n">
        <f aca="false">BC34+BC35+BC36+BC37+BC38</f>
        <v>-26916.3851819855</v>
      </c>
      <c r="BD39" s="75" t="n">
        <f aca="false">BD34+BD35+BD36+BD37+BD38</f>
        <v>-28205.6936366612</v>
      </c>
      <c r="BE39" s="75" t="n">
        <f aca="false">BE34+BE35+BE36+BE37+BE38</f>
        <v>-28205.6936366612</v>
      </c>
      <c r="BF39" s="75" t="n">
        <f aca="false">BF34+BF35+BF36+BF37+BF38</f>
        <v>-28205.6936366612</v>
      </c>
      <c r="BG39" s="75" t="n">
        <f aca="false">BG34+BG35+BG36+BG37+BG38</f>
        <v>-26916.3851819855</v>
      </c>
      <c r="BH39" s="75" t="n">
        <f aca="false">BH34+BH35+BH36+BH37+BH38</f>
        <v>-26916.3851819855</v>
      </c>
      <c r="BI39" s="75" t="n">
        <f aca="false">BI34+BI35+BI36+BI37+BI38</f>
        <v>-26916.3851819855</v>
      </c>
      <c r="BJ39" s="75" t="n">
        <f aca="false">BJ34+BJ35+BJ36+BJ37+BJ38</f>
        <v>-28205.6936366612</v>
      </c>
    </row>
    <row r="40" customFormat="false" ht="15" hidden="false" customHeight="false" outlineLevel="0" collapsed="false">
      <c r="A40" s="115" t="s">
        <v>45</v>
      </c>
      <c r="C40" s="70" t="n">
        <f aca="false">C31+C39</f>
        <v>14036.7082666667</v>
      </c>
      <c r="D40" s="70" t="n">
        <f aca="false">D31+D39</f>
        <v>16717.2145066667</v>
      </c>
      <c r="E40" s="70" t="n">
        <f aca="false">E31+E39</f>
        <v>19397.7207466667</v>
      </c>
      <c r="F40" s="70" t="n">
        <f aca="false">F31+F39</f>
        <v>22078.2269866667</v>
      </c>
      <c r="G40" s="70" t="n">
        <f aca="false">G31+G39</f>
        <v>24758.7332266667</v>
      </c>
      <c r="H40" s="70" t="n">
        <f aca="false">H31+H39</f>
        <v>33257.6170666667</v>
      </c>
      <c r="I40" s="70" t="n">
        <f aca="false">I31+I39</f>
        <v>36436.8413866667</v>
      </c>
      <c r="J40" s="70" t="n">
        <f aca="false">J31+J39</f>
        <v>39616.0657066667</v>
      </c>
      <c r="K40" s="70" t="n">
        <f aca="false">K31+K39</f>
        <v>35480.7581866667</v>
      </c>
      <c r="L40" s="70" t="n">
        <f aca="false">L31+L39</f>
        <v>38161.2644266667</v>
      </c>
      <c r="M40" s="70" t="n">
        <f aca="false">M31+M39</f>
        <v>40841.7706666667</v>
      </c>
      <c r="N40" s="70" t="n">
        <f aca="false">N31+N39</f>
        <v>49153.7386666667</v>
      </c>
      <c r="O40" s="70" t="n">
        <f aca="false">O31+O39</f>
        <v>43447.4845002667</v>
      </c>
      <c r="P40" s="70" t="n">
        <f aca="false">P31+P39</f>
        <v>43447.4845002667</v>
      </c>
      <c r="Q40" s="70" t="n">
        <f aca="false">Q31+Q39</f>
        <v>43447.4845002667</v>
      </c>
      <c r="R40" s="70" t="n">
        <f aca="false">R31+R39</f>
        <v>43447.4845002667</v>
      </c>
      <c r="S40" s="70" t="n">
        <f aca="false">S31+S39</f>
        <v>43447.4845002667</v>
      </c>
      <c r="T40" s="70" t="n">
        <f aca="false">T31+T39</f>
        <v>52265.6513514667</v>
      </c>
      <c r="U40" s="70" t="n">
        <f aca="false">U31+U39</f>
        <v>52265.6513514667</v>
      </c>
      <c r="V40" s="70" t="n">
        <f aca="false">V31+V39</f>
        <v>52265.6513514667</v>
      </c>
      <c r="W40" s="70" t="n">
        <f aca="false">W31+W39</f>
        <v>43447.4845002667</v>
      </c>
      <c r="X40" s="70" t="n">
        <f aca="false">X31+X39</f>
        <v>43447.4845002667</v>
      </c>
      <c r="Y40" s="70" t="n">
        <f aca="false">Y31+Y39</f>
        <v>43447.4845002667</v>
      </c>
      <c r="Z40" s="70" t="n">
        <f aca="false">Z31+Z39</f>
        <v>52265.6513514667</v>
      </c>
      <c r="AA40" s="70" t="n">
        <f aca="false">AA31+AA39</f>
        <v>46215.4398063329</v>
      </c>
      <c r="AB40" s="70" t="n">
        <f aca="false">AB31+AB39</f>
        <v>46215.4398063329</v>
      </c>
      <c r="AC40" s="70" t="n">
        <f aca="false">AC31+AC39</f>
        <v>46215.4398063329</v>
      </c>
      <c r="AD40" s="70" t="n">
        <f aca="false">AD31+AD39</f>
        <v>46215.4398063329</v>
      </c>
      <c r="AE40" s="70" t="n">
        <f aca="false">AE31+AE39</f>
        <v>46215.4398063329</v>
      </c>
      <c r="AF40" s="70" t="n">
        <f aca="false">AF31+AF39</f>
        <v>55570.633018771</v>
      </c>
      <c r="AG40" s="70" t="n">
        <f aca="false">AG31+AG39</f>
        <v>55570.633018771</v>
      </c>
      <c r="AH40" s="70" t="n">
        <f aca="false">AH31+AH39</f>
        <v>55570.633018771</v>
      </c>
      <c r="AI40" s="70" t="n">
        <f aca="false">AI31+AI39</f>
        <v>46215.4398063329</v>
      </c>
      <c r="AJ40" s="70" t="n">
        <f aca="false">AJ31+AJ39</f>
        <v>46215.4398063329</v>
      </c>
      <c r="AK40" s="70" t="n">
        <f aca="false">AK31+AK39</f>
        <v>46215.4398063329</v>
      </c>
      <c r="AL40" s="70" t="n">
        <f aca="false">AL31+AL39</f>
        <v>55570.633018771</v>
      </c>
      <c r="AM40" s="70" t="n">
        <f aca="false">AM31+AM39</f>
        <v>49155.6236955386</v>
      </c>
      <c r="AN40" s="70" t="n">
        <f aca="false">AN31+AN39</f>
        <v>49155.6236955386</v>
      </c>
      <c r="AO40" s="70" t="n">
        <f aca="false">AO31+AO39</f>
        <v>49155.6236955386</v>
      </c>
      <c r="AP40" s="70" t="n">
        <f aca="false">AP31+AP39</f>
        <v>49155.6236955386</v>
      </c>
      <c r="AQ40" s="70" t="n">
        <f aca="false">AQ31+AQ39</f>
        <v>49155.6236955386</v>
      </c>
      <c r="AR40" s="70" t="n">
        <f aca="false">AR31+AR39</f>
        <v>59080.5481746141</v>
      </c>
      <c r="AS40" s="70" t="n">
        <f aca="false">AS31+AS39</f>
        <v>59080.5481746141</v>
      </c>
      <c r="AT40" s="70" t="n">
        <f aca="false">AT31+AT39</f>
        <v>59080.5481746141</v>
      </c>
      <c r="AU40" s="70" t="n">
        <f aca="false">AU31+AU39</f>
        <v>49155.6236955386</v>
      </c>
      <c r="AV40" s="70" t="n">
        <f aca="false">AV31+AV39</f>
        <v>49155.6236955386</v>
      </c>
      <c r="AW40" s="70" t="n">
        <f aca="false">AW31+AW39</f>
        <v>49155.6236955386</v>
      </c>
      <c r="AX40" s="70" t="n">
        <f aca="false">AX31+AX39</f>
        <v>59080.5481746141</v>
      </c>
      <c r="AY40" s="70" t="n">
        <f aca="false">AY31+AY39</f>
        <v>52278.6346917469</v>
      </c>
      <c r="AZ40" s="70" t="n">
        <f aca="false">AZ31+AZ39</f>
        <v>52278.6346917469</v>
      </c>
      <c r="BA40" s="70" t="n">
        <f aca="false">BA31+BA39</f>
        <v>52278.6346917469</v>
      </c>
      <c r="BB40" s="70" t="n">
        <f aca="false">BB31+BB39</f>
        <v>52278.6346917469</v>
      </c>
      <c r="BC40" s="70" t="n">
        <f aca="false">BC31+BC39</f>
        <v>52278.6346917469</v>
      </c>
      <c r="BD40" s="70" t="n">
        <f aca="false">BD31+BD39</f>
        <v>62807.9870715982</v>
      </c>
      <c r="BE40" s="70" t="n">
        <f aca="false">BE31+BE39</f>
        <v>62807.9870715982</v>
      </c>
      <c r="BF40" s="70" t="n">
        <f aca="false">BF31+BF39</f>
        <v>62807.9870715982</v>
      </c>
      <c r="BG40" s="70" t="n">
        <f aca="false">BG31+BG39</f>
        <v>52278.6346917469</v>
      </c>
      <c r="BH40" s="70" t="n">
        <f aca="false">BH31+BH39</f>
        <v>52278.6346917469</v>
      </c>
      <c r="BI40" s="70" t="n">
        <f aca="false">BI31+BI39</f>
        <v>52278.6346917469</v>
      </c>
      <c r="BJ40" s="70" t="n">
        <f aca="false">BJ31+BJ39</f>
        <v>62807.9870715982</v>
      </c>
    </row>
    <row r="42" customFormat="false" ht="15.75" hidden="false" customHeight="true" outlineLevel="0" collapsed="false">
      <c r="A42" s="7" t="s">
        <v>47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customFormat="false" ht="15" hidden="false" customHeight="false" outlineLevel="0" collapsed="false">
      <c r="A43" s="6" t="s">
        <v>337</v>
      </c>
      <c r="C43" s="69" t="n">
        <f aca="false">Headcount!C17-Headcount!C14</f>
        <v>-15237.5</v>
      </c>
      <c r="D43" s="69" t="n">
        <f aca="false">Headcount!D17-Headcount!D14</f>
        <v>-15237.5</v>
      </c>
      <c r="E43" s="69" t="n">
        <f aca="false">Headcount!E17-Headcount!E14</f>
        <v>-15237.5</v>
      </c>
      <c r="F43" s="69" t="n">
        <f aca="false">Headcount!F17-Headcount!F14</f>
        <v>-15237.5</v>
      </c>
      <c r="G43" s="69" t="n">
        <f aca="false">Headcount!G17-Headcount!G14</f>
        <v>-15237.5</v>
      </c>
      <c r="H43" s="69" t="n">
        <f aca="false">Headcount!H17-Headcount!H14</f>
        <v>-15237.5</v>
      </c>
      <c r="I43" s="69" t="n">
        <f aca="false">Headcount!I17-Headcount!I14</f>
        <v>-15237.5</v>
      </c>
      <c r="J43" s="69" t="n">
        <f aca="false">Headcount!J17-Headcount!J14</f>
        <v>-15237.5</v>
      </c>
      <c r="K43" s="69" t="n">
        <f aca="false">Headcount!K17-Headcount!K14</f>
        <v>-15237.5</v>
      </c>
      <c r="L43" s="69" t="n">
        <f aca="false">Headcount!L17-Headcount!L14</f>
        <v>-15237.5</v>
      </c>
      <c r="M43" s="69" t="n">
        <f aca="false">Headcount!M17-Headcount!M14</f>
        <v>-15237.5</v>
      </c>
      <c r="N43" s="69" t="n">
        <f aca="false">Headcount!N17-Headcount!N14</f>
        <v>-15237.5</v>
      </c>
      <c r="O43" s="69" t="n">
        <f aca="false">Headcount!O17-Headcount!O14</f>
        <v>-15694.625</v>
      </c>
      <c r="P43" s="69" t="n">
        <f aca="false">Headcount!P17-Headcount!P14</f>
        <v>-15694.625</v>
      </c>
      <c r="Q43" s="69" t="n">
        <f aca="false">Headcount!Q17-Headcount!Q14</f>
        <v>-15694.625</v>
      </c>
      <c r="R43" s="69" t="n">
        <f aca="false">Headcount!R17-Headcount!R14</f>
        <v>-15694.625</v>
      </c>
      <c r="S43" s="69" t="n">
        <f aca="false">Headcount!S17-Headcount!S14</f>
        <v>-15694.625</v>
      </c>
      <c r="T43" s="69" t="n">
        <f aca="false">Headcount!T17-Headcount!T14</f>
        <v>-15694.625</v>
      </c>
      <c r="U43" s="69" t="n">
        <f aca="false">Headcount!U17-Headcount!U14</f>
        <v>-15694.625</v>
      </c>
      <c r="V43" s="69" t="n">
        <f aca="false">Headcount!V17-Headcount!V14</f>
        <v>-15694.625</v>
      </c>
      <c r="W43" s="69" t="n">
        <f aca="false">Headcount!W17-Headcount!W14</f>
        <v>-15694.625</v>
      </c>
      <c r="X43" s="69" t="n">
        <f aca="false">Headcount!X17-Headcount!X14</f>
        <v>-15694.625</v>
      </c>
      <c r="Y43" s="69" t="n">
        <f aca="false">Headcount!Y17-Headcount!Y14</f>
        <v>-15694.625</v>
      </c>
      <c r="Z43" s="69" t="n">
        <f aca="false">Headcount!Z17-Headcount!Z14</f>
        <v>-15694.625</v>
      </c>
      <c r="AA43" s="69" t="n">
        <f aca="false">Headcount!AA17-Headcount!AA14</f>
        <v>-16165.46375</v>
      </c>
      <c r="AB43" s="69" t="n">
        <f aca="false">Headcount!AB17-Headcount!AB14</f>
        <v>-16165.46375</v>
      </c>
      <c r="AC43" s="69" t="n">
        <f aca="false">Headcount!AC17-Headcount!AC14</f>
        <v>-16165.46375</v>
      </c>
      <c r="AD43" s="69" t="n">
        <f aca="false">Headcount!AD17-Headcount!AD14</f>
        <v>-16165.46375</v>
      </c>
      <c r="AE43" s="69" t="n">
        <f aca="false">Headcount!AE17-Headcount!AE14</f>
        <v>-16165.46375</v>
      </c>
      <c r="AF43" s="69" t="n">
        <f aca="false">Headcount!AF17-Headcount!AF14</f>
        <v>-16165.46375</v>
      </c>
      <c r="AG43" s="69" t="n">
        <f aca="false">Headcount!AG17-Headcount!AG14</f>
        <v>-16165.46375</v>
      </c>
      <c r="AH43" s="69" t="n">
        <f aca="false">Headcount!AH17-Headcount!AH14</f>
        <v>-16165.46375</v>
      </c>
      <c r="AI43" s="69" t="n">
        <f aca="false">Headcount!AI17-Headcount!AI14</f>
        <v>-16165.46375</v>
      </c>
      <c r="AJ43" s="69" t="n">
        <f aca="false">Headcount!AJ17-Headcount!AJ14</f>
        <v>-16165.46375</v>
      </c>
      <c r="AK43" s="69" t="n">
        <f aca="false">Headcount!AK17-Headcount!AK14</f>
        <v>-16165.46375</v>
      </c>
      <c r="AL43" s="69" t="n">
        <f aca="false">Headcount!AL17-Headcount!AL14</f>
        <v>-16165.46375</v>
      </c>
      <c r="AM43" s="69" t="n">
        <f aca="false">Headcount!AM17-Headcount!AM14</f>
        <v>-16650.4276625</v>
      </c>
      <c r="AN43" s="69" t="n">
        <f aca="false">Headcount!AN17-Headcount!AN14</f>
        <v>-16650.4276625</v>
      </c>
      <c r="AO43" s="69" t="n">
        <f aca="false">Headcount!AO17-Headcount!AO14</f>
        <v>-16650.4276625</v>
      </c>
      <c r="AP43" s="69" t="n">
        <f aca="false">Headcount!AP17-Headcount!AP14</f>
        <v>-16650.4276625</v>
      </c>
      <c r="AQ43" s="69" t="n">
        <f aca="false">Headcount!AQ17-Headcount!AQ14</f>
        <v>-16650.4276625</v>
      </c>
      <c r="AR43" s="69" t="n">
        <f aca="false">Headcount!AR17-Headcount!AR14</f>
        <v>-16650.4276625</v>
      </c>
      <c r="AS43" s="69" t="n">
        <f aca="false">Headcount!AS17-Headcount!AS14</f>
        <v>-16650.4276625</v>
      </c>
      <c r="AT43" s="69" t="n">
        <f aca="false">Headcount!AT17-Headcount!AT14</f>
        <v>-16650.4276625</v>
      </c>
      <c r="AU43" s="69" t="n">
        <f aca="false">Headcount!AU17-Headcount!AU14</f>
        <v>-16650.4276625</v>
      </c>
      <c r="AV43" s="69" t="n">
        <f aca="false">Headcount!AV17-Headcount!AV14</f>
        <v>-16650.4276625</v>
      </c>
      <c r="AW43" s="69" t="n">
        <f aca="false">Headcount!AW17-Headcount!AW14</f>
        <v>-16650.4276625</v>
      </c>
      <c r="AX43" s="69" t="n">
        <f aca="false">Headcount!AX17-Headcount!AX14</f>
        <v>-16650.4276625</v>
      </c>
      <c r="AY43" s="69" t="n">
        <f aca="false">Headcount!AY17-Headcount!AY14</f>
        <v>-17149.940492375</v>
      </c>
      <c r="AZ43" s="69" t="n">
        <f aca="false">Headcount!AZ17-Headcount!AZ14</f>
        <v>-17149.940492375</v>
      </c>
      <c r="BA43" s="69" t="n">
        <f aca="false">Headcount!BA17-Headcount!BA14</f>
        <v>-17149.940492375</v>
      </c>
      <c r="BB43" s="69" t="n">
        <f aca="false">Headcount!BB17-Headcount!BB14</f>
        <v>-17149.940492375</v>
      </c>
      <c r="BC43" s="69" t="n">
        <f aca="false">Headcount!BC17-Headcount!BC14</f>
        <v>-17149.940492375</v>
      </c>
      <c r="BD43" s="69" t="n">
        <f aca="false">Headcount!BD17-Headcount!BD14</f>
        <v>-17149.940492375</v>
      </c>
      <c r="BE43" s="69" t="n">
        <f aca="false">Headcount!BE17-Headcount!BE14</f>
        <v>-17149.940492375</v>
      </c>
      <c r="BF43" s="69" t="n">
        <f aca="false">Headcount!BF17-Headcount!BF14</f>
        <v>-17149.940492375</v>
      </c>
      <c r="BG43" s="69" t="n">
        <f aca="false">Headcount!BG17-Headcount!BG14</f>
        <v>-17149.940492375</v>
      </c>
      <c r="BH43" s="69" t="n">
        <f aca="false">Headcount!BH17-Headcount!BH14</f>
        <v>-17149.940492375</v>
      </c>
      <c r="BI43" s="69" t="n">
        <f aca="false">Headcount!BI17-Headcount!BI14</f>
        <v>-17149.940492375</v>
      </c>
      <c r="BJ43" s="69" t="n">
        <f aca="false">Headcount!BJ17-Headcount!BJ14</f>
        <v>-17149.940492375</v>
      </c>
    </row>
    <row r="44" customFormat="false" ht="15" hidden="false" customHeight="false" outlineLevel="0" collapsed="false">
      <c r="A44" s="6" t="s">
        <v>338</v>
      </c>
      <c r="C44" s="69" t="n">
        <f aca="false">-Inputs!$E$38*(1+Inputs!$E$39)^(C$5-1)*1</f>
        <v>-9000</v>
      </c>
      <c r="D44" s="69" t="n">
        <f aca="false">-Inputs!$E$38*(1+Inputs!$E$39)^(D$5-1)*1</f>
        <v>-9000</v>
      </c>
      <c r="E44" s="69" t="n">
        <f aca="false">-Inputs!$E$38*(1+Inputs!$E$39)^(E$5-1)*1</f>
        <v>-9000</v>
      </c>
      <c r="F44" s="69" t="n">
        <f aca="false">-Inputs!$E$38*(1+Inputs!$E$39)^(F$5-1)*1</f>
        <v>-9000</v>
      </c>
      <c r="G44" s="69" t="n">
        <f aca="false">-Inputs!$E$38*(1+Inputs!$E$39)^(G$5-1)*1</f>
        <v>-9000</v>
      </c>
      <c r="H44" s="69" t="n">
        <f aca="false">-Inputs!$E$38*(1+Inputs!$E$39)^(H$5-1)*1</f>
        <v>-9000</v>
      </c>
      <c r="I44" s="69" t="n">
        <f aca="false">-Inputs!$E$38*(1+Inputs!$E$39)^(I$5-1)*1</f>
        <v>-9000</v>
      </c>
      <c r="J44" s="69" t="n">
        <f aca="false">-Inputs!$E$38*(1+Inputs!$E$39)^(J$5-1)*1</f>
        <v>-9000</v>
      </c>
      <c r="K44" s="69" t="n">
        <f aca="false">-Inputs!$E$38*(1+Inputs!$E$39)^(K$5-1)*1</f>
        <v>-9000</v>
      </c>
      <c r="L44" s="69" t="n">
        <f aca="false">-Inputs!$E$38*(1+Inputs!$E$39)^(L$5-1)*1</f>
        <v>-9000</v>
      </c>
      <c r="M44" s="69" t="n">
        <f aca="false">-Inputs!$E$38*(1+Inputs!$E$39)^(M$5-1)*1</f>
        <v>-9000</v>
      </c>
      <c r="N44" s="69" t="n">
        <f aca="false">-Inputs!$E$38*(1+Inputs!$E$39)^(N$5-1)*1</f>
        <v>-9000</v>
      </c>
      <c r="O44" s="69" t="n">
        <f aca="false">-Inputs!$E$38*(1+Inputs!$E$39)^(O$5-1)*1</f>
        <v>-9270</v>
      </c>
      <c r="P44" s="69" t="n">
        <f aca="false">-Inputs!$E$38*(1+Inputs!$E$39)^(P$5-1)*1</f>
        <v>-9270</v>
      </c>
      <c r="Q44" s="69" t="n">
        <f aca="false">-Inputs!$E$38*(1+Inputs!$E$39)^(Q$5-1)*1</f>
        <v>-9270</v>
      </c>
      <c r="R44" s="69" t="n">
        <f aca="false">-Inputs!$E$38*(1+Inputs!$E$39)^(R$5-1)*1</f>
        <v>-9270</v>
      </c>
      <c r="S44" s="69" t="n">
        <f aca="false">-Inputs!$E$38*(1+Inputs!$E$39)^(S$5-1)*1</f>
        <v>-9270</v>
      </c>
      <c r="T44" s="69" t="n">
        <f aca="false">-Inputs!$E$38*(1+Inputs!$E$39)^(T$5-1)*1</f>
        <v>-9270</v>
      </c>
      <c r="U44" s="69" t="n">
        <f aca="false">-Inputs!$E$38*(1+Inputs!$E$39)^(U$5-1)*1</f>
        <v>-9270</v>
      </c>
      <c r="V44" s="69" t="n">
        <f aca="false">-Inputs!$E$38*(1+Inputs!$E$39)^(V$5-1)*1</f>
        <v>-9270</v>
      </c>
      <c r="W44" s="69" t="n">
        <f aca="false">-Inputs!$E$38*(1+Inputs!$E$39)^(W$5-1)*1</f>
        <v>-9270</v>
      </c>
      <c r="X44" s="69" t="n">
        <f aca="false">-Inputs!$E$38*(1+Inputs!$E$39)^(X$5-1)*1</f>
        <v>-9270</v>
      </c>
      <c r="Y44" s="69" t="n">
        <f aca="false">-Inputs!$E$38*(1+Inputs!$E$39)^(Y$5-1)*1</f>
        <v>-9270</v>
      </c>
      <c r="Z44" s="69" t="n">
        <f aca="false">-Inputs!$E$38*(1+Inputs!$E$39)^(Z$5-1)*1</f>
        <v>-9270</v>
      </c>
      <c r="AA44" s="69" t="n">
        <f aca="false">-Inputs!$E$38*(1+Inputs!$E$39)^(AA$5-1)*1</f>
        <v>-9548.1</v>
      </c>
      <c r="AB44" s="69" t="n">
        <f aca="false">-Inputs!$E$38*(1+Inputs!$E$39)^(AB$5-1)*1</f>
        <v>-9548.1</v>
      </c>
      <c r="AC44" s="69" t="n">
        <f aca="false">-Inputs!$E$38*(1+Inputs!$E$39)^(AC$5-1)*1</f>
        <v>-9548.1</v>
      </c>
      <c r="AD44" s="69" t="n">
        <f aca="false">-Inputs!$E$38*(1+Inputs!$E$39)^(AD$5-1)*1</f>
        <v>-9548.1</v>
      </c>
      <c r="AE44" s="69" t="n">
        <f aca="false">-Inputs!$E$38*(1+Inputs!$E$39)^(AE$5-1)*1</f>
        <v>-9548.1</v>
      </c>
      <c r="AF44" s="69" t="n">
        <f aca="false">-Inputs!$E$38*(1+Inputs!$E$39)^(AF$5-1)*1</f>
        <v>-9548.1</v>
      </c>
      <c r="AG44" s="69" t="n">
        <f aca="false">-Inputs!$E$38*(1+Inputs!$E$39)^(AG$5-1)*1</f>
        <v>-9548.1</v>
      </c>
      <c r="AH44" s="69" t="n">
        <f aca="false">-Inputs!$E$38*(1+Inputs!$E$39)^(AH$5-1)*1</f>
        <v>-9548.1</v>
      </c>
      <c r="AI44" s="69" t="n">
        <f aca="false">-Inputs!$E$38*(1+Inputs!$E$39)^(AI$5-1)*1</f>
        <v>-9548.1</v>
      </c>
      <c r="AJ44" s="69" t="n">
        <f aca="false">-Inputs!$E$38*(1+Inputs!$E$39)^(AJ$5-1)*1</f>
        <v>-9548.1</v>
      </c>
      <c r="AK44" s="69" t="n">
        <f aca="false">-Inputs!$E$38*(1+Inputs!$E$39)^(AK$5-1)*1</f>
        <v>-9548.1</v>
      </c>
      <c r="AL44" s="69" t="n">
        <f aca="false">-Inputs!$E$38*(1+Inputs!$E$39)^(AL$5-1)*1</f>
        <v>-9548.1</v>
      </c>
      <c r="AM44" s="69" t="n">
        <f aca="false">-Inputs!$E$38*(1+Inputs!$E$39)^(AM$5-1)*1</f>
        <v>-9834.543</v>
      </c>
      <c r="AN44" s="69" t="n">
        <f aca="false">-Inputs!$E$38*(1+Inputs!$E$39)^(AN$5-1)*1</f>
        <v>-9834.543</v>
      </c>
      <c r="AO44" s="69" t="n">
        <f aca="false">-Inputs!$E$38*(1+Inputs!$E$39)^(AO$5-1)*1</f>
        <v>-9834.543</v>
      </c>
      <c r="AP44" s="69" t="n">
        <f aca="false">-Inputs!$E$38*(1+Inputs!$E$39)^(AP$5-1)*1</f>
        <v>-9834.543</v>
      </c>
      <c r="AQ44" s="69" t="n">
        <f aca="false">-Inputs!$E$38*(1+Inputs!$E$39)^(AQ$5-1)*1</f>
        <v>-9834.543</v>
      </c>
      <c r="AR44" s="69" t="n">
        <f aca="false">-Inputs!$E$38*(1+Inputs!$E$39)^(AR$5-1)*1</f>
        <v>-9834.543</v>
      </c>
      <c r="AS44" s="69" t="n">
        <f aca="false">-Inputs!$E$38*(1+Inputs!$E$39)^(AS$5-1)*1</f>
        <v>-9834.543</v>
      </c>
      <c r="AT44" s="69" t="n">
        <f aca="false">-Inputs!$E$38*(1+Inputs!$E$39)^(AT$5-1)*1</f>
        <v>-9834.543</v>
      </c>
      <c r="AU44" s="69" t="n">
        <f aca="false">-Inputs!$E$38*(1+Inputs!$E$39)^(AU$5-1)*1</f>
        <v>-9834.543</v>
      </c>
      <c r="AV44" s="69" t="n">
        <f aca="false">-Inputs!$E$38*(1+Inputs!$E$39)^(AV$5-1)*1</f>
        <v>-9834.543</v>
      </c>
      <c r="AW44" s="69" t="n">
        <f aca="false">-Inputs!$E$38*(1+Inputs!$E$39)^(AW$5-1)*1</f>
        <v>-9834.543</v>
      </c>
      <c r="AX44" s="69" t="n">
        <f aca="false">-Inputs!$E$38*(1+Inputs!$E$39)^(AX$5-1)*1</f>
        <v>-9834.543</v>
      </c>
      <c r="AY44" s="69" t="n">
        <f aca="false">-Inputs!$E$38*(1+Inputs!$E$39)^(AY$5-1)*1</f>
        <v>-10129.57929</v>
      </c>
      <c r="AZ44" s="69" t="n">
        <f aca="false">-Inputs!$E$38*(1+Inputs!$E$39)^(AZ$5-1)*1</f>
        <v>-10129.57929</v>
      </c>
      <c r="BA44" s="69" t="n">
        <f aca="false">-Inputs!$E$38*(1+Inputs!$E$39)^(BA$5-1)*1</f>
        <v>-10129.57929</v>
      </c>
      <c r="BB44" s="69" t="n">
        <f aca="false">-Inputs!$E$38*(1+Inputs!$E$39)^(BB$5-1)*1</f>
        <v>-10129.57929</v>
      </c>
      <c r="BC44" s="69" t="n">
        <f aca="false">-Inputs!$E$38*(1+Inputs!$E$39)^(BC$5-1)*1</f>
        <v>-10129.57929</v>
      </c>
      <c r="BD44" s="69" t="n">
        <f aca="false">-Inputs!$E$38*(1+Inputs!$E$39)^(BD$5-1)*1</f>
        <v>-10129.57929</v>
      </c>
      <c r="BE44" s="69" t="n">
        <f aca="false">-Inputs!$E$38*(1+Inputs!$E$39)^(BE$5-1)*1</f>
        <v>-10129.57929</v>
      </c>
      <c r="BF44" s="69" t="n">
        <f aca="false">-Inputs!$E$38*(1+Inputs!$E$39)^(BF$5-1)*1</f>
        <v>-10129.57929</v>
      </c>
      <c r="BG44" s="69" t="n">
        <f aca="false">-Inputs!$E$38*(1+Inputs!$E$39)^(BG$5-1)*1</f>
        <v>-10129.57929</v>
      </c>
      <c r="BH44" s="69" t="n">
        <f aca="false">-Inputs!$E$38*(1+Inputs!$E$39)^(BH$5-1)*1</f>
        <v>-10129.57929</v>
      </c>
      <c r="BI44" s="69" t="n">
        <f aca="false">-Inputs!$E$38*(1+Inputs!$E$39)^(BI$5-1)*1</f>
        <v>-10129.57929</v>
      </c>
      <c r="BJ44" s="69" t="n">
        <f aca="false">-Inputs!$E$38*(1+Inputs!$E$39)^(BJ$5-1)*1</f>
        <v>-10129.57929</v>
      </c>
    </row>
    <row r="45" customFormat="false" ht="15" hidden="false" customHeight="false" outlineLevel="0" collapsed="false">
      <c r="A45" s="6" t="s">
        <v>339</v>
      </c>
      <c r="C45" s="69" t="n">
        <f aca="false">-Inputs!$E$40*(1+Inputs!$E$45)^(C$5-1)*1</f>
        <v>-2500</v>
      </c>
      <c r="D45" s="69" t="n">
        <f aca="false">-Inputs!$E$40*(1+Inputs!$E$45)^(D$5-1)*1</f>
        <v>-2500</v>
      </c>
      <c r="E45" s="69" t="n">
        <f aca="false">-Inputs!$E$40*(1+Inputs!$E$45)^(E$5-1)*1</f>
        <v>-2500</v>
      </c>
      <c r="F45" s="69" t="n">
        <f aca="false">-Inputs!$E$40*(1+Inputs!$E$45)^(F$5-1)*1</f>
        <v>-2500</v>
      </c>
      <c r="G45" s="69" t="n">
        <f aca="false">-Inputs!$E$40*(1+Inputs!$E$45)^(G$5-1)*1</f>
        <v>-2500</v>
      </c>
      <c r="H45" s="69" t="n">
        <f aca="false">-Inputs!$E$40*(1+Inputs!$E$45)^(H$5-1)*1</f>
        <v>-2500</v>
      </c>
      <c r="I45" s="69" t="n">
        <f aca="false">-Inputs!$E$40*(1+Inputs!$E$45)^(I$5-1)*1</f>
        <v>-2500</v>
      </c>
      <c r="J45" s="69" t="n">
        <f aca="false">-Inputs!$E$40*(1+Inputs!$E$45)^(J$5-1)*1</f>
        <v>-2500</v>
      </c>
      <c r="K45" s="69" t="n">
        <f aca="false">-Inputs!$E$40*(1+Inputs!$E$45)^(K$5-1)*1</f>
        <v>-2500</v>
      </c>
      <c r="L45" s="69" t="n">
        <f aca="false">-Inputs!$E$40*(1+Inputs!$E$45)^(L$5-1)*1</f>
        <v>-2500</v>
      </c>
      <c r="M45" s="69" t="n">
        <f aca="false">-Inputs!$E$40*(1+Inputs!$E$45)^(M$5-1)*1</f>
        <v>-2500</v>
      </c>
      <c r="N45" s="69" t="n">
        <f aca="false">-Inputs!$E$40*(1+Inputs!$E$45)^(N$5-1)*1</f>
        <v>-2500</v>
      </c>
      <c r="O45" s="69" t="n">
        <f aca="false">-Inputs!$E$40*(1+Inputs!$E$45)^(O$5-1)*1</f>
        <v>-2575</v>
      </c>
      <c r="P45" s="69" t="n">
        <f aca="false">-Inputs!$E$40*(1+Inputs!$E$45)^(P$5-1)*1</f>
        <v>-2575</v>
      </c>
      <c r="Q45" s="69" t="n">
        <f aca="false">-Inputs!$E$40*(1+Inputs!$E$45)^(Q$5-1)*1</f>
        <v>-2575</v>
      </c>
      <c r="R45" s="69" t="n">
        <f aca="false">-Inputs!$E$40*(1+Inputs!$E$45)^(R$5-1)*1</f>
        <v>-2575</v>
      </c>
      <c r="S45" s="69" t="n">
        <f aca="false">-Inputs!$E$40*(1+Inputs!$E$45)^(S$5-1)*1</f>
        <v>-2575</v>
      </c>
      <c r="T45" s="69" t="n">
        <f aca="false">-Inputs!$E$40*(1+Inputs!$E$45)^(T$5-1)*1</f>
        <v>-2575</v>
      </c>
      <c r="U45" s="69" t="n">
        <f aca="false">-Inputs!$E$40*(1+Inputs!$E$45)^(U$5-1)*1</f>
        <v>-2575</v>
      </c>
      <c r="V45" s="69" t="n">
        <f aca="false">-Inputs!$E$40*(1+Inputs!$E$45)^(V$5-1)*1</f>
        <v>-2575</v>
      </c>
      <c r="W45" s="69" t="n">
        <f aca="false">-Inputs!$E$40*(1+Inputs!$E$45)^(W$5-1)*1</f>
        <v>-2575</v>
      </c>
      <c r="X45" s="69" t="n">
        <f aca="false">-Inputs!$E$40*(1+Inputs!$E$45)^(X$5-1)*1</f>
        <v>-2575</v>
      </c>
      <c r="Y45" s="69" t="n">
        <f aca="false">-Inputs!$E$40*(1+Inputs!$E$45)^(Y$5-1)*1</f>
        <v>-2575</v>
      </c>
      <c r="Z45" s="69" t="n">
        <f aca="false">-Inputs!$E$40*(1+Inputs!$E$45)^(Z$5-1)*1</f>
        <v>-2575</v>
      </c>
      <c r="AA45" s="69" t="n">
        <f aca="false">-Inputs!$E$40*(1+Inputs!$E$45)^(AA$5-1)*1</f>
        <v>-2652.25</v>
      </c>
      <c r="AB45" s="69" t="n">
        <f aca="false">-Inputs!$E$40*(1+Inputs!$E$45)^(AB$5-1)*1</f>
        <v>-2652.25</v>
      </c>
      <c r="AC45" s="69" t="n">
        <f aca="false">-Inputs!$E$40*(1+Inputs!$E$45)^(AC$5-1)*1</f>
        <v>-2652.25</v>
      </c>
      <c r="AD45" s="69" t="n">
        <f aca="false">-Inputs!$E$40*(1+Inputs!$E$45)^(AD$5-1)*1</f>
        <v>-2652.25</v>
      </c>
      <c r="AE45" s="69" t="n">
        <f aca="false">-Inputs!$E$40*(1+Inputs!$E$45)^(AE$5-1)*1</f>
        <v>-2652.25</v>
      </c>
      <c r="AF45" s="69" t="n">
        <f aca="false">-Inputs!$E$40*(1+Inputs!$E$45)^(AF$5-1)*1</f>
        <v>-2652.25</v>
      </c>
      <c r="AG45" s="69" t="n">
        <f aca="false">-Inputs!$E$40*(1+Inputs!$E$45)^(AG$5-1)*1</f>
        <v>-2652.25</v>
      </c>
      <c r="AH45" s="69" t="n">
        <f aca="false">-Inputs!$E$40*(1+Inputs!$E$45)^(AH$5-1)*1</f>
        <v>-2652.25</v>
      </c>
      <c r="AI45" s="69" t="n">
        <f aca="false">-Inputs!$E$40*(1+Inputs!$E$45)^(AI$5-1)*1</f>
        <v>-2652.25</v>
      </c>
      <c r="AJ45" s="69" t="n">
        <f aca="false">-Inputs!$E$40*(1+Inputs!$E$45)^(AJ$5-1)*1</f>
        <v>-2652.25</v>
      </c>
      <c r="AK45" s="69" t="n">
        <f aca="false">-Inputs!$E$40*(1+Inputs!$E$45)^(AK$5-1)*1</f>
        <v>-2652.25</v>
      </c>
      <c r="AL45" s="69" t="n">
        <f aca="false">-Inputs!$E$40*(1+Inputs!$E$45)^(AL$5-1)*1</f>
        <v>-2652.25</v>
      </c>
      <c r="AM45" s="69" t="n">
        <f aca="false">-Inputs!$E$40*(1+Inputs!$E$45)^(AM$5-1)*1</f>
        <v>-2731.8175</v>
      </c>
      <c r="AN45" s="69" t="n">
        <f aca="false">-Inputs!$E$40*(1+Inputs!$E$45)^(AN$5-1)*1</f>
        <v>-2731.8175</v>
      </c>
      <c r="AO45" s="69" t="n">
        <f aca="false">-Inputs!$E$40*(1+Inputs!$E$45)^(AO$5-1)*1</f>
        <v>-2731.8175</v>
      </c>
      <c r="AP45" s="69" t="n">
        <f aca="false">-Inputs!$E$40*(1+Inputs!$E$45)^(AP$5-1)*1</f>
        <v>-2731.8175</v>
      </c>
      <c r="AQ45" s="69" t="n">
        <f aca="false">-Inputs!$E$40*(1+Inputs!$E$45)^(AQ$5-1)*1</f>
        <v>-2731.8175</v>
      </c>
      <c r="AR45" s="69" t="n">
        <f aca="false">-Inputs!$E$40*(1+Inputs!$E$45)^(AR$5-1)*1</f>
        <v>-2731.8175</v>
      </c>
      <c r="AS45" s="69" t="n">
        <f aca="false">-Inputs!$E$40*(1+Inputs!$E$45)^(AS$5-1)*1</f>
        <v>-2731.8175</v>
      </c>
      <c r="AT45" s="69" t="n">
        <f aca="false">-Inputs!$E$40*(1+Inputs!$E$45)^(AT$5-1)*1</f>
        <v>-2731.8175</v>
      </c>
      <c r="AU45" s="69" t="n">
        <f aca="false">-Inputs!$E$40*(1+Inputs!$E$45)^(AU$5-1)*1</f>
        <v>-2731.8175</v>
      </c>
      <c r="AV45" s="69" t="n">
        <f aca="false">-Inputs!$E$40*(1+Inputs!$E$45)^(AV$5-1)*1</f>
        <v>-2731.8175</v>
      </c>
      <c r="AW45" s="69" t="n">
        <f aca="false">-Inputs!$E$40*(1+Inputs!$E$45)^(AW$5-1)*1</f>
        <v>-2731.8175</v>
      </c>
      <c r="AX45" s="69" t="n">
        <f aca="false">-Inputs!$E$40*(1+Inputs!$E$45)^(AX$5-1)*1</f>
        <v>-2731.8175</v>
      </c>
      <c r="AY45" s="69" t="n">
        <f aca="false">-Inputs!$E$40*(1+Inputs!$E$45)^(AY$5-1)*1</f>
        <v>-2813.772025</v>
      </c>
      <c r="AZ45" s="69" t="n">
        <f aca="false">-Inputs!$E$40*(1+Inputs!$E$45)^(AZ$5-1)*1</f>
        <v>-2813.772025</v>
      </c>
      <c r="BA45" s="69" t="n">
        <f aca="false">-Inputs!$E$40*(1+Inputs!$E$45)^(BA$5-1)*1</f>
        <v>-2813.772025</v>
      </c>
      <c r="BB45" s="69" t="n">
        <f aca="false">-Inputs!$E$40*(1+Inputs!$E$45)^(BB$5-1)*1</f>
        <v>-2813.772025</v>
      </c>
      <c r="BC45" s="69" t="n">
        <f aca="false">-Inputs!$E$40*(1+Inputs!$E$45)^(BC$5-1)*1</f>
        <v>-2813.772025</v>
      </c>
      <c r="BD45" s="69" t="n">
        <f aca="false">-Inputs!$E$40*(1+Inputs!$E$45)^(BD$5-1)*1</f>
        <v>-2813.772025</v>
      </c>
      <c r="BE45" s="69" t="n">
        <f aca="false">-Inputs!$E$40*(1+Inputs!$E$45)^(BE$5-1)*1</f>
        <v>-2813.772025</v>
      </c>
      <c r="BF45" s="69" t="n">
        <f aca="false">-Inputs!$E$40*(1+Inputs!$E$45)^(BF$5-1)*1</f>
        <v>-2813.772025</v>
      </c>
      <c r="BG45" s="69" t="n">
        <f aca="false">-Inputs!$E$40*(1+Inputs!$E$45)^(BG$5-1)*1</f>
        <v>-2813.772025</v>
      </c>
      <c r="BH45" s="69" t="n">
        <f aca="false">-Inputs!$E$40*(1+Inputs!$E$45)^(BH$5-1)*1</f>
        <v>-2813.772025</v>
      </c>
      <c r="BI45" s="69" t="n">
        <f aca="false">-Inputs!$E$40*(1+Inputs!$E$45)^(BI$5-1)*1</f>
        <v>-2813.772025</v>
      </c>
      <c r="BJ45" s="69" t="n">
        <f aca="false">-Inputs!$E$40*(1+Inputs!$E$45)^(BJ$5-1)*1</f>
        <v>-2813.772025</v>
      </c>
    </row>
    <row r="46" customFormat="false" ht="15" hidden="false" customHeight="false" outlineLevel="0" collapsed="false">
      <c r="A46" s="6" t="s">
        <v>340</v>
      </c>
      <c r="C46" s="69" t="n">
        <f aca="false">-Inputs!$E$41*(1+Inputs!$E$45)^(C$5-1)*1</f>
        <v>-4500</v>
      </c>
      <c r="D46" s="69" t="n">
        <f aca="false">-Inputs!$E$41*(1+Inputs!$E$45)^(D$5-1)*1</f>
        <v>-4500</v>
      </c>
      <c r="E46" s="69" t="n">
        <f aca="false">-Inputs!$E$41*(1+Inputs!$E$45)^(E$5-1)*1</f>
        <v>-4500</v>
      </c>
      <c r="F46" s="69" t="n">
        <f aca="false">-Inputs!$E$41*(1+Inputs!$E$45)^(F$5-1)*1</f>
        <v>-4500</v>
      </c>
      <c r="G46" s="69" t="n">
        <f aca="false">-Inputs!$E$41*(1+Inputs!$E$45)^(G$5-1)*1</f>
        <v>-4500</v>
      </c>
      <c r="H46" s="69" t="n">
        <f aca="false">-Inputs!$E$41*(1+Inputs!$E$45)^(H$5-1)*1</f>
        <v>-4500</v>
      </c>
      <c r="I46" s="69" t="n">
        <f aca="false">-Inputs!$E$41*(1+Inputs!$E$45)^(I$5-1)*1</f>
        <v>-4500</v>
      </c>
      <c r="J46" s="69" t="n">
        <f aca="false">-Inputs!$E$41*(1+Inputs!$E$45)^(J$5-1)*1</f>
        <v>-4500</v>
      </c>
      <c r="K46" s="69" t="n">
        <f aca="false">-Inputs!$E$41*(1+Inputs!$E$45)^(K$5-1)*1</f>
        <v>-4500</v>
      </c>
      <c r="L46" s="69" t="n">
        <f aca="false">-Inputs!$E$41*(1+Inputs!$E$45)^(L$5-1)*1</f>
        <v>-4500</v>
      </c>
      <c r="M46" s="69" t="n">
        <f aca="false">-Inputs!$E$41*(1+Inputs!$E$45)^(M$5-1)*1</f>
        <v>-4500</v>
      </c>
      <c r="N46" s="69" t="n">
        <f aca="false">-Inputs!$E$41*(1+Inputs!$E$45)^(N$5-1)*1</f>
        <v>-4500</v>
      </c>
      <c r="O46" s="69" t="n">
        <f aca="false">-Inputs!$E$41*(1+Inputs!$E$45)^(O$5-1)*1</f>
        <v>-4635</v>
      </c>
      <c r="P46" s="69" t="n">
        <f aca="false">-Inputs!$E$41*(1+Inputs!$E$45)^(P$5-1)*1</f>
        <v>-4635</v>
      </c>
      <c r="Q46" s="69" t="n">
        <f aca="false">-Inputs!$E$41*(1+Inputs!$E$45)^(Q$5-1)*1</f>
        <v>-4635</v>
      </c>
      <c r="R46" s="69" t="n">
        <f aca="false">-Inputs!$E$41*(1+Inputs!$E$45)^(R$5-1)*1</f>
        <v>-4635</v>
      </c>
      <c r="S46" s="69" t="n">
        <f aca="false">-Inputs!$E$41*(1+Inputs!$E$45)^(S$5-1)*1</f>
        <v>-4635</v>
      </c>
      <c r="T46" s="69" t="n">
        <f aca="false">-Inputs!$E$41*(1+Inputs!$E$45)^(T$5-1)*1</f>
        <v>-4635</v>
      </c>
      <c r="U46" s="69" t="n">
        <f aca="false">-Inputs!$E$41*(1+Inputs!$E$45)^(U$5-1)*1</f>
        <v>-4635</v>
      </c>
      <c r="V46" s="69" t="n">
        <f aca="false">-Inputs!$E$41*(1+Inputs!$E$45)^(V$5-1)*1</f>
        <v>-4635</v>
      </c>
      <c r="W46" s="69" t="n">
        <f aca="false">-Inputs!$E$41*(1+Inputs!$E$45)^(W$5-1)*1</f>
        <v>-4635</v>
      </c>
      <c r="X46" s="69" t="n">
        <f aca="false">-Inputs!$E$41*(1+Inputs!$E$45)^(X$5-1)*1</f>
        <v>-4635</v>
      </c>
      <c r="Y46" s="69" t="n">
        <f aca="false">-Inputs!$E$41*(1+Inputs!$E$45)^(Y$5-1)*1</f>
        <v>-4635</v>
      </c>
      <c r="Z46" s="69" t="n">
        <f aca="false">-Inputs!$E$41*(1+Inputs!$E$45)^(Z$5-1)*1</f>
        <v>-4635</v>
      </c>
      <c r="AA46" s="69" t="n">
        <f aca="false">-Inputs!$E$41*(1+Inputs!$E$45)^(AA$5-1)*1</f>
        <v>-4774.05</v>
      </c>
      <c r="AB46" s="69" t="n">
        <f aca="false">-Inputs!$E$41*(1+Inputs!$E$45)^(AB$5-1)*1</f>
        <v>-4774.05</v>
      </c>
      <c r="AC46" s="69" t="n">
        <f aca="false">-Inputs!$E$41*(1+Inputs!$E$45)^(AC$5-1)*1</f>
        <v>-4774.05</v>
      </c>
      <c r="AD46" s="69" t="n">
        <f aca="false">-Inputs!$E$41*(1+Inputs!$E$45)^(AD$5-1)*1</f>
        <v>-4774.05</v>
      </c>
      <c r="AE46" s="69" t="n">
        <f aca="false">-Inputs!$E$41*(1+Inputs!$E$45)^(AE$5-1)*1</f>
        <v>-4774.05</v>
      </c>
      <c r="AF46" s="69" t="n">
        <f aca="false">-Inputs!$E$41*(1+Inputs!$E$45)^(AF$5-1)*1</f>
        <v>-4774.05</v>
      </c>
      <c r="AG46" s="69" t="n">
        <f aca="false">-Inputs!$E$41*(1+Inputs!$E$45)^(AG$5-1)*1</f>
        <v>-4774.05</v>
      </c>
      <c r="AH46" s="69" t="n">
        <f aca="false">-Inputs!$E$41*(1+Inputs!$E$45)^(AH$5-1)*1</f>
        <v>-4774.05</v>
      </c>
      <c r="AI46" s="69" t="n">
        <f aca="false">-Inputs!$E$41*(1+Inputs!$E$45)^(AI$5-1)*1</f>
        <v>-4774.05</v>
      </c>
      <c r="AJ46" s="69" t="n">
        <f aca="false">-Inputs!$E$41*(1+Inputs!$E$45)^(AJ$5-1)*1</f>
        <v>-4774.05</v>
      </c>
      <c r="AK46" s="69" t="n">
        <f aca="false">-Inputs!$E$41*(1+Inputs!$E$45)^(AK$5-1)*1</f>
        <v>-4774.05</v>
      </c>
      <c r="AL46" s="69" t="n">
        <f aca="false">-Inputs!$E$41*(1+Inputs!$E$45)^(AL$5-1)*1</f>
        <v>-4774.05</v>
      </c>
      <c r="AM46" s="69" t="n">
        <f aca="false">-Inputs!$E$41*(1+Inputs!$E$45)^(AM$5-1)*1</f>
        <v>-4917.2715</v>
      </c>
      <c r="AN46" s="69" t="n">
        <f aca="false">-Inputs!$E$41*(1+Inputs!$E$45)^(AN$5-1)*1</f>
        <v>-4917.2715</v>
      </c>
      <c r="AO46" s="69" t="n">
        <f aca="false">-Inputs!$E$41*(1+Inputs!$E$45)^(AO$5-1)*1</f>
        <v>-4917.2715</v>
      </c>
      <c r="AP46" s="69" t="n">
        <f aca="false">-Inputs!$E$41*(1+Inputs!$E$45)^(AP$5-1)*1</f>
        <v>-4917.2715</v>
      </c>
      <c r="AQ46" s="69" t="n">
        <f aca="false">-Inputs!$E$41*(1+Inputs!$E$45)^(AQ$5-1)*1</f>
        <v>-4917.2715</v>
      </c>
      <c r="AR46" s="69" t="n">
        <f aca="false">-Inputs!$E$41*(1+Inputs!$E$45)^(AR$5-1)*1</f>
        <v>-4917.2715</v>
      </c>
      <c r="AS46" s="69" t="n">
        <f aca="false">-Inputs!$E$41*(1+Inputs!$E$45)^(AS$5-1)*1</f>
        <v>-4917.2715</v>
      </c>
      <c r="AT46" s="69" t="n">
        <f aca="false">-Inputs!$E$41*(1+Inputs!$E$45)^(AT$5-1)*1</f>
        <v>-4917.2715</v>
      </c>
      <c r="AU46" s="69" t="n">
        <f aca="false">-Inputs!$E$41*(1+Inputs!$E$45)^(AU$5-1)*1</f>
        <v>-4917.2715</v>
      </c>
      <c r="AV46" s="69" t="n">
        <f aca="false">-Inputs!$E$41*(1+Inputs!$E$45)^(AV$5-1)*1</f>
        <v>-4917.2715</v>
      </c>
      <c r="AW46" s="69" t="n">
        <f aca="false">-Inputs!$E$41*(1+Inputs!$E$45)^(AW$5-1)*1</f>
        <v>-4917.2715</v>
      </c>
      <c r="AX46" s="69" t="n">
        <f aca="false">-Inputs!$E$41*(1+Inputs!$E$45)^(AX$5-1)*1</f>
        <v>-4917.2715</v>
      </c>
      <c r="AY46" s="69" t="n">
        <f aca="false">-Inputs!$E$41*(1+Inputs!$E$45)^(AY$5-1)*1</f>
        <v>-5064.789645</v>
      </c>
      <c r="AZ46" s="69" t="n">
        <f aca="false">-Inputs!$E$41*(1+Inputs!$E$45)^(AZ$5-1)*1</f>
        <v>-5064.789645</v>
      </c>
      <c r="BA46" s="69" t="n">
        <f aca="false">-Inputs!$E$41*(1+Inputs!$E$45)^(BA$5-1)*1</f>
        <v>-5064.789645</v>
      </c>
      <c r="BB46" s="69" t="n">
        <f aca="false">-Inputs!$E$41*(1+Inputs!$E$45)^(BB$5-1)*1</f>
        <v>-5064.789645</v>
      </c>
      <c r="BC46" s="69" t="n">
        <f aca="false">-Inputs!$E$41*(1+Inputs!$E$45)^(BC$5-1)*1</f>
        <v>-5064.789645</v>
      </c>
      <c r="BD46" s="69" t="n">
        <f aca="false">-Inputs!$E$41*(1+Inputs!$E$45)^(BD$5-1)*1</f>
        <v>-5064.789645</v>
      </c>
      <c r="BE46" s="69" t="n">
        <f aca="false">-Inputs!$E$41*(1+Inputs!$E$45)^(BE$5-1)*1</f>
        <v>-5064.789645</v>
      </c>
      <c r="BF46" s="69" t="n">
        <f aca="false">-Inputs!$E$41*(1+Inputs!$E$45)^(BF$5-1)*1</f>
        <v>-5064.789645</v>
      </c>
      <c r="BG46" s="69" t="n">
        <f aca="false">-Inputs!$E$41*(1+Inputs!$E$45)^(BG$5-1)*1</f>
        <v>-5064.789645</v>
      </c>
      <c r="BH46" s="69" t="n">
        <f aca="false">-Inputs!$E$41*(1+Inputs!$E$45)^(BH$5-1)*1</f>
        <v>-5064.789645</v>
      </c>
      <c r="BI46" s="69" t="n">
        <f aca="false">-Inputs!$E$41*(1+Inputs!$E$45)^(BI$5-1)*1</f>
        <v>-5064.789645</v>
      </c>
      <c r="BJ46" s="69" t="n">
        <f aca="false">-Inputs!$E$41*(1+Inputs!$E$45)^(BJ$5-1)*1</f>
        <v>-5064.789645</v>
      </c>
    </row>
    <row r="47" customFormat="false" ht="15" hidden="false" customHeight="false" outlineLevel="0" collapsed="false">
      <c r="A47" s="6" t="s">
        <v>341</v>
      </c>
      <c r="C47" s="69" t="n">
        <f aca="false">-Inputs!$E$42*(1+Inputs!$E$43)^(C$5-1)*1</f>
        <v>-3500</v>
      </c>
      <c r="D47" s="69" t="n">
        <f aca="false">-Inputs!$E$42*(1+Inputs!$E$43)^(D$5-1)*1</f>
        <v>-3500</v>
      </c>
      <c r="E47" s="69" t="n">
        <f aca="false">-Inputs!$E$42*(1+Inputs!$E$43)^(E$5-1)*1</f>
        <v>-3500</v>
      </c>
      <c r="F47" s="69" t="n">
        <f aca="false">-Inputs!$E$42*(1+Inputs!$E$43)^(F$5-1)*1</f>
        <v>-3500</v>
      </c>
      <c r="G47" s="69" t="n">
        <f aca="false">-Inputs!$E$42*(1+Inputs!$E$43)^(G$5-1)*1</f>
        <v>-3500</v>
      </c>
      <c r="H47" s="69" t="n">
        <f aca="false">-Inputs!$E$42*(1+Inputs!$E$43)^(H$5-1)*1</f>
        <v>-3500</v>
      </c>
      <c r="I47" s="69" t="n">
        <f aca="false">-Inputs!$E$42*(1+Inputs!$E$43)^(I$5-1)*1</f>
        <v>-3500</v>
      </c>
      <c r="J47" s="69" t="n">
        <f aca="false">-Inputs!$E$42*(1+Inputs!$E$43)^(J$5-1)*1</f>
        <v>-3500</v>
      </c>
      <c r="K47" s="69" t="n">
        <f aca="false">-Inputs!$E$42*(1+Inputs!$E$43)^(K$5-1)*1</f>
        <v>-3500</v>
      </c>
      <c r="L47" s="69" t="n">
        <f aca="false">-Inputs!$E$42*(1+Inputs!$E$43)^(L$5-1)*1</f>
        <v>-3500</v>
      </c>
      <c r="M47" s="69" t="n">
        <f aca="false">-Inputs!$E$42*(1+Inputs!$E$43)^(M$5-1)*1</f>
        <v>-3500</v>
      </c>
      <c r="N47" s="69" t="n">
        <f aca="false">-Inputs!$E$42*(1+Inputs!$E$43)^(N$5-1)*1</f>
        <v>-3500</v>
      </c>
      <c r="O47" s="69" t="n">
        <f aca="false">-Inputs!$E$42*(1+Inputs!$E$43)^(O$5-1)*1</f>
        <v>-2800</v>
      </c>
      <c r="P47" s="69" t="n">
        <f aca="false">-Inputs!$E$42*(1+Inputs!$E$43)^(P$5-1)*1</f>
        <v>-2800</v>
      </c>
      <c r="Q47" s="69" t="n">
        <f aca="false">-Inputs!$E$42*(1+Inputs!$E$43)^(Q$5-1)*1</f>
        <v>-2800</v>
      </c>
      <c r="R47" s="69" t="n">
        <f aca="false">-Inputs!$E$42*(1+Inputs!$E$43)^(R$5-1)*1</f>
        <v>-2800</v>
      </c>
      <c r="S47" s="69" t="n">
        <f aca="false">-Inputs!$E$42*(1+Inputs!$E$43)^(S$5-1)*1</f>
        <v>-2800</v>
      </c>
      <c r="T47" s="69" t="n">
        <f aca="false">-Inputs!$E$42*(1+Inputs!$E$43)^(T$5-1)*1</f>
        <v>-2800</v>
      </c>
      <c r="U47" s="69" t="n">
        <f aca="false">-Inputs!$E$42*(1+Inputs!$E$43)^(U$5-1)*1</f>
        <v>-2800</v>
      </c>
      <c r="V47" s="69" t="n">
        <f aca="false">-Inputs!$E$42*(1+Inputs!$E$43)^(V$5-1)*1</f>
        <v>-2800</v>
      </c>
      <c r="W47" s="69" t="n">
        <f aca="false">-Inputs!$E$42*(1+Inputs!$E$43)^(W$5-1)*1</f>
        <v>-2800</v>
      </c>
      <c r="X47" s="69" t="n">
        <f aca="false">-Inputs!$E$42*(1+Inputs!$E$43)^(X$5-1)*1</f>
        <v>-2800</v>
      </c>
      <c r="Y47" s="69" t="n">
        <f aca="false">-Inputs!$E$42*(1+Inputs!$E$43)^(Y$5-1)*1</f>
        <v>-2800</v>
      </c>
      <c r="Z47" s="69" t="n">
        <f aca="false">-Inputs!$E$42*(1+Inputs!$E$43)^(Z$5-1)*1</f>
        <v>-2800</v>
      </c>
      <c r="AA47" s="69" t="n">
        <f aca="false">-Inputs!$E$42*(1+Inputs!$E$43)^(AA$5-1)*1</f>
        <v>-2240</v>
      </c>
      <c r="AB47" s="69" t="n">
        <f aca="false">-Inputs!$E$42*(1+Inputs!$E$43)^(AB$5-1)*1</f>
        <v>-2240</v>
      </c>
      <c r="AC47" s="69" t="n">
        <f aca="false">-Inputs!$E$42*(1+Inputs!$E$43)^(AC$5-1)*1</f>
        <v>-2240</v>
      </c>
      <c r="AD47" s="69" t="n">
        <f aca="false">-Inputs!$E$42*(1+Inputs!$E$43)^(AD$5-1)*1</f>
        <v>-2240</v>
      </c>
      <c r="AE47" s="69" t="n">
        <f aca="false">-Inputs!$E$42*(1+Inputs!$E$43)^(AE$5-1)*1</f>
        <v>-2240</v>
      </c>
      <c r="AF47" s="69" t="n">
        <f aca="false">-Inputs!$E$42*(1+Inputs!$E$43)^(AF$5-1)*1</f>
        <v>-2240</v>
      </c>
      <c r="AG47" s="69" t="n">
        <f aca="false">-Inputs!$E$42*(1+Inputs!$E$43)^(AG$5-1)*1</f>
        <v>-2240</v>
      </c>
      <c r="AH47" s="69" t="n">
        <f aca="false">-Inputs!$E$42*(1+Inputs!$E$43)^(AH$5-1)*1</f>
        <v>-2240</v>
      </c>
      <c r="AI47" s="69" t="n">
        <f aca="false">-Inputs!$E$42*(1+Inputs!$E$43)^(AI$5-1)*1</f>
        <v>-2240</v>
      </c>
      <c r="AJ47" s="69" t="n">
        <f aca="false">-Inputs!$E$42*(1+Inputs!$E$43)^(AJ$5-1)*1</f>
        <v>-2240</v>
      </c>
      <c r="AK47" s="69" t="n">
        <f aca="false">-Inputs!$E$42*(1+Inputs!$E$43)^(AK$5-1)*1</f>
        <v>-2240</v>
      </c>
      <c r="AL47" s="69" t="n">
        <f aca="false">-Inputs!$E$42*(1+Inputs!$E$43)^(AL$5-1)*1</f>
        <v>-2240</v>
      </c>
      <c r="AM47" s="69" t="n">
        <f aca="false">-Inputs!$E$42*(1+Inputs!$E$43)^(AM$5-1)*1</f>
        <v>-1792</v>
      </c>
      <c r="AN47" s="69" t="n">
        <f aca="false">-Inputs!$E$42*(1+Inputs!$E$43)^(AN$5-1)*1</f>
        <v>-1792</v>
      </c>
      <c r="AO47" s="69" t="n">
        <f aca="false">-Inputs!$E$42*(1+Inputs!$E$43)^(AO$5-1)*1</f>
        <v>-1792</v>
      </c>
      <c r="AP47" s="69" t="n">
        <f aca="false">-Inputs!$E$42*(1+Inputs!$E$43)^(AP$5-1)*1</f>
        <v>-1792</v>
      </c>
      <c r="AQ47" s="69" t="n">
        <f aca="false">-Inputs!$E$42*(1+Inputs!$E$43)^(AQ$5-1)*1</f>
        <v>-1792</v>
      </c>
      <c r="AR47" s="69" t="n">
        <f aca="false">-Inputs!$E$42*(1+Inputs!$E$43)^(AR$5-1)*1</f>
        <v>-1792</v>
      </c>
      <c r="AS47" s="69" t="n">
        <f aca="false">-Inputs!$E$42*(1+Inputs!$E$43)^(AS$5-1)*1</f>
        <v>-1792</v>
      </c>
      <c r="AT47" s="69" t="n">
        <f aca="false">-Inputs!$E$42*(1+Inputs!$E$43)^(AT$5-1)*1</f>
        <v>-1792</v>
      </c>
      <c r="AU47" s="69" t="n">
        <f aca="false">-Inputs!$E$42*(1+Inputs!$E$43)^(AU$5-1)*1</f>
        <v>-1792</v>
      </c>
      <c r="AV47" s="69" t="n">
        <f aca="false">-Inputs!$E$42*(1+Inputs!$E$43)^(AV$5-1)*1</f>
        <v>-1792</v>
      </c>
      <c r="AW47" s="69" t="n">
        <f aca="false">-Inputs!$E$42*(1+Inputs!$E$43)^(AW$5-1)*1</f>
        <v>-1792</v>
      </c>
      <c r="AX47" s="69" t="n">
        <f aca="false">-Inputs!$E$42*(1+Inputs!$E$43)^(AX$5-1)*1</f>
        <v>-1792</v>
      </c>
      <c r="AY47" s="69" t="n">
        <f aca="false">-Inputs!$E$42*(1+Inputs!$E$43)^(AY$5-1)*1</f>
        <v>-1433.6</v>
      </c>
      <c r="AZ47" s="69" t="n">
        <f aca="false">-Inputs!$E$42*(1+Inputs!$E$43)^(AZ$5-1)*1</f>
        <v>-1433.6</v>
      </c>
      <c r="BA47" s="69" t="n">
        <f aca="false">-Inputs!$E$42*(1+Inputs!$E$43)^(BA$5-1)*1</f>
        <v>-1433.6</v>
      </c>
      <c r="BB47" s="69" t="n">
        <f aca="false">-Inputs!$E$42*(1+Inputs!$E$43)^(BB$5-1)*1</f>
        <v>-1433.6</v>
      </c>
      <c r="BC47" s="69" t="n">
        <f aca="false">-Inputs!$E$42*(1+Inputs!$E$43)^(BC$5-1)*1</f>
        <v>-1433.6</v>
      </c>
      <c r="BD47" s="69" t="n">
        <f aca="false">-Inputs!$E$42*(1+Inputs!$E$43)^(BD$5-1)*1</f>
        <v>-1433.6</v>
      </c>
      <c r="BE47" s="69" t="n">
        <f aca="false">-Inputs!$E$42*(1+Inputs!$E$43)^(BE$5-1)*1</f>
        <v>-1433.6</v>
      </c>
      <c r="BF47" s="69" t="n">
        <f aca="false">-Inputs!$E$42*(1+Inputs!$E$43)^(BF$5-1)*1</f>
        <v>-1433.6</v>
      </c>
      <c r="BG47" s="69" t="n">
        <f aca="false">-Inputs!$E$42*(1+Inputs!$E$43)^(BG$5-1)*1</f>
        <v>-1433.6</v>
      </c>
      <c r="BH47" s="69" t="n">
        <f aca="false">-Inputs!$E$42*(1+Inputs!$E$43)^(BH$5-1)*1</f>
        <v>-1433.6</v>
      </c>
      <c r="BI47" s="69" t="n">
        <f aca="false">-Inputs!$E$42*(1+Inputs!$E$43)^(BI$5-1)*1</f>
        <v>-1433.6</v>
      </c>
      <c r="BJ47" s="69" t="n">
        <f aca="false">-Inputs!$E$42*(1+Inputs!$E$43)^(BJ$5-1)*1</f>
        <v>-1433.6</v>
      </c>
    </row>
    <row r="48" customFormat="false" ht="15" hidden="false" customHeight="false" outlineLevel="0" collapsed="false">
      <c r="A48" s="6" t="s">
        <v>342</v>
      </c>
      <c r="C48" s="69" t="n">
        <f aca="false">-C31*Inputs!$E$44</f>
        <v>-750.20736</v>
      </c>
      <c r="D48" s="69" t="n">
        <f aca="false">-D31*Inputs!$E$44</f>
        <v>-862.738464</v>
      </c>
      <c r="E48" s="69" t="n">
        <f aca="false">-E31*Inputs!$E$44</f>
        <v>-975.269568</v>
      </c>
      <c r="F48" s="69" t="n">
        <f aca="false">-F31*Inputs!$E$44</f>
        <v>-1087.800672</v>
      </c>
      <c r="G48" s="69" t="n">
        <f aca="false">-G31*Inputs!$E$44</f>
        <v>-1200.331776</v>
      </c>
      <c r="H48" s="69" t="n">
        <f aca="false">-H31*Inputs!$E$44</f>
        <v>-1508.78784</v>
      </c>
      <c r="I48" s="69" t="n">
        <f aca="false">-I31*Inputs!$E$44</f>
        <v>-1638.112512</v>
      </c>
      <c r="J48" s="69" t="n">
        <f aca="false">-J31*Inputs!$E$44</f>
        <v>-1767.437184</v>
      </c>
      <c r="K48" s="69" t="n">
        <f aca="false">-K31*Inputs!$E$44</f>
        <v>-1650.456192</v>
      </c>
      <c r="L48" s="69" t="n">
        <f aca="false">-L31*Inputs!$E$44</f>
        <v>-1762.987296</v>
      </c>
      <c r="M48" s="69" t="n">
        <f aca="false">-M31*Inputs!$E$44</f>
        <v>-1875.5184</v>
      </c>
      <c r="N48" s="69" t="n">
        <f aca="false">-N31*Inputs!$E$44</f>
        <v>-2155.4112</v>
      </c>
      <c r="O48" s="69" t="n">
        <f aca="false">-O31*Inputs!$E$44</f>
        <v>-1989.73747056</v>
      </c>
      <c r="P48" s="69" t="n">
        <f aca="false">-P31*Inputs!$E$44</f>
        <v>-1989.73747056</v>
      </c>
      <c r="Q48" s="69" t="n">
        <f aca="false">-Q31*Inputs!$E$44</f>
        <v>-1989.73747056</v>
      </c>
      <c r="R48" s="69" t="n">
        <f aca="false">-R31*Inputs!$E$44</f>
        <v>-1989.73747056</v>
      </c>
      <c r="S48" s="69" t="n">
        <f aca="false">-S31*Inputs!$E$44</f>
        <v>-1989.73747056</v>
      </c>
      <c r="T48" s="69" t="n">
        <f aca="false">-T31*Inputs!$E$44</f>
        <v>-2286.67574208</v>
      </c>
      <c r="U48" s="69" t="n">
        <f aca="false">-U31*Inputs!$E$44</f>
        <v>-2286.67574208</v>
      </c>
      <c r="V48" s="69" t="n">
        <f aca="false">-V31*Inputs!$E$44</f>
        <v>-2286.67574208</v>
      </c>
      <c r="W48" s="69" t="n">
        <f aca="false">-W31*Inputs!$E$44</f>
        <v>-1989.73747056</v>
      </c>
      <c r="X48" s="69" t="n">
        <f aca="false">-X31*Inputs!$E$44</f>
        <v>-1989.73747056</v>
      </c>
      <c r="Y48" s="69" t="n">
        <f aca="false">-Y31*Inputs!$E$44</f>
        <v>-1989.73747056</v>
      </c>
      <c r="Z48" s="69" t="n">
        <f aca="false">-Z31*Inputs!$E$44</f>
        <v>-2286.67574208</v>
      </c>
      <c r="AA48" s="69" t="n">
        <f aca="false">-AA31*Inputs!$E$44</f>
        <v>-2110.9124825171</v>
      </c>
      <c r="AB48" s="69" t="n">
        <f aca="false">-AB31*Inputs!$E$44</f>
        <v>-2110.9124825171</v>
      </c>
      <c r="AC48" s="69" t="n">
        <f aca="false">-AC31*Inputs!$E$44</f>
        <v>-2110.9124825171</v>
      </c>
      <c r="AD48" s="69" t="n">
        <f aca="false">-AD31*Inputs!$E$44</f>
        <v>-2110.9124825171</v>
      </c>
      <c r="AE48" s="69" t="n">
        <f aca="false">-AE31*Inputs!$E$44</f>
        <v>-2110.9124825171</v>
      </c>
      <c r="AF48" s="69" t="n">
        <f aca="false">-AF31*Inputs!$E$44</f>
        <v>-2425.93429477267</v>
      </c>
      <c r="AG48" s="69" t="n">
        <f aca="false">-AG31*Inputs!$E$44</f>
        <v>-2425.93429477267</v>
      </c>
      <c r="AH48" s="69" t="n">
        <f aca="false">-AH31*Inputs!$E$44</f>
        <v>-2425.93429477267</v>
      </c>
      <c r="AI48" s="69" t="n">
        <f aca="false">-AI31*Inputs!$E$44</f>
        <v>-2110.9124825171</v>
      </c>
      <c r="AJ48" s="69" t="n">
        <f aca="false">-AJ31*Inputs!$E$44</f>
        <v>-2110.9124825171</v>
      </c>
      <c r="AK48" s="69" t="n">
        <f aca="false">-AK31*Inputs!$E$44</f>
        <v>-2110.9124825171</v>
      </c>
      <c r="AL48" s="69" t="n">
        <f aca="false">-AL31*Inputs!$E$44</f>
        <v>-2425.93429477267</v>
      </c>
      <c r="AM48" s="69" t="n">
        <f aca="false">-AM31*Inputs!$E$44</f>
        <v>-2239.4670527024</v>
      </c>
      <c r="AN48" s="69" t="n">
        <f aca="false">-AN31*Inputs!$E$44</f>
        <v>-2239.4670527024</v>
      </c>
      <c r="AO48" s="69" t="n">
        <f aca="false">-AO31*Inputs!$E$44</f>
        <v>-2239.4670527024</v>
      </c>
      <c r="AP48" s="69" t="n">
        <f aca="false">-AP31*Inputs!$E$44</f>
        <v>-2239.4670527024</v>
      </c>
      <c r="AQ48" s="69" t="n">
        <f aca="false">-AQ31*Inputs!$E$44</f>
        <v>-2239.4670527024</v>
      </c>
      <c r="AR48" s="69" t="n">
        <f aca="false">-AR31*Inputs!$E$44</f>
        <v>-2573.67369332433</v>
      </c>
      <c r="AS48" s="69" t="n">
        <f aca="false">-AS31*Inputs!$E$44</f>
        <v>-2573.67369332433</v>
      </c>
      <c r="AT48" s="69" t="n">
        <f aca="false">-AT31*Inputs!$E$44</f>
        <v>-2573.67369332433</v>
      </c>
      <c r="AU48" s="69" t="n">
        <f aca="false">-AU31*Inputs!$E$44</f>
        <v>-2239.4670527024</v>
      </c>
      <c r="AV48" s="69" t="n">
        <f aca="false">-AV31*Inputs!$E$44</f>
        <v>-2239.4670527024</v>
      </c>
      <c r="AW48" s="69" t="n">
        <f aca="false">-AW31*Inputs!$E$44</f>
        <v>-2239.4670527024</v>
      </c>
      <c r="AX48" s="69" t="n">
        <f aca="false">-AX31*Inputs!$E$44</f>
        <v>-2573.67369332433</v>
      </c>
      <c r="AY48" s="69" t="n">
        <f aca="false">-AY31*Inputs!$E$44</f>
        <v>-2375.85059621197</v>
      </c>
      <c r="AZ48" s="69" t="n">
        <f aca="false">-AZ31*Inputs!$E$44</f>
        <v>-2375.85059621197</v>
      </c>
      <c r="BA48" s="69" t="n">
        <f aca="false">-BA31*Inputs!$E$44</f>
        <v>-2375.85059621197</v>
      </c>
      <c r="BB48" s="69" t="n">
        <f aca="false">-BB31*Inputs!$E$44</f>
        <v>-2375.85059621197</v>
      </c>
      <c r="BC48" s="69" t="n">
        <f aca="false">-BC31*Inputs!$E$44</f>
        <v>-2375.85059621197</v>
      </c>
      <c r="BD48" s="69" t="n">
        <f aca="false">-BD31*Inputs!$E$44</f>
        <v>-2730.41042124778</v>
      </c>
      <c r="BE48" s="69" t="n">
        <f aca="false">-BE31*Inputs!$E$44</f>
        <v>-2730.41042124778</v>
      </c>
      <c r="BF48" s="69" t="n">
        <f aca="false">-BF31*Inputs!$E$44</f>
        <v>-2730.41042124778</v>
      </c>
      <c r="BG48" s="69" t="n">
        <f aca="false">-BG31*Inputs!$E$44</f>
        <v>-2375.85059621197</v>
      </c>
      <c r="BH48" s="69" t="n">
        <f aca="false">-BH31*Inputs!$E$44</f>
        <v>-2375.85059621197</v>
      </c>
      <c r="BI48" s="69" t="n">
        <f aca="false">-BI31*Inputs!$E$44</f>
        <v>-2375.85059621197</v>
      </c>
      <c r="BJ48" s="69" t="n">
        <f aca="false">-BJ31*Inputs!$E$44</f>
        <v>-2730.41042124778</v>
      </c>
    </row>
    <row r="49" customFormat="false" ht="15" hidden="false" customHeight="false" outlineLevel="0" collapsed="false">
      <c r="A49" s="115" t="s">
        <v>77</v>
      </c>
      <c r="C49" s="70" t="n">
        <f aca="false">C43+C44+C45+C46+C47+C48</f>
        <v>-35487.70736</v>
      </c>
      <c r="D49" s="70" t="n">
        <f aca="false">D43+D44+D45+D46+D47+D48</f>
        <v>-35600.238464</v>
      </c>
      <c r="E49" s="70" t="n">
        <f aca="false">E43+E44+E45+E46+E47+E48</f>
        <v>-35712.769568</v>
      </c>
      <c r="F49" s="70" t="n">
        <f aca="false">F43+F44+F45+F46+F47+F48</f>
        <v>-35825.300672</v>
      </c>
      <c r="G49" s="70" t="n">
        <f aca="false">G43+G44+G45+G46+G47+G48</f>
        <v>-35937.831776</v>
      </c>
      <c r="H49" s="70" t="n">
        <f aca="false">H43+H44+H45+H46+H47+H48</f>
        <v>-36246.28784</v>
      </c>
      <c r="I49" s="70" t="n">
        <f aca="false">I43+I44+I45+I46+I47+I48</f>
        <v>-36375.612512</v>
      </c>
      <c r="J49" s="70" t="n">
        <f aca="false">J43+J44+J45+J46+J47+J48</f>
        <v>-36504.937184</v>
      </c>
      <c r="K49" s="70" t="n">
        <f aca="false">K43+K44+K45+K46+K47+K48</f>
        <v>-36387.956192</v>
      </c>
      <c r="L49" s="70" t="n">
        <f aca="false">L43+L44+L45+L46+L47+L48</f>
        <v>-36500.487296</v>
      </c>
      <c r="M49" s="70" t="n">
        <f aca="false">M43+M44+M45+M46+M47+M48</f>
        <v>-36613.0184</v>
      </c>
      <c r="N49" s="70" t="n">
        <f aca="false">N43+N44+N45+N46+N47+N48</f>
        <v>-36892.9112</v>
      </c>
      <c r="O49" s="70" t="n">
        <f aca="false">O43+O44+O45+O46+O47+O48</f>
        <v>-36964.36247056</v>
      </c>
      <c r="P49" s="70" t="n">
        <f aca="false">P43+P44+P45+P46+P47+P48</f>
        <v>-36964.36247056</v>
      </c>
      <c r="Q49" s="70" t="n">
        <f aca="false">Q43+Q44+Q45+Q46+Q47+Q48</f>
        <v>-36964.36247056</v>
      </c>
      <c r="R49" s="70" t="n">
        <f aca="false">R43+R44+R45+R46+R47+R48</f>
        <v>-36964.36247056</v>
      </c>
      <c r="S49" s="70" t="n">
        <f aca="false">S43+S44+S45+S46+S47+S48</f>
        <v>-36964.36247056</v>
      </c>
      <c r="T49" s="70" t="n">
        <f aca="false">T43+T44+T45+T46+T47+T48</f>
        <v>-37261.30074208</v>
      </c>
      <c r="U49" s="70" t="n">
        <f aca="false">U43+U44+U45+U46+U47+U48</f>
        <v>-37261.30074208</v>
      </c>
      <c r="V49" s="70" t="n">
        <f aca="false">V43+V44+V45+V46+V47+V48</f>
        <v>-37261.30074208</v>
      </c>
      <c r="W49" s="70" t="n">
        <f aca="false">W43+W44+W45+W46+W47+W48</f>
        <v>-36964.36247056</v>
      </c>
      <c r="X49" s="70" t="n">
        <f aca="false">X43+X44+X45+X46+X47+X48</f>
        <v>-36964.36247056</v>
      </c>
      <c r="Y49" s="70" t="n">
        <f aca="false">Y43+Y44+Y45+Y46+Y47+Y48</f>
        <v>-36964.36247056</v>
      </c>
      <c r="Z49" s="70" t="n">
        <f aca="false">Z43+Z44+Z45+Z46+Z47+Z48</f>
        <v>-37261.30074208</v>
      </c>
      <c r="AA49" s="70" t="n">
        <f aca="false">AA43+AA44+AA45+AA46+AA47+AA48</f>
        <v>-37490.7762325171</v>
      </c>
      <c r="AB49" s="70" t="n">
        <f aca="false">AB43+AB44+AB45+AB46+AB47+AB48</f>
        <v>-37490.7762325171</v>
      </c>
      <c r="AC49" s="70" t="n">
        <f aca="false">AC43+AC44+AC45+AC46+AC47+AC48</f>
        <v>-37490.7762325171</v>
      </c>
      <c r="AD49" s="70" t="n">
        <f aca="false">AD43+AD44+AD45+AD46+AD47+AD48</f>
        <v>-37490.7762325171</v>
      </c>
      <c r="AE49" s="70" t="n">
        <f aca="false">AE43+AE44+AE45+AE46+AE47+AE48</f>
        <v>-37490.7762325171</v>
      </c>
      <c r="AF49" s="70" t="n">
        <f aca="false">AF43+AF44+AF45+AF46+AF47+AF48</f>
        <v>-37805.7980447727</v>
      </c>
      <c r="AG49" s="70" t="n">
        <f aca="false">AG43+AG44+AG45+AG46+AG47+AG48</f>
        <v>-37805.7980447727</v>
      </c>
      <c r="AH49" s="70" t="n">
        <f aca="false">AH43+AH44+AH45+AH46+AH47+AH48</f>
        <v>-37805.7980447727</v>
      </c>
      <c r="AI49" s="70" t="n">
        <f aca="false">AI43+AI44+AI45+AI46+AI47+AI48</f>
        <v>-37490.7762325171</v>
      </c>
      <c r="AJ49" s="70" t="n">
        <f aca="false">AJ43+AJ44+AJ45+AJ46+AJ47+AJ48</f>
        <v>-37490.7762325171</v>
      </c>
      <c r="AK49" s="70" t="n">
        <f aca="false">AK43+AK44+AK45+AK46+AK47+AK48</f>
        <v>-37490.7762325171</v>
      </c>
      <c r="AL49" s="70" t="n">
        <f aca="false">AL43+AL44+AL45+AL46+AL47+AL48</f>
        <v>-37805.7980447727</v>
      </c>
      <c r="AM49" s="70" t="n">
        <f aca="false">AM43+AM44+AM45+AM46+AM47+AM48</f>
        <v>-38165.5267152024</v>
      </c>
      <c r="AN49" s="70" t="n">
        <f aca="false">AN43+AN44+AN45+AN46+AN47+AN48</f>
        <v>-38165.5267152024</v>
      </c>
      <c r="AO49" s="70" t="n">
        <f aca="false">AO43+AO44+AO45+AO46+AO47+AO48</f>
        <v>-38165.5267152024</v>
      </c>
      <c r="AP49" s="70" t="n">
        <f aca="false">AP43+AP44+AP45+AP46+AP47+AP48</f>
        <v>-38165.5267152024</v>
      </c>
      <c r="AQ49" s="70" t="n">
        <f aca="false">AQ43+AQ44+AQ45+AQ46+AQ47+AQ48</f>
        <v>-38165.5267152024</v>
      </c>
      <c r="AR49" s="70" t="n">
        <f aca="false">AR43+AR44+AR45+AR46+AR47+AR48</f>
        <v>-38499.7333558243</v>
      </c>
      <c r="AS49" s="70" t="n">
        <f aca="false">AS43+AS44+AS45+AS46+AS47+AS48</f>
        <v>-38499.7333558243</v>
      </c>
      <c r="AT49" s="70" t="n">
        <f aca="false">AT43+AT44+AT45+AT46+AT47+AT48</f>
        <v>-38499.7333558243</v>
      </c>
      <c r="AU49" s="70" t="n">
        <f aca="false">AU43+AU44+AU45+AU46+AU47+AU48</f>
        <v>-38165.5267152024</v>
      </c>
      <c r="AV49" s="70" t="n">
        <f aca="false">AV43+AV44+AV45+AV46+AV47+AV48</f>
        <v>-38165.5267152024</v>
      </c>
      <c r="AW49" s="70" t="n">
        <f aca="false">AW43+AW44+AW45+AW46+AW47+AW48</f>
        <v>-38165.5267152024</v>
      </c>
      <c r="AX49" s="70" t="n">
        <f aca="false">AX43+AX44+AX45+AX46+AX47+AX48</f>
        <v>-38499.7333558243</v>
      </c>
      <c r="AY49" s="70" t="n">
        <f aca="false">AY43+AY44+AY45+AY46+AY47+AY48</f>
        <v>-38967.532048587</v>
      </c>
      <c r="AZ49" s="70" t="n">
        <f aca="false">AZ43+AZ44+AZ45+AZ46+AZ47+AZ48</f>
        <v>-38967.532048587</v>
      </c>
      <c r="BA49" s="70" t="n">
        <f aca="false">BA43+BA44+BA45+BA46+BA47+BA48</f>
        <v>-38967.532048587</v>
      </c>
      <c r="BB49" s="70" t="n">
        <f aca="false">BB43+BB44+BB45+BB46+BB47+BB48</f>
        <v>-38967.532048587</v>
      </c>
      <c r="BC49" s="70" t="n">
        <f aca="false">BC43+BC44+BC45+BC46+BC47+BC48</f>
        <v>-38967.532048587</v>
      </c>
      <c r="BD49" s="70" t="n">
        <f aca="false">BD43+BD44+BD45+BD46+BD47+BD48</f>
        <v>-39322.0918736228</v>
      </c>
      <c r="BE49" s="70" t="n">
        <f aca="false">BE43+BE44+BE45+BE46+BE47+BE48</f>
        <v>-39322.0918736228</v>
      </c>
      <c r="BF49" s="70" t="n">
        <f aca="false">BF43+BF44+BF45+BF46+BF47+BF48</f>
        <v>-39322.0918736228</v>
      </c>
      <c r="BG49" s="70" t="n">
        <f aca="false">BG43+BG44+BG45+BG46+BG47+BG48</f>
        <v>-38967.532048587</v>
      </c>
      <c r="BH49" s="70" t="n">
        <f aca="false">BH43+BH44+BH45+BH46+BH47+BH48</f>
        <v>-38967.532048587</v>
      </c>
      <c r="BI49" s="70" t="n">
        <f aca="false">BI43+BI44+BI45+BI46+BI47+BI48</f>
        <v>-38967.532048587</v>
      </c>
      <c r="BJ49" s="70" t="n">
        <f aca="false">BJ43+BJ44+BJ45+BJ46+BJ47+BJ48</f>
        <v>-39322.0918736228</v>
      </c>
    </row>
    <row r="50" customFormat="false" ht="15" hidden="false" customHeight="false" outlineLevel="0" collapsed="false">
      <c r="A50" s="115" t="s">
        <v>48</v>
      </c>
      <c r="C50" s="70" t="n">
        <f aca="false">C40+C49</f>
        <v>-21450.9990933333</v>
      </c>
      <c r="D50" s="70" t="n">
        <f aca="false">D40+D49</f>
        <v>-18883.0239573333</v>
      </c>
      <c r="E50" s="70" t="n">
        <f aca="false">E40+E49</f>
        <v>-16315.0488213333</v>
      </c>
      <c r="F50" s="70" t="n">
        <f aca="false">F40+F49</f>
        <v>-13747.0736853333</v>
      </c>
      <c r="G50" s="70" t="n">
        <f aca="false">G40+G49</f>
        <v>-11179.0985493333</v>
      </c>
      <c r="H50" s="70" t="n">
        <f aca="false">H40+H49</f>
        <v>-2988.67077333334</v>
      </c>
      <c r="I50" s="70" t="n">
        <f aca="false">I40+I49</f>
        <v>61.2288746666673</v>
      </c>
      <c r="J50" s="70" t="n">
        <f aca="false">J40+J49</f>
        <v>3111.12852266667</v>
      </c>
      <c r="K50" s="70" t="n">
        <f aca="false">K40+K49</f>
        <v>-907.198005333339</v>
      </c>
      <c r="L50" s="70" t="n">
        <f aca="false">L40+L49</f>
        <v>1660.77713066666</v>
      </c>
      <c r="M50" s="70" t="n">
        <f aca="false">M40+M49</f>
        <v>4228.75226666666</v>
      </c>
      <c r="N50" s="70" t="n">
        <f aca="false">N40+N49</f>
        <v>12260.8274666667</v>
      </c>
      <c r="O50" s="70" t="n">
        <f aca="false">O40+O49</f>
        <v>6483.12202970667</v>
      </c>
      <c r="P50" s="70" t="n">
        <f aca="false">P40+P49</f>
        <v>6483.12202970667</v>
      </c>
      <c r="Q50" s="70" t="n">
        <f aca="false">Q40+Q49</f>
        <v>6483.12202970667</v>
      </c>
      <c r="R50" s="70" t="n">
        <f aca="false">R40+R49</f>
        <v>6483.12202970667</v>
      </c>
      <c r="S50" s="70" t="n">
        <f aca="false">S40+S49</f>
        <v>6483.12202970667</v>
      </c>
      <c r="T50" s="70" t="n">
        <f aca="false">T40+T49</f>
        <v>15004.3506093867</v>
      </c>
      <c r="U50" s="70" t="n">
        <f aca="false">U40+U49</f>
        <v>15004.3506093867</v>
      </c>
      <c r="V50" s="70" t="n">
        <f aca="false">V40+V49</f>
        <v>15004.3506093867</v>
      </c>
      <c r="W50" s="70" t="n">
        <f aca="false">W40+W49</f>
        <v>6483.12202970667</v>
      </c>
      <c r="X50" s="70" t="n">
        <f aca="false">X40+X49</f>
        <v>6483.12202970667</v>
      </c>
      <c r="Y50" s="70" t="n">
        <f aca="false">Y40+Y49</f>
        <v>6483.12202970667</v>
      </c>
      <c r="Z50" s="70" t="n">
        <f aca="false">Z40+Z49</f>
        <v>15004.3506093867</v>
      </c>
      <c r="AA50" s="70" t="n">
        <f aca="false">AA40+AA49</f>
        <v>8724.66357381579</v>
      </c>
      <c r="AB50" s="70" t="n">
        <f aca="false">AB40+AB49</f>
        <v>8724.66357381579</v>
      </c>
      <c r="AC50" s="70" t="n">
        <f aca="false">AC40+AC49</f>
        <v>8724.66357381579</v>
      </c>
      <c r="AD50" s="70" t="n">
        <f aca="false">AD40+AD49</f>
        <v>8724.66357381579</v>
      </c>
      <c r="AE50" s="70" t="n">
        <f aca="false">AE40+AE49</f>
        <v>8724.66357381579</v>
      </c>
      <c r="AF50" s="70" t="n">
        <f aca="false">AF40+AF49</f>
        <v>17764.8349739983</v>
      </c>
      <c r="AG50" s="70" t="n">
        <f aca="false">AG40+AG49</f>
        <v>17764.8349739983</v>
      </c>
      <c r="AH50" s="70" t="n">
        <f aca="false">AH40+AH49</f>
        <v>17764.8349739983</v>
      </c>
      <c r="AI50" s="70" t="n">
        <f aca="false">AI40+AI49</f>
        <v>8724.66357381579</v>
      </c>
      <c r="AJ50" s="70" t="n">
        <f aca="false">AJ40+AJ49</f>
        <v>8724.66357381579</v>
      </c>
      <c r="AK50" s="70" t="n">
        <f aca="false">AK40+AK49</f>
        <v>8724.66357381579</v>
      </c>
      <c r="AL50" s="70" t="n">
        <f aca="false">AL40+AL49</f>
        <v>17764.8349739983</v>
      </c>
      <c r="AM50" s="70" t="n">
        <f aca="false">AM40+AM49</f>
        <v>10990.0969803362</v>
      </c>
      <c r="AN50" s="70" t="n">
        <f aca="false">AN40+AN49</f>
        <v>10990.0969803362</v>
      </c>
      <c r="AO50" s="70" t="n">
        <f aca="false">AO40+AO49</f>
        <v>10990.0969803362</v>
      </c>
      <c r="AP50" s="70" t="n">
        <f aca="false">AP40+AP49</f>
        <v>10990.0969803362</v>
      </c>
      <c r="AQ50" s="70" t="n">
        <f aca="false">AQ40+AQ49</f>
        <v>10990.0969803362</v>
      </c>
      <c r="AR50" s="70" t="n">
        <f aca="false">AR40+AR49</f>
        <v>20580.8148187898</v>
      </c>
      <c r="AS50" s="70" t="n">
        <f aca="false">AS40+AS49</f>
        <v>20580.8148187898</v>
      </c>
      <c r="AT50" s="70" t="n">
        <f aca="false">AT40+AT49</f>
        <v>20580.8148187898</v>
      </c>
      <c r="AU50" s="70" t="n">
        <f aca="false">AU40+AU49</f>
        <v>10990.0969803362</v>
      </c>
      <c r="AV50" s="70" t="n">
        <f aca="false">AV40+AV49</f>
        <v>10990.0969803362</v>
      </c>
      <c r="AW50" s="70" t="n">
        <f aca="false">AW40+AW49</f>
        <v>10990.0969803362</v>
      </c>
      <c r="AX50" s="70" t="n">
        <f aca="false">AX40+AX49</f>
        <v>20580.8148187898</v>
      </c>
      <c r="AY50" s="70" t="n">
        <f aca="false">AY40+AY49</f>
        <v>13311.1026431599</v>
      </c>
      <c r="AZ50" s="70" t="n">
        <f aca="false">AZ40+AZ49</f>
        <v>13311.1026431599</v>
      </c>
      <c r="BA50" s="70" t="n">
        <f aca="false">BA40+BA49</f>
        <v>13311.1026431599</v>
      </c>
      <c r="BB50" s="70" t="n">
        <f aca="false">BB40+BB49</f>
        <v>13311.1026431599</v>
      </c>
      <c r="BC50" s="70" t="n">
        <f aca="false">BC40+BC49</f>
        <v>13311.1026431599</v>
      </c>
      <c r="BD50" s="70" t="n">
        <f aca="false">BD40+BD49</f>
        <v>23485.8951979754</v>
      </c>
      <c r="BE50" s="70" t="n">
        <f aca="false">BE40+BE49</f>
        <v>23485.8951979754</v>
      </c>
      <c r="BF50" s="70" t="n">
        <f aca="false">BF40+BF49</f>
        <v>23485.8951979754</v>
      </c>
      <c r="BG50" s="70" t="n">
        <f aca="false">BG40+BG49</f>
        <v>13311.1026431599</v>
      </c>
      <c r="BH50" s="70" t="n">
        <f aca="false">BH40+BH49</f>
        <v>13311.1026431599</v>
      </c>
      <c r="BI50" s="70" t="n">
        <f aca="false">BI40+BI49</f>
        <v>13311.1026431599</v>
      </c>
      <c r="BJ50" s="70" t="n">
        <f aca="false">BJ40+BJ49</f>
        <v>23485.8951979754</v>
      </c>
    </row>
    <row r="52" customFormat="false" ht="15.75" hidden="false" customHeight="true" outlineLevel="0" collapsed="false">
      <c r="A52" s="7" t="s">
        <v>428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4" t="s">
        <v>79</v>
      </c>
      <c r="C53" s="75" t="n">
        <f aca="false">C50+C70</f>
        <v>-23419.7490933333</v>
      </c>
      <c r="D53" s="75" t="n">
        <f aca="false">D50+D70</f>
        <v>-20851.7739573333</v>
      </c>
      <c r="E53" s="75" t="n">
        <f aca="false">E50+E70</f>
        <v>-18283.7988213333</v>
      </c>
      <c r="F53" s="75" t="n">
        <f aca="false">F50+F70</f>
        <v>-15715.8236853333</v>
      </c>
      <c r="G53" s="75" t="n">
        <f aca="false">G50+G70</f>
        <v>-13147.8485493333</v>
      </c>
      <c r="H53" s="75" t="n">
        <f aca="false">H50+H70</f>
        <v>-4957.42077333334</v>
      </c>
      <c r="I53" s="75" t="n">
        <f aca="false">I50+I70</f>
        <v>-1907.52112533333</v>
      </c>
      <c r="J53" s="75" t="n">
        <f aca="false">J50+J70</f>
        <v>1142.37852266667</v>
      </c>
      <c r="K53" s="75" t="n">
        <f aca="false">K50+K70</f>
        <v>-2875.94800533334</v>
      </c>
      <c r="L53" s="75" t="n">
        <f aca="false">L50+L70</f>
        <v>-307.972869333338</v>
      </c>
      <c r="M53" s="75" t="n">
        <f aca="false">M50+M70</f>
        <v>2260.00226666666</v>
      </c>
      <c r="N53" s="75" t="n">
        <f aca="false">N50+N70</f>
        <v>10292.0774666667</v>
      </c>
      <c r="O53" s="75" t="n">
        <f aca="false">O50+O70</f>
        <v>4410.20536304</v>
      </c>
      <c r="P53" s="75" t="n">
        <f aca="false">P50+P70</f>
        <v>4410.20536304</v>
      </c>
      <c r="Q53" s="75" t="n">
        <f aca="false">Q50+Q70</f>
        <v>4410.20536304</v>
      </c>
      <c r="R53" s="75" t="n">
        <f aca="false">R50+R70</f>
        <v>4410.20536304</v>
      </c>
      <c r="S53" s="75" t="n">
        <f aca="false">S50+S70</f>
        <v>4410.20536304</v>
      </c>
      <c r="T53" s="75" t="n">
        <f aca="false">T50+T70</f>
        <v>12931.43394272</v>
      </c>
      <c r="U53" s="75" t="n">
        <f aca="false">U50+U70</f>
        <v>12931.43394272</v>
      </c>
      <c r="V53" s="75" t="n">
        <f aca="false">V50+V70</f>
        <v>12931.43394272</v>
      </c>
      <c r="W53" s="75" t="n">
        <f aca="false">W50+W70</f>
        <v>4410.20536304</v>
      </c>
      <c r="X53" s="75" t="n">
        <f aca="false">X50+X70</f>
        <v>4410.20536304</v>
      </c>
      <c r="Y53" s="75" t="n">
        <f aca="false">Y50+Y70</f>
        <v>4410.20536304</v>
      </c>
      <c r="Z53" s="75" t="n">
        <f aca="false">Z50+Z70</f>
        <v>12931.43394272</v>
      </c>
      <c r="AA53" s="75" t="n">
        <f aca="false">AA50+AA70</f>
        <v>6547.58024048246</v>
      </c>
      <c r="AB53" s="75" t="n">
        <f aca="false">AB50+AB70</f>
        <v>6547.58024048246</v>
      </c>
      <c r="AC53" s="75" t="n">
        <f aca="false">AC50+AC70</f>
        <v>6547.58024048246</v>
      </c>
      <c r="AD53" s="75" t="n">
        <f aca="false">AD50+AD70</f>
        <v>6547.58024048246</v>
      </c>
      <c r="AE53" s="75" t="n">
        <f aca="false">AE50+AE70</f>
        <v>6547.58024048246</v>
      </c>
      <c r="AF53" s="75" t="n">
        <f aca="false">AF50+AF70</f>
        <v>15587.751640665</v>
      </c>
      <c r="AG53" s="75" t="n">
        <f aca="false">AG50+AG70</f>
        <v>15587.751640665</v>
      </c>
      <c r="AH53" s="75" t="n">
        <f aca="false">AH50+AH70</f>
        <v>15587.751640665</v>
      </c>
      <c r="AI53" s="75" t="n">
        <f aca="false">AI50+AI70</f>
        <v>6547.58024048246</v>
      </c>
      <c r="AJ53" s="75" t="n">
        <f aca="false">AJ50+AJ70</f>
        <v>6547.58024048246</v>
      </c>
      <c r="AK53" s="75" t="n">
        <f aca="false">AK50+AK70</f>
        <v>6547.58024048246</v>
      </c>
      <c r="AL53" s="75" t="n">
        <f aca="false">AL50+AL70</f>
        <v>15587.751640665</v>
      </c>
      <c r="AM53" s="75" t="n">
        <f aca="false">AM50+AM70</f>
        <v>8708.8469803362</v>
      </c>
      <c r="AN53" s="75" t="n">
        <f aca="false">AN50+AN70</f>
        <v>8708.8469803362</v>
      </c>
      <c r="AO53" s="75" t="n">
        <f aca="false">AO50+AO70</f>
        <v>8708.8469803362</v>
      </c>
      <c r="AP53" s="75" t="n">
        <f aca="false">AP50+AP70</f>
        <v>8708.8469803362</v>
      </c>
      <c r="AQ53" s="75" t="n">
        <f aca="false">AQ50+AQ70</f>
        <v>8708.8469803362</v>
      </c>
      <c r="AR53" s="75" t="n">
        <f aca="false">AR50+AR70</f>
        <v>18299.5648187898</v>
      </c>
      <c r="AS53" s="75" t="n">
        <f aca="false">AS50+AS70</f>
        <v>18299.5648187898</v>
      </c>
      <c r="AT53" s="75" t="n">
        <f aca="false">AT50+AT70</f>
        <v>18299.5648187898</v>
      </c>
      <c r="AU53" s="75" t="n">
        <f aca="false">AU50+AU70</f>
        <v>8708.8469803362</v>
      </c>
      <c r="AV53" s="75" t="n">
        <f aca="false">AV50+AV70</f>
        <v>8708.8469803362</v>
      </c>
      <c r="AW53" s="75" t="n">
        <f aca="false">AW50+AW70</f>
        <v>8708.8469803362</v>
      </c>
      <c r="AX53" s="75" t="n">
        <f aca="false">AX50+AX70</f>
        <v>18299.5648187898</v>
      </c>
      <c r="AY53" s="75" t="n">
        <f aca="false">AY50+AY70</f>
        <v>10925.6859764933</v>
      </c>
      <c r="AZ53" s="75" t="n">
        <f aca="false">AZ50+AZ70</f>
        <v>10925.6859764933</v>
      </c>
      <c r="BA53" s="75" t="n">
        <f aca="false">BA50+BA70</f>
        <v>10925.6859764933</v>
      </c>
      <c r="BB53" s="75" t="n">
        <f aca="false">BB50+BB70</f>
        <v>10925.6859764933</v>
      </c>
      <c r="BC53" s="75" t="n">
        <f aca="false">BC50+BC70</f>
        <v>10925.6859764933</v>
      </c>
      <c r="BD53" s="75" t="n">
        <f aca="false">BD50+BD70</f>
        <v>21100.4785313087</v>
      </c>
      <c r="BE53" s="75" t="n">
        <f aca="false">BE50+BE70</f>
        <v>21100.4785313087</v>
      </c>
      <c r="BF53" s="75" t="n">
        <f aca="false">BF50+BF70</f>
        <v>21100.4785313087</v>
      </c>
      <c r="BG53" s="75" t="n">
        <f aca="false">BG50+BG70</f>
        <v>10925.6859764933</v>
      </c>
      <c r="BH53" s="75" t="n">
        <f aca="false">BH50+BH70</f>
        <v>10925.6859764933</v>
      </c>
      <c r="BI53" s="75" t="n">
        <f aca="false">BI50+BI70</f>
        <v>10925.6859764933</v>
      </c>
      <c r="BJ53" s="75" t="n">
        <f aca="false">BJ50+BJ70</f>
        <v>21100.4785313087</v>
      </c>
    </row>
    <row r="54" customFormat="false" ht="15" hidden="false" customHeight="false" outlineLevel="0" collapsed="false">
      <c r="A54" s="6" t="s">
        <v>429</v>
      </c>
      <c r="C54" s="69" t="n">
        <f aca="false">-(C75+C76+C78)/2*Inputs!$E$73/12</f>
        <v>-750</v>
      </c>
      <c r="D54" s="69" t="n">
        <f aca="false">-(D75+D76+D78)/2*Inputs!$E$73/12</f>
        <v>-743.75</v>
      </c>
      <c r="E54" s="69" t="n">
        <f aca="false">-(E75+E76+E78)/2*Inputs!$E$73/12</f>
        <v>-731.25</v>
      </c>
      <c r="F54" s="69" t="n">
        <f aca="false">-(F75+F76+F78)/2*Inputs!$E$73/12</f>
        <v>-718.75</v>
      </c>
      <c r="G54" s="69" t="n">
        <f aca="false">-(G75+G76+G78)/2*Inputs!$E$73/12</f>
        <v>-706.25</v>
      </c>
      <c r="H54" s="69" t="n">
        <f aca="false">-(H75+H76+H78)/2*Inputs!$E$73/12</f>
        <v>-693.75</v>
      </c>
      <c r="I54" s="69" t="n">
        <f aca="false">-(I75+I76+I78)/2*Inputs!$E$73/12</f>
        <v>-681.25</v>
      </c>
      <c r="J54" s="69" t="n">
        <f aca="false">-(J75+J76+J78)/2*Inputs!$E$73/12</f>
        <v>-668.75</v>
      </c>
      <c r="K54" s="69" t="n">
        <f aca="false">-(K75+K76+K78)/2*Inputs!$E$73/12</f>
        <v>-656.25</v>
      </c>
      <c r="L54" s="69" t="n">
        <f aca="false">-(L75+L76+L78)/2*Inputs!$E$73/12</f>
        <v>-643.75</v>
      </c>
      <c r="M54" s="69" t="n">
        <f aca="false">-(M75+M76+M78)/2*Inputs!$E$73/12</f>
        <v>-631.25</v>
      </c>
      <c r="N54" s="69" t="n">
        <f aca="false">-(N75+N76+N78)/2*Inputs!$E$73/12</f>
        <v>-618.75</v>
      </c>
      <c r="O54" s="69" t="n">
        <f aca="false">-(O75+O76+O78)/2*Inputs!$E$73/12</f>
        <v>-606.25</v>
      </c>
      <c r="P54" s="69" t="n">
        <f aca="false">-(P75+P76+P78)/2*Inputs!$E$73/12</f>
        <v>-593.749999999999</v>
      </c>
      <c r="Q54" s="69" t="n">
        <f aca="false">-(Q75+Q76+Q78)/2*Inputs!$E$73/12</f>
        <v>-581.25</v>
      </c>
      <c r="R54" s="69" t="n">
        <f aca="false">-(R75+R76+R78)/2*Inputs!$E$73/12</f>
        <v>-568.749999999999</v>
      </c>
      <c r="S54" s="69" t="n">
        <f aca="false">-(S75+S76+S78)/2*Inputs!$E$73/12</f>
        <v>-556.249999999999</v>
      </c>
      <c r="T54" s="69" t="n">
        <f aca="false">-(T75+T76+T78)/2*Inputs!$E$73/12</f>
        <v>-543.749999999999</v>
      </c>
      <c r="U54" s="69" t="n">
        <f aca="false">-(U75+U76+U78)/2*Inputs!$E$73/12</f>
        <v>-531.249999999999</v>
      </c>
      <c r="V54" s="69" t="n">
        <f aca="false">-(V75+V76+V78)/2*Inputs!$E$73/12</f>
        <v>-518.749999999999</v>
      </c>
      <c r="W54" s="69" t="n">
        <f aca="false">-(W75+W76+W78)/2*Inputs!$E$73/12</f>
        <v>-506.249999999999</v>
      </c>
      <c r="X54" s="69" t="n">
        <f aca="false">-(X75+X76+X78)/2*Inputs!$E$73/12</f>
        <v>-493.749999999999</v>
      </c>
      <c r="Y54" s="69" t="n">
        <f aca="false">-(Y75+Y76+Y78)/2*Inputs!$E$73/12</f>
        <v>-481.249999999999</v>
      </c>
      <c r="Z54" s="69" t="n">
        <f aca="false">-(Z75+Z76+Z78)/2*Inputs!$E$73/12</f>
        <v>-468.749999999999</v>
      </c>
      <c r="AA54" s="69" t="n">
        <f aca="false">-(AA75+AA76+AA78)/2*Inputs!$E$73/12</f>
        <v>-456.249999999999</v>
      </c>
      <c r="AB54" s="69" t="n">
        <f aca="false">-(AB75+AB76+AB78)/2*Inputs!$E$73/12</f>
        <v>-443.749999999999</v>
      </c>
      <c r="AC54" s="69" t="n">
        <f aca="false">-(AC75+AC76+AC78)/2*Inputs!$E$73/12</f>
        <v>-431.249999999999</v>
      </c>
      <c r="AD54" s="69" t="n">
        <f aca="false">-(AD75+AD76+AD78)/2*Inputs!$E$73/12</f>
        <v>-418.749999999999</v>
      </c>
      <c r="AE54" s="69" t="n">
        <f aca="false">-(AE75+AE76+AE78)/2*Inputs!$E$73/12</f>
        <v>-406.249999999999</v>
      </c>
      <c r="AF54" s="69" t="n">
        <f aca="false">-(AF75+AF76+AF78)/2*Inputs!$E$73/12</f>
        <v>-393.75</v>
      </c>
      <c r="AG54" s="69" t="n">
        <f aca="false">-(AG75+AG76+AG78)/2*Inputs!$E$73/12</f>
        <v>-381.249999999999</v>
      </c>
      <c r="AH54" s="69" t="n">
        <f aca="false">-(AH75+AH76+AH78)/2*Inputs!$E$73/12</f>
        <v>-368.75</v>
      </c>
      <c r="AI54" s="69" t="n">
        <f aca="false">-(AI75+AI76+AI78)/2*Inputs!$E$73/12</f>
        <v>-356.25</v>
      </c>
      <c r="AJ54" s="69" t="n">
        <f aca="false">-(AJ75+AJ76+AJ78)/2*Inputs!$E$73/12</f>
        <v>-343.75</v>
      </c>
      <c r="AK54" s="69" t="n">
        <f aca="false">-(AK75+AK76+AK78)/2*Inputs!$E$73/12</f>
        <v>-331.25</v>
      </c>
      <c r="AL54" s="69" t="n">
        <f aca="false">-(AL75+AL76+AL78)/2*Inputs!$E$73/12</f>
        <v>-318.75</v>
      </c>
      <c r="AM54" s="69" t="n">
        <f aca="false">-(AM75+AM76+AM78)/2*Inputs!$E$73/12</f>
        <v>-306.25</v>
      </c>
      <c r="AN54" s="69" t="n">
        <f aca="false">-(AN75+AN76+AN78)/2*Inputs!$E$73/12</f>
        <v>-293.75</v>
      </c>
      <c r="AO54" s="69" t="n">
        <f aca="false">-(AO75+AO76+AO78)/2*Inputs!$E$73/12</f>
        <v>-281.25</v>
      </c>
      <c r="AP54" s="69" t="n">
        <f aca="false">-(AP75+AP76+AP78)/2*Inputs!$E$73/12</f>
        <v>-268.75</v>
      </c>
      <c r="AQ54" s="69" t="n">
        <f aca="false">-(AQ75+AQ76+AQ78)/2*Inputs!$E$73/12</f>
        <v>-256.25</v>
      </c>
      <c r="AR54" s="69" t="n">
        <f aca="false">-(AR75+AR76+AR78)/2*Inputs!$E$73/12</f>
        <v>-243.75</v>
      </c>
      <c r="AS54" s="69" t="n">
        <f aca="false">-(AS75+AS76+AS78)/2*Inputs!$E$73/12</f>
        <v>-231.25</v>
      </c>
      <c r="AT54" s="69" t="n">
        <f aca="false">-(AT75+AT76+AT78)/2*Inputs!$E$73/12</f>
        <v>-218.75</v>
      </c>
      <c r="AU54" s="69" t="n">
        <f aca="false">-(AU75+AU76+AU78)/2*Inputs!$E$73/12</f>
        <v>-206.25</v>
      </c>
      <c r="AV54" s="69" t="n">
        <f aca="false">-(AV75+AV76+AV78)/2*Inputs!$E$73/12</f>
        <v>-193.75</v>
      </c>
      <c r="AW54" s="69" t="n">
        <f aca="false">-(AW75+AW76+AW78)/2*Inputs!$E$73/12</f>
        <v>-181.25</v>
      </c>
      <c r="AX54" s="69" t="n">
        <f aca="false">-(AX75+AX76+AX78)/2*Inputs!$E$73/12</f>
        <v>-168.75</v>
      </c>
      <c r="AY54" s="69" t="n">
        <f aca="false">-(AY75+AY76+AY78)/2*Inputs!$E$73/12</f>
        <v>-156.25</v>
      </c>
      <c r="AZ54" s="69" t="n">
        <f aca="false">-(AZ75+AZ76+AZ78)/2*Inputs!$E$73/12</f>
        <v>-143.75</v>
      </c>
      <c r="BA54" s="69" t="n">
        <f aca="false">-(BA75+BA76+BA78)/2*Inputs!$E$73/12</f>
        <v>-131.25</v>
      </c>
      <c r="BB54" s="69" t="n">
        <f aca="false">-(BB75+BB76+BB78)/2*Inputs!$E$73/12</f>
        <v>-118.75</v>
      </c>
      <c r="BC54" s="69" t="n">
        <f aca="false">-(BC75+BC76+BC78)/2*Inputs!$E$73/12</f>
        <v>-106.25</v>
      </c>
      <c r="BD54" s="69" t="n">
        <f aca="false">-(BD75+BD76+BD78)/2*Inputs!$E$73/12</f>
        <v>-93.7499999999996</v>
      </c>
      <c r="BE54" s="69" t="n">
        <f aca="false">-(BE75+BE76+BE78)/2*Inputs!$E$73/12</f>
        <v>-81.2499999999996</v>
      </c>
      <c r="BF54" s="69" t="n">
        <f aca="false">-(BF75+BF76+BF78)/2*Inputs!$E$73/12</f>
        <v>-68.7499999999996</v>
      </c>
      <c r="BG54" s="69" t="n">
        <f aca="false">-(BG75+BG76+BG78)/2*Inputs!$E$73/12</f>
        <v>-56.2499999999996</v>
      </c>
      <c r="BH54" s="69" t="n">
        <f aca="false">-(BH75+BH76+BH78)/2*Inputs!$E$73/12</f>
        <v>-43.7499999999996</v>
      </c>
      <c r="BI54" s="69" t="n">
        <f aca="false">-(BI75+BI76+BI78)/2*Inputs!$E$73/12</f>
        <v>-31.2499999999996</v>
      </c>
      <c r="BJ54" s="69" t="n">
        <f aca="false">-(BJ75+BJ76+BJ78)/2*Inputs!$E$73/12</f>
        <v>-18.7499999999996</v>
      </c>
    </row>
    <row r="55" customFormat="false" ht="15" hidden="false" customHeight="false" outlineLevel="0" collapsed="false">
      <c r="A55" s="115" t="s">
        <v>81</v>
      </c>
      <c r="C55" s="70" t="n">
        <f aca="false">C53+C54</f>
        <v>-24169.7490933333</v>
      </c>
      <c r="D55" s="70" t="n">
        <f aca="false">D53+D54</f>
        <v>-21595.5239573333</v>
      </c>
      <c r="E55" s="70" t="n">
        <f aca="false">E53+E54</f>
        <v>-19015.0488213333</v>
      </c>
      <c r="F55" s="70" t="n">
        <f aca="false">F53+F54</f>
        <v>-16434.5736853333</v>
      </c>
      <c r="G55" s="70" t="n">
        <f aca="false">G53+G54</f>
        <v>-13854.0985493333</v>
      </c>
      <c r="H55" s="70" t="n">
        <f aca="false">H53+H54</f>
        <v>-5651.17077333334</v>
      </c>
      <c r="I55" s="70" t="n">
        <f aca="false">I53+I54</f>
        <v>-2588.77112533333</v>
      </c>
      <c r="J55" s="70" t="n">
        <f aca="false">J53+J54</f>
        <v>473.628522666666</v>
      </c>
      <c r="K55" s="70" t="n">
        <f aca="false">K53+K54</f>
        <v>-3532.19800533334</v>
      </c>
      <c r="L55" s="70" t="n">
        <f aca="false">L53+L54</f>
        <v>-951.722869333338</v>
      </c>
      <c r="M55" s="70" t="n">
        <f aca="false">M53+M54</f>
        <v>1628.75226666666</v>
      </c>
      <c r="N55" s="70" t="n">
        <f aca="false">N53+N54</f>
        <v>9673.32746666667</v>
      </c>
      <c r="O55" s="70" t="n">
        <f aca="false">O53+O54</f>
        <v>3803.95536304</v>
      </c>
      <c r="P55" s="70" t="n">
        <f aca="false">P53+P54</f>
        <v>3816.45536304</v>
      </c>
      <c r="Q55" s="70" t="n">
        <f aca="false">Q53+Q54</f>
        <v>3828.95536304</v>
      </c>
      <c r="R55" s="70" t="n">
        <f aca="false">R53+R54</f>
        <v>3841.45536304</v>
      </c>
      <c r="S55" s="70" t="n">
        <f aca="false">S53+S54</f>
        <v>3853.95536304</v>
      </c>
      <c r="T55" s="70" t="n">
        <f aca="false">T53+T54</f>
        <v>12387.68394272</v>
      </c>
      <c r="U55" s="70" t="n">
        <f aca="false">U53+U54</f>
        <v>12400.18394272</v>
      </c>
      <c r="V55" s="70" t="n">
        <f aca="false">V53+V54</f>
        <v>12412.68394272</v>
      </c>
      <c r="W55" s="70" t="n">
        <f aca="false">W53+W54</f>
        <v>3903.95536304</v>
      </c>
      <c r="X55" s="70" t="n">
        <f aca="false">X53+X54</f>
        <v>3916.45536304</v>
      </c>
      <c r="Y55" s="70" t="n">
        <f aca="false">Y53+Y54</f>
        <v>3928.95536304</v>
      </c>
      <c r="Z55" s="70" t="n">
        <f aca="false">Z53+Z54</f>
        <v>12462.68394272</v>
      </c>
      <c r="AA55" s="70" t="n">
        <f aca="false">AA53+AA54</f>
        <v>6091.33024048246</v>
      </c>
      <c r="AB55" s="70" t="n">
        <f aca="false">AB53+AB54</f>
        <v>6103.83024048246</v>
      </c>
      <c r="AC55" s="70" t="n">
        <f aca="false">AC53+AC54</f>
        <v>6116.33024048246</v>
      </c>
      <c r="AD55" s="70" t="n">
        <f aca="false">AD53+AD54</f>
        <v>6128.83024048246</v>
      </c>
      <c r="AE55" s="70" t="n">
        <f aca="false">AE53+AE54</f>
        <v>6141.33024048246</v>
      </c>
      <c r="AF55" s="70" t="n">
        <f aca="false">AF53+AF54</f>
        <v>15194.001640665</v>
      </c>
      <c r="AG55" s="70" t="n">
        <f aca="false">AG53+AG54</f>
        <v>15206.501640665</v>
      </c>
      <c r="AH55" s="70" t="n">
        <f aca="false">AH53+AH54</f>
        <v>15219.001640665</v>
      </c>
      <c r="AI55" s="70" t="n">
        <f aca="false">AI53+AI54</f>
        <v>6191.33024048246</v>
      </c>
      <c r="AJ55" s="70" t="n">
        <f aca="false">AJ53+AJ54</f>
        <v>6203.83024048246</v>
      </c>
      <c r="AK55" s="70" t="n">
        <f aca="false">AK53+AK54</f>
        <v>6216.33024048246</v>
      </c>
      <c r="AL55" s="70" t="n">
        <f aca="false">AL53+AL54</f>
        <v>15269.001640665</v>
      </c>
      <c r="AM55" s="70" t="n">
        <f aca="false">AM53+AM54</f>
        <v>8402.5969803362</v>
      </c>
      <c r="AN55" s="70" t="n">
        <f aca="false">AN53+AN54</f>
        <v>8415.0969803362</v>
      </c>
      <c r="AO55" s="70" t="n">
        <f aca="false">AO53+AO54</f>
        <v>8427.5969803362</v>
      </c>
      <c r="AP55" s="70" t="n">
        <f aca="false">AP53+AP54</f>
        <v>8440.0969803362</v>
      </c>
      <c r="AQ55" s="70" t="n">
        <f aca="false">AQ53+AQ54</f>
        <v>8452.5969803362</v>
      </c>
      <c r="AR55" s="70" t="n">
        <f aca="false">AR53+AR54</f>
        <v>18055.8148187898</v>
      </c>
      <c r="AS55" s="70" t="n">
        <f aca="false">AS53+AS54</f>
        <v>18068.3148187898</v>
      </c>
      <c r="AT55" s="70" t="n">
        <f aca="false">AT53+AT54</f>
        <v>18080.8148187898</v>
      </c>
      <c r="AU55" s="70" t="n">
        <f aca="false">AU53+AU54</f>
        <v>8502.5969803362</v>
      </c>
      <c r="AV55" s="70" t="n">
        <f aca="false">AV53+AV54</f>
        <v>8515.0969803362</v>
      </c>
      <c r="AW55" s="70" t="n">
        <f aca="false">AW53+AW54</f>
        <v>8527.5969803362</v>
      </c>
      <c r="AX55" s="70" t="n">
        <f aca="false">AX53+AX54</f>
        <v>18130.8148187898</v>
      </c>
      <c r="AY55" s="70" t="n">
        <f aca="false">AY53+AY54</f>
        <v>10769.4359764933</v>
      </c>
      <c r="AZ55" s="70" t="n">
        <f aca="false">AZ53+AZ54</f>
        <v>10781.9359764933</v>
      </c>
      <c r="BA55" s="70" t="n">
        <f aca="false">BA53+BA54</f>
        <v>10794.4359764933</v>
      </c>
      <c r="BB55" s="70" t="n">
        <f aca="false">BB53+BB54</f>
        <v>10806.9359764933</v>
      </c>
      <c r="BC55" s="70" t="n">
        <f aca="false">BC53+BC54</f>
        <v>10819.4359764933</v>
      </c>
      <c r="BD55" s="70" t="n">
        <f aca="false">BD53+BD54</f>
        <v>21006.7285313087</v>
      </c>
      <c r="BE55" s="70" t="n">
        <f aca="false">BE53+BE54</f>
        <v>21019.2285313087</v>
      </c>
      <c r="BF55" s="70" t="n">
        <f aca="false">BF53+BF54</f>
        <v>21031.7285313087</v>
      </c>
      <c r="BG55" s="70" t="n">
        <f aca="false">BG53+BG54</f>
        <v>10869.4359764933</v>
      </c>
      <c r="BH55" s="70" t="n">
        <f aca="false">BH53+BH54</f>
        <v>10881.9359764933</v>
      </c>
      <c r="BI55" s="70" t="n">
        <f aca="false">BI53+BI54</f>
        <v>10894.4359764933</v>
      </c>
      <c r="BJ55" s="70" t="n">
        <f aca="false">BJ53+BJ54</f>
        <v>21081.7285313087</v>
      </c>
    </row>
    <row r="56" customFormat="false" ht="15" hidden="false" customHeight="false" outlineLevel="0" collapsed="false">
      <c r="A56" s="118" t="s">
        <v>430</v>
      </c>
      <c r="C56" s="69" t="n">
        <f aca="false">C55</f>
        <v>-24169.7490933333</v>
      </c>
      <c r="D56" s="69" t="n">
        <f aca="false">C56+D55</f>
        <v>-45765.2730506667</v>
      </c>
      <c r="E56" s="69" t="n">
        <f aca="false">D56+E55</f>
        <v>-64780.321872</v>
      </c>
      <c r="F56" s="69" t="n">
        <f aca="false">E56+F55</f>
        <v>-81214.8955573333</v>
      </c>
      <c r="G56" s="69" t="n">
        <f aca="false">F56+G55</f>
        <v>-95068.9941066667</v>
      </c>
      <c r="H56" s="69" t="n">
        <f aca="false">G56+H55</f>
        <v>-100720.16488</v>
      </c>
      <c r="I56" s="69" t="n">
        <f aca="false">H56+I55</f>
        <v>-103308.936005333</v>
      </c>
      <c r="J56" s="69" t="n">
        <f aca="false">I56+J55</f>
        <v>-102835.307482667</v>
      </c>
      <c r="K56" s="69" t="n">
        <f aca="false">J56+K55</f>
        <v>-106367.505488</v>
      </c>
      <c r="L56" s="69" t="n">
        <f aca="false">K56+L55</f>
        <v>-107319.228357333</v>
      </c>
      <c r="M56" s="69" t="n">
        <f aca="false">L56+M55</f>
        <v>-105690.476090667</v>
      </c>
      <c r="N56" s="69" t="n">
        <f aca="false">M56+N55</f>
        <v>-96017.148624</v>
      </c>
      <c r="O56" s="69" t="n">
        <f aca="false">N56+O55</f>
        <v>-92213.19326096</v>
      </c>
      <c r="P56" s="69" t="n">
        <f aca="false">O56+P55</f>
        <v>-88396.73789792</v>
      </c>
      <c r="Q56" s="69" t="n">
        <f aca="false">P56+Q55</f>
        <v>-84567.78253488</v>
      </c>
      <c r="R56" s="69" t="n">
        <f aca="false">Q56+R55</f>
        <v>-80726.32717184</v>
      </c>
      <c r="S56" s="69" t="n">
        <f aca="false">R56+S55</f>
        <v>-76872.3718088</v>
      </c>
      <c r="T56" s="69" t="n">
        <f aca="false">S56+T55</f>
        <v>-64484.68786608</v>
      </c>
      <c r="U56" s="69" t="n">
        <f aca="false">T56+U55</f>
        <v>-52084.50392336</v>
      </c>
      <c r="V56" s="69" t="n">
        <f aca="false">U56+V55</f>
        <v>-39671.81998064</v>
      </c>
      <c r="W56" s="69" t="n">
        <f aca="false">V56+W55</f>
        <v>-35767.8646176</v>
      </c>
      <c r="X56" s="69" t="n">
        <f aca="false">W56+X55</f>
        <v>-31851.40925456</v>
      </c>
      <c r="Y56" s="69" t="n">
        <f aca="false">X56+Y55</f>
        <v>-27922.45389152</v>
      </c>
      <c r="Z56" s="69" t="n">
        <f aca="false">Y56+Z55</f>
        <v>-15459.7699488</v>
      </c>
      <c r="AA56" s="69" t="n">
        <f aca="false">Z56+AA55</f>
        <v>-9368.43970831752</v>
      </c>
      <c r="AB56" s="69" t="n">
        <f aca="false">AA56+AB55</f>
        <v>-3264.60946783506</v>
      </c>
      <c r="AC56" s="69" t="n">
        <f aca="false">AB56+AC55</f>
        <v>2851.7207726474</v>
      </c>
      <c r="AD56" s="69" t="n">
        <f aca="false">AC56+AD55</f>
        <v>8980.55101312986</v>
      </c>
      <c r="AE56" s="69" t="n">
        <f aca="false">AD56+AE55</f>
        <v>15121.8812536123</v>
      </c>
      <c r="AF56" s="69" t="n">
        <f aca="false">AE56+AF55</f>
        <v>30315.8828942773</v>
      </c>
      <c r="AG56" s="69" t="n">
        <f aca="false">AF56+AG55</f>
        <v>45522.3845349423</v>
      </c>
      <c r="AH56" s="69" t="n">
        <f aca="false">AG56+AH55</f>
        <v>60741.3861756072</v>
      </c>
      <c r="AI56" s="69" t="n">
        <f aca="false">AH56+AI55</f>
        <v>66932.7164160897</v>
      </c>
      <c r="AJ56" s="69" t="n">
        <f aca="false">AI56+AJ55</f>
        <v>73136.5466565722</v>
      </c>
      <c r="AK56" s="69" t="n">
        <f aca="false">AJ56+AK55</f>
        <v>79352.8768970546</v>
      </c>
      <c r="AL56" s="69" t="n">
        <f aca="false">AK56+AL55</f>
        <v>94621.8785377196</v>
      </c>
      <c r="AM56" s="69" t="n">
        <f aca="false">AL56+AM55</f>
        <v>103024.475518056</v>
      </c>
      <c r="AN56" s="69" t="n">
        <f aca="false">AM56+AN55</f>
        <v>111439.572498392</v>
      </c>
      <c r="AO56" s="69" t="n">
        <f aca="false">AN56+AO55</f>
        <v>119867.169478728</v>
      </c>
      <c r="AP56" s="69" t="n">
        <f aca="false">AO56+AP55</f>
        <v>128307.266459064</v>
      </c>
      <c r="AQ56" s="69" t="n">
        <f aca="false">AP56+AQ55</f>
        <v>136759.863439401</v>
      </c>
      <c r="AR56" s="69" t="n">
        <f aca="false">AQ56+AR55</f>
        <v>154815.67825819</v>
      </c>
      <c r="AS56" s="69" t="n">
        <f aca="false">AR56+AS55</f>
        <v>172883.99307698</v>
      </c>
      <c r="AT56" s="69" t="n">
        <f aca="false">AS56+AT55</f>
        <v>190964.80789577</v>
      </c>
      <c r="AU56" s="69" t="n">
        <f aca="false">AT56+AU55</f>
        <v>199467.404876106</v>
      </c>
      <c r="AV56" s="69" t="n">
        <f aca="false">AU56+AV55</f>
        <v>207982.501856442</v>
      </c>
      <c r="AW56" s="69" t="n">
        <f aca="false">AV56+AW55</f>
        <v>216510.098836779</v>
      </c>
      <c r="AX56" s="69" t="n">
        <f aca="false">AW56+AX55</f>
        <v>234640.913655568</v>
      </c>
      <c r="AY56" s="69" t="n">
        <f aca="false">AX56+AY55</f>
        <v>245410.349632062</v>
      </c>
      <c r="AZ56" s="69" t="n">
        <f aca="false">AY56+AZ55</f>
        <v>256192.285608555</v>
      </c>
      <c r="BA56" s="69" t="n">
        <f aca="false">AZ56+BA55</f>
        <v>266986.721585048</v>
      </c>
      <c r="BB56" s="69" t="n">
        <f aca="false">BA56+BB55</f>
        <v>277793.657561541</v>
      </c>
      <c r="BC56" s="69" t="n">
        <f aca="false">BB56+BC55</f>
        <v>288613.093538035</v>
      </c>
      <c r="BD56" s="69" t="n">
        <f aca="false">BC56+BD55</f>
        <v>309619.822069343</v>
      </c>
      <c r="BE56" s="69" t="n">
        <f aca="false">BD56+BE55</f>
        <v>330639.050600652</v>
      </c>
      <c r="BF56" s="69" t="n">
        <f aca="false">BE56+BF55</f>
        <v>351670.779131961</v>
      </c>
      <c r="BG56" s="69" t="n">
        <f aca="false">BF56+BG55</f>
        <v>362540.215108454</v>
      </c>
      <c r="BH56" s="69" t="n">
        <f aca="false">BG56+BH55</f>
        <v>373422.151084947</v>
      </c>
      <c r="BI56" s="69" t="n">
        <f aca="false">BH56+BI55</f>
        <v>384316.58706144</v>
      </c>
      <c r="BJ56" s="69" t="n">
        <f aca="false">BI56+BJ55</f>
        <v>405398.315592749</v>
      </c>
    </row>
    <row r="57" customFormat="false" ht="15" hidden="false" customHeight="false" outlineLevel="0" collapsed="false">
      <c r="A57" s="118" t="s">
        <v>431</v>
      </c>
      <c r="C57" s="69" t="n">
        <f aca="false">MAX(0,C56)</f>
        <v>0</v>
      </c>
      <c r="D57" s="69" t="n">
        <f aca="false">MAX(C57,D56)</f>
        <v>0</v>
      </c>
      <c r="E57" s="69" t="n">
        <f aca="false">MAX(D57,E56)</f>
        <v>0</v>
      </c>
      <c r="F57" s="69" t="n">
        <f aca="false">MAX(E57,F56)</f>
        <v>0</v>
      </c>
      <c r="G57" s="69" t="n">
        <f aca="false">MAX(F57,G56)</f>
        <v>0</v>
      </c>
      <c r="H57" s="69" t="n">
        <f aca="false">MAX(G57,H56)</f>
        <v>0</v>
      </c>
      <c r="I57" s="69" t="n">
        <f aca="false">MAX(H57,I56)</f>
        <v>0</v>
      </c>
      <c r="J57" s="69" t="n">
        <f aca="false">MAX(I57,J56)</f>
        <v>0</v>
      </c>
      <c r="K57" s="69" t="n">
        <f aca="false">MAX(J57,K56)</f>
        <v>0</v>
      </c>
      <c r="L57" s="69" t="n">
        <f aca="false">MAX(K57,L56)</f>
        <v>0</v>
      </c>
      <c r="M57" s="69" t="n">
        <f aca="false">MAX(L57,M56)</f>
        <v>0</v>
      </c>
      <c r="N57" s="69" t="n">
        <f aca="false">MAX(M57,N56)</f>
        <v>0</v>
      </c>
      <c r="O57" s="69" t="n">
        <f aca="false">MAX(N57,O56)</f>
        <v>0</v>
      </c>
      <c r="P57" s="69" t="n">
        <f aca="false">MAX(O57,P56)</f>
        <v>0</v>
      </c>
      <c r="Q57" s="69" t="n">
        <f aca="false">MAX(P57,Q56)</f>
        <v>0</v>
      </c>
      <c r="R57" s="69" t="n">
        <f aca="false">MAX(Q57,R56)</f>
        <v>0</v>
      </c>
      <c r="S57" s="69" t="n">
        <f aca="false">MAX(R57,S56)</f>
        <v>0</v>
      </c>
      <c r="T57" s="69" t="n">
        <f aca="false">MAX(S57,T56)</f>
        <v>0</v>
      </c>
      <c r="U57" s="69" t="n">
        <f aca="false">MAX(T57,U56)</f>
        <v>0</v>
      </c>
      <c r="V57" s="69" t="n">
        <f aca="false">MAX(U57,V56)</f>
        <v>0</v>
      </c>
      <c r="W57" s="69" t="n">
        <f aca="false">MAX(V57,W56)</f>
        <v>0</v>
      </c>
      <c r="X57" s="69" t="n">
        <f aca="false">MAX(W57,X56)</f>
        <v>0</v>
      </c>
      <c r="Y57" s="69" t="n">
        <f aca="false">MAX(X57,Y56)</f>
        <v>0</v>
      </c>
      <c r="Z57" s="69" t="n">
        <f aca="false">MAX(Y57,Z56)</f>
        <v>0</v>
      </c>
      <c r="AA57" s="69" t="n">
        <f aca="false">MAX(Z57,AA56)</f>
        <v>0</v>
      </c>
      <c r="AB57" s="69" t="n">
        <f aca="false">MAX(AA57,AB56)</f>
        <v>0</v>
      </c>
      <c r="AC57" s="69" t="n">
        <f aca="false">MAX(AB57,AC56)</f>
        <v>2851.7207726474</v>
      </c>
      <c r="AD57" s="69" t="n">
        <f aca="false">MAX(AC57,AD56)</f>
        <v>8980.55101312986</v>
      </c>
      <c r="AE57" s="69" t="n">
        <f aca="false">MAX(AD57,AE56)</f>
        <v>15121.8812536123</v>
      </c>
      <c r="AF57" s="69" t="n">
        <f aca="false">MAX(AE57,AF56)</f>
        <v>30315.8828942773</v>
      </c>
      <c r="AG57" s="69" t="n">
        <f aca="false">MAX(AF57,AG56)</f>
        <v>45522.3845349423</v>
      </c>
      <c r="AH57" s="69" t="n">
        <f aca="false">MAX(AG57,AH56)</f>
        <v>60741.3861756072</v>
      </c>
      <c r="AI57" s="69" t="n">
        <f aca="false">MAX(AH57,AI56)</f>
        <v>66932.7164160897</v>
      </c>
      <c r="AJ57" s="69" t="n">
        <f aca="false">MAX(AI57,AJ56)</f>
        <v>73136.5466565722</v>
      </c>
      <c r="AK57" s="69" t="n">
        <f aca="false">MAX(AJ57,AK56)</f>
        <v>79352.8768970546</v>
      </c>
      <c r="AL57" s="69" t="n">
        <f aca="false">MAX(AK57,AL56)</f>
        <v>94621.8785377196</v>
      </c>
      <c r="AM57" s="69" t="n">
        <f aca="false">MAX(AL57,AM56)</f>
        <v>103024.475518056</v>
      </c>
      <c r="AN57" s="69" t="n">
        <f aca="false">MAX(AM57,AN56)</f>
        <v>111439.572498392</v>
      </c>
      <c r="AO57" s="69" t="n">
        <f aca="false">MAX(AN57,AO56)</f>
        <v>119867.169478728</v>
      </c>
      <c r="AP57" s="69" t="n">
        <f aca="false">MAX(AO57,AP56)</f>
        <v>128307.266459064</v>
      </c>
      <c r="AQ57" s="69" t="n">
        <f aca="false">MAX(AP57,AQ56)</f>
        <v>136759.863439401</v>
      </c>
      <c r="AR57" s="69" t="n">
        <f aca="false">MAX(AQ57,AR56)</f>
        <v>154815.67825819</v>
      </c>
      <c r="AS57" s="69" t="n">
        <f aca="false">MAX(AR57,AS56)</f>
        <v>172883.99307698</v>
      </c>
      <c r="AT57" s="69" t="n">
        <f aca="false">MAX(AS57,AT56)</f>
        <v>190964.80789577</v>
      </c>
      <c r="AU57" s="69" t="n">
        <f aca="false">MAX(AT57,AU56)</f>
        <v>199467.404876106</v>
      </c>
      <c r="AV57" s="69" t="n">
        <f aca="false">MAX(AU57,AV56)</f>
        <v>207982.501856442</v>
      </c>
      <c r="AW57" s="69" t="n">
        <f aca="false">MAX(AV57,AW56)</f>
        <v>216510.098836779</v>
      </c>
      <c r="AX57" s="69" t="n">
        <f aca="false">MAX(AW57,AX56)</f>
        <v>234640.913655568</v>
      </c>
      <c r="AY57" s="69" t="n">
        <f aca="false">MAX(AX57,AY56)</f>
        <v>245410.349632062</v>
      </c>
      <c r="AZ57" s="69" t="n">
        <f aca="false">MAX(AY57,AZ56)</f>
        <v>256192.285608555</v>
      </c>
      <c r="BA57" s="69" t="n">
        <f aca="false">MAX(AZ57,BA56)</f>
        <v>266986.721585048</v>
      </c>
      <c r="BB57" s="69" t="n">
        <f aca="false">MAX(BA57,BB56)</f>
        <v>277793.657561541</v>
      </c>
      <c r="BC57" s="69" t="n">
        <f aca="false">MAX(BB57,BC56)</f>
        <v>288613.093538035</v>
      </c>
      <c r="BD57" s="69" t="n">
        <f aca="false">MAX(BC57,BD56)</f>
        <v>309619.822069343</v>
      </c>
      <c r="BE57" s="69" t="n">
        <f aca="false">MAX(BD57,BE56)</f>
        <v>330639.050600652</v>
      </c>
      <c r="BF57" s="69" t="n">
        <f aca="false">MAX(BE57,BF56)</f>
        <v>351670.779131961</v>
      </c>
      <c r="BG57" s="69" t="n">
        <f aca="false">MAX(BF57,BG56)</f>
        <v>362540.215108454</v>
      </c>
      <c r="BH57" s="69" t="n">
        <f aca="false">MAX(BG57,BH56)</f>
        <v>373422.151084947</v>
      </c>
      <c r="BI57" s="69" t="n">
        <f aca="false">MAX(BH57,BI56)</f>
        <v>384316.58706144</v>
      </c>
      <c r="BJ57" s="69" t="n">
        <f aca="false">MAX(BI57,BJ56)</f>
        <v>405398.315592749</v>
      </c>
    </row>
    <row r="58" customFormat="false" ht="15" hidden="false" customHeight="false" outlineLevel="0" collapsed="false">
      <c r="A58" s="6" t="s">
        <v>82</v>
      </c>
      <c r="C58" s="69" t="n">
        <f aca="false">-C57*Inputs!$E$83</f>
        <v>-0</v>
      </c>
      <c r="D58" s="69" t="n">
        <f aca="false">-(D57-C57)*Inputs!$E$83</f>
        <v>-0</v>
      </c>
      <c r="E58" s="69" t="n">
        <f aca="false">-(E57-D57)*Inputs!$E$83</f>
        <v>-0</v>
      </c>
      <c r="F58" s="69" t="n">
        <f aca="false">-(F57-E57)*Inputs!$E$83</f>
        <v>-0</v>
      </c>
      <c r="G58" s="69" t="n">
        <f aca="false">-(G57-F57)*Inputs!$E$83</f>
        <v>-0</v>
      </c>
      <c r="H58" s="69" t="n">
        <f aca="false">-(H57-G57)*Inputs!$E$83</f>
        <v>-0</v>
      </c>
      <c r="I58" s="69" t="n">
        <f aca="false">-(I57-H57)*Inputs!$E$83</f>
        <v>-0</v>
      </c>
      <c r="J58" s="69" t="n">
        <f aca="false">-(J57-I57)*Inputs!$E$83</f>
        <v>-0</v>
      </c>
      <c r="K58" s="69" t="n">
        <f aca="false">-(K57-J57)*Inputs!$E$83</f>
        <v>-0</v>
      </c>
      <c r="L58" s="69" t="n">
        <f aca="false">-(L57-K57)*Inputs!$E$83</f>
        <v>-0</v>
      </c>
      <c r="M58" s="69" t="n">
        <f aca="false">-(M57-L57)*Inputs!$E$83</f>
        <v>-0</v>
      </c>
      <c r="N58" s="69" t="n">
        <f aca="false">-(N57-M57)*Inputs!$E$83</f>
        <v>-0</v>
      </c>
      <c r="O58" s="69" t="n">
        <f aca="false">-(O57-N57)*Inputs!$E$83</f>
        <v>-0</v>
      </c>
      <c r="P58" s="69" t="n">
        <f aca="false">-(P57-O57)*Inputs!$E$83</f>
        <v>-0</v>
      </c>
      <c r="Q58" s="69" t="n">
        <f aca="false">-(Q57-P57)*Inputs!$E$83</f>
        <v>-0</v>
      </c>
      <c r="R58" s="69" t="n">
        <f aca="false">-(R57-Q57)*Inputs!$E$83</f>
        <v>-0</v>
      </c>
      <c r="S58" s="69" t="n">
        <f aca="false">-(S57-R57)*Inputs!$E$83</f>
        <v>-0</v>
      </c>
      <c r="T58" s="69" t="n">
        <f aca="false">-(T57-S57)*Inputs!$E$83</f>
        <v>-0</v>
      </c>
      <c r="U58" s="69" t="n">
        <f aca="false">-(U57-T57)*Inputs!$E$83</f>
        <v>-0</v>
      </c>
      <c r="V58" s="69" t="n">
        <f aca="false">-(V57-U57)*Inputs!$E$83</f>
        <v>-0</v>
      </c>
      <c r="W58" s="69" t="n">
        <f aca="false">-(W57-V57)*Inputs!$E$83</f>
        <v>-0</v>
      </c>
      <c r="X58" s="69" t="n">
        <f aca="false">-(X57-W57)*Inputs!$E$83</f>
        <v>-0</v>
      </c>
      <c r="Y58" s="69" t="n">
        <f aca="false">-(Y57-X57)*Inputs!$E$83</f>
        <v>-0</v>
      </c>
      <c r="Z58" s="69" t="n">
        <f aca="false">-(Z57-Y57)*Inputs!$E$83</f>
        <v>-0</v>
      </c>
      <c r="AA58" s="69" t="n">
        <f aca="false">-(AA57-Z57)*Inputs!$E$83</f>
        <v>-0</v>
      </c>
      <c r="AB58" s="69" t="n">
        <f aca="false">-(AB57-AA57)*Inputs!$E$83</f>
        <v>-0</v>
      </c>
      <c r="AC58" s="69" t="n">
        <f aca="false">-(AC57-AB57)*Inputs!$E$83</f>
        <v>-598.861362255954</v>
      </c>
      <c r="AD58" s="69" t="n">
        <f aca="false">-(AD57-AC57)*Inputs!$E$83</f>
        <v>-1287.05435050132</v>
      </c>
      <c r="AE58" s="69" t="n">
        <f aca="false">-(AE57-AD57)*Inputs!$E$83</f>
        <v>-1289.67935050132</v>
      </c>
      <c r="AF58" s="69" t="n">
        <f aca="false">-(AF57-AE57)*Inputs!$E$83</f>
        <v>-3190.74034453965</v>
      </c>
      <c r="AG58" s="69" t="n">
        <f aca="false">-(AG57-AF57)*Inputs!$E$83</f>
        <v>-3193.36534453964</v>
      </c>
      <c r="AH58" s="69" t="n">
        <f aca="false">-(AH57-AG57)*Inputs!$E$83</f>
        <v>-3195.99034453964</v>
      </c>
      <c r="AI58" s="69" t="n">
        <f aca="false">-(AI57-AH57)*Inputs!$E$83</f>
        <v>-1300.17935050132</v>
      </c>
      <c r="AJ58" s="69" t="n">
        <f aca="false">-(AJ57-AI57)*Inputs!$E$83</f>
        <v>-1302.80435050132</v>
      </c>
      <c r="AK58" s="69" t="n">
        <f aca="false">-(AK57-AJ57)*Inputs!$E$83</f>
        <v>-1305.42935050132</v>
      </c>
      <c r="AL58" s="69" t="n">
        <f aca="false">-(AL57-AK57)*Inputs!$E$83</f>
        <v>-3206.49034453965</v>
      </c>
      <c r="AM58" s="69" t="n">
        <f aca="false">-(AM57-AL57)*Inputs!$E$83</f>
        <v>-1764.5453658706</v>
      </c>
      <c r="AN58" s="69" t="n">
        <f aca="false">-(AN57-AM57)*Inputs!$E$83</f>
        <v>-1767.1703658706</v>
      </c>
      <c r="AO58" s="69" t="n">
        <f aca="false">-(AO57-AN57)*Inputs!$E$83</f>
        <v>-1769.7953658706</v>
      </c>
      <c r="AP58" s="69" t="n">
        <f aca="false">-(AP57-AO57)*Inputs!$E$83</f>
        <v>-1772.4203658706</v>
      </c>
      <c r="AQ58" s="69" t="n">
        <f aca="false">-(AQ57-AP57)*Inputs!$E$83</f>
        <v>-1775.0453658706</v>
      </c>
      <c r="AR58" s="69" t="n">
        <f aca="false">-(AR57-AQ57)*Inputs!$E$83</f>
        <v>-3791.72111194586</v>
      </c>
      <c r="AS58" s="69" t="n">
        <f aca="false">-(AS57-AR57)*Inputs!$E$83</f>
        <v>-3794.34611194586</v>
      </c>
      <c r="AT58" s="69" t="n">
        <f aca="false">-(AT57-AS57)*Inputs!$E$83</f>
        <v>-3796.97111194586</v>
      </c>
      <c r="AU58" s="69" t="n">
        <f aca="false">-(AU57-AT57)*Inputs!$E$83</f>
        <v>-1785.5453658706</v>
      </c>
      <c r="AV58" s="69" t="n">
        <f aca="false">-(AV57-AU57)*Inputs!$E$83</f>
        <v>-1788.1703658706</v>
      </c>
      <c r="AW58" s="69" t="n">
        <f aca="false">-(AW57-AV57)*Inputs!$E$83</f>
        <v>-1790.7953658706</v>
      </c>
      <c r="AX58" s="69" t="n">
        <f aca="false">-(AX57-AW57)*Inputs!$E$83</f>
        <v>-3807.47111194586</v>
      </c>
      <c r="AY58" s="69" t="n">
        <f aca="false">-(AY57-AX57)*Inputs!$E$83</f>
        <v>-2261.58155506358</v>
      </c>
      <c r="AZ58" s="69" t="n">
        <f aca="false">-(AZ57-AY57)*Inputs!$E$83</f>
        <v>-2264.20655506358</v>
      </c>
      <c r="BA58" s="69" t="n">
        <f aca="false">-(BA57-AZ57)*Inputs!$E$83</f>
        <v>-2266.83155506358</v>
      </c>
      <c r="BB58" s="69" t="n">
        <f aca="false">-(BB57-BA57)*Inputs!$E$83</f>
        <v>-2269.45655506358</v>
      </c>
      <c r="BC58" s="69" t="n">
        <f aca="false">-(BC57-BB57)*Inputs!$E$83</f>
        <v>-2272.08155506358</v>
      </c>
      <c r="BD58" s="69" t="n">
        <f aca="false">-(BD57-BC57)*Inputs!$E$83</f>
        <v>-4411.41299157483</v>
      </c>
      <c r="BE58" s="69" t="n">
        <f aca="false">-(BE57-BD57)*Inputs!$E$83</f>
        <v>-4414.03799157483</v>
      </c>
      <c r="BF58" s="69" t="n">
        <f aca="false">-(BF57-BE57)*Inputs!$E$83</f>
        <v>-4416.66299157483</v>
      </c>
      <c r="BG58" s="69" t="n">
        <f aca="false">-(BG57-BF57)*Inputs!$E$83</f>
        <v>-2282.58155506358</v>
      </c>
      <c r="BH58" s="69" t="n">
        <f aca="false">-(BH57-BG57)*Inputs!$E$83</f>
        <v>-2285.20655506358</v>
      </c>
      <c r="BI58" s="69" t="n">
        <f aca="false">-(BI57-BH57)*Inputs!$E$83</f>
        <v>-2287.83155506358</v>
      </c>
      <c r="BJ58" s="69" t="n">
        <f aca="false">-(BJ57-BI57)*Inputs!$E$83</f>
        <v>-4427.16299157483</v>
      </c>
    </row>
    <row r="59" customFormat="false" ht="15" hidden="false" customHeight="false" outlineLevel="0" collapsed="false">
      <c r="A59" s="115" t="s">
        <v>50</v>
      </c>
      <c r="C59" s="70" t="n">
        <f aca="false">C55+C58</f>
        <v>-24169.7490933333</v>
      </c>
      <c r="D59" s="70" t="n">
        <f aca="false">D55+D58</f>
        <v>-21595.5239573333</v>
      </c>
      <c r="E59" s="70" t="n">
        <f aca="false">E55+E58</f>
        <v>-19015.0488213333</v>
      </c>
      <c r="F59" s="70" t="n">
        <f aca="false">F55+F58</f>
        <v>-16434.5736853333</v>
      </c>
      <c r="G59" s="70" t="n">
        <f aca="false">G55+G58</f>
        <v>-13854.0985493333</v>
      </c>
      <c r="H59" s="70" t="n">
        <f aca="false">H55+H58</f>
        <v>-5651.17077333334</v>
      </c>
      <c r="I59" s="70" t="n">
        <f aca="false">I55+I58</f>
        <v>-2588.77112533333</v>
      </c>
      <c r="J59" s="70" t="n">
        <f aca="false">J55+J58</f>
        <v>473.628522666666</v>
      </c>
      <c r="K59" s="70" t="n">
        <f aca="false">K55+K58</f>
        <v>-3532.19800533334</v>
      </c>
      <c r="L59" s="70" t="n">
        <f aca="false">L55+L58</f>
        <v>-951.722869333338</v>
      </c>
      <c r="M59" s="70" t="n">
        <f aca="false">M55+M58</f>
        <v>1628.75226666666</v>
      </c>
      <c r="N59" s="70" t="n">
        <f aca="false">N55+N58</f>
        <v>9673.32746666667</v>
      </c>
      <c r="O59" s="70" t="n">
        <f aca="false">O55+O58</f>
        <v>3803.95536304</v>
      </c>
      <c r="P59" s="70" t="n">
        <f aca="false">P55+P58</f>
        <v>3816.45536304</v>
      </c>
      <c r="Q59" s="70" t="n">
        <f aca="false">Q55+Q58</f>
        <v>3828.95536304</v>
      </c>
      <c r="R59" s="70" t="n">
        <f aca="false">R55+R58</f>
        <v>3841.45536304</v>
      </c>
      <c r="S59" s="70" t="n">
        <f aca="false">S55+S58</f>
        <v>3853.95536304</v>
      </c>
      <c r="T59" s="70" t="n">
        <f aca="false">T55+T58</f>
        <v>12387.68394272</v>
      </c>
      <c r="U59" s="70" t="n">
        <f aca="false">U55+U58</f>
        <v>12400.18394272</v>
      </c>
      <c r="V59" s="70" t="n">
        <f aca="false">V55+V58</f>
        <v>12412.68394272</v>
      </c>
      <c r="W59" s="70" t="n">
        <f aca="false">W55+W58</f>
        <v>3903.95536304</v>
      </c>
      <c r="X59" s="70" t="n">
        <f aca="false">X55+X58</f>
        <v>3916.45536304</v>
      </c>
      <c r="Y59" s="70" t="n">
        <f aca="false">Y55+Y58</f>
        <v>3928.95536304</v>
      </c>
      <c r="Z59" s="70" t="n">
        <f aca="false">Z55+Z58</f>
        <v>12462.68394272</v>
      </c>
      <c r="AA59" s="70" t="n">
        <f aca="false">AA55+AA58</f>
        <v>6091.33024048246</v>
      </c>
      <c r="AB59" s="70" t="n">
        <f aca="false">AB55+AB58</f>
        <v>6103.83024048246</v>
      </c>
      <c r="AC59" s="70" t="n">
        <f aca="false">AC55+AC58</f>
        <v>5517.46887822651</v>
      </c>
      <c r="AD59" s="70" t="n">
        <f aca="false">AD55+AD58</f>
        <v>4841.77588998114</v>
      </c>
      <c r="AE59" s="70" t="n">
        <f aca="false">AE55+AE58</f>
        <v>4851.65088998114</v>
      </c>
      <c r="AF59" s="70" t="n">
        <f aca="false">AF55+AF58</f>
        <v>12003.2612961253</v>
      </c>
      <c r="AG59" s="70" t="n">
        <f aca="false">AG55+AG58</f>
        <v>12013.1362961253</v>
      </c>
      <c r="AH59" s="70" t="n">
        <f aca="false">AH55+AH58</f>
        <v>12023.0112961253</v>
      </c>
      <c r="AI59" s="70" t="n">
        <f aca="false">AI55+AI58</f>
        <v>4891.15088998114</v>
      </c>
      <c r="AJ59" s="70" t="n">
        <f aca="false">AJ55+AJ58</f>
        <v>4901.02588998114</v>
      </c>
      <c r="AK59" s="70" t="n">
        <f aca="false">AK55+AK58</f>
        <v>4910.90088998114</v>
      </c>
      <c r="AL59" s="70" t="n">
        <f aca="false">AL55+AL58</f>
        <v>12062.5112961253</v>
      </c>
      <c r="AM59" s="70" t="n">
        <f aca="false">AM55+AM58</f>
        <v>6638.05161446559</v>
      </c>
      <c r="AN59" s="70" t="n">
        <f aca="false">AN55+AN58</f>
        <v>6647.92661446559</v>
      </c>
      <c r="AO59" s="70" t="n">
        <f aca="false">AO55+AO58</f>
        <v>6657.80161446559</v>
      </c>
      <c r="AP59" s="70" t="n">
        <f aca="false">AP55+AP58</f>
        <v>6667.67661446559</v>
      </c>
      <c r="AQ59" s="70" t="n">
        <f aca="false">AQ55+AQ58</f>
        <v>6677.55161446559</v>
      </c>
      <c r="AR59" s="70" t="n">
        <f aca="false">AR55+AR58</f>
        <v>14264.0937068439</v>
      </c>
      <c r="AS59" s="70" t="n">
        <f aca="false">AS55+AS58</f>
        <v>14273.9687068439</v>
      </c>
      <c r="AT59" s="70" t="n">
        <f aca="false">AT55+AT58</f>
        <v>14283.8437068439</v>
      </c>
      <c r="AU59" s="70" t="n">
        <f aca="false">AU55+AU58</f>
        <v>6717.0516144656</v>
      </c>
      <c r="AV59" s="70" t="n">
        <f aca="false">AV55+AV58</f>
        <v>6726.9266144656</v>
      </c>
      <c r="AW59" s="70" t="n">
        <f aca="false">AW55+AW58</f>
        <v>6736.8016144656</v>
      </c>
      <c r="AX59" s="70" t="n">
        <f aca="false">AX55+AX58</f>
        <v>14323.3437068439</v>
      </c>
      <c r="AY59" s="70" t="n">
        <f aca="false">AY55+AY58</f>
        <v>8507.85442142967</v>
      </c>
      <c r="AZ59" s="70" t="n">
        <f aca="false">AZ55+AZ58</f>
        <v>8517.72942142967</v>
      </c>
      <c r="BA59" s="70" t="n">
        <f aca="false">BA55+BA58</f>
        <v>8527.60442142967</v>
      </c>
      <c r="BB59" s="70" t="n">
        <f aca="false">BB55+BB58</f>
        <v>8537.47942142968</v>
      </c>
      <c r="BC59" s="70" t="n">
        <f aca="false">BC55+BC58</f>
        <v>8547.35442142968</v>
      </c>
      <c r="BD59" s="70" t="n">
        <f aca="false">BD55+BD58</f>
        <v>16595.3155397339</v>
      </c>
      <c r="BE59" s="70" t="n">
        <f aca="false">BE55+BE58</f>
        <v>16605.1905397339</v>
      </c>
      <c r="BF59" s="70" t="n">
        <f aca="false">BF55+BF58</f>
        <v>16615.0655397339</v>
      </c>
      <c r="BG59" s="70" t="n">
        <f aca="false">BG55+BG58</f>
        <v>8586.85442142968</v>
      </c>
      <c r="BH59" s="70" t="n">
        <f aca="false">BH55+BH58</f>
        <v>8596.72942142968</v>
      </c>
      <c r="BI59" s="70" t="n">
        <f aca="false">BI55+BI58</f>
        <v>8606.60442142968</v>
      </c>
      <c r="BJ59" s="70" t="n">
        <f aca="false">BJ55+BJ58</f>
        <v>16654.5655397339</v>
      </c>
    </row>
    <row r="61" customFormat="false" ht="15.75" hidden="false" customHeight="true" outlineLevel="0" collapsed="false">
      <c r="A61" s="7" t="s">
        <v>432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433</v>
      </c>
      <c r="C62" s="69" t="n">
        <f aca="false">IF(C$4=1,Inputs!$E$14*Inputs!$E$48,0)</f>
        <v>24000</v>
      </c>
      <c r="D62" s="69" t="n">
        <f aca="false">IF(D$4=1,Inputs!$E$14*Inputs!$E$48,0)</f>
        <v>0</v>
      </c>
      <c r="E62" s="69" t="n">
        <f aca="false">IF(E$4=1,Inputs!$E$14*Inputs!$E$48,0)</f>
        <v>0</v>
      </c>
      <c r="F62" s="69" t="n">
        <f aca="false">IF(F$4=1,Inputs!$E$14*Inputs!$E$48,0)</f>
        <v>0</v>
      </c>
      <c r="G62" s="69" t="n">
        <f aca="false">IF(G$4=1,Inputs!$E$14*Inputs!$E$48,0)</f>
        <v>0</v>
      </c>
      <c r="H62" s="69" t="n">
        <f aca="false">IF(H$4=1,Inputs!$E$14*Inputs!$E$48,0)</f>
        <v>0</v>
      </c>
      <c r="I62" s="69" t="n">
        <f aca="false">IF(I$4=1,Inputs!$E$14*Inputs!$E$48,0)</f>
        <v>0</v>
      </c>
      <c r="J62" s="69" t="n">
        <f aca="false">IF(J$4=1,Inputs!$E$14*Inputs!$E$48,0)</f>
        <v>0</v>
      </c>
      <c r="K62" s="69" t="n">
        <f aca="false">IF(K$4=1,Inputs!$E$14*Inputs!$E$48,0)</f>
        <v>0</v>
      </c>
      <c r="L62" s="69" t="n">
        <f aca="false">IF(L$4=1,Inputs!$E$14*Inputs!$E$48,0)</f>
        <v>0</v>
      </c>
      <c r="M62" s="69" t="n">
        <f aca="false">IF(M$4=1,Inputs!$E$14*Inputs!$E$48,0)</f>
        <v>0</v>
      </c>
      <c r="N62" s="69" t="n">
        <f aca="false">IF(N$4=1,Inputs!$E$14*Inputs!$E$48,0)</f>
        <v>0</v>
      </c>
      <c r="O62" s="69" t="n">
        <f aca="false">IF(O$4=1,Inputs!$E$14*Inputs!$E$48,0)</f>
        <v>0</v>
      </c>
      <c r="P62" s="69" t="n">
        <f aca="false">IF(P$4=1,Inputs!$E$14*Inputs!$E$48,0)</f>
        <v>0</v>
      </c>
      <c r="Q62" s="69" t="n">
        <f aca="false">IF(Q$4=1,Inputs!$E$14*Inputs!$E$48,0)</f>
        <v>0</v>
      </c>
      <c r="R62" s="69" t="n">
        <f aca="false">IF(R$4=1,Inputs!$E$14*Inputs!$E$48,0)</f>
        <v>0</v>
      </c>
      <c r="S62" s="69" t="n">
        <f aca="false">IF(S$4=1,Inputs!$E$14*Inputs!$E$48,0)</f>
        <v>0</v>
      </c>
      <c r="T62" s="69" t="n">
        <f aca="false">IF(T$4=1,Inputs!$E$14*Inputs!$E$48,0)</f>
        <v>0</v>
      </c>
      <c r="U62" s="69" t="n">
        <f aca="false">IF(U$4=1,Inputs!$E$14*Inputs!$E$48,0)</f>
        <v>0</v>
      </c>
      <c r="V62" s="69" t="n">
        <f aca="false">IF(V$4=1,Inputs!$E$14*Inputs!$E$48,0)</f>
        <v>0</v>
      </c>
      <c r="W62" s="69" t="n">
        <f aca="false">IF(W$4=1,Inputs!$E$14*Inputs!$E$48,0)</f>
        <v>0</v>
      </c>
      <c r="X62" s="69" t="n">
        <f aca="false">IF(X$4=1,Inputs!$E$14*Inputs!$E$48,0)</f>
        <v>0</v>
      </c>
      <c r="Y62" s="69" t="n">
        <f aca="false">IF(Y$4=1,Inputs!$E$14*Inputs!$E$48,0)</f>
        <v>0</v>
      </c>
      <c r="Z62" s="69" t="n">
        <f aca="false">IF(Z$4=1,Inputs!$E$14*Inputs!$E$48,0)</f>
        <v>0</v>
      </c>
      <c r="AA62" s="69" t="n">
        <f aca="false">IF(AA$4=1,Inputs!$E$14*Inputs!$E$48,0)</f>
        <v>0</v>
      </c>
      <c r="AB62" s="69" t="n">
        <f aca="false">IF(AB$4=1,Inputs!$E$14*Inputs!$E$48,0)</f>
        <v>0</v>
      </c>
      <c r="AC62" s="69" t="n">
        <f aca="false">IF(AC$4=1,Inputs!$E$14*Inputs!$E$48,0)</f>
        <v>0</v>
      </c>
      <c r="AD62" s="69" t="n">
        <f aca="false">IF(AD$4=1,Inputs!$E$14*Inputs!$E$48,0)</f>
        <v>0</v>
      </c>
      <c r="AE62" s="69" t="n">
        <f aca="false">IF(AE$4=1,Inputs!$E$14*Inputs!$E$48,0)</f>
        <v>0</v>
      </c>
      <c r="AF62" s="69" t="n">
        <f aca="false">IF(AF$4=1,Inputs!$E$14*Inputs!$E$48,0)</f>
        <v>0</v>
      </c>
      <c r="AG62" s="69" t="n">
        <f aca="false">IF(AG$4=1,Inputs!$E$14*Inputs!$E$48,0)</f>
        <v>0</v>
      </c>
      <c r="AH62" s="69" t="n">
        <f aca="false">IF(AH$4=1,Inputs!$E$14*Inputs!$E$48,0)</f>
        <v>0</v>
      </c>
      <c r="AI62" s="69" t="n">
        <f aca="false">IF(AI$4=1,Inputs!$E$14*Inputs!$E$48,0)</f>
        <v>0</v>
      </c>
      <c r="AJ62" s="69" t="n">
        <f aca="false">IF(AJ$4=1,Inputs!$E$14*Inputs!$E$48,0)</f>
        <v>0</v>
      </c>
      <c r="AK62" s="69" t="n">
        <f aca="false">IF(AK$4=1,Inputs!$E$14*Inputs!$E$48,0)</f>
        <v>0</v>
      </c>
      <c r="AL62" s="69" t="n">
        <f aca="false">IF(AL$4=1,Inputs!$E$14*Inputs!$E$48,0)</f>
        <v>0</v>
      </c>
      <c r="AM62" s="69" t="n">
        <f aca="false">IF(AM$4=1,Inputs!$E$14*Inputs!$E$48,0)</f>
        <v>0</v>
      </c>
      <c r="AN62" s="69" t="n">
        <f aca="false">IF(AN$4=1,Inputs!$E$14*Inputs!$E$48,0)</f>
        <v>0</v>
      </c>
      <c r="AO62" s="69" t="n">
        <f aca="false">IF(AO$4=1,Inputs!$E$14*Inputs!$E$48,0)</f>
        <v>0</v>
      </c>
      <c r="AP62" s="69" t="n">
        <f aca="false">IF(AP$4=1,Inputs!$E$14*Inputs!$E$48,0)</f>
        <v>0</v>
      </c>
      <c r="AQ62" s="69" t="n">
        <f aca="false">IF(AQ$4=1,Inputs!$E$14*Inputs!$E$48,0)</f>
        <v>0</v>
      </c>
      <c r="AR62" s="69" t="n">
        <f aca="false">IF(AR$4=1,Inputs!$E$14*Inputs!$E$48,0)</f>
        <v>0</v>
      </c>
      <c r="AS62" s="69" t="n">
        <f aca="false">IF(AS$4=1,Inputs!$E$14*Inputs!$E$48,0)</f>
        <v>0</v>
      </c>
      <c r="AT62" s="69" t="n">
        <f aca="false">IF(AT$4=1,Inputs!$E$14*Inputs!$E$48,0)</f>
        <v>0</v>
      </c>
      <c r="AU62" s="69" t="n">
        <f aca="false">IF(AU$4=1,Inputs!$E$14*Inputs!$E$48,0)</f>
        <v>0</v>
      </c>
      <c r="AV62" s="69" t="n">
        <f aca="false">IF(AV$4=1,Inputs!$E$14*Inputs!$E$48,0)</f>
        <v>0</v>
      </c>
      <c r="AW62" s="69" t="n">
        <f aca="false">IF(AW$4=1,Inputs!$E$14*Inputs!$E$48,0)</f>
        <v>0</v>
      </c>
      <c r="AX62" s="69" t="n">
        <f aca="false">IF(AX$4=1,Inputs!$E$14*Inputs!$E$48,0)</f>
        <v>0</v>
      </c>
      <c r="AY62" s="69" t="n">
        <f aca="false">IF(AY$4=1,Inputs!$E$14*Inputs!$E$48,0)</f>
        <v>0</v>
      </c>
      <c r="AZ62" s="69" t="n">
        <f aca="false">IF(AZ$4=1,Inputs!$E$14*Inputs!$E$48,0)</f>
        <v>0</v>
      </c>
      <c r="BA62" s="69" t="n">
        <f aca="false">IF(BA$4=1,Inputs!$E$14*Inputs!$E$48,0)</f>
        <v>0</v>
      </c>
      <c r="BB62" s="69" t="n">
        <f aca="false">IF(BB$4=1,Inputs!$E$14*Inputs!$E$48,0)</f>
        <v>0</v>
      </c>
      <c r="BC62" s="69" t="n">
        <f aca="false">IF(BC$4=1,Inputs!$E$14*Inputs!$E$48,0)</f>
        <v>0</v>
      </c>
      <c r="BD62" s="69" t="n">
        <f aca="false">IF(BD$4=1,Inputs!$E$14*Inputs!$E$48,0)</f>
        <v>0</v>
      </c>
      <c r="BE62" s="69" t="n">
        <f aca="false">IF(BE$4=1,Inputs!$E$14*Inputs!$E$48,0)</f>
        <v>0</v>
      </c>
      <c r="BF62" s="69" t="n">
        <f aca="false">IF(BF$4=1,Inputs!$E$14*Inputs!$E$48,0)</f>
        <v>0</v>
      </c>
      <c r="BG62" s="69" t="n">
        <f aca="false">IF(BG$4=1,Inputs!$E$14*Inputs!$E$48,0)</f>
        <v>0</v>
      </c>
      <c r="BH62" s="69" t="n">
        <f aca="false">IF(BH$4=1,Inputs!$E$14*Inputs!$E$48,0)</f>
        <v>0</v>
      </c>
      <c r="BI62" s="69" t="n">
        <f aca="false">IF(BI$4=1,Inputs!$E$14*Inputs!$E$48,0)</f>
        <v>0</v>
      </c>
      <c r="BJ62" s="69" t="n">
        <f aca="false">IF(BJ$4=1,Inputs!$E$14*Inputs!$E$48,0)</f>
        <v>0</v>
      </c>
    </row>
    <row r="63" customFormat="false" ht="15" hidden="false" customHeight="false" outlineLevel="0" collapsed="false">
      <c r="A63" s="6" t="s">
        <v>434</v>
      </c>
      <c r="C63" s="69" t="n">
        <f aca="false">IF(C$4=1,Inputs!$E$25*Inputs!$E$49,0)</f>
        <v>75000</v>
      </c>
      <c r="D63" s="69" t="n">
        <f aca="false">IF(D$4=1,Inputs!$E$25*Inputs!$E$49,0)</f>
        <v>0</v>
      </c>
      <c r="E63" s="69" t="n">
        <f aca="false">IF(E$4=1,Inputs!$E$25*Inputs!$E$49,0)</f>
        <v>0</v>
      </c>
      <c r="F63" s="69" t="n">
        <f aca="false">IF(F$4=1,Inputs!$E$25*Inputs!$E$49,0)</f>
        <v>0</v>
      </c>
      <c r="G63" s="69" t="n">
        <f aca="false">IF(G$4=1,Inputs!$E$25*Inputs!$E$49,0)</f>
        <v>0</v>
      </c>
      <c r="H63" s="69" t="n">
        <f aca="false">IF(H$4=1,Inputs!$E$25*Inputs!$E$49,0)</f>
        <v>0</v>
      </c>
      <c r="I63" s="69" t="n">
        <f aca="false">IF(I$4=1,Inputs!$E$25*Inputs!$E$49,0)</f>
        <v>0</v>
      </c>
      <c r="J63" s="69" t="n">
        <f aca="false">IF(J$4=1,Inputs!$E$25*Inputs!$E$49,0)</f>
        <v>0</v>
      </c>
      <c r="K63" s="69" t="n">
        <f aca="false">IF(K$4=1,Inputs!$E$25*Inputs!$E$49,0)</f>
        <v>0</v>
      </c>
      <c r="L63" s="69" t="n">
        <f aca="false">IF(L$4=1,Inputs!$E$25*Inputs!$E$49,0)</f>
        <v>0</v>
      </c>
      <c r="M63" s="69" t="n">
        <f aca="false">IF(M$4=1,Inputs!$E$25*Inputs!$E$49,0)</f>
        <v>0</v>
      </c>
      <c r="N63" s="69" t="n">
        <f aca="false">IF(N$4=1,Inputs!$E$25*Inputs!$E$49,0)</f>
        <v>0</v>
      </c>
      <c r="O63" s="69" t="n">
        <f aca="false">IF(O$4=1,Inputs!$E$25*Inputs!$E$49,0)</f>
        <v>0</v>
      </c>
      <c r="P63" s="69" t="n">
        <f aca="false">IF(P$4=1,Inputs!$E$25*Inputs!$E$49,0)</f>
        <v>0</v>
      </c>
      <c r="Q63" s="69" t="n">
        <f aca="false">IF(Q$4=1,Inputs!$E$25*Inputs!$E$49,0)</f>
        <v>0</v>
      </c>
      <c r="R63" s="69" t="n">
        <f aca="false">IF(R$4=1,Inputs!$E$25*Inputs!$E$49,0)</f>
        <v>0</v>
      </c>
      <c r="S63" s="69" t="n">
        <f aca="false">IF(S$4=1,Inputs!$E$25*Inputs!$E$49,0)</f>
        <v>0</v>
      </c>
      <c r="T63" s="69" t="n">
        <f aca="false">IF(T$4=1,Inputs!$E$25*Inputs!$E$49,0)</f>
        <v>0</v>
      </c>
      <c r="U63" s="69" t="n">
        <f aca="false">IF(U$4=1,Inputs!$E$25*Inputs!$E$49,0)</f>
        <v>0</v>
      </c>
      <c r="V63" s="69" t="n">
        <f aca="false">IF(V$4=1,Inputs!$E$25*Inputs!$E$49,0)</f>
        <v>0</v>
      </c>
      <c r="W63" s="69" t="n">
        <f aca="false">IF(W$4=1,Inputs!$E$25*Inputs!$E$49,0)</f>
        <v>0</v>
      </c>
      <c r="X63" s="69" t="n">
        <f aca="false">IF(X$4=1,Inputs!$E$25*Inputs!$E$49,0)</f>
        <v>0</v>
      </c>
      <c r="Y63" s="69" t="n">
        <f aca="false">IF(Y$4=1,Inputs!$E$25*Inputs!$E$49,0)</f>
        <v>0</v>
      </c>
      <c r="Z63" s="69" t="n">
        <f aca="false">IF(Z$4=1,Inputs!$E$25*Inputs!$E$49,0)</f>
        <v>0</v>
      </c>
      <c r="AA63" s="69" t="n">
        <f aca="false">IF(AA$4=1,Inputs!$E$25*Inputs!$E$49,0)</f>
        <v>0</v>
      </c>
      <c r="AB63" s="69" t="n">
        <f aca="false">IF(AB$4=1,Inputs!$E$25*Inputs!$E$49,0)</f>
        <v>0</v>
      </c>
      <c r="AC63" s="69" t="n">
        <f aca="false">IF(AC$4=1,Inputs!$E$25*Inputs!$E$49,0)</f>
        <v>0</v>
      </c>
      <c r="AD63" s="69" t="n">
        <f aca="false">IF(AD$4=1,Inputs!$E$25*Inputs!$E$49,0)</f>
        <v>0</v>
      </c>
      <c r="AE63" s="69" t="n">
        <f aca="false">IF(AE$4=1,Inputs!$E$25*Inputs!$E$49,0)</f>
        <v>0</v>
      </c>
      <c r="AF63" s="69" t="n">
        <f aca="false">IF(AF$4=1,Inputs!$E$25*Inputs!$E$49,0)</f>
        <v>0</v>
      </c>
      <c r="AG63" s="69" t="n">
        <f aca="false">IF(AG$4=1,Inputs!$E$25*Inputs!$E$49,0)</f>
        <v>0</v>
      </c>
      <c r="AH63" s="69" t="n">
        <f aca="false">IF(AH$4=1,Inputs!$E$25*Inputs!$E$49,0)</f>
        <v>0</v>
      </c>
      <c r="AI63" s="69" t="n">
        <f aca="false">IF(AI$4=1,Inputs!$E$25*Inputs!$E$49,0)</f>
        <v>0</v>
      </c>
      <c r="AJ63" s="69" t="n">
        <f aca="false">IF(AJ$4=1,Inputs!$E$25*Inputs!$E$49,0)</f>
        <v>0</v>
      </c>
      <c r="AK63" s="69" t="n">
        <f aca="false">IF(AK$4=1,Inputs!$E$25*Inputs!$E$49,0)</f>
        <v>0</v>
      </c>
      <c r="AL63" s="69" t="n">
        <f aca="false">IF(AL$4=1,Inputs!$E$25*Inputs!$E$49,0)</f>
        <v>0</v>
      </c>
      <c r="AM63" s="69" t="n">
        <f aca="false">IF(AM$4=1,Inputs!$E$25*Inputs!$E$49,0)</f>
        <v>0</v>
      </c>
      <c r="AN63" s="69" t="n">
        <f aca="false">IF(AN$4=1,Inputs!$E$25*Inputs!$E$49,0)</f>
        <v>0</v>
      </c>
      <c r="AO63" s="69" t="n">
        <f aca="false">IF(AO$4=1,Inputs!$E$25*Inputs!$E$49,0)</f>
        <v>0</v>
      </c>
      <c r="AP63" s="69" t="n">
        <f aca="false">IF(AP$4=1,Inputs!$E$25*Inputs!$E$49,0)</f>
        <v>0</v>
      </c>
      <c r="AQ63" s="69" t="n">
        <f aca="false">IF(AQ$4=1,Inputs!$E$25*Inputs!$E$49,0)</f>
        <v>0</v>
      </c>
      <c r="AR63" s="69" t="n">
        <f aca="false">IF(AR$4=1,Inputs!$E$25*Inputs!$E$49,0)</f>
        <v>0</v>
      </c>
      <c r="AS63" s="69" t="n">
        <f aca="false">IF(AS$4=1,Inputs!$E$25*Inputs!$E$49,0)</f>
        <v>0</v>
      </c>
      <c r="AT63" s="69" t="n">
        <f aca="false">IF(AT$4=1,Inputs!$E$25*Inputs!$E$49,0)</f>
        <v>0</v>
      </c>
      <c r="AU63" s="69" t="n">
        <f aca="false">IF(AU$4=1,Inputs!$E$25*Inputs!$E$49,0)</f>
        <v>0</v>
      </c>
      <c r="AV63" s="69" t="n">
        <f aca="false">IF(AV$4=1,Inputs!$E$25*Inputs!$E$49,0)</f>
        <v>0</v>
      </c>
      <c r="AW63" s="69" t="n">
        <f aca="false">IF(AW$4=1,Inputs!$E$25*Inputs!$E$49,0)</f>
        <v>0</v>
      </c>
      <c r="AX63" s="69" t="n">
        <f aca="false">IF(AX$4=1,Inputs!$E$25*Inputs!$E$49,0)</f>
        <v>0</v>
      </c>
      <c r="AY63" s="69" t="n">
        <f aca="false">IF(AY$4=1,Inputs!$E$25*Inputs!$E$49,0)</f>
        <v>0</v>
      </c>
      <c r="AZ63" s="69" t="n">
        <f aca="false">IF(AZ$4=1,Inputs!$E$25*Inputs!$E$49,0)</f>
        <v>0</v>
      </c>
      <c r="BA63" s="69" t="n">
        <f aca="false">IF(BA$4=1,Inputs!$E$25*Inputs!$E$49,0)</f>
        <v>0</v>
      </c>
      <c r="BB63" s="69" t="n">
        <f aca="false">IF(BB$4=1,Inputs!$E$25*Inputs!$E$49,0)</f>
        <v>0</v>
      </c>
      <c r="BC63" s="69" t="n">
        <f aca="false">IF(BC$4=1,Inputs!$E$25*Inputs!$E$49,0)</f>
        <v>0</v>
      </c>
      <c r="BD63" s="69" t="n">
        <f aca="false">IF(BD$4=1,Inputs!$E$25*Inputs!$E$49,0)</f>
        <v>0</v>
      </c>
      <c r="BE63" s="69" t="n">
        <f aca="false">IF(BE$4=1,Inputs!$E$25*Inputs!$E$49,0)</f>
        <v>0</v>
      </c>
      <c r="BF63" s="69" t="n">
        <f aca="false">IF(BF$4=1,Inputs!$E$25*Inputs!$E$49,0)</f>
        <v>0</v>
      </c>
      <c r="BG63" s="69" t="n">
        <f aca="false">IF(BG$4=1,Inputs!$E$25*Inputs!$E$49,0)</f>
        <v>0</v>
      </c>
      <c r="BH63" s="69" t="n">
        <f aca="false">IF(BH$4=1,Inputs!$E$25*Inputs!$E$49,0)</f>
        <v>0</v>
      </c>
      <c r="BI63" s="69" t="n">
        <f aca="false">IF(BI$4=1,Inputs!$E$25*Inputs!$E$49,0)</f>
        <v>0</v>
      </c>
      <c r="BJ63" s="69" t="n">
        <f aca="false">IF(BJ$4=1,Inputs!$E$25*Inputs!$E$49,0)</f>
        <v>0</v>
      </c>
    </row>
    <row r="64" customFormat="false" ht="15" hidden="false" customHeight="false" outlineLevel="0" collapsed="false">
      <c r="A64" s="6" t="s">
        <v>435</v>
      </c>
      <c r="C64" s="69" t="n">
        <f aca="false">IF(C$4=1,Inputs!$E$50,0)</f>
        <v>90000</v>
      </c>
      <c r="D64" s="69" t="n">
        <f aca="false">IF(D$4=1,Inputs!$E$50,0)</f>
        <v>0</v>
      </c>
      <c r="E64" s="69" t="n">
        <f aca="false">IF(E$4=1,Inputs!$E$50,0)</f>
        <v>0</v>
      </c>
      <c r="F64" s="69" t="n">
        <f aca="false">IF(F$4=1,Inputs!$E$50,0)</f>
        <v>0</v>
      </c>
      <c r="G64" s="69" t="n">
        <f aca="false">IF(G$4=1,Inputs!$E$50,0)</f>
        <v>0</v>
      </c>
      <c r="H64" s="69" t="n">
        <f aca="false">IF(H$4=1,Inputs!$E$50,0)</f>
        <v>0</v>
      </c>
      <c r="I64" s="69" t="n">
        <f aca="false">IF(I$4=1,Inputs!$E$50,0)</f>
        <v>0</v>
      </c>
      <c r="J64" s="69" t="n">
        <f aca="false">IF(J$4=1,Inputs!$E$50,0)</f>
        <v>0</v>
      </c>
      <c r="K64" s="69" t="n">
        <f aca="false">IF(K$4=1,Inputs!$E$50,0)</f>
        <v>0</v>
      </c>
      <c r="L64" s="69" t="n">
        <f aca="false">IF(L$4=1,Inputs!$E$50,0)</f>
        <v>0</v>
      </c>
      <c r="M64" s="69" t="n">
        <f aca="false">IF(M$4=1,Inputs!$E$50,0)</f>
        <v>0</v>
      </c>
      <c r="N64" s="69" t="n">
        <f aca="false">IF(N$4=1,Inputs!$E$50,0)</f>
        <v>0</v>
      </c>
      <c r="O64" s="69" t="n">
        <f aca="false">IF(O$4=1,Inputs!$E$50,0)</f>
        <v>0</v>
      </c>
      <c r="P64" s="69" t="n">
        <f aca="false">IF(P$4=1,Inputs!$E$50,0)</f>
        <v>0</v>
      </c>
      <c r="Q64" s="69" t="n">
        <f aca="false">IF(Q$4=1,Inputs!$E$50,0)</f>
        <v>0</v>
      </c>
      <c r="R64" s="69" t="n">
        <f aca="false">IF(R$4=1,Inputs!$E$50,0)</f>
        <v>0</v>
      </c>
      <c r="S64" s="69" t="n">
        <f aca="false">IF(S$4=1,Inputs!$E$50,0)</f>
        <v>0</v>
      </c>
      <c r="T64" s="69" t="n">
        <f aca="false">IF(T$4=1,Inputs!$E$50,0)</f>
        <v>0</v>
      </c>
      <c r="U64" s="69" t="n">
        <f aca="false">IF(U$4=1,Inputs!$E$50,0)</f>
        <v>0</v>
      </c>
      <c r="V64" s="69" t="n">
        <f aca="false">IF(V$4=1,Inputs!$E$50,0)</f>
        <v>0</v>
      </c>
      <c r="W64" s="69" t="n">
        <f aca="false">IF(W$4=1,Inputs!$E$50,0)</f>
        <v>0</v>
      </c>
      <c r="X64" s="69" t="n">
        <f aca="false">IF(X$4=1,Inputs!$E$50,0)</f>
        <v>0</v>
      </c>
      <c r="Y64" s="69" t="n">
        <f aca="false">IF(Y$4=1,Inputs!$E$50,0)</f>
        <v>0</v>
      </c>
      <c r="Z64" s="69" t="n">
        <f aca="false">IF(Z$4=1,Inputs!$E$50,0)</f>
        <v>0</v>
      </c>
      <c r="AA64" s="69" t="n">
        <f aca="false">IF(AA$4=1,Inputs!$E$50,0)</f>
        <v>0</v>
      </c>
      <c r="AB64" s="69" t="n">
        <f aca="false">IF(AB$4=1,Inputs!$E$50,0)</f>
        <v>0</v>
      </c>
      <c r="AC64" s="69" t="n">
        <f aca="false">IF(AC$4=1,Inputs!$E$50,0)</f>
        <v>0</v>
      </c>
      <c r="AD64" s="69" t="n">
        <f aca="false">IF(AD$4=1,Inputs!$E$50,0)</f>
        <v>0</v>
      </c>
      <c r="AE64" s="69" t="n">
        <f aca="false">IF(AE$4=1,Inputs!$E$50,0)</f>
        <v>0</v>
      </c>
      <c r="AF64" s="69" t="n">
        <f aca="false">IF(AF$4=1,Inputs!$E$50,0)</f>
        <v>0</v>
      </c>
      <c r="AG64" s="69" t="n">
        <f aca="false">IF(AG$4=1,Inputs!$E$50,0)</f>
        <v>0</v>
      </c>
      <c r="AH64" s="69" t="n">
        <f aca="false">IF(AH$4=1,Inputs!$E$50,0)</f>
        <v>0</v>
      </c>
      <c r="AI64" s="69" t="n">
        <f aca="false">IF(AI$4=1,Inputs!$E$50,0)</f>
        <v>0</v>
      </c>
      <c r="AJ64" s="69" t="n">
        <f aca="false">IF(AJ$4=1,Inputs!$E$50,0)</f>
        <v>0</v>
      </c>
      <c r="AK64" s="69" t="n">
        <f aca="false">IF(AK$4=1,Inputs!$E$50,0)</f>
        <v>0</v>
      </c>
      <c r="AL64" s="69" t="n">
        <f aca="false">IF(AL$4=1,Inputs!$E$50,0)</f>
        <v>0</v>
      </c>
      <c r="AM64" s="69" t="n">
        <f aca="false">IF(AM$4=1,Inputs!$E$50,0)</f>
        <v>0</v>
      </c>
      <c r="AN64" s="69" t="n">
        <f aca="false">IF(AN$4=1,Inputs!$E$50,0)</f>
        <v>0</v>
      </c>
      <c r="AO64" s="69" t="n">
        <f aca="false">IF(AO$4=1,Inputs!$E$50,0)</f>
        <v>0</v>
      </c>
      <c r="AP64" s="69" t="n">
        <f aca="false">IF(AP$4=1,Inputs!$E$50,0)</f>
        <v>0</v>
      </c>
      <c r="AQ64" s="69" t="n">
        <f aca="false">IF(AQ$4=1,Inputs!$E$50,0)</f>
        <v>0</v>
      </c>
      <c r="AR64" s="69" t="n">
        <f aca="false">IF(AR$4=1,Inputs!$E$50,0)</f>
        <v>0</v>
      </c>
      <c r="AS64" s="69" t="n">
        <f aca="false">IF(AS$4=1,Inputs!$E$50,0)</f>
        <v>0</v>
      </c>
      <c r="AT64" s="69" t="n">
        <f aca="false">IF(AT$4=1,Inputs!$E$50,0)</f>
        <v>0</v>
      </c>
      <c r="AU64" s="69" t="n">
        <f aca="false">IF(AU$4=1,Inputs!$E$50,0)</f>
        <v>0</v>
      </c>
      <c r="AV64" s="69" t="n">
        <f aca="false">IF(AV$4=1,Inputs!$E$50,0)</f>
        <v>0</v>
      </c>
      <c r="AW64" s="69" t="n">
        <f aca="false">IF(AW$4=1,Inputs!$E$50,0)</f>
        <v>0</v>
      </c>
      <c r="AX64" s="69" t="n">
        <f aca="false">IF(AX$4=1,Inputs!$E$50,0)</f>
        <v>0</v>
      </c>
      <c r="AY64" s="69" t="n">
        <f aca="false">IF(AY$4=1,Inputs!$E$50,0)</f>
        <v>0</v>
      </c>
      <c r="AZ64" s="69" t="n">
        <f aca="false">IF(AZ$4=1,Inputs!$E$50,0)</f>
        <v>0</v>
      </c>
      <c r="BA64" s="69" t="n">
        <f aca="false">IF(BA$4=1,Inputs!$E$50,0)</f>
        <v>0</v>
      </c>
      <c r="BB64" s="69" t="n">
        <f aca="false">IF(BB$4=1,Inputs!$E$50,0)</f>
        <v>0</v>
      </c>
      <c r="BC64" s="69" t="n">
        <f aca="false">IF(BC$4=1,Inputs!$E$50,0)</f>
        <v>0</v>
      </c>
      <c r="BD64" s="69" t="n">
        <f aca="false">IF(BD$4=1,Inputs!$E$50,0)</f>
        <v>0</v>
      </c>
      <c r="BE64" s="69" t="n">
        <f aca="false">IF(BE$4=1,Inputs!$E$50,0)</f>
        <v>0</v>
      </c>
      <c r="BF64" s="69" t="n">
        <f aca="false">IF(BF$4=1,Inputs!$E$50,0)</f>
        <v>0</v>
      </c>
      <c r="BG64" s="69" t="n">
        <f aca="false">IF(BG$4=1,Inputs!$E$50,0)</f>
        <v>0</v>
      </c>
      <c r="BH64" s="69" t="n">
        <f aca="false">IF(BH$4=1,Inputs!$E$50,0)</f>
        <v>0</v>
      </c>
      <c r="BI64" s="69" t="n">
        <f aca="false">IF(BI$4=1,Inputs!$E$50,0)</f>
        <v>0</v>
      </c>
      <c r="BJ64" s="69" t="n">
        <f aca="false">IF(BJ$4=1,Inputs!$E$50,0)</f>
        <v>0</v>
      </c>
    </row>
    <row r="65" customFormat="false" ht="15" hidden="false" customHeight="false" outlineLevel="0" collapsed="false">
      <c r="A65" s="6" t="s">
        <v>436</v>
      </c>
      <c r="C65" s="69" t="n">
        <f aca="false">IF(C$4=1,Inputs!$E$51,0)</f>
        <v>0</v>
      </c>
      <c r="D65" s="69" t="n">
        <f aca="false">IF(D$4=1,Inputs!$E$51,0)</f>
        <v>0</v>
      </c>
      <c r="E65" s="69" t="n">
        <f aca="false">IF(E$4=1,Inputs!$E$51,0)</f>
        <v>0</v>
      </c>
      <c r="F65" s="69" t="n">
        <f aca="false">IF(F$4=1,Inputs!$E$51,0)</f>
        <v>0</v>
      </c>
      <c r="G65" s="69" t="n">
        <f aca="false">IF(G$4=1,Inputs!$E$51,0)</f>
        <v>0</v>
      </c>
      <c r="H65" s="69" t="n">
        <f aca="false">IF(H$4=1,Inputs!$E$51,0)</f>
        <v>0</v>
      </c>
      <c r="I65" s="69" t="n">
        <f aca="false">IF(I$4=1,Inputs!$E$51,0)</f>
        <v>0</v>
      </c>
      <c r="J65" s="69" t="n">
        <f aca="false">IF(J$4=1,Inputs!$E$51,0)</f>
        <v>0</v>
      </c>
      <c r="K65" s="69" t="n">
        <f aca="false">IF(K$4=1,Inputs!$E$51,0)</f>
        <v>0</v>
      </c>
      <c r="L65" s="69" t="n">
        <f aca="false">IF(L$4=1,Inputs!$E$51,0)</f>
        <v>0</v>
      </c>
      <c r="M65" s="69" t="n">
        <f aca="false">IF(M$4=1,Inputs!$E$51,0)</f>
        <v>0</v>
      </c>
      <c r="N65" s="69" t="n">
        <f aca="false">IF(N$4=1,Inputs!$E$51,0)</f>
        <v>0</v>
      </c>
      <c r="O65" s="69" t="n">
        <f aca="false">IF(O$4=1,Inputs!$E$51,0)</f>
        <v>0</v>
      </c>
      <c r="P65" s="69" t="n">
        <f aca="false">IF(P$4=1,Inputs!$E$51,0)</f>
        <v>0</v>
      </c>
      <c r="Q65" s="69" t="n">
        <f aca="false">IF(Q$4=1,Inputs!$E$51,0)</f>
        <v>0</v>
      </c>
      <c r="R65" s="69" t="n">
        <f aca="false">IF(R$4=1,Inputs!$E$51,0)</f>
        <v>0</v>
      </c>
      <c r="S65" s="69" t="n">
        <f aca="false">IF(S$4=1,Inputs!$E$51,0)</f>
        <v>0</v>
      </c>
      <c r="T65" s="69" t="n">
        <f aca="false">IF(T$4=1,Inputs!$E$51,0)</f>
        <v>0</v>
      </c>
      <c r="U65" s="69" t="n">
        <f aca="false">IF(U$4=1,Inputs!$E$51,0)</f>
        <v>0</v>
      </c>
      <c r="V65" s="69" t="n">
        <f aca="false">IF(V$4=1,Inputs!$E$51,0)</f>
        <v>0</v>
      </c>
      <c r="W65" s="69" t="n">
        <f aca="false">IF(W$4=1,Inputs!$E$51,0)</f>
        <v>0</v>
      </c>
      <c r="X65" s="69" t="n">
        <f aca="false">IF(X$4=1,Inputs!$E$51,0)</f>
        <v>0</v>
      </c>
      <c r="Y65" s="69" t="n">
        <f aca="false">IF(Y$4=1,Inputs!$E$51,0)</f>
        <v>0</v>
      </c>
      <c r="Z65" s="69" t="n">
        <f aca="false">IF(Z$4=1,Inputs!$E$51,0)</f>
        <v>0</v>
      </c>
      <c r="AA65" s="69" t="n">
        <f aca="false">IF(AA$4=1,Inputs!$E$51,0)</f>
        <v>0</v>
      </c>
      <c r="AB65" s="69" t="n">
        <f aca="false">IF(AB$4=1,Inputs!$E$51,0)</f>
        <v>0</v>
      </c>
      <c r="AC65" s="69" t="n">
        <f aca="false">IF(AC$4=1,Inputs!$E$51,0)</f>
        <v>0</v>
      </c>
      <c r="AD65" s="69" t="n">
        <f aca="false">IF(AD$4=1,Inputs!$E$51,0)</f>
        <v>0</v>
      </c>
      <c r="AE65" s="69" t="n">
        <f aca="false">IF(AE$4=1,Inputs!$E$51,0)</f>
        <v>0</v>
      </c>
      <c r="AF65" s="69" t="n">
        <f aca="false">IF(AF$4=1,Inputs!$E$51,0)</f>
        <v>0</v>
      </c>
      <c r="AG65" s="69" t="n">
        <f aca="false">IF(AG$4=1,Inputs!$E$51,0)</f>
        <v>0</v>
      </c>
      <c r="AH65" s="69" t="n">
        <f aca="false">IF(AH$4=1,Inputs!$E$51,0)</f>
        <v>0</v>
      </c>
      <c r="AI65" s="69" t="n">
        <f aca="false">IF(AI$4=1,Inputs!$E$51,0)</f>
        <v>0</v>
      </c>
      <c r="AJ65" s="69" t="n">
        <f aca="false">IF(AJ$4=1,Inputs!$E$51,0)</f>
        <v>0</v>
      </c>
      <c r="AK65" s="69" t="n">
        <f aca="false">IF(AK$4=1,Inputs!$E$51,0)</f>
        <v>0</v>
      </c>
      <c r="AL65" s="69" t="n">
        <f aca="false">IF(AL$4=1,Inputs!$E$51,0)</f>
        <v>0</v>
      </c>
      <c r="AM65" s="69" t="n">
        <f aca="false">IF(AM$4=1,Inputs!$E$51,0)</f>
        <v>0</v>
      </c>
      <c r="AN65" s="69" t="n">
        <f aca="false">IF(AN$4=1,Inputs!$E$51,0)</f>
        <v>0</v>
      </c>
      <c r="AO65" s="69" t="n">
        <f aca="false">IF(AO$4=1,Inputs!$E$51,0)</f>
        <v>0</v>
      </c>
      <c r="AP65" s="69" t="n">
        <f aca="false">IF(AP$4=1,Inputs!$E$51,0)</f>
        <v>0</v>
      </c>
      <c r="AQ65" s="69" t="n">
        <f aca="false">IF(AQ$4=1,Inputs!$E$51,0)</f>
        <v>0</v>
      </c>
      <c r="AR65" s="69" t="n">
        <f aca="false">IF(AR$4=1,Inputs!$E$51,0)</f>
        <v>0</v>
      </c>
      <c r="AS65" s="69" t="n">
        <f aca="false">IF(AS$4=1,Inputs!$E$51,0)</f>
        <v>0</v>
      </c>
      <c r="AT65" s="69" t="n">
        <f aca="false">IF(AT$4=1,Inputs!$E$51,0)</f>
        <v>0</v>
      </c>
      <c r="AU65" s="69" t="n">
        <f aca="false">IF(AU$4=1,Inputs!$E$51,0)</f>
        <v>0</v>
      </c>
      <c r="AV65" s="69" t="n">
        <f aca="false">IF(AV$4=1,Inputs!$E$51,0)</f>
        <v>0</v>
      </c>
      <c r="AW65" s="69" t="n">
        <f aca="false">IF(AW$4=1,Inputs!$E$51,0)</f>
        <v>0</v>
      </c>
      <c r="AX65" s="69" t="n">
        <f aca="false">IF(AX$4=1,Inputs!$E$51,0)</f>
        <v>0</v>
      </c>
      <c r="AY65" s="69" t="n">
        <f aca="false">IF(AY$4=1,Inputs!$E$51,0)</f>
        <v>0</v>
      </c>
      <c r="AZ65" s="69" t="n">
        <f aca="false">IF(AZ$4=1,Inputs!$E$51,0)</f>
        <v>0</v>
      </c>
      <c r="BA65" s="69" t="n">
        <f aca="false">IF(BA$4=1,Inputs!$E$51,0)</f>
        <v>0</v>
      </c>
      <c r="BB65" s="69" t="n">
        <f aca="false">IF(BB$4=1,Inputs!$E$51,0)</f>
        <v>0</v>
      </c>
      <c r="BC65" s="69" t="n">
        <f aca="false">IF(BC$4=1,Inputs!$E$51,0)</f>
        <v>0</v>
      </c>
      <c r="BD65" s="69" t="n">
        <f aca="false">IF(BD$4=1,Inputs!$E$51,0)</f>
        <v>0</v>
      </c>
      <c r="BE65" s="69" t="n">
        <f aca="false">IF(BE$4=1,Inputs!$E$51,0)</f>
        <v>0</v>
      </c>
      <c r="BF65" s="69" t="n">
        <f aca="false">IF(BF$4=1,Inputs!$E$51,0)</f>
        <v>0</v>
      </c>
      <c r="BG65" s="69" t="n">
        <f aca="false">IF(BG$4=1,Inputs!$E$51,0)</f>
        <v>0</v>
      </c>
      <c r="BH65" s="69" t="n">
        <f aca="false">IF(BH$4=1,Inputs!$E$51,0)</f>
        <v>0</v>
      </c>
      <c r="BI65" s="69" t="n">
        <f aca="false">IF(BI$4=1,Inputs!$E$51,0)</f>
        <v>0</v>
      </c>
      <c r="BJ65" s="69" t="n">
        <f aca="false">IF(BJ$4=1,Inputs!$E$51,0)</f>
        <v>0</v>
      </c>
    </row>
    <row r="66" customFormat="false" ht="15" hidden="false" customHeight="false" outlineLevel="0" collapsed="false">
      <c r="A66" s="6" t="s">
        <v>437</v>
      </c>
      <c r="C66" s="69" t="n">
        <f aca="false">IF(AND(C$5&gt;1,MOD(C$4-1,12)=0),Inputs!$E$52,0)</f>
        <v>0</v>
      </c>
      <c r="D66" s="69" t="n">
        <f aca="false">IF(AND(D$5&gt;1,MOD(D$4-1,12)=0),Inputs!$E$52,0)</f>
        <v>0</v>
      </c>
      <c r="E66" s="69" t="n">
        <f aca="false">IF(AND(E$5&gt;1,MOD(E$4-1,12)=0),Inputs!$E$52,0)</f>
        <v>0</v>
      </c>
      <c r="F66" s="69" t="n">
        <f aca="false">IF(AND(F$5&gt;1,MOD(F$4-1,12)=0),Inputs!$E$52,0)</f>
        <v>0</v>
      </c>
      <c r="G66" s="69" t="n">
        <f aca="false">IF(AND(G$5&gt;1,MOD(G$4-1,12)=0),Inputs!$E$52,0)</f>
        <v>0</v>
      </c>
      <c r="H66" s="69" t="n">
        <f aca="false">IF(AND(H$5&gt;1,MOD(H$4-1,12)=0),Inputs!$E$52,0)</f>
        <v>0</v>
      </c>
      <c r="I66" s="69" t="n">
        <f aca="false">IF(AND(I$5&gt;1,MOD(I$4-1,12)=0),Inputs!$E$52,0)</f>
        <v>0</v>
      </c>
      <c r="J66" s="69" t="n">
        <f aca="false">IF(AND(J$5&gt;1,MOD(J$4-1,12)=0),Inputs!$E$52,0)</f>
        <v>0</v>
      </c>
      <c r="K66" s="69" t="n">
        <f aca="false">IF(AND(K$5&gt;1,MOD(K$4-1,12)=0),Inputs!$E$52,0)</f>
        <v>0</v>
      </c>
      <c r="L66" s="69" t="n">
        <f aca="false">IF(AND(L$5&gt;1,MOD(L$4-1,12)=0),Inputs!$E$52,0)</f>
        <v>0</v>
      </c>
      <c r="M66" s="69" t="n">
        <f aca="false">IF(AND(M$5&gt;1,MOD(M$4-1,12)=0),Inputs!$E$52,0)</f>
        <v>0</v>
      </c>
      <c r="N66" s="69" t="n">
        <f aca="false">IF(AND(N$5&gt;1,MOD(N$4-1,12)=0),Inputs!$E$52,0)</f>
        <v>0</v>
      </c>
      <c r="O66" s="69" t="n">
        <f aca="false">IF(AND(O$5&gt;1,MOD(O$4-1,12)=0),Inputs!$E$52,0)</f>
        <v>10000</v>
      </c>
      <c r="P66" s="69" t="n">
        <f aca="false">IF(AND(P$5&gt;1,MOD(P$4-1,12)=0),Inputs!$E$52,0)</f>
        <v>0</v>
      </c>
      <c r="Q66" s="69" t="n">
        <f aca="false">IF(AND(Q$5&gt;1,MOD(Q$4-1,12)=0),Inputs!$E$52,0)</f>
        <v>0</v>
      </c>
      <c r="R66" s="69" t="n">
        <f aca="false">IF(AND(R$5&gt;1,MOD(R$4-1,12)=0),Inputs!$E$52,0)</f>
        <v>0</v>
      </c>
      <c r="S66" s="69" t="n">
        <f aca="false">IF(AND(S$5&gt;1,MOD(S$4-1,12)=0),Inputs!$E$52,0)</f>
        <v>0</v>
      </c>
      <c r="T66" s="69" t="n">
        <f aca="false">IF(AND(T$5&gt;1,MOD(T$4-1,12)=0),Inputs!$E$52,0)</f>
        <v>0</v>
      </c>
      <c r="U66" s="69" t="n">
        <f aca="false">IF(AND(U$5&gt;1,MOD(U$4-1,12)=0),Inputs!$E$52,0)</f>
        <v>0</v>
      </c>
      <c r="V66" s="69" t="n">
        <f aca="false">IF(AND(V$5&gt;1,MOD(V$4-1,12)=0),Inputs!$E$52,0)</f>
        <v>0</v>
      </c>
      <c r="W66" s="69" t="n">
        <f aca="false">IF(AND(W$5&gt;1,MOD(W$4-1,12)=0),Inputs!$E$52,0)</f>
        <v>0</v>
      </c>
      <c r="X66" s="69" t="n">
        <f aca="false">IF(AND(X$5&gt;1,MOD(X$4-1,12)=0),Inputs!$E$52,0)</f>
        <v>0</v>
      </c>
      <c r="Y66" s="69" t="n">
        <f aca="false">IF(AND(Y$5&gt;1,MOD(Y$4-1,12)=0),Inputs!$E$52,0)</f>
        <v>0</v>
      </c>
      <c r="Z66" s="69" t="n">
        <f aca="false">IF(AND(Z$5&gt;1,MOD(Z$4-1,12)=0),Inputs!$E$52,0)</f>
        <v>0</v>
      </c>
      <c r="AA66" s="69" t="n">
        <f aca="false">IF(AND(AA$5&gt;1,MOD(AA$4-1,12)=0),Inputs!$E$52,0)</f>
        <v>10000</v>
      </c>
      <c r="AB66" s="69" t="n">
        <f aca="false">IF(AND(AB$5&gt;1,MOD(AB$4-1,12)=0),Inputs!$E$52,0)</f>
        <v>0</v>
      </c>
      <c r="AC66" s="69" t="n">
        <f aca="false">IF(AND(AC$5&gt;1,MOD(AC$4-1,12)=0),Inputs!$E$52,0)</f>
        <v>0</v>
      </c>
      <c r="AD66" s="69" t="n">
        <f aca="false">IF(AND(AD$5&gt;1,MOD(AD$4-1,12)=0),Inputs!$E$52,0)</f>
        <v>0</v>
      </c>
      <c r="AE66" s="69" t="n">
        <f aca="false">IF(AND(AE$5&gt;1,MOD(AE$4-1,12)=0),Inputs!$E$52,0)</f>
        <v>0</v>
      </c>
      <c r="AF66" s="69" t="n">
        <f aca="false">IF(AND(AF$5&gt;1,MOD(AF$4-1,12)=0),Inputs!$E$52,0)</f>
        <v>0</v>
      </c>
      <c r="AG66" s="69" t="n">
        <f aca="false">IF(AND(AG$5&gt;1,MOD(AG$4-1,12)=0),Inputs!$E$52,0)</f>
        <v>0</v>
      </c>
      <c r="AH66" s="69" t="n">
        <f aca="false">IF(AND(AH$5&gt;1,MOD(AH$4-1,12)=0),Inputs!$E$52,0)</f>
        <v>0</v>
      </c>
      <c r="AI66" s="69" t="n">
        <f aca="false">IF(AND(AI$5&gt;1,MOD(AI$4-1,12)=0),Inputs!$E$52,0)</f>
        <v>0</v>
      </c>
      <c r="AJ66" s="69" t="n">
        <f aca="false">IF(AND(AJ$5&gt;1,MOD(AJ$4-1,12)=0),Inputs!$E$52,0)</f>
        <v>0</v>
      </c>
      <c r="AK66" s="69" t="n">
        <f aca="false">IF(AND(AK$5&gt;1,MOD(AK$4-1,12)=0),Inputs!$E$52,0)</f>
        <v>0</v>
      </c>
      <c r="AL66" s="69" t="n">
        <f aca="false">IF(AND(AL$5&gt;1,MOD(AL$4-1,12)=0),Inputs!$E$52,0)</f>
        <v>0</v>
      </c>
      <c r="AM66" s="69" t="n">
        <f aca="false">IF(AND(AM$5&gt;1,MOD(AM$4-1,12)=0),Inputs!$E$52,0)</f>
        <v>10000</v>
      </c>
      <c r="AN66" s="69" t="n">
        <f aca="false">IF(AND(AN$5&gt;1,MOD(AN$4-1,12)=0),Inputs!$E$52,0)</f>
        <v>0</v>
      </c>
      <c r="AO66" s="69" t="n">
        <f aca="false">IF(AND(AO$5&gt;1,MOD(AO$4-1,12)=0),Inputs!$E$52,0)</f>
        <v>0</v>
      </c>
      <c r="AP66" s="69" t="n">
        <f aca="false">IF(AND(AP$5&gt;1,MOD(AP$4-1,12)=0),Inputs!$E$52,0)</f>
        <v>0</v>
      </c>
      <c r="AQ66" s="69" t="n">
        <f aca="false">IF(AND(AQ$5&gt;1,MOD(AQ$4-1,12)=0),Inputs!$E$52,0)</f>
        <v>0</v>
      </c>
      <c r="AR66" s="69" t="n">
        <f aca="false">IF(AND(AR$5&gt;1,MOD(AR$4-1,12)=0),Inputs!$E$52,0)</f>
        <v>0</v>
      </c>
      <c r="AS66" s="69" t="n">
        <f aca="false">IF(AND(AS$5&gt;1,MOD(AS$4-1,12)=0),Inputs!$E$52,0)</f>
        <v>0</v>
      </c>
      <c r="AT66" s="69" t="n">
        <f aca="false">IF(AND(AT$5&gt;1,MOD(AT$4-1,12)=0),Inputs!$E$52,0)</f>
        <v>0</v>
      </c>
      <c r="AU66" s="69" t="n">
        <f aca="false">IF(AND(AU$5&gt;1,MOD(AU$4-1,12)=0),Inputs!$E$52,0)</f>
        <v>0</v>
      </c>
      <c r="AV66" s="69" t="n">
        <f aca="false">IF(AND(AV$5&gt;1,MOD(AV$4-1,12)=0),Inputs!$E$52,0)</f>
        <v>0</v>
      </c>
      <c r="AW66" s="69" t="n">
        <f aca="false">IF(AND(AW$5&gt;1,MOD(AW$4-1,12)=0),Inputs!$E$52,0)</f>
        <v>0</v>
      </c>
      <c r="AX66" s="69" t="n">
        <f aca="false">IF(AND(AX$5&gt;1,MOD(AX$4-1,12)=0),Inputs!$E$52,0)</f>
        <v>0</v>
      </c>
      <c r="AY66" s="69" t="n">
        <f aca="false">IF(AND(AY$5&gt;1,MOD(AY$4-1,12)=0),Inputs!$E$52,0)</f>
        <v>10000</v>
      </c>
      <c r="AZ66" s="69" t="n">
        <f aca="false">IF(AND(AZ$5&gt;1,MOD(AZ$4-1,12)=0),Inputs!$E$52,0)</f>
        <v>0</v>
      </c>
      <c r="BA66" s="69" t="n">
        <f aca="false">IF(AND(BA$5&gt;1,MOD(BA$4-1,12)=0),Inputs!$E$52,0)</f>
        <v>0</v>
      </c>
      <c r="BB66" s="69" t="n">
        <f aca="false">IF(AND(BB$5&gt;1,MOD(BB$4-1,12)=0),Inputs!$E$52,0)</f>
        <v>0</v>
      </c>
      <c r="BC66" s="69" t="n">
        <f aca="false">IF(AND(BC$5&gt;1,MOD(BC$4-1,12)=0),Inputs!$E$52,0)</f>
        <v>0</v>
      </c>
      <c r="BD66" s="69" t="n">
        <f aca="false">IF(AND(BD$5&gt;1,MOD(BD$4-1,12)=0),Inputs!$E$52,0)</f>
        <v>0</v>
      </c>
      <c r="BE66" s="69" t="n">
        <f aca="false">IF(AND(BE$5&gt;1,MOD(BE$4-1,12)=0),Inputs!$E$52,0)</f>
        <v>0</v>
      </c>
      <c r="BF66" s="69" t="n">
        <f aca="false">IF(AND(BF$5&gt;1,MOD(BF$4-1,12)=0),Inputs!$E$52,0)</f>
        <v>0</v>
      </c>
      <c r="BG66" s="69" t="n">
        <f aca="false">IF(AND(BG$5&gt;1,MOD(BG$4-1,12)=0),Inputs!$E$52,0)</f>
        <v>0</v>
      </c>
      <c r="BH66" s="69" t="n">
        <f aca="false">IF(AND(BH$5&gt;1,MOD(BH$4-1,12)=0),Inputs!$E$52,0)</f>
        <v>0</v>
      </c>
      <c r="BI66" s="69" t="n">
        <f aca="false">IF(AND(BI$5&gt;1,MOD(BI$4-1,12)=0),Inputs!$E$52,0)</f>
        <v>0</v>
      </c>
      <c r="BJ66" s="69" t="n">
        <f aca="false">IF(AND(BJ$5&gt;1,MOD(BJ$4-1,12)=0),Inputs!$E$52,0)</f>
        <v>0</v>
      </c>
    </row>
    <row r="67" customFormat="false" ht="15" hidden="false" customHeight="false" outlineLevel="0" collapsed="false">
      <c r="A67" s="4" t="s">
        <v>84</v>
      </c>
      <c r="C67" s="75" t="n">
        <f aca="false">C62+C63+C64+C65+C66</f>
        <v>189000</v>
      </c>
      <c r="D67" s="75" t="n">
        <f aca="false">D62+D63+D64+D65+D66</f>
        <v>0</v>
      </c>
      <c r="E67" s="75" t="n">
        <f aca="false">E62+E63+E64+E65+E66</f>
        <v>0</v>
      </c>
      <c r="F67" s="75" t="n">
        <f aca="false">F62+F63+F64+F65+F66</f>
        <v>0</v>
      </c>
      <c r="G67" s="75" t="n">
        <f aca="false">G62+G63+G64+G65+G66</f>
        <v>0</v>
      </c>
      <c r="H67" s="75" t="n">
        <f aca="false">H62+H63+H64+H65+H66</f>
        <v>0</v>
      </c>
      <c r="I67" s="75" t="n">
        <f aca="false">I62+I63+I64+I65+I66</f>
        <v>0</v>
      </c>
      <c r="J67" s="75" t="n">
        <f aca="false">J62+J63+J64+J65+J66</f>
        <v>0</v>
      </c>
      <c r="K67" s="75" t="n">
        <f aca="false">K62+K63+K64+K65+K66</f>
        <v>0</v>
      </c>
      <c r="L67" s="75" t="n">
        <f aca="false">L62+L63+L64+L65+L66</f>
        <v>0</v>
      </c>
      <c r="M67" s="75" t="n">
        <f aca="false">M62+M63+M64+M65+M66</f>
        <v>0</v>
      </c>
      <c r="N67" s="75" t="n">
        <f aca="false">N62+N63+N64+N65+N66</f>
        <v>0</v>
      </c>
      <c r="O67" s="75" t="n">
        <f aca="false">O62+O63+O64+O65+O66</f>
        <v>10000</v>
      </c>
      <c r="P67" s="75" t="n">
        <f aca="false">P62+P63+P64+P65+P66</f>
        <v>0</v>
      </c>
      <c r="Q67" s="75" t="n">
        <f aca="false">Q62+Q63+Q64+Q65+Q66</f>
        <v>0</v>
      </c>
      <c r="R67" s="75" t="n">
        <f aca="false">R62+R63+R64+R65+R66</f>
        <v>0</v>
      </c>
      <c r="S67" s="75" t="n">
        <f aca="false">S62+S63+S64+S65+S66</f>
        <v>0</v>
      </c>
      <c r="T67" s="75" t="n">
        <f aca="false">T62+T63+T64+T65+T66</f>
        <v>0</v>
      </c>
      <c r="U67" s="75" t="n">
        <f aca="false">U62+U63+U64+U65+U66</f>
        <v>0</v>
      </c>
      <c r="V67" s="75" t="n">
        <f aca="false">V62+V63+V64+V65+V66</f>
        <v>0</v>
      </c>
      <c r="W67" s="75" t="n">
        <f aca="false">W62+W63+W64+W65+W66</f>
        <v>0</v>
      </c>
      <c r="X67" s="75" t="n">
        <f aca="false">X62+X63+X64+X65+X66</f>
        <v>0</v>
      </c>
      <c r="Y67" s="75" t="n">
        <f aca="false">Y62+Y63+Y64+Y65+Y66</f>
        <v>0</v>
      </c>
      <c r="Z67" s="75" t="n">
        <f aca="false">Z62+Z63+Z64+Z65+Z66</f>
        <v>0</v>
      </c>
      <c r="AA67" s="75" t="n">
        <f aca="false">AA62+AA63+AA64+AA65+AA66</f>
        <v>10000</v>
      </c>
      <c r="AB67" s="75" t="n">
        <f aca="false">AB62+AB63+AB64+AB65+AB66</f>
        <v>0</v>
      </c>
      <c r="AC67" s="75" t="n">
        <f aca="false">AC62+AC63+AC64+AC65+AC66</f>
        <v>0</v>
      </c>
      <c r="AD67" s="75" t="n">
        <f aca="false">AD62+AD63+AD64+AD65+AD66</f>
        <v>0</v>
      </c>
      <c r="AE67" s="75" t="n">
        <f aca="false">AE62+AE63+AE64+AE65+AE66</f>
        <v>0</v>
      </c>
      <c r="AF67" s="75" t="n">
        <f aca="false">AF62+AF63+AF64+AF65+AF66</f>
        <v>0</v>
      </c>
      <c r="AG67" s="75" t="n">
        <f aca="false">AG62+AG63+AG64+AG65+AG66</f>
        <v>0</v>
      </c>
      <c r="AH67" s="75" t="n">
        <f aca="false">AH62+AH63+AH64+AH65+AH66</f>
        <v>0</v>
      </c>
      <c r="AI67" s="75" t="n">
        <f aca="false">AI62+AI63+AI64+AI65+AI66</f>
        <v>0</v>
      </c>
      <c r="AJ67" s="75" t="n">
        <f aca="false">AJ62+AJ63+AJ64+AJ65+AJ66</f>
        <v>0</v>
      </c>
      <c r="AK67" s="75" t="n">
        <f aca="false">AK62+AK63+AK64+AK65+AK66</f>
        <v>0</v>
      </c>
      <c r="AL67" s="75" t="n">
        <f aca="false">AL62+AL63+AL64+AL65+AL66</f>
        <v>0</v>
      </c>
      <c r="AM67" s="75" t="n">
        <f aca="false">AM62+AM63+AM64+AM65+AM66</f>
        <v>10000</v>
      </c>
      <c r="AN67" s="75" t="n">
        <f aca="false">AN62+AN63+AN64+AN65+AN66</f>
        <v>0</v>
      </c>
      <c r="AO67" s="75" t="n">
        <f aca="false">AO62+AO63+AO64+AO65+AO66</f>
        <v>0</v>
      </c>
      <c r="AP67" s="75" t="n">
        <f aca="false">AP62+AP63+AP64+AP65+AP66</f>
        <v>0</v>
      </c>
      <c r="AQ67" s="75" t="n">
        <f aca="false">AQ62+AQ63+AQ64+AQ65+AQ66</f>
        <v>0</v>
      </c>
      <c r="AR67" s="75" t="n">
        <f aca="false">AR62+AR63+AR64+AR65+AR66</f>
        <v>0</v>
      </c>
      <c r="AS67" s="75" t="n">
        <f aca="false">AS62+AS63+AS64+AS65+AS66</f>
        <v>0</v>
      </c>
      <c r="AT67" s="75" t="n">
        <f aca="false">AT62+AT63+AT64+AT65+AT66</f>
        <v>0</v>
      </c>
      <c r="AU67" s="75" t="n">
        <f aca="false">AU62+AU63+AU64+AU65+AU66</f>
        <v>0</v>
      </c>
      <c r="AV67" s="75" t="n">
        <f aca="false">AV62+AV63+AV64+AV65+AV66</f>
        <v>0</v>
      </c>
      <c r="AW67" s="75" t="n">
        <f aca="false">AW62+AW63+AW64+AW65+AW66</f>
        <v>0</v>
      </c>
      <c r="AX67" s="75" t="n">
        <f aca="false">AX62+AX63+AX64+AX65+AX66</f>
        <v>0</v>
      </c>
      <c r="AY67" s="75" t="n">
        <f aca="false">AY62+AY63+AY64+AY65+AY66</f>
        <v>10000</v>
      </c>
      <c r="AZ67" s="75" t="n">
        <f aca="false">AZ62+AZ63+AZ64+AZ65+AZ66</f>
        <v>0</v>
      </c>
      <c r="BA67" s="75" t="n">
        <f aca="false">BA62+BA63+BA64+BA65+BA66</f>
        <v>0</v>
      </c>
      <c r="BB67" s="75" t="n">
        <f aca="false">BB62+BB63+BB64+BB65+BB66</f>
        <v>0</v>
      </c>
      <c r="BC67" s="75" t="n">
        <f aca="false">BC62+BC63+BC64+BC65+BC66</f>
        <v>0</v>
      </c>
      <c r="BD67" s="75" t="n">
        <f aca="false">BD62+BD63+BD64+BD65+BD66</f>
        <v>0</v>
      </c>
      <c r="BE67" s="75" t="n">
        <f aca="false">BE62+BE63+BE64+BE65+BE66</f>
        <v>0</v>
      </c>
      <c r="BF67" s="75" t="n">
        <f aca="false">BF62+BF63+BF64+BF65+BF66</f>
        <v>0</v>
      </c>
      <c r="BG67" s="75" t="n">
        <f aca="false">BG62+BG63+BG64+BG65+BG66</f>
        <v>0</v>
      </c>
      <c r="BH67" s="75" t="n">
        <f aca="false">BH62+BH63+BH64+BH65+BH66</f>
        <v>0</v>
      </c>
      <c r="BI67" s="75" t="n">
        <f aca="false">BI62+BI63+BI64+BI65+BI66</f>
        <v>0</v>
      </c>
      <c r="BJ67" s="75" t="n">
        <f aca="false">BJ62+BJ63+BJ64+BJ65+BJ66</f>
        <v>0</v>
      </c>
    </row>
    <row r="68" customFormat="false" ht="15" hidden="false" customHeight="false" outlineLevel="0" collapsed="false">
      <c r="A68" s="6" t="s">
        <v>438</v>
      </c>
      <c r="C68" s="69" t="n">
        <f aca="false">C67</f>
        <v>189000</v>
      </c>
      <c r="D68" s="69" t="n">
        <f aca="false">C68+D67</f>
        <v>189000</v>
      </c>
      <c r="E68" s="69" t="n">
        <f aca="false">D68+E67</f>
        <v>189000</v>
      </c>
      <c r="F68" s="69" t="n">
        <f aca="false">E68+F67</f>
        <v>189000</v>
      </c>
      <c r="G68" s="69" t="n">
        <f aca="false">F68+G67</f>
        <v>189000</v>
      </c>
      <c r="H68" s="69" t="n">
        <f aca="false">G68+H67</f>
        <v>189000</v>
      </c>
      <c r="I68" s="69" t="n">
        <f aca="false">H68+I67</f>
        <v>189000</v>
      </c>
      <c r="J68" s="69" t="n">
        <f aca="false">I68+J67</f>
        <v>189000</v>
      </c>
      <c r="K68" s="69" t="n">
        <f aca="false">J68+K67</f>
        <v>189000</v>
      </c>
      <c r="L68" s="69" t="n">
        <f aca="false">K68+L67</f>
        <v>189000</v>
      </c>
      <c r="M68" s="69" t="n">
        <f aca="false">L68+M67</f>
        <v>189000</v>
      </c>
      <c r="N68" s="69" t="n">
        <f aca="false">M68+N67</f>
        <v>189000</v>
      </c>
      <c r="O68" s="69" t="n">
        <f aca="false">N68+O67</f>
        <v>199000</v>
      </c>
      <c r="P68" s="69" t="n">
        <f aca="false">O68+P67</f>
        <v>199000</v>
      </c>
      <c r="Q68" s="69" t="n">
        <f aca="false">P68+Q67</f>
        <v>199000</v>
      </c>
      <c r="R68" s="69" t="n">
        <f aca="false">Q68+R67</f>
        <v>199000</v>
      </c>
      <c r="S68" s="69" t="n">
        <f aca="false">R68+S67</f>
        <v>199000</v>
      </c>
      <c r="T68" s="69" t="n">
        <f aca="false">S68+T67</f>
        <v>199000</v>
      </c>
      <c r="U68" s="69" t="n">
        <f aca="false">T68+U67</f>
        <v>199000</v>
      </c>
      <c r="V68" s="69" t="n">
        <f aca="false">U68+V67</f>
        <v>199000</v>
      </c>
      <c r="W68" s="69" t="n">
        <f aca="false">V68+W67</f>
        <v>199000</v>
      </c>
      <c r="X68" s="69" t="n">
        <f aca="false">W68+X67</f>
        <v>199000</v>
      </c>
      <c r="Y68" s="69" t="n">
        <f aca="false">X68+Y67</f>
        <v>199000</v>
      </c>
      <c r="Z68" s="69" t="n">
        <f aca="false">Y68+Z67</f>
        <v>199000</v>
      </c>
      <c r="AA68" s="69" t="n">
        <f aca="false">Z68+AA67</f>
        <v>209000</v>
      </c>
      <c r="AB68" s="69" t="n">
        <f aca="false">AA68+AB67</f>
        <v>209000</v>
      </c>
      <c r="AC68" s="69" t="n">
        <f aca="false">AB68+AC67</f>
        <v>209000</v>
      </c>
      <c r="AD68" s="69" t="n">
        <f aca="false">AC68+AD67</f>
        <v>209000</v>
      </c>
      <c r="AE68" s="69" t="n">
        <f aca="false">AD68+AE67</f>
        <v>209000</v>
      </c>
      <c r="AF68" s="69" t="n">
        <f aca="false">AE68+AF67</f>
        <v>209000</v>
      </c>
      <c r="AG68" s="69" t="n">
        <f aca="false">AF68+AG67</f>
        <v>209000</v>
      </c>
      <c r="AH68" s="69" t="n">
        <f aca="false">AG68+AH67</f>
        <v>209000</v>
      </c>
      <c r="AI68" s="69" t="n">
        <f aca="false">AH68+AI67</f>
        <v>209000</v>
      </c>
      <c r="AJ68" s="69" t="n">
        <f aca="false">AI68+AJ67</f>
        <v>209000</v>
      </c>
      <c r="AK68" s="69" t="n">
        <f aca="false">AJ68+AK67</f>
        <v>209000</v>
      </c>
      <c r="AL68" s="69" t="n">
        <f aca="false">AK68+AL67</f>
        <v>209000</v>
      </c>
      <c r="AM68" s="69" t="n">
        <f aca="false">AL68+AM67</f>
        <v>219000</v>
      </c>
      <c r="AN68" s="69" t="n">
        <f aca="false">AM68+AN67</f>
        <v>219000</v>
      </c>
      <c r="AO68" s="69" t="n">
        <f aca="false">AN68+AO67</f>
        <v>219000</v>
      </c>
      <c r="AP68" s="69" t="n">
        <f aca="false">AO68+AP67</f>
        <v>219000</v>
      </c>
      <c r="AQ68" s="69" t="n">
        <f aca="false">AP68+AQ67</f>
        <v>219000</v>
      </c>
      <c r="AR68" s="69" t="n">
        <f aca="false">AQ68+AR67</f>
        <v>219000</v>
      </c>
      <c r="AS68" s="69" t="n">
        <f aca="false">AR68+AS67</f>
        <v>219000</v>
      </c>
      <c r="AT68" s="69" t="n">
        <f aca="false">AS68+AT67</f>
        <v>219000</v>
      </c>
      <c r="AU68" s="69" t="n">
        <f aca="false">AT68+AU67</f>
        <v>219000</v>
      </c>
      <c r="AV68" s="69" t="n">
        <f aca="false">AU68+AV67</f>
        <v>219000</v>
      </c>
      <c r="AW68" s="69" t="n">
        <f aca="false">AV68+AW67</f>
        <v>219000</v>
      </c>
      <c r="AX68" s="69" t="n">
        <f aca="false">AW68+AX67</f>
        <v>219000</v>
      </c>
      <c r="AY68" s="69" t="n">
        <f aca="false">AX68+AY67</f>
        <v>229000</v>
      </c>
      <c r="AZ68" s="69" t="n">
        <f aca="false">AY68+AZ67</f>
        <v>229000</v>
      </c>
      <c r="BA68" s="69" t="n">
        <f aca="false">AZ68+BA67</f>
        <v>229000</v>
      </c>
      <c r="BB68" s="69" t="n">
        <f aca="false">BA68+BB67</f>
        <v>229000</v>
      </c>
      <c r="BC68" s="69" t="n">
        <f aca="false">BB68+BC67</f>
        <v>229000</v>
      </c>
      <c r="BD68" s="69" t="n">
        <f aca="false">BC68+BD67</f>
        <v>229000</v>
      </c>
      <c r="BE68" s="69" t="n">
        <f aca="false">BD68+BE67</f>
        <v>229000</v>
      </c>
      <c r="BF68" s="69" t="n">
        <f aca="false">BE68+BF67</f>
        <v>229000</v>
      </c>
      <c r="BG68" s="69" t="n">
        <f aca="false">BF68+BG67</f>
        <v>229000</v>
      </c>
      <c r="BH68" s="69" t="n">
        <f aca="false">BG68+BH67</f>
        <v>229000</v>
      </c>
      <c r="BI68" s="69" t="n">
        <f aca="false">BH68+BI67</f>
        <v>229000</v>
      </c>
      <c r="BJ68" s="69" t="n">
        <f aca="false">BI68+BJ67</f>
        <v>229000</v>
      </c>
    </row>
    <row r="69" customFormat="false" ht="15" hidden="false" customHeight="false" outlineLevel="0" collapsed="false">
      <c r="A69" s="6" t="s">
        <v>439</v>
      </c>
      <c r="C69" s="69" t="n">
        <f aca="false">C65</f>
        <v>0</v>
      </c>
      <c r="D69" s="69" t="n">
        <f aca="false">C69+D65</f>
        <v>0</v>
      </c>
      <c r="E69" s="69" t="n">
        <f aca="false">D69+E65</f>
        <v>0</v>
      </c>
      <c r="F69" s="69" t="n">
        <f aca="false">E69+F65</f>
        <v>0</v>
      </c>
      <c r="G69" s="69" t="n">
        <f aca="false">F69+G65</f>
        <v>0</v>
      </c>
      <c r="H69" s="69" t="n">
        <f aca="false">G69+H65</f>
        <v>0</v>
      </c>
      <c r="I69" s="69" t="n">
        <f aca="false">H69+I65</f>
        <v>0</v>
      </c>
      <c r="J69" s="69" t="n">
        <f aca="false">I69+J65</f>
        <v>0</v>
      </c>
      <c r="K69" s="69" t="n">
        <f aca="false">J69+K65</f>
        <v>0</v>
      </c>
      <c r="L69" s="69" t="n">
        <f aca="false">K69+L65</f>
        <v>0</v>
      </c>
      <c r="M69" s="69" t="n">
        <f aca="false">L69+M65</f>
        <v>0</v>
      </c>
      <c r="N69" s="69" t="n">
        <f aca="false">M69+N65</f>
        <v>0</v>
      </c>
      <c r="O69" s="69" t="n">
        <f aca="false">N69+O65</f>
        <v>0</v>
      </c>
      <c r="P69" s="69" t="n">
        <f aca="false">O69+P65</f>
        <v>0</v>
      </c>
      <c r="Q69" s="69" t="n">
        <f aca="false">P69+Q65</f>
        <v>0</v>
      </c>
      <c r="R69" s="69" t="n">
        <f aca="false">Q69+R65</f>
        <v>0</v>
      </c>
      <c r="S69" s="69" t="n">
        <f aca="false">R69+S65</f>
        <v>0</v>
      </c>
      <c r="T69" s="69" t="n">
        <f aca="false">S69+T65</f>
        <v>0</v>
      </c>
      <c r="U69" s="69" t="n">
        <f aca="false">T69+U65</f>
        <v>0</v>
      </c>
      <c r="V69" s="69" t="n">
        <f aca="false">U69+V65</f>
        <v>0</v>
      </c>
      <c r="W69" s="69" t="n">
        <f aca="false">V69+W65</f>
        <v>0</v>
      </c>
      <c r="X69" s="69" t="n">
        <f aca="false">W69+X65</f>
        <v>0</v>
      </c>
      <c r="Y69" s="69" t="n">
        <f aca="false">X69+Y65</f>
        <v>0</v>
      </c>
      <c r="Z69" s="69" t="n">
        <f aca="false">Y69+Z65</f>
        <v>0</v>
      </c>
      <c r="AA69" s="69" t="n">
        <f aca="false">Z69+AA65</f>
        <v>0</v>
      </c>
      <c r="AB69" s="69" t="n">
        <f aca="false">AA69+AB65</f>
        <v>0</v>
      </c>
      <c r="AC69" s="69" t="n">
        <f aca="false">AB69+AC65</f>
        <v>0</v>
      </c>
      <c r="AD69" s="69" t="n">
        <f aca="false">AC69+AD65</f>
        <v>0</v>
      </c>
      <c r="AE69" s="69" t="n">
        <f aca="false">AD69+AE65</f>
        <v>0</v>
      </c>
      <c r="AF69" s="69" t="n">
        <f aca="false">AE69+AF65</f>
        <v>0</v>
      </c>
      <c r="AG69" s="69" t="n">
        <f aca="false">AF69+AG65</f>
        <v>0</v>
      </c>
      <c r="AH69" s="69" t="n">
        <f aca="false">AG69+AH65</f>
        <v>0</v>
      </c>
      <c r="AI69" s="69" t="n">
        <f aca="false">AH69+AI65</f>
        <v>0</v>
      </c>
      <c r="AJ69" s="69" t="n">
        <f aca="false">AI69+AJ65</f>
        <v>0</v>
      </c>
      <c r="AK69" s="69" t="n">
        <f aca="false">AJ69+AK65</f>
        <v>0</v>
      </c>
      <c r="AL69" s="69" t="n">
        <f aca="false">AK69+AL65</f>
        <v>0</v>
      </c>
      <c r="AM69" s="69" t="n">
        <f aca="false">AL69+AM65</f>
        <v>0</v>
      </c>
      <c r="AN69" s="69" t="n">
        <f aca="false">AM69+AN65</f>
        <v>0</v>
      </c>
      <c r="AO69" s="69" t="n">
        <f aca="false">AN69+AO65</f>
        <v>0</v>
      </c>
      <c r="AP69" s="69" t="n">
        <f aca="false">AO69+AP65</f>
        <v>0</v>
      </c>
      <c r="AQ69" s="69" t="n">
        <f aca="false">AP69+AQ65</f>
        <v>0</v>
      </c>
      <c r="AR69" s="69" t="n">
        <f aca="false">AQ69+AR65</f>
        <v>0</v>
      </c>
      <c r="AS69" s="69" t="n">
        <f aca="false">AR69+AS65</f>
        <v>0</v>
      </c>
      <c r="AT69" s="69" t="n">
        <f aca="false">AS69+AT65</f>
        <v>0</v>
      </c>
      <c r="AU69" s="69" t="n">
        <f aca="false">AT69+AU65</f>
        <v>0</v>
      </c>
      <c r="AV69" s="69" t="n">
        <f aca="false">AU69+AV65</f>
        <v>0</v>
      </c>
      <c r="AW69" s="69" t="n">
        <f aca="false">AV69+AW65</f>
        <v>0</v>
      </c>
      <c r="AX69" s="69" t="n">
        <f aca="false">AW69+AX65</f>
        <v>0</v>
      </c>
      <c r="AY69" s="69" t="n">
        <f aca="false">AX69+AY65</f>
        <v>0</v>
      </c>
      <c r="AZ69" s="69" t="n">
        <f aca="false">AY69+AZ65</f>
        <v>0</v>
      </c>
      <c r="BA69" s="69" t="n">
        <f aca="false">AZ69+BA65</f>
        <v>0</v>
      </c>
      <c r="BB69" s="69" t="n">
        <f aca="false">BA69+BB65</f>
        <v>0</v>
      </c>
      <c r="BC69" s="69" t="n">
        <f aca="false">BB69+BC65</f>
        <v>0</v>
      </c>
      <c r="BD69" s="69" t="n">
        <f aca="false">BC69+BD65</f>
        <v>0</v>
      </c>
      <c r="BE69" s="69" t="n">
        <f aca="false">BD69+BE65</f>
        <v>0</v>
      </c>
      <c r="BF69" s="69" t="n">
        <f aca="false">BE69+BF65</f>
        <v>0</v>
      </c>
      <c r="BG69" s="69" t="n">
        <f aca="false">BF69+BG65</f>
        <v>0</v>
      </c>
      <c r="BH69" s="69" t="n">
        <f aca="false">BG69+BH65</f>
        <v>0</v>
      </c>
      <c r="BI69" s="69" t="n">
        <f aca="false">BH69+BI65</f>
        <v>0</v>
      </c>
      <c r="BJ69" s="69" t="n">
        <f aca="false">BI69+BJ65</f>
        <v>0</v>
      </c>
    </row>
    <row r="70" customFormat="false" ht="15" hidden="false" customHeight="false" outlineLevel="0" collapsed="false">
      <c r="A70" s="6" t="s">
        <v>78</v>
      </c>
      <c r="C70" s="69" t="n">
        <f aca="false">-MIN((C68-C69)/MAX(1,Inputs!$E$82*12),C67-C69)</f>
        <v>-1968.75</v>
      </c>
      <c r="D70" s="69" t="n">
        <f aca="false">-MIN((D68-D69)/MAX(1,Inputs!$E$82*12),C72+D67-D69)</f>
        <v>-1968.75</v>
      </c>
      <c r="E70" s="69" t="n">
        <f aca="false">-MIN((E68-E69)/MAX(1,Inputs!$E$82*12),D72+E67-E69)</f>
        <v>-1968.75</v>
      </c>
      <c r="F70" s="69" t="n">
        <f aca="false">-MIN((F68-F69)/MAX(1,Inputs!$E$82*12),E72+F67-F69)</f>
        <v>-1968.75</v>
      </c>
      <c r="G70" s="69" t="n">
        <f aca="false">-MIN((G68-G69)/MAX(1,Inputs!$E$82*12),F72+G67-G69)</f>
        <v>-1968.75</v>
      </c>
      <c r="H70" s="69" t="n">
        <f aca="false">-MIN((H68-H69)/MAX(1,Inputs!$E$82*12),G72+H67-H69)</f>
        <v>-1968.75</v>
      </c>
      <c r="I70" s="69" t="n">
        <f aca="false">-MIN((I68-I69)/MAX(1,Inputs!$E$82*12),H72+I67-I69)</f>
        <v>-1968.75</v>
      </c>
      <c r="J70" s="69" t="n">
        <f aca="false">-MIN((J68-J69)/MAX(1,Inputs!$E$82*12),I72+J67-J69)</f>
        <v>-1968.75</v>
      </c>
      <c r="K70" s="69" t="n">
        <f aca="false">-MIN((K68-K69)/MAX(1,Inputs!$E$82*12),J72+K67-K69)</f>
        <v>-1968.75</v>
      </c>
      <c r="L70" s="69" t="n">
        <f aca="false">-MIN((L68-L69)/MAX(1,Inputs!$E$82*12),K72+L67-L69)</f>
        <v>-1968.75</v>
      </c>
      <c r="M70" s="69" t="n">
        <f aca="false">-MIN((M68-M69)/MAX(1,Inputs!$E$82*12),L72+M67-M69)</f>
        <v>-1968.75</v>
      </c>
      <c r="N70" s="69" t="n">
        <f aca="false">-MIN((N68-N69)/MAX(1,Inputs!$E$82*12),M72+N67-N69)</f>
        <v>-1968.75</v>
      </c>
      <c r="O70" s="69" t="n">
        <f aca="false">-MIN((O68-O69)/MAX(1,Inputs!$E$82*12),N72+O67-O69)</f>
        <v>-2072.91666666667</v>
      </c>
      <c r="P70" s="69" t="n">
        <f aca="false">-MIN((P68-P69)/MAX(1,Inputs!$E$82*12),O72+P67-P69)</f>
        <v>-2072.91666666667</v>
      </c>
      <c r="Q70" s="69" t="n">
        <f aca="false">-MIN((Q68-Q69)/MAX(1,Inputs!$E$82*12),P72+Q67-Q69)</f>
        <v>-2072.91666666667</v>
      </c>
      <c r="R70" s="69" t="n">
        <f aca="false">-MIN((R68-R69)/MAX(1,Inputs!$E$82*12),Q72+R67-R69)</f>
        <v>-2072.91666666667</v>
      </c>
      <c r="S70" s="69" t="n">
        <f aca="false">-MIN((S68-S69)/MAX(1,Inputs!$E$82*12),R72+S67-S69)</f>
        <v>-2072.91666666667</v>
      </c>
      <c r="T70" s="69" t="n">
        <f aca="false">-MIN((T68-T69)/MAX(1,Inputs!$E$82*12),S72+T67-T69)</f>
        <v>-2072.91666666667</v>
      </c>
      <c r="U70" s="69" t="n">
        <f aca="false">-MIN((U68-U69)/MAX(1,Inputs!$E$82*12),T72+U67-U69)</f>
        <v>-2072.91666666667</v>
      </c>
      <c r="V70" s="69" t="n">
        <f aca="false">-MIN((V68-V69)/MAX(1,Inputs!$E$82*12),U72+V67-V69)</f>
        <v>-2072.91666666667</v>
      </c>
      <c r="W70" s="69" t="n">
        <f aca="false">-MIN((W68-W69)/MAX(1,Inputs!$E$82*12),V72+W67-W69)</f>
        <v>-2072.91666666667</v>
      </c>
      <c r="X70" s="69" t="n">
        <f aca="false">-MIN((X68-X69)/MAX(1,Inputs!$E$82*12),W72+X67-X69)</f>
        <v>-2072.91666666667</v>
      </c>
      <c r="Y70" s="69" t="n">
        <f aca="false">-MIN((Y68-Y69)/MAX(1,Inputs!$E$82*12),X72+Y67-Y69)</f>
        <v>-2072.91666666667</v>
      </c>
      <c r="Z70" s="69" t="n">
        <f aca="false">-MIN((Z68-Z69)/MAX(1,Inputs!$E$82*12),Y72+Z67-Z69)</f>
        <v>-2072.91666666667</v>
      </c>
      <c r="AA70" s="69" t="n">
        <f aca="false">-MIN((AA68-AA69)/MAX(1,Inputs!$E$82*12),Z72+AA67-AA69)</f>
        <v>-2177.08333333333</v>
      </c>
      <c r="AB70" s="69" t="n">
        <f aca="false">-MIN((AB68-AB69)/MAX(1,Inputs!$E$82*12),AA72+AB67-AB69)</f>
        <v>-2177.08333333333</v>
      </c>
      <c r="AC70" s="69" t="n">
        <f aca="false">-MIN((AC68-AC69)/MAX(1,Inputs!$E$82*12),AB72+AC67-AC69)</f>
        <v>-2177.08333333333</v>
      </c>
      <c r="AD70" s="69" t="n">
        <f aca="false">-MIN((AD68-AD69)/MAX(1,Inputs!$E$82*12),AC72+AD67-AD69)</f>
        <v>-2177.08333333333</v>
      </c>
      <c r="AE70" s="69" t="n">
        <f aca="false">-MIN((AE68-AE69)/MAX(1,Inputs!$E$82*12),AD72+AE67-AE69)</f>
        <v>-2177.08333333333</v>
      </c>
      <c r="AF70" s="69" t="n">
        <f aca="false">-MIN((AF68-AF69)/MAX(1,Inputs!$E$82*12),AE72+AF67-AF69)</f>
        <v>-2177.08333333333</v>
      </c>
      <c r="AG70" s="69" t="n">
        <f aca="false">-MIN((AG68-AG69)/MAX(1,Inputs!$E$82*12),AF72+AG67-AG69)</f>
        <v>-2177.08333333333</v>
      </c>
      <c r="AH70" s="69" t="n">
        <f aca="false">-MIN((AH68-AH69)/MAX(1,Inputs!$E$82*12),AG72+AH67-AH69)</f>
        <v>-2177.08333333333</v>
      </c>
      <c r="AI70" s="69" t="n">
        <f aca="false">-MIN((AI68-AI69)/MAX(1,Inputs!$E$82*12),AH72+AI67-AI69)</f>
        <v>-2177.08333333333</v>
      </c>
      <c r="AJ70" s="69" t="n">
        <f aca="false">-MIN((AJ68-AJ69)/MAX(1,Inputs!$E$82*12),AI72+AJ67-AJ69)</f>
        <v>-2177.08333333333</v>
      </c>
      <c r="AK70" s="69" t="n">
        <f aca="false">-MIN((AK68-AK69)/MAX(1,Inputs!$E$82*12),AJ72+AK67-AK69)</f>
        <v>-2177.08333333333</v>
      </c>
      <c r="AL70" s="69" t="n">
        <f aca="false">-MIN((AL68-AL69)/MAX(1,Inputs!$E$82*12),AK72+AL67-AL69)</f>
        <v>-2177.08333333333</v>
      </c>
      <c r="AM70" s="69" t="n">
        <f aca="false">-MIN((AM68-AM69)/MAX(1,Inputs!$E$82*12),AL72+AM67-AM69)</f>
        <v>-2281.25</v>
      </c>
      <c r="AN70" s="69" t="n">
        <f aca="false">-MIN((AN68-AN69)/MAX(1,Inputs!$E$82*12),AM72+AN67-AN69)</f>
        <v>-2281.25</v>
      </c>
      <c r="AO70" s="69" t="n">
        <f aca="false">-MIN((AO68-AO69)/MAX(1,Inputs!$E$82*12),AN72+AO67-AO69)</f>
        <v>-2281.25</v>
      </c>
      <c r="AP70" s="69" t="n">
        <f aca="false">-MIN((AP68-AP69)/MAX(1,Inputs!$E$82*12),AO72+AP67-AP69)</f>
        <v>-2281.25</v>
      </c>
      <c r="AQ70" s="69" t="n">
        <f aca="false">-MIN((AQ68-AQ69)/MAX(1,Inputs!$E$82*12),AP72+AQ67-AQ69)</f>
        <v>-2281.25</v>
      </c>
      <c r="AR70" s="69" t="n">
        <f aca="false">-MIN((AR68-AR69)/MAX(1,Inputs!$E$82*12),AQ72+AR67-AR69)</f>
        <v>-2281.25</v>
      </c>
      <c r="AS70" s="69" t="n">
        <f aca="false">-MIN((AS68-AS69)/MAX(1,Inputs!$E$82*12),AR72+AS67-AS69)</f>
        <v>-2281.25</v>
      </c>
      <c r="AT70" s="69" t="n">
        <f aca="false">-MIN((AT68-AT69)/MAX(1,Inputs!$E$82*12),AS72+AT67-AT69)</f>
        <v>-2281.25</v>
      </c>
      <c r="AU70" s="69" t="n">
        <f aca="false">-MIN((AU68-AU69)/MAX(1,Inputs!$E$82*12),AT72+AU67-AU69)</f>
        <v>-2281.25</v>
      </c>
      <c r="AV70" s="69" t="n">
        <f aca="false">-MIN((AV68-AV69)/MAX(1,Inputs!$E$82*12),AU72+AV67-AV69)</f>
        <v>-2281.25</v>
      </c>
      <c r="AW70" s="69" t="n">
        <f aca="false">-MIN((AW68-AW69)/MAX(1,Inputs!$E$82*12),AV72+AW67-AW69)</f>
        <v>-2281.25</v>
      </c>
      <c r="AX70" s="69" t="n">
        <f aca="false">-MIN((AX68-AX69)/MAX(1,Inputs!$E$82*12),AW72+AX67-AX69)</f>
        <v>-2281.25</v>
      </c>
      <c r="AY70" s="69" t="n">
        <f aca="false">-MIN((AY68-AY69)/MAX(1,Inputs!$E$82*12),AX72+AY67-AY69)</f>
        <v>-2385.41666666667</v>
      </c>
      <c r="AZ70" s="69" t="n">
        <f aca="false">-MIN((AZ68-AZ69)/MAX(1,Inputs!$E$82*12),AY72+AZ67-AZ69)</f>
        <v>-2385.41666666667</v>
      </c>
      <c r="BA70" s="69" t="n">
        <f aca="false">-MIN((BA68-BA69)/MAX(1,Inputs!$E$82*12),AZ72+BA67-BA69)</f>
        <v>-2385.41666666667</v>
      </c>
      <c r="BB70" s="69" t="n">
        <f aca="false">-MIN((BB68-BB69)/MAX(1,Inputs!$E$82*12),BA72+BB67-BB69)</f>
        <v>-2385.41666666667</v>
      </c>
      <c r="BC70" s="69" t="n">
        <f aca="false">-MIN((BC68-BC69)/MAX(1,Inputs!$E$82*12),BB72+BC67-BC69)</f>
        <v>-2385.41666666667</v>
      </c>
      <c r="BD70" s="69" t="n">
        <f aca="false">-MIN((BD68-BD69)/MAX(1,Inputs!$E$82*12),BC72+BD67-BD69)</f>
        <v>-2385.41666666667</v>
      </c>
      <c r="BE70" s="69" t="n">
        <f aca="false">-MIN((BE68-BE69)/MAX(1,Inputs!$E$82*12),BD72+BE67-BE69)</f>
        <v>-2385.41666666667</v>
      </c>
      <c r="BF70" s="69" t="n">
        <f aca="false">-MIN((BF68-BF69)/MAX(1,Inputs!$E$82*12),BE72+BF67-BF69)</f>
        <v>-2385.41666666667</v>
      </c>
      <c r="BG70" s="69" t="n">
        <f aca="false">-MIN((BG68-BG69)/MAX(1,Inputs!$E$82*12),BF72+BG67-BG69)</f>
        <v>-2385.41666666667</v>
      </c>
      <c r="BH70" s="69" t="n">
        <f aca="false">-MIN((BH68-BH69)/MAX(1,Inputs!$E$82*12),BG72+BH67-BH69)</f>
        <v>-2385.41666666667</v>
      </c>
      <c r="BI70" s="69" t="n">
        <f aca="false">-MIN((BI68-BI69)/MAX(1,Inputs!$E$82*12),BH72+BI67-BI69)</f>
        <v>-2385.41666666667</v>
      </c>
      <c r="BJ70" s="69" t="n">
        <f aca="false">-MIN((BJ68-BJ69)/MAX(1,Inputs!$E$82*12),BI72+BJ67-BJ69)</f>
        <v>-2385.41666666667</v>
      </c>
    </row>
    <row r="71" customFormat="false" ht="15" hidden="false" customHeight="false" outlineLevel="0" collapsed="false">
      <c r="A71" s="6" t="s">
        <v>440</v>
      </c>
      <c r="C71" s="69" t="n">
        <f aca="false">C70</f>
        <v>-1968.75</v>
      </c>
      <c r="D71" s="69" t="n">
        <f aca="false">C71+D70</f>
        <v>-3937.5</v>
      </c>
      <c r="E71" s="69" t="n">
        <f aca="false">D71+E70</f>
        <v>-5906.25</v>
      </c>
      <c r="F71" s="69" t="n">
        <f aca="false">E71+F70</f>
        <v>-7875</v>
      </c>
      <c r="G71" s="69" t="n">
        <f aca="false">F71+G70</f>
        <v>-9843.75</v>
      </c>
      <c r="H71" s="69" t="n">
        <f aca="false">G71+H70</f>
        <v>-11812.5</v>
      </c>
      <c r="I71" s="69" t="n">
        <f aca="false">H71+I70</f>
        <v>-13781.25</v>
      </c>
      <c r="J71" s="69" t="n">
        <f aca="false">I71+J70</f>
        <v>-15750</v>
      </c>
      <c r="K71" s="69" t="n">
        <f aca="false">J71+K70</f>
        <v>-17718.75</v>
      </c>
      <c r="L71" s="69" t="n">
        <f aca="false">K71+L70</f>
        <v>-19687.5</v>
      </c>
      <c r="M71" s="69" t="n">
        <f aca="false">L71+M70</f>
        <v>-21656.25</v>
      </c>
      <c r="N71" s="69" t="n">
        <f aca="false">M71+N70</f>
        <v>-23625</v>
      </c>
      <c r="O71" s="69" t="n">
        <f aca="false">N71+O70</f>
        <v>-25697.9166666667</v>
      </c>
      <c r="P71" s="69" t="n">
        <f aca="false">O71+P70</f>
        <v>-27770.8333333333</v>
      </c>
      <c r="Q71" s="69" t="n">
        <f aca="false">P71+Q70</f>
        <v>-29843.75</v>
      </c>
      <c r="R71" s="69" t="n">
        <f aca="false">Q71+R70</f>
        <v>-31916.6666666667</v>
      </c>
      <c r="S71" s="69" t="n">
        <f aca="false">R71+S70</f>
        <v>-33989.5833333333</v>
      </c>
      <c r="T71" s="69" t="n">
        <f aca="false">S71+T70</f>
        <v>-36062.5</v>
      </c>
      <c r="U71" s="69" t="n">
        <f aca="false">T71+U70</f>
        <v>-38135.4166666667</v>
      </c>
      <c r="V71" s="69" t="n">
        <f aca="false">U71+V70</f>
        <v>-40208.3333333333</v>
      </c>
      <c r="W71" s="69" t="n">
        <f aca="false">V71+W70</f>
        <v>-42281.25</v>
      </c>
      <c r="X71" s="69" t="n">
        <f aca="false">W71+X70</f>
        <v>-44354.1666666667</v>
      </c>
      <c r="Y71" s="69" t="n">
        <f aca="false">X71+Y70</f>
        <v>-46427.0833333333</v>
      </c>
      <c r="Z71" s="69" t="n">
        <f aca="false">Y71+Z70</f>
        <v>-48500</v>
      </c>
      <c r="AA71" s="69" t="n">
        <f aca="false">Z71+AA70</f>
        <v>-50677.0833333333</v>
      </c>
      <c r="AB71" s="69" t="n">
        <f aca="false">AA71+AB70</f>
        <v>-52854.1666666667</v>
      </c>
      <c r="AC71" s="69" t="n">
        <f aca="false">AB71+AC70</f>
        <v>-55031.25</v>
      </c>
      <c r="AD71" s="69" t="n">
        <f aca="false">AC71+AD70</f>
        <v>-57208.3333333333</v>
      </c>
      <c r="AE71" s="69" t="n">
        <f aca="false">AD71+AE70</f>
        <v>-59385.4166666667</v>
      </c>
      <c r="AF71" s="69" t="n">
        <f aca="false">AE71+AF70</f>
        <v>-61562.5</v>
      </c>
      <c r="AG71" s="69" t="n">
        <f aca="false">AF71+AG70</f>
        <v>-63739.5833333333</v>
      </c>
      <c r="AH71" s="69" t="n">
        <f aca="false">AG71+AH70</f>
        <v>-65916.6666666667</v>
      </c>
      <c r="AI71" s="69" t="n">
        <f aca="false">AH71+AI70</f>
        <v>-68093.75</v>
      </c>
      <c r="AJ71" s="69" t="n">
        <f aca="false">AI71+AJ70</f>
        <v>-70270.8333333333</v>
      </c>
      <c r="AK71" s="69" t="n">
        <f aca="false">AJ71+AK70</f>
        <v>-72447.9166666667</v>
      </c>
      <c r="AL71" s="69" t="n">
        <f aca="false">AK71+AL70</f>
        <v>-74625</v>
      </c>
      <c r="AM71" s="69" t="n">
        <f aca="false">AL71+AM70</f>
        <v>-76906.25</v>
      </c>
      <c r="AN71" s="69" t="n">
        <f aca="false">AM71+AN70</f>
        <v>-79187.5</v>
      </c>
      <c r="AO71" s="69" t="n">
        <f aca="false">AN71+AO70</f>
        <v>-81468.75</v>
      </c>
      <c r="AP71" s="69" t="n">
        <f aca="false">AO71+AP70</f>
        <v>-83750</v>
      </c>
      <c r="AQ71" s="69" t="n">
        <f aca="false">AP71+AQ70</f>
        <v>-86031.25</v>
      </c>
      <c r="AR71" s="69" t="n">
        <f aca="false">AQ71+AR70</f>
        <v>-88312.5</v>
      </c>
      <c r="AS71" s="69" t="n">
        <f aca="false">AR71+AS70</f>
        <v>-90593.75</v>
      </c>
      <c r="AT71" s="69" t="n">
        <f aca="false">AS71+AT70</f>
        <v>-92875</v>
      </c>
      <c r="AU71" s="69" t="n">
        <f aca="false">AT71+AU70</f>
        <v>-95156.25</v>
      </c>
      <c r="AV71" s="69" t="n">
        <f aca="false">AU71+AV70</f>
        <v>-97437.5</v>
      </c>
      <c r="AW71" s="69" t="n">
        <f aca="false">AV71+AW70</f>
        <v>-99718.75</v>
      </c>
      <c r="AX71" s="69" t="n">
        <f aca="false">AW71+AX70</f>
        <v>-102000</v>
      </c>
      <c r="AY71" s="69" t="n">
        <f aca="false">AX71+AY70</f>
        <v>-104385.416666667</v>
      </c>
      <c r="AZ71" s="69" t="n">
        <f aca="false">AY71+AZ70</f>
        <v>-106770.833333333</v>
      </c>
      <c r="BA71" s="69" t="n">
        <f aca="false">AZ71+BA70</f>
        <v>-109156.25</v>
      </c>
      <c r="BB71" s="69" t="n">
        <f aca="false">BA71+BB70</f>
        <v>-111541.666666667</v>
      </c>
      <c r="BC71" s="69" t="n">
        <f aca="false">BB71+BC70</f>
        <v>-113927.083333333</v>
      </c>
      <c r="BD71" s="69" t="n">
        <f aca="false">BC71+BD70</f>
        <v>-116312.5</v>
      </c>
      <c r="BE71" s="69" t="n">
        <f aca="false">BD71+BE70</f>
        <v>-118697.916666667</v>
      </c>
      <c r="BF71" s="69" t="n">
        <f aca="false">BE71+BF70</f>
        <v>-121083.333333333</v>
      </c>
      <c r="BG71" s="69" t="n">
        <f aca="false">BF71+BG70</f>
        <v>-123468.75</v>
      </c>
      <c r="BH71" s="69" t="n">
        <f aca="false">BG71+BH70</f>
        <v>-125854.166666667</v>
      </c>
      <c r="BI71" s="69" t="n">
        <f aca="false">BH71+BI70</f>
        <v>-128239.583333333</v>
      </c>
      <c r="BJ71" s="69" t="n">
        <f aca="false">BI71+BJ70</f>
        <v>-130625</v>
      </c>
    </row>
    <row r="72" customFormat="false" ht="15" hidden="false" customHeight="false" outlineLevel="0" collapsed="false">
      <c r="A72" s="4" t="s">
        <v>92</v>
      </c>
      <c r="C72" s="75" t="n">
        <f aca="false">C68+C71</f>
        <v>187031.25</v>
      </c>
      <c r="D72" s="75" t="n">
        <f aca="false">D68+D71</f>
        <v>185062.5</v>
      </c>
      <c r="E72" s="75" t="n">
        <f aca="false">E68+E71</f>
        <v>183093.75</v>
      </c>
      <c r="F72" s="75" t="n">
        <f aca="false">F68+F71</f>
        <v>181125</v>
      </c>
      <c r="G72" s="75" t="n">
        <f aca="false">G68+G71</f>
        <v>179156.25</v>
      </c>
      <c r="H72" s="75" t="n">
        <f aca="false">H68+H71</f>
        <v>177187.5</v>
      </c>
      <c r="I72" s="75" t="n">
        <f aca="false">I68+I71</f>
        <v>175218.75</v>
      </c>
      <c r="J72" s="75" t="n">
        <f aca="false">J68+J71</f>
        <v>173250</v>
      </c>
      <c r="K72" s="75" t="n">
        <f aca="false">K68+K71</f>
        <v>171281.25</v>
      </c>
      <c r="L72" s="75" t="n">
        <f aca="false">L68+L71</f>
        <v>169312.5</v>
      </c>
      <c r="M72" s="75" t="n">
        <f aca="false">M68+M71</f>
        <v>167343.75</v>
      </c>
      <c r="N72" s="75" t="n">
        <f aca="false">N68+N71</f>
        <v>165375</v>
      </c>
      <c r="O72" s="75" t="n">
        <f aca="false">O68+O71</f>
        <v>173302.083333333</v>
      </c>
      <c r="P72" s="75" t="n">
        <f aca="false">P68+P71</f>
        <v>171229.166666667</v>
      </c>
      <c r="Q72" s="75" t="n">
        <f aca="false">Q68+Q71</f>
        <v>169156.25</v>
      </c>
      <c r="R72" s="75" t="n">
        <f aca="false">R68+R71</f>
        <v>167083.333333333</v>
      </c>
      <c r="S72" s="75" t="n">
        <f aca="false">S68+S71</f>
        <v>165010.416666667</v>
      </c>
      <c r="T72" s="75" t="n">
        <f aca="false">T68+T71</f>
        <v>162937.5</v>
      </c>
      <c r="U72" s="75" t="n">
        <f aca="false">U68+U71</f>
        <v>160864.583333333</v>
      </c>
      <c r="V72" s="75" t="n">
        <f aca="false">V68+V71</f>
        <v>158791.666666667</v>
      </c>
      <c r="W72" s="75" t="n">
        <f aca="false">W68+W71</f>
        <v>156718.75</v>
      </c>
      <c r="X72" s="75" t="n">
        <f aca="false">X68+X71</f>
        <v>154645.833333333</v>
      </c>
      <c r="Y72" s="75" t="n">
        <f aca="false">Y68+Y71</f>
        <v>152572.916666667</v>
      </c>
      <c r="Z72" s="75" t="n">
        <f aca="false">Z68+Z71</f>
        <v>150500</v>
      </c>
      <c r="AA72" s="75" t="n">
        <f aca="false">AA68+AA71</f>
        <v>158322.916666667</v>
      </c>
      <c r="AB72" s="75" t="n">
        <f aca="false">AB68+AB71</f>
        <v>156145.833333333</v>
      </c>
      <c r="AC72" s="75" t="n">
        <f aca="false">AC68+AC71</f>
        <v>153968.75</v>
      </c>
      <c r="AD72" s="75" t="n">
        <f aca="false">AD68+AD71</f>
        <v>151791.666666667</v>
      </c>
      <c r="AE72" s="75" t="n">
        <f aca="false">AE68+AE71</f>
        <v>149614.583333333</v>
      </c>
      <c r="AF72" s="75" t="n">
        <f aca="false">AF68+AF71</f>
        <v>147437.5</v>
      </c>
      <c r="AG72" s="75" t="n">
        <f aca="false">AG68+AG71</f>
        <v>145260.416666667</v>
      </c>
      <c r="AH72" s="75" t="n">
        <f aca="false">AH68+AH71</f>
        <v>143083.333333333</v>
      </c>
      <c r="AI72" s="75" t="n">
        <f aca="false">AI68+AI71</f>
        <v>140906.25</v>
      </c>
      <c r="AJ72" s="75" t="n">
        <f aca="false">AJ68+AJ71</f>
        <v>138729.166666667</v>
      </c>
      <c r="AK72" s="75" t="n">
        <f aca="false">AK68+AK71</f>
        <v>136552.083333333</v>
      </c>
      <c r="AL72" s="75" t="n">
        <f aca="false">AL68+AL71</f>
        <v>134375</v>
      </c>
      <c r="AM72" s="75" t="n">
        <f aca="false">AM68+AM71</f>
        <v>142093.75</v>
      </c>
      <c r="AN72" s="75" t="n">
        <f aca="false">AN68+AN71</f>
        <v>139812.5</v>
      </c>
      <c r="AO72" s="75" t="n">
        <f aca="false">AO68+AO71</f>
        <v>137531.25</v>
      </c>
      <c r="AP72" s="75" t="n">
        <f aca="false">AP68+AP71</f>
        <v>135250</v>
      </c>
      <c r="AQ72" s="75" t="n">
        <f aca="false">AQ68+AQ71</f>
        <v>132968.75</v>
      </c>
      <c r="AR72" s="75" t="n">
        <f aca="false">AR68+AR71</f>
        <v>130687.5</v>
      </c>
      <c r="AS72" s="75" t="n">
        <f aca="false">AS68+AS71</f>
        <v>128406.25</v>
      </c>
      <c r="AT72" s="75" t="n">
        <f aca="false">AT68+AT71</f>
        <v>126125</v>
      </c>
      <c r="AU72" s="75" t="n">
        <f aca="false">AU68+AU71</f>
        <v>123843.75</v>
      </c>
      <c r="AV72" s="75" t="n">
        <f aca="false">AV68+AV71</f>
        <v>121562.5</v>
      </c>
      <c r="AW72" s="75" t="n">
        <f aca="false">AW68+AW71</f>
        <v>119281.25</v>
      </c>
      <c r="AX72" s="75" t="n">
        <f aca="false">AX68+AX71</f>
        <v>117000</v>
      </c>
      <c r="AY72" s="75" t="n">
        <f aca="false">AY68+AY71</f>
        <v>124614.583333333</v>
      </c>
      <c r="AZ72" s="75" t="n">
        <f aca="false">AZ68+AZ71</f>
        <v>122229.166666667</v>
      </c>
      <c r="BA72" s="75" t="n">
        <f aca="false">BA68+BA71</f>
        <v>119843.75</v>
      </c>
      <c r="BB72" s="75" t="n">
        <f aca="false">BB68+BB71</f>
        <v>117458.333333333</v>
      </c>
      <c r="BC72" s="75" t="n">
        <f aca="false">BC68+BC71</f>
        <v>115072.916666667</v>
      </c>
      <c r="BD72" s="75" t="n">
        <f aca="false">BD68+BD71</f>
        <v>112687.5</v>
      </c>
      <c r="BE72" s="75" t="n">
        <f aca="false">BE68+BE71</f>
        <v>110302.083333333</v>
      </c>
      <c r="BF72" s="75" t="n">
        <f aca="false">BF68+BF71</f>
        <v>107916.666666667</v>
      </c>
      <c r="BG72" s="75" t="n">
        <f aca="false">BG68+BG71</f>
        <v>105531.25</v>
      </c>
      <c r="BH72" s="75" t="n">
        <f aca="false">BH68+BH71</f>
        <v>103145.833333333</v>
      </c>
      <c r="BI72" s="75" t="n">
        <f aca="false">BI68+BI71</f>
        <v>100760.416666667</v>
      </c>
      <c r="BJ72" s="75" t="n">
        <f aca="false">BJ68+BJ71</f>
        <v>98375</v>
      </c>
    </row>
    <row r="74" customFormat="false" ht="15.75" hidden="false" customHeight="true" outlineLevel="0" collapsed="false">
      <c r="A74" s="7" t="s">
        <v>441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customFormat="false" ht="15" hidden="false" customHeight="false" outlineLevel="0" collapsed="false">
      <c r="A75" s="6" t="s">
        <v>442</v>
      </c>
      <c r="C75" s="69" t="n">
        <f aca="false">0</f>
        <v>0</v>
      </c>
      <c r="D75" s="69" t="n">
        <f aca="false">C78</f>
        <v>100000</v>
      </c>
      <c r="E75" s="69" t="n">
        <f aca="false">D78</f>
        <v>98333.3333333333</v>
      </c>
      <c r="F75" s="69" t="n">
        <f aca="false">E78</f>
        <v>96666.6666666667</v>
      </c>
      <c r="G75" s="69" t="n">
        <f aca="false">F78</f>
        <v>95000</v>
      </c>
      <c r="H75" s="69" t="n">
        <f aca="false">G78</f>
        <v>93333.3333333333</v>
      </c>
      <c r="I75" s="69" t="n">
        <f aca="false">H78</f>
        <v>91666.6666666666</v>
      </c>
      <c r="J75" s="69" t="n">
        <f aca="false">I78</f>
        <v>90000</v>
      </c>
      <c r="K75" s="69" t="n">
        <f aca="false">J78</f>
        <v>88333.3333333333</v>
      </c>
      <c r="L75" s="69" t="n">
        <f aca="false">K78</f>
        <v>86666.6666666666</v>
      </c>
      <c r="M75" s="69" t="n">
        <f aca="false">L78</f>
        <v>85000</v>
      </c>
      <c r="N75" s="69" t="n">
        <f aca="false">M78</f>
        <v>83333.3333333333</v>
      </c>
      <c r="O75" s="69" t="n">
        <f aca="false">N78</f>
        <v>81666.6666666666</v>
      </c>
      <c r="P75" s="69" t="n">
        <f aca="false">O78</f>
        <v>79999.9999999999</v>
      </c>
      <c r="Q75" s="69" t="n">
        <f aca="false">P78</f>
        <v>78333.3333333333</v>
      </c>
      <c r="R75" s="69" t="n">
        <f aca="false">Q78</f>
        <v>76666.6666666666</v>
      </c>
      <c r="S75" s="69" t="n">
        <f aca="false">R78</f>
        <v>74999.9999999999</v>
      </c>
      <c r="T75" s="69" t="n">
        <f aca="false">S78</f>
        <v>73333.3333333333</v>
      </c>
      <c r="U75" s="69" t="n">
        <f aca="false">T78</f>
        <v>71666.6666666666</v>
      </c>
      <c r="V75" s="69" t="n">
        <f aca="false">U78</f>
        <v>69999.9999999999</v>
      </c>
      <c r="W75" s="69" t="n">
        <f aca="false">V78</f>
        <v>68333.3333333332</v>
      </c>
      <c r="X75" s="69" t="n">
        <f aca="false">W78</f>
        <v>66666.6666666666</v>
      </c>
      <c r="Y75" s="69" t="n">
        <f aca="false">X78</f>
        <v>64999.9999999999</v>
      </c>
      <c r="Z75" s="69" t="n">
        <f aca="false">Y78</f>
        <v>63333.3333333332</v>
      </c>
      <c r="AA75" s="69" t="n">
        <f aca="false">Z78</f>
        <v>61666.6666666666</v>
      </c>
      <c r="AB75" s="69" t="n">
        <f aca="false">AA78</f>
        <v>59999.9999999999</v>
      </c>
      <c r="AC75" s="69" t="n">
        <f aca="false">AB78</f>
        <v>58333.3333333333</v>
      </c>
      <c r="AD75" s="69" t="n">
        <f aca="false">AC78</f>
        <v>56666.6666666666</v>
      </c>
      <c r="AE75" s="69" t="n">
        <f aca="false">AD78</f>
        <v>54999.9999999999</v>
      </c>
      <c r="AF75" s="69" t="n">
        <f aca="false">AE78</f>
        <v>53333.3333333333</v>
      </c>
      <c r="AG75" s="69" t="n">
        <f aca="false">AF78</f>
        <v>51666.6666666666</v>
      </c>
      <c r="AH75" s="69" t="n">
        <f aca="false">AG78</f>
        <v>49999.9999999999</v>
      </c>
      <c r="AI75" s="69" t="n">
        <f aca="false">AH78</f>
        <v>48333.3333333333</v>
      </c>
      <c r="AJ75" s="69" t="n">
        <f aca="false">AI78</f>
        <v>46666.6666666666</v>
      </c>
      <c r="AK75" s="69" t="n">
        <f aca="false">AJ78</f>
        <v>44999.9999999999</v>
      </c>
      <c r="AL75" s="69" t="n">
        <f aca="false">AK78</f>
        <v>43333.3333333333</v>
      </c>
      <c r="AM75" s="69" t="n">
        <f aca="false">AL78</f>
        <v>41666.6666666666</v>
      </c>
      <c r="AN75" s="69" t="n">
        <f aca="false">AM78</f>
        <v>39999.9999999999</v>
      </c>
      <c r="AO75" s="69" t="n">
        <f aca="false">AN78</f>
        <v>38333.3333333333</v>
      </c>
      <c r="AP75" s="69" t="n">
        <f aca="false">AO78</f>
        <v>36666.6666666666</v>
      </c>
      <c r="AQ75" s="69" t="n">
        <f aca="false">AP78</f>
        <v>35000</v>
      </c>
      <c r="AR75" s="69" t="n">
        <f aca="false">AQ78</f>
        <v>33333.3333333333</v>
      </c>
      <c r="AS75" s="69" t="n">
        <f aca="false">AR78</f>
        <v>31666.6666666666</v>
      </c>
      <c r="AT75" s="69" t="n">
        <f aca="false">AS78</f>
        <v>30000</v>
      </c>
      <c r="AU75" s="69" t="n">
        <f aca="false">AT78</f>
        <v>28333.3333333333</v>
      </c>
      <c r="AV75" s="69" t="n">
        <f aca="false">AU78</f>
        <v>26666.6666666666</v>
      </c>
      <c r="AW75" s="69" t="n">
        <f aca="false">AV78</f>
        <v>24999.9999999999</v>
      </c>
      <c r="AX75" s="69" t="n">
        <f aca="false">AW78</f>
        <v>23333.3333333333</v>
      </c>
      <c r="AY75" s="69" t="n">
        <f aca="false">AX78</f>
        <v>21666.6666666666</v>
      </c>
      <c r="AZ75" s="69" t="n">
        <f aca="false">AY78</f>
        <v>19999.9999999999</v>
      </c>
      <c r="BA75" s="69" t="n">
        <f aca="false">AZ78</f>
        <v>18333.3333333333</v>
      </c>
      <c r="BB75" s="69" t="n">
        <f aca="false">BA78</f>
        <v>16666.6666666666</v>
      </c>
      <c r="BC75" s="69" t="n">
        <f aca="false">BB78</f>
        <v>14999.9999999999</v>
      </c>
      <c r="BD75" s="69" t="n">
        <f aca="false">BC78</f>
        <v>13333.3333333333</v>
      </c>
      <c r="BE75" s="69" t="n">
        <f aca="false">BD78</f>
        <v>11666.6666666666</v>
      </c>
      <c r="BF75" s="69" t="n">
        <f aca="false">BE78</f>
        <v>9999.99999999994</v>
      </c>
      <c r="BG75" s="69" t="n">
        <f aca="false">BF78</f>
        <v>8333.33333333328</v>
      </c>
      <c r="BH75" s="69" t="n">
        <f aca="false">BG78</f>
        <v>6666.66666666661</v>
      </c>
      <c r="BI75" s="69" t="n">
        <f aca="false">BH78</f>
        <v>4999.99999999994</v>
      </c>
      <c r="BJ75" s="69" t="n">
        <f aca="false">BI78</f>
        <v>3333.33333333328</v>
      </c>
    </row>
    <row r="76" customFormat="false" ht="15" hidden="false" customHeight="false" outlineLevel="0" collapsed="false">
      <c r="A76" s="6" t="s">
        <v>85</v>
      </c>
      <c r="C76" s="69" t="n">
        <f aca="false">IF(C$4=1,Inputs!$E$72,0)</f>
        <v>100000</v>
      </c>
      <c r="D76" s="69" t="n">
        <f aca="false">IF(D$4=1,Inputs!$E$72,0)</f>
        <v>0</v>
      </c>
      <c r="E76" s="69" t="n">
        <f aca="false">IF(E$4=1,Inputs!$E$72,0)</f>
        <v>0</v>
      </c>
      <c r="F76" s="69" t="n">
        <f aca="false">IF(F$4=1,Inputs!$E$72,0)</f>
        <v>0</v>
      </c>
      <c r="G76" s="69" t="n">
        <f aca="false">IF(G$4=1,Inputs!$E$72,0)</f>
        <v>0</v>
      </c>
      <c r="H76" s="69" t="n">
        <f aca="false">IF(H$4=1,Inputs!$E$72,0)</f>
        <v>0</v>
      </c>
      <c r="I76" s="69" t="n">
        <f aca="false">IF(I$4=1,Inputs!$E$72,0)</f>
        <v>0</v>
      </c>
      <c r="J76" s="69" t="n">
        <f aca="false">IF(J$4=1,Inputs!$E$72,0)</f>
        <v>0</v>
      </c>
      <c r="K76" s="69" t="n">
        <f aca="false">IF(K$4=1,Inputs!$E$72,0)</f>
        <v>0</v>
      </c>
      <c r="L76" s="69" t="n">
        <f aca="false">IF(L$4=1,Inputs!$E$72,0)</f>
        <v>0</v>
      </c>
      <c r="M76" s="69" t="n">
        <f aca="false">IF(M$4=1,Inputs!$E$72,0)</f>
        <v>0</v>
      </c>
      <c r="N76" s="69" t="n">
        <f aca="false">IF(N$4=1,Inputs!$E$72,0)</f>
        <v>0</v>
      </c>
      <c r="O76" s="69" t="n">
        <f aca="false">IF(O$4=1,Inputs!$E$72,0)</f>
        <v>0</v>
      </c>
      <c r="P76" s="69" t="n">
        <f aca="false">IF(P$4=1,Inputs!$E$72,0)</f>
        <v>0</v>
      </c>
      <c r="Q76" s="69" t="n">
        <f aca="false">IF(Q$4=1,Inputs!$E$72,0)</f>
        <v>0</v>
      </c>
      <c r="R76" s="69" t="n">
        <f aca="false">IF(R$4=1,Inputs!$E$72,0)</f>
        <v>0</v>
      </c>
      <c r="S76" s="69" t="n">
        <f aca="false">IF(S$4=1,Inputs!$E$72,0)</f>
        <v>0</v>
      </c>
      <c r="T76" s="69" t="n">
        <f aca="false">IF(T$4=1,Inputs!$E$72,0)</f>
        <v>0</v>
      </c>
      <c r="U76" s="69" t="n">
        <f aca="false">IF(U$4=1,Inputs!$E$72,0)</f>
        <v>0</v>
      </c>
      <c r="V76" s="69" t="n">
        <f aca="false">IF(V$4=1,Inputs!$E$72,0)</f>
        <v>0</v>
      </c>
      <c r="W76" s="69" t="n">
        <f aca="false">IF(W$4=1,Inputs!$E$72,0)</f>
        <v>0</v>
      </c>
      <c r="X76" s="69" t="n">
        <f aca="false">IF(X$4=1,Inputs!$E$72,0)</f>
        <v>0</v>
      </c>
      <c r="Y76" s="69" t="n">
        <f aca="false">IF(Y$4=1,Inputs!$E$72,0)</f>
        <v>0</v>
      </c>
      <c r="Z76" s="69" t="n">
        <f aca="false">IF(Z$4=1,Inputs!$E$72,0)</f>
        <v>0</v>
      </c>
      <c r="AA76" s="69" t="n">
        <f aca="false">IF(AA$4=1,Inputs!$E$72,0)</f>
        <v>0</v>
      </c>
      <c r="AB76" s="69" t="n">
        <f aca="false">IF(AB$4=1,Inputs!$E$72,0)</f>
        <v>0</v>
      </c>
      <c r="AC76" s="69" t="n">
        <f aca="false">IF(AC$4=1,Inputs!$E$72,0)</f>
        <v>0</v>
      </c>
      <c r="AD76" s="69" t="n">
        <f aca="false">IF(AD$4=1,Inputs!$E$72,0)</f>
        <v>0</v>
      </c>
      <c r="AE76" s="69" t="n">
        <f aca="false">IF(AE$4=1,Inputs!$E$72,0)</f>
        <v>0</v>
      </c>
      <c r="AF76" s="69" t="n">
        <f aca="false">IF(AF$4=1,Inputs!$E$72,0)</f>
        <v>0</v>
      </c>
      <c r="AG76" s="69" t="n">
        <f aca="false">IF(AG$4=1,Inputs!$E$72,0)</f>
        <v>0</v>
      </c>
      <c r="AH76" s="69" t="n">
        <f aca="false">IF(AH$4=1,Inputs!$E$72,0)</f>
        <v>0</v>
      </c>
      <c r="AI76" s="69" t="n">
        <f aca="false">IF(AI$4=1,Inputs!$E$72,0)</f>
        <v>0</v>
      </c>
      <c r="AJ76" s="69" t="n">
        <f aca="false">IF(AJ$4=1,Inputs!$E$72,0)</f>
        <v>0</v>
      </c>
      <c r="AK76" s="69" t="n">
        <f aca="false">IF(AK$4=1,Inputs!$E$72,0)</f>
        <v>0</v>
      </c>
      <c r="AL76" s="69" t="n">
        <f aca="false">IF(AL$4=1,Inputs!$E$72,0)</f>
        <v>0</v>
      </c>
      <c r="AM76" s="69" t="n">
        <f aca="false">IF(AM$4=1,Inputs!$E$72,0)</f>
        <v>0</v>
      </c>
      <c r="AN76" s="69" t="n">
        <f aca="false">IF(AN$4=1,Inputs!$E$72,0)</f>
        <v>0</v>
      </c>
      <c r="AO76" s="69" t="n">
        <f aca="false">IF(AO$4=1,Inputs!$E$72,0)</f>
        <v>0</v>
      </c>
      <c r="AP76" s="69" t="n">
        <f aca="false">IF(AP$4=1,Inputs!$E$72,0)</f>
        <v>0</v>
      </c>
      <c r="AQ76" s="69" t="n">
        <f aca="false">IF(AQ$4=1,Inputs!$E$72,0)</f>
        <v>0</v>
      </c>
      <c r="AR76" s="69" t="n">
        <f aca="false">IF(AR$4=1,Inputs!$E$72,0)</f>
        <v>0</v>
      </c>
      <c r="AS76" s="69" t="n">
        <f aca="false">IF(AS$4=1,Inputs!$E$72,0)</f>
        <v>0</v>
      </c>
      <c r="AT76" s="69" t="n">
        <f aca="false">IF(AT$4=1,Inputs!$E$72,0)</f>
        <v>0</v>
      </c>
      <c r="AU76" s="69" t="n">
        <f aca="false">IF(AU$4=1,Inputs!$E$72,0)</f>
        <v>0</v>
      </c>
      <c r="AV76" s="69" t="n">
        <f aca="false">IF(AV$4=1,Inputs!$E$72,0)</f>
        <v>0</v>
      </c>
      <c r="AW76" s="69" t="n">
        <f aca="false">IF(AW$4=1,Inputs!$E$72,0)</f>
        <v>0</v>
      </c>
      <c r="AX76" s="69" t="n">
        <f aca="false">IF(AX$4=1,Inputs!$E$72,0)</f>
        <v>0</v>
      </c>
      <c r="AY76" s="69" t="n">
        <f aca="false">IF(AY$4=1,Inputs!$E$72,0)</f>
        <v>0</v>
      </c>
      <c r="AZ76" s="69" t="n">
        <f aca="false">IF(AZ$4=1,Inputs!$E$72,0)</f>
        <v>0</v>
      </c>
      <c r="BA76" s="69" t="n">
        <f aca="false">IF(BA$4=1,Inputs!$E$72,0)</f>
        <v>0</v>
      </c>
      <c r="BB76" s="69" t="n">
        <f aca="false">IF(BB$4=1,Inputs!$E$72,0)</f>
        <v>0</v>
      </c>
      <c r="BC76" s="69" t="n">
        <f aca="false">IF(BC$4=1,Inputs!$E$72,0)</f>
        <v>0</v>
      </c>
      <c r="BD76" s="69" t="n">
        <f aca="false">IF(BD$4=1,Inputs!$E$72,0)</f>
        <v>0</v>
      </c>
      <c r="BE76" s="69" t="n">
        <f aca="false">IF(BE$4=1,Inputs!$E$72,0)</f>
        <v>0</v>
      </c>
      <c r="BF76" s="69" t="n">
        <f aca="false">IF(BF$4=1,Inputs!$E$72,0)</f>
        <v>0</v>
      </c>
      <c r="BG76" s="69" t="n">
        <f aca="false">IF(BG$4=1,Inputs!$E$72,0)</f>
        <v>0</v>
      </c>
      <c r="BH76" s="69" t="n">
        <f aca="false">IF(BH$4=1,Inputs!$E$72,0)</f>
        <v>0</v>
      </c>
      <c r="BI76" s="69" t="n">
        <f aca="false">IF(BI$4=1,Inputs!$E$72,0)</f>
        <v>0</v>
      </c>
      <c r="BJ76" s="69" t="n">
        <f aca="false">IF(BJ$4=1,Inputs!$E$72,0)</f>
        <v>0</v>
      </c>
    </row>
    <row r="77" customFormat="false" ht="15" hidden="false" customHeight="false" outlineLevel="0" collapsed="false">
      <c r="A77" s="6" t="s">
        <v>86</v>
      </c>
      <c r="C77" s="69" t="n">
        <f aca="false">-MIN(C75,Inputs!$E$72/MAX(1,Inputs!$E$74*12))</f>
        <v>-0</v>
      </c>
      <c r="D77" s="69" t="n">
        <f aca="false">-MIN(D75,Inputs!$E$72/MAX(1,Inputs!$E$74*12))</f>
        <v>-1666.66666666667</v>
      </c>
      <c r="E77" s="69" t="n">
        <f aca="false">-MIN(E75,Inputs!$E$72/MAX(1,Inputs!$E$74*12))</f>
        <v>-1666.66666666667</v>
      </c>
      <c r="F77" s="69" t="n">
        <f aca="false">-MIN(F75,Inputs!$E$72/MAX(1,Inputs!$E$74*12))</f>
        <v>-1666.66666666667</v>
      </c>
      <c r="G77" s="69" t="n">
        <f aca="false">-MIN(G75,Inputs!$E$72/MAX(1,Inputs!$E$74*12))</f>
        <v>-1666.66666666667</v>
      </c>
      <c r="H77" s="69" t="n">
        <f aca="false">-MIN(H75,Inputs!$E$72/MAX(1,Inputs!$E$74*12))</f>
        <v>-1666.66666666667</v>
      </c>
      <c r="I77" s="69" t="n">
        <f aca="false">-MIN(I75,Inputs!$E$72/MAX(1,Inputs!$E$74*12))</f>
        <v>-1666.66666666667</v>
      </c>
      <c r="J77" s="69" t="n">
        <f aca="false">-MIN(J75,Inputs!$E$72/MAX(1,Inputs!$E$74*12))</f>
        <v>-1666.66666666667</v>
      </c>
      <c r="K77" s="69" t="n">
        <f aca="false">-MIN(K75,Inputs!$E$72/MAX(1,Inputs!$E$74*12))</f>
        <v>-1666.66666666667</v>
      </c>
      <c r="L77" s="69" t="n">
        <f aca="false">-MIN(L75,Inputs!$E$72/MAX(1,Inputs!$E$74*12))</f>
        <v>-1666.66666666667</v>
      </c>
      <c r="M77" s="69" t="n">
        <f aca="false">-MIN(M75,Inputs!$E$72/MAX(1,Inputs!$E$74*12))</f>
        <v>-1666.66666666667</v>
      </c>
      <c r="N77" s="69" t="n">
        <f aca="false">-MIN(N75,Inputs!$E$72/MAX(1,Inputs!$E$74*12))</f>
        <v>-1666.66666666667</v>
      </c>
      <c r="O77" s="69" t="n">
        <f aca="false">-MIN(O75,Inputs!$E$72/MAX(1,Inputs!$E$74*12))</f>
        <v>-1666.66666666667</v>
      </c>
      <c r="P77" s="69" t="n">
        <f aca="false">-MIN(P75,Inputs!$E$72/MAX(1,Inputs!$E$74*12))</f>
        <v>-1666.66666666667</v>
      </c>
      <c r="Q77" s="69" t="n">
        <f aca="false">-MIN(Q75,Inputs!$E$72/MAX(1,Inputs!$E$74*12))</f>
        <v>-1666.66666666667</v>
      </c>
      <c r="R77" s="69" t="n">
        <f aca="false">-MIN(R75,Inputs!$E$72/MAX(1,Inputs!$E$74*12))</f>
        <v>-1666.66666666667</v>
      </c>
      <c r="S77" s="69" t="n">
        <f aca="false">-MIN(S75,Inputs!$E$72/MAX(1,Inputs!$E$74*12))</f>
        <v>-1666.66666666667</v>
      </c>
      <c r="T77" s="69" t="n">
        <f aca="false">-MIN(T75,Inputs!$E$72/MAX(1,Inputs!$E$74*12))</f>
        <v>-1666.66666666667</v>
      </c>
      <c r="U77" s="69" t="n">
        <f aca="false">-MIN(U75,Inputs!$E$72/MAX(1,Inputs!$E$74*12))</f>
        <v>-1666.66666666667</v>
      </c>
      <c r="V77" s="69" t="n">
        <f aca="false">-MIN(V75,Inputs!$E$72/MAX(1,Inputs!$E$74*12))</f>
        <v>-1666.66666666667</v>
      </c>
      <c r="W77" s="69" t="n">
        <f aca="false">-MIN(W75,Inputs!$E$72/MAX(1,Inputs!$E$74*12))</f>
        <v>-1666.66666666667</v>
      </c>
      <c r="X77" s="69" t="n">
        <f aca="false">-MIN(X75,Inputs!$E$72/MAX(1,Inputs!$E$74*12))</f>
        <v>-1666.66666666667</v>
      </c>
      <c r="Y77" s="69" t="n">
        <f aca="false">-MIN(Y75,Inputs!$E$72/MAX(1,Inputs!$E$74*12))</f>
        <v>-1666.66666666667</v>
      </c>
      <c r="Z77" s="69" t="n">
        <f aca="false">-MIN(Z75,Inputs!$E$72/MAX(1,Inputs!$E$74*12))</f>
        <v>-1666.66666666667</v>
      </c>
      <c r="AA77" s="69" t="n">
        <f aca="false">-MIN(AA75,Inputs!$E$72/MAX(1,Inputs!$E$74*12))</f>
        <v>-1666.66666666667</v>
      </c>
      <c r="AB77" s="69" t="n">
        <f aca="false">-MIN(AB75,Inputs!$E$72/MAX(1,Inputs!$E$74*12))</f>
        <v>-1666.66666666667</v>
      </c>
      <c r="AC77" s="69" t="n">
        <f aca="false">-MIN(AC75,Inputs!$E$72/MAX(1,Inputs!$E$74*12))</f>
        <v>-1666.66666666667</v>
      </c>
      <c r="AD77" s="69" t="n">
        <f aca="false">-MIN(AD75,Inputs!$E$72/MAX(1,Inputs!$E$74*12))</f>
        <v>-1666.66666666667</v>
      </c>
      <c r="AE77" s="69" t="n">
        <f aca="false">-MIN(AE75,Inputs!$E$72/MAX(1,Inputs!$E$74*12))</f>
        <v>-1666.66666666667</v>
      </c>
      <c r="AF77" s="69" t="n">
        <f aca="false">-MIN(AF75,Inputs!$E$72/MAX(1,Inputs!$E$74*12))</f>
        <v>-1666.66666666667</v>
      </c>
      <c r="AG77" s="69" t="n">
        <f aca="false">-MIN(AG75,Inputs!$E$72/MAX(1,Inputs!$E$74*12))</f>
        <v>-1666.66666666667</v>
      </c>
      <c r="AH77" s="69" t="n">
        <f aca="false">-MIN(AH75,Inputs!$E$72/MAX(1,Inputs!$E$74*12))</f>
        <v>-1666.66666666667</v>
      </c>
      <c r="AI77" s="69" t="n">
        <f aca="false">-MIN(AI75,Inputs!$E$72/MAX(1,Inputs!$E$74*12))</f>
        <v>-1666.66666666667</v>
      </c>
      <c r="AJ77" s="69" t="n">
        <f aca="false">-MIN(AJ75,Inputs!$E$72/MAX(1,Inputs!$E$74*12))</f>
        <v>-1666.66666666667</v>
      </c>
      <c r="AK77" s="69" t="n">
        <f aca="false">-MIN(AK75,Inputs!$E$72/MAX(1,Inputs!$E$74*12))</f>
        <v>-1666.66666666667</v>
      </c>
      <c r="AL77" s="69" t="n">
        <f aca="false">-MIN(AL75,Inputs!$E$72/MAX(1,Inputs!$E$74*12))</f>
        <v>-1666.66666666667</v>
      </c>
      <c r="AM77" s="69" t="n">
        <f aca="false">-MIN(AM75,Inputs!$E$72/MAX(1,Inputs!$E$74*12))</f>
        <v>-1666.66666666667</v>
      </c>
      <c r="AN77" s="69" t="n">
        <f aca="false">-MIN(AN75,Inputs!$E$72/MAX(1,Inputs!$E$74*12))</f>
        <v>-1666.66666666667</v>
      </c>
      <c r="AO77" s="69" t="n">
        <f aca="false">-MIN(AO75,Inputs!$E$72/MAX(1,Inputs!$E$74*12))</f>
        <v>-1666.66666666667</v>
      </c>
      <c r="AP77" s="69" t="n">
        <f aca="false">-MIN(AP75,Inputs!$E$72/MAX(1,Inputs!$E$74*12))</f>
        <v>-1666.66666666667</v>
      </c>
      <c r="AQ77" s="69" t="n">
        <f aca="false">-MIN(AQ75,Inputs!$E$72/MAX(1,Inputs!$E$74*12))</f>
        <v>-1666.66666666667</v>
      </c>
      <c r="AR77" s="69" t="n">
        <f aca="false">-MIN(AR75,Inputs!$E$72/MAX(1,Inputs!$E$74*12))</f>
        <v>-1666.66666666667</v>
      </c>
      <c r="AS77" s="69" t="n">
        <f aca="false">-MIN(AS75,Inputs!$E$72/MAX(1,Inputs!$E$74*12))</f>
        <v>-1666.66666666667</v>
      </c>
      <c r="AT77" s="69" t="n">
        <f aca="false">-MIN(AT75,Inputs!$E$72/MAX(1,Inputs!$E$74*12))</f>
        <v>-1666.66666666667</v>
      </c>
      <c r="AU77" s="69" t="n">
        <f aca="false">-MIN(AU75,Inputs!$E$72/MAX(1,Inputs!$E$74*12))</f>
        <v>-1666.66666666667</v>
      </c>
      <c r="AV77" s="69" t="n">
        <f aca="false">-MIN(AV75,Inputs!$E$72/MAX(1,Inputs!$E$74*12))</f>
        <v>-1666.66666666667</v>
      </c>
      <c r="AW77" s="69" t="n">
        <f aca="false">-MIN(AW75,Inputs!$E$72/MAX(1,Inputs!$E$74*12))</f>
        <v>-1666.66666666667</v>
      </c>
      <c r="AX77" s="69" t="n">
        <f aca="false">-MIN(AX75,Inputs!$E$72/MAX(1,Inputs!$E$74*12))</f>
        <v>-1666.66666666667</v>
      </c>
      <c r="AY77" s="69" t="n">
        <f aca="false">-MIN(AY75,Inputs!$E$72/MAX(1,Inputs!$E$74*12))</f>
        <v>-1666.66666666667</v>
      </c>
      <c r="AZ77" s="69" t="n">
        <f aca="false">-MIN(AZ75,Inputs!$E$72/MAX(1,Inputs!$E$74*12))</f>
        <v>-1666.66666666667</v>
      </c>
      <c r="BA77" s="69" t="n">
        <f aca="false">-MIN(BA75,Inputs!$E$72/MAX(1,Inputs!$E$74*12))</f>
        <v>-1666.66666666667</v>
      </c>
      <c r="BB77" s="69" t="n">
        <f aca="false">-MIN(BB75,Inputs!$E$72/MAX(1,Inputs!$E$74*12))</f>
        <v>-1666.66666666667</v>
      </c>
      <c r="BC77" s="69" t="n">
        <f aca="false">-MIN(BC75,Inputs!$E$72/MAX(1,Inputs!$E$74*12))</f>
        <v>-1666.66666666667</v>
      </c>
      <c r="BD77" s="69" t="n">
        <f aca="false">-MIN(BD75,Inputs!$E$72/MAX(1,Inputs!$E$74*12))</f>
        <v>-1666.66666666667</v>
      </c>
      <c r="BE77" s="69" t="n">
        <f aca="false">-MIN(BE75,Inputs!$E$72/MAX(1,Inputs!$E$74*12))</f>
        <v>-1666.66666666667</v>
      </c>
      <c r="BF77" s="69" t="n">
        <f aca="false">-MIN(BF75,Inputs!$E$72/MAX(1,Inputs!$E$74*12))</f>
        <v>-1666.66666666667</v>
      </c>
      <c r="BG77" s="69" t="n">
        <f aca="false">-MIN(BG75,Inputs!$E$72/MAX(1,Inputs!$E$74*12))</f>
        <v>-1666.66666666667</v>
      </c>
      <c r="BH77" s="69" t="n">
        <f aca="false">-MIN(BH75,Inputs!$E$72/MAX(1,Inputs!$E$74*12))</f>
        <v>-1666.66666666667</v>
      </c>
      <c r="BI77" s="69" t="n">
        <f aca="false">-MIN(BI75,Inputs!$E$72/MAX(1,Inputs!$E$74*12))</f>
        <v>-1666.66666666667</v>
      </c>
      <c r="BJ77" s="69" t="n">
        <f aca="false">-MIN(BJ75,Inputs!$E$72/MAX(1,Inputs!$E$74*12))</f>
        <v>-1666.66666666667</v>
      </c>
    </row>
    <row r="78" customFormat="false" ht="15" hidden="false" customHeight="false" outlineLevel="0" collapsed="false">
      <c r="A78" s="4" t="s">
        <v>443</v>
      </c>
      <c r="C78" s="75" t="n">
        <f aca="false">C75+C76+C77</f>
        <v>100000</v>
      </c>
      <c r="D78" s="75" t="n">
        <f aca="false">D75+D76+D77</f>
        <v>98333.3333333333</v>
      </c>
      <c r="E78" s="75" t="n">
        <f aca="false">E75+E76+E77</f>
        <v>96666.6666666667</v>
      </c>
      <c r="F78" s="75" t="n">
        <f aca="false">F75+F76+F77</f>
        <v>95000</v>
      </c>
      <c r="G78" s="75" t="n">
        <f aca="false">G75+G76+G77</f>
        <v>93333.3333333333</v>
      </c>
      <c r="H78" s="75" t="n">
        <f aca="false">H75+H76+H77</f>
        <v>91666.6666666666</v>
      </c>
      <c r="I78" s="75" t="n">
        <f aca="false">I75+I76+I77</f>
        <v>90000</v>
      </c>
      <c r="J78" s="75" t="n">
        <f aca="false">J75+J76+J77</f>
        <v>88333.3333333333</v>
      </c>
      <c r="K78" s="75" t="n">
        <f aca="false">K75+K76+K77</f>
        <v>86666.6666666666</v>
      </c>
      <c r="L78" s="75" t="n">
        <f aca="false">L75+L76+L77</f>
        <v>85000</v>
      </c>
      <c r="M78" s="75" t="n">
        <f aca="false">M75+M76+M77</f>
        <v>83333.3333333333</v>
      </c>
      <c r="N78" s="75" t="n">
        <f aca="false">N75+N76+N77</f>
        <v>81666.6666666666</v>
      </c>
      <c r="O78" s="75" t="n">
        <f aca="false">O75+O76+O77</f>
        <v>79999.9999999999</v>
      </c>
      <c r="P78" s="75" t="n">
        <f aca="false">P75+P76+P77</f>
        <v>78333.3333333333</v>
      </c>
      <c r="Q78" s="75" t="n">
        <f aca="false">Q75+Q76+Q77</f>
        <v>76666.6666666666</v>
      </c>
      <c r="R78" s="75" t="n">
        <f aca="false">R75+R76+R77</f>
        <v>74999.9999999999</v>
      </c>
      <c r="S78" s="75" t="n">
        <f aca="false">S75+S76+S77</f>
        <v>73333.3333333333</v>
      </c>
      <c r="T78" s="75" t="n">
        <f aca="false">T75+T76+T77</f>
        <v>71666.6666666666</v>
      </c>
      <c r="U78" s="75" t="n">
        <f aca="false">U75+U76+U77</f>
        <v>69999.9999999999</v>
      </c>
      <c r="V78" s="75" t="n">
        <f aca="false">V75+V76+V77</f>
        <v>68333.3333333332</v>
      </c>
      <c r="W78" s="75" t="n">
        <f aca="false">W75+W76+W77</f>
        <v>66666.6666666666</v>
      </c>
      <c r="X78" s="75" t="n">
        <f aca="false">X75+X76+X77</f>
        <v>64999.9999999999</v>
      </c>
      <c r="Y78" s="75" t="n">
        <f aca="false">Y75+Y76+Y77</f>
        <v>63333.3333333332</v>
      </c>
      <c r="Z78" s="75" t="n">
        <f aca="false">Z75+Z76+Z77</f>
        <v>61666.6666666666</v>
      </c>
      <c r="AA78" s="75" t="n">
        <f aca="false">AA75+AA76+AA77</f>
        <v>59999.9999999999</v>
      </c>
      <c r="AB78" s="75" t="n">
        <f aca="false">AB75+AB76+AB77</f>
        <v>58333.3333333333</v>
      </c>
      <c r="AC78" s="75" t="n">
        <f aca="false">AC75+AC76+AC77</f>
        <v>56666.6666666666</v>
      </c>
      <c r="AD78" s="75" t="n">
        <f aca="false">AD75+AD76+AD77</f>
        <v>54999.9999999999</v>
      </c>
      <c r="AE78" s="75" t="n">
        <f aca="false">AE75+AE76+AE77</f>
        <v>53333.3333333333</v>
      </c>
      <c r="AF78" s="75" t="n">
        <f aca="false">AF75+AF76+AF77</f>
        <v>51666.6666666666</v>
      </c>
      <c r="AG78" s="75" t="n">
        <f aca="false">AG75+AG76+AG77</f>
        <v>49999.9999999999</v>
      </c>
      <c r="AH78" s="75" t="n">
        <f aca="false">AH75+AH76+AH77</f>
        <v>48333.3333333333</v>
      </c>
      <c r="AI78" s="75" t="n">
        <f aca="false">AI75+AI76+AI77</f>
        <v>46666.6666666666</v>
      </c>
      <c r="AJ78" s="75" t="n">
        <f aca="false">AJ75+AJ76+AJ77</f>
        <v>44999.9999999999</v>
      </c>
      <c r="AK78" s="75" t="n">
        <f aca="false">AK75+AK76+AK77</f>
        <v>43333.3333333333</v>
      </c>
      <c r="AL78" s="75" t="n">
        <f aca="false">AL75+AL76+AL77</f>
        <v>41666.6666666666</v>
      </c>
      <c r="AM78" s="75" t="n">
        <f aca="false">AM75+AM76+AM77</f>
        <v>39999.9999999999</v>
      </c>
      <c r="AN78" s="75" t="n">
        <f aca="false">AN75+AN76+AN77</f>
        <v>38333.3333333333</v>
      </c>
      <c r="AO78" s="75" t="n">
        <f aca="false">AO75+AO76+AO77</f>
        <v>36666.6666666666</v>
      </c>
      <c r="AP78" s="75" t="n">
        <f aca="false">AP75+AP76+AP77</f>
        <v>35000</v>
      </c>
      <c r="AQ78" s="75" t="n">
        <f aca="false">AQ75+AQ76+AQ77</f>
        <v>33333.3333333333</v>
      </c>
      <c r="AR78" s="75" t="n">
        <f aca="false">AR75+AR76+AR77</f>
        <v>31666.6666666666</v>
      </c>
      <c r="AS78" s="75" t="n">
        <f aca="false">AS75+AS76+AS77</f>
        <v>30000</v>
      </c>
      <c r="AT78" s="75" t="n">
        <f aca="false">AT75+AT76+AT77</f>
        <v>28333.3333333333</v>
      </c>
      <c r="AU78" s="75" t="n">
        <f aca="false">AU75+AU76+AU77</f>
        <v>26666.6666666666</v>
      </c>
      <c r="AV78" s="75" t="n">
        <f aca="false">AV75+AV76+AV77</f>
        <v>24999.9999999999</v>
      </c>
      <c r="AW78" s="75" t="n">
        <f aca="false">AW75+AW76+AW77</f>
        <v>23333.3333333333</v>
      </c>
      <c r="AX78" s="75" t="n">
        <f aca="false">AX75+AX76+AX77</f>
        <v>21666.6666666666</v>
      </c>
      <c r="AY78" s="75" t="n">
        <f aca="false">AY75+AY76+AY77</f>
        <v>19999.9999999999</v>
      </c>
      <c r="AZ78" s="75" t="n">
        <f aca="false">AZ75+AZ76+AZ77</f>
        <v>18333.3333333333</v>
      </c>
      <c r="BA78" s="75" t="n">
        <f aca="false">BA75+BA76+BA77</f>
        <v>16666.6666666666</v>
      </c>
      <c r="BB78" s="75" t="n">
        <f aca="false">BB75+BB76+BB77</f>
        <v>14999.9999999999</v>
      </c>
      <c r="BC78" s="75" t="n">
        <f aca="false">BC75+BC76+BC77</f>
        <v>13333.3333333333</v>
      </c>
      <c r="BD78" s="75" t="n">
        <f aca="false">BD75+BD76+BD77</f>
        <v>11666.6666666666</v>
      </c>
      <c r="BE78" s="75" t="n">
        <f aca="false">BE75+BE76+BE77</f>
        <v>9999.99999999994</v>
      </c>
      <c r="BF78" s="75" t="n">
        <f aca="false">BF75+BF76+BF77</f>
        <v>8333.33333333328</v>
      </c>
      <c r="BG78" s="75" t="n">
        <f aca="false">BG75+BG76+BG77</f>
        <v>6666.66666666661</v>
      </c>
      <c r="BH78" s="75" t="n">
        <f aca="false">BH75+BH76+BH77</f>
        <v>4999.99999999994</v>
      </c>
      <c r="BI78" s="75" t="n">
        <f aca="false">BI75+BI76+BI77</f>
        <v>3333.33333333328</v>
      </c>
      <c r="BJ78" s="75" t="n">
        <f aca="false">BJ75+BJ76+BJ77</f>
        <v>1666.66666666661</v>
      </c>
    </row>
    <row r="80" customFormat="false" ht="15.75" hidden="false" customHeight="true" outlineLevel="0" collapsed="false">
      <c r="A80" s="7" t="s">
        <v>321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customFormat="false" ht="15" hidden="false" customHeight="false" outlineLevel="0" collapsed="false">
      <c r="A81" s="6" t="s">
        <v>90</v>
      </c>
      <c r="C81" s="69" t="n">
        <f aca="false">C31*Inputs!$E$77/30</f>
        <v>1667.12746666667</v>
      </c>
      <c r="D81" s="69" t="n">
        <f aca="false">D31*Inputs!$E$77/30</f>
        <v>1917.19658666667</v>
      </c>
      <c r="E81" s="69" t="n">
        <f aca="false">E31*Inputs!$E$77/30</f>
        <v>2167.26570666667</v>
      </c>
      <c r="F81" s="69" t="n">
        <f aca="false">F31*Inputs!$E$77/30</f>
        <v>2417.33482666667</v>
      </c>
      <c r="G81" s="69" t="n">
        <f aca="false">G31*Inputs!$E$77/30</f>
        <v>2667.40394666667</v>
      </c>
      <c r="H81" s="69" t="n">
        <f aca="false">H31*Inputs!$E$77/30</f>
        <v>3352.86186666667</v>
      </c>
      <c r="I81" s="69" t="n">
        <f aca="false">I31*Inputs!$E$77/30</f>
        <v>3640.25002666667</v>
      </c>
      <c r="J81" s="69" t="n">
        <f aca="false">J31*Inputs!$E$77/30</f>
        <v>3927.63818666667</v>
      </c>
      <c r="K81" s="69" t="n">
        <f aca="false">K31*Inputs!$E$77/30</f>
        <v>3667.68042666667</v>
      </c>
      <c r="L81" s="69" t="n">
        <f aca="false">L31*Inputs!$E$77/30</f>
        <v>3917.74954666667</v>
      </c>
      <c r="M81" s="69" t="n">
        <f aca="false">M31*Inputs!$E$77/30</f>
        <v>4167.81866666667</v>
      </c>
      <c r="N81" s="69" t="n">
        <f aca="false">N31*Inputs!$E$77/30</f>
        <v>4789.80266666667</v>
      </c>
      <c r="O81" s="69" t="n">
        <f aca="false">O31*Inputs!$E$77/30</f>
        <v>4421.63882346667</v>
      </c>
      <c r="P81" s="69" t="n">
        <f aca="false">P31*Inputs!$E$77/30</f>
        <v>4421.63882346667</v>
      </c>
      <c r="Q81" s="69" t="n">
        <f aca="false">Q31*Inputs!$E$77/30</f>
        <v>4421.63882346667</v>
      </c>
      <c r="R81" s="69" t="n">
        <f aca="false">R31*Inputs!$E$77/30</f>
        <v>4421.63882346667</v>
      </c>
      <c r="S81" s="69" t="n">
        <f aca="false">S31*Inputs!$E$77/30</f>
        <v>4421.63882346667</v>
      </c>
      <c r="T81" s="69" t="n">
        <f aca="false">T31*Inputs!$E$77/30</f>
        <v>5081.50164906667</v>
      </c>
      <c r="U81" s="69" t="n">
        <f aca="false">U31*Inputs!$E$77/30</f>
        <v>5081.50164906667</v>
      </c>
      <c r="V81" s="69" t="n">
        <f aca="false">V31*Inputs!$E$77/30</f>
        <v>5081.50164906667</v>
      </c>
      <c r="W81" s="69" t="n">
        <f aca="false">W31*Inputs!$E$77/30</f>
        <v>4421.63882346667</v>
      </c>
      <c r="X81" s="69" t="n">
        <f aca="false">X31*Inputs!$E$77/30</f>
        <v>4421.63882346667</v>
      </c>
      <c r="Y81" s="69" t="n">
        <f aca="false">Y31*Inputs!$E$77/30</f>
        <v>4421.63882346667</v>
      </c>
      <c r="Z81" s="69" t="n">
        <f aca="false">Z31*Inputs!$E$77/30</f>
        <v>5081.50164906667</v>
      </c>
      <c r="AA81" s="69" t="n">
        <f aca="false">AA31*Inputs!$E$77/30</f>
        <v>4690.91662781579</v>
      </c>
      <c r="AB81" s="69" t="n">
        <f aca="false">AB31*Inputs!$E$77/30</f>
        <v>4690.91662781579</v>
      </c>
      <c r="AC81" s="69" t="n">
        <f aca="false">AC31*Inputs!$E$77/30</f>
        <v>4690.91662781579</v>
      </c>
      <c r="AD81" s="69" t="n">
        <f aca="false">AD31*Inputs!$E$77/30</f>
        <v>4690.91662781579</v>
      </c>
      <c r="AE81" s="69" t="n">
        <f aca="false">AE31*Inputs!$E$77/30</f>
        <v>4690.91662781579</v>
      </c>
      <c r="AF81" s="69" t="n">
        <f aca="false">AF31*Inputs!$E$77/30</f>
        <v>5390.96509949483</v>
      </c>
      <c r="AG81" s="69" t="n">
        <f aca="false">AG31*Inputs!$E$77/30</f>
        <v>5390.96509949483</v>
      </c>
      <c r="AH81" s="69" t="n">
        <f aca="false">AH31*Inputs!$E$77/30</f>
        <v>5390.96509949483</v>
      </c>
      <c r="AI81" s="69" t="n">
        <f aca="false">AI31*Inputs!$E$77/30</f>
        <v>4690.91662781579</v>
      </c>
      <c r="AJ81" s="69" t="n">
        <f aca="false">AJ31*Inputs!$E$77/30</f>
        <v>4690.91662781579</v>
      </c>
      <c r="AK81" s="69" t="n">
        <f aca="false">AK31*Inputs!$E$77/30</f>
        <v>4690.91662781579</v>
      </c>
      <c r="AL81" s="69" t="n">
        <f aca="false">AL31*Inputs!$E$77/30</f>
        <v>5390.96509949483</v>
      </c>
      <c r="AM81" s="69" t="n">
        <f aca="false">AM31*Inputs!$E$77/30</f>
        <v>4976.59345044977</v>
      </c>
      <c r="AN81" s="69" t="n">
        <f aca="false">AN31*Inputs!$E$77/30</f>
        <v>4976.59345044977</v>
      </c>
      <c r="AO81" s="69" t="n">
        <f aca="false">AO31*Inputs!$E$77/30</f>
        <v>4976.59345044977</v>
      </c>
      <c r="AP81" s="69" t="n">
        <f aca="false">AP31*Inputs!$E$77/30</f>
        <v>4976.59345044977</v>
      </c>
      <c r="AQ81" s="69" t="n">
        <f aca="false">AQ31*Inputs!$E$77/30</f>
        <v>4976.59345044977</v>
      </c>
      <c r="AR81" s="69" t="n">
        <f aca="false">AR31*Inputs!$E$77/30</f>
        <v>5719.27487405406</v>
      </c>
      <c r="AS81" s="69" t="n">
        <f aca="false">AS31*Inputs!$E$77/30</f>
        <v>5719.27487405406</v>
      </c>
      <c r="AT81" s="69" t="n">
        <f aca="false">AT31*Inputs!$E$77/30</f>
        <v>5719.27487405406</v>
      </c>
      <c r="AU81" s="69" t="n">
        <f aca="false">AU31*Inputs!$E$77/30</f>
        <v>4976.59345044977</v>
      </c>
      <c r="AV81" s="69" t="n">
        <f aca="false">AV31*Inputs!$E$77/30</f>
        <v>4976.59345044977</v>
      </c>
      <c r="AW81" s="69" t="n">
        <f aca="false">AW31*Inputs!$E$77/30</f>
        <v>4976.59345044977</v>
      </c>
      <c r="AX81" s="69" t="n">
        <f aca="false">AX31*Inputs!$E$77/30</f>
        <v>5719.27487405406</v>
      </c>
      <c r="AY81" s="69" t="n">
        <f aca="false">AY31*Inputs!$E$77/30</f>
        <v>5279.66799158216</v>
      </c>
      <c r="AZ81" s="69" t="n">
        <f aca="false">AZ31*Inputs!$E$77/30</f>
        <v>5279.66799158216</v>
      </c>
      <c r="BA81" s="69" t="n">
        <f aca="false">BA31*Inputs!$E$77/30</f>
        <v>5279.66799158216</v>
      </c>
      <c r="BB81" s="69" t="n">
        <f aca="false">BB31*Inputs!$E$77/30</f>
        <v>5279.66799158216</v>
      </c>
      <c r="BC81" s="69" t="n">
        <f aca="false">BC31*Inputs!$E$77/30</f>
        <v>5279.66799158216</v>
      </c>
      <c r="BD81" s="69" t="n">
        <f aca="false">BD31*Inputs!$E$77/30</f>
        <v>6067.57871388396</v>
      </c>
      <c r="BE81" s="69" t="n">
        <f aca="false">BE31*Inputs!$E$77/30</f>
        <v>6067.57871388396</v>
      </c>
      <c r="BF81" s="69" t="n">
        <f aca="false">BF31*Inputs!$E$77/30</f>
        <v>6067.57871388396</v>
      </c>
      <c r="BG81" s="69" t="n">
        <f aca="false">BG31*Inputs!$E$77/30</f>
        <v>5279.66799158216</v>
      </c>
      <c r="BH81" s="69" t="n">
        <f aca="false">BH31*Inputs!$E$77/30</f>
        <v>5279.66799158216</v>
      </c>
      <c r="BI81" s="69" t="n">
        <f aca="false">BI31*Inputs!$E$77/30</f>
        <v>5279.66799158216</v>
      </c>
      <c r="BJ81" s="69" t="n">
        <f aca="false">BJ31*Inputs!$E$77/30</f>
        <v>6067.57871388396</v>
      </c>
    </row>
    <row r="82" customFormat="false" ht="15" hidden="false" customHeight="false" outlineLevel="0" collapsed="false">
      <c r="A82" s="6" t="s">
        <v>91</v>
      </c>
      <c r="C82" s="69" t="n">
        <f aca="false">-C39*Inputs!$E$78/30</f>
        <v>2194.04074666667</v>
      </c>
      <c r="D82" s="69" t="n">
        <f aca="false">-D39*Inputs!$E$78/30</f>
        <v>2408.14685866667</v>
      </c>
      <c r="E82" s="69" t="n">
        <f aca="false">-E39*Inputs!$E$78/30</f>
        <v>2622.25297066667</v>
      </c>
      <c r="F82" s="69" t="n">
        <f aca="false">-F39*Inputs!$E$78/30</f>
        <v>2836.35908266667</v>
      </c>
      <c r="G82" s="69" t="n">
        <f aca="false">-G39*Inputs!$E$78/30</f>
        <v>3050.46519466667</v>
      </c>
      <c r="H82" s="69" t="n">
        <f aca="false">-H39*Inputs!$E$78/30</f>
        <v>3407.06218666667</v>
      </c>
      <c r="I82" s="69" t="n">
        <f aca="false">-I39*Inputs!$E$78/30</f>
        <v>3633.38180266667</v>
      </c>
      <c r="J82" s="69" t="n">
        <f aca="false">-J39*Inputs!$E$78/30</f>
        <v>3859.70141866667</v>
      </c>
      <c r="K82" s="69" t="n">
        <f aca="false">-K39*Inputs!$E$78/30</f>
        <v>3906.88964266667</v>
      </c>
      <c r="L82" s="69" t="n">
        <f aca="false">-L39*Inputs!$E$78/30</f>
        <v>4120.99575466667</v>
      </c>
      <c r="M82" s="69" t="n">
        <f aca="false">-M39*Inputs!$E$78/30</f>
        <v>4335.10186666667</v>
      </c>
      <c r="N82" s="69" t="n">
        <f aca="false">-N39*Inputs!$E$78/30</f>
        <v>4538.66026666667</v>
      </c>
      <c r="O82" s="69" t="n">
        <f aca="false">-O39*Inputs!$E$78/30</f>
        <v>4575.41957034667</v>
      </c>
      <c r="P82" s="69" t="n">
        <f aca="false">-P39*Inputs!$E$78/30</f>
        <v>4575.41957034667</v>
      </c>
      <c r="Q82" s="69" t="n">
        <f aca="false">-Q39*Inputs!$E$78/30</f>
        <v>4575.41957034667</v>
      </c>
      <c r="R82" s="69" t="n">
        <f aca="false">-R39*Inputs!$E$78/30</f>
        <v>4575.41957034667</v>
      </c>
      <c r="S82" s="69" t="n">
        <f aca="false">-S39*Inputs!$E$78/30</f>
        <v>4575.41957034667</v>
      </c>
      <c r="T82" s="69" t="n">
        <f aca="false">-T39*Inputs!$E$78/30</f>
        <v>4791.37467690667</v>
      </c>
      <c r="U82" s="69" t="n">
        <f aca="false">-U39*Inputs!$E$78/30</f>
        <v>4791.37467690667</v>
      </c>
      <c r="V82" s="69" t="n">
        <f aca="false">-V39*Inputs!$E$78/30</f>
        <v>4791.37467690667</v>
      </c>
      <c r="W82" s="69" t="n">
        <f aca="false">-W39*Inputs!$E$78/30</f>
        <v>4575.41957034667</v>
      </c>
      <c r="X82" s="69" t="n">
        <f aca="false">-X39*Inputs!$E$78/30</f>
        <v>4575.41957034667</v>
      </c>
      <c r="Y82" s="69" t="n">
        <f aca="false">-Y39*Inputs!$E$78/30</f>
        <v>4575.41957034667</v>
      </c>
      <c r="Z82" s="69" t="n">
        <f aca="false">-Z39*Inputs!$E$78/30</f>
        <v>4791.37467690667</v>
      </c>
      <c r="AA82" s="69" t="n">
        <f aca="false">-AA39*Inputs!$E$78/30</f>
        <v>4829.66192218078</v>
      </c>
      <c r="AB82" s="69" t="n">
        <f aca="false">-AB39*Inputs!$E$78/30</f>
        <v>4829.66192218078</v>
      </c>
      <c r="AC82" s="69" t="n">
        <f aca="false">-AC39*Inputs!$E$78/30</f>
        <v>4829.66192218078</v>
      </c>
      <c r="AD82" s="69" t="n">
        <f aca="false">-AD39*Inputs!$E$78/30</f>
        <v>4829.66192218078</v>
      </c>
      <c r="AE82" s="69" t="n">
        <f aca="false">-AE39*Inputs!$E$78/30</f>
        <v>4829.66192218078</v>
      </c>
      <c r="AF82" s="69" t="n">
        <f aca="false">-AF39*Inputs!$E$78/30</f>
        <v>5058.76869473028</v>
      </c>
      <c r="AG82" s="69" t="n">
        <f aca="false">-AG39*Inputs!$E$78/30</f>
        <v>5058.76869473028</v>
      </c>
      <c r="AH82" s="69" t="n">
        <f aca="false">-AH39*Inputs!$E$78/30</f>
        <v>5058.76869473028</v>
      </c>
      <c r="AI82" s="69" t="n">
        <f aca="false">-AI39*Inputs!$E$78/30</f>
        <v>4829.66192218078</v>
      </c>
      <c r="AJ82" s="69" t="n">
        <f aca="false">-AJ39*Inputs!$E$78/30</f>
        <v>4829.66192218078</v>
      </c>
      <c r="AK82" s="69" t="n">
        <f aca="false">-AK39*Inputs!$E$78/30</f>
        <v>4829.66192218078</v>
      </c>
      <c r="AL82" s="69" t="n">
        <f aca="false">-AL39*Inputs!$E$78/30</f>
        <v>5058.76869473028</v>
      </c>
      <c r="AM82" s="69" t="n">
        <f aca="false">-AM39*Inputs!$E$78/30</f>
        <v>5098.65561224159</v>
      </c>
      <c r="AN82" s="69" t="n">
        <f aca="false">-AN39*Inputs!$E$78/30</f>
        <v>5098.65561224159</v>
      </c>
      <c r="AO82" s="69" t="n">
        <f aca="false">-AO39*Inputs!$E$78/30</f>
        <v>5098.65561224159</v>
      </c>
      <c r="AP82" s="69" t="n">
        <f aca="false">-AP39*Inputs!$E$78/30</f>
        <v>5098.65561224159</v>
      </c>
      <c r="AQ82" s="69" t="n">
        <f aca="false">-AQ39*Inputs!$E$78/30</f>
        <v>5098.65561224159</v>
      </c>
      <c r="AR82" s="69" t="n">
        <f aca="false">-AR39*Inputs!$E$78/30</f>
        <v>5341.71498723936</v>
      </c>
      <c r="AS82" s="69" t="n">
        <f aca="false">-AS39*Inputs!$E$78/30</f>
        <v>5341.71498723936</v>
      </c>
      <c r="AT82" s="69" t="n">
        <f aca="false">-AT39*Inputs!$E$78/30</f>
        <v>5341.71498723936</v>
      </c>
      <c r="AU82" s="69" t="n">
        <f aca="false">-AU39*Inputs!$E$78/30</f>
        <v>5098.65561224159</v>
      </c>
      <c r="AV82" s="69" t="n">
        <f aca="false">-AV39*Inputs!$E$78/30</f>
        <v>5098.65561224159</v>
      </c>
      <c r="AW82" s="69" t="n">
        <f aca="false">-AW39*Inputs!$E$78/30</f>
        <v>5098.65561224159</v>
      </c>
      <c r="AX82" s="69" t="n">
        <f aca="false">-AX39*Inputs!$E$78/30</f>
        <v>5341.71498723936</v>
      </c>
      <c r="AY82" s="69" t="n">
        <f aca="false">-AY39*Inputs!$E$78/30</f>
        <v>5383.2770363971</v>
      </c>
      <c r="AZ82" s="69" t="n">
        <f aca="false">-AZ39*Inputs!$E$78/30</f>
        <v>5383.2770363971</v>
      </c>
      <c r="BA82" s="69" t="n">
        <f aca="false">-BA39*Inputs!$E$78/30</f>
        <v>5383.2770363971</v>
      </c>
      <c r="BB82" s="69" t="n">
        <f aca="false">-BB39*Inputs!$E$78/30</f>
        <v>5383.2770363971</v>
      </c>
      <c r="BC82" s="69" t="n">
        <f aca="false">-BC39*Inputs!$E$78/30</f>
        <v>5383.2770363971</v>
      </c>
      <c r="BD82" s="69" t="n">
        <f aca="false">-BD39*Inputs!$E$78/30</f>
        <v>5641.13872733224</v>
      </c>
      <c r="BE82" s="69" t="n">
        <f aca="false">-BE39*Inputs!$E$78/30</f>
        <v>5641.13872733224</v>
      </c>
      <c r="BF82" s="69" t="n">
        <f aca="false">-BF39*Inputs!$E$78/30</f>
        <v>5641.13872733224</v>
      </c>
      <c r="BG82" s="69" t="n">
        <f aca="false">-BG39*Inputs!$E$78/30</f>
        <v>5383.2770363971</v>
      </c>
      <c r="BH82" s="69" t="n">
        <f aca="false">-BH39*Inputs!$E$78/30</f>
        <v>5383.2770363971</v>
      </c>
      <c r="BI82" s="69" t="n">
        <f aca="false">-BI39*Inputs!$E$78/30</f>
        <v>5383.2770363971</v>
      </c>
      <c r="BJ82" s="69" t="n">
        <f aca="false">-BJ39*Inputs!$E$78/30</f>
        <v>5641.13872733224</v>
      </c>
    </row>
    <row r="83" customFormat="false" ht="15" hidden="false" customHeight="false" outlineLevel="0" collapsed="false">
      <c r="A83" s="6" t="s">
        <v>94</v>
      </c>
      <c r="C83" s="69" t="n">
        <f aca="false">-C39*Inputs!$E$79/30</f>
        <v>9141.83644444444</v>
      </c>
      <c r="D83" s="69" t="n">
        <f aca="false">-D39*Inputs!$E$79/30</f>
        <v>10033.9452444444</v>
      </c>
      <c r="E83" s="69" t="n">
        <f aca="false">-E39*Inputs!$E$79/30</f>
        <v>10926.0540444444</v>
      </c>
      <c r="F83" s="69" t="n">
        <f aca="false">-F39*Inputs!$E$79/30</f>
        <v>11818.1628444444</v>
      </c>
      <c r="G83" s="69" t="n">
        <f aca="false">-G39*Inputs!$E$79/30</f>
        <v>12710.2716444444</v>
      </c>
      <c r="H83" s="69" t="n">
        <f aca="false">-H39*Inputs!$E$79/30</f>
        <v>14196.0924444444</v>
      </c>
      <c r="I83" s="69" t="n">
        <f aca="false">-I39*Inputs!$E$79/30</f>
        <v>15139.0908444444</v>
      </c>
      <c r="J83" s="69" t="n">
        <f aca="false">-J39*Inputs!$E$79/30</f>
        <v>16082.0892444444</v>
      </c>
      <c r="K83" s="69" t="n">
        <f aca="false">-K39*Inputs!$E$79/30</f>
        <v>16278.7068444444</v>
      </c>
      <c r="L83" s="69" t="n">
        <f aca="false">-L39*Inputs!$E$79/30</f>
        <v>17170.8156444444</v>
      </c>
      <c r="M83" s="69" t="n">
        <f aca="false">-M39*Inputs!$E$79/30</f>
        <v>18062.9244444444</v>
      </c>
      <c r="N83" s="69" t="n">
        <f aca="false">-N39*Inputs!$E$79/30</f>
        <v>18911.0844444444</v>
      </c>
      <c r="O83" s="69" t="n">
        <f aca="false">-O39*Inputs!$E$79/30</f>
        <v>19064.2482097778</v>
      </c>
      <c r="P83" s="69" t="n">
        <f aca="false">-P39*Inputs!$E$79/30</f>
        <v>19064.2482097778</v>
      </c>
      <c r="Q83" s="69" t="n">
        <f aca="false">-Q39*Inputs!$E$79/30</f>
        <v>19064.2482097778</v>
      </c>
      <c r="R83" s="69" t="n">
        <f aca="false">-R39*Inputs!$E$79/30</f>
        <v>19064.2482097778</v>
      </c>
      <c r="S83" s="69" t="n">
        <f aca="false">-S39*Inputs!$E$79/30</f>
        <v>19064.2482097778</v>
      </c>
      <c r="T83" s="69" t="n">
        <f aca="false">-T39*Inputs!$E$79/30</f>
        <v>19964.0611537778</v>
      </c>
      <c r="U83" s="69" t="n">
        <f aca="false">-U39*Inputs!$E$79/30</f>
        <v>19964.0611537778</v>
      </c>
      <c r="V83" s="69" t="n">
        <f aca="false">-V39*Inputs!$E$79/30</f>
        <v>19964.0611537778</v>
      </c>
      <c r="W83" s="69" t="n">
        <f aca="false">-W39*Inputs!$E$79/30</f>
        <v>19064.2482097778</v>
      </c>
      <c r="X83" s="69" t="n">
        <f aca="false">-X39*Inputs!$E$79/30</f>
        <v>19064.2482097778</v>
      </c>
      <c r="Y83" s="69" t="n">
        <f aca="false">-Y39*Inputs!$E$79/30</f>
        <v>19064.2482097778</v>
      </c>
      <c r="Z83" s="69" t="n">
        <f aca="false">-Z39*Inputs!$E$79/30</f>
        <v>19964.0611537778</v>
      </c>
      <c r="AA83" s="69" t="n">
        <f aca="false">-AA39*Inputs!$E$79/30</f>
        <v>20123.5913424199</v>
      </c>
      <c r="AB83" s="69" t="n">
        <f aca="false">-AB39*Inputs!$E$79/30</f>
        <v>20123.5913424199</v>
      </c>
      <c r="AC83" s="69" t="n">
        <f aca="false">-AC39*Inputs!$E$79/30</f>
        <v>20123.5913424199</v>
      </c>
      <c r="AD83" s="69" t="n">
        <f aca="false">-AD39*Inputs!$E$79/30</f>
        <v>20123.5913424199</v>
      </c>
      <c r="AE83" s="69" t="n">
        <f aca="false">-AE39*Inputs!$E$79/30</f>
        <v>20123.5913424199</v>
      </c>
      <c r="AF83" s="69" t="n">
        <f aca="false">-AF39*Inputs!$E$79/30</f>
        <v>21078.2028947095</v>
      </c>
      <c r="AG83" s="69" t="n">
        <f aca="false">-AG39*Inputs!$E$79/30</f>
        <v>21078.2028947095</v>
      </c>
      <c r="AH83" s="69" t="n">
        <f aca="false">-AH39*Inputs!$E$79/30</f>
        <v>21078.2028947095</v>
      </c>
      <c r="AI83" s="69" t="n">
        <f aca="false">-AI39*Inputs!$E$79/30</f>
        <v>20123.5913424199</v>
      </c>
      <c r="AJ83" s="69" t="n">
        <f aca="false">-AJ39*Inputs!$E$79/30</f>
        <v>20123.5913424199</v>
      </c>
      <c r="AK83" s="69" t="n">
        <f aca="false">-AK39*Inputs!$E$79/30</f>
        <v>20123.5913424199</v>
      </c>
      <c r="AL83" s="69" t="n">
        <f aca="false">-AL39*Inputs!$E$79/30</f>
        <v>21078.2028947095</v>
      </c>
      <c r="AM83" s="69" t="n">
        <f aca="false">-AM39*Inputs!$E$79/30</f>
        <v>21244.3983843399</v>
      </c>
      <c r="AN83" s="69" t="n">
        <f aca="false">-AN39*Inputs!$E$79/30</f>
        <v>21244.3983843399</v>
      </c>
      <c r="AO83" s="69" t="n">
        <f aca="false">-AO39*Inputs!$E$79/30</f>
        <v>21244.3983843399</v>
      </c>
      <c r="AP83" s="69" t="n">
        <f aca="false">-AP39*Inputs!$E$79/30</f>
        <v>21244.3983843399</v>
      </c>
      <c r="AQ83" s="69" t="n">
        <f aca="false">-AQ39*Inputs!$E$79/30</f>
        <v>21244.3983843399</v>
      </c>
      <c r="AR83" s="69" t="n">
        <f aca="false">-AR39*Inputs!$E$79/30</f>
        <v>22257.145780164</v>
      </c>
      <c r="AS83" s="69" t="n">
        <f aca="false">-AS39*Inputs!$E$79/30</f>
        <v>22257.145780164</v>
      </c>
      <c r="AT83" s="69" t="n">
        <f aca="false">-AT39*Inputs!$E$79/30</f>
        <v>22257.145780164</v>
      </c>
      <c r="AU83" s="69" t="n">
        <f aca="false">-AU39*Inputs!$E$79/30</f>
        <v>21244.3983843399</v>
      </c>
      <c r="AV83" s="69" t="n">
        <f aca="false">-AV39*Inputs!$E$79/30</f>
        <v>21244.3983843399</v>
      </c>
      <c r="AW83" s="69" t="n">
        <f aca="false">-AW39*Inputs!$E$79/30</f>
        <v>21244.3983843399</v>
      </c>
      <c r="AX83" s="69" t="n">
        <f aca="false">-AX39*Inputs!$E$79/30</f>
        <v>22257.145780164</v>
      </c>
      <c r="AY83" s="69" t="n">
        <f aca="false">-AY39*Inputs!$E$79/30</f>
        <v>22430.3209849879</v>
      </c>
      <c r="AZ83" s="69" t="n">
        <f aca="false">-AZ39*Inputs!$E$79/30</f>
        <v>22430.3209849879</v>
      </c>
      <c r="BA83" s="69" t="n">
        <f aca="false">-BA39*Inputs!$E$79/30</f>
        <v>22430.3209849879</v>
      </c>
      <c r="BB83" s="69" t="n">
        <f aca="false">-BB39*Inputs!$E$79/30</f>
        <v>22430.3209849879</v>
      </c>
      <c r="BC83" s="69" t="n">
        <f aca="false">-BC39*Inputs!$E$79/30</f>
        <v>22430.3209849879</v>
      </c>
      <c r="BD83" s="69" t="n">
        <f aca="false">-BD39*Inputs!$E$79/30</f>
        <v>23504.7446972176</v>
      </c>
      <c r="BE83" s="69" t="n">
        <f aca="false">-BE39*Inputs!$E$79/30</f>
        <v>23504.7446972176</v>
      </c>
      <c r="BF83" s="69" t="n">
        <f aca="false">-BF39*Inputs!$E$79/30</f>
        <v>23504.7446972176</v>
      </c>
      <c r="BG83" s="69" t="n">
        <f aca="false">-BG39*Inputs!$E$79/30</f>
        <v>22430.3209849879</v>
      </c>
      <c r="BH83" s="69" t="n">
        <f aca="false">-BH39*Inputs!$E$79/30</f>
        <v>22430.3209849879</v>
      </c>
      <c r="BI83" s="69" t="n">
        <f aca="false">-BI39*Inputs!$E$79/30</f>
        <v>22430.3209849879</v>
      </c>
      <c r="BJ83" s="69" t="n">
        <f aca="false">-BJ39*Inputs!$E$79/30</f>
        <v>23504.7446972176</v>
      </c>
    </row>
    <row r="84" customFormat="false" ht="15" hidden="false" customHeight="false" outlineLevel="0" collapsed="false">
      <c r="A84" s="6" t="s">
        <v>344</v>
      </c>
      <c r="C84" s="69" t="n">
        <f aca="false">-C81</f>
        <v>-1667.12746666667</v>
      </c>
      <c r="D84" s="69" t="n">
        <f aca="false">C81-D81</f>
        <v>-250.06912</v>
      </c>
      <c r="E84" s="69" t="n">
        <f aca="false">D81-E81</f>
        <v>-250.069120000001</v>
      </c>
      <c r="F84" s="69" t="n">
        <f aca="false">E81-F81</f>
        <v>-250.06912</v>
      </c>
      <c r="G84" s="69" t="n">
        <f aca="false">F81-G81</f>
        <v>-250.06912</v>
      </c>
      <c r="H84" s="69" t="n">
        <f aca="false">G81-H81</f>
        <v>-685.457919999999</v>
      </c>
      <c r="I84" s="69" t="n">
        <f aca="false">H81-I81</f>
        <v>-287.38816</v>
      </c>
      <c r="J84" s="69" t="n">
        <f aca="false">I81-J81</f>
        <v>-287.38816</v>
      </c>
      <c r="K84" s="69" t="n">
        <f aca="false">J81-K81</f>
        <v>259.957760000001</v>
      </c>
      <c r="L84" s="69" t="n">
        <f aca="false">K81-L81</f>
        <v>-250.06912</v>
      </c>
      <c r="M84" s="69" t="n">
        <f aca="false">L81-M81</f>
        <v>-250.069120000001</v>
      </c>
      <c r="N84" s="69" t="n">
        <f aca="false">M81-N81</f>
        <v>-621.984</v>
      </c>
      <c r="O84" s="69" t="n">
        <f aca="false">N81-O81</f>
        <v>368.163843200001</v>
      </c>
      <c r="P84" s="69" t="n">
        <f aca="false">O81-P81</f>
        <v>0</v>
      </c>
      <c r="Q84" s="69" t="n">
        <f aca="false">P81-Q81</f>
        <v>0</v>
      </c>
      <c r="R84" s="69" t="n">
        <f aca="false">Q81-R81</f>
        <v>0</v>
      </c>
      <c r="S84" s="69" t="n">
        <f aca="false">R81-S81</f>
        <v>0</v>
      </c>
      <c r="T84" s="69" t="n">
        <f aca="false">S81-T81</f>
        <v>-659.862825599999</v>
      </c>
      <c r="U84" s="69" t="n">
        <f aca="false">T81-U81</f>
        <v>0</v>
      </c>
      <c r="V84" s="69" t="n">
        <f aca="false">U81-V81</f>
        <v>0</v>
      </c>
      <c r="W84" s="69" t="n">
        <f aca="false">V81-W81</f>
        <v>659.862825599999</v>
      </c>
      <c r="X84" s="69" t="n">
        <f aca="false">W81-X81</f>
        <v>0</v>
      </c>
      <c r="Y84" s="69" t="n">
        <f aca="false">X81-Y81</f>
        <v>0</v>
      </c>
      <c r="Z84" s="69" t="n">
        <f aca="false">Y81-Z81</f>
        <v>-659.862825599999</v>
      </c>
      <c r="AA84" s="69" t="n">
        <f aca="false">Z81-AA81</f>
        <v>390.58502125088</v>
      </c>
      <c r="AB84" s="69" t="n">
        <f aca="false">AA81-AB81</f>
        <v>0</v>
      </c>
      <c r="AC84" s="69" t="n">
        <f aca="false">AB81-AC81</f>
        <v>0</v>
      </c>
      <c r="AD84" s="69" t="n">
        <f aca="false">AC81-AD81</f>
        <v>0</v>
      </c>
      <c r="AE84" s="69" t="n">
        <f aca="false">AD81-AE81</f>
        <v>0</v>
      </c>
      <c r="AF84" s="69" t="n">
        <f aca="false">AE81-AF81</f>
        <v>-700.048471679041</v>
      </c>
      <c r="AG84" s="69" t="n">
        <f aca="false">AF81-AG81</f>
        <v>0</v>
      </c>
      <c r="AH84" s="69" t="n">
        <f aca="false">AG81-AH81</f>
        <v>0</v>
      </c>
      <c r="AI84" s="69" t="n">
        <f aca="false">AH81-AI81</f>
        <v>700.048471679041</v>
      </c>
      <c r="AJ84" s="69" t="n">
        <f aca="false">AI81-AJ81</f>
        <v>0</v>
      </c>
      <c r="AK84" s="69" t="n">
        <f aca="false">AJ81-AK81</f>
        <v>0</v>
      </c>
      <c r="AL84" s="69" t="n">
        <f aca="false">AK81-AL81</f>
        <v>-700.048471679041</v>
      </c>
      <c r="AM84" s="69" t="n">
        <f aca="false">AL81-AM81</f>
        <v>414.371649045057</v>
      </c>
      <c r="AN84" s="69" t="n">
        <f aca="false">AM81-AN81</f>
        <v>0</v>
      </c>
      <c r="AO84" s="69" t="n">
        <f aca="false">AN81-AO81</f>
        <v>0</v>
      </c>
      <c r="AP84" s="69" t="n">
        <f aca="false">AO81-AP81</f>
        <v>0</v>
      </c>
      <c r="AQ84" s="69" t="n">
        <f aca="false">AP81-AQ81</f>
        <v>0</v>
      </c>
      <c r="AR84" s="69" t="n">
        <f aca="false">AQ81-AR81</f>
        <v>-742.681423604292</v>
      </c>
      <c r="AS84" s="69" t="n">
        <f aca="false">AR81-AS81</f>
        <v>0</v>
      </c>
      <c r="AT84" s="69" t="n">
        <f aca="false">AS81-AT81</f>
        <v>0</v>
      </c>
      <c r="AU84" s="69" t="n">
        <f aca="false">AT81-AU81</f>
        <v>742.681423604292</v>
      </c>
      <c r="AV84" s="69" t="n">
        <f aca="false">AU81-AV81</f>
        <v>0</v>
      </c>
      <c r="AW84" s="69" t="n">
        <f aca="false">AV81-AW81</f>
        <v>0</v>
      </c>
      <c r="AX84" s="69" t="n">
        <f aca="false">AW81-AX81</f>
        <v>-742.681423604292</v>
      </c>
      <c r="AY84" s="69" t="n">
        <f aca="false">AX81-AY81</f>
        <v>439.6068824719</v>
      </c>
      <c r="AZ84" s="69" t="n">
        <f aca="false">AY81-AZ81</f>
        <v>0</v>
      </c>
      <c r="BA84" s="69" t="n">
        <f aca="false">AZ81-BA81</f>
        <v>0</v>
      </c>
      <c r="BB84" s="69" t="n">
        <f aca="false">BA81-BB81</f>
        <v>0</v>
      </c>
      <c r="BC84" s="69" t="n">
        <f aca="false">BB81-BC81</f>
        <v>0</v>
      </c>
      <c r="BD84" s="69" t="n">
        <f aca="false">BC81-BD81</f>
        <v>-787.910722301795</v>
      </c>
      <c r="BE84" s="69" t="n">
        <f aca="false">BD81-BE81</f>
        <v>0</v>
      </c>
      <c r="BF84" s="69" t="n">
        <f aca="false">BE81-BF81</f>
        <v>0</v>
      </c>
      <c r="BG84" s="69" t="n">
        <f aca="false">BF81-BG81</f>
        <v>787.910722301795</v>
      </c>
      <c r="BH84" s="69" t="n">
        <f aca="false">BG81-BH81</f>
        <v>0</v>
      </c>
      <c r="BI84" s="69" t="n">
        <f aca="false">BH81-BI81</f>
        <v>0</v>
      </c>
      <c r="BJ84" s="69" t="n">
        <f aca="false">BI81-BJ81</f>
        <v>-787.910722301795</v>
      </c>
    </row>
    <row r="85" customFormat="false" ht="15" hidden="false" customHeight="false" outlineLevel="0" collapsed="false">
      <c r="A85" s="6" t="s">
        <v>345</v>
      </c>
      <c r="C85" s="69" t="n">
        <f aca="false">-C82</f>
        <v>-2194.04074666667</v>
      </c>
      <c r="D85" s="69" t="n">
        <f aca="false">C82-D82</f>
        <v>-214.106112</v>
      </c>
      <c r="E85" s="69" t="n">
        <f aca="false">D82-E82</f>
        <v>-214.106112</v>
      </c>
      <c r="F85" s="69" t="n">
        <f aca="false">E82-F82</f>
        <v>-214.106112</v>
      </c>
      <c r="G85" s="69" t="n">
        <f aca="false">F82-G82</f>
        <v>-214.106111999999</v>
      </c>
      <c r="H85" s="69" t="n">
        <f aca="false">G82-H82</f>
        <v>-356.596992</v>
      </c>
      <c r="I85" s="69" t="n">
        <f aca="false">H82-I82</f>
        <v>-226.319615999999</v>
      </c>
      <c r="J85" s="69" t="n">
        <f aca="false">I82-J82</f>
        <v>-226.319616000001</v>
      </c>
      <c r="K85" s="69" t="n">
        <f aca="false">J82-K82</f>
        <v>-47.188224</v>
      </c>
      <c r="L85" s="69" t="n">
        <f aca="false">K82-L82</f>
        <v>-214.106111999999</v>
      </c>
      <c r="M85" s="69" t="n">
        <f aca="false">L82-M82</f>
        <v>-214.106112</v>
      </c>
      <c r="N85" s="69" t="n">
        <f aca="false">M82-N82</f>
        <v>-203.558400000001</v>
      </c>
      <c r="O85" s="69" t="n">
        <f aca="false">N82-O82</f>
        <v>-36.7593036799999</v>
      </c>
      <c r="P85" s="69" t="n">
        <f aca="false">O82-P82</f>
        <v>0</v>
      </c>
      <c r="Q85" s="69" t="n">
        <f aca="false">P82-Q82</f>
        <v>0</v>
      </c>
      <c r="R85" s="69" t="n">
        <f aca="false">Q82-R82</f>
        <v>0</v>
      </c>
      <c r="S85" s="69" t="n">
        <f aca="false">R82-S82</f>
        <v>0</v>
      </c>
      <c r="T85" s="69" t="n">
        <f aca="false">S82-T82</f>
        <v>-215.95510656</v>
      </c>
      <c r="U85" s="69" t="n">
        <f aca="false">T82-U82</f>
        <v>0</v>
      </c>
      <c r="V85" s="69" t="n">
        <f aca="false">U82-V82</f>
        <v>0</v>
      </c>
      <c r="W85" s="69" t="n">
        <f aca="false">V82-W82</f>
        <v>215.95510656</v>
      </c>
      <c r="X85" s="69" t="n">
        <f aca="false">W82-X82</f>
        <v>0</v>
      </c>
      <c r="Y85" s="69" t="n">
        <f aca="false">X82-Y82</f>
        <v>0</v>
      </c>
      <c r="Z85" s="69" t="n">
        <f aca="false">Y82-Z82</f>
        <v>-215.95510656</v>
      </c>
      <c r="AA85" s="69" t="n">
        <f aca="false">Z82-AA82</f>
        <v>-38.2872452741112</v>
      </c>
      <c r="AB85" s="69" t="n">
        <f aca="false">AA82-AB82</f>
        <v>0</v>
      </c>
      <c r="AC85" s="69" t="n">
        <f aca="false">AB82-AC82</f>
        <v>0</v>
      </c>
      <c r="AD85" s="69" t="n">
        <f aca="false">AC82-AD82</f>
        <v>0</v>
      </c>
      <c r="AE85" s="69" t="n">
        <f aca="false">AD82-AE82</f>
        <v>0</v>
      </c>
      <c r="AF85" s="69" t="n">
        <f aca="false">AE82-AF82</f>
        <v>-229.106772549504</v>
      </c>
      <c r="AG85" s="69" t="n">
        <f aca="false">AF82-AG82</f>
        <v>0</v>
      </c>
      <c r="AH85" s="69" t="n">
        <f aca="false">AG82-AH82</f>
        <v>0</v>
      </c>
      <c r="AI85" s="69" t="n">
        <f aca="false">AH82-AI82</f>
        <v>229.106772549504</v>
      </c>
      <c r="AJ85" s="69" t="n">
        <f aca="false">AI82-AJ82</f>
        <v>0</v>
      </c>
      <c r="AK85" s="69" t="n">
        <f aca="false">AJ82-AK82</f>
        <v>0</v>
      </c>
      <c r="AL85" s="69" t="n">
        <f aca="false">AK82-AL82</f>
        <v>-229.106772549504</v>
      </c>
      <c r="AM85" s="69" t="n">
        <f aca="false">AL82-AM82</f>
        <v>-39.8869175113059</v>
      </c>
      <c r="AN85" s="69" t="n">
        <f aca="false">AM82-AN82</f>
        <v>0</v>
      </c>
      <c r="AO85" s="69" t="n">
        <f aca="false">AN82-AO82</f>
        <v>0</v>
      </c>
      <c r="AP85" s="69" t="n">
        <f aca="false">AO82-AP82</f>
        <v>0</v>
      </c>
      <c r="AQ85" s="69" t="n">
        <f aca="false">AP82-AQ82</f>
        <v>0</v>
      </c>
      <c r="AR85" s="69" t="n">
        <f aca="false">AQ82-AR82</f>
        <v>-243.059374997768</v>
      </c>
      <c r="AS85" s="69" t="n">
        <f aca="false">AR82-AS82</f>
        <v>0</v>
      </c>
      <c r="AT85" s="69" t="n">
        <f aca="false">AS82-AT82</f>
        <v>0</v>
      </c>
      <c r="AU85" s="69" t="n">
        <f aca="false">AT82-AU82</f>
        <v>243.059374997768</v>
      </c>
      <c r="AV85" s="69" t="n">
        <f aca="false">AU82-AV82</f>
        <v>0</v>
      </c>
      <c r="AW85" s="69" t="n">
        <f aca="false">AV82-AW82</f>
        <v>0</v>
      </c>
      <c r="AX85" s="69" t="n">
        <f aca="false">AW82-AX82</f>
        <v>-243.059374997768</v>
      </c>
      <c r="AY85" s="69" t="n">
        <f aca="false">AX82-AY82</f>
        <v>-41.5620491577474</v>
      </c>
      <c r="AZ85" s="69" t="n">
        <f aca="false">AY82-AZ82</f>
        <v>0</v>
      </c>
      <c r="BA85" s="69" t="n">
        <f aca="false">AZ82-BA82</f>
        <v>0</v>
      </c>
      <c r="BB85" s="69" t="n">
        <f aca="false">BA82-BB82</f>
        <v>0</v>
      </c>
      <c r="BC85" s="69" t="n">
        <f aca="false">BB82-BC82</f>
        <v>0</v>
      </c>
      <c r="BD85" s="69" t="n">
        <f aca="false">BC82-BD82</f>
        <v>-257.861690935132</v>
      </c>
      <c r="BE85" s="69" t="n">
        <f aca="false">BD82-BE82</f>
        <v>0</v>
      </c>
      <c r="BF85" s="69" t="n">
        <f aca="false">BE82-BF82</f>
        <v>0</v>
      </c>
      <c r="BG85" s="69" t="n">
        <f aca="false">BF82-BG82</f>
        <v>257.861690935132</v>
      </c>
      <c r="BH85" s="69" t="n">
        <f aca="false">BG82-BH82</f>
        <v>0</v>
      </c>
      <c r="BI85" s="69" t="n">
        <f aca="false">BH82-BI82</f>
        <v>0</v>
      </c>
      <c r="BJ85" s="69" t="n">
        <f aca="false">BI82-BJ82</f>
        <v>-257.861690935132</v>
      </c>
    </row>
    <row r="86" customFormat="false" ht="15" hidden="false" customHeight="false" outlineLevel="0" collapsed="false">
      <c r="A86" s="6" t="s">
        <v>346</v>
      </c>
      <c r="C86" s="69" t="n">
        <f aca="false">C83</f>
        <v>9141.83644444444</v>
      </c>
      <c r="D86" s="69" t="n">
        <f aca="false">D83-C83</f>
        <v>892.108800000004</v>
      </c>
      <c r="E86" s="69" t="n">
        <f aca="false">E83-D83</f>
        <v>892.1088</v>
      </c>
      <c r="F86" s="69" t="n">
        <f aca="false">F83-E83</f>
        <v>892.108800000002</v>
      </c>
      <c r="G86" s="69" t="n">
        <f aca="false">G83-F83</f>
        <v>892.1088</v>
      </c>
      <c r="H86" s="69" t="n">
        <f aca="false">H83-G83</f>
        <v>1485.8208</v>
      </c>
      <c r="I86" s="69" t="n">
        <f aca="false">I83-H83</f>
        <v>942.998399999999</v>
      </c>
      <c r="J86" s="69" t="n">
        <f aca="false">J83-I83</f>
        <v>942.998400000004</v>
      </c>
      <c r="K86" s="69" t="n">
        <f aca="false">K83-J83</f>
        <v>196.6176</v>
      </c>
      <c r="L86" s="69" t="n">
        <f aca="false">L83-K83</f>
        <v>892.108799999995</v>
      </c>
      <c r="M86" s="69" t="n">
        <f aca="false">M83-L83</f>
        <v>892.108800000002</v>
      </c>
      <c r="N86" s="69" t="n">
        <f aca="false">N83-M83</f>
        <v>848.160000000004</v>
      </c>
      <c r="O86" s="69" t="n">
        <f aca="false">O83-N83</f>
        <v>153.163765333331</v>
      </c>
      <c r="P86" s="69" t="n">
        <f aca="false">P83-O83</f>
        <v>0</v>
      </c>
      <c r="Q86" s="69" t="n">
        <f aca="false">Q83-P83</f>
        <v>0</v>
      </c>
      <c r="R86" s="69" t="n">
        <f aca="false">R83-Q83</f>
        <v>0</v>
      </c>
      <c r="S86" s="69" t="n">
        <f aca="false">S83-R83</f>
        <v>0</v>
      </c>
      <c r="T86" s="69" t="n">
        <f aca="false">T83-S83</f>
        <v>899.812944000001</v>
      </c>
      <c r="U86" s="69" t="n">
        <f aca="false">U83-T83</f>
        <v>0</v>
      </c>
      <c r="V86" s="69" t="n">
        <f aca="false">V83-U83</f>
        <v>0</v>
      </c>
      <c r="W86" s="69" t="n">
        <f aca="false">W83-V83</f>
        <v>-899.812944000001</v>
      </c>
      <c r="X86" s="69" t="n">
        <f aca="false">X83-W83</f>
        <v>0</v>
      </c>
      <c r="Y86" s="69" t="n">
        <f aca="false">Y83-X83</f>
        <v>0</v>
      </c>
      <c r="Z86" s="69" t="n">
        <f aca="false">Z83-Y83</f>
        <v>899.812944000001</v>
      </c>
      <c r="AA86" s="69" t="n">
        <f aca="false">AA83-Z83</f>
        <v>159.530188642129</v>
      </c>
      <c r="AB86" s="69" t="n">
        <f aca="false">AB83-AA83</f>
        <v>0</v>
      </c>
      <c r="AC86" s="69" t="n">
        <f aca="false">AC83-AB83</f>
        <v>0</v>
      </c>
      <c r="AD86" s="69" t="n">
        <f aca="false">AD83-AC83</f>
        <v>0</v>
      </c>
      <c r="AE86" s="69" t="n">
        <f aca="false">AE83-AD83</f>
        <v>0</v>
      </c>
      <c r="AF86" s="69" t="n">
        <f aca="false">AF83-AE83</f>
        <v>954.611552289596</v>
      </c>
      <c r="AG86" s="69" t="n">
        <f aca="false">AG83-AF83</f>
        <v>0</v>
      </c>
      <c r="AH86" s="69" t="n">
        <f aca="false">AH83-AG83</f>
        <v>0</v>
      </c>
      <c r="AI86" s="69" t="n">
        <f aca="false">AI83-AH83</f>
        <v>-954.611552289596</v>
      </c>
      <c r="AJ86" s="69" t="n">
        <f aca="false">AJ83-AI83</f>
        <v>0</v>
      </c>
      <c r="AK86" s="69" t="n">
        <f aca="false">AK83-AJ83</f>
        <v>0</v>
      </c>
      <c r="AL86" s="69" t="n">
        <f aca="false">AL83-AK83</f>
        <v>954.611552289596</v>
      </c>
      <c r="AM86" s="69" t="n">
        <f aca="false">AM83-AL83</f>
        <v>166.195489630445</v>
      </c>
      <c r="AN86" s="69" t="n">
        <f aca="false">AN83-AM83</f>
        <v>0</v>
      </c>
      <c r="AO86" s="69" t="n">
        <f aca="false">AO83-AN83</f>
        <v>0</v>
      </c>
      <c r="AP86" s="69" t="n">
        <f aca="false">AP83-AO83</f>
        <v>0</v>
      </c>
      <c r="AQ86" s="69" t="n">
        <f aca="false">AQ83-AP83</f>
        <v>0</v>
      </c>
      <c r="AR86" s="69" t="n">
        <f aca="false">AR83-AQ83</f>
        <v>1012.74739582404</v>
      </c>
      <c r="AS86" s="69" t="n">
        <f aca="false">AS83-AR83</f>
        <v>0</v>
      </c>
      <c r="AT86" s="69" t="n">
        <f aca="false">AT83-AS83</f>
        <v>0</v>
      </c>
      <c r="AU86" s="69" t="n">
        <f aca="false">AU83-AT83</f>
        <v>-1012.74739582404</v>
      </c>
      <c r="AV86" s="69" t="n">
        <f aca="false">AV83-AU83</f>
        <v>0</v>
      </c>
      <c r="AW86" s="69" t="n">
        <f aca="false">AW83-AV83</f>
        <v>0</v>
      </c>
      <c r="AX86" s="69" t="n">
        <f aca="false">AX83-AW83</f>
        <v>1012.74739582404</v>
      </c>
      <c r="AY86" s="69" t="n">
        <f aca="false">AY83-AX83</f>
        <v>173.175204823943</v>
      </c>
      <c r="AZ86" s="69" t="n">
        <f aca="false">AZ83-AY83</f>
        <v>0</v>
      </c>
      <c r="BA86" s="69" t="n">
        <f aca="false">BA83-AZ83</f>
        <v>0</v>
      </c>
      <c r="BB86" s="69" t="n">
        <f aca="false">BB83-BA83</f>
        <v>0</v>
      </c>
      <c r="BC86" s="69" t="n">
        <f aca="false">BC83-BB83</f>
        <v>0</v>
      </c>
      <c r="BD86" s="69" t="n">
        <f aca="false">BD83-BC83</f>
        <v>1074.42371222972</v>
      </c>
      <c r="BE86" s="69" t="n">
        <f aca="false">BE83-BD83</f>
        <v>0</v>
      </c>
      <c r="BF86" s="69" t="n">
        <f aca="false">BF83-BE83</f>
        <v>0</v>
      </c>
      <c r="BG86" s="69" t="n">
        <f aca="false">BG83-BF83</f>
        <v>-1074.42371222972</v>
      </c>
      <c r="BH86" s="69" t="n">
        <f aca="false">BH83-BG83</f>
        <v>0</v>
      </c>
      <c r="BI86" s="69" t="n">
        <f aca="false">BI83-BH83</f>
        <v>0</v>
      </c>
      <c r="BJ86" s="69" t="n">
        <f aca="false">BJ83-BI83</f>
        <v>1074.42371222972</v>
      </c>
    </row>
    <row r="88" customFormat="false" ht="15.75" hidden="false" customHeight="true" outlineLevel="0" collapsed="false">
      <c r="A88" s="7" t="s">
        <v>444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customFormat="false" ht="15" hidden="false" customHeight="false" outlineLevel="0" collapsed="false">
      <c r="A89" s="4" t="s">
        <v>52</v>
      </c>
      <c r="C89" s="75" t="n">
        <f aca="false">C59-C70+C84+C85+C86</f>
        <v>-16920.3308622222</v>
      </c>
      <c r="D89" s="75" t="n">
        <f aca="false">D59-D70+D84+D85+D86</f>
        <v>-19198.8403893333</v>
      </c>
      <c r="E89" s="75" t="n">
        <f aca="false">E59-E70+E84+E85+E86</f>
        <v>-16618.3652533333</v>
      </c>
      <c r="F89" s="75" t="n">
        <f aca="false">F59-F70+F84+F85+F86</f>
        <v>-14037.8901173333</v>
      </c>
      <c r="G89" s="75" t="n">
        <f aca="false">G59-G70+G84+G85+G86</f>
        <v>-11457.4149813333</v>
      </c>
      <c r="H89" s="75" t="n">
        <f aca="false">H59-H70+H84+H85+H86</f>
        <v>-3238.65488533334</v>
      </c>
      <c r="I89" s="75" t="n">
        <f aca="false">I59-I70+I84+I85+I86</f>
        <v>-190.730501333334</v>
      </c>
      <c r="J89" s="75" t="n">
        <f aca="false">J59-J70+J84+J85+J86</f>
        <v>2871.66914666667</v>
      </c>
      <c r="K89" s="75" t="n">
        <f aca="false">K59-K70+K84+K85+K86</f>
        <v>-1154.06086933334</v>
      </c>
      <c r="L89" s="75" t="n">
        <f aca="false">L59-L70+L84+L85+L86</f>
        <v>1444.96069866666</v>
      </c>
      <c r="M89" s="75" t="n">
        <f aca="false">M59-M70+M84+M85+M86</f>
        <v>4025.43583466666</v>
      </c>
      <c r="N89" s="75" t="n">
        <f aca="false">N59-N70+N84+N85+N86</f>
        <v>11664.6950666667</v>
      </c>
      <c r="O89" s="75" t="n">
        <f aca="false">O59-O70+O84+O85+O86</f>
        <v>6361.44033456</v>
      </c>
      <c r="P89" s="75" t="n">
        <f aca="false">P59-P70+P84+P85+P86</f>
        <v>5889.37202970667</v>
      </c>
      <c r="Q89" s="75" t="n">
        <f aca="false">Q59-Q70+Q84+Q85+Q86</f>
        <v>5901.87202970667</v>
      </c>
      <c r="R89" s="75" t="n">
        <f aca="false">R59-R70+R84+R85+R86</f>
        <v>5914.37202970667</v>
      </c>
      <c r="S89" s="75" t="n">
        <f aca="false">S59-S70+S84+S85+S86</f>
        <v>5926.87202970667</v>
      </c>
      <c r="T89" s="75" t="n">
        <f aca="false">T59-T70+T84+T85+T86</f>
        <v>14484.5956212267</v>
      </c>
      <c r="U89" s="75" t="n">
        <f aca="false">U59-U70+U84+U85+U86</f>
        <v>14473.1006093867</v>
      </c>
      <c r="V89" s="75" t="n">
        <f aca="false">V59-V70+V84+V85+V86</f>
        <v>14485.6006093867</v>
      </c>
      <c r="W89" s="75" t="n">
        <f aca="false">W59-W70+W84+W85+W86</f>
        <v>5952.87701786667</v>
      </c>
      <c r="X89" s="75" t="n">
        <f aca="false">X59-X70+X84+X85+X86</f>
        <v>5989.37202970667</v>
      </c>
      <c r="Y89" s="75" t="n">
        <f aca="false">Y59-Y70+Y84+Y85+Y86</f>
        <v>6001.87202970667</v>
      </c>
      <c r="Z89" s="75" t="n">
        <f aca="false">Z59-Z70+Z84+Z85+Z86</f>
        <v>14559.5956212267</v>
      </c>
      <c r="AA89" s="75" t="n">
        <f aca="false">AA59-AA70+AA84+AA85+AA86</f>
        <v>8780.24153843469</v>
      </c>
      <c r="AB89" s="75" t="n">
        <f aca="false">AB59-AB70+AB84+AB85+AB86</f>
        <v>8280.91357381579</v>
      </c>
      <c r="AC89" s="75" t="n">
        <f aca="false">AC59-AC70+AC84+AC85+AC86</f>
        <v>7694.55221155984</v>
      </c>
      <c r="AD89" s="75" t="n">
        <f aca="false">AD59-AD70+AD84+AD85+AD86</f>
        <v>7018.85922331448</v>
      </c>
      <c r="AE89" s="75" t="n">
        <f aca="false">AE59-AE70+AE84+AE85+AE86</f>
        <v>7028.73422331448</v>
      </c>
      <c r="AF89" s="75" t="n">
        <f aca="false">AF59-AF70+AF84+AF85+AF86</f>
        <v>14205.8009375197</v>
      </c>
      <c r="AG89" s="75" t="n">
        <f aca="false">AG59-AG70+AG84+AG85+AG86</f>
        <v>14190.2196294587</v>
      </c>
      <c r="AH89" s="75" t="n">
        <f aca="false">AH59-AH70+AH84+AH85+AH86</f>
        <v>14200.0946294587</v>
      </c>
      <c r="AI89" s="75" t="n">
        <f aca="false">AI59-AI70+AI84+AI85+AI86</f>
        <v>7042.77791525342</v>
      </c>
      <c r="AJ89" s="75" t="n">
        <f aca="false">AJ59-AJ70+AJ84+AJ85+AJ86</f>
        <v>7078.10922331448</v>
      </c>
      <c r="AK89" s="75" t="n">
        <f aca="false">AK59-AK70+AK84+AK85+AK86</f>
        <v>7087.98422331448</v>
      </c>
      <c r="AL89" s="75" t="n">
        <f aca="false">AL59-AL70+AL84+AL85+AL86</f>
        <v>14265.0509375197</v>
      </c>
      <c r="AM89" s="75" t="n">
        <f aca="false">AM59-AM70+AM84+AM85+AM86</f>
        <v>9459.98183562979</v>
      </c>
      <c r="AN89" s="75" t="n">
        <f aca="false">AN59-AN70+AN84+AN85+AN86</f>
        <v>8929.17661446559</v>
      </c>
      <c r="AO89" s="75" t="n">
        <f aca="false">AO59-AO70+AO84+AO85+AO86</f>
        <v>8939.05161446559</v>
      </c>
      <c r="AP89" s="75" t="n">
        <f aca="false">AP59-AP70+AP84+AP85+AP86</f>
        <v>8948.92661446559</v>
      </c>
      <c r="AQ89" s="75" t="n">
        <f aca="false">AQ59-AQ70+AQ84+AQ85+AQ86</f>
        <v>8958.80161446559</v>
      </c>
      <c r="AR89" s="75" t="n">
        <f aca="false">AR59-AR70+AR84+AR85+AR86</f>
        <v>16572.3503040659</v>
      </c>
      <c r="AS89" s="75" t="n">
        <f aca="false">AS59-AS70+AS84+AS85+AS86</f>
        <v>16555.2187068439</v>
      </c>
      <c r="AT89" s="75" t="n">
        <f aca="false">AT59-AT70+AT84+AT85+AT86</f>
        <v>16565.0937068439</v>
      </c>
      <c r="AU89" s="75" t="n">
        <f aca="false">AU59-AU70+AU84+AU85+AU86</f>
        <v>8971.29501724362</v>
      </c>
      <c r="AV89" s="75" t="n">
        <f aca="false">AV59-AV70+AV84+AV85+AV86</f>
        <v>9008.1766144656</v>
      </c>
      <c r="AW89" s="75" t="n">
        <f aca="false">AW59-AW70+AW84+AW85+AW86</f>
        <v>9018.0516144656</v>
      </c>
      <c r="AX89" s="75" t="n">
        <f aca="false">AX59-AX70+AX84+AX85+AX86</f>
        <v>16631.6003040659</v>
      </c>
      <c r="AY89" s="75" t="n">
        <f aca="false">AY59-AY70+AY84+AY85+AY86</f>
        <v>11464.4911262344</v>
      </c>
      <c r="AZ89" s="75" t="n">
        <f aca="false">AZ59-AZ70+AZ84+AZ85+AZ86</f>
        <v>10903.1460880963</v>
      </c>
      <c r="BA89" s="75" t="n">
        <f aca="false">BA59-BA70+BA84+BA85+BA86</f>
        <v>10913.0210880963</v>
      </c>
      <c r="BB89" s="75" t="n">
        <f aca="false">BB59-BB70+BB84+BB85+BB86</f>
        <v>10922.8960880963</v>
      </c>
      <c r="BC89" s="75" t="n">
        <f aca="false">BC59-BC70+BC84+BC85+BC86</f>
        <v>10932.7710880963</v>
      </c>
      <c r="BD89" s="75" t="n">
        <f aca="false">BD59-BD70+BD84+BD85+BD86</f>
        <v>19009.3835053933</v>
      </c>
      <c r="BE89" s="75" t="n">
        <f aca="false">BE59-BE70+BE84+BE85+BE86</f>
        <v>18990.6072064006</v>
      </c>
      <c r="BF89" s="75" t="n">
        <f aca="false">BF59-BF70+BF84+BF85+BF86</f>
        <v>19000.4822064006</v>
      </c>
      <c r="BG89" s="75" t="n">
        <f aca="false">BG59-BG70+BG84+BG85+BG86</f>
        <v>10943.6197891036</v>
      </c>
      <c r="BH89" s="75" t="n">
        <f aca="false">BH59-BH70+BH84+BH85+BH86</f>
        <v>10982.1460880963</v>
      </c>
      <c r="BI89" s="75" t="n">
        <f aca="false">BI59-BI70+BI84+BI85+BI86</f>
        <v>10992.0210880963</v>
      </c>
      <c r="BJ89" s="75" t="n">
        <f aca="false">BJ59-BJ70+BJ84+BJ85+BJ86</f>
        <v>19068.6335053933</v>
      </c>
    </row>
    <row r="90" customFormat="false" ht="15" hidden="false" customHeight="false" outlineLevel="0" collapsed="false">
      <c r="A90" s="6" t="s">
        <v>445</v>
      </c>
      <c r="C90" s="69" t="n">
        <f aca="false">-C67</f>
        <v>-189000</v>
      </c>
      <c r="D90" s="69" t="n">
        <f aca="false">-D67</f>
        <v>-0</v>
      </c>
      <c r="E90" s="69" t="n">
        <f aca="false">-E67</f>
        <v>-0</v>
      </c>
      <c r="F90" s="69" t="n">
        <f aca="false">-F67</f>
        <v>-0</v>
      </c>
      <c r="G90" s="69" t="n">
        <f aca="false">-G67</f>
        <v>-0</v>
      </c>
      <c r="H90" s="69" t="n">
        <f aca="false">-H67</f>
        <v>-0</v>
      </c>
      <c r="I90" s="69" t="n">
        <f aca="false">-I67</f>
        <v>-0</v>
      </c>
      <c r="J90" s="69" t="n">
        <f aca="false">-J67</f>
        <v>-0</v>
      </c>
      <c r="K90" s="69" t="n">
        <f aca="false">-K67</f>
        <v>-0</v>
      </c>
      <c r="L90" s="69" t="n">
        <f aca="false">-L67</f>
        <v>-0</v>
      </c>
      <c r="M90" s="69" t="n">
        <f aca="false">-M67</f>
        <v>-0</v>
      </c>
      <c r="N90" s="69" t="n">
        <f aca="false">-N67</f>
        <v>-0</v>
      </c>
      <c r="O90" s="69" t="n">
        <f aca="false">-O67</f>
        <v>-10000</v>
      </c>
      <c r="P90" s="69" t="n">
        <f aca="false">-P67</f>
        <v>-0</v>
      </c>
      <c r="Q90" s="69" t="n">
        <f aca="false">-Q67</f>
        <v>-0</v>
      </c>
      <c r="R90" s="69" t="n">
        <f aca="false">-R67</f>
        <v>-0</v>
      </c>
      <c r="S90" s="69" t="n">
        <f aca="false">-S67</f>
        <v>-0</v>
      </c>
      <c r="T90" s="69" t="n">
        <f aca="false">-T67</f>
        <v>-0</v>
      </c>
      <c r="U90" s="69" t="n">
        <f aca="false">-U67</f>
        <v>-0</v>
      </c>
      <c r="V90" s="69" t="n">
        <f aca="false">-V67</f>
        <v>-0</v>
      </c>
      <c r="W90" s="69" t="n">
        <f aca="false">-W67</f>
        <v>-0</v>
      </c>
      <c r="X90" s="69" t="n">
        <f aca="false">-X67</f>
        <v>-0</v>
      </c>
      <c r="Y90" s="69" t="n">
        <f aca="false">-Y67</f>
        <v>-0</v>
      </c>
      <c r="Z90" s="69" t="n">
        <f aca="false">-Z67</f>
        <v>-0</v>
      </c>
      <c r="AA90" s="69" t="n">
        <f aca="false">-AA67</f>
        <v>-10000</v>
      </c>
      <c r="AB90" s="69" t="n">
        <f aca="false">-AB67</f>
        <v>-0</v>
      </c>
      <c r="AC90" s="69" t="n">
        <f aca="false">-AC67</f>
        <v>-0</v>
      </c>
      <c r="AD90" s="69" t="n">
        <f aca="false">-AD67</f>
        <v>-0</v>
      </c>
      <c r="AE90" s="69" t="n">
        <f aca="false">-AE67</f>
        <v>-0</v>
      </c>
      <c r="AF90" s="69" t="n">
        <f aca="false">-AF67</f>
        <v>-0</v>
      </c>
      <c r="AG90" s="69" t="n">
        <f aca="false">-AG67</f>
        <v>-0</v>
      </c>
      <c r="AH90" s="69" t="n">
        <f aca="false">-AH67</f>
        <v>-0</v>
      </c>
      <c r="AI90" s="69" t="n">
        <f aca="false">-AI67</f>
        <v>-0</v>
      </c>
      <c r="AJ90" s="69" t="n">
        <f aca="false">-AJ67</f>
        <v>-0</v>
      </c>
      <c r="AK90" s="69" t="n">
        <f aca="false">-AK67</f>
        <v>-0</v>
      </c>
      <c r="AL90" s="69" t="n">
        <f aca="false">-AL67</f>
        <v>-0</v>
      </c>
      <c r="AM90" s="69" t="n">
        <f aca="false">-AM67</f>
        <v>-10000</v>
      </c>
      <c r="AN90" s="69" t="n">
        <f aca="false">-AN67</f>
        <v>-0</v>
      </c>
      <c r="AO90" s="69" t="n">
        <f aca="false">-AO67</f>
        <v>-0</v>
      </c>
      <c r="AP90" s="69" t="n">
        <f aca="false">-AP67</f>
        <v>-0</v>
      </c>
      <c r="AQ90" s="69" t="n">
        <f aca="false">-AQ67</f>
        <v>-0</v>
      </c>
      <c r="AR90" s="69" t="n">
        <f aca="false">-AR67</f>
        <v>-0</v>
      </c>
      <c r="AS90" s="69" t="n">
        <f aca="false">-AS67</f>
        <v>-0</v>
      </c>
      <c r="AT90" s="69" t="n">
        <f aca="false">-AT67</f>
        <v>-0</v>
      </c>
      <c r="AU90" s="69" t="n">
        <f aca="false">-AU67</f>
        <v>-0</v>
      </c>
      <c r="AV90" s="69" t="n">
        <f aca="false">-AV67</f>
        <v>-0</v>
      </c>
      <c r="AW90" s="69" t="n">
        <f aca="false">-AW67</f>
        <v>-0</v>
      </c>
      <c r="AX90" s="69" t="n">
        <f aca="false">-AX67</f>
        <v>-0</v>
      </c>
      <c r="AY90" s="69" t="n">
        <f aca="false">-AY67</f>
        <v>-10000</v>
      </c>
      <c r="AZ90" s="69" t="n">
        <f aca="false">-AZ67</f>
        <v>-0</v>
      </c>
      <c r="BA90" s="69" t="n">
        <f aca="false">-BA67</f>
        <v>-0</v>
      </c>
      <c r="BB90" s="69" t="n">
        <f aca="false">-BB67</f>
        <v>-0</v>
      </c>
      <c r="BC90" s="69" t="n">
        <f aca="false">-BC67</f>
        <v>-0</v>
      </c>
      <c r="BD90" s="69" t="n">
        <f aca="false">-BD67</f>
        <v>-0</v>
      </c>
      <c r="BE90" s="69" t="n">
        <f aca="false">-BE67</f>
        <v>-0</v>
      </c>
      <c r="BF90" s="69" t="n">
        <f aca="false">-BF67</f>
        <v>-0</v>
      </c>
      <c r="BG90" s="69" t="n">
        <f aca="false">-BG67</f>
        <v>-0</v>
      </c>
      <c r="BH90" s="69" t="n">
        <f aca="false">-BH67</f>
        <v>-0</v>
      </c>
      <c r="BI90" s="69" t="n">
        <f aca="false">-BI67</f>
        <v>-0</v>
      </c>
      <c r="BJ90" s="69" t="n">
        <f aca="false">-BJ67</f>
        <v>-0</v>
      </c>
    </row>
    <row r="91" customFormat="false" ht="15" hidden="false" customHeight="false" outlineLevel="0" collapsed="false">
      <c r="A91" s="6" t="s">
        <v>64</v>
      </c>
      <c r="C91" s="69" t="n">
        <f aca="false">IF(C$4=1,Inputs!$E$71,0)</f>
        <v>330000</v>
      </c>
      <c r="D91" s="69" t="n">
        <f aca="false">IF(D$4=1,Inputs!$E$71,0)</f>
        <v>0</v>
      </c>
      <c r="E91" s="69" t="n">
        <f aca="false">IF(E$4=1,Inputs!$E$71,0)</f>
        <v>0</v>
      </c>
      <c r="F91" s="69" t="n">
        <f aca="false">IF(F$4=1,Inputs!$E$71,0)</f>
        <v>0</v>
      </c>
      <c r="G91" s="69" t="n">
        <f aca="false">IF(G$4=1,Inputs!$E$71,0)</f>
        <v>0</v>
      </c>
      <c r="H91" s="69" t="n">
        <f aca="false">IF(H$4=1,Inputs!$E$71,0)</f>
        <v>0</v>
      </c>
      <c r="I91" s="69" t="n">
        <f aca="false">IF(I$4=1,Inputs!$E$71,0)</f>
        <v>0</v>
      </c>
      <c r="J91" s="69" t="n">
        <f aca="false">IF(J$4=1,Inputs!$E$71,0)</f>
        <v>0</v>
      </c>
      <c r="K91" s="69" t="n">
        <f aca="false">IF(K$4=1,Inputs!$E$71,0)</f>
        <v>0</v>
      </c>
      <c r="L91" s="69" t="n">
        <f aca="false">IF(L$4=1,Inputs!$E$71,0)</f>
        <v>0</v>
      </c>
      <c r="M91" s="69" t="n">
        <f aca="false">IF(M$4=1,Inputs!$E$71,0)</f>
        <v>0</v>
      </c>
      <c r="N91" s="69" t="n">
        <f aca="false">IF(N$4=1,Inputs!$E$71,0)</f>
        <v>0</v>
      </c>
      <c r="O91" s="69" t="n">
        <f aca="false">IF(O$4=1,Inputs!$E$71,0)</f>
        <v>0</v>
      </c>
      <c r="P91" s="69" t="n">
        <f aca="false">IF(P$4=1,Inputs!$E$71,0)</f>
        <v>0</v>
      </c>
      <c r="Q91" s="69" t="n">
        <f aca="false">IF(Q$4=1,Inputs!$E$71,0)</f>
        <v>0</v>
      </c>
      <c r="R91" s="69" t="n">
        <f aca="false">IF(R$4=1,Inputs!$E$71,0)</f>
        <v>0</v>
      </c>
      <c r="S91" s="69" t="n">
        <f aca="false">IF(S$4=1,Inputs!$E$71,0)</f>
        <v>0</v>
      </c>
      <c r="T91" s="69" t="n">
        <f aca="false">IF(T$4=1,Inputs!$E$71,0)</f>
        <v>0</v>
      </c>
      <c r="U91" s="69" t="n">
        <f aca="false">IF(U$4=1,Inputs!$E$71,0)</f>
        <v>0</v>
      </c>
      <c r="V91" s="69" t="n">
        <f aca="false">IF(V$4=1,Inputs!$E$71,0)</f>
        <v>0</v>
      </c>
      <c r="W91" s="69" t="n">
        <f aca="false">IF(W$4=1,Inputs!$E$71,0)</f>
        <v>0</v>
      </c>
      <c r="X91" s="69" t="n">
        <f aca="false">IF(X$4=1,Inputs!$E$71,0)</f>
        <v>0</v>
      </c>
      <c r="Y91" s="69" t="n">
        <f aca="false">IF(Y$4=1,Inputs!$E$71,0)</f>
        <v>0</v>
      </c>
      <c r="Z91" s="69" t="n">
        <f aca="false">IF(Z$4=1,Inputs!$E$71,0)</f>
        <v>0</v>
      </c>
      <c r="AA91" s="69" t="n">
        <f aca="false">IF(AA$4=1,Inputs!$E$71,0)</f>
        <v>0</v>
      </c>
      <c r="AB91" s="69" t="n">
        <f aca="false">IF(AB$4=1,Inputs!$E$71,0)</f>
        <v>0</v>
      </c>
      <c r="AC91" s="69" t="n">
        <f aca="false">IF(AC$4=1,Inputs!$E$71,0)</f>
        <v>0</v>
      </c>
      <c r="AD91" s="69" t="n">
        <f aca="false">IF(AD$4=1,Inputs!$E$71,0)</f>
        <v>0</v>
      </c>
      <c r="AE91" s="69" t="n">
        <f aca="false">IF(AE$4=1,Inputs!$E$71,0)</f>
        <v>0</v>
      </c>
      <c r="AF91" s="69" t="n">
        <f aca="false">IF(AF$4=1,Inputs!$E$71,0)</f>
        <v>0</v>
      </c>
      <c r="AG91" s="69" t="n">
        <f aca="false">IF(AG$4=1,Inputs!$E$71,0)</f>
        <v>0</v>
      </c>
      <c r="AH91" s="69" t="n">
        <f aca="false">IF(AH$4=1,Inputs!$E$71,0)</f>
        <v>0</v>
      </c>
      <c r="AI91" s="69" t="n">
        <f aca="false">IF(AI$4=1,Inputs!$E$71,0)</f>
        <v>0</v>
      </c>
      <c r="AJ91" s="69" t="n">
        <f aca="false">IF(AJ$4=1,Inputs!$E$71,0)</f>
        <v>0</v>
      </c>
      <c r="AK91" s="69" t="n">
        <f aca="false">IF(AK$4=1,Inputs!$E$71,0)</f>
        <v>0</v>
      </c>
      <c r="AL91" s="69" t="n">
        <f aca="false">IF(AL$4=1,Inputs!$E$71,0)</f>
        <v>0</v>
      </c>
      <c r="AM91" s="69" t="n">
        <f aca="false">IF(AM$4=1,Inputs!$E$71,0)</f>
        <v>0</v>
      </c>
      <c r="AN91" s="69" t="n">
        <f aca="false">IF(AN$4=1,Inputs!$E$71,0)</f>
        <v>0</v>
      </c>
      <c r="AO91" s="69" t="n">
        <f aca="false">IF(AO$4=1,Inputs!$E$71,0)</f>
        <v>0</v>
      </c>
      <c r="AP91" s="69" t="n">
        <f aca="false">IF(AP$4=1,Inputs!$E$71,0)</f>
        <v>0</v>
      </c>
      <c r="AQ91" s="69" t="n">
        <f aca="false">IF(AQ$4=1,Inputs!$E$71,0)</f>
        <v>0</v>
      </c>
      <c r="AR91" s="69" t="n">
        <f aca="false">IF(AR$4=1,Inputs!$E$71,0)</f>
        <v>0</v>
      </c>
      <c r="AS91" s="69" t="n">
        <f aca="false">IF(AS$4=1,Inputs!$E$71,0)</f>
        <v>0</v>
      </c>
      <c r="AT91" s="69" t="n">
        <f aca="false">IF(AT$4=1,Inputs!$E$71,0)</f>
        <v>0</v>
      </c>
      <c r="AU91" s="69" t="n">
        <f aca="false">IF(AU$4=1,Inputs!$E$71,0)</f>
        <v>0</v>
      </c>
      <c r="AV91" s="69" t="n">
        <f aca="false">IF(AV$4=1,Inputs!$E$71,0)</f>
        <v>0</v>
      </c>
      <c r="AW91" s="69" t="n">
        <f aca="false">IF(AW$4=1,Inputs!$E$71,0)</f>
        <v>0</v>
      </c>
      <c r="AX91" s="69" t="n">
        <f aca="false">IF(AX$4=1,Inputs!$E$71,0)</f>
        <v>0</v>
      </c>
      <c r="AY91" s="69" t="n">
        <f aca="false">IF(AY$4=1,Inputs!$E$71,0)</f>
        <v>0</v>
      </c>
      <c r="AZ91" s="69" t="n">
        <f aca="false">IF(AZ$4=1,Inputs!$E$71,0)</f>
        <v>0</v>
      </c>
      <c r="BA91" s="69" t="n">
        <f aca="false">IF(BA$4=1,Inputs!$E$71,0)</f>
        <v>0</v>
      </c>
      <c r="BB91" s="69" t="n">
        <f aca="false">IF(BB$4=1,Inputs!$E$71,0)</f>
        <v>0</v>
      </c>
      <c r="BC91" s="69" t="n">
        <f aca="false">IF(BC$4=1,Inputs!$E$71,0)</f>
        <v>0</v>
      </c>
      <c r="BD91" s="69" t="n">
        <f aca="false">IF(BD$4=1,Inputs!$E$71,0)</f>
        <v>0</v>
      </c>
      <c r="BE91" s="69" t="n">
        <f aca="false">IF(BE$4=1,Inputs!$E$71,0)</f>
        <v>0</v>
      </c>
      <c r="BF91" s="69" t="n">
        <f aca="false">IF(BF$4=1,Inputs!$E$71,0)</f>
        <v>0</v>
      </c>
      <c r="BG91" s="69" t="n">
        <f aca="false">IF(BG$4=1,Inputs!$E$71,0)</f>
        <v>0</v>
      </c>
      <c r="BH91" s="69" t="n">
        <f aca="false">IF(BH$4=1,Inputs!$E$71,0)</f>
        <v>0</v>
      </c>
      <c r="BI91" s="69" t="n">
        <f aca="false">IF(BI$4=1,Inputs!$E$71,0)</f>
        <v>0</v>
      </c>
      <c r="BJ91" s="69" t="n">
        <f aca="false">IF(BJ$4=1,Inputs!$E$71,0)</f>
        <v>0</v>
      </c>
    </row>
    <row r="92" customFormat="false" ht="15" hidden="false" customHeight="false" outlineLevel="0" collapsed="false">
      <c r="A92" s="6" t="s">
        <v>54</v>
      </c>
      <c r="C92" s="69" t="n">
        <f aca="false">C91+C76+C77</f>
        <v>430000</v>
      </c>
      <c r="D92" s="69" t="n">
        <f aca="false">D91+D76+D77</f>
        <v>-1666.66666666667</v>
      </c>
      <c r="E92" s="69" t="n">
        <f aca="false">E91+E76+E77</f>
        <v>-1666.66666666667</v>
      </c>
      <c r="F92" s="69" t="n">
        <f aca="false">F91+F76+F77</f>
        <v>-1666.66666666667</v>
      </c>
      <c r="G92" s="69" t="n">
        <f aca="false">G91+G76+G77</f>
        <v>-1666.66666666667</v>
      </c>
      <c r="H92" s="69" t="n">
        <f aca="false">H91+H76+H77</f>
        <v>-1666.66666666667</v>
      </c>
      <c r="I92" s="69" t="n">
        <f aca="false">I91+I76+I77</f>
        <v>-1666.66666666667</v>
      </c>
      <c r="J92" s="69" t="n">
        <f aca="false">J91+J76+J77</f>
        <v>-1666.66666666667</v>
      </c>
      <c r="K92" s="69" t="n">
        <f aca="false">K91+K76+K77</f>
        <v>-1666.66666666667</v>
      </c>
      <c r="L92" s="69" t="n">
        <f aca="false">L91+L76+L77</f>
        <v>-1666.66666666667</v>
      </c>
      <c r="M92" s="69" t="n">
        <f aca="false">M91+M76+M77</f>
        <v>-1666.66666666667</v>
      </c>
      <c r="N92" s="69" t="n">
        <f aca="false">N91+N76+N77</f>
        <v>-1666.66666666667</v>
      </c>
      <c r="O92" s="69" t="n">
        <f aca="false">O91+O76+O77</f>
        <v>-1666.66666666667</v>
      </c>
      <c r="P92" s="69" t="n">
        <f aca="false">P91+P76+P77</f>
        <v>-1666.66666666667</v>
      </c>
      <c r="Q92" s="69" t="n">
        <f aca="false">Q91+Q76+Q77</f>
        <v>-1666.66666666667</v>
      </c>
      <c r="R92" s="69" t="n">
        <f aca="false">R91+R76+R77</f>
        <v>-1666.66666666667</v>
      </c>
      <c r="S92" s="69" t="n">
        <f aca="false">S91+S76+S77</f>
        <v>-1666.66666666667</v>
      </c>
      <c r="T92" s="69" t="n">
        <f aca="false">T91+T76+T77</f>
        <v>-1666.66666666667</v>
      </c>
      <c r="U92" s="69" t="n">
        <f aca="false">U91+U76+U77</f>
        <v>-1666.66666666667</v>
      </c>
      <c r="V92" s="69" t="n">
        <f aca="false">V91+V76+V77</f>
        <v>-1666.66666666667</v>
      </c>
      <c r="W92" s="69" t="n">
        <f aca="false">W91+W76+W77</f>
        <v>-1666.66666666667</v>
      </c>
      <c r="X92" s="69" t="n">
        <f aca="false">X91+X76+X77</f>
        <v>-1666.66666666667</v>
      </c>
      <c r="Y92" s="69" t="n">
        <f aca="false">Y91+Y76+Y77</f>
        <v>-1666.66666666667</v>
      </c>
      <c r="Z92" s="69" t="n">
        <f aca="false">Z91+Z76+Z77</f>
        <v>-1666.66666666667</v>
      </c>
      <c r="AA92" s="69" t="n">
        <f aca="false">AA91+AA76+AA77</f>
        <v>-1666.66666666667</v>
      </c>
      <c r="AB92" s="69" t="n">
        <f aca="false">AB91+AB76+AB77</f>
        <v>-1666.66666666667</v>
      </c>
      <c r="AC92" s="69" t="n">
        <f aca="false">AC91+AC76+AC77</f>
        <v>-1666.66666666667</v>
      </c>
      <c r="AD92" s="69" t="n">
        <f aca="false">AD91+AD76+AD77</f>
        <v>-1666.66666666667</v>
      </c>
      <c r="AE92" s="69" t="n">
        <f aca="false">AE91+AE76+AE77</f>
        <v>-1666.66666666667</v>
      </c>
      <c r="AF92" s="69" t="n">
        <f aca="false">AF91+AF76+AF77</f>
        <v>-1666.66666666667</v>
      </c>
      <c r="AG92" s="69" t="n">
        <f aca="false">AG91+AG76+AG77</f>
        <v>-1666.66666666667</v>
      </c>
      <c r="AH92" s="69" t="n">
        <f aca="false">AH91+AH76+AH77</f>
        <v>-1666.66666666667</v>
      </c>
      <c r="AI92" s="69" t="n">
        <f aca="false">AI91+AI76+AI77</f>
        <v>-1666.66666666667</v>
      </c>
      <c r="AJ92" s="69" t="n">
        <f aca="false">AJ91+AJ76+AJ77</f>
        <v>-1666.66666666667</v>
      </c>
      <c r="AK92" s="69" t="n">
        <f aca="false">AK91+AK76+AK77</f>
        <v>-1666.66666666667</v>
      </c>
      <c r="AL92" s="69" t="n">
        <f aca="false">AL91+AL76+AL77</f>
        <v>-1666.66666666667</v>
      </c>
      <c r="AM92" s="69" t="n">
        <f aca="false">AM91+AM76+AM77</f>
        <v>-1666.66666666667</v>
      </c>
      <c r="AN92" s="69" t="n">
        <f aca="false">AN91+AN76+AN77</f>
        <v>-1666.66666666667</v>
      </c>
      <c r="AO92" s="69" t="n">
        <f aca="false">AO91+AO76+AO77</f>
        <v>-1666.66666666667</v>
      </c>
      <c r="AP92" s="69" t="n">
        <f aca="false">AP91+AP76+AP77</f>
        <v>-1666.66666666667</v>
      </c>
      <c r="AQ92" s="69" t="n">
        <f aca="false">AQ91+AQ76+AQ77</f>
        <v>-1666.66666666667</v>
      </c>
      <c r="AR92" s="69" t="n">
        <f aca="false">AR91+AR76+AR77</f>
        <v>-1666.66666666667</v>
      </c>
      <c r="AS92" s="69" t="n">
        <f aca="false">AS91+AS76+AS77</f>
        <v>-1666.66666666667</v>
      </c>
      <c r="AT92" s="69" t="n">
        <f aca="false">AT91+AT76+AT77</f>
        <v>-1666.66666666667</v>
      </c>
      <c r="AU92" s="69" t="n">
        <f aca="false">AU91+AU76+AU77</f>
        <v>-1666.66666666667</v>
      </c>
      <c r="AV92" s="69" t="n">
        <f aca="false">AV91+AV76+AV77</f>
        <v>-1666.66666666667</v>
      </c>
      <c r="AW92" s="69" t="n">
        <f aca="false">AW91+AW76+AW77</f>
        <v>-1666.66666666667</v>
      </c>
      <c r="AX92" s="69" t="n">
        <f aca="false">AX91+AX76+AX77</f>
        <v>-1666.66666666667</v>
      </c>
      <c r="AY92" s="69" t="n">
        <f aca="false">AY91+AY76+AY77</f>
        <v>-1666.66666666667</v>
      </c>
      <c r="AZ92" s="69" t="n">
        <f aca="false">AZ91+AZ76+AZ77</f>
        <v>-1666.66666666667</v>
      </c>
      <c r="BA92" s="69" t="n">
        <f aca="false">BA91+BA76+BA77</f>
        <v>-1666.66666666667</v>
      </c>
      <c r="BB92" s="69" t="n">
        <f aca="false">BB91+BB76+BB77</f>
        <v>-1666.66666666667</v>
      </c>
      <c r="BC92" s="69" t="n">
        <f aca="false">BC91+BC76+BC77</f>
        <v>-1666.66666666667</v>
      </c>
      <c r="BD92" s="69" t="n">
        <f aca="false">BD91+BD76+BD77</f>
        <v>-1666.66666666667</v>
      </c>
      <c r="BE92" s="69" t="n">
        <f aca="false">BE91+BE76+BE77</f>
        <v>-1666.66666666667</v>
      </c>
      <c r="BF92" s="69" t="n">
        <f aca="false">BF91+BF76+BF77</f>
        <v>-1666.66666666667</v>
      </c>
      <c r="BG92" s="69" t="n">
        <f aca="false">BG91+BG76+BG77</f>
        <v>-1666.66666666667</v>
      </c>
      <c r="BH92" s="69" t="n">
        <f aca="false">BH91+BH76+BH77</f>
        <v>-1666.66666666667</v>
      </c>
      <c r="BI92" s="69" t="n">
        <f aca="false">BI91+BI76+BI77</f>
        <v>-1666.66666666667</v>
      </c>
      <c r="BJ92" s="69" t="n">
        <f aca="false">BJ91+BJ76+BJ77</f>
        <v>-1666.66666666667</v>
      </c>
    </row>
    <row r="93" customFormat="false" ht="15" hidden="false" customHeight="false" outlineLevel="0" collapsed="false">
      <c r="A93" s="115" t="s">
        <v>446</v>
      </c>
      <c r="C93" s="70" t="n">
        <f aca="false">C89+C90+C92</f>
        <v>224079.669137778</v>
      </c>
      <c r="D93" s="70" t="n">
        <f aca="false">D89+D90+D92</f>
        <v>-20865.507056</v>
      </c>
      <c r="E93" s="70" t="n">
        <f aca="false">E89+E90+E92</f>
        <v>-18285.03192</v>
      </c>
      <c r="F93" s="70" t="n">
        <f aca="false">F89+F90+F92</f>
        <v>-15704.556784</v>
      </c>
      <c r="G93" s="70" t="n">
        <f aca="false">G89+G90+G92</f>
        <v>-13124.081648</v>
      </c>
      <c r="H93" s="70" t="n">
        <f aca="false">H89+H90+H92</f>
        <v>-4905.32155200001</v>
      </c>
      <c r="I93" s="70" t="n">
        <f aca="false">I89+I90+I92</f>
        <v>-1857.397168</v>
      </c>
      <c r="J93" s="70" t="n">
        <f aca="false">J89+J90+J92</f>
        <v>1205.00248</v>
      </c>
      <c r="K93" s="70" t="n">
        <f aca="false">K89+K90+K92</f>
        <v>-2820.72753600001</v>
      </c>
      <c r="L93" s="70" t="n">
        <f aca="false">L89+L90+L92</f>
        <v>-221.705968000009</v>
      </c>
      <c r="M93" s="70" t="n">
        <f aca="false">M89+M90+M92</f>
        <v>2358.769168</v>
      </c>
      <c r="N93" s="70" t="n">
        <f aca="false">N89+N90+N92</f>
        <v>9998.02840000001</v>
      </c>
      <c r="O93" s="70" t="n">
        <f aca="false">O89+O90+O92</f>
        <v>-5305.22633210667</v>
      </c>
      <c r="P93" s="70" t="n">
        <f aca="false">P89+P90+P92</f>
        <v>4222.70536304</v>
      </c>
      <c r="Q93" s="70" t="n">
        <f aca="false">Q89+Q90+Q92</f>
        <v>4235.20536304</v>
      </c>
      <c r="R93" s="70" t="n">
        <f aca="false">R89+R90+R92</f>
        <v>4247.70536304</v>
      </c>
      <c r="S93" s="70" t="n">
        <f aca="false">S89+S90+S92</f>
        <v>4260.20536304</v>
      </c>
      <c r="T93" s="70" t="n">
        <f aca="false">T89+T90+T92</f>
        <v>12817.92895456</v>
      </c>
      <c r="U93" s="70" t="n">
        <f aca="false">U89+U90+U92</f>
        <v>12806.43394272</v>
      </c>
      <c r="V93" s="70" t="n">
        <f aca="false">V89+V90+V92</f>
        <v>12818.93394272</v>
      </c>
      <c r="W93" s="70" t="n">
        <f aca="false">W89+W90+W92</f>
        <v>4286.2103512</v>
      </c>
      <c r="X93" s="70" t="n">
        <f aca="false">X89+X90+X92</f>
        <v>4322.70536304</v>
      </c>
      <c r="Y93" s="70" t="n">
        <f aca="false">Y89+Y90+Y92</f>
        <v>4335.20536304</v>
      </c>
      <c r="Z93" s="70" t="n">
        <f aca="false">Z89+Z90+Z92</f>
        <v>12892.92895456</v>
      </c>
      <c r="AA93" s="70" t="n">
        <f aca="false">AA89+AA90+AA92</f>
        <v>-2886.42512823197</v>
      </c>
      <c r="AB93" s="70" t="n">
        <f aca="false">AB89+AB90+AB92</f>
        <v>6614.24690714913</v>
      </c>
      <c r="AC93" s="70" t="n">
        <f aca="false">AC89+AC90+AC92</f>
        <v>6027.88554489317</v>
      </c>
      <c r="AD93" s="70" t="n">
        <f aca="false">AD89+AD90+AD92</f>
        <v>5352.19255664781</v>
      </c>
      <c r="AE93" s="70" t="n">
        <f aca="false">AE89+AE90+AE92</f>
        <v>5362.06755664781</v>
      </c>
      <c r="AF93" s="70" t="n">
        <f aca="false">AF89+AF90+AF92</f>
        <v>12539.134270853</v>
      </c>
      <c r="AG93" s="70" t="n">
        <f aca="false">AG89+AG90+AG92</f>
        <v>12523.552962792</v>
      </c>
      <c r="AH93" s="70" t="n">
        <f aca="false">AH89+AH90+AH92</f>
        <v>12533.427962792</v>
      </c>
      <c r="AI93" s="70" t="n">
        <f aca="false">AI89+AI90+AI92</f>
        <v>5376.11124858676</v>
      </c>
      <c r="AJ93" s="70" t="n">
        <f aca="false">AJ89+AJ90+AJ92</f>
        <v>5411.44255664781</v>
      </c>
      <c r="AK93" s="70" t="n">
        <f aca="false">AK89+AK90+AK92</f>
        <v>5421.31755664781</v>
      </c>
      <c r="AL93" s="70" t="n">
        <f aca="false">AL89+AL90+AL92</f>
        <v>12598.384270853</v>
      </c>
      <c r="AM93" s="70" t="n">
        <f aca="false">AM89+AM90+AM92</f>
        <v>-2206.68483103688</v>
      </c>
      <c r="AN93" s="70" t="n">
        <f aca="false">AN89+AN90+AN92</f>
        <v>7262.50994779893</v>
      </c>
      <c r="AO93" s="70" t="n">
        <f aca="false">AO89+AO90+AO92</f>
        <v>7272.38494779893</v>
      </c>
      <c r="AP93" s="70" t="n">
        <f aca="false">AP89+AP90+AP92</f>
        <v>7282.25994779893</v>
      </c>
      <c r="AQ93" s="70" t="n">
        <f aca="false">AQ89+AQ90+AQ92</f>
        <v>7292.13494779893</v>
      </c>
      <c r="AR93" s="70" t="n">
        <f aca="false">AR89+AR90+AR92</f>
        <v>14905.6836373993</v>
      </c>
      <c r="AS93" s="70" t="n">
        <f aca="false">AS89+AS90+AS92</f>
        <v>14888.5520401773</v>
      </c>
      <c r="AT93" s="70" t="n">
        <f aca="false">AT89+AT90+AT92</f>
        <v>14898.4270401773</v>
      </c>
      <c r="AU93" s="70" t="n">
        <f aca="false">AU89+AU90+AU92</f>
        <v>7304.62835057695</v>
      </c>
      <c r="AV93" s="70" t="n">
        <f aca="false">AV89+AV90+AV92</f>
        <v>7341.50994779893</v>
      </c>
      <c r="AW93" s="70" t="n">
        <f aca="false">AW89+AW90+AW92</f>
        <v>7351.38494779893</v>
      </c>
      <c r="AX93" s="70" t="n">
        <f aca="false">AX89+AX90+AX92</f>
        <v>14964.9336373993</v>
      </c>
      <c r="AY93" s="70" t="n">
        <f aca="false">AY89+AY90+AY92</f>
        <v>-202.175540432231</v>
      </c>
      <c r="AZ93" s="70" t="n">
        <f aca="false">AZ89+AZ90+AZ92</f>
        <v>9236.47942142967</v>
      </c>
      <c r="BA93" s="70" t="n">
        <f aca="false">BA89+BA90+BA92</f>
        <v>9246.35442142967</v>
      </c>
      <c r="BB93" s="70" t="n">
        <f aca="false">BB89+BB90+BB92</f>
        <v>9256.22942142968</v>
      </c>
      <c r="BC93" s="70" t="n">
        <f aca="false">BC89+BC90+BC92</f>
        <v>9266.10442142968</v>
      </c>
      <c r="BD93" s="70" t="n">
        <f aca="false">BD89+BD90+BD92</f>
        <v>17342.7168387267</v>
      </c>
      <c r="BE93" s="70" t="n">
        <f aca="false">BE89+BE90+BE92</f>
        <v>17323.9405397339</v>
      </c>
      <c r="BF93" s="70" t="n">
        <f aca="false">BF89+BF90+BF92</f>
        <v>17333.8155397339</v>
      </c>
      <c r="BG93" s="70" t="n">
        <f aca="false">BG89+BG90+BG92</f>
        <v>9276.95312243689</v>
      </c>
      <c r="BH93" s="70" t="n">
        <f aca="false">BH89+BH90+BH92</f>
        <v>9315.47942142968</v>
      </c>
      <c r="BI93" s="70" t="n">
        <f aca="false">BI89+BI90+BI92</f>
        <v>9325.35442142968</v>
      </c>
      <c r="BJ93" s="70" t="n">
        <f aca="false">BJ89+BJ90+BJ92</f>
        <v>17401.9668387267</v>
      </c>
    </row>
    <row r="94" customFormat="false" ht="15" hidden="false" customHeight="false" outlineLevel="0" collapsed="false">
      <c r="A94" s="6" t="s">
        <v>347</v>
      </c>
      <c r="C94" s="69" t="n">
        <f aca="false">0</f>
        <v>0</v>
      </c>
      <c r="D94" s="69" t="n">
        <f aca="false">C95</f>
        <v>224079.669137778</v>
      </c>
      <c r="E94" s="69" t="n">
        <f aca="false">D95</f>
        <v>203214.162081778</v>
      </c>
      <c r="F94" s="69" t="n">
        <f aca="false">E95</f>
        <v>184929.130161778</v>
      </c>
      <c r="G94" s="69" t="n">
        <f aca="false">F95</f>
        <v>169224.573377778</v>
      </c>
      <c r="H94" s="69" t="n">
        <f aca="false">G95</f>
        <v>156100.491729778</v>
      </c>
      <c r="I94" s="69" t="n">
        <f aca="false">H95</f>
        <v>151195.170177778</v>
      </c>
      <c r="J94" s="69" t="n">
        <f aca="false">I95</f>
        <v>149337.773009778</v>
      </c>
      <c r="K94" s="69" t="n">
        <f aca="false">J95</f>
        <v>150542.775489778</v>
      </c>
      <c r="L94" s="69" t="n">
        <f aca="false">K95</f>
        <v>147722.047953778</v>
      </c>
      <c r="M94" s="69" t="n">
        <f aca="false">L95</f>
        <v>147500.341985778</v>
      </c>
      <c r="N94" s="69" t="n">
        <f aca="false">M95</f>
        <v>149859.111153778</v>
      </c>
      <c r="O94" s="69" t="n">
        <f aca="false">N95</f>
        <v>159857.139553778</v>
      </c>
      <c r="P94" s="69" t="n">
        <f aca="false">O95</f>
        <v>154551.913221671</v>
      </c>
      <c r="Q94" s="69" t="n">
        <f aca="false">P95</f>
        <v>158774.618584711</v>
      </c>
      <c r="R94" s="69" t="n">
        <f aca="false">Q95</f>
        <v>163009.823947751</v>
      </c>
      <c r="S94" s="69" t="n">
        <f aca="false">R95</f>
        <v>167257.529310791</v>
      </c>
      <c r="T94" s="69" t="n">
        <f aca="false">S95</f>
        <v>171517.734673831</v>
      </c>
      <c r="U94" s="69" t="n">
        <f aca="false">T95</f>
        <v>184335.663628391</v>
      </c>
      <c r="V94" s="69" t="n">
        <f aca="false">U95</f>
        <v>197142.097571111</v>
      </c>
      <c r="W94" s="69" t="n">
        <f aca="false">V95</f>
        <v>209961.031513831</v>
      </c>
      <c r="X94" s="69" t="n">
        <f aca="false">W95</f>
        <v>214247.241865031</v>
      </c>
      <c r="Y94" s="69" t="n">
        <f aca="false">X95</f>
        <v>218569.947228071</v>
      </c>
      <c r="Z94" s="69" t="n">
        <f aca="false">Y95</f>
        <v>222905.152591111</v>
      </c>
      <c r="AA94" s="69" t="n">
        <f aca="false">Z95</f>
        <v>235798.081545671</v>
      </c>
      <c r="AB94" s="69" t="n">
        <f aca="false">AA95</f>
        <v>232911.656417439</v>
      </c>
      <c r="AC94" s="69" t="n">
        <f aca="false">AB95</f>
        <v>239525.903324588</v>
      </c>
      <c r="AD94" s="69" t="n">
        <f aca="false">AC95</f>
        <v>245553.788869481</v>
      </c>
      <c r="AE94" s="69" t="n">
        <f aca="false">AD95</f>
        <v>250905.981426129</v>
      </c>
      <c r="AF94" s="69" t="n">
        <f aca="false">AE95</f>
        <v>256268.048982777</v>
      </c>
      <c r="AG94" s="69" t="n">
        <f aca="false">AF95</f>
        <v>268807.18325363</v>
      </c>
      <c r="AH94" s="69" t="n">
        <f aca="false">AG95</f>
        <v>281330.736216422</v>
      </c>
      <c r="AI94" s="69" t="n">
        <f aca="false">AH95</f>
        <v>293864.164179214</v>
      </c>
      <c r="AJ94" s="69" t="n">
        <f aca="false">AI95</f>
        <v>299240.275427801</v>
      </c>
      <c r="AK94" s="69" t="n">
        <f aca="false">AJ95</f>
        <v>304651.717984449</v>
      </c>
      <c r="AL94" s="69" t="n">
        <f aca="false">AK95</f>
        <v>310073.035541097</v>
      </c>
      <c r="AM94" s="69" t="n">
        <f aca="false">AL95</f>
        <v>322671.41981195</v>
      </c>
      <c r="AN94" s="69" t="n">
        <f aca="false">AM95</f>
        <v>320464.734980913</v>
      </c>
      <c r="AO94" s="69" t="n">
        <f aca="false">AN95</f>
        <v>327727.244928712</v>
      </c>
      <c r="AP94" s="69" t="n">
        <f aca="false">AO95</f>
        <v>334999.629876511</v>
      </c>
      <c r="AQ94" s="69" t="n">
        <f aca="false">AP95</f>
        <v>342281.889824309</v>
      </c>
      <c r="AR94" s="69" t="n">
        <f aca="false">AQ95</f>
        <v>349574.024772108</v>
      </c>
      <c r="AS94" s="69" t="n">
        <f aca="false">AR95</f>
        <v>364479.708409508</v>
      </c>
      <c r="AT94" s="69" t="n">
        <f aca="false">AS95</f>
        <v>379368.260449685</v>
      </c>
      <c r="AU94" s="69" t="n">
        <f aca="false">AT95</f>
        <v>394266.687489862</v>
      </c>
      <c r="AV94" s="69" t="n">
        <f aca="false">AU95</f>
        <v>401571.315840439</v>
      </c>
      <c r="AW94" s="69" t="n">
        <f aca="false">AV95</f>
        <v>408912.825788238</v>
      </c>
      <c r="AX94" s="69" t="n">
        <f aca="false">AW95</f>
        <v>416264.210736037</v>
      </c>
      <c r="AY94" s="69" t="n">
        <f aca="false">AX95</f>
        <v>431229.144373436</v>
      </c>
      <c r="AZ94" s="69" t="n">
        <f aca="false">AY95</f>
        <v>431026.968833004</v>
      </c>
      <c r="BA94" s="69" t="n">
        <f aca="false">AZ95</f>
        <v>440263.448254434</v>
      </c>
      <c r="BB94" s="69" t="n">
        <f aca="false">BA95</f>
        <v>449509.802675863</v>
      </c>
      <c r="BC94" s="69" t="n">
        <f aca="false">BB95</f>
        <v>458766.032097293</v>
      </c>
      <c r="BD94" s="69" t="n">
        <f aca="false">BC95</f>
        <v>468032.136518723</v>
      </c>
      <c r="BE94" s="69" t="n">
        <f aca="false">BD95</f>
        <v>485374.853357449</v>
      </c>
      <c r="BF94" s="69" t="n">
        <f aca="false">BE95</f>
        <v>502698.793897183</v>
      </c>
      <c r="BG94" s="69" t="n">
        <f aca="false">BF95</f>
        <v>520032.609436917</v>
      </c>
      <c r="BH94" s="69" t="n">
        <f aca="false">BG95</f>
        <v>529309.562559354</v>
      </c>
      <c r="BI94" s="69" t="n">
        <f aca="false">BH95</f>
        <v>538625.041980784</v>
      </c>
      <c r="BJ94" s="69" t="n">
        <f aca="false">BI95</f>
        <v>547950.396402214</v>
      </c>
    </row>
    <row r="95" customFormat="false" ht="15" hidden="false" customHeight="false" outlineLevel="0" collapsed="false">
      <c r="A95" s="115" t="s">
        <v>87</v>
      </c>
      <c r="C95" s="70" t="n">
        <f aca="false">C94+C93</f>
        <v>224079.669137778</v>
      </c>
      <c r="D95" s="70" t="n">
        <f aca="false">D94+D93</f>
        <v>203214.162081778</v>
      </c>
      <c r="E95" s="70" t="n">
        <f aca="false">E94+E93</f>
        <v>184929.130161778</v>
      </c>
      <c r="F95" s="70" t="n">
        <f aca="false">F94+F93</f>
        <v>169224.573377778</v>
      </c>
      <c r="G95" s="70" t="n">
        <f aca="false">G94+G93</f>
        <v>156100.491729778</v>
      </c>
      <c r="H95" s="70" t="n">
        <f aca="false">H94+H93</f>
        <v>151195.170177778</v>
      </c>
      <c r="I95" s="70" t="n">
        <f aca="false">I94+I93</f>
        <v>149337.773009778</v>
      </c>
      <c r="J95" s="70" t="n">
        <f aca="false">J94+J93</f>
        <v>150542.775489778</v>
      </c>
      <c r="K95" s="70" t="n">
        <f aca="false">K94+K93</f>
        <v>147722.047953778</v>
      </c>
      <c r="L95" s="70" t="n">
        <f aca="false">L94+L93</f>
        <v>147500.341985778</v>
      </c>
      <c r="M95" s="70" t="n">
        <f aca="false">M94+M93</f>
        <v>149859.111153778</v>
      </c>
      <c r="N95" s="70" t="n">
        <f aca="false">N94+N93</f>
        <v>159857.139553778</v>
      </c>
      <c r="O95" s="70" t="n">
        <f aca="false">O94+O93</f>
        <v>154551.913221671</v>
      </c>
      <c r="P95" s="70" t="n">
        <f aca="false">P94+P93</f>
        <v>158774.618584711</v>
      </c>
      <c r="Q95" s="70" t="n">
        <f aca="false">Q94+Q93</f>
        <v>163009.823947751</v>
      </c>
      <c r="R95" s="70" t="n">
        <f aca="false">R94+R93</f>
        <v>167257.529310791</v>
      </c>
      <c r="S95" s="70" t="n">
        <f aca="false">S94+S93</f>
        <v>171517.734673831</v>
      </c>
      <c r="T95" s="70" t="n">
        <f aca="false">T94+T93</f>
        <v>184335.663628391</v>
      </c>
      <c r="U95" s="70" t="n">
        <f aca="false">U94+U93</f>
        <v>197142.097571111</v>
      </c>
      <c r="V95" s="70" t="n">
        <f aca="false">V94+V93</f>
        <v>209961.031513831</v>
      </c>
      <c r="W95" s="70" t="n">
        <f aca="false">W94+W93</f>
        <v>214247.241865031</v>
      </c>
      <c r="X95" s="70" t="n">
        <f aca="false">X94+X93</f>
        <v>218569.947228071</v>
      </c>
      <c r="Y95" s="70" t="n">
        <f aca="false">Y94+Y93</f>
        <v>222905.152591111</v>
      </c>
      <c r="Z95" s="70" t="n">
        <f aca="false">Z94+Z93</f>
        <v>235798.081545671</v>
      </c>
      <c r="AA95" s="70" t="n">
        <f aca="false">AA94+AA93</f>
        <v>232911.656417439</v>
      </c>
      <c r="AB95" s="70" t="n">
        <f aca="false">AB94+AB93</f>
        <v>239525.903324588</v>
      </c>
      <c r="AC95" s="70" t="n">
        <f aca="false">AC94+AC93</f>
        <v>245553.788869481</v>
      </c>
      <c r="AD95" s="70" t="n">
        <f aca="false">AD94+AD93</f>
        <v>250905.981426129</v>
      </c>
      <c r="AE95" s="70" t="n">
        <f aca="false">AE94+AE93</f>
        <v>256268.048982777</v>
      </c>
      <c r="AF95" s="70" t="n">
        <f aca="false">AF94+AF93</f>
        <v>268807.18325363</v>
      </c>
      <c r="AG95" s="70" t="n">
        <f aca="false">AG94+AG93</f>
        <v>281330.736216422</v>
      </c>
      <c r="AH95" s="70" t="n">
        <f aca="false">AH94+AH93</f>
        <v>293864.164179214</v>
      </c>
      <c r="AI95" s="70" t="n">
        <f aca="false">AI94+AI93</f>
        <v>299240.275427801</v>
      </c>
      <c r="AJ95" s="70" t="n">
        <f aca="false">AJ94+AJ93</f>
        <v>304651.717984449</v>
      </c>
      <c r="AK95" s="70" t="n">
        <f aca="false">AK94+AK93</f>
        <v>310073.035541097</v>
      </c>
      <c r="AL95" s="70" t="n">
        <f aca="false">AL94+AL93</f>
        <v>322671.41981195</v>
      </c>
      <c r="AM95" s="70" t="n">
        <f aca="false">AM94+AM93</f>
        <v>320464.734980913</v>
      </c>
      <c r="AN95" s="70" t="n">
        <f aca="false">AN94+AN93</f>
        <v>327727.244928712</v>
      </c>
      <c r="AO95" s="70" t="n">
        <f aca="false">AO94+AO93</f>
        <v>334999.629876511</v>
      </c>
      <c r="AP95" s="70" t="n">
        <f aca="false">AP94+AP93</f>
        <v>342281.889824309</v>
      </c>
      <c r="AQ95" s="70" t="n">
        <f aca="false">AQ94+AQ93</f>
        <v>349574.024772108</v>
      </c>
      <c r="AR95" s="70" t="n">
        <f aca="false">AR94+AR93</f>
        <v>364479.708409508</v>
      </c>
      <c r="AS95" s="70" t="n">
        <f aca="false">AS94+AS93</f>
        <v>379368.260449685</v>
      </c>
      <c r="AT95" s="70" t="n">
        <f aca="false">AT94+AT93</f>
        <v>394266.687489862</v>
      </c>
      <c r="AU95" s="70" t="n">
        <f aca="false">AU94+AU93</f>
        <v>401571.315840439</v>
      </c>
      <c r="AV95" s="70" t="n">
        <f aca="false">AV94+AV93</f>
        <v>408912.825788238</v>
      </c>
      <c r="AW95" s="70" t="n">
        <f aca="false">AW94+AW93</f>
        <v>416264.210736037</v>
      </c>
      <c r="AX95" s="70" t="n">
        <f aca="false">AX94+AX93</f>
        <v>431229.144373436</v>
      </c>
      <c r="AY95" s="70" t="n">
        <f aca="false">AY94+AY93</f>
        <v>431026.968833004</v>
      </c>
      <c r="AZ95" s="70" t="n">
        <f aca="false">AZ94+AZ93</f>
        <v>440263.448254434</v>
      </c>
      <c r="BA95" s="70" t="n">
        <f aca="false">BA94+BA93</f>
        <v>449509.802675863</v>
      </c>
      <c r="BB95" s="70" t="n">
        <f aca="false">BB94+BB93</f>
        <v>458766.032097293</v>
      </c>
      <c r="BC95" s="70" t="n">
        <f aca="false">BC94+BC93</f>
        <v>468032.136518723</v>
      </c>
      <c r="BD95" s="70" t="n">
        <f aca="false">BD94+BD93</f>
        <v>485374.853357449</v>
      </c>
      <c r="BE95" s="70" t="n">
        <f aca="false">BE94+BE93</f>
        <v>502698.793897183</v>
      </c>
      <c r="BF95" s="70" t="n">
        <f aca="false">BF94+BF93</f>
        <v>520032.609436917</v>
      </c>
      <c r="BG95" s="70" t="n">
        <f aca="false">BG94+BG93</f>
        <v>529309.562559354</v>
      </c>
      <c r="BH95" s="70" t="n">
        <f aca="false">BH94+BH93</f>
        <v>538625.041980784</v>
      </c>
      <c r="BI95" s="70" t="n">
        <f aca="false">BI94+BI93</f>
        <v>547950.396402214</v>
      </c>
      <c r="BJ95" s="70" t="n">
        <f aca="false">BJ94+BJ93</f>
        <v>565352.36324094</v>
      </c>
    </row>
    <row r="96" customFormat="false" ht="15" hidden="false" customHeight="false" outlineLevel="0" collapsed="false">
      <c r="A96" s="118" t="s">
        <v>447</v>
      </c>
      <c r="C96" s="120" t="n">
        <f aca="false">IF(C50&gt;0,1,0)</f>
        <v>0</v>
      </c>
      <c r="D96" s="120" t="n">
        <f aca="false">IF(D50&gt;0,1,0)</f>
        <v>0</v>
      </c>
      <c r="E96" s="120" t="n">
        <f aca="false">IF(E50&gt;0,1,0)</f>
        <v>0</v>
      </c>
      <c r="F96" s="120" t="n">
        <f aca="false">IF(F50&gt;0,1,0)</f>
        <v>0</v>
      </c>
      <c r="G96" s="120" t="n">
        <f aca="false">IF(G50&gt;0,1,0)</f>
        <v>0</v>
      </c>
      <c r="H96" s="120" t="n">
        <f aca="false">IF(H50&gt;0,1,0)</f>
        <v>0</v>
      </c>
      <c r="I96" s="120" t="n">
        <f aca="false">IF(I50&gt;0,1,0)</f>
        <v>1</v>
      </c>
      <c r="J96" s="120" t="n">
        <f aca="false">IF(J50&gt;0,1,0)</f>
        <v>1</v>
      </c>
      <c r="K96" s="120" t="n">
        <f aca="false">IF(K50&gt;0,1,0)</f>
        <v>0</v>
      </c>
      <c r="L96" s="120" t="n">
        <f aca="false">IF(L50&gt;0,1,0)</f>
        <v>1</v>
      </c>
      <c r="M96" s="120" t="n">
        <f aca="false">IF(M50&gt;0,1,0)</f>
        <v>1</v>
      </c>
      <c r="N96" s="120" t="n">
        <f aca="false">IF(N50&gt;0,1,0)</f>
        <v>1</v>
      </c>
      <c r="O96" s="120" t="n">
        <f aca="false">IF(O50&gt;0,1,0)</f>
        <v>1</v>
      </c>
      <c r="P96" s="120" t="n">
        <f aca="false">IF(P50&gt;0,1,0)</f>
        <v>1</v>
      </c>
      <c r="Q96" s="120" t="n">
        <f aca="false">IF(Q50&gt;0,1,0)</f>
        <v>1</v>
      </c>
      <c r="R96" s="120" t="n">
        <f aca="false">IF(R50&gt;0,1,0)</f>
        <v>1</v>
      </c>
      <c r="S96" s="120" t="n">
        <f aca="false">IF(S50&gt;0,1,0)</f>
        <v>1</v>
      </c>
      <c r="T96" s="120" t="n">
        <f aca="false">IF(T50&gt;0,1,0)</f>
        <v>1</v>
      </c>
      <c r="U96" s="120" t="n">
        <f aca="false">IF(U50&gt;0,1,0)</f>
        <v>1</v>
      </c>
      <c r="V96" s="120" t="n">
        <f aca="false">IF(V50&gt;0,1,0)</f>
        <v>1</v>
      </c>
      <c r="W96" s="120" t="n">
        <f aca="false">IF(W50&gt;0,1,0)</f>
        <v>1</v>
      </c>
      <c r="X96" s="120" t="n">
        <f aca="false">IF(X50&gt;0,1,0)</f>
        <v>1</v>
      </c>
      <c r="Y96" s="120" t="n">
        <f aca="false">IF(Y50&gt;0,1,0)</f>
        <v>1</v>
      </c>
      <c r="Z96" s="120" t="n">
        <f aca="false">IF(Z50&gt;0,1,0)</f>
        <v>1</v>
      </c>
      <c r="AA96" s="120" t="n">
        <f aca="false">IF(AA50&gt;0,1,0)</f>
        <v>1</v>
      </c>
      <c r="AB96" s="120" t="n">
        <f aca="false">IF(AB50&gt;0,1,0)</f>
        <v>1</v>
      </c>
      <c r="AC96" s="120" t="n">
        <f aca="false">IF(AC50&gt;0,1,0)</f>
        <v>1</v>
      </c>
      <c r="AD96" s="120" t="n">
        <f aca="false">IF(AD50&gt;0,1,0)</f>
        <v>1</v>
      </c>
      <c r="AE96" s="120" t="n">
        <f aca="false">IF(AE50&gt;0,1,0)</f>
        <v>1</v>
      </c>
      <c r="AF96" s="120" t="n">
        <f aca="false">IF(AF50&gt;0,1,0)</f>
        <v>1</v>
      </c>
      <c r="AG96" s="120" t="n">
        <f aca="false">IF(AG50&gt;0,1,0)</f>
        <v>1</v>
      </c>
      <c r="AH96" s="120" t="n">
        <f aca="false">IF(AH50&gt;0,1,0)</f>
        <v>1</v>
      </c>
      <c r="AI96" s="120" t="n">
        <f aca="false">IF(AI50&gt;0,1,0)</f>
        <v>1</v>
      </c>
      <c r="AJ96" s="120" t="n">
        <f aca="false">IF(AJ50&gt;0,1,0)</f>
        <v>1</v>
      </c>
      <c r="AK96" s="120" t="n">
        <f aca="false">IF(AK50&gt;0,1,0)</f>
        <v>1</v>
      </c>
      <c r="AL96" s="120" t="n">
        <f aca="false">IF(AL50&gt;0,1,0)</f>
        <v>1</v>
      </c>
      <c r="AM96" s="120" t="n">
        <f aca="false">IF(AM50&gt;0,1,0)</f>
        <v>1</v>
      </c>
      <c r="AN96" s="120" t="n">
        <f aca="false">IF(AN50&gt;0,1,0)</f>
        <v>1</v>
      </c>
      <c r="AO96" s="120" t="n">
        <f aca="false">IF(AO50&gt;0,1,0)</f>
        <v>1</v>
      </c>
      <c r="AP96" s="120" t="n">
        <f aca="false">IF(AP50&gt;0,1,0)</f>
        <v>1</v>
      </c>
      <c r="AQ96" s="120" t="n">
        <f aca="false">IF(AQ50&gt;0,1,0)</f>
        <v>1</v>
      </c>
      <c r="AR96" s="120" t="n">
        <f aca="false">IF(AR50&gt;0,1,0)</f>
        <v>1</v>
      </c>
      <c r="AS96" s="120" t="n">
        <f aca="false">IF(AS50&gt;0,1,0)</f>
        <v>1</v>
      </c>
      <c r="AT96" s="120" t="n">
        <f aca="false">IF(AT50&gt;0,1,0)</f>
        <v>1</v>
      </c>
      <c r="AU96" s="120" t="n">
        <f aca="false">IF(AU50&gt;0,1,0)</f>
        <v>1</v>
      </c>
      <c r="AV96" s="120" t="n">
        <f aca="false">IF(AV50&gt;0,1,0)</f>
        <v>1</v>
      </c>
      <c r="AW96" s="120" t="n">
        <f aca="false">IF(AW50&gt;0,1,0)</f>
        <v>1</v>
      </c>
      <c r="AX96" s="120" t="n">
        <f aca="false">IF(AX50&gt;0,1,0)</f>
        <v>1</v>
      </c>
      <c r="AY96" s="120" t="n">
        <f aca="false">IF(AY50&gt;0,1,0)</f>
        <v>1</v>
      </c>
      <c r="AZ96" s="120" t="n">
        <f aca="false">IF(AZ50&gt;0,1,0)</f>
        <v>1</v>
      </c>
      <c r="BA96" s="120" t="n">
        <f aca="false">IF(BA50&gt;0,1,0)</f>
        <v>1</v>
      </c>
      <c r="BB96" s="120" t="n">
        <f aca="false">IF(BB50&gt;0,1,0)</f>
        <v>1</v>
      </c>
      <c r="BC96" s="120" t="n">
        <f aca="false">IF(BC50&gt;0,1,0)</f>
        <v>1</v>
      </c>
      <c r="BD96" s="120" t="n">
        <f aca="false">IF(BD50&gt;0,1,0)</f>
        <v>1</v>
      </c>
      <c r="BE96" s="120" t="n">
        <f aca="false">IF(BE50&gt;0,1,0)</f>
        <v>1</v>
      </c>
      <c r="BF96" s="120" t="n">
        <f aca="false">IF(BF50&gt;0,1,0)</f>
        <v>1</v>
      </c>
      <c r="BG96" s="120" t="n">
        <f aca="false">IF(BG50&gt;0,1,0)</f>
        <v>1</v>
      </c>
      <c r="BH96" s="120" t="n">
        <f aca="false">IF(BH50&gt;0,1,0)</f>
        <v>1</v>
      </c>
      <c r="BI96" s="120" t="n">
        <f aca="false">IF(BI50&gt;0,1,0)</f>
        <v>1</v>
      </c>
      <c r="BJ96" s="120" t="n">
        <f aca="false">IF(BJ50&gt;0,1,0)</f>
        <v>1</v>
      </c>
    </row>
    <row r="98" customFormat="false" ht="15.75" hidden="false" customHeight="true" outlineLevel="0" collapsed="false">
      <c r="A98" s="7" t="s">
        <v>448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customFormat="false" ht="15" hidden="false" customHeight="false" outlineLevel="0" collapsed="false">
      <c r="A99" s="118" t="s">
        <v>449</v>
      </c>
      <c r="C99" s="120" t="n">
        <f aca="false">IF(C59&gt;0,1,0)</f>
        <v>0</v>
      </c>
      <c r="D99" s="120" t="n">
        <f aca="false">IF(D59&gt;0,1,0)</f>
        <v>0</v>
      </c>
      <c r="E99" s="120" t="n">
        <f aca="false">IF(E59&gt;0,1,0)</f>
        <v>0</v>
      </c>
      <c r="F99" s="120" t="n">
        <f aca="false">IF(F59&gt;0,1,0)</f>
        <v>0</v>
      </c>
      <c r="G99" s="120" t="n">
        <f aca="false">IF(G59&gt;0,1,0)</f>
        <v>0</v>
      </c>
      <c r="H99" s="120" t="n">
        <f aca="false">IF(H59&gt;0,1,0)</f>
        <v>0</v>
      </c>
      <c r="I99" s="120" t="n">
        <f aca="false">IF(I59&gt;0,1,0)</f>
        <v>0</v>
      </c>
      <c r="J99" s="120" t="n">
        <f aca="false">IF(J59&gt;0,1,0)</f>
        <v>1</v>
      </c>
      <c r="K99" s="120" t="n">
        <f aca="false">IF(K59&gt;0,1,0)</f>
        <v>0</v>
      </c>
      <c r="L99" s="120" t="n">
        <f aca="false">IF(L59&gt;0,1,0)</f>
        <v>0</v>
      </c>
      <c r="M99" s="120" t="n">
        <f aca="false">IF(M59&gt;0,1,0)</f>
        <v>1</v>
      </c>
      <c r="N99" s="120" t="n">
        <f aca="false">IF(N59&gt;0,1,0)</f>
        <v>1</v>
      </c>
      <c r="O99" s="120" t="n">
        <f aca="false">IF(O59&gt;0,1,0)</f>
        <v>1</v>
      </c>
      <c r="P99" s="120" t="n">
        <f aca="false">IF(P59&gt;0,1,0)</f>
        <v>1</v>
      </c>
      <c r="Q99" s="120" t="n">
        <f aca="false">IF(Q59&gt;0,1,0)</f>
        <v>1</v>
      </c>
      <c r="R99" s="120" t="n">
        <f aca="false">IF(R59&gt;0,1,0)</f>
        <v>1</v>
      </c>
      <c r="S99" s="120" t="n">
        <f aca="false">IF(S59&gt;0,1,0)</f>
        <v>1</v>
      </c>
      <c r="T99" s="120" t="n">
        <f aca="false">IF(T59&gt;0,1,0)</f>
        <v>1</v>
      </c>
      <c r="U99" s="120" t="n">
        <f aca="false">IF(U59&gt;0,1,0)</f>
        <v>1</v>
      </c>
      <c r="V99" s="120" t="n">
        <f aca="false">IF(V59&gt;0,1,0)</f>
        <v>1</v>
      </c>
      <c r="W99" s="120" t="n">
        <f aca="false">IF(W59&gt;0,1,0)</f>
        <v>1</v>
      </c>
      <c r="X99" s="120" t="n">
        <f aca="false">IF(X59&gt;0,1,0)</f>
        <v>1</v>
      </c>
      <c r="Y99" s="120" t="n">
        <f aca="false">IF(Y59&gt;0,1,0)</f>
        <v>1</v>
      </c>
      <c r="Z99" s="120" t="n">
        <f aca="false">IF(Z59&gt;0,1,0)</f>
        <v>1</v>
      </c>
      <c r="AA99" s="120" t="n">
        <f aca="false">IF(AA59&gt;0,1,0)</f>
        <v>1</v>
      </c>
      <c r="AB99" s="120" t="n">
        <f aca="false">IF(AB59&gt;0,1,0)</f>
        <v>1</v>
      </c>
      <c r="AC99" s="120" t="n">
        <f aca="false">IF(AC59&gt;0,1,0)</f>
        <v>1</v>
      </c>
      <c r="AD99" s="120" t="n">
        <f aca="false">IF(AD59&gt;0,1,0)</f>
        <v>1</v>
      </c>
      <c r="AE99" s="120" t="n">
        <f aca="false">IF(AE59&gt;0,1,0)</f>
        <v>1</v>
      </c>
      <c r="AF99" s="120" t="n">
        <f aca="false">IF(AF59&gt;0,1,0)</f>
        <v>1</v>
      </c>
      <c r="AG99" s="120" t="n">
        <f aca="false">IF(AG59&gt;0,1,0)</f>
        <v>1</v>
      </c>
      <c r="AH99" s="120" t="n">
        <f aca="false">IF(AH59&gt;0,1,0)</f>
        <v>1</v>
      </c>
      <c r="AI99" s="120" t="n">
        <f aca="false">IF(AI59&gt;0,1,0)</f>
        <v>1</v>
      </c>
      <c r="AJ99" s="120" t="n">
        <f aca="false">IF(AJ59&gt;0,1,0)</f>
        <v>1</v>
      </c>
      <c r="AK99" s="120" t="n">
        <f aca="false">IF(AK59&gt;0,1,0)</f>
        <v>1</v>
      </c>
      <c r="AL99" s="120" t="n">
        <f aca="false">IF(AL59&gt;0,1,0)</f>
        <v>1</v>
      </c>
      <c r="AM99" s="120" t="n">
        <f aca="false">IF(AM59&gt;0,1,0)</f>
        <v>1</v>
      </c>
      <c r="AN99" s="120" t="n">
        <f aca="false">IF(AN59&gt;0,1,0)</f>
        <v>1</v>
      </c>
      <c r="AO99" s="120" t="n">
        <f aca="false">IF(AO59&gt;0,1,0)</f>
        <v>1</v>
      </c>
      <c r="AP99" s="120" t="n">
        <f aca="false">IF(AP59&gt;0,1,0)</f>
        <v>1</v>
      </c>
      <c r="AQ99" s="120" t="n">
        <f aca="false">IF(AQ59&gt;0,1,0)</f>
        <v>1</v>
      </c>
      <c r="AR99" s="120" t="n">
        <f aca="false">IF(AR59&gt;0,1,0)</f>
        <v>1</v>
      </c>
      <c r="AS99" s="120" t="n">
        <f aca="false">IF(AS59&gt;0,1,0)</f>
        <v>1</v>
      </c>
      <c r="AT99" s="120" t="n">
        <f aca="false">IF(AT59&gt;0,1,0)</f>
        <v>1</v>
      </c>
      <c r="AU99" s="120" t="n">
        <f aca="false">IF(AU59&gt;0,1,0)</f>
        <v>1</v>
      </c>
      <c r="AV99" s="120" t="n">
        <f aca="false">IF(AV59&gt;0,1,0)</f>
        <v>1</v>
      </c>
      <c r="AW99" s="120" t="n">
        <f aca="false">IF(AW59&gt;0,1,0)</f>
        <v>1</v>
      </c>
      <c r="AX99" s="120" t="n">
        <f aca="false">IF(AX59&gt;0,1,0)</f>
        <v>1</v>
      </c>
      <c r="AY99" s="120" t="n">
        <f aca="false">IF(AY59&gt;0,1,0)</f>
        <v>1</v>
      </c>
      <c r="AZ99" s="120" t="n">
        <f aca="false">IF(AZ59&gt;0,1,0)</f>
        <v>1</v>
      </c>
      <c r="BA99" s="120" t="n">
        <f aca="false">IF(BA59&gt;0,1,0)</f>
        <v>1</v>
      </c>
      <c r="BB99" s="120" t="n">
        <f aca="false">IF(BB59&gt;0,1,0)</f>
        <v>1</v>
      </c>
      <c r="BC99" s="120" t="n">
        <f aca="false">IF(BC59&gt;0,1,0)</f>
        <v>1</v>
      </c>
      <c r="BD99" s="120" t="n">
        <f aca="false">IF(BD59&gt;0,1,0)</f>
        <v>1</v>
      </c>
      <c r="BE99" s="120" t="n">
        <f aca="false">IF(BE59&gt;0,1,0)</f>
        <v>1</v>
      </c>
      <c r="BF99" s="120" t="n">
        <f aca="false">IF(BF59&gt;0,1,0)</f>
        <v>1</v>
      </c>
      <c r="BG99" s="120" t="n">
        <f aca="false">IF(BG59&gt;0,1,0)</f>
        <v>1</v>
      </c>
      <c r="BH99" s="120" t="n">
        <f aca="false">IF(BH59&gt;0,1,0)</f>
        <v>1</v>
      </c>
      <c r="BI99" s="120" t="n">
        <f aca="false">IF(BI59&gt;0,1,0)</f>
        <v>1</v>
      </c>
      <c r="BJ99" s="120" t="n">
        <f aca="false">IF(BJ59&gt;0,1,0)</f>
        <v>1</v>
      </c>
    </row>
    <row r="100" customFormat="false" ht="15" hidden="false" customHeight="false" outlineLevel="0" collapsed="false">
      <c r="A100" s="6" t="s">
        <v>450</v>
      </c>
      <c r="C100" s="69" t="n">
        <f aca="false">C89+C90</f>
        <v>-205920.330862222</v>
      </c>
      <c r="D100" s="69" t="n">
        <f aca="false">D89+D90</f>
        <v>-19198.8403893333</v>
      </c>
      <c r="E100" s="69" t="n">
        <f aca="false">E89+E90</f>
        <v>-16618.3652533333</v>
      </c>
      <c r="F100" s="69" t="n">
        <f aca="false">F89+F90</f>
        <v>-14037.8901173333</v>
      </c>
      <c r="G100" s="69" t="n">
        <f aca="false">G89+G90</f>
        <v>-11457.4149813333</v>
      </c>
      <c r="H100" s="69" t="n">
        <f aca="false">H89+H90</f>
        <v>-3238.65488533334</v>
      </c>
      <c r="I100" s="69" t="n">
        <f aca="false">I89+I90</f>
        <v>-190.730501333334</v>
      </c>
      <c r="J100" s="69" t="n">
        <f aca="false">J89+J90</f>
        <v>2871.66914666667</v>
      </c>
      <c r="K100" s="69" t="n">
        <f aca="false">K89+K90</f>
        <v>-1154.06086933334</v>
      </c>
      <c r="L100" s="69" t="n">
        <f aca="false">L89+L90</f>
        <v>1444.96069866666</v>
      </c>
      <c r="M100" s="69" t="n">
        <f aca="false">M89+M90</f>
        <v>4025.43583466666</v>
      </c>
      <c r="N100" s="69" t="n">
        <f aca="false">N89+N90</f>
        <v>11664.6950666667</v>
      </c>
      <c r="O100" s="69" t="n">
        <f aca="false">O89+O90</f>
        <v>-3638.55966544</v>
      </c>
      <c r="P100" s="69" t="n">
        <f aca="false">P89+P90</f>
        <v>5889.37202970667</v>
      </c>
      <c r="Q100" s="69" t="n">
        <f aca="false">Q89+Q90</f>
        <v>5901.87202970667</v>
      </c>
      <c r="R100" s="69" t="n">
        <f aca="false">R89+R90</f>
        <v>5914.37202970667</v>
      </c>
      <c r="S100" s="69" t="n">
        <f aca="false">S89+S90</f>
        <v>5926.87202970667</v>
      </c>
      <c r="T100" s="69" t="n">
        <f aca="false">T89+T90</f>
        <v>14484.5956212267</v>
      </c>
      <c r="U100" s="69" t="n">
        <f aca="false">U89+U90</f>
        <v>14473.1006093867</v>
      </c>
      <c r="V100" s="69" t="n">
        <f aca="false">V89+V90</f>
        <v>14485.6006093867</v>
      </c>
      <c r="W100" s="69" t="n">
        <f aca="false">W89+W90</f>
        <v>5952.87701786667</v>
      </c>
      <c r="X100" s="69" t="n">
        <f aca="false">X89+X90</f>
        <v>5989.37202970667</v>
      </c>
      <c r="Y100" s="69" t="n">
        <f aca="false">Y89+Y90</f>
        <v>6001.87202970667</v>
      </c>
      <c r="Z100" s="69" t="n">
        <f aca="false">Z89+Z90</f>
        <v>14559.5956212267</v>
      </c>
      <c r="AA100" s="69" t="n">
        <f aca="false">AA89+AA90</f>
        <v>-1219.75846156531</v>
      </c>
      <c r="AB100" s="69" t="n">
        <f aca="false">AB89+AB90</f>
        <v>8280.91357381579</v>
      </c>
      <c r="AC100" s="69" t="n">
        <f aca="false">AC89+AC90</f>
        <v>7694.55221155984</v>
      </c>
      <c r="AD100" s="69" t="n">
        <f aca="false">AD89+AD90</f>
        <v>7018.85922331448</v>
      </c>
      <c r="AE100" s="69" t="n">
        <f aca="false">AE89+AE90</f>
        <v>7028.73422331448</v>
      </c>
      <c r="AF100" s="69" t="n">
        <f aca="false">AF89+AF90</f>
        <v>14205.8009375197</v>
      </c>
      <c r="AG100" s="69" t="n">
        <f aca="false">AG89+AG90</f>
        <v>14190.2196294587</v>
      </c>
      <c r="AH100" s="69" t="n">
        <f aca="false">AH89+AH90</f>
        <v>14200.0946294587</v>
      </c>
      <c r="AI100" s="69" t="n">
        <f aca="false">AI89+AI90</f>
        <v>7042.77791525342</v>
      </c>
      <c r="AJ100" s="69" t="n">
        <f aca="false">AJ89+AJ90</f>
        <v>7078.10922331448</v>
      </c>
      <c r="AK100" s="69" t="n">
        <f aca="false">AK89+AK90</f>
        <v>7087.98422331448</v>
      </c>
      <c r="AL100" s="69" t="n">
        <f aca="false">AL89+AL90</f>
        <v>14265.0509375197</v>
      </c>
      <c r="AM100" s="69" t="n">
        <f aca="false">AM89+AM90</f>
        <v>-540.018164370209</v>
      </c>
      <c r="AN100" s="69" t="n">
        <f aca="false">AN89+AN90</f>
        <v>8929.17661446559</v>
      </c>
      <c r="AO100" s="69" t="n">
        <f aca="false">AO89+AO90</f>
        <v>8939.05161446559</v>
      </c>
      <c r="AP100" s="69" t="n">
        <f aca="false">AP89+AP90</f>
        <v>8948.92661446559</v>
      </c>
      <c r="AQ100" s="69" t="n">
        <f aca="false">AQ89+AQ90</f>
        <v>8958.80161446559</v>
      </c>
      <c r="AR100" s="69" t="n">
        <f aca="false">AR89+AR90</f>
        <v>16572.3503040659</v>
      </c>
      <c r="AS100" s="69" t="n">
        <f aca="false">AS89+AS90</f>
        <v>16555.2187068439</v>
      </c>
      <c r="AT100" s="69" t="n">
        <f aca="false">AT89+AT90</f>
        <v>16565.0937068439</v>
      </c>
      <c r="AU100" s="69" t="n">
        <f aca="false">AU89+AU90</f>
        <v>8971.29501724362</v>
      </c>
      <c r="AV100" s="69" t="n">
        <f aca="false">AV89+AV90</f>
        <v>9008.1766144656</v>
      </c>
      <c r="AW100" s="69" t="n">
        <f aca="false">AW89+AW90</f>
        <v>9018.0516144656</v>
      </c>
      <c r="AX100" s="69" t="n">
        <f aca="false">AX89+AX90</f>
        <v>16631.6003040659</v>
      </c>
      <c r="AY100" s="69" t="n">
        <f aca="false">AY89+AY90</f>
        <v>1464.49112623444</v>
      </c>
      <c r="AZ100" s="69" t="n">
        <f aca="false">AZ89+AZ90</f>
        <v>10903.1460880963</v>
      </c>
      <c r="BA100" s="69" t="n">
        <f aca="false">BA89+BA90</f>
        <v>10913.0210880963</v>
      </c>
      <c r="BB100" s="69" t="n">
        <f aca="false">BB89+BB90</f>
        <v>10922.8960880963</v>
      </c>
      <c r="BC100" s="69" t="n">
        <f aca="false">BC89+BC90</f>
        <v>10932.7710880963</v>
      </c>
      <c r="BD100" s="69" t="n">
        <f aca="false">BD89+BD90</f>
        <v>19009.3835053933</v>
      </c>
      <c r="BE100" s="69" t="n">
        <f aca="false">BE89+BE90</f>
        <v>18990.6072064006</v>
      </c>
      <c r="BF100" s="69" t="n">
        <f aca="false">BF89+BF90</f>
        <v>19000.4822064006</v>
      </c>
      <c r="BG100" s="69" t="n">
        <f aca="false">BG89+BG90</f>
        <v>10943.6197891036</v>
      </c>
      <c r="BH100" s="69" t="n">
        <f aca="false">BH89+BH90</f>
        <v>10982.1460880963</v>
      </c>
      <c r="BI100" s="69" t="n">
        <f aca="false">BI89+BI90</f>
        <v>10992.0210880963</v>
      </c>
      <c r="BJ100" s="69" t="n">
        <f aca="false">BJ89+BJ90</f>
        <v>19068.6335053933</v>
      </c>
    </row>
    <row r="101" customFormat="false" ht="15" hidden="false" customHeight="false" outlineLevel="0" collapsed="false">
      <c r="A101" s="6" t="s">
        <v>451</v>
      </c>
      <c r="C101" s="69" t="n">
        <f aca="false">C100</f>
        <v>-205920.330862222</v>
      </c>
      <c r="D101" s="69" t="n">
        <f aca="false">C101+D100</f>
        <v>-225119.171251556</v>
      </c>
      <c r="E101" s="69" t="n">
        <f aca="false">D101+E100</f>
        <v>-241737.536504889</v>
      </c>
      <c r="F101" s="69" t="n">
        <f aca="false">E101+F100</f>
        <v>-255775.426622222</v>
      </c>
      <c r="G101" s="69" t="n">
        <f aca="false">F101+G100</f>
        <v>-267232.841603556</v>
      </c>
      <c r="H101" s="69" t="n">
        <f aca="false">G101+H100</f>
        <v>-270471.496488889</v>
      </c>
      <c r="I101" s="69" t="n">
        <f aca="false">H101+I100</f>
        <v>-270662.226990222</v>
      </c>
      <c r="J101" s="69" t="n">
        <f aca="false">I101+J100</f>
        <v>-267790.557843556</v>
      </c>
      <c r="K101" s="69" t="n">
        <f aca="false">J101+K100</f>
        <v>-268944.618712889</v>
      </c>
      <c r="L101" s="69" t="n">
        <f aca="false">K101+L100</f>
        <v>-267499.658014222</v>
      </c>
      <c r="M101" s="69" t="n">
        <f aca="false">L101+M100</f>
        <v>-263474.222179556</v>
      </c>
      <c r="N101" s="69" t="n">
        <f aca="false">M101+N100</f>
        <v>-251809.527112889</v>
      </c>
      <c r="O101" s="69" t="n">
        <f aca="false">N101+O100</f>
        <v>-255448.086778329</v>
      </c>
      <c r="P101" s="69" t="n">
        <f aca="false">O101+P100</f>
        <v>-249558.714748622</v>
      </c>
      <c r="Q101" s="69" t="n">
        <f aca="false">P101+Q100</f>
        <v>-243656.842718916</v>
      </c>
      <c r="R101" s="69" t="n">
        <f aca="false">Q101+R100</f>
        <v>-237742.470689209</v>
      </c>
      <c r="S101" s="69" t="n">
        <f aca="false">R101+S100</f>
        <v>-231815.598659502</v>
      </c>
      <c r="T101" s="69" t="n">
        <f aca="false">S101+T100</f>
        <v>-217331.003038276</v>
      </c>
      <c r="U101" s="69" t="n">
        <f aca="false">T101+U100</f>
        <v>-202857.902428889</v>
      </c>
      <c r="V101" s="69" t="n">
        <f aca="false">U101+V100</f>
        <v>-188372.301819502</v>
      </c>
      <c r="W101" s="69" t="n">
        <f aca="false">V101+W100</f>
        <v>-182419.424801636</v>
      </c>
      <c r="X101" s="69" t="n">
        <f aca="false">W101+X100</f>
        <v>-176430.052771929</v>
      </c>
      <c r="Y101" s="69" t="n">
        <f aca="false">X101+Y100</f>
        <v>-170428.180742222</v>
      </c>
      <c r="Z101" s="69" t="n">
        <f aca="false">Y101+Z100</f>
        <v>-155868.585120996</v>
      </c>
      <c r="AA101" s="69" t="n">
        <f aca="false">Z101+AA100</f>
        <v>-157088.343582561</v>
      </c>
      <c r="AB101" s="69" t="n">
        <f aca="false">AA101+AB100</f>
        <v>-148807.430008745</v>
      </c>
      <c r="AC101" s="69" t="n">
        <f aca="false">AB101+AC100</f>
        <v>-141112.877797185</v>
      </c>
      <c r="AD101" s="69" t="n">
        <f aca="false">AC101+AD100</f>
        <v>-134094.018573871</v>
      </c>
      <c r="AE101" s="69" t="n">
        <f aca="false">AD101+AE100</f>
        <v>-127065.284350556</v>
      </c>
      <c r="AF101" s="69" t="n">
        <f aca="false">AE101+AF100</f>
        <v>-112859.483413037</v>
      </c>
      <c r="AG101" s="69" t="n">
        <f aca="false">AF101+AG100</f>
        <v>-98669.263783578</v>
      </c>
      <c r="AH101" s="69" t="n">
        <f aca="false">AG101+AH100</f>
        <v>-84469.1691541193</v>
      </c>
      <c r="AI101" s="69" t="n">
        <f aca="false">AH101+AI100</f>
        <v>-77426.3912388659</v>
      </c>
      <c r="AJ101" s="69" t="n">
        <f aca="false">AI101+AJ100</f>
        <v>-70348.2820155514</v>
      </c>
      <c r="AK101" s="69" t="n">
        <f aca="false">AJ101+AK100</f>
        <v>-63260.2977922369</v>
      </c>
      <c r="AL101" s="69" t="n">
        <f aca="false">AK101+AL100</f>
        <v>-48995.2468547172</v>
      </c>
      <c r="AM101" s="69" t="n">
        <f aca="false">AL101+AM100</f>
        <v>-49535.2650190874</v>
      </c>
      <c r="AN101" s="69" t="n">
        <f aca="false">AM101+AN100</f>
        <v>-40606.0884046218</v>
      </c>
      <c r="AO101" s="69" t="n">
        <f aca="false">AN101+AO100</f>
        <v>-31667.0367901562</v>
      </c>
      <c r="AP101" s="69" t="n">
        <f aca="false">AO101+AP100</f>
        <v>-22718.1101756906</v>
      </c>
      <c r="AQ101" s="69" t="n">
        <f aca="false">AP101+AQ100</f>
        <v>-13759.308561225</v>
      </c>
      <c r="AR101" s="69" t="n">
        <f aca="false">AQ101+AR100</f>
        <v>2813.04174284088</v>
      </c>
      <c r="AS101" s="69" t="n">
        <f aca="false">AR101+AS100</f>
        <v>19368.2604496848</v>
      </c>
      <c r="AT101" s="69" t="n">
        <f aca="false">AS101+AT100</f>
        <v>35933.3541565288</v>
      </c>
      <c r="AU101" s="69" t="n">
        <f aca="false">AT101+AU100</f>
        <v>44904.6491737724</v>
      </c>
      <c r="AV101" s="69" t="n">
        <f aca="false">AU101+AV100</f>
        <v>53912.825788238</v>
      </c>
      <c r="AW101" s="69" t="n">
        <f aca="false">AV101+AW100</f>
        <v>62930.8774027036</v>
      </c>
      <c r="AX101" s="69" t="n">
        <f aca="false">AW101+AX100</f>
        <v>79562.4777067695</v>
      </c>
      <c r="AY101" s="69" t="n">
        <f aca="false">AX101+AY100</f>
        <v>81026.968833004</v>
      </c>
      <c r="AZ101" s="69" t="n">
        <f aca="false">AY101+AZ100</f>
        <v>91930.1149211003</v>
      </c>
      <c r="BA101" s="69" t="n">
        <f aca="false">AZ101+BA100</f>
        <v>102843.136009197</v>
      </c>
      <c r="BB101" s="69" t="n">
        <f aca="false">BA101+BB100</f>
        <v>113766.032097293</v>
      </c>
      <c r="BC101" s="69" t="n">
        <f aca="false">BB101+BC100</f>
        <v>124698.803185389</v>
      </c>
      <c r="BD101" s="69" t="n">
        <f aca="false">BC101+BD100</f>
        <v>143708.186690783</v>
      </c>
      <c r="BE101" s="69" t="n">
        <f aca="false">BD101+BE100</f>
        <v>162698.793897183</v>
      </c>
      <c r="BF101" s="69" t="n">
        <f aca="false">BE101+BF100</f>
        <v>181699.276103584</v>
      </c>
      <c r="BG101" s="69" t="n">
        <f aca="false">BF101+BG100</f>
        <v>192642.895892687</v>
      </c>
      <c r="BH101" s="69" t="n">
        <f aca="false">BG101+BH100</f>
        <v>203625.041980784</v>
      </c>
      <c r="BI101" s="69" t="n">
        <f aca="false">BH101+BI100</f>
        <v>214617.06306888</v>
      </c>
      <c r="BJ101" s="69" t="n">
        <f aca="false">BI101+BJ100</f>
        <v>233685.696574273</v>
      </c>
    </row>
    <row r="102" customFormat="false" ht="15" hidden="false" customHeight="false" outlineLevel="0" collapsed="false">
      <c r="A102" s="118" t="s">
        <v>452</v>
      </c>
      <c r="C102" s="69" t="n">
        <f aca="false">C101</f>
        <v>-205920.330862222</v>
      </c>
      <c r="D102" s="69" t="n">
        <f aca="false">MIN(C102,D101)</f>
        <v>-225119.171251556</v>
      </c>
      <c r="E102" s="69" t="n">
        <f aca="false">MIN(D102,E101)</f>
        <v>-241737.536504889</v>
      </c>
      <c r="F102" s="69" t="n">
        <f aca="false">MIN(E102,F101)</f>
        <v>-255775.426622222</v>
      </c>
      <c r="G102" s="69" t="n">
        <f aca="false">MIN(F102,G101)</f>
        <v>-267232.841603556</v>
      </c>
      <c r="H102" s="69" t="n">
        <f aca="false">MIN(G102,H101)</f>
        <v>-270471.496488889</v>
      </c>
      <c r="I102" s="69" t="n">
        <f aca="false">MIN(H102,I101)</f>
        <v>-270662.226990222</v>
      </c>
      <c r="J102" s="69" t="n">
        <f aca="false">MIN(I102,J101)</f>
        <v>-270662.226990222</v>
      </c>
      <c r="K102" s="69" t="n">
        <f aca="false">MIN(J102,K101)</f>
        <v>-270662.226990222</v>
      </c>
      <c r="L102" s="69" t="n">
        <f aca="false">MIN(K102,L101)</f>
        <v>-270662.226990222</v>
      </c>
      <c r="M102" s="69" t="n">
        <f aca="false">MIN(L102,M101)</f>
        <v>-270662.226990222</v>
      </c>
      <c r="N102" s="69" t="n">
        <f aca="false">MIN(M102,N101)</f>
        <v>-270662.226990222</v>
      </c>
      <c r="O102" s="69" t="n">
        <f aca="false">MIN(N102,O101)</f>
        <v>-270662.226990222</v>
      </c>
      <c r="P102" s="69" t="n">
        <f aca="false">MIN(O102,P101)</f>
        <v>-270662.226990222</v>
      </c>
      <c r="Q102" s="69" t="n">
        <f aca="false">MIN(P102,Q101)</f>
        <v>-270662.226990222</v>
      </c>
      <c r="R102" s="69" t="n">
        <f aca="false">MIN(Q102,R101)</f>
        <v>-270662.226990222</v>
      </c>
      <c r="S102" s="69" t="n">
        <f aca="false">MIN(R102,S101)</f>
        <v>-270662.226990222</v>
      </c>
      <c r="T102" s="69" t="n">
        <f aca="false">MIN(S102,T101)</f>
        <v>-270662.226990222</v>
      </c>
      <c r="U102" s="69" t="n">
        <f aca="false">MIN(T102,U101)</f>
        <v>-270662.226990222</v>
      </c>
      <c r="V102" s="69" t="n">
        <f aca="false">MIN(U102,V101)</f>
        <v>-270662.226990222</v>
      </c>
      <c r="W102" s="69" t="n">
        <f aca="false">MIN(V102,W101)</f>
        <v>-270662.226990222</v>
      </c>
      <c r="X102" s="69" t="n">
        <f aca="false">MIN(W102,X101)</f>
        <v>-270662.226990222</v>
      </c>
      <c r="Y102" s="69" t="n">
        <f aca="false">MIN(X102,Y101)</f>
        <v>-270662.226990222</v>
      </c>
      <c r="Z102" s="69" t="n">
        <f aca="false">MIN(Y102,Z101)</f>
        <v>-270662.226990222</v>
      </c>
      <c r="AA102" s="69" t="n">
        <f aca="false">MIN(Z102,AA101)</f>
        <v>-270662.226990222</v>
      </c>
      <c r="AB102" s="69" t="n">
        <f aca="false">MIN(AA102,AB101)</f>
        <v>-270662.226990222</v>
      </c>
      <c r="AC102" s="69" t="n">
        <f aca="false">MIN(AB102,AC101)</f>
        <v>-270662.226990222</v>
      </c>
      <c r="AD102" s="69" t="n">
        <f aca="false">MIN(AC102,AD101)</f>
        <v>-270662.226990222</v>
      </c>
      <c r="AE102" s="69" t="n">
        <f aca="false">MIN(AD102,AE101)</f>
        <v>-270662.226990222</v>
      </c>
      <c r="AF102" s="69" t="n">
        <f aca="false">MIN(AE102,AF101)</f>
        <v>-270662.226990222</v>
      </c>
      <c r="AG102" s="69" t="n">
        <f aca="false">MIN(AF102,AG101)</f>
        <v>-270662.226990222</v>
      </c>
      <c r="AH102" s="69" t="n">
        <f aca="false">MIN(AG102,AH101)</f>
        <v>-270662.226990222</v>
      </c>
      <c r="AI102" s="69" t="n">
        <f aca="false">MIN(AH102,AI101)</f>
        <v>-270662.226990222</v>
      </c>
      <c r="AJ102" s="69" t="n">
        <f aca="false">MIN(AI102,AJ101)</f>
        <v>-270662.226990222</v>
      </c>
      <c r="AK102" s="69" t="n">
        <f aca="false">MIN(AJ102,AK101)</f>
        <v>-270662.226990222</v>
      </c>
      <c r="AL102" s="69" t="n">
        <f aca="false">MIN(AK102,AL101)</f>
        <v>-270662.226990222</v>
      </c>
      <c r="AM102" s="69" t="n">
        <f aca="false">MIN(AL102,AM101)</f>
        <v>-270662.226990222</v>
      </c>
      <c r="AN102" s="69" t="n">
        <f aca="false">MIN(AM102,AN101)</f>
        <v>-270662.226990222</v>
      </c>
      <c r="AO102" s="69" t="n">
        <f aca="false">MIN(AN102,AO101)</f>
        <v>-270662.226990222</v>
      </c>
      <c r="AP102" s="69" t="n">
        <f aca="false">MIN(AO102,AP101)</f>
        <v>-270662.226990222</v>
      </c>
      <c r="AQ102" s="69" t="n">
        <f aca="false">MIN(AP102,AQ101)</f>
        <v>-270662.226990222</v>
      </c>
      <c r="AR102" s="69" t="n">
        <f aca="false">MIN(AQ102,AR101)</f>
        <v>-270662.226990222</v>
      </c>
      <c r="AS102" s="69" t="n">
        <f aca="false">MIN(AR102,AS101)</f>
        <v>-270662.226990222</v>
      </c>
      <c r="AT102" s="69" t="n">
        <f aca="false">MIN(AS102,AT101)</f>
        <v>-270662.226990222</v>
      </c>
      <c r="AU102" s="69" t="n">
        <f aca="false">MIN(AT102,AU101)</f>
        <v>-270662.226990222</v>
      </c>
      <c r="AV102" s="69" t="n">
        <f aca="false">MIN(AU102,AV101)</f>
        <v>-270662.226990222</v>
      </c>
      <c r="AW102" s="69" t="n">
        <f aca="false">MIN(AV102,AW101)</f>
        <v>-270662.226990222</v>
      </c>
      <c r="AX102" s="69" t="n">
        <f aca="false">MIN(AW102,AX101)</f>
        <v>-270662.226990222</v>
      </c>
      <c r="AY102" s="69" t="n">
        <f aca="false">MIN(AX102,AY101)</f>
        <v>-270662.226990222</v>
      </c>
      <c r="AZ102" s="69" t="n">
        <f aca="false">MIN(AY102,AZ101)</f>
        <v>-270662.226990222</v>
      </c>
      <c r="BA102" s="69" t="n">
        <f aca="false">MIN(AZ102,BA101)</f>
        <v>-270662.226990222</v>
      </c>
      <c r="BB102" s="69" t="n">
        <f aca="false">MIN(BA102,BB101)</f>
        <v>-270662.226990222</v>
      </c>
      <c r="BC102" s="69" t="n">
        <f aca="false">MIN(BB102,BC101)</f>
        <v>-270662.226990222</v>
      </c>
      <c r="BD102" s="69" t="n">
        <f aca="false">MIN(BC102,BD101)</f>
        <v>-270662.226990222</v>
      </c>
      <c r="BE102" s="69" t="n">
        <f aca="false">MIN(BD102,BE101)</f>
        <v>-270662.226990222</v>
      </c>
      <c r="BF102" s="69" t="n">
        <f aca="false">MIN(BE102,BF101)</f>
        <v>-270662.226990222</v>
      </c>
      <c r="BG102" s="69" t="n">
        <f aca="false">MIN(BF102,BG101)</f>
        <v>-270662.226990222</v>
      </c>
      <c r="BH102" s="69" t="n">
        <f aca="false">MIN(BG102,BH101)</f>
        <v>-270662.226990222</v>
      </c>
      <c r="BI102" s="69" t="n">
        <f aca="false">MIN(BH102,BI101)</f>
        <v>-270662.226990222</v>
      </c>
      <c r="BJ102" s="69" t="n">
        <f aca="false">MIN(BI102,BJ101)</f>
        <v>-270662.226990222</v>
      </c>
    </row>
    <row r="103" customFormat="false" ht="15" hidden="false" customHeight="false" outlineLevel="0" collapsed="false">
      <c r="A103" s="118" t="s">
        <v>453</v>
      </c>
      <c r="C103" s="120" t="n">
        <f aca="false">IF(AND(C101&gt;=0,C102&lt;0),1,0)</f>
        <v>0</v>
      </c>
      <c r="D103" s="120" t="n">
        <f aca="false">IF(AND(D101&gt;=0,D102&lt;0),1,0)</f>
        <v>0</v>
      </c>
      <c r="E103" s="120" t="n">
        <f aca="false">IF(AND(E101&gt;=0,E102&lt;0),1,0)</f>
        <v>0</v>
      </c>
      <c r="F103" s="120" t="n">
        <f aca="false">IF(AND(F101&gt;=0,F102&lt;0),1,0)</f>
        <v>0</v>
      </c>
      <c r="G103" s="120" t="n">
        <f aca="false">IF(AND(G101&gt;=0,G102&lt;0),1,0)</f>
        <v>0</v>
      </c>
      <c r="H103" s="120" t="n">
        <f aca="false">IF(AND(H101&gt;=0,H102&lt;0),1,0)</f>
        <v>0</v>
      </c>
      <c r="I103" s="120" t="n">
        <f aca="false">IF(AND(I101&gt;=0,I102&lt;0),1,0)</f>
        <v>0</v>
      </c>
      <c r="J103" s="120" t="n">
        <f aca="false">IF(AND(J101&gt;=0,J102&lt;0),1,0)</f>
        <v>0</v>
      </c>
      <c r="K103" s="120" t="n">
        <f aca="false">IF(AND(K101&gt;=0,K102&lt;0),1,0)</f>
        <v>0</v>
      </c>
      <c r="L103" s="120" t="n">
        <f aca="false">IF(AND(L101&gt;=0,L102&lt;0),1,0)</f>
        <v>0</v>
      </c>
      <c r="M103" s="120" t="n">
        <f aca="false">IF(AND(M101&gt;=0,M102&lt;0),1,0)</f>
        <v>0</v>
      </c>
      <c r="N103" s="120" t="n">
        <f aca="false">IF(AND(N101&gt;=0,N102&lt;0),1,0)</f>
        <v>0</v>
      </c>
      <c r="O103" s="120" t="n">
        <f aca="false">IF(AND(O101&gt;=0,O102&lt;0),1,0)</f>
        <v>0</v>
      </c>
      <c r="P103" s="120" t="n">
        <f aca="false">IF(AND(P101&gt;=0,P102&lt;0),1,0)</f>
        <v>0</v>
      </c>
      <c r="Q103" s="120" t="n">
        <f aca="false">IF(AND(Q101&gt;=0,Q102&lt;0),1,0)</f>
        <v>0</v>
      </c>
      <c r="R103" s="120" t="n">
        <f aca="false">IF(AND(R101&gt;=0,R102&lt;0),1,0)</f>
        <v>0</v>
      </c>
      <c r="S103" s="120" t="n">
        <f aca="false">IF(AND(S101&gt;=0,S102&lt;0),1,0)</f>
        <v>0</v>
      </c>
      <c r="T103" s="120" t="n">
        <f aca="false">IF(AND(T101&gt;=0,T102&lt;0),1,0)</f>
        <v>0</v>
      </c>
      <c r="U103" s="120" t="n">
        <f aca="false">IF(AND(U101&gt;=0,U102&lt;0),1,0)</f>
        <v>0</v>
      </c>
      <c r="V103" s="120" t="n">
        <f aca="false">IF(AND(V101&gt;=0,V102&lt;0),1,0)</f>
        <v>0</v>
      </c>
      <c r="W103" s="120" t="n">
        <f aca="false">IF(AND(W101&gt;=0,W102&lt;0),1,0)</f>
        <v>0</v>
      </c>
      <c r="X103" s="120" t="n">
        <f aca="false">IF(AND(X101&gt;=0,X102&lt;0),1,0)</f>
        <v>0</v>
      </c>
      <c r="Y103" s="120" t="n">
        <f aca="false">IF(AND(Y101&gt;=0,Y102&lt;0),1,0)</f>
        <v>0</v>
      </c>
      <c r="Z103" s="120" t="n">
        <f aca="false">IF(AND(Z101&gt;=0,Z102&lt;0),1,0)</f>
        <v>0</v>
      </c>
      <c r="AA103" s="120" t="n">
        <f aca="false">IF(AND(AA101&gt;=0,AA102&lt;0),1,0)</f>
        <v>0</v>
      </c>
      <c r="AB103" s="120" t="n">
        <f aca="false">IF(AND(AB101&gt;=0,AB102&lt;0),1,0)</f>
        <v>0</v>
      </c>
      <c r="AC103" s="120" t="n">
        <f aca="false">IF(AND(AC101&gt;=0,AC102&lt;0),1,0)</f>
        <v>0</v>
      </c>
      <c r="AD103" s="120" t="n">
        <f aca="false">IF(AND(AD101&gt;=0,AD102&lt;0),1,0)</f>
        <v>0</v>
      </c>
      <c r="AE103" s="120" t="n">
        <f aca="false">IF(AND(AE101&gt;=0,AE102&lt;0),1,0)</f>
        <v>0</v>
      </c>
      <c r="AF103" s="120" t="n">
        <f aca="false">IF(AND(AF101&gt;=0,AF102&lt;0),1,0)</f>
        <v>0</v>
      </c>
      <c r="AG103" s="120" t="n">
        <f aca="false">IF(AND(AG101&gt;=0,AG102&lt;0),1,0)</f>
        <v>0</v>
      </c>
      <c r="AH103" s="120" t="n">
        <f aca="false">IF(AND(AH101&gt;=0,AH102&lt;0),1,0)</f>
        <v>0</v>
      </c>
      <c r="AI103" s="120" t="n">
        <f aca="false">IF(AND(AI101&gt;=0,AI102&lt;0),1,0)</f>
        <v>0</v>
      </c>
      <c r="AJ103" s="120" t="n">
        <f aca="false">IF(AND(AJ101&gt;=0,AJ102&lt;0),1,0)</f>
        <v>0</v>
      </c>
      <c r="AK103" s="120" t="n">
        <f aca="false">IF(AND(AK101&gt;=0,AK102&lt;0),1,0)</f>
        <v>0</v>
      </c>
      <c r="AL103" s="120" t="n">
        <f aca="false">IF(AND(AL101&gt;=0,AL102&lt;0),1,0)</f>
        <v>0</v>
      </c>
      <c r="AM103" s="120" t="n">
        <f aca="false">IF(AND(AM101&gt;=0,AM102&lt;0),1,0)</f>
        <v>0</v>
      </c>
      <c r="AN103" s="120" t="n">
        <f aca="false">IF(AND(AN101&gt;=0,AN102&lt;0),1,0)</f>
        <v>0</v>
      </c>
      <c r="AO103" s="120" t="n">
        <f aca="false">IF(AND(AO101&gt;=0,AO102&lt;0),1,0)</f>
        <v>0</v>
      </c>
      <c r="AP103" s="120" t="n">
        <f aca="false">IF(AND(AP101&gt;=0,AP102&lt;0),1,0)</f>
        <v>0</v>
      </c>
      <c r="AQ103" s="120" t="n">
        <f aca="false">IF(AND(AQ101&gt;=0,AQ102&lt;0),1,0)</f>
        <v>0</v>
      </c>
      <c r="AR103" s="120" t="n">
        <f aca="false">IF(AND(AR101&gt;=0,AR102&lt;0),1,0)</f>
        <v>1</v>
      </c>
      <c r="AS103" s="120" t="n">
        <f aca="false">IF(AND(AS101&gt;=0,AS102&lt;0),1,0)</f>
        <v>1</v>
      </c>
      <c r="AT103" s="120" t="n">
        <f aca="false">IF(AND(AT101&gt;=0,AT102&lt;0),1,0)</f>
        <v>1</v>
      </c>
      <c r="AU103" s="120" t="n">
        <f aca="false">IF(AND(AU101&gt;=0,AU102&lt;0),1,0)</f>
        <v>1</v>
      </c>
      <c r="AV103" s="120" t="n">
        <f aca="false">IF(AND(AV101&gt;=0,AV102&lt;0),1,0)</f>
        <v>1</v>
      </c>
      <c r="AW103" s="120" t="n">
        <f aca="false">IF(AND(AW101&gt;=0,AW102&lt;0),1,0)</f>
        <v>1</v>
      </c>
      <c r="AX103" s="120" t="n">
        <f aca="false">IF(AND(AX101&gt;=0,AX102&lt;0),1,0)</f>
        <v>1</v>
      </c>
      <c r="AY103" s="120" t="n">
        <f aca="false">IF(AND(AY101&gt;=0,AY102&lt;0),1,0)</f>
        <v>1</v>
      </c>
      <c r="AZ103" s="120" t="n">
        <f aca="false">IF(AND(AZ101&gt;=0,AZ102&lt;0),1,0)</f>
        <v>1</v>
      </c>
      <c r="BA103" s="120" t="n">
        <f aca="false">IF(AND(BA101&gt;=0,BA102&lt;0),1,0)</f>
        <v>1</v>
      </c>
      <c r="BB103" s="120" t="n">
        <f aca="false">IF(AND(BB101&gt;=0,BB102&lt;0),1,0)</f>
        <v>1</v>
      </c>
      <c r="BC103" s="120" t="n">
        <f aca="false">IF(AND(BC101&gt;=0,BC102&lt;0),1,0)</f>
        <v>1</v>
      </c>
      <c r="BD103" s="120" t="n">
        <f aca="false">IF(AND(BD101&gt;=0,BD102&lt;0),1,0)</f>
        <v>1</v>
      </c>
      <c r="BE103" s="120" t="n">
        <f aca="false">IF(AND(BE101&gt;=0,BE102&lt;0),1,0)</f>
        <v>1</v>
      </c>
      <c r="BF103" s="120" t="n">
        <f aca="false">IF(AND(BF101&gt;=0,BF102&lt;0),1,0)</f>
        <v>1</v>
      </c>
      <c r="BG103" s="120" t="n">
        <f aca="false">IF(AND(BG101&gt;=0,BG102&lt;0),1,0)</f>
        <v>1</v>
      </c>
      <c r="BH103" s="120" t="n">
        <f aca="false">IF(AND(BH101&gt;=0,BH102&lt;0),1,0)</f>
        <v>1</v>
      </c>
      <c r="BI103" s="120" t="n">
        <f aca="false">IF(AND(BI101&gt;=0,BI102&lt;0),1,0)</f>
        <v>1</v>
      </c>
      <c r="BJ103" s="120" t="n">
        <f aca="false">IF(AND(BJ101&gt;=0,BJ102&lt;0),1,0)</f>
        <v>1</v>
      </c>
    </row>
    <row r="104" customFormat="false" ht="15" hidden="false" customHeight="false" outlineLevel="0" collapsed="false">
      <c r="A104" s="6" t="s">
        <v>454</v>
      </c>
      <c r="C104" s="69" t="n">
        <f aca="false">C89-C54*(1-Inputs!$E$83)+C90</f>
        <v>-205327.830862222</v>
      </c>
      <c r="D104" s="69" t="n">
        <f aca="false">D89-D54*(1-Inputs!$E$83)+D90</f>
        <v>-18611.2778893333</v>
      </c>
      <c r="E104" s="69" t="n">
        <f aca="false">E89-E54*(1-Inputs!$E$83)+E90</f>
        <v>-16040.6777533333</v>
      </c>
      <c r="F104" s="69" t="n">
        <f aca="false">F89-F54*(1-Inputs!$E$83)+F90</f>
        <v>-13470.0776173333</v>
      </c>
      <c r="G104" s="69" t="n">
        <f aca="false">G89-G54*(1-Inputs!$E$83)+G90</f>
        <v>-10899.4774813333</v>
      </c>
      <c r="H104" s="69" t="n">
        <f aca="false">H89-H54*(1-Inputs!$E$83)+H90</f>
        <v>-2690.59238533334</v>
      </c>
      <c r="I104" s="69" t="n">
        <f aca="false">I89-I54*(1-Inputs!$E$83)+I90</f>
        <v>347.456998666666</v>
      </c>
      <c r="J104" s="69" t="n">
        <f aca="false">J89-J54*(1-Inputs!$E$83)+J90</f>
        <v>3399.98164666667</v>
      </c>
      <c r="K104" s="69" t="n">
        <f aca="false">K89-K54*(1-Inputs!$E$83)+K90</f>
        <v>-635.623369333339</v>
      </c>
      <c r="L104" s="69" t="n">
        <f aca="false">L89-L54*(1-Inputs!$E$83)+L90</f>
        <v>1953.52319866666</v>
      </c>
      <c r="M104" s="69" t="n">
        <f aca="false">M89-M54*(1-Inputs!$E$83)+M90</f>
        <v>4524.12333466666</v>
      </c>
      <c r="N104" s="69" t="n">
        <f aca="false">N89-N54*(1-Inputs!$E$83)+N90</f>
        <v>12153.5075666667</v>
      </c>
      <c r="O104" s="69" t="n">
        <f aca="false">O89-O54*(1-Inputs!$E$83)+O90</f>
        <v>-3159.62216544</v>
      </c>
      <c r="P104" s="69" t="n">
        <f aca="false">P89-P54*(1-Inputs!$E$83)+P90</f>
        <v>6358.43452970667</v>
      </c>
      <c r="Q104" s="69" t="n">
        <f aca="false">Q89-Q54*(1-Inputs!$E$83)+Q90</f>
        <v>6361.05952970667</v>
      </c>
      <c r="R104" s="69" t="n">
        <f aca="false">R89-R54*(1-Inputs!$E$83)+R90</f>
        <v>6363.68452970667</v>
      </c>
      <c r="S104" s="69" t="n">
        <f aca="false">S89-S54*(1-Inputs!$E$83)+S90</f>
        <v>6366.30952970667</v>
      </c>
      <c r="T104" s="69" t="n">
        <f aca="false">T89-T54*(1-Inputs!$E$83)+T90</f>
        <v>14914.1581212267</v>
      </c>
      <c r="U104" s="69" t="n">
        <f aca="false">U89-U54*(1-Inputs!$E$83)+U90</f>
        <v>14892.7881093867</v>
      </c>
      <c r="V104" s="69" t="n">
        <f aca="false">V89-V54*(1-Inputs!$E$83)+V90</f>
        <v>14895.4131093867</v>
      </c>
      <c r="W104" s="69" t="n">
        <f aca="false">W89-W54*(1-Inputs!$E$83)+W90</f>
        <v>6352.81451786667</v>
      </c>
      <c r="X104" s="69" t="n">
        <f aca="false">X89-X54*(1-Inputs!$E$83)+X90</f>
        <v>6379.43452970667</v>
      </c>
      <c r="Y104" s="69" t="n">
        <f aca="false">Y89-Y54*(1-Inputs!$E$83)+Y90</f>
        <v>6382.05952970667</v>
      </c>
      <c r="Z104" s="69" t="n">
        <f aca="false">Z89-Z54*(1-Inputs!$E$83)+Z90</f>
        <v>14929.9081212267</v>
      </c>
      <c r="AA104" s="69" t="n">
        <f aca="false">AA89-AA54*(1-Inputs!$E$83)+AA90</f>
        <v>-859.320961565307</v>
      </c>
      <c r="AB104" s="69" t="n">
        <f aca="false">AB89-AB54*(1-Inputs!$E$83)+AB90</f>
        <v>8631.47607381579</v>
      </c>
      <c r="AC104" s="69" t="n">
        <f aca="false">AC89-AC54*(1-Inputs!$E$83)+AC90</f>
        <v>8035.23971155984</v>
      </c>
      <c r="AD104" s="69" t="n">
        <f aca="false">AD89-AD54*(1-Inputs!$E$83)+AD90</f>
        <v>7349.67172331448</v>
      </c>
      <c r="AE104" s="69" t="n">
        <f aca="false">AE89-AE54*(1-Inputs!$E$83)+AE90</f>
        <v>7349.67172331448</v>
      </c>
      <c r="AF104" s="69" t="n">
        <f aca="false">AF89-AF54*(1-Inputs!$E$83)+AF90</f>
        <v>14516.8634375197</v>
      </c>
      <c r="AG104" s="69" t="n">
        <f aca="false">AG89-AG54*(1-Inputs!$E$83)+AG90</f>
        <v>14491.4071294587</v>
      </c>
      <c r="AH104" s="69" t="n">
        <f aca="false">AH89-AH54*(1-Inputs!$E$83)+AH90</f>
        <v>14491.4071294587</v>
      </c>
      <c r="AI104" s="69" t="n">
        <f aca="false">AI89-AI54*(1-Inputs!$E$83)+AI90</f>
        <v>7324.21541525342</v>
      </c>
      <c r="AJ104" s="69" t="n">
        <f aca="false">AJ89-AJ54*(1-Inputs!$E$83)+AJ90</f>
        <v>7349.67172331448</v>
      </c>
      <c r="AK104" s="69" t="n">
        <f aca="false">AK89-AK54*(1-Inputs!$E$83)+AK90</f>
        <v>7349.67172331448</v>
      </c>
      <c r="AL104" s="69" t="n">
        <f aca="false">AL89-AL54*(1-Inputs!$E$83)+AL90</f>
        <v>14516.8634375197</v>
      </c>
      <c r="AM104" s="69" t="n">
        <f aca="false">AM89-AM54*(1-Inputs!$E$83)+AM90</f>
        <v>-298.080664370209</v>
      </c>
      <c r="AN104" s="69" t="n">
        <f aca="false">AN89-AN54*(1-Inputs!$E$83)+AN90</f>
        <v>9161.23911446559</v>
      </c>
      <c r="AO104" s="69" t="n">
        <f aca="false">AO89-AO54*(1-Inputs!$E$83)+AO90</f>
        <v>9161.23911446559</v>
      </c>
      <c r="AP104" s="69" t="n">
        <f aca="false">AP89-AP54*(1-Inputs!$E$83)+AP90</f>
        <v>9161.23911446559</v>
      </c>
      <c r="AQ104" s="69" t="n">
        <f aca="false">AQ89-AQ54*(1-Inputs!$E$83)+AQ90</f>
        <v>9161.23911446559</v>
      </c>
      <c r="AR104" s="69" t="n">
        <f aca="false">AR89-AR54*(1-Inputs!$E$83)+AR90</f>
        <v>16764.9128040659</v>
      </c>
      <c r="AS104" s="69" t="n">
        <f aca="false">AS89-AS54*(1-Inputs!$E$83)+AS90</f>
        <v>16737.9062068439</v>
      </c>
      <c r="AT104" s="69" t="n">
        <f aca="false">AT89-AT54*(1-Inputs!$E$83)+AT90</f>
        <v>16737.9062068439</v>
      </c>
      <c r="AU104" s="69" t="n">
        <f aca="false">AU89-AU54*(1-Inputs!$E$83)+AU90</f>
        <v>9134.23251724362</v>
      </c>
      <c r="AV104" s="69" t="n">
        <f aca="false">AV89-AV54*(1-Inputs!$E$83)+AV90</f>
        <v>9161.2391144656</v>
      </c>
      <c r="AW104" s="69" t="n">
        <f aca="false">AW89-AW54*(1-Inputs!$E$83)+AW90</f>
        <v>9161.2391144656</v>
      </c>
      <c r="AX104" s="69" t="n">
        <f aca="false">AX89-AX54*(1-Inputs!$E$83)+AX90</f>
        <v>16764.9128040659</v>
      </c>
      <c r="AY104" s="69" t="n">
        <f aca="false">AY89-AY54*(1-Inputs!$E$83)+AY90</f>
        <v>1587.92862623444</v>
      </c>
      <c r="AZ104" s="69" t="n">
        <f aca="false">AZ89-AZ54*(1-Inputs!$E$83)+AZ90</f>
        <v>11016.7085880963</v>
      </c>
      <c r="BA104" s="69" t="n">
        <f aca="false">BA89-BA54*(1-Inputs!$E$83)+BA90</f>
        <v>11016.7085880963</v>
      </c>
      <c r="BB104" s="69" t="n">
        <f aca="false">BB89-BB54*(1-Inputs!$E$83)+BB90</f>
        <v>11016.7085880963</v>
      </c>
      <c r="BC104" s="69" t="n">
        <f aca="false">BC89-BC54*(1-Inputs!$E$83)+BC90</f>
        <v>11016.7085880963</v>
      </c>
      <c r="BD104" s="69" t="n">
        <f aca="false">BD89-BD54*(1-Inputs!$E$83)+BD90</f>
        <v>19083.4460053933</v>
      </c>
      <c r="BE104" s="69" t="n">
        <f aca="false">BE89-BE54*(1-Inputs!$E$83)+BE90</f>
        <v>19054.7947064006</v>
      </c>
      <c r="BF104" s="69" t="n">
        <f aca="false">BF89-BF54*(1-Inputs!$E$83)+BF90</f>
        <v>19054.7947064006</v>
      </c>
      <c r="BG104" s="69" t="n">
        <f aca="false">BG89-BG54*(1-Inputs!$E$83)+BG90</f>
        <v>10988.0572891036</v>
      </c>
      <c r="BH104" s="69" t="n">
        <f aca="false">BH89-BH54*(1-Inputs!$E$83)+BH90</f>
        <v>11016.7085880963</v>
      </c>
      <c r="BI104" s="69" t="n">
        <f aca="false">BI89-BI54*(1-Inputs!$E$83)+BI90</f>
        <v>11016.7085880963</v>
      </c>
      <c r="BJ104" s="69" t="n">
        <f aca="false">BJ89-BJ54*(1-Inputs!$E$83)+BJ90</f>
        <v>19083.4460053933</v>
      </c>
    </row>
    <row r="106" customFormat="false" ht="15.75" hidden="false" customHeight="true" outlineLevel="0" collapsed="false">
      <c r="A106" s="7" t="s">
        <v>455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customFormat="false" ht="15" hidden="false" customHeight="false" outlineLevel="0" collapsed="false">
      <c r="A107" s="6" t="s">
        <v>97</v>
      </c>
      <c r="C107" s="69" t="n">
        <f aca="false">C91</f>
        <v>330000</v>
      </c>
      <c r="D107" s="69" t="n">
        <f aca="false">C107+D91</f>
        <v>330000</v>
      </c>
      <c r="E107" s="69" t="n">
        <f aca="false">D107+E91</f>
        <v>330000</v>
      </c>
      <c r="F107" s="69" t="n">
        <f aca="false">E107+F91</f>
        <v>330000</v>
      </c>
      <c r="G107" s="69" t="n">
        <f aca="false">F107+G91</f>
        <v>330000</v>
      </c>
      <c r="H107" s="69" t="n">
        <f aca="false">G107+H91</f>
        <v>330000</v>
      </c>
      <c r="I107" s="69" t="n">
        <f aca="false">H107+I91</f>
        <v>330000</v>
      </c>
      <c r="J107" s="69" t="n">
        <f aca="false">I107+J91</f>
        <v>330000</v>
      </c>
      <c r="K107" s="69" t="n">
        <f aca="false">J107+K91</f>
        <v>330000</v>
      </c>
      <c r="L107" s="69" t="n">
        <f aca="false">K107+L91</f>
        <v>330000</v>
      </c>
      <c r="M107" s="69" t="n">
        <f aca="false">L107+M91</f>
        <v>330000</v>
      </c>
      <c r="N107" s="69" t="n">
        <f aca="false">M107+N91</f>
        <v>330000</v>
      </c>
      <c r="O107" s="69" t="n">
        <f aca="false">N107+O91</f>
        <v>330000</v>
      </c>
      <c r="P107" s="69" t="n">
        <f aca="false">O107+P91</f>
        <v>330000</v>
      </c>
      <c r="Q107" s="69" t="n">
        <f aca="false">P107+Q91</f>
        <v>330000</v>
      </c>
      <c r="R107" s="69" t="n">
        <f aca="false">Q107+R91</f>
        <v>330000</v>
      </c>
      <c r="S107" s="69" t="n">
        <f aca="false">R107+S91</f>
        <v>330000</v>
      </c>
      <c r="T107" s="69" t="n">
        <f aca="false">S107+T91</f>
        <v>330000</v>
      </c>
      <c r="U107" s="69" t="n">
        <f aca="false">T107+U91</f>
        <v>330000</v>
      </c>
      <c r="V107" s="69" t="n">
        <f aca="false">U107+V91</f>
        <v>330000</v>
      </c>
      <c r="W107" s="69" t="n">
        <f aca="false">V107+W91</f>
        <v>330000</v>
      </c>
      <c r="X107" s="69" t="n">
        <f aca="false">W107+X91</f>
        <v>330000</v>
      </c>
      <c r="Y107" s="69" t="n">
        <f aca="false">X107+Y91</f>
        <v>330000</v>
      </c>
      <c r="Z107" s="69" t="n">
        <f aca="false">Y107+Z91</f>
        <v>330000</v>
      </c>
      <c r="AA107" s="69" t="n">
        <f aca="false">Z107+AA91</f>
        <v>330000</v>
      </c>
      <c r="AB107" s="69" t="n">
        <f aca="false">AA107+AB91</f>
        <v>330000</v>
      </c>
      <c r="AC107" s="69" t="n">
        <f aca="false">AB107+AC91</f>
        <v>330000</v>
      </c>
      <c r="AD107" s="69" t="n">
        <f aca="false">AC107+AD91</f>
        <v>330000</v>
      </c>
      <c r="AE107" s="69" t="n">
        <f aca="false">AD107+AE91</f>
        <v>330000</v>
      </c>
      <c r="AF107" s="69" t="n">
        <f aca="false">AE107+AF91</f>
        <v>330000</v>
      </c>
      <c r="AG107" s="69" t="n">
        <f aca="false">AF107+AG91</f>
        <v>330000</v>
      </c>
      <c r="AH107" s="69" t="n">
        <f aca="false">AG107+AH91</f>
        <v>330000</v>
      </c>
      <c r="AI107" s="69" t="n">
        <f aca="false">AH107+AI91</f>
        <v>330000</v>
      </c>
      <c r="AJ107" s="69" t="n">
        <f aca="false">AI107+AJ91</f>
        <v>330000</v>
      </c>
      <c r="AK107" s="69" t="n">
        <f aca="false">AJ107+AK91</f>
        <v>330000</v>
      </c>
      <c r="AL107" s="69" t="n">
        <f aca="false">AK107+AL91</f>
        <v>330000</v>
      </c>
      <c r="AM107" s="69" t="n">
        <f aca="false">AL107+AM91</f>
        <v>330000</v>
      </c>
      <c r="AN107" s="69" t="n">
        <f aca="false">AM107+AN91</f>
        <v>330000</v>
      </c>
      <c r="AO107" s="69" t="n">
        <f aca="false">AN107+AO91</f>
        <v>330000</v>
      </c>
      <c r="AP107" s="69" t="n">
        <f aca="false">AO107+AP91</f>
        <v>330000</v>
      </c>
      <c r="AQ107" s="69" t="n">
        <f aca="false">AP107+AQ91</f>
        <v>330000</v>
      </c>
      <c r="AR107" s="69" t="n">
        <f aca="false">AQ107+AR91</f>
        <v>330000</v>
      </c>
      <c r="AS107" s="69" t="n">
        <f aca="false">AR107+AS91</f>
        <v>330000</v>
      </c>
      <c r="AT107" s="69" t="n">
        <f aca="false">AS107+AT91</f>
        <v>330000</v>
      </c>
      <c r="AU107" s="69" t="n">
        <f aca="false">AT107+AU91</f>
        <v>330000</v>
      </c>
      <c r="AV107" s="69" t="n">
        <f aca="false">AU107+AV91</f>
        <v>330000</v>
      </c>
      <c r="AW107" s="69" t="n">
        <f aca="false">AV107+AW91</f>
        <v>330000</v>
      </c>
      <c r="AX107" s="69" t="n">
        <f aca="false">AW107+AX91</f>
        <v>330000</v>
      </c>
      <c r="AY107" s="69" t="n">
        <f aca="false">AX107+AY91</f>
        <v>330000</v>
      </c>
      <c r="AZ107" s="69" t="n">
        <f aca="false">AY107+AZ91</f>
        <v>330000</v>
      </c>
      <c r="BA107" s="69" t="n">
        <f aca="false">AZ107+BA91</f>
        <v>330000</v>
      </c>
      <c r="BB107" s="69" t="n">
        <f aca="false">BA107+BB91</f>
        <v>330000</v>
      </c>
      <c r="BC107" s="69" t="n">
        <f aca="false">BB107+BC91</f>
        <v>330000</v>
      </c>
      <c r="BD107" s="69" t="n">
        <f aca="false">BC107+BD91</f>
        <v>330000</v>
      </c>
      <c r="BE107" s="69" t="n">
        <f aca="false">BD107+BE91</f>
        <v>330000</v>
      </c>
      <c r="BF107" s="69" t="n">
        <f aca="false">BE107+BF91</f>
        <v>330000</v>
      </c>
      <c r="BG107" s="69" t="n">
        <f aca="false">BF107+BG91</f>
        <v>330000</v>
      </c>
      <c r="BH107" s="69" t="n">
        <f aca="false">BG107+BH91</f>
        <v>330000</v>
      </c>
      <c r="BI107" s="69" t="n">
        <f aca="false">BH107+BI91</f>
        <v>330000</v>
      </c>
      <c r="BJ107" s="69" t="n">
        <f aca="false">BI107+BJ91</f>
        <v>330000</v>
      </c>
    </row>
    <row r="108" customFormat="false" ht="15" hidden="false" customHeight="false" outlineLevel="0" collapsed="false">
      <c r="A108" s="6" t="s">
        <v>98</v>
      </c>
      <c r="C108" s="69" t="n">
        <f aca="false">C59</f>
        <v>-24169.7490933333</v>
      </c>
      <c r="D108" s="69" t="n">
        <f aca="false">C108+D59</f>
        <v>-45765.2730506667</v>
      </c>
      <c r="E108" s="69" t="n">
        <f aca="false">D108+E59</f>
        <v>-64780.321872</v>
      </c>
      <c r="F108" s="69" t="n">
        <f aca="false">E108+F59</f>
        <v>-81214.8955573333</v>
      </c>
      <c r="G108" s="69" t="n">
        <f aca="false">F108+G59</f>
        <v>-95068.9941066667</v>
      </c>
      <c r="H108" s="69" t="n">
        <f aca="false">G108+H59</f>
        <v>-100720.16488</v>
      </c>
      <c r="I108" s="69" t="n">
        <f aca="false">H108+I59</f>
        <v>-103308.936005333</v>
      </c>
      <c r="J108" s="69" t="n">
        <f aca="false">I108+J59</f>
        <v>-102835.307482667</v>
      </c>
      <c r="K108" s="69" t="n">
        <f aca="false">J108+K59</f>
        <v>-106367.505488</v>
      </c>
      <c r="L108" s="69" t="n">
        <f aca="false">K108+L59</f>
        <v>-107319.228357333</v>
      </c>
      <c r="M108" s="69" t="n">
        <f aca="false">L108+M59</f>
        <v>-105690.476090667</v>
      </c>
      <c r="N108" s="69" t="n">
        <f aca="false">M108+N59</f>
        <v>-96017.148624</v>
      </c>
      <c r="O108" s="69" t="n">
        <f aca="false">N108+O59</f>
        <v>-92213.19326096</v>
      </c>
      <c r="P108" s="69" t="n">
        <f aca="false">O108+P59</f>
        <v>-88396.73789792</v>
      </c>
      <c r="Q108" s="69" t="n">
        <f aca="false">P108+Q59</f>
        <v>-84567.78253488</v>
      </c>
      <c r="R108" s="69" t="n">
        <f aca="false">Q108+R59</f>
        <v>-80726.32717184</v>
      </c>
      <c r="S108" s="69" t="n">
        <f aca="false">R108+S59</f>
        <v>-76872.3718088</v>
      </c>
      <c r="T108" s="69" t="n">
        <f aca="false">S108+T59</f>
        <v>-64484.68786608</v>
      </c>
      <c r="U108" s="69" t="n">
        <f aca="false">T108+U59</f>
        <v>-52084.50392336</v>
      </c>
      <c r="V108" s="69" t="n">
        <f aca="false">U108+V59</f>
        <v>-39671.81998064</v>
      </c>
      <c r="W108" s="69" t="n">
        <f aca="false">V108+W59</f>
        <v>-35767.8646176</v>
      </c>
      <c r="X108" s="69" t="n">
        <f aca="false">W108+X59</f>
        <v>-31851.40925456</v>
      </c>
      <c r="Y108" s="69" t="n">
        <f aca="false">X108+Y59</f>
        <v>-27922.45389152</v>
      </c>
      <c r="Z108" s="69" t="n">
        <f aca="false">Y108+Z59</f>
        <v>-15459.7699488</v>
      </c>
      <c r="AA108" s="69" t="n">
        <f aca="false">Z108+AA59</f>
        <v>-9368.43970831752</v>
      </c>
      <c r="AB108" s="69" t="n">
        <f aca="false">AA108+AB59</f>
        <v>-3264.60946783506</v>
      </c>
      <c r="AC108" s="69" t="n">
        <f aca="false">AB108+AC59</f>
        <v>2252.85941039144</v>
      </c>
      <c r="AD108" s="69" t="n">
        <f aca="false">AC108+AD59</f>
        <v>7094.63530037259</v>
      </c>
      <c r="AE108" s="69" t="n">
        <f aca="false">AD108+AE59</f>
        <v>11946.2861903537</v>
      </c>
      <c r="AF108" s="69" t="n">
        <f aca="false">AE108+AF59</f>
        <v>23949.5474864791</v>
      </c>
      <c r="AG108" s="69" t="n">
        <f aca="false">AF108+AG59</f>
        <v>35962.6837826044</v>
      </c>
      <c r="AH108" s="69" t="n">
        <f aca="false">AG108+AH59</f>
        <v>47985.6950787297</v>
      </c>
      <c r="AI108" s="69" t="n">
        <f aca="false">AH108+AI59</f>
        <v>52876.8459687109</v>
      </c>
      <c r="AJ108" s="69" t="n">
        <f aca="false">AI108+AJ59</f>
        <v>57777.871858692</v>
      </c>
      <c r="AK108" s="69" t="n">
        <f aca="false">AJ108+AK59</f>
        <v>62688.7727486732</v>
      </c>
      <c r="AL108" s="69" t="n">
        <f aca="false">AK108+AL59</f>
        <v>74751.2840447985</v>
      </c>
      <c r="AM108" s="69" t="n">
        <f aca="false">AL108+AM59</f>
        <v>81389.3356592641</v>
      </c>
      <c r="AN108" s="69" t="n">
        <f aca="false">AM108+AN59</f>
        <v>88037.2622737297</v>
      </c>
      <c r="AO108" s="69" t="n">
        <f aca="false">AN108+AO59</f>
        <v>94695.0638881953</v>
      </c>
      <c r="AP108" s="69" t="n">
        <f aca="false">AO108+AP59</f>
        <v>101362.740502661</v>
      </c>
      <c r="AQ108" s="69" t="n">
        <f aca="false">AP108+AQ59</f>
        <v>108040.292117126</v>
      </c>
      <c r="AR108" s="69" t="n">
        <f aca="false">AQ108+AR59</f>
        <v>122304.38582397</v>
      </c>
      <c r="AS108" s="69" t="n">
        <f aca="false">AR108+AS59</f>
        <v>136578.354530814</v>
      </c>
      <c r="AT108" s="69" t="n">
        <f aca="false">AS108+AT59</f>
        <v>150862.198237658</v>
      </c>
      <c r="AU108" s="69" t="n">
        <f aca="false">AT108+AU59</f>
        <v>157579.249852124</v>
      </c>
      <c r="AV108" s="69" t="n">
        <f aca="false">AU108+AV59</f>
        <v>164306.17646659</v>
      </c>
      <c r="AW108" s="69" t="n">
        <f aca="false">AV108+AW59</f>
        <v>171042.978081055</v>
      </c>
      <c r="AX108" s="69" t="n">
        <f aca="false">AW108+AX59</f>
        <v>185366.321787899</v>
      </c>
      <c r="AY108" s="69" t="n">
        <f aca="false">AX108+AY59</f>
        <v>193874.176209329</v>
      </c>
      <c r="AZ108" s="69" t="n">
        <f aca="false">AY108+AZ59</f>
        <v>202391.905630758</v>
      </c>
      <c r="BA108" s="69" t="n">
        <f aca="false">AZ108+BA59</f>
        <v>210919.510052188</v>
      </c>
      <c r="BB108" s="69" t="n">
        <f aca="false">BA108+BB59</f>
        <v>219456.989473618</v>
      </c>
      <c r="BC108" s="69" t="n">
        <f aca="false">BB108+BC59</f>
        <v>228004.343895047</v>
      </c>
      <c r="BD108" s="69" t="n">
        <f aca="false">BC108+BD59</f>
        <v>244599.659434781</v>
      </c>
      <c r="BE108" s="69" t="n">
        <f aca="false">BD108+BE59</f>
        <v>261204.849974515</v>
      </c>
      <c r="BF108" s="69" t="n">
        <f aca="false">BE108+BF59</f>
        <v>277819.915514249</v>
      </c>
      <c r="BG108" s="69" t="n">
        <f aca="false">BF108+BG59</f>
        <v>286406.769935679</v>
      </c>
      <c r="BH108" s="69" t="n">
        <f aca="false">BG108+BH59</f>
        <v>295003.499357109</v>
      </c>
      <c r="BI108" s="69" t="n">
        <f aca="false">BH108+BI59</f>
        <v>303610.103778538</v>
      </c>
      <c r="BJ108" s="69" t="n">
        <f aca="false">BI108+BJ59</f>
        <v>320264.669318272</v>
      </c>
    </row>
    <row r="109" customFormat="false" ht="15" hidden="false" customHeight="false" outlineLevel="0" collapsed="false">
      <c r="A109" s="4" t="s">
        <v>93</v>
      </c>
      <c r="C109" s="75" t="n">
        <f aca="false">C95+C81+C82+C72</f>
        <v>414972.087351111</v>
      </c>
      <c r="D109" s="75" t="n">
        <f aca="false">D95+D81+D82+D72</f>
        <v>392602.005527111</v>
      </c>
      <c r="E109" s="75" t="n">
        <f aca="false">E95+E81+E82+E72</f>
        <v>372812.398839111</v>
      </c>
      <c r="F109" s="75" t="n">
        <f aca="false">F95+F81+F82+F72</f>
        <v>355603.267287111</v>
      </c>
      <c r="G109" s="75" t="n">
        <f aca="false">G95+G81+G82+G72</f>
        <v>340974.610871111</v>
      </c>
      <c r="H109" s="75" t="n">
        <f aca="false">H95+H81+H82+H72</f>
        <v>335142.594231111</v>
      </c>
      <c r="I109" s="75" t="n">
        <f aca="false">I95+I81+I82+I72</f>
        <v>331830.154839111</v>
      </c>
      <c r="J109" s="75" t="n">
        <f aca="false">J95+J81+J82+J72</f>
        <v>331580.115095111</v>
      </c>
      <c r="K109" s="75" t="n">
        <f aca="false">K95+K81+K82+K72</f>
        <v>326577.868023111</v>
      </c>
      <c r="L109" s="75" t="n">
        <f aca="false">L95+L81+L82+L72</f>
        <v>324851.587287111</v>
      </c>
      <c r="M109" s="75" t="n">
        <f aca="false">M95+M81+M82+M72</f>
        <v>325705.781687111</v>
      </c>
      <c r="N109" s="75" t="n">
        <f aca="false">N95+N81+N82+N72</f>
        <v>334560.602487111</v>
      </c>
      <c r="O109" s="75" t="n">
        <f aca="false">O95+O81+O82+O72</f>
        <v>336851.054948818</v>
      </c>
      <c r="P109" s="75" t="n">
        <f aca="false">P95+P81+P82+P72</f>
        <v>339000.843645191</v>
      </c>
      <c r="Q109" s="75" t="n">
        <f aca="false">Q95+Q81+Q82+Q72</f>
        <v>341163.132341564</v>
      </c>
      <c r="R109" s="75" t="n">
        <f aca="false">R95+R81+R82+R72</f>
        <v>343337.921037938</v>
      </c>
      <c r="S109" s="75" t="n">
        <f aca="false">S95+S81+S82+S72</f>
        <v>345525.209734311</v>
      </c>
      <c r="T109" s="75" t="n">
        <f aca="false">T95+T81+T82+T72</f>
        <v>357146.039954365</v>
      </c>
      <c r="U109" s="75" t="n">
        <f aca="false">U95+U81+U82+U72</f>
        <v>367879.557230418</v>
      </c>
      <c r="V109" s="75" t="n">
        <f aca="false">V95+V81+V82+V72</f>
        <v>378625.574506471</v>
      </c>
      <c r="W109" s="75" t="n">
        <f aca="false">W95+W81+W82+W72</f>
        <v>379963.050258844</v>
      </c>
      <c r="X109" s="75" t="n">
        <f aca="false">X95+X81+X82+X72</f>
        <v>382212.838955218</v>
      </c>
      <c r="Y109" s="75" t="n">
        <f aca="false">Y95+Y81+Y82+Y72</f>
        <v>384475.127651591</v>
      </c>
      <c r="Z109" s="75" t="n">
        <f aca="false">Z95+Z81+Z82+Z72</f>
        <v>396170.957871644</v>
      </c>
      <c r="AA109" s="75" t="n">
        <f aca="false">AA95+AA81+AA82+AA72</f>
        <v>400755.151634102</v>
      </c>
      <c r="AB109" s="75" t="n">
        <f aca="false">AB95+AB81+AB82+AB72</f>
        <v>405192.315207918</v>
      </c>
      <c r="AC109" s="75" t="n">
        <f aca="false">AC95+AC81+AC82+AC72</f>
        <v>409043.117419478</v>
      </c>
      <c r="AD109" s="75" t="n">
        <f aca="false">AD95+AD81+AD82+AD72</f>
        <v>412218.226642793</v>
      </c>
      <c r="AE109" s="75" t="n">
        <f aca="false">AE95+AE81+AE82+AE72</f>
        <v>415403.210866107</v>
      </c>
      <c r="AF109" s="75" t="n">
        <f aca="false">AF95+AF81+AF82+AF72</f>
        <v>426694.417047855</v>
      </c>
      <c r="AG109" s="75" t="n">
        <f aca="false">AG95+AG81+AG82+AG72</f>
        <v>437040.886677314</v>
      </c>
      <c r="AH109" s="75" t="n">
        <f aca="false">AH95+AH81+AH82+AH72</f>
        <v>447397.231306773</v>
      </c>
      <c r="AI109" s="75" t="n">
        <f aca="false">AI95+AI81+AI82+AI72</f>
        <v>449667.103977798</v>
      </c>
      <c r="AJ109" s="75" t="n">
        <f aca="false">AJ95+AJ81+AJ82+AJ72</f>
        <v>452901.463201112</v>
      </c>
      <c r="AK109" s="75" t="n">
        <f aca="false">AK95+AK81+AK82+AK72</f>
        <v>456145.697424426</v>
      </c>
      <c r="AL109" s="75" t="n">
        <f aca="false">AL95+AL81+AL82+AL72</f>
        <v>467496.153606175</v>
      </c>
      <c r="AM109" s="75" t="n">
        <f aca="false">AM95+AM81+AM82+AM72</f>
        <v>472633.734043604</v>
      </c>
      <c r="AN109" s="75" t="n">
        <f aca="false">AN95+AN81+AN82+AN72</f>
        <v>477614.993991403</v>
      </c>
      <c r="AO109" s="75" t="n">
        <f aca="false">AO95+AO81+AO82+AO72</f>
        <v>482606.128939202</v>
      </c>
      <c r="AP109" s="75" t="n">
        <f aca="false">AP95+AP81+AP82+AP72</f>
        <v>487607.138887001</v>
      </c>
      <c r="AQ109" s="75" t="n">
        <f aca="false">AQ95+AQ81+AQ82+AQ72</f>
        <v>492618.0238348</v>
      </c>
      <c r="AR109" s="75" t="n">
        <f aca="false">AR95+AR81+AR82+AR72</f>
        <v>506228.198270801</v>
      </c>
      <c r="AS109" s="75" t="n">
        <f aca="false">AS95+AS81+AS82+AS72</f>
        <v>518835.500310978</v>
      </c>
      <c r="AT109" s="75" t="n">
        <f aca="false">AT95+AT81+AT82+AT72</f>
        <v>531452.677351156</v>
      </c>
      <c r="AU109" s="75" t="n">
        <f aca="false">AU95+AU81+AU82+AU72</f>
        <v>535490.314903131</v>
      </c>
      <c r="AV109" s="75" t="n">
        <f aca="false">AV95+AV81+AV82+AV72</f>
        <v>540550.574850929</v>
      </c>
      <c r="AW109" s="75" t="n">
        <f aca="false">AW95+AW81+AW82+AW72</f>
        <v>545620.709798728</v>
      </c>
      <c r="AX109" s="75" t="n">
        <f aca="false">AX95+AX81+AX82+AX72</f>
        <v>559290.13423473</v>
      </c>
      <c r="AY109" s="75" t="n">
        <f aca="false">AY95+AY81+AY82+AY72</f>
        <v>566304.497194317</v>
      </c>
      <c r="AZ109" s="75" t="n">
        <f aca="false">AZ95+AZ81+AZ82+AZ72</f>
        <v>573155.55994908</v>
      </c>
      <c r="BA109" s="75" t="n">
        <f aca="false">BA95+BA81+BA82+BA72</f>
        <v>580016.497703843</v>
      </c>
      <c r="BB109" s="75" t="n">
        <f aca="false">BB95+BB81+BB82+BB72</f>
        <v>586887.310458606</v>
      </c>
      <c r="BC109" s="75" t="n">
        <f aca="false">BC95+BC81+BC82+BC72</f>
        <v>593767.998213369</v>
      </c>
      <c r="BD109" s="75" t="n">
        <f aca="false">BD95+BD81+BD82+BD72</f>
        <v>609771.070798666</v>
      </c>
      <c r="BE109" s="75" t="n">
        <f aca="false">BE95+BE81+BE82+BE72</f>
        <v>624709.594671733</v>
      </c>
      <c r="BF109" s="75" t="n">
        <f aca="false">BF95+BF81+BF82+BF72</f>
        <v>639657.9935448</v>
      </c>
      <c r="BG109" s="75" t="n">
        <f aca="false">BG95+BG81+BG82+BG72</f>
        <v>645503.757587334</v>
      </c>
      <c r="BH109" s="75" t="n">
        <f aca="false">BH95+BH81+BH82+BH72</f>
        <v>652433.820342097</v>
      </c>
      <c r="BI109" s="75" t="n">
        <f aca="false">BI95+BI81+BI82+BI72</f>
        <v>659373.75809686</v>
      </c>
      <c r="BJ109" s="75" t="n">
        <f aca="false">BJ95+BJ81+BJ82+BJ72</f>
        <v>675436.080682157</v>
      </c>
    </row>
    <row r="110" customFormat="false" ht="15" hidden="false" customHeight="false" outlineLevel="0" collapsed="false">
      <c r="A110" s="6" t="s">
        <v>96</v>
      </c>
      <c r="C110" s="69" t="n">
        <f aca="false">C83+C78</f>
        <v>109141.836444444</v>
      </c>
      <c r="D110" s="69" t="n">
        <f aca="false">D83+D78</f>
        <v>108367.278577778</v>
      </c>
      <c r="E110" s="69" t="n">
        <f aca="false">E83+E78</f>
        <v>107592.720711111</v>
      </c>
      <c r="F110" s="69" t="n">
        <f aca="false">F83+F78</f>
        <v>106818.162844444</v>
      </c>
      <c r="G110" s="69" t="n">
        <f aca="false">G83+G78</f>
        <v>106043.604977778</v>
      </c>
      <c r="H110" s="69" t="n">
        <f aca="false">H83+H78</f>
        <v>105862.759111111</v>
      </c>
      <c r="I110" s="69" t="n">
        <f aca="false">I83+I78</f>
        <v>105139.090844444</v>
      </c>
      <c r="J110" s="69" t="n">
        <f aca="false">J83+J78</f>
        <v>104415.422577778</v>
      </c>
      <c r="K110" s="69" t="n">
        <f aca="false">K83+K78</f>
        <v>102945.373511111</v>
      </c>
      <c r="L110" s="69" t="n">
        <f aca="false">L83+L78</f>
        <v>102170.815644444</v>
      </c>
      <c r="M110" s="69" t="n">
        <f aca="false">M83+M78</f>
        <v>101396.257777778</v>
      </c>
      <c r="N110" s="69" t="n">
        <f aca="false">N83+N78</f>
        <v>100577.751111111</v>
      </c>
      <c r="O110" s="69" t="n">
        <f aca="false">O83+O78</f>
        <v>99064.2482097777</v>
      </c>
      <c r="P110" s="69" t="n">
        <f aca="false">P83+P78</f>
        <v>97397.581543111</v>
      </c>
      <c r="Q110" s="69" t="n">
        <f aca="false">Q83+Q78</f>
        <v>95730.9148764444</v>
      </c>
      <c r="R110" s="69" t="n">
        <f aca="false">R83+R78</f>
        <v>94064.2482097777</v>
      </c>
      <c r="S110" s="69" t="n">
        <f aca="false">S83+S78</f>
        <v>92397.581543111</v>
      </c>
      <c r="T110" s="69" t="n">
        <f aca="false">T83+T78</f>
        <v>91630.7278204444</v>
      </c>
      <c r="U110" s="69" t="n">
        <f aca="false">U83+U78</f>
        <v>89964.0611537777</v>
      </c>
      <c r="V110" s="69" t="n">
        <f aca="false">V83+V78</f>
        <v>88297.394487111</v>
      </c>
      <c r="W110" s="69" t="n">
        <f aca="false">W83+W78</f>
        <v>85730.9148764444</v>
      </c>
      <c r="X110" s="69" t="n">
        <f aca="false">X83+X78</f>
        <v>84064.2482097777</v>
      </c>
      <c r="Y110" s="69" t="n">
        <f aca="false">Y83+Y78</f>
        <v>82397.581543111</v>
      </c>
      <c r="Z110" s="69" t="n">
        <f aca="false">Z83+Z78</f>
        <v>81630.7278204444</v>
      </c>
      <c r="AA110" s="69" t="n">
        <f aca="false">AA83+AA78</f>
        <v>80123.5913424198</v>
      </c>
      <c r="AB110" s="69" t="n">
        <f aca="false">AB83+AB78</f>
        <v>78456.9246757532</v>
      </c>
      <c r="AC110" s="69" t="n">
        <f aca="false">AC83+AC78</f>
        <v>76790.2580090865</v>
      </c>
      <c r="AD110" s="69" t="n">
        <f aca="false">AD83+AD78</f>
        <v>75123.5913424198</v>
      </c>
      <c r="AE110" s="69" t="n">
        <f aca="false">AE83+AE78</f>
        <v>73456.9246757532</v>
      </c>
      <c r="AF110" s="69" t="n">
        <f aca="false">AF83+AF78</f>
        <v>72744.8695613761</v>
      </c>
      <c r="AG110" s="69" t="n">
        <f aca="false">AG83+AG78</f>
        <v>71078.2028947094</v>
      </c>
      <c r="AH110" s="69" t="n">
        <f aca="false">AH83+AH78</f>
        <v>69411.5362280428</v>
      </c>
      <c r="AI110" s="69" t="n">
        <f aca="false">AI83+AI78</f>
        <v>66790.2580090865</v>
      </c>
      <c r="AJ110" s="69" t="n">
        <f aca="false">AJ83+AJ78</f>
        <v>65123.5913424198</v>
      </c>
      <c r="AK110" s="69" t="n">
        <f aca="false">AK83+AK78</f>
        <v>63456.9246757532</v>
      </c>
      <c r="AL110" s="69" t="n">
        <f aca="false">AL83+AL78</f>
        <v>62744.8695613761</v>
      </c>
      <c r="AM110" s="69" t="n">
        <f aca="false">AM83+AM78</f>
        <v>61244.3983843399</v>
      </c>
      <c r="AN110" s="69" t="n">
        <f aca="false">AN83+AN78</f>
        <v>59577.7317176732</v>
      </c>
      <c r="AO110" s="69" t="n">
        <f aca="false">AO83+AO78</f>
        <v>57911.0650510066</v>
      </c>
      <c r="AP110" s="69" t="n">
        <f aca="false">AP83+AP78</f>
        <v>56244.3983843399</v>
      </c>
      <c r="AQ110" s="69" t="n">
        <f aca="false">AQ83+AQ78</f>
        <v>54577.7317176732</v>
      </c>
      <c r="AR110" s="69" t="n">
        <f aca="false">AR83+AR78</f>
        <v>53923.8124468306</v>
      </c>
      <c r="AS110" s="69" t="n">
        <f aca="false">AS83+AS78</f>
        <v>52257.1457801639</v>
      </c>
      <c r="AT110" s="69" t="n">
        <f aca="false">AT83+AT78</f>
        <v>50590.4791134973</v>
      </c>
      <c r="AU110" s="69" t="n">
        <f aca="false">AU83+AU78</f>
        <v>47911.0650510066</v>
      </c>
      <c r="AV110" s="69" t="n">
        <f aca="false">AV83+AV78</f>
        <v>46244.3983843399</v>
      </c>
      <c r="AW110" s="69" t="n">
        <f aca="false">AW83+AW78</f>
        <v>44577.7317176732</v>
      </c>
      <c r="AX110" s="69" t="n">
        <f aca="false">AX83+AX78</f>
        <v>43923.8124468306</v>
      </c>
      <c r="AY110" s="69" t="n">
        <f aca="false">AY83+AY78</f>
        <v>42430.3209849879</v>
      </c>
      <c r="AZ110" s="69" t="n">
        <f aca="false">AZ83+AZ78</f>
        <v>40763.6543183212</v>
      </c>
      <c r="BA110" s="69" t="n">
        <f aca="false">BA83+BA78</f>
        <v>39096.9876516545</v>
      </c>
      <c r="BB110" s="69" t="n">
        <f aca="false">BB83+BB78</f>
        <v>37430.3209849879</v>
      </c>
      <c r="BC110" s="69" t="n">
        <f aca="false">BC83+BC78</f>
        <v>35763.6543183212</v>
      </c>
      <c r="BD110" s="69" t="n">
        <f aca="false">BD83+BD78</f>
        <v>35171.4113638843</v>
      </c>
      <c r="BE110" s="69" t="n">
        <f aca="false">BE83+BE78</f>
        <v>33504.7446972176</v>
      </c>
      <c r="BF110" s="69" t="n">
        <f aca="false">BF83+BF78</f>
        <v>31838.0780305509</v>
      </c>
      <c r="BG110" s="69" t="n">
        <f aca="false">BG83+BG78</f>
        <v>29096.9876516545</v>
      </c>
      <c r="BH110" s="69" t="n">
        <f aca="false">BH83+BH78</f>
        <v>27430.3209849879</v>
      </c>
      <c r="BI110" s="69" t="n">
        <f aca="false">BI83+BI78</f>
        <v>25763.6543183212</v>
      </c>
      <c r="BJ110" s="69" t="n">
        <f aca="false">BJ83+BJ78</f>
        <v>25171.4113638843</v>
      </c>
    </row>
    <row r="111" customFormat="false" ht="15" hidden="false" customHeight="false" outlineLevel="0" collapsed="false">
      <c r="A111" s="6" t="s">
        <v>99</v>
      </c>
      <c r="C111" s="69" t="n">
        <f aca="false">C107+C108</f>
        <v>305830.250906667</v>
      </c>
      <c r="D111" s="69" t="n">
        <f aca="false">D107+D108</f>
        <v>284234.726949333</v>
      </c>
      <c r="E111" s="69" t="n">
        <f aca="false">E107+E108</f>
        <v>265219.678128</v>
      </c>
      <c r="F111" s="69" t="n">
        <f aca="false">F107+F108</f>
        <v>248785.104442667</v>
      </c>
      <c r="G111" s="69" t="n">
        <f aca="false">G107+G108</f>
        <v>234931.005893333</v>
      </c>
      <c r="H111" s="69" t="n">
        <f aca="false">H107+H108</f>
        <v>229279.83512</v>
      </c>
      <c r="I111" s="69" t="n">
        <f aca="false">I107+I108</f>
        <v>226691.063994667</v>
      </c>
      <c r="J111" s="69" t="n">
        <f aca="false">J107+J108</f>
        <v>227164.692517333</v>
      </c>
      <c r="K111" s="69" t="n">
        <f aca="false">K107+K108</f>
        <v>223632.494512</v>
      </c>
      <c r="L111" s="69" t="n">
        <f aca="false">L107+L108</f>
        <v>222680.771642667</v>
      </c>
      <c r="M111" s="69" t="n">
        <f aca="false">M107+M108</f>
        <v>224309.523909333</v>
      </c>
      <c r="N111" s="69" t="n">
        <f aca="false">N107+N108</f>
        <v>233982.851376</v>
      </c>
      <c r="O111" s="69" t="n">
        <f aca="false">O107+O108</f>
        <v>237786.80673904</v>
      </c>
      <c r="P111" s="69" t="n">
        <f aca="false">P107+P108</f>
        <v>241603.26210208</v>
      </c>
      <c r="Q111" s="69" t="n">
        <f aca="false">Q107+Q108</f>
        <v>245432.21746512</v>
      </c>
      <c r="R111" s="69" t="n">
        <f aca="false">R107+R108</f>
        <v>249273.67282816</v>
      </c>
      <c r="S111" s="69" t="n">
        <f aca="false">S107+S108</f>
        <v>253127.6281912</v>
      </c>
      <c r="T111" s="69" t="n">
        <f aca="false">T107+T108</f>
        <v>265515.31213392</v>
      </c>
      <c r="U111" s="69" t="n">
        <f aca="false">U107+U108</f>
        <v>277915.49607664</v>
      </c>
      <c r="V111" s="69" t="n">
        <f aca="false">V107+V108</f>
        <v>290328.18001936</v>
      </c>
      <c r="W111" s="69" t="n">
        <f aca="false">W107+W108</f>
        <v>294232.1353824</v>
      </c>
      <c r="X111" s="69" t="n">
        <f aca="false">X107+X108</f>
        <v>298148.59074544</v>
      </c>
      <c r="Y111" s="69" t="n">
        <f aca="false">Y107+Y108</f>
        <v>302077.54610848</v>
      </c>
      <c r="Z111" s="69" t="n">
        <f aca="false">Z107+Z108</f>
        <v>314540.2300512</v>
      </c>
      <c r="AA111" s="69" t="n">
        <f aca="false">AA107+AA108</f>
        <v>320631.560291683</v>
      </c>
      <c r="AB111" s="69" t="n">
        <f aca="false">AB107+AB108</f>
        <v>326735.390532165</v>
      </c>
      <c r="AC111" s="69" t="n">
        <f aca="false">AC107+AC108</f>
        <v>332252.859410391</v>
      </c>
      <c r="AD111" s="69" t="n">
        <f aca="false">AD107+AD108</f>
        <v>337094.635300373</v>
      </c>
      <c r="AE111" s="69" t="n">
        <f aca="false">AE107+AE108</f>
        <v>341946.286190354</v>
      </c>
      <c r="AF111" s="69" t="n">
        <f aca="false">AF107+AF108</f>
        <v>353949.547486479</v>
      </c>
      <c r="AG111" s="69" t="n">
        <f aca="false">AG107+AG108</f>
        <v>365962.683782604</v>
      </c>
      <c r="AH111" s="69" t="n">
        <f aca="false">AH107+AH108</f>
        <v>377985.69507873</v>
      </c>
      <c r="AI111" s="69" t="n">
        <f aca="false">AI107+AI108</f>
        <v>382876.845968711</v>
      </c>
      <c r="AJ111" s="69" t="n">
        <f aca="false">AJ107+AJ108</f>
        <v>387777.871858692</v>
      </c>
      <c r="AK111" s="69" t="n">
        <f aca="false">AK107+AK108</f>
        <v>392688.772748673</v>
      </c>
      <c r="AL111" s="69" t="n">
        <f aca="false">AL107+AL108</f>
        <v>404751.284044798</v>
      </c>
      <c r="AM111" s="69" t="n">
        <f aca="false">AM107+AM108</f>
        <v>411389.335659264</v>
      </c>
      <c r="AN111" s="69" t="n">
        <f aca="false">AN107+AN108</f>
        <v>418037.26227373</v>
      </c>
      <c r="AO111" s="69" t="n">
        <f aca="false">AO107+AO108</f>
        <v>424695.063888195</v>
      </c>
      <c r="AP111" s="69" t="n">
        <f aca="false">AP107+AP108</f>
        <v>431362.740502661</v>
      </c>
      <c r="AQ111" s="69" t="n">
        <f aca="false">AQ107+AQ108</f>
        <v>438040.292117127</v>
      </c>
      <c r="AR111" s="69" t="n">
        <f aca="false">AR107+AR108</f>
        <v>452304.38582397</v>
      </c>
      <c r="AS111" s="69" t="n">
        <f aca="false">AS107+AS108</f>
        <v>466578.354530814</v>
      </c>
      <c r="AT111" s="69" t="n">
        <f aca="false">AT107+AT108</f>
        <v>480862.198237658</v>
      </c>
      <c r="AU111" s="69" t="n">
        <f aca="false">AU107+AU108</f>
        <v>487579.249852124</v>
      </c>
      <c r="AV111" s="69" t="n">
        <f aca="false">AV107+AV108</f>
        <v>494306.17646659</v>
      </c>
      <c r="AW111" s="69" t="n">
        <f aca="false">AW107+AW108</f>
        <v>501042.978081055</v>
      </c>
      <c r="AX111" s="69" t="n">
        <f aca="false">AX107+AX108</f>
        <v>515366.321787899</v>
      </c>
      <c r="AY111" s="69" t="n">
        <f aca="false">AY107+AY108</f>
        <v>523874.176209329</v>
      </c>
      <c r="AZ111" s="69" t="n">
        <f aca="false">AZ107+AZ108</f>
        <v>532391.905630758</v>
      </c>
      <c r="BA111" s="69" t="n">
        <f aca="false">BA107+BA108</f>
        <v>540919.510052188</v>
      </c>
      <c r="BB111" s="69" t="n">
        <f aca="false">BB107+BB108</f>
        <v>549456.989473618</v>
      </c>
      <c r="BC111" s="69" t="n">
        <f aca="false">BC107+BC108</f>
        <v>558004.343895047</v>
      </c>
      <c r="BD111" s="69" t="n">
        <f aca="false">BD107+BD108</f>
        <v>574599.659434781</v>
      </c>
      <c r="BE111" s="69" t="n">
        <f aca="false">BE107+BE108</f>
        <v>591204.849974515</v>
      </c>
      <c r="BF111" s="69" t="n">
        <f aca="false">BF107+BF108</f>
        <v>607819.915514249</v>
      </c>
      <c r="BG111" s="69" t="n">
        <f aca="false">BG107+BG108</f>
        <v>616406.769935679</v>
      </c>
      <c r="BH111" s="69" t="n">
        <f aca="false">BH107+BH108</f>
        <v>625003.499357109</v>
      </c>
      <c r="BI111" s="69" t="n">
        <f aca="false">BI107+BI108</f>
        <v>633610.103778538</v>
      </c>
      <c r="BJ111" s="69" t="n">
        <f aca="false">BJ107+BJ108</f>
        <v>650264.669318272</v>
      </c>
    </row>
    <row r="112" customFormat="false" ht="15" hidden="false" customHeight="false" outlineLevel="0" collapsed="false">
      <c r="A112" s="4" t="s">
        <v>100</v>
      </c>
      <c r="C112" s="75" t="n">
        <f aca="false">C110+C111</f>
        <v>414972.087351111</v>
      </c>
      <c r="D112" s="75" t="n">
        <f aca="false">D110+D111</f>
        <v>392602.005527111</v>
      </c>
      <c r="E112" s="75" t="n">
        <f aca="false">E110+E111</f>
        <v>372812.398839111</v>
      </c>
      <c r="F112" s="75" t="n">
        <f aca="false">F110+F111</f>
        <v>355603.267287111</v>
      </c>
      <c r="G112" s="75" t="n">
        <f aca="false">G110+G111</f>
        <v>340974.610871111</v>
      </c>
      <c r="H112" s="75" t="n">
        <f aca="false">H110+H111</f>
        <v>335142.594231111</v>
      </c>
      <c r="I112" s="75" t="n">
        <f aca="false">I110+I111</f>
        <v>331830.154839111</v>
      </c>
      <c r="J112" s="75" t="n">
        <f aca="false">J110+J111</f>
        <v>331580.115095111</v>
      </c>
      <c r="K112" s="75" t="n">
        <f aca="false">K110+K111</f>
        <v>326577.868023111</v>
      </c>
      <c r="L112" s="75" t="n">
        <f aca="false">L110+L111</f>
        <v>324851.587287111</v>
      </c>
      <c r="M112" s="75" t="n">
        <f aca="false">M110+M111</f>
        <v>325705.781687111</v>
      </c>
      <c r="N112" s="75" t="n">
        <f aca="false">N110+N111</f>
        <v>334560.602487111</v>
      </c>
      <c r="O112" s="75" t="n">
        <f aca="false">O110+O111</f>
        <v>336851.054948818</v>
      </c>
      <c r="P112" s="75" t="n">
        <f aca="false">P110+P111</f>
        <v>339000.843645191</v>
      </c>
      <c r="Q112" s="75" t="n">
        <f aca="false">Q110+Q111</f>
        <v>341163.132341564</v>
      </c>
      <c r="R112" s="75" t="n">
        <f aca="false">R110+R111</f>
        <v>343337.921037938</v>
      </c>
      <c r="S112" s="75" t="n">
        <f aca="false">S110+S111</f>
        <v>345525.209734311</v>
      </c>
      <c r="T112" s="75" t="n">
        <f aca="false">T110+T111</f>
        <v>357146.039954364</v>
      </c>
      <c r="U112" s="75" t="n">
        <f aca="false">U110+U111</f>
        <v>367879.557230418</v>
      </c>
      <c r="V112" s="75" t="n">
        <f aca="false">V110+V111</f>
        <v>378625.574506471</v>
      </c>
      <c r="W112" s="75" t="n">
        <f aca="false">W110+W111</f>
        <v>379963.050258844</v>
      </c>
      <c r="X112" s="75" t="n">
        <f aca="false">X110+X111</f>
        <v>382212.838955218</v>
      </c>
      <c r="Y112" s="75" t="n">
        <f aca="false">Y110+Y111</f>
        <v>384475.127651591</v>
      </c>
      <c r="Z112" s="75" t="n">
        <f aca="false">Z110+Z111</f>
        <v>396170.957871644</v>
      </c>
      <c r="AA112" s="75" t="n">
        <f aca="false">AA110+AA111</f>
        <v>400755.151634102</v>
      </c>
      <c r="AB112" s="75" t="n">
        <f aca="false">AB110+AB111</f>
        <v>405192.315207918</v>
      </c>
      <c r="AC112" s="75" t="n">
        <f aca="false">AC110+AC111</f>
        <v>409043.117419478</v>
      </c>
      <c r="AD112" s="75" t="n">
        <f aca="false">AD110+AD111</f>
        <v>412218.226642792</v>
      </c>
      <c r="AE112" s="75" t="n">
        <f aca="false">AE110+AE111</f>
        <v>415403.210866107</v>
      </c>
      <c r="AF112" s="75" t="n">
        <f aca="false">AF110+AF111</f>
        <v>426694.417047855</v>
      </c>
      <c r="AG112" s="75" t="n">
        <f aca="false">AG110+AG111</f>
        <v>437040.886677314</v>
      </c>
      <c r="AH112" s="75" t="n">
        <f aca="false">AH110+AH111</f>
        <v>447397.231306772</v>
      </c>
      <c r="AI112" s="75" t="n">
        <f aca="false">AI110+AI111</f>
        <v>449667.103977797</v>
      </c>
      <c r="AJ112" s="75" t="n">
        <f aca="false">AJ110+AJ111</f>
        <v>452901.463201112</v>
      </c>
      <c r="AK112" s="75" t="n">
        <f aca="false">AK110+AK111</f>
        <v>456145.697424426</v>
      </c>
      <c r="AL112" s="75" t="n">
        <f aca="false">AL110+AL111</f>
        <v>467496.153606175</v>
      </c>
      <c r="AM112" s="75" t="n">
        <f aca="false">AM110+AM111</f>
        <v>472633.734043604</v>
      </c>
      <c r="AN112" s="75" t="n">
        <f aca="false">AN110+AN111</f>
        <v>477614.993991403</v>
      </c>
      <c r="AO112" s="75" t="n">
        <f aca="false">AO110+AO111</f>
        <v>482606.128939202</v>
      </c>
      <c r="AP112" s="75" t="n">
        <f aca="false">AP110+AP111</f>
        <v>487607.138887001</v>
      </c>
      <c r="AQ112" s="75" t="n">
        <f aca="false">AQ110+AQ111</f>
        <v>492618.0238348</v>
      </c>
      <c r="AR112" s="75" t="n">
        <f aca="false">AR110+AR111</f>
        <v>506228.198270801</v>
      </c>
      <c r="AS112" s="75" t="n">
        <f aca="false">AS110+AS111</f>
        <v>518835.500310978</v>
      </c>
      <c r="AT112" s="75" t="n">
        <f aca="false">AT110+AT111</f>
        <v>531452.677351156</v>
      </c>
      <c r="AU112" s="75" t="n">
        <f aca="false">AU110+AU111</f>
        <v>535490.314903131</v>
      </c>
      <c r="AV112" s="75" t="n">
        <f aca="false">AV110+AV111</f>
        <v>540550.574850929</v>
      </c>
      <c r="AW112" s="75" t="n">
        <f aca="false">AW110+AW111</f>
        <v>545620.709798728</v>
      </c>
      <c r="AX112" s="75" t="n">
        <f aca="false">AX110+AX111</f>
        <v>559290.13423473</v>
      </c>
      <c r="AY112" s="75" t="n">
        <f aca="false">AY110+AY111</f>
        <v>566304.497194317</v>
      </c>
      <c r="AZ112" s="75" t="n">
        <f aca="false">AZ110+AZ111</f>
        <v>573155.55994908</v>
      </c>
      <c r="BA112" s="75" t="n">
        <f aca="false">BA110+BA111</f>
        <v>580016.497703843</v>
      </c>
      <c r="BB112" s="75" t="n">
        <f aca="false">BB110+BB111</f>
        <v>586887.310458606</v>
      </c>
      <c r="BC112" s="75" t="n">
        <f aca="false">BC110+BC111</f>
        <v>593767.998213369</v>
      </c>
      <c r="BD112" s="75" t="n">
        <f aca="false">BD110+BD111</f>
        <v>609771.070798666</v>
      </c>
      <c r="BE112" s="75" t="n">
        <f aca="false">BE110+BE111</f>
        <v>624709.594671733</v>
      </c>
      <c r="BF112" s="75" t="n">
        <f aca="false">BF110+BF111</f>
        <v>639657.9935448</v>
      </c>
      <c r="BG112" s="75" t="n">
        <f aca="false">BG110+BG111</f>
        <v>645503.757587333</v>
      </c>
      <c r="BH112" s="75" t="n">
        <f aca="false">BH110+BH111</f>
        <v>652433.820342096</v>
      </c>
      <c r="BI112" s="75" t="n">
        <f aca="false">BI110+BI111</f>
        <v>659373.758096859</v>
      </c>
      <c r="BJ112" s="75" t="n">
        <f aca="false">BJ110+BJ111</f>
        <v>675436.080682156</v>
      </c>
    </row>
    <row r="113" customFormat="false" ht="15" hidden="false" customHeight="false" outlineLevel="0" collapsed="false">
      <c r="A113" s="6" t="s">
        <v>456</v>
      </c>
      <c r="C113" s="69" t="n">
        <f aca="false">C109-C112</f>
        <v>0</v>
      </c>
      <c r="D113" s="69" t="n">
        <f aca="false">D109-D112</f>
        <v>0</v>
      </c>
      <c r="E113" s="69" t="n">
        <f aca="false">E109-E112</f>
        <v>0</v>
      </c>
      <c r="F113" s="69" t="n">
        <f aca="false">F109-F112</f>
        <v>0</v>
      </c>
      <c r="G113" s="69" t="n">
        <f aca="false">G109-G112</f>
        <v>0</v>
      </c>
      <c r="H113" s="69" t="n">
        <f aca="false">H109-H112</f>
        <v>0</v>
      </c>
      <c r="I113" s="69" t="n">
        <f aca="false">I109-I112</f>
        <v>0</v>
      </c>
      <c r="J113" s="69" t="n">
        <f aca="false">J109-J112</f>
        <v>0</v>
      </c>
      <c r="K113" s="69" t="n">
        <f aca="false">K109-K112</f>
        <v>0</v>
      </c>
      <c r="L113" s="69" t="n">
        <f aca="false">L109-L112</f>
        <v>0</v>
      </c>
      <c r="M113" s="69" t="n">
        <f aca="false">M109-M112</f>
        <v>0</v>
      </c>
      <c r="N113" s="69" t="n">
        <f aca="false">N109-N112</f>
        <v>0</v>
      </c>
      <c r="O113" s="69" t="n">
        <f aca="false">O109-O112</f>
        <v>0</v>
      </c>
      <c r="P113" s="69" t="n">
        <f aca="false">P109-P112</f>
        <v>0</v>
      </c>
      <c r="Q113" s="69" t="n">
        <f aca="false">Q109-Q112</f>
        <v>0</v>
      </c>
      <c r="R113" s="69" t="n">
        <f aca="false">R109-R112</f>
        <v>0</v>
      </c>
      <c r="S113" s="69" t="n">
        <f aca="false">S109-S112</f>
        <v>0</v>
      </c>
      <c r="T113" s="69" t="n">
        <f aca="false">T109-T112</f>
        <v>0</v>
      </c>
      <c r="U113" s="69" t="n">
        <f aca="false">U109-U112</f>
        <v>0</v>
      </c>
      <c r="V113" s="69" t="n">
        <f aca="false">V109-V112</f>
        <v>0</v>
      </c>
      <c r="W113" s="69" t="n">
        <f aca="false">W109-W112</f>
        <v>0</v>
      </c>
      <c r="X113" s="69" t="n">
        <f aca="false">X109-X112</f>
        <v>0</v>
      </c>
      <c r="Y113" s="69" t="n">
        <f aca="false">Y109-Y112</f>
        <v>0</v>
      </c>
      <c r="Z113" s="69" t="n">
        <f aca="false">Z109-Z112</f>
        <v>0</v>
      </c>
      <c r="AA113" s="69" t="n">
        <f aca="false">AA109-AA112</f>
        <v>0</v>
      </c>
      <c r="AB113" s="69" t="n">
        <f aca="false">AB109-AB112</f>
        <v>0</v>
      </c>
      <c r="AC113" s="69" t="n">
        <f aca="false">AC109-AC112</f>
        <v>0</v>
      </c>
      <c r="AD113" s="69" t="n">
        <f aca="false">AD109-AD112</f>
        <v>0</v>
      </c>
      <c r="AE113" s="69" t="n">
        <f aca="false">AE109-AE112</f>
        <v>0</v>
      </c>
      <c r="AF113" s="69" t="n">
        <f aca="false">AF109-AF112</f>
        <v>0</v>
      </c>
      <c r="AG113" s="69" t="n">
        <f aca="false">AG109-AG112</f>
        <v>0</v>
      </c>
      <c r="AH113" s="69" t="n">
        <f aca="false">AH109-AH112</f>
        <v>0</v>
      </c>
      <c r="AI113" s="69" t="n">
        <f aca="false">AI109-AI112</f>
        <v>0</v>
      </c>
      <c r="AJ113" s="69" t="n">
        <f aca="false">AJ109-AJ112</f>
        <v>0</v>
      </c>
      <c r="AK113" s="69" t="n">
        <f aca="false">AK109-AK112</f>
        <v>0</v>
      </c>
      <c r="AL113" s="69" t="n">
        <f aca="false">AL109-AL112</f>
        <v>0</v>
      </c>
      <c r="AM113" s="69" t="n">
        <f aca="false">AM109-AM112</f>
        <v>0</v>
      </c>
      <c r="AN113" s="69" t="n">
        <f aca="false">AN109-AN112</f>
        <v>0</v>
      </c>
      <c r="AO113" s="69" t="n">
        <f aca="false">AO109-AO112</f>
        <v>0</v>
      </c>
      <c r="AP113" s="69" t="n">
        <f aca="false">AP109-AP112</f>
        <v>0</v>
      </c>
      <c r="AQ113" s="69" t="n">
        <f aca="false">AQ109-AQ112</f>
        <v>0</v>
      </c>
      <c r="AR113" s="69" t="n">
        <f aca="false">AR109-AR112</f>
        <v>0</v>
      </c>
      <c r="AS113" s="69" t="n">
        <f aca="false">AS109-AS112</f>
        <v>0</v>
      </c>
      <c r="AT113" s="69" t="n">
        <f aca="false">AT109-AT112</f>
        <v>0</v>
      </c>
      <c r="AU113" s="69" t="n">
        <f aca="false">AU109-AU112</f>
        <v>0</v>
      </c>
      <c r="AV113" s="69" t="n">
        <f aca="false">AV109-AV112</f>
        <v>0</v>
      </c>
      <c r="AW113" s="69" t="n">
        <f aca="false">AW109-AW112</f>
        <v>0</v>
      </c>
      <c r="AX113" s="69" t="n">
        <f aca="false">AX109-AX112</f>
        <v>0</v>
      </c>
      <c r="AY113" s="69" t="n">
        <f aca="false">AY109-AY112</f>
        <v>0</v>
      </c>
      <c r="AZ113" s="69" t="n">
        <f aca="false">AZ109-AZ112</f>
        <v>0</v>
      </c>
      <c r="BA113" s="69" t="n">
        <f aca="false">BA109-BA112</f>
        <v>0</v>
      </c>
      <c r="BB113" s="69" t="n">
        <f aca="false">BB109-BB112</f>
        <v>0</v>
      </c>
      <c r="BC113" s="69" t="n">
        <f aca="false">BC109-BC112</f>
        <v>0</v>
      </c>
      <c r="BD113" s="69" t="n">
        <f aca="false">BD109-BD112</f>
        <v>0</v>
      </c>
      <c r="BE113" s="69" t="n">
        <f aca="false">BE109-BE112</f>
        <v>0</v>
      </c>
      <c r="BF113" s="69" t="n">
        <f aca="false">BF109-BF112</f>
        <v>0</v>
      </c>
      <c r="BG113" s="69" t="n">
        <f aca="false">BG109-BG112</f>
        <v>0</v>
      </c>
      <c r="BH113" s="69" t="n">
        <f aca="false">BH109-BH112</f>
        <v>0</v>
      </c>
      <c r="BI113" s="69" t="n">
        <f aca="false">BI109-BI112</f>
        <v>0</v>
      </c>
      <c r="BJ113" s="69" t="n">
        <f aca="false">BJ109-BJ112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457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350</v>
      </c>
    </row>
    <row r="3" customFormat="false" ht="15" hidden="false" customHeight="false" outlineLevel="0" collapsed="false">
      <c r="A3" s="33" t="s">
        <v>351</v>
      </c>
      <c r="C3" s="52" t="s">
        <v>352</v>
      </c>
      <c r="D3" s="52" t="s">
        <v>353</v>
      </c>
      <c r="E3" s="52" t="s">
        <v>354</v>
      </c>
      <c r="F3" s="52" t="s">
        <v>355</v>
      </c>
      <c r="G3" s="52" t="s">
        <v>356</v>
      </c>
      <c r="H3" s="52" t="s">
        <v>357</v>
      </c>
      <c r="I3" s="52" t="s">
        <v>358</v>
      </c>
      <c r="J3" s="52" t="s">
        <v>359</v>
      </c>
      <c r="K3" s="52" t="s">
        <v>360</v>
      </c>
      <c r="L3" s="52" t="s">
        <v>361</v>
      </c>
      <c r="M3" s="52" t="s">
        <v>362</v>
      </c>
      <c r="N3" s="52" t="s">
        <v>363</v>
      </c>
      <c r="O3" s="52" t="s">
        <v>364</v>
      </c>
      <c r="P3" s="52" t="s">
        <v>365</v>
      </c>
      <c r="Q3" s="52" t="s">
        <v>366</v>
      </c>
      <c r="R3" s="52" t="s">
        <v>367</v>
      </c>
      <c r="S3" s="52" t="s">
        <v>368</v>
      </c>
      <c r="T3" s="52" t="s">
        <v>369</v>
      </c>
      <c r="U3" s="52" t="s">
        <v>370</v>
      </c>
      <c r="V3" s="52" t="s">
        <v>371</v>
      </c>
      <c r="W3" s="52" t="s">
        <v>372</v>
      </c>
      <c r="X3" s="52" t="s">
        <v>373</v>
      </c>
      <c r="Y3" s="52" t="s">
        <v>374</v>
      </c>
      <c r="Z3" s="52" t="s">
        <v>375</v>
      </c>
      <c r="AA3" s="52" t="s">
        <v>376</v>
      </c>
      <c r="AB3" s="52" t="s">
        <v>377</v>
      </c>
      <c r="AC3" s="52" t="s">
        <v>378</v>
      </c>
      <c r="AD3" s="52" t="s">
        <v>379</v>
      </c>
      <c r="AE3" s="52" t="s">
        <v>380</v>
      </c>
      <c r="AF3" s="52" t="s">
        <v>381</v>
      </c>
      <c r="AG3" s="52" t="s">
        <v>382</v>
      </c>
      <c r="AH3" s="52" t="s">
        <v>383</v>
      </c>
      <c r="AI3" s="52" t="s">
        <v>384</v>
      </c>
      <c r="AJ3" s="52" t="s">
        <v>385</v>
      </c>
      <c r="AK3" s="52" t="s">
        <v>386</v>
      </c>
      <c r="AL3" s="52" t="s">
        <v>387</v>
      </c>
      <c r="AM3" s="52" t="s">
        <v>388</v>
      </c>
      <c r="AN3" s="52" t="s">
        <v>389</v>
      </c>
      <c r="AO3" s="52" t="s">
        <v>390</v>
      </c>
      <c r="AP3" s="52" t="s">
        <v>391</v>
      </c>
      <c r="AQ3" s="52" t="s">
        <v>392</v>
      </c>
      <c r="AR3" s="52" t="s">
        <v>393</v>
      </c>
      <c r="AS3" s="52" t="s">
        <v>394</v>
      </c>
      <c r="AT3" s="52" t="s">
        <v>395</v>
      </c>
      <c r="AU3" s="52" t="s">
        <v>396</v>
      </c>
      <c r="AV3" s="52" t="s">
        <v>397</v>
      </c>
      <c r="AW3" s="52" t="s">
        <v>398</v>
      </c>
      <c r="AX3" s="52" t="s">
        <v>399</v>
      </c>
      <c r="AY3" s="52" t="s">
        <v>400</v>
      </c>
      <c r="AZ3" s="52" t="s">
        <v>401</v>
      </c>
      <c r="BA3" s="52" t="s">
        <v>402</v>
      </c>
      <c r="BB3" s="52" t="s">
        <v>403</v>
      </c>
      <c r="BC3" s="52" t="s">
        <v>404</v>
      </c>
      <c r="BD3" s="52" t="s">
        <v>405</v>
      </c>
      <c r="BE3" s="52" t="s">
        <v>406</v>
      </c>
      <c r="BF3" s="52" t="s">
        <v>407</v>
      </c>
      <c r="BG3" s="52" t="s">
        <v>408</v>
      </c>
      <c r="BH3" s="52" t="s">
        <v>409</v>
      </c>
      <c r="BI3" s="52" t="s">
        <v>410</v>
      </c>
      <c r="BJ3" s="52" t="s">
        <v>411</v>
      </c>
    </row>
    <row r="4" customFormat="false" ht="15" hidden="false" customHeight="false" outlineLevel="0" collapsed="false">
      <c r="A4" s="74" t="s">
        <v>412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154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458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459</v>
      </c>
      <c r="C8" s="119" t="n">
        <f aca="false">Inputs!$E$55*(1+Inputs!$E$57)^(C$5-1)*MAX(0,MIN(1,C$4*1-Inputs!$E$58+1))/1</f>
        <v>4</v>
      </c>
      <c r="D8" s="119" t="n">
        <f aca="false">Inputs!$E$55*(1+Inputs!$E$57)^(D$5-1)*MAX(0,MIN(1,D$4*1-Inputs!$E$58+1))/1</f>
        <v>4</v>
      </c>
      <c r="E8" s="119" t="n">
        <f aca="false">Inputs!$E$55*(1+Inputs!$E$57)^(E$5-1)*MAX(0,MIN(1,E$4*1-Inputs!$E$58+1))/1</f>
        <v>4</v>
      </c>
      <c r="F8" s="119" t="n">
        <f aca="false">Inputs!$E$55*(1+Inputs!$E$57)^(F$5-1)*MAX(0,MIN(1,F$4*1-Inputs!$E$58+1))/1</f>
        <v>4</v>
      </c>
      <c r="G8" s="119" t="n">
        <f aca="false">Inputs!$E$55*(1+Inputs!$E$57)^(G$5-1)*MAX(0,MIN(1,G$4*1-Inputs!$E$58+1))/1</f>
        <v>4</v>
      </c>
      <c r="H8" s="119" t="n">
        <f aca="false">Inputs!$E$55*(1+Inputs!$E$57)^(H$5-1)*MAX(0,MIN(1,H$4*1-Inputs!$E$58+1))/1</f>
        <v>4</v>
      </c>
      <c r="I8" s="119" t="n">
        <f aca="false">Inputs!$E$55*(1+Inputs!$E$57)^(I$5-1)*MAX(0,MIN(1,I$4*1-Inputs!$E$58+1))/1</f>
        <v>4</v>
      </c>
      <c r="J8" s="119" t="n">
        <f aca="false">Inputs!$E$55*(1+Inputs!$E$57)^(J$5-1)*MAX(0,MIN(1,J$4*1-Inputs!$E$58+1))/1</f>
        <v>4</v>
      </c>
      <c r="K8" s="119" t="n">
        <f aca="false">Inputs!$E$55*(1+Inputs!$E$57)^(K$5-1)*MAX(0,MIN(1,K$4*1-Inputs!$E$58+1))/1</f>
        <v>4</v>
      </c>
      <c r="L8" s="119" t="n">
        <f aca="false">Inputs!$E$55*(1+Inputs!$E$57)^(L$5-1)*MAX(0,MIN(1,L$4*1-Inputs!$E$58+1))/1</f>
        <v>4</v>
      </c>
      <c r="M8" s="119" t="n">
        <f aca="false">Inputs!$E$55*(1+Inputs!$E$57)^(M$5-1)*MAX(0,MIN(1,M$4*1-Inputs!$E$58+1))/1</f>
        <v>4</v>
      </c>
      <c r="N8" s="119" t="n">
        <f aca="false">Inputs!$E$55*(1+Inputs!$E$57)^(N$5-1)*MAX(0,MIN(1,N$4*1-Inputs!$E$58+1))/1</f>
        <v>4</v>
      </c>
      <c r="O8" s="119" t="n">
        <f aca="false">Inputs!$E$55*(1+Inputs!$E$57)^(O$5-1)*MAX(0,MIN(1,O$4*1-Inputs!$E$58+1))/1</f>
        <v>4</v>
      </c>
      <c r="P8" s="119" t="n">
        <f aca="false">Inputs!$E$55*(1+Inputs!$E$57)^(P$5-1)*MAX(0,MIN(1,P$4*1-Inputs!$E$58+1))/1</f>
        <v>4</v>
      </c>
      <c r="Q8" s="119" t="n">
        <f aca="false">Inputs!$E$55*(1+Inputs!$E$57)^(Q$5-1)*MAX(0,MIN(1,Q$4*1-Inputs!$E$58+1))/1</f>
        <v>4</v>
      </c>
      <c r="R8" s="119" t="n">
        <f aca="false">Inputs!$E$55*(1+Inputs!$E$57)^(R$5-1)*MAX(0,MIN(1,R$4*1-Inputs!$E$58+1))/1</f>
        <v>4</v>
      </c>
      <c r="S8" s="119" t="n">
        <f aca="false">Inputs!$E$55*(1+Inputs!$E$57)^(S$5-1)*MAX(0,MIN(1,S$4*1-Inputs!$E$58+1))/1</f>
        <v>4</v>
      </c>
      <c r="T8" s="119" t="n">
        <f aca="false">Inputs!$E$55*(1+Inputs!$E$57)^(T$5-1)*MAX(0,MIN(1,T$4*1-Inputs!$E$58+1))/1</f>
        <v>4</v>
      </c>
      <c r="U8" s="119" t="n">
        <f aca="false">Inputs!$E$55*(1+Inputs!$E$57)^(U$5-1)*MAX(0,MIN(1,U$4*1-Inputs!$E$58+1))/1</f>
        <v>4</v>
      </c>
      <c r="V8" s="119" t="n">
        <f aca="false">Inputs!$E$55*(1+Inputs!$E$57)^(V$5-1)*MAX(0,MIN(1,V$4*1-Inputs!$E$58+1))/1</f>
        <v>4</v>
      </c>
      <c r="W8" s="119" t="n">
        <f aca="false">Inputs!$E$55*(1+Inputs!$E$57)^(W$5-1)*MAX(0,MIN(1,W$4*1-Inputs!$E$58+1))/1</f>
        <v>4</v>
      </c>
      <c r="X8" s="119" t="n">
        <f aca="false">Inputs!$E$55*(1+Inputs!$E$57)^(X$5-1)*MAX(0,MIN(1,X$4*1-Inputs!$E$58+1))/1</f>
        <v>4</v>
      </c>
      <c r="Y8" s="119" t="n">
        <f aca="false">Inputs!$E$55*(1+Inputs!$E$57)^(Y$5-1)*MAX(0,MIN(1,Y$4*1-Inputs!$E$58+1))/1</f>
        <v>4</v>
      </c>
      <c r="Z8" s="119" t="n">
        <f aca="false">Inputs!$E$55*(1+Inputs!$E$57)^(Z$5-1)*MAX(0,MIN(1,Z$4*1-Inputs!$E$58+1))/1</f>
        <v>4</v>
      </c>
      <c r="AA8" s="119" t="n">
        <f aca="false">Inputs!$E$55*(1+Inputs!$E$57)^(AA$5-1)*MAX(0,MIN(1,AA$4*1-Inputs!$E$58+1))/1</f>
        <v>4</v>
      </c>
      <c r="AB8" s="119" t="n">
        <f aca="false">Inputs!$E$55*(1+Inputs!$E$57)^(AB$5-1)*MAX(0,MIN(1,AB$4*1-Inputs!$E$58+1))/1</f>
        <v>4</v>
      </c>
      <c r="AC8" s="119" t="n">
        <f aca="false">Inputs!$E$55*(1+Inputs!$E$57)^(AC$5-1)*MAX(0,MIN(1,AC$4*1-Inputs!$E$58+1))/1</f>
        <v>4</v>
      </c>
      <c r="AD8" s="119" t="n">
        <f aca="false">Inputs!$E$55*(1+Inputs!$E$57)^(AD$5-1)*MAX(0,MIN(1,AD$4*1-Inputs!$E$58+1))/1</f>
        <v>4</v>
      </c>
      <c r="AE8" s="119" t="n">
        <f aca="false">Inputs!$E$55*(1+Inputs!$E$57)^(AE$5-1)*MAX(0,MIN(1,AE$4*1-Inputs!$E$58+1))/1</f>
        <v>4</v>
      </c>
      <c r="AF8" s="119" t="n">
        <f aca="false">Inputs!$E$55*(1+Inputs!$E$57)^(AF$5-1)*MAX(0,MIN(1,AF$4*1-Inputs!$E$58+1))/1</f>
        <v>4</v>
      </c>
      <c r="AG8" s="119" t="n">
        <f aca="false">Inputs!$E$55*(1+Inputs!$E$57)^(AG$5-1)*MAX(0,MIN(1,AG$4*1-Inputs!$E$58+1))/1</f>
        <v>4</v>
      </c>
      <c r="AH8" s="119" t="n">
        <f aca="false">Inputs!$E$55*(1+Inputs!$E$57)^(AH$5-1)*MAX(0,MIN(1,AH$4*1-Inputs!$E$58+1))/1</f>
        <v>4</v>
      </c>
      <c r="AI8" s="119" t="n">
        <f aca="false">Inputs!$E$55*(1+Inputs!$E$57)^(AI$5-1)*MAX(0,MIN(1,AI$4*1-Inputs!$E$58+1))/1</f>
        <v>4</v>
      </c>
      <c r="AJ8" s="119" t="n">
        <f aca="false">Inputs!$E$55*(1+Inputs!$E$57)^(AJ$5-1)*MAX(0,MIN(1,AJ$4*1-Inputs!$E$58+1))/1</f>
        <v>4</v>
      </c>
      <c r="AK8" s="119" t="n">
        <f aca="false">Inputs!$E$55*(1+Inputs!$E$57)^(AK$5-1)*MAX(0,MIN(1,AK$4*1-Inputs!$E$58+1))/1</f>
        <v>4</v>
      </c>
      <c r="AL8" s="119" t="n">
        <f aca="false">Inputs!$E$55*(1+Inputs!$E$57)^(AL$5-1)*MAX(0,MIN(1,AL$4*1-Inputs!$E$58+1))/1</f>
        <v>4</v>
      </c>
      <c r="AM8" s="119" t="n">
        <f aca="false">Inputs!$E$55*(1+Inputs!$E$57)^(AM$5-1)*MAX(0,MIN(1,AM$4*1-Inputs!$E$58+1))/1</f>
        <v>4</v>
      </c>
      <c r="AN8" s="119" t="n">
        <f aca="false">Inputs!$E$55*(1+Inputs!$E$57)^(AN$5-1)*MAX(0,MIN(1,AN$4*1-Inputs!$E$58+1))/1</f>
        <v>4</v>
      </c>
      <c r="AO8" s="119" t="n">
        <f aca="false">Inputs!$E$55*(1+Inputs!$E$57)^(AO$5-1)*MAX(0,MIN(1,AO$4*1-Inputs!$E$58+1))/1</f>
        <v>4</v>
      </c>
      <c r="AP8" s="119" t="n">
        <f aca="false">Inputs!$E$55*(1+Inputs!$E$57)^(AP$5-1)*MAX(0,MIN(1,AP$4*1-Inputs!$E$58+1))/1</f>
        <v>4</v>
      </c>
      <c r="AQ8" s="119" t="n">
        <f aca="false">Inputs!$E$55*(1+Inputs!$E$57)^(AQ$5-1)*MAX(0,MIN(1,AQ$4*1-Inputs!$E$58+1))/1</f>
        <v>4</v>
      </c>
      <c r="AR8" s="119" t="n">
        <f aca="false">Inputs!$E$55*(1+Inputs!$E$57)^(AR$5-1)*MAX(0,MIN(1,AR$4*1-Inputs!$E$58+1))/1</f>
        <v>4</v>
      </c>
      <c r="AS8" s="119" t="n">
        <f aca="false">Inputs!$E$55*(1+Inputs!$E$57)^(AS$5-1)*MAX(0,MIN(1,AS$4*1-Inputs!$E$58+1))/1</f>
        <v>4</v>
      </c>
      <c r="AT8" s="119" t="n">
        <f aca="false">Inputs!$E$55*(1+Inputs!$E$57)^(AT$5-1)*MAX(0,MIN(1,AT$4*1-Inputs!$E$58+1))/1</f>
        <v>4</v>
      </c>
      <c r="AU8" s="119" t="n">
        <f aca="false">Inputs!$E$55*(1+Inputs!$E$57)^(AU$5-1)*MAX(0,MIN(1,AU$4*1-Inputs!$E$58+1))/1</f>
        <v>4</v>
      </c>
      <c r="AV8" s="119" t="n">
        <f aca="false">Inputs!$E$55*(1+Inputs!$E$57)^(AV$5-1)*MAX(0,MIN(1,AV$4*1-Inputs!$E$58+1))/1</f>
        <v>4</v>
      </c>
      <c r="AW8" s="119" t="n">
        <f aca="false">Inputs!$E$55*(1+Inputs!$E$57)^(AW$5-1)*MAX(0,MIN(1,AW$4*1-Inputs!$E$58+1))/1</f>
        <v>4</v>
      </c>
      <c r="AX8" s="119" t="n">
        <f aca="false">Inputs!$E$55*(1+Inputs!$E$57)^(AX$5-1)*MAX(0,MIN(1,AX$4*1-Inputs!$E$58+1))/1</f>
        <v>4</v>
      </c>
      <c r="AY8" s="119" t="n">
        <f aca="false">Inputs!$E$55*(1+Inputs!$E$57)^(AY$5-1)*MAX(0,MIN(1,AY$4*1-Inputs!$E$58+1))/1</f>
        <v>4</v>
      </c>
      <c r="AZ8" s="119" t="n">
        <f aca="false">Inputs!$E$55*(1+Inputs!$E$57)^(AZ$5-1)*MAX(0,MIN(1,AZ$4*1-Inputs!$E$58+1))/1</f>
        <v>4</v>
      </c>
      <c r="BA8" s="119" t="n">
        <f aca="false">Inputs!$E$55*(1+Inputs!$E$57)^(BA$5-1)*MAX(0,MIN(1,BA$4*1-Inputs!$E$58+1))/1</f>
        <v>4</v>
      </c>
      <c r="BB8" s="119" t="n">
        <f aca="false">Inputs!$E$55*(1+Inputs!$E$57)^(BB$5-1)*MAX(0,MIN(1,BB$4*1-Inputs!$E$58+1))/1</f>
        <v>4</v>
      </c>
      <c r="BC8" s="119" t="n">
        <f aca="false">Inputs!$E$55*(1+Inputs!$E$57)^(BC$5-1)*MAX(0,MIN(1,BC$4*1-Inputs!$E$58+1))/1</f>
        <v>4</v>
      </c>
      <c r="BD8" s="119" t="n">
        <f aca="false">Inputs!$E$55*(1+Inputs!$E$57)^(BD$5-1)*MAX(0,MIN(1,BD$4*1-Inputs!$E$58+1))/1</f>
        <v>4</v>
      </c>
      <c r="BE8" s="119" t="n">
        <f aca="false">Inputs!$E$55*(1+Inputs!$E$57)^(BE$5-1)*MAX(0,MIN(1,BE$4*1-Inputs!$E$58+1))/1</f>
        <v>4</v>
      </c>
      <c r="BF8" s="119" t="n">
        <f aca="false">Inputs!$E$55*(1+Inputs!$E$57)^(BF$5-1)*MAX(0,MIN(1,BF$4*1-Inputs!$E$58+1))/1</f>
        <v>4</v>
      </c>
      <c r="BG8" s="119" t="n">
        <f aca="false">Inputs!$E$55*(1+Inputs!$E$57)^(BG$5-1)*MAX(0,MIN(1,BG$4*1-Inputs!$E$58+1))/1</f>
        <v>4</v>
      </c>
      <c r="BH8" s="119" t="n">
        <f aca="false">Inputs!$E$55*(1+Inputs!$E$57)^(BH$5-1)*MAX(0,MIN(1,BH$4*1-Inputs!$E$58+1))/1</f>
        <v>4</v>
      </c>
      <c r="BI8" s="119" t="n">
        <f aca="false">Inputs!$E$55*(1+Inputs!$E$57)^(BI$5-1)*MAX(0,MIN(1,BI$4*1-Inputs!$E$58+1))/1</f>
        <v>4</v>
      </c>
      <c r="BJ8" s="119" t="n">
        <f aca="false">Inputs!$E$55*(1+Inputs!$E$57)^(BJ$5-1)*MAX(0,MIN(1,BJ$4*1-Inputs!$E$58+1))/1</f>
        <v>4</v>
      </c>
    </row>
    <row r="9" customFormat="false" ht="15" hidden="false" customHeight="false" outlineLevel="0" collapsed="false">
      <c r="A9" s="6" t="s">
        <v>460</v>
      </c>
      <c r="C9" s="119" t="n">
        <f aca="false">Inputs!$E$59*(1+Inputs!$E$61)^(C$5-1)*MAX(0,MIN(1,C$4*1-Inputs!$E$62+1))/1</f>
        <v>3</v>
      </c>
      <c r="D9" s="119" t="n">
        <f aca="false">Inputs!$E$59*(1+Inputs!$E$61)^(D$5-1)*MAX(0,MIN(1,D$4*1-Inputs!$E$62+1))/1</f>
        <v>3</v>
      </c>
      <c r="E9" s="119" t="n">
        <f aca="false">Inputs!$E$59*(1+Inputs!$E$61)^(E$5-1)*MAX(0,MIN(1,E$4*1-Inputs!$E$62+1))/1</f>
        <v>3</v>
      </c>
      <c r="F9" s="119" t="n">
        <f aca="false">Inputs!$E$59*(1+Inputs!$E$61)^(F$5-1)*MAX(0,MIN(1,F$4*1-Inputs!$E$62+1))/1</f>
        <v>3</v>
      </c>
      <c r="G9" s="119" t="n">
        <f aca="false">Inputs!$E$59*(1+Inputs!$E$61)^(G$5-1)*MAX(0,MIN(1,G$4*1-Inputs!$E$62+1))/1</f>
        <v>3</v>
      </c>
      <c r="H9" s="119" t="n">
        <f aca="false">Inputs!$E$59*(1+Inputs!$E$61)^(H$5-1)*MAX(0,MIN(1,H$4*1-Inputs!$E$62+1))/1</f>
        <v>3</v>
      </c>
      <c r="I9" s="119" t="n">
        <f aca="false">Inputs!$E$59*(1+Inputs!$E$61)^(I$5-1)*MAX(0,MIN(1,I$4*1-Inputs!$E$62+1))/1</f>
        <v>3</v>
      </c>
      <c r="J9" s="119" t="n">
        <f aca="false">Inputs!$E$59*(1+Inputs!$E$61)^(J$5-1)*MAX(0,MIN(1,J$4*1-Inputs!$E$62+1))/1</f>
        <v>3</v>
      </c>
      <c r="K9" s="119" t="n">
        <f aca="false">Inputs!$E$59*(1+Inputs!$E$61)^(K$5-1)*MAX(0,MIN(1,K$4*1-Inputs!$E$62+1))/1</f>
        <v>3</v>
      </c>
      <c r="L9" s="119" t="n">
        <f aca="false">Inputs!$E$59*(1+Inputs!$E$61)^(L$5-1)*MAX(0,MIN(1,L$4*1-Inputs!$E$62+1))/1</f>
        <v>3</v>
      </c>
      <c r="M9" s="119" t="n">
        <f aca="false">Inputs!$E$59*(1+Inputs!$E$61)^(M$5-1)*MAX(0,MIN(1,M$4*1-Inputs!$E$62+1))/1</f>
        <v>3</v>
      </c>
      <c r="N9" s="119" t="n">
        <f aca="false">Inputs!$E$59*(1+Inputs!$E$61)^(N$5-1)*MAX(0,MIN(1,N$4*1-Inputs!$E$62+1))/1</f>
        <v>3</v>
      </c>
      <c r="O9" s="119" t="n">
        <f aca="false">Inputs!$E$59*(1+Inputs!$E$61)^(O$5-1)*MAX(0,MIN(1,O$4*1-Inputs!$E$62+1))/1</f>
        <v>3</v>
      </c>
      <c r="P9" s="119" t="n">
        <f aca="false">Inputs!$E$59*(1+Inputs!$E$61)^(P$5-1)*MAX(0,MIN(1,P$4*1-Inputs!$E$62+1))/1</f>
        <v>3</v>
      </c>
      <c r="Q9" s="119" t="n">
        <f aca="false">Inputs!$E$59*(1+Inputs!$E$61)^(Q$5-1)*MAX(0,MIN(1,Q$4*1-Inputs!$E$62+1))/1</f>
        <v>3</v>
      </c>
      <c r="R9" s="119" t="n">
        <f aca="false">Inputs!$E$59*(1+Inputs!$E$61)^(R$5-1)*MAX(0,MIN(1,R$4*1-Inputs!$E$62+1))/1</f>
        <v>3</v>
      </c>
      <c r="S9" s="119" t="n">
        <f aca="false">Inputs!$E$59*(1+Inputs!$E$61)^(S$5-1)*MAX(0,MIN(1,S$4*1-Inputs!$E$62+1))/1</f>
        <v>3</v>
      </c>
      <c r="T9" s="119" t="n">
        <f aca="false">Inputs!$E$59*(1+Inputs!$E$61)^(T$5-1)*MAX(0,MIN(1,T$4*1-Inputs!$E$62+1))/1</f>
        <v>3</v>
      </c>
      <c r="U9" s="119" t="n">
        <f aca="false">Inputs!$E$59*(1+Inputs!$E$61)^(U$5-1)*MAX(0,MIN(1,U$4*1-Inputs!$E$62+1))/1</f>
        <v>3</v>
      </c>
      <c r="V9" s="119" t="n">
        <f aca="false">Inputs!$E$59*(1+Inputs!$E$61)^(V$5-1)*MAX(0,MIN(1,V$4*1-Inputs!$E$62+1))/1</f>
        <v>3</v>
      </c>
      <c r="W9" s="119" t="n">
        <f aca="false">Inputs!$E$59*(1+Inputs!$E$61)^(W$5-1)*MAX(0,MIN(1,W$4*1-Inputs!$E$62+1))/1</f>
        <v>3</v>
      </c>
      <c r="X9" s="119" t="n">
        <f aca="false">Inputs!$E$59*(1+Inputs!$E$61)^(X$5-1)*MAX(0,MIN(1,X$4*1-Inputs!$E$62+1))/1</f>
        <v>3</v>
      </c>
      <c r="Y9" s="119" t="n">
        <f aca="false">Inputs!$E$59*(1+Inputs!$E$61)^(Y$5-1)*MAX(0,MIN(1,Y$4*1-Inputs!$E$62+1))/1</f>
        <v>3</v>
      </c>
      <c r="Z9" s="119" t="n">
        <f aca="false">Inputs!$E$59*(1+Inputs!$E$61)^(Z$5-1)*MAX(0,MIN(1,Z$4*1-Inputs!$E$62+1))/1</f>
        <v>3</v>
      </c>
      <c r="AA9" s="119" t="n">
        <f aca="false">Inputs!$E$59*(1+Inputs!$E$61)^(AA$5-1)*MAX(0,MIN(1,AA$4*1-Inputs!$E$62+1))/1</f>
        <v>3</v>
      </c>
      <c r="AB9" s="119" t="n">
        <f aca="false">Inputs!$E$59*(1+Inputs!$E$61)^(AB$5-1)*MAX(0,MIN(1,AB$4*1-Inputs!$E$62+1))/1</f>
        <v>3</v>
      </c>
      <c r="AC9" s="119" t="n">
        <f aca="false">Inputs!$E$59*(1+Inputs!$E$61)^(AC$5-1)*MAX(0,MIN(1,AC$4*1-Inputs!$E$62+1))/1</f>
        <v>3</v>
      </c>
      <c r="AD9" s="119" t="n">
        <f aca="false">Inputs!$E$59*(1+Inputs!$E$61)^(AD$5-1)*MAX(0,MIN(1,AD$4*1-Inputs!$E$62+1))/1</f>
        <v>3</v>
      </c>
      <c r="AE9" s="119" t="n">
        <f aca="false">Inputs!$E$59*(1+Inputs!$E$61)^(AE$5-1)*MAX(0,MIN(1,AE$4*1-Inputs!$E$62+1))/1</f>
        <v>3</v>
      </c>
      <c r="AF9" s="119" t="n">
        <f aca="false">Inputs!$E$59*(1+Inputs!$E$61)^(AF$5-1)*MAX(0,MIN(1,AF$4*1-Inputs!$E$62+1))/1</f>
        <v>3</v>
      </c>
      <c r="AG9" s="119" t="n">
        <f aca="false">Inputs!$E$59*(1+Inputs!$E$61)^(AG$5-1)*MAX(0,MIN(1,AG$4*1-Inputs!$E$62+1))/1</f>
        <v>3</v>
      </c>
      <c r="AH9" s="119" t="n">
        <f aca="false">Inputs!$E$59*(1+Inputs!$E$61)^(AH$5-1)*MAX(0,MIN(1,AH$4*1-Inputs!$E$62+1))/1</f>
        <v>3</v>
      </c>
      <c r="AI9" s="119" t="n">
        <f aca="false">Inputs!$E$59*(1+Inputs!$E$61)^(AI$5-1)*MAX(0,MIN(1,AI$4*1-Inputs!$E$62+1))/1</f>
        <v>3</v>
      </c>
      <c r="AJ9" s="119" t="n">
        <f aca="false">Inputs!$E$59*(1+Inputs!$E$61)^(AJ$5-1)*MAX(0,MIN(1,AJ$4*1-Inputs!$E$62+1))/1</f>
        <v>3</v>
      </c>
      <c r="AK9" s="119" t="n">
        <f aca="false">Inputs!$E$59*(1+Inputs!$E$61)^(AK$5-1)*MAX(0,MIN(1,AK$4*1-Inputs!$E$62+1))/1</f>
        <v>3</v>
      </c>
      <c r="AL9" s="119" t="n">
        <f aca="false">Inputs!$E$59*(1+Inputs!$E$61)^(AL$5-1)*MAX(0,MIN(1,AL$4*1-Inputs!$E$62+1))/1</f>
        <v>3</v>
      </c>
      <c r="AM9" s="119" t="n">
        <f aca="false">Inputs!$E$59*(1+Inputs!$E$61)^(AM$5-1)*MAX(0,MIN(1,AM$4*1-Inputs!$E$62+1))/1</f>
        <v>3</v>
      </c>
      <c r="AN9" s="119" t="n">
        <f aca="false">Inputs!$E$59*(1+Inputs!$E$61)^(AN$5-1)*MAX(0,MIN(1,AN$4*1-Inputs!$E$62+1))/1</f>
        <v>3</v>
      </c>
      <c r="AO9" s="119" t="n">
        <f aca="false">Inputs!$E$59*(1+Inputs!$E$61)^(AO$5-1)*MAX(0,MIN(1,AO$4*1-Inputs!$E$62+1))/1</f>
        <v>3</v>
      </c>
      <c r="AP9" s="119" t="n">
        <f aca="false">Inputs!$E$59*(1+Inputs!$E$61)^(AP$5-1)*MAX(0,MIN(1,AP$4*1-Inputs!$E$62+1))/1</f>
        <v>3</v>
      </c>
      <c r="AQ9" s="119" t="n">
        <f aca="false">Inputs!$E$59*(1+Inputs!$E$61)^(AQ$5-1)*MAX(0,MIN(1,AQ$4*1-Inputs!$E$62+1))/1</f>
        <v>3</v>
      </c>
      <c r="AR9" s="119" t="n">
        <f aca="false">Inputs!$E$59*(1+Inputs!$E$61)^(AR$5-1)*MAX(0,MIN(1,AR$4*1-Inputs!$E$62+1))/1</f>
        <v>3</v>
      </c>
      <c r="AS9" s="119" t="n">
        <f aca="false">Inputs!$E$59*(1+Inputs!$E$61)^(AS$5-1)*MAX(0,MIN(1,AS$4*1-Inputs!$E$62+1))/1</f>
        <v>3</v>
      </c>
      <c r="AT9" s="119" t="n">
        <f aca="false">Inputs!$E$59*(1+Inputs!$E$61)^(AT$5-1)*MAX(0,MIN(1,AT$4*1-Inputs!$E$62+1))/1</f>
        <v>3</v>
      </c>
      <c r="AU9" s="119" t="n">
        <f aca="false">Inputs!$E$59*(1+Inputs!$E$61)^(AU$5-1)*MAX(0,MIN(1,AU$4*1-Inputs!$E$62+1))/1</f>
        <v>3</v>
      </c>
      <c r="AV9" s="119" t="n">
        <f aca="false">Inputs!$E$59*(1+Inputs!$E$61)^(AV$5-1)*MAX(0,MIN(1,AV$4*1-Inputs!$E$62+1))/1</f>
        <v>3</v>
      </c>
      <c r="AW9" s="119" t="n">
        <f aca="false">Inputs!$E$59*(1+Inputs!$E$61)^(AW$5-1)*MAX(0,MIN(1,AW$4*1-Inputs!$E$62+1))/1</f>
        <v>3</v>
      </c>
      <c r="AX9" s="119" t="n">
        <f aca="false">Inputs!$E$59*(1+Inputs!$E$61)^(AX$5-1)*MAX(0,MIN(1,AX$4*1-Inputs!$E$62+1))/1</f>
        <v>3</v>
      </c>
      <c r="AY9" s="119" t="n">
        <f aca="false">Inputs!$E$59*(1+Inputs!$E$61)^(AY$5-1)*MAX(0,MIN(1,AY$4*1-Inputs!$E$62+1))/1</f>
        <v>3</v>
      </c>
      <c r="AZ9" s="119" t="n">
        <f aca="false">Inputs!$E$59*(1+Inputs!$E$61)^(AZ$5-1)*MAX(0,MIN(1,AZ$4*1-Inputs!$E$62+1))/1</f>
        <v>3</v>
      </c>
      <c r="BA9" s="119" t="n">
        <f aca="false">Inputs!$E$59*(1+Inputs!$E$61)^(BA$5-1)*MAX(0,MIN(1,BA$4*1-Inputs!$E$62+1))/1</f>
        <v>3</v>
      </c>
      <c r="BB9" s="119" t="n">
        <f aca="false">Inputs!$E$59*(1+Inputs!$E$61)^(BB$5-1)*MAX(0,MIN(1,BB$4*1-Inputs!$E$62+1))/1</f>
        <v>3</v>
      </c>
      <c r="BC9" s="119" t="n">
        <f aca="false">Inputs!$E$59*(1+Inputs!$E$61)^(BC$5-1)*MAX(0,MIN(1,BC$4*1-Inputs!$E$62+1))/1</f>
        <v>3</v>
      </c>
      <c r="BD9" s="119" t="n">
        <f aca="false">Inputs!$E$59*(1+Inputs!$E$61)^(BD$5-1)*MAX(0,MIN(1,BD$4*1-Inputs!$E$62+1))/1</f>
        <v>3</v>
      </c>
      <c r="BE9" s="119" t="n">
        <f aca="false">Inputs!$E$59*(1+Inputs!$E$61)^(BE$5-1)*MAX(0,MIN(1,BE$4*1-Inputs!$E$62+1))/1</f>
        <v>3</v>
      </c>
      <c r="BF9" s="119" t="n">
        <f aca="false">Inputs!$E$59*(1+Inputs!$E$61)^(BF$5-1)*MAX(0,MIN(1,BF$4*1-Inputs!$E$62+1))/1</f>
        <v>3</v>
      </c>
      <c r="BG9" s="119" t="n">
        <f aca="false">Inputs!$E$59*(1+Inputs!$E$61)^(BG$5-1)*MAX(0,MIN(1,BG$4*1-Inputs!$E$62+1))/1</f>
        <v>3</v>
      </c>
      <c r="BH9" s="119" t="n">
        <f aca="false">Inputs!$E$59*(1+Inputs!$E$61)^(BH$5-1)*MAX(0,MIN(1,BH$4*1-Inputs!$E$62+1))/1</f>
        <v>3</v>
      </c>
      <c r="BI9" s="119" t="n">
        <f aca="false">Inputs!$E$59*(1+Inputs!$E$61)^(BI$5-1)*MAX(0,MIN(1,BI$4*1-Inputs!$E$62+1))/1</f>
        <v>3</v>
      </c>
      <c r="BJ9" s="119" t="n">
        <f aca="false">Inputs!$E$59*(1+Inputs!$E$61)^(BJ$5-1)*MAX(0,MIN(1,BJ$4*1-Inputs!$E$62+1))/1</f>
        <v>3</v>
      </c>
    </row>
    <row r="10" customFormat="false" ht="15" hidden="false" customHeight="false" outlineLevel="0" collapsed="false">
      <c r="A10" s="6" t="s">
        <v>461</v>
      </c>
      <c r="C10" s="119" t="n">
        <f aca="false">Inputs!$E$63*(1+Inputs!$E$65)^(C$5-1)*MAX(0,MIN(1,C$4*1-Inputs!$E$66+1))/1</f>
        <v>1</v>
      </c>
      <c r="D10" s="119" t="n">
        <f aca="false">Inputs!$E$63*(1+Inputs!$E$65)^(D$5-1)*MAX(0,MIN(1,D$4*1-Inputs!$E$66+1))/1</f>
        <v>1</v>
      </c>
      <c r="E10" s="119" t="n">
        <f aca="false">Inputs!$E$63*(1+Inputs!$E$65)^(E$5-1)*MAX(0,MIN(1,E$4*1-Inputs!$E$66+1))/1</f>
        <v>1</v>
      </c>
      <c r="F10" s="119" t="n">
        <f aca="false">Inputs!$E$63*(1+Inputs!$E$65)^(F$5-1)*MAX(0,MIN(1,F$4*1-Inputs!$E$66+1))/1</f>
        <v>1</v>
      </c>
      <c r="G10" s="119" t="n">
        <f aca="false">Inputs!$E$63*(1+Inputs!$E$65)^(G$5-1)*MAX(0,MIN(1,G$4*1-Inputs!$E$66+1))/1</f>
        <v>1</v>
      </c>
      <c r="H10" s="119" t="n">
        <f aca="false">Inputs!$E$63*(1+Inputs!$E$65)^(H$5-1)*MAX(0,MIN(1,H$4*1-Inputs!$E$66+1))/1</f>
        <v>1</v>
      </c>
      <c r="I10" s="119" t="n">
        <f aca="false">Inputs!$E$63*(1+Inputs!$E$65)^(I$5-1)*MAX(0,MIN(1,I$4*1-Inputs!$E$66+1))/1</f>
        <v>1</v>
      </c>
      <c r="J10" s="119" t="n">
        <f aca="false">Inputs!$E$63*(1+Inputs!$E$65)^(J$5-1)*MAX(0,MIN(1,J$4*1-Inputs!$E$66+1))/1</f>
        <v>1</v>
      </c>
      <c r="K10" s="119" t="n">
        <f aca="false">Inputs!$E$63*(1+Inputs!$E$65)^(K$5-1)*MAX(0,MIN(1,K$4*1-Inputs!$E$66+1))/1</f>
        <v>1</v>
      </c>
      <c r="L10" s="119" t="n">
        <f aca="false">Inputs!$E$63*(1+Inputs!$E$65)^(L$5-1)*MAX(0,MIN(1,L$4*1-Inputs!$E$66+1))/1</f>
        <v>1</v>
      </c>
      <c r="M10" s="119" t="n">
        <f aca="false">Inputs!$E$63*(1+Inputs!$E$65)^(M$5-1)*MAX(0,MIN(1,M$4*1-Inputs!$E$66+1))/1</f>
        <v>1</v>
      </c>
      <c r="N10" s="119" t="n">
        <f aca="false">Inputs!$E$63*(1+Inputs!$E$65)^(N$5-1)*MAX(0,MIN(1,N$4*1-Inputs!$E$66+1))/1</f>
        <v>1</v>
      </c>
      <c r="O10" s="119" t="n">
        <f aca="false">Inputs!$E$63*(1+Inputs!$E$65)^(O$5-1)*MAX(0,MIN(1,O$4*1-Inputs!$E$66+1))/1</f>
        <v>1</v>
      </c>
      <c r="P10" s="119" t="n">
        <f aca="false">Inputs!$E$63*(1+Inputs!$E$65)^(P$5-1)*MAX(0,MIN(1,P$4*1-Inputs!$E$66+1))/1</f>
        <v>1</v>
      </c>
      <c r="Q10" s="119" t="n">
        <f aca="false">Inputs!$E$63*(1+Inputs!$E$65)^(Q$5-1)*MAX(0,MIN(1,Q$4*1-Inputs!$E$66+1))/1</f>
        <v>1</v>
      </c>
      <c r="R10" s="119" t="n">
        <f aca="false">Inputs!$E$63*(1+Inputs!$E$65)^(R$5-1)*MAX(0,MIN(1,R$4*1-Inputs!$E$66+1))/1</f>
        <v>1</v>
      </c>
      <c r="S10" s="119" t="n">
        <f aca="false">Inputs!$E$63*(1+Inputs!$E$65)^(S$5-1)*MAX(0,MIN(1,S$4*1-Inputs!$E$66+1))/1</f>
        <v>1</v>
      </c>
      <c r="T10" s="119" t="n">
        <f aca="false">Inputs!$E$63*(1+Inputs!$E$65)^(T$5-1)*MAX(0,MIN(1,T$4*1-Inputs!$E$66+1))/1</f>
        <v>1</v>
      </c>
      <c r="U10" s="119" t="n">
        <f aca="false">Inputs!$E$63*(1+Inputs!$E$65)^(U$5-1)*MAX(0,MIN(1,U$4*1-Inputs!$E$66+1))/1</f>
        <v>1</v>
      </c>
      <c r="V10" s="119" t="n">
        <f aca="false">Inputs!$E$63*(1+Inputs!$E$65)^(V$5-1)*MAX(0,MIN(1,V$4*1-Inputs!$E$66+1))/1</f>
        <v>1</v>
      </c>
      <c r="W10" s="119" t="n">
        <f aca="false">Inputs!$E$63*(1+Inputs!$E$65)^(W$5-1)*MAX(0,MIN(1,W$4*1-Inputs!$E$66+1))/1</f>
        <v>1</v>
      </c>
      <c r="X10" s="119" t="n">
        <f aca="false">Inputs!$E$63*(1+Inputs!$E$65)^(X$5-1)*MAX(0,MIN(1,X$4*1-Inputs!$E$66+1))/1</f>
        <v>1</v>
      </c>
      <c r="Y10" s="119" t="n">
        <f aca="false">Inputs!$E$63*(1+Inputs!$E$65)^(Y$5-1)*MAX(0,MIN(1,Y$4*1-Inputs!$E$66+1))/1</f>
        <v>1</v>
      </c>
      <c r="Z10" s="119" t="n">
        <f aca="false">Inputs!$E$63*(1+Inputs!$E$65)^(Z$5-1)*MAX(0,MIN(1,Z$4*1-Inputs!$E$66+1))/1</f>
        <v>1</v>
      </c>
      <c r="AA10" s="119" t="n">
        <f aca="false">Inputs!$E$63*(1+Inputs!$E$65)^(AA$5-1)*MAX(0,MIN(1,AA$4*1-Inputs!$E$66+1))/1</f>
        <v>1</v>
      </c>
      <c r="AB10" s="119" t="n">
        <f aca="false">Inputs!$E$63*(1+Inputs!$E$65)^(AB$5-1)*MAX(0,MIN(1,AB$4*1-Inputs!$E$66+1))/1</f>
        <v>1</v>
      </c>
      <c r="AC10" s="119" t="n">
        <f aca="false">Inputs!$E$63*(1+Inputs!$E$65)^(AC$5-1)*MAX(0,MIN(1,AC$4*1-Inputs!$E$66+1))/1</f>
        <v>1</v>
      </c>
      <c r="AD10" s="119" t="n">
        <f aca="false">Inputs!$E$63*(1+Inputs!$E$65)^(AD$5-1)*MAX(0,MIN(1,AD$4*1-Inputs!$E$66+1))/1</f>
        <v>1</v>
      </c>
      <c r="AE10" s="119" t="n">
        <f aca="false">Inputs!$E$63*(1+Inputs!$E$65)^(AE$5-1)*MAX(0,MIN(1,AE$4*1-Inputs!$E$66+1))/1</f>
        <v>1</v>
      </c>
      <c r="AF10" s="119" t="n">
        <f aca="false">Inputs!$E$63*(1+Inputs!$E$65)^(AF$5-1)*MAX(0,MIN(1,AF$4*1-Inputs!$E$66+1))/1</f>
        <v>1</v>
      </c>
      <c r="AG10" s="119" t="n">
        <f aca="false">Inputs!$E$63*(1+Inputs!$E$65)^(AG$5-1)*MAX(0,MIN(1,AG$4*1-Inputs!$E$66+1))/1</f>
        <v>1</v>
      </c>
      <c r="AH10" s="119" t="n">
        <f aca="false">Inputs!$E$63*(1+Inputs!$E$65)^(AH$5-1)*MAX(0,MIN(1,AH$4*1-Inputs!$E$66+1))/1</f>
        <v>1</v>
      </c>
      <c r="AI10" s="119" t="n">
        <f aca="false">Inputs!$E$63*(1+Inputs!$E$65)^(AI$5-1)*MAX(0,MIN(1,AI$4*1-Inputs!$E$66+1))/1</f>
        <v>1</v>
      </c>
      <c r="AJ10" s="119" t="n">
        <f aca="false">Inputs!$E$63*(1+Inputs!$E$65)^(AJ$5-1)*MAX(0,MIN(1,AJ$4*1-Inputs!$E$66+1))/1</f>
        <v>1</v>
      </c>
      <c r="AK10" s="119" t="n">
        <f aca="false">Inputs!$E$63*(1+Inputs!$E$65)^(AK$5-1)*MAX(0,MIN(1,AK$4*1-Inputs!$E$66+1))/1</f>
        <v>1</v>
      </c>
      <c r="AL10" s="119" t="n">
        <f aca="false">Inputs!$E$63*(1+Inputs!$E$65)^(AL$5-1)*MAX(0,MIN(1,AL$4*1-Inputs!$E$66+1))/1</f>
        <v>1</v>
      </c>
      <c r="AM10" s="119" t="n">
        <f aca="false">Inputs!$E$63*(1+Inputs!$E$65)^(AM$5-1)*MAX(0,MIN(1,AM$4*1-Inputs!$E$66+1))/1</f>
        <v>1</v>
      </c>
      <c r="AN10" s="119" t="n">
        <f aca="false">Inputs!$E$63*(1+Inputs!$E$65)^(AN$5-1)*MAX(0,MIN(1,AN$4*1-Inputs!$E$66+1))/1</f>
        <v>1</v>
      </c>
      <c r="AO10" s="119" t="n">
        <f aca="false">Inputs!$E$63*(1+Inputs!$E$65)^(AO$5-1)*MAX(0,MIN(1,AO$4*1-Inputs!$E$66+1))/1</f>
        <v>1</v>
      </c>
      <c r="AP10" s="119" t="n">
        <f aca="false">Inputs!$E$63*(1+Inputs!$E$65)^(AP$5-1)*MAX(0,MIN(1,AP$4*1-Inputs!$E$66+1))/1</f>
        <v>1</v>
      </c>
      <c r="AQ10" s="119" t="n">
        <f aca="false">Inputs!$E$63*(1+Inputs!$E$65)^(AQ$5-1)*MAX(0,MIN(1,AQ$4*1-Inputs!$E$66+1))/1</f>
        <v>1</v>
      </c>
      <c r="AR10" s="119" t="n">
        <f aca="false">Inputs!$E$63*(1+Inputs!$E$65)^(AR$5-1)*MAX(0,MIN(1,AR$4*1-Inputs!$E$66+1))/1</f>
        <v>1</v>
      </c>
      <c r="AS10" s="119" t="n">
        <f aca="false">Inputs!$E$63*(1+Inputs!$E$65)^(AS$5-1)*MAX(0,MIN(1,AS$4*1-Inputs!$E$66+1))/1</f>
        <v>1</v>
      </c>
      <c r="AT10" s="119" t="n">
        <f aca="false">Inputs!$E$63*(1+Inputs!$E$65)^(AT$5-1)*MAX(0,MIN(1,AT$4*1-Inputs!$E$66+1))/1</f>
        <v>1</v>
      </c>
      <c r="AU10" s="119" t="n">
        <f aca="false">Inputs!$E$63*(1+Inputs!$E$65)^(AU$5-1)*MAX(0,MIN(1,AU$4*1-Inputs!$E$66+1))/1</f>
        <v>1</v>
      </c>
      <c r="AV10" s="119" t="n">
        <f aca="false">Inputs!$E$63*(1+Inputs!$E$65)^(AV$5-1)*MAX(0,MIN(1,AV$4*1-Inputs!$E$66+1))/1</f>
        <v>1</v>
      </c>
      <c r="AW10" s="119" t="n">
        <f aca="false">Inputs!$E$63*(1+Inputs!$E$65)^(AW$5-1)*MAX(0,MIN(1,AW$4*1-Inputs!$E$66+1))/1</f>
        <v>1</v>
      </c>
      <c r="AX10" s="119" t="n">
        <f aca="false">Inputs!$E$63*(1+Inputs!$E$65)^(AX$5-1)*MAX(0,MIN(1,AX$4*1-Inputs!$E$66+1))/1</f>
        <v>1</v>
      </c>
      <c r="AY10" s="119" t="n">
        <f aca="false">Inputs!$E$63*(1+Inputs!$E$65)^(AY$5-1)*MAX(0,MIN(1,AY$4*1-Inputs!$E$66+1))/1</f>
        <v>1</v>
      </c>
      <c r="AZ10" s="119" t="n">
        <f aca="false">Inputs!$E$63*(1+Inputs!$E$65)^(AZ$5-1)*MAX(0,MIN(1,AZ$4*1-Inputs!$E$66+1))/1</f>
        <v>1</v>
      </c>
      <c r="BA10" s="119" t="n">
        <f aca="false">Inputs!$E$63*(1+Inputs!$E$65)^(BA$5-1)*MAX(0,MIN(1,BA$4*1-Inputs!$E$66+1))/1</f>
        <v>1</v>
      </c>
      <c r="BB10" s="119" t="n">
        <f aca="false">Inputs!$E$63*(1+Inputs!$E$65)^(BB$5-1)*MAX(0,MIN(1,BB$4*1-Inputs!$E$66+1))/1</f>
        <v>1</v>
      </c>
      <c r="BC10" s="119" t="n">
        <f aca="false">Inputs!$E$63*(1+Inputs!$E$65)^(BC$5-1)*MAX(0,MIN(1,BC$4*1-Inputs!$E$66+1))/1</f>
        <v>1</v>
      </c>
      <c r="BD10" s="119" t="n">
        <f aca="false">Inputs!$E$63*(1+Inputs!$E$65)^(BD$5-1)*MAX(0,MIN(1,BD$4*1-Inputs!$E$66+1))/1</f>
        <v>1</v>
      </c>
      <c r="BE10" s="119" t="n">
        <f aca="false">Inputs!$E$63*(1+Inputs!$E$65)^(BE$5-1)*MAX(0,MIN(1,BE$4*1-Inputs!$E$66+1))/1</f>
        <v>1</v>
      </c>
      <c r="BF10" s="119" t="n">
        <f aca="false">Inputs!$E$63*(1+Inputs!$E$65)^(BF$5-1)*MAX(0,MIN(1,BF$4*1-Inputs!$E$66+1))/1</f>
        <v>1</v>
      </c>
      <c r="BG10" s="119" t="n">
        <f aca="false">Inputs!$E$63*(1+Inputs!$E$65)^(BG$5-1)*MAX(0,MIN(1,BG$4*1-Inputs!$E$66+1))/1</f>
        <v>1</v>
      </c>
      <c r="BH10" s="119" t="n">
        <f aca="false">Inputs!$E$63*(1+Inputs!$E$65)^(BH$5-1)*MAX(0,MIN(1,BH$4*1-Inputs!$E$66+1))/1</f>
        <v>1</v>
      </c>
      <c r="BI10" s="119" t="n">
        <f aca="false">Inputs!$E$63*(1+Inputs!$E$65)^(BI$5-1)*MAX(0,MIN(1,BI$4*1-Inputs!$E$66+1))/1</f>
        <v>1</v>
      </c>
      <c r="BJ10" s="119" t="n">
        <f aca="false">Inputs!$E$63*(1+Inputs!$E$65)^(BJ$5-1)*MAX(0,MIN(1,BJ$4*1-Inputs!$E$66+1))/1</f>
        <v>1</v>
      </c>
    </row>
    <row r="11" customFormat="false" ht="15" hidden="false" customHeight="false" outlineLevel="0" collapsed="false">
      <c r="A11" s="115" t="s">
        <v>462</v>
      </c>
      <c r="C11" s="124" t="n">
        <f aca="false">C8+C9+C10</f>
        <v>8</v>
      </c>
      <c r="D11" s="124" t="n">
        <f aca="false">D8+D9+D10</f>
        <v>8</v>
      </c>
      <c r="E11" s="124" t="n">
        <f aca="false">E8+E9+E10</f>
        <v>8</v>
      </c>
      <c r="F11" s="124" t="n">
        <f aca="false">F8+F9+F10</f>
        <v>8</v>
      </c>
      <c r="G11" s="124" t="n">
        <f aca="false">G8+G9+G10</f>
        <v>8</v>
      </c>
      <c r="H11" s="124" t="n">
        <f aca="false">H8+H9+H10</f>
        <v>8</v>
      </c>
      <c r="I11" s="124" t="n">
        <f aca="false">I8+I9+I10</f>
        <v>8</v>
      </c>
      <c r="J11" s="124" t="n">
        <f aca="false">J8+J9+J10</f>
        <v>8</v>
      </c>
      <c r="K11" s="124" t="n">
        <f aca="false">K8+K9+K10</f>
        <v>8</v>
      </c>
      <c r="L11" s="124" t="n">
        <f aca="false">L8+L9+L10</f>
        <v>8</v>
      </c>
      <c r="M11" s="124" t="n">
        <f aca="false">M8+M9+M10</f>
        <v>8</v>
      </c>
      <c r="N11" s="124" t="n">
        <f aca="false">N8+N9+N10</f>
        <v>8</v>
      </c>
      <c r="O11" s="124" t="n">
        <f aca="false">O8+O9+O10</f>
        <v>8</v>
      </c>
      <c r="P11" s="124" t="n">
        <f aca="false">P8+P9+P10</f>
        <v>8</v>
      </c>
      <c r="Q11" s="124" t="n">
        <f aca="false">Q8+Q9+Q10</f>
        <v>8</v>
      </c>
      <c r="R11" s="124" t="n">
        <f aca="false">R8+R9+R10</f>
        <v>8</v>
      </c>
      <c r="S11" s="124" t="n">
        <f aca="false">S8+S9+S10</f>
        <v>8</v>
      </c>
      <c r="T11" s="124" t="n">
        <f aca="false">T8+T9+T10</f>
        <v>8</v>
      </c>
      <c r="U11" s="124" t="n">
        <f aca="false">U8+U9+U10</f>
        <v>8</v>
      </c>
      <c r="V11" s="124" t="n">
        <f aca="false">V8+V9+V10</f>
        <v>8</v>
      </c>
      <c r="W11" s="124" t="n">
        <f aca="false">W8+W9+W10</f>
        <v>8</v>
      </c>
      <c r="X11" s="124" t="n">
        <f aca="false">X8+X9+X10</f>
        <v>8</v>
      </c>
      <c r="Y11" s="124" t="n">
        <f aca="false">Y8+Y9+Y10</f>
        <v>8</v>
      </c>
      <c r="Z11" s="124" t="n">
        <f aca="false">Z8+Z9+Z10</f>
        <v>8</v>
      </c>
      <c r="AA11" s="124" t="n">
        <f aca="false">AA8+AA9+AA10</f>
        <v>8</v>
      </c>
      <c r="AB11" s="124" t="n">
        <f aca="false">AB8+AB9+AB10</f>
        <v>8</v>
      </c>
      <c r="AC11" s="124" t="n">
        <f aca="false">AC8+AC9+AC10</f>
        <v>8</v>
      </c>
      <c r="AD11" s="124" t="n">
        <f aca="false">AD8+AD9+AD10</f>
        <v>8</v>
      </c>
      <c r="AE11" s="124" t="n">
        <f aca="false">AE8+AE9+AE10</f>
        <v>8</v>
      </c>
      <c r="AF11" s="124" t="n">
        <f aca="false">AF8+AF9+AF10</f>
        <v>8</v>
      </c>
      <c r="AG11" s="124" t="n">
        <f aca="false">AG8+AG9+AG10</f>
        <v>8</v>
      </c>
      <c r="AH11" s="124" t="n">
        <f aca="false">AH8+AH9+AH10</f>
        <v>8</v>
      </c>
      <c r="AI11" s="124" t="n">
        <f aca="false">AI8+AI9+AI10</f>
        <v>8</v>
      </c>
      <c r="AJ11" s="124" t="n">
        <f aca="false">AJ8+AJ9+AJ10</f>
        <v>8</v>
      </c>
      <c r="AK11" s="124" t="n">
        <f aca="false">AK8+AK9+AK10</f>
        <v>8</v>
      </c>
      <c r="AL11" s="124" t="n">
        <f aca="false">AL8+AL9+AL10</f>
        <v>8</v>
      </c>
      <c r="AM11" s="124" t="n">
        <f aca="false">AM8+AM9+AM10</f>
        <v>8</v>
      </c>
      <c r="AN11" s="124" t="n">
        <f aca="false">AN8+AN9+AN10</f>
        <v>8</v>
      </c>
      <c r="AO11" s="124" t="n">
        <f aca="false">AO8+AO9+AO10</f>
        <v>8</v>
      </c>
      <c r="AP11" s="124" t="n">
        <f aca="false">AP8+AP9+AP10</f>
        <v>8</v>
      </c>
      <c r="AQ11" s="124" t="n">
        <f aca="false">AQ8+AQ9+AQ10</f>
        <v>8</v>
      </c>
      <c r="AR11" s="124" t="n">
        <f aca="false">AR8+AR9+AR10</f>
        <v>8</v>
      </c>
      <c r="AS11" s="124" t="n">
        <f aca="false">AS8+AS9+AS10</f>
        <v>8</v>
      </c>
      <c r="AT11" s="124" t="n">
        <f aca="false">AT8+AT9+AT10</f>
        <v>8</v>
      </c>
      <c r="AU11" s="124" t="n">
        <f aca="false">AU8+AU9+AU10</f>
        <v>8</v>
      </c>
      <c r="AV11" s="124" t="n">
        <f aca="false">AV8+AV9+AV10</f>
        <v>8</v>
      </c>
      <c r="AW11" s="124" t="n">
        <f aca="false">AW8+AW9+AW10</f>
        <v>8</v>
      </c>
      <c r="AX11" s="124" t="n">
        <f aca="false">AX8+AX9+AX10</f>
        <v>8</v>
      </c>
      <c r="AY11" s="124" t="n">
        <f aca="false">AY8+AY9+AY10</f>
        <v>8</v>
      </c>
      <c r="AZ11" s="124" t="n">
        <f aca="false">AZ8+AZ9+AZ10</f>
        <v>8</v>
      </c>
      <c r="BA11" s="124" t="n">
        <f aca="false">BA8+BA9+BA10</f>
        <v>8</v>
      </c>
      <c r="BB11" s="124" t="n">
        <f aca="false">BB8+BB9+BB10</f>
        <v>8</v>
      </c>
      <c r="BC11" s="124" t="n">
        <f aca="false">BC8+BC9+BC10</f>
        <v>8</v>
      </c>
      <c r="BD11" s="124" t="n">
        <f aca="false">BD8+BD9+BD10</f>
        <v>8</v>
      </c>
      <c r="BE11" s="124" t="n">
        <f aca="false">BE8+BE9+BE10</f>
        <v>8</v>
      </c>
      <c r="BF11" s="124" t="n">
        <f aca="false">BF8+BF9+BF10</f>
        <v>8</v>
      </c>
      <c r="BG11" s="124" t="n">
        <f aca="false">BG8+BG9+BG10</f>
        <v>8</v>
      </c>
      <c r="BH11" s="124" t="n">
        <f aca="false">BH8+BH9+BH10</f>
        <v>8</v>
      </c>
      <c r="BI11" s="124" t="n">
        <f aca="false">BI8+BI9+BI10</f>
        <v>8</v>
      </c>
      <c r="BJ11" s="124" t="n">
        <f aca="false">BJ8+BJ9+BJ10</f>
        <v>8</v>
      </c>
    </row>
    <row r="13" customFormat="false" ht="15.75" hidden="false" customHeight="true" outlineLevel="0" collapsed="false">
      <c r="A13" s="7" t="s">
        <v>463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464</v>
      </c>
      <c r="C14" s="69" t="n">
        <f aca="false">-C8*Inputs!$E$56/12*1*(1+Inputs!$E$67)*(1+Inputs!$E$68)^(C$5-1)</f>
        <v>-3833.33333333333</v>
      </c>
      <c r="D14" s="69" t="n">
        <f aca="false">-D8*Inputs!$E$56/12*1*(1+Inputs!$E$67)*(1+Inputs!$E$68)^(D$5-1)</f>
        <v>-3833.33333333333</v>
      </c>
      <c r="E14" s="69" t="n">
        <f aca="false">-E8*Inputs!$E$56/12*1*(1+Inputs!$E$67)*(1+Inputs!$E$68)^(E$5-1)</f>
        <v>-3833.33333333333</v>
      </c>
      <c r="F14" s="69" t="n">
        <f aca="false">-F8*Inputs!$E$56/12*1*(1+Inputs!$E$67)*(1+Inputs!$E$68)^(F$5-1)</f>
        <v>-3833.33333333333</v>
      </c>
      <c r="G14" s="69" t="n">
        <f aca="false">-G8*Inputs!$E$56/12*1*(1+Inputs!$E$67)*(1+Inputs!$E$68)^(G$5-1)</f>
        <v>-3833.33333333333</v>
      </c>
      <c r="H14" s="69" t="n">
        <f aca="false">-H8*Inputs!$E$56/12*1*(1+Inputs!$E$67)*(1+Inputs!$E$68)^(H$5-1)</f>
        <v>-3833.33333333333</v>
      </c>
      <c r="I14" s="69" t="n">
        <f aca="false">-I8*Inputs!$E$56/12*1*(1+Inputs!$E$67)*(1+Inputs!$E$68)^(I$5-1)</f>
        <v>-3833.33333333333</v>
      </c>
      <c r="J14" s="69" t="n">
        <f aca="false">-J8*Inputs!$E$56/12*1*(1+Inputs!$E$67)*(1+Inputs!$E$68)^(J$5-1)</f>
        <v>-3833.33333333333</v>
      </c>
      <c r="K14" s="69" t="n">
        <f aca="false">-K8*Inputs!$E$56/12*1*(1+Inputs!$E$67)*(1+Inputs!$E$68)^(K$5-1)</f>
        <v>-3833.33333333333</v>
      </c>
      <c r="L14" s="69" t="n">
        <f aca="false">-L8*Inputs!$E$56/12*1*(1+Inputs!$E$67)*(1+Inputs!$E$68)^(L$5-1)</f>
        <v>-3833.33333333333</v>
      </c>
      <c r="M14" s="69" t="n">
        <f aca="false">-M8*Inputs!$E$56/12*1*(1+Inputs!$E$67)*(1+Inputs!$E$68)^(M$5-1)</f>
        <v>-3833.33333333333</v>
      </c>
      <c r="N14" s="69" t="n">
        <f aca="false">-N8*Inputs!$E$56/12*1*(1+Inputs!$E$67)*(1+Inputs!$E$68)^(N$5-1)</f>
        <v>-3833.33333333333</v>
      </c>
      <c r="O14" s="69" t="n">
        <f aca="false">-O8*Inputs!$E$56/12*1*(1+Inputs!$E$67)*(1+Inputs!$E$68)^(O$5-1)</f>
        <v>-3948.33333333333</v>
      </c>
      <c r="P14" s="69" t="n">
        <f aca="false">-P8*Inputs!$E$56/12*1*(1+Inputs!$E$67)*(1+Inputs!$E$68)^(P$5-1)</f>
        <v>-3948.33333333333</v>
      </c>
      <c r="Q14" s="69" t="n">
        <f aca="false">-Q8*Inputs!$E$56/12*1*(1+Inputs!$E$67)*(1+Inputs!$E$68)^(Q$5-1)</f>
        <v>-3948.33333333333</v>
      </c>
      <c r="R14" s="69" t="n">
        <f aca="false">-R8*Inputs!$E$56/12*1*(1+Inputs!$E$67)*(1+Inputs!$E$68)^(R$5-1)</f>
        <v>-3948.33333333333</v>
      </c>
      <c r="S14" s="69" t="n">
        <f aca="false">-S8*Inputs!$E$56/12*1*(1+Inputs!$E$67)*(1+Inputs!$E$68)^(S$5-1)</f>
        <v>-3948.33333333333</v>
      </c>
      <c r="T14" s="69" t="n">
        <f aca="false">-T8*Inputs!$E$56/12*1*(1+Inputs!$E$67)*(1+Inputs!$E$68)^(T$5-1)</f>
        <v>-3948.33333333333</v>
      </c>
      <c r="U14" s="69" t="n">
        <f aca="false">-U8*Inputs!$E$56/12*1*(1+Inputs!$E$67)*(1+Inputs!$E$68)^(U$5-1)</f>
        <v>-3948.33333333333</v>
      </c>
      <c r="V14" s="69" t="n">
        <f aca="false">-V8*Inputs!$E$56/12*1*(1+Inputs!$E$67)*(1+Inputs!$E$68)^(V$5-1)</f>
        <v>-3948.33333333333</v>
      </c>
      <c r="W14" s="69" t="n">
        <f aca="false">-W8*Inputs!$E$56/12*1*(1+Inputs!$E$67)*(1+Inputs!$E$68)^(W$5-1)</f>
        <v>-3948.33333333333</v>
      </c>
      <c r="X14" s="69" t="n">
        <f aca="false">-X8*Inputs!$E$56/12*1*(1+Inputs!$E$67)*(1+Inputs!$E$68)^(X$5-1)</f>
        <v>-3948.33333333333</v>
      </c>
      <c r="Y14" s="69" t="n">
        <f aca="false">-Y8*Inputs!$E$56/12*1*(1+Inputs!$E$67)*(1+Inputs!$E$68)^(Y$5-1)</f>
        <v>-3948.33333333333</v>
      </c>
      <c r="Z14" s="69" t="n">
        <f aca="false">-Z8*Inputs!$E$56/12*1*(1+Inputs!$E$67)*(1+Inputs!$E$68)^(Z$5-1)</f>
        <v>-3948.33333333333</v>
      </c>
      <c r="AA14" s="69" t="n">
        <f aca="false">-AA8*Inputs!$E$56/12*1*(1+Inputs!$E$67)*(1+Inputs!$E$68)^(AA$5-1)</f>
        <v>-4066.78333333333</v>
      </c>
      <c r="AB14" s="69" t="n">
        <f aca="false">-AB8*Inputs!$E$56/12*1*(1+Inputs!$E$67)*(1+Inputs!$E$68)^(AB$5-1)</f>
        <v>-4066.78333333333</v>
      </c>
      <c r="AC14" s="69" t="n">
        <f aca="false">-AC8*Inputs!$E$56/12*1*(1+Inputs!$E$67)*(1+Inputs!$E$68)^(AC$5-1)</f>
        <v>-4066.78333333333</v>
      </c>
      <c r="AD14" s="69" t="n">
        <f aca="false">-AD8*Inputs!$E$56/12*1*(1+Inputs!$E$67)*(1+Inputs!$E$68)^(AD$5-1)</f>
        <v>-4066.78333333333</v>
      </c>
      <c r="AE14" s="69" t="n">
        <f aca="false">-AE8*Inputs!$E$56/12*1*(1+Inputs!$E$67)*(1+Inputs!$E$68)^(AE$5-1)</f>
        <v>-4066.78333333333</v>
      </c>
      <c r="AF14" s="69" t="n">
        <f aca="false">-AF8*Inputs!$E$56/12*1*(1+Inputs!$E$67)*(1+Inputs!$E$68)^(AF$5-1)</f>
        <v>-4066.78333333333</v>
      </c>
      <c r="AG14" s="69" t="n">
        <f aca="false">-AG8*Inputs!$E$56/12*1*(1+Inputs!$E$67)*(1+Inputs!$E$68)^(AG$5-1)</f>
        <v>-4066.78333333333</v>
      </c>
      <c r="AH14" s="69" t="n">
        <f aca="false">-AH8*Inputs!$E$56/12*1*(1+Inputs!$E$67)*(1+Inputs!$E$68)^(AH$5-1)</f>
        <v>-4066.78333333333</v>
      </c>
      <c r="AI14" s="69" t="n">
        <f aca="false">-AI8*Inputs!$E$56/12*1*(1+Inputs!$E$67)*(1+Inputs!$E$68)^(AI$5-1)</f>
        <v>-4066.78333333333</v>
      </c>
      <c r="AJ14" s="69" t="n">
        <f aca="false">-AJ8*Inputs!$E$56/12*1*(1+Inputs!$E$67)*(1+Inputs!$E$68)^(AJ$5-1)</f>
        <v>-4066.78333333333</v>
      </c>
      <c r="AK14" s="69" t="n">
        <f aca="false">-AK8*Inputs!$E$56/12*1*(1+Inputs!$E$67)*(1+Inputs!$E$68)^(AK$5-1)</f>
        <v>-4066.78333333333</v>
      </c>
      <c r="AL14" s="69" t="n">
        <f aca="false">-AL8*Inputs!$E$56/12*1*(1+Inputs!$E$67)*(1+Inputs!$E$68)^(AL$5-1)</f>
        <v>-4066.78333333333</v>
      </c>
      <c r="AM14" s="69" t="n">
        <f aca="false">-AM8*Inputs!$E$56/12*1*(1+Inputs!$E$67)*(1+Inputs!$E$68)^(AM$5-1)</f>
        <v>-4188.78683333333</v>
      </c>
      <c r="AN14" s="69" t="n">
        <f aca="false">-AN8*Inputs!$E$56/12*1*(1+Inputs!$E$67)*(1+Inputs!$E$68)^(AN$5-1)</f>
        <v>-4188.78683333333</v>
      </c>
      <c r="AO14" s="69" t="n">
        <f aca="false">-AO8*Inputs!$E$56/12*1*(1+Inputs!$E$67)*(1+Inputs!$E$68)^(AO$5-1)</f>
        <v>-4188.78683333333</v>
      </c>
      <c r="AP14" s="69" t="n">
        <f aca="false">-AP8*Inputs!$E$56/12*1*(1+Inputs!$E$67)*(1+Inputs!$E$68)^(AP$5-1)</f>
        <v>-4188.78683333333</v>
      </c>
      <c r="AQ14" s="69" t="n">
        <f aca="false">-AQ8*Inputs!$E$56/12*1*(1+Inputs!$E$67)*(1+Inputs!$E$68)^(AQ$5-1)</f>
        <v>-4188.78683333333</v>
      </c>
      <c r="AR14" s="69" t="n">
        <f aca="false">-AR8*Inputs!$E$56/12*1*(1+Inputs!$E$67)*(1+Inputs!$E$68)^(AR$5-1)</f>
        <v>-4188.78683333333</v>
      </c>
      <c r="AS14" s="69" t="n">
        <f aca="false">-AS8*Inputs!$E$56/12*1*(1+Inputs!$E$67)*(1+Inputs!$E$68)^(AS$5-1)</f>
        <v>-4188.78683333333</v>
      </c>
      <c r="AT14" s="69" t="n">
        <f aca="false">-AT8*Inputs!$E$56/12*1*(1+Inputs!$E$67)*(1+Inputs!$E$68)^(AT$5-1)</f>
        <v>-4188.78683333333</v>
      </c>
      <c r="AU14" s="69" t="n">
        <f aca="false">-AU8*Inputs!$E$56/12*1*(1+Inputs!$E$67)*(1+Inputs!$E$68)^(AU$5-1)</f>
        <v>-4188.78683333333</v>
      </c>
      <c r="AV14" s="69" t="n">
        <f aca="false">-AV8*Inputs!$E$56/12*1*(1+Inputs!$E$67)*(1+Inputs!$E$68)^(AV$5-1)</f>
        <v>-4188.78683333333</v>
      </c>
      <c r="AW14" s="69" t="n">
        <f aca="false">-AW8*Inputs!$E$56/12*1*(1+Inputs!$E$67)*(1+Inputs!$E$68)^(AW$5-1)</f>
        <v>-4188.78683333333</v>
      </c>
      <c r="AX14" s="69" t="n">
        <f aca="false">-AX8*Inputs!$E$56/12*1*(1+Inputs!$E$67)*(1+Inputs!$E$68)^(AX$5-1)</f>
        <v>-4188.78683333333</v>
      </c>
      <c r="AY14" s="69" t="n">
        <f aca="false">-AY8*Inputs!$E$56/12*1*(1+Inputs!$E$67)*(1+Inputs!$E$68)^(AY$5-1)</f>
        <v>-4314.45043833333</v>
      </c>
      <c r="AZ14" s="69" t="n">
        <f aca="false">-AZ8*Inputs!$E$56/12*1*(1+Inputs!$E$67)*(1+Inputs!$E$68)^(AZ$5-1)</f>
        <v>-4314.45043833333</v>
      </c>
      <c r="BA14" s="69" t="n">
        <f aca="false">-BA8*Inputs!$E$56/12*1*(1+Inputs!$E$67)*(1+Inputs!$E$68)^(BA$5-1)</f>
        <v>-4314.45043833333</v>
      </c>
      <c r="BB14" s="69" t="n">
        <f aca="false">-BB8*Inputs!$E$56/12*1*(1+Inputs!$E$67)*(1+Inputs!$E$68)^(BB$5-1)</f>
        <v>-4314.45043833333</v>
      </c>
      <c r="BC14" s="69" t="n">
        <f aca="false">-BC8*Inputs!$E$56/12*1*(1+Inputs!$E$67)*(1+Inputs!$E$68)^(BC$5-1)</f>
        <v>-4314.45043833333</v>
      </c>
      <c r="BD14" s="69" t="n">
        <f aca="false">-BD8*Inputs!$E$56/12*1*(1+Inputs!$E$67)*(1+Inputs!$E$68)^(BD$5-1)</f>
        <v>-4314.45043833333</v>
      </c>
      <c r="BE14" s="69" t="n">
        <f aca="false">-BE8*Inputs!$E$56/12*1*(1+Inputs!$E$67)*(1+Inputs!$E$68)^(BE$5-1)</f>
        <v>-4314.45043833333</v>
      </c>
      <c r="BF14" s="69" t="n">
        <f aca="false">-BF8*Inputs!$E$56/12*1*(1+Inputs!$E$67)*(1+Inputs!$E$68)^(BF$5-1)</f>
        <v>-4314.45043833333</v>
      </c>
      <c r="BG14" s="69" t="n">
        <f aca="false">-BG8*Inputs!$E$56/12*1*(1+Inputs!$E$67)*(1+Inputs!$E$68)^(BG$5-1)</f>
        <v>-4314.45043833333</v>
      </c>
      <c r="BH14" s="69" t="n">
        <f aca="false">-BH8*Inputs!$E$56/12*1*(1+Inputs!$E$67)*(1+Inputs!$E$68)^(BH$5-1)</f>
        <v>-4314.45043833333</v>
      </c>
      <c r="BI14" s="69" t="n">
        <f aca="false">-BI8*Inputs!$E$56/12*1*(1+Inputs!$E$67)*(1+Inputs!$E$68)^(BI$5-1)</f>
        <v>-4314.45043833333</v>
      </c>
      <c r="BJ14" s="69" t="n">
        <f aca="false">-BJ8*Inputs!$E$56/12*1*(1+Inputs!$E$67)*(1+Inputs!$E$68)^(BJ$5-1)</f>
        <v>-4314.45043833333</v>
      </c>
    </row>
    <row r="15" customFormat="false" ht="15" hidden="false" customHeight="false" outlineLevel="0" collapsed="false">
      <c r="A15" s="6" t="s">
        <v>465</v>
      </c>
      <c r="C15" s="69" t="n">
        <f aca="false">-C9*Inputs!$E$60/12*1*(1+Inputs!$E$67)*(1+Inputs!$E$68)^(C$5-1)</f>
        <v>-9487.5</v>
      </c>
      <c r="D15" s="69" t="n">
        <f aca="false">-D9*Inputs!$E$60/12*1*(1+Inputs!$E$67)*(1+Inputs!$E$68)^(D$5-1)</f>
        <v>-9487.5</v>
      </c>
      <c r="E15" s="69" t="n">
        <f aca="false">-E9*Inputs!$E$60/12*1*(1+Inputs!$E$67)*(1+Inputs!$E$68)^(E$5-1)</f>
        <v>-9487.5</v>
      </c>
      <c r="F15" s="69" t="n">
        <f aca="false">-F9*Inputs!$E$60/12*1*(1+Inputs!$E$67)*(1+Inputs!$E$68)^(F$5-1)</f>
        <v>-9487.5</v>
      </c>
      <c r="G15" s="69" t="n">
        <f aca="false">-G9*Inputs!$E$60/12*1*(1+Inputs!$E$67)*(1+Inputs!$E$68)^(G$5-1)</f>
        <v>-9487.5</v>
      </c>
      <c r="H15" s="69" t="n">
        <f aca="false">-H9*Inputs!$E$60/12*1*(1+Inputs!$E$67)*(1+Inputs!$E$68)^(H$5-1)</f>
        <v>-9487.5</v>
      </c>
      <c r="I15" s="69" t="n">
        <f aca="false">-I9*Inputs!$E$60/12*1*(1+Inputs!$E$67)*(1+Inputs!$E$68)^(I$5-1)</f>
        <v>-9487.5</v>
      </c>
      <c r="J15" s="69" t="n">
        <f aca="false">-J9*Inputs!$E$60/12*1*(1+Inputs!$E$67)*(1+Inputs!$E$68)^(J$5-1)</f>
        <v>-9487.5</v>
      </c>
      <c r="K15" s="69" t="n">
        <f aca="false">-K9*Inputs!$E$60/12*1*(1+Inputs!$E$67)*(1+Inputs!$E$68)^(K$5-1)</f>
        <v>-9487.5</v>
      </c>
      <c r="L15" s="69" t="n">
        <f aca="false">-L9*Inputs!$E$60/12*1*(1+Inputs!$E$67)*(1+Inputs!$E$68)^(L$5-1)</f>
        <v>-9487.5</v>
      </c>
      <c r="M15" s="69" t="n">
        <f aca="false">-M9*Inputs!$E$60/12*1*(1+Inputs!$E$67)*(1+Inputs!$E$68)^(M$5-1)</f>
        <v>-9487.5</v>
      </c>
      <c r="N15" s="69" t="n">
        <f aca="false">-N9*Inputs!$E$60/12*1*(1+Inputs!$E$67)*(1+Inputs!$E$68)^(N$5-1)</f>
        <v>-9487.5</v>
      </c>
      <c r="O15" s="69" t="n">
        <f aca="false">-O9*Inputs!$E$60/12*1*(1+Inputs!$E$67)*(1+Inputs!$E$68)^(O$5-1)</f>
        <v>-9772.125</v>
      </c>
      <c r="P15" s="69" t="n">
        <f aca="false">-P9*Inputs!$E$60/12*1*(1+Inputs!$E$67)*(1+Inputs!$E$68)^(P$5-1)</f>
        <v>-9772.125</v>
      </c>
      <c r="Q15" s="69" t="n">
        <f aca="false">-Q9*Inputs!$E$60/12*1*(1+Inputs!$E$67)*(1+Inputs!$E$68)^(Q$5-1)</f>
        <v>-9772.125</v>
      </c>
      <c r="R15" s="69" t="n">
        <f aca="false">-R9*Inputs!$E$60/12*1*(1+Inputs!$E$67)*(1+Inputs!$E$68)^(R$5-1)</f>
        <v>-9772.125</v>
      </c>
      <c r="S15" s="69" t="n">
        <f aca="false">-S9*Inputs!$E$60/12*1*(1+Inputs!$E$67)*(1+Inputs!$E$68)^(S$5-1)</f>
        <v>-9772.125</v>
      </c>
      <c r="T15" s="69" t="n">
        <f aca="false">-T9*Inputs!$E$60/12*1*(1+Inputs!$E$67)*(1+Inputs!$E$68)^(T$5-1)</f>
        <v>-9772.125</v>
      </c>
      <c r="U15" s="69" t="n">
        <f aca="false">-U9*Inputs!$E$60/12*1*(1+Inputs!$E$67)*(1+Inputs!$E$68)^(U$5-1)</f>
        <v>-9772.125</v>
      </c>
      <c r="V15" s="69" t="n">
        <f aca="false">-V9*Inputs!$E$60/12*1*(1+Inputs!$E$67)*(1+Inputs!$E$68)^(V$5-1)</f>
        <v>-9772.125</v>
      </c>
      <c r="W15" s="69" t="n">
        <f aca="false">-W9*Inputs!$E$60/12*1*(1+Inputs!$E$67)*(1+Inputs!$E$68)^(W$5-1)</f>
        <v>-9772.125</v>
      </c>
      <c r="X15" s="69" t="n">
        <f aca="false">-X9*Inputs!$E$60/12*1*(1+Inputs!$E$67)*(1+Inputs!$E$68)^(X$5-1)</f>
        <v>-9772.125</v>
      </c>
      <c r="Y15" s="69" t="n">
        <f aca="false">-Y9*Inputs!$E$60/12*1*(1+Inputs!$E$67)*(1+Inputs!$E$68)^(Y$5-1)</f>
        <v>-9772.125</v>
      </c>
      <c r="Z15" s="69" t="n">
        <f aca="false">-Z9*Inputs!$E$60/12*1*(1+Inputs!$E$67)*(1+Inputs!$E$68)^(Z$5-1)</f>
        <v>-9772.125</v>
      </c>
      <c r="AA15" s="69" t="n">
        <f aca="false">-AA9*Inputs!$E$60/12*1*(1+Inputs!$E$67)*(1+Inputs!$E$68)^(AA$5-1)</f>
        <v>-10065.28875</v>
      </c>
      <c r="AB15" s="69" t="n">
        <f aca="false">-AB9*Inputs!$E$60/12*1*(1+Inputs!$E$67)*(1+Inputs!$E$68)^(AB$5-1)</f>
        <v>-10065.28875</v>
      </c>
      <c r="AC15" s="69" t="n">
        <f aca="false">-AC9*Inputs!$E$60/12*1*(1+Inputs!$E$67)*(1+Inputs!$E$68)^(AC$5-1)</f>
        <v>-10065.28875</v>
      </c>
      <c r="AD15" s="69" t="n">
        <f aca="false">-AD9*Inputs!$E$60/12*1*(1+Inputs!$E$67)*(1+Inputs!$E$68)^(AD$5-1)</f>
        <v>-10065.28875</v>
      </c>
      <c r="AE15" s="69" t="n">
        <f aca="false">-AE9*Inputs!$E$60/12*1*(1+Inputs!$E$67)*(1+Inputs!$E$68)^(AE$5-1)</f>
        <v>-10065.28875</v>
      </c>
      <c r="AF15" s="69" t="n">
        <f aca="false">-AF9*Inputs!$E$60/12*1*(1+Inputs!$E$67)*(1+Inputs!$E$68)^(AF$5-1)</f>
        <v>-10065.28875</v>
      </c>
      <c r="AG15" s="69" t="n">
        <f aca="false">-AG9*Inputs!$E$60/12*1*(1+Inputs!$E$67)*(1+Inputs!$E$68)^(AG$5-1)</f>
        <v>-10065.28875</v>
      </c>
      <c r="AH15" s="69" t="n">
        <f aca="false">-AH9*Inputs!$E$60/12*1*(1+Inputs!$E$67)*(1+Inputs!$E$68)^(AH$5-1)</f>
        <v>-10065.28875</v>
      </c>
      <c r="AI15" s="69" t="n">
        <f aca="false">-AI9*Inputs!$E$60/12*1*(1+Inputs!$E$67)*(1+Inputs!$E$68)^(AI$5-1)</f>
        <v>-10065.28875</v>
      </c>
      <c r="AJ15" s="69" t="n">
        <f aca="false">-AJ9*Inputs!$E$60/12*1*(1+Inputs!$E$67)*(1+Inputs!$E$68)^(AJ$5-1)</f>
        <v>-10065.28875</v>
      </c>
      <c r="AK15" s="69" t="n">
        <f aca="false">-AK9*Inputs!$E$60/12*1*(1+Inputs!$E$67)*(1+Inputs!$E$68)^(AK$5-1)</f>
        <v>-10065.28875</v>
      </c>
      <c r="AL15" s="69" t="n">
        <f aca="false">-AL9*Inputs!$E$60/12*1*(1+Inputs!$E$67)*(1+Inputs!$E$68)^(AL$5-1)</f>
        <v>-10065.28875</v>
      </c>
      <c r="AM15" s="69" t="n">
        <f aca="false">-AM9*Inputs!$E$60/12*1*(1+Inputs!$E$67)*(1+Inputs!$E$68)^(AM$5-1)</f>
        <v>-10367.2474125</v>
      </c>
      <c r="AN15" s="69" t="n">
        <f aca="false">-AN9*Inputs!$E$60/12*1*(1+Inputs!$E$67)*(1+Inputs!$E$68)^(AN$5-1)</f>
        <v>-10367.2474125</v>
      </c>
      <c r="AO15" s="69" t="n">
        <f aca="false">-AO9*Inputs!$E$60/12*1*(1+Inputs!$E$67)*(1+Inputs!$E$68)^(AO$5-1)</f>
        <v>-10367.2474125</v>
      </c>
      <c r="AP15" s="69" t="n">
        <f aca="false">-AP9*Inputs!$E$60/12*1*(1+Inputs!$E$67)*(1+Inputs!$E$68)^(AP$5-1)</f>
        <v>-10367.2474125</v>
      </c>
      <c r="AQ15" s="69" t="n">
        <f aca="false">-AQ9*Inputs!$E$60/12*1*(1+Inputs!$E$67)*(1+Inputs!$E$68)^(AQ$5-1)</f>
        <v>-10367.2474125</v>
      </c>
      <c r="AR15" s="69" t="n">
        <f aca="false">-AR9*Inputs!$E$60/12*1*(1+Inputs!$E$67)*(1+Inputs!$E$68)^(AR$5-1)</f>
        <v>-10367.2474125</v>
      </c>
      <c r="AS15" s="69" t="n">
        <f aca="false">-AS9*Inputs!$E$60/12*1*(1+Inputs!$E$67)*(1+Inputs!$E$68)^(AS$5-1)</f>
        <v>-10367.2474125</v>
      </c>
      <c r="AT15" s="69" t="n">
        <f aca="false">-AT9*Inputs!$E$60/12*1*(1+Inputs!$E$67)*(1+Inputs!$E$68)^(AT$5-1)</f>
        <v>-10367.2474125</v>
      </c>
      <c r="AU15" s="69" t="n">
        <f aca="false">-AU9*Inputs!$E$60/12*1*(1+Inputs!$E$67)*(1+Inputs!$E$68)^(AU$5-1)</f>
        <v>-10367.2474125</v>
      </c>
      <c r="AV15" s="69" t="n">
        <f aca="false">-AV9*Inputs!$E$60/12*1*(1+Inputs!$E$67)*(1+Inputs!$E$68)^(AV$5-1)</f>
        <v>-10367.2474125</v>
      </c>
      <c r="AW15" s="69" t="n">
        <f aca="false">-AW9*Inputs!$E$60/12*1*(1+Inputs!$E$67)*(1+Inputs!$E$68)^(AW$5-1)</f>
        <v>-10367.2474125</v>
      </c>
      <c r="AX15" s="69" t="n">
        <f aca="false">-AX9*Inputs!$E$60/12*1*(1+Inputs!$E$67)*(1+Inputs!$E$68)^(AX$5-1)</f>
        <v>-10367.2474125</v>
      </c>
      <c r="AY15" s="69" t="n">
        <f aca="false">-AY9*Inputs!$E$60/12*1*(1+Inputs!$E$67)*(1+Inputs!$E$68)^(AY$5-1)</f>
        <v>-10678.264834875</v>
      </c>
      <c r="AZ15" s="69" t="n">
        <f aca="false">-AZ9*Inputs!$E$60/12*1*(1+Inputs!$E$67)*(1+Inputs!$E$68)^(AZ$5-1)</f>
        <v>-10678.264834875</v>
      </c>
      <c r="BA15" s="69" t="n">
        <f aca="false">-BA9*Inputs!$E$60/12*1*(1+Inputs!$E$67)*(1+Inputs!$E$68)^(BA$5-1)</f>
        <v>-10678.264834875</v>
      </c>
      <c r="BB15" s="69" t="n">
        <f aca="false">-BB9*Inputs!$E$60/12*1*(1+Inputs!$E$67)*(1+Inputs!$E$68)^(BB$5-1)</f>
        <v>-10678.264834875</v>
      </c>
      <c r="BC15" s="69" t="n">
        <f aca="false">-BC9*Inputs!$E$60/12*1*(1+Inputs!$E$67)*(1+Inputs!$E$68)^(BC$5-1)</f>
        <v>-10678.264834875</v>
      </c>
      <c r="BD15" s="69" t="n">
        <f aca="false">-BD9*Inputs!$E$60/12*1*(1+Inputs!$E$67)*(1+Inputs!$E$68)^(BD$5-1)</f>
        <v>-10678.264834875</v>
      </c>
      <c r="BE15" s="69" t="n">
        <f aca="false">-BE9*Inputs!$E$60/12*1*(1+Inputs!$E$67)*(1+Inputs!$E$68)^(BE$5-1)</f>
        <v>-10678.264834875</v>
      </c>
      <c r="BF15" s="69" t="n">
        <f aca="false">-BF9*Inputs!$E$60/12*1*(1+Inputs!$E$67)*(1+Inputs!$E$68)^(BF$5-1)</f>
        <v>-10678.264834875</v>
      </c>
      <c r="BG15" s="69" t="n">
        <f aca="false">-BG9*Inputs!$E$60/12*1*(1+Inputs!$E$67)*(1+Inputs!$E$68)^(BG$5-1)</f>
        <v>-10678.264834875</v>
      </c>
      <c r="BH15" s="69" t="n">
        <f aca="false">-BH9*Inputs!$E$60/12*1*(1+Inputs!$E$67)*(1+Inputs!$E$68)^(BH$5-1)</f>
        <v>-10678.264834875</v>
      </c>
      <c r="BI15" s="69" t="n">
        <f aca="false">-BI9*Inputs!$E$60/12*1*(1+Inputs!$E$67)*(1+Inputs!$E$68)^(BI$5-1)</f>
        <v>-10678.264834875</v>
      </c>
      <c r="BJ15" s="69" t="n">
        <f aca="false">-BJ9*Inputs!$E$60/12*1*(1+Inputs!$E$67)*(1+Inputs!$E$68)^(BJ$5-1)</f>
        <v>-10678.264834875</v>
      </c>
    </row>
    <row r="16" customFormat="false" ht="15" hidden="false" customHeight="false" outlineLevel="0" collapsed="false">
      <c r="A16" s="6" t="s">
        <v>466</v>
      </c>
      <c r="C16" s="69" t="n">
        <f aca="false">-C10*Inputs!$E$64/12*1*(1+Inputs!$E$67)*(1+Inputs!$E$68)^(C$5-1)</f>
        <v>-5750</v>
      </c>
      <c r="D16" s="69" t="n">
        <f aca="false">-D10*Inputs!$E$64/12*1*(1+Inputs!$E$67)*(1+Inputs!$E$68)^(D$5-1)</f>
        <v>-5750</v>
      </c>
      <c r="E16" s="69" t="n">
        <f aca="false">-E10*Inputs!$E$64/12*1*(1+Inputs!$E$67)*(1+Inputs!$E$68)^(E$5-1)</f>
        <v>-5750</v>
      </c>
      <c r="F16" s="69" t="n">
        <f aca="false">-F10*Inputs!$E$64/12*1*(1+Inputs!$E$67)*(1+Inputs!$E$68)^(F$5-1)</f>
        <v>-5750</v>
      </c>
      <c r="G16" s="69" t="n">
        <f aca="false">-G10*Inputs!$E$64/12*1*(1+Inputs!$E$67)*(1+Inputs!$E$68)^(G$5-1)</f>
        <v>-5750</v>
      </c>
      <c r="H16" s="69" t="n">
        <f aca="false">-H10*Inputs!$E$64/12*1*(1+Inputs!$E$67)*(1+Inputs!$E$68)^(H$5-1)</f>
        <v>-5750</v>
      </c>
      <c r="I16" s="69" t="n">
        <f aca="false">-I10*Inputs!$E$64/12*1*(1+Inputs!$E$67)*(1+Inputs!$E$68)^(I$5-1)</f>
        <v>-5750</v>
      </c>
      <c r="J16" s="69" t="n">
        <f aca="false">-J10*Inputs!$E$64/12*1*(1+Inputs!$E$67)*(1+Inputs!$E$68)^(J$5-1)</f>
        <v>-5750</v>
      </c>
      <c r="K16" s="69" t="n">
        <f aca="false">-K10*Inputs!$E$64/12*1*(1+Inputs!$E$67)*(1+Inputs!$E$68)^(K$5-1)</f>
        <v>-5750</v>
      </c>
      <c r="L16" s="69" t="n">
        <f aca="false">-L10*Inputs!$E$64/12*1*(1+Inputs!$E$67)*(1+Inputs!$E$68)^(L$5-1)</f>
        <v>-5750</v>
      </c>
      <c r="M16" s="69" t="n">
        <f aca="false">-M10*Inputs!$E$64/12*1*(1+Inputs!$E$67)*(1+Inputs!$E$68)^(M$5-1)</f>
        <v>-5750</v>
      </c>
      <c r="N16" s="69" t="n">
        <f aca="false">-N10*Inputs!$E$64/12*1*(1+Inputs!$E$67)*(1+Inputs!$E$68)^(N$5-1)</f>
        <v>-5750</v>
      </c>
      <c r="O16" s="69" t="n">
        <f aca="false">-O10*Inputs!$E$64/12*1*(1+Inputs!$E$67)*(1+Inputs!$E$68)^(O$5-1)</f>
        <v>-5922.5</v>
      </c>
      <c r="P16" s="69" t="n">
        <f aca="false">-P10*Inputs!$E$64/12*1*(1+Inputs!$E$67)*(1+Inputs!$E$68)^(P$5-1)</f>
        <v>-5922.5</v>
      </c>
      <c r="Q16" s="69" t="n">
        <f aca="false">-Q10*Inputs!$E$64/12*1*(1+Inputs!$E$67)*(1+Inputs!$E$68)^(Q$5-1)</f>
        <v>-5922.5</v>
      </c>
      <c r="R16" s="69" t="n">
        <f aca="false">-R10*Inputs!$E$64/12*1*(1+Inputs!$E$67)*(1+Inputs!$E$68)^(R$5-1)</f>
        <v>-5922.5</v>
      </c>
      <c r="S16" s="69" t="n">
        <f aca="false">-S10*Inputs!$E$64/12*1*(1+Inputs!$E$67)*(1+Inputs!$E$68)^(S$5-1)</f>
        <v>-5922.5</v>
      </c>
      <c r="T16" s="69" t="n">
        <f aca="false">-T10*Inputs!$E$64/12*1*(1+Inputs!$E$67)*(1+Inputs!$E$68)^(T$5-1)</f>
        <v>-5922.5</v>
      </c>
      <c r="U16" s="69" t="n">
        <f aca="false">-U10*Inputs!$E$64/12*1*(1+Inputs!$E$67)*(1+Inputs!$E$68)^(U$5-1)</f>
        <v>-5922.5</v>
      </c>
      <c r="V16" s="69" t="n">
        <f aca="false">-V10*Inputs!$E$64/12*1*(1+Inputs!$E$67)*(1+Inputs!$E$68)^(V$5-1)</f>
        <v>-5922.5</v>
      </c>
      <c r="W16" s="69" t="n">
        <f aca="false">-W10*Inputs!$E$64/12*1*(1+Inputs!$E$67)*(1+Inputs!$E$68)^(W$5-1)</f>
        <v>-5922.5</v>
      </c>
      <c r="X16" s="69" t="n">
        <f aca="false">-X10*Inputs!$E$64/12*1*(1+Inputs!$E$67)*(1+Inputs!$E$68)^(X$5-1)</f>
        <v>-5922.5</v>
      </c>
      <c r="Y16" s="69" t="n">
        <f aca="false">-Y10*Inputs!$E$64/12*1*(1+Inputs!$E$67)*(1+Inputs!$E$68)^(Y$5-1)</f>
        <v>-5922.5</v>
      </c>
      <c r="Z16" s="69" t="n">
        <f aca="false">-Z10*Inputs!$E$64/12*1*(1+Inputs!$E$67)*(1+Inputs!$E$68)^(Z$5-1)</f>
        <v>-5922.5</v>
      </c>
      <c r="AA16" s="69" t="n">
        <f aca="false">-AA10*Inputs!$E$64/12*1*(1+Inputs!$E$67)*(1+Inputs!$E$68)^(AA$5-1)</f>
        <v>-6100.175</v>
      </c>
      <c r="AB16" s="69" t="n">
        <f aca="false">-AB10*Inputs!$E$64/12*1*(1+Inputs!$E$67)*(1+Inputs!$E$68)^(AB$5-1)</f>
        <v>-6100.175</v>
      </c>
      <c r="AC16" s="69" t="n">
        <f aca="false">-AC10*Inputs!$E$64/12*1*(1+Inputs!$E$67)*(1+Inputs!$E$68)^(AC$5-1)</f>
        <v>-6100.175</v>
      </c>
      <c r="AD16" s="69" t="n">
        <f aca="false">-AD10*Inputs!$E$64/12*1*(1+Inputs!$E$67)*(1+Inputs!$E$68)^(AD$5-1)</f>
        <v>-6100.175</v>
      </c>
      <c r="AE16" s="69" t="n">
        <f aca="false">-AE10*Inputs!$E$64/12*1*(1+Inputs!$E$67)*(1+Inputs!$E$68)^(AE$5-1)</f>
        <v>-6100.175</v>
      </c>
      <c r="AF16" s="69" t="n">
        <f aca="false">-AF10*Inputs!$E$64/12*1*(1+Inputs!$E$67)*(1+Inputs!$E$68)^(AF$5-1)</f>
        <v>-6100.175</v>
      </c>
      <c r="AG16" s="69" t="n">
        <f aca="false">-AG10*Inputs!$E$64/12*1*(1+Inputs!$E$67)*(1+Inputs!$E$68)^(AG$5-1)</f>
        <v>-6100.175</v>
      </c>
      <c r="AH16" s="69" t="n">
        <f aca="false">-AH10*Inputs!$E$64/12*1*(1+Inputs!$E$67)*(1+Inputs!$E$68)^(AH$5-1)</f>
        <v>-6100.175</v>
      </c>
      <c r="AI16" s="69" t="n">
        <f aca="false">-AI10*Inputs!$E$64/12*1*(1+Inputs!$E$67)*(1+Inputs!$E$68)^(AI$5-1)</f>
        <v>-6100.175</v>
      </c>
      <c r="AJ16" s="69" t="n">
        <f aca="false">-AJ10*Inputs!$E$64/12*1*(1+Inputs!$E$67)*(1+Inputs!$E$68)^(AJ$5-1)</f>
        <v>-6100.175</v>
      </c>
      <c r="AK16" s="69" t="n">
        <f aca="false">-AK10*Inputs!$E$64/12*1*(1+Inputs!$E$67)*(1+Inputs!$E$68)^(AK$5-1)</f>
        <v>-6100.175</v>
      </c>
      <c r="AL16" s="69" t="n">
        <f aca="false">-AL10*Inputs!$E$64/12*1*(1+Inputs!$E$67)*(1+Inputs!$E$68)^(AL$5-1)</f>
        <v>-6100.175</v>
      </c>
      <c r="AM16" s="69" t="n">
        <f aca="false">-AM10*Inputs!$E$64/12*1*(1+Inputs!$E$67)*(1+Inputs!$E$68)^(AM$5-1)</f>
        <v>-6283.18025</v>
      </c>
      <c r="AN16" s="69" t="n">
        <f aca="false">-AN10*Inputs!$E$64/12*1*(1+Inputs!$E$67)*(1+Inputs!$E$68)^(AN$5-1)</f>
        <v>-6283.18025</v>
      </c>
      <c r="AO16" s="69" t="n">
        <f aca="false">-AO10*Inputs!$E$64/12*1*(1+Inputs!$E$67)*(1+Inputs!$E$68)^(AO$5-1)</f>
        <v>-6283.18025</v>
      </c>
      <c r="AP16" s="69" t="n">
        <f aca="false">-AP10*Inputs!$E$64/12*1*(1+Inputs!$E$67)*(1+Inputs!$E$68)^(AP$5-1)</f>
        <v>-6283.18025</v>
      </c>
      <c r="AQ16" s="69" t="n">
        <f aca="false">-AQ10*Inputs!$E$64/12*1*(1+Inputs!$E$67)*(1+Inputs!$E$68)^(AQ$5-1)</f>
        <v>-6283.18025</v>
      </c>
      <c r="AR16" s="69" t="n">
        <f aca="false">-AR10*Inputs!$E$64/12*1*(1+Inputs!$E$67)*(1+Inputs!$E$68)^(AR$5-1)</f>
        <v>-6283.18025</v>
      </c>
      <c r="AS16" s="69" t="n">
        <f aca="false">-AS10*Inputs!$E$64/12*1*(1+Inputs!$E$67)*(1+Inputs!$E$68)^(AS$5-1)</f>
        <v>-6283.18025</v>
      </c>
      <c r="AT16" s="69" t="n">
        <f aca="false">-AT10*Inputs!$E$64/12*1*(1+Inputs!$E$67)*(1+Inputs!$E$68)^(AT$5-1)</f>
        <v>-6283.18025</v>
      </c>
      <c r="AU16" s="69" t="n">
        <f aca="false">-AU10*Inputs!$E$64/12*1*(1+Inputs!$E$67)*(1+Inputs!$E$68)^(AU$5-1)</f>
        <v>-6283.18025</v>
      </c>
      <c r="AV16" s="69" t="n">
        <f aca="false">-AV10*Inputs!$E$64/12*1*(1+Inputs!$E$67)*(1+Inputs!$E$68)^(AV$5-1)</f>
        <v>-6283.18025</v>
      </c>
      <c r="AW16" s="69" t="n">
        <f aca="false">-AW10*Inputs!$E$64/12*1*(1+Inputs!$E$67)*(1+Inputs!$E$68)^(AW$5-1)</f>
        <v>-6283.18025</v>
      </c>
      <c r="AX16" s="69" t="n">
        <f aca="false">-AX10*Inputs!$E$64/12*1*(1+Inputs!$E$67)*(1+Inputs!$E$68)^(AX$5-1)</f>
        <v>-6283.18025</v>
      </c>
      <c r="AY16" s="69" t="n">
        <f aca="false">-AY10*Inputs!$E$64/12*1*(1+Inputs!$E$67)*(1+Inputs!$E$68)^(AY$5-1)</f>
        <v>-6471.6756575</v>
      </c>
      <c r="AZ16" s="69" t="n">
        <f aca="false">-AZ10*Inputs!$E$64/12*1*(1+Inputs!$E$67)*(1+Inputs!$E$68)^(AZ$5-1)</f>
        <v>-6471.6756575</v>
      </c>
      <c r="BA16" s="69" t="n">
        <f aca="false">-BA10*Inputs!$E$64/12*1*(1+Inputs!$E$67)*(1+Inputs!$E$68)^(BA$5-1)</f>
        <v>-6471.6756575</v>
      </c>
      <c r="BB16" s="69" t="n">
        <f aca="false">-BB10*Inputs!$E$64/12*1*(1+Inputs!$E$67)*(1+Inputs!$E$68)^(BB$5-1)</f>
        <v>-6471.6756575</v>
      </c>
      <c r="BC16" s="69" t="n">
        <f aca="false">-BC10*Inputs!$E$64/12*1*(1+Inputs!$E$67)*(1+Inputs!$E$68)^(BC$5-1)</f>
        <v>-6471.6756575</v>
      </c>
      <c r="BD16" s="69" t="n">
        <f aca="false">-BD10*Inputs!$E$64/12*1*(1+Inputs!$E$67)*(1+Inputs!$E$68)^(BD$5-1)</f>
        <v>-6471.6756575</v>
      </c>
      <c r="BE16" s="69" t="n">
        <f aca="false">-BE10*Inputs!$E$64/12*1*(1+Inputs!$E$67)*(1+Inputs!$E$68)^(BE$5-1)</f>
        <v>-6471.6756575</v>
      </c>
      <c r="BF16" s="69" t="n">
        <f aca="false">-BF10*Inputs!$E$64/12*1*(1+Inputs!$E$67)*(1+Inputs!$E$68)^(BF$5-1)</f>
        <v>-6471.6756575</v>
      </c>
      <c r="BG16" s="69" t="n">
        <f aca="false">-BG10*Inputs!$E$64/12*1*(1+Inputs!$E$67)*(1+Inputs!$E$68)^(BG$5-1)</f>
        <v>-6471.6756575</v>
      </c>
      <c r="BH16" s="69" t="n">
        <f aca="false">-BH10*Inputs!$E$64/12*1*(1+Inputs!$E$67)*(1+Inputs!$E$68)^(BH$5-1)</f>
        <v>-6471.6756575</v>
      </c>
      <c r="BI16" s="69" t="n">
        <f aca="false">-BI10*Inputs!$E$64/12*1*(1+Inputs!$E$67)*(1+Inputs!$E$68)^(BI$5-1)</f>
        <v>-6471.6756575</v>
      </c>
      <c r="BJ16" s="69" t="n">
        <f aca="false">-BJ10*Inputs!$E$64/12*1*(1+Inputs!$E$67)*(1+Inputs!$E$68)^(BJ$5-1)</f>
        <v>-6471.6756575</v>
      </c>
    </row>
    <row r="17" customFormat="false" ht="15" hidden="false" customHeight="false" outlineLevel="0" collapsed="false">
      <c r="A17" s="115" t="s">
        <v>467</v>
      </c>
      <c r="C17" s="70" t="n">
        <f aca="false">C14+C15+C16</f>
        <v>-19070.8333333333</v>
      </c>
      <c r="D17" s="70" t="n">
        <f aca="false">D14+D15+D16</f>
        <v>-19070.8333333333</v>
      </c>
      <c r="E17" s="70" t="n">
        <f aca="false">E14+E15+E16</f>
        <v>-19070.8333333333</v>
      </c>
      <c r="F17" s="70" t="n">
        <f aca="false">F14+F15+F16</f>
        <v>-19070.8333333333</v>
      </c>
      <c r="G17" s="70" t="n">
        <f aca="false">G14+G15+G16</f>
        <v>-19070.8333333333</v>
      </c>
      <c r="H17" s="70" t="n">
        <f aca="false">H14+H15+H16</f>
        <v>-19070.8333333333</v>
      </c>
      <c r="I17" s="70" t="n">
        <f aca="false">I14+I15+I16</f>
        <v>-19070.8333333333</v>
      </c>
      <c r="J17" s="70" t="n">
        <f aca="false">J14+J15+J16</f>
        <v>-19070.8333333333</v>
      </c>
      <c r="K17" s="70" t="n">
        <f aca="false">K14+K15+K16</f>
        <v>-19070.8333333333</v>
      </c>
      <c r="L17" s="70" t="n">
        <f aca="false">L14+L15+L16</f>
        <v>-19070.8333333333</v>
      </c>
      <c r="M17" s="70" t="n">
        <f aca="false">M14+M15+M16</f>
        <v>-19070.8333333333</v>
      </c>
      <c r="N17" s="70" t="n">
        <f aca="false">N14+N15+N16</f>
        <v>-19070.8333333333</v>
      </c>
      <c r="O17" s="70" t="n">
        <f aca="false">O14+O15+O16</f>
        <v>-19642.9583333333</v>
      </c>
      <c r="P17" s="70" t="n">
        <f aca="false">P14+P15+P16</f>
        <v>-19642.9583333333</v>
      </c>
      <c r="Q17" s="70" t="n">
        <f aca="false">Q14+Q15+Q16</f>
        <v>-19642.9583333333</v>
      </c>
      <c r="R17" s="70" t="n">
        <f aca="false">R14+R15+R16</f>
        <v>-19642.9583333333</v>
      </c>
      <c r="S17" s="70" t="n">
        <f aca="false">S14+S15+S16</f>
        <v>-19642.9583333333</v>
      </c>
      <c r="T17" s="70" t="n">
        <f aca="false">T14+T15+T16</f>
        <v>-19642.9583333333</v>
      </c>
      <c r="U17" s="70" t="n">
        <f aca="false">U14+U15+U16</f>
        <v>-19642.9583333333</v>
      </c>
      <c r="V17" s="70" t="n">
        <f aca="false">V14+V15+V16</f>
        <v>-19642.9583333333</v>
      </c>
      <c r="W17" s="70" t="n">
        <f aca="false">W14+W15+W16</f>
        <v>-19642.9583333333</v>
      </c>
      <c r="X17" s="70" t="n">
        <f aca="false">X14+X15+X16</f>
        <v>-19642.9583333333</v>
      </c>
      <c r="Y17" s="70" t="n">
        <f aca="false">Y14+Y15+Y16</f>
        <v>-19642.9583333333</v>
      </c>
      <c r="Z17" s="70" t="n">
        <f aca="false">Z14+Z15+Z16</f>
        <v>-19642.9583333333</v>
      </c>
      <c r="AA17" s="70" t="n">
        <f aca="false">AA14+AA15+AA16</f>
        <v>-20232.2470833333</v>
      </c>
      <c r="AB17" s="70" t="n">
        <f aca="false">AB14+AB15+AB16</f>
        <v>-20232.2470833333</v>
      </c>
      <c r="AC17" s="70" t="n">
        <f aca="false">AC14+AC15+AC16</f>
        <v>-20232.2470833333</v>
      </c>
      <c r="AD17" s="70" t="n">
        <f aca="false">AD14+AD15+AD16</f>
        <v>-20232.2470833333</v>
      </c>
      <c r="AE17" s="70" t="n">
        <f aca="false">AE14+AE15+AE16</f>
        <v>-20232.2470833333</v>
      </c>
      <c r="AF17" s="70" t="n">
        <f aca="false">AF14+AF15+AF16</f>
        <v>-20232.2470833333</v>
      </c>
      <c r="AG17" s="70" t="n">
        <f aca="false">AG14+AG15+AG16</f>
        <v>-20232.2470833333</v>
      </c>
      <c r="AH17" s="70" t="n">
        <f aca="false">AH14+AH15+AH16</f>
        <v>-20232.2470833333</v>
      </c>
      <c r="AI17" s="70" t="n">
        <f aca="false">AI14+AI15+AI16</f>
        <v>-20232.2470833333</v>
      </c>
      <c r="AJ17" s="70" t="n">
        <f aca="false">AJ14+AJ15+AJ16</f>
        <v>-20232.2470833333</v>
      </c>
      <c r="AK17" s="70" t="n">
        <f aca="false">AK14+AK15+AK16</f>
        <v>-20232.2470833333</v>
      </c>
      <c r="AL17" s="70" t="n">
        <f aca="false">AL14+AL15+AL16</f>
        <v>-20232.2470833333</v>
      </c>
      <c r="AM17" s="70" t="n">
        <f aca="false">AM14+AM15+AM16</f>
        <v>-20839.2144958333</v>
      </c>
      <c r="AN17" s="70" t="n">
        <f aca="false">AN14+AN15+AN16</f>
        <v>-20839.2144958333</v>
      </c>
      <c r="AO17" s="70" t="n">
        <f aca="false">AO14+AO15+AO16</f>
        <v>-20839.2144958333</v>
      </c>
      <c r="AP17" s="70" t="n">
        <f aca="false">AP14+AP15+AP16</f>
        <v>-20839.2144958333</v>
      </c>
      <c r="AQ17" s="70" t="n">
        <f aca="false">AQ14+AQ15+AQ16</f>
        <v>-20839.2144958333</v>
      </c>
      <c r="AR17" s="70" t="n">
        <f aca="false">AR14+AR15+AR16</f>
        <v>-20839.2144958333</v>
      </c>
      <c r="AS17" s="70" t="n">
        <f aca="false">AS14+AS15+AS16</f>
        <v>-20839.2144958333</v>
      </c>
      <c r="AT17" s="70" t="n">
        <f aca="false">AT14+AT15+AT16</f>
        <v>-20839.2144958333</v>
      </c>
      <c r="AU17" s="70" t="n">
        <f aca="false">AU14+AU15+AU16</f>
        <v>-20839.2144958333</v>
      </c>
      <c r="AV17" s="70" t="n">
        <f aca="false">AV14+AV15+AV16</f>
        <v>-20839.2144958333</v>
      </c>
      <c r="AW17" s="70" t="n">
        <f aca="false">AW14+AW15+AW16</f>
        <v>-20839.2144958333</v>
      </c>
      <c r="AX17" s="70" t="n">
        <f aca="false">AX14+AX15+AX16</f>
        <v>-20839.2144958333</v>
      </c>
      <c r="AY17" s="70" t="n">
        <f aca="false">AY14+AY15+AY16</f>
        <v>-21464.3909307083</v>
      </c>
      <c r="AZ17" s="70" t="n">
        <f aca="false">AZ14+AZ15+AZ16</f>
        <v>-21464.3909307083</v>
      </c>
      <c r="BA17" s="70" t="n">
        <f aca="false">BA14+BA15+BA16</f>
        <v>-21464.3909307083</v>
      </c>
      <c r="BB17" s="70" t="n">
        <f aca="false">BB14+BB15+BB16</f>
        <v>-21464.3909307083</v>
      </c>
      <c r="BC17" s="70" t="n">
        <f aca="false">BC14+BC15+BC16</f>
        <v>-21464.3909307083</v>
      </c>
      <c r="BD17" s="70" t="n">
        <f aca="false">BD14+BD15+BD16</f>
        <v>-21464.3909307083</v>
      </c>
      <c r="BE17" s="70" t="n">
        <f aca="false">BE14+BE15+BE16</f>
        <v>-21464.3909307083</v>
      </c>
      <c r="BF17" s="70" t="n">
        <f aca="false">BF14+BF15+BF16</f>
        <v>-21464.3909307083</v>
      </c>
      <c r="BG17" s="70" t="n">
        <f aca="false">BG14+BG15+BG16</f>
        <v>-21464.3909307083</v>
      </c>
      <c r="BH17" s="70" t="n">
        <f aca="false">BH14+BH15+BH16</f>
        <v>-21464.3909307083</v>
      </c>
      <c r="BI17" s="70" t="n">
        <f aca="false">BI14+BI15+BI16</f>
        <v>-21464.3909307083</v>
      </c>
      <c r="BJ17" s="70" t="n">
        <f aca="false">BJ14+BJ15+BJ16</f>
        <v>-21464.3909307083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7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469</v>
      </c>
    </row>
    <row r="4" customFormat="false" ht="15.75" hidden="false" customHeight="true" outlineLevel="0" collapsed="false">
      <c r="A4" s="7" t="s">
        <v>470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351</v>
      </c>
      <c r="C5" s="52" t="s">
        <v>352</v>
      </c>
      <c r="D5" s="52" t="s">
        <v>353</v>
      </c>
      <c r="E5" s="52" t="s">
        <v>354</v>
      </c>
      <c r="F5" s="52" t="s">
        <v>355</v>
      </c>
      <c r="G5" s="52" t="s">
        <v>356</v>
      </c>
      <c r="H5" s="52" t="s">
        <v>357</v>
      </c>
      <c r="I5" s="52" t="s">
        <v>358</v>
      </c>
      <c r="J5" s="52" t="s">
        <v>359</v>
      </c>
      <c r="K5" s="52" t="s">
        <v>360</v>
      </c>
      <c r="L5" s="52" t="s">
        <v>361</v>
      </c>
      <c r="M5" s="52" t="s">
        <v>362</v>
      </c>
      <c r="N5" s="52" t="s">
        <v>363</v>
      </c>
      <c r="O5" s="52" t="s">
        <v>364</v>
      </c>
      <c r="P5" s="52" t="s">
        <v>365</v>
      </c>
      <c r="Q5" s="52" t="s">
        <v>366</v>
      </c>
      <c r="R5" s="52" t="s">
        <v>367</v>
      </c>
      <c r="S5" s="52" t="s">
        <v>368</v>
      </c>
      <c r="T5" s="52" t="s">
        <v>369</v>
      </c>
      <c r="U5" s="52" t="s">
        <v>370</v>
      </c>
      <c r="V5" s="52" t="s">
        <v>371</v>
      </c>
      <c r="W5" s="52" t="s">
        <v>372</v>
      </c>
      <c r="X5" s="52" t="s">
        <v>373</v>
      </c>
      <c r="Y5" s="52" t="s">
        <v>374</v>
      </c>
      <c r="Z5" s="52" t="s">
        <v>375</v>
      </c>
      <c r="AA5" s="52" t="s">
        <v>376</v>
      </c>
      <c r="AB5" s="52" t="s">
        <v>377</v>
      </c>
      <c r="AC5" s="52" t="s">
        <v>378</v>
      </c>
      <c r="AD5" s="52" t="s">
        <v>379</v>
      </c>
      <c r="AE5" s="52" t="s">
        <v>380</v>
      </c>
      <c r="AF5" s="52" t="s">
        <v>381</v>
      </c>
      <c r="AG5" s="52" t="s">
        <v>382</v>
      </c>
      <c r="AH5" s="52" t="s">
        <v>383</v>
      </c>
      <c r="AI5" s="52" t="s">
        <v>384</v>
      </c>
      <c r="AJ5" s="52" t="s">
        <v>385</v>
      </c>
      <c r="AK5" s="52" t="s">
        <v>386</v>
      </c>
      <c r="AL5" s="52" t="s">
        <v>387</v>
      </c>
      <c r="AM5" s="52" t="s">
        <v>388</v>
      </c>
      <c r="AN5" s="52" t="s">
        <v>389</v>
      </c>
      <c r="AO5" s="52" t="s">
        <v>390</v>
      </c>
      <c r="AP5" s="52" t="s">
        <v>391</v>
      </c>
      <c r="AQ5" s="52" t="s">
        <v>392</v>
      </c>
      <c r="AR5" s="52" t="s">
        <v>393</v>
      </c>
      <c r="AS5" s="52" t="s">
        <v>394</v>
      </c>
      <c r="AT5" s="52" t="s">
        <v>395</v>
      </c>
      <c r="AU5" s="52" t="s">
        <v>396</v>
      </c>
      <c r="AV5" s="52" t="s">
        <v>397</v>
      </c>
      <c r="AW5" s="52" t="s">
        <v>398</v>
      </c>
      <c r="AX5" s="52" t="s">
        <v>399</v>
      </c>
      <c r="AY5" s="52" t="s">
        <v>400</v>
      </c>
      <c r="AZ5" s="52" t="s">
        <v>401</v>
      </c>
      <c r="BA5" s="52" t="s">
        <v>402</v>
      </c>
      <c r="BB5" s="52" t="s">
        <v>403</v>
      </c>
      <c r="BC5" s="52" t="s">
        <v>404</v>
      </c>
      <c r="BD5" s="52" t="s">
        <v>405</v>
      </c>
      <c r="BE5" s="52" t="s">
        <v>406</v>
      </c>
      <c r="BF5" s="52" t="s">
        <v>407</v>
      </c>
      <c r="BG5" s="52" t="s">
        <v>408</v>
      </c>
      <c r="BH5" s="52" t="s">
        <v>409</v>
      </c>
      <c r="BI5" s="52" t="s">
        <v>410</v>
      </c>
      <c r="BJ5" s="52" t="s">
        <v>411</v>
      </c>
    </row>
    <row r="6" customFormat="false" ht="15" hidden="false" customHeight="false" outlineLevel="0" collapsed="false">
      <c r="A6" s="74" t="s">
        <v>412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  <c r="AM6" s="74" t="n">
        <v>37</v>
      </c>
      <c r="AN6" s="74" t="n">
        <v>38</v>
      </c>
      <c r="AO6" s="74" t="n">
        <v>39</v>
      </c>
      <c r="AP6" s="74" t="n">
        <v>40</v>
      </c>
      <c r="AQ6" s="74" t="n">
        <v>41</v>
      </c>
      <c r="AR6" s="74" t="n">
        <v>42</v>
      </c>
      <c r="AS6" s="74" t="n">
        <v>43</v>
      </c>
      <c r="AT6" s="74" t="n">
        <v>44</v>
      </c>
      <c r="AU6" s="74" t="n">
        <v>45</v>
      </c>
      <c r="AV6" s="74" t="n">
        <v>46</v>
      </c>
      <c r="AW6" s="74" t="n">
        <v>47</v>
      </c>
      <c r="AX6" s="74" t="n">
        <v>48</v>
      </c>
      <c r="AY6" s="74" t="n">
        <v>49</v>
      </c>
      <c r="AZ6" s="74" t="n">
        <v>50</v>
      </c>
      <c r="BA6" s="74" t="n">
        <v>51</v>
      </c>
      <c r="BB6" s="74" t="n">
        <v>52</v>
      </c>
      <c r="BC6" s="74" t="n">
        <v>53</v>
      </c>
      <c r="BD6" s="74" t="n">
        <v>54</v>
      </c>
      <c r="BE6" s="74" t="n">
        <v>55</v>
      </c>
      <c r="BF6" s="74" t="n">
        <v>56</v>
      </c>
      <c r="BG6" s="74" t="n">
        <v>57</v>
      </c>
      <c r="BH6" s="74" t="n">
        <v>58</v>
      </c>
      <c r="BI6" s="74" t="n">
        <v>59</v>
      </c>
      <c r="BJ6" s="74" t="n">
        <v>60</v>
      </c>
    </row>
    <row r="7" customFormat="false" ht="15" hidden="false" customHeight="false" outlineLevel="0" collapsed="false">
      <c r="A7" s="74" t="s">
        <v>154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  <c r="AM7" s="74" t="n">
        <f aca="false">ROUNDUP(AM6*1/12,0)</f>
        <v>4</v>
      </c>
      <c r="AN7" s="74" t="n">
        <f aca="false">ROUNDUP(AN6*1/12,0)</f>
        <v>4</v>
      </c>
      <c r="AO7" s="74" t="n">
        <f aca="false">ROUNDUP(AO6*1/12,0)</f>
        <v>4</v>
      </c>
      <c r="AP7" s="74" t="n">
        <f aca="false">ROUNDUP(AP6*1/12,0)</f>
        <v>4</v>
      </c>
      <c r="AQ7" s="74" t="n">
        <f aca="false">ROUNDUP(AQ6*1/12,0)</f>
        <v>4</v>
      </c>
      <c r="AR7" s="74" t="n">
        <f aca="false">ROUNDUP(AR6*1/12,0)</f>
        <v>4</v>
      </c>
      <c r="AS7" s="74" t="n">
        <f aca="false">ROUNDUP(AS6*1/12,0)</f>
        <v>4</v>
      </c>
      <c r="AT7" s="74" t="n">
        <f aca="false">ROUNDUP(AT6*1/12,0)</f>
        <v>4</v>
      </c>
      <c r="AU7" s="74" t="n">
        <f aca="false">ROUNDUP(AU6*1/12,0)</f>
        <v>4</v>
      </c>
      <c r="AV7" s="74" t="n">
        <f aca="false">ROUNDUP(AV6*1/12,0)</f>
        <v>4</v>
      </c>
      <c r="AW7" s="74" t="n">
        <f aca="false">ROUNDUP(AW6*1/12,0)</f>
        <v>4</v>
      </c>
      <c r="AX7" s="74" t="n">
        <f aca="false">ROUNDUP(AX6*1/12,0)</f>
        <v>4</v>
      </c>
      <c r="AY7" s="74" t="n">
        <f aca="false">ROUNDUP(AY6*1/12,0)</f>
        <v>5</v>
      </c>
      <c r="AZ7" s="74" t="n">
        <f aca="false">ROUNDUP(AZ6*1/12,0)</f>
        <v>5</v>
      </c>
      <c r="BA7" s="74" t="n">
        <f aca="false">ROUNDUP(BA6*1/12,0)</f>
        <v>5</v>
      </c>
      <c r="BB7" s="74" t="n">
        <f aca="false">ROUNDUP(BB6*1/12,0)</f>
        <v>5</v>
      </c>
      <c r="BC7" s="74" t="n">
        <f aca="false">ROUNDUP(BC6*1/12,0)</f>
        <v>5</v>
      </c>
      <c r="BD7" s="74" t="n">
        <f aca="false">ROUNDUP(BD6*1/12,0)</f>
        <v>5</v>
      </c>
      <c r="BE7" s="74" t="n">
        <f aca="false">ROUNDUP(BE6*1/12,0)</f>
        <v>5</v>
      </c>
      <c r="BF7" s="74" t="n">
        <f aca="false">ROUNDUP(BF6*1/12,0)</f>
        <v>5</v>
      </c>
      <c r="BG7" s="74" t="n">
        <f aca="false">ROUNDUP(BG6*1/12,0)</f>
        <v>5</v>
      </c>
      <c r="BH7" s="74" t="n">
        <f aca="false">ROUNDUP(BH6*1/12,0)</f>
        <v>5</v>
      </c>
      <c r="BI7" s="74" t="n">
        <f aca="false">ROUNDUP(BI6*1/12,0)</f>
        <v>5</v>
      </c>
      <c r="BJ7" s="74" t="n">
        <f aca="false">ROUNDUP(BJ6*1/12,0)</f>
        <v>5</v>
      </c>
    </row>
    <row r="9" customFormat="false" ht="15.75" hidden="false" customHeight="true" outlineLevel="0" collapsed="false">
      <c r="A9" s="7" t="s">
        <v>249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8" t="s">
        <v>413</v>
      </c>
      <c r="C10" s="119" t="n">
        <f aca="false">MAX(0,MIN(1,Inputs!$B$10-(C$6-1)*1))</f>
        <v>1</v>
      </c>
      <c r="D10" s="119" t="n">
        <f aca="false">MAX(0,MIN(1,Inputs!$B$10-(D$6-1)*1))</f>
        <v>1</v>
      </c>
      <c r="E10" s="119" t="n">
        <f aca="false">MAX(0,MIN(1,Inputs!$B$10-(E$6-1)*1))</f>
        <v>1</v>
      </c>
      <c r="F10" s="119" t="n">
        <f aca="false">MAX(0,MIN(1,Inputs!$B$10-(F$6-1)*1))</f>
        <v>1</v>
      </c>
      <c r="G10" s="119" t="n">
        <f aca="false">MAX(0,MIN(1,Inputs!$B$10-(G$6-1)*1))</f>
        <v>1</v>
      </c>
      <c r="H10" s="119" t="n">
        <f aca="false">MAX(0,MIN(1,Inputs!$B$10-(H$6-1)*1))</f>
        <v>1</v>
      </c>
      <c r="I10" s="119" t="n">
        <f aca="false">MAX(0,MIN(1,Inputs!$B$10-(I$6-1)*1))</f>
        <v>1</v>
      </c>
      <c r="J10" s="119" t="n">
        <f aca="false">MAX(0,MIN(1,Inputs!$B$10-(J$6-1)*1))</f>
        <v>1</v>
      </c>
      <c r="K10" s="119" t="n">
        <f aca="false">MAX(0,MIN(1,Inputs!$B$10-(K$6-1)*1))</f>
        <v>1</v>
      </c>
      <c r="L10" s="119" t="n">
        <f aca="false">MAX(0,MIN(1,Inputs!$B$10-(L$6-1)*1))</f>
        <v>1</v>
      </c>
      <c r="M10" s="119" t="n">
        <f aca="false">MAX(0,MIN(1,Inputs!$B$10-(M$6-1)*1))</f>
        <v>1</v>
      </c>
      <c r="N10" s="119" t="n">
        <f aca="false">MAX(0,MIN(1,Inputs!$B$10-(N$6-1)*1))</f>
        <v>1</v>
      </c>
      <c r="O10" s="119" t="n">
        <f aca="false">MAX(0,MIN(1,Inputs!$B$10-(O$6-1)*1))</f>
        <v>1</v>
      </c>
      <c r="P10" s="119" t="n">
        <f aca="false">MAX(0,MIN(1,Inputs!$B$10-(P$6-1)*1))</f>
        <v>1</v>
      </c>
      <c r="Q10" s="119" t="n">
        <f aca="false">MAX(0,MIN(1,Inputs!$B$10-(Q$6-1)*1))</f>
        <v>0</v>
      </c>
      <c r="R10" s="119" t="n">
        <f aca="false">MAX(0,MIN(1,Inputs!$B$10-(R$6-1)*1))</f>
        <v>0</v>
      </c>
      <c r="S10" s="119" t="n">
        <f aca="false">MAX(0,MIN(1,Inputs!$B$10-(S$6-1)*1))</f>
        <v>0</v>
      </c>
      <c r="T10" s="119" t="n">
        <f aca="false">MAX(0,MIN(1,Inputs!$B$10-(T$6-1)*1))</f>
        <v>0</v>
      </c>
      <c r="U10" s="119" t="n">
        <f aca="false">MAX(0,MIN(1,Inputs!$B$10-(U$6-1)*1))</f>
        <v>0</v>
      </c>
      <c r="V10" s="119" t="n">
        <f aca="false">MAX(0,MIN(1,Inputs!$B$10-(V$6-1)*1))</f>
        <v>0</v>
      </c>
      <c r="W10" s="119" t="n">
        <f aca="false">MAX(0,MIN(1,Inputs!$B$10-(W$6-1)*1))</f>
        <v>0</v>
      </c>
      <c r="X10" s="119" t="n">
        <f aca="false">MAX(0,MIN(1,Inputs!$B$10-(X$6-1)*1))</f>
        <v>0</v>
      </c>
      <c r="Y10" s="119" t="n">
        <f aca="false">MAX(0,MIN(1,Inputs!$B$10-(Y$6-1)*1))</f>
        <v>0</v>
      </c>
      <c r="Z10" s="119" t="n">
        <f aca="false">MAX(0,MIN(1,Inputs!$B$10-(Z$6-1)*1))</f>
        <v>0</v>
      </c>
      <c r="AA10" s="119" t="n">
        <f aca="false">MAX(0,MIN(1,Inputs!$B$10-(AA$6-1)*1))</f>
        <v>0</v>
      </c>
      <c r="AB10" s="119" t="n">
        <f aca="false">MAX(0,MIN(1,Inputs!$B$10-(AB$6-1)*1))</f>
        <v>0</v>
      </c>
      <c r="AC10" s="119" t="n">
        <f aca="false">MAX(0,MIN(1,Inputs!$B$10-(AC$6-1)*1))</f>
        <v>0</v>
      </c>
      <c r="AD10" s="119" t="n">
        <f aca="false">MAX(0,MIN(1,Inputs!$B$10-(AD$6-1)*1))</f>
        <v>0</v>
      </c>
      <c r="AE10" s="119" t="n">
        <f aca="false">MAX(0,MIN(1,Inputs!$B$10-(AE$6-1)*1))</f>
        <v>0</v>
      </c>
      <c r="AF10" s="119" t="n">
        <f aca="false">MAX(0,MIN(1,Inputs!$B$10-(AF$6-1)*1))</f>
        <v>0</v>
      </c>
      <c r="AG10" s="119" t="n">
        <f aca="false">MAX(0,MIN(1,Inputs!$B$10-(AG$6-1)*1))</f>
        <v>0</v>
      </c>
      <c r="AH10" s="119" t="n">
        <f aca="false">MAX(0,MIN(1,Inputs!$B$10-(AH$6-1)*1))</f>
        <v>0</v>
      </c>
      <c r="AI10" s="119" t="n">
        <f aca="false">MAX(0,MIN(1,Inputs!$B$10-(AI$6-1)*1))</f>
        <v>0</v>
      </c>
      <c r="AJ10" s="119" t="n">
        <f aca="false">MAX(0,MIN(1,Inputs!$B$10-(AJ$6-1)*1))</f>
        <v>0</v>
      </c>
      <c r="AK10" s="119" t="n">
        <f aca="false">MAX(0,MIN(1,Inputs!$B$10-(AK$6-1)*1))</f>
        <v>0</v>
      </c>
      <c r="AL10" s="119" t="n">
        <f aca="false">MAX(0,MIN(1,Inputs!$B$10-(AL$6-1)*1))</f>
        <v>0</v>
      </c>
      <c r="AM10" s="119" t="n">
        <f aca="false">MAX(0,MIN(1,Inputs!$B$10-(AM$6-1)*1))</f>
        <v>0</v>
      </c>
      <c r="AN10" s="119" t="n">
        <f aca="false">MAX(0,MIN(1,Inputs!$B$10-(AN$6-1)*1))</f>
        <v>0</v>
      </c>
      <c r="AO10" s="119" t="n">
        <f aca="false">MAX(0,MIN(1,Inputs!$B$10-(AO$6-1)*1))</f>
        <v>0</v>
      </c>
      <c r="AP10" s="119" t="n">
        <f aca="false">MAX(0,MIN(1,Inputs!$B$10-(AP$6-1)*1))</f>
        <v>0</v>
      </c>
      <c r="AQ10" s="119" t="n">
        <f aca="false">MAX(0,MIN(1,Inputs!$B$10-(AQ$6-1)*1))</f>
        <v>0</v>
      </c>
      <c r="AR10" s="119" t="n">
        <f aca="false">MAX(0,MIN(1,Inputs!$B$10-(AR$6-1)*1))</f>
        <v>0</v>
      </c>
      <c r="AS10" s="119" t="n">
        <f aca="false">MAX(0,MIN(1,Inputs!$B$10-(AS$6-1)*1))</f>
        <v>0</v>
      </c>
      <c r="AT10" s="119" t="n">
        <f aca="false">MAX(0,MIN(1,Inputs!$B$10-(AT$6-1)*1))</f>
        <v>0</v>
      </c>
      <c r="AU10" s="119" t="n">
        <f aca="false">MAX(0,MIN(1,Inputs!$B$10-(AU$6-1)*1))</f>
        <v>0</v>
      </c>
      <c r="AV10" s="119" t="n">
        <f aca="false">MAX(0,MIN(1,Inputs!$B$10-(AV$6-1)*1))</f>
        <v>0</v>
      </c>
      <c r="AW10" s="119" t="n">
        <f aca="false">MAX(0,MIN(1,Inputs!$B$10-(AW$6-1)*1))</f>
        <v>0</v>
      </c>
      <c r="AX10" s="119" t="n">
        <f aca="false">MAX(0,MIN(1,Inputs!$B$10-(AX$6-1)*1))</f>
        <v>0</v>
      </c>
      <c r="AY10" s="119" t="n">
        <f aca="false">MAX(0,MIN(1,Inputs!$B$10-(AY$6-1)*1))</f>
        <v>0</v>
      </c>
      <c r="AZ10" s="119" t="n">
        <f aca="false">MAX(0,MIN(1,Inputs!$B$10-(AZ$6-1)*1))</f>
        <v>0</v>
      </c>
      <c r="BA10" s="119" t="n">
        <f aca="false">MAX(0,MIN(1,Inputs!$B$10-(BA$6-1)*1))</f>
        <v>0</v>
      </c>
      <c r="BB10" s="119" t="n">
        <f aca="false">MAX(0,MIN(1,Inputs!$B$10-(BB$6-1)*1))</f>
        <v>0</v>
      </c>
      <c r="BC10" s="119" t="n">
        <f aca="false">MAX(0,MIN(1,Inputs!$B$10-(BC$6-1)*1))</f>
        <v>0</v>
      </c>
      <c r="BD10" s="119" t="n">
        <f aca="false">MAX(0,MIN(1,Inputs!$B$10-(BD$6-1)*1))</f>
        <v>0</v>
      </c>
      <c r="BE10" s="119" t="n">
        <f aca="false">MAX(0,MIN(1,Inputs!$B$10-(BE$6-1)*1))</f>
        <v>0</v>
      </c>
      <c r="BF10" s="119" t="n">
        <f aca="false">MAX(0,MIN(1,Inputs!$B$10-(BF$6-1)*1))</f>
        <v>0</v>
      </c>
      <c r="BG10" s="119" t="n">
        <f aca="false">MAX(0,MIN(1,Inputs!$B$10-(BG$6-1)*1))</f>
        <v>0</v>
      </c>
      <c r="BH10" s="119" t="n">
        <f aca="false">MAX(0,MIN(1,Inputs!$B$10-(BH$6-1)*1))</f>
        <v>0</v>
      </c>
      <c r="BI10" s="119" t="n">
        <f aca="false">MAX(0,MIN(1,Inputs!$B$10-(BI$6-1)*1))</f>
        <v>0</v>
      </c>
      <c r="BJ10" s="119" t="n">
        <f aca="false">MAX(0,MIN(1,Inputs!$B$10-(BJ$6-1)*1))</f>
        <v>0</v>
      </c>
    </row>
    <row r="11" customFormat="false" ht="15" hidden="false" customHeight="false" outlineLevel="0" collapsed="false">
      <c r="A11" s="38" t="s">
        <v>414</v>
      </c>
      <c r="C11" s="76" t="n">
        <f aca="false">IF(Inputs!$B$10&lt;=0,1,(C10*Inputs!$B$11+(1-Inputs!$B$11)/MAX(1,Inputs!$B$10)*(C10*(C$6-1)*1+C10*(C10-1)/2)+1-C10)/1)</f>
        <v>0.3</v>
      </c>
      <c r="D11" s="76" t="n">
        <f aca="false">IF(Inputs!$B$10&lt;=0,1,(D10*Inputs!$B$11+(1-Inputs!$B$11)/MAX(1,Inputs!$B$10)*(D10*(D$6-1)*1+D10*(D10-1)/2)+1-D10)/1)</f>
        <v>0.35</v>
      </c>
      <c r="E11" s="76" t="n">
        <f aca="false">IF(Inputs!$B$10&lt;=0,1,(E10*Inputs!$B$11+(1-Inputs!$B$11)/MAX(1,Inputs!$B$10)*(E10*(E$6-1)*1+E10*(E10-1)/2)+1-E10)/1)</f>
        <v>0.4</v>
      </c>
      <c r="F11" s="76" t="n">
        <f aca="false">IF(Inputs!$B$10&lt;=0,1,(F10*Inputs!$B$11+(1-Inputs!$B$11)/MAX(1,Inputs!$B$10)*(F10*(F$6-1)*1+F10*(F10-1)/2)+1-F10)/1)</f>
        <v>0.45</v>
      </c>
      <c r="G11" s="76" t="n">
        <f aca="false">IF(Inputs!$B$10&lt;=0,1,(G10*Inputs!$B$11+(1-Inputs!$B$11)/MAX(1,Inputs!$B$10)*(G10*(G$6-1)*1+G10*(G10-1)/2)+1-G10)/1)</f>
        <v>0.5</v>
      </c>
      <c r="H11" s="76" t="n">
        <f aca="false">IF(Inputs!$B$10&lt;=0,1,(H10*Inputs!$B$11+(1-Inputs!$B$11)/MAX(1,Inputs!$B$10)*(H10*(H$6-1)*1+H10*(H10-1)/2)+1-H10)/1)</f>
        <v>0.55</v>
      </c>
      <c r="I11" s="76" t="n">
        <f aca="false">IF(Inputs!$B$10&lt;=0,1,(I10*Inputs!$B$11+(1-Inputs!$B$11)/MAX(1,Inputs!$B$10)*(I10*(I$6-1)*1+I10*(I10-1)/2)+1-I10)/1)</f>
        <v>0.6</v>
      </c>
      <c r="J11" s="76" t="n">
        <f aca="false">IF(Inputs!$B$10&lt;=0,1,(J10*Inputs!$B$11+(1-Inputs!$B$11)/MAX(1,Inputs!$B$10)*(J10*(J$6-1)*1+J10*(J10-1)/2)+1-J10)/1)</f>
        <v>0.65</v>
      </c>
      <c r="K11" s="76" t="n">
        <f aca="false">IF(Inputs!$B$10&lt;=0,1,(K10*Inputs!$B$11+(1-Inputs!$B$11)/MAX(1,Inputs!$B$10)*(K10*(K$6-1)*1+K10*(K10-1)/2)+1-K10)/1)</f>
        <v>0.7</v>
      </c>
      <c r="L11" s="76" t="n">
        <f aca="false">IF(Inputs!$B$10&lt;=0,1,(L10*Inputs!$B$11+(1-Inputs!$B$11)/MAX(1,Inputs!$B$10)*(L10*(L$6-1)*1+L10*(L10-1)/2)+1-L10)/1)</f>
        <v>0.75</v>
      </c>
      <c r="M11" s="76" t="n">
        <f aca="false">IF(Inputs!$B$10&lt;=0,1,(M10*Inputs!$B$11+(1-Inputs!$B$11)/MAX(1,Inputs!$B$10)*(M10*(M$6-1)*1+M10*(M10-1)/2)+1-M10)/1)</f>
        <v>0.8</v>
      </c>
      <c r="N11" s="76" t="n">
        <f aca="false">IF(Inputs!$B$10&lt;=0,1,(N10*Inputs!$B$11+(1-Inputs!$B$11)/MAX(1,Inputs!$B$10)*(N10*(N$6-1)*1+N10*(N10-1)/2)+1-N10)/1)</f>
        <v>0.85</v>
      </c>
      <c r="O11" s="76" t="n">
        <f aca="false">IF(Inputs!$B$10&lt;=0,1,(O10*Inputs!$B$11+(1-Inputs!$B$11)/MAX(1,Inputs!$B$10)*(O10*(O$6-1)*1+O10*(O10-1)/2)+1-O10)/1)</f>
        <v>0.9</v>
      </c>
      <c r="P11" s="76" t="n">
        <f aca="false">IF(Inputs!$B$10&lt;=0,1,(P10*Inputs!$B$11+(1-Inputs!$B$11)/MAX(1,Inputs!$B$10)*(P10*(P$6-1)*1+P10*(P10-1)/2)+1-P10)/1)</f>
        <v>0.95</v>
      </c>
      <c r="Q11" s="76" t="n">
        <f aca="false">IF(Inputs!$B$10&lt;=0,1,(Q10*Inputs!$B$11+(1-Inputs!$B$11)/MAX(1,Inputs!$B$10)*(Q10*(Q$6-1)*1+Q10*(Q10-1)/2)+1-Q10)/1)</f>
        <v>1</v>
      </c>
      <c r="R11" s="76" t="n">
        <f aca="false">IF(Inputs!$B$10&lt;=0,1,(R10*Inputs!$B$11+(1-Inputs!$B$11)/MAX(1,Inputs!$B$10)*(R10*(R$6-1)*1+R10*(R10-1)/2)+1-R10)/1)</f>
        <v>1</v>
      </c>
      <c r="S11" s="76" t="n">
        <f aca="false">IF(Inputs!$B$10&lt;=0,1,(S10*Inputs!$B$11+(1-Inputs!$B$11)/MAX(1,Inputs!$B$10)*(S10*(S$6-1)*1+S10*(S10-1)/2)+1-S10)/1)</f>
        <v>1</v>
      </c>
      <c r="T11" s="76" t="n">
        <f aca="false">IF(Inputs!$B$10&lt;=0,1,(T10*Inputs!$B$11+(1-Inputs!$B$11)/MAX(1,Inputs!$B$10)*(T10*(T$6-1)*1+T10*(T10-1)/2)+1-T10)/1)</f>
        <v>1</v>
      </c>
      <c r="U11" s="76" t="n">
        <f aca="false">IF(Inputs!$B$10&lt;=0,1,(U10*Inputs!$B$11+(1-Inputs!$B$11)/MAX(1,Inputs!$B$10)*(U10*(U$6-1)*1+U10*(U10-1)/2)+1-U10)/1)</f>
        <v>1</v>
      </c>
      <c r="V11" s="76" t="n">
        <f aca="false">IF(Inputs!$B$10&lt;=0,1,(V10*Inputs!$B$11+(1-Inputs!$B$11)/MAX(1,Inputs!$B$10)*(V10*(V$6-1)*1+V10*(V10-1)/2)+1-V10)/1)</f>
        <v>1</v>
      </c>
      <c r="W11" s="76" t="n">
        <f aca="false">IF(Inputs!$B$10&lt;=0,1,(W10*Inputs!$B$11+(1-Inputs!$B$11)/MAX(1,Inputs!$B$10)*(W10*(W$6-1)*1+W10*(W10-1)/2)+1-W10)/1)</f>
        <v>1</v>
      </c>
      <c r="X11" s="76" t="n">
        <f aca="false">IF(Inputs!$B$10&lt;=0,1,(X10*Inputs!$B$11+(1-Inputs!$B$11)/MAX(1,Inputs!$B$10)*(X10*(X$6-1)*1+X10*(X10-1)/2)+1-X10)/1)</f>
        <v>1</v>
      </c>
      <c r="Y11" s="76" t="n">
        <f aca="false">IF(Inputs!$B$10&lt;=0,1,(Y10*Inputs!$B$11+(1-Inputs!$B$11)/MAX(1,Inputs!$B$10)*(Y10*(Y$6-1)*1+Y10*(Y10-1)/2)+1-Y10)/1)</f>
        <v>1</v>
      </c>
      <c r="Z11" s="76" t="n">
        <f aca="false">IF(Inputs!$B$10&lt;=0,1,(Z10*Inputs!$B$11+(1-Inputs!$B$11)/MAX(1,Inputs!$B$10)*(Z10*(Z$6-1)*1+Z10*(Z10-1)/2)+1-Z10)/1)</f>
        <v>1</v>
      </c>
      <c r="AA11" s="76" t="n">
        <f aca="false">IF(Inputs!$B$10&lt;=0,1,(AA10*Inputs!$B$11+(1-Inputs!$B$11)/MAX(1,Inputs!$B$10)*(AA10*(AA$6-1)*1+AA10*(AA10-1)/2)+1-AA10)/1)</f>
        <v>1</v>
      </c>
      <c r="AB11" s="76" t="n">
        <f aca="false">IF(Inputs!$B$10&lt;=0,1,(AB10*Inputs!$B$11+(1-Inputs!$B$11)/MAX(1,Inputs!$B$10)*(AB10*(AB$6-1)*1+AB10*(AB10-1)/2)+1-AB10)/1)</f>
        <v>1</v>
      </c>
      <c r="AC11" s="76" t="n">
        <f aca="false">IF(Inputs!$B$10&lt;=0,1,(AC10*Inputs!$B$11+(1-Inputs!$B$11)/MAX(1,Inputs!$B$10)*(AC10*(AC$6-1)*1+AC10*(AC10-1)/2)+1-AC10)/1)</f>
        <v>1</v>
      </c>
      <c r="AD11" s="76" t="n">
        <f aca="false">IF(Inputs!$B$10&lt;=0,1,(AD10*Inputs!$B$11+(1-Inputs!$B$11)/MAX(1,Inputs!$B$10)*(AD10*(AD$6-1)*1+AD10*(AD10-1)/2)+1-AD10)/1)</f>
        <v>1</v>
      </c>
      <c r="AE11" s="76" t="n">
        <f aca="false">IF(Inputs!$B$10&lt;=0,1,(AE10*Inputs!$B$11+(1-Inputs!$B$11)/MAX(1,Inputs!$B$10)*(AE10*(AE$6-1)*1+AE10*(AE10-1)/2)+1-AE10)/1)</f>
        <v>1</v>
      </c>
      <c r="AF11" s="76" t="n">
        <f aca="false">IF(Inputs!$B$10&lt;=0,1,(AF10*Inputs!$B$11+(1-Inputs!$B$11)/MAX(1,Inputs!$B$10)*(AF10*(AF$6-1)*1+AF10*(AF10-1)/2)+1-AF10)/1)</f>
        <v>1</v>
      </c>
      <c r="AG11" s="76" t="n">
        <f aca="false">IF(Inputs!$B$10&lt;=0,1,(AG10*Inputs!$B$11+(1-Inputs!$B$11)/MAX(1,Inputs!$B$10)*(AG10*(AG$6-1)*1+AG10*(AG10-1)/2)+1-AG10)/1)</f>
        <v>1</v>
      </c>
      <c r="AH11" s="76" t="n">
        <f aca="false">IF(Inputs!$B$10&lt;=0,1,(AH10*Inputs!$B$11+(1-Inputs!$B$11)/MAX(1,Inputs!$B$10)*(AH10*(AH$6-1)*1+AH10*(AH10-1)/2)+1-AH10)/1)</f>
        <v>1</v>
      </c>
      <c r="AI11" s="76" t="n">
        <f aca="false">IF(Inputs!$B$10&lt;=0,1,(AI10*Inputs!$B$11+(1-Inputs!$B$11)/MAX(1,Inputs!$B$10)*(AI10*(AI$6-1)*1+AI10*(AI10-1)/2)+1-AI10)/1)</f>
        <v>1</v>
      </c>
      <c r="AJ11" s="76" t="n">
        <f aca="false">IF(Inputs!$B$10&lt;=0,1,(AJ10*Inputs!$B$11+(1-Inputs!$B$11)/MAX(1,Inputs!$B$10)*(AJ10*(AJ$6-1)*1+AJ10*(AJ10-1)/2)+1-AJ10)/1)</f>
        <v>1</v>
      </c>
      <c r="AK11" s="76" t="n">
        <f aca="false">IF(Inputs!$B$10&lt;=0,1,(AK10*Inputs!$B$11+(1-Inputs!$B$11)/MAX(1,Inputs!$B$10)*(AK10*(AK$6-1)*1+AK10*(AK10-1)/2)+1-AK10)/1)</f>
        <v>1</v>
      </c>
      <c r="AL11" s="76" t="n">
        <f aca="false">IF(Inputs!$B$10&lt;=0,1,(AL10*Inputs!$B$11+(1-Inputs!$B$11)/MAX(1,Inputs!$B$10)*(AL10*(AL$6-1)*1+AL10*(AL10-1)/2)+1-AL10)/1)</f>
        <v>1</v>
      </c>
      <c r="AM11" s="76" t="n">
        <f aca="false">IF(Inputs!$B$10&lt;=0,1,(AM10*Inputs!$B$11+(1-Inputs!$B$11)/MAX(1,Inputs!$B$10)*(AM10*(AM$6-1)*1+AM10*(AM10-1)/2)+1-AM10)/1)</f>
        <v>1</v>
      </c>
      <c r="AN11" s="76" t="n">
        <f aca="false">IF(Inputs!$B$10&lt;=0,1,(AN10*Inputs!$B$11+(1-Inputs!$B$11)/MAX(1,Inputs!$B$10)*(AN10*(AN$6-1)*1+AN10*(AN10-1)/2)+1-AN10)/1)</f>
        <v>1</v>
      </c>
      <c r="AO11" s="76" t="n">
        <f aca="false">IF(Inputs!$B$10&lt;=0,1,(AO10*Inputs!$B$11+(1-Inputs!$B$11)/MAX(1,Inputs!$B$10)*(AO10*(AO$6-1)*1+AO10*(AO10-1)/2)+1-AO10)/1)</f>
        <v>1</v>
      </c>
      <c r="AP11" s="76" t="n">
        <f aca="false">IF(Inputs!$B$10&lt;=0,1,(AP10*Inputs!$B$11+(1-Inputs!$B$11)/MAX(1,Inputs!$B$10)*(AP10*(AP$6-1)*1+AP10*(AP10-1)/2)+1-AP10)/1)</f>
        <v>1</v>
      </c>
      <c r="AQ11" s="76" t="n">
        <f aca="false">IF(Inputs!$B$10&lt;=0,1,(AQ10*Inputs!$B$11+(1-Inputs!$B$11)/MAX(1,Inputs!$B$10)*(AQ10*(AQ$6-1)*1+AQ10*(AQ10-1)/2)+1-AQ10)/1)</f>
        <v>1</v>
      </c>
      <c r="AR11" s="76" t="n">
        <f aca="false">IF(Inputs!$B$10&lt;=0,1,(AR10*Inputs!$B$11+(1-Inputs!$B$11)/MAX(1,Inputs!$B$10)*(AR10*(AR$6-1)*1+AR10*(AR10-1)/2)+1-AR10)/1)</f>
        <v>1</v>
      </c>
      <c r="AS11" s="76" t="n">
        <f aca="false">IF(Inputs!$B$10&lt;=0,1,(AS10*Inputs!$B$11+(1-Inputs!$B$11)/MAX(1,Inputs!$B$10)*(AS10*(AS$6-1)*1+AS10*(AS10-1)/2)+1-AS10)/1)</f>
        <v>1</v>
      </c>
      <c r="AT11" s="76" t="n">
        <f aca="false">IF(Inputs!$B$10&lt;=0,1,(AT10*Inputs!$B$11+(1-Inputs!$B$11)/MAX(1,Inputs!$B$10)*(AT10*(AT$6-1)*1+AT10*(AT10-1)/2)+1-AT10)/1)</f>
        <v>1</v>
      </c>
      <c r="AU11" s="76" t="n">
        <f aca="false">IF(Inputs!$B$10&lt;=0,1,(AU10*Inputs!$B$11+(1-Inputs!$B$11)/MAX(1,Inputs!$B$10)*(AU10*(AU$6-1)*1+AU10*(AU10-1)/2)+1-AU10)/1)</f>
        <v>1</v>
      </c>
      <c r="AV11" s="76" t="n">
        <f aca="false">IF(Inputs!$B$10&lt;=0,1,(AV10*Inputs!$B$11+(1-Inputs!$B$11)/MAX(1,Inputs!$B$10)*(AV10*(AV$6-1)*1+AV10*(AV10-1)/2)+1-AV10)/1)</f>
        <v>1</v>
      </c>
      <c r="AW11" s="76" t="n">
        <f aca="false">IF(Inputs!$B$10&lt;=0,1,(AW10*Inputs!$B$11+(1-Inputs!$B$11)/MAX(1,Inputs!$B$10)*(AW10*(AW$6-1)*1+AW10*(AW10-1)/2)+1-AW10)/1)</f>
        <v>1</v>
      </c>
      <c r="AX11" s="76" t="n">
        <f aca="false">IF(Inputs!$B$10&lt;=0,1,(AX10*Inputs!$B$11+(1-Inputs!$B$11)/MAX(1,Inputs!$B$10)*(AX10*(AX$6-1)*1+AX10*(AX10-1)/2)+1-AX10)/1)</f>
        <v>1</v>
      </c>
      <c r="AY11" s="76" t="n">
        <f aca="false">IF(Inputs!$B$10&lt;=0,1,(AY10*Inputs!$B$11+(1-Inputs!$B$11)/MAX(1,Inputs!$B$10)*(AY10*(AY$6-1)*1+AY10*(AY10-1)/2)+1-AY10)/1)</f>
        <v>1</v>
      </c>
      <c r="AZ11" s="76" t="n">
        <f aca="false">IF(Inputs!$B$10&lt;=0,1,(AZ10*Inputs!$B$11+(1-Inputs!$B$11)/MAX(1,Inputs!$B$10)*(AZ10*(AZ$6-1)*1+AZ10*(AZ10-1)/2)+1-AZ10)/1)</f>
        <v>1</v>
      </c>
      <c r="BA11" s="76" t="n">
        <f aca="false">IF(Inputs!$B$10&lt;=0,1,(BA10*Inputs!$B$11+(1-Inputs!$B$11)/MAX(1,Inputs!$B$10)*(BA10*(BA$6-1)*1+BA10*(BA10-1)/2)+1-BA10)/1)</f>
        <v>1</v>
      </c>
      <c r="BB11" s="76" t="n">
        <f aca="false">IF(Inputs!$B$10&lt;=0,1,(BB10*Inputs!$B$11+(1-Inputs!$B$11)/MAX(1,Inputs!$B$10)*(BB10*(BB$6-1)*1+BB10*(BB10-1)/2)+1-BB10)/1)</f>
        <v>1</v>
      </c>
      <c r="BC11" s="76" t="n">
        <f aca="false">IF(Inputs!$B$10&lt;=0,1,(BC10*Inputs!$B$11+(1-Inputs!$B$11)/MAX(1,Inputs!$B$10)*(BC10*(BC$6-1)*1+BC10*(BC10-1)/2)+1-BC10)/1)</f>
        <v>1</v>
      </c>
      <c r="BD11" s="76" t="n">
        <f aca="false">IF(Inputs!$B$10&lt;=0,1,(BD10*Inputs!$B$11+(1-Inputs!$B$11)/MAX(1,Inputs!$B$10)*(BD10*(BD$6-1)*1+BD10*(BD10-1)/2)+1-BD10)/1)</f>
        <v>1</v>
      </c>
      <c r="BE11" s="76" t="n">
        <f aca="false">IF(Inputs!$B$10&lt;=0,1,(BE10*Inputs!$B$11+(1-Inputs!$B$11)/MAX(1,Inputs!$B$10)*(BE10*(BE$6-1)*1+BE10*(BE10-1)/2)+1-BE10)/1)</f>
        <v>1</v>
      </c>
      <c r="BF11" s="76" t="n">
        <f aca="false">IF(Inputs!$B$10&lt;=0,1,(BF10*Inputs!$B$11+(1-Inputs!$B$11)/MAX(1,Inputs!$B$10)*(BF10*(BF$6-1)*1+BF10*(BF10-1)/2)+1-BF10)/1)</f>
        <v>1</v>
      </c>
      <c r="BG11" s="76" t="n">
        <f aca="false">IF(Inputs!$B$10&lt;=0,1,(BG10*Inputs!$B$11+(1-Inputs!$B$11)/MAX(1,Inputs!$B$10)*(BG10*(BG$6-1)*1+BG10*(BG10-1)/2)+1-BG10)/1)</f>
        <v>1</v>
      </c>
      <c r="BH11" s="76" t="n">
        <f aca="false">IF(Inputs!$B$10&lt;=0,1,(BH10*Inputs!$B$11+(1-Inputs!$B$11)/MAX(1,Inputs!$B$10)*(BH10*(BH$6-1)*1+BH10*(BH10-1)/2)+1-BH10)/1)</f>
        <v>1</v>
      </c>
      <c r="BI11" s="76" t="n">
        <f aca="false">IF(Inputs!$B$10&lt;=0,1,(BI10*Inputs!$B$11+(1-Inputs!$B$11)/MAX(1,Inputs!$B$10)*(BI10*(BI$6-1)*1+BI10*(BI10-1)/2)+1-BI10)/1)</f>
        <v>1</v>
      </c>
      <c r="BJ11" s="76" t="n">
        <f aca="false">IF(Inputs!$B$10&lt;=0,1,(BJ10*Inputs!$B$11+(1-Inputs!$B$11)/MAX(1,Inputs!$B$10)*(BJ10*(BJ$6-1)*1+BJ10*(BJ10-1)/2)+1-BJ10)/1)</f>
        <v>1</v>
      </c>
    </row>
    <row r="12" customFormat="false" ht="15" hidden="false" customHeight="false" outlineLevel="0" collapsed="false">
      <c r="A12" s="6" t="s">
        <v>415</v>
      </c>
      <c r="C12" s="120" t="n">
        <f aca="false">Inputs!$B$7*(1+Inputs!$B$8)^(C$7-1)*Inputs!$B$9*1*C11</f>
        <v>101.4</v>
      </c>
      <c r="D12" s="120" t="n">
        <f aca="false">Inputs!$B$7*(1+Inputs!$B$8)^(D$7-1)*Inputs!$B$9*1*D11</f>
        <v>118.3</v>
      </c>
      <c r="E12" s="120" t="n">
        <f aca="false">Inputs!$B$7*(1+Inputs!$B$8)^(E$7-1)*Inputs!$B$9*1*E11</f>
        <v>135.2</v>
      </c>
      <c r="F12" s="120" t="n">
        <f aca="false">Inputs!$B$7*(1+Inputs!$B$8)^(F$7-1)*Inputs!$B$9*1*F11</f>
        <v>152.1</v>
      </c>
      <c r="G12" s="120" t="n">
        <f aca="false">Inputs!$B$7*(1+Inputs!$B$8)^(G$7-1)*Inputs!$B$9*1*G11</f>
        <v>169</v>
      </c>
      <c r="H12" s="120" t="n">
        <f aca="false">Inputs!$B$7*(1+Inputs!$B$8)^(H$7-1)*Inputs!$B$9*1*H11</f>
        <v>185.9</v>
      </c>
      <c r="I12" s="120" t="n">
        <f aca="false">Inputs!$B$7*(1+Inputs!$B$8)^(I$7-1)*Inputs!$B$9*1*I11</f>
        <v>202.8</v>
      </c>
      <c r="J12" s="120" t="n">
        <f aca="false">Inputs!$B$7*(1+Inputs!$B$8)^(J$7-1)*Inputs!$B$9*1*J11</f>
        <v>219.7</v>
      </c>
      <c r="K12" s="120" t="n">
        <f aca="false">Inputs!$B$7*(1+Inputs!$B$8)^(K$7-1)*Inputs!$B$9*1*K11</f>
        <v>236.6</v>
      </c>
      <c r="L12" s="120" t="n">
        <f aca="false">Inputs!$B$7*(1+Inputs!$B$8)^(L$7-1)*Inputs!$B$9*1*L11</f>
        <v>253.5</v>
      </c>
      <c r="M12" s="120" t="n">
        <f aca="false">Inputs!$B$7*(1+Inputs!$B$8)^(M$7-1)*Inputs!$B$9*1*M11</f>
        <v>270.4</v>
      </c>
      <c r="N12" s="120" t="n">
        <f aca="false">Inputs!$B$7*(1+Inputs!$B$8)^(N$7-1)*Inputs!$B$9*1*N11</f>
        <v>287.3</v>
      </c>
      <c r="O12" s="120" t="n">
        <f aca="false">Inputs!$B$7*(1+Inputs!$B$8)^(O$7-1)*Inputs!$B$9*1*O11</f>
        <v>304.2</v>
      </c>
      <c r="P12" s="120" t="n">
        <f aca="false">Inputs!$B$7*(1+Inputs!$B$8)^(P$7-1)*Inputs!$B$9*1*P11</f>
        <v>321.1</v>
      </c>
      <c r="Q12" s="120" t="n">
        <f aca="false">Inputs!$B$7*(1+Inputs!$B$8)^(Q$7-1)*Inputs!$B$9*1*Q11</f>
        <v>338</v>
      </c>
      <c r="R12" s="120" t="n">
        <f aca="false">Inputs!$B$7*(1+Inputs!$B$8)^(R$7-1)*Inputs!$B$9*1*R11</f>
        <v>338</v>
      </c>
      <c r="S12" s="120" t="n">
        <f aca="false">Inputs!$B$7*(1+Inputs!$B$8)^(S$7-1)*Inputs!$B$9*1*S11</f>
        <v>338</v>
      </c>
      <c r="T12" s="120" t="n">
        <f aca="false">Inputs!$B$7*(1+Inputs!$B$8)^(T$7-1)*Inputs!$B$9*1*T11</f>
        <v>338</v>
      </c>
      <c r="U12" s="120" t="n">
        <f aca="false">Inputs!$B$7*(1+Inputs!$B$8)^(U$7-1)*Inputs!$B$9*1*U11</f>
        <v>338</v>
      </c>
      <c r="V12" s="120" t="n">
        <f aca="false">Inputs!$B$7*(1+Inputs!$B$8)^(V$7-1)*Inputs!$B$9*1*V11</f>
        <v>338</v>
      </c>
      <c r="W12" s="120" t="n">
        <f aca="false">Inputs!$B$7*(1+Inputs!$B$8)^(W$7-1)*Inputs!$B$9*1*W11</f>
        <v>338</v>
      </c>
      <c r="X12" s="120" t="n">
        <f aca="false">Inputs!$B$7*(1+Inputs!$B$8)^(X$7-1)*Inputs!$B$9*1*X11</f>
        <v>338</v>
      </c>
      <c r="Y12" s="120" t="n">
        <f aca="false">Inputs!$B$7*(1+Inputs!$B$8)^(Y$7-1)*Inputs!$B$9*1*Y11</f>
        <v>338</v>
      </c>
      <c r="Z12" s="120" t="n">
        <f aca="false">Inputs!$B$7*(1+Inputs!$B$8)^(Z$7-1)*Inputs!$B$9*1*Z11</f>
        <v>338</v>
      </c>
      <c r="AA12" s="120" t="n">
        <f aca="false">Inputs!$B$7*(1+Inputs!$B$8)^(AA$7-1)*Inputs!$B$9*1*AA11</f>
        <v>338</v>
      </c>
      <c r="AB12" s="120" t="n">
        <f aca="false">Inputs!$B$7*(1+Inputs!$B$8)^(AB$7-1)*Inputs!$B$9*1*AB11</f>
        <v>338</v>
      </c>
      <c r="AC12" s="120" t="n">
        <f aca="false">Inputs!$B$7*(1+Inputs!$B$8)^(AC$7-1)*Inputs!$B$9*1*AC11</f>
        <v>338</v>
      </c>
      <c r="AD12" s="120" t="n">
        <f aca="false">Inputs!$B$7*(1+Inputs!$B$8)^(AD$7-1)*Inputs!$B$9*1*AD11</f>
        <v>338</v>
      </c>
      <c r="AE12" s="120" t="n">
        <f aca="false">Inputs!$B$7*(1+Inputs!$B$8)^(AE$7-1)*Inputs!$B$9*1*AE11</f>
        <v>338</v>
      </c>
      <c r="AF12" s="120" t="n">
        <f aca="false">Inputs!$B$7*(1+Inputs!$B$8)^(AF$7-1)*Inputs!$B$9*1*AF11</f>
        <v>338</v>
      </c>
      <c r="AG12" s="120" t="n">
        <f aca="false">Inputs!$B$7*(1+Inputs!$B$8)^(AG$7-1)*Inputs!$B$9*1*AG11</f>
        <v>338</v>
      </c>
      <c r="AH12" s="120" t="n">
        <f aca="false">Inputs!$B$7*(1+Inputs!$B$8)^(AH$7-1)*Inputs!$B$9*1*AH11</f>
        <v>338</v>
      </c>
      <c r="AI12" s="120" t="n">
        <f aca="false">Inputs!$B$7*(1+Inputs!$B$8)^(AI$7-1)*Inputs!$B$9*1*AI11</f>
        <v>338</v>
      </c>
      <c r="AJ12" s="120" t="n">
        <f aca="false">Inputs!$B$7*(1+Inputs!$B$8)^(AJ$7-1)*Inputs!$B$9*1*AJ11</f>
        <v>338</v>
      </c>
      <c r="AK12" s="120" t="n">
        <f aca="false">Inputs!$B$7*(1+Inputs!$B$8)^(AK$7-1)*Inputs!$B$9*1*AK11</f>
        <v>338</v>
      </c>
      <c r="AL12" s="120" t="n">
        <f aca="false">Inputs!$B$7*(1+Inputs!$B$8)^(AL$7-1)*Inputs!$B$9*1*AL11</f>
        <v>338</v>
      </c>
      <c r="AM12" s="120" t="n">
        <f aca="false">Inputs!$B$7*(1+Inputs!$B$8)^(AM$7-1)*Inputs!$B$9*1*AM11</f>
        <v>338</v>
      </c>
      <c r="AN12" s="120" t="n">
        <f aca="false">Inputs!$B$7*(1+Inputs!$B$8)^(AN$7-1)*Inputs!$B$9*1*AN11</f>
        <v>338</v>
      </c>
      <c r="AO12" s="120" t="n">
        <f aca="false">Inputs!$B$7*(1+Inputs!$B$8)^(AO$7-1)*Inputs!$B$9*1*AO11</f>
        <v>338</v>
      </c>
      <c r="AP12" s="120" t="n">
        <f aca="false">Inputs!$B$7*(1+Inputs!$B$8)^(AP$7-1)*Inputs!$B$9*1*AP11</f>
        <v>338</v>
      </c>
      <c r="AQ12" s="120" t="n">
        <f aca="false">Inputs!$B$7*(1+Inputs!$B$8)^(AQ$7-1)*Inputs!$B$9*1*AQ11</f>
        <v>338</v>
      </c>
      <c r="AR12" s="120" t="n">
        <f aca="false">Inputs!$B$7*(1+Inputs!$B$8)^(AR$7-1)*Inputs!$B$9*1*AR11</f>
        <v>338</v>
      </c>
      <c r="AS12" s="120" t="n">
        <f aca="false">Inputs!$B$7*(1+Inputs!$B$8)^(AS$7-1)*Inputs!$B$9*1*AS11</f>
        <v>338</v>
      </c>
      <c r="AT12" s="120" t="n">
        <f aca="false">Inputs!$B$7*(1+Inputs!$B$8)^(AT$7-1)*Inputs!$B$9*1*AT11</f>
        <v>338</v>
      </c>
      <c r="AU12" s="120" t="n">
        <f aca="false">Inputs!$B$7*(1+Inputs!$B$8)^(AU$7-1)*Inputs!$B$9*1*AU11</f>
        <v>338</v>
      </c>
      <c r="AV12" s="120" t="n">
        <f aca="false">Inputs!$B$7*(1+Inputs!$B$8)^(AV$7-1)*Inputs!$B$9*1*AV11</f>
        <v>338</v>
      </c>
      <c r="AW12" s="120" t="n">
        <f aca="false">Inputs!$B$7*(1+Inputs!$B$8)^(AW$7-1)*Inputs!$B$9*1*AW11</f>
        <v>338</v>
      </c>
      <c r="AX12" s="120" t="n">
        <f aca="false">Inputs!$B$7*(1+Inputs!$B$8)^(AX$7-1)*Inputs!$B$9*1*AX11</f>
        <v>338</v>
      </c>
      <c r="AY12" s="120" t="n">
        <f aca="false">Inputs!$B$7*(1+Inputs!$B$8)^(AY$7-1)*Inputs!$B$9*1*AY11</f>
        <v>338</v>
      </c>
      <c r="AZ12" s="120" t="n">
        <f aca="false">Inputs!$B$7*(1+Inputs!$B$8)^(AZ$7-1)*Inputs!$B$9*1*AZ11</f>
        <v>338</v>
      </c>
      <c r="BA12" s="120" t="n">
        <f aca="false">Inputs!$B$7*(1+Inputs!$B$8)^(BA$7-1)*Inputs!$B$9*1*BA11</f>
        <v>338</v>
      </c>
      <c r="BB12" s="120" t="n">
        <f aca="false">Inputs!$B$7*(1+Inputs!$B$8)^(BB$7-1)*Inputs!$B$9*1*BB11</f>
        <v>338</v>
      </c>
      <c r="BC12" s="120" t="n">
        <f aca="false">Inputs!$B$7*(1+Inputs!$B$8)^(BC$7-1)*Inputs!$B$9*1*BC11</f>
        <v>338</v>
      </c>
      <c r="BD12" s="120" t="n">
        <f aca="false">Inputs!$B$7*(1+Inputs!$B$8)^(BD$7-1)*Inputs!$B$9*1*BD11</f>
        <v>338</v>
      </c>
      <c r="BE12" s="120" t="n">
        <f aca="false">Inputs!$B$7*(1+Inputs!$B$8)^(BE$7-1)*Inputs!$B$9*1*BE11</f>
        <v>338</v>
      </c>
      <c r="BF12" s="120" t="n">
        <f aca="false">Inputs!$B$7*(1+Inputs!$B$8)^(BF$7-1)*Inputs!$B$9*1*BF11</f>
        <v>338</v>
      </c>
      <c r="BG12" s="120" t="n">
        <f aca="false">Inputs!$B$7*(1+Inputs!$B$8)^(BG$7-1)*Inputs!$B$9*1*BG11</f>
        <v>338</v>
      </c>
      <c r="BH12" s="120" t="n">
        <f aca="false">Inputs!$B$7*(1+Inputs!$B$8)^(BH$7-1)*Inputs!$B$9*1*BH11</f>
        <v>338</v>
      </c>
      <c r="BI12" s="120" t="n">
        <f aca="false">Inputs!$B$7*(1+Inputs!$B$8)^(BI$7-1)*Inputs!$B$9*1*BI11</f>
        <v>338</v>
      </c>
      <c r="BJ12" s="120" t="n">
        <f aca="false">Inputs!$B$7*(1+Inputs!$B$8)^(BJ$7-1)*Inputs!$B$9*1*BJ11</f>
        <v>338</v>
      </c>
    </row>
    <row r="14" customFormat="false" ht="15.75" hidden="false" customHeight="true" outlineLevel="0" collapsed="false">
      <c r="A14" s="7" t="s">
        <v>261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233</v>
      </c>
      <c r="C15" s="119" t="n">
        <f aca="false">C118</f>
        <v>4</v>
      </c>
      <c r="D15" s="119" t="n">
        <f aca="false">D118</f>
        <v>4</v>
      </c>
      <c r="E15" s="119" t="n">
        <f aca="false">E118</f>
        <v>4</v>
      </c>
      <c r="F15" s="119" t="n">
        <f aca="false">F118</f>
        <v>4</v>
      </c>
      <c r="G15" s="119" t="n">
        <f aca="false">G118</f>
        <v>4</v>
      </c>
      <c r="H15" s="119" t="n">
        <f aca="false">H118</f>
        <v>4</v>
      </c>
      <c r="I15" s="119" t="n">
        <f aca="false">I118</f>
        <v>4</v>
      </c>
      <c r="J15" s="119" t="n">
        <f aca="false">J118</f>
        <v>4</v>
      </c>
      <c r="K15" s="119" t="n">
        <f aca="false">K118</f>
        <v>4</v>
      </c>
      <c r="L15" s="119" t="n">
        <f aca="false">L118</f>
        <v>4</v>
      </c>
      <c r="M15" s="119" t="n">
        <f aca="false">M118</f>
        <v>4</v>
      </c>
      <c r="N15" s="119" t="n">
        <f aca="false">N118</f>
        <v>4</v>
      </c>
      <c r="O15" s="119" t="n">
        <f aca="false">O118</f>
        <v>4</v>
      </c>
      <c r="P15" s="119" t="n">
        <f aca="false">P118</f>
        <v>4</v>
      </c>
      <c r="Q15" s="119" t="n">
        <f aca="false">Q118</f>
        <v>4</v>
      </c>
      <c r="R15" s="119" t="n">
        <f aca="false">R118</f>
        <v>4</v>
      </c>
      <c r="S15" s="119" t="n">
        <f aca="false">S118</f>
        <v>4</v>
      </c>
      <c r="T15" s="119" t="n">
        <f aca="false">T118</f>
        <v>4</v>
      </c>
      <c r="U15" s="119" t="n">
        <f aca="false">U118</f>
        <v>4</v>
      </c>
      <c r="V15" s="119" t="n">
        <f aca="false">V118</f>
        <v>4</v>
      </c>
      <c r="W15" s="119" t="n">
        <f aca="false">W118</f>
        <v>4</v>
      </c>
      <c r="X15" s="119" t="n">
        <f aca="false">X118</f>
        <v>4</v>
      </c>
      <c r="Y15" s="119" t="n">
        <f aca="false">Y118</f>
        <v>4</v>
      </c>
      <c r="Z15" s="119" t="n">
        <f aca="false">Z118</f>
        <v>4</v>
      </c>
      <c r="AA15" s="119" t="n">
        <f aca="false">AA118</f>
        <v>4</v>
      </c>
      <c r="AB15" s="119" t="n">
        <f aca="false">AB118</f>
        <v>4</v>
      </c>
      <c r="AC15" s="119" t="n">
        <f aca="false">AC118</f>
        <v>4</v>
      </c>
      <c r="AD15" s="119" t="n">
        <f aca="false">AD118</f>
        <v>4</v>
      </c>
      <c r="AE15" s="119" t="n">
        <f aca="false">AE118</f>
        <v>4</v>
      </c>
      <c r="AF15" s="119" t="n">
        <f aca="false">AF118</f>
        <v>4</v>
      </c>
      <c r="AG15" s="119" t="n">
        <f aca="false">AG118</f>
        <v>4</v>
      </c>
      <c r="AH15" s="119" t="n">
        <f aca="false">AH118</f>
        <v>4</v>
      </c>
      <c r="AI15" s="119" t="n">
        <f aca="false">AI118</f>
        <v>4</v>
      </c>
      <c r="AJ15" s="119" t="n">
        <f aca="false">AJ118</f>
        <v>4</v>
      </c>
      <c r="AK15" s="119" t="n">
        <f aca="false">AK118</f>
        <v>4</v>
      </c>
      <c r="AL15" s="119" t="n">
        <f aca="false">AL118</f>
        <v>4</v>
      </c>
      <c r="AM15" s="119" t="n">
        <f aca="false">AM118</f>
        <v>4</v>
      </c>
      <c r="AN15" s="119" t="n">
        <f aca="false">AN118</f>
        <v>4</v>
      </c>
      <c r="AO15" s="119" t="n">
        <f aca="false">AO118</f>
        <v>4</v>
      </c>
      <c r="AP15" s="119" t="n">
        <f aca="false">AP118</f>
        <v>4</v>
      </c>
      <c r="AQ15" s="119" t="n">
        <f aca="false">AQ118</f>
        <v>4</v>
      </c>
      <c r="AR15" s="119" t="n">
        <f aca="false">AR118</f>
        <v>4</v>
      </c>
      <c r="AS15" s="119" t="n">
        <f aca="false">AS118</f>
        <v>4</v>
      </c>
      <c r="AT15" s="119" t="n">
        <f aca="false">AT118</f>
        <v>4</v>
      </c>
      <c r="AU15" s="119" t="n">
        <f aca="false">AU118</f>
        <v>4</v>
      </c>
      <c r="AV15" s="119" t="n">
        <f aca="false">AV118</f>
        <v>4</v>
      </c>
      <c r="AW15" s="119" t="n">
        <f aca="false">AW118</f>
        <v>4</v>
      </c>
      <c r="AX15" s="119" t="n">
        <f aca="false">AX118</f>
        <v>4</v>
      </c>
      <c r="AY15" s="119" t="n">
        <f aca="false">AY118</f>
        <v>4</v>
      </c>
      <c r="AZ15" s="119" t="n">
        <f aca="false">AZ118</f>
        <v>4</v>
      </c>
      <c r="BA15" s="119" t="n">
        <f aca="false">BA118</f>
        <v>4</v>
      </c>
      <c r="BB15" s="119" t="n">
        <f aca="false">BB118</f>
        <v>4</v>
      </c>
      <c r="BC15" s="119" t="n">
        <f aca="false">BC118</f>
        <v>4</v>
      </c>
      <c r="BD15" s="119" t="n">
        <f aca="false">BD118</f>
        <v>4</v>
      </c>
      <c r="BE15" s="119" t="n">
        <f aca="false">BE118</f>
        <v>4</v>
      </c>
      <c r="BF15" s="119" t="n">
        <f aca="false">BF118</f>
        <v>4</v>
      </c>
      <c r="BG15" s="119" t="n">
        <f aca="false">BG118</f>
        <v>4</v>
      </c>
      <c r="BH15" s="119" t="n">
        <f aca="false">BH118</f>
        <v>4</v>
      </c>
      <c r="BI15" s="119" t="n">
        <f aca="false">BI118</f>
        <v>4</v>
      </c>
      <c r="BJ15" s="119" t="n">
        <f aca="false">BJ118</f>
        <v>4</v>
      </c>
    </row>
    <row r="16" customFormat="false" ht="15" hidden="false" customHeight="false" outlineLevel="0" collapsed="false">
      <c r="A16" s="6" t="s">
        <v>416</v>
      </c>
      <c r="C16" s="120" t="n">
        <f aca="false">Inputs!$B$14*Inputs!$B$15*Inputs!$B$9*1</f>
        <v>624</v>
      </c>
      <c r="D16" s="120" t="n">
        <f aca="false">Inputs!$B$14*Inputs!$B$15*Inputs!$B$9*1</f>
        <v>624</v>
      </c>
      <c r="E16" s="120" t="n">
        <f aca="false">Inputs!$B$14*Inputs!$B$15*Inputs!$B$9*1</f>
        <v>624</v>
      </c>
      <c r="F16" s="120" t="n">
        <f aca="false">Inputs!$B$14*Inputs!$B$15*Inputs!$B$9*1</f>
        <v>624</v>
      </c>
      <c r="G16" s="120" t="n">
        <f aca="false">Inputs!$B$14*Inputs!$B$15*Inputs!$B$9*1</f>
        <v>624</v>
      </c>
      <c r="H16" s="120" t="n">
        <f aca="false">Inputs!$B$14*Inputs!$B$15*Inputs!$B$9*1</f>
        <v>624</v>
      </c>
      <c r="I16" s="120" t="n">
        <f aca="false">Inputs!$B$14*Inputs!$B$15*Inputs!$B$9*1</f>
        <v>624</v>
      </c>
      <c r="J16" s="120" t="n">
        <f aca="false">Inputs!$B$14*Inputs!$B$15*Inputs!$B$9*1</f>
        <v>624</v>
      </c>
      <c r="K16" s="120" t="n">
        <f aca="false">Inputs!$B$14*Inputs!$B$15*Inputs!$B$9*1</f>
        <v>624</v>
      </c>
      <c r="L16" s="120" t="n">
        <f aca="false">Inputs!$B$14*Inputs!$B$15*Inputs!$B$9*1</f>
        <v>624</v>
      </c>
      <c r="M16" s="120" t="n">
        <f aca="false">Inputs!$B$14*Inputs!$B$15*Inputs!$B$9*1</f>
        <v>624</v>
      </c>
      <c r="N16" s="120" t="n">
        <f aca="false">Inputs!$B$14*Inputs!$B$15*Inputs!$B$9*1</f>
        <v>624</v>
      </c>
      <c r="O16" s="120" t="n">
        <f aca="false">Inputs!$B$14*Inputs!$B$15*Inputs!$B$9*1</f>
        <v>624</v>
      </c>
      <c r="P16" s="120" t="n">
        <f aca="false">Inputs!$B$14*Inputs!$B$15*Inputs!$B$9*1</f>
        <v>624</v>
      </c>
      <c r="Q16" s="120" t="n">
        <f aca="false">Inputs!$B$14*Inputs!$B$15*Inputs!$B$9*1</f>
        <v>624</v>
      </c>
      <c r="R16" s="120" t="n">
        <f aca="false">Inputs!$B$14*Inputs!$B$15*Inputs!$B$9*1</f>
        <v>624</v>
      </c>
      <c r="S16" s="120" t="n">
        <f aca="false">Inputs!$B$14*Inputs!$B$15*Inputs!$B$9*1</f>
        <v>624</v>
      </c>
      <c r="T16" s="120" t="n">
        <f aca="false">Inputs!$B$14*Inputs!$B$15*Inputs!$B$9*1</f>
        <v>624</v>
      </c>
      <c r="U16" s="120" t="n">
        <f aca="false">Inputs!$B$14*Inputs!$B$15*Inputs!$B$9*1</f>
        <v>624</v>
      </c>
      <c r="V16" s="120" t="n">
        <f aca="false">Inputs!$B$14*Inputs!$B$15*Inputs!$B$9*1</f>
        <v>624</v>
      </c>
      <c r="W16" s="120" t="n">
        <f aca="false">Inputs!$B$14*Inputs!$B$15*Inputs!$B$9*1</f>
        <v>624</v>
      </c>
      <c r="X16" s="120" t="n">
        <f aca="false">Inputs!$B$14*Inputs!$B$15*Inputs!$B$9*1</f>
        <v>624</v>
      </c>
      <c r="Y16" s="120" t="n">
        <f aca="false">Inputs!$B$14*Inputs!$B$15*Inputs!$B$9*1</f>
        <v>624</v>
      </c>
      <c r="Z16" s="120" t="n">
        <f aca="false">Inputs!$B$14*Inputs!$B$15*Inputs!$B$9*1</f>
        <v>624</v>
      </c>
      <c r="AA16" s="120" t="n">
        <f aca="false">Inputs!$B$14*Inputs!$B$15*Inputs!$B$9*1</f>
        <v>624</v>
      </c>
      <c r="AB16" s="120" t="n">
        <f aca="false">Inputs!$B$14*Inputs!$B$15*Inputs!$B$9*1</f>
        <v>624</v>
      </c>
      <c r="AC16" s="120" t="n">
        <f aca="false">Inputs!$B$14*Inputs!$B$15*Inputs!$B$9*1</f>
        <v>624</v>
      </c>
      <c r="AD16" s="120" t="n">
        <f aca="false">Inputs!$B$14*Inputs!$B$15*Inputs!$B$9*1</f>
        <v>624</v>
      </c>
      <c r="AE16" s="120" t="n">
        <f aca="false">Inputs!$B$14*Inputs!$B$15*Inputs!$B$9*1</f>
        <v>624</v>
      </c>
      <c r="AF16" s="120" t="n">
        <f aca="false">Inputs!$B$14*Inputs!$B$15*Inputs!$B$9*1</f>
        <v>624</v>
      </c>
      <c r="AG16" s="120" t="n">
        <f aca="false">Inputs!$B$14*Inputs!$B$15*Inputs!$B$9*1</f>
        <v>624</v>
      </c>
      <c r="AH16" s="120" t="n">
        <f aca="false">Inputs!$B$14*Inputs!$B$15*Inputs!$B$9*1</f>
        <v>624</v>
      </c>
      <c r="AI16" s="120" t="n">
        <f aca="false">Inputs!$B$14*Inputs!$B$15*Inputs!$B$9*1</f>
        <v>624</v>
      </c>
      <c r="AJ16" s="120" t="n">
        <f aca="false">Inputs!$B$14*Inputs!$B$15*Inputs!$B$9*1</f>
        <v>624</v>
      </c>
      <c r="AK16" s="120" t="n">
        <f aca="false">Inputs!$B$14*Inputs!$B$15*Inputs!$B$9*1</f>
        <v>624</v>
      </c>
      <c r="AL16" s="120" t="n">
        <f aca="false">Inputs!$B$14*Inputs!$B$15*Inputs!$B$9*1</f>
        <v>624</v>
      </c>
      <c r="AM16" s="120" t="n">
        <f aca="false">Inputs!$B$14*Inputs!$B$15*Inputs!$B$9*1</f>
        <v>624</v>
      </c>
      <c r="AN16" s="120" t="n">
        <f aca="false">Inputs!$B$14*Inputs!$B$15*Inputs!$B$9*1</f>
        <v>624</v>
      </c>
      <c r="AO16" s="120" t="n">
        <f aca="false">Inputs!$B$14*Inputs!$B$15*Inputs!$B$9*1</f>
        <v>624</v>
      </c>
      <c r="AP16" s="120" t="n">
        <f aca="false">Inputs!$B$14*Inputs!$B$15*Inputs!$B$9*1</f>
        <v>624</v>
      </c>
      <c r="AQ16" s="120" t="n">
        <f aca="false">Inputs!$B$14*Inputs!$B$15*Inputs!$B$9*1</f>
        <v>624</v>
      </c>
      <c r="AR16" s="120" t="n">
        <f aca="false">Inputs!$B$14*Inputs!$B$15*Inputs!$B$9*1</f>
        <v>624</v>
      </c>
      <c r="AS16" s="120" t="n">
        <f aca="false">Inputs!$B$14*Inputs!$B$15*Inputs!$B$9*1</f>
        <v>624</v>
      </c>
      <c r="AT16" s="120" t="n">
        <f aca="false">Inputs!$B$14*Inputs!$B$15*Inputs!$B$9*1</f>
        <v>624</v>
      </c>
      <c r="AU16" s="120" t="n">
        <f aca="false">Inputs!$B$14*Inputs!$B$15*Inputs!$B$9*1</f>
        <v>624</v>
      </c>
      <c r="AV16" s="120" t="n">
        <f aca="false">Inputs!$B$14*Inputs!$B$15*Inputs!$B$9*1</f>
        <v>624</v>
      </c>
      <c r="AW16" s="120" t="n">
        <f aca="false">Inputs!$B$14*Inputs!$B$15*Inputs!$B$9*1</f>
        <v>624</v>
      </c>
      <c r="AX16" s="120" t="n">
        <f aca="false">Inputs!$B$14*Inputs!$B$15*Inputs!$B$9*1</f>
        <v>624</v>
      </c>
      <c r="AY16" s="120" t="n">
        <f aca="false">Inputs!$B$14*Inputs!$B$15*Inputs!$B$9*1</f>
        <v>624</v>
      </c>
      <c r="AZ16" s="120" t="n">
        <f aca="false">Inputs!$B$14*Inputs!$B$15*Inputs!$B$9*1</f>
        <v>624</v>
      </c>
      <c r="BA16" s="120" t="n">
        <f aca="false">Inputs!$B$14*Inputs!$B$15*Inputs!$B$9*1</f>
        <v>624</v>
      </c>
      <c r="BB16" s="120" t="n">
        <f aca="false">Inputs!$B$14*Inputs!$B$15*Inputs!$B$9*1</f>
        <v>624</v>
      </c>
      <c r="BC16" s="120" t="n">
        <f aca="false">Inputs!$B$14*Inputs!$B$15*Inputs!$B$9*1</f>
        <v>624</v>
      </c>
      <c r="BD16" s="120" t="n">
        <f aca="false">Inputs!$B$14*Inputs!$B$15*Inputs!$B$9*1</f>
        <v>624</v>
      </c>
      <c r="BE16" s="120" t="n">
        <f aca="false">Inputs!$B$14*Inputs!$B$15*Inputs!$B$9*1</f>
        <v>624</v>
      </c>
      <c r="BF16" s="120" t="n">
        <f aca="false">Inputs!$B$14*Inputs!$B$15*Inputs!$B$9*1</f>
        <v>624</v>
      </c>
      <c r="BG16" s="120" t="n">
        <f aca="false">Inputs!$B$14*Inputs!$B$15*Inputs!$B$9*1</f>
        <v>624</v>
      </c>
      <c r="BH16" s="120" t="n">
        <f aca="false">Inputs!$B$14*Inputs!$B$15*Inputs!$B$9*1</f>
        <v>624</v>
      </c>
      <c r="BI16" s="120" t="n">
        <f aca="false">Inputs!$B$14*Inputs!$B$15*Inputs!$B$9*1</f>
        <v>624</v>
      </c>
      <c r="BJ16" s="120" t="n">
        <f aca="false">Inputs!$B$14*Inputs!$B$15*Inputs!$B$9*1</f>
        <v>624</v>
      </c>
    </row>
    <row r="17" customFormat="false" ht="15" hidden="false" customHeight="false" outlineLevel="0" collapsed="false">
      <c r="A17" s="6" t="s">
        <v>417</v>
      </c>
      <c r="C17" s="120" t="n">
        <f aca="false">C15*Inputs!$B$16*Inputs!$B$9*1</f>
        <v>520</v>
      </c>
      <c r="D17" s="120" t="n">
        <f aca="false">D15*Inputs!$B$16*Inputs!$B$9*1</f>
        <v>520</v>
      </c>
      <c r="E17" s="120" t="n">
        <f aca="false">E15*Inputs!$B$16*Inputs!$B$9*1</f>
        <v>520</v>
      </c>
      <c r="F17" s="120" t="n">
        <f aca="false">F15*Inputs!$B$16*Inputs!$B$9*1</f>
        <v>520</v>
      </c>
      <c r="G17" s="120" t="n">
        <f aca="false">G15*Inputs!$B$16*Inputs!$B$9*1</f>
        <v>520</v>
      </c>
      <c r="H17" s="120" t="n">
        <f aca="false">H15*Inputs!$B$16*Inputs!$B$9*1</f>
        <v>520</v>
      </c>
      <c r="I17" s="120" t="n">
        <f aca="false">I15*Inputs!$B$16*Inputs!$B$9*1</f>
        <v>520</v>
      </c>
      <c r="J17" s="120" t="n">
        <f aca="false">J15*Inputs!$B$16*Inputs!$B$9*1</f>
        <v>520</v>
      </c>
      <c r="K17" s="120" t="n">
        <f aca="false">K15*Inputs!$B$16*Inputs!$B$9*1</f>
        <v>520</v>
      </c>
      <c r="L17" s="120" t="n">
        <f aca="false">L15*Inputs!$B$16*Inputs!$B$9*1</f>
        <v>520</v>
      </c>
      <c r="M17" s="120" t="n">
        <f aca="false">M15*Inputs!$B$16*Inputs!$B$9*1</f>
        <v>520</v>
      </c>
      <c r="N17" s="120" t="n">
        <f aca="false">N15*Inputs!$B$16*Inputs!$B$9*1</f>
        <v>520</v>
      </c>
      <c r="O17" s="120" t="n">
        <f aca="false">O15*Inputs!$B$16*Inputs!$B$9*1</f>
        <v>520</v>
      </c>
      <c r="P17" s="120" t="n">
        <f aca="false">P15*Inputs!$B$16*Inputs!$B$9*1</f>
        <v>520</v>
      </c>
      <c r="Q17" s="120" t="n">
        <f aca="false">Q15*Inputs!$B$16*Inputs!$B$9*1</f>
        <v>520</v>
      </c>
      <c r="R17" s="120" t="n">
        <f aca="false">R15*Inputs!$B$16*Inputs!$B$9*1</f>
        <v>520</v>
      </c>
      <c r="S17" s="120" t="n">
        <f aca="false">S15*Inputs!$B$16*Inputs!$B$9*1</f>
        <v>520</v>
      </c>
      <c r="T17" s="120" t="n">
        <f aca="false">T15*Inputs!$B$16*Inputs!$B$9*1</f>
        <v>520</v>
      </c>
      <c r="U17" s="120" t="n">
        <f aca="false">U15*Inputs!$B$16*Inputs!$B$9*1</f>
        <v>520</v>
      </c>
      <c r="V17" s="120" t="n">
        <f aca="false">V15*Inputs!$B$16*Inputs!$B$9*1</f>
        <v>520</v>
      </c>
      <c r="W17" s="120" t="n">
        <f aca="false">W15*Inputs!$B$16*Inputs!$B$9*1</f>
        <v>520</v>
      </c>
      <c r="X17" s="120" t="n">
        <f aca="false">X15*Inputs!$B$16*Inputs!$B$9*1</f>
        <v>520</v>
      </c>
      <c r="Y17" s="120" t="n">
        <f aca="false">Y15*Inputs!$B$16*Inputs!$B$9*1</f>
        <v>520</v>
      </c>
      <c r="Z17" s="120" t="n">
        <f aca="false">Z15*Inputs!$B$16*Inputs!$B$9*1</f>
        <v>520</v>
      </c>
      <c r="AA17" s="120" t="n">
        <f aca="false">AA15*Inputs!$B$16*Inputs!$B$9*1</f>
        <v>520</v>
      </c>
      <c r="AB17" s="120" t="n">
        <f aca="false">AB15*Inputs!$B$16*Inputs!$B$9*1</f>
        <v>520</v>
      </c>
      <c r="AC17" s="120" t="n">
        <f aca="false">AC15*Inputs!$B$16*Inputs!$B$9*1</f>
        <v>520</v>
      </c>
      <c r="AD17" s="120" t="n">
        <f aca="false">AD15*Inputs!$B$16*Inputs!$B$9*1</f>
        <v>520</v>
      </c>
      <c r="AE17" s="120" t="n">
        <f aca="false">AE15*Inputs!$B$16*Inputs!$B$9*1</f>
        <v>520</v>
      </c>
      <c r="AF17" s="120" t="n">
        <f aca="false">AF15*Inputs!$B$16*Inputs!$B$9*1</f>
        <v>520</v>
      </c>
      <c r="AG17" s="120" t="n">
        <f aca="false">AG15*Inputs!$B$16*Inputs!$B$9*1</f>
        <v>520</v>
      </c>
      <c r="AH17" s="120" t="n">
        <f aca="false">AH15*Inputs!$B$16*Inputs!$B$9*1</f>
        <v>520</v>
      </c>
      <c r="AI17" s="120" t="n">
        <f aca="false">AI15*Inputs!$B$16*Inputs!$B$9*1</f>
        <v>520</v>
      </c>
      <c r="AJ17" s="120" t="n">
        <f aca="false">AJ15*Inputs!$B$16*Inputs!$B$9*1</f>
        <v>520</v>
      </c>
      <c r="AK17" s="120" t="n">
        <f aca="false">AK15*Inputs!$B$16*Inputs!$B$9*1</f>
        <v>520</v>
      </c>
      <c r="AL17" s="120" t="n">
        <f aca="false">AL15*Inputs!$B$16*Inputs!$B$9*1</f>
        <v>520</v>
      </c>
      <c r="AM17" s="120" t="n">
        <f aca="false">AM15*Inputs!$B$16*Inputs!$B$9*1</f>
        <v>520</v>
      </c>
      <c r="AN17" s="120" t="n">
        <f aca="false">AN15*Inputs!$B$16*Inputs!$B$9*1</f>
        <v>520</v>
      </c>
      <c r="AO17" s="120" t="n">
        <f aca="false">AO15*Inputs!$B$16*Inputs!$B$9*1</f>
        <v>520</v>
      </c>
      <c r="AP17" s="120" t="n">
        <f aca="false">AP15*Inputs!$B$16*Inputs!$B$9*1</f>
        <v>520</v>
      </c>
      <c r="AQ17" s="120" t="n">
        <f aca="false">AQ15*Inputs!$B$16*Inputs!$B$9*1</f>
        <v>520</v>
      </c>
      <c r="AR17" s="120" t="n">
        <f aca="false">AR15*Inputs!$B$16*Inputs!$B$9*1</f>
        <v>520</v>
      </c>
      <c r="AS17" s="120" t="n">
        <f aca="false">AS15*Inputs!$B$16*Inputs!$B$9*1</f>
        <v>520</v>
      </c>
      <c r="AT17" s="120" t="n">
        <f aca="false">AT15*Inputs!$B$16*Inputs!$B$9*1</f>
        <v>520</v>
      </c>
      <c r="AU17" s="120" t="n">
        <f aca="false">AU15*Inputs!$B$16*Inputs!$B$9*1</f>
        <v>520</v>
      </c>
      <c r="AV17" s="120" t="n">
        <f aca="false">AV15*Inputs!$B$16*Inputs!$B$9*1</f>
        <v>520</v>
      </c>
      <c r="AW17" s="120" t="n">
        <f aca="false">AW15*Inputs!$B$16*Inputs!$B$9*1</f>
        <v>520</v>
      </c>
      <c r="AX17" s="120" t="n">
        <f aca="false">AX15*Inputs!$B$16*Inputs!$B$9*1</f>
        <v>520</v>
      </c>
      <c r="AY17" s="120" t="n">
        <f aca="false">AY15*Inputs!$B$16*Inputs!$B$9*1</f>
        <v>520</v>
      </c>
      <c r="AZ17" s="120" t="n">
        <f aca="false">AZ15*Inputs!$B$16*Inputs!$B$9*1</f>
        <v>520</v>
      </c>
      <c r="BA17" s="120" t="n">
        <f aca="false">BA15*Inputs!$B$16*Inputs!$B$9*1</f>
        <v>520</v>
      </c>
      <c r="BB17" s="120" t="n">
        <f aca="false">BB15*Inputs!$B$16*Inputs!$B$9*1</f>
        <v>520</v>
      </c>
      <c r="BC17" s="120" t="n">
        <f aca="false">BC15*Inputs!$B$16*Inputs!$B$9*1</f>
        <v>520</v>
      </c>
      <c r="BD17" s="120" t="n">
        <f aca="false">BD15*Inputs!$B$16*Inputs!$B$9*1</f>
        <v>520</v>
      </c>
      <c r="BE17" s="120" t="n">
        <f aca="false">BE15*Inputs!$B$16*Inputs!$B$9*1</f>
        <v>520</v>
      </c>
      <c r="BF17" s="120" t="n">
        <f aca="false">BF15*Inputs!$B$16*Inputs!$B$9*1</f>
        <v>520</v>
      </c>
      <c r="BG17" s="120" t="n">
        <f aca="false">BG15*Inputs!$B$16*Inputs!$B$9*1</f>
        <v>520</v>
      </c>
      <c r="BH17" s="120" t="n">
        <f aca="false">BH15*Inputs!$B$16*Inputs!$B$9*1</f>
        <v>520</v>
      </c>
      <c r="BI17" s="120" t="n">
        <f aca="false">BI15*Inputs!$B$16*Inputs!$B$9*1</f>
        <v>520</v>
      </c>
      <c r="BJ17" s="120" t="n">
        <f aca="false">BJ15*Inputs!$B$16*Inputs!$B$9*1</f>
        <v>520</v>
      </c>
    </row>
    <row r="18" customFormat="false" ht="15" hidden="false" customHeight="false" outlineLevel="0" collapsed="false">
      <c r="A18" s="6" t="s">
        <v>234</v>
      </c>
      <c r="C18" s="120" t="n">
        <f aca="false">MIN(C16,C17)</f>
        <v>520</v>
      </c>
      <c r="D18" s="120" t="n">
        <f aca="false">MIN(D16,D17)</f>
        <v>520</v>
      </c>
      <c r="E18" s="120" t="n">
        <f aca="false">MIN(E16,E17)</f>
        <v>520</v>
      </c>
      <c r="F18" s="120" t="n">
        <f aca="false">MIN(F16,F17)</f>
        <v>520</v>
      </c>
      <c r="G18" s="120" t="n">
        <f aca="false">MIN(G16,G17)</f>
        <v>520</v>
      </c>
      <c r="H18" s="120" t="n">
        <f aca="false">MIN(H16,H17)</f>
        <v>520</v>
      </c>
      <c r="I18" s="120" t="n">
        <f aca="false">MIN(I16,I17)</f>
        <v>520</v>
      </c>
      <c r="J18" s="120" t="n">
        <f aca="false">MIN(J16,J17)</f>
        <v>520</v>
      </c>
      <c r="K18" s="120" t="n">
        <f aca="false">MIN(K16,K17)</f>
        <v>520</v>
      </c>
      <c r="L18" s="120" t="n">
        <f aca="false">MIN(L16,L17)</f>
        <v>520</v>
      </c>
      <c r="M18" s="120" t="n">
        <f aca="false">MIN(M16,M17)</f>
        <v>520</v>
      </c>
      <c r="N18" s="120" t="n">
        <f aca="false">MIN(N16,N17)</f>
        <v>520</v>
      </c>
      <c r="O18" s="120" t="n">
        <f aca="false">MIN(O16,O17)</f>
        <v>520</v>
      </c>
      <c r="P18" s="120" t="n">
        <f aca="false">MIN(P16,P17)</f>
        <v>520</v>
      </c>
      <c r="Q18" s="120" t="n">
        <f aca="false">MIN(Q16,Q17)</f>
        <v>520</v>
      </c>
      <c r="R18" s="120" t="n">
        <f aca="false">MIN(R16,R17)</f>
        <v>520</v>
      </c>
      <c r="S18" s="120" t="n">
        <f aca="false">MIN(S16,S17)</f>
        <v>520</v>
      </c>
      <c r="T18" s="120" t="n">
        <f aca="false">MIN(T16,T17)</f>
        <v>520</v>
      </c>
      <c r="U18" s="120" t="n">
        <f aca="false">MIN(U16,U17)</f>
        <v>520</v>
      </c>
      <c r="V18" s="120" t="n">
        <f aca="false">MIN(V16,V17)</f>
        <v>520</v>
      </c>
      <c r="W18" s="120" t="n">
        <f aca="false">MIN(W16,W17)</f>
        <v>520</v>
      </c>
      <c r="X18" s="120" t="n">
        <f aca="false">MIN(X16,X17)</f>
        <v>520</v>
      </c>
      <c r="Y18" s="120" t="n">
        <f aca="false">MIN(Y16,Y17)</f>
        <v>520</v>
      </c>
      <c r="Z18" s="120" t="n">
        <f aca="false">MIN(Z16,Z17)</f>
        <v>520</v>
      </c>
      <c r="AA18" s="120" t="n">
        <f aca="false">MIN(AA16,AA17)</f>
        <v>520</v>
      </c>
      <c r="AB18" s="120" t="n">
        <f aca="false">MIN(AB16,AB17)</f>
        <v>520</v>
      </c>
      <c r="AC18" s="120" t="n">
        <f aca="false">MIN(AC16,AC17)</f>
        <v>520</v>
      </c>
      <c r="AD18" s="120" t="n">
        <f aca="false">MIN(AD16,AD17)</f>
        <v>520</v>
      </c>
      <c r="AE18" s="120" t="n">
        <f aca="false">MIN(AE16,AE17)</f>
        <v>520</v>
      </c>
      <c r="AF18" s="120" t="n">
        <f aca="false">MIN(AF16,AF17)</f>
        <v>520</v>
      </c>
      <c r="AG18" s="120" t="n">
        <f aca="false">MIN(AG16,AG17)</f>
        <v>520</v>
      </c>
      <c r="AH18" s="120" t="n">
        <f aca="false">MIN(AH16,AH17)</f>
        <v>520</v>
      </c>
      <c r="AI18" s="120" t="n">
        <f aca="false">MIN(AI16,AI17)</f>
        <v>520</v>
      </c>
      <c r="AJ18" s="120" t="n">
        <f aca="false">MIN(AJ16,AJ17)</f>
        <v>520</v>
      </c>
      <c r="AK18" s="120" t="n">
        <f aca="false">MIN(AK16,AK17)</f>
        <v>520</v>
      </c>
      <c r="AL18" s="120" t="n">
        <f aca="false">MIN(AL16,AL17)</f>
        <v>520</v>
      </c>
      <c r="AM18" s="120" t="n">
        <f aca="false">MIN(AM16,AM17)</f>
        <v>520</v>
      </c>
      <c r="AN18" s="120" t="n">
        <f aca="false">MIN(AN16,AN17)</f>
        <v>520</v>
      </c>
      <c r="AO18" s="120" t="n">
        <f aca="false">MIN(AO16,AO17)</f>
        <v>520</v>
      </c>
      <c r="AP18" s="120" t="n">
        <f aca="false">MIN(AP16,AP17)</f>
        <v>520</v>
      </c>
      <c r="AQ18" s="120" t="n">
        <f aca="false">MIN(AQ16,AQ17)</f>
        <v>520</v>
      </c>
      <c r="AR18" s="120" t="n">
        <f aca="false">MIN(AR16,AR17)</f>
        <v>520</v>
      </c>
      <c r="AS18" s="120" t="n">
        <f aca="false">MIN(AS16,AS17)</f>
        <v>520</v>
      </c>
      <c r="AT18" s="120" t="n">
        <f aca="false">MIN(AT16,AT17)</f>
        <v>520</v>
      </c>
      <c r="AU18" s="120" t="n">
        <f aca="false">MIN(AU16,AU17)</f>
        <v>520</v>
      </c>
      <c r="AV18" s="120" t="n">
        <f aca="false">MIN(AV16,AV17)</f>
        <v>520</v>
      </c>
      <c r="AW18" s="120" t="n">
        <f aca="false">MIN(AW16,AW17)</f>
        <v>520</v>
      </c>
      <c r="AX18" s="120" t="n">
        <f aca="false">MIN(AX16,AX17)</f>
        <v>520</v>
      </c>
      <c r="AY18" s="120" t="n">
        <f aca="false">MIN(AY16,AY17)</f>
        <v>520</v>
      </c>
      <c r="AZ18" s="120" t="n">
        <f aca="false">MIN(AZ16,AZ17)</f>
        <v>520</v>
      </c>
      <c r="BA18" s="120" t="n">
        <f aca="false">MIN(BA16,BA17)</f>
        <v>520</v>
      </c>
      <c r="BB18" s="120" t="n">
        <f aca="false">MIN(BB16,BB17)</f>
        <v>520</v>
      </c>
      <c r="BC18" s="120" t="n">
        <f aca="false">MIN(BC16,BC17)</f>
        <v>520</v>
      </c>
      <c r="BD18" s="120" t="n">
        <f aca="false">MIN(BD16,BD17)</f>
        <v>520</v>
      </c>
      <c r="BE18" s="120" t="n">
        <f aca="false">MIN(BE16,BE17)</f>
        <v>520</v>
      </c>
      <c r="BF18" s="120" t="n">
        <f aca="false">MIN(BF16,BF17)</f>
        <v>520</v>
      </c>
      <c r="BG18" s="120" t="n">
        <f aca="false">MIN(BG16,BG17)</f>
        <v>520</v>
      </c>
      <c r="BH18" s="120" t="n">
        <f aca="false">MIN(BH16,BH17)</f>
        <v>520</v>
      </c>
      <c r="BI18" s="120" t="n">
        <f aca="false">MIN(BI16,BI17)</f>
        <v>520</v>
      </c>
      <c r="BJ18" s="120" t="n">
        <f aca="false">MIN(BJ16,BJ17)</f>
        <v>520</v>
      </c>
    </row>
    <row r="19" customFormat="false" ht="15" hidden="false" customHeight="false" outlineLevel="0" collapsed="false">
      <c r="A19" s="4" t="s">
        <v>418</v>
      </c>
      <c r="C19" s="122" t="n">
        <f aca="false">MIN(C12,C18)</f>
        <v>101.4</v>
      </c>
      <c r="D19" s="122" t="n">
        <f aca="false">MIN(D12,D18)</f>
        <v>118.3</v>
      </c>
      <c r="E19" s="122" t="n">
        <f aca="false">MIN(E12,E18)</f>
        <v>135.2</v>
      </c>
      <c r="F19" s="122" t="n">
        <f aca="false">MIN(F12,F18)</f>
        <v>152.1</v>
      </c>
      <c r="G19" s="122" t="n">
        <f aca="false">MIN(G12,G18)</f>
        <v>169</v>
      </c>
      <c r="H19" s="122" t="n">
        <f aca="false">MIN(H12,H18)</f>
        <v>185.9</v>
      </c>
      <c r="I19" s="122" t="n">
        <f aca="false">MIN(I12,I18)</f>
        <v>202.8</v>
      </c>
      <c r="J19" s="122" t="n">
        <f aca="false">MIN(J12,J18)</f>
        <v>219.7</v>
      </c>
      <c r="K19" s="122" t="n">
        <f aca="false">MIN(K12,K18)</f>
        <v>236.6</v>
      </c>
      <c r="L19" s="122" t="n">
        <f aca="false">MIN(L12,L18)</f>
        <v>253.5</v>
      </c>
      <c r="M19" s="122" t="n">
        <f aca="false">MIN(M12,M18)</f>
        <v>270.4</v>
      </c>
      <c r="N19" s="122" t="n">
        <f aca="false">MIN(N12,N18)</f>
        <v>287.3</v>
      </c>
      <c r="O19" s="122" t="n">
        <f aca="false">MIN(O12,O18)</f>
        <v>304.2</v>
      </c>
      <c r="P19" s="122" t="n">
        <f aca="false">MIN(P12,P18)</f>
        <v>321.1</v>
      </c>
      <c r="Q19" s="122" t="n">
        <f aca="false">MIN(Q12,Q18)</f>
        <v>338</v>
      </c>
      <c r="R19" s="122" t="n">
        <f aca="false">MIN(R12,R18)</f>
        <v>338</v>
      </c>
      <c r="S19" s="122" t="n">
        <f aca="false">MIN(S12,S18)</f>
        <v>338</v>
      </c>
      <c r="T19" s="122" t="n">
        <f aca="false">MIN(T12,T18)</f>
        <v>338</v>
      </c>
      <c r="U19" s="122" t="n">
        <f aca="false">MIN(U12,U18)</f>
        <v>338</v>
      </c>
      <c r="V19" s="122" t="n">
        <f aca="false">MIN(V12,V18)</f>
        <v>338</v>
      </c>
      <c r="W19" s="122" t="n">
        <f aca="false">MIN(W12,W18)</f>
        <v>338</v>
      </c>
      <c r="X19" s="122" t="n">
        <f aca="false">MIN(X12,X18)</f>
        <v>338</v>
      </c>
      <c r="Y19" s="122" t="n">
        <f aca="false">MIN(Y12,Y18)</f>
        <v>338</v>
      </c>
      <c r="Z19" s="122" t="n">
        <f aca="false">MIN(Z12,Z18)</f>
        <v>338</v>
      </c>
      <c r="AA19" s="122" t="n">
        <f aca="false">MIN(AA12,AA18)</f>
        <v>338</v>
      </c>
      <c r="AB19" s="122" t="n">
        <f aca="false">MIN(AB12,AB18)</f>
        <v>338</v>
      </c>
      <c r="AC19" s="122" t="n">
        <f aca="false">MIN(AC12,AC18)</f>
        <v>338</v>
      </c>
      <c r="AD19" s="122" t="n">
        <f aca="false">MIN(AD12,AD18)</f>
        <v>338</v>
      </c>
      <c r="AE19" s="122" t="n">
        <f aca="false">MIN(AE12,AE18)</f>
        <v>338</v>
      </c>
      <c r="AF19" s="122" t="n">
        <f aca="false">MIN(AF12,AF18)</f>
        <v>338</v>
      </c>
      <c r="AG19" s="122" t="n">
        <f aca="false">MIN(AG12,AG18)</f>
        <v>338</v>
      </c>
      <c r="AH19" s="122" t="n">
        <f aca="false">MIN(AH12,AH18)</f>
        <v>338</v>
      </c>
      <c r="AI19" s="122" t="n">
        <f aca="false">MIN(AI12,AI18)</f>
        <v>338</v>
      </c>
      <c r="AJ19" s="122" t="n">
        <f aca="false">MIN(AJ12,AJ18)</f>
        <v>338</v>
      </c>
      <c r="AK19" s="122" t="n">
        <f aca="false">MIN(AK12,AK18)</f>
        <v>338</v>
      </c>
      <c r="AL19" s="122" t="n">
        <f aca="false">MIN(AL12,AL18)</f>
        <v>338</v>
      </c>
      <c r="AM19" s="122" t="n">
        <f aca="false">MIN(AM12,AM18)</f>
        <v>338</v>
      </c>
      <c r="AN19" s="122" t="n">
        <f aca="false">MIN(AN12,AN18)</f>
        <v>338</v>
      </c>
      <c r="AO19" s="122" t="n">
        <f aca="false">MIN(AO12,AO18)</f>
        <v>338</v>
      </c>
      <c r="AP19" s="122" t="n">
        <f aca="false">MIN(AP12,AP18)</f>
        <v>338</v>
      </c>
      <c r="AQ19" s="122" t="n">
        <f aca="false">MIN(AQ12,AQ18)</f>
        <v>338</v>
      </c>
      <c r="AR19" s="122" t="n">
        <f aca="false">MIN(AR12,AR18)</f>
        <v>338</v>
      </c>
      <c r="AS19" s="122" t="n">
        <f aca="false">MIN(AS12,AS18)</f>
        <v>338</v>
      </c>
      <c r="AT19" s="122" t="n">
        <f aca="false">MIN(AT12,AT18)</f>
        <v>338</v>
      </c>
      <c r="AU19" s="122" t="n">
        <f aca="false">MIN(AU12,AU18)</f>
        <v>338</v>
      </c>
      <c r="AV19" s="122" t="n">
        <f aca="false">MIN(AV12,AV18)</f>
        <v>338</v>
      </c>
      <c r="AW19" s="122" t="n">
        <f aca="false">MIN(AW12,AW18)</f>
        <v>338</v>
      </c>
      <c r="AX19" s="122" t="n">
        <f aca="false">MIN(AX12,AX18)</f>
        <v>338</v>
      </c>
      <c r="AY19" s="122" t="n">
        <f aca="false">MIN(AY12,AY18)</f>
        <v>338</v>
      </c>
      <c r="AZ19" s="122" t="n">
        <f aca="false">MIN(AZ12,AZ18)</f>
        <v>338</v>
      </c>
      <c r="BA19" s="122" t="n">
        <f aca="false">MIN(BA12,BA18)</f>
        <v>338</v>
      </c>
      <c r="BB19" s="122" t="n">
        <f aca="false">MIN(BB12,BB18)</f>
        <v>338</v>
      </c>
      <c r="BC19" s="122" t="n">
        <f aca="false">MIN(BC12,BC18)</f>
        <v>338</v>
      </c>
      <c r="BD19" s="122" t="n">
        <f aca="false">MIN(BD12,BD18)</f>
        <v>338</v>
      </c>
      <c r="BE19" s="122" t="n">
        <f aca="false">MIN(BE12,BE18)</f>
        <v>338</v>
      </c>
      <c r="BF19" s="122" t="n">
        <f aca="false">MIN(BF12,BF18)</f>
        <v>338</v>
      </c>
      <c r="BG19" s="122" t="n">
        <f aca="false">MIN(BG12,BG18)</f>
        <v>338</v>
      </c>
      <c r="BH19" s="122" t="n">
        <f aca="false">MIN(BH12,BH18)</f>
        <v>338</v>
      </c>
      <c r="BI19" s="122" t="n">
        <f aca="false">MIN(BI12,BI18)</f>
        <v>338</v>
      </c>
      <c r="BJ19" s="122" t="n">
        <f aca="false">MIN(BJ12,BJ18)</f>
        <v>338</v>
      </c>
    </row>
    <row r="20" customFormat="false" ht="15" hidden="false" customHeight="false" outlineLevel="0" collapsed="false">
      <c r="A20" s="6" t="s">
        <v>235</v>
      </c>
      <c r="C20" s="120" t="n">
        <f aca="false">C12-C19</f>
        <v>0</v>
      </c>
      <c r="D20" s="120" t="n">
        <f aca="false">D12-D19</f>
        <v>0</v>
      </c>
      <c r="E20" s="120" t="n">
        <f aca="false">E12-E19</f>
        <v>0</v>
      </c>
      <c r="F20" s="120" t="n">
        <f aca="false">F12-F19</f>
        <v>0</v>
      </c>
      <c r="G20" s="120" t="n">
        <f aca="false">G12-G19</f>
        <v>0</v>
      </c>
      <c r="H20" s="120" t="n">
        <f aca="false">H12-H19</f>
        <v>0</v>
      </c>
      <c r="I20" s="120" t="n">
        <f aca="false">I12-I19</f>
        <v>0</v>
      </c>
      <c r="J20" s="120" t="n">
        <f aca="false">J12-J19</f>
        <v>0</v>
      </c>
      <c r="K20" s="120" t="n">
        <f aca="false">K12-K19</f>
        <v>0</v>
      </c>
      <c r="L20" s="120" t="n">
        <f aca="false">L12-L19</f>
        <v>0</v>
      </c>
      <c r="M20" s="120" t="n">
        <f aca="false">M12-M19</f>
        <v>0</v>
      </c>
      <c r="N20" s="120" t="n">
        <f aca="false">N12-N19</f>
        <v>0</v>
      </c>
      <c r="O20" s="120" t="n">
        <f aca="false">O12-O19</f>
        <v>0</v>
      </c>
      <c r="P20" s="120" t="n">
        <f aca="false">P12-P19</f>
        <v>0</v>
      </c>
      <c r="Q20" s="120" t="n">
        <f aca="false">Q12-Q19</f>
        <v>0</v>
      </c>
      <c r="R20" s="120" t="n">
        <f aca="false">R12-R19</f>
        <v>0</v>
      </c>
      <c r="S20" s="120" t="n">
        <f aca="false">S12-S19</f>
        <v>0</v>
      </c>
      <c r="T20" s="120" t="n">
        <f aca="false">T12-T19</f>
        <v>0</v>
      </c>
      <c r="U20" s="120" t="n">
        <f aca="false">U12-U19</f>
        <v>0</v>
      </c>
      <c r="V20" s="120" t="n">
        <f aca="false">V12-V19</f>
        <v>0</v>
      </c>
      <c r="W20" s="120" t="n">
        <f aca="false">W12-W19</f>
        <v>0</v>
      </c>
      <c r="X20" s="120" t="n">
        <f aca="false">X12-X19</f>
        <v>0</v>
      </c>
      <c r="Y20" s="120" t="n">
        <f aca="false">Y12-Y19</f>
        <v>0</v>
      </c>
      <c r="Z20" s="120" t="n">
        <f aca="false">Z12-Z19</f>
        <v>0</v>
      </c>
      <c r="AA20" s="120" t="n">
        <f aca="false">AA12-AA19</f>
        <v>0</v>
      </c>
      <c r="AB20" s="120" t="n">
        <f aca="false">AB12-AB19</f>
        <v>0</v>
      </c>
      <c r="AC20" s="120" t="n">
        <f aca="false">AC12-AC19</f>
        <v>0</v>
      </c>
      <c r="AD20" s="120" t="n">
        <f aca="false">AD12-AD19</f>
        <v>0</v>
      </c>
      <c r="AE20" s="120" t="n">
        <f aca="false">AE12-AE19</f>
        <v>0</v>
      </c>
      <c r="AF20" s="120" t="n">
        <f aca="false">AF12-AF19</f>
        <v>0</v>
      </c>
      <c r="AG20" s="120" t="n">
        <f aca="false">AG12-AG19</f>
        <v>0</v>
      </c>
      <c r="AH20" s="120" t="n">
        <f aca="false">AH12-AH19</f>
        <v>0</v>
      </c>
      <c r="AI20" s="120" t="n">
        <f aca="false">AI12-AI19</f>
        <v>0</v>
      </c>
      <c r="AJ20" s="120" t="n">
        <f aca="false">AJ12-AJ19</f>
        <v>0</v>
      </c>
      <c r="AK20" s="120" t="n">
        <f aca="false">AK12-AK19</f>
        <v>0</v>
      </c>
      <c r="AL20" s="120" t="n">
        <f aca="false">AL12-AL19</f>
        <v>0</v>
      </c>
      <c r="AM20" s="120" t="n">
        <f aca="false">AM12-AM19</f>
        <v>0</v>
      </c>
      <c r="AN20" s="120" t="n">
        <f aca="false">AN12-AN19</f>
        <v>0</v>
      </c>
      <c r="AO20" s="120" t="n">
        <f aca="false">AO12-AO19</f>
        <v>0</v>
      </c>
      <c r="AP20" s="120" t="n">
        <f aca="false">AP12-AP19</f>
        <v>0</v>
      </c>
      <c r="AQ20" s="120" t="n">
        <f aca="false">AQ12-AQ19</f>
        <v>0</v>
      </c>
      <c r="AR20" s="120" t="n">
        <f aca="false">AR12-AR19</f>
        <v>0</v>
      </c>
      <c r="AS20" s="120" t="n">
        <f aca="false">AS12-AS19</f>
        <v>0</v>
      </c>
      <c r="AT20" s="120" t="n">
        <f aca="false">AT12-AT19</f>
        <v>0</v>
      </c>
      <c r="AU20" s="120" t="n">
        <f aca="false">AU12-AU19</f>
        <v>0</v>
      </c>
      <c r="AV20" s="120" t="n">
        <f aca="false">AV12-AV19</f>
        <v>0</v>
      </c>
      <c r="AW20" s="120" t="n">
        <f aca="false">AW12-AW19</f>
        <v>0</v>
      </c>
      <c r="AX20" s="120" t="n">
        <f aca="false">AX12-AX19</f>
        <v>0</v>
      </c>
      <c r="AY20" s="120" t="n">
        <f aca="false">AY12-AY19</f>
        <v>0</v>
      </c>
      <c r="AZ20" s="120" t="n">
        <f aca="false">AZ12-AZ19</f>
        <v>0</v>
      </c>
      <c r="BA20" s="120" t="n">
        <f aca="false">BA12-BA19</f>
        <v>0</v>
      </c>
      <c r="BB20" s="120" t="n">
        <f aca="false">BB12-BB19</f>
        <v>0</v>
      </c>
      <c r="BC20" s="120" t="n">
        <f aca="false">BC12-BC19</f>
        <v>0</v>
      </c>
      <c r="BD20" s="120" t="n">
        <f aca="false">BD12-BD19</f>
        <v>0</v>
      </c>
      <c r="BE20" s="120" t="n">
        <f aca="false">BE12-BE19</f>
        <v>0</v>
      </c>
      <c r="BF20" s="120" t="n">
        <f aca="false">BF12-BF19</f>
        <v>0</v>
      </c>
      <c r="BG20" s="120" t="n">
        <f aca="false">BG12-BG19</f>
        <v>0</v>
      </c>
      <c r="BH20" s="120" t="n">
        <f aca="false">BH12-BH19</f>
        <v>0</v>
      </c>
      <c r="BI20" s="120" t="n">
        <f aca="false">BI12-BI19</f>
        <v>0</v>
      </c>
      <c r="BJ20" s="120" t="n">
        <f aca="false">BJ12-BJ19</f>
        <v>0</v>
      </c>
    </row>
    <row r="22" customFormat="false" ht="15.75" hidden="false" customHeight="true" outlineLevel="0" collapsed="false">
      <c r="A22" s="7" t="s">
        <v>272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419</v>
      </c>
      <c r="C23" s="79" t="n">
        <f aca="false">IF(OR(AND(MOD(C$6-1,12)&gt;=5,MOD(C$6-1,12)&lt;=7),MOD(C$6-1,12)=11),1+Inputs!$B$28,1-Inputs!$B$28/2)</f>
        <v>0.925</v>
      </c>
      <c r="D23" s="79" t="n">
        <f aca="false">IF(OR(AND(MOD(D$6-1,12)&gt;=5,MOD(D$6-1,12)&lt;=7),MOD(D$6-1,12)=11),1+Inputs!$B$28,1-Inputs!$B$28/2)</f>
        <v>0.925</v>
      </c>
      <c r="E23" s="79" t="n">
        <f aca="false">IF(OR(AND(MOD(E$6-1,12)&gt;=5,MOD(E$6-1,12)&lt;=7),MOD(E$6-1,12)=11),1+Inputs!$B$28,1-Inputs!$B$28/2)</f>
        <v>0.925</v>
      </c>
      <c r="F23" s="79" t="n">
        <f aca="false">IF(OR(AND(MOD(F$6-1,12)&gt;=5,MOD(F$6-1,12)&lt;=7),MOD(F$6-1,12)=11),1+Inputs!$B$28,1-Inputs!$B$28/2)</f>
        <v>0.925</v>
      </c>
      <c r="G23" s="79" t="n">
        <f aca="false">IF(OR(AND(MOD(G$6-1,12)&gt;=5,MOD(G$6-1,12)&lt;=7),MOD(G$6-1,12)=11),1+Inputs!$B$28,1-Inputs!$B$28/2)</f>
        <v>0.925</v>
      </c>
      <c r="H23" s="79" t="n">
        <f aca="false">IF(OR(AND(MOD(H$6-1,12)&gt;=5,MOD(H$6-1,12)&lt;=7),MOD(H$6-1,12)=11),1+Inputs!$B$28,1-Inputs!$B$28/2)</f>
        <v>1.15</v>
      </c>
      <c r="I23" s="79" t="n">
        <f aca="false">IF(OR(AND(MOD(I$6-1,12)&gt;=5,MOD(I$6-1,12)&lt;=7),MOD(I$6-1,12)=11),1+Inputs!$B$28,1-Inputs!$B$28/2)</f>
        <v>1.15</v>
      </c>
      <c r="J23" s="79" t="n">
        <f aca="false">IF(OR(AND(MOD(J$6-1,12)&gt;=5,MOD(J$6-1,12)&lt;=7),MOD(J$6-1,12)=11),1+Inputs!$B$28,1-Inputs!$B$28/2)</f>
        <v>1.15</v>
      </c>
      <c r="K23" s="79" t="n">
        <f aca="false">IF(OR(AND(MOD(K$6-1,12)&gt;=5,MOD(K$6-1,12)&lt;=7),MOD(K$6-1,12)=11),1+Inputs!$B$28,1-Inputs!$B$28/2)</f>
        <v>0.925</v>
      </c>
      <c r="L23" s="79" t="n">
        <f aca="false">IF(OR(AND(MOD(L$6-1,12)&gt;=5,MOD(L$6-1,12)&lt;=7),MOD(L$6-1,12)=11),1+Inputs!$B$28,1-Inputs!$B$28/2)</f>
        <v>0.925</v>
      </c>
      <c r="M23" s="79" t="n">
        <f aca="false">IF(OR(AND(MOD(M$6-1,12)&gt;=5,MOD(M$6-1,12)&lt;=7),MOD(M$6-1,12)=11),1+Inputs!$B$28,1-Inputs!$B$28/2)</f>
        <v>0.925</v>
      </c>
      <c r="N23" s="79" t="n">
        <f aca="false">IF(OR(AND(MOD(N$6-1,12)&gt;=5,MOD(N$6-1,12)&lt;=7),MOD(N$6-1,12)=11),1+Inputs!$B$28,1-Inputs!$B$28/2)</f>
        <v>1.15</v>
      </c>
      <c r="O23" s="79" t="n">
        <f aca="false">IF(OR(AND(MOD(O$6-1,12)&gt;=5,MOD(O$6-1,12)&lt;=7),MOD(O$6-1,12)=11),1+Inputs!$B$28,1-Inputs!$B$28/2)</f>
        <v>0.925</v>
      </c>
      <c r="P23" s="79" t="n">
        <f aca="false">IF(OR(AND(MOD(P$6-1,12)&gt;=5,MOD(P$6-1,12)&lt;=7),MOD(P$6-1,12)=11),1+Inputs!$B$28,1-Inputs!$B$28/2)</f>
        <v>0.925</v>
      </c>
      <c r="Q23" s="79" t="n">
        <f aca="false">IF(OR(AND(MOD(Q$6-1,12)&gt;=5,MOD(Q$6-1,12)&lt;=7),MOD(Q$6-1,12)=11),1+Inputs!$B$28,1-Inputs!$B$28/2)</f>
        <v>0.925</v>
      </c>
      <c r="R23" s="79" t="n">
        <f aca="false">IF(OR(AND(MOD(R$6-1,12)&gt;=5,MOD(R$6-1,12)&lt;=7),MOD(R$6-1,12)=11),1+Inputs!$B$28,1-Inputs!$B$28/2)</f>
        <v>0.925</v>
      </c>
      <c r="S23" s="79" t="n">
        <f aca="false">IF(OR(AND(MOD(S$6-1,12)&gt;=5,MOD(S$6-1,12)&lt;=7),MOD(S$6-1,12)=11),1+Inputs!$B$28,1-Inputs!$B$28/2)</f>
        <v>0.925</v>
      </c>
      <c r="T23" s="79" t="n">
        <f aca="false">IF(OR(AND(MOD(T$6-1,12)&gt;=5,MOD(T$6-1,12)&lt;=7),MOD(T$6-1,12)=11),1+Inputs!$B$28,1-Inputs!$B$28/2)</f>
        <v>1.15</v>
      </c>
      <c r="U23" s="79" t="n">
        <f aca="false">IF(OR(AND(MOD(U$6-1,12)&gt;=5,MOD(U$6-1,12)&lt;=7),MOD(U$6-1,12)=11),1+Inputs!$B$28,1-Inputs!$B$28/2)</f>
        <v>1.15</v>
      </c>
      <c r="V23" s="79" t="n">
        <f aca="false">IF(OR(AND(MOD(V$6-1,12)&gt;=5,MOD(V$6-1,12)&lt;=7),MOD(V$6-1,12)=11),1+Inputs!$B$28,1-Inputs!$B$28/2)</f>
        <v>1.15</v>
      </c>
      <c r="W23" s="79" t="n">
        <f aca="false">IF(OR(AND(MOD(W$6-1,12)&gt;=5,MOD(W$6-1,12)&lt;=7),MOD(W$6-1,12)=11),1+Inputs!$B$28,1-Inputs!$B$28/2)</f>
        <v>0.925</v>
      </c>
      <c r="X23" s="79" t="n">
        <f aca="false">IF(OR(AND(MOD(X$6-1,12)&gt;=5,MOD(X$6-1,12)&lt;=7),MOD(X$6-1,12)=11),1+Inputs!$B$28,1-Inputs!$B$28/2)</f>
        <v>0.925</v>
      </c>
      <c r="Y23" s="79" t="n">
        <f aca="false">IF(OR(AND(MOD(Y$6-1,12)&gt;=5,MOD(Y$6-1,12)&lt;=7),MOD(Y$6-1,12)=11),1+Inputs!$B$28,1-Inputs!$B$28/2)</f>
        <v>0.925</v>
      </c>
      <c r="Z23" s="79" t="n">
        <f aca="false">IF(OR(AND(MOD(Z$6-1,12)&gt;=5,MOD(Z$6-1,12)&lt;=7),MOD(Z$6-1,12)=11),1+Inputs!$B$28,1-Inputs!$B$28/2)</f>
        <v>1.15</v>
      </c>
      <c r="AA23" s="79" t="n">
        <f aca="false">IF(OR(AND(MOD(AA$6-1,12)&gt;=5,MOD(AA$6-1,12)&lt;=7),MOD(AA$6-1,12)=11),1+Inputs!$B$28,1-Inputs!$B$28/2)</f>
        <v>0.925</v>
      </c>
      <c r="AB23" s="79" t="n">
        <f aca="false">IF(OR(AND(MOD(AB$6-1,12)&gt;=5,MOD(AB$6-1,12)&lt;=7),MOD(AB$6-1,12)=11),1+Inputs!$B$28,1-Inputs!$B$28/2)</f>
        <v>0.925</v>
      </c>
      <c r="AC23" s="79" t="n">
        <f aca="false">IF(OR(AND(MOD(AC$6-1,12)&gt;=5,MOD(AC$6-1,12)&lt;=7),MOD(AC$6-1,12)=11),1+Inputs!$B$28,1-Inputs!$B$28/2)</f>
        <v>0.925</v>
      </c>
      <c r="AD23" s="79" t="n">
        <f aca="false">IF(OR(AND(MOD(AD$6-1,12)&gt;=5,MOD(AD$6-1,12)&lt;=7),MOD(AD$6-1,12)=11),1+Inputs!$B$28,1-Inputs!$B$28/2)</f>
        <v>0.925</v>
      </c>
      <c r="AE23" s="79" t="n">
        <f aca="false">IF(OR(AND(MOD(AE$6-1,12)&gt;=5,MOD(AE$6-1,12)&lt;=7),MOD(AE$6-1,12)=11),1+Inputs!$B$28,1-Inputs!$B$28/2)</f>
        <v>0.925</v>
      </c>
      <c r="AF23" s="79" t="n">
        <f aca="false">IF(OR(AND(MOD(AF$6-1,12)&gt;=5,MOD(AF$6-1,12)&lt;=7),MOD(AF$6-1,12)=11),1+Inputs!$B$28,1-Inputs!$B$28/2)</f>
        <v>1.15</v>
      </c>
      <c r="AG23" s="79" t="n">
        <f aca="false">IF(OR(AND(MOD(AG$6-1,12)&gt;=5,MOD(AG$6-1,12)&lt;=7),MOD(AG$6-1,12)=11),1+Inputs!$B$28,1-Inputs!$B$28/2)</f>
        <v>1.15</v>
      </c>
      <c r="AH23" s="79" t="n">
        <f aca="false">IF(OR(AND(MOD(AH$6-1,12)&gt;=5,MOD(AH$6-1,12)&lt;=7),MOD(AH$6-1,12)=11),1+Inputs!$B$28,1-Inputs!$B$28/2)</f>
        <v>1.15</v>
      </c>
      <c r="AI23" s="79" t="n">
        <f aca="false">IF(OR(AND(MOD(AI$6-1,12)&gt;=5,MOD(AI$6-1,12)&lt;=7),MOD(AI$6-1,12)=11),1+Inputs!$B$28,1-Inputs!$B$28/2)</f>
        <v>0.925</v>
      </c>
      <c r="AJ23" s="79" t="n">
        <f aca="false">IF(OR(AND(MOD(AJ$6-1,12)&gt;=5,MOD(AJ$6-1,12)&lt;=7),MOD(AJ$6-1,12)=11),1+Inputs!$B$28,1-Inputs!$B$28/2)</f>
        <v>0.925</v>
      </c>
      <c r="AK23" s="79" t="n">
        <f aca="false">IF(OR(AND(MOD(AK$6-1,12)&gt;=5,MOD(AK$6-1,12)&lt;=7),MOD(AK$6-1,12)=11),1+Inputs!$B$28,1-Inputs!$B$28/2)</f>
        <v>0.925</v>
      </c>
      <c r="AL23" s="79" t="n">
        <f aca="false">IF(OR(AND(MOD(AL$6-1,12)&gt;=5,MOD(AL$6-1,12)&lt;=7),MOD(AL$6-1,12)=11),1+Inputs!$B$28,1-Inputs!$B$28/2)</f>
        <v>1.15</v>
      </c>
      <c r="AM23" s="79" t="n">
        <f aca="false">IF(OR(AND(MOD(AM$6-1,12)&gt;=5,MOD(AM$6-1,12)&lt;=7),MOD(AM$6-1,12)=11),1+Inputs!$B$28,1-Inputs!$B$28/2)</f>
        <v>0.925</v>
      </c>
      <c r="AN23" s="79" t="n">
        <f aca="false">IF(OR(AND(MOD(AN$6-1,12)&gt;=5,MOD(AN$6-1,12)&lt;=7),MOD(AN$6-1,12)=11),1+Inputs!$B$28,1-Inputs!$B$28/2)</f>
        <v>0.925</v>
      </c>
      <c r="AO23" s="79" t="n">
        <f aca="false">IF(OR(AND(MOD(AO$6-1,12)&gt;=5,MOD(AO$6-1,12)&lt;=7),MOD(AO$6-1,12)=11),1+Inputs!$B$28,1-Inputs!$B$28/2)</f>
        <v>0.925</v>
      </c>
      <c r="AP23" s="79" t="n">
        <f aca="false">IF(OR(AND(MOD(AP$6-1,12)&gt;=5,MOD(AP$6-1,12)&lt;=7),MOD(AP$6-1,12)=11),1+Inputs!$B$28,1-Inputs!$B$28/2)</f>
        <v>0.925</v>
      </c>
      <c r="AQ23" s="79" t="n">
        <f aca="false">IF(OR(AND(MOD(AQ$6-1,12)&gt;=5,MOD(AQ$6-1,12)&lt;=7),MOD(AQ$6-1,12)=11),1+Inputs!$B$28,1-Inputs!$B$28/2)</f>
        <v>0.925</v>
      </c>
      <c r="AR23" s="79" t="n">
        <f aca="false">IF(OR(AND(MOD(AR$6-1,12)&gt;=5,MOD(AR$6-1,12)&lt;=7),MOD(AR$6-1,12)=11),1+Inputs!$B$28,1-Inputs!$B$28/2)</f>
        <v>1.15</v>
      </c>
      <c r="AS23" s="79" t="n">
        <f aca="false">IF(OR(AND(MOD(AS$6-1,12)&gt;=5,MOD(AS$6-1,12)&lt;=7),MOD(AS$6-1,12)=11),1+Inputs!$B$28,1-Inputs!$B$28/2)</f>
        <v>1.15</v>
      </c>
      <c r="AT23" s="79" t="n">
        <f aca="false">IF(OR(AND(MOD(AT$6-1,12)&gt;=5,MOD(AT$6-1,12)&lt;=7),MOD(AT$6-1,12)=11),1+Inputs!$B$28,1-Inputs!$B$28/2)</f>
        <v>1.15</v>
      </c>
      <c r="AU23" s="79" t="n">
        <f aca="false">IF(OR(AND(MOD(AU$6-1,12)&gt;=5,MOD(AU$6-1,12)&lt;=7),MOD(AU$6-1,12)=11),1+Inputs!$B$28,1-Inputs!$B$28/2)</f>
        <v>0.925</v>
      </c>
      <c r="AV23" s="79" t="n">
        <f aca="false">IF(OR(AND(MOD(AV$6-1,12)&gt;=5,MOD(AV$6-1,12)&lt;=7),MOD(AV$6-1,12)=11),1+Inputs!$B$28,1-Inputs!$B$28/2)</f>
        <v>0.925</v>
      </c>
      <c r="AW23" s="79" t="n">
        <f aca="false">IF(OR(AND(MOD(AW$6-1,12)&gt;=5,MOD(AW$6-1,12)&lt;=7),MOD(AW$6-1,12)=11),1+Inputs!$B$28,1-Inputs!$B$28/2)</f>
        <v>0.925</v>
      </c>
      <c r="AX23" s="79" t="n">
        <f aca="false">IF(OR(AND(MOD(AX$6-1,12)&gt;=5,MOD(AX$6-1,12)&lt;=7),MOD(AX$6-1,12)=11),1+Inputs!$B$28,1-Inputs!$B$28/2)</f>
        <v>1.15</v>
      </c>
      <c r="AY23" s="79" t="n">
        <f aca="false">IF(OR(AND(MOD(AY$6-1,12)&gt;=5,MOD(AY$6-1,12)&lt;=7),MOD(AY$6-1,12)=11),1+Inputs!$B$28,1-Inputs!$B$28/2)</f>
        <v>0.925</v>
      </c>
      <c r="AZ23" s="79" t="n">
        <f aca="false">IF(OR(AND(MOD(AZ$6-1,12)&gt;=5,MOD(AZ$6-1,12)&lt;=7),MOD(AZ$6-1,12)=11),1+Inputs!$B$28,1-Inputs!$B$28/2)</f>
        <v>0.925</v>
      </c>
      <c r="BA23" s="79" t="n">
        <f aca="false">IF(OR(AND(MOD(BA$6-1,12)&gt;=5,MOD(BA$6-1,12)&lt;=7),MOD(BA$6-1,12)=11),1+Inputs!$B$28,1-Inputs!$B$28/2)</f>
        <v>0.925</v>
      </c>
      <c r="BB23" s="79" t="n">
        <f aca="false">IF(OR(AND(MOD(BB$6-1,12)&gt;=5,MOD(BB$6-1,12)&lt;=7),MOD(BB$6-1,12)=11),1+Inputs!$B$28,1-Inputs!$B$28/2)</f>
        <v>0.925</v>
      </c>
      <c r="BC23" s="79" t="n">
        <f aca="false">IF(OR(AND(MOD(BC$6-1,12)&gt;=5,MOD(BC$6-1,12)&lt;=7),MOD(BC$6-1,12)=11),1+Inputs!$B$28,1-Inputs!$B$28/2)</f>
        <v>0.925</v>
      </c>
      <c r="BD23" s="79" t="n">
        <f aca="false">IF(OR(AND(MOD(BD$6-1,12)&gt;=5,MOD(BD$6-1,12)&lt;=7),MOD(BD$6-1,12)=11),1+Inputs!$B$28,1-Inputs!$B$28/2)</f>
        <v>1.15</v>
      </c>
      <c r="BE23" s="79" t="n">
        <f aca="false">IF(OR(AND(MOD(BE$6-1,12)&gt;=5,MOD(BE$6-1,12)&lt;=7),MOD(BE$6-1,12)=11),1+Inputs!$B$28,1-Inputs!$B$28/2)</f>
        <v>1.15</v>
      </c>
      <c r="BF23" s="79" t="n">
        <f aca="false">IF(OR(AND(MOD(BF$6-1,12)&gt;=5,MOD(BF$6-1,12)&lt;=7),MOD(BF$6-1,12)=11),1+Inputs!$B$28,1-Inputs!$B$28/2)</f>
        <v>1.15</v>
      </c>
      <c r="BG23" s="79" t="n">
        <f aca="false">IF(OR(AND(MOD(BG$6-1,12)&gt;=5,MOD(BG$6-1,12)&lt;=7),MOD(BG$6-1,12)=11),1+Inputs!$B$28,1-Inputs!$B$28/2)</f>
        <v>0.925</v>
      </c>
      <c r="BH23" s="79" t="n">
        <f aca="false">IF(OR(AND(MOD(BH$6-1,12)&gt;=5,MOD(BH$6-1,12)&lt;=7),MOD(BH$6-1,12)=11),1+Inputs!$B$28,1-Inputs!$B$28/2)</f>
        <v>0.925</v>
      </c>
      <c r="BI23" s="79" t="n">
        <f aca="false">IF(OR(AND(MOD(BI$6-1,12)&gt;=5,MOD(BI$6-1,12)&lt;=7),MOD(BI$6-1,12)=11),1+Inputs!$B$28,1-Inputs!$B$28/2)</f>
        <v>0.925</v>
      </c>
      <c r="BJ23" s="79" t="n">
        <f aca="false">IF(OR(AND(MOD(BJ$6-1,12)&gt;=5,MOD(BJ$6-1,12)&lt;=7),MOD(BJ$6-1,12)=11),1+Inputs!$B$28,1-Inputs!$B$28/2)</f>
        <v>1.15</v>
      </c>
    </row>
    <row r="24" customFormat="false" ht="15" hidden="false" customHeight="false" outlineLevel="0" collapsed="false">
      <c r="A24" s="6" t="s">
        <v>420</v>
      </c>
      <c r="C24" s="120" t="n">
        <f aca="false">Inputs!$B$25*Inputs!$B$29*1</f>
        <v>912</v>
      </c>
      <c r="D24" s="120" t="n">
        <f aca="false">Inputs!$B$25*Inputs!$B$29*1</f>
        <v>912</v>
      </c>
      <c r="E24" s="120" t="n">
        <f aca="false">Inputs!$B$25*Inputs!$B$29*1</f>
        <v>912</v>
      </c>
      <c r="F24" s="120" t="n">
        <f aca="false">Inputs!$B$25*Inputs!$B$29*1</f>
        <v>912</v>
      </c>
      <c r="G24" s="120" t="n">
        <f aca="false">Inputs!$B$25*Inputs!$B$29*1</f>
        <v>912</v>
      </c>
      <c r="H24" s="120" t="n">
        <f aca="false">Inputs!$B$25*Inputs!$B$29*1</f>
        <v>912</v>
      </c>
      <c r="I24" s="120" t="n">
        <f aca="false">Inputs!$B$25*Inputs!$B$29*1</f>
        <v>912</v>
      </c>
      <c r="J24" s="120" t="n">
        <f aca="false">Inputs!$B$25*Inputs!$B$29*1</f>
        <v>912</v>
      </c>
      <c r="K24" s="120" t="n">
        <f aca="false">Inputs!$B$25*Inputs!$B$29*1</f>
        <v>912</v>
      </c>
      <c r="L24" s="120" t="n">
        <f aca="false">Inputs!$B$25*Inputs!$B$29*1</f>
        <v>912</v>
      </c>
      <c r="M24" s="120" t="n">
        <f aca="false">Inputs!$B$25*Inputs!$B$29*1</f>
        <v>912</v>
      </c>
      <c r="N24" s="120" t="n">
        <f aca="false">Inputs!$B$25*Inputs!$B$29*1</f>
        <v>912</v>
      </c>
      <c r="O24" s="120" t="n">
        <f aca="false">Inputs!$B$25*Inputs!$B$29*1</f>
        <v>912</v>
      </c>
      <c r="P24" s="120" t="n">
        <f aca="false">Inputs!$B$25*Inputs!$B$29*1</f>
        <v>912</v>
      </c>
      <c r="Q24" s="120" t="n">
        <f aca="false">Inputs!$B$25*Inputs!$B$29*1</f>
        <v>912</v>
      </c>
      <c r="R24" s="120" t="n">
        <f aca="false">Inputs!$B$25*Inputs!$B$29*1</f>
        <v>912</v>
      </c>
      <c r="S24" s="120" t="n">
        <f aca="false">Inputs!$B$25*Inputs!$B$29*1</f>
        <v>912</v>
      </c>
      <c r="T24" s="120" t="n">
        <f aca="false">Inputs!$B$25*Inputs!$B$29*1</f>
        <v>912</v>
      </c>
      <c r="U24" s="120" t="n">
        <f aca="false">Inputs!$B$25*Inputs!$B$29*1</f>
        <v>912</v>
      </c>
      <c r="V24" s="120" t="n">
        <f aca="false">Inputs!$B$25*Inputs!$B$29*1</f>
        <v>912</v>
      </c>
      <c r="W24" s="120" t="n">
        <f aca="false">Inputs!$B$25*Inputs!$B$29*1</f>
        <v>912</v>
      </c>
      <c r="X24" s="120" t="n">
        <f aca="false">Inputs!$B$25*Inputs!$B$29*1</f>
        <v>912</v>
      </c>
      <c r="Y24" s="120" t="n">
        <f aca="false">Inputs!$B$25*Inputs!$B$29*1</f>
        <v>912</v>
      </c>
      <c r="Z24" s="120" t="n">
        <f aca="false">Inputs!$B$25*Inputs!$B$29*1</f>
        <v>912</v>
      </c>
      <c r="AA24" s="120" t="n">
        <f aca="false">Inputs!$B$25*Inputs!$B$29*1</f>
        <v>912</v>
      </c>
      <c r="AB24" s="120" t="n">
        <f aca="false">Inputs!$B$25*Inputs!$B$29*1</f>
        <v>912</v>
      </c>
      <c r="AC24" s="120" t="n">
        <f aca="false">Inputs!$B$25*Inputs!$B$29*1</f>
        <v>912</v>
      </c>
      <c r="AD24" s="120" t="n">
        <f aca="false">Inputs!$B$25*Inputs!$B$29*1</f>
        <v>912</v>
      </c>
      <c r="AE24" s="120" t="n">
        <f aca="false">Inputs!$B$25*Inputs!$B$29*1</f>
        <v>912</v>
      </c>
      <c r="AF24" s="120" t="n">
        <f aca="false">Inputs!$B$25*Inputs!$B$29*1</f>
        <v>912</v>
      </c>
      <c r="AG24" s="120" t="n">
        <f aca="false">Inputs!$B$25*Inputs!$B$29*1</f>
        <v>912</v>
      </c>
      <c r="AH24" s="120" t="n">
        <f aca="false">Inputs!$B$25*Inputs!$B$29*1</f>
        <v>912</v>
      </c>
      <c r="AI24" s="120" t="n">
        <f aca="false">Inputs!$B$25*Inputs!$B$29*1</f>
        <v>912</v>
      </c>
      <c r="AJ24" s="120" t="n">
        <f aca="false">Inputs!$B$25*Inputs!$B$29*1</f>
        <v>912</v>
      </c>
      <c r="AK24" s="120" t="n">
        <f aca="false">Inputs!$B$25*Inputs!$B$29*1</f>
        <v>912</v>
      </c>
      <c r="AL24" s="120" t="n">
        <f aca="false">Inputs!$B$25*Inputs!$B$29*1</f>
        <v>912</v>
      </c>
      <c r="AM24" s="120" t="n">
        <f aca="false">Inputs!$B$25*Inputs!$B$29*1</f>
        <v>912</v>
      </c>
      <c r="AN24" s="120" t="n">
        <f aca="false">Inputs!$B$25*Inputs!$B$29*1</f>
        <v>912</v>
      </c>
      <c r="AO24" s="120" t="n">
        <f aca="false">Inputs!$B$25*Inputs!$B$29*1</f>
        <v>912</v>
      </c>
      <c r="AP24" s="120" t="n">
        <f aca="false">Inputs!$B$25*Inputs!$B$29*1</f>
        <v>912</v>
      </c>
      <c r="AQ24" s="120" t="n">
        <f aca="false">Inputs!$B$25*Inputs!$B$29*1</f>
        <v>912</v>
      </c>
      <c r="AR24" s="120" t="n">
        <f aca="false">Inputs!$B$25*Inputs!$B$29*1</f>
        <v>912</v>
      </c>
      <c r="AS24" s="120" t="n">
        <f aca="false">Inputs!$B$25*Inputs!$B$29*1</f>
        <v>912</v>
      </c>
      <c r="AT24" s="120" t="n">
        <f aca="false">Inputs!$B$25*Inputs!$B$29*1</f>
        <v>912</v>
      </c>
      <c r="AU24" s="120" t="n">
        <f aca="false">Inputs!$B$25*Inputs!$B$29*1</f>
        <v>912</v>
      </c>
      <c r="AV24" s="120" t="n">
        <f aca="false">Inputs!$B$25*Inputs!$B$29*1</f>
        <v>912</v>
      </c>
      <c r="AW24" s="120" t="n">
        <f aca="false">Inputs!$B$25*Inputs!$B$29*1</f>
        <v>912</v>
      </c>
      <c r="AX24" s="120" t="n">
        <f aca="false">Inputs!$B$25*Inputs!$B$29*1</f>
        <v>912</v>
      </c>
      <c r="AY24" s="120" t="n">
        <f aca="false">Inputs!$B$25*Inputs!$B$29*1</f>
        <v>912</v>
      </c>
      <c r="AZ24" s="120" t="n">
        <f aca="false">Inputs!$B$25*Inputs!$B$29*1</f>
        <v>912</v>
      </c>
      <c r="BA24" s="120" t="n">
        <f aca="false">Inputs!$B$25*Inputs!$B$29*1</f>
        <v>912</v>
      </c>
      <c r="BB24" s="120" t="n">
        <f aca="false">Inputs!$B$25*Inputs!$B$29*1</f>
        <v>912</v>
      </c>
      <c r="BC24" s="120" t="n">
        <f aca="false">Inputs!$B$25*Inputs!$B$29*1</f>
        <v>912</v>
      </c>
      <c r="BD24" s="120" t="n">
        <f aca="false">Inputs!$B$25*Inputs!$B$29*1</f>
        <v>912</v>
      </c>
      <c r="BE24" s="120" t="n">
        <f aca="false">Inputs!$B$25*Inputs!$B$29*1</f>
        <v>912</v>
      </c>
      <c r="BF24" s="120" t="n">
        <f aca="false">Inputs!$B$25*Inputs!$B$29*1</f>
        <v>912</v>
      </c>
      <c r="BG24" s="120" t="n">
        <f aca="false">Inputs!$B$25*Inputs!$B$29*1</f>
        <v>912</v>
      </c>
      <c r="BH24" s="120" t="n">
        <f aca="false">Inputs!$B$25*Inputs!$B$29*1</f>
        <v>912</v>
      </c>
      <c r="BI24" s="120" t="n">
        <f aca="false">Inputs!$B$25*Inputs!$B$29*1</f>
        <v>912</v>
      </c>
      <c r="BJ24" s="120" t="n">
        <f aca="false">Inputs!$B$25*Inputs!$B$29*1</f>
        <v>912</v>
      </c>
    </row>
    <row r="25" customFormat="false" ht="15" hidden="false" customHeight="false" outlineLevel="0" collapsed="false">
      <c r="A25" s="38" t="s">
        <v>421</v>
      </c>
      <c r="C25" s="76" t="n">
        <f aca="false">MIN(1,Inputs!$B$26*(1+Inputs!$B$27)^(C$7-1)*C11*C23)</f>
        <v>0.13875</v>
      </c>
      <c r="D25" s="76" t="n">
        <f aca="false">MIN(1,Inputs!$B$26*(1+Inputs!$B$27)^(D$7-1)*D11*D23)</f>
        <v>0.161875</v>
      </c>
      <c r="E25" s="76" t="n">
        <f aca="false">MIN(1,Inputs!$B$26*(1+Inputs!$B$27)^(E$7-1)*E11*E23)</f>
        <v>0.185</v>
      </c>
      <c r="F25" s="76" t="n">
        <f aca="false">MIN(1,Inputs!$B$26*(1+Inputs!$B$27)^(F$7-1)*F11*F23)</f>
        <v>0.208125</v>
      </c>
      <c r="G25" s="76" t="n">
        <f aca="false">MIN(1,Inputs!$B$26*(1+Inputs!$B$27)^(G$7-1)*G11*G23)</f>
        <v>0.23125</v>
      </c>
      <c r="H25" s="76" t="n">
        <f aca="false">MIN(1,Inputs!$B$26*(1+Inputs!$B$27)^(H$7-1)*H11*H23)</f>
        <v>0.31625</v>
      </c>
      <c r="I25" s="76" t="n">
        <f aca="false">MIN(1,Inputs!$B$26*(1+Inputs!$B$27)^(I$7-1)*I11*I23)</f>
        <v>0.345</v>
      </c>
      <c r="J25" s="76" t="n">
        <f aca="false">MIN(1,Inputs!$B$26*(1+Inputs!$B$27)^(J$7-1)*J11*J23)</f>
        <v>0.37375</v>
      </c>
      <c r="K25" s="76" t="n">
        <f aca="false">MIN(1,Inputs!$B$26*(1+Inputs!$B$27)^(K$7-1)*K11*K23)</f>
        <v>0.32375</v>
      </c>
      <c r="L25" s="76" t="n">
        <f aca="false">MIN(1,Inputs!$B$26*(1+Inputs!$B$27)^(L$7-1)*L11*L23)</f>
        <v>0.346875</v>
      </c>
      <c r="M25" s="76" t="n">
        <f aca="false">MIN(1,Inputs!$B$26*(1+Inputs!$B$27)^(M$7-1)*M11*M23)</f>
        <v>0.37</v>
      </c>
      <c r="N25" s="76" t="n">
        <f aca="false">MIN(1,Inputs!$B$26*(1+Inputs!$B$27)^(N$7-1)*N11*N23)</f>
        <v>0.48875</v>
      </c>
      <c r="O25" s="76" t="n">
        <f aca="false">MIN(1,Inputs!$B$26*(1+Inputs!$B$27)^(O$7-1)*O11*O23)</f>
        <v>0.41625</v>
      </c>
      <c r="P25" s="76" t="n">
        <f aca="false">MIN(1,Inputs!$B$26*(1+Inputs!$B$27)^(P$7-1)*P11*P23)</f>
        <v>0.439375</v>
      </c>
      <c r="Q25" s="76" t="n">
        <f aca="false">MIN(1,Inputs!$B$26*(1+Inputs!$B$27)^(Q$7-1)*Q11*Q23)</f>
        <v>0.4625</v>
      </c>
      <c r="R25" s="76" t="n">
        <f aca="false">MIN(1,Inputs!$B$26*(1+Inputs!$B$27)^(R$7-1)*R11*R23)</f>
        <v>0.4625</v>
      </c>
      <c r="S25" s="76" t="n">
        <f aca="false">MIN(1,Inputs!$B$26*(1+Inputs!$B$27)^(S$7-1)*S11*S23)</f>
        <v>0.4625</v>
      </c>
      <c r="T25" s="76" t="n">
        <f aca="false">MIN(1,Inputs!$B$26*(1+Inputs!$B$27)^(T$7-1)*T11*T23)</f>
        <v>0.575</v>
      </c>
      <c r="U25" s="76" t="n">
        <f aca="false">MIN(1,Inputs!$B$26*(1+Inputs!$B$27)^(U$7-1)*U11*U23)</f>
        <v>0.575</v>
      </c>
      <c r="V25" s="76" t="n">
        <f aca="false">MIN(1,Inputs!$B$26*(1+Inputs!$B$27)^(V$7-1)*V11*V23)</f>
        <v>0.575</v>
      </c>
      <c r="W25" s="76" t="n">
        <f aca="false">MIN(1,Inputs!$B$26*(1+Inputs!$B$27)^(W$7-1)*W11*W23)</f>
        <v>0.4625</v>
      </c>
      <c r="X25" s="76" t="n">
        <f aca="false">MIN(1,Inputs!$B$26*(1+Inputs!$B$27)^(X$7-1)*X11*X23)</f>
        <v>0.4625</v>
      </c>
      <c r="Y25" s="76" t="n">
        <f aca="false">MIN(1,Inputs!$B$26*(1+Inputs!$B$27)^(Y$7-1)*Y11*Y23)</f>
        <v>0.4625</v>
      </c>
      <c r="Z25" s="76" t="n">
        <f aca="false">MIN(1,Inputs!$B$26*(1+Inputs!$B$27)^(Z$7-1)*Z11*Z23)</f>
        <v>0.575</v>
      </c>
      <c r="AA25" s="76" t="n">
        <f aca="false">MIN(1,Inputs!$B$26*(1+Inputs!$B$27)^(AA$7-1)*AA11*AA23)</f>
        <v>0.4625</v>
      </c>
      <c r="AB25" s="76" t="n">
        <f aca="false">MIN(1,Inputs!$B$26*(1+Inputs!$B$27)^(AB$7-1)*AB11*AB23)</f>
        <v>0.4625</v>
      </c>
      <c r="AC25" s="76" t="n">
        <f aca="false">MIN(1,Inputs!$B$26*(1+Inputs!$B$27)^(AC$7-1)*AC11*AC23)</f>
        <v>0.4625</v>
      </c>
      <c r="AD25" s="76" t="n">
        <f aca="false">MIN(1,Inputs!$B$26*(1+Inputs!$B$27)^(AD$7-1)*AD11*AD23)</f>
        <v>0.4625</v>
      </c>
      <c r="AE25" s="76" t="n">
        <f aca="false">MIN(1,Inputs!$B$26*(1+Inputs!$B$27)^(AE$7-1)*AE11*AE23)</f>
        <v>0.4625</v>
      </c>
      <c r="AF25" s="76" t="n">
        <f aca="false">MIN(1,Inputs!$B$26*(1+Inputs!$B$27)^(AF$7-1)*AF11*AF23)</f>
        <v>0.575</v>
      </c>
      <c r="AG25" s="76" t="n">
        <f aca="false">MIN(1,Inputs!$B$26*(1+Inputs!$B$27)^(AG$7-1)*AG11*AG23)</f>
        <v>0.575</v>
      </c>
      <c r="AH25" s="76" t="n">
        <f aca="false">MIN(1,Inputs!$B$26*(1+Inputs!$B$27)^(AH$7-1)*AH11*AH23)</f>
        <v>0.575</v>
      </c>
      <c r="AI25" s="76" t="n">
        <f aca="false">MIN(1,Inputs!$B$26*(1+Inputs!$B$27)^(AI$7-1)*AI11*AI23)</f>
        <v>0.4625</v>
      </c>
      <c r="AJ25" s="76" t="n">
        <f aca="false">MIN(1,Inputs!$B$26*(1+Inputs!$B$27)^(AJ$7-1)*AJ11*AJ23)</f>
        <v>0.4625</v>
      </c>
      <c r="AK25" s="76" t="n">
        <f aca="false">MIN(1,Inputs!$B$26*(1+Inputs!$B$27)^(AK$7-1)*AK11*AK23)</f>
        <v>0.4625</v>
      </c>
      <c r="AL25" s="76" t="n">
        <f aca="false">MIN(1,Inputs!$B$26*(1+Inputs!$B$27)^(AL$7-1)*AL11*AL23)</f>
        <v>0.575</v>
      </c>
      <c r="AM25" s="76" t="n">
        <f aca="false">MIN(1,Inputs!$B$26*(1+Inputs!$B$27)^(AM$7-1)*AM11*AM23)</f>
        <v>0.4625</v>
      </c>
      <c r="AN25" s="76" t="n">
        <f aca="false">MIN(1,Inputs!$B$26*(1+Inputs!$B$27)^(AN$7-1)*AN11*AN23)</f>
        <v>0.4625</v>
      </c>
      <c r="AO25" s="76" t="n">
        <f aca="false">MIN(1,Inputs!$B$26*(1+Inputs!$B$27)^(AO$7-1)*AO11*AO23)</f>
        <v>0.4625</v>
      </c>
      <c r="AP25" s="76" t="n">
        <f aca="false">MIN(1,Inputs!$B$26*(1+Inputs!$B$27)^(AP$7-1)*AP11*AP23)</f>
        <v>0.4625</v>
      </c>
      <c r="AQ25" s="76" t="n">
        <f aca="false">MIN(1,Inputs!$B$26*(1+Inputs!$B$27)^(AQ$7-1)*AQ11*AQ23)</f>
        <v>0.4625</v>
      </c>
      <c r="AR25" s="76" t="n">
        <f aca="false">MIN(1,Inputs!$B$26*(1+Inputs!$B$27)^(AR$7-1)*AR11*AR23)</f>
        <v>0.575</v>
      </c>
      <c r="AS25" s="76" t="n">
        <f aca="false">MIN(1,Inputs!$B$26*(1+Inputs!$B$27)^(AS$7-1)*AS11*AS23)</f>
        <v>0.575</v>
      </c>
      <c r="AT25" s="76" t="n">
        <f aca="false">MIN(1,Inputs!$B$26*(1+Inputs!$B$27)^(AT$7-1)*AT11*AT23)</f>
        <v>0.575</v>
      </c>
      <c r="AU25" s="76" t="n">
        <f aca="false">MIN(1,Inputs!$B$26*(1+Inputs!$B$27)^(AU$7-1)*AU11*AU23)</f>
        <v>0.4625</v>
      </c>
      <c r="AV25" s="76" t="n">
        <f aca="false">MIN(1,Inputs!$B$26*(1+Inputs!$B$27)^(AV$7-1)*AV11*AV23)</f>
        <v>0.4625</v>
      </c>
      <c r="AW25" s="76" t="n">
        <f aca="false">MIN(1,Inputs!$B$26*(1+Inputs!$B$27)^(AW$7-1)*AW11*AW23)</f>
        <v>0.4625</v>
      </c>
      <c r="AX25" s="76" t="n">
        <f aca="false">MIN(1,Inputs!$B$26*(1+Inputs!$B$27)^(AX$7-1)*AX11*AX23)</f>
        <v>0.575</v>
      </c>
      <c r="AY25" s="76" t="n">
        <f aca="false">MIN(1,Inputs!$B$26*(1+Inputs!$B$27)^(AY$7-1)*AY11*AY23)</f>
        <v>0.4625</v>
      </c>
      <c r="AZ25" s="76" t="n">
        <f aca="false">MIN(1,Inputs!$B$26*(1+Inputs!$B$27)^(AZ$7-1)*AZ11*AZ23)</f>
        <v>0.4625</v>
      </c>
      <c r="BA25" s="76" t="n">
        <f aca="false">MIN(1,Inputs!$B$26*(1+Inputs!$B$27)^(BA$7-1)*BA11*BA23)</f>
        <v>0.4625</v>
      </c>
      <c r="BB25" s="76" t="n">
        <f aca="false">MIN(1,Inputs!$B$26*(1+Inputs!$B$27)^(BB$7-1)*BB11*BB23)</f>
        <v>0.4625</v>
      </c>
      <c r="BC25" s="76" t="n">
        <f aca="false">MIN(1,Inputs!$B$26*(1+Inputs!$B$27)^(BC$7-1)*BC11*BC23)</f>
        <v>0.4625</v>
      </c>
      <c r="BD25" s="76" t="n">
        <f aca="false">MIN(1,Inputs!$B$26*(1+Inputs!$B$27)^(BD$7-1)*BD11*BD23)</f>
        <v>0.575</v>
      </c>
      <c r="BE25" s="76" t="n">
        <f aca="false">MIN(1,Inputs!$B$26*(1+Inputs!$B$27)^(BE$7-1)*BE11*BE23)</f>
        <v>0.575</v>
      </c>
      <c r="BF25" s="76" t="n">
        <f aca="false">MIN(1,Inputs!$B$26*(1+Inputs!$B$27)^(BF$7-1)*BF11*BF23)</f>
        <v>0.575</v>
      </c>
      <c r="BG25" s="76" t="n">
        <f aca="false">MIN(1,Inputs!$B$26*(1+Inputs!$B$27)^(BG$7-1)*BG11*BG23)</f>
        <v>0.4625</v>
      </c>
      <c r="BH25" s="76" t="n">
        <f aca="false">MIN(1,Inputs!$B$26*(1+Inputs!$B$27)^(BH$7-1)*BH11*BH23)</f>
        <v>0.4625</v>
      </c>
      <c r="BI25" s="76" t="n">
        <f aca="false">MIN(1,Inputs!$B$26*(1+Inputs!$B$27)^(BI$7-1)*BI11*BI23)</f>
        <v>0.4625</v>
      </c>
      <c r="BJ25" s="76" t="n">
        <f aca="false">MIN(1,Inputs!$B$26*(1+Inputs!$B$27)^(BJ$7-1)*BJ11*BJ23)</f>
        <v>0.575</v>
      </c>
    </row>
    <row r="26" customFormat="false" ht="15" hidden="false" customHeight="false" outlineLevel="0" collapsed="false">
      <c r="A26" s="4" t="s">
        <v>236</v>
      </c>
      <c r="C26" s="122" t="n">
        <f aca="false">C24*C25</f>
        <v>126.54</v>
      </c>
      <c r="D26" s="122" t="n">
        <f aca="false">D24*D25</f>
        <v>147.63</v>
      </c>
      <c r="E26" s="122" t="n">
        <f aca="false">E24*E25</f>
        <v>168.72</v>
      </c>
      <c r="F26" s="122" t="n">
        <f aca="false">F24*F25</f>
        <v>189.81</v>
      </c>
      <c r="G26" s="122" t="n">
        <f aca="false">G24*G25</f>
        <v>210.9</v>
      </c>
      <c r="H26" s="122" t="n">
        <f aca="false">H24*H25</f>
        <v>288.42</v>
      </c>
      <c r="I26" s="122" t="n">
        <f aca="false">I24*I25</f>
        <v>314.64</v>
      </c>
      <c r="J26" s="122" t="n">
        <f aca="false">J24*J25</f>
        <v>340.86</v>
      </c>
      <c r="K26" s="122" t="n">
        <f aca="false">K24*K25</f>
        <v>295.26</v>
      </c>
      <c r="L26" s="122" t="n">
        <f aca="false">L24*L25</f>
        <v>316.35</v>
      </c>
      <c r="M26" s="122" t="n">
        <f aca="false">M24*M25</f>
        <v>337.44</v>
      </c>
      <c r="N26" s="122" t="n">
        <f aca="false">N24*N25</f>
        <v>445.74</v>
      </c>
      <c r="O26" s="122" t="n">
        <f aca="false">O24*O25</f>
        <v>379.62</v>
      </c>
      <c r="P26" s="122" t="n">
        <f aca="false">P24*P25</f>
        <v>400.71</v>
      </c>
      <c r="Q26" s="122" t="n">
        <f aca="false">Q24*Q25</f>
        <v>421.8</v>
      </c>
      <c r="R26" s="122" t="n">
        <f aca="false">R24*R25</f>
        <v>421.8</v>
      </c>
      <c r="S26" s="122" t="n">
        <f aca="false">S24*S25</f>
        <v>421.8</v>
      </c>
      <c r="T26" s="122" t="n">
        <f aca="false">T24*T25</f>
        <v>524.4</v>
      </c>
      <c r="U26" s="122" t="n">
        <f aca="false">U24*U25</f>
        <v>524.4</v>
      </c>
      <c r="V26" s="122" t="n">
        <f aca="false">V24*V25</f>
        <v>524.4</v>
      </c>
      <c r="W26" s="122" t="n">
        <f aca="false">W24*W25</f>
        <v>421.8</v>
      </c>
      <c r="X26" s="122" t="n">
        <f aca="false">X24*X25</f>
        <v>421.8</v>
      </c>
      <c r="Y26" s="122" t="n">
        <f aca="false">Y24*Y25</f>
        <v>421.8</v>
      </c>
      <c r="Z26" s="122" t="n">
        <f aca="false">Z24*Z25</f>
        <v>524.4</v>
      </c>
      <c r="AA26" s="122" t="n">
        <f aca="false">AA24*AA25</f>
        <v>421.8</v>
      </c>
      <c r="AB26" s="122" t="n">
        <f aca="false">AB24*AB25</f>
        <v>421.8</v>
      </c>
      <c r="AC26" s="122" t="n">
        <f aca="false">AC24*AC25</f>
        <v>421.8</v>
      </c>
      <c r="AD26" s="122" t="n">
        <f aca="false">AD24*AD25</f>
        <v>421.8</v>
      </c>
      <c r="AE26" s="122" t="n">
        <f aca="false">AE24*AE25</f>
        <v>421.8</v>
      </c>
      <c r="AF26" s="122" t="n">
        <f aca="false">AF24*AF25</f>
        <v>524.4</v>
      </c>
      <c r="AG26" s="122" t="n">
        <f aca="false">AG24*AG25</f>
        <v>524.4</v>
      </c>
      <c r="AH26" s="122" t="n">
        <f aca="false">AH24*AH25</f>
        <v>524.4</v>
      </c>
      <c r="AI26" s="122" t="n">
        <f aca="false">AI24*AI25</f>
        <v>421.8</v>
      </c>
      <c r="AJ26" s="122" t="n">
        <f aca="false">AJ24*AJ25</f>
        <v>421.8</v>
      </c>
      <c r="AK26" s="122" t="n">
        <f aca="false">AK24*AK25</f>
        <v>421.8</v>
      </c>
      <c r="AL26" s="122" t="n">
        <f aca="false">AL24*AL25</f>
        <v>524.4</v>
      </c>
      <c r="AM26" s="122" t="n">
        <f aca="false">AM24*AM25</f>
        <v>421.8</v>
      </c>
      <c r="AN26" s="122" t="n">
        <f aca="false">AN24*AN25</f>
        <v>421.8</v>
      </c>
      <c r="AO26" s="122" t="n">
        <f aca="false">AO24*AO25</f>
        <v>421.8</v>
      </c>
      <c r="AP26" s="122" t="n">
        <f aca="false">AP24*AP25</f>
        <v>421.8</v>
      </c>
      <c r="AQ26" s="122" t="n">
        <f aca="false">AQ24*AQ25</f>
        <v>421.8</v>
      </c>
      <c r="AR26" s="122" t="n">
        <f aca="false">AR24*AR25</f>
        <v>524.4</v>
      </c>
      <c r="AS26" s="122" t="n">
        <f aca="false">AS24*AS25</f>
        <v>524.4</v>
      </c>
      <c r="AT26" s="122" t="n">
        <f aca="false">AT24*AT25</f>
        <v>524.4</v>
      </c>
      <c r="AU26" s="122" t="n">
        <f aca="false">AU24*AU25</f>
        <v>421.8</v>
      </c>
      <c r="AV26" s="122" t="n">
        <f aca="false">AV24*AV25</f>
        <v>421.8</v>
      </c>
      <c r="AW26" s="122" t="n">
        <f aca="false">AW24*AW25</f>
        <v>421.8</v>
      </c>
      <c r="AX26" s="122" t="n">
        <f aca="false">AX24*AX25</f>
        <v>524.4</v>
      </c>
      <c r="AY26" s="122" t="n">
        <f aca="false">AY24*AY25</f>
        <v>421.8</v>
      </c>
      <c r="AZ26" s="122" t="n">
        <f aca="false">AZ24*AZ25</f>
        <v>421.8</v>
      </c>
      <c r="BA26" s="122" t="n">
        <f aca="false">BA24*BA25</f>
        <v>421.8</v>
      </c>
      <c r="BB26" s="122" t="n">
        <f aca="false">BB24*BB25</f>
        <v>421.8</v>
      </c>
      <c r="BC26" s="122" t="n">
        <f aca="false">BC24*BC25</f>
        <v>421.8</v>
      </c>
      <c r="BD26" s="122" t="n">
        <f aca="false">BD24*BD25</f>
        <v>524.4</v>
      </c>
      <c r="BE26" s="122" t="n">
        <f aca="false">BE24*BE25</f>
        <v>524.4</v>
      </c>
      <c r="BF26" s="122" t="n">
        <f aca="false">BF24*BF25</f>
        <v>524.4</v>
      </c>
      <c r="BG26" s="122" t="n">
        <f aca="false">BG24*BG25</f>
        <v>421.8</v>
      </c>
      <c r="BH26" s="122" t="n">
        <f aca="false">BH24*BH25</f>
        <v>421.8</v>
      </c>
      <c r="BI26" s="122" t="n">
        <f aca="false">BI24*BI25</f>
        <v>421.8</v>
      </c>
      <c r="BJ26" s="122" t="n">
        <f aca="false">BJ24*BJ25</f>
        <v>524.4</v>
      </c>
    </row>
    <row r="28" customFormat="false" ht="15.75" hidden="false" customHeight="true" outlineLevel="0" collapsed="false">
      <c r="A28" s="7" t="s">
        <v>44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422</v>
      </c>
      <c r="C29" s="123" t="n">
        <f aca="false">Inputs!$B$19*(1+Inputs!$B$20)^(C$7-1)</f>
        <v>68</v>
      </c>
      <c r="D29" s="123" t="n">
        <f aca="false">Inputs!$B$19*(1+Inputs!$B$20)^(D$7-1)</f>
        <v>68</v>
      </c>
      <c r="E29" s="123" t="n">
        <f aca="false">Inputs!$B$19*(1+Inputs!$B$20)^(E$7-1)</f>
        <v>68</v>
      </c>
      <c r="F29" s="123" t="n">
        <f aca="false">Inputs!$B$19*(1+Inputs!$B$20)^(F$7-1)</f>
        <v>68</v>
      </c>
      <c r="G29" s="123" t="n">
        <f aca="false">Inputs!$B$19*(1+Inputs!$B$20)^(G$7-1)</f>
        <v>68</v>
      </c>
      <c r="H29" s="123" t="n">
        <f aca="false">Inputs!$B$19*(1+Inputs!$B$20)^(H$7-1)</f>
        <v>68</v>
      </c>
      <c r="I29" s="123" t="n">
        <f aca="false">Inputs!$B$19*(1+Inputs!$B$20)^(I$7-1)</f>
        <v>68</v>
      </c>
      <c r="J29" s="123" t="n">
        <f aca="false">Inputs!$B$19*(1+Inputs!$B$20)^(J$7-1)</f>
        <v>68</v>
      </c>
      <c r="K29" s="123" t="n">
        <f aca="false">Inputs!$B$19*(1+Inputs!$B$20)^(K$7-1)</f>
        <v>68</v>
      </c>
      <c r="L29" s="123" t="n">
        <f aca="false">Inputs!$B$19*(1+Inputs!$B$20)^(L$7-1)</f>
        <v>68</v>
      </c>
      <c r="M29" s="123" t="n">
        <f aca="false">Inputs!$B$19*(1+Inputs!$B$20)^(M$7-1)</f>
        <v>68</v>
      </c>
      <c r="N29" s="123" t="n">
        <f aca="false">Inputs!$B$19*(1+Inputs!$B$20)^(N$7-1)</f>
        <v>68</v>
      </c>
      <c r="O29" s="123" t="n">
        <f aca="false">Inputs!$B$19*(1+Inputs!$B$20)^(O$7-1)</f>
        <v>68.68</v>
      </c>
      <c r="P29" s="123" t="n">
        <f aca="false">Inputs!$B$19*(1+Inputs!$B$20)^(P$7-1)</f>
        <v>68.68</v>
      </c>
      <c r="Q29" s="123" t="n">
        <f aca="false">Inputs!$B$19*(1+Inputs!$B$20)^(Q$7-1)</f>
        <v>68.68</v>
      </c>
      <c r="R29" s="123" t="n">
        <f aca="false">Inputs!$B$19*(1+Inputs!$B$20)^(R$7-1)</f>
        <v>68.68</v>
      </c>
      <c r="S29" s="123" t="n">
        <f aca="false">Inputs!$B$19*(1+Inputs!$B$20)^(S$7-1)</f>
        <v>68.68</v>
      </c>
      <c r="T29" s="123" t="n">
        <f aca="false">Inputs!$B$19*(1+Inputs!$B$20)^(T$7-1)</f>
        <v>68.68</v>
      </c>
      <c r="U29" s="123" t="n">
        <f aca="false">Inputs!$B$19*(1+Inputs!$B$20)^(U$7-1)</f>
        <v>68.68</v>
      </c>
      <c r="V29" s="123" t="n">
        <f aca="false">Inputs!$B$19*(1+Inputs!$B$20)^(V$7-1)</f>
        <v>68.68</v>
      </c>
      <c r="W29" s="123" t="n">
        <f aca="false">Inputs!$B$19*(1+Inputs!$B$20)^(W$7-1)</f>
        <v>68.68</v>
      </c>
      <c r="X29" s="123" t="n">
        <f aca="false">Inputs!$B$19*(1+Inputs!$B$20)^(X$7-1)</f>
        <v>68.68</v>
      </c>
      <c r="Y29" s="123" t="n">
        <f aca="false">Inputs!$B$19*(1+Inputs!$B$20)^(Y$7-1)</f>
        <v>68.68</v>
      </c>
      <c r="Z29" s="123" t="n">
        <f aca="false">Inputs!$B$19*(1+Inputs!$B$20)^(Z$7-1)</f>
        <v>68.68</v>
      </c>
      <c r="AA29" s="123" t="n">
        <f aca="false">Inputs!$B$19*(1+Inputs!$B$20)^(AA$7-1)</f>
        <v>69.3668</v>
      </c>
      <c r="AB29" s="123" t="n">
        <f aca="false">Inputs!$B$19*(1+Inputs!$B$20)^(AB$7-1)</f>
        <v>69.3668</v>
      </c>
      <c r="AC29" s="123" t="n">
        <f aca="false">Inputs!$B$19*(1+Inputs!$B$20)^(AC$7-1)</f>
        <v>69.3668</v>
      </c>
      <c r="AD29" s="123" t="n">
        <f aca="false">Inputs!$B$19*(1+Inputs!$B$20)^(AD$7-1)</f>
        <v>69.3668</v>
      </c>
      <c r="AE29" s="123" t="n">
        <f aca="false">Inputs!$B$19*(1+Inputs!$B$20)^(AE$7-1)</f>
        <v>69.3668</v>
      </c>
      <c r="AF29" s="123" t="n">
        <f aca="false">Inputs!$B$19*(1+Inputs!$B$20)^(AF$7-1)</f>
        <v>69.3668</v>
      </c>
      <c r="AG29" s="123" t="n">
        <f aca="false">Inputs!$B$19*(1+Inputs!$B$20)^(AG$7-1)</f>
        <v>69.3668</v>
      </c>
      <c r="AH29" s="123" t="n">
        <f aca="false">Inputs!$B$19*(1+Inputs!$B$20)^(AH$7-1)</f>
        <v>69.3668</v>
      </c>
      <c r="AI29" s="123" t="n">
        <f aca="false">Inputs!$B$19*(1+Inputs!$B$20)^(AI$7-1)</f>
        <v>69.3668</v>
      </c>
      <c r="AJ29" s="123" t="n">
        <f aca="false">Inputs!$B$19*(1+Inputs!$B$20)^(AJ$7-1)</f>
        <v>69.3668</v>
      </c>
      <c r="AK29" s="123" t="n">
        <f aca="false">Inputs!$B$19*(1+Inputs!$B$20)^(AK$7-1)</f>
        <v>69.3668</v>
      </c>
      <c r="AL29" s="123" t="n">
        <f aca="false">Inputs!$B$19*(1+Inputs!$B$20)^(AL$7-1)</f>
        <v>69.3668</v>
      </c>
      <c r="AM29" s="123" t="n">
        <f aca="false">Inputs!$B$19*(1+Inputs!$B$20)^(AM$7-1)</f>
        <v>70.060468</v>
      </c>
      <c r="AN29" s="123" t="n">
        <f aca="false">Inputs!$B$19*(1+Inputs!$B$20)^(AN$7-1)</f>
        <v>70.060468</v>
      </c>
      <c r="AO29" s="123" t="n">
        <f aca="false">Inputs!$B$19*(1+Inputs!$B$20)^(AO$7-1)</f>
        <v>70.060468</v>
      </c>
      <c r="AP29" s="123" t="n">
        <f aca="false">Inputs!$B$19*(1+Inputs!$B$20)^(AP$7-1)</f>
        <v>70.060468</v>
      </c>
      <c r="AQ29" s="123" t="n">
        <f aca="false">Inputs!$B$19*(1+Inputs!$B$20)^(AQ$7-1)</f>
        <v>70.060468</v>
      </c>
      <c r="AR29" s="123" t="n">
        <f aca="false">Inputs!$B$19*(1+Inputs!$B$20)^(AR$7-1)</f>
        <v>70.060468</v>
      </c>
      <c r="AS29" s="123" t="n">
        <f aca="false">Inputs!$B$19*(1+Inputs!$B$20)^(AS$7-1)</f>
        <v>70.060468</v>
      </c>
      <c r="AT29" s="123" t="n">
        <f aca="false">Inputs!$B$19*(1+Inputs!$B$20)^(AT$7-1)</f>
        <v>70.060468</v>
      </c>
      <c r="AU29" s="123" t="n">
        <f aca="false">Inputs!$B$19*(1+Inputs!$B$20)^(AU$7-1)</f>
        <v>70.060468</v>
      </c>
      <c r="AV29" s="123" t="n">
        <f aca="false">Inputs!$B$19*(1+Inputs!$B$20)^(AV$7-1)</f>
        <v>70.060468</v>
      </c>
      <c r="AW29" s="123" t="n">
        <f aca="false">Inputs!$B$19*(1+Inputs!$B$20)^(AW$7-1)</f>
        <v>70.060468</v>
      </c>
      <c r="AX29" s="123" t="n">
        <f aca="false">Inputs!$B$19*(1+Inputs!$B$20)^(AX$7-1)</f>
        <v>70.060468</v>
      </c>
      <c r="AY29" s="123" t="n">
        <f aca="false">Inputs!$B$19*(1+Inputs!$B$20)^(AY$7-1)</f>
        <v>70.76107268</v>
      </c>
      <c r="AZ29" s="123" t="n">
        <f aca="false">Inputs!$B$19*(1+Inputs!$B$20)^(AZ$7-1)</f>
        <v>70.76107268</v>
      </c>
      <c r="BA29" s="123" t="n">
        <f aca="false">Inputs!$B$19*(1+Inputs!$B$20)^(BA$7-1)</f>
        <v>70.76107268</v>
      </c>
      <c r="BB29" s="123" t="n">
        <f aca="false">Inputs!$B$19*(1+Inputs!$B$20)^(BB$7-1)</f>
        <v>70.76107268</v>
      </c>
      <c r="BC29" s="123" t="n">
        <f aca="false">Inputs!$B$19*(1+Inputs!$B$20)^(BC$7-1)</f>
        <v>70.76107268</v>
      </c>
      <c r="BD29" s="123" t="n">
        <f aca="false">Inputs!$B$19*(1+Inputs!$B$20)^(BD$7-1)</f>
        <v>70.76107268</v>
      </c>
      <c r="BE29" s="123" t="n">
        <f aca="false">Inputs!$B$19*(1+Inputs!$B$20)^(BE$7-1)</f>
        <v>70.76107268</v>
      </c>
      <c r="BF29" s="123" t="n">
        <f aca="false">Inputs!$B$19*(1+Inputs!$B$20)^(BF$7-1)</f>
        <v>70.76107268</v>
      </c>
      <c r="BG29" s="123" t="n">
        <f aca="false">Inputs!$B$19*(1+Inputs!$B$20)^(BG$7-1)</f>
        <v>70.76107268</v>
      </c>
      <c r="BH29" s="123" t="n">
        <f aca="false">Inputs!$B$19*(1+Inputs!$B$20)^(BH$7-1)</f>
        <v>70.76107268</v>
      </c>
      <c r="BI29" s="123" t="n">
        <f aca="false">Inputs!$B$19*(1+Inputs!$B$20)^(BI$7-1)</f>
        <v>70.76107268</v>
      </c>
      <c r="BJ29" s="123" t="n">
        <f aca="false">Inputs!$B$19*(1+Inputs!$B$20)^(BJ$7-1)</f>
        <v>70.76107268</v>
      </c>
    </row>
    <row r="30" customFormat="false" ht="15" hidden="false" customHeight="false" outlineLevel="0" collapsed="false">
      <c r="A30" s="6" t="s">
        <v>238</v>
      </c>
      <c r="C30" s="69" t="n">
        <f aca="false">C19*C29</f>
        <v>6895.2</v>
      </c>
      <c r="D30" s="69" t="n">
        <f aca="false">D19*D29</f>
        <v>8044.4</v>
      </c>
      <c r="E30" s="69" t="n">
        <f aca="false">E19*E29</f>
        <v>9193.6</v>
      </c>
      <c r="F30" s="69" t="n">
        <f aca="false">F19*F29</f>
        <v>10342.8</v>
      </c>
      <c r="G30" s="69" t="n">
        <f aca="false">G19*G29</f>
        <v>11492</v>
      </c>
      <c r="H30" s="69" t="n">
        <f aca="false">H19*H29</f>
        <v>12641.2</v>
      </c>
      <c r="I30" s="69" t="n">
        <f aca="false">I19*I29</f>
        <v>13790.4</v>
      </c>
      <c r="J30" s="69" t="n">
        <f aca="false">J19*J29</f>
        <v>14939.6</v>
      </c>
      <c r="K30" s="69" t="n">
        <f aca="false">K19*K29</f>
        <v>16088.8</v>
      </c>
      <c r="L30" s="69" t="n">
        <f aca="false">L19*L29</f>
        <v>17238</v>
      </c>
      <c r="M30" s="69" t="n">
        <f aca="false">M19*M29</f>
        <v>18387.2</v>
      </c>
      <c r="N30" s="69" t="n">
        <f aca="false">N19*N29</f>
        <v>19536.4</v>
      </c>
      <c r="O30" s="69" t="n">
        <f aca="false">O19*O29</f>
        <v>20892.456</v>
      </c>
      <c r="P30" s="69" t="n">
        <f aca="false">P19*P29</f>
        <v>22053.148</v>
      </c>
      <c r="Q30" s="69" t="n">
        <f aca="false">Q19*Q29</f>
        <v>23213.84</v>
      </c>
      <c r="R30" s="69" t="n">
        <f aca="false">R19*R29</f>
        <v>23213.84</v>
      </c>
      <c r="S30" s="69" t="n">
        <f aca="false">S19*S29</f>
        <v>23213.84</v>
      </c>
      <c r="T30" s="69" t="n">
        <f aca="false">T19*T29</f>
        <v>23213.84</v>
      </c>
      <c r="U30" s="69" t="n">
        <f aca="false">U19*U29</f>
        <v>23213.84</v>
      </c>
      <c r="V30" s="69" t="n">
        <f aca="false">V19*V29</f>
        <v>23213.84</v>
      </c>
      <c r="W30" s="69" t="n">
        <f aca="false">W19*W29</f>
        <v>23213.84</v>
      </c>
      <c r="X30" s="69" t="n">
        <f aca="false">X19*X29</f>
        <v>23213.84</v>
      </c>
      <c r="Y30" s="69" t="n">
        <f aca="false">Y19*Y29</f>
        <v>23213.84</v>
      </c>
      <c r="Z30" s="69" t="n">
        <f aca="false">Z19*Z29</f>
        <v>23213.84</v>
      </c>
      <c r="AA30" s="69" t="n">
        <f aca="false">AA19*AA29</f>
        <v>23445.9784</v>
      </c>
      <c r="AB30" s="69" t="n">
        <f aca="false">AB19*AB29</f>
        <v>23445.9784</v>
      </c>
      <c r="AC30" s="69" t="n">
        <f aca="false">AC19*AC29</f>
        <v>23445.9784</v>
      </c>
      <c r="AD30" s="69" t="n">
        <f aca="false">AD19*AD29</f>
        <v>23445.9784</v>
      </c>
      <c r="AE30" s="69" t="n">
        <f aca="false">AE19*AE29</f>
        <v>23445.9784</v>
      </c>
      <c r="AF30" s="69" t="n">
        <f aca="false">AF19*AF29</f>
        <v>23445.9784</v>
      </c>
      <c r="AG30" s="69" t="n">
        <f aca="false">AG19*AG29</f>
        <v>23445.9784</v>
      </c>
      <c r="AH30" s="69" t="n">
        <f aca="false">AH19*AH29</f>
        <v>23445.9784</v>
      </c>
      <c r="AI30" s="69" t="n">
        <f aca="false">AI19*AI29</f>
        <v>23445.9784</v>
      </c>
      <c r="AJ30" s="69" t="n">
        <f aca="false">AJ19*AJ29</f>
        <v>23445.9784</v>
      </c>
      <c r="AK30" s="69" t="n">
        <f aca="false">AK19*AK29</f>
        <v>23445.9784</v>
      </c>
      <c r="AL30" s="69" t="n">
        <f aca="false">AL19*AL29</f>
        <v>23445.9784</v>
      </c>
      <c r="AM30" s="69" t="n">
        <f aca="false">AM19*AM29</f>
        <v>23680.438184</v>
      </c>
      <c r="AN30" s="69" t="n">
        <f aca="false">AN19*AN29</f>
        <v>23680.438184</v>
      </c>
      <c r="AO30" s="69" t="n">
        <f aca="false">AO19*AO29</f>
        <v>23680.438184</v>
      </c>
      <c r="AP30" s="69" t="n">
        <f aca="false">AP19*AP29</f>
        <v>23680.438184</v>
      </c>
      <c r="AQ30" s="69" t="n">
        <f aca="false">AQ19*AQ29</f>
        <v>23680.438184</v>
      </c>
      <c r="AR30" s="69" t="n">
        <f aca="false">AR19*AR29</f>
        <v>23680.438184</v>
      </c>
      <c r="AS30" s="69" t="n">
        <f aca="false">AS19*AS29</f>
        <v>23680.438184</v>
      </c>
      <c r="AT30" s="69" t="n">
        <f aca="false">AT19*AT29</f>
        <v>23680.438184</v>
      </c>
      <c r="AU30" s="69" t="n">
        <f aca="false">AU19*AU29</f>
        <v>23680.438184</v>
      </c>
      <c r="AV30" s="69" t="n">
        <f aca="false">AV19*AV29</f>
        <v>23680.438184</v>
      </c>
      <c r="AW30" s="69" t="n">
        <f aca="false">AW19*AW29</f>
        <v>23680.438184</v>
      </c>
      <c r="AX30" s="69" t="n">
        <f aca="false">AX19*AX29</f>
        <v>23680.438184</v>
      </c>
      <c r="AY30" s="69" t="n">
        <f aca="false">AY19*AY29</f>
        <v>23917.24256584</v>
      </c>
      <c r="AZ30" s="69" t="n">
        <f aca="false">AZ19*AZ29</f>
        <v>23917.24256584</v>
      </c>
      <c r="BA30" s="69" t="n">
        <f aca="false">BA19*BA29</f>
        <v>23917.24256584</v>
      </c>
      <c r="BB30" s="69" t="n">
        <f aca="false">BB19*BB29</f>
        <v>23917.24256584</v>
      </c>
      <c r="BC30" s="69" t="n">
        <f aca="false">BC19*BC29</f>
        <v>23917.24256584</v>
      </c>
      <c r="BD30" s="69" t="n">
        <f aca="false">BD19*BD29</f>
        <v>23917.24256584</v>
      </c>
      <c r="BE30" s="69" t="n">
        <f aca="false">BE19*BE29</f>
        <v>23917.24256584</v>
      </c>
      <c r="BF30" s="69" t="n">
        <f aca="false">BF19*BF29</f>
        <v>23917.24256584</v>
      </c>
      <c r="BG30" s="69" t="n">
        <f aca="false">BG19*BG29</f>
        <v>23917.24256584</v>
      </c>
      <c r="BH30" s="69" t="n">
        <f aca="false">BH19*BH29</f>
        <v>23917.24256584</v>
      </c>
      <c r="BI30" s="69" t="n">
        <f aca="false">BI19*BI29</f>
        <v>23917.24256584</v>
      </c>
      <c r="BJ30" s="69" t="n">
        <f aca="false">BJ19*BJ29</f>
        <v>23917.24256584</v>
      </c>
    </row>
    <row r="31" customFormat="false" ht="15" hidden="false" customHeight="false" outlineLevel="0" collapsed="false">
      <c r="A31" s="6" t="s">
        <v>239</v>
      </c>
      <c r="C31" s="69" t="n">
        <f aca="false">C26*Inputs!$B$30*(1+Inputs!$B$20)^(C$7-1)</f>
        <v>6327</v>
      </c>
      <c r="D31" s="69" t="n">
        <f aca="false">D26*Inputs!$B$30*(1+Inputs!$B$20)^(D$7-1)</f>
        <v>7381.5</v>
      </c>
      <c r="E31" s="69" t="n">
        <f aca="false">E26*Inputs!$B$30*(1+Inputs!$B$20)^(E$7-1)</f>
        <v>8436</v>
      </c>
      <c r="F31" s="69" t="n">
        <f aca="false">F26*Inputs!$B$30*(1+Inputs!$B$20)^(F$7-1)</f>
        <v>9490.5</v>
      </c>
      <c r="G31" s="69" t="n">
        <f aca="false">G26*Inputs!$B$30*(1+Inputs!$B$20)^(G$7-1)</f>
        <v>10545</v>
      </c>
      <c r="H31" s="69" t="n">
        <f aca="false">H26*Inputs!$B$30*(1+Inputs!$B$20)^(H$7-1)</f>
        <v>14421</v>
      </c>
      <c r="I31" s="69" t="n">
        <f aca="false">I26*Inputs!$B$30*(1+Inputs!$B$20)^(I$7-1)</f>
        <v>15732</v>
      </c>
      <c r="J31" s="69" t="n">
        <f aca="false">J26*Inputs!$B$30*(1+Inputs!$B$20)^(J$7-1)</f>
        <v>17043</v>
      </c>
      <c r="K31" s="69" t="n">
        <f aca="false">K26*Inputs!$B$30*(1+Inputs!$B$20)^(K$7-1)</f>
        <v>14763</v>
      </c>
      <c r="L31" s="69" t="n">
        <f aca="false">L26*Inputs!$B$30*(1+Inputs!$B$20)^(L$7-1)</f>
        <v>15817.5</v>
      </c>
      <c r="M31" s="69" t="n">
        <f aca="false">M26*Inputs!$B$30*(1+Inputs!$B$20)^(M$7-1)</f>
        <v>16872</v>
      </c>
      <c r="N31" s="69" t="n">
        <f aca="false">N26*Inputs!$B$30*(1+Inputs!$B$20)^(N$7-1)</f>
        <v>22287</v>
      </c>
      <c r="O31" s="69" t="n">
        <f aca="false">O26*Inputs!$B$30*(1+Inputs!$B$20)^(O$7-1)</f>
        <v>19170.81</v>
      </c>
      <c r="P31" s="69" t="n">
        <f aca="false">P26*Inputs!$B$30*(1+Inputs!$B$20)^(P$7-1)</f>
        <v>20235.855</v>
      </c>
      <c r="Q31" s="69" t="n">
        <f aca="false">Q26*Inputs!$B$30*(1+Inputs!$B$20)^(Q$7-1)</f>
        <v>21300.9</v>
      </c>
      <c r="R31" s="69" t="n">
        <f aca="false">R26*Inputs!$B$30*(1+Inputs!$B$20)^(R$7-1)</f>
        <v>21300.9</v>
      </c>
      <c r="S31" s="69" t="n">
        <f aca="false">S26*Inputs!$B$30*(1+Inputs!$B$20)^(S$7-1)</f>
        <v>21300.9</v>
      </c>
      <c r="T31" s="69" t="n">
        <f aca="false">T26*Inputs!$B$30*(1+Inputs!$B$20)^(T$7-1)</f>
        <v>26482.2</v>
      </c>
      <c r="U31" s="69" t="n">
        <f aca="false">U26*Inputs!$B$30*(1+Inputs!$B$20)^(U$7-1)</f>
        <v>26482.2</v>
      </c>
      <c r="V31" s="69" t="n">
        <f aca="false">V26*Inputs!$B$30*(1+Inputs!$B$20)^(V$7-1)</f>
        <v>26482.2</v>
      </c>
      <c r="W31" s="69" t="n">
        <f aca="false">W26*Inputs!$B$30*(1+Inputs!$B$20)^(W$7-1)</f>
        <v>21300.9</v>
      </c>
      <c r="X31" s="69" t="n">
        <f aca="false">X26*Inputs!$B$30*(1+Inputs!$B$20)^(X$7-1)</f>
        <v>21300.9</v>
      </c>
      <c r="Y31" s="69" t="n">
        <f aca="false">Y26*Inputs!$B$30*(1+Inputs!$B$20)^(Y$7-1)</f>
        <v>21300.9</v>
      </c>
      <c r="Z31" s="69" t="n">
        <f aca="false">Z26*Inputs!$B$30*(1+Inputs!$B$20)^(Z$7-1)</f>
        <v>26482.2</v>
      </c>
      <c r="AA31" s="69" t="n">
        <f aca="false">AA26*Inputs!$B$30*(1+Inputs!$B$20)^(AA$7-1)</f>
        <v>21513.909</v>
      </c>
      <c r="AB31" s="69" t="n">
        <f aca="false">AB26*Inputs!$B$30*(1+Inputs!$B$20)^(AB$7-1)</f>
        <v>21513.909</v>
      </c>
      <c r="AC31" s="69" t="n">
        <f aca="false">AC26*Inputs!$B$30*(1+Inputs!$B$20)^(AC$7-1)</f>
        <v>21513.909</v>
      </c>
      <c r="AD31" s="69" t="n">
        <f aca="false">AD26*Inputs!$B$30*(1+Inputs!$B$20)^(AD$7-1)</f>
        <v>21513.909</v>
      </c>
      <c r="AE31" s="69" t="n">
        <f aca="false">AE26*Inputs!$B$30*(1+Inputs!$B$20)^(AE$7-1)</f>
        <v>21513.909</v>
      </c>
      <c r="AF31" s="69" t="n">
        <f aca="false">AF26*Inputs!$B$30*(1+Inputs!$B$20)^(AF$7-1)</f>
        <v>26747.022</v>
      </c>
      <c r="AG31" s="69" t="n">
        <f aca="false">AG26*Inputs!$B$30*(1+Inputs!$B$20)^(AG$7-1)</f>
        <v>26747.022</v>
      </c>
      <c r="AH31" s="69" t="n">
        <f aca="false">AH26*Inputs!$B$30*(1+Inputs!$B$20)^(AH$7-1)</f>
        <v>26747.022</v>
      </c>
      <c r="AI31" s="69" t="n">
        <f aca="false">AI26*Inputs!$B$30*(1+Inputs!$B$20)^(AI$7-1)</f>
        <v>21513.909</v>
      </c>
      <c r="AJ31" s="69" t="n">
        <f aca="false">AJ26*Inputs!$B$30*(1+Inputs!$B$20)^(AJ$7-1)</f>
        <v>21513.909</v>
      </c>
      <c r="AK31" s="69" t="n">
        <f aca="false">AK26*Inputs!$B$30*(1+Inputs!$B$20)^(AK$7-1)</f>
        <v>21513.909</v>
      </c>
      <c r="AL31" s="69" t="n">
        <f aca="false">AL26*Inputs!$B$30*(1+Inputs!$B$20)^(AL$7-1)</f>
        <v>26747.022</v>
      </c>
      <c r="AM31" s="69" t="n">
        <f aca="false">AM26*Inputs!$B$30*(1+Inputs!$B$20)^(AM$7-1)</f>
        <v>21729.04809</v>
      </c>
      <c r="AN31" s="69" t="n">
        <f aca="false">AN26*Inputs!$B$30*(1+Inputs!$B$20)^(AN$7-1)</f>
        <v>21729.04809</v>
      </c>
      <c r="AO31" s="69" t="n">
        <f aca="false">AO26*Inputs!$B$30*(1+Inputs!$B$20)^(AO$7-1)</f>
        <v>21729.04809</v>
      </c>
      <c r="AP31" s="69" t="n">
        <f aca="false">AP26*Inputs!$B$30*(1+Inputs!$B$20)^(AP$7-1)</f>
        <v>21729.04809</v>
      </c>
      <c r="AQ31" s="69" t="n">
        <f aca="false">AQ26*Inputs!$B$30*(1+Inputs!$B$20)^(AQ$7-1)</f>
        <v>21729.04809</v>
      </c>
      <c r="AR31" s="69" t="n">
        <f aca="false">AR26*Inputs!$B$30*(1+Inputs!$B$20)^(AR$7-1)</f>
        <v>27014.49222</v>
      </c>
      <c r="AS31" s="69" t="n">
        <f aca="false">AS26*Inputs!$B$30*(1+Inputs!$B$20)^(AS$7-1)</f>
        <v>27014.49222</v>
      </c>
      <c r="AT31" s="69" t="n">
        <f aca="false">AT26*Inputs!$B$30*(1+Inputs!$B$20)^(AT$7-1)</f>
        <v>27014.49222</v>
      </c>
      <c r="AU31" s="69" t="n">
        <f aca="false">AU26*Inputs!$B$30*(1+Inputs!$B$20)^(AU$7-1)</f>
        <v>21729.04809</v>
      </c>
      <c r="AV31" s="69" t="n">
        <f aca="false">AV26*Inputs!$B$30*(1+Inputs!$B$20)^(AV$7-1)</f>
        <v>21729.04809</v>
      </c>
      <c r="AW31" s="69" t="n">
        <f aca="false">AW26*Inputs!$B$30*(1+Inputs!$B$20)^(AW$7-1)</f>
        <v>21729.04809</v>
      </c>
      <c r="AX31" s="69" t="n">
        <f aca="false">AX26*Inputs!$B$30*(1+Inputs!$B$20)^(AX$7-1)</f>
        <v>27014.49222</v>
      </c>
      <c r="AY31" s="69" t="n">
        <f aca="false">AY26*Inputs!$B$30*(1+Inputs!$B$20)^(AY$7-1)</f>
        <v>21946.3385709</v>
      </c>
      <c r="AZ31" s="69" t="n">
        <f aca="false">AZ26*Inputs!$B$30*(1+Inputs!$B$20)^(AZ$7-1)</f>
        <v>21946.3385709</v>
      </c>
      <c r="BA31" s="69" t="n">
        <f aca="false">BA26*Inputs!$B$30*(1+Inputs!$B$20)^(BA$7-1)</f>
        <v>21946.3385709</v>
      </c>
      <c r="BB31" s="69" t="n">
        <f aca="false">BB26*Inputs!$B$30*(1+Inputs!$B$20)^(BB$7-1)</f>
        <v>21946.3385709</v>
      </c>
      <c r="BC31" s="69" t="n">
        <f aca="false">BC26*Inputs!$B$30*(1+Inputs!$B$20)^(BC$7-1)</f>
        <v>21946.3385709</v>
      </c>
      <c r="BD31" s="69" t="n">
        <f aca="false">BD26*Inputs!$B$30*(1+Inputs!$B$20)^(BD$7-1)</f>
        <v>27284.6371422</v>
      </c>
      <c r="BE31" s="69" t="n">
        <f aca="false">BE26*Inputs!$B$30*(1+Inputs!$B$20)^(BE$7-1)</f>
        <v>27284.6371422</v>
      </c>
      <c r="BF31" s="69" t="n">
        <f aca="false">BF26*Inputs!$B$30*(1+Inputs!$B$20)^(BF$7-1)</f>
        <v>27284.6371422</v>
      </c>
      <c r="BG31" s="69" t="n">
        <f aca="false">BG26*Inputs!$B$30*(1+Inputs!$B$20)^(BG$7-1)</f>
        <v>21946.3385709</v>
      </c>
      <c r="BH31" s="69" t="n">
        <f aca="false">BH26*Inputs!$B$30*(1+Inputs!$B$20)^(BH$7-1)</f>
        <v>21946.3385709</v>
      </c>
      <c r="BI31" s="69" t="n">
        <f aca="false">BI26*Inputs!$B$30*(1+Inputs!$B$20)^(BI$7-1)</f>
        <v>21946.3385709</v>
      </c>
      <c r="BJ31" s="69" t="n">
        <f aca="false">BJ26*Inputs!$B$30*(1+Inputs!$B$20)^(BJ$7-1)</f>
        <v>27284.6371422</v>
      </c>
    </row>
    <row r="32" customFormat="false" ht="15" hidden="false" customHeight="false" outlineLevel="0" collapsed="false">
      <c r="A32" s="6" t="s">
        <v>240</v>
      </c>
      <c r="C32" s="69" t="n">
        <f aca="false">C19*Inputs!$B$21*(1+Inputs!$B$20)^(C$7-1)</f>
        <v>608.4</v>
      </c>
      <c r="D32" s="69" t="n">
        <f aca="false">D19*Inputs!$B$21*(1+Inputs!$B$20)^(D$7-1)</f>
        <v>709.8</v>
      </c>
      <c r="E32" s="69" t="n">
        <f aca="false">E19*Inputs!$B$21*(1+Inputs!$B$20)^(E$7-1)</f>
        <v>811.2</v>
      </c>
      <c r="F32" s="69" t="n">
        <f aca="false">F19*Inputs!$B$21*(1+Inputs!$B$20)^(F$7-1)</f>
        <v>912.6</v>
      </c>
      <c r="G32" s="69" t="n">
        <f aca="false">G19*Inputs!$B$21*(1+Inputs!$B$20)^(G$7-1)</f>
        <v>1014</v>
      </c>
      <c r="H32" s="69" t="n">
        <f aca="false">H19*Inputs!$B$21*(1+Inputs!$B$20)^(H$7-1)</f>
        <v>1115.4</v>
      </c>
      <c r="I32" s="69" t="n">
        <f aca="false">I19*Inputs!$B$21*(1+Inputs!$B$20)^(I$7-1)</f>
        <v>1216.8</v>
      </c>
      <c r="J32" s="69" t="n">
        <f aca="false">J19*Inputs!$B$21*(1+Inputs!$B$20)^(J$7-1)</f>
        <v>1318.2</v>
      </c>
      <c r="K32" s="69" t="n">
        <f aca="false">K19*Inputs!$B$21*(1+Inputs!$B$20)^(K$7-1)</f>
        <v>1419.6</v>
      </c>
      <c r="L32" s="69" t="n">
        <f aca="false">L19*Inputs!$B$21*(1+Inputs!$B$20)^(L$7-1)</f>
        <v>1521</v>
      </c>
      <c r="M32" s="69" t="n">
        <f aca="false">M19*Inputs!$B$21*(1+Inputs!$B$20)^(M$7-1)</f>
        <v>1622.4</v>
      </c>
      <c r="N32" s="69" t="n">
        <f aca="false">N19*Inputs!$B$21*(1+Inputs!$B$20)^(N$7-1)</f>
        <v>1723.8</v>
      </c>
      <c r="O32" s="69" t="n">
        <f aca="false">O19*Inputs!$B$21*(1+Inputs!$B$20)^(O$7-1)</f>
        <v>1843.452</v>
      </c>
      <c r="P32" s="69" t="n">
        <f aca="false">P19*Inputs!$B$21*(1+Inputs!$B$20)^(P$7-1)</f>
        <v>1945.866</v>
      </c>
      <c r="Q32" s="69" t="n">
        <f aca="false">Q19*Inputs!$B$21*(1+Inputs!$B$20)^(Q$7-1)</f>
        <v>2048.28</v>
      </c>
      <c r="R32" s="69" t="n">
        <f aca="false">R19*Inputs!$B$21*(1+Inputs!$B$20)^(R$7-1)</f>
        <v>2048.28</v>
      </c>
      <c r="S32" s="69" t="n">
        <f aca="false">S19*Inputs!$B$21*(1+Inputs!$B$20)^(S$7-1)</f>
        <v>2048.28</v>
      </c>
      <c r="T32" s="69" t="n">
        <f aca="false">T19*Inputs!$B$21*(1+Inputs!$B$20)^(T$7-1)</f>
        <v>2048.28</v>
      </c>
      <c r="U32" s="69" t="n">
        <f aca="false">U19*Inputs!$B$21*(1+Inputs!$B$20)^(U$7-1)</f>
        <v>2048.28</v>
      </c>
      <c r="V32" s="69" t="n">
        <f aca="false">V19*Inputs!$B$21*(1+Inputs!$B$20)^(V$7-1)</f>
        <v>2048.28</v>
      </c>
      <c r="W32" s="69" t="n">
        <f aca="false">W19*Inputs!$B$21*(1+Inputs!$B$20)^(W$7-1)</f>
        <v>2048.28</v>
      </c>
      <c r="X32" s="69" t="n">
        <f aca="false">X19*Inputs!$B$21*(1+Inputs!$B$20)^(X$7-1)</f>
        <v>2048.28</v>
      </c>
      <c r="Y32" s="69" t="n">
        <f aca="false">Y19*Inputs!$B$21*(1+Inputs!$B$20)^(Y$7-1)</f>
        <v>2048.28</v>
      </c>
      <c r="Z32" s="69" t="n">
        <f aca="false">Z19*Inputs!$B$21*(1+Inputs!$B$20)^(Z$7-1)</f>
        <v>2048.28</v>
      </c>
      <c r="AA32" s="69" t="n">
        <f aca="false">AA19*Inputs!$B$21*(1+Inputs!$B$20)^(AA$7-1)</f>
        <v>2068.7628</v>
      </c>
      <c r="AB32" s="69" t="n">
        <f aca="false">AB19*Inputs!$B$21*(1+Inputs!$B$20)^(AB$7-1)</f>
        <v>2068.7628</v>
      </c>
      <c r="AC32" s="69" t="n">
        <f aca="false">AC19*Inputs!$B$21*(1+Inputs!$B$20)^(AC$7-1)</f>
        <v>2068.7628</v>
      </c>
      <c r="AD32" s="69" t="n">
        <f aca="false">AD19*Inputs!$B$21*(1+Inputs!$B$20)^(AD$7-1)</f>
        <v>2068.7628</v>
      </c>
      <c r="AE32" s="69" t="n">
        <f aca="false">AE19*Inputs!$B$21*(1+Inputs!$B$20)^(AE$7-1)</f>
        <v>2068.7628</v>
      </c>
      <c r="AF32" s="69" t="n">
        <f aca="false">AF19*Inputs!$B$21*(1+Inputs!$B$20)^(AF$7-1)</f>
        <v>2068.7628</v>
      </c>
      <c r="AG32" s="69" t="n">
        <f aca="false">AG19*Inputs!$B$21*(1+Inputs!$B$20)^(AG$7-1)</f>
        <v>2068.7628</v>
      </c>
      <c r="AH32" s="69" t="n">
        <f aca="false">AH19*Inputs!$B$21*(1+Inputs!$B$20)^(AH$7-1)</f>
        <v>2068.7628</v>
      </c>
      <c r="AI32" s="69" t="n">
        <f aca="false">AI19*Inputs!$B$21*(1+Inputs!$B$20)^(AI$7-1)</f>
        <v>2068.7628</v>
      </c>
      <c r="AJ32" s="69" t="n">
        <f aca="false">AJ19*Inputs!$B$21*(1+Inputs!$B$20)^(AJ$7-1)</f>
        <v>2068.7628</v>
      </c>
      <c r="AK32" s="69" t="n">
        <f aca="false">AK19*Inputs!$B$21*(1+Inputs!$B$20)^(AK$7-1)</f>
        <v>2068.7628</v>
      </c>
      <c r="AL32" s="69" t="n">
        <f aca="false">AL19*Inputs!$B$21*(1+Inputs!$B$20)^(AL$7-1)</f>
        <v>2068.7628</v>
      </c>
      <c r="AM32" s="69" t="n">
        <f aca="false">AM19*Inputs!$B$21*(1+Inputs!$B$20)^(AM$7-1)</f>
        <v>2089.450428</v>
      </c>
      <c r="AN32" s="69" t="n">
        <f aca="false">AN19*Inputs!$B$21*(1+Inputs!$B$20)^(AN$7-1)</f>
        <v>2089.450428</v>
      </c>
      <c r="AO32" s="69" t="n">
        <f aca="false">AO19*Inputs!$B$21*(1+Inputs!$B$20)^(AO$7-1)</f>
        <v>2089.450428</v>
      </c>
      <c r="AP32" s="69" t="n">
        <f aca="false">AP19*Inputs!$B$21*(1+Inputs!$B$20)^(AP$7-1)</f>
        <v>2089.450428</v>
      </c>
      <c r="AQ32" s="69" t="n">
        <f aca="false">AQ19*Inputs!$B$21*(1+Inputs!$B$20)^(AQ$7-1)</f>
        <v>2089.450428</v>
      </c>
      <c r="AR32" s="69" t="n">
        <f aca="false">AR19*Inputs!$B$21*(1+Inputs!$B$20)^(AR$7-1)</f>
        <v>2089.450428</v>
      </c>
      <c r="AS32" s="69" t="n">
        <f aca="false">AS19*Inputs!$B$21*(1+Inputs!$B$20)^(AS$7-1)</f>
        <v>2089.450428</v>
      </c>
      <c r="AT32" s="69" t="n">
        <f aca="false">AT19*Inputs!$B$21*(1+Inputs!$B$20)^(AT$7-1)</f>
        <v>2089.450428</v>
      </c>
      <c r="AU32" s="69" t="n">
        <f aca="false">AU19*Inputs!$B$21*(1+Inputs!$B$20)^(AU$7-1)</f>
        <v>2089.450428</v>
      </c>
      <c r="AV32" s="69" t="n">
        <f aca="false">AV19*Inputs!$B$21*(1+Inputs!$B$20)^(AV$7-1)</f>
        <v>2089.450428</v>
      </c>
      <c r="AW32" s="69" t="n">
        <f aca="false">AW19*Inputs!$B$21*(1+Inputs!$B$20)^(AW$7-1)</f>
        <v>2089.450428</v>
      </c>
      <c r="AX32" s="69" t="n">
        <f aca="false">AX19*Inputs!$B$21*(1+Inputs!$B$20)^(AX$7-1)</f>
        <v>2089.450428</v>
      </c>
      <c r="AY32" s="69" t="n">
        <f aca="false">AY19*Inputs!$B$21*(1+Inputs!$B$20)^(AY$7-1)</f>
        <v>2110.34493228</v>
      </c>
      <c r="AZ32" s="69" t="n">
        <f aca="false">AZ19*Inputs!$B$21*(1+Inputs!$B$20)^(AZ$7-1)</f>
        <v>2110.34493228</v>
      </c>
      <c r="BA32" s="69" t="n">
        <f aca="false">BA19*Inputs!$B$21*(1+Inputs!$B$20)^(BA$7-1)</f>
        <v>2110.34493228</v>
      </c>
      <c r="BB32" s="69" t="n">
        <f aca="false">BB19*Inputs!$B$21*(1+Inputs!$B$20)^(BB$7-1)</f>
        <v>2110.34493228</v>
      </c>
      <c r="BC32" s="69" t="n">
        <f aca="false">BC19*Inputs!$B$21*(1+Inputs!$B$20)^(BC$7-1)</f>
        <v>2110.34493228</v>
      </c>
      <c r="BD32" s="69" t="n">
        <f aca="false">BD19*Inputs!$B$21*(1+Inputs!$B$20)^(BD$7-1)</f>
        <v>2110.34493228</v>
      </c>
      <c r="BE32" s="69" t="n">
        <f aca="false">BE19*Inputs!$B$21*(1+Inputs!$B$20)^(BE$7-1)</f>
        <v>2110.34493228</v>
      </c>
      <c r="BF32" s="69" t="n">
        <f aca="false">BF19*Inputs!$B$21*(1+Inputs!$B$20)^(BF$7-1)</f>
        <v>2110.34493228</v>
      </c>
      <c r="BG32" s="69" t="n">
        <f aca="false">BG19*Inputs!$B$21*(1+Inputs!$B$20)^(BG$7-1)</f>
        <v>2110.34493228</v>
      </c>
      <c r="BH32" s="69" t="n">
        <f aca="false">BH19*Inputs!$B$21*(1+Inputs!$B$20)^(BH$7-1)</f>
        <v>2110.34493228</v>
      </c>
      <c r="BI32" s="69" t="n">
        <f aca="false">BI19*Inputs!$B$21*(1+Inputs!$B$20)^(BI$7-1)</f>
        <v>2110.34493228</v>
      </c>
      <c r="BJ32" s="69" t="n">
        <f aca="false">BJ19*Inputs!$B$21*(1+Inputs!$B$20)^(BJ$7-1)</f>
        <v>2110.34493228</v>
      </c>
    </row>
    <row r="33" customFormat="false" ht="15" hidden="false" customHeight="false" outlineLevel="0" collapsed="false">
      <c r="A33" s="115" t="s">
        <v>44</v>
      </c>
      <c r="C33" s="70" t="n">
        <f aca="false">C30+C31+C32</f>
        <v>13830.6</v>
      </c>
      <c r="D33" s="70" t="n">
        <f aca="false">D30+D31+D32</f>
        <v>16135.7</v>
      </c>
      <c r="E33" s="70" t="n">
        <f aca="false">E30+E31+E32</f>
        <v>18440.8</v>
      </c>
      <c r="F33" s="70" t="n">
        <f aca="false">F30+F31+F32</f>
        <v>20745.9</v>
      </c>
      <c r="G33" s="70" t="n">
        <f aca="false">G30+G31+G32</f>
        <v>23051</v>
      </c>
      <c r="H33" s="70" t="n">
        <f aca="false">H30+H31+H32</f>
        <v>28177.6</v>
      </c>
      <c r="I33" s="70" t="n">
        <f aca="false">I30+I31+I32</f>
        <v>30739.2</v>
      </c>
      <c r="J33" s="70" t="n">
        <f aca="false">J30+J31+J32</f>
        <v>33300.8</v>
      </c>
      <c r="K33" s="70" t="n">
        <f aca="false">K30+K31+K32</f>
        <v>32271.4</v>
      </c>
      <c r="L33" s="70" t="n">
        <f aca="false">L30+L31+L32</f>
        <v>34576.5</v>
      </c>
      <c r="M33" s="70" t="n">
        <f aca="false">M30+M31+M32</f>
        <v>36881.6</v>
      </c>
      <c r="N33" s="70" t="n">
        <f aca="false">N30+N31+N32</f>
        <v>43547.2</v>
      </c>
      <c r="O33" s="70" t="n">
        <f aca="false">O30+O31+O32</f>
        <v>41906.718</v>
      </c>
      <c r="P33" s="70" t="n">
        <f aca="false">P30+P31+P32</f>
        <v>44234.869</v>
      </c>
      <c r="Q33" s="70" t="n">
        <f aca="false">Q30+Q31+Q32</f>
        <v>46563.02</v>
      </c>
      <c r="R33" s="70" t="n">
        <f aca="false">R30+R31+R32</f>
        <v>46563.02</v>
      </c>
      <c r="S33" s="70" t="n">
        <f aca="false">S30+S31+S32</f>
        <v>46563.02</v>
      </c>
      <c r="T33" s="70" t="n">
        <f aca="false">T30+T31+T32</f>
        <v>51744.32</v>
      </c>
      <c r="U33" s="70" t="n">
        <f aca="false">U30+U31+U32</f>
        <v>51744.32</v>
      </c>
      <c r="V33" s="70" t="n">
        <f aca="false">V30+V31+V32</f>
        <v>51744.32</v>
      </c>
      <c r="W33" s="70" t="n">
        <f aca="false">W30+W31+W32</f>
        <v>46563.02</v>
      </c>
      <c r="X33" s="70" t="n">
        <f aca="false">X30+X31+X32</f>
        <v>46563.02</v>
      </c>
      <c r="Y33" s="70" t="n">
        <f aca="false">Y30+Y31+Y32</f>
        <v>46563.02</v>
      </c>
      <c r="Z33" s="70" t="n">
        <f aca="false">Z30+Z31+Z32</f>
        <v>51744.32</v>
      </c>
      <c r="AA33" s="70" t="n">
        <f aca="false">AA30+AA31+AA32</f>
        <v>47028.6502</v>
      </c>
      <c r="AB33" s="70" t="n">
        <f aca="false">AB30+AB31+AB32</f>
        <v>47028.6502</v>
      </c>
      <c r="AC33" s="70" t="n">
        <f aca="false">AC30+AC31+AC32</f>
        <v>47028.6502</v>
      </c>
      <c r="AD33" s="70" t="n">
        <f aca="false">AD30+AD31+AD32</f>
        <v>47028.6502</v>
      </c>
      <c r="AE33" s="70" t="n">
        <f aca="false">AE30+AE31+AE32</f>
        <v>47028.6502</v>
      </c>
      <c r="AF33" s="70" t="n">
        <f aca="false">AF30+AF31+AF32</f>
        <v>52261.7632</v>
      </c>
      <c r="AG33" s="70" t="n">
        <f aca="false">AG30+AG31+AG32</f>
        <v>52261.7632</v>
      </c>
      <c r="AH33" s="70" t="n">
        <f aca="false">AH30+AH31+AH32</f>
        <v>52261.7632</v>
      </c>
      <c r="AI33" s="70" t="n">
        <f aca="false">AI30+AI31+AI32</f>
        <v>47028.6502</v>
      </c>
      <c r="AJ33" s="70" t="n">
        <f aca="false">AJ30+AJ31+AJ32</f>
        <v>47028.6502</v>
      </c>
      <c r="AK33" s="70" t="n">
        <f aca="false">AK30+AK31+AK32</f>
        <v>47028.6502</v>
      </c>
      <c r="AL33" s="70" t="n">
        <f aca="false">AL30+AL31+AL32</f>
        <v>52261.7632</v>
      </c>
      <c r="AM33" s="70" t="n">
        <f aca="false">AM30+AM31+AM32</f>
        <v>47498.936702</v>
      </c>
      <c r="AN33" s="70" t="n">
        <f aca="false">AN30+AN31+AN32</f>
        <v>47498.936702</v>
      </c>
      <c r="AO33" s="70" t="n">
        <f aca="false">AO30+AO31+AO32</f>
        <v>47498.936702</v>
      </c>
      <c r="AP33" s="70" t="n">
        <f aca="false">AP30+AP31+AP32</f>
        <v>47498.936702</v>
      </c>
      <c r="AQ33" s="70" t="n">
        <f aca="false">AQ30+AQ31+AQ32</f>
        <v>47498.936702</v>
      </c>
      <c r="AR33" s="70" t="n">
        <f aca="false">AR30+AR31+AR32</f>
        <v>52784.380832</v>
      </c>
      <c r="AS33" s="70" t="n">
        <f aca="false">AS30+AS31+AS32</f>
        <v>52784.380832</v>
      </c>
      <c r="AT33" s="70" t="n">
        <f aca="false">AT30+AT31+AT32</f>
        <v>52784.380832</v>
      </c>
      <c r="AU33" s="70" t="n">
        <f aca="false">AU30+AU31+AU32</f>
        <v>47498.936702</v>
      </c>
      <c r="AV33" s="70" t="n">
        <f aca="false">AV30+AV31+AV32</f>
        <v>47498.936702</v>
      </c>
      <c r="AW33" s="70" t="n">
        <f aca="false">AW30+AW31+AW32</f>
        <v>47498.936702</v>
      </c>
      <c r="AX33" s="70" t="n">
        <f aca="false">AX30+AX31+AX32</f>
        <v>52784.380832</v>
      </c>
      <c r="AY33" s="70" t="n">
        <f aca="false">AY30+AY31+AY32</f>
        <v>47973.92606902</v>
      </c>
      <c r="AZ33" s="70" t="n">
        <f aca="false">AZ30+AZ31+AZ32</f>
        <v>47973.92606902</v>
      </c>
      <c r="BA33" s="70" t="n">
        <f aca="false">BA30+BA31+BA32</f>
        <v>47973.92606902</v>
      </c>
      <c r="BB33" s="70" t="n">
        <f aca="false">BB30+BB31+BB32</f>
        <v>47973.92606902</v>
      </c>
      <c r="BC33" s="70" t="n">
        <f aca="false">BC30+BC31+BC32</f>
        <v>47973.92606902</v>
      </c>
      <c r="BD33" s="70" t="n">
        <f aca="false">BD30+BD31+BD32</f>
        <v>53312.22464032</v>
      </c>
      <c r="BE33" s="70" t="n">
        <f aca="false">BE30+BE31+BE32</f>
        <v>53312.22464032</v>
      </c>
      <c r="BF33" s="70" t="n">
        <f aca="false">BF30+BF31+BF32</f>
        <v>53312.22464032</v>
      </c>
      <c r="BG33" s="70" t="n">
        <f aca="false">BG30+BG31+BG32</f>
        <v>47973.92606902</v>
      </c>
      <c r="BH33" s="70" t="n">
        <f aca="false">BH30+BH31+BH32</f>
        <v>47973.92606902</v>
      </c>
      <c r="BI33" s="70" t="n">
        <f aca="false">BI30+BI31+BI32</f>
        <v>47973.92606902</v>
      </c>
      <c r="BJ33" s="70" t="n">
        <f aca="false">BJ30+BJ31+BJ32</f>
        <v>53312.22464032</v>
      </c>
    </row>
    <row r="35" customFormat="false" ht="15.75" hidden="false" customHeight="true" outlineLevel="0" collapsed="false">
      <c r="A35" s="7" t="s">
        <v>76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6" t="s">
        <v>423</v>
      </c>
      <c r="C36" s="69" t="n">
        <f aca="false">C124</f>
        <v>-3833.33333333333</v>
      </c>
      <c r="D36" s="69" t="n">
        <f aca="false">D124</f>
        <v>-3833.33333333333</v>
      </c>
      <c r="E36" s="69" t="n">
        <f aca="false">E124</f>
        <v>-3833.33333333333</v>
      </c>
      <c r="F36" s="69" t="n">
        <f aca="false">F124</f>
        <v>-3833.33333333333</v>
      </c>
      <c r="G36" s="69" t="n">
        <f aca="false">G124</f>
        <v>-3833.33333333333</v>
      </c>
      <c r="H36" s="69" t="n">
        <f aca="false">H124</f>
        <v>-3833.33333333333</v>
      </c>
      <c r="I36" s="69" t="n">
        <f aca="false">I124</f>
        <v>-3833.33333333333</v>
      </c>
      <c r="J36" s="69" t="n">
        <f aca="false">J124</f>
        <v>-3833.33333333333</v>
      </c>
      <c r="K36" s="69" t="n">
        <f aca="false">K124</f>
        <v>-3833.33333333333</v>
      </c>
      <c r="L36" s="69" t="n">
        <f aca="false">L124</f>
        <v>-3833.33333333333</v>
      </c>
      <c r="M36" s="69" t="n">
        <f aca="false">M124</f>
        <v>-3833.33333333333</v>
      </c>
      <c r="N36" s="69" t="n">
        <f aca="false">N124</f>
        <v>-3833.33333333333</v>
      </c>
      <c r="O36" s="69" t="n">
        <f aca="false">O124</f>
        <v>-3986.66666666667</v>
      </c>
      <c r="P36" s="69" t="n">
        <f aca="false">P124</f>
        <v>-3986.66666666667</v>
      </c>
      <c r="Q36" s="69" t="n">
        <f aca="false">Q124</f>
        <v>-3986.66666666667</v>
      </c>
      <c r="R36" s="69" t="n">
        <f aca="false">R124</f>
        <v>-3986.66666666667</v>
      </c>
      <c r="S36" s="69" t="n">
        <f aca="false">S124</f>
        <v>-3986.66666666667</v>
      </c>
      <c r="T36" s="69" t="n">
        <f aca="false">T124</f>
        <v>-3986.66666666667</v>
      </c>
      <c r="U36" s="69" t="n">
        <f aca="false">U124</f>
        <v>-3986.66666666667</v>
      </c>
      <c r="V36" s="69" t="n">
        <f aca="false">V124</f>
        <v>-3986.66666666667</v>
      </c>
      <c r="W36" s="69" t="n">
        <f aca="false">W124</f>
        <v>-3986.66666666667</v>
      </c>
      <c r="X36" s="69" t="n">
        <f aca="false">X124</f>
        <v>-3986.66666666667</v>
      </c>
      <c r="Y36" s="69" t="n">
        <f aca="false">Y124</f>
        <v>-3986.66666666667</v>
      </c>
      <c r="Z36" s="69" t="n">
        <f aca="false">Z124</f>
        <v>-3986.66666666667</v>
      </c>
      <c r="AA36" s="69" t="n">
        <f aca="false">AA124</f>
        <v>-4146.13333333333</v>
      </c>
      <c r="AB36" s="69" t="n">
        <f aca="false">AB124</f>
        <v>-4146.13333333333</v>
      </c>
      <c r="AC36" s="69" t="n">
        <f aca="false">AC124</f>
        <v>-4146.13333333333</v>
      </c>
      <c r="AD36" s="69" t="n">
        <f aca="false">AD124</f>
        <v>-4146.13333333333</v>
      </c>
      <c r="AE36" s="69" t="n">
        <f aca="false">AE124</f>
        <v>-4146.13333333333</v>
      </c>
      <c r="AF36" s="69" t="n">
        <f aca="false">AF124</f>
        <v>-4146.13333333333</v>
      </c>
      <c r="AG36" s="69" t="n">
        <f aca="false">AG124</f>
        <v>-4146.13333333333</v>
      </c>
      <c r="AH36" s="69" t="n">
        <f aca="false">AH124</f>
        <v>-4146.13333333333</v>
      </c>
      <c r="AI36" s="69" t="n">
        <f aca="false">AI124</f>
        <v>-4146.13333333333</v>
      </c>
      <c r="AJ36" s="69" t="n">
        <f aca="false">AJ124</f>
        <v>-4146.13333333333</v>
      </c>
      <c r="AK36" s="69" t="n">
        <f aca="false">AK124</f>
        <v>-4146.13333333333</v>
      </c>
      <c r="AL36" s="69" t="n">
        <f aca="false">AL124</f>
        <v>-4146.13333333333</v>
      </c>
      <c r="AM36" s="69" t="n">
        <f aca="false">AM124</f>
        <v>-4311.97866666667</v>
      </c>
      <c r="AN36" s="69" t="n">
        <f aca="false">AN124</f>
        <v>-4311.97866666667</v>
      </c>
      <c r="AO36" s="69" t="n">
        <f aca="false">AO124</f>
        <v>-4311.97866666667</v>
      </c>
      <c r="AP36" s="69" t="n">
        <f aca="false">AP124</f>
        <v>-4311.97866666667</v>
      </c>
      <c r="AQ36" s="69" t="n">
        <f aca="false">AQ124</f>
        <v>-4311.97866666667</v>
      </c>
      <c r="AR36" s="69" t="n">
        <f aca="false">AR124</f>
        <v>-4311.97866666667</v>
      </c>
      <c r="AS36" s="69" t="n">
        <f aca="false">AS124</f>
        <v>-4311.97866666667</v>
      </c>
      <c r="AT36" s="69" t="n">
        <f aca="false">AT124</f>
        <v>-4311.97866666667</v>
      </c>
      <c r="AU36" s="69" t="n">
        <f aca="false">AU124</f>
        <v>-4311.97866666667</v>
      </c>
      <c r="AV36" s="69" t="n">
        <f aca="false">AV124</f>
        <v>-4311.97866666667</v>
      </c>
      <c r="AW36" s="69" t="n">
        <f aca="false">AW124</f>
        <v>-4311.97866666667</v>
      </c>
      <c r="AX36" s="69" t="n">
        <f aca="false">AX124</f>
        <v>-4311.97866666667</v>
      </c>
      <c r="AY36" s="69" t="n">
        <f aca="false">AY124</f>
        <v>-4484.45781333333</v>
      </c>
      <c r="AZ36" s="69" t="n">
        <f aca="false">AZ124</f>
        <v>-4484.45781333333</v>
      </c>
      <c r="BA36" s="69" t="n">
        <f aca="false">BA124</f>
        <v>-4484.45781333333</v>
      </c>
      <c r="BB36" s="69" t="n">
        <f aca="false">BB124</f>
        <v>-4484.45781333333</v>
      </c>
      <c r="BC36" s="69" t="n">
        <f aca="false">BC124</f>
        <v>-4484.45781333333</v>
      </c>
      <c r="BD36" s="69" t="n">
        <f aca="false">BD124</f>
        <v>-4484.45781333333</v>
      </c>
      <c r="BE36" s="69" t="n">
        <f aca="false">BE124</f>
        <v>-4484.45781333333</v>
      </c>
      <c r="BF36" s="69" t="n">
        <f aca="false">BF124</f>
        <v>-4484.45781333333</v>
      </c>
      <c r="BG36" s="69" t="n">
        <f aca="false">BG124</f>
        <v>-4484.45781333333</v>
      </c>
      <c r="BH36" s="69" t="n">
        <f aca="false">BH124</f>
        <v>-4484.45781333333</v>
      </c>
      <c r="BI36" s="69" t="n">
        <f aca="false">BI124</f>
        <v>-4484.45781333333</v>
      </c>
      <c r="BJ36" s="69" t="n">
        <f aca="false">BJ124</f>
        <v>-4484.45781333333</v>
      </c>
    </row>
    <row r="37" customFormat="false" ht="15" hidden="false" customHeight="false" outlineLevel="0" collapsed="false">
      <c r="A37" s="6" t="s">
        <v>424</v>
      </c>
      <c r="C37" s="69" t="n">
        <f aca="false">-C30*Inputs!$B$33</f>
        <v>-2551.224</v>
      </c>
      <c r="D37" s="69" t="n">
        <f aca="false">-D30*Inputs!$B$33</f>
        <v>-2976.428</v>
      </c>
      <c r="E37" s="69" t="n">
        <f aca="false">-E30*Inputs!$B$33</f>
        <v>-3401.632</v>
      </c>
      <c r="F37" s="69" t="n">
        <f aca="false">-F30*Inputs!$B$33</f>
        <v>-3826.836</v>
      </c>
      <c r="G37" s="69" t="n">
        <f aca="false">-G30*Inputs!$B$33</f>
        <v>-4252.04</v>
      </c>
      <c r="H37" s="69" t="n">
        <f aca="false">-H30*Inputs!$B$33</f>
        <v>-4677.244</v>
      </c>
      <c r="I37" s="69" t="n">
        <f aca="false">-I30*Inputs!$B$33</f>
        <v>-5102.448</v>
      </c>
      <c r="J37" s="69" t="n">
        <f aca="false">-J30*Inputs!$B$33</f>
        <v>-5527.652</v>
      </c>
      <c r="K37" s="69" t="n">
        <f aca="false">-K30*Inputs!$B$33</f>
        <v>-5952.856</v>
      </c>
      <c r="L37" s="69" t="n">
        <f aca="false">-L30*Inputs!$B$33</f>
        <v>-6378.06</v>
      </c>
      <c r="M37" s="69" t="n">
        <f aca="false">-M30*Inputs!$B$33</f>
        <v>-6803.264</v>
      </c>
      <c r="N37" s="69" t="n">
        <f aca="false">-N30*Inputs!$B$33</f>
        <v>-7228.468</v>
      </c>
      <c r="O37" s="69" t="n">
        <f aca="false">-O30*Inputs!$B$33</f>
        <v>-7730.20872</v>
      </c>
      <c r="P37" s="69" t="n">
        <f aca="false">-P30*Inputs!$B$33</f>
        <v>-8159.66476</v>
      </c>
      <c r="Q37" s="69" t="n">
        <f aca="false">-Q30*Inputs!$B$33</f>
        <v>-8589.1208</v>
      </c>
      <c r="R37" s="69" t="n">
        <f aca="false">-R30*Inputs!$B$33</f>
        <v>-8589.1208</v>
      </c>
      <c r="S37" s="69" t="n">
        <f aca="false">-S30*Inputs!$B$33</f>
        <v>-8589.1208</v>
      </c>
      <c r="T37" s="69" t="n">
        <f aca="false">-T30*Inputs!$B$33</f>
        <v>-8589.1208</v>
      </c>
      <c r="U37" s="69" t="n">
        <f aca="false">-U30*Inputs!$B$33</f>
        <v>-8589.1208</v>
      </c>
      <c r="V37" s="69" t="n">
        <f aca="false">-V30*Inputs!$B$33</f>
        <v>-8589.1208</v>
      </c>
      <c r="W37" s="69" t="n">
        <f aca="false">-W30*Inputs!$B$33</f>
        <v>-8589.1208</v>
      </c>
      <c r="X37" s="69" t="n">
        <f aca="false">-X30*Inputs!$B$33</f>
        <v>-8589.1208</v>
      </c>
      <c r="Y37" s="69" t="n">
        <f aca="false">-Y30*Inputs!$B$33</f>
        <v>-8589.1208</v>
      </c>
      <c r="Z37" s="69" t="n">
        <f aca="false">-Z30*Inputs!$B$33</f>
        <v>-8589.1208</v>
      </c>
      <c r="AA37" s="69" t="n">
        <f aca="false">-AA30*Inputs!$B$33</f>
        <v>-8675.012008</v>
      </c>
      <c r="AB37" s="69" t="n">
        <f aca="false">-AB30*Inputs!$B$33</f>
        <v>-8675.012008</v>
      </c>
      <c r="AC37" s="69" t="n">
        <f aca="false">-AC30*Inputs!$B$33</f>
        <v>-8675.012008</v>
      </c>
      <c r="AD37" s="69" t="n">
        <f aca="false">-AD30*Inputs!$B$33</f>
        <v>-8675.012008</v>
      </c>
      <c r="AE37" s="69" t="n">
        <f aca="false">-AE30*Inputs!$B$33</f>
        <v>-8675.012008</v>
      </c>
      <c r="AF37" s="69" t="n">
        <f aca="false">-AF30*Inputs!$B$33</f>
        <v>-8675.012008</v>
      </c>
      <c r="AG37" s="69" t="n">
        <f aca="false">-AG30*Inputs!$B$33</f>
        <v>-8675.012008</v>
      </c>
      <c r="AH37" s="69" t="n">
        <f aca="false">-AH30*Inputs!$B$33</f>
        <v>-8675.012008</v>
      </c>
      <c r="AI37" s="69" t="n">
        <f aca="false">-AI30*Inputs!$B$33</f>
        <v>-8675.012008</v>
      </c>
      <c r="AJ37" s="69" t="n">
        <f aca="false">-AJ30*Inputs!$B$33</f>
        <v>-8675.012008</v>
      </c>
      <c r="AK37" s="69" t="n">
        <f aca="false">-AK30*Inputs!$B$33</f>
        <v>-8675.012008</v>
      </c>
      <c r="AL37" s="69" t="n">
        <f aca="false">-AL30*Inputs!$B$33</f>
        <v>-8675.012008</v>
      </c>
      <c r="AM37" s="69" t="n">
        <f aca="false">-AM30*Inputs!$B$33</f>
        <v>-8761.76212808</v>
      </c>
      <c r="AN37" s="69" t="n">
        <f aca="false">-AN30*Inputs!$B$33</f>
        <v>-8761.76212808</v>
      </c>
      <c r="AO37" s="69" t="n">
        <f aca="false">-AO30*Inputs!$B$33</f>
        <v>-8761.76212808</v>
      </c>
      <c r="AP37" s="69" t="n">
        <f aca="false">-AP30*Inputs!$B$33</f>
        <v>-8761.76212808</v>
      </c>
      <c r="AQ37" s="69" t="n">
        <f aca="false">-AQ30*Inputs!$B$33</f>
        <v>-8761.76212808</v>
      </c>
      <c r="AR37" s="69" t="n">
        <f aca="false">-AR30*Inputs!$B$33</f>
        <v>-8761.76212808</v>
      </c>
      <c r="AS37" s="69" t="n">
        <f aca="false">-AS30*Inputs!$B$33</f>
        <v>-8761.76212808</v>
      </c>
      <c r="AT37" s="69" t="n">
        <f aca="false">-AT30*Inputs!$B$33</f>
        <v>-8761.76212808</v>
      </c>
      <c r="AU37" s="69" t="n">
        <f aca="false">-AU30*Inputs!$B$33</f>
        <v>-8761.76212808</v>
      </c>
      <c r="AV37" s="69" t="n">
        <f aca="false">-AV30*Inputs!$B$33</f>
        <v>-8761.76212808</v>
      </c>
      <c r="AW37" s="69" t="n">
        <f aca="false">-AW30*Inputs!$B$33</f>
        <v>-8761.76212808</v>
      </c>
      <c r="AX37" s="69" t="n">
        <f aca="false">-AX30*Inputs!$B$33</f>
        <v>-8761.76212808</v>
      </c>
      <c r="AY37" s="69" t="n">
        <f aca="false">-AY30*Inputs!$B$33</f>
        <v>-8849.3797493608</v>
      </c>
      <c r="AZ37" s="69" t="n">
        <f aca="false">-AZ30*Inputs!$B$33</f>
        <v>-8849.3797493608</v>
      </c>
      <c r="BA37" s="69" t="n">
        <f aca="false">-BA30*Inputs!$B$33</f>
        <v>-8849.3797493608</v>
      </c>
      <c r="BB37" s="69" t="n">
        <f aca="false">-BB30*Inputs!$B$33</f>
        <v>-8849.3797493608</v>
      </c>
      <c r="BC37" s="69" t="n">
        <f aca="false">-BC30*Inputs!$B$33</f>
        <v>-8849.3797493608</v>
      </c>
      <c r="BD37" s="69" t="n">
        <f aca="false">-BD30*Inputs!$B$33</f>
        <v>-8849.3797493608</v>
      </c>
      <c r="BE37" s="69" t="n">
        <f aca="false">-BE30*Inputs!$B$33</f>
        <v>-8849.3797493608</v>
      </c>
      <c r="BF37" s="69" t="n">
        <f aca="false">-BF30*Inputs!$B$33</f>
        <v>-8849.3797493608</v>
      </c>
      <c r="BG37" s="69" t="n">
        <f aca="false">-BG30*Inputs!$B$33</f>
        <v>-8849.3797493608</v>
      </c>
      <c r="BH37" s="69" t="n">
        <f aca="false">-BH30*Inputs!$B$33</f>
        <v>-8849.3797493608</v>
      </c>
      <c r="BI37" s="69" t="n">
        <f aca="false">-BI30*Inputs!$B$33</f>
        <v>-8849.3797493608</v>
      </c>
      <c r="BJ37" s="69" t="n">
        <f aca="false">-BJ30*Inputs!$B$33</f>
        <v>-8849.3797493608</v>
      </c>
    </row>
    <row r="38" customFormat="false" ht="15" hidden="false" customHeight="false" outlineLevel="0" collapsed="false">
      <c r="A38" s="6" t="s">
        <v>425</v>
      </c>
      <c r="C38" s="69" t="n">
        <f aca="false">-C19*Inputs!$B$34*(1+Inputs!$B$45)^(C$7-1)</f>
        <v>-507</v>
      </c>
      <c r="D38" s="69" t="n">
        <f aca="false">-D19*Inputs!$B$34*(1+Inputs!$B$45)^(D$7-1)</f>
        <v>-591.5</v>
      </c>
      <c r="E38" s="69" t="n">
        <f aca="false">-E19*Inputs!$B$34*(1+Inputs!$B$45)^(E$7-1)</f>
        <v>-676</v>
      </c>
      <c r="F38" s="69" t="n">
        <f aca="false">-F19*Inputs!$B$34*(1+Inputs!$B$45)^(F$7-1)</f>
        <v>-760.5</v>
      </c>
      <c r="G38" s="69" t="n">
        <f aca="false">-G19*Inputs!$B$34*(1+Inputs!$B$45)^(G$7-1)</f>
        <v>-845</v>
      </c>
      <c r="H38" s="69" t="n">
        <f aca="false">-H19*Inputs!$B$34*(1+Inputs!$B$45)^(H$7-1)</f>
        <v>-929.5</v>
      </c>
      <c r="I38" s="69" t="n">
        <f aca="false">-I19*Inputs!$B$34*(1+Inputs!$B$45)^(I$7-1)</f>
        <v>-1014</v>
      </c>
      <c r="J38" s="69" t="n">
        <f aca="false">-J19*Inputs!$B$34*(1+Inputs!$B$45)^(J$7-1)</f>
        <v>-1098.5</v>
      </c>
      <c r="K38" s="69" t="n">
        <f aca="false">-K19*Inputs!$B$34*(1+Inputs!$B$45)^(K$7-1)</f>
        <v>-1183</v>
      </c>
      <c r="L38" s="69" t="n">
        <f aca="false">-L19*Inputs!$B$34*(1+Inputs!$B$45)^(L$7-1)</f>
        <v>-1267.5</v>
      </c>
      <c r="M38" s="69" t="n">
        <f aca="false">-M19*Inputs!$B$34*(1+Inputs!$B$45)^(M$7-1)</f>
        <v>-1352</v>
      </c>
      <c r="N38" s="69" t="n">
        <f aca="false">-N19*Inputs!$B$34*(1+Inputs!$B$45)^(N$7-1)</f>
        <v>-1436.5</v>
      </c>
      <c r="O38" s="69" t="n">
        <f aca="false">-O19*Inputs!$B$34*(1+Inputs!$B$45)^(O$7-1)</f>
        <v>-1581.84</v>
      </c>
      <c r="P38" s="69" t="n">
        <f aca="false">-P19*Inputs!$B$34*(1+Inputs!$B$45)^(P$7-1)</f>
        <v>-1669.72</v>
      </c>
      <c r="Q38" s="69" t="n">
        <f aca="false">-Q19*Inputs!$B$34*(1+Inputs!$B$45)^(Q$7-1)</f>
        <v>-1757.6</v>
      </c>
      <c r="R38" s="69" t="n">
        <f aca="false">-R19*Inputs!$B$34*(1+Inputs!$B$45)^(R$7-1)</f>
        <v>-1757.6</v>
      </c>
      <c r="S38" s="69" t="n">
        <f aca="false">-S19*Inputs!$B$34*(1+Inputs!$B$45)^(S$7-1)</f>
        <v>-1757.6</v>
      </c>
      <c r="T38" s="69" t="n">
        <f aca="false">-T19*Inputs!$B$34*(1+Inputs!$B$45)^(T$7-1)</f>
        <v>-1757.6</v>
      </c>
      <c r="U38" s="69" t="n">
        <f aca="false">-U19*Inputs!$B$34*(1+Inputs!$B$45)^(U$7-1)</f>
        <v>-1757.6</v>
      </c>
      <c r="V38" s="69" t="n">
        <f aca="false">-V19*Inputs!$B$34*(1+Inputs!$B$45)^(V$7-1)</f>
        <v>-1757.6</v>
      </c>
      <c r="W38" s="69" t="n">
        <f aca="false">-W19*Inputs!$B$34*(1+Inputs!$B$45)^(W$7-1)</f>
        <v>-1757.6</v>
      </c>
      <c r="X38" s="69" t="n">
        <f aca="false">-X19*Inputs!$B$34*(1+Inputs!$B$45)^(X$7-1)</f>
        <v>-1757.6</v>
      </c>
      <c r="Y38" s="69" t="n">
        <f aca="false">-Y19*Inputs!$B$34*(1+Inputs!$B$45)^(Y$7-1)</f>
        <v>-1757.6</v>
      </c>
      <c r="Z38" s="69" t="n">
        <f aca="false">-Z19*Inputs!$B$34*(1+Inputs!$B$45)^(Z$7-1)</f>
        <v>-1757.6</v>
      </c>
      <c r="AA38" s="69" t="n">
        <f aca="false">-AA19*Inputs!$B$34*(1+Inputs!$B$45)^(AA$7-1)</f>
        <v>-1827.904</v>
      </c>
      <c r="AB38" s="69" t="n">
        <f aca="false">-AB19*Inputs!$B$34*(1+Inputs!$B$45)^(AB$7-1)</f>
        <v>-1827.904</v>
      </c>
      <c r="AC38" s="69" t="n">
        <f aca="false">-AC19*Inputs!$B$34*(1+Inputs!$B$45)^(AC$7-1)</f>
        <v>-1827.904</v>
      </c>
      <c r="AD38" s="69" t="n">
        <f aca="false">-AD19*Inputs!$B$34*(1+Inputs!$B$45)^(AD$7-1)</f>
        <v>-1827.904</v>
      </c>
      <c r="AE38" s="69" t="n">
        <f aca="false">-AE19*Inputs!$B$34*(1+Inputs!$B$45)^(AE$7-1)</f>
        <v>-1827.904</v>
      </c>
      <c r="AF38" s="69" t="n">
        <f aca="false">-AF19*Inputs!$B$34*(1+Inputs!$B$45)^(AF$7-1)</f>
        <v>-1827.904</v>
      </c>
      <c r="AG38" s="69" t="n">
        <f aca="false">-AG19*Inputs!$B$34*(1+Inputs!$B$45)^(AG$7-1)</f>
        <v>-1827.904</v>
      </c>
      <c r="AH38" s="69" t="n">
        <f aca="false">-AH19*Inputs!$B$34*(1+Inputs!$B$45)^(AH$7-1)</f>
        <v>-1827.904</v>
      </c>
      <c r="AI38" s="69" t="n">
        <f aca="false">-AI19*Inputs!$B$34*(1+Inputs!$B$45)^(AI$7-1)</f>
        <v>-1827.904</v>
      </c>
      <c r="AJ38" s="69" t="n">
        <f aca="false">-AJ19*Inputs!$B$34*(1+Inputs!$B$45)^(AJ$7-1)</f>
        <v>-1827.904</v>
      </c>
      <c r="AK38" s="69" t="n">
        <f aca="false">-AK19*Inputs!$B$34*(1+Inputs!$B$45)^(AK$7-1)</f>
        <v>-1827.904</v>
      </c>
      <c r="AL38" s="69" t="n">
        <f aca="false">-AL19*Inputs!$B$34*(1+Inputs!$B$45)^(AL$7-1)</f>
        <v>-1827.904</v>
      </c>
      <c r="AM38" s="69" t="n">
        <f aca="false">-AM19*Inputs!$B$34*(1+Inputs!$B$45)^(AM$7-1)</f>
        <v>-1901.02016</v>
      </c>
      <c r="AN38" s="69" t="n">
        <f aca="false">-AN19*Inputs!$B$34*(1+Inputs!$B$45)^(AN$7-1)</f>
        <v>-1901.02016</v>
      </c>
      <c r="AO38" s="69" t="n">
        <f aca="false">-AO19*Inputs!$B$34*(1+Inputs!$B$45)^(AO$7-1)</f>
        <v>-1901.02016</v>
      </c>
      <c r="AP38" s="69" t="n">
        <f aca="false">-AP19*Inputs!$B$34*(1+Inputs!$B$45)^(AP$7-1)</f>
        <v>-1901.02016</v>
      </c>
      <c r="AQ38" s="69" t="n">
        <f aca="false">-AQ19*Inputs!$B$34*(1+Inputs!$B$45)^(AQ$7-1)</f>
        <v>-1901.02016</v>
      </c>
      <c r="AR38" s="69" t="n">
        <f aca="false">-AR19*Inputs!$B$34*(1+Inputs!$B$45)^(AR$7-1)</f>
        <v>-1901.02016</v>
      </c>
      <c r="AS38" s="69" t="n">
        <f aca="false">-AS19*Inputs!$B$34*(1+Inputs!$B$45)^(AS$7-1)</f>
        <v>-1901.02016</v>
      </c>
      <c r="AT38" s="69" t="n">
        <f aca="false">-AT19*Inputs!$B$34*(1+Inputs!$B$45)^(AT$7-1)</f>
        <v>-1901.02016</v>
      </c>
      <c r="AU38" s="69" t="n">
        <f aca="false">-AU19*Inputs!$B$34*(1+Inputs!$B$45)^(AU$7-1)</f>
        <v>-1901.02016</v>
      </c>
      <c r="AV38" s="69" t="n">
        <f aca="false">-AV19*Inputs!$B$34*(1+Inputs!$B$45)^(AV$7-1)</f>
        <v>-1901.02016</v>
      </c>
      <c r="AW38" s="69" t="n">
        <f aca="false">-AW19*Inputs!$B$34*(1+Inputs!$B$45)^(AW$7-1)</f>
        <v>-1901.02016</v>
      </c>
      <c r="AX38" s="69" t="n">
        <f aca="false">-AX19*Inputs!$B$34*(1+Inputs!$B$45)^(AX$7-1)</f>
        <v>-1901.02016</v>
      </c>
      <c r="AY38" s="69" t="n">
        <f aca="false">-AY19*Inputs!$B$34*(1+Inputs!$B$45)^(AY$7-1)</f>
        <v>-1977.0609664</v>
      </c>
      <c r="AZ38" s="69" t="n">
        <f aca="false">-AZ19*Inputs!$B$34*(1+Inputs!$B$45)^(AZ$7-1)</f>
        <v>-1977.0609664</v>
      </c>
      <c r="BA38" s="69" t="n">
        <f aca="false">-BA19*Inputs!$B$34*(1+Inputs!$B$45)^(BA$7-1)</f>
        <v>-1977.0609664</v>
      </c>
      <c r="BB38" s="69" t="n">
        <f aca="false">-BB19*Inputs!$B$34*(1+Inputs!$B$45)^(BB$7-1)</f>
        <v>-1977.0609664</v>
      </c>
      <c r="BC38" s="69" t="n">
        <f aca="false">-BC19*Inputs!$B$34*(1+Inputs!$B$45)^(BC$7-1)</f>
        <v>-1977.0609664</v>
      </c>
      <c r="BD38" s="69" t="n">
        <f aca="false">-BD19*Inputs!$B$34*(1+Inputs!$B$45)^(BD$7-1)</f>
        <v>-1977.0609664</v>
      </c>
      <c r="BE38" s="69" t="n">
        <f aca="false">-BE19*Inputs!$B$34*(1+Inputs!$B$45)^(BE$7-1)</f>
        <v>-1977.0609664</v>
      </c>
      <c r="BF38" s="69" t="n">
        <f aca="false">-BF19*Inputs!$B$34*(1+Inputs!$B$45)^(BF$7-1)</f>
        <v>-1977.0609664</v>
      </c>
      <c r="BG38" s="69" t="n">
        <f aca="false">-BG19*Inputs!$B$34*(1+Inputs!$B$45)^(BG$7-1)</f>
        <v>-1977.0609664</v>
      </c>
      <c r="BH38" s="69" t="n">
        <f aca="false">-BH19*Inputs!$B$34*(1+Inputs!$B$45)^(BH$7-1)</f>
        <v>-1977.0609664</v>
      </c>
      <c r="BI38" s="69" t="n">
        <f aca="false">-BI19*Inputs!$B$34*(1+Inputs!$B$45)^(BI$7-1)</f>
        <v>-1977.0609664</v>
      </c>
      <c r="BJ38" s="69" t="n">
        <f aca="false">-BJ19*Inputs!$B$34*(1+Inputs!$B$45)^(BJ$7-1)</f>
        <v>-1977.0609664</v>
      </c>
    </row>
    <row r="39" customFormat="false" ht="15" hidden="false" customHeight="false" outlineLevel="0" collapsed="false">
      <c r="A39" s="6" t="s">
        <v>426</v>
      </c>
      <c r="C39" s="69" t="n">
        <f aca="false">-C26*Inputs!$B$35*(1+Inputs!$B$45)^(C$7-1)</f>
        <v>-885.78</v>
      </c>
      <c r="D39" s="69" t="n">
        <f aca="false">-D26*Inputs!$B$35*(1+Inputs!$B$45)^(D$7-1)</f>
        <v>-1033.41</v>
      </c>
      <c r="E39" s="69" t="n">
        <f aca="false">-E26*Inputs!$B$35*(1+Inputs!$B$45)^(E$7-1)</f>
        <v>-1181.04</v>
      </c>
      <c r="F39" s="69" t="n">
        <f aca="false">-F26*Inputs!$B$35*(1+Inputs!$B$45)^(F$7-1)</f>
        <v>-1328.67</v>
      </c>
      <c r="G39" s="69" t="n">
        <f aca="false">-G26*Inputs!$B$35*(1+Inputs!$B$45)^(G$7-1)</f>
        <v>-1476.3</v>
      </c>
      <c r="H39" s="69" t="n">
        <f aca="false">-H26*Inputs!$B$35*(1+Inputs!$B$45)^(H$7-1)</f>
        <v>-2018.94</v>
      </c>
      <c r="I39" s="69" t="n">
        <f aca="false">-I26*Inputs!$B$35*(1+Inputs!$B$45)^(I$7-1)</f>
        <v>-2202.48</v>
      </c>
      <c r="J39" s="69" t="n">
        <f aca="false">-J26*Inputs!$B$35*(1+Inputs!$B$45)^(J$7-1)</f>
        <v>-2386.02</v>
      </c>
      <c r="K39" s="69" t="n">
        <f aca="false">-K26*Inputs!$B$35*(1+Inputs!$B$45)^(K$7-1)</f>
        <v>-2066.82</v>
      </c>
      <c r="L39" s="69" t="n">
        <f aca="false">-L26*Inputs!$B$35*(1+Inputs!$B$45)^(L$7-1)</f>
        <v>-2214.45</v>
      </c>
      <c r="M39" s="69" t="n">
        <f aca="false">-M26*Inputs!$B$35*(1+Inputs!$B$45)^(M$7-1)</f>
        <v>-2362.08</v>
      </c>
      <c r="N39" s="69" t="n">
        <f aca="false">-N26*Inputs!$B$35*(1+Inputs!$B$45)^(N$7-1)</f>
        <v>-3120.18</v>
      </c>
      <c r="O39" s="69" t="n">
        <f aca="false">-O26*Inputs!$B$35*(1+Inputs!$B$45)^(O$7-1)</f>
        <v>-2763.6336</v>
      </c>
      <c r="P39" s="69" t="n">
        <f aca="false">-P26*Inputs!$B$35*(1+Inputs!$B$45)^(P$7-1)</f>
        <v>-2917.1688</v>
      </c>
      <c r="Q39" s="69" t="n">
        <f aca="false">-Q26*Inputs!$B$35*(1+Inputs!$B$45)^(Q$7-1)</f>
        <v>-3070.704</v>
      </c>
      <c r="R39" s="69" t="n">
        <f aca="false">-R26*Inputs!$B$35*(1+Inputs!$B$45)^(R$7-1)</f>
        <v>-3070.704</v>
      </c>
      <c r="S39" s="69" t="n">
        <f aca="false">-S26*Inputs!$B$35*(1+Inputs!$B$45)^(S$7-1)</f>
        <v>-3070.704</v>
      </c>
      <c r="T39" s="69" t="n">
        <f aca="false">-T26*Inputs!$B$35*(1+Inputs!$B$45)^(T$7-1)</f>
        <v>-3817.632</v>
      </c>
      <c r="U39" s="69" t="n">
        <f aca="false">-U26*Inputs!$B$35*(1+Inputs!$B$45)^(U$7-1)</f>
        <v>-3817.632</v>
      </c>
      <c r="V39" s="69" t="n">
        <f aca="false">-V26*Inputs!$B$35*(1+Inputs!$B$45)^(V$7-1)</f>
        <v>-3817.632</v>
      </c>
      <c r="W39" s="69" t="n">
        <f aca="false">-W26*Inputs!$B$35*(1+Inputs!$B$45)^(W$7-1)</f>
        <v>-3070.704</v>
      </c>
      <c r="X39" s="69" t="n">
        <f aca="false">-X26*Inputs!$B$35*(1+Inputs!$B$45)^(X$7-1)</f>
        <v>-3070.704</v>
      </c>
      <c r="Y39" s="69" t="n">
        <f aca="false">-Y26*Inputs!$B$35*(1+Inputs!$B$45)^(Y$7-1)</f>
        <v>-3070.704</v>
      </c>
      <c r="Z39" s="69" t="n">
        <f aca="false">-Z26*Inputs!$B$35*(1+Inputs!$B$45)^(Z$7-1)</f>
        <v>-3817.632</v>
      </c>
      <c r="AA39" s="69" t="n">
        <f aca="false">-AA26*Inputs!$B$35*(1+Inputs!$B$45)^(AA$7-1)</f>
        <v>-3193.53216</v>
      </c>
      <c r="AB39" s="69" t="n">
        <f aca="false">-AB26*Inputs!$B$35*(1+Inputs!$B$45)^(AB$7-1)</f>
        <v>-3193.53216</v>
      </c>
      <c r="AC39" s="69" t="n">
        <f aca="false">-AC26*Inputs!$B$35*(1+Inputs!$B$45)^(AC$7-1)</f>
        <v>-3193.53216</v>
      </c>
      <c r="AD39" s="69" t="n">
        <f aca="false">-AD26*Inputs!$B$35*(1+Inputs!$B$45)^(AD$7-1)</f>
        <v>-3193.53216</v>
      </c>
      <c r="AE39" s="69" t="n">
        <f aca="false">-AE26*Inputs!$B$35*(1+Inputs!$B$45)^(AE$7-1)</f>
        <v>-3193.53216</v>
      </c>
      <c r="AF39" s="69" t="n">
        <f aca="false">-AF26*Inputs!$B$35*(1+Inputs!$B$45)^(AF$7-1)</f>
        <v>-3970.33728</v>
      </c>
      <c r="AG39" s="69" t="n">
        <f aca="false">-AG26*Inputs!$B$35*(1+Inputs!$B$45)^(AG$7-1)</f>
        <v>-3970.33728</v>
      </c>
      <c r="AH39" s="69" t="n">
        <f aca="false">-AH26*Inputs!$B$35*(1+Inputs!$B$45)^(AH$7-1)</f>
        <v>-3970.33728</v>
      </c>
      <c r="AI39" s="69" t="n">
        <f aca="false">-AI26*Inputs!$B$35*(1+Inputs!$B$45)^(AI$7-1)</f>
        <v>-3193.53216</v>
      </c>
      <c r="AJ39" s="69" t="n">
        <f aca="false">-AJ26*Inputs!$B$35*(1+Inputs!$B$45)^(AJ$7-1)</f>
        <v>-3193.53216</v>
      </c>
      <c r="AK39" s="69" t="n">
        <f aca="false">-AK26*Inputs!$B$35*(1+Inputs!$B$45)^(AK$7-1)</f>
        <v>-3193.53216</v>
      </c>
      <c r="AL39" s="69" t="n">
        <f aca="false">-AL26*Inputs!$B$35*(1+Inputs!$B$45)^(AL$7-1)</f>
        <v>-3970.33728</v>
      </c>
      <c r="AM39" s="69" t="n">
        <f aca="false">-AM26*Inputs!$B$35*(1+Inputs!$B$45)^(AM$7-1)</f>
        <v>-3321.2734464</v>
      </c>
      <c r="AN39" s="69" t="n">
        <f aca="false">-AN26*Inputs!$B$35*(1+Inputs!$B$45)^(AN$7-1)</f>
        <v>-3321.2734464</v>
      </c>
      <c r="AO39" s="69" t="n">
        <f aca="false">-AO26*Inputs!$B$35*(1+Inputs!$B$45)^(AO$7-1)</f>
        <v>-3321.2734464</v>
      </c>
      <c r="AP39" s="69" t="n">
        <f aca="false">-AP26*Inputs!$B$35*(1+Inputs!$B$45)^(AP$7-1)</f>
        <v>-3321.2734464</v>
      </c>
      <c r="AQ39" s="69" t="n">
        <f aca="false">-AQ26*Inputs!$B$35*(1+Inputs!$B$45)^(AQ$7-1)</f>
        <v>-3321.2734464</v>
      </c>
      <c r="AR39" s="69" t="n">
        <f aca="false">-AR26*Inputs!$B$35*(1+Inputs!$B$45)^(AR$7-1)</f>
        <v>-4129.1507712</v>
      </c>
      <c r="AS39" s="69" t="n">
        <f aca="false">-AS26*Inputs!$B$35*(1+Inputs!$B$45)^(AS$7-1)</f>
        <v>-4129.1507712</v>
      </c>
      <c r="AT39" s="69" t="n">
        <f aca="false">-AT26*Inputs!$B$35*(1+Inputs!$B$45)^(AT$7-1)</f>
        <v>-4129.1507712</v>
      </c>
      <c r="AU39" s="69" t="n">
        <f aca="false">-AU26*Inputs!$B$35*(1+Inputs!$B$45)^(AU$7-1)</f>
        <v>-3321.2734464</v>
      </c>
      <c r="AV39" s="69" t="n">
        <f aca="false">-AV26*Inputs!$B$35*(1+Inputs!$B$45)^(AV$7-1)</f>
        <v>-3321.2734464</v>
      </c>
      <c r="AW39" s="69" t="n">
        <f aca="false">-AW26*Inputs!$B$35*(1+Inputs!$B$45)^(AW$7-1)</f>
        <v>-3321.2734464</v>
      </c>
      <c r="AX39" s="69" t="n">
        <f aca="false">-AX26*Inputs!$B$35*(1+Inputs!$B$45)^(AX$7-1)</f>
        <v>-4129.1507712</v>
      </c>
      <c r="AY39" s="69" t="n">
        <f aca="false">-AY26*Inputs!$B$35*(1+Inputs!$B$45)^(AY$7-1)</f>
        <v>-3454.124384256</v>
      </c>
      <c r="AZ39" s="69" t="n">
        <f aca="false">-AZ26*Inputs!$B$35*(1+Inputs!$B$45)^(AZ$7-1)</f>
        <v>-3454.124384256</v>
      </c>
      <c r="BA39" s="69" t="n">
        <f aca="false">-BA26*Inputs!$B$35*(1+Inputs!$B$45)^(BA$7-1)</f>
        <v>-3454.124384256</v>
      </c>
      <c r="BB39" s="69" t="n">
        <f aca="false">-BB26*Inputs!$B$35*(1+Inputs!$B$45)^(BB$7-1)</f>
        <v>-3454.124384256</v>
      </c>
      <c r="BC39" s="69" t="n">
        <f aca="false">-BC26*Inputs!$B$35*(1+Inputs!$B$45)^(BC$7-1)</f>
        <v>-3454.124384256</v>
      </c>
      <c r="BD39" s="69" t="n">
        <f aca="false">-BD26*Inputs!$B$35*(1+Inputs!$B$45)^(BD$7-1)</f>
        <v>-4294.316802048</v>
      </c>
      <c r="BE39" s="69" t="n">
        <f aca="false">-BE26*Inputs!$B$35*(1+Inputs!$B$45)^(BE$7-1)</f>
        <v>-4294.316802048</v>
      </c>
      <c r="BF39" s="69" t="n">
        <f aca="false">-BF26*Inputs!$B$35*(1+Inputs!$B$45)^(BF$7-1)</f>
        <v>-4294.316802048</v>
      </c>
      <c r="BG39" s="69" t="n">
        <f aca="false">-BG26*Inputs!$B$35*(1+Inputs!$B$45)^(BG$7-1)</f>
        <v>-3454.124384256</v>
      </c>
      <c r="BH39" s="69" t="n">
        <f aca="false">-BH26*Inputs!$B$35*(1+Inputs!$B$45)^(BH$7-1)</f>
        <v>-3454.124384256</v>
      </c>
      <c r="BI39" s="69" t="n">
        <f aca="false">-BI26*Inputs!$B$35*(1+Inputs!$B$45)^(BI$7-1)</f>
        <v>-3454.124384256</v>
      </c>
      <c r="BJ39" s="69" t="n">
        <f aca="false">-BJ26*Inputs!$B$35*(1+Inputs!$B$45)^(BJ$7-1)</f>
        <v>-4294.316802048</v>
      </c>
    </row>
    <row r="40" customFormat="false" ht="15" hidden="false" customHeight="false" outlineLevel="0" collapsed="false">
      <c r="A40" s="6" t="s">
        <v>427</v>
      </c>
      <c r="C40" s="69" t="n">
        <f aca="false">-C32*(1-Inputs!$B$22)</f>
        <v>-389.376</v>
      </c>
      <c r="D40" s="69" t="n">
        <f aca="false">-D32*(1-Inputs!$B$22)</f>
        <v>-454.272</v>
      </c>
      <c r="E40" s="69" t="n">
        <f aca="false">-E32*(1-Inputs!$B$22)</f>
        <v>-519.168</v>
      </c>
      <c r="F40" s="69" t="n">
        <f aca="false">-F32*(1-Inputs!$B$22)</f>
        <v>-584.064</v>
      </c>
      <c r="G40" s="69" t="n">
        <f aca="false">-G32*(1-Inputs!$B$22)</f>
        <v>-648.96</v>
      </c>
      <c r="H40" s="69" t="n">
        <f aca="false">-H32*(1-Inputs!$B$22)</f>
        <v>-713.856</v>
      </c>
      <c r="I40" s="69" t="n">
        <f aca="false">-I32*(1-Inputs!$B$22)</f>
        <v>-778.752</v>
      </c>
      <c r="J40" s="69" t="n">
        <f aca="false">-J32*(1-Inputs!$B$22)</f>
        <v>-843.648</v>
      </c>
      <c r="K40" s="69" t="n">
        <f aca="false">-K32*(1-Inputs!$B$22)</f>
        <v>-908.544</v>
      </c>
      <c r="L40" s="69" t="n">
        <f aca="false">-L32*(1-Inputs!$B$22)</f>
        <v>-973.44</v>
      </c>
      <c r="M40" s="69" t="n">
        <f aca="false">-M32*(1-Inputs!$B$22)</f>
        <v>-1038.336</v>
      </c>
      <c r="N40" s="69" t="n">
        <f aca="false">-N32*(1-Inputs!$B$22)</f>
        <v>-1103.232</v>
      </c>
      <c r="O40" s="69" t="n">
        <f aca="false">-O32*(1-Inputs!$B$22)</f>
        <v>-1179.80928</v>
      </c>
      <c r="P40" s="69" t="n">
        <f aca="false">-P32*(1-Inputs!$B$22)</f>
        <v>-1245.35424</v>
      </c>
      <c r="Q40" s="69" t="n">
        <f aca="false">-Q32*(1-Inputs!$B$22)</f>
        <v>-1310.8992</v>
      </c>
      <c r="R40" s="69" t="n">
        <f aca="false">-R32*(1-Inputs!$B$22)</f>
        <v>-1310.8992</v>
      </c>
      <c r="S40" s="69" t="n">
        <f aca="false">-S32*(1-Inputs!$B$22)</f>
        <v>-1310.8992</v>
      </c>
      <c r="T40" s="69" t="n">
        <f aca="false">-T32*(1-Inputs!$B$22)</f>
        <v>-1310.8992</v>
      </c>
      <c r="U40" s="69" t="n">
        <f aca="false">-U32*(1-Inputs!$B$22)</f>
        <v>-1310.8992</v>
      </c>
      <c r="V40" s="69" t="n">
        <f aca="false">-V32*(1-Inputs!$B$22)</f>
        <v>-1310.8992</v>
      </c>
      <c r="W40" s="69" t="n">
        <f aca="false">-W32*(1-Inputs!$B$22)</f>
        <v>-1310.8992</v>
      </c>
      <c r="X40" s="69" t="n">
        <f aca="false">-X32*(1-Inputs!$B$22)</f>
        <v>-1310.8992</v>
      </c>
      <c r="Y40" s="69" t="n">
        <f aca="false">-Y32*(1-Inputs!$B$22)</f>
        <v>-1310.8992</v>
      </c>
      <c r="Z40" s="69" t="n">
        <f aca="false">-Z32*(1-Inputs!$B$22)</f>
        <v>-1310.8992</v>
      </c>
      <c r="AA40" s="69" t="n">
        <f aca="false">-AA32*(1-Inputs!$B$22)</f>
        <v>-1324.008192</v>
      </c>
      <c r="AB40" s="69" t="n">
        <f aca="false">-AB32*(1-Inputs!$B$22)</f>
        <v>-1324.008192</v>
      </c>
      <c r="AC40" s="69" t="n">
        <f aca="false">-AC32*(1-Inputs!$B$22)</f>
        <v>-1324.008192</v>
      </c>
      <c r="AD40" s="69" t="n">
        <f aca="false">-AD32*(1-Inputs!$B$22)</f>
        <v>-1324.008192</v>
      </c>
      <c r="AE40" s="69" t="n">
        <f aca="false">-AE32*(1-Inputs!$B$22)</f>
        <v>-1324.008192</v>
      </c>
      <c r="AF40" s="69" t="n">
        <f aca="false">-AF32*(1-Inputs!$B$22)</f>
        <v>-1324.008192</v>
      </c>
      <c r="AG40" s="69" t="n">
        <f aca="false">-AG32*(1-Inputs!$B$22)</f>
        <v>-1324.008192</v>
      </c>
      <c r="AH40" s="69" t="n">
        <f aca="false">-AH32*(1-Inputs!$B$22)</f>
        <v>-1324.008192</v>
      </c>
      <c r="AI40" s="69" t="n">
        <f aca="false">-AI32*(1-Inputs!$B$22)</f>
        <v>-1324.008192</v>
      </c>
      <c r="AJ40" s="69" t="n">
        <f aca="false">-AJ32*(1-Inputs!$B$22)</f>
        <v>-1324.008192</v>
      </c>
      <c r="AK40" s="69" t="n">
        <f aca="false">-AK32*(1-Inputs!$B$22)</f>
        <v>-1324.008192</v>
      </c>
      <c r="AL40" s="69" t="n">
        <f aca="false">-AL32*(1-Inputs!$B$22)</f>
        <v>-1324.008192</v>
      </c>
      <c r="AM40" s="69" t="n">
        <f aca="false">-AM32*(1-Inputs!$B$22)</f>
        <v>-1337.24827392</v>
      </c>
      <c r="AN40" s="69" t="n">
        <f aca="false">-AN32*(1-Inputs!$B$22)</f>
        <v>-1337.24827392</v>
      </c>
      <c r="AO40" s="69" t="n">
        <f aca="false">-AO32*(1-Inputs!$B$22)</f>
        <v>-1337.24827392</v>
      </c>
      <c r="AP40" s="69" t="n">
        <f aca="false">-AP32*(1-Inputs!$B$22)</f>
        <v>-1337.24827392</v>
      </c>
      <c r="AQ40" s="69" t="n">
        <f aca="false">-AQ32*(1-Inputs!$B$22)</f>
        <v>-1337.24827392</v>
      </c>
      <c r="AR40" s="69" t="n">
        <f aca="false">-AR32*(1-Inputs!$B$22)</f>
        <v>-1337.24827392</v>
      </c>
      <c r="AS40" s="69" t="n">
        <f aca="false">-AS32*(1-Inputs!$B$22)</f>
        <v>-1337.24827392</v>
      </c>
      <c r="AT40" s="69" t="n">
        <f aca="false">-AT32*(1-Inputs!$B$22)</f>
        <v>-1337.24827392</v>
      </c>
      <c r="AU40" s="69" t="n">
        <f aca="false">-AU32*(1-Inputs!$B$22)</f>
        <v>-1337.24827392</v>
      </c>
      <c r="AV40" s="69" t="n">
        <f aca="false">-AV32*(1-Inputs!$B$22)</f>
        <v>-1337.24827392</v>
      </c>
      <c r="AW40" s="69" t="n">
        <f aca="false">-AW32*(1-Inputs!$B$22)</f>
        <v>-1337.24827392</v>
      </c>
      <c r="AX40" s="69" t="n">
        <f aca="false">-AX32*(1-Inputs!$B$22)</f>
        <v>-1337.24827392</v>
      </c>
      <c r="AY40" s="69" t="n">
        <f aca="false">-AY32*(1-Inputs!$B$22)</f>
        <v>-1350.6207566592</v>
      </c>
      <c r="AZ40" s="69" t="n">
        <f aca="false">-AZ32*(1-Inputs!$B$22)</f>
        <v>-1350.6207566592</v>
      </c>
      <c r="BA40" s="69" t="n">
        <f aca="false">-BA32*(1-Inputs!$B$22)</f>
        <v>-1350.6207566592</v>
      </c>
      <c r="BB40" s="69" t="n">
        <f aca="false">-BB32*(1-Inputs!$B$22)</f>
        <v>-1350.6207566592</v>
      </c>
      <c r="BC40" s="69" t="n">
        <f aca="false">-BC32*(1-Inputs!$B$22)</f>
        <v>-1350.6207566592</v>
      </c>
      <c r="BD40" s="69" t="n">
        <f aca="false">-BD32*(1-Inputs!$B$22)</f>
        <v>-1350.6207566592</v>
      </c>
      <c r="BE40" s="69" t="n">
        <f aca="false">-BE32*(1-Inputs!$B$22)</f>
        <v>-1350.6207566592</v>
      </c>
      <c r="BF40" s="69" t="n">
        <f aca="false">-BF32*(1-Inputs!$B$22)</f>
        <v>-1350.6207566592</v>
      </c>
      <c r="BG40" s="69" t="n">
        <f aca="false">-BG32*(1-Inputs!$B$22)</f>
        <v>-1350.6207566592</v>
      </c>
      <c r="BH40" s="69" t="n">
        <f aca="false">-BH32*(1-Inputs!$B$22)</f>
        <v>-1350.6207566592</v>
      </c>
      <c r="BI40" s="69" t="n">
        <f aca="false">-BI32*(1-Inputs!$B$22)</f>
        <v>-1350.6207566592</v>
      </c>
      <c r="BJ40" s="69" t="n">
        <f aca="false">-BJ32*(1-Inputs!$B$22)</f>
        <v>-1350.6207566592</v>
      </c>
    </row>
    <row r="41" customFormat="false" ht="15" hidden="false" customHeight="false" outlineLevel="0" collapsed="false">
      <c r="A41" s="4" t="s">
        <v>76</v>
      </c>
      <c r="C41" s="75" t="n">
        <f aca="false">C36+C37+C38+C39+C40</f>
        <v>-8166.71333333334</v>
      </c>
      <c r="D41" s="75" t="n">
        <f aca="false">D36+D37+D38+D39+D40</f>
        <v>-8888.94333333334</v>
      </c>
      <c r="E41" s="75" t="n">
        <f aca="false">E36+E37+E38+E39+E40</f>
        <v>-9611.17333333333</v>
      </c>
      <c r="F41" s="75" t="n">
        <f aca="false">F36+F37+F38+F39+F40</f>
        <v>-10333.4033333333</v>
      </c>
      <c r="G41" s="75" t="n">
        <f aca="false">G36+G37+G38+G39+G40</f>
        <v>-11055.6333333333</v>
      </c>
      <c r="H41" s="75" t="n">
        <f aca="false">H36+H37+H38+H39+H40</f>
        <v>-12172.8733333333</v>
      </c>
      <c r="I41" s="75" t="n">
        <f aca="false">I36+I37+I38+I39+I40</f>
        <v>-12931.0133333333</v>
      </c>
      <c r="J41" s="75" t="n">
        <f aca="false">J36+J37+J38+J39+J40</f>
        <v>-13689.1533333333</v>
      </c>
      <c r="K41" s="75" t="n">
        <f aca="false">K36+K37+K38+K39+K40</f>
        <v>-13944.5533333333</v>
      </c>
      <c r="L41" s="75" t="n">
        <f aca="false">L36+L37+L38+L39+L40</f>
        <v>-14666.7833333333</v>
      </c>
      <c r="M41" s="75" t="n">
        <f aca="false">M36+M37+M38+M39+M40</f>
        <v>-15389.0133333333</v>
      </c>
      <c r="N41" s="75" t="n">
        <f aca="false">N36+N37+N38+N39+N40</f>
        <v>-16721.7133333333</v>
      </c>
      <c r="O41" s="75" t="n">
        <f aca="false">O36+O37+O38+O39+O40</f>
        <v>-17242.1582666667</v>
      </c>
      <c r="P41" s="75" t="n">
        <f aca="false">P36+P37+P38+P39+P40</f>
        <v>-17978.5744666667</v>
      </c>
      <c r="Q41" s="75" t="n">
        <f aca="false">Q36+Q37+Q38+Q39+Q40</f>
        <v>-18714.9906666667</v>
      </c>
      <c r="R41" s="75" t="n">
        <f aca="false">R36+R37+R38+R39+R40</f>
        <v>-18714.9906666667</v>
      </c>
      <c r="S41" s="75" t="n">
        <f aca="false">S36+S37+S38+S39+S40</f>
        <v>-18714.9906666667</v>
      </c>
      <c r="T41" s="75" t="n">
        <f aca="false">T36+T37+T38+T39+T40</f>
        <v>-19461.9186666667</v>
      </c>
      <c r="U41" s="75" t="n">
        <f aca="false">U36+U37+U38+U39+U40</f>
        <v>-19461.9186666667</v>
      </c>
      <c r="V41" s="75" t="n">
        <f aca="false">V36+V37+V38+V39+V40</f>
        <v>-19461.9186666667</v>
      </c>
      <c r="W41" s="75" t="n">
        <f aca="false">W36+W37+W38+W39+W40</f>
        <v>-18714.9906666667</v>
      </c>
      <c r="X41" s="75" t="n">
        <f aca="false">X36+X37+X38+X39+X40</f>
        <v>-18714.9906666667</v>
      </c>
      <c r="Y41" s="75" t="n">
        <f aca="false">Y36+Y37+Y38+Y39+Y40</f>
        <v>-18714.9906666667</v>
      </c>
      <c r="Z41" s="75" t="n">
        <f aca="false">Z36+Z37+Z38+Z39+Z40</f>
        <v>-19461.9186666667</v>
      </c>
      <c r="AA41" s="75" t="n">
        <f aca="false">AA36+AA37+AA38+AA39+AA40</f>
        <v>-19166.5896933333</v>
      </c>
      <c r="AB41" s="75" t="n">
        <f aca="false">AB36+AB37+AB38+AB39+AB40</f>
        <v>-19166.5896933333</v>
      </c>
      <c r="AC41" s="75" t="n">
        <f aca="false">AC36+AC37+AC38+AC39+AC40</f>
        <v>-19166.5896933333</v>
      </c>
      <c r="AD41" s="75" t="n">
        <f aca="false">AD36+AD37+AD38+AD39+AD40</f>
        <v>-19166.5896933333</v>
      </c>
      <c r="AE41" s="75" t="n">
        <f aca="false">AE36+AE37+AE38+AE39+AE40</f>
        <v>-19166.5896933333</v>
      </c>
      <c r="AF41" s="75" t="n">
        <f aca="false">AF36+AF37+AF38+AF39+AF40</f>
        <v>-19943.3948133333</v>
      </c>
      <c r="AG41" s="75" t="n">
        <f aca="false">AG36+AG37+AG38+AG39+AG40</f>
        <v>-19943.3948133333</v>
      </c>
      <c r="AH41" s="75" t="n">
        <f aca="false">AH36+AH37+AH38+AH39+AH40</f>
        <v>-19943.3948133333</v>
      </c>
      <c r="AI41" s="75" t="n">
        <f aca="false">AI36+AI37+AI38+AI39+AI40</f>
        <v>-19166.5896933333</v>
      </c>
      <c r="AJ41" s="75" t="n">
        <f aca="false">AJ36+AJ37+AJ38+AJ39+AJ40</f>
        <v>-19166.5896933333</v>
      </c>
      <c r="AK41" s="75" t="n">
        <f aca="false">AK36+AK37+AK38+AK39+AK40</f>
        <v>-19166.5896933333</v>
      </c>
      <c r="AL41" s="75" t="n">
        <f aca="false">AL36+AL37+AL38+AL39+AL40</f>
        <v>-19943.3948133333</v>
      </c>
      <c r="AM41" s="75" t="n">
        <f aca="false">AM36+AM37+AM38+AM39+AM40</f>
        <v>-19633.2826750667</v>
      </c>
      <c r="AN41" s="75" t="n">
        <f aca="false">AN36+AN37+AN38+AN39+AN40</f>
        <v>-19633.2826750667</v>
      </c>
      <c r="AO41" s="75" t="n">
        <f aca="false">AO36+AO37+AO38+AO39+AO40</f>
        <v>-19633.2826750667</v>
      </c>
      <c r="AP41" s="75" t="n">
        <f aca="false">AP36+AP37+AP38+AP39+AP40</f>
        <v>-19633.2826750667</v>
      </c>
      <c r="AQ41" s="75" t="n">
        <f aca="false">AQ36+AQ37+AQ38+AQ39+AQ40</f>
        <v>-19633.2826750667</v>
      </c>
      <c r="AR41" s="75" t="n">
        <f aca="false">AR36+AR37+AR38+AR39+AR40</f>
        <v>-20441.1599998667</v>
      </c>
      <c r="AS41" s="75" t="n">
        <f aca="false">AS36+AS37+AS38+AS39+AS40</f>
        <v>-20441.1599998667</v>
      </c>
      <c r="AT41" s="75" t="n">
        <f aca="false">AT36+AT37+AT38+AT39+AT40</f>
        <v>-20441.1599998667</v>
      </c>
      <c r="AU41" s="75" t="n">
        <f aca="false">AU36+AU37+AU38+AU39+AU40</f>
        <v>-19633.2826750667</v>
      </c>
      <c r="AV41" s="75" t="n">
        <f aca="false">AV36+AV37+AV38+AV39+AV40</f>
        <v>-19633.2826750667</v>
      </c>
      <c r="AW41" s="75" t="n">
        <f aca="false">AW36+AW37+AW38+AW39+AW40</f>
        <v>-19633.2826750667</v>
      </c>
      <c r="AX41" s="75" t="n">
        <f aca="false">AX36+AX37+AX38+AX39+AX40</f>
        <v>-20441.1599998667</v>
      </c>
      <c r="AY41" s="75" t="n">
        <f aca="false">AY36+AY37+AY38+AY39+AY40</f>
        <v>-20115.6436700093</v>
      </c>
      <c r="AZ41" s="75" t="n">
        <f aca="false">AZ36+AZ37+AZ38+AZ39+AZ40</f>
        <v>-20115.6436700093</v>
      </c>
      <c r="BA41" s="75" t="n">
        <f aca="false">BA36+BA37+BA38+BA39+BA40</f>
        <v>-20115.6436700093</v>
      </c>
      <c r="BB41" s="75" t="n">
        <f aca="false">BB36+BB37+BB38+BB39+BB40</f>
        <v>-20115.6436700093</v>
      </c>
      <c r="BC41" s="75" t="n">
        <f aca="false">BC36+BC37+BC38+BC39+BC40</f>
        <v>-20115.6436700093</v>
      </c>
      <c r="BD41" s="75" t="n">
        <f aca="false">BD36+BD37+BD38+BD39+BD40</f>
        <v>-20955.8360878013</v>
      </c>
      <c r="BE41" s="75" t="n">
        <f aca="false">BE36+BE37+BE38+BE39+BE40</f>
        <v>-20955.8360878013</v>
      </c>
      <c r="BF41" s="75" t="n">
        <f aca="false">BF36+BF37+BF38+BF39+BF40</f>
        <v>-20955.8360878013</v>
      </c>
      <c r="BG41" s="75" t="n">
        <f aca="false">BG36+BG37+BG38+BG39+BG40</f>
        <v>-20115.6436700093</v>
      </c>
      <c r="BH41" s="75" t="n">
        <f aca="false">BH36+BH37+BH38+BH39+BH40</f>
        <v>-20115.6436700093</v>
      </c>
      <c r="BI41" s="75" t="n">
        <f aca="false">BI36+BI37+BI38+BI39+BI40</f>
        <v>-20115.6436700093</v>
      </c>
      <c r="BJ41" s="75" t="n">
        <f aca="false">BJ36+BJ37+BJ38+BJ39+BJ40</f>
        <v>-20955.8360878013</v>
      </c>
    </row>
    <row r="42" customFormat="false" ht="15" hidden="false" customHeight="false" outlineLevel="0" collapsed="false">
      <c r="A42" s="115" t="s">
        <v>45</v>
      </c>
      <c r="C42" s="70" t="n">
        <f aca="false">C33+C41</f>
        <v>5663.88666666667</v>
      </c>
      <c r="D42" s="70" t="n">
        <f aca="false">D33+D41</f>
        <v>7246.75666666667</v>
      </c>
      <c r="E42" s="70" t="n">
        <f aca="false">E33+E41</f>
        <v>8829.62666666667</v>
      </c>
      <c r="F42" s="70" t="n">
        <f aca="false">F33+F41</f>
        <v>10412.4966666667</v>
      </c>
      <c r="G42" s="70" t="n">
        <f aca="false">G33+G41</f>
        <v>11995.3666666667</v>
      </c>
      <c r="H42" s="70" t="n">
        <f aca="false">H33+H41</f>
        <v>16004.7266666667</v>
      </c>
      <c r="I42" s="70" t="n">
        <f aca="false">I33+I41</f>
        <v>17808.1866666667</v>
      </c>
      <c r="J42" s="70" t="n">
        <f aca="false">J33+J41</f>
        <v>19611.6466666667</v>
      </c>
      <c r="K42" s="70" t="n">
        <f aca="false">K33+K41</f>
        <v>18326.8466666667</v>
      </c>
      <c r="L42" s="70" t="n">
        <f aca="false">L33+L41</f>
        <v>19909.7166666667</v>
      </c>
      <c r="M42" s="70" t="n">
        <f aca="false">M33+M41</f>
        <v>21492.5866666667</v>
      </c>
      <c r="N42" s="70" t="n">
        <f aca="false">N33+N41</f>
        <v>26825.4866666667</v>
      </c>
      <c r="O42" s="70" t="n">
        <f aca="false">O33+O41</f>
        <v>24664.5597333333</v>
      </c>
      <c r="P42" s="70" t="n">
        <f aca="false">P33+P41</f>
        <v>26256.2945333333</v>
      </c>
      <c r="Q42" s="70" t="n">
        <f aca="false">Q33+Q41</f>
        <v>27848.0293333333</v>
      </c>
      <c r="R42" s="70" t="n">
        <f aca="false">R33+R41</f>
        <v>27848.0293333333</v>
      </c>
      <c r="S42" s="70" t="n">
        <f aca="false">S33+S41</f>
        <v>27848.0293333333</v>
      </c>
      <c r="T42" s="70" t="n">
        <f aca="false">T33+T41</f>
        <v>32282.4013333333</v>
      </c>
      <c r="U42" s="70" t="n">
        <f aca="false">U33+U41</f>
        <v>32282.4013333333</v>
      </c>
      <c r="V42" s="70" t="n">
        <f aca="false">V33+V41</f>
        <v>32282.4013333333</v>
      </c>
      <c r="W42" s="70" t="n">
        <f aca="false">W33+W41</f>
        <v>27848.0293333333</v>
      </c>
      <c r="X42" s="70" t="n">
        <f aca="false">X33+X41</f>
        <v>27848.0293333333</v>
      </c>
      <c r="Y42" s="70" t="n">
        <f aca="false">Y33+Y41</f>
        <v>27848.0293333333</v>
      </c>
      <c r="Z42" s="70" t="n">
        <f aca="false">Z33+Z41</f>
        <v>32282.4013333333</v>
      </c>
      <c r="AA42" s="70" t="n">
        <f aca="false">AA33+AA41</f>
        <v>27862.0605066667</v>
      </c>
      <c r="AB42" s="70" t="n">
        <f aca="false">AB33+AB41</f>
        <v>27862.0605066667</v>
      </c>
      <c r="AC42" s="70" t="n">
        <f aca="false">AC33+AC41</f>
        <v>27862.0605066667</v>
      </c>
      <c r="AD42" s="70" t="n">
        <f aca="false">AD33+AD41</f>
        <v>27862.0605066667</v>
      </c>
      <c r="AE42" s="70" t="n">
        <f aca="false">AE33+AE41</f>
        <v>27862.0605066667</v>
      </c>
      <c r="AF42" s="70" t="n">
        <f aca="false">AF33+AF41</f>
        <v>32318.3683866667</v>
      </c>
      <c r="AG42" s="70" t="n">
        <f aca="false">AG33+AG41</f>
        <v>32318.3683866667</v>
      </c>
      <c r="AH42" s="70" t="n">
        <f aca="false">AH33+AH41</f>
        <v>32318.3683866667</v>
      </c>
      <c r="AI42" s="70" t="n">
        <f aca="false">AI33+AI41</f>
        <v>27862.0605066667</v>
      </c>
      <c r="AJ42" s="70" t="n">
        <f aca="false">AJ33+AJ41</f>
        <v>27862.0605066667</v>
      </c>
      <c r="AK42" s="70" t="n">
        <f aca="false">AK33+AK41</f>
        <v>27862.0605066667</v>
      </c>
      <c r="AL42" s="70" t="n">
        <f aca="false">AL33+AL41</f>
        <v>32318.3683866667</v>
      </c>
      <c r="AM42" s="70" t="n">
        <f aca="false">AM33+AM41</f>
        <v>27865.6540269333</v>
      </c>
      <c r="AN42" s="70" t="n">
        <f aca="false">AN33+AN41</f>
        <v>27865.6540269333</v>
      </c>
      <c r="AO42" s="70" t="n">
        <f aca="false">AO33+AO41</f>
        <v>27865.6540269333</v>
      </c>
      <c r="AP42" s="70" t="n">
        <f aca="false">AP33+AP41</f>
        <v>27865.6540269333</v>
      </c>
      <c r="AQ42" s="70" t="n">
        <f aca="false">AQ33+AQ41</f>
        <v>27865.6540269333</v>
      </c>
      <c r="AR42" s="70" t="n">
        <f aca="false">AR33+AR41</f>
        <v>32343.2208321333</v>
      </c>
      <c r="AS42" s="70" t="n">
        <f aca="false">AS33+AS41</f>
        <v>32343.2208321333</v>
      </c>
      <c r="AT42" s="70" t="n">
        <f aca="false">AT33+AT41</f>
        <v>32343.2208321333</v>
      </c>
      <c r="AU42" s="70" t="n">
        <f aca="false">AU33+AU41</f>
        <v>27865.6540269333</v>
      </c>
      <c r="AV42" s="70" t="n">
        <f aca="false">AV33+AV41</f>
        <v>27865.6540269333</v>
      </c>
      <c r="AW42" s="70" t="n">
        <f aca="false">AW33+AW41</f>
        <v>27865.6540269333</v>
      </c>
      <c r="AX42" s="70" t="n">
        <f aca="false">AX33+AX41</f>
        <v>32343.2208321333</v>
      </c>
      <c r="AY42" s="70" t="n">
        <f aca="false">AY33+AY41</f>
        <v>27858.2823990107</v>
      </c>
      <c r="AZ42" s="70" t="n">
        <f aca="false">AZ33+AZ41</f>
        <v>27858.2823990107</v>
      </c>
      <c r="BA42" s="70" t="n">
        <f aca="false">BA33+BA41</f>
        <v>27858.2823990107</v>
      </c>
      <c r="BB42" s="70" t="n">
        <f aca="false">BB33+BB41</f>
        <v>27858.2823990107</v>
      </c>
      <c r="BC42" s="70" t="n">
        <f aca="false">BC33+BC41</f>
        <v>27858.2823990107</v>
      </c>
      <c r="BD42" s="70" t="n">
        <f aca="false">BD33+BD41</f>
        <v>32356.3885525187</v>
      </c>
      <c r="BE42" s="70" t="n">
        <f aca="false">BE33+BE41</f>
        <v>32356.3885525187</v>
      </c>
      <c r="BF42" s="70" t="n">
        <f aca="false">BF33+BF41</f>
        <v>32356.3885525187</v>
      </c>
      <c r="BG42" s="70" t="n">
        <f aca="false">BG33+BG41</f>
        <v>27858.2823990107</v>
      </c>
      <c r="BH42" s="70" t="n">
        <f aca="false">BH33+BH41</f>
        <v>27858.2823990107</v>
      </c>
      <c r="BI42" s="70" t="n">
        <f aca="false">BI33+BI41</f>
        <v>27858.2823990107</v>
      </c>
      <c r="BJ42" s="70" t="n">
        <f aca="false">BJ33+BJ41</f>
        <v>32356.3885525187</v>
      </c>
    </row>
    <row r="44" customFormat="false" ht="15.75" hidden="false" customHeight="true" outlineLevel="0" collapsed="false">
      <c r="A44" s="7" t="s">
        <v>47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6" t="s">
        <v>337</v>
      </c>
      <c r="C45" s="69" t="n">
        <f aca="false">C127-C124</f>
        <v>-15237.5</v>
      </c>
      <c r="D45" s="69" t="n">
        <f aca="false">D127-D124</f>
        <v>-15237.5</v>
      </c>
      <c r="E45" s="69" t="n">
        <f aca="false">E127-E124</f>
        <v>-15237.5</v>
      </c>
      <c r="F45" s="69" t="n">
        <f aca="false">F127-F124</f>
        <v>-15237.5</v>
      </c>
      <c r="G45" s="69" t="n">
        <f aca="false">G127-G124</f>
        <v>-15237.5</v>
      </c>
      <c r="H45" s="69" t="n">
        <f aca="false">H127-H124</f>
        <v>-15237.5</v>
      </c>
      <c r="I45" s="69" t="n">
        <f aca="false">I127-I124</f>
        <v>-15237.5</v>
      </c>
      <c r="J45" s="69" t="n">
        <f aca="false">J127-J124</f>
        <v>-15237.5</v>
      </c>
      <c r="K45" s="69" t="n">
        <f aca="false">K127-K124</f>
        <v>-15237.5</v>
      </c>
      <c r="L45" s="69" t="n">
        <f aca="false">L127-L124</f>
        <v>-15237.5</v>
      </c>
      <c r="M45" s="69" t="n">
        <f aca="false">M127-M124</f>
        <v>-15237.5</v>
      </c>
      <c r="N45" s="69" t="n">
        <f aca="false">N127-N124</f>
        <v>-15237.5</v>
      </c>
      <c r="O45" s="69" t="n">
        <f aca="false">O127-O124</f>
        <v>-15847</v>
      </c>
      <c r="P45" s="69" t="n">
        <f aca="false">P127-P124</f>
        <v>-15847</v>
      </c>
      <c r="Q45" s="69" t="n">
        <f aca="false">Q127-Q124</f>
        <v>-15847</v>
      </c>
      <c r="R45" s="69" t="n">
        <f aca="false">R127-R124</f>
        <v>-15847</v>
      </c>
      <c r="S45" s="69" t="n">
        <f aca="false">S127-S124</f>
        <v>-15847</v>
      </c>
      <c r="T45" s="69" t="n">
        <f aca="false">T127-T124</f>
        <v>-15847</v>
      </c>
      <c r="U45" s="69" t="n">
        <f aca="false">U127-U124</f>
        <v>-15847</v>
      </c>
      <c r="V45" s="69" t="n">
        <f aca="false">V127-V124</f>
        <v>-15847</v>
      </c>
      <c r="W45" s="69" t="n">
        <f aca="false">W127-W124</f>
        <v>-15847</v>
      </c>
      <c r="X45" s="69" t="n">
        <f aca="false">X127-X124</f>
        <v>-15847</v>
      </c>
      <c r="Y45" s="69" t="n">
        <f aca="false">Y127-Y124</f>
        <v>-15847</v>
      </c>
      <c r="Z45" s="69" t="n">
        <f aca="false">Z127-Z124</f>
        <v>-15847</v>
      </c>
      <c r="AA45" s="69" t="n">
        <f aca="false">AA127-AA124</f>
        <v>-16480.88</v>
      </c>
      <c r="AB45" s="69" t="n">
        <f aca="false">AB127-AB124</f>
        <v>-16480.88</v>
      </c>
      <c r="AC45" s="69" t="n">
        <f aca="false">AC127-AC124</f>
        <v>-16480.88</v>
      </c>
      <c r="AD45" s="69" t="n">
        <f aca="false">AD127-AD124</f>
        <v>-16480.88</v>
      </c>
      <c r="AE45" s="69" t="n">
        <f aca="false">AE127-AE124</f>
        <v>-16480.88</v>
      </c>
      <c r="AF45" s="69" t="n">
        <f aca="false">AF127-AF124</f>
        <v>-16480.88</v>
      </c>
      <c r="AG45" s="69" t="n">
        <f aca="false">AG127-AG124</f>
        <v>-16480.88</v>
      </c>
      <c r="AH45" s="69" t="n">
        <f aca="false">AH127-AH124</f>
        <v>-16480.88</v>
      </c>
      <c r="AI45" s="69" t="n">
        <f aca="false">AI127-AI124</f>
        <v>-16480.88</v>
      </c>
      <c r="AJ45" s="69" t="n">
        <f aca="false">AJ127-AJ124</f>
        <v>-16480.88</v>
      </c>
      <c r="AK45" s="69" t="n">
        <f aca="false">AK127-AK124</f>
        <v>-16480.88</v>
      </c>
      <c r="AL45" s="69" t="n">
        <f aca="false">AL127-AL124</f>
        <v>-16480.88</v>
      </c>
      <c r="AM45" s="69" t="n">
        <f aca="false">AM127-AM124</f>
        <v>-17140.1152</v>
      </c>
      <c r="AN45" s="69" t="n">
        <f aca="false">AN127-AN124</f>
        <v>-17140.1152</v>
      </c>
      <c r="AO45" s="69" t="n">
        <f aca="false">AO127-AO124</f>
        <v>-17140.1152</v>
      </c>
      <c r="AP45" s="69" t="n">
        <f aca="false">AP127-AP124</f>
        <v>-17140.1152</v>
      </c>
      <c r="AQ45" s="69" t="n">
        <f aca="false">AQ127-AQ124</f>
        <v>-17140.1152</v>
      </c>
      <c r="AR45" s="69" t="n">
        <f aca="false">AR127-AR124</f>
        <v>-17140.1152</v>
      </c>
      <c r="AS45" s="69" t="n">
        <f aca="false">AS127-AS124</f>
        <v>-17140.1152</v>
      </c>
      <c r="AT45" s="69" t="n">
        <f aca="false">AT127-AT124</f>
        <v>-17140.1152</v>
      </c>
      <c r="AU45" s="69" t="n">
        <f aca="false">AU127-AU124</f>
        <v>-17140.1152</v>
      </c>
      <c r="AV45" s="69" t="n">
        <f aca="false">AV127-AV124</f>
        <v>-17140.1152</v>
      </c>
      <c r="AW45" s="69" t="n">
        <f aca="false">AW127-AW124</f>
        <v>-17140.1152</v>
      </c>
      <c r="AX45" s="69" t="n">
        <f aca="false">AX127-AX124</f>
        <v>-17140.1152</v>
      </c>
      <c r="AY45" s="69" t="n">
        <f aca="false">AY127-AY124</f>
        <v>-17825.719808</v>
      </c>
      <c r="AZ45" s="69" t="n">
        <f aca="false">AZ127-AZ124</f>
        <v>-17825.719808</v>
      </c>
      <c r="BA45" s="69" t="n">
        <f aca="false">BA127-BA124</f>
        <v>-17825.719808</v>
      </c>
      <c r="BB45" s="69" t="n">
        <f aca="false">BB127-BB124</f>
        <v>-17825.719808</v>
      </c>
      <c r="BC45" s="69" t="n">
        <f aca="false">BC127-BC124</f>
        <v>-17825.719808</v>
      </c>
      <c r="BD45" s="69" t="n">
        <f aca="false">BD127-BD124</f>
        <v>-17825.719808</v>
      </c>
      <c r="BE45" s="69" t="n">
        <f aca="false">BE127-BE124</f>
        <v>-17825.719808</v>
      </c>
      <c r="BF45" s="69" t="n">
        <f aca="false">BF127-BF124</f>
        <v>-17825.719808</v>
      </c>
      <c r="BG45" s="69" t="n">
        <f aca="false">BG127-BG124</f>
        <v>-17825.719808</v>
      </c>
      <c r="BH45" s="69" t="n">
        <f aca="false">BH127-BH124</f>
        <v>-17825.719808</v>
      </c>
      <c r="BI45" s="69" t="n">
        <f aca="false">BI127-BI124</f>
        <v>-17825.719808</v>
      </c>
      <c r="BJ45" s="69" t="n">
        <f aca="false">BJ127-BJ124</f>
        <v>-17825.719808</v>
      </c>
    </row>
    <row r="46" customFormat="false" ht="15" hidden="false" customHeight="false" outlineLevel="0" collapsed="false">
      <c r="A46" s="6" t="s">
        <v>338</v>
      </c>
      <c r="C46" s="69" t="n">
        <f aca="false">-Inputs!$B$38*(1+Inputs!$B$39)^(C$7-1)*1</f>
        <v>-9000</v>
      </c>
      <c r="D46" s="69" t="n">
        <f aca="false">-Inputs!$B$38*(1+Inputs!$B$39)^(D$7-1)*1</f>
        <v>-9000</v>
      </c>
      <c r="E46" s="69" t="n">
        <f aca="false">-Inputs!$B$38*(1+Inputs!$B$39)^(E$7-1)*1</f>
        <v>-9000</v>
      </c>
      <c r="F46" s="69" t="n">
        <f aca="false">-Inputs!$B$38*(1+Inputs!$B$39)^(F$7-1)*1</f>
        <v>-9000</v>
      </c>
      <c r="G46" s="69" t="n">
        <f aca="false">-Inputs!$B$38*(1+Inputs!$B$39)^(G$7-1)*1</f>
        <v>-9000</v>
      </c>
      <c r="H46" s="69" t="n">
        <f aca="false">-Inputs!$B$38*(1+Inputs!$B$39)^(H$7-1)*1</f>
        <v>-9000</v>
      </c>
      <c r="I46" s="69" t="n">
        <f aca="false">-Inputs!$B$38*(1+Inputs!$B$39)^(I$7-1)*1</f>
        <v>-9000</v>
      </c>
      <c r="J46" s="69" t="n">
        <f aca="false">-Inputs!$B$38*(1+Inputs!$B$39)^(J$7-1)*1</f>
        <v>-9000</v>
      </c>
      <c r="K46" s="69" t="n">
        <f aca="false">-Inputs!$B$38*(1+Inputs!$B$39)^(K$7-1)*1</f>
        <v>-9000</v>
      </c>
      <c r="L46" s="69" t="n">
        <f aca="false">-Inputs!$B$38*(1+Inputs!$B$39)^(L$7-1)*1</f>
        <v>-9000</v>
      </c>
      <c r="M46" s="69" t="n">
        <f aca="false">-Inputs!$B$38*(1+Inputs!$B$39)^(M$7-1)*1</f>
        <v>-9000</v>
      </c>
      <c r="N46" s="69" t="n">
        <f aca="false">-Inputs!$B$38*(1+Inputs!$B$39)^(N$7-1)*1</f>
        <v>-9000</v>
      </c>
      <c r="O46" s="69" t="n">
        <f aca="false">-Inputs!$B$38*(1+Inputs!$B$39)^(O$7-1)*1</f>
        <v>-9270</v>
      </c>
      <c r="P46" s="69" t="n">
        <f aca="false">-Inputs!$B$38*(1+Inputs!$B$39)^(P$7-1)*1</f>
        <v>-9270</v>
      </c>
      <c r="Q46" s="69" t="n">
        <f aca="false">-Inputs!$B$38*(1+Inputs!$B$39)^(Q$7-1)*1</f>
        <v>-9270</v>
      </c>
      <c r="R46" s="69" t="n">
        <f aca="false">-Inputs!$B$38*(1+Inputs!$B$39)^(R$7-1)*1</f>
        <v>-9270</v>
      </c>
      <c r="S46" s="69" t="n">
        <f aca="false">-Inputs!$B$38*(1+Inputs!$B$39)^(S$7-1)*1</f>
        <v>-9270</v>
      </c>
      <c r="T46" s="69" t="n">
        <f aca="false">-Inputs!$B$38*(1+Inputs!$B$39)^(T$7-1)*1</f>
        <v>-9270</v>
      </c>
      <c r="U46" s="69" t="n">
        <f aca="false">-Inputs!$B$38*(1+Inputs!$B$39)^(U$7-1)*1</f>
        <v>-9270</v>
      </c>
      <c r="V46" s="69" t="n">
        <f aca="false">-Inputs!$B$38*(1+Inputs!$B$39)^(V$7-1)*1</f>
        <v>-9270</v>
      </c>
      <c r="W46" s="69" t="n">
        <f aca="false">-Inputs!$B$38*(1+Inputs!$B$39)^(W$7-1)*1</f>
        <v>-9270</v>
      </c>
      <c r="X46" s="69" t="n">
        <f aca="false">-Inputs!$B$38*(1+Inputs!$B$39)^(X$7-1)*1</f>
        <v>-9270</v>
      </c>
      <c r="Y46" s="69" t="n">
        <f aca="false">-Inputs!$B$38*(1+Inputs!$B$39)^(Y$7-1)*1</f>
        <v>-9270</v>
      </c>
      <c r="Z46" s="69" t="n">
        <f aca="false">-Inputs!$B$38*(1+Inputs!$B$39)^(Z$7-1)*1</f>
        <v>-9270</v>
      </c>
      <c r="AA46" s="69" t="n">
        <f aca="false">-Inputs!$B$38*(1+Inputs!$B$39)^(AA$7-1)*1</f>
        <v>-9548.1</v>
      </c>
      <c r="AB46" s="69" t="n">
        <f aca="false">-Inputs!$B$38*(1+Inputs!$B$39)^(AB$7-1)*1</f>
        <v>-9548.1</v>
      </c>
      <c r="AC46" s="69" t="n">
        <f aca="false">-Inputs!$B$38*(1+Inputs!$B$39)^(AC$7-1)*1</f>
        <v>-9548.1</v>
      </c>
      <c r="AD46" s="69" t="n">
        <f aca="false">-Inputs!$B$38*(1+Inputs!$B$39)^(AD$7-1)*1</f>
        <v>-9548.1</v>
      </c>
      <c r="AE46" s="69" t="n">
        <f aca="false">-Inputs!$B$38*(1+Inputs!$B$39)^(AE$7-1)*1</f>
        <v>-9548.1</v>
      </c>
      <c r="AF46" s="69" t="n">
        <f aca="false">-Inputs!$B$38*(1+Inputs!$B$39)^(AF$7-1)*1</f>
        <v>-9548.1</v>
      </c>
      <c r="AG46" s="69" t="n">
        <f aca="false">-Inputs!$B$38*(1+Inputs!$B$39)^(AG$7-1)*1</f>
        <v>-9548.1</v>
      </c>
      <c r="AH46" s="69" t="n">
        <f aca="false">-Inputs!$B$38*(1+Inputs!$B$39)^(AH$7-1)*1</f>
        <v>-9548.1</v>
      </c>
      <c r="AI46" s="69" t="n">
        <f aca="false">-Inputs!$B$38*(1+Inputs!$B$39)^(AI$7-1)*1</f>
        <v>-9548.1</v>
      </c>
      <c r="AJ46" s="69" t="n">
        <f aca="false">-Inputs!$B$38*(1+Inputs!$B$39)^(AJ$7-1)*1</f>
        <v>-9548.1</v>
      </c>
      <c r="AK46" s="69" t="n">
        <f aca="false">-Inputs!$B$38*(1+Inputs!$B$39)^(AK$7-1)*1</f>
        <v>-9548.1</v>
      </c>
      <c r="AL46" s="69" t="n">
        <f aca="false">-Inputs!$B$38*(1+Inputs!$B$39)^(AL$7-1)*1</f>
        <v>-9548.1</v>
      </c>
      <c r="AM46" s="69" t="n">
        <f aca="false">-Inputs!$B$38*(1+Inputs!$B$39)^(AM$7-1)*1</f>
        <v>-9834.543</v>
      </c>
      <c r="AN46" s="69" t="n">
        <f aca="false">-Inputs!$B$38*(1+Inputs!$B$39)^(AN$7-1)*1</f>
        <v>-9834.543</v>
      </c>
      <c r="AO46" s="69" t="n">
        <f aca="false">-Inputs!$B$38*(1+Inputs!$B$39)^(AO$7-1)*1</f>
        <v>-9834.543</v>
      </c>
      <c r="AP46" s="69" t="n">
        <f aca="false">-Inputs!$B$38*(1+Inputs!$B$39)^(AP$7-1)*1</f>
        <v>-9834.543</v>
      </c>
      <c r="AQ46" s="69" t="n">
        <f aca="false">-Inputs!$B$38*(1+Inputs!$B$39)^(AQ$7-1)*1</f>
        <v>-9834.543</v>
      </c>
      <c r="AR46" s="69" t="n">
        <f aca="false">-Inputs!$B$38*(1+Inputs!$B$39)^(AR$7-1)*1</f>
        <v>-9834.543</v>
      </c>
      <c r="AS46" s="69" t="n">
        <f aca="false">-Inputs!$B$38*(1+Inputs!$B$39)^(AS$7-1)*1</f>
        <v>-9834.543</v>
      </c>
      <c r="AT46" s="69" t="n">
        <f aca="false">-Inputs!$B$38*(1+Inputs!$B$39)^(AT$7-1)*1</f>
        <v>-9834.543</v>
      </c>
      <c r="AU46" s="69" t="n">
        <f aca="false">-Inputs!$B$38*(1+Inputs!$B$39)^(AU$7-1)*1</f>
        <v>-9834.543</v>
      </c>
      <c r="AV46" s="69" t="n">
        <f aca="false">-Inputs!$B$38*(1+Inputs!$B$39)^(AV$7-1)*1</f>
        <v>-9834.543</v>
      </c>
      <c r="AW46" s="69" t="n">
        <f aca="false">-Inputs!$B$38*(1+Inputs!$B$39)^(AW$7-1)*1</f>
        <v>-9834.543</v>
      </c>
      <c r="AX46" s="69" t="n">
        <f aca="false">-Inputs!$B$38*(1+Inputs!$B$39)^(AX$7-1)*1</f>
        <v>-9834.543</v>
      </c>
      <c r="AY46" s="69" t="n">
        <f aca="false">-Inputs!$B$38*(1+Inputs!$B$39)^(AY$7-1)*1</f>
        <v>-10129.57929</v>
      </c>
      <c r="AZ46" s="69" t="n">
        <f aca="false">-Inputs!$B$38*(1+Inputs!$B$39)^(AZ$7-1)*1</f>
        <v>-10129.57929</v>
      </c>
      <c r="BA46" s="69" t="n">
        <f aca="false">-Inputs!$B$38*(1+Inputs!$B$39)^(BA$7-1)*1</f>
        <v>-10129.57929</v>
      </c>
      <c r="BB46" s="69" t="n">
        <f aca="false">-Inputs!$B$38*(1+Inputs!$B$39)^(BB$7-1)*1</f>
        <v>-10129.57929</v>
      </c>
      <c r="BC46" s="69" t="n">
        <f aca="false">-Inputs!$B$38*(1+Inputs!$B$39)^(BC$7-1)*1</f>
        <v>-10129.57929</v>
      </c>
      <c r="BD46" s="69" t="n">
        <f aca="false">-Inputs!$B$38*(1+Inputs!$B$39)^(BD$7-1)*1</f>
        <v>-10129.57929</v>
      </c>
      <c r="BE46" s="69" t="n">
        <f aca="false">-Inputs!$B$38*(1+Inputs!$B$39)^(BE$7-1)*1</f>
        <v>-10129.57929</v>
      </c>
      <c r="BF46" s="69" t="n">
        <f aca="false">-Inputs!$B$38*(1+Inputs!$B$39)^(BF$7-1)*1</f>
        <v>-10129.57929</v>
      </c>
      <c r="BG46" s="69" t="n">
        <f aca="false">-Inputs!$B$38*(1+Inputs!$B$39)^(BG$7-1)*1</f>
        <v>-10129.57929</v>
      </c>
      <c r="BH46" s="69" t="n">
        <f aca="false">-Inputs!$B$38*(1+Inputs!$B$39)^(BH$7-1)*1</f>
        <v>-10129.57929</v>
      </c>
      <c r="BI46" s="69" t="n">
        <f aca="false">-Inputs!$B$38*(1+Inputs!$B$39)^(BI$7-1)*1</f>
        <v>-10129.57929</v>
      </c>
      <c r="BJ46" s="69" t="n">
        <f aca="false">-Inputs!$B$38*(1+Inputs!$B$39)^(BJ$7-1)*1</f>
        <v>-10129.57929</v>
      </c>
    </row>
    <row r="47" customFormat="false" ht="15" hidden="false" customHeight="false" outlineLevel="0" collapsed="false">
      <c r="A47" s="6" t="s">
        <v>339</v>
      </c>
      <c r="C47" s="69" t="n">
        <f aca="false">-Inputs!$B$40*(1+Inputs!$B$45)^(C$7-1)*1</f>
        <v>-2500</v>
      </c>
      <c r="D47" s="69" t="n">
        <f aca="false">-Inputs!$B$40*(1+Inputs!$B$45)^(D$7-1)*1</f>
        <v>-2500</v>
      </c>
      <c r="E47" s="69" t="n">
        <f aca="false">-Inputs!$B$40*(1+Inputs!$B$45)^(E$7-1)*1</f>
        <v>-2500</v>
      </c>
      <c r="F47" s="69" t="n">
        <f aca="false">-Inputs!$B$40*(1+Inputs!$B$45)^(F$7-1)*1</f>
        <v>-2500</v>
      </c>
      <c r="G47" s="69" t="n">
        <f aca="false">-Inputs!$B$40*(1+Inputs!$B$45)^(G$7-1)*1</f>
        <v>-2500</v>
      </c>
      <c r="H47" s="69" t="n">
        <f aca="false">-Inputs!$B$40*(1+Inputs!$B$45)^(H$7-1)*1</f>
        <v>-2500</v>
      </c>
      <c r="I47" s="69" t="n">
        <f aca="false">-Inputs!$B$40*(1+Inputs!$B$45)^(I$7-1)*1</f>
        <v>-2500</v>
      </c>
      <c r="J47" s="69" t="n">
        <f aca="false">-Inputs!$B$40*(1+Inputs!$B$45)^(J$7-1)*1</f>
        <v>-2500</v>
      </c>
      <c r="K47" s="69" t="n">
        <f aca="false">-Inputs!$B$40*(1+Inputs!$B$45)^(K$7-1)*1</f>
        <v>-2500</v>
      </c>
      <c r="L47" s="69" t="n">
        <f aca="false">-Inputs!$B$40*(1+Inputs!$B$45)^(L$7-1)*1</f>
        <v>-2500</v>
      </c>
      <c r="M47" s="69" t="n">
        <f aca="false">-Inputs!$B$40*(1+Inputs!$B$45)^(M$7-1)*1</f>
        <v>-2500</v>
      </c>
      <c r="N47" s="69" t="n">
        <f aca="false">-Inputs!$B$40*(1+Inputs!$B$45)^(N$7-1)*1</f>
        <v>-2500</v>
      </c>
      <c r="O47" s="69" t="n">
        <f aca="false">-Inputs!$B$40*(1+Inputs!$B$45)^(O$7-1)*1</f>
        <v>-2600</v>
      </c>
      <c r="P47" s="69" t="n">
        <f aca="false">-Inputs!$B$40*(1+Inputs!$B$45)^(P$7-1)*1</f>
        <v>-2600</v>
      </c>
      <c r="Q47" s="69" t="n">
        <f aca="false">-Inputs!$B$40*(1+Inputs!$B$45)^(Q$7-1)*1</f>
        <v>-2600</v>
      </c>
      <c r="R47" s="69" t="n">
        <f aca="false">-Inputs!$B$40*(1+Inputs!$B$45)^(R$7-1)*1</f>
        <v>-2600</v>
      </c>
      <c r="S47" s="69" t="n">
        <f aca="false">-Inputs!$B$40*(1+Inputs!$B$45)^(S$7-1)*1</f>
        <v>-2600</v>
      </c>
      <c r="T47" s="69" t="n">
        <f aca="false">-Inputs!$B$40*(1+Inputs!$B$45)^(T$7-1)*1</f>
        <v>-2600</v>
      </c>
      <c r="U47" s="69" t="n">
        <f aca="false">-Inputs!$B$40*(1+Inputs!$B$45)^(U$7-1)*1</f>
        <v>-2600</v>
      </c>
      <c r="V47" s="69" t="n">
        <f aca="false">-Inputs!$B$40*(1+Inputs!$B$45)^(V$7-1)*1</f>
        <v>-2600</v>
      </c>
      <c r="W47" s="69" t="n">
        <f aca="false">-Inputs!$B$40*(1+Inputs!$B$45)^(W$7-1)*1</f>
        <v>-2600</v>
      </c>
      <c r="X47" s="69" t="n">
        <f aca="false">-Inputs!$B$40*(1+Inputs!$B$45)^(X$7-1)*1</f>
        <v>-2600</v>
      </c>
      <c r="Y47" s="69" t="n">
        <f aca="false">-Inputs!$B$40*(1+Inputs!$B$45)^(Y$7-1)*1</f>
        <v>-2600</v>
      </c>
      <c r="Z47" s="69" t="n">
        <f aca="false">-Inputs!$B$40*(1+Inputs!$B$45)^(Z$7-1)*1</f>
        <v>-2600</v>
      </c>
      <c r="AA47" s="69" t="n">
        <f aca="false">-Inputs!$B$40*(1+Inputs!$B$45)^(AA$7-1)*1</f>
        <v>-2704</v>
      </c>
      <c r="AB47" s="69" t="n">
        <f aca="false">-Inputs!$B$40*(1+Inputs!$B$45)^(AB$7-1)*1</f>
        <v>-2704</v>
      </c>
      <c r="AC47" s="69" t="n">
        <f aca="false">-Inputs!$B$40*(1+Inputs!$B$45)^(AC$7-1)*1</f>
        <v>-2704</v>
      </c>
      <c r="AD47" s="69" t="n">
        <f aca="false">-Inputs!$B$40*(1+Inputs!$B$45)^(AD$7-1)*1</f>
        <v>-2704</v>
      </c>
      <c r="AE47" s="69" t="n">
        <f aca="false">-Inputs!$B$40*(1+Inputs!$B$45)^(AE$7-1)*1</f>
        <v>-2704</v>
      </c>
      <c r="AF47" s="69" t="n">
        <f aca="false">-Inputs!$B$40*(1+Inputs!$B$45)^(AF$7-1)*1</f>
        <v>-2704</v>
      </c>
      <c r="AG47" s="69" t="n">
        <f aca="false">-Inputs!$B$40*(1+Inputs!$B$45)^(AG$7-1)*1</f>
        <v>-2704</v>
      </c>
      <c r="AH47" s="69" t="n">
        <f aca="false">-Inputs!$B$40*(1+Inputs!$B$45)^(AH$7-1)*1</f>
        <v>-2704</v>
      </c>
      <c r="AI47" s="69" t="n">
        <f aca="false">-Inputs!$B$40*(1+Inputs!$B$45)^(AI$7-1)*1</f>
        <v>-2704</v>
      </c>
      <c r="AJ47" s="69" t="n">
        <f aca="false">-Inputs!$B$40*(1+Inputs!$B$45)^(AJ$7-1)*1</f>
        <v>-2704</v>
      </c>
      <c r="AK47" s="69" t="n">
        <f aca="false">-Inputs!$B$40*(1+Inputs!$B$45)^(AK$7-1)*1</f>
        <v>-2704</v>
      </c>
      <c r="AL47" s="69" t="n">
        <f aca="false">-Inputs!$B$40*(1+Inputs!$B$45)^(AL$7-1)*1</f>
        <v>-2704</v>
      </c>
      <c r="AM47" s="69" t="n">
        <f aca="false">-Inputs!$B$40*(1+Inputs!$B$45)^(AM$7-1)*1</f>
        <v>-2812.16</v>
      </c>
      <c r="AN47" s="69" t="n">
        <f aca="false">-Inputs!$B$40*(1+Inputs!$B$45)^(AN$7-1)*1</f>
        <v>-2812.16</v>
      </c>
      <c r="AO47" s="69" t="n">
        <f aca="false">-Inputs!$B$40*(1+Inputs!$B$45)^(AO$7-1)*1</f>
        <v>-2812.16</v>
      </c>
      <c r="AP47" s="69" t="n">
        <f aca="false">-Inputs!$B$40*(1+Inputs!$B$45)^(AP$7-1)*1</f>
        <v>-2812.16</v>
      </c>
      <c r="AQ47" s="69" t="n">
        <f aca="false">-Inputs!$B$40*(1+Inputs!$B$45)^(AQ$7-1)*1</f>
        <v>-2812.16</v>
      </c>
      <c r="AR47" s="69" t="n">
        <f aca="false">-Inputs!$B$40*(1+Inputs!$B$45)^(AR$7-1)*1</f>
        <v>-2812.16</v>
      </c>
      <c r="AS47" s="69" t="n">
        <f aca="false">-Inputs!$B$40*(1+Inputs!$B$45)^(AS$7-1)*1</f>
        <v>-2812.16</v>
      </c>
      <c r="AT47" s="69" t="n">
        <f aca="false">-Inputs!$B$40*(1+Inputs!$B$45)^(AT$7-1)*1</f>
        <v>-2812.16</v>
      </c>
      <c r="AU47" s="69" t="n">
        <f aca="false">-Inputs!$B$40*(1+Inputs!$B$45)^(AU$7-1)*1</f>
        <v>-2812.16</v>
      </c>
      <c r="AV47" s="69" t="n">
        <f aca="false">-Inputs!$B$40*(1+Inputs!$B$45)^(AV$7-1)*1</f>
        <v>-2812.16</v>
      </c>
      <c r="AW47" s="69" t="n">
        <f aca="false">-Inputs!$B$40*(1+Inputs!$B$45)^(AW$7-1)*1</f>
        <v>-2812.16</v>
      </c>
      <c r="AX47" s="69" t="n">
        <f aca="false">-Inputs!$B$40*(1+Inputs!$B$45)^(AX$7-1)*1</f>
        <v>-2812.16</v>
      </c>
      <c r="AY47" s="69" t="n">
        <f aca="false">-Inputs!$B$40*(1+Inputs!$B$45)^(AY$7-1)*1</f>
        <v>-2924.6464</v>
      </c>
      <c r="AZ47" s="69" t="n">
        <f aca="false">-Inputs!$B$40*(1+Inputs!$B$45)^(AZ$7-1)*1</f>
        <v>-2924.6464</v>
      </c>
      <c r="BA47" s="69" t="n">
        <f aca="false">-Inputs!$B$40*(1+Inputs!$B$45)^(BA$7-1)*1</f>
        <v>-2924.6464</v>
      </c>
      <c r="BB47" s="69" t="n">
        <f aca="false">-Inputs!$B$40*(1+Inputs!$B$45)^(BB$7-1)*1</f>
        <v>-2924.6464</v>
      </c>
      <c r="BC47" s="69" t="n">
        <f aca="false">-Inputs!$B$40*(1+Inputs!$B$45)^(BC$7-1)*1</f>
        <v>-2924.6464</v>
      </c>
      <c r="BD47" s="69" t="n">
        <f aca="false">-Inputs!$B$40*(1+Inputs!$B$45)^(BD$7-1)*1</f>
        <v>-2924.6464</v>
      </c>
      <c r="BE47" s="69" t="n">
        <f aca="false">-Inputs!$B$40*(1+Inputs!$B$45)^(BE$7-1)*1</f>
        <v>-2924.6464</v>
      </c>
      <c r="BF47" s="69" t="n">
        <f aca="false">-Inputs!$B$40*(1+Inputs!$B$45)^(BF$7-1)*1</f>
        <v>-2924.6464</v>
      </c>
      <c r="BG47" s="69" t="n">
        <f aca="false">-Inputs!$B$40*(1+Inputs!$B$45)^(BG$7-1)*1</f>
        <v>-2924.6464</v>
      </c>
      <c r="BH47" s="69" t="n">
        <f aca="false">-Inputs!$B$40*(1+Inputs!$B$45)^(BH$7-1)*1</f>
        <v>-2924.6464</v>
      </c>
      <c r="BI47" s="69" t="n">
        <f aca="false">-Inputs!$B$40*(1+Inputs!$B$45)^(BI$7-1)*1</f>
        <v>-2924.6464</v>
      </c>
      <c r="BJ47" s="69" t="n">
        <f aca="false">-Inputs!$B$40*(1+Inputs!$B$45)^(BJ$7-1)*1</f>
        <v>-2924.6464</v>
      </c>
    </row>
    <row r="48" customFormat="false" ht="15" hidden="false" customHeight="false" outlineLevel="0" collapsed="false">
      <c r="A48" s="6" t="s">
        <v>340</v>
      </c>
      <c r="C48" s="69" t="n">
        <f aca="false">-Inputs!$B$41*(1+Inputs!$B$45)^(C$7-1)*1</f>
        <v>-4500</v>
      </c>
      <c r="D48" s="69" t="n">
        <f aca="false">-Inputs!$B$41*(1+Inputs!$B$45)^(D$7-1)*1</f>
        <v>-4500</v>
      </c>
      <c r="E48" s="69" t="n">
        <f aca="false">-Inputs!$B$41*(1+Inputs!$B$45)^(E$7-1)*1</f>
        <v>-4500</v>
      </c>
      <c r="F48" s="69" t="n">
        <f aca="false">-Inputs!$B$41*(1+Inputs!$B$45)^(F$7-1)*1</f>
        <v>-4500</v>
      </c>
      <c r="G48" s="69" t="n">
        <f aca="false">-Inputs!$B$41*(1+Inputs!$B$45)^(G$7-1)*1</f>
        <v>-4500</v>
      </c>
      <c r="H48" s="69" t="n">
        <f aca="false">-Inputs!$B$41*(1+Inputs!$B$45)^(H$7-1)*1</f>
        <v>-4500</v>
      </c>
      <c r="I48" s="69" t="n">
        <f aca="false">-Inputs!$B$41*(1+Inputs!$B$45)^(I$7-1)*1</f>
        <v>-4500</v>
      </c>
      <c r="J48" s="69" t="n">
        <f aca="false">-Inputs!$B$41*(1+Inputs!$B$45)^(J$7-1)*1</f>
        <v>-4500</v>
      </c>
      <c r="K48" s="69" t="n">
        <f aca="false">-Inputs!$B$41*(1+Inputs!$B$45)^(K$7-1)*1</f>
        <v>-4500</v>
      </c>
      <c r="L48" s="69" t="n">
        <f aca="false">-Inputs!$B$41*(1+Inputs!$B$45)^(L$7-1)*1</f>
        <v>-4500</v>
      </c>
      <c r="M48" s="69" t="n">
        <f aca="false">-Inputs!$B$41*(1+Inputs!$B$45)^(M$7-1)*1</f>
        <v>-4500</v>
      </c>
      <c r="N48" s="69" t="n">
        <f aca="false">-Inputs!$B$41*(1+Inputs!$B$45)^(N$7-1)*1</f>
        <v>-4500</v>
      </c>
      <c r="O48" s="69" t="n">
        <f aca="false">-Inputs!$B$41*(1+Inputs!$B$45)^(O$7-1)*1</f>
        <v>-4680</v>
      </c>
      <c r="P48" s="69" t="n">
        <f aca="false">-Inputs!$B$41*(1+Inputs!$B$45)^(P$7-1)*1</f>
        <v>-4680</v>
      </c>
      <c r="Q48" s="69" t="n">
        <f aca="false">-Inputs!$B$41*(1+Inputs!$B$45)^(Q$7-1)*1</f>
        <v>-4680</v>
      </c>
      <c r="R48" s="69" t="n">
        <f aca="false">-Inputs!$B$41*(1+Inputs!$B$45)^(R$7-1)*1</f>
        <v>-4680</v>
      </c>
      <c r="S48" s="69" t="n">
        <f aca="false">-Inputs!$B$41*(1+Inputs!$B$45)^(S$7-1)*1</f>
        <v>-4680</v>
      </c>
      <c r="T48" s="69" t="n">
        <f aca="false">-Inputs!$B$41*(1+Inputs!$B$45)^(T$7-1)*1</f>
        <v>-4680</v>
      </c>
      <c r="U48" s="69" t="n">
        <f aca="false">-Inputs!$B$41*(1+Inputs!$B$45)^(U$7-1)*1</f>
        <v>-4680</v>
      </c>
      <c r="V48" s="69" t="n">
        <f aca="false">-Inputs!$B$41*(1+Inputs!$B$45)^(V$7-1)*1</f>
        <v>-4680</v>
      </c>
      <c r="W48" s="69" t="n">
        <f aca="false">-Inputs!$B$41*(1+Inputs!$B$45)^(W$7-1)*1</f>
        <v>-4680</v>
      </c>
      <c r="X48" s="69" t="n">
        <f aca="false">-Inputs!$B$41*(1+Inputs!$B$45)^(X$7-1)*1</f>
        <v>-4680</v>
      </c>
      <c r="Y48" s="69" t="n">
        <f aca="false">-Inputs!$B$41*(1+Inputs!$B$45)^(Y$7-1)*1</f>
        <v>-4680</v>
      </c>
      <c r="Z48" s="69" t="n">
        <f aca="false">-Inputs!$B$41*(1+Inputs!$B$45)^(Z$7-1)*1</f>
        <v>-4680</v>
      </c>
      <c r="AA48" s="69" t="n">
        <f aca="false">-Inputs!$B$41*(1+Inputs!$B$45)^(AA$7-1)*1</f>
        <v>-4867.2</v>
      </c>
      <c r="AB48" s="69" t="n">
        <f aca="false">-Inputs!$B$41*(1+Inputs!$B$45)^(AB$7-1)*1</f>
        <v>-4867.2</v>
      </c>
      <c r="AC48" s="69" t="n">
        <f aca="false">-Inputs!$B$41*(1+Inputs!$B$45)^(AC$7-1)*1</f>
        <v>-4867.2</v>
      </c>
      <c r="AD48" s="69" t="n">
        <f aca="false">-Inputs!$B$41*(1+Inputs!$B$45)^(AD$7-1)*1</f>
        <v>-4867.2</v>
      </c>
      <c r="AE48" s="69" t="n">
        <f aca="false">-Inputs!$B$41*(1+Inputs!$B$45)^(AE$7-1)*1</f>
        <v>-4867.2</v>
      </c>
      <c r="AF48" s="69" t="n">
        <f aca="false">-Inputs!$B$41*(1+Inputs!$B$45)^(AF$7-1)*1</f>
        <v>-4867.2</v>
      </c>
      <c r="AG48" s="69" t="n">
        <f aca="false">-Inputs!$B$41*(1+Inputs!$B$45)^(AG$7-1)*1</f>
        <v>-4867.2</v>
      </c>
      <c r="AH48" s="69" t="n">
        <f aca="false">-Inputs!$B$41*(1+Inputs!$B$45)^(AH$7-1)*1</f>
        <v>-4867.2</v>
      </c>
      <c r="AI48" s="69" t="n">
        <f aca="false">-Inputs!$B$41*(1+Inputs!$B$45)^(AI$7-1)*1</f>
        <v>-4867.2</v>
      </c>
      <c r="AJ48" s="69" t="n">
        <f aca="false">-Inputs!$B$41*(1+Inputs!$B$45)^(AJ$7-1)*1</f>
        <v>-4867.2</v>
      </c>
      <c r="AK48" s="69" t="n">
        <f aca="false">-Inputs!$B$41*(1+Inputs!$B$45)^(AK$7-1)*1</f>
        <v>-4867.2</v>
      </c>
      <c r="AL48" s="69" t="n">
        <f aca="false">-Inputs!$B$41*(1+Inputs!$B$45)^(AL$7-1)*1</f>
        <v>-4867.2</v>
      </c>
      <c r="AM48" s="69" t="n">
        <f aca="false">-Inputs!$B$41*(1+Inputs!$B$45)^(AM$7-1)*1</f>
        <v>-5061.888</v>
      </c>
      <c r="AN48" s="69" t="n">
        <f aca="false">-Inputs!$B$41*(1+Inputs!$B$45)^(AN$7-1)*1</f>
        <v>-5061.888</v>
      </c>
      <c r="AO48" s="69" t="n">
        <f aca="false">-Inputs!$B$41*(1+Inputs!$B$45)^(AO$7-1)*1</f>
        <v>-5061.888</v>
      </c>
      <c r="AP48" s="69" t="n">
        <f aca="false">-Inputs!$B$41*(1+Inputs!$B$45)^(AP$7-1)*1</f>
        <v>-5061.888</v>
      </c>
      <c r="AQ48" s="69" t="n">
        <f aca="false">-Inputs!$B$41*(1+Inputs!$B$45)^(AQ$7-1)*1</f>
        <v>-5061.888</v>
      </c>
      <c r="AR48" s="69" t="n">
        <f aca="false">-Inputs!$B$41*(1+Inputs!$B$45)^(AR$7-1)*1</f>
        <v>-5061.888</v>
      </c>
      <c r="AS48" s="69" t="n">
        <f aca="false">-Inputs!$B$41*(1+Inputs!$B$45)^(AS$7-1)*1</f>
        <v>-5061.888</v>
      </c>
      <c r="AT48" s="69" t="n">
        <f aca="false">-Inputs!$B$41*(1+Inputs!$B$45)^(AT$7-1)*1</f>
        <v>-5061.888</v>
      </c>
      <c r="AU48" s="69" t="n">
        <f aca="false">-Inputs!$B$41*(1+Inputs!$B$45)^(AU$7-1)*1</f>
        <v>-5061.888</v>
      </c>
      <c r="AV48" s="69" t="n">
        <f aca="false">-Inputs!$B$41*(1+Inputs!$B$45)^(AV$7-1)*1</f>
        <v>-5061.888</v>
      </c>
      <c r="AW48" s="69" t="n">
        <f aca="false">-Inputs!$B$41*(1+Inputs!$B$45)^(AW$7-1)*1</f>
        <v>-5061.888</v>
      </c>
      <c r="AX48" s="69" t="n">
        <f aca="false">-Inputs!$B$41*(1+Inputs!$B$45)^(AX$7-1)*1</f>
        <v>-5061.888</v>
      </c>
      <c r="AY48" s="69" t="n">
        <f aca="false">-Inputs!$B$41*(1+Inputs!$B$45)^(AY$7-1)*1</f>
        <v>-5264.36352</v>
      </c>
      <c r="AZ48" s="69" t="n">
        <f aca="false">-Inputs!$B$41*(1+Inputs!$B$45)^(AZ$7-1)*1</f>
        <v>-5264.36352</v>
      </c>
      <c r="BA48" s="69" t="n">
        <f aca="false">-Inputs!$B$41*(1+Inputs!$B$45)^(BA$7-1)*1</f>
        <v>-5264.36352</v>
      </c>
      <c r="BB48" s="69" t="n">
        <f aca="false">-Inputs!$B$41*(1+Inputs!$B$45)^(BB$7-1)*1</f>
        <v>-5264.36352</v>
      </c>
      <c r="BC48" s="69" t="n">
        <f aca="false">-Inputs!$B$41*(1+Inputs!$B$45)^(BC$7-1)*1</f>
        <v>-5264.36352</v>
      </c>
      <c r="BD48" s="69" t="n">
        <f aca="false">-Inputs!$B$41*(1+Inputs!$B$45)^(BD$7-1)*1</f>
        <v>-5264.36352</v>
      </c>
      <c r="BE48" s="69" t="n">
        <f aca="false">-Inputs!$B$41*(1+Inputs!$B$45)^(BE$7-1)*1</f>
        <v>-5264.36352</v>
      </c>
      <c r="BF48" s="69" t="n">
        <f aca="false">-Inputs!$B$41*(1+Inputs!$B$45)^(BF$7-1)*1</f>
        <v>-5264.36352</v>
      </c>
      <c r="BG48" s="69" t="n">
        <f aca="false">-Inputs!$B$41*(1+Inputs!$B$45)^(BG$7-1)*1</f>
        <v>-5264.36352</v>
      </c>
      <c r="BH48" s="69" t="n">
        <f aca="false">-Inputs!$B$41*(1+Inputs!$B$45)^(BH$7-1)*1</f>
        <v>-5264.36352</v>
      </c>
      <c r="BI48" s="69" t="n">
        <f aca="false">-Inputs!$B$41*(1+Inputs!$B$45)^(BI$7-1)*1</f>
        <v>-5264.36352</v>
      </c>
      <c r="BJ48" s="69" t="n">
        <f aca="false">-Inputs!$B$41*(1+Inputs!$B$45)^(BJ$7-1)*1</f>
        <v>-5264.36352</v>
      </c>
    </row>
    <row r="49" customFormat="false" ht="15" hidden="false" customHeight="false" outlineLevel="0" collapsed="false">
      <c r="A49" s="6" t="s">
        <v>341</v>
      </c>
      <c r="C49" s="69" t="n">
        <f aca="false">-Inputs!$B$42*(1+Inputs!$B$43)^(C$7-1)*1</f>
        <v>-3500</v>
      </c>
      <c r="D49" s="69" t="n">
        <f aca="false">-Inputs!$B$42*(1+Inputs!$B$43)^(D$7-1)*1</f>
        <v>-3500</v>
      </c>
      <c r="E49" s="69" t="n">
        <f aca="false">-Inputs!$B$42*(1+Inputs!$B$43)^(E$7-1)*1</f>
        <v>-3500</v>
      </c>
      <c r="F49" s="69" t="n">
        <f aca="false">-Inputs!$B$42*(1+Inputs!$B$43)^(F$7-1)*1</f>
        <v>-3500</v>
      </c>
      <c r="G49" s="69" t="n">
        <f aca="false">-Inputs!$B$42*(1+Inputs!$B$43)^(G$7-1)*1</f>
        <v>-3500</v>
      </c>
      <c r="H49" s="69" t="n">
        <f aca="false">-Inputs!$B$42*(1+Inputs!$B$43)^(H$7-1)*1</f>
        <v>-3500</v>
      </c>
      <c r="I49" s="69" t="n">
        <f aca="false">-Inputs!$B$42*(1+Inputs!$B$43)^(I$7-1)*1</f>
        <v>-3500</v>
      </c>
      <c r="J49" s="69" t="n">
        <f aca="false">-Inputs!$B$42*(1+Inputs!$B$43)^(J$7-1)*1</f>
        <v>-3500</v>
      </c>
      <c r="K49" s="69" t="n">
        <f aca="false">-Inputs!$B$42*(1+Inputs!$B$43)^(K$7-1)*1</f>
        <v>-3500</v>
      </c>
      <c r="L49" s="69" t="n">
        <f aca="false">-Inputs!$B$42*(1+Inputs!$B$43)^(L$7-1)*1</f>
        <v>-3500</v>
      </c>
      <c r="M49" s="69" t="n">
        <f aca="false">-Inputs!$B$42*(1+Inputs!$B$43)^(M$7-1)*1</f>
        <v>-3500</v>
      </c>
      <c r="N49" s="69" t="n">
        <f aca="false">-Inputs!$B$42*(1+Inputs!$B$43)^(N$7-1)*1</f>
        <v>-3500</v>
      </c>
      <c r="O49" s="69" t="n">
        <f aca="false">-Inputs!$B$42*(1+Inputs!$B$43)^(O$7-1)*1</f>
        <v>-2450</v>
      </c>
      <c r="P49" s="69" t="n">
        <f aca="false">-Inputs!$B$42*(1+Inputs!$B$43)^(P$7-1)*1</f>
        <v>-2450</v>
      </c>
      <c r="Q49" s="69" t="n">
        <f aca="false">-Inputs!$B$42*(1+Inputs!$B$43)^(Q$7-1)*1</f>
        <v>-2450</v>
      </c>
      <c r="R49" s="69" t="n">
        <f aca="false">-Inputs!$B$42*(1+Inputs!$B$43)^(R$7-1)*1</f>
        <v>-2450</v>
      </c>
      <c r="S49" s="69" t="n">
        <f aca="false">-Inputs!$B$42*(1+Inputs!$B$43)^(S$7-1)*1</f>
        <v>-2450</v>
      </c>
      <c r="T49" s="69" t="n">
        <f aca="false">-Inputs!$B$42*(1+Inputs!$B$43)^(T$7-1)*1</f>
        <v>-2450</v>
      </c>
      <c r="U49" s="69" t="n">
        <f aca="false">-Inputs!$B$42*(1+Inputs!$B$43)^(U$7-1)*1</f>
        <v>-2450</v>
      </c>
      <c r="V49" s="69" t="n">
        <f aca="false">-Inputs!$B$42*(1+Inputs!$B$43)^(V$7-1)*1</f>
        <v>-2450</v>
      </c>
      <c r="W49" s="69" t="n">
        <f aca="false">-Inputs!$B$42*(1+Inputs!$B$43)^(W$7-1)*1</f>
        <v>-2450</v>
      </c>
      <c r="X49" s="69" t="n">
        <f aca="false">-Inputs!$B$42*(1+Inputs!$B$43)^(X$7-1)*1</f>
        <v>-2450</v>
      </c>
      <c r="Y49" s="69" t="n">
        <f aca="false">-Inputs!$B$42*(1+Inputs!$B$43)^(Y$7-1)*1</f>
        <v>-2450</v>
      </c>
      <c r="Z49" s="69" t="n">
        <f aca="false">-Inputs!$B$42*(1+Inputs!$B$43)^(Z$7-1)*1</f>
        <v>-2450</v>
      </c>
      <c r="AA49" s="69" t="n">
        <f aca="false">-Inputs!$B$42*(1+Inputs!$B$43)^(AA$7-1)*1</f>
        <v>-1715</v>
      </c>
      <c r="AB49" s="69" t="n">
        <f aca="false">-Inputs!$B$42*(1+Inputs!$B$43)^(AB$7-1)*1</f>
        <v>-1715</v>
      </c>
      <c r="AC49" s="69" t="n">
        <f aca="false">-Inputs!$B$42*(1+Inputs!$B$43)^(AC$7-1)*1</f>
        <v>-1715</v>
      </c>
      <c r="AD49" s="69" t="n">
        <f aca="false">-Inputs!$B$42*(1+Inputs!$B$43)^(AD$7-1)*1</f>
        <v>-1715</v>
      </c>
      <c r="AE49" s="69" t="n">
        <f aca="false">-Inputs!$B$42*(1+Inputs!$B$43)^(AE$7-1)*1</f>
        <v>-1715</v>
      </c>
      <c r="AF49" s="69" t="n">
        <f aca="false">-Inputs!$B$42*(1+Inputs!$B$43)^(AF$7-1)*1</f>
        <v>-1715</v>
      </c>
      <c r="AG49" s="69" t="n">
        <f aca="false">-Inputs!$B$42*(1+Inputs!$B$43)^(AG$7-1)*1</f>
        <v>-1715</v>
      </c>
      <c r="AH49" s="69" t="n">
        <f aca="false">-Inputs!$B$42*(1+Inputs!$B$43)^(AH$7-1)*1</f>
        <v>-1715</v>
      </c>
      <c r="AI49" s="69" t="n">
        <f aca="false">-Inputs!$B$42*(1+Inputs!$B$43)^(AI$7-1)*1</f>
        <v>-1715</v>
      </c>
      <c r="AJ49" s="69" t="n">
        <f aca="false">-Inputs!$B$42*(1+Inputs!$B$43)^(AJ$7-1)*1</f>
        <v>-1715</v>
      </c>
      <c r="AK49" s="69" t="n">
        <f aca="false">-Inputs!$B$42*(1+Inputs!$B$43)^(AK$7-1)*1</f>
        <v>-1715</v>
      </c>
      <c r="AL49" s="69" t="n">
        <f aca="false">-Inputs!$B$42*(1+Inputs!$B$43)^(AL$7-1)*1</f>
        <v>-1715</v>
      </c>
      <c r="AM49" s="69" t="n">
        <f aca="false">-Inputs!$B$42*(1+Inputs!$B$43)^(AM$7-1)*1</f>
        <v>-1200.5</v>
      </c>
      <c r="AN49" s="69" t="n">
        <f aca="false">-Inputs!$B$42*(1+Inputs!$B$43)^(AN$7-1)*1</f>
        <v>-1200.5</v>
      </c>
      <c r="AO49" s="69" t="n">
        <f aca="false">-Inputs!$B$42*(1+Inputs!$B$43)^(AO$7-1)*1</f>
        <v>-1200.5</v>
      </c>
      <c r="AP49" s="69" t="n">
        <f aca="false">-Inputs!$B$42*(1+Inputs!$B$43)^(AP$7-1)*1</f>
        <v>-1200.5</v>
      </c>
      <c r="AQ49" s="69" t="n">
        <f aca="false">-Inputs!$B$42*(1+Inputs!$B$43)^(AQ$7-1)*1</f>
        <v>-1200.5</v>
      </c>
      <c r="AR49" s="69" t="n">
        <f aca="false">-Inputs!$B$42*(1+Inputs!$B$43)^(AR$7-1)*1</f>
        <v>-1200.5</v>
      </c>
      <c r="AS49" s="69" t="n">
        <f aca="false">-Inputs!$B$42*(1+Inputs!$B$43)^(AS$7-1)*1</f>
        <v>-1200.5</v>
      </c>
      <c r="AT49" s="69" t="n">
        <f aca="false">-Inputs!$B$42*(1+Inputs!$B$43)^(AT$7-1)*1</f>
        <v>-1200.5</v>
      </c>
      <c r="AU49" s="69" t="n">
        <f aca="false">-Inputs!$B$42*(1+Inputs!$B$43)^(AU$7-1)*1</f>
        <v>-1200.5</v>
      </c>
      <c r="AV49" s="69" t="n">
        <f aca="false">-Inputs!$B$42*(1+Inputs!$B$43)^(AV$7-1)*1</f>
        <v>-1200.5</v>
      </c>
      <c r="AW49" s="69" t="n">
        <f aca="false">-Inputs!$B$42*(1+Inputs!$B$43)^(AW$7-1)*1</f>
        <v>-1200.5</v>
      </c>
      <c r="AX49" s="69" t="n">
        <f aca="false">-Inputs!$B$42*(1+Inputs!$B$43)^(AX$7-1)*1</f>
        <v>-1200.5</v>
      </c>
      <c r="AY49" s="69" t="n">
        <f aca="false">-Inputs!$B$42*(1+Inputs!$B$43)^(AY$7-1)*1</f>
        <v>-840.35</v>
      </c>
      <c r="AZ49" s="69" t="n">
        <f aca="false">-Inputs!$B$42*(1+Inputs!$B$43)^(AZ$7-1)*1</f>
        <v>-840.35</v>
      </c>
      <c r="BA49" s="69" t="n">
        <f aca="false">-Inputs!$B$42*(1+Inputs!$B$43)^(BA$7-1)*1</f>
        <v>-840.35</v>
      </c>
      <c r="BB49" s="69" t="n">
        <f aca="false">-Inputs!$B$42*(1+Inputs!$B$43)^(BB$7-1)*1</f>
        <v>-840.35</v>
      </c>
      <c r="BC49" s="69" t="n">
        <f aca="false">-Inputs!$B$42*(1+Inputs!$B$43)^(BC$7-1)*1</f>
        <v>-840.35</v>
      </c>
      <c r="BD49" s="69" t="n">
        <f aca="false">-Inputs!$B$42*(1+Inputs!$B$43)^(BD$7-1)*1</f>
        <v>-840.35</v>
      </c>
      <c r="BE49" s="69" t="n">
        <f aca="false">-Inputs!$B$42*(1+Inputs!$B$43)^(BE$7-1)*1</f>
        <v>-840.35</v>
      </c>
      <c r="BF49" s="69" t="n">
        <f aca="false">-Inputs!$B$42*(1+Inputs!$B$43)^(BF$7-1)*1</f>
        <v>-840.35</v>
      </c>
      <c r="BG49" s="69" t="n">
        <f aca="false">-Inputs!$B$42*(1+Inputs!$B$43)^(BG$7-1)*1</f>
        <v>-840.35</v>
      </c>
      <c r="BH49" s="69" t="n">
        <f aca="false">-Inputs!$B$42*(1+Inputs!$B$43)^(BH$7-1)*1</f>
        <v>-840.35</v>
      </c>
      <c r="BI49" s="69" t="n">
        <f aca="false">-Inputs!$B$42*(1+Inputs!$B$43)^(BI$7-1)*1</f>
        <v>-840.35</v>
      </c>
      <c r="BJ49" s="69" t="n">
        <f aca="false">-Inputs!$B$42*(1+Inputs!$B$43)^(BJ$7-1)*1</f>
        <v>-840.35</v>
      </c>
    </row>
    <row r="50" customFormat="false" ht="15" hidden="false" customHeight="false" outlineLevel="0" collapsed="false">
      <c r="A50" s="6" t="s">
        <v>342</v>
      </c>
      <c r="C50" s="69" t="n">
        <f aca="false">-C33*Inputs!$B$44</f>
        <v>-442.5792</v>
      </c>
      <c r="D50" s="69" t="n">
        <f aca="false">-D33*Inputs!$B$44</f>
        <v>-516.3424</v>
      </c>
      <c r="E50" s="69" t="n">
        <f aca="false">-E33*Inputs!$B$44</f>
        <v>-590.1056</v>
      </c>
      <c r="F50" s="69" t="n">
        <f aca="false">-F33*Inputs!$B$44</f>
        <v>-663.8688</v>
      </c>
      <c r="G50" s="69" t="n">
        <f aca="false">-G33*Inputs!$B$44</f>
        <v>-737.632</v>
      </c>
      <c r="H50" s="69" t="n">
        <f aca="false">-H33*Inputs!$B$44</f>
        <v>-901.6832</v>
      </c>
      <c r="I50" s="69" t="n">
        <f aca="false">-I33*Inputs!$B$44</f>
        <v>-983.6544</v>
      </c>
      <c r="J50" s="69" t="n">
        <f aca="false">-J33*Inputs!$B$44</f>
        <v>-1065.6256</v>
      </c>
      <c r="K50" s="69" t="n">
        <f aca="false">-K33*Inputs!$B$44</f>
        <v>-1032.6848</v>
      </c>
      <c r="L50" s="69" t="n">
        <f aca="false">-L33*Inputs!$B$44</f>
        <v>-1106.448</v>
      </c>
      <c r="M50" s="69" t="n">
        <f aca="false">-M33*Inputs!$B$44</f>
        <v>-1180.2112</v>
      </c>
      <c r="N50" s="69" t="n">
        <f aca="false">-N33*Inputs!$B$44</f>
        <v>-1393.5104</v>
      </c>
      <c r="O50" s="69" t="n">
        <f aca="false">-O33*Inputs!$B$44</f>
        <v>-1341.014976</v>
      </c>
      <c r="P50" s="69" t="n">
        <f aca="false">-P33*Inputs!$B$44</f>
        <v>-1415.515808</v>
      </c>
      <c r="Q50" s="69" t="n">
        <f aca="false">-Q33*Inputs!$B$44</f>
        <v>-1490.01664</v>
      </c>
      <c r="R50" s="69" t="n">
        <f aca="false">-R33*Inputs!$B$44</f>
        <v>-1490.01664</v>
      </c>
      <c r="S50" s="69" t="n">
        <f aca="false">-S33*Inputs!$B$44</f>
        <v>-1490.01664</v>
      </c>
      <c r="T50" s="69" t="n">
        <f aca="false">-T33*Inputs!$B$44</f>
        <v>-1655.81824</v>
      </c>
      <c r="U50" s="69" t="n">
        <f aca="false">-U33*Inputs!$B$44</f>
        <v>-1655.81824</v>
      </c>
      <c r="V50" s="69" t="n">
        <f aca="false">-V33*Inputs!$B$44</f>
        <v>-1655.81824</v>
      </c>
      <c r="W50" s="69" t="n">
        <f aca="false">-W33*Inputs!$B$44</f>
        <v>-1490.01664</v>
      </c>
      <c r="X50" s="69" t="n">
        <f aca="false">-X33*Inputs!$B$44</f>
        <v>-1490.01664</v>
      </c>
      <c r="Y50" s="69" t="n">
        <f aca="false">-Y33*Inputs!$B$44</f>
        <v>-1490.01664</v>
      </c>
      <c r="Z50" s="69" t="n">
        <f aca="false">-Z33*Inputs!$B$44</f>
        <v>-1655.81824</v>
      </c>
      <c r="AA50" s="69" t="n">
        <f aca="false">-AA33*Inputs!$B$44</f>
        <v>-1504.9168064</v>
      </c>
      <c r="AB50" s="69" t="n">
        <f aca="false">-AB33*Inputs!$B$44</f>
        <v>-1504.9168064</v>
      </c>
      <c r="AC50" s="69" t="n">
        <f aca="false">-AC33*Inputs!$B$44</f>
        <v>-1504.9168064</v>
      </c>
      <c r="AD50" s="69" t="n">
        <f aca="false">-AD33*Inputs!$B$44</f>
        <v>-1504.9168064</v>
      </c>
      <c r="AE50" s="69" t="n">
        <f aca="false">-AE33*Inputs!$B$44</f>
        <v>-1504.9168064</v>
      </c>
      <c r="AF50" s="69" t="n">
        <f aca="false">-AF33*Inputs!$B$44</f>
        <v>-1672.3764224</v>
      </c>
      <c r="AG50" s="69" t="n">
        <f aca="false">-AG33*Inputs!$B$44</f>
        <v>-1672.3764224</v>
      </c>
      <c r="AH50" s="69" t="n">
        <f aca="false">-AH33*Inputs!$B$44</f>
        <v>-1672.3764224</v>
      </c>
      <c r="AI50" s="69" t="n">
        <f aca="false">-AI33*Inputs!$B$44</f>
        <v>-1504.9168064</v>
      </c>
      <c r="AJ50" s="69" t="n">
        <f aca="false">-AJ33*Inputs!$B$44</f>
        <v>-1504.9168064</v>
      </c>
      <c r="AK50" s="69" t="n">
        <f aca="false">-AK33*Inputs!$B$44</f>
        <v>-1504.9168064</v>
      </c>
      <c r="AL50" s="69" t="n">
        <f aca="false">-AL33*Inputs!$B$44</f>
        <v>-1672.3764224</v>
      </c>
      <c r="AM50" s="69" t="n">
        <f aca="false">-AM33*Inputs!$B$44</f>
        <v>-1519.965974464</v>
      </c>
      <c r="AN50" s="69" t="n">
        <f aca="false">-AN33*Inputs!$B$44</f>
        <v>-1519.965974464</v>
      </c>
      <c r="AO50" s="69" t="n">
        <f aca="false">-AO33*Inputs!$B$44</f>
        <v>-1519.965974464</v>
      </c>
      <c r="AP50" s="69" t="n">
        <f aca="false">-AP33*Inputs!$B$44</f>
        <v>-1519.965974464</v>
      </c>
      <c r="AQ50" s="69" t="n">
        <f aca="false">-AQ33*Inputs!$B$44</f>
        <v>-1519.965974464</v>
      </c>
      <c r="AR50" s="69" t="n">
        <f aca="false">-AR33*Inputs!$B$44</f>
        <v>-1689.100186624</v>
      </c>
      <c r="AS50" s="69" t="n">
        <f aca="false">-AS33*Inputs!$B$44</f>
        <v>-1689.100186624</v>
      </c>
      <c r="AT50" s="69" t="n">
        <f aca="false">-AT33*Inputs!$B$44</f>
        <v>-1689.100186624</v>
      </c>
      <c r="AU50" s="69" t="n">
        <f aca="false">-AU33*Inputs!$B$44</f>
        <v>-1519.965974464</v>
      </c>
      <c r="AV50" s="69" t="n">
        <f aca="false">-AV33*Inputs!$B$44</f>
        <v>-1519.965974464</v>
      </c>
      <c r="AW50" s="69" t="n">
        <f aca="false">-AW33*Inputs!$B$44</f>
        <v>-1519.965974464</v>
      </c>
      <c r="AX50" s="69" t="n">
        <f aca="false">-AX33*Inputs!$B$44</f>
        <v>-1689.100186624</v>
      </c>
      <c r="AY50" s="69" t="n">
        <f aca="false">-AY33*Inputs!$B$44</f>
        <v>-1535.16563420864</v>
      </c>
      <c r="AZ50" s="69" t="n">
        <f aca="false">-AZ33*Inputs!$B$44</f>
        <v>-1535.16563420864</v>
      </c>
      <c r="BA50" s="69" t="n">
        <f aca="false">-BA33*Inputs!$B$44</f>
        <v>-1535.16563420864</v>
      </c>
      <c r="BB50" s="69" t="n">
        <f aca="false">-BB33*Inputs!$B$44</f>
        <v>-1535.16563420864</v>
      </c>
      <c r="BC50" s="69" t="n">
        <f aca="false">-BC33*Inputs!$B$44</f>
        <v>-1535.16563420864</v>
      </c>
      <c r="BD50" s="69" t="n">
        <f aca="false">-BD33*Inputs!$B$44</f>
        <v>-1705.99118849024</v>
      </c>
      <c r="BE50" s="69" t="n">
        <f aca="false">-BE33*Inputs!$B$44</f>
        <v>-1705.99118849024</v>
      </c>
      <c r="BF50" s="69" t="n">
        <f aca="false">-BF33*Inputs!$B$44</f>
        <v>-1705.99118849024</v>
      </c>
      <c r="BG50" s="69" t="n">
        <f aca="false">-BG33*Inputs!$B$44</f>
        <v>-1535.16563420864</v>
      </c>
      <c r="BH50" s="69" t="n">
        <f aca="false">-BH33*Inputs!$B$44</f>
        <v>-1535.16563420864</v>
      </c>
      <c r="BI50" s="69" t="n">
        <f aca="false">-BI33*Inputs!$B$44</f>
        <v>-1535.16563420864</v>
      </c>
      <c r="BJ50" s="69" t="n">
        <f aca="false">-BJ33*Inputs!$B$44</f>
        <v>-1705.99118849024</v>
      </c>
    </row>
    <row r="51" customFormat="false" ht="15" hidden="false" customHeight="false" outlineLevel="0" collapsed="false">
      <c r="A51" s="115" t="s">
        <v>77</v>
      </c>
      <c r="C51" s="70" t="n">
        <f aca="false">C45+C46+C47+C48+C49+C50</f>
        <v>-35180.0792</v>
      </c>
      <c r="D51" s="70" t="n">
        <f aca="false">D45+D46+D47+D48+D49+D50</f>
        <v>-35253.8424</v>
      </c>
      <c r="E51" s="70" t="n">
        <f aca="false">E45+E46+E47+E48+E49+E50</f>
        <v>-35327.6056</v>
      </c>
      <c r="F51" s="70" t="n">
        <f aca="false">F45+F46+F47+F48+F49+F50</f>
        <v>-35401.3688</v>
      </c>
      <c r="G51" s="70" t="n">
        <f aca="false">G45+G46+G47+G48+G49+G50</f>
        <v>-35475.132</v>
      </c>
      <c r="H51" s="70" t="n">
        <f aca="false">H45+H46+H47+H48+H49+H50</f>
        <v>-35639.1832</v>
      </c>
      <c r="I51" s="70" t="n">
        <f aca="false">I45+I46+I47+I48+I49+I50</f>
        <v>-35721.1544</v>
      </c>
      <c r="J51" s="70" t="n">
        <f aca="false">J45+J46+J47+J48+J49+J50</f>
        <v>-35803.1256</v>
      </c>
      <c r="K51" s="70" t="n">
        <f aca="false">K45+K46+K47+K48+K49+K50</f>
        <v>-35770.1848</v>
      </c>
      <c r="L51" s="70" t="n">
        <f aca="false">L45+L46+L47+L48+L49+L50</f>
        <v>-35843.948</v>
      </c>
      <c r="M51" s="70" t="n">
        <f aca="false">M45+M46+M47+M48+M49+M50</f>
        <v>-35917.7112</v>
      </c>
      <c r="N51" s="70" t="n">
        <f aca="false">N45+N46+N47+N48+N49+N50</f>
        <v>-36131.0104</v>
      </c>
      <c r="O51" s="70" t="n">
        <f aca="false">O45+O46+O47+O48+O49+O50</f>
        <v>-36188.014976</v>
      </c>
      <c r="P51" s="70" t="n">
        <f aca="false">P45+P46+P47+P48+P49+P50</f>
        <v>-36262.515808</v>
      </c>
      <c r="Q51" s="70" t="n">
        <f aca="false">Q45+Q46+Q47+Q48+Q49+Q50</f>
        <v>-36337.01664</v>
      </c>
      <c r="R51" s="70" t="n">
        <f aca="false">R45+R46+R47+R48+R49+R50</f>
        <v>-36337.01664</v>
      </c>
      <c r="S51" s="70" t="n">
        <f aca="false">S45+S46+S47+S48+S49+S50</f>
        <v>-36337.01664</v>
      </c>
      <c r="T51" s="70" t="n">
        <f aca="false">T45+T46+T47+T48+T49+T50</f>
        <v>-36502.81824</v>
      </c>
      <c r="U51" s="70" t="n">
        <f aca="false">U45+U46+U47+U48+U49+U50</f>
        <v>-36502.81824</v>
      </c>
      <c r="V51" s="70" t="n">
        <f aca="false">V45+V46+V47+V48+V49+V50</f>
        <v>-36502.81824</v>
      </c>
      <c r="W51" s="70" t="n">
        <f aca="false">W45+W46+W47+W48+W49+W50</f>
        <v>-36337.01664</v>
      </c>
      <c r="X51" s="70" t="n">
        <f aca="false">X45+X46+X47+X48+X49+X50</f>
        <v>-36337.01664</v>
      </c>
      <c r="Y51" s="70" t="n">
        <f aca="false">Y45+Y46+Y47+Y48+Y49+Y50</f>
        <v>-36337.01664</v>
      </c>
      <c r="Z51" s="70" t="n">
        <f aca="false">Z45+Z46+Z47+Z48+Z49+Z50</f>
        <v>-36502.81824</v>
      </c>
      <c r="AA51" s="70" t="n">
        <f aca="false">AA45+AA46+AA47+AA48+AA49+AA50</f>
        <v>-36820.0968064</v>
      </c>
      <c r="AB51" s="70" t="n">
        <f aca="false">AB45+AB46+AB47+AB48+AB49+AB50</f>
        <v>-36820.0968064</v>
      </c>
      <c r="AC51" s="70" t="n">
        <f aca="false">AC45+AC46+AC47+AC48+AC49+AC50</f>
        <v>-36820.0968064</v>
      </c>
      <c r="AD51" s="70" t="n">
        <f aca="false">AD45+AD46+AD47+AD48+AD49+AD50</f>
        <v>-36820.0968064</v>
      </c>
      <c r="AE51" s="70" t="n">
        <f aca="false">AE45+AE46+AE47+AE48+AE49+AE50</f>
        <v>-36820.0968064</v>
      </c>
      <c r="AF51" s="70" t="n">
        <f aca="false">AF45+AF46+AF47+AF48+AF49+AF50</f>
        <v>-36987.5564224</v>
      </c>
      <c r="AG51" s="70" t="n">
        <f aca="false">AG45+AG46+AG47+AG48+AG49+AG50</f>
        <v>-36987.5564224</v>
      </c>
      <c r="AH51" s="70" t="n">
        <f aca="false">AH45+AH46+AH47+AH48+AH49+AH50</f>
        <v>-36987.5564224</v>
      </c>
      <c r="AI51" s="70" t="n">
        <f aca="false">AI45+AI46+AI47+AI48+AI49+AI50</f>
        <v>-36820.0968064</v>
      </c>
      <c r="AJ51" s="70" t="n">
        <f aca="false">AJ45+AJ46+AJ47+AJ48+AJ49+AJ50</f>
        <v>-36820.0968064</v>
      </c>
      <c r="AK51" s="70" t="n">
        <f aca="false">AK45+AK46+AK47+AK48+AK49+AK50</f>
        <v>-36820.0968064</v>
      </c>
      <c r="AL51" s="70" t="n">
        <f aca="false">AL45+AL46+AL47+AL48+AL49+AL50</f>
        <v>-36987.5564224</v>
      </c>
      <c r="AM51" s="70" t="n">
        <f aca="false">AM45+AM46+AM47+AM48+AM49+AM50</f>
        <v>-37569.172174464</v>
      </c>
      <c r="AN51" s="70" t="n">
        <f aca="false">AN45+AN46+AN47+AN48+AN49+AN50</f>
        <v>-37569.172174464</v>
      </c>
      <c r="AO51" s="70" t="n">
        <f aca="false">AO45+AO46+AO47+AO48+AO49+AO50</f>
        <v>-37569.172174464</v>
      </c>
      <c r="AP51" s="70" t="n">
        <f aca="false">AP45+AP46+AP47+AP48+AP49+AP50</f>
        <v>-37569.172174464</v>
      </c>
      <c r="AQ51" s="70" t="n">
        <f aca="false">AQ45+AQ46+AQ47+AQ48+AQ49+AQ50</f>
        <v>-37569.172174464</v>
      </c>
      <c r="AR51" s="70" t="n">
        <f aca="false">AR45+AR46+AR47+AR48+AR49+AR50</f>
        <v>-37738.306386624</v>
      </c>
      <c r="AS51" s="70" t="n">
        <f aca="false">AS45+AS46+AS47+AS48+AS49+AS50</f>
        <v>-37738.306386624</v>
      </c>
      <c r="AT51" s="70" t="n">
        <f aca="false">AT45+AT46+AT47+AT48+AT49+AT50</f>
        <v>-37738.306386624</v>
      </c>
      <c r="AU51" s="70" t="n">
        <f aca="false">AU45+AU46+AU47+AU48+AU49+AU50</f>
        <v>-37569.172174464</v>
      </c>
      <c r="AV51" s="70" t="n">
        <f aca="false">AV45+AV46+AV47+AV48+AV49+AV50</f>
        <v>-37569.172174464</v>
      </c>
      <c r="AW51" s="70" t="n">
        <f aca="false">AW45+AW46+AW47+AW48+AW49+AW50</f>
        <v>-37569.172174464</v>
      </c>
      <c r="AX51" s="70" t="n">
        <f aca="false">AX45+AX46+AX47+AX48+AX49+AX50</f>
        <v>-37738.306386624</v>
      </c>
      <c r="AY51" s="70" t="n">
        <f aca="false">AY45+AY46+AY47+AY48+AY49+AY50</f>
        <v>-38519.8246522087</v>
      </c>
      <c r="AZ51" s="70" t="n">
        <f aca="false">AZ45+AZ46+AZ47+AZ48+AZ49+AZ50</f>
        <v>-38519.8246522087</v>
      </c>
      <c r="BA51" s="70" t="n">
        <f aca="false">BA45+BA46+BA47+BA48+BA49+BA50</f>
        <v>-38519.8246522087</v>
      </c>
      <c r="BB51" s="70" t="n">
        <f aca="false">BB45+BB46+BB47+BB48+BB49+BB50</f>
        <v>-38519.8246522087</v>
      </c>
      <c r="BC51" s="70" t="n">
        <f aca="false">BC45+BC46+BC47+BC48+BC49+BC50</f>
        <v>-38519.8246522087</v>
      </c>
      <c r="BD51" s="70" t="n">
        <f aca="false">BD45+BD46+BD47+BD48+BD49+BD50</f>
        <v>-38690.6502064902</v>
      </c>
      <c r="BE51" s="70" t="n">
        <f aca="false">BE45+BE46+BE47+BE48+BE49+BE50</f>
        <v>-38690.6502064902</v>
      </c>
      <c r="BF51" s="70" t="n">
        <f aca="false">BF45+BF46+BF47+BF48+BF49+BF50</f>
        <v>-38690.6502064902</v>
      </c>
      <c r="BG51" s="70" t="n">
        <f aca="false">BG45+BG46+BG47+BG48+BG49+BG50</f>
        <v>-38519.8246522087</v>
      </c>
      <c r="BH51" s="70" t="n">
        <f aca="false">BH45+BH46+BH47+BH48+BH49+BH50</f>
        <v>-38519.8246522087</v>
      </c>
      <c r="BI51" s="70" t="n">
        <f aca="false">BI45+BI46+BI47+BI48+BI49+BI50</f>
        <v>-38519.8246522087</v>
      </c>
      <c r="BJ51" s="70" t="n">
        <f aca="false">BJ45+BJ46+BJ47+BJ48+BJ49+BJ50</f>
        <v>-38690.6502064902</v>
      </c>
    </row>
    <row r="52" customFormat="false" ht="15" hidden="false" customHeight="false" outlineLevel="0" collapsed="false">
      <c r="A52" s="115" t="s">
        <v>48</v>
      </c>
      <c r="C52" s="70" t="n">
        <f aca="false">C42+C51</f>
        <v>-29516.1925333333</v>
      </c>
      <c r="D52" s="70" t="n">
        <f aca="false">D42+D51</f>
        <v>-28007.0857333333</v>
      </c>
      <c r="E52" s="70" t="n">
        <f aca="false">E42+E51</f>
        <v>-26497.9789333333</v>
      </c>
      <c r="F52" s="70" t="n">
        <f aca="false">F42+F51</f>
        <v>-24988.8721333333</v>
      </c>
      <c r="G52" s="70" t="n">
        <f aca="false">G42+G51</f>
        <v>-23479.7653333333</v>
      </c>
      <c r="H52" s="70" t="n">
        <f aca="false">H42+H51</f>
        <v>-19634.4565333333</v>
      </c>
      <c r="I52" s="70" t="n">
        <f aca="false">I42+I51</f>
        <v>-17912.9677333333</v>
      </c>
      <c r="J52" s="70" t="n">
        <f aca="false">J42+J51</f>
        <v>-16191.4789333333</v>
      </c>
      <c r="K52" s="70" t="n">
        <f aca="false">K42+K51</f>
        <v>-17443.3381333333</v>
      </c>
      <c r="L52" s="70" t="n">
        <f aca="false">L42+L51</f>
        <v>-15934.2313333333</v>
      </c>
      <c r="M52" s="70" t="n">
        <f aca="false">M42+M51</f>
        <v>-14425.1245333333</v>
      </c>
      <c r="N52" s="70" t="n">
        <f aca="false">N42+N51</f>
        <v>-9305.52373333334</v>
      </c>
      <c r="O52" s="70" t="n">
        <f aca="false">O42+O51</f>
        <v>-11523.4552426667</v>
      </c>
      <c r="P52" s="70" t="n">
        <f aca="false">P42+P51</f>
        <v>-10006.2212746667</v>
      </c>
      <c r="Q52" s="70" t="n">
        <f aca="false">Q42+Q51</f>
        <v>-8488.98730666667</v>
      </c>
      <c r="R52" s="70" t="n">
        <f aca="false">R42+R51</f>
        <v>-8488.98730666667</v>
      </c>
      <c r="S52" s="70" t="n">
        <f aca="false">S42+S51</f>
        <v>-8488.98730666667</v>
      </c>
      <c r="T52" s="70" t="n">
        <f aca="false">T42+T51</f>
        <v>-4220.41690666666</v>
      </c>
      <c r="U52" s="70" t="n">
        <f aca="false">U42+U51</f>
        <v>-4220.41690666666</v>
      </c>
      <c r="V52" s="70" t="n">
        <f aca="false">V42+V51</f>
        <v>-4220.41690666666</v>
      </c>
      <c r="W52" s="70" t="n">
        <f aca="false">W42+W51</f>
        <v>-8488.98730666667</v>
      </c>
      <c r="X52" s="70" t="n">
        <f aca="false">X42+X51</f>
        <v>-8488.98730666667</v>
      </c>
      <c r="Y52" s="70" t="n">
        <f aca="false">Y42+Y51</f>
        <v>-8488.98730666667</v>
      </c>
      <c r="Z52" s="70" t="n">
        <f aca="false">Z42+Z51</f>
        <v>-4220.41690666666</v>
      </c>
      <c r="AA52" s="70" t="n">
        <f aca="false">AA42+AA51</f>
        <v>-8958.03629973334</v>
      </c>
      <c r="AB52" s="70" t="n">
        <f aca="false">AB42+AB51</f>
        <v>-8958.03629973334</v>
      </c>
      <c r="AC52" s="70" t="n">
        <f aca="false">AC42+AC51</f>
        <v>-8958.03629973334</v>
      </c>
      <c r="AD52" s="70" t="n">
        <f aca="false">AD42+AD51</f>
        <v>-8958.03629973334</v>
      </c>
      <c r="AE52" s="70" t="n">
        <f aca="false">AE42+AE51</f>
        <v>-8958.03629973334</v>
      </c>
      <c r="AF52" s="70" t="n">
        <f aca="false">AF42+AF51</f>
        <v>-4669.18803573334</v>
      </c>
      <c r="AG52" s="70" t="n">
        <f aca="false">AG42+AG51</f>
        <v>-4669.18803573334</v>
      </c>
      <c r="AH52" s="70" t="n">
        <f aca="false">AH42+AH51</f>
        <v>-4669.18803573334</v>
      </c>
      <c r="AI52" s="70" t="n">
        <f aca="false">AI42+AI51</f>
        <v>-8958.03629973334</v>
      </c>
      <c r="AJ52" s="70" t="n">
        <f aca="false">AJ42+AJ51</f>
        <v>-8958.03629973334</v>
      </c>
      <c r="AK52" s="70" t="n">
        <f aca="false">AK42+AK51</f>
        <v>-8958.03629973334</v>
      </c>
      <c r="AL52" s="70" t="n">
        <f aca="false">AL42+AL51</f>
        <v>-4669.18803573334</v>
      </c>
      <c r="AM52" s="70" t="n">
        <f aca="false">AM42+AM51</f>
        <v>-9703.51814753067</v>
      </c>
      <c r="AN52" s="70" t="n">
        <f aca="false">AN42+AN51</f>
        <v>-9703.51814753067</v>
      </c>
      <c r="AO52" s="70" t="n">
        <f aca="false">AO42+AO51</f>
        <v>-9703.51814753067</v>
      </c>
      <c r="AP52" s="70" t="n">
        <f aca="false">AP42+AP51</f>
        <v>-9703.51814753067</v>
      </c>
      <c r="AQ52" s="70" t="n">
        <f aca="false">AQ42+AQ51</f>
        <v>-9703.51814753067</v>
      </c>
      <c r="AR52" s="70" t="n">
        <f aca="false">AR42+AR51</f>
        <v>-5395.08555449067</v>
      </c>
      <c r="AS52" s="70" t="n">
        <f aca="false">AS42+AS51</f>
        <v>-5395.08555449067</v>
      </c>
      <c r="AT52" s="70" t="n">
        <f aca="false">AT42+AT51</f>
        <v>-5395.08555449067</v>
      </c>
      <c r="AU52" s="70" t="n">
        <f aca="false">AU42+AU51</f>
        <v>-9703.51814753067</v>
      </c>
      <c r="AV52" s="70" t="n">
        <f aca="false">AV42+AV51</f>
        <v>-9703.51814753067</v>
      </c>
      <c r="AW52" s="70" t="n">
        <f aca="false">AW42+AW51</f>
        <v>-9703.51814753067</v>
      </c>
      <c r="AX52" s="70" t="n">
        <f aca="false">AX42+AX51</f>
        <v>-5395.08555449067</v>
      </c>
      <c r="AY52" s="70" t="n">
        <f aca="false">AY42+AY51</f>
        <v>-10661.542253198</v>
      </c>
      <c r="AZ52" s="70" t="n">
        <f aca="false">AZ42+AZ51</f>
        <v>-10661.542253198</v>
      </c>
      <c r="BA52" s="70" t="n">
        <f aca="false">BA42+BA51</f>
        <v>-10661.542253198</v>
      </c>
      <c r="BB52" s="70" t="n">
        <f aca="false">BB42+BB51</f>
        <v>-10661.542253198</v>
      </c>
      <c r="BC52" s="70" t="n">
        <f aca="false">BC42+BC51</f>
        <v>-10661.542253198</v>
      </c>
      <c r="BD52" s="70" t="n">
        <f aca="false">BD42+BD51</f>
        <v>-6334.26165397158</v>
      </c>
      <c r="BE52" s="70" t="n">
        <f aca="false">BE42+BE51</f>
        <v>-6334.26165397158</v>
      </c>
      <c r="BF52" s="70" t="n">
        <f aca="false">BF42+BF51</f>
        <v>-6334.26165397158</v>
      </c>
      <c r="BG52" s="70" t="n">
        <f aca="false">BG42+BG51</f>
        <v>-10661.542253198</v>
      </c>
      <c r="BH52" s="70" t="n">
        <f aca="false">BH42+BH51</f>
        <v>-10661.542253198</v>
      </c>
      <c r="BI52" s="70" t="n">
        <f aca="false">BI42+BI51</f>
        <v>-10661.542253198</v>
      </c>
      <c r="BJ52" s="70" t="n">
        <f aca="false">BJ42+BJ51</f>
        <v>-6334.26165397158</v>
      </c>
    </row>
    <row r="54" customFormat="false" ht="15.75" hidden="false" customHeight="true" outlineLevel="0" collapsed="false">
      <c r="A54" s="7" t="s">
        <v>428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4" t="s">
        <v>79</v>
      </c>
      <c r="C55" s="75" t="n">
        <f aca="false">C52+C72</f>
        <v>-31484.9425333333</v>
      </c>
      <c r="D55" s="75" t="n">
        <f aca="false">D52+D72</f>
        <v>-29975.8357333333</v>
      </c>
      <c r="E55" s="75" t="n">
        <f aca="false">E52+E72</f>
        <v>-28466.7289333333</v>
      </c>
      <c r="F55" s="75" t="n">
        <f aca="false">F52+F72</f>
        <v>-26957.6221333333</v>
      </c>
      <c r="G55" s="75" t="n">
        <f aca="false">G52+G72</f>
        <v>-25448.5153333333</v>
      </c>
      <c r="H55" s="75" t="n">
        <f aca="false">H52+H72</f>
        <v>-21603.2065333333</v>
      </c>
      <c r="I55" s="75" t="n">
        <f aca="false">I52+I72</f>
        <v>-19881.7177333333</v>
      </c>
      <c r="J55" s="75" t="n">
        <f aca="false">J52+J72</f>
        <v>-18160.2289333333</v>
      </c>
      <c r="K55" s="75" t="n">
        <f aca="false">K52+K72</f>
        <v>-19412.0881333333</v>
      </c>
      <c r="L55" s="75" t="n">
        <f aca="false">L52+L72</f>
        <v>-17902.9813333333</v>
      </c>
      <c r="M55" s="75" t="n">
        <f aca="false">M52+M72</f>
        <v>-16393.8745333333</v>
      </c>
      <c r="N55" s="75" t="n">
        <f aca="false">N52+N72</f>
        <v>-11274.2737333333</v>
      </c>
      <c r="O55" s="75" t="n">
        <f aca="false">O52+O72</f>
        <v>-13596.3719093333</v>
      </c>
      <c r="P55" s="75" t="n">
        <f aca="false">P52+P72</f>
        <v>-12079.1379413333</v>
      </c>
      <c r="Q55" s="75" t="n">
        <f aca="false">Q52+Q72</f>
        <v>-10561.9039733333</v>
      </c>
      <c r="R55" s="75" t="n">
        <f aca="false">R52+R72</f>
        <v>-10561.9039733333</v>
      </c>
      <c r="S55" s="75" t="n">
        <f aca="false">S52+S72</f>
        <v>-10561.9039733333</v>
      </c>
      <c r="T55" s="75" t="n">
        <f aca="false">T52+T72</f>
        <v>-6293.33357333333</v>
      </c>
      <c r="U55" s="75" t="n">
        <f aca="false">U52+U72</f>
        <v>-6293.33357333333</v>
      </c>
      <c r="V55" s="75" t="n">
        <f aca="false">V52+V72</f>
        <v>-6293.33357333333</v>
      </c>
      <c r="W55" s="75" t="n">
        <f aca="false">W52+W72</f>
        <v>-10561.9039733333</v>
      </c>
      <c r="X55" s="75" t="n">
        <f aca="false">X52+X72</f>
        <v>-10561.9039733333</v>
      </c>
      <c r="Y55" s="75" t="n">
        <f aca="false">Y52+Y72</f>
        <v>-10561.9039733333</v>
      </c>
      <c r="Z55" s="75" t="n">
        <f aca="false">Z52+Z72</f>
        <v>-6293.33357333333</v>
      </c>
      <c r="AA55" s="75" t="n">
        <f aca="false">AA52+AA72</f>
        <v>-11135.1196330667</v>
      </c>
      <c r="AB55" s="75" t="n">
        <f aca="false">AB52+AB72</f>
        <v>-11135.1196330667</v>
      </c>
      <c r="AC55" s="75" t="n">
        <f aca="false">AC52+AC72</f>
        <v>-11135.1196330667</v>
      </c>
      <c r="AD55" s="75" t="n">
        <f aca="false">AD52+AD72</f>
        <v>-11135.1196330667</v>
      </c>
      <c r="AE55" s="75" t="n">
        <f aca="false">AE52+AE72</f>
        <v>-11135.1196330667</v>
      </c>
      <c r="AF55" s="75" t="n">
        <f aca="false">AF52+AF72</f>
        <v>-6846.27136906667</v>
      </c>
      <c r="AG55" s="75" t="n">
        <f aca="false">AG52+AG72</f>
        <v>-6846.27136906667</v>
      </c>
      <c r="AH55" s="75" t="n">
        <f aca="false">AH52+AH72</f>
        <v>-6846.27136906667</v>
      </c>
      <c r="AI55" s="75" t="n">
        <f aca="false">AI52+AI72</f>
        <v>-11135.1196330667</v>
      </c>
      <c r="AJ55" s="75" t="n">
        <f aca="false">AJ52+AJ72</f>
        <v>-11135.1196330667</v>
      </c>
      <c r="AK55" s="75" t="n">
        <f aca="false">AK52+AK72</f>
        <v>-11135.1196330667</v>
      </c>
      <c r="AL55" s="75" t="n">
        <f aca="false">AL52+AL72</f>
        <v>-6846.27136906667</v>
      </c>
      <c r="AM55" s="75" t="n">
        <f aca="false">AM52+AM72</f>
        <v>-11984.7681475307</v>
      </c>
      <c r="AN55" s="75" t="n">
        <f aca="false">AN52+AN72</f>
        <v>-11984.7681475307</v>
      </c>
      <c r="AO55" s="75" t="n">
        <f aca="false">AO52+AO72</f>
        <v>-11984.7681475307</v>
      </c>
      <c r="AP55" s="75" t="n">
        <f aca="false">AP52+AP72</f>
        <v>-11984.7681475307</v>
      </c>
      <c r="AQ55" s="75" t="n">
        <f aca="false">AQ52+AQ72</f>
        <v>-11984.7681475307</v>
      </c>
      <c r="AR55" s="75" t="n">
        <f aca="false">AR52+AR72</f>
        <v>-7676.33555449067</v>
      </c>
      <c r="AS55" s="75" t="n">
        <f aca="false">AS52+AS72</f>
        <v>-7676.33555449067</v>
      </c>
      <c r="AT55" s="75" t="n">
        <f aca="false">AT52+AT72</f>
        <v>-7676.33555449067</v>
      </c>
      <c r="AU55" s="75" t="n">
        <f aca="false">AU52+AU72</f>
        <v>-11984.7681475307</v>
      </c>
      <c r="AV55" s="75" t="n">
        <f aca="false">AV52+AV72</f>
        <v>-11984.7681475307</v>
      </c>
      <c r="AW55" s="75" t="n">
        <f aca="false">AW52+AW72</f>
        <v>-11984.7681475307</v>
      </c>
      <c r="AX55" s="75" t="n">
        <f aca="false">AX52+AX72</f>
        <v>-7676.33555449067</v>
      </c>
      <c r="AY55" s="75" t="n">
        <f aca="false">AY52+AY72</f>
        <v>-13046.9589198646</v>
      </c>
      <c r="AZ55" s="75" t="n">
        <f aca="false">AZ52+AZ72</f>
        <v>-13046.9589198646</v>
      </c>
      <c r="BA55" s="75" t="n">
        <f aca="false">BA52+BA72</f>
        <v>-13046.9589198646</v>
      </c>
      <c r="BB55" s="75" t="n">
        <f aca="false">BB52+BB72</f>
        <v>-13046.9589198646</v>
      </c>
      <c r="BC55" s="75" t="n">
        <f aca="false">BC52+BC72</f>
        <v>-13046.9589198646</v>
      </c>
      <c r="BD55" s="75" t="n">
        <f aca="false">BD52+BD72</f>
        <v>-8719.67832063825</v>
      </c>
      <c r="BE55" s="75" t="n">
        <f aca="false">BE52+BE72</f>
        <v>-8719.67832063825</v>
      </c>
      <c r="BF55" s="75" t="n">
        <f aca="false">BF52+BF72</f>
        <v>-8719.67832063825</v>
      </c>
      <c r="BG55" s="75" t="n">
        <f aca="false">BG52+BG72</f>
        <v>-13046.9589198646</v>
      </c>
      <c r="BH55" s="75" t="n">
        <f aca="false">BH52+BH72</f>
        <v>-13046.9589198646</v>
      </c>
      <c r="BI55" s="75" t="n">
        <f aca="false">BI52+BI72</f>
        <v>-13046.9589198646</v>
      </c>
      <c r="BJ55" s="75" t="n">
        <f aca="false">BJ52+BJ72</f>
        <v>-8719.67832063825</v>
      </c>
    </row>
    <row r="56" customFormat="false" ht="15" hidden="false" customHeight="false" outlineLevel="0" collapsed="false">
      <c r="A56" s="6" t="s">
        <v>429</v>
      </c>
      <c r="C56" s="69" t="n">
        <f aca="false">-(C77+C78+C80)/2*Inputs!$B$73/12</f>
        <v>-750</v>
      </c>
      <c r="D56" s="69" t="n">
        <f aca="false">-(D77+D78+D80)/2*Inputs!$B$73/12</f>
        <v>-743.75</v>
      </c>
      <c r="E56" s="69" t="n">
        <f aca="false">-(E77+E78+E80)/2*Inputs!$B$73/12</f>
        <v>-731.25</v>
      </c>
      <c r="F56" s="69" t="n">
        <f aca="false">-(F77+F78+F80)/2*Inputs!$B$73/12</f>
        <v>-718.75</v>
      </c>
      <c r="G56" s="69" t="n">
        <f aca="false">-(G77+G78+G80)/2*Inputs!$B$73/12</f>
        <v>-706.25</v>
      </c>
      <c r="H56" s="69" t="n">
        <f aca="false">-(H77+H78+H80)/2*Inputs!$B$73/12</f>
        <v>-693.75</v>
      </c>
      <c r="I56" s="69" t="n">
        <f aca="false">-(I77+I78+I80)/2*Inputs!$B$73/12</f>
        <v>-681.25</v>
      </c>
      <c r="J56" s="69" t="n">
        <f aca="false">-(J77+J78+J80)/2*Inputs!$B$73/12</f>
        <v>-668.75</v>
      </c>
      <c r="K56" s="69" t="n">
        <f aca="false">-(K77+K78+K80)/2*Inputs!$B$73/12</f>
        <v>-656.25</v>
      </c>
      <c r="L56" s="69" t="n">
        <f aca="false">-(L77+L78+L80)/2*Inputs!$B$73/12</f>
        <v>-643.75</v>
      </c>
      <c r="M56" s="69" t="n">
        <f aca="false">-(M77+M78+M80)/2*Inputs!$B$73/12</f>
        <v>-631.25</v>
      </c>
      <c r="N56" s="69" t="n">
        <f aca="false">-(N77+N78+N80)/2*Inputs!$B$73/12</f>
        <v>-618.75</v>
      </c>
      <c r="O56" s="69" t="n">
        <f aca="false">-(O77+O78+O80)/2*Inputs!$B$73/12</f>
        <v>-606.25</v>
      </c>
      <c r="P56" s="69" t="n">
        <f aca="false">-(P77+P78+P80)/2*Inputs!$B$73/12</f>
        <v>-593.749999999999</v>
      </c>
      <c r="Q56" s="69" t="n">
        <f aca="false">-(Q77+Q78+Q80)/2*Inputs!$B$73/12</f>
        <v>-581.25</v>
      </c>
      <c r="R56" s="69" t="n">
        <f aca="false">-(R77+R78+R80)/2*Inputs!$B$73/12</f>
        <v>-568.749999999999</v>
      </c>
      <c r="S56" s="69" t="n">
        <f aca="false">-(S77+S78+S80)/2*Inputs!$B$73/12</f>
        <v>-556.249999999999</v>
      </c>
      <c r="T56" s="69" t="n">
        <f aca="false">-(T77+T78+T80)/2*Inputs!$B$73/12</f>
        <v>-543.749999999999</v>
      </c>
      <c r="U56" s="69" t="n">
        <f aca="false">-(U77+U78+U80)/2*Inputs!$B$73/12</f>
        <v>-531.249999999999</v>
      </c>
      <c r="V56" s="69" t="n">
        <f aca="false">-(V77+V78+V80)/2*Inputs!$B$73/12</f>
        <v>-518.749999999999</v>
      </c>
      <c r="W56" s="69" t="n">
        <f aca="false">-(W77+W78+W80)/2*Inputs!$B$73/12</f>
        <v>-506.249999999999</v>
      </c>
      <c r="X56" s="69" t="n">
        <f aca="false">-(X77+X78+X80)/2*Inputs!$B$73/12</f>
        <v>-493.749999999999</v>
      </c>
      <c r="Y56" s="69" t="n">
        <f aca="false">-(Y77+Y78+Y80)/2*Inputs!$B$73/12</f>
        <v>-481.249999999999</v>
      </c>
      <c r="Z56" s="69" t="n">
        <f aca="false">-(Z77+Z78+Z80)/2*Inputs!$B$73/12</f>
        <v>-468.749999999999</v>
      </c>
      <c r="AA56" s="69" t="n">
        <f aca="false">-(AA77+AA78+AA80)/2*Inputs!$B$73/12</f>
        <v>-456.249999999999</v>
      </c>
      <c r="AB56" s="69" t="n">
        <f aca="false">-(AB77+AB78+AB80)/2*Inputs!$B$73/12</f>
        <v>-443.749999999999</v>
      </c>
      <c r="AC56" s="69" t="n">
        <f aca="false">-(AC77+AC78+AC80)/2*Inputs!$B$73/12</f>
        <v>-431.249999999999</v>
      </c>
      <c r="AD56" s="69" t="n">
        <f aca="false">-(AD77+AD78+AD80)/2*Inputs!$B$73/12</f>
        <v>-418.749999999999</v>
      </c>
      <c r="AE56" s="69" t="n">
        <f aca="false">-(AE77+AE78+AE80)/2*Inputs!$B$73/12</f>
        <v>-406.249999999999</v>
      </c>
      <c r="AF56" s="69" t="n">
        <f aca="false">-(AF77+AF78+AF80)/2*Inputs!$B$73/12</f>
        <v>-393.75</v>
      </c>
      <c r="AG56" s="69" t="n">
        <f aca="false">-(AG77+AG78+AG80)/2*Inputs!$B$73/12</f>
        <v>-381.249999999999</v>
      </c>
      <c r="AH56" s="69" t="n">
        <f aca="false">-(AH77+AH78+AH80)/2*Inputs!$B$73/12</f>
        <v>-368.75</v>
      </c>
      <c r="AI56" s="69" t="n">
        <f aca="false">-(AI77+AI78+AI80)/2*Inputs!$B$73/12</f>
        <v>-356.25</v>
      </c>
      <c r="AJ56" s="69" t="n">
        <f aca="false">-(AJ77+AJ78+AJ80)/2*Inputs!$B$73/12</f>
        <v>-343.75</v>
      </c>
      <c r="AK56" s="69" t="n">
        <f aca="false">-(AK77+AK78+AK80)/2*Inputs!$B$73/12</f>
        <v>-331.25</v>
      </c>
      <c r="AL56" s="69" t="n">
        <f aca="false">-(AL77+AL78+AL80)/2*Inputs!$B$73/12</f>
        <v>-318.75</v>
      </c>
      <c r="AM56" s="69" t="n">
        <f aca="false">-(AM77+AM78+AM80)/2*Inputs!$B$73/12</f>
        <v>-306.25</v>
      </c>
      <c r="AN56" s="69" t="n">
        <f aca="false">-(AN77+AN78+AN80)/2*Inputs!$B$73/12</f>
        <v>-293.75</v>
      </c>
      <c r="AO56" s="69" t="n">
        <f aca="false">-(AO77+AO78+AO80)/2*Inputs!$B$73/12</f>
        <v>-281.25</v>
      </c>
      <c r="AP56" s="69" t="n">
        <f aca="false">-(AP77+AP78+AP80)/2*Inputs!$B$73/12</f>
        <v>-268.75</v>
      </c>
      <c r="AQ56" s="69" t="n">
        <f aca="false">-(AQ77+AQ78+AQ80)/2*Inputs!$B$73/12</f>
        <v>-256.25</v>
      </c>
      <c r="AR56" s="69" t="n">
        <f aca="false">-(AR77+AR78+AR80)/2*Inputs!$B$73/12</f>
        <v>-243.75</v>
      </c>
      <c r="AS56" s="69" t="n">
        <f aca="false">-(AS77+AS78+AS80)/2*Inputs!$B$73/12</f>
        <v>-231.25</v>
      </c>
      <c r="AT56" s="69" t="n">
        <f aca="false">-(AT77+AT78+AT80)/2*Inputs!$B$73/12</f>
        <v>-218.75</v>
      </c>
      <c r="AU56" s="69" t="n">
        <f aca="false">-(AU77+AU78+AU80)/2*Inputs!$B$73/12</f>
        <v>-206.25</v>
      </c>
      <c r="AV56" s="69" t="n">
        <f aca="false">-(AV77+AV78+AV80)/2*Inputs!$B$73/12</f>
        <v>-193.75</v>
      </c>
      <c r="AW56" s="69" t="n">
        <f aca="false">-(AW77+AW78+AW80)/2*Inputs!$B$73/12</f>
        <v>-181.25</v>
      </c>
      <c r="AX56" s="69" t="n">
        <f aca="false">-(AX77+AX78+AX80)/2*Inputs!$B$73/12</f>
        <v>-168.75</v>
      </c>
      <c r="AY56" s="69" t="n">
        <f aca="false">-(AY77+AY78+AY80)/2*Inputs!$B$73/12</f>
        <v>-156.25</v>
      </c>
      <c r="AZ56" s="69" t="n">
        <f aca="false">-(AZ77+AZ78+AZ80)/2*Inputs!$B$73/12</f>
        <v>-143.75</v>
      </c>
      <c r="BA56" s="69" t="n">
        <f aca="false">-(BA77+BA78+BA80)/2*Inputs!$B$73/12</f>
        <v>-131.25</v>
      </c>
      <c r="BB56" s="69" t="n">
        <f aca="false">-(BB77+BB78+BB80)/2*Inputs!$B$73/12</f>
        <v>-118.75</v>
      </c>
      <c r="BC56" s="69" t="n">
        <f aca="false">-(BC77+BC78+BC80)/2*Inputs!$B$73/12</f>
        <v>-106.25</v>
      </c>
      <c r="BD56" s="69" t="n">
        <f aca="false">-(BD77+BD78+BD80)/2*Inputs!$B$73/12</f>
        <v>-93.7499999999996</v>
      </c>
      <c r="BE56" s="69" t="n">
        <f aca="false">-(BE77+BE78+BE80)/2*Inputs!$B$73/12</f>
        <v>-81.2499999999996</v>
      </c>
      <c r="BF56" s="69" t="n">
        <f aca="false">-(BF77+BF78+BF80)/2*Inputs!$B$73/12</f>
        <v>-68.7499999999996</v>
      </c>
      <c r="BG56" s="69" t="n">
        <f aca="false">-(BG77+BG78+BG80)/2*Inputs!$B$73/12</f>
        <v>-56.2499999999996</v>
      </c>
      <c r="BH56" s="69" t="n">
        <f aca="false">-(BH77+BH78+BH80)/2*Inputs!$B$73/12</f>
        <v>-43.7499999999996</v>
      </c>
      <c r="BI56" s="69" t="n">
        <f aca="false">-(BI77+BI78+BI80)/2*Inputs!$B$73/12</f>
        <v>-31.2499999999996</v>
      </c>
      <c r="BJ56" s="69" t="n">
        <f aca="false">-(BJ77+BJ78+BJ80)/2*Inputs!$B$73/12</f>
        <v>-18.7499999999996</v>
      </c>
    </row>
    <row r="57" customFormat="false" ht="15" hidden="false" customHeight="false" outlineLevel="0" collapsed="false">
      <c r="A57" s="115" t="s">
        <v>81</v>
      </c>
      <c r="C57" s="70" t="n">
        <f aca="false">C55+C56</f>
        <v>-32234.9425333333</v>
      </c>
      <c r="D57" s="70" t="n">
        <f aca="false">D55+D56</f>
        <v>-30719.5857333333</v>
      </c>
      <c r="E57" s="70" t="n">
        <f aca="false">E55+E56</f>
        <v>-29197.9789333333</v>
      </c>
      <c r="F57" s="70" t="n">
        <f aca="false">F55+F56</f>
        <v>-27676.3721333333</v>
      </c>
      <c r="G57" s="70" t="n">
        <f aca="false">G55+G56</f>
        <v>-26154.7653333333</v>
      </c>
      <c r="H57" s="70" t="n">
        <f aca="false">H55+H56</f>
        <v>-22296.9565333333</v>
      </c>
      <c r="I57" s="70" t="n">
        <f aca="false">I55+I56</f>
        <v>-20562.9677333333</v>
      </c>
      <c r="J57" s="70" t="n">
        <f aca="false">J55+J56</f>
        <v>-18828.9789333333</v>
      </c>
      <c r="K57" s="70" t="n">
        <f aca="false">K55+K56</f>
        <v>-20068.3381333333</v>
      </c>
      <c r="L57" s="70" t="n">
        <f aca="false">L55+L56</f>
        <v>-18546.7313333333</v>
      </c>
      <c r="M57" s="70" t="n">
        <f aca="false">M55+M56</f>
        <v>-17025.1245333333</v>
      </c>
      <c r="N57" s="70" t="n">
        <f aca="false">N55+N56</f>
        <v>-11893.0237333333</v>
      </c>
      <c r="O57" s="70" t="n">
        <f aca="false">O55+O56</f>
        <v>-14202.6219093333</v>
      </c>
      <c r="P57" s="70" t="n">
        <f aca="false">P55+P56</f>
        <v>-12672.8879413333</v>
      </c>
      <c r="Q57" s="70" t="n">
        <f aca="false">Q55+Q56</f>
        <v>-11143.1539733333</v>
      </c>
      <c r="R57" s="70" t="n">
        <f aca="false">R55+R56</f>
        <v>-11130.6539733333</v>
      </c>
      <c r="S57" s="70" t="n">
        <f aca="false">S55+S56</f>
        <v>-11118.1539733333</v>
      </c>
      <c r="T57" s="70" t="n">
        <f aca="false">T55+T56</f>
        <v>-6837.08357333333</v>
      </c>
      <c r="U57" s="70" t="n">
        <f aca="false">U55+U56</f>
        <v>-6824.58357333333</v>
      </c>
      <c r="V57" s="70" t="n">
        <f aca="false">V55+V56</f>
        <v>-6812.08357333333</v>
      </c>
      <c r="W57" s="70" t="n">
        <f aca="false">W55+W56</f>
        <v>-11068.1539733333</v>
      </c>
      <c r="X57" s="70" t="n">
        <f aca="false">X55+X56</f>
        <v>-11055.6539733333</v>
      </c>
      <c r="Y57" s="70" t="n">
        <f aca="false">Y55+Y56</f>
        <v>-11043.1539733333</v>
      </c>
      <c r="Z57" s="70" t="n">
        <f aca="false">Z55+Z56</f>
        <v>-6762.08357333333</v>
      </c>
      <c r="AA57" s="70" t="n">
        <f aca="false">AA55+AA56</f>
        <v>-11591.3696330667</v>
      </c>
      <c r="AB57" s="70" t="n">
        <f aca="false">AB55+AB56</f>
        <v>-11578.8696330667</v>
      </c>
      <c r="AC57" s="70" t="n">
        <f aca="false">AC55+AC56</f>
        <v>-11566.3696330667</v>
      </c>
      <c r="AD57" s="70" t="n">
        <f aca="false">AD55+AD56</f>
        <v>-11553.8696330667</v>
      </c>
      <c r="AE57" s="70" t="n">
        <f aca="false">AE55+AE56</f>
        <v>-11541.3696330667</v>
      </c>
      <c r="AF57" s="70" t="n">
        <f aca="false">AF55+AF56</f>
        <v>-7240.02136906667</v>
      </c>
      <c r="AG57" s="70" t="n">
        <f aca="false">AG55+AG56</f>
        <v>-7227.52136906667</v>
      </c>
      <c r="AH57" s="70" t="n">
        <f aca="false">AH55+AH56</f>
        <v>-7215.02136906667</v>
      </c>
      <c r="AI57" s="70" t="n">
        <f aca="false">AI55+AI56</f>
        <v>-11491.3696330667</v>
      </c>
      <c r="AJ57" s="70" t="n">
        <f aca="false">AJ55+AJ56</f>
        <v>-11478.8696330667</v>
      </c>
      <c r="AK57" s="70" t="n">
        <f aca="false">AK55+AK56</f>
        <v>-11466.3696330667</v>
      </c>
      <c r="AL57" s="70" t="n">
        <f aca="false">AL55+AL56</f>
        <v>-7165.02136906667</v>
      </c>
      <c r="AM57" s="70" t="n">
        <f aca="false">AM55+AM56</f>
        <v>-12291.0181475307</v>
      </c>
      <c r="AN57" s="70" t="n">
        <f aca="false">AN55+AN56</f>
        <v>-12278.5181475307</v>
      </c>
      <c r="AO57" s="70" t="n">
        <f aca="false">AO55+AO56</f>
        <v>-12266.0181475307</v>
      </c>
      <c r="AP57" s="70" t="n">
        <f aca="false">AP55+AP56</f>
        <v>-12253.5181475307</v>
      </c>
      <c r="AQ57" s="70" t="n">
        <f aca="false">AQ55+AQ56</f>
        <v>-12241.0181475307</v>
      </c>
      <c r="AR57" s="70" t="n">
        <f aca="false">AR55+AR56</f>
        <v>-7920.08555449067</v>
      </c>
      <c r="AS57" s="70" t="n">
        <f aca="false">AS55+AS56</f>
        <v>-7907.58555449067</v>
      </c>
      <c r="AT57" s="70" t="n">
        <f aca="false">AT55+AT56</f>
        <v>-7895.08555449067</v>
      </c>
      <c r="AU57" s="70" t="n">
        <f aca="false">AU55+AU56</f>
        <v>-12191.0181475307</v>
      </c>
      <c r="AV57" s="70" t="n">
        <f aca="false">AV55+AV56</f>
        <v>-12178.5181475307</v>
      </c>
      <c r="AW57" s="70" t="n">
        <f aca="false">AW55+AW56</f>
        <v>-12166.0181475307</v>
      </c>
      <c r="AX57" s="70" t="n">
        <f aca="false">AX55+AX56</f>
        <v>-7845.08555449067</v>
      </c>
      <c r="AY57" s="70" t="n">
        <f aca="false">AY55+AY56</f>
        <v>-13203.2089198646</v>
      </c>
      <c r="AZ57" s="70" t="n">
        <f aca="false">AZ55+AZ56</f>
        <v>-13190.7089198646</v>
      </c>
      <c r="BA57" s="70" t="n">
        <f aca="false">BA55+BA56</f>
        <v>-13178.2089198646</v>
      </c>
      <c r="BB57" s="70" t="n">
        <f aca="false">BB55+BB56</f>
        <v>-13165.7089198646</v>
      </c>
      <c r="BC57" s="70" t="n">
        <f aca="false">BC55+BC56</f>
        <v>-13153.2089198646</v>
      </c>
      <c r="BD57" s="70" t="n">
        <f aca="false">BD55+BD56</f>
        <v>-8813.42832063825</v>
      </c>
      <c r="BE57" s="70" t="n">
        <f aca="false">BE55+BE56</f>
        <v>-8800.92832063825</v>
      </c>
      <c r="BF57" s="70" t="n">
        <f aca="false">BF55+BF56</f>
        <v>-8788.42832063825</v>
      </c>
      <c r="BG57" s="70" t="n">
        <f aca="false">BG55+BG56</f>
        <v>-13103.2089198646</v>
      </c>
      <c r="BH57" s="70" t="n">
        <f aca="false">BH55+BH56</f>
        <v>-13090.7089198646</v>
      </c>
      <c r="BI57" s="70" t="n">
        <f aca="false">BI55+BI56</f>
        <v>-13078.2089198646</v>
      </c>
      <c r="BJ57" s="70" t="n">
        <f aca="false">BJ55+BJ56</f>
        <v>-8738.42832063825</v>
      </c>
    </row>
    <row r="58" customFormat="false" ht="15" hidden="false" customHeight="false" outlineLevel="0" collapsed="false">
      <c r="A58" s="118" t="s">
        <v>430</v>
      </c>
      <c r="C58" s="69" t="n">
        <f aca="false">C57</f>
        <v>-32234.9425333333</v>
      </c>
      <c r="D58" s="69" t="n">
        <f aca="false">C58+D57</f>
        <v>-62954.5282666667</v>
      </c>
      <c r="E58" s="69" t="n">
        <f aca="false">D58+E57</f>
        <v>-92152.5072</v>
      </c>
      <c r="F58" s="69" t="n">
        <f aca="false">E58+F57</f>
        <v>-119828.879333333</v>
      </c>
      <c r="G58" s="69" t="n">
        <f aca="false">F58+G57</f>
        <v>-145983.644666667</v>
      </c>
      <c r="H58" s="69" t="n">
        <f aca="false">G58+H57</f>
        <v>-168280.6012</v>
      </c>
      <c r="I58" s="69" t="n">
        <f aca="false">H58+I57</f>
        <v>-188843.568933333</v>
      </c>
      <c r="J58" s="69" t="n">
        <f aca="false">I58+J57</f>
        <v>-207672.547866667</v>
      </c>
      <c r="K58" s="69" t="n">
        <f aca="false">J58+K57</f>
        <v>-227740.886</v>
      </c>
      <c r="L58" s="69" t="n">
        <f aca="false">K58+L57</f>
        <v>-246287.617333333</v>
      </c>
      <c r="M58" s="69" t="n">
        <f aca="false">L58+M57</f>
        <v>-263312.741866667</v>
      </c>
      <c r="N58" s="69" t="n">
        <f aca="false">M58+N57</f>
        <v>-275205.7656</v>
      </c>
      <c r="O58" s="69" t="n">
        <f aca="false">N58+O57</f>
        <v>-289408.387509333</v>
      </c>
      <c r="P58" s="69" t="n">
        <f aca="false">O58+P57</f>
        <v>-302081.275450667</v>
      </c>
      <c r="Q58" s="69" t="n">
        <f aca="false">P58+Q57</f>
        <v>-313224.429424</v>
      </c>
      <c r="R58" s="69" t="n">
        <f aca="false">Q58+R57</f>
        <v>-324355.083397333</v>
      </c>
      <c r="S58" s="69" t="n">
        <f aca="false">R58+S57</f>
        <v>-335473.237370667</v>
      </c>
      <c r="T58" s="69" t="n">
        <f aca="false">S58+T57</f>
        <v>-342310.320944</v>
      </c>
      <c r="U58" s="69" t="n">
        <f aca="false">T58+U57</f>
        <v>-349134.904517333</v>
      </c>
      <c r="V58" s="69" t="n">
        <f aca="false">U58+V57</f>
        <v>-355946.988090667</v>
      </c>
      <c r="W58" s="69" t="n">
        <f aca="false">V58+W57</f>
        <v>-367015.142064</v>
      </c>
      <c r="X58" s="69" t="n">
        <f aca="false">W58+X57</f>
        <v>-378070.796037333</v>
      </c>
      <c r="Y58" s="69" t="n">
        <f aca="false">X58+Y57</f>
        <v>-389113.950010667</v>
      </c>
      <c r="Z58" s="69" t="n">
        <f aca="false">Y58+Z57</f>
        <v>-395876.033584</v>
      </c>
      <c r="AA58" s="69" t="n">
        <f aca="false">Z58+AA57</f>
        <v>-407467.403217067</v>
      </c>
      <c r="AB58" s="69" t="n">
        <f aca="false">AA58+AB57</f>
        <v>-419046.272850133</v>
      </c>
      <c r="AC58" s="69" t="n">
        <f aca="false">AB58+AC57</f>
        <v>-430612.6424832</v>
      </c>
      <c r="AD58" s="69" t="n">
        <f aca="false">AC58+AD57</f>
        <v>-442166.512116267</v>
      </c>
      <c r="AE58" s="69" t="n">
        <f aca="false">AD58+AE57</f>
        <v>-453707.881749333</v>
      </c>
      <c r="AF58" s="69" t="n">
        <f aca="false">AE58+AF57</f>
        <v>-460947.9031184</v>
      </c>
      <c r="AG58" s="69" t="n">
        <f aca="false">AF58+AG57</f>
        <v>-468175.424487467</v>
      </c>
      <c r="AH58" s="69" t="n">
        <f aca="false">AG58+AH57</f>
        <v>-475390.445856533</v>
      </c>
      <c r="AI58" s="69" t="n">
        <f aca="false">AH58+AI57</f>
        <v>-486881.8154896</v>
      </c>
      <c r="AJ58" s="69" t="n">
        <f aca="false">AI58+AJ57</f>
        <v>-498360.685122667</v>
      </c>
      <c r="AK58" s="69" t="n">
        <f aca="false">AJ58+AK57</f>
        <v>-509827.054755733</v>
      </c>
      <c r="AL58" s="69" t="n">
        <f aca="false">AK58+AL57</f>
        <v>-516992.0761248</v>
      </c>
      <c r="AM58" s="69" t="n">
        <f aca="false">AL58+AM57</f>
        <v>-529283.094272331</v>
      </c>
      <c r="AN58" s="69" t="n">
        <f aca="false">AM58+AN57</f>
        <v>-541561.612419861</v>
      </c>
      <c r="AO58" s="69" t="n">
        <f aca="false">AN58+AO57</f>
        <v>-553827.630567392</v>
      </c>
      <c r="AP58" s="69" t="n">
        <f aca="false">AO58+AP57</f>
        <v>-566081.148714923</v>
      </c>
      <c r="AQ58" s="69" t="n">
        <f aca="false">AP58+AQ57</f>
        <v>-578322.166862453</v>
      </c>
      <c r="AR58" s="69" t="n">
        <f aca="false">AQ58+AR57</f>
        <v>-586242.252416944</v>
      </c>
      <c r="AS58" s="69" t="n">
        <f aca="false">AR58+AS57</f>
        <v>-594149.837971435</v>
      </c>
      <c r="AT58" s="69" t="n">
        <f aca="false">AS58+AT57</f>
        <v>-602044.923525925</v>
      </c>
      <c r="AU58" s="69" t="n">
        <f aca="false">AT58+AU57</f>
        <v>-614235.941673456</v>
      </c>
      <c r="AV58" s="69" t="n">
        <f aca="false">AU58+AV57</f>
        <v>-626414.459820987</v>
      </c>
      <c r="AW58" s="69" t="n">
        <f aca="false">AV58+AW57</f>
        <v>-638580.477968517</v>
      </c>
      <c r="AX58" s="69" t="n">
        <f aca="false">AW58+AX57</f>
        <v>-646425.563523008</v>
      </c>
      <c r="AY58" s="69" t="n">
        <f aca="false">AX58+AY57</f>
        <v>-659628.772442872</v>
      </c>
      <c r="AZ58" s="69" t="n">
        <f aca="false">AY58+AZ57</f>
        <v>-672819.481362737</v>
      </c>
      <c r="BA58" s="69" t="n">
        <f aca="false">AZ58+BA57</f>
        <v>-685997.690282602</v>
      </c>
      <c r="BB58" s="69" t="n">
        <f aca="false">BA58+BB57</f>
        <v>-699163.399202466</v>
      </c>
      <c r="BC58" s="69" t="n">
        <f aca="false">BB58+BC57</f>
        <v>-712316.608122331</v>
      </c>
      <c r="BD58" s="69" t="n">
        <f aca="false">BC58+BD57</f>
        <v>-721130.036442969</v>
      </c>
      <c r="BE58" s="69" t="n">
        <f aca="false">BD58+BE57</f>
        <v>-729930.964763607</v>
      </c>
      <c r="BF58" s="69" t="n">
        <f aca="false">BE58+BF57</f>
        <v>-738719.393084246</v>
      </c>
      <c r="BG58" s="69" t="n">
        <f aca="false">BF58+BG57</f>
        <v>-751822.60200411</v>
      </c>
      <c r="BH58" s="69" t="n">
        <f aca="false">BG58+BH57</f>
        <v>-764913.310923975</v>
      </c>
      <c r="BI58" s="69" t="n">
        <f aca="false">BH58+BI57</f>
        <v>-777991.51984384</v>
      </c>
      <c r="BJ58" s="69" t="n">
        <f aca="false">BI58+BJ57</f>
        <v>-786729.948164478</v>
      </c>
    </row>
    <row r="59" customFormat="false" ht="15" hidden="false" customHeight="false" outlineLevel="0" collapsed="false">
      <c r="A59" s="118" t="s">
        <v>431</v>
      </c>
      <c r="C59" s="69" t="n">
        <f aca="false">MAX(0,C58)</f>
        <v>0</v>
      </c>
      <c r="D59" s="69" t="n">
        <f aca="false">MAX(C59,D58)</f>
        <v>0</v>
      </c>
      <c r="E59" s="69" t="n">
        <f aca="false">MAX(D59,E58)</f>
        <v>0</v>
      </c>
      <c r="F59" s="69" t="n">
        <f aca="false">MAX(E59,F58)</f>
        <v>0</v>
      </c>
      <c r="G59" s="69" t="n">
        <f aca="false">MAX(F59,G58)</f>
        <v>0</v>
      </c>
      <c r="H59" s="69" t="n">
        <f aca="false">MAX(G59,H58)</f>
        <v>0</v>
      </c>
      <c r="I59" s="69" t="n">
        <f aca="false">MAX(H59,I58)</f>
        <v>0</v>
      </c>
      <c r="J59" s="69" t="n">
        <f aca="false">MAX(I59,J58)</f>
        <v>0</v>
      </c>
      <c r="K59" s="69" t="n">
        <f aca="false">MAX(J59,K58)</f>
        <v>0</v>
      </c>
      <c r="L59" s="69" t="n">
        <f aca="false">MAX(K59,L58)</f>
        <v>0</v>
      </c>
      <c r="M59" s="69" t="n">
        <f aca="false">MAX(L59,M58)</f>
        <v>0</v>
      </c>
      <c r="N59" s="69" t="n">
        <f aca="false">MAX(M59,N58)</f>
        <v>0</v>
      </c>
      <c r="O59" s="69" t="n">
        <f aca="false">MAX(N59,O58)</f>
        <v>0</v>
      </c>
      <c r="P59" s="69" t="n">
        <f aca="false">MAX(O59,P58)</f>
        <v>0</v>
      </c>
      <c r="Q59" s="69" t="n">
        <f aca="false">MAX(P59,Q58)</f>
        <v>0</v>
      </c>
      <c r="R59" s="69" t="n">
        <f aca="false">MAX(Q59,R58)</f>
        <v>0</v>
      </c>
      <c r="S59" s="69" t="n">
        <f aca="false">MAX(R59,S58)</f>
        <v>0</v>
      </c>
      <c r="T59" s="69" t="n">
        <f aca="false">MAX(S59,T58)</f>
        <v>0</v>
      </c>
      <c r="U59" s="69" t="n">
        <f aca="false">MAX(T59,U58)</f>
        <v>0</v>
      </c>
      <c r="V59" s="69" t="n">
        <f aca="false">MAX(U59,V58)</f>
        <v>0</v>
      </c>
      <c r="W59" s="69" t="n">
        <f aca="false">MAX(V59,W58)</f>
        <v>0</v>
      </c>
      <c r="X59" s="69" t="n">
        <f aca="false">MAX(W59,X58)</f>
        <v>0</v>
      </c>
      <c r="Y59" s="69" t="n">
        <f aca="false">MAX(X59,Y58)</f>
        <v>0</v>
      </c>
      <c r="Z59" s="69" t="n">
        <f aca="false">MAX(Y59,Z58)</f>
        <v>0</v>
      </c>
      <c r="AA59" s="69" t="n">
        <f aca="false">MAX(Z59,AA58)</f>
        <v>0</v>
      </c>
      <c r="AB59" s="69" t="n">
        <f aca="false">MAX(AA59,AB58)</f>
        <v>0</v>
      </c>
      <c r="AC59" s="69" t="n">
        <f aca="false">MAX(AB59,AC58)</f>
        <v>0</v>
      </c>
      <c r="AD59" s="69" t="n">
        <f aca="false">MAX(AC59,AD58)</f>
        <v>0</v>
      </c>
      <c r="AE59" s="69" t="n">
        <f aca="false">MAX(AD59,AE58)</f>
        <v>0</v>
      </c>
      <c r="AF59" s="69" t="n">
        <f aca="false">MAX(AE59,AF58)</f>
        <v>0</v>
      </c>
      <c r="AG59" s="69" t="n">
        <f aca="false">MAX(AF59,AG58)</f>
        <v>0</v>
      </c>
      <c r="AH59" s="69" t="n">
        <f aca="false">MAX(AG59,AH58)</f>
        <v>0</v>
      </c>
      <c r="AI59" s="69" t="n">
        <f aca="false">MAX(AH59,AI58)</f>
        <v>0</v>
      </c>
      <c r="AJ59" s="69" t="n">
        <f aca="false">MAX(AI59,AJ58)</f>
        <v>0</v>
      </c>
      <c r="AK59" s="69" t="n">
        <f aca="false">MAX(AJ59,AK58)</f>
        <v>0</v>
      </c>
      <c r="AL59" s="69" t="n">
        <f aca="false">MAX(AK59,AL58)</f>
        <v>0</v>
      </c>
      <c r="AM59" s="69" t="n">
        <f aca="false">MAX(AL59,AM58)</f>
        <v>0</v>
      </c>
      <c r="AN59" s="69" t="n">
        <f aca="false">MAX(AM59,AN58)</f>
        <v>0</v>
      </c>
      <c r="AO59" s="69" t="n">
        <f aca="false">MAX(AN59,AO58)</f>
        <v>0</v>
      </c>
      <c r="AP59" s="69" t="n">
        <f aca="false">MAX(AO59,AP58)</f>
        <v>0</v>
      </c>
      <c r="AQ59" s="69" t="n">
        <f aca="false">MAX(AP59,AQ58)</f>
        <v>0</v>
      </c>
      <c r="AR59" s="69" t="n">
        <f aca="false">MAX(AQ59,AR58)</f>
        <v>0</v>
      </c>
      <c r="AS59" s="69" t="n">
        <f aca="false">MAX(AR59,AS58)</f>
        <v>0</v>
      </c>
      <c r="AT59" s="69" t="n">
        <f aca="false">MAX(AS59,AT58)</f>
        <v>0</v>
      </c>
      <c r="AU59" s="69" t="n">
        <f aca="false">MAX(AT59,AU58)</f>
        <v>0</v>
      </c>
      <c r="AV59" s="69" t="n">
        <f aca="false">MAX(AU59,AV58)</f>
        <v>0</v>
      </c>
      <c r="AW59" s="69" t="n">
        <f aca="false">MAX(AV59,AW58)</f>
        <v>0</v>
      </c>
      <c r="AX59" s="69" t="n">
        <f aca="false">MAX(AW59,AX58)</f>
        <v>0</v>
      </c>
      <c r="AY59" s="69" t="n">
        <f aca="false">MAX(AX59,AY58)</f>
        <v>0</v>
      </c>
      <c r="AZ59" s="69" t="n">
        <f aca="false">MAX(AY59,AZ58)</f>
        <v>0</v>
      </c>
      <c r="BA59" s="69" t="n">
        <f aca="false">MAX(AZ59,BA58)</f>
        <v>0</v>
      </c>
      <c r="BB59" s="69" t="n">
        <f aca="false">MAX(BA59,BB58)</f>
        <v>0</v>
      </c>
      <c r="BC59" s="69" t="n">
        <f aca="false">MAX(BB59,BC58)</f>
        <v>0</v>
      </c>
      <c r="BD59" s="69" t="n">
        <f aca="false">MAX(BC59,BD58)</f>
        <v>0</v>
      </c>
      <c r="BE59" s="69" t="n">
        <f aca="false">MAX(BD59,BE58)</f>
        <v>0</v>
      </c>
      <c r="BF59" s="69" t="n">
        <f aca="false">MAX(BE59,BF58)</f>
        <v>0</v>
      </c>
      <c r="BG59" s="69" t="n">
        <f aca="false">MAX(BF59,BG58)</f>
        <v>0</v>
      </c>
      <c r="BH59" s="69" t="n">
        <f aca="false">MAX(BG59,BH58)</f>
        <v>0</v>
      </c>
      <c r="BI59" s="69" t="n">
        <f aca="false">MAX(BH59,BI58)</f>
        <v>0</v>
      </c>
      <c r="BJ59" s="69" t="n">
        <f aca="false">MAX(BI59,BJ58)</f>
        <v>0</v>
      </c>
    </row>
    <row r="60" customFormat="false" ht="15" hidden="false" customHeight="false" outlineLevel="0" collapsed="false">
      <c r="A60" s="6" t="s">
        <v>82</v>
      </c>
      <c r="C60" s="69" t="n">
        <f aca="false">-C59*Inputs!$B$83</f>
        <v>-0</v>
      </c>
      <c r="D60" s="69" t="n">
        <f aca="false">-(D59-C59)*Inputs!$B$83</f>
        <v>-0</v>
      </c>
      <c r="E60" s="69" t="n">
        <f aca="false">-(E59-D59)*Inputs!$B$83</f>
        <v>-0</v>
      </c>
      <c r="F60" s="69" t="n">
        <f aca="false">-(F59-E59)*Inputs!$B$83</f>
        <v>-0</v>
      </c>
      <c r="G60" s="69" t="n">
        <f aca="false">-(G59-F59)*Inputs!$B$83</f>
        <v>-0</v>
      </c>
      <c r="H60" s="69" t="n">
        <f aca="false">-(H59-G59)*Inputs!$B$83</f>
        <v>-0</v>
      </c>
      <c r="I60" s="69" t="n">
        <f aca="false">-(I59-H59)*Inputs!$B$83</f>
        <v>-0</v>
      </c>
      <c r="J60" s="69" t="n">
        <f aca="false">-(J59-I59)*Inputs!$B$83</f>
        <v>-0</v>
      </c>
      <c r="K60" s="69" t="n">
        <f aca="false">-(K59-J59)*Inputs!$B$83</f>
        <v>-0</v>
      </c>
      <c r="L60" s="69" t="n">
        <f aca="false">-(L59-K59)*Inputs!$B$83</f>
        <v>-0</v>
      </c>
      <c r="M60" s="69" t="n">
        <f aca="false">-(M59-L59)*Inputs!$B$83</f>
        <v>-0</v>
      </c>
      <c r="N60" s="69" t="n">
        <f aca="false">-(N59-M59)*Inputs!$B$83</f>
        <v>-0</v>
      </c>
      <c r="O60" s="69" t="n">
        <f aca="false">-(O59-N59)*Inputs!$B$83</f>
        <v>-0</v>
      </c>
      <c r="P60" s="69" t="n">
        <f aca="false">-(P59-O59)*Inputs!$B$83</f>
        <v>-0</v>
      </c>
      <c r="Q60" s="69" t="n">
        <f aca="false">-(Q59-P59)*Inputs!$B$83</f>
        <v>-0</v>
      </c>
      <c r="R60" s="69" t="n">
        <f aca="false">-(R59-Q59)*Inputs!$B$83</f>
        <v>-0</v>
      </c>
      <c r="S60" s="69" t="n">
        <f aca="false">-(S59-R59)*Inputs!$B$83</f>
        <v>-0</v>
      </c>
      <c r="T60" s="69" t="n">
        <f aca="false">-(T59-S59)*Inputs!$B$83</f>
        <v>-0</v>
      </c>
      <c r="U60" s="69" t="n">
        <f aca="false">-(U59-T59)*Inputs!$B$83</f>
        <v>-0</v>
      </c>
      <c r="V60" s="69" t="n">
        <f aca="false">-(V59-U59)*Inputs!$B$83</f>
        <v>-0</v>
      </c>
      <c r="W60" s="69" t="n">
        <f aca="false">-(W59-V59)*Inputs!$B$83</f>
        <v>-0</v>
      </c>
      <c r="X60" s="69" t="n">
        <f aca="false">-(X59-W59)*Inputs!$B$83</f>
        <v>-0</v>
      </c>
      <c r="Y60" s="69" t="n">
        <f aca="false">-(Y59-X59)*Inputs!$B$83</f>
        <v>-0</v>
      </c>
      <c r="Z60" s="69" t="n">
        <f aca="false">-(Z59-Y59)*Inputs!$B$83</f>
        <v>-0</v>
      </c>
      <c r="AA60" s="69" t="n">
        <f aca="false">-(AA59-Z59)*Inputs!$B$83</f>
        <v>-0</v>
      </c>
      <c r="AB60" s="69" t="n">
        <f aca="false">-(AB59-AA59)*Inputs!$B$83</f>
        <v>-0</v>
      </c>
      <c r="AC60" s="69" t="n">
        <f aca="false">-(AC59-AB59)*Inputs!$B$83</f>
        <v>-0</v>
      </c>
      <c r="AD60" s="69" t="n">
        <f aca="false">-(AD59-AC59)*Inputs!$B$83</f>
        <v>-0</v>
      </c>
      <c r="AE60" s="69" t="n">
        <f aca="false">-(AE59-AD59)*Inputs!$B$83</f>
        <v>-0</v>
      </c>
      <c r="AF60" s="69" t="n">
        <f aca="false">-(AF59-AE59)*Inputs!$B$83</f>
        <v>-0</v>
      </c>
      <c r="AG60" s="69" t="n">
        <f aca="false">-(AG59-AF59)*Inputs!$B$83</f>
        <v>-0</v>
      </c>
      <c r="AH60" s="69" t="n">
        <f aca="false">-(AH59-AG59)*Inputs!$B$83</f>
        <v>-0</v>
      </c>
      <c r="AI60" s="69" t="n">
        <f aca="false">-(AI59-AH59)*Inputs!$B$83</f>
        <v>-0</v>
      </c>
      <c r="AJ60" s="69" t="n">
        <f aca="false">-(AJ59-AI59)*Inputs!$B$83</f>
        <v>-0</v>
      </c>
      <c r="AK60" s="69" t="n">
        <f aca="false">-(AK59-AJ59)*Inputs!$B$83</f>
        <v>-0</v>
      </c>
      <c r="AL60" s="69" t="n">
        <f aca="false">-(AL59-AK59)*Inputs!$B$83</f>
        <v>-0</v>
      </c>
      <c r="AM60" s="69" t="n">
        <f aca="false">-(AM59-AL59)*Inputs!$B$83</f>
        <v>-0</v>
      </c>
      <c r="AN60" s="69" t="n">
        <f aca="false">-(AN59-AM59)*Inputs!$B$83</f>
        <v>-0</v>
      </c>
      <c r="AO60" s="69" t="n">
        <f aca="false">-(AO59-AN59)*Inputs!$B$83</f>
        <v>-0</v>
      </c>
      <c r="AP60" s="69" t="n">
        <f aca="false">-(AP59-AO59)*Inputs!$B$83</f>
        <v>-0</v>
      </c>
      <c r="AQ60" s="69" t="n">
        <f aca="false">-(AQ59-AP59)*Inputs!$B$83</f>
        <v>-0</v>
      </c>
      <c r="AR60" s="69" t="n">
        <f aca="false">-(AR59-AQ59)*Inputs!$B$83</f>
        <v>-0</v>
      </c>
      <c r="AS60" s="69" t="n">
        <f aca="false">-(AS59-AR59)*Inputs!$B$83</f>
        <v>-0</v>
      </c>
      <c r="AT60" s="69" t="n">
        <f aca="false">-(AT59-AS59)*Inputs!$B$83</f>
        <v>-0</v>
      </c>
      <c r="AU60" s="69" t="n">
        <f aca="false">-(AU59-AT59)*Inputs!$B$83</f>
        <v>-0</v>
      </c>
      <c r="AV60" s="69" t="n">
        <f aca="false">-(AV59-AU59)*Inputs!$B$83</f>
        <v>-0</v>
      </c>
      <c r="AW60" s="69" t="n">
        <f aca="false">-(AW59-AV59)*Inputs!$B$83</f>
        <v>-0</v>
      </c>
      <c r="AX60" s="69" t="n">
        <f aca="false">-(AX59-AW59)*Inputs!$B$83</f>
        <v>-0</v>
      </c>
      <c r="AY60" s="69" t="n">
        <f aca="false">-(AY59-AX59)*Inputs!$B$83</f>
        <v>-0</v>
      </c>
      <c r="AZ60" s="69" t="n">
        <f aca="false">-(AZ59-AY59)*Inputs!$B$83</f>
        <v>-0</v>
      </c>
      <c r="BA60" s="69" t="n">
        <f aca="false">-(BA59-AZ59)*Inputs!$B$83</f>
        <v>-0</v>
      </c>
      <c r="BB60" s="69" t="n">
        <f aca="false">-(BB59-BA59)*Inputs!$B$83</f>
        <v>-0</v>
      </c>
      <c r="BC60" s="69" t="n">
        <f aca="false">-(BC59-BB59)*Inputs!$B$83</f>
        <v>-0</v>
      </c>
      <c r="BD60" s="69" t="n">
        <f aca="false">-(BD59-BC59)*Inputs!$B$83</f>
        <v>-0</v>
      </c>
      <c r="BE60" s="69" t="n">
        <f aca="false">-(BE59-BD59)*Inputs!$B$83</f>
        <v>-0</v>
      </c>
      <c r="BF60" s="69" t="n">
        <f aca="false">-(BF59-BE59)*Inputs!$B$83</f>
        <v>-0</v>
      </c>
      <c r="BG60" s="69" t="n">
        <f aca="false">-(BG59-BF59)*Inputs!$B$83</f>
        <v>-0</v>
      </c>
      <c r="BH60" s="69" t="n">
        <f aca="false">-(BH59-BG59)*Inputs!$B$83</f>
        <v>-0</v>
      </c>
      <c r="BI60" s="69" t="n">
        <f aca="false">-(BI59-BH59)*Inputs!$B$83</f>
        <v>-0</v>
      </c>
      <c r="BJ60" s="69" t="n">
        <f aca="false">-(BJ59-BI59)*Inputs!$B$83</f>
        <v>-0</v>
      </c>
    </row>
    <row r="61" customFormat="false" ht="15" hidden="false" customHeight="false" outlineLevel="0" collapsed="false">
      <c r="A61" s="115" t="s">
        <v>50</v>
      </c>
      <c r="C61" s="70" t="n">
        <f aca="false">C57+C60</f>
        <v>-32234.9425333333</v>
      </c>
      <c r="D61" s="70" t="n">
        <f aca="false">D57+D60</f>
        <v>-30719.5857333333</v>
      </c>
      <c r="E61" s="70" t="n">
        <f aca="false">E57+E60</f>
        <v>-29197.9789333333</v>
      </c>
      <c r="F61" s="70" t="n">
        <f aca="false">F57+F60</f>
        <v>-27676.3721333333</v>
      </c>
      <c r="G61" s="70" t="n">
        <f aca="false">G57+G60</f>
        <v>-26154.7653333333</v>
      </c>
      <c r="H61" s="70" t="n">
        <f aca="false">H57+H60</f>
        <v>-22296.9565333333</v>
      </c>
      <c r="I61" s="70" t="n">
        <f aca="false">I57+I60</f>
        <v>-20562.9677333333</v>
      </c>
      <c r="J61" s="70" t="n">
        <f aca="false">J57+J60</f>
        <v>-18828.9789333333</v>
      </c>
      <c r="K61" s="70" t="n">
        <f aca="false">K57+K60</f>
        <v>-20068.3381333333</v>
      </c>
      <c r="L61" s="70" t="n">
        <f aca="false">L57+L60</f>
        <v>-18546.7313333333</v>
      </c>
      <c r="M61" s="70" t="n">
        <f aca="false">M57+M60</f>
        <v>-17025.1245333333</v>
      </c>
      <c r="N61" s="70" t="n">
        <f aca="false">N57+N60</f>
        <v>-11893.0237333333</v>
      </c>
      <c r="O61" s="70" t="n">
        <f aca="false">O57+O60</f>
        <v>-14202.6219093333</v>
      </c>
      <c r="P61" s="70" t="n">
        <f aca="false">P57+P60</f>
        <v>-12672.8879413333</v>
      </c>
      <c r="Q61" s="70" t="n">
        <f aca="false">Q57+Q60</f>
        <v>-11143.1539733333</v>
      </c>
      <c r="R61" s="70" t="n">
        <f aca="false">R57+R60</f>
        <v>-11130.6539733333</v>
      </c>
      <c r="S61" s="70" t="n">
        <f aca="false">S57+S60</f>
        <v>-11118.1539733333</v>
      </c>
      <c r="T61" s="70" t="n">
        <f aca="false">T57+T60</f>
        <v>-6837.08357333333</v>
      </c>
      <c r="U61" s="70" t="n">
        <f aca="false">U57+U60</f>
        <v>-6824.58357333333</v>
      </c>
      <c r="V61" s="70" t="n">
        <f aca="false">V57+V60</f>
        <v>-6812.08357333333</v>
      </c>
      <c r="W61" s="70" t="n">
        <f aca="false">W57+W60</f>
        <v>-11068.1539733333</v>
      </c>
      <c r="X61" s="70" t="n">
        <f aca="false">X57+X60</f>
        <v>-11055.6539733333</v>
      </c>
      <c r="Y61" s="70" t="n">
        <f aca="false">Y57+Y60</f>
        <v>-11043.1539733333</v>
      </c>
      <c r="Z61" s="70" t="n">
        <f aca="false">Z57+Z60</f>
        <v>-6762.08357333333</v>
      </c>
      <c r="AA61" s="70" t="n">
        <f aca="false">AA57+AA60</f>
        <v>-11591.3696330667</v>
      </c>
      <c r="AB61" s="70" t="n">
        <f aca="false">AB57+AB60</f>
        <v>-11578.8696330667</v>
      </c>
      <c r="AC61" s="70" t="n">
        <f aca="false">AC57+AC60</f>
        <v>-11566.3696330667</v>
      </c>
      <c r="AD61" s="70" t="n">
        <f aca="false">AD57+AD60</f>
        <v>-11553.8696330667</v>
      </c>
      <c r="AE61" s="70" t="n">
        <f aca="false">AE57+AE60</f>
        <v>-11541.3696330667</v>
      </c>
      <c r="AF61" s="70" t="n">
        <f aca="false">AF57+AF60</f>
        <v>-7240.02136906667</v>
      </c>
      <c r="AG61" s="70" t="n">
        <f aca="false">AG57+AG60</f>
        <v>-7227.52136906667</v>
      </c>
      <c r="AH61" s="70" t="n">
        <f aca="false">AH57+AH60</f>
        <v>-7215.02136906667</v>
      </c>
      <c r="AI61" s="70" t="n">
        <f aca="false">AI57+AI60</f>
        <v>-11491.3696330667</v>
      </c>
      <c r="AJ61" s="70" t="n">
        <f aca="false">AJ57+AJ60</f>
        <v>-11478.8696330667</v>
      </c>
      <c r="AK61" s="70" t="n">
        <f aca="false">AK57+AK60</f>
        <v>-11466.3696330667</v>
      </c>
      <c r="AL61" s="70" t="n">
        <f aca="false">AL57+AL60</f>
        <v>-7165.02136906667</v>
      </c>
      <c r="AM61" s="70" t="n">
        <f aca="false">AM57+AM60</f>
        <v>-12291.0181475307</v>
      </c>
      <c r="AN61" s="70" t="n">
        <f aca="false">AN57+AN60</f>
        <v>-12278.5181475307</v>
      </c>
      <c r="AO61" s="70" t="n">
        <f aca="false">AO57+AO60</f>
        <v>-12266.0181475307</v>
      </c>
      <c r="AP61" s="70" t="n">
        <f aca="false">AP57+AP60</f>
        <v>-12253.5181475307</v>
      </c>
      <c r="AQ61" s="70" t="n">
        <f aca="false">AQ57+AQ60</f>
        <v>-12241.0181475307</v>
      </c>
      <c r="AR61" s="70" t="n">
        <f aca="false">AR57+AR60</f>
        <v>-7920.08555449067</v>
      </c>
      <c r="AS61" s="70" t="n">
        <f aca="false">AS57+AS60</f>
        <v>-7907.58555449067</v>
      </c>
      <c r="AT61" s="70" t="n">
        <f aca="false">AT57+AT60</f>
        <v>-7895.08555449067</v>
      </c>
      <c r="AU61" s="70" t="n">
        <f aca="false">AU57+AU60</f>
        <v>-12191.0181475307</v>
      </c>
      <c r="AV61" s="70" t="n">
        <f aca="false">AV57+AV60</f>
        <v>-12178.5181475307</v>
      </c>
      <c r="AW61" s="70" t="n">
        <f aca="false">AW57+AW60</f>
        <v>-12166.0181475307</v>
      </c>
      <c r="AX61" s="70" t="n">
        <f aca="false">AX57+AX60</f>
        <v>-7845.08555449067</v>
      </c>
      <c r="AY61" s="70" t="n">
        <f aca="false">AY57+AY60</f>
        <v>-13203.2089198646</v>
      </c>
      <c r="AZ61" s="70" t="n">
        <f aca="false">AZ57+AZ60</f>
        <v>-13190.7089198646</v>
      </c>
      <c r="BA61" s="70" t="n">
        <f aca="false">BA57+BA60</f>
        <v>-13178.2089198646</v>
      </c>
      <c r="BB61" s="70" t="n">
        <f aca="false">BB57+BB60</f>
        <v>-13165.7089198646</v>
      </c>
      <c r="BC61" s="70" t="n">
        <f aca="false">BC57+BC60</f>
        <v>-13153.2089198646</v>
      </c>
      <c r="BD61" s="70" t="n">
        <f aca="false">BD57+BD60</f>
        <v>-8813.42832063825</v>
      </c>
      <c r="BE61" s="70" t="n">
        <f aca="false">BE57+BE60</f>
        <v>-8800.92832063825</v>
      </c>
      <c r="BF61" s="70" t="n">
        <f aca="false">BF57+BF60</f>
        <v>-8788.42832063825</v>
      </c>
      <c r="BG61" s="70" t="n">
        <f aca="false">BG57+BG60</f>
        <v>-13103.2089198646</v>
      </c>
      <c r="BH61" s="70" t="n">
        <f aca="false">BH57+BH60</f>
        <v>-13090.7089198646</v>
      </c>
      <c r="BI61" s="70" t="n">
        <f aca="false">BI57+BI60</f>
        <v>-13078.2089198646</v>
      </c>
      <c r="BJ61" s="70" t="n">
        <f aca="false">BJ57+BJ60</f>
        <v>-8738.42832063825</v>
      </c>
    </row>
    <row r="63" customFormat="false" ht="15.75" hidden="false" customHeight="true" outlineLevel="0" collapsed="false">
      <c r="A63" s="7" t="s">
        <v>432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customFormat="false" ht="15" hidden="false" customHeight="false" outlineLevel="0" collapsed="false">
      <c r="A64" s="6" t="s">
        <v>433</v>
      </c>
      <c r="C64" s="69" t="n">
        <f aca="false">IF(C$6=1,Inputs!$B$14*Inputs!$B$48,0)</f>
        <v>24000</v>
      </c>
      <c r="D64" s="69" t="n">
        <f aca="false">IF(D$6=1,Inputs!$B$14*Inputs!$B$48,0)</f>
        <v>0</v>
      </c>
      <c r="E64" s="69" t="n">
        <f aca="false">IF(E$6=1,Inputs!$B$14*Inputs!$B$48,0)</f>
        <v>0</v>
      </c>
      <c r="F64" s="69" t="n">
        <f aca="false">IF(F$6=1,Inputs!$B$14*Inputs!$B$48,0)</f>
        <v>0</v>
      </c>
      <c r="G64" s="69" t="n">
        <f aca="false">IF(G$6=1,Inputs!$B$14*Inputs!$B$48,0)</f>
        <v>0</v>
      </c>
      <c r="H64" s="69" t="n">
        <f aca="false">IF(H$6=1,Inputs!$B$14*Inputs!$B$48,0)</f>
        <v>0</v>
      </c>
      <c r="I64" s="69" t="n">
        <f aca="false">IF(I$6=1,Inputs!$B$14*Inputs!$B$48,0)</f>
        <v>0</v>
      </c>
      <c r="J64" s="69" t="n">
        <f aca="false">IF(J$6=1,Inputs!$B$14*Inputs!$B$48,0)</f>
        <v>0</v>
      </c>
      <c r="K64" s="69" t="n">
        <f aca="false">IF(K$6=1,Inputs!$B$14*Inputs!$B$48,0)</f>
        <v>0</v>
      </c>
      <c r="L64" s="69" t="n">
        <f aca="false">IF(L$6=1,Inputs!$B$14*Inputs!$B$48,0)</f>
        <v>0</v>
      </c>
      <c r="M64" s="69" t="n">
        <f aca="false">IF(M$6=1,Inputs!$B$14*Inputs!$B$48,0)</f>
        <v>0</v>
      </c>
      <c r="N64" s="69" t="n">
        <f aca="false">IF(N$6=1,Inputs!$B$14*Inputs!$B$48,0)</f>
        <v>0</v>
      </c>
      <c r="O64" s="69" t="n">
        <f aca="false">IF(O$6=1,Inputs!$B$14*Inputs!$B$48,0)</f>
        <v>0</v>
      </c>
      <c r="P64" s="69" t="n">
        <f aca="false">IF(P$6=1,Inputs!$B$14*Inputs!$B$48,0)</f>
        <v>0</v>
      </c>
      <c r="Q64" s="69" t="n">
        <f aca="false">IF(Q$6=1,Inputs!$B$14*Inputs!$B$48,0)</f>
        <v>0</v>
      </c>
      <c r="R64" s="69" t="n">
        <f aca="false">IF(R$6=1,Inputs!$B$14*Inputs!$B$48,0)</f>
        <v>0</v>
      </c>
      <c r="S64" s="69" t="n">
        <f aca="false">IF(S$6=1,Inputs!$B$14*Inputs!$B$48,0)</f>
        <v>0</v>
      </c>
      <c r="T64" s="69" t="n">
        <f aca="false">IF(T$6=1,Inputs!$B$14*Inputs!$B$48,0)</f>
        <v>0</v>
      </c>
      <c r="U64" s="69" t="n">
        <f aca="false">IF(U$6=1,Inputs!$B$14*Inputs!$B$48,0)</f>
        <v>0</v>
      </c>
      <c r="V64" s="69" t="n">
        <f aca="false">IF(V$6=1,Inputs!$B$14*Inputs!$B$48,0)</f>
        <v>0</v>
      </c>
      <c r="W64" s="69" t="n">
        <f aca="false">IF(W$6=1,Inputs!$B$14*Inputs!$B$48,0)</f>
        <v>0</v>
      </c>
      <c r="X64" s="69" t="n">
        <f aca="false">IF(X$6=1,Inputs!$B$14*Inputs!$B$48,0)</f>
        <v>0</v>
      </c>
      <c r="Y64" s="69" t="n">
        <f aca="false">IF(Y$6=1,Inputs!$B$14*Inputs!$B$48,0)</f>
        <v>0</v>
      </c>
      <c r="Z64" s="69" t="n">
        <f aca="false">IF(Z$6=1,Inputs!$B$14*Inputs!$B$48,0)</f>
        <v>0</v>
      </c>
      <c r="AA64" s="69" t="n">
        <f aca="false">IF(AA$6=1,Inputs!$B$14*Inputs!$B$48,0)</f>
        <v>0</v>
      </c>
      <c r="AB64" s="69" t="n">
        <f aca="false">IF(AB$6=1,Inputs!$B$14*Inputs!$B$48,0)</f>
        <v>0</v>
      </c>
      <c r="AC64" s="69" t="n">
        <f aca="false">IF(AC$6=1,Inputs!$B$14*Inputs!$B$48,0)</f>
        <v>0</v>
      </c>
      <c r="AD64" s="69" t="n">
        <f aca="false">IF(AD$6=1,Inputs!$B$14*Inputs!$B$48,0)</f>
        <v>0</v>
      </c>
      <c r="AE64" s="69" t="n">
        <f aca="false">IF(AE$6=1,Inputs!$B$14*Inputs!$B$48,0)</f>
        <v>0</v>
      </c>
      <c r="AF64" s="69" t="n">
        <f aca="false">IF(AF$6=1,Inputs!$B$14*Inputs!$B$48,0)</f>
        <v>0</v>
      </c>
      <c r="AG64" s="69" t="n">
        <f aca="false">IF(AG$6=1,Inputs!$B$14*Inputs!$B$48,0)</f>
        <v>0</v>
      </c>
      <c r="AH64" s="69" t="n">
        <f aca="false">IF(AH$6=1,Inputs!$B$14*Inputs!$B$48,0)</f>
        <v>0</v>
      </c>
      <c r="AI64" s="69" t="n">
        <f aca="false">IF(AI$6=1,Inputs!$B$14*Inputs!$B$48,0)</f>
        <v>0</v>
      </c>
      <c r="AJ64" s="69" t="n">
        <f aca="false">IF(AJ$6=1,Inputs!$B$14*Inputs!$B$48,0)</f>
        <v>0</v>
      </c>
      <c r="AK64" s="69" t="n">
        <f aca="false">IF(AK$6=1,Inputs!$B$14*Inputs!$B$48,0)</f>
        <v>0</v>
      </c>
      <c r="AL64" s="69" t="n">
        <f aca="false">IF(AL$6=1,Inputs!$B$14*Inputs!$B$48,0)</f>
        <v>0</v>
      </c>
      <c r="AM64" s="69" t="n">
        <f aca="false">IF(AM$6=1,Inputs!$B$14*Inputs!$B$48,0)</f>
        <v>0</v>
      </c>
      <c r="AN64" s="69" t="n">
        <f aca="false">IF(AN$6=1,Inputs!$B$14*Inputs!$B$48,0)</f>
        <v>0</v>
      </c>
      <c r="AO64" s="69" t="n">
        <f aca="false">IF(AO$6=1,Inputs!$B$14*Inputs!$B$48,0)</f>
        <v>0</v>
      </c>
      <c r="AP64" s="69" t="n">
        <f aca="false">IF(AP$6=1,Inputs!$B$14*Inputs!$B$48,0)</f>
        <v>0</v>
      </c>
      <c r="AQ64" s="69" t="n">
        <f aca="false">IF(AQ$6=1,Inputs!$B$14*Inputs!$B$48,0)</f>
        <v>0</v>
      </c>
      <c r="AR64" s="69" t="n">
        <f aca="false">IF(AR$6=1,Inputs!$B$14*Inputs!$B$48,0)</f>
        <v>0</v>
      </c>
      <c r="AS64" s="69" t="n">
        <f aca="false">IF(AS$6=1,Inputs!$B$14*Inputs!$B$48,0)</f>
        <v>0</v>
      </c>
      <c r="AT64" s="69" t="n">
        <f aca="false">IF(AT$6=1,Inputs!$B$14*Inputs!$B$48,0)</f>
        <v>0</v>
      </c>
      <c r="AU64" s="69" t="n">
        <f aca="false">IF(AU$6=1,Inputs!$B$14*Inputs!$B$48,0)</f>
        <v>0</v>
      </c>
      <c r="AV64" s="69" t="n">
        <f aca="false">IF(AV$6=1,Inputs!$B$14*Inputs!$B$48,0)</f>
        <v>0</v>
      </c>
      <c r="AW64" s="69" t="n">
        <f aca="false">IF(AW$6=1,Inputs!$B$14*Inputs!$B$48,0)</f>
        <v>0</v>
      </c>
      <c r="AX64" s="69" t="n">
        <f aca="false">IF(AX$6=1,Inputs!$B$14*Inputs!$B$48,0)</f>
        <v>0</v>
      </c>
      <c r="AY64" s="69" t="n">
        <f aca="false">IF(AY$6=1,Inputs!$B$14*Inputs!$B$48,0)</f>
        <v>0</v>
      </c>
      <c r="AZ64" s="69" t="n">
        <f aca="false">IF(AZ$6=1,Inputs!$B$14*Inputs!$B$48,0)</f>
        <v>0</v>
      </c>
      <c r="BA64" s="69" t="n">
        <f aca="false">IF(BA$6=1,Inputs!$B$14*Inputs!$B$48,0)</f>
        <v>0</v>
      </c>
      <c r="BB64" s="69" t="n">
        <f aca="false">IF(BB$6=1,Inputs!$B$14*Inputs!$B$48,0)</f>
        <v>0</v>
      </c>
      <c r="BC64" s="69" t="n">
        <f aca="false">IF(BC$6=1,Inputs!$B$14*Inputs!$B$48,0)</f>
        <v>0</v>
      </c>
      <c r="BD64" s="69" t="n">
        <f aca="false">IF(BD$6=1,Inputs!$B$14*Inputs!$B$48,0)</f>
        <v>0</v>
      </c>
      <c r="BE64" s="69" t="n">
        <f aca="false">IF(BE$6=1,Inputs!$B$14*Inputs!$B$48,0)</f>
        <v>0</v>
      </c>
      <c r="BF64" s="69" t="n">
        <f aca="false">IF(BF$6=1,Inputs!$B$14*Inputs!$B$48,0)</f>
        <v>0</v>
      </c>
      <c r="BG64" s="69" t="n">
        <f aca="false">IF(BG$6=1,Inputs!$B$14*Inputs!$B$48,0)</f>
        <v>0</v>
      </c>
      <c r="BH64" s="69" t="n">
        <f aca="false">IF(BH$6=1,Inputs!$B$14*Inputs!$B$48,0)</f>
        <v>0</v>
      </c>
      <c r="BI64" s="69" t="n">
        <f aca="false">IF(BI$6=1,Inputs!$B$14*Inputs!$B$48,0)</f>
        <v>0</v>
      </c>
      <c r="BJ64" s="69" t="n">
        <f aca="false">IF(BJ$6=1,Inputs!$B$14*Inputs!$B$48,0)</f>
        <v>0</v>
      </c>
    </row>
    <row r="65" customFormat="false" ht="15" hidden="false" customHeight="false" outlineLevel="0" collapsed="false">
      <c r="A65" s="6" t="s">
        <v>434</v>
      </c>
      <c r="C65" s="69" t="n">
        <f aca="false">IF(C$6=1,Inputs!$B$25*Inputs!$B$49,0)</f>
        <v>75000</v>
      </c>
      <c r="D65" s="69" t="n">
        <f aca="false">IF(D$6=1,Inputs!$B$25*Inputs!$B$49,0)</f>
        <v>0</v>
      </c>
      <c r="E65" s="69" t="n">
        <f aca="false">IF(E$6=1,Inputs!$B$25*Inputs!$B$49,0)</f>
        <v>0</v>
      </c>
      <c r="F65" s="69" t="n">
        <f aca="false">IF(F$6=1,Inputs!$B$25*Inputs!$B$49,0)</f>
        <v>0</v>
      </c>
      <c r="G65" s="69" t="n">
        <f aca="false">IF(G$6=1,Inputs!$B$25*Inputs!$B$49,0)</f>
        <v>0</v>
      </c>
      <c r="H65" s="69" t="n">
        <f aca="false">IF(H$6=1,Inputs!$B$25*Inputs!$B$49,0)</f>
        <v>0</v>
      </c>
      <c r="I65" s="69" t="n">
        <f aca="false">IF(I$6=1,Inputs!$B$25*Inputs!$B$49,0)</f>
        <v>0</v>
      </c>
      <c r="J65" s="69" t="n">
        <f aca="false">IF(J$6=1,Inputs!$B$25*Inputs!$B$49,0)</f>
        <v>0</v>
      </c>
      <c r="K65" s="69" t="n">
        <f aca="false">IF(K$6=1,Inputs!$B$25*Inputs!$B$49,0)</f>
        <v>0</v>
      </c>
      <c r="L65" s="69" t="n">
        <f aca="false">IF(L$6=1,Inputs!$B$25*Inputs!$B$49,0)</f>
        <v>0</v>
      </c>
      <c r="M65" s="69" t="n">
        <f aca="false">IF(M$6=1,Inputs!$B$25*Inputs!$B$49,0)</f>
        <v>0</v>
      </c>
      <c r="N65" s="69" t="n">
        <f aca="false">IF(N$6=1,Inputs!$B$25*Inputs!$B$49,0)</f>
        <v>0</v>
      </c>
      <c r="O65" s="69" t="n">
        <f aca="false">IF(O$6=1,Inputs!$B$25*Inputs!$B$49,0)</f>
        <v>0</v>
      </c>
      <c r="P65" s="69" t="n">
        <f aca="false">IF(P$6=1,Inputs!$B$25*Inputs!$B$49,0)</f>
        <v>0</v>
      </c>
      <c r="Q65" s="69" t="n">
        <f aca="false">IF(Q$6=1,Inputs!$B$25*Inputs!$B$49,0)</f>
        <v>0</v>
      </c>
      <c r="R65" s="69" t="n">
        <f aca="false">IF(R$6=1,Inputs!$B$25*Inputs!$B$49,0)</f>
        <v>0</v>
      </c>
      <c r="S65" s="69" t="n">
        <f aca="false">IF(S$6=1,Inputs!$B$25*Inputs!$B$49,0)</f>
        <v>0</v>
      </c>
      <c r="T65" s="69" t="n">
        <f aca="false">IF(T$6=1,Inputs!$B$25*Inputs!$B$49,0)</f>
        <v>0</v>
      </c>
      <c r="U65" s="69" t="n">
        <f aca="false">IF(U$6=1,Inputs!$B$25*Inputs!$B$49,0)</f>
        <v>0</v>
      </c>
      <c r="V65" s="69" t="n">
        <f aca="false">IF(V$6=1,Inputs!$B$25*Inputs!$B$49,0)</f>
        <v>0</v>
      </c>
      <c r="W65" s="69" t="n">
        <f aca="false">IF(W$6=1,Inputs!$B$25*Inputs!$B$49,0)</f>
        <v>0</v>
      </c>
      <c r="X65" s="69" t="n">
        <f aca="false">IF(X$6=1,Inputs!$B$25*Inputs!$B$49,0)</f>
        <v>0</v>
      </c>
      <c r="Y65" s="69" t="n">
        <f aca="false">IF(Y$6=1,Inputs!$B$25*Inputs!$B$49,0)</f>
        <v>0</v>
      </c>
      <c r="Z65" s="69" t="n">
        <f aca="false">IF(Z$6=1,Inputs!$B$25*Inputs!$B$49,0)</f>
        <v>0</v>
      </c>
      <c r="AA65" s="69" t="n">
        <f aca="false">IF(AA$6=1,Inputs!$B$25*Inputs!$B$49,0)</f>
        <v>0</v>
      </c>
      <c r="AB65" s="69" t="n">
        <f aca="false">IF(AB$6=1,Inputs!$B$25*Inputs!$B$49,0)</f>
        <v>0</v>
      </c>
      <c r="AC65" s="69" t="n">
        <f aca="false">IF(AC$6=1,Inputs!$B$25*Inputs!$B$49,0)</f>
        <v>0</v>
      </c>
      <c r="AD65" s="69" t="n">
        <f aca="false">IF(AD$6=1,Inputs!$B$25*Inputs!$B$49,0)</f>
        <v>0</v>
      </c>
      <c r="AE65" s="69" t="n">
        <f aca="false">IF(AE$6=1,Inputs!$B$25*Inputs!$B$49,0)</f>
        <v>0</v>
      </c>
      <c r="AF65" s="69" t="n">
        <f aca="false">IF(AF$6=1,Inputs!$B$25*Inputs!$B$49,0)</f>
        <v>0</v>
      </c>
      <c r="AG65" s="69" t="n">
        <f aca="false">IF(AG$6=1,Inputs!$B$25*Inputs!$B$49,0)</f>
        <v>0</v>
      </c>
      <c r="AH65" s="69" t="n">
        <f aca="false">IF(AH$6=1,Inputs!$B$25*Inputs!$B$49,0)</f>
        <v>0</v>
      </c>
      <c r="AI65" s="69" t="n">
        <f aca="false">IF(AI$6=1,Inputs!$B$25*Inputs!$B$49,0)</f>
        <v>0</v>
      </c>
      <c r="AJ65" s="69" t="n">
        <f aca="false">IF(AJ$6=1,Inputs!$B$25*Inputs!$B$49,0)</f>
        <v>0</v>
      </c>
      <c r="AK65" s="69" t="n">
        <f aca="false">IF(AK$6=1,Inputs!$B$25*Inputs!$B$49,0)</f>
        <v>0</v>
      </c>
      <c r="AL65" s="69" t="n">
        <f aca="false">IF(AL$6=1,Inputs!$B$25*Inputs!$B$49,0)</f>
        <v>0</v>
      </c>
      <c r="AM65" s="69" t="n">
        <f aca="false">IF(AM$6=1,Inputs!$B$25*Inputs!$B$49,0)</f>
        <v>0</v>
      </c>
      <c r="AN65" s="69" t="n">
        <f aca="false">IF(AN$6=1,Inputs!$B$25*Inputs!$B$49,0)</f>
        <v>0</v>
      </c>
      <c r="AO65" s="69" t="n">
        <f aca="false">IF(AO$6=1,Inputs!$B$25*Inputs!$B$49,0)</f>
        <v>0</v>
      </c>
      <c r="AP65" s="69" t="n">
        <f aca="false">IF(AP$6=1,Inputs!$B$25*Inputs!$B$49,0)</f>
        <v>0</v>
      </c>
      <c r="AQ65" s="69" t="n">
        <f aca="false">IF(AQ$6=1,Inputs!$B$25*Inputs!$B$49,0)</f>
        <v>0</v>
      </c>
      <c r="AR65" s="69" t="n">
        <f aca="false">IF(AR$6=1,Inputs!$B$25*Inputs!$B$49,0)</f>
        <v>0</v>
      </c>
      <c r="AS65" s="69" t="n">
        <f aca="false">IF(AS$6=1,Inputs!$B$25*Inputs!$B$49,0)</f>
        <v>0</v>
      </c>
      <c r="AT65" s="69" t="n">
        <f aca="false">IF(AT$6=1,Inputs!$B$25*Inputs!$B$49,0)</f>
        <v>0</v>
      </c>
      <c r="AU65" s="69" t="n">
        <f aca="false">IF(AU$6=1,Inputs!$B$25*Inputs!$B$49,0)</f>
        <v>0</v>
      </c>
      <c r="AV65" s="69" t="n">
        <f aca="false">IF(AV$6=1,Inputs!$B$25*Inputs!$B$49,0)</f>
        <v>0</v>
      </c>
      <c r="AW65" s="69" t="n">
        <f aca="false">IF(AW$6=1,Inputs!$B$25*Inputs!$B$49,0)</f>
        <v>0</v>
      </c>
      <c r="AX65" s="69" t="n">
        <f aca="false">IF(AX$6=1,Inputs!$B$25*Inputs!$B$49,0)</f>
        <v>0</v>
      </c>
      <c r="AY65" s="69" t="n">
        <f aca="false">IF(AY$6=1,Inputs!$B$25*Inputs!$B$49,0)</f>
        <v>0</v>
      </c>
      <c r="AZ65" s="69" t="n">
        <f aca="false">IF(AZ$6=1,Inputs!$B$25*Inputs!$B$49,0)</f>
        <v>0</v>
      </c>
      <c r="BA65" s="69" t="n">
        <f aca="false">IF(BA$6=1,Inputs!$B$25*Inputs!$B$49,0)</f>
        <v>0</v>
      </c>
      <c r="BB65" s="69" t="n">
        <f aca="false">IF(BB$6=1,Inputs!$B$25*Inputs!$B$49,0)</f>
        <v>0</v>
      </c>
      <c r="BC65" s="69" t="n">
        <f aca="false">IF(BC$6=1,Inputs!$B$25*Inputs!$B$49,0)</f>
        <v>0</v>
      </c>
      <c r="BD65" s="69" t="n">
        <f aca="false">IF(BD$6=1,Inputs!$B$25*Inputs!$B$49,0)</f>
        <v>0</v>
      </c>
      <c r="BE65" s="69" t="n">
        <f aca="false">IF(BE$6=1,Inputs!$B$25*Inputs!$B$49,0)</f>
        <v>0</v>
      </c>
      <c r="BF65" s="69" t="n">
        <f aca="false">IF(BF$6=1,Inputs!$B$25*Inputs!$B$49,0)</f>
        <v>0</v>
      </c>
      <c r="BG65" s="69" t="n">
        <f aca="false">IF(BG$6=1,Inputs!$B$25*Inputs!$B$49,0)</f>
        <v>0</v>
      </c>
      <c r="BH65" s="69" t="n">
        <f aca="false">IF(BH$6=1,Inputs!$B$25*Inputs!$B$49,0)</f>
        <v>0</v>
      </c>
      <c r="BI65" s="69" t="n">
        <f aca="false">IF(BI$6=1,Inputs!$B$25*Inputs!$B$49,0)</f>
        <v>0</v>
      </c>
      <c r="BJ65" s="69" t="n">
        <f aca="false">IF(BJ$6=1,Inputs!$B$25*Inputs!$B$49,0)</f>
        <v>0</v>
      </c>
    </row>
    <row r="66" customFormat="false" ht="15" hidden="false" customHeight="false" outlineLevel="0" collapsed="false">
      <c r="A66" s="6" t="s">
        <v>435</v>
      </c>
      <c r="C66" s="69" t="n">
        <f aca="false">IF(C$6=1,Inputs!$B$50,0)</f>
        <v>90000</v>
      </c>
      <c r="D66" s="69" t="n">
        <f aca="false">IF(D$6=1,Inputs!$B$50,0)</f>
        <v>0</v>
      </c>
      <c r="E66" s="69" t="n">
        <f aca="false">IF(E$6=1,Inputs!$B$50,0)</f>
        <v>0</v>
      </c>
      <c r="F66" s="69" t="n">
        <f aca="false">IF(F$6=1,Inputs!$B$50,0)</f>
        <v>0</v>
      </c>
      <c r="G66" s="69" t="n">
        <f aca="false">IF(G$6=1,Inputs!$B$50,0)</f>
        <v>0</v>
      </c>
      <c r="H66" s="69" t="n">
        <f aca="false">IF(H$6=1,Inputs!$B$50,0)</f>
        <v>0</v>
      </c>
      <c r="I66" s="69" t="n">
        <f aca="false">IF(I$6=1,Inputs!$B$50,0)</f>
        <v>0</v>
      </c>
      <c r="J66" s="69" t="n">
        <f aca="false">IF(J$6=1,Inputs!$B$50,0)</f>
        <v>0</v>
      </c>
      <c r="K66" s="69" t="n">
        <f aca="false">IF(K$6=1,Inputs!$B$50,0)</f>
        <v>0</v>
      </c>
      <c r="L66" s="69" t="n">
        <f aca="false">IF(L$6=1,Inputs!$B$50,0)</f>
        <v>0</v>
      </c>
      <c r="M66" s="69" t="n">
        <f aca="false">IF(M$6=1,Inputs!$B$50,0)</f>
        <v>0</v>
      </c>
      <c r="N66" s="69" t="n">
        <f aca="false">IF(N$6=1,Inputs!$B$50,0)</f>
        <v>0</v>
      </c>
      <c r="O66" s="69" t="n">
        <f aca="false">IF(O$6=1,Inputs!$B$50,0)</f>
        <v>0</v>
      </c>
      <c r="P66" s="69" t="n">
        <f aca="false">IF(P$6=1,Inputs!$B$50,0)</f>
        <v>0</v>
      </c>
      <c r="Q66" s="69" t="n">
        <f aca="false">IF(Q$6=1,Inputs!$B$50,0)</f>
        <v>0</v>
      </c>
      <c r="R66" s="69" t="n">
        <f aca="false">IF(R$6=1,Inputs!$B$50,0)</f>
        <v>0</v>
      </c>
      <c r="S66" s="69" t="n">
        <f aca="false">IF(S$6=1,Inputs!$B$50,0)</f>
        <v>0</v>
      </c>
      <c r="T66" s="69" t="n">
        <f aca="false">IF(T$6=1,Inputs!$B$50,0)</f>
        <v>0</v>
      </c>
      <c r="U66" s="69" t="n">
        <f aca="false">IF(U$6=1,Inputs!$B$50,0)</f>
        <v>0</v>
      </c>
      <c r="V66" s="69" t="n">
        <f aca="false">IF(V$6=1,Inputs!$B$50,0)</f>
        <v>0</v>
      </c>
      <c r="W66" s="69" t="n">
        <f aca="false">IF(W$6=1,Inputs!$B$50,0)</f>
        <v>0</v>
      </c>
      <c r="X66" s="69" t="n">
        <f aca="false">IF(X$6=1,Inputs!$B$50,0)</f>
        <v>0</v>
      </c>
      <c r="Y66" s="69" t="n">
        <f aca="false">IF(Y$6=1,Inputs!$B$50,0)</f>
        <v>0</v>
      </c>
      <c r="Z66" s="69" t="n">
        <f aca="false">IF(Z$6=1,Inputs!$B$50,0)</f>
        <v>0</v>
      </c>
      <c r="AA66" s="69" t="n">
        <f aca="false">IF(AA$6=1,Inputs!$B$50,0)</f>
        <v>0</v>
      </c>
      <c r="AB66" s="69" t="n">
        <f aca="false">IF(AB$6=1,Inputs!$B$50,0)</f>
        <v>0</v>
      </c>
      <c r="AC66" s="69" t="n">
        <f aca="false">IF(AC$6=1,Inputs!$B$50,0)</f>
        <v>0</v>
      </c>
      <c r="AD66" s="69" t="n">
        <f aca="false">IF(AD$6=1,Inputs!$B$50,0)</f>
        <v>0</v>
      </c>
      <c r="AE66" s="69" t="n">
        <f aca="false">IF(AE$6=1,Inputs!$B$50,0)</f>
        <v>0</v>
      </c>
      <c r="AF66" s="69" t="n">
        <f aca="false">IF(AF$6=1,Inputs!$B$50,0)</f>
        <v>0</v>
      </c>
      <c r="AG66" s="69" t="n">
        <f aca="false">IF(AG$6=1,Inputs!$B$50,0)</f>
        <v>0</v>
      </c>
      <c r="AH66" s="69" t="n">
        <f aca="false">IF(AH$6=1,Inputs!$B$50,0)</f>
        <v>0</v>
      </c>
      <c r="AI66" s="69" t="n">
        <f aca="false">IF(AI$6=1,Inputs!$B$50,0)</f>
        <v>0</v>
      </c>
      <c r="AJ66" s="69" t="n">
        <f aca="false">IF(AJ$6=1,Inputs!$B$50,0)</f>
        <v>0</v>
      </c>
      <c r="AK66" s="69" t="n">
        <f aca="false">IF(AK$6=1,Inputs!$B$50,0)</f>
        <v>0</v>
      </c>
      <c r="AL66" s="69" t="n">
        <f aca="false">IF(AL$6=1,Inputs!$B$50,0)</f>
        <v>0</v>
      </c>
      <c r="AM66" s="69" t="n">
        <f aca="false">IF(AM$6=1,Inputs!$B$50,0)</f>
        <v>0</v>
      </c>
      <c r="AN66" s="69" t="n">
        <f aca="false">IF(AN$6=1,Inputs!$B$50,0)</f>
        <v>0</v>
      </c>
      <c r="AO66" s="69" t="n">
        <f aca="false">IF(AO$6=1,Inputs!$B$50,0)</f>
        <v>0</v>
      </c>
      <c r="AP66" s="69" t="n">
        <f aca="false">IF(AP$6=1,Inputs!$B$50,0)</f>
        <v>0</v>
      </c>
      <c r="AQ66" s="69" t="n">
        <f aca="false">IF(AQ$6=1,Inputs!$B$50,0)</f>
        <v>0</v>
      </c>
      <c r="AR66" s="69" t="n">
        <f aca="false">IF(AR$6=1,Inputs!$B$50,0)</f>
        <v>0</v>
      </c>
      <c r="AS66" s="69" t="n">
        <f aca="false">IF(AS$6=1,Inputs!$B$50,0)</f>
        <v>0</v>
      </c>
      <c r="AT66" s="69" t="n">
        <f aca="false">IF(AT$6=1,Inputs!$B$50,0)</f>
        <v>0</v>
      </c>
      <c r="AU66" s="69" t="n">
        <f aca="false">IF(AU$6=1,Inputs!$B$50,0)</f>
        <v>0</v>
      </c>
      <c r="AV66" s="69" t="n">
        <f aca="false">IF(AV$6=1,Inputs!$B$50,0)</f>
        <v>0</v>
      </c>
      <c r="AW66" s="69" t="n">
        <f aca="false">IF(AW$6=1,Inputs!$B$50,0)</f>
        <v>0</v>
      </c>
      <c r="AX66" s="69" t="n">
        <f aca="false">IF(AX$6=1,Inputs!$B$50,0)</f>
        <v>0</v>
      </c>
      <c r="AY66" s="69" t="n">
        <f aca="false">IF(AY$6=1,Inputs!$B$50,0)</f>
        <v>0</v>
      </c>
      <c r="AZ66" s="69" t="n">
        <f aca="false">IF(AZ$6=1,Inputs!$B$50,0)</f>
        <v>0</v>
      </c>
      <c r="BA66" s="69" t="n">
        <f aca="false">IF(BA$6=1,Inputs!$B$50,0)</f>
        <v>0</v>
      </c>
      <c r="BB66" s="69" t="n">
        <f aca="false">IF(BB$6=1,Inputs!$B$50,0)</f>
        <v>0</v>
      </c>
      <c r="BC66" s="69" t="n">
        <f aca="false">IF(BC$6=1,Inputs!$B$50,0)</f>
        <v>0</v>
      </c>
      <c r="BD66" s="69" t="n">
        <f aca="false">IF(BD$6=1,Inputs!$B$50,0)</f>
        <v>0</v>
      </c>
      <c r="BE66" s="69" t="n">
        <f aca="false">IF(BE$6=1,Inputs!$B$50,0)</f>
        <v>0</v>
      </c>
      <c r="BF66" s="69" t="n">
        <f aca="false">IF(BF$6=1,Inputs!$B$50,0)</f>
        <v>0</v>
      </c>
      <c r="BG66" s="69" t="n">
        <f aca="false">IF(BG$6=1,Inputs!$B$50,0)</f>
        <v>0</v>
      </c>
      <c r="BH66" s="69" t="n">
        <f aca="false">IF(BH$6=1,Inputs!$B$50,0)</f>
        <v>0</v>
      </c>
      <c r="BI66" s="69" t="n">
        <f aca="false">IF(BI$6=1,Inputs!$B$50,0)</f>
        <v>0</v>
      </c>
      <c r="BJ66" s="69" t="n">
        <f aca="false">IF(BJ$6=1,Inputs!$B$50,0)</f>
        <v>0</v>
      </c>
    </row>
    <row r="67" customFormat="false" ht="15" hidden="false" customHeight="false" outlineLevel="0" collapsed="false">
      <c r="A67" s="6" t="s">
        <v>436</v>
      </c>
      <c r="C67" s="69" t="n">
        <f aca="false">IF(C$6=1,Inputs!$B$51,0)</f>
        <v>0</v>
      </c>
      <c r="D67" s="69" t="n">
        <f aca="false">IF(D$6=1,Inputs!$B$51,0)</f>
        <v>0</v>
      </c>
      <c r="E67" s="69" t="n">
        <f aca="false">IF(E$6=1,Inputs!$B$51,0)</f>
        <v>0</v>
      </c>
      <c r="F67" s="69" t="n">
        <f aca="false">IF(F$6=1,Inputs!$B$51,0)</f>
        <v>0</v>
      </c>
      <c r="G67" s="69" t="n">
        <f aca="false">IF(G$6=1,Inputs!$B$51,0)</f>
        <v>0</v>
      </c>
      <c r="H67" s="69" t="n">
        <f aca="false">IF(H$6=1,Inputs!$B$51,0)</f>
        <v>0</v>
      </c>
      <c r="I67" s="69" t="n">
        <f aca="false">IF(I$6=1,Inputs!$B$51,0)</f>
        <v>0</v>
      </c>
      <c r="J67" s="69" t="n">
        <f aca="false">IF(J$6=1,Inputs!$B$51,0)</f>
        <v>0</v>
      </c>
      <c r="K67" s="69" t="n">
        <f aca="false">IF(K$6=1,Inputs!$B$51,0)</f>
        <v>0</v>
      </c>
      <c r="L67" s="69" t="n">
        <f aca="false">IF(L$6=1,Inputs!$B$51,0)</f>
        <v>0</v>
      </c>
      <c r="M67" s="69" t="n">
        <f aca="false">IF(M$6=1,Inputs!$B$51,0)</f>
        <v>0</v>
      </c>
      <c r="N67" s="69" t="n">
        <f aca="false">IF(N$6=1,Inputs!$B$51,0)</f>
        <v>0</v>
      </c>
      <c r="O67" s="69" t="n">
        <f aca="false">IF(O$6=1,Inputs!$B$51,0)</f>
        <v>0</v>
      </c>
      <c r="P67" s="69" t="n">
        <f aca="false">IF(P$6=1,Inputs!$B$51,0)</f>
        <v>0</v>
      </c>
      <c r="Q67" s="69" t="n">
        <f aca="false">IF(Q$6=1,Inputs!$B$51,0)</f>
        <v>0</v>
      </c>
      <c r="R67" s="69" t="n">
        <f aca="false">IF(R$6=1,Inputs!$B$51,0)</f>
        <v>0</v>
      </c>
      <c r="S67" s="69" t="n">
        <f aca="false">IF(S$6=1,Inputs!$B$51,0)</f>
        <v>0</v>
      </c>
      <c r="T67" s="69" t="n">
        <f aca="false">IF(T$6=1,Inputs!$B$51,0)</f>
        <v>0</v>
      </c>
      <c r="U67" s="69" t="n">
        <f aca="false">IF(U$6=1,Inputs!$B$51,0)</f>
        <v>0</v>
      </c>
      <c r="V67" s="69" t="n">
        <f aca="false">IF(V$6=1,Inputs!$B$51,0)</f>
        <v>0</v>
      </c>
      <c r="W67" s="69" t="n">
        <f aca="false">IF(W$6=1,Inputs!$B$51,0)</f>
        <v>0</v>
      </c>
      <c r="X67" s="69" t="n">
        <f aca="false">IF(X$6=1,Inputs!$B$51,0)</f>
        <v>0</v>
      </c>
      <c r="Y67" s="69" t="n">
        <f aca="false">IF(Y$6=1,Inputs!$B$51,0)</f>
        <v>0</v>
      </c>
      <c r="Z67" s="69" t="n">
        <f aca="false">IF(Z$6=1,Inputs!$B$51,0)</f>
        <v>0</v>
      </c>
      <c r="AA67" s="69" t="n">
        <f aca="false">IF(AA$6=1,Inputs!$B$51,0)</f>
        <v>0</v>
      </c>
      <c r="AB67" s="69" t="n">
        <f aca="false">IF(AB$6=1,Inputs!$B$51,0)</f>
        <v>0</v>
      </c>
      <c r="AC67" s="69" t="n">
        <f aca="false">IF(AC$6=1,Inputs!$B$51,0)</f>
        <v>0</v>
      </c>
      <c r="AD67" s="69" t="n">
        <f aca="false">IF(AD$6=1,Inputs!$B$51,0)</f>
        <v>0</v>
      </c>
      <c r="AE67" s="69" t="n">
        <f aca="false">IF(AE$6=1,Inputs!$B$51,0)</f>
        <v>0</v>
      </c>
      <c r="AF67" s="69" t="n">
        <f aca="false">IF(AF$6=1,Inputs!$B$51,0)</f>
        <v>0</v>
      </c>
      <c r="AG67" s="69" t="n">
        <f aca="false">IF(AG$6=1,Inputs!$B$51,0)</f>
        <v>0</v>
      </c>
      <c r="AH67" s="69" t="n">
        <f aca="false">IF(AH$6=1,Inputs!$B$51,0)</f>
        <v>0</v>
      </c>
      <c r="AI67" s="69" t="n">
        <f aca="false">IF(AI$6=1,Inputs!$B$51,0)</f>
        <v>0</v>
      </c>
      <c r="AJ67" s="69" t="n">
        <f aca="false">IF(AJ$6=1,Inputs!$B$51,0)</f>
        <v>0</v>
      </c>
      <c r="AK67" s="69" t="n">
        <f aca="false">IF(AK$6=1,Inputs!$B$51,0)</f>
        <v>0</v>
      </c>
      <c r="AL67" s="69" t="n">
        <f aca="false">IF(AL$6=1,Inputs!$B$51,0)</f>
        <v>0</v>
      </c>
      <c r="AM67" s="69" t="n">
        <f aca="false">IF(AM$6=1,Inputs!$B$51,0)</f>
        <v>0</v>
      </c>
      <c r="AN67" s="69" t="n">
        <f aca="false">IF(AN$6=1,Inputs!$B$51,0)</f>
        <v>0</v>
      </c>
      <c r="AO67" s="69" t="n">
        <f aca="false">IF(AO$6=1,Inputs!$B$51,0)</f>
        <v>0</v>
      </c>
      <c r="AP67" s="69" t="n">
        <f aca="false">IF(AP$6=1,Inputs!$B$51,0)</f>
        <v>0</v>
      </c>
      <c r="AQ67" s="69" t="n">
        <f aca="false">IF(AQ$6=1,Inputs!$B$51,0)</f>
        <v>0</v>
      </c>
      <c r="AR67" s="69" t="n">
        <f aca="false">IF(AR$6=1,Inputs!$B$51,0)</f>
        <v>0</v>
      </c>
      <c r="AS67" s="69" t="n">
        <f aca="false">IF(AS$6=1,Inputs!$B$51,0)</f>
        <v>0</v>
      </c>
      <c r="AT67" s="69" t="n">
        <f aca="false">IF(AT$6=1,Inputs!$B$51,0)</f>
        <v>0</v>
      </c>
      <c r="AU67" s="69" t="n">
        <f aca="false">IF(AU$6=1,Inputs!$B$51,0)</f>
        <v>0</v>
      </c>
      <c r="AV67" s="69" t="n">
        <f aca="false">IF(AV$6=1,Inputs!$B$51,0)</f>
        <v>0</v>
      </c>
      <c r="AW67" s="69" t="n">
        <f aca="false">IF(AW$6=1,Inputs!$B$51,0)</f>
        <v>0</v>
      </c>
      <c r="AX67" s="69" t="n">
        <f aca="false">IF(AX$6=1,Inputs!$B$51,0)</f>
        <v>0</v>
      </c>
      <c r="AY67" s="69" t="n">
        <f aca="false">IF(AY$6=1,Inputs!$B$51,0)</f>
        <v>0</v>
      </c>
      <c r="AZ67" s="69" t="n">
        <f aca="false">IF(AZ$6=1,Inputs!$B$51,0)</f>
        <v>0</v>
      </c>
      <c r="BA67" s="69" t="n">
        <f aca="false">IF(BA$6=1,Inputs!$B$51,0)</f>
        <v>0</v>
      </c>
      <c r="BB67" s="69" t="n">
        <f aca="false">IF(BB$6=1,Inputs!$B$51,0)</f>
        <v>0</v>
      </c>
      <c r="BC67" s="69" t="n">
        <f aca="false">IF(BC$6=1,Inputs!$B$51,0)</f>
        <v>0</v>
      </c>
      <c r="BD67" s="69" t="n">
        <f aca="false">IF(BD$6=1,Inputs!$B$51,0)</f>
        <v>0</v>
      </c>
      <c r="BE67" s="69" t="n">
        <f aca="false">IF(BE$6=1,Inputs!$B$51,0)</f>
        <v>0</v>
      </c>
      <c r="BF67" s="69" t="n">
        <f aca="false">IF(BF$6=1,Inputs!$B$51,0)</f>
        <v>0</v>
      </c>
      <c r="BG67" s="69" t="n">
        <f aca="false">IF(BG$6=1,Inputs!$B$51,0)</f>
        <v>0</v>
      </c>
      <c r="BH67" s="69" t="n">
        <f aca="false">IF(BH$6=1,Inputs!$B$51,0)</f>
        <v>0</v>
      </c>
      <c r="BI67" s="69" t="n">
        <f aca="false">IF(BI$6=1,Inputs!$B$51,0)</f>
        <v>0</v>
      </c>
      <c r="BJ67" s="69" t="n">
        <f aca="false">IF(BJ$6=1,Inputs!$B$51,0)</f>
        <v>0</v>
      </c>
    </row>
    <row r="68" customFormat="false" ht="15" hidden="false" customHeight="false" outlineLevel="0" collapsed="false">
      <c r="A68" s="6" t="s">
        <v>437</v>
      </c>
      <c r="C68" s="69" t="n">
        <f aca="false">IF(AND(C$7&gt;1,MOD(C$6-1,12)=0),Inputs!$B$52,0)</f>
        <v>0</v>
      </c>
      <c r="D68" s="69" t="n">
        <f aca="false">IF(AND(D$7&gt;1,MOD(D$6-1,12)=0),Inputs!$B$52,0)</f>
        <v>0</v>
      </c>
      <c r="E68" s="69" t="n">
        <f aca="false">IF(AND(E$7&gt;1,MOD(E$6-1,12)=0),Inputs!$B$52,0)</f>
        <v>0</v>
      </c>
      <c r="F68" s="69" t="n">
        <f aca="false">IF(AND(F$7&gt;1,MOD(F$6-1,12)=0),Inputs!$B$52,0)</f>
        <v>0</v>
      </c>
      <c r="G68" s="69" t="n">
        <f aca="false">IF(AND(G$7&gt;1,MOD(G$6-1,12)=0),Inputs!$B$52,0)</f>
        <v>0</v>
      </c>
      <c r="H68" s="69" t="n">
        <f aca="false">IF(AND(H$7&gt;1,MOD(H$6-1,12)=0),Inputs!$B$52,0)</f>
        <v>0</v>
      </c>
      <c r="I68" s="69" t="n">
        <f aca="false">IF(AND(I$7&gt;1,MOD(I$6-1,12)=0),Inputs!$B$52,0)</f>
        <v>0</v>
      </c>
      <c r="J68" s="69" t="n">
        <f aca="false">IF(AND(J$7&gt;1,MOD(J$6-1,12)=0),Inputs!$B$52,0)</f>
        <v>0</v>
      </c>
      <c r="K68" s="69" t="n">
        <f aca="false">IF(AND(K$7&gt;1,MOD(K$6-1,12)=0),Inputs!$B$52,0)</f>
        <v>0</v>
      </c>
      <c r="L68" s="69" t="n">
        <f aca="false">IF(AND(L$7&gt;1,MOD(L$6-1,12)=0),Inputs!$B$52,0)</f>
        <v>0</v>
      </c>
      <c r="M68" s="69" t="n">
        <f aca="false">IF(AND(M$7&gt;1,MOD(M$6-1,12)=0),Inputs!$B$52,0)</f>
        <v>0</v>
      </c>
      <c r="N68" s="69" t="n">
        <f aca="false">IF(AND(N$7&gt;1,MOD(N$6-1,12)=0),Inputs!$B$52,0)</f>
        <v>0</v>
      </c>
      <c r="O68" s="69" t="n">
        <f aca="false">IF(AND(O$7&gt;1,MOD(O$6-1,12)=0),Inputs!$B$52,0)</f>
        <v>10000</v>
      </c>
      <c r="P68" s="69" t="n">
        <f aca="false">IF(AND(P$7&gt;1,MOD(P$6-1,12)=0),Inputs!$B$52,0)</f>
        <v>0</v>
      </c>
      <c r="Q68" s="69" t="n">
        <f aca="false">IF(AND(Q$7&gt;1,MOD(Q$6-1,12)=0),Inputs!$B$52,0)</f>
        <v>0</v>
      </c>
      <c r="R68" s="69" t="n">
        <f aca="false">IF(AND(R$7&gt;1,MOD(R$6-1,12)=0),Inputs!$B$52,0)</f>
        <v>0</v>
      </c>
      <c r="S68" s="69" t="n">
        <f aca="false">IF(AND(S$7&gt;1,MOD(S$6-1,12)=0),Inputs!$B$52,0)</f>
        <v>0</v>
      </c>
      <c r="T68" s="69" t="n">
        <f aca="false">IF(AND(T$7&gt;1,MOD(T$6-1,12)=0),Inputs!$B$52,0)</f>
        <v>0</v>
      </c>
      <c r="U68" s="69" t="n">
        <f aca="false">IF(AND(U$7&gt;1,MOD(U$6-1,12)=0),Inputs!$B$52,0)</f>
        <v>0</v>
      </c>
      <c r="V68" s="69" t="n">
        <f aca="false">IF(AND(V$7&gt;1,MOD(V$6-1,12)=0),Inputs!$B$52,0)</f>
        <v>0</v>
      </c>
      <c r="W68" s="69" t="n">
        <f aca="false">IF(AND(W$7&gt;1,MOD(W$6-1,12)=0),Inputs!$B$52,0)</f>
        <v>0</v>
      </c>
      <c r="X68" s="69" t="n">
        <f aca="false">IF(AND(X$7&gt;1,MOD(X$6-1,12)=0),Inputs!$B$52,0)</f>
        <v>0</v>
      </c>
      <c r="Y68" s="69" t="n">
        <f aca="false">IF(AND(Y$7&gt;1,MOD(Y$6-1,12)=0),Inputs!$B$52,0)</f>
        <v>0</v>
      </c>
      <c r="Z68" s="69" t="n">
        <f aca="false">IF(AND(Z$7&gt;1,MOD(Z$6-1,12)=0),Inputs!$B$52,0)</f>
        <v>0</v>
      </c>
      <c r="AA68" s="69" t="n">
        <f aca="false">IF(AND(AA$7&gt;1,MOD(AA$6-1,12)=0),Inputs!$B$52,0)</f>
        <v>10000</v>
      </c>
      <c r="AB68" s="69" t="n">
        <f aca="false">IF(AND(AB$7&gt;1,MOD(AB$6-1,12)=0),Inputs!$B$52,0)</f>
        <v>0</v>
      </c>
      <c r="AC68" s="69" t="n">
        <f aca="false">IF(AND(AC$7&gt;1,MOD(AC$6-1,12)=0),Inputs!$B$52,0)</f>
        <v>0</v>
      </c>
      <c r="AD68" s="69" t="n">
        <f aca="false">IF(AND(AD$7&gt;1,MOD(AD$6-1,12)=0),Inputs!$B$52,0)</f>
        <v>0</v>
      </c>
      <c r="AE68" s="69" t="n">
        <f aca="false">IF(AND(AE$7&gt;1,MOD(AE$6-1,12)=0),Inputs!$B$52,0)</f>
        <v>0</v>
      </c>
      <c r="AF68" s="69" t="n">
        <f aca="false">IF(AND(AF$7&gt;1,MOD(AF$6-1,12)=0),Inputs!$B$52,0)</f>
        <v>0</v>
      </c>
      <c r="AG68" s="69" t="n">
        <f aca="false">IF(AND(AG$7&gt;1,MOD(AG$6-1,12)=0),Inputs!$B$52,0)</f>
        <v>0</v>
      </c>
      <c r="AH68" s="69" t="n">
        <f aca="false">IF(AND(AH$7&gt;1,MOD(AH$6-1,12)=0),Inputs!$B$52,0)</f>
        <v>0</v>
      </c>
      <c r="AI68" s="69" t="n">
        <f aca="false">IF(AND(AI$7&gt;1,MOD(AI$6-1,12)=0),Inputs!$B$52,0)</f>
        <v>0</v>
      </c>
      <c r="AJ68" s="69" t="n">
        <f aca="false">IF(AND(AJ$7&gt;1,MOD(AJ$6-1,12)=0),Inputs!$B$52,0)</f>
        <v>0</v>
      </c>
      <c r="AK68" s="69" t="n">
        <f aca="false">IF(AND(AK$7&gt;1,MOD(AK$6-1,12)=0),Inputs!$B$52,0)</f>
        <v>0</v>
      </c>
      <c r="AL68" s="69" t="n">
        <f aca="false">IF(AND(AL$7&gt;1,MOD(AL$6-1,12)=0),Inputs!$B$52,0)</f>
        <v>0</v>
      </c>
      <c r="AM68" s="69" t="n">
        <f aca="false">IF(AND(AM$7&gt;1,MOD(AM$6-1,12)=0),Inputs!$B$52,0)</f>
        <v>10000</v>
      </c>
      <c r="AN68" s="69" t="n">
        <f aca="false">IF(AND(AN$7&gt;1,MOD(AN$6-1,12)=0),Inputs!$B$52,0)</f>
        <v>0</v>
      </c>
      <c r="AO68" s="69" t="n">
        <f aca="false">IF(AND(AO$7&gt;1,MOD(AO$6-1,12)=0),Inputs!$B$52,0)</f>
        <v>0</v>
      </c>
      <c r="AP68" s="69" t="n">
        <f aca="false">IF(AND(AP$7&gt;1,MOD(AP$6-1,12)=0),Inputs!$B$52,0)</f>
        <v>0</v>
      </c>
      <c r="AQ68" s="69" t="n">
        <f aca="false">IF(AND(AQ$7&gt;1,MOD(AQ$6-1,12)=0),Inputs!$B$52,0)</f>
        <v>0</v>
      </c>
      <c r="AR68" s="69" t="n">
        <f aca="false">IF(AND(AR$7&gt;1,MOD(AR$6-1,12)=0),Inputs!$B$52,0)</f>
        <v>0</v>
      </c>
      <c r="AS68" s="69" t="n">
        <f aca="false">IF(AND(AS$7&gt;1,MOD(AS$6-1,12)=0),Inputs!$B$52,0)</f>
        <v>0</v>
      </c>
      <c r="AT68" s="69" t="n">
        <f aca="false">IF(AND(AT$7&gt;1,MOD(AT$6-1,12)=0),Inputs!$B$52,0)</f>
        <v>0</v>
      </c>
      <c r="AU68" s="69" t="n">
        <f aca="false">IF(AND(AU$7&gt;1,MOD(AU$6-1,12)=0),Inputs!$B$52,0)</f>
        <v>0</v>
      </c>
      <c r="AV68" s="69" t="n">
        <f aca="false">IF(AND(AV$7&gt;1,MOD(AV$6-1,12)=0),Inputs!$B$52,0)</f>
        <v>0</v>
      </c>
      <c r="AW68" s="69" t="n">
        <f aca="false">IF(AND(AW$7&gt;1,MOD(AW$6-1,12)=0),Inputs!$B$52,0)</f>
        <v>0</v>
      </c>
      <c r="AX68" s="69" t="n">
        <f aca="false">IF(AND(AX$7&gt;1,MOD(AX$6-1,12)=0),Inputs!$B$52,0)</f>
        <v>0</v>
      </c>
      <c r="AY68" s="69" t="n">
        <f aca="false">IF(AND(AY$7&gt;1,MOD(AY$6-1,12)=0),Inputs!$B$52,0)</f>
        <v>10000</v>
      </c>
      <c r="AZ68" s="69" t="n">
        <f aca="false">IF(AND(AZ$7&gt;1,MOD(AZ$6-1,12)=0),Inputs!$B$52,0)</f>
        <v>0</v>
      </c>
      <c r="BA68" s="69" t="n">
        <f aca="false">IF(AND(BA$7&gt;1,MOD(BA$6-1,12)=0),Inputs!$B$52,0)</f>
        <v>0</v>
      </c>
      <c r="BB68" s="69" t="n">
        <f aca="false">IF(AND(BB$7&gt;1,MOD(BB$6-1,12)=0),Inputs!$B$52,0)</f>
        <v>0</v>
      </c>
      <c r="BC68" s="69" t="n">
        <f aca="false">IF(AND(BC$7&gt;1,MOD(BC$6-1,12)=0),Inputs!$B$52,0)</f>
        <v>0</v>
      </c>
      <c r="BD68" s="69" t="n">
        <f aca="false">IF(AND(BD$7&gt;1,MOD(BD$6-1,12)=0),Inputs!$B$52,0)</f>
        <v>0</v>
      </c>
      <c r="BE68" s="69" t="n">
        <f aca="false">IF(AND(BE$7&gt;1,MOD(BE$6-1,12)=0),Inputs!$B$52,0)</f>
        <v>0</v>
      </c>
      <c r="BF68" s="69" t="n">
        <f aca="false">IF(AND(BF$7&gt;1,MOD(BF$6-1,12)=0),Inputs!$B$52,0)</f>
        <v>0</v>
      </c>
      <c r="BG68" s="69" t="n">
        <f aca="false">IF(AND(BG$7&gt;1,MOD(BG$6-1,12)=0),Inputs!$B$52,0)</f>
        <v>0</v>
      </c>
      <c r="BH68" s="69" t="n">
        <f aca="false">IF(AND(BH$7&gt;1,MOD(BH$6-1,12)=0),Inputs!$B$52,0)</f>
        <v>0</v>
      </c>
      <c r="BI68" s="69" t="n">
        <f aca="false">IF(AND(BI$7&gt;1,MOD(BI$6-1,12)=0),Inputs!$B$52,0)</f>
        <v>0</v>
      </c>
      <c r="BJ68" s="69" t="n">
        <f aca="false">IF(AND(BJ$7&gt;1,MOD(BJ$6-1,12)=0),Inputs!$B$52,0)</f>
        <v>0</v>
      </c>
    </row>
    <row r="69" customFormat="false" ht="15" hidden="false" customHeight="false" outlineLevel="0" collapsed="false">
      <c r="A69" s="4" t="s">
        <v>84</v>
      </c>
      <c r="C69" s="75" t="n">
        <f aca="false">C64+C65+C66+C67+C68</f>
        <v>189000</v>
      </c>
      <c r="D69" s="75" t="n">
        <f aca="false">D64+D65+D66+D67+D68</f>
        <v>0</v>
      </c>
      <c r="E69" s="75" t="n">
        <f aca="false">E64+E65+E66+E67+E68</f>
        <v>0</v>
      </c>
      <c r="F69" s="75" t="n">
        <f aca="false">F64+F65+F66+F67+F68</f>
        <v>0</v>
      </c>
      <c r="G69" s="75" t="n">
        <f aca="false">G64+G65+G66+G67+G68</f>
        <v>0</v>
      </c>
      <c r="H69" s="75" t="n">
        <f aca="false">H64+H65+H66+H67+H68</f>
        <v>0</v>
      </c>
      <c r="I69" s="75" t="n">
        <f aca="false">I64+I65+I66+I67+I68</f>
        <v>0</v>
      </c>
      <c r="J69" s="75" t="n">
        <f aca="false">J64+J65+J66+J67+J68</f>
        <v>0</v>
      </c>
      <c r="K69" s="75" t="n">
        <f aca="false">K64+K65+K66+K67+K68</f>
        <v>0</v>
      </c>
      <c r="L69" s="75" t="n">
        <f aca="false">L64+L65+L66+L67+L68</f>
        <v>0</v>
      </c>
      <c r="M69" s="75" t="n">
        <f aca="false">M64+M65+M66+M67+M68</f>
        <v>0</v>
      </c>
      <c r="N69" s="75" t="n">
        <f aca="false">N64+N65+N66+N67+N68</f>
        <v>0</v>
      </c>
      <c r="O69" s="75" t="n">
        <f aca="false">O64+O65+O66+O67+O68</f>
        <v>10000</v>
      </c>
      <c r="P69" s="75" t="n">
        <f aca="false">P64+P65+P66+P67+P68</f>
        <v>0</v>
      </c>
      <c r="Q69" s="75" t="n">
        <f aca="false">Q64+Q65+Q66+Q67+Q68</f>
        <v>0</v>
      </c>
      <c r="R69" s="75" t="n">
        <f aca="false">R64+R65+R66+R67+R68</f>
        <v>0</v>
      </c>
      <c r="S69" s="75" t="n">
        <f aca="false">S64+S65+S66+S67+S68</f>
        <v>0</v>
      </c>
      <c r="T69" s="75" t="n">
        <f aca="false">T64+T65+T66+T67+T68</f>
        <v>0</v>
      </c>
      <c r="U69" s="75" t="n">
        <f aca="false">U64+U65+U66+U67+U68</f>
        <v>0</v>
      </c>
      <c r="V69" s="75" t="n">
        <f aca="false">V64+V65+V66+V67+V68</f>
        <v>0</v>
      </c>
      <c r="W69" s="75" t="n">
        <f aca="false">W64+W65+W66+W67+W68</f>
        <v>0</v>
      </c>
      <c r="X69" s="75" t="n">
        <f aca="false">X64+X65+X66+X67+X68</f>
        <v>0</v>
      </c>
      <c r="Y69" s="75" t="n">
        <f aca="false">Y64+Y65+Y66+Y67+Y68</f>
        <v>0</v>
      </c>
      <c r="Z69" s="75" t="n">
        <f aca="false">Z64+Z65+Z66+Z67+Z68</f>
        <v>0</v>
      </c>
      <c r="AA69" s="75" t="n">
        <f aca="false">AA64+AA65+AA66+AA67+AA68</f>
        <v>10000</v>
      </c>
      <c r="AB69" s="75" t="n">
        <f aca="false">AB64+AB65+AB66+AB67+AB68</f>
        <v>0</v>
      </c>
      <c r="AC69" s="75" t="n">
        <f aca="false">AC64+AC65+AC66+AC67+AC68</f>
        <v>0</v>
      </c>
      <c r="AD69" s="75" t="n">
        <f aca="false">AD64+AD65+AD66+AD67+AD68</f>
        <v>0</v>
      </c>
      <c r="AE69" s="75" t="n">
        <f aca="false">AE64+AE65+AE66+AE67+AE68</f>
        <v>0</v>
      </c>
      <c r="AF69" s="75" t="n">
        <f aca="false">AF64+AF65+AF66+AF67+AF68</f>
        <v>0</v>
      </c>
      <c r="AG69" s="75" t="n">
        <f aca="false">AG64+AG65+AG66+AG67+AG68</f>
        <v>0</v>
      </c>
      <c r="AH69" s="75" t="n">
        <f aca="false">AH64+AH65+AH66+AH67+AH68</f>
        <v>0</v>
      </c>
      <c r="AI69" s="75" t="n">
        <f aca="false">AI64+AI65+AI66+AI67+AI68</f>
        <v>0</v>
      </c>
      <c r="AJ69" s="75" t="n">
        <f aca="false">AJ64+AJ65+AJ66+AJ67+AJ68</f>
        <v>0</v>
      </c>
      <c r="AK69" s="75" t="n">
        <f aca="false">AK64+AK65+AK66+AK67+AK68</f>
        <v>0</v>
      </c>
      <c r="AL69" s="75" t="n">
        <f aca="false">AL64+AL65+AL66+AL67+AL68</f>
        <v>0</v>
      </c>
      <c r="AM69" s="75" t="n">
        <f aca="false">AM64+AM65+AM66+AM67+AM68</f>
        <v>10000</v>
      </c>
      <c r="AN69" s="75" t="n">
        <f aca="false">AN64+AN65+AN66+AN67+AN68</f>
        <v>0</v>
      </c>
      <c r="AO69" s="75" t="n">
        <f aca="false">AO64+AO65+AO66+AO67+AO68</f>
        <v>0</v>
      </c>
      <c r="AP69" s="75" t="n">
        <f aca="false">AP64+AP65+AP66+AP67+AP68</f>
        <v>0</v>
      </c>
      <c r="AQ69" s="75" t="n">
        <f aca="false">AQ64+AQ65+AQ66+AQ67+AQ68</f>
        <v>0</v>
      </c>
      <c r="AR69" s="75" t="n">
        <f aca="false">AR64+AR65+AR66+AR67+AR68</f>
        <v>0</v>
      </c>
      <c r="AS69" s="75" t="n">
        <f aca="false">AS64+AS65+AS66+AS67+AS68</f>
        <v>0</v>
      </c>
      <c r="AT69" s="75" t="n">
        <f aca="false">AT64+AT65+AT66+AT67+AT68</f>
        <v>0</v>
      </c>
      <c r="AU69" s="75" t="n">
        <f aca="false">AU64+AU65+AU66+AU67+AU68</f>
        <v>0</v>
      </c>
      <c r="AV69" s="75" t="n">
        <f aca="false">AV64+AV65+AV66+AV67+AV68</f>
        <v>0</v>
      </c>
      <c r="AW69" s="75" t="n">
        <f aca="false">AW64+AW65+AW66+AW67+AW68</f>
        <v>0</v>
      </c>
      <c r="AX69" s="75" t="n">
        <f aca="false">AX64+AX65+AX66+AX67+AX68</f>
        <v>0</v>
      </c>
      <c r="AY69" s="75" t="n">
        <f aca="false">AY64+AY65+AY66+AY67+AY68</f>
        <v>10000</v>
      </c>
      <c r="AZ69" s="75" t="n">
        <f aca="false">AZ64+AZ65+AZ66+AZ67+AZ68</f>
        <v>0</v>
      </c>
      <c r="BA69" s="75" t="n">
        <f aca="false">BA64+BA65+BA66+BA67+BA68</f>
        <v>0</v>
      </c>
      <c r="BB69" s="75" t="n">
        <f aca="false">BB64+BB65+BB66+BB67+BB68</f>
        <v>0</v>
      </c>
      <c r="BC69" s="75" t="n">
        <f aca="false">BC64+BC65+BC66+BC67+BC68</f>
        <v>0</v>
      </c>
      <c r="BD69" s="75" t="n">
        <f aca="false">BD64+BD65+BD66+BD67+BD68</f>
        <v>0</v>
      </c>
      <c r="BE69" s="75" t="n">
        <f aca="false">BE64+BE65+BE66+BE67+BE68</f>
        <v>0</v>
      </c>
      <c r="BF69" s="75" t="n">
        <f aca="false">BF64+BF65+BF66+BF67+BF68</f>
        <v>0</v>
      </c>
      <c r="BG69" s="75" t="n">
        <f aca="false">BG64+BG65+BG66+BG67+BG68</f>
        <v>0</v>
      </c>
      <c r="BH69" s="75" t="n">
        <f aca="false">BH64+BH65+BH66+BH67+BH68</f>
        <v>0</v>
      </c>
      <c r="BI69" s="75" t="n">
        <f aca="false">BI64+BI65+BI66+BI67+BI68</f>
        <v>0</v>
      </c>
      <c r="BJ69" s="75" t="n">
        <f aca="false">BJ64+BJ65+BJ66+BJ67+BJ68</f>
        <v>0</v>
      </c>
    </row>
    <row r="70" customFormat="false" ht="15" hidden="false" customHeight="false" outlineLevel="0" collapsed="false">
      <c r="A70" s="6" t="s">
        <v>438</v>
      </c>
      <c r="C70" s="69" t="n">
        <f aca="false">C69</f>
        <v>189000</v>
      </c>
      <c r="D70" s="69" t="n">
        <f aca="false">C70+D69</f>
        <v>189000</v>
      </c>
      <c r="E70" s="69" t="n">
        <f aca="false">D70+E69</f>
        <v>189000</v>
      </c>
      <c r="F70" s="69" t="n">
        <f aca="false">E70+F69</f>
        <v>189000</v>
      </c>
      <c r="G70" s="69" t="n">
        <f aca="false">F70+G69</f>
        <v>189000</v>
      </c>
      <c r="H70" s="69" t="n">
        <f aca="false">G70+H69</f>
        <v>189000</v>
      </c>
      <c r="I70" s="69" t="n">
        <f aca="false">H70+I69</f>
        <v>189000</v>
      </c>
      <c r="J70" s="69" t="n">
        <f aca="false">I70+J69</f>
        <v>189000</v>
      </c>
      <c r="K70" s="69" t="n">
        <f aca="false">J70+K69</f>
        <v>189000</v>
      </c>
      <c r="L70" s="69" t="n">
        <f aca="false">K70+L69</f>
        <v>189000</v>
      </c>
      <c r="M70" s="69" t="n">
        <f aca="false">L70+M69</f>
        <v>189000</v>
      </c>
      <c r="N70" s="69" t="n">
        <f aca="false">M70+N69</f>
        <v>189000</v>
      </c>
      <c r="O70" s="69" t="n">
        <f aca="false">N70+O69</f>
        <v>199000</v>
      </c>
      <c r="P70" s="69" t="n">
        <f aca="false">O70+P69</f>
        <v>199000</v>
      </c>
      <c r="Q70" s="69" t="n">
        <f aca="false">P70+Q69</f>
        <v>199000</v>
      </c>
      <c r="R70" s="69" t="n">
        <f aca="false">Q70+R69</f>
        <v>199000</v>
      </c>
      <c r="S70" s="69" t="n">
        <f aca="false">R70+S69</f>
        <v>199000</v>
      </c>
      <c r="T70" s="69" t="n">
        <f aca="false">S70+T69</f>
        <v>199000</v>
      </c>
      <c r="U70" s="69" t="n">
        <f aca="false">T70+U69</f>
        <v>199000</v>
      </c>
      <c r="V70" s="69" t="n">
        <f aca="false">U70+V69</f>
        <v>199000</v>
      </c>
      <c r="W70" s="69" t="n">
        <f aca="false">V70+W69</f>
        <v>199000</v>
      </c>
      <c r="X70" s="69" t="n">
        <f aca="false">W70+X69</f>
        <v>199000</v>
      </c>
      <c r="Y70" s="69" t="n">
        <f aca="false">X70+Y69</f>
        <v>199000</v>
      </c>
      <c r="Z70" s="69" t="n">
        <f aca="false">Y70+Z69</f>
        <v>199000</v>
      </c>
      <c r="AA70" s="69" t="n">
        <f aca="false">Z70+AA69</f>
        <v>209000</v>
      </c>
      <c r="AB70" s="69" t="n">
        <f aca="false">AA70+AB69</f>
        <v>209000</v>
      </c>
      <c r="AC70" s="69" t="n">
        <f aca="false">AB70+AC69</f>
        <v>209000</v>
      </c>
      <c r="AD70" s="69" t="n">
        <f aca="false">AC70+AD69</f>
        <v>209000</v>
      </c>
      <c r="AE70" s="69" t="n">
        <f aca="false">AD70+AE69</f>
        <v>209000</v>
      </c>
      <c r="AF70" s="69" t="n">
        <f aca="false">AE70+AF69</f>
        <v>209000</v>
      </c>
      <c r="AG70" s="69" t="n">
        <f aca="false">AF70+AG69</f>
        <v>209000</v>
      </c>
      <c r="AH70" s="69" t="n">
        <f aca="false">AG70+AH69</f>
        <v>209000</v>
      </c>
      <c r="AI70" s="69" t="n">
        <f aca="false">AH70+AI69</f>
        <v>209000</v>
      </c>
      <c r="AJ70" s="69" t="n">
        <f aca="false">AI70+AJ69</f>
        <v>209000</v>
      </c>
      <c r="AK70" s="69" t="n">
        <f aca="false">AJ70+AK69</f>
        <v>209000</v>
      </c>
      <c r="AL70" s="69" t="n">
        <f aca="false">AK70+AL69</f>
        <v>209000</v>
      </c>
      <c r="AM70" s="69" t="n">
        <f aca="false">AL70+AM69</f>
        <v>219000</v>
      </c>
      <c r="AN70" s="69" t="n">
        <f aca="false">AM70+AN69</f>
        <v>219000</v>
      </c>
      <c r="AO70" s="69" t="n">
        <f aca="false">AN70+AO69</f>
        <v>219000</v>
      </c>
      <c r="AP70" s="69" t="n">
        <f aca="false">AO70+AP69</f>
        <v>219000</v>
      </c>
      <c r="AQ70" s="69" t="n">
        <f aca="false">AP70+AQ69</f>
        <v>219000</v>
      </c>
      <c r="AR70" s="69" t="n">
        <f aca="false">AQ70+AR69</f>
        <v>219000</v>
      </c>
      <c r="AS70" s="69" t="n">
        <f aca="false">AR70+AS69</f>
        <v>219000</v>
      </c>
      <c r="AT70" s="69" t="n">
        <f aca="false">AS70+AT69</f>
        <v>219000</v>
      </c>
      <c r="AU70" s="69" t="n">
        <f aca="false">AT70+AU69</f>
        <v>219000</v>
      </c>
      <c r="AV70" s="69" t="n">
        <f aca="false">AU70+AV69</f>
        <v>219000</v>
      </c>
      <c r="AW70" s="69" t="n">
        <f aca="false">AV70+AW69</f>
        <v>219000</v>
      </c>
      <c r="AX70" s="69" t="n">
        <f aca="false">AW70+AX69</f>
        <v>219000</v>
      </c>
      <c r="AY70" s="69" t="n">
        <f aca="false">AX70+AY69</f>
        <v>229000</v>
      </c>
      <c r="AZ70" s="69" t="n">
        <f aca="false">AY70+AZ69</f>
        <v>229000</v>
      </c>
      <c r="BA70" s="69" t="n">
        <f aca="false">AZ70+BA69</f>
        <v>229000</v>
      </c>
      <c r="BB70" s="69" t="n">
        <f aca="false">BA70+BB69</f>
        <v>229000</v>
      </c>
      <c r="BC70" s="69" t="n">
        <f aca="false">BB70+BC69</f>
        <v>229000</v>
      </c>
      <c r="BD70" s="69" t="n">
        <f aca="false">BC70+BD69</f>
        <v>229000</v>
      </c>
      <c r="BE70" s="69" t="n">
        <f aca="false">BD70+BE69</f>
        <v>229000</v>
      </c>
      <c r="BF70" s="69" t="n">
        <f aca="false">BE70+BF69</f>
        <v>229000</v>
      </c>
      <c r="BG70" s="69" t="n">
        <f aca="false">BF70+BG69</f>
        <v>229000</v>
      </c>
      <c r="BH70" s="69" t="n">
        <f aca="false">BG70+BH69</f>
        <v>229000</v>
      </c>
      <c r="BI70" s="69" t="n">
        <f aca="false">BH70+BI69</f>
        <v>229000</v>
      </c>
      <c r="BJ70" s="69" t="n">
        <f aca="false">BI70+BJ69</f>
        <v>229000</v>
      </c>
    </row>
    <row r="71" customFormat="false" ht="15" hidden="false" customHeight="false" outlineLevel="0" collapsed="false">
      <c r="A71" s="6" t="s">
        <v>439</v>
      </c>
      <c r="C71" s="69" t="n">
        <f aca="false">C67</f>
        <v>0</v>
      </c>
      <c r="D71" s="69" t="n">
        <f aca="false">C71+D67</f>
        <v>0</v>
      </c>
      <c r="E71" s="69" t="n">
        <f aca="false">D71+E67</f>
        <v>0</v>
      </c>
      <c r="F71" s="69" t="n">
        <f aca="false">E71+F67</f>
        <v>0</v>
      </c>
      <c r="G71" s="69" t="n">
        <f aca="false">F71+G67</f>
        <v>0</v>
      </c>
      <c r="H71" s="69" t="n">
        <f aca="false">G71+H67</f>
        <v>0</v>
      </c>
      <c r="I71" s="69" t="n">
        <f aca="false">H71+I67</f>
        <v>0</v>
      </c>
      <c r="J71" s="69" t="n">
        <f aca="false">I71+J67</f>
        <v>0</v>
      </c>
      <c r="K71" s="69" t="n">
        <f aca="false">J71+K67</f>
        <v>0</v>
      </c>
      <c r="L71" s="69" t="n">
        <f aca="false">K71+L67</f>
        <v>0</v>
      </c>
      <c r="M71" s="69" t="n">
        <f aca="false">L71+M67</f>
        <v>0</v>
      </c>
      <c r="N71" s="69" t="n">
        <f aca="false">M71+N67</f>
        <v>0</v>
      </c>
      <c r="O71" s="69" t="n">
        <f aca="false">N71+O67</f>
        <v>0</v>
      </c>
      <c r="P71" s="69" t="n">
        <f aca="false">O71+P67</f>
        <v>0</v>
      </c>
      <c r="Q71" s="69" t="n">
        <f aca="false">P71+Q67</f>
        <v>0</v>
      </c>
      <c r="R71" s="69" t="n">
        <f aca="false">Q71+R67</f>
        <v>0</v>
      </c>
      <c r="S71" s="69" t="n">
        <f aca="false">R71+S67</f>
        <v>0</v>
      </c>
      <c r="T71" s="69" t="n">
        <f aca="false">S71+T67</f>
        <v>0</v>
      </c>
      <c r="U71" s="69" t="n">
        <f aca="false">T71+U67</f>
        <v>0</v>
      </c>
      <c r="V71" s="69" t="n">
        <f aca="false">U71+V67</f>
        <v>0</v>
      </c>
      <c r="W71" s="69" t="n">
        <f aca="false">V71+W67</f>
        <v>0</v>
      </c>
      <c r="X71" s="69" t="n">
        <f aca="false">W71+X67</f>
        <v>0</v>
      </c>
      <c r="Y71" s="69" t="n">
        <f aca="false">X71+Y67</f>
        <v>0</v>
      </c>
      <c r="Z71" s="69" t="n">
        <f aca="false">Y71+Z67</f>
        <v>0</v>
      </c>
      <c r="AA71" s="69" t="n">
        <f aca="false">Z71+AA67</f>
        <v>0</v>
      </c>
      <c r="AB71" s="69" t="n">
        <f aca="false">AA71+AB67</f>
        <v>0</v>
      </c>
      <c r="AC71" s="69" t="n">
        <f aca="false">AB71+AC67</f>
        <v>0</v>
      </c>
      <c r="AD71" s="69" t="n">
        <f aca="false">AC71+AD67</f>
        <v>0</v>
      </c>
      <c r="AE71" s="69" t="n">
        <f aca="false">AD71+AE67</f>
        <v>0</v>
      </c>
      <c r="AF71" s="69" t="n">
        <f aca="false">AE71+AF67</f>
        <v>0</v>
      </c>
      <c r="AG71" s="69" t="n">
        <f aca="false">AF71+AG67</f>
        <v>0</v>
      </c>
      <c r="AH71" s="69" t="n">
        <f aca="false">AG71+AH67</f>
        <v>0</v>
      </c>
      <c r="AI71" s="69" t="n">
        <f aca="false">AH71+AI67</f>
        <v>0</v>
      </c>
      <c r="AJ71" s="69" t="n">
        <f aca="false">AI71+AJ67</f>
        <v>0</v>
      </c>
      <c r="AK71" s="69" t="n">
        <f aca="false">AJ71+AK67</f>
        <v>0</v>
      </c>
      <c r="AL71" s="69" t="n">
        <f aca="false">AK71+AL67</f>
        <v>0</v>
      </c>
      <c r="AM71" s="69" t="n">
        <f aca="false">AL71+AM67</f>
        <v>0</v>
      </c>
      <c r="AN71" s="69" t="n">
        <f aca="false">AM71+AN67</f>
        <v>0</v>
      </c>
      <c r="AO71" s="69" t="n">
        <f aca="false">AN71+AO67</f>
        <v>0</v>
      </c>
      <c r="AP71" s="69" t="n">
        <f aca="false">AO71+AP67</f>
        <v>0</v>
      </c>
      <c r="AQ71" s="69" t="n">
        <f aca="false">AP71+AQ67</f>
        <v>0</v>
      </c>
      <c r="AR71" s="69" t="n">
        <f aca="false">AQ71+AR67</f>
        <v>0</v>
      </c>
      <c r="AS71" s="69" t="n">
        <f aca="false">AR71+AS67</f>
        <v>0</v>
      </c>
      <c r="AT71" s="69" t="n">
        <f aca="false">AS71+AT67</f>
        <v>0</v>
      </c>
      <c r="AU71" s="69" t="n">
        <f aca="false">AT71+AU67</f>
        <v>0</v>
      </c>
      <c r="AV71" s="69" t="n">
        <f aca="false">AU71+AV67</f>
        <v>0</v>
      </c>
      <c r="AW71" s="69" t="n">
        <f aca="false">AV71+AW67</f>
        <v>0</v>
      </c>
      <c r="AX71" s="69" t="n">
        <f aca="false">AW71+AX67</f>
        <v>0</v>
      </c>
      <c r="AY71" s="69" t="n">
        <f aca="false">AX71+AY67</f>
        <v>0</v>
      </c>
      <c r="AZ71" s="69" t="n">
        <f aca="false">AY71+AZ67</f>
        <v>0</v>
      </c>
      <c r="BA71" s="69" t="n">
        <f aca="false">AZ71+BA67</f>
        <v>0</v>
      </c>
      <c r="BB71" s="69" t="n">
        <f aca="false">BA71+BB67</f>
        <v>0</v>
      </c>
      <c r="BC71" s="69" t="n">
        <f aca="false">BB71+BC67</f>
        <v>0</v>
      </c>
      <c r="BD71" s="69" t="n">
        <f aca="false">BC71+BD67</f>
        <v>0</v>
      </c>
      <c r="BE71" s="69" t="n">
        <f aca="false">BD71+BE67</f>
        <v>0</v>
      </c>
      <c r="BF71" s="69" t="n">
        <f aca="false">BE71+BF67</f>
        <v>0</v>
      </c>
      <c r="BG71" s="69" t="n">
        <f aca="false">BF71+BG67</f>
        <v>0</v>
      </c>
      <c r="BH71" s="69" t="n">
        <f aca="false">BG71+BH67</f>
        <v>0</v>
      </c>
      <c r="BI71" s="69" t="n">
        <f aca="false">BH71+BI67</f>
        <v>0</v>
      </c>
      <c r="BJ71" s="69" t="n">
        <f aca="false">BI71+BJ67</f>
        <v>0</v>
      </c>
    </row>
    <row r="72" customFormat="false" ht="15" hidden="false" customHeight="false" outlineLevel="0" collapsed="false">
      <c r="A72" s="6" t="s">
        <v>78</v>
      </c>
      <c r="C72" s="69" t="n">
        <f aca="false">-MIN((C70-C71)/MAX(1,Inputs!$B$82*12),C69-C71)</f>
        <v>-1968.75</v>
      </c>
      <c r="D72" s="69" t="n">
        <f aca="false">-MIN((D70-D71)/MAX(1,Inputs!$B$82*12),C74+D69-D71)</f>
        <v>-1968.75</v>
      </c>
      <c r="E72" s="69" t="n">
        <f aca="false">-MIN((E70-E71)/MAX(1,Inputs!$B$82*12),D74+E69-E71)</f>
        <v>-1968.75</v>
      </c>
      <c r="F72" s="69" t="n">
        <f aca="false">-MIN((F70-F71)/MAX(1,Inputs!$B$82*12),E74+F69-F71)</f>
        <v>-1968.75</v>
      </c>
      <c r="G72" s="69" t="n">
        <f aca="false">-MIN((G70-G71)/MAX(1,Inputs!$B$82*12),F74+G69-G71)</f>
        <v>-1968.75</v>
      </c>
      <c r="H72" s="69" t="n">
        <f aca="false">-MIN((H70-H71)/MAX(1,Inputs!$B$82*12),G74+H69-H71)</f>
        <v>-1968.75</v>
      </c>
      <c r="I72" s="69" t="n">
        <f aca="false">-MIN((I70-I71)/MAX(1,Inputs!$B$82*12),H74+I69-I71)</f>
        <v>-1968.75</v>
      </c>
      <c r="J72" s="69" t="n">
        <f aca="false">-MIN((J70-J71)/MAX(1,Inputs!$B$82*12),I74+J69-J71)</f>
        <v>-1968.75</v>
      </c>
      <c r="K72" s="69" t="n">
        <f aca="false">-MIN((K70-K71)/MAX(1,Inputs!$B$82*12),J74+K69-K71)</f>
        <v>-1968.75</v>
      </c>
      <c r="L72" s="69" t="n">
        <f aca="false">-MIN((L70-L71)/MAX(1,Inputs!$B$82*12),K74+L69-L71)</f>
        <v>-1968.75</v>
      </c>
      <c r="M72" s="69" t="n">
        <f aca="false">-MIN((M70-M71)/MAX(1,Inputs!$B$82*12),L74+M69-M71)</f>
        <v>-1968.75</v>
      </c>
      <c r="N72" s="69" t="n">
        <f aca="false">-MIN((N70-N71)/MAX(1,Inputs!$B$82*12),M74+N69-N71)</f>
        <v>-1968.75</v>
      </c>
      <c r="O72" s="69" t="n">
        <f aca="false">-MIN((O70-O71)/MAX(1,Inputs!$B$82*12),N74+O69-O71)</f>
        <v>-2072.91666666667</v>
      </c>
      <c r="P72" s="69" t="n">
        <f aca="false">-MIN((P70-P71)/MAX(1,Inputs!$B$82*12),O74+P69-P71)</f>
        <v>-2072.91666666667</v>
      </c>
      <c r="Q72" s="69" t="n">
        <f aca="false">-MIN((Q70-Q71)/MAX(1,Inputs!$B$82*12),P74+Q69-Q71)</f>
        <v>-2072.91666666667</v>
      </c>
      <c r="R72" s="69" t="n">
        <f aca="false">-MIN((R70-R71)/MAX(1,Inputs!$B$82*12),Q74+R69-R71)</f>
        <v>-2072.91666666667</v>
      </c>
      <c r="S72" s="69" t="n">
        <f aca="false">-MIN((S70-S71)/MAX(1,Inputs!$B$82*12),R74+S69-S71)</f>
        <v>-2072.91666666667</v>
      </c>
      <c r="T72" s="69" t="n">
        <f aca="false">-MIN((T70-T71)/MAX(1,Inputs!$B$82*12),S74+T69-T71)</f>
        <v>-2072.91666666667</v>
      </c>
      <c r="U72" s="69" t="n">
        <f aca="false">-MIN((U70-U71)/MAX(1,Inputs!$B$82*12),T74+U69-U71)</f>
        <v>-2072.91666666667</v>
      </c>
      <c r="V72" s="69" t="n">
        <f aca="false">-MIN((V70-V71)/MAX(1,Inputs!$B$82*12),U74+V69-V71)</f>
        <v>-2072.91666666667</v>
      </c>
      <c r="W72" s="69" t="n">
        <f aca="false">-MIN((W70-W71)/MAX(1,Inputs!$B$82*12),V74+W69-W71)</f>
        <v>-2072.91666666667</v>
      </c>
      <c r="X72" s="69" t="n">
        <f aca="false">-MIN((X70-X71)/MAX(1,Inputs!$B$82*12),W74+X69-X71)</f>
        <v>-2072.91666666667</v>
      </c>
      <c r="Y72" s="69" t="n">
        <f aca="false">-MIN((Y70-Y71)/MAX(1,Inputs!$B$82*12),X74+Y69-Y71)</f>
        <v>-2072.91666666667</v>
      </c>
      <c r="Z72" s="69" t="n">
        <f aca="false">-MIN((Z70-Z71)/MAX(1,Inputs!$B$82*12),Y74+Z69-Z71)</f>
        <v>-2072.91666666667</v>
      </c>
      <c r="AA72" s="69" t="n">
        <f aca="false">-MIN((AA70-AA71)/MAX(1,Inputs!$B$82*12),Z74+AA69-AA71)</f>
        <v>-2177.08333333333</v>
      </c>
      <c r="AB72" s="69" t="n">
        <f aca="false">-MIN((AB70-AB71)/MAX(1,Inputs!$B$82*12),AA74+AB69-AB71)</f>
        <v>-2177.08333333333</v>
      </c>
      <c r="AC72" s="69" t="n">
        <f aca="false">-MIN((AC70-AC71)/MAX(1,Inputs!$B$82*12),AB74+AC69-AC71)</f>
        <v>-2177.08333333333</v>
      </c>
      <c r="AD72" s="69" t="n">
        <f aca="false">-MIN((AD70-AD71)/MAX(1,Inputs!$B$82*12),AC74+AD69-AD71)</f>
        <v>-2177.08333333333</v>
      </c>
      <c r="AE72" s="69" t="n">
        <f aca="false">-MIN((AE70-AE71)/MAX(1,Inputs!$B$82*12),AD74+AE69-AE71)</f>
        <v>-2177.08333333333</v>
      </c>
      <c r="AF72" s="69" t="n">
        <f aca="false">-MIN((AF70-AF71)/MAX(1,Inputs!$B$82*12),AE74+AF69-AF71)</f>
        <v>-2177.08333333333</v>
      </c>
      <c r="AG72" s="69" t="n">
        <f aca="false">-MIN((AG70-AG71)/MAX(1,Inputs!$B$82*12),AF74+AG69-AG71)</f>
        <v>-2177.08333333333</v>
      </c>
      <c r="AH72" s="69" t="n">
        <f aca="false">-MIN((AH70-AH71)/MAX(1,Inputs!$B$82*12),AG74+AH69-AH71)</f>
        <v>-2177.08333333333</v>
      </c>
      <c r="AI72" s="69" t="n">
        <f aca="false">-MIN((AI70-AI71)/MAX(1,Inputs!$B$82*12),AH74+AI69-AI71)</f>
        <v>-2177.08333333333</v>
      </c>
      <c r="AJ72" s="69" t="n">
        <f aca="false">-MIN((AJ70-AJ71)/MAX(1,Inputs!$B$82*12),AI74+AJ69-AJ71)</f>
        <v>-2177.08333333333</v>
      </c>
      <c r="AK72" s="69" t="n">
        <f aca="false">-MIN((AK70-AK71)/MAX(1,Inputs!$B$82*12),AJ74+AK69-AK71)</f>
        <v>-2177.08333333333</v>
      </c>
      <c r="AL72" s="69" t="n">
        <f aca="false">-MIN((AL70-AL71)/MAX(1,Inputs!$B$82*12),AK74+AL69-AL71)</f>
        <v>-2177.08333333333</v>
      </c>
      <c r="AM72" s="69" t="n">
        <f aca="false">-MIN((AM70-AM71)/MAX(1,Inputs!$B$82*12),AL74+AM69-AM71)</f>
        <v>-2281.25</v>
      </c>
      <c r="AN72" s="69" t="n">
        <f aca="false">-MIN((AN70-AN71)/MAX(1,Inputs!$B$82*12),AM74+AN69-AN71)</f>
        <v>-2281.25</v>
      </c>
      <c r="AO72" s="69" t="n">
        <f aca="false">-MIN((AO70-AO71)/MAX(1,Inputs!$B$82*12),AN74+AO69-AO71)</f>
        <v>-2281.25</v>
      </c>
      <c r="AP72" s="69" t="n">
        <f aca="false">-MIN((AP70-AP71)/MAX(1,Inputs!$B$82*12),AO74+AP69-AP71)</f>
        <v>-2281.25</v>
      </c>
      <c r="AQ72" s="69" t="n">
        <f aca="false">-MIN((AQ70-AQ71)/MAX(1,Inputs!$B$82*12),AP74+AQ69-AQ71)</f>
        <v>-2281.25</v>
      </c>
      <c r="AR72" s="69" t="n">
        <f aca="false">-MIN((AR70-AR71)/MAX(1,Inputs!$B$82*12),AQ74+AR69-AR71)</f>
        <v>-2281.25</v>
      </c>
      <c r="AS72" s="69" t="n">
        <f aca="false">-MIN((AS70-AS71)/MAX(1,Inputs!$B$82*12),AR74+AS69-AS71)</f>
        <v>-2281.25</v>
      </c>
      <c r="AT72" s="69" t="n">
        <f aca="false">-MIN((AT70-AT71)/MAX(1,Inputs!$B$82*12),AS74+AT69-AT71)</f>
        <v>-2281.25</v>
      </c>
      <c r="AU72" s="69" t="n">
        <f aca="false">-MIN((AU70-AU71)/MAX(1,Inputs!$B$82*12),AT74+AU69-AU71)</f>
        <v>-2281.25</v>
      </c>
      <c r="AV72" s="69" t="n">
        <f aca="false">-MIN((AV70-AV71)/MAX(1,Inputs!$B$82*12),AU74+AV69-AV71)</f>
        <v>-2281.25</v>
      </c>
      <c r="AW72" s="69" t="n">
        <f aca="false">-MIN((AW70-AW71)/MAX(1,Inputs!$B$82*12),AV74+AW69-AW71)</f>
        <v>-2281.25</v>
      </c>
      <c r="AX72" s="69" t="n">
        <f aca="false">-MIN((AX70-AX71)/MAX(1,Inputs!$B$82*12),AW74+AX69-AX71)</f>
        <v>-2281.25</v>
      </c>
      <c r="AY72" s="69" t="n">
        <f aca="false">-MIN((AY70-AY71)/MAX(1,Inputs!$B$82*12),AX74+AY69-AY71)</f>
        <v>-2385.41666666667</v>
      </c>
      <c r="AZ72" s="69" t="n">
        <f aca="false">-MIN((AZ70-AZ71)/MAX(1,Inputs!$B$82*12),AY74+AZ69-AZ71)</f>
        <v>-2385.41666666667</v>
      </c>
      <c r="BA72" s="69" t="n">
        <f aca="false">-MIN((BA70-BA71)/MAX(1,Inputs!$B$82*12),AZ74+BA69-BA71)</f>
        <v>-2385.41666666667</v>
      </c>
      <c r="BB72" s="69" t="n">
        <f aca="false">-MIN((BB70-BB71)/MAX(1,Inputs!$B$82*12),BA74+BB69-BB71)</f>
        <v>-2385.41666666667</v>
      </c>
      <c r="BC72" s="69" t="n">
        <f aca="false">-MIN((BC70-BC71)/MAX(1,Inputs!$B$82*12),BB74+BC69-BC71)</f>
        <v>-2385.41666666667</v>
      </c>
      <c r="BD72" s="69" t="n">
        <f aca="false">-MIN((BD70-BD71)/MAX(1,Inputs!$B$82*12),BC74+BD69-BD71)</f>
        <v>-2385.41666666667</v>
      </c>
      <c r="BE72" s="69" t="n">
        <f aca="false">-MIN((BE70-BE71)/MAX(1,Inputs!$B$82*12),BD74+BE69-BE71)</f>
        <v>-2385.41666666667</v>
      </c>
      <c r="BF72" s="69" t="n">
        <f aca="false">-MIN((BF70-BF71)/MAX(1,Inputs!$B$82*12),BE74+BF69-BF71)</f>
        <v>-2385.41666666667</v>
      </c>
      <c r="BG72" s="69" t="n">
        <f aca="false">-MIN((BG70-BG71)/MAX(1,Inputs!$B$82*12),BF74+BG69-BG71)</f>
        <v>-2385.41666666667</v>
      </c>
      <c r="BH72" s="69" t="n">
        <f aca="false">-MIN((BH70-BH71)/MAX(1,Inputs!$B$82*12),BG74+BH69-BH71)</f>
        <v>-2385.41666666667</v>
      </c>
      <c r="BI72" s="69" t="n">
        <f aca="false">-MIN((BI70-BI71)/MAX(1,Inputs!$B$82*12),BH74+BI69-BI71)</f>
        <v>-2385.41666666667</v>
      </c>
      <c r="BJ72" s="69" t="n">
        <f aca="false">-MIN((BJ70-BJ71)/MAX(1,Inputs!$B$82*12),BI74+BJ69-BJ71)</f>
        <v>-2385.41666666667</v>
      </c>
    </row>
    <row r="73" customFormat="false" ht="15" hidden="false" customHeight="false" outlineLevel="0" collapsed="false">
      <c r="A73" s="6" t="s">
        <v>440</v>
      </c>
      <c r="C73" s="69" t="n">
        <f aca="false">C72</f>
        <v>-1968.75</v>
      </c>
      <c r="D73" s="69" t="n">
        <f aca="false">C73+D72</f>
        <v>-3937.5</v>
      </c>
      <c r="E73" s="69" t="n">
        <f aca="false">D73+E72</f>
        <v>-5906.25</v>
      </c>
      <c r="F73" s="69" t="n">
        <f aca="false">E73+F72</f>
        <v>-7875</v>
      </c>
      <c r="G73" s="69" t="n">
        <f aca="false">F73+G72</f>
        <v>-9843.75</v>
      </c>
      <c r="H73" s="69" t="n">
        <f aca="false">G73+H72</f>
        <v>-11812.5</v>
      </c>
      <c r="I73" s="69" t="n">
        <f aca="false">H73+I72</f>
        <v>-13781.25</v>
      </c>
      <c r="J73" s="69" t="n">
        <f aca="false">I73+J72</f>
        <v>-15750</v>
      </c>
      <c r="K73" s="69" t="n">
        <f aca="false">J73+K72</f>
        <v>-17718.75</v>
      </c>
      <c r="L73" s="69" t="n">
        <f aca="false">K73+L72</f>
        <v>-19687.5</v>
      </c>
      <c r="M73" s="69" t="n">
        <f aca="false">L73+M72</f>
        <v>-21656.25</v>
      </c>
      <c r="N73" s="69" t="n">
        <f aca="false">M73+N72</f>
        <v>-23625</v>
      </c>
      <c r="O73" s="69" t="n">
        <f aca="false">N73+O72</f>
        <v>-25697.9166666667</v>
      </c>
      <c r="P73" s="69" t="n">
        <f aca="false">O73+P72</f>
        <v>-27770.8333333333</v>
      </c>
      <c r="Q73" s="69" t="n">
        <f aca="false">P73+Q72</f>
        <v>-29843.75</v>
      </c>
      <c r="R73" s="69" t="n">
        <f aca="false">Q73+R72</f>
        <v>-31916.6666666667</v>
      </c>
      <c r="S73" s="69" t="n">
        <f aca="false">R73+S72</f>
        <v>-33989.5833333333</v>
      </c>
      <c r="T73" s="69" t="n">
        <f aca="false">S73+T72</f>
        <v>-36062.5</v>
      </c>
      <c r="U73" s="69" t="n">
        <f aca="false">T73+U72</f>
        <v>-38135.4166666667</v>
      </c>
      <c r="V73" s="69" t="n">
        <f aca="false">U73+V72</f>
        <v>-40208.3333333333</v>
      </c>
      <c r="W73" s="69" t="n">
        <f aca="false">V73+W72</f>
        <v>-42281.25</v>
      </c>
      <c r="X73" s="69" t="n">
        <f aca="false">W73+X72</f>
        <v>-44354.1666666667</v>
      </c>
      <c r="Y73" s="69" t="n">
        <f aca="false">X73+Y72</f>
        <v>-46427.0833333333</v>
      </c>
      <c r="Z73" s="69" t="n">
        <f aca="false">Y73+Z72</f>
        <v>-48500</v>
      </c>
      <c r="AA73" s="69" t="n">
        <f aca="false">Z73+AA72</f>
        <v>-50677.0833333333</v>
      </c>
      <c r="AB73" s="69" t="n">
        <f aca="false">AA73+AB72</f>
        <v>-52854.1666666667</v>
      </c>
      <c r="AC73" s="69" t="n">
        <f aca="false">AB73+AC72</f>
        <v>-55031.25</v>
      </c>
      <c r="AD73" s="69" t="n">
        <f aca="false">AC73+AD72</f>
        <v>-57208.3333333333</v>
      </c>
      <c r="AE73" s="69" t="n">
        <f aca="false">AD73+AE72</f>
        <v>-59385.4166666667</v>
      </c>
      <c r="AF73" s="69" t="n">
        <f aca="false">AE73+AF72</f>
        <v>-61562.5</v>
      </c>
      <c r="AG73" s="69" t="n">
        <f aca="false">AF73+AG72</f>
        <v>-63739.5833333333</v>
      </c>
      <c r="AH73" s="69" t="n">
        <f aca="false">AG73+AH72</f>
        <v>-65916.6666666667</v>
      </c>
      <c r="AI73" s="69" t="n">
        <f aca="false">AH73+AI72</f>
        <v>-68093.75</v>
      </c>
      <c r="AJ73" s="69" t="n">
        <f aca="false">AI73+AJ72</f>
        <v>-70270.8333333333</v>
      </c>
      <c r="AK73" s="69" t="n">
        <f aca="false">AJ73+AK72</f>
        <v>-72447.9166666667</v>
      </c>
      <c r="AL73" s="69" t="n">
        <f aca="false">AK73+AL72</f>
        <v>-74625</v>
      </c>
      <c r="AM73" s="69" t="n">
        <f aca="false">AL73+AM72</f>
        <v>-76906.25</v>
      </c>
      <c r="AN73" s="69" t="n">
        <f aca="false">AM73+AN72</f>
        <v>-79187.5</v>
      </c>
      <c r="AO73" s="69" t="n">
        <f aca="false">AN73+AO72</f>
        <v>-81468.75</v>
      </c>
      <c r="AP73" s="69" t="n">
        <f aca="false">AO73+AP72</f>
        <v>-83750</v>
      </c>
      <c r="AQ73" s="69" t="n">
        <f aca="false">AP73+AQ72</f>
        <v>-86031.25</v>
      </c>
      <c r="AR73" s="69" t="n">
        <f aca="false">AQ73+AR72</f>
        <v>-88312.5</v>
      </c>
      <c r="AS73" s="69" t="n">
        <f aca="false">AR73+AS72</f>
        <v>-90593.75</v>
      </c>
      <c r="AT73" s="69" t="n">
        <f aca="false">AS73+AT72</f>
        <v>-92875</v>
      </c>
      <c r="AU73" s="69" t="n">
        <f aca="false">AT73+AU72</f>
        <v>-95156.25</v>
      </c>
      <c r="AV73" s="69" t="n">
        <f aca="false">AU73+AV72</f>
        <v>-97437.5</v>
      </c>
      <c r="AW73" s="69" t="n">
        <f aca="false">AV73+AW72</f>
        <v>-99718.75</v>
      </c>
      <c r="AX73" s="69" t="n">
        <f aca="false">AW73+AX72</f>
        <v>-102000</v>
      </c>
      <c r="AY73" s="69" t="n">
        <f aca="false">AX73+AY72</f>
        <v>-104385.416666667</v>
      </c>
      <c r="AZ73" s="69" t="n">
        <f aca="false">AY73+AZ72</f>
        <v>-106770.833333333</v>
      </c>
      <c r="BA73" s="69" t="n">
        <f aca="false">AZ73+BA72</f>
        <v>-109156.25</v>
      </c>
      <c r="BB73" s="69" t="n">
        <f aca="false">BA73+BB72</f>
        <v>-111541.666666667</v>
      </c>
      <c r="BC73" s="69" t="n">
        <f aca="false">BB73+BC72</f>
        <v>-113927.083333333</v>
      </c>
      <c r="BD73" s="69" t="n">
        <f aca="false">BC73+BD72</f>
        <v>-116312.5</v>
      </c>
      <c r="BE73" s="69" t="n">
        <f aca="false">BD73+BE72</f>
        <v>-118697.916666667</v>
      </c>
      <c r="BF73" s="69" t="n">
        <f aca="false">BE73+BF72</f>
        <v>-121083.333333333</v>
      </c>
      <c r="BG73" s="69" t="n">
        <f aca="false">BF73+BG72</f>
        <v>-123468.75</v>
      </c>
      <c r="BH73" s="69" t="n">
        <f aca="false">BG73+BH72</f>
        <v>-125854.166666667</v>
      </c>
      <c r="BI73" s="69" t="n">
        <f aca="false">BH73+BI72</f>
        <v>-128239.583333333</v>
      </c>
      <c r="BJ73" s="69" t="n">
        <f aca="false">BI73+BJ72</f>
        <v>-130625</v>
      </c>
    </row>
    <row r="74" customFormat="false" ht="15" hidden="false" customHeight="false" outlineLevel="0" collapsed="false">
      <c r="A74" s="4" t="s">
        <v>92</v>
      </c>
      <c r="C74" s="75" t="n">
        <f aca="false">C70+C73</f>
        <v>187031.25</v>
      </c>
      <c r="D74" s="75" t="n">
        <f aca="false">D70+D73</f>
        <v>185062.5</v>
      </c>
      <c r="E74" s="75" t="n">
        <f aca="false">E70+E73</f>
        <v>183093.75</v>
      </c>
      <c r="F74" s="75" t="n">
        <f aca="false">F70+F73</f>
        <v>181125</v>
      </c>
      <c r="G74" s="75" t="n">
        <f aca="false">G70+G73</f>
        <v>179156.25</v>
      </c>
      <c r="H74" s="75" t="n">
        <f aca="false">H70+H73</f>
        <v>177187.5</v>
      </c>
      <c r="I74" s="75" t="n">
        <f aca="false">I70+I73</f>
        <v>175218.75</v>
      </c>
      <c r="J74" s="75" t="n">
        <f aca="false">J70+J73</f>
        <v>173250</v>
      </c>
      <c r="K74" s="75" t="n">
        <f aca="false">K70+K73</f>
        <v>171281.25</v>
      </c>
      <c r="L74" s="75" t="n">
        <f aca="false">L70+L73</f>
        <v>169312.5</v>
      </c>
      <c r="M74" s="75" t="n">
        <f aca="false">M70+M73</f>
        <v>167343.75</v>
      </c>
      <c r="N74" s="75" t="n">
        <f aca="false">N70+N73</f>
        <v>165375</v>
      </c>
      <c r="O74" s="75" t="n">
        <f aca="false">O70+O73</f>
        <v>173302.083333333</v>
      </c>
      <c r="P74" s="75" t="n">
        <f aca="false">P70+P73</f>
        <v>171229.166666667</v>
      </c>
      <c r="Q74" s="75" t="n">
        <f aca="false">Q70+Q73</f>
        <v>169156.25</v>
      </c>
      <c r="R74" s="75" t="n">
        <f aca="false">R70+R73</f>
        <v>167083.333333333</v>
      </c>
      <c r="S74" s="75" t="n">
        <f aca="false">S70+S73</f>
        <v>165010.416666667</v>
      </c>
      <c r="T74" s="75" t="n">
        <f aca="false">T70+T73</f>
        <v>162937.5</v>
      </c>
      <c r="U74" s="75" t="n">
        <f aca="false">U70+U73</f>
        <v>160864.583333333</v>
      </c>
      <c r="V74" s="75" t="n">
        <f aca="false">V70+V73</f>
        <v>158791.666666667</v>
      </c>
      <c r="W74" s="75" t="n">
        <f aca="false">W70+W73</f>
        <v>156718.75</v>
      </c>
      <c r="X74" s="75" t="n">
        <f aca="false">X70+X73</f>
        <v>154645.833333333</v>
      </c>
      <c r="Y74" s="75" t="n">
        <f aca="false">Y70+Y73</f>
        <v>152572.916666667</v>
      </c>
      <c r="Z74" s="75" t="n">
        <f aca="false">Z70+Z73</f>
        <v>150500</v>
      </c>
      <c r="AA74" s="75" t="n">
        <f aca="false">AA70+AA73</f>
        <v>158322.916666667</v>
      </c>
      <c r="AB74" s="75" t="n">
        <f aca="false">AB70+AB73</f>
        <v>156145.833333333</v>
      </c>
      <c r="AC74" s="75" t="n">
        <f aca="false">AC70+AC73</f>
        <v>153968.75</v>
      </c>
      <c r="AD74" s="75" t="n">
        <f aca="false">AD70+AD73</f>
        <v>151791.666666667</v>
      </c>
      <c r="AE74" s="75" t="n">
        <f aca="false">AE70+AE73</f>
        <v>149614.583333333</v>
      </c>
      <c r="AF74" s="75" t="n">
        <f aca="false">AF70+AF73</f>
        <v>147437.5</v>
      </c>
      <c r="AG74" s="75" t="n">
        <f aca="false">AG70+AG73</f>
        <v>145260.416666667</v>
      </c>
      <c r="AH74" s="75" t="n">
        <f aca="false">AH70+AH73</f>
        <v>143083.333333333</v>
      </c>
      <c r="AI74" s="75" t="n">
        <f aca="false">AI70+AI73</f>
        <v>140906.25</v>
      </c>
      <c r="AJ74" s="75" t="n">
        <f aca="false">AJ70+AJ73</f>
        <v>138729.166666667</v>
      </c>
      <c r="AK74" s="75" t="n">
        <f aca="false">AK70+AK73</f>
        <v>136552.083333333</v>
      </c>
      <c r="AL74" s="75" t="n">
        <f aca="false">AL70+AL73</f>
        <v>134375</v>
      </c>
      <c r="AM74" s="75" t="n">
        <f aca="false">AM70+AM73</f>
        <v>142093.75</v>
      </c>
      <c r="AN74" s="75" t="n">
        <f aca="false">AN70+AN73</f>
        <v>139812.5</v>
      </c>
      <c r="AO74" s="75" t="n">
        <f aca="false">AO70+AO73</f>
        <v>137531.25</v>
      </c>
      <c r="AP74" s="75" t="n">
        <f aca="false">AP70+AP73</f>
        <v>135250</v>
      </c>
      <c r="AQ74" s="75" t="n">
        <f aca="false">AQ70+AQ73</f>
        <v>132968.75</v>
      </c>
      <c r="AR74" s="75" t="n">
        <f aca="false">AR70+AR73</f>
        <v>130687.5</v>
      </c>
      <c r="AS74" s="75" t="n">
        <f aca="false">AS70+AS73</f>
        <v>128406.25</v>
      </c>
      <c r="AT74" s="75" t="n">
        <f aca="false">AT70+AT73</f>
        <v>126125</v>
      </c>
      <c r="AU74" s="75" t="n">
        <f aca="false">AU70+AU73</f>
        <v>123843.75</v>
      </c>
      <c r="AV74" s="75" t="n">
        <f aca="false">AV70+AV73</f>
        <v>121562.5</v>
      </c>
      <c r="AW74" s="75" t="n">
        <f aca="false">AW70+AW73</f>
        <v>119281.25</v>
      </c>
      <c r="AX74" s="75" t="n">
        <f aca="false">AX70+AX73</f>
        <v>117000</v>
      </c>
      <c r="AY74" s="75" t="n">
        <f aca="false">AY70+AY73</f>
        <v>124614.583333333</v>
      </c>
      <c r="AZ74" s="75" t="n">
        <f aca="false">AZ70+AZ73</f>
        <v>122229.166666667</v>
      </c>
      <c r="BA74" s="75" t="n">
        <f aca="false">BA70+BA73</f>
        <v>119843.75</v>
      </c>
      <c r="BB74" s="75" t="n">
        <f aca="false">BB70+BB73</f>
        <v>117458.333333333</v>
      </c>
      <c r="BC74" s="75" t="n">
        <f aca="false">BC70+BC73</f>
        <v>115072.916666667</v>
      </c>
      <c r="BD74" s="75" t="n">
        <f aca="false">BD70+BD73</f>
        <v>112687.5</v>
      </c>
      <c r="BE74" s="75" t="n">
        <f aca="false">BE70+BE73</f>
        <v>110302.083333333</v>
      </c>
      <c r="BF74" s="75" t="n">
        <f aca="false">BF70+BF73</f>
        <v>107916.666666667</v>
      </c>
      <c r="BG74" s="75" t="n">
        <f aca="false">BG70+BG73</f>
        <v>105531.25</v>
      </c>
      <c r="BH74" s="75" t="n">
        <f aca="false">BH70+BH73</f>
        <v>103145.833333333</v>
      </c>
      <c r="BI74" s="75" t="n">
        <f aca="false">BI70+BI73</f>
        <v>100760.416666667</v>
      </c>
      <c r="BJ74" s="75" t="n">
        <f aca="false">BJ70+BJ73</f>
        <v>98375</v>
      </c>
    </row>
    <row r="76" customFormat="false" ht="15.75" hidden="false" customHeight="true" outlineLevel="0" collapsed="false">
      <c r="A76" s="7" t="s">
        <v>441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customFormat="false" ht="15" hidden="false" customHeight="false" outlineLevel="0" collapsed="false">
      <c r="A77" s="6" t="s">
        <v>442</v>
      </c>
      <c r="C77" s="69" t="n">
        <f aca="false">0</f>
        <v>0</v>
      </c>
      <c r="D77" s="69" t="n">
        <f aca="false">C80</f>
        <v>100000</v>
      </c>
      <c r="E77" s="69" t="n">
        <f aca="false">D80</f>
        <v>98333.3333333333</v>
      </c>
      <c r="F77" s="69" t="n">
        <f aca="false">E80</f>
        <v>96666.6666666667</v>
      </c>
      <c r="G77" s="69" t="n">
        <f aca="false">F80</f>
        <v>95000</v>
      </c>
      <c r="H77" s="69" t="n">
        <f aca="false">G80</f>
        <v>93333.3333333333</v>
      </c>
      <c r="I77" s="69" t="n">
        <f aca="false">H80</f>
        <v>91666.6666666666</v>
      </c>
      <c r="J77" s="69" t="n">
        <f aca="false">I80</f>
        <v>90000</v>
      </c>
      <c r="K77" s="69" t="n">
        <f aca="false">J80</f>
        <v>88333.3333333333</v>
      </c>
      <c r="L77" s="69" t="n">
        <f aca="false">K80</f>
        <v>86666.6666666666</v>
      </c>
      <c r="M77" s="69" t="n">
        <f aca="false">L80</f>
        <v>85000</v>
      </c>
      <c r="N77" s="69" t="n">
        <f aca="false">M80</f>
        <v>83333.3333333333</v>
      </c>
      <c r="O77" s="69" t="n">
        <f aca="false">N80</f>
        <v>81666.6666666666</v>
      </c>
      <c r="P77" s="69" t="n">
        <f aca="false">O80</f>
        <v>79999.9999999999</v>
      </c>
      <c r="Q77" s="69" t="n">
        <f aca="false">P80</f>
        <v>78333.3333333333</v>
      </c>
      <c r="R77" s="69" t="n">
        <f aca="false">Q80</f>
        <v>76666.6666666666</v>
      </c>
      <c r="S77" s="69" t="n">
        <f aca="false">R80</f>
        <v>74999.9999999999</v>
      </c>
      <c r="T77" s="69" t="n">
        <f aca="false">S80</f>
        <v>73333.3333333333</v>
      </c>
      <c r="U77" s="69" t="n">
        <f aca="false">T80</f>
        <v>71666.6666666666</v>
      </c>
      <c r="V77" s="69" t="n">
        <f aca="false">U80</f>
        <v>69999.9999999999</v>
      </c>
      <c r="W77" s="69" t="n">
        <f aca="false">V80</f>
        <v>68333.3333333332</v>
      </c>
      <c r="X77" s="69" t="n">
        <f aca="false">W80</f>
        <v>66666.6666666666</v>
      </c>
      <c r="Y77" s="69" t="n">
        <f aca="false">X80</f>
        <v>64999.9999999999</v>
      </c>
      <c r="Z77" s="69" t="n">
        <f aca="false">Y80</f>
        <v>63333.3333333332</v>
      </c>
      <c r="AA77" s="69" t="n">
        <f aca="false">Z80</f>
        <v>61666.6666666666</v>
      </c>
      <c r="AB77" s="69" t="n">
        <f aca="false">AA80</f>
        <v>59999.9999999999</v>
      </c>
      <c r="AC77" s="69" t="n">
        <f aca="false">AB80</f>
        <v>58333.3333333333</v>
      </c>
      <c r="AD77" s="69" t="n">
        <f aca="false">AC80</f>
        <v>56666.6666666666</v>
      </c>
      <c r="AE77" s="69" t="n">
        <f aca="false">AD80</f>
        <v>54999.9999999999</v>
      </c>
      <c r="AF77" s="69" t="n">
        <f aca="false">AE80</f>
        <v>53333.3333333333</v>
      </c>
      <c r="AG77" s="69" t="n">
        <f aca="false">AF80</f>
        <v>51666.6666666666</v>
      </c>
      <c r="AH77" s="69" t="n">
        <f aca="false">AG80</f>
        <v>49999.9999999999</v>
      </c>
      <c r="AI77" s="69" t="n">
        <f aca="false">AH80</f>
        <v>48333.3333333333</v>
      </c>
      <c r="AJ77" s="69" t="n">
        <f aca="false">AI80</f>
        <v>46666.6666666666</v>
      </c>
      <c r="AK77" s="69" t="n">
        <f aca="false">AJ80</f>
        <v>44999.9999999999</v>
      </c>
      <c r="AL77" s="69" t="n">
        <f aca="false">AK80</f>
        <v>43333.3333333333</v>
      </c>
      <c r="AM77" s="69" t="n">
        <f aca="false">AL80</f>
        <v>41666.6666666666</v>
      </c>
      <c r="AN77" s="69" t="n">
        <f aca="false">AM80</f>
        <v>39999.9999999999</v>
      </c>
      <c r="AO77" s="69" t="n">
        <f aca="false">AN80</f>
        <v>38333.3333333333</v>
      </c>
      <c r="AP77" s="69" t="n">
        <f aca="false">AO80</f>
        <v>36666.6666666666</v>
      </c>
      <c r="AQ77" s="69" t="n">
        <f aca="false">AP80</f>
        <v>35000</v>
      </c>
      <c r="AR77" s="69" t="n">
        <f aca="false">AQ80</f>
        <v>33333.3333333333</v>
      </c>
      <c r="AS77" s="69" t="n">
        <f aca="false">AR80</f>
        <v>31666.6666666666</v>
      </c>
      <c r="AT77" s="69" t="n">
        <f aca="false">AS80</f>
        <v>30000</v>
      </c>
      <c r="AU77" s="69" t="n">
        <f aca="false">AT80</f>
        <v>28333.3333333333</v>
      </c>
      <c r="AV77" s="69" t="n">
        <f aca="false">AU80</f>
        <v>26666.6666666666</v>
      </c>
      <c r="AW77" s="69" t="n">
        <f aca="false">AV80</f>
        <v>24999.9999999999</v>
      </c>
      <c r="AX77" s="69" t="n">
        <f aca="false">AW80</f>
        <v>23333.3333333333</v>
      </c>
      <c r="AY77" s="69" t="n">
        <f aca="false">AX80</f>
        <v>21666.6666666666</v>
      </c>
      <c r="AZ77" s="69" t="n">
        <f aca="false">AY80</f>
        <v>19999.9999999999</v>
      </c>
      <c r="BA77" s="69" t="n">
        <f aca="false">AZ80</f>
        <v>18333.3333333333</v>
      </c>
      <c r="BB77" s="69" t="n">
        <f aca="false">BA80</f>
        <v>16666.6666666666</v>
      </c>
      <c r="BC77" s="69" t="n">
        <f aca="false">BB80</f>
        <v>14999.9999999999</v>
      </c>
      <c r="BD77" s="69" t="n">
        <f aca="false">BC80</f>
        <v>13333.3333333333</v>
      </c>
      <c r="BE77" s="69" t="n">
        <f aca="false">BD80</f>
        <v>11666.6666666666</v>
      </c>
      <c r="BF77" s="69" t="n">
        <f aca="false">BE80</f>
        <v>9999.99999999994</v>
      </c>
      <c r="BG77" s="69" t="n">
        <f aca="false">BF80</f>
        <v>8333.33333333328</v>
      </c>
      <c r="BH77" s="69" t="n">
        <f aca="false">BG80</f>
        <v>6666.66666666661</v>
      </c>
      <c r="BI77" s="69" t="n">
        <f aca="false">BH80</f>
        <v>4999.99999999994</v>
      </c>
      <c r="BJ77" s="69" t="n">
        <f aca="false">BI80</f>
        <v>3333.33333333328</v>
      </c>
    </row>
    <row r="78" customFormat="false" ht="15" hidden="false" customHeight="false" outlineLevel="0" collapsed="false">
      <c r="A78" s="6" t="s">
        <v>85</v>
      </c>
      <c r="C78" s="69" t="n">
        <f aca="false">IF(C$6=1,Inputs!$B$72,0)</f>
        <v>100000</v>
      </c>
      <c r="D78" s="69" t="n">
        <f aca="false">IF(D$6=1,Inputs!$B$72,0)</f>
        <v>0</v>
      </c>
      <c r="E78" s="69" t="n">
        <f aca="false">IF(E$6=1,Inputs!$B$72,0)</f>
        <v>0</v>
      </c>
      <c r="F78" s="69" t="n">
        <f aca="false">IF(F$6=1,Inputs!$B$72,0)</f>
        <v>0</v>
      </c>
      <c r="G78" s="69" t="n">
        <f aca="false">IF(G$6=1,Inputs!$B$72,0)</f>
        <v>0</v>
      </c>
      <c r="H78" s="69" t="n">
        <f aca="false">IF(H$6=1,Inputs!$B$72,0)</f>
        <v>0</v>
      </c>
      <c r="I78" s="69" t="n">
        <f aca="false">IF(I$6=1,Inputs!$B$72,0)</f>
        <v>0</v>
      </c>
      <c r="J78" s="69" t="n">
        <f aca="false">IF(J$6=1,Inputs!$B$72,0)</f>
        <v>0</v>
      </c>
      <c r="K78" s="69" t="n">
        <f aca="false">IF(K$6=1,Inputs!$B$72,0)</f>
        <v>0</v>
      </c>
      <c r="L78" s="69" t="n">
        <f aca="false">IF(L$6=1,Inputs!$B$72,0)</f>
        <v>0</v>
      </c>
      <c r="M78" s="69" t="n">
        <f aca="false">IF(M$6=1,Inputs!$B$72,0)</f>
        <v>0</v>
      </c>
      <c r="N78" s="69" t="n">
        <f aca="false">IF(N$6=1,Inputs!$B$72,0)</f>
        <v>0</v>
      </c>
      <c r="O78" s="69" t="n">
        <f aca="false">IF(O$6=1,Inputs!$B$72,0)</f>
        <v>0</v>
      </c>
      <c r="P78" s="69" t="n">
        <f aca="false">IF(P$6=1,Inputs!$B$72,0)</f>
        <v>0</v>
      </c>
      <c r="Q78" s="69" t="n">
        <f aca="false">IF(Q$6=1,Inputs!$B$72,0)</f>
        <v>0</v>
      </c>
      <c r="R78" s="69" t="n">
        <f aca="false">IF(R$6=1,Inputs!$B$72,0)</f>
        <v>0</v>
      </c>
      <c r="S78" s="69" t="n">
        <f aca="false">IF(S$6=1,Inputs!$B$72,0)</f>
        <v>0</v>
      </c>
      <c r="T78" s="69" t="n">
        <f aca="false">IF(T$6=1,Inputs!$B$72,0)</f>
        <v>0</v>
      </c>
      <c r="U78" s="69" t="n">
        <f aca="false">IF(U$6=1,Inputs!$B$72,0)</f>
        <v>0</v>
      </c>
      <c r="V78" s="69" t="n">
        <f aca="false">IF(V$6=1,Inputs!$B$72,0)</f>
        <v>0</v>
      </c>
      <c r="W78" s="69" t="n">
        <f aca="false">IF(W$6=1,Inputs!$B$72,0)</f>
        <v>0</v>
      </c>
      <c r="X78" s="69" t="n">
        <f aca="false">IF(X$6=1,Inputs!$B$72,0)</f>
        <v>0</v>
      </c>
      <c r="Y78" s="69" t="n">
        <f aca="false">IF(Y$6=1,Inputs!$B$72,0)</f>
        <v>0</v>
      </c>
      <c r="Z78" s="69" t="n">
        <f aca="false">IF(Z$6=1,Inputs!$B$72,0)</f>
        <v>0</v>
      </c>
      <c r="AA78" s="69" t="n">
        <f aca="false">IF(AA$6=1,Inputs!$B$72,0)</f>
        <v>0</v>
      </c>
      <c r="AB78" s="69" t="n">
        <f aca="false">IF(AB$6=1,Inputs!$B$72,0)</f>
        <v>0</v>
      </c>
      <c r="AC78" s="69" t="n">
        <f aca="false">IF(AC$6=1,Inputs!$B$72,0)</f>
        <v>0</v>
      </c>
      <c r="AD78" s="69" t="n">
        <f aca="false">IF(AD$6=1,Inputs!$B$72,0)</f>
        <v>0</v>
      </c>
      <c r="AE78" s="69" t="n">
        <f aca="false">IF(AE$6=1,Inputs!$B$72,0)</f>
        <v>0</v>
      </c>
      <c r="AF78" s="69" t="n">
        <f aca="false">IF(AF$6=1,Inputs!$B$72,0)</f>
        <v>0</v>
      </c>
      <c r="AG78" s="69" t="n">
        <f aca="false">IF(AG$6=1,Inputs!$B$72,0)</f>
        <v>0</v>
      </c>
      <c r="AH78" s="69" t="n">
        <f aca="false">IF(AH$6=1,Inputs!$B$72,0)</f>
        <v>0</v>
      </c>
      <c r="AI78" s="69" t="n">
        <f aca="false">IF(AI$6=1,Inputs!$B$72,0)</f>
        <v>0</v>
      </c>
      <c r="AJ78" s="69" t="n">
        <f aca="false">IF(AJ$6=1,Inputs!$B$72,0)</f>
        <v>0</v>
      </c>
      <c r="AK78" s="69" t="n">
        <f aca="false">IF(AK$6=1,Inputs!$B$72,0)</f>
        <v>0</v>
      </c>
      <c r="AL78" s="69" t="n">
        <f aca="false">IF(AL$6=1,Inputs!$B$72,0)</f>
        <v>0</v>
      </c>
      <c r="AM78" s="69" t="n">
        <f aca="false">IF(AM$6=1,Inputs!$B$72,0)</f>
        <v>0</v>
      </c>
      <c r="AN78" s="69" t="n">
        <f aca="false">IF(AN$6=1,Inputs!$B$72,0)</f>
        <v>0</v>
      </c>
      <c r="AO78" s="69" t="n">
        <f aca="false">IF(AO$6=1,Inputs!$B$72,0)</f>
        <v>0</v>
      </c>
      <c r="AP78" s="69" t="n">
        <f aca="false">IF(AP$6=1,Inputs!$B$72,0)</f>
        <v>0</v>
      </c>
      <c r="AQ78" s="69" t="n">
        <f aca="false">IF(AQ$6=1,Inputs!$B$72,0)</f>
        <v>0</v>
      </c>
      <c r="AR78" s="69" t="n">
        <f aca="false">IF(AR$6=1,Inputs!$B$72,0)</f>
        <v>0</v>
      </c>
      <c r="AS78" s="69" t="n">
        <f aca="false">IF(AS$6=1,Inputs!$B$72,0)</f>
        <v>0</v>
      </c>
      <c r="AT78" s="69" t="n">
        <f aca="false">IF(AT$6=1,Inputs!$B$72,0)</f>
        <v>0</v>
      </c>
      <c r="AU78" s="69" t="n">
        <f aca="false">IF(AU$6=1,Inputs!$B$72,0)</f>
        <v>0</v>
      </c>
      <c r="AV78" s="69" t="n">
        <f aca="false">IF(AV$6=1,Inputs!$B$72,0)</f>
        <v>0</v>
      </c>
      <c r="AW78" s="69" t="n">
        <f aca="false">IF(AW$6=1,Inputs!$B$72,0)</f>
        <v>0</v>
      </c>
      <c r="AX78" s="69" t="n">
        <f aca="false">IF(AX$6=1,Inputs!$B$72,0)</f>
        <v>0</v>
      </c>
      <c r="AY78" s="69" t="n">
        <f aca="false">IF(AY$6=1,Inputs!$B$72,0)</f>
        <v>0</v>
      </c>
      <c r="AZ78" s="69" t="n">
        <f aca="false">IF(AZ$6=1,Inputs!$B$72,0)</f>
        <v>0</v>
      </c>
      <c r="BA78" s="69" t="n">
        <f aca="false">IF(BA$6=1,Inputs!$B$72,0)</f>
        <v>0</v>
      </c>
      <c r="BB78" s="69" t="n">
        <f aca="false">IF(BB$6=1,Inputs!$B$72,0)</f>
        <v>0</v>
      </c>
      <c r="BC78" s="69" t="n">
        <f aca="false">IF(BC$6=1,Inputs!$B$72,0)</f>
        <v>0</v>
      </c>
      <c r="BD78" s="69" t="n">
        <f aca="false">IF(BD$6=1,Inputs!$B$72,0)</f>
        <v>0</v>
      </c>
      <c r="BE78" s="69" t="n">
        <f aca="false">IF(BE$6=1,Inputs!$B$72,0)</f>
        <v>0</v>
      </c>
      <c r="BF78" s="69" t="n">
        <f aca="false">IF(BF$6=1,Inputs!$B$72,0)</f>
        <v>0</v>
      </c>
      <c r="BG78" s="69" t="n">
        <f aca="false">IF(BG$6=1,Inputs!$B$72,0)</f>
        <v>0</v>
      </c>
      <c r="BH78" s="69" t="n">
        <f aca="false">IF(BH$6=1,Inputs!$B$72,0)</f>
        <v>0</v>
      </c>
      <c r="BI78" s="69" t="n">
        <f aca="false">IF(BI$6=1,Inputs!$B$72,0)</f>
        <v>0</v>
      </c>
      <c r="BJ78" s="69" t="n">
        <f aca="false">IF(BJ$6=1,Inputs!$B$72,0)</f>
        <v>0</v>
      </c>
    </row>
    <row r="79" customFormat="false" ht="15" hidden="false" customHeight="false" outlineLevel="0" collapsed="false">
      <c r="A79" s="6" t="s">
        <v>86</v>
      </c>
      <c r="C79" s="69" t="n">
        <f aca="false">-MIN(C77,Inputs!$B$72/MAX(1,Inputs!$B$74*12))</f>
        <v>-0</v>
      </c>
      <c r="D79" s="69" t="n">
        <f aca="false">-MIN(D77,Inputs!$B$72/MAX(1,Inputs!$B$74*12))</f>
        <v>-1666.66666666667</v>
      </c>
      <c r="E79" s="69" t="n">
        <f aca="false">-MIN(E77,Inputs!$B$72/MAX(1,Inputs!$B$74*12))</f>
        <v>-1666.66666666667</v>
      </c>
      <c r="F79" s="69" t="n">
        <f aca="false">-MIN(F77,Inputs!$B$72/MAX(1,Inputs!$B$74*12))</f>
        <v>-1666.66666666667</v>
      </c>
      <c r="G79" s="69" t="n">
        <f aca="false">-MIN(G77,Inputs!$B$72/MAX(1,Inputs!$B$74*12))</f>
        <v>-1666.66666666667</v>
      </c>
      <c r="H79" s="69" t="n">
        <f aca="false">-MIN(H77,Inputs!$B$72/MAX(1,Inputs!$B$74*12))</f>
        <v>-1666.66666666667</v>
      </c>
      <c r="I79" s="69" t="n">
        <f aca="false">-MIN(I77,Inputs!$B$72/MAX(1,Inputs!$B$74*12))</f>
        <v>-1666.66666666667</v>
      </c>
      <c r="J79" s="69" t="n">
        <f aca="false">-MIN(J77,Inputs!$B$72/MAX(1,Inputs!$B$74*12))</f>
        <v>-1666.66666666667</v>
      </c>
      <c r="K79" s="69" t="n">
        <f aca="false">-MIN(K77,Inputs!$B$72/MAX(1,Inputs!$B$74*12))</f>
        <v>-1666.66666666667</v>
      </c>
      <c r="L79" s="69" t="n">
        <f aca="false">-MIN(L77,Inputs!$B$72/MAX(1,Inputs!$B$74*12))</f>
        <v>-1666.66666666667</v>
      </c>
      <c r="M79" s="69" t="n">
        <f aca="false">-MIN(M77,Inputs!$B$72/MAX(1,Inputs!$B$74*12))</f>
        <v>-1666.66666666667</v>
      </c>
      <c r="N79" s="69" t="n">
        <f aca="false">-MIN(N77,Inputs!$B$72/MAX(1,Inputs!$B$74*12))</f>
        <v>-1666.66666666667</v>
      </c>
      <c r="O79" s="69" t="n">
        <f aca="false">-MIN(O77,Inputs!$B$72/MAX(1,Inputs!$B$74*12))</f>
        <v>-1666.66666666667</v>
      </c>
      <c r="P79" s="69" t="n">
        <f aca="false">-MIN(P77,Inputs!$B$72/MAX(1,Inputs!$B$74*12))</f>
        <v>-1666.66666666667</v>
      </c>
      <c r="Q79" s="69" t="n">
        <f aca="false">-MIN(Q77,Inputs!$B$72/MAX(1,Inputs!$B$74*12))</f>
        <v>-1666.66666666667</v>
      </c>
      <c r="R79" s="69" t="n">
        <f aca="false">-MIN(R77,Inputs!$B$72/MAX(1,Inputs!$B$74*12))</f>
        <v>-1666.66666666667</v>
      </c>
      <c r="S79" s="69" t="n">
        <f aca="false">-MIN(S77,Inputs!$B$72/MAX(1,Inputs!$B$74*12))</f>
        <v>-1666.66666666667</v>
      </c>
      <c r="T79" s="69" t="n">
        <f aca="false">-MIN(T77,Inputs!$B$72/MAX(1,Inputs!$B$74*12))</f>
        <v>-1666.66666666667</v>
      </c>
      <c r="U79" s="69" t="n">
        <f aca="false">-MIN(U77,Inputs!$B$72/MAX(1,Inputs!$B$74*12))</f>
        <v>-1666.66666666667</v>
      </c>
      <c r="V79" s="69" t="n">
        <f aca="false">-MIN(V77,Inputs!$B$72/MAX(1,Inputs!$B$74*12))</f>
        <v>-1666.66666666667</v>
      </c>
      <c r="W79" s="69" t="n">
        <f aca="false">-MIN(W77,Inputs!$B$72/MAX(1,Inputs!$B$74*12))</f>
        <v>-1666.66666666667</v>
      </c>
      <c r="X79" s="69" t="n">
        <f aca="false">-MIN(X77,Inputs!$B$72/MAX(1,Inputs!$B$74*12))</f>
        <v>-1666.66666666667</v>
      </c>
      <c r="Y79" s="69" t="n">
        <f aca="false">-MIN(Y77,Inputs!$B$72/MAX(1,Inputs!$B$74*12))</f>
        <v>-1666.66666666667</v>
      </c>
      <c r="Z79" s="69" t="n">
        <f aca="false">-MIN(Z77,Inputs!$B$72/MAX(1,Inputs!$B$74*12))</f>
        <v>-1666.66666666667</v>
      </c>
      <c r="AA79" s="69" t="n">
        <f aca="false">-MIN(AA77,Inputs!$B$72/MAX(1,Inputs!$B$74*12))</f>
        <v>-1666.66666666667</v>
      </c>
      <c r="AB79" s="69" t="n">
        <f aca="false">-MIN(AB77,Inputs!$B$72/MAX(1,Inputs!$B$74*12))</f>
        <v>-1666.66666666667</v>
      </c>
      <c r="AC79" s="69" t="n">
        <f aca="false">-MIN(AC77,Inputs!$B$72/MAX(1,Inputs!$B$74*12))</f>
        <v>-1666.66666666667</v>
      </c>
      <c r="AD79" s="69" t="n">
        <f aca="false">-MIN(AD77,Inputs!$B$72/MAX(1,Inputs!$B$74*12))</f>
        <v>-1666.66666666667</v>
      </c>
      <c r="AE79" s="69" t="n">
        <f aca="false">-MIN(AE77,Inputs!$B$72/MAX(1,Inputs!$B$74*12))</f>
        <v>-1666.66666666667</v>
      </c>
      <c r="AF79" s="69" t="n">
        <f aca="false">-MIN(AF77,Inputs!$B$72/MAX(1,Inputs!$B$74*12))</f>
        <v>-1666.66666666667</v>
      </c>
      <c r="AG79" s="69" t="n">
        <f aca="false">-MIN(AG77,Inputs!$B$72/MAX(1,Inputs!$B$74*12))</f>
        <v>-1666.66666666667</v>
      </c>
      <c r="AH79" s="69" t="n">
        <f aca="false">-MIN(AH77,Inputs!$B$72/MAX(1,Inputs!$B$74*12))</f>
        <v>-1666.66666666667</v>
      </c>
      <c r="AI79" s="69" t="n">
        <f aca="false">-MIN(AI77,Inputs!$B$72/MAX(1,Inputs!$B$74*12))</f>
        <v>-1666.66666666667</v>
      </c>
      <c r="AJ79" s="69" t="n">
        <f aca="false">-MIN(AJ77,Inputs!$B$72/MAX(1,Inputs!$B$74*12))</f>
        <v>-1666.66666666667</v>
      </c>
      <c r="AK79" s="69" t="n">
        <f aca="false">-MIN(AK77,Inputs!$B$72/MAX(1,Inputs!$B$74*12))</f>
        <v>-1666.66666666667</v>
      </c>
      <c r="AL79" s="69" t="n">
        <f aca="false">-MIN(AL77,Inputs!$B$72/MAX(1,Inputs!$B$74*12))</f>
        <v>-1666.66666666667</v>
      </c>
      <c r="AM79" s="69" t="n">
        <f aca="false">-MIN(AM77,Inputs!$B$72/MAX(1,Inputs!$B$74*12))</f>
        <v>-1666.66666666667</v>
      </c>
      <c r="AN79" s="69" t="n">
        <f aca="false">-MIN(AN77,Inputs!$B$72/MAX(1,Inputs!$B$74*12))</f>
        <v>-1666.66666666667</v>
      </c>
      <c r="AO79" s="69" t="n">
        <f aca="false">-MIN(AO77,Inputs!$B$72/MAX(1,Inputs!$B$74*12))</f>
        <v>-1666.66666666667</v>
      </c>
      <c r="AP79" s="69" t="n">
        <f aca="false">-MIN(AP77,Inputs!$B$72/MAX(1,Inputs!$B$74*12))</f>
        <v>-1666.66666666667</v>
      </c>
      <c r="AQ79" s="69" t="n">
        <f aca="false">-MIN(AQ77,Inputs!$B$72/MAX(1,Inputs!$B$74*12))</f>
        <v>-1666.66666666667</v>
      </c>
      <c r="AR79" s="69" t="n">
        <f aca="false">-MIN(AR77,Inputs!$B$72/MAX(1,Inputs!$B$74*12))</f>
        <v>-1666.66666666667</v>
      </c>
      <c r="AS79" s="69" t="n">
        <f aca="false">-MIN(AS77,Inputs!$B$72/MAX(1,Inputs!$B$74*12))</f>
        <v>-1666.66666666667</v>
      </c>
      <c r="AT79" s="69" t="n">
        <f aca="false">-MIN(AT77,Inputs!$B$72/MAX(1,Inputs!$B$74*12))</f>
        <v>-1666.66666666667</v>
      </c>
      <c r="AU79" s="69" t="n">
        <f aca="false">-MIN(AU77,Inputs!$B$72/MAX(1,Inputs!$B$74*12))</f>
        <v>-1666.66666666667</v>
      </c>
      <c r="AV79" s="69" t="n">
        <f aca="false">-MIN(AV77,Inputs!$B$72/MAX(1,Inputs!$B$74*12))</f>
        <v>-1666.66666666667</v>
      </c>
      <c r="AW79" s="69" t="n">
        <f aca="false">-MIN(AW77,Inputs!$B$72/MAX(1,Inputs!$B$74*12))</f>
        <v>-1666.66666666667</v>
      </c>
      <c r="AX79" s="69" t="n">
        <f aca="false">-MIN(AX77,Inputs!$B$72/MAX(1,Inputs!$B$74*12))</f>
        <v>-1666.66666666667</v>
      </c>
      <c r="AY79" s="69" t="n">
        <f aca="false">-MIN(AY77,Inputs!$B$72/MAX(1,Inputs!$B$74*12))</f>
        <v>-1666.66666666667</v>
      </c>
      <c r="AZ79" s="69" t="n">
        <f aca="false">-MIN(AZ77,Inputs!$B$72/MAX(1,Inputs!$B$74*12))</f>
        <v>-1666.66666666667</v>
      </c>
      <c r="BA79" s="69" t="n">
        <f aca="false">-MIN(BA77,Inputs!$B$72/MAX(1,Inputs!$B$74*12))</f>
        <v>-1666.66666666667</v>
      </c>
      <c r="BB79" s="69" t="n">
        <f aca="false">-MIN(BB77,Inputs!$B$72/MAX(1,Inputs!$B$74*12))</f>
        <v>-1666.66666666667</v>
      </c>
      <c r="BC79" s="69" t="n">
        <f aca="false">-MIN(BC77,Inputs!$B$72/MAX(1,Inputs!$B$74*12))</f>
        <v>-1666.66666666667</v>
      </c>
      <c r="BD79" s="69" t="n">
        <f aca="false">-MIN(BD77,Inputs!$B$72/MAX(1,Inputs!$B$74*12))</f>
        <v>-1666.66666666667</v>
      </c>
      <c r="BE79" s="69" t="n">
        <f aca="false">-MIN(BE77,Inputs!$B$72/MAX(1,Inputs!$B$74*12))</f>
        <v>-1666.66666666667</v>
      </c>
      <c r="BF79" s="69" t="n">
        <f aca="false">-MIN(BF77,Inputs!$B$72/MAX(1,Inputs!$B$74*12))</f>
        <v>-1666.66666666667</v>
      </c>
      <c r="BG79" s="69" t="n">
        <f aca="false">-MIN(BG77,Inputs!$B$72/MAX(1,Inputs!$B$74*12))</f>
        <v>-1666.66666666667</v>
      </c>
      <c r="BH79" s="69" t="n">
        <f aca="false">-MIN(BH77,Inputs!$B$72/MAX(1,Inputs!$B$74*12))</f>
        <v>-1666.66666666667</v>
      </c>
      <c r="BI79" s="69" t="n">
        <f aca="false">-MIN(BI77,Inputs!$B$72/MAX(1,Inputs!$B$74*12))</f>
        <v>-1666.66666666667</v>
      </c>
      <c r="BJ79" s="69" t="n">
        <f aca="false">-MIN(BJ77,Inputs!$B$72/MAX(1,Inputs!$B$74*12))</f>
        <v>-1666.66666666667</v>
      </c>
    </row>
    <row r="80" customFormat="false" ht="15" hidden="false" customHeight="false" outlineLevel="0" collapsed="false">
      <c r="A80" s="4" t="s">
        <v>443</v>
      </c>
      <c r="C80" s="75" t="n">
        <f aca="false">C77+C78+C79</f>
        <v>100000</v>
      </c>
      <c r="D80" s="75" t="n">
        <f aca="false">D77+D78+D79</f>
        <v>98333.3333333333</v>
      </c>
      <c r="E80" s="75" t="n">
        <f aca="false">E77+E78+E79</f>
        <v>96666.6666666667</v>
      </c>
      <c r="F80" s="75" t="n">
        <f aca="false">F77+F78+F79</f>
        <v>95000</v>
      </c>
      <c r="G80" s="75" t="n">
        <f aca="false">G77+G78+G79</f>
        <v>93333.3333333333</v>
      </c>
      <c r="H80" s="75" t="n">
        <f aca="false">H77+H78+H79</f>
        <v>91666.6666666666</v>
      </c>
      <c r="I80" s="75" t="n">
        <f aca="false">I77+I78+I79</f>
        <v>90000</v>
      </c>
      <c r="J80" s="75" t="n">
        <f aca="false">J77+J78+J79</f>
        <v>88333.3333333333</v>
      </c>
      <c r="K80" s="75" t="n">
        <f aca="false">K77+K78+K79</f>
        <v>86666.6666666666</v>
      </c>
      <c r="L80" s="75" t="n">
        <f aca="false">L77+L78+L79</f>
        <v>85000</v>
      </c>
      <c r="M80" s="75" t="n">
        <f aca="false">M77+M78+M79</f>
        <v>83333.3333333333</v>
      </c>
      <c r="N80" s="75" t="n">
        <f aca="false">N77+N78+N79</f>
        <v>81666.6666666666</v>
      </c>
      <c r="O80" s="75" t="n">
        <f aca="false">O77+O78+O79</f>
        <v>79999.9999999999</v>
      </c>
      <c r="P80" s="75" t="n">
        <f aca="false">P77+P78+P79</f>
        <v>78333.3333333333</v>
      </c>
      <c r="Q80" s="75" t="n">
        <f aca="false">Q77+Q78+Q79</f>
        <v>76666.6666666666</v>
      </c>
      <c r="R80" s="75" t="n">
        <f aca="false">R77+R78+R79</f>
        <v>74999.9999999999</v>
      </c>
      <c r="S80" s="75" t="n">
        <f aca="false">S77+S78+S79</f>
        <v>73333.3333333333</v>
      </c>
      <c r="T80" s="75" t="n">
        <f aca="false">T77+T78+T79</f>
        <v>71666.6666666666</v>
      </c>
      <c r="U80" s="75" t="n">
        <f aca="false">U77+U78+U79</f>
        <v>69999.9999999999</v>
      </c>
      <c r="V80" s="75" t="n">
        <f aca="false">V77+V78+V79</f>
        <v>68333.3333333332</v>
      </c>
      <c r="W80" s="75" t="n">
        <f aca="false">W77+W78+W79</f>
        <v>66666.6666666666</v>
      </c>
      <c r="X80" s="75" t="n">
        <f aca="false">X77+X78+X79</f>
        <v>64999.9999999999</v>
      </c>
      <c r="Y80" s="75" t="n">
        <f aca="false">Y77+Y78+Y79</f>
        <v>63333.3333333332</v>
      </c>
      <c r="Z80" s="75" t="n">
        <f aca="false">Z77+Z78+Z79</f>
        <v>61666.6666666666</v>
      </c>
      <c r="AA80" s="75" t="n">
        <f aca="false">AA77+AA78+AA79</f>
        <v>59999.9999999999</v>
      </c>
      <c r="AB80" s="75" t="n">
        <f aca="false">AB77+AB78+AB79</f>
        <v>58333.3333333333</v>
      </c>
      <c r="AC80" s="75" t="n">
        <f aca="false">AC77+AC78+AC79</f>
        <v>56666.6666666666</v>
      </c>
      <c r="AD80" s="75" t="n">
        <f aca="false">AD77+AD78+AD79</f>
        <v>54999.9999999999</v>
      </c>
      <c r="AE80" s="75" t="n">
        <f aca="false">AE77+AE78+AE79</f>
        <v>53333.3333333333</v>
      </c>
      <c r="AF80" s="75" t="n">
        <f aca="false">AF77+AF78+AF79</f>
        <v>51666.6666666666</v>
      </c>
      <c r="AG80" s="75" t="n">
        <f aca="false">AG77+AG78+AG79</f>
        <v>49999.9999999999</v>
      </c>
      <c r="AH80" s="75" t="n">
        <f aca="false">AH77+AH78+AH79</f>
        <v>48333.3333333333</v>
      </c>
      <c r="AI80" s="75" t="n">
        <f aca="false">AI77+AI78+AI79</f>
        <v>46666.6666666666</v>
      </c>
      <c r="AJ80" s="75" t="n">
        <f aca="false">AJ77+AJ78+AJ79</f>
        <v>44999.9999999999</v>
      </c>
      <c r="AK80" s="75" t="n">
        <f aca="false">AK77+AK78+AK79</f>
        <v>43333.3333333333</v>
      </c>
      <c r="AL80" s="75" t="n">
        <f aca="false">AL77+AL78+AL79</f>
        <v>41666.6666666666</v>
      </c>
      <c r="AM80" s="75" t="n">
        <f aca="false">AM77+AM78+AM79</f>
        <v>39999.9999999999</v>
      </c>
      <c r="AN80" s="75" t="n">
        <f aca="false">AN77+AN78+AN79</f>
        <v>38333.3333333333</v>
      </c>
      <c r="AO80" s="75" t="n">
        <f aca="false">AO77+AO78+AO79</f>
        <v>36666.6666666666</v>
      </c>
      <c r="AP80" s="75" t="n">
        <f aca="false">AP77+AP78+AP79</f>
        <v>35000</v>
      </c>
      <c r="AQ80" s="75" t="n">
        <f aca="false">AQ77+AQ78+AQ79</f>
        <v>33333.3333333333</v>
      </c>
      <c r="AR80" s="75" t="n">
        <f aca="false">AR77+AR78+AR79</f>
        <v>31666.6666666666</v>
      </c>
      <c r="AS80" s="75" t="n">
        <f aca="false">AS77+AS78+AS79</f>
        <v>30000</v>
      </c>
      <c r="AT80" s="75" t="n">
        <f aca="false">AT77+AT78+AT79</f>
        <v>28333.3333333333</v>
      </c>
      <c r="AU80" s="75" t="n">
        <f aca="false">AU77+AU78+AU79</f>
        <v>26666.6666666666</v>
      </c>
      <c r="AV80" s="75" t="n">
        <f aca="false">AV77+AV78+AV79</f>
        <v>24999.9999999999</v>
      </c>
      <c r="AW80" s="75" t="n">
        <f aca="false">AW77+AW78+AW79</f>
        <v>23333.3333333333</v>
      </c>
      <c r="AX80" s="75" t="n">
        <f aca="false">AX77+AX78+AX79</f>
        <v>21666.6666666666</v>
      </c>
      <c r="AY80" s="75" t="n">
        <f aca="false">AY77+AY78+AY79</f>
        <v>19999.9999999999</v>
      </c>
      <c r="AZ80" s="75" t="n">
        <f aca="false">AZ77+AZ78+AZ79</f>
        <v>18333.3333333333</v>
      </c>
      <c r="BA80" s="75" t="n">
        <f aca="false">BA77+BA78+BA79</f>
        <v>16666.6666666666</v>
      </c>
      <c r="BB80" s="75" t="n">
        <f aca="false">BB77+BB78+BB79</f>
        <v>14999.9999999999</v>
      </c>
      <c r="BC80" s="75" t="n">
        <f aca="false">BC77+BC78+BC79</f>
        <v>13333.3333333333</v>
      </c>
      <c r="BD80" s="75" t="n">
        <f aca="false">BD77+BD78+BD79</f>
        <v>11666.6666666666</v>
      </c>
      <c r="BE80" s="75" t="n">
        <f aca="false">BE77+BE78+BE79</f>
        <v>9999.99999999994</v>
      </c>
      <c r="BF80" s="75" t="n">
        <f aca="false">BF77+BF78+BF79</f>
        <v>8333.33333333328</v>
      </c>
      <c r="BG80" s="75" t="n">
        <f aca="false">BG77+BG78+BG79</f>
        <v>6666.66666666661</v>
      </c>
      <c r="BH80" s="75" t="n">
        <f aca="false">BH77+BH78+BH79</f>
        <v>4999.99999999994</v>
      </c>
      <c r="BI80" s="75" t="n">
        <f aca="false">BI77+BI78+BI79</f>
        <v>3333.33333333328</v>
      </c>
      <c r="BJ80" s="75" t="n">
        <f aca="false">BJ77+BJ78+BJ79</f>
        <v>1666.66666666661</v>
      </c>
    </row>
    <row r="82" customFormat="false" ht="15.75" hidden="false" customHeight="true" outlineLevel="0" collapsed="false">
      <c r="A82" s="7" t="s">
        <v>321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customFormat="false" ht="15" hidden="false" customHeight="false" outlineLevel="0" collapsed="false">
      <c r="A83" s="6" t="s">
        <v>90</v>
      </c>
      <c r="C83" s="69" t="n">
        <f aca="false">C33*Inputs!$B$77/30</f>
        <v>922.04</v>
      </c>
      <c r="D83" s="69" t="n">
        <f aca="false">D33*Inputs!$B$77/30</f>
        <v>1075.71333333333</v>
      </c>
      <c r="E83" s="69" t="n">
        <f aca="false">E33*Inputs!$B$77/30</f>
        <v>1229.38666666667</v>
      </c>
      <c r="F83" s="69" t="n">
        <f aca="false">F33*Inputs!$B$77/30</f>
        <v>1383.06</v>
      </c>
      <c r="G83" s="69" t="n">
        <f aca="false">G33*Inputs!$B$77/30</f>
        <v>1536.73333333333</v>
      </c>
      <c r="H83" s="69" t="n">
        <f aca="false">H33*Inputs!$B$77/30</f>
        <v>1878.50666666667</v>
      </c>
      <c r="I83" s="69" t="n">
        <f aca="false">I33*Inputs!$B$77/30</f>
        <v>2049.28</v>
      </c>
      <c r="J83" s="69" t="n">
        <f aca="false">J33*Inputs!$B$77/30</f>
        <v>2220.05333333333</v>
      </c>
      <c r="K83" s="69" t="n">
        <f aca="false">K33*Inputs!$B$77/30</f>
        <v>2151.42666666667</v>
      </c>
      <c r="L83" s="69" t="n">
        <f aca="false">L33*Inputs!$B$77/30</f>
        <v>2305.1</v>
      </c>
      <c r="M83" s="69" t="n">
        <f aca="false">M33*Inputs!$B$77/30</f>
        <v>2458.77333333333</v>
      </c>
      <c r="N83" s="69" t="n">
        <f aca="false">N33*Inputs!$B$77/30</f>
        <v>2903.14666666667</v>
      </c>
      <c r="O83" s="69" t="n">
        <f aca="false">O33*Inputs!$B$77/30</f>
        <v>2793.7812</v>
      </c>
      <c r="P83" s="69" t="n">
        <f aca="false">P33*Inputs!$B$77/30</f>
        <v>2948.99126666667</v>
      </c>
      <c r="Q83" s="69" t="n">
        <f aca="false">Q33*Inputs!$B$77/30</f>
        <v>3104.20133333333</v>
      </c>
      <c r="R83" s="69" t="n">
        <f aca="false">R33*Inputs!$B$77/30</f>
        <v>3104.20133333333</v>
      </c>
      <c r="S83" s="69" t="n">
        <f aca="false">S33*Inputs!$B$77/30</f>
        <v>3104.20133333333</v>
      </c>
      <c r="T83" s="69" t="n">
        <f aca="false">T33*Inputs!$B$77/30</f>
        <v>3449.62133333333</v>
      </c>
      <c r="U83" s="69" t="n">
        <f aca="false">U33*Inputs!$B$77/30</f>
        <v>3449.62133333333</v>
      </c>
      <c r="V83" s="69" t="n">
        <f aca="false">V33*Inputs!$B$77/30</f>
        <v>3449.62133333333</v>
      </c>
      <c r="W83" s="69" t="n">
        <f aca="false">W33*Inputs!$B$77/30</f>
        <v>3104.20133333333</v>
      </c>
      <c r="X83" s="69" t="n">
        <f aca="false">X33*Inputs!$B$77/30</f>
        <v>3104.20133333333</v>
      </c>
      <c r="Y83" s="69" t="n">
        <f aca="false">Y33*Inputs!$B$77/30</f>
        <v>3104.20133333333</v>
      </c>
      <c r="Z83" s="69" t="n">
        <f aca="false">Z33*Inputs!$B$77/30</f>
        <v>3449.62133333333</v>
      </c>
      <c r="AA83" s="69" t="n">
        <f aca="false">AA33*Inputs!$B$77/30</f>
        <v>3135.24334666667</v>
      </c>
      <c r="AB83" s="69" t="n">
        <f aca="false">AB33*Inputs!$B$77/30</f>
        <v>3135.24334666667</v>
      </c>
      <c r="AC83" s="69" t="n">
        <f aca="false">AC33*Inputs!$B$77/30</f>
        <v>3135.24334666667</v>
      </c>
      <c r="AD83" s="69" t="n">
        <f aca="false">AD33*Inputs!$B$77/30</f>
        <v>3135.24334666667</v>
      </c>
      <c r="AE83" s="69" t="n">
        <f aca="false">AE33*Inputs!$B$77/30</f>
        <v>3135.24334666667</v>
      </c>
      <c r="AF83" s="69" t="n">
        <f aca="false">AF33*Inputs!$B$77/30</f>
        <v>3484.11754666667</v>
      </c>
      <c r="AG83" s="69" t="n">
        <f aca="false">AG33*Inputs!$B$77/30</f>
        <v>3484.11754666667</v>
      </c>
      <c r="AH83" s="69" t="n">
        <f aca="false">AH33*Inputs!$B$77/30</f>
        <v>3484.11754666667</v>
      </c>
      <c r="AI83" s="69" t="n">
        <f aca="false">AI33*Inputs!$B$77/30</f>
        <v>3135.24334666667</v>
      </c>
      <c r="AJ83" s="69" t="n">
        <f aca="false">AJ33*Inputs!$B$77/30</f>
        <v>3135.24334666667</v>
      </c>
      <c r="AK83" s="69" t="n">
        <f aca="false">AK33*Inputs!$B$77/30</f>
        <v>3135.24334666667</v>
      </c>
      <c r="AL83" s="69" t="n">
        <f aca="false">AL33*Inputs!$B$77/30</f>
        <v>3484.11754666667</v>
      </c>
      <c r="AM83" s="69" t="n">
        <f aca="false">AM33*Inputs!$B$77/30</f>
        <v>3166.59578013333</v>
      </c>
      <c r="AN83" s="69" t="n">
        <f aca="false">AN33*Inputs!$B$77/30</f>
        <v>3166.59578013333</v>
      </c>
      <c r="AO83" s="69" t="n">
        <f aca="false">AO33*Inputs!$B$77/30</f>
        <v>3166.59578013333</v>
      </c>
      <c r="AP83" s="69" t="n">
        <f aca="false">AP33*Inputs!$B$77/30</f>
        <v>3166.59578013333</v>
      </c>
      <c r="AQ83" s="69" t="n">
        <f aca="false">AQ33*Inputs!$B$77/30</f>
        <v>3166.59578013333</v>
      </c>
      <c r="AR83" s="69" t="n">
        <f aca="false">AR33*Inputs!$B$77/30</f>
        <v>3518.95872213333</v>
      </c>
      <c r="AS83" s="69" t="n">
        <f aca="false">AS33*Inputs!$B$77/30</f>
        <v>3518.95872213333</v>
      </c>
      <c r="AT83" s="69" t="n">
        <f aca="false">AT33*Inputs!$B$77/30</f>
        <v>3518.95872213333</v>
      </c>
      <c r="AU83" s="69" t="n">
        <f aca="false">AU33*Inputs!$B$77/30</f>
        <v>3166.59578013333</v>
      </c>
      <c r="AV83" s="69" t="n">
        <f aca="false">AV33*Inputs!$B$77/30</f>
        <v>3166.59578013333</v>
      </c>
      <c r="AW83" s="69" t="n">
        <f aca="false">AW33*Inputs!$B$77/30</f>
        <v>3166.59578013333</v>
      </c>
      <c r="AX83" s="69" t="n">
        <f aca="false">AX33*Inputs!$B$77/30</f>
        <v>3518.95872213333</v>
      </c>
      <c r="AY83" s="69" t="n">
        <f aca="false">AY33*Inputs!$B$77/30</f>
        <v>3198.26173793467</v>
      </c>
      <c r="AZ83" s="69" t="n">
        <f aca="false">AZ33*Inputs!$B$77/30</f>
        <v>3198.26173793467</v>
      </c>
      <c r="BA83" s="69" t="n">
        <f aca="false">BA33*Inputs!$B$77/30</f>
        <v>3198.26173793467</v>
      </c>
      <c r="BB83" s="69" t="n">
        <f aca="false">BB33*Inputs!$B$77/30</f>
        <v>3198.26173793467</v>
      </c>
      <c r="BC83" s="69" t="n">
        <f aca="false">BC33*Inputs!$B$77/30</f>
        <v>3198.26173793467</v>
      </c>
      <c r="BD83" s="69" t="n">
        <f aca="false">BD33*Inputs!$B$77/30</f>
        <v>3554.14830935467</v>
      </c>
      <c r="BE83" s="69" t="n">
        <f aca="false">BE33*Inputs!$B$77/30</f>
        <v>3554.14830935467</v>
      </c>
      <c r="BF83" s="69" t="n">
        <f aca="false">BF33*Inputs!$B$77/30</f>
        <v>3554.14830935467</v>
      </c>
      <c r="BG83" s="69" t="n">
        <f aca="false">BG33*Inputs!$B$77/30</f>
        <v>3198.26173793467</v>
      </c>
      <c r="BH83" s="69" t="n">
        <f aca="false">BH33*Inputs!$B$77/30</f>
        <v>3198.26173793467</v>
      </c>
      <c r="BI83" s="69" t="n">
        <f aca="false">BI33*Inputs!$B$77/30</f>
        <v>3198.26173793467</v>
      </c>
      <c r="BJ83" s="69" t="n">
        <f aca="false">BJ33*Inputs!$B$77/30</f>
        <v>3554.14830935467</v>
      </c>
    </row>
    <row r="84" customFormat="false" ht="15" hidden="false" customHeight="false" outlineLevel="0" collapsed="false">
      <c r="A84" s="6" t="s">
        <v>91</v>
      </c>
      <c r="C84" s="69" t="n">
        <f aca="false">-C41*Inputs!$B$78/30</f>
        <v>1633.34266666667</v>
      </c>
      <c r="D84" s="69" t="n">
        <f aca="false">-D41*Inputs!$B$78/30</f>
        <v>1777.78866666667</v>
      </c>
      <c r="E84" s="69" t="n">
        <f aca="false">-E41*Inputs!$B$78/30</f>
        <v>1922.23466666667</v>
      </c>
      <c r="F84" s="69" t="n">
        <f aca="false">-F41*Inputs!$B$78/30</f>
        <v>2066.68066666667</v>
      </c>
      <c r="G84" s="69" t="n">
        <f aca="false">-G41*Inputs!$B$78/30</f>
        <v>2211.12666666667</v>
      </c>
      <c r="H84" s="69" t="n">
        <f aca="false">-H41*Inputs!$B$78/30</f>
        <v>2434.57466666667</v>
      </c>
      <c r="I84" s="69" t="n">
        <f aca="false">-I41*Inputs!$B$78/30</f>
        <v>2586.20266666667</v>
      </c>
      <c r="J84" s="69" t="n">
        <f aca="false">-J41*Inputs!$B$78/30</f>
        <v>2737.83066666667</v>
      </c>
      <c r="K84" s="69" t="n">
        <f aca="false">-K41*Inputs!$B$78/30</f>
        <v>2788.91066666667</v>
      </c>
      <c r="L84" s="69" t="n">
        <f aca="false">-L41*Inputs!$B$78/30</f>
        <v>2933.35666666667</v>
      </c>
      <c r="M84" s="69" t="n">
        <f aca="false">-M41*Inputs!$B$78/30</f>
        <v>3077.80266666667</v>
      </c>
      <c r="N84" s="69" t="n">
        <f aca="false">-N41*Inputs!$B$78/30</f>
        <v>3344.34266666667</v>
      </c>
      <c r="O84" s="69" t="n">
        <f aca="false">-O41*Inputs!$B$78/30</f>
        <v>3448.43165333333</v>
      </c>
      <c r="P84" s="69" t="n">
        <f aca="false">-P41*Inputs!$B$78/30</f>
        <v>3595.71489333333</v>
      </c>
      <c r="Q84" s="69" t="n">
        <f aca="false">-Q41*Inputs!$B$78/30</f>
        <v>3742.99813333333</v>
      </c>
      <c r="R84" s="69" t="n">
        <f aca="false">-R41*Inputs!$B$78/30</f>
        <v>3742.99813333333</v>
      </c>
      <c r="S84" s="69" t="n">
        <f aca="false">-S41*Inputs!$B$78/30</f>
        <v>3742.99813333333</v>
      </c>
      <c r="T84" s="69" t="n">
        <f aca="false">-T41*Inputs!$B$78/30</f>
        <v>3892.38373333333</v>
      </c>
      <c r="U84" s="69" t="n">
        <f aca="false">-U41*Inputs!$B$78/30</f>
        <v>3892.38373333333</v>
      </c>
      <c r="V84" s="69" t="n">
        <f aca="false">-V41*Inputs!$B$78/30</f>
        <v>3892.38373333333</v>
      </c>
      <c r="W84" s="69" t="n">
        <f aca="false">-W41*Inputs!$B$78/30</f>
        <v>3742.99813333333</v>
      </c>
      <c r="X84" s="69" t="n">
        <f aca="false">-X41*Inputs!$B$78/30</f>
        <v>3742.99813333333</v>
      </c>
      <c r="Y84" s="69" t="n">
        <f aca="false">-Y41*Inputs!$B$78/30</f>
        <v>3742.99813333333</v>
      </c>
      <c r="Z84" s="69" t="n">
        <f aca="false">-Z41*Inputs!$B$78/30</f>
        <v>3892.38373333333</v>
      </c>
      <c r="AA84" s="69" t="n">
        <f aca="false">-AA41*Inputs!$B$78/30</f>
        <v>3833.31793866667</v>
      </c>
      <c r="AB84" s="69" t="n">
        <f aca="false">-AB41*Inputs!$B$78/30</f>
        <v>3833.31793866667</v>
      </c>
      <c r="AC84" s="69" t="n">
        <f aca="false">-AC41*Inputs!$B$78/30</f>
        <v>3833.31793866667</v>
      </c>
      <c r="AD84" s="69" t="n">
        <f aca="false">-AD41*Inputs!$B$78/30</f>
        <v>3833.31793866667</v>
      </c>
      <c r="AE84" s="69" t="n">
        <f aca="false">-AE41*Inputs!$B$78/30</f>
        <v>3833.31793866667</v>
      </c>
      <c r="AF84" s="69" t="n">
        <f aca="false">-AF41*Inputs!$B$78/30</f>
        <v>3988.67896266667</v>
      </c>
      <c r="AG84" s="69" t="n">
        <f aca="false">-AG41*Inputs!$B$78/30</f>
        <v>3988.67896266667</v>
      </c>
      <c r="AH84" s="69" t="n">
        <f aca="false">-AH41*Inputs!$B$78/30</f>
        <v>3988.67896266667</v>
      </c>
      <c r="AI84" s="69" t="n">
        <f aca="false">-AI41*Inputs!$B$78/30</f>
        <v>3833.31793866667</v>
      </c>
      <c r="AJ84" s="69" t="n">
        <f aca="false">-AJ41*Inputs!$B$78/30</f>
        <v>3833.31793866667</v>
      </c>
      <c r="AK84" s="69" t="n">
        <f aca="false">-AK41*Inputs!$B$78/30</f>
        <v>3833.31793866667</v>
      </c>
      <c r="AL84" s="69" t="n">
        <f aca="false">-AL41*Inputs!$B$78/30</f>
        <v>3988.67896266667</v>
      </c>
      <c r="AM84" s="69" t="n">
        <f aca="false">-AM41*Inputs!$B$78/30</f>
        <v>3926.65653501333</v>
      </c>
      <c r="AN84" s="69" t="n">
        <f aca="false">-AN41*Inputs!$B$78/30</f>
        <v>3926.65653501333</v>
      </c>
      <c r="AO84" s="69" t="n">
        <f aca="false">-AO41*Inputs!$B$78/30</f>
        <v>3926.65653501333</v>
      </c>
      <c r="AP84" s="69" t="n">
        <f aca="false">-AP41*Inputs!$B$78/30</f>
        <v>3926.65653501333</v>
      </c>
      <c r="AQ84" s="69" t="n">
        <f aca="false">-AQ41*Inputs!$B$78/30</f>
        <v>3926.65653501333</v>
      </c>
      <c r="AR84" s="69" t="n">
        <f aca="false">-AR41*Inputs!$B$78/30</f>
        <v>4088.23199997333</v>
      </c>
      <c r="AS84" s="69" t="n">
        <f aca="false">-AS41*Inputs!$B$78/30</f>
        <v>4088.23199997333</v>
      </c>
      <c r="AT84" s="69" t="n">
        <f aca="false">-AT41*Inputs!$B$78/30</f>
        <v>4088.23199997333</v>
      </c>
      <c r="AU84" s="69" t="n">
        <f aca="false">-AU41*Inputs!$B$78/30</f>
        <v>3926.65653501333</v>
      </c>
      <c r="AV84" s="69" t="n">
        <f aca="false">-AV41*Inputs!$B$78/30</f>
        <v>3926.65653501333</v>
      </c>
      <c r="AW84" s="69" t="n">
        <f aca="false">-AW41*Inputs!$B$78/30</f>
        <v>3926.65653501333</v>
      </c>
      <c r="AX84" s="69" t="n">
        <f aca="false">-AX41*Inputs!$B$78/30</f>
        <v>4088.23199997333</v>
      </c>
      <c r="AY84" s="69" t="n">
        <f aca="false">-AY41*Inputs!$B$78/30</f>
        <v>4023.12873400187</v>
      </c>
      <c r="AZ84" s="69" t="n">
        <f aca="false">-AZ41*Inputs!$B$78/30</f>
        <v>4023.12873400187</v>
      </c>
      <c r="BA84" s="69" t="n">
        <f aca="false">-BA41*Inputs!$B$78/30</f>
        <v>4023.12873400187</v>
      </c>
      <c r="BB84" s="69" t="n">
        <f aca="false">-BB41*Inputs!$B$78/30</f>
        <v>4023.12873400187</v>
      </c>
      <c r="BC84" s="69" t="n">
        <f aca="false">-BC41*Inputs!$B$78/30</f>
        <v>4023.12873400187</v>
      </c>
      <c r="BD84" s="69" t="n">
        <f aca="false">-BD41*Inputs!$B$78/30</f>
        <v>4191.16721756027</v>
      </c>
      <c r="BE84" s="69" t="n">
        <f aca="false">-BE41*Inputs!$B$78/30</f>
        <v>4191.16721756027</v>
      </c>
      <c r="BF84" s="69" t="n">
        <f aca="false">-BF41*Inputs!$B$78/30</f>
        <v>4191.16721756027</v>
      </c>
      <c r="BG84" s="69" t="n">
        <f aca="false">-BG41*Inputs!$B$78/30</f>
        <v>4023.12873400187</v>
      </c>
      <c r="BH84" s="69" t="n">
        <f aca="false">-BH41*Inputs!$B$78/30</f>
        <v>4023.12873400187</v>
      </c>
      <c r="BI84" s="69" t="n">
        <f aca="false">-BI41*Inputs!$B$78/30</f>
        <v>4023.12873400187</v>
      </c>
      <c r="BJ84" s="69" t="n">
        <f aca="false">-BJ41*Inputs!$B$78/30</f>
        <v>4191.16721756027</v>
      </c>
    </row>
    <row r="85" customFormat="false" ht="15" hidden="false" customHeight="false" outlineLevel="0" collapsed="false">
      <c r="A85" s="6" t="s">
        <v>94</v>
      </c>
      <c r="C85" s="69" t="n">
        <f aca="false">-C41*Inputs!$B$79/30</f>
        <v>6805.59444444445</v>
      </c>
      <c r="D85" s="69" t="n">
        <f aca="false">-D41*Inputs!$B$79/30</f>
        <v>7407.45277777778</v>
      </c>
      <c r="E85" s="69" t="n">
        <f aca="false">-E41*Inputs!$B$79/30</f>
        <v>8009.31111111111</v>
      </c>
      <c r="F85" s="69" t="n">
        <f aca="false">-F41*Inputs!$B$79/30</f>
        <v>8611.16944444445</v>
      </c>
      <c r="G85" s="69" t="n">
        <f aca="false">-G41*Inputs!$B$79/30</f>
        <v>9213.02777777778</v>
      </c>
      <c r="H85" s="69" t="n">
        <f aca="false">-H41*Inputs!$B$79/30</f>
        <v>10144.0611111111</v>
      </c>
      <c r="I85" s="69" t="n">
        <f aca="false">-I41*Inputs!$B$79/30</f>
        <v>10775.8444444444</v>
      </c>
      <c r="J85" s="69" t="n">
        <f aca="false">-J41*Inputs!$B$79/30</f>
        <v>11407.6277777778</v>
      </c>
      <c r="K85" s="69" t="n">
        <f aca="false">-K41*Inputs!$B$79/30</f>
        <v>11620.4611111111</v>
      </c>
      <c r="L85" s="69" t="n">
        <f aca="false">-L41*Inputs!$B$79/30</f>
        <v>12222.3194444444</v>
      </c>
      <c r="M85" s="69" t="n">
        <f aca="false">-M41*Inputs!$B$79/30</f>
        <v>12824.1777777778</v>
      </c>
      <c r="N85" s="69" t="n">
        <f aca="false">-N41*Inputs!$B$79/30</f>
        <v>13934.7611111111</v>
      </c>
      <c r="O85" s="69" t="n">
        <f aca="false">-O41*Inputs!$B$79/30</f>
        <v>14368.4652222222</v>
      </c>
      <c r="P85" s="69" t="n">
        <f aca="false">-P41*Inputs!$B$79/30</f>
        <v>14982.1453888889</v>
      </c>
      <c r="Q85" s="69" t="n">
        <f aca="false">-Q41*Inputs!$B$79/30</f>
        <v>15595.8255555556</v>
      </c>
      <c r="R85" s="69" t="n">
        <f aca="false">-R41*Inputs!$B$79/30</f>
        <v>15595.8255555556</v>
      </c>
      <c r="S85" s="69" t="n">
        <f aca="false">-S41*Inputs!$B$79/30</f>
        <v>15595.8255555556</v>
      </c>
      <c r="T85" s="69" t="n">
        <f aca="false">-T41*Inputs!$B$79/30</f>
        <v>16218.2655555556</v>
      </c>
      <c r="U85" s="69" t="n">
        <f aca="false">-U41*Inputs!$B$79/30</f>
        <v>16218.2655555556</v>
      </c>
      <c r="V85" s="69" t="n">
        <f aca="false">-V41*Inputs!$B$79/30</f>
        <v>16218.2655555556</v>
      </c>
      <c r="W85" s="69" t="n">
        <f aca="false">-W41*Inputs!$B$79/30</f>
        <v>15595.8255555556</v>
      </c>
      <c r="X85" s="69" t="n">
        <f aca="false">-X41*Inputs!$B$79/30</f>
        <v>15595.8255555556</v>
      </c>
      <c r="Y85" s="69" t="n">
        <f aca="false">-Y41*Inputs!$B$79/30</f>
        <v>15595.8255555556</v>
      </c>
      <c r="Z85" s="69" t="n">
        <f aca="false">-Z41*Inputs!$B$79/30</f>
        <v>16218.2655555556</v>
      </c>
      <c r="AA85" s="69" t="n">
        <f aca="false">-AA41*Inputs!$B$79/30</f>
        <v>15972.1580777778</v>
      </c>
      <c r="AB85" s="69" t="n">
        <f aca="false">-AB41*Inputs!$B$79/30</f>
        <v>15972.1580777778</v>
      </c>
      <c r="AC85" s="69" t="n">
        <f aca="false">-AC41*Inputs!$B$79/30</f>
        <v>15972.1580777778</v>
      </c>
      <c r="AD85" s="69" t="n">
        <f aca="false">-AD41*Inputs!$B$79/30</f>
        <v>15972.1580777778</v>
      </c>
      <c r="AE85" s="69" t="n">
        <f aca="false">-AE41*Inputs!$B$79/30</f>
        <v>15972.1580777778</v>
      </c>
      <c r="AF85" s="69" t="n">
        <f aca="false">-AF41*Inputs!$B$79/30</f>
        <v>16619.4956777778</v>
      </c>
      <c r="AG85" s="69" t="n">
        <f aca="false">-AG41*Inputs!$B$79/30</f>
        <v>16619.4956777778</v>
      </c>
      <c r="AH85" s="69" t="n">
        <f aca="false">-AH41*Inputs!$B$79/30</f>
        <v>16619.4956777778</v>
      </c>
      <c r="AI85" s="69" t="n">
        <f aca="false">-AI41*Inputs!$B$79/30</f>
        <v>15972.1580777778</v>
      </c>
      <c r="AJ85" s="69" t="n">
        <f aca="false">-AJ41*Inputs!$B$79/30</f>
        <v>15972.1580777778</v>
      </c>
      <c r="AK85" s="69" t="n">
        <f aca="false">-AK41*Inputs!$B$79/30</f>
        <v>15972.1580777778</v>
      </c>
      <c r="AL85" s="69" t="n">
        <f aca="false">-AL41*Inputs!$B$79/30</f>
        <v>16619.4956777778</v>
      </c>
      <c r="AM85" s="69" t="n">
        <f aca="false">-AM41*Inputs!$B$79/30</f>
        <v>16361.0688958889</v>
      </c>
      <c r="AN85" s="69" t="n">
        <f aca="false">-AN41*Inputs!$B$79/30</f>
        <v>16361.0688958889</v>
      </c>
      <c r="AO85" s="69" t="n">
        <f aca="false">-AO41*Inputs!$B$79/30</f>
        <v>16361.0688958889</v>
      </c>
      <c r="AP85" s="69" t="n">
        <f aca="false">-AP41*Inputs!$B$79/30</f>
        <v>16361.0688958889</v>
      </c>
      <c r="AQ85" s="69" t="n">
        <f aca="false">-AQ41*Inputs!$B$79/30</f>
        <v>16361.0688958889</v>
      </c>
      <c r="AR85" s="69" t="n">
        <f aca="false">-AR41*Inputs!$B$79/30</f>
        <v>17034.2999998889</v>
      </c>
      <c r="AS85" s="69" t="n">
        <f aca="false">-AS41*Inputs!$B$79/30</f>
        <v>17034.2999998889</v>
      </c>
      <c r="AT85" s="69" t="n">
        <f aca="false">-AT41*Inputs!$B$79/30</f>
        <v>17034.2999998889</v>
      </c>
      <c r="AU85" s="69" t="n">
        <f aca="false">-AU41*Inputs!$B$79/30</f>
        <v>16361.0688958889</v>
      </c>
      <c r="AV85" s="69" t="n">
        <f aca="false">-AV41*Inputs!$B$79/30</f>
        <v>16361.0688958889</v>
      </c>
      <c r="AW85" s="69" t="n">
        <f aca="false">-AW41*Inputs!$B$79/30</f>
        <v>16361.0688958889</v>
      </c>
      <c r="AX85" s="69" t="n">
        <f aca="false">-AX41*Inputs!$B$79/30</f>
        <v>17034.2999998889</v>
      </c>
      <c r="AY85" s="69" t="n">
        <f aca="false">-AY41*Inputs!$B$79/30</f>
        <v>16763.0363916744</v>
      </c>
      <c r="AZ85" s="69" t="n">
        <f aca="false">-AZ41*Inputs!$B$79/30</f>
        <v>16763.0363916744</v>
      </c>
      <c r="BA85" s="69" t="n">
        <f aca="false">-BA41*Inputs!$B$79/30</f>
        <v>16763.0363916744</v>
      </c>
      <c r="BB85" s="69" t="n">
        <f aca="false">-BB41*Inputs!$B$79/30</f>
        <v>16763.0363916744</v>
      </c>
      <c r="BC85" s="69" t="n">
        <f aca="false">-BC41*Inputs!$B$79/30</f>
        <v>16763.0363916744</v>
      </c>
      <c r="BD85" s="69" t="n">
        <f aca="false">-BD41*Inputs!$B$79/30</f>
        <v>17463.1967398344</v>
      </c>
      <c r="BE85" s="69" t="n">
        <f aca="false">-BE41*Inputs!$B$79/30</f>
        <v>17463.1967398344</v>
      </c>
      <c r="BF85" s="69" t="n">
        <f aca="false">-BF41*Inputs!$B$79/30</f>
        <v>17463.1967398344</v>
      </c>
      <c r="BG85" s="69" t="n">
        <f aca="false">-BG41*Inputs!$B$79/30</f>
        <v>16763.0363916744</v>
      </c>
      <c r="BH85" s="69" t="n">
        <f aca="false">-BH41*Inputs!$B$79/30</f>
        <v>16763.0363916744</v>
      </c>
      <c r="BI85" s="69" t="n">
        <f aca="false">-BI41*Inputs!$B$79/30</f>
        <v>16763.0363916744</v>
      </c>
      <c r="BJ85" s="69" t="n">
        <f aca="false">-BJ41*Inputs!$B$79/30</f>
        <v>17463.1967398344</v>
      </c>
    </row>
    <row r="86" customFormat="false" ht="15" hidden="false" customHeight="false" outlineLevel="0" collapsed="false">
      <c r="A86" s="6" t="s">
        <v>344</v>
      </c>
      <c r="C86" s="69" t="n">
        <f aca="false">-C83</f>
        <v>-922.04</v>
      </c>
      <c r="D86" s="69" t="n">
        <f aca="false">C83-D83</f>
        <v>-153.673333333333</v>
      </c>
      <c r="E86" s="69" t="n">
        <f aca="false">D83-E83</f>
        <v>-153.673333333333</v>
      </c>
      <c r="F86" s="69" t="n">
        <f aca="false">E83-F83</f>
        <v>-153.673333333333</v>
      </c>
      <c r="G86" s="69" t="n">
        <f aca="false">F83-G83</f>
        <v>-153.673333333334</v>
      </c>
      <c r="H86" s="69" t="n">
        <f aca="false">G83-H83</f>
        <v>-341.773333333333</v>
      </c>
      <c r="I86" s="69" t="n">
        <f aca="false">H83-I83</f>
        <v>-170.773333333334</v>
      </c>
      <c r="J86" s="69" t="n">
        <f aca="false">I83-J83</f>
        <v>-170.773333333332</v>
      </c>
      <c r="K86" s="69" t="n">
        <f aca="false">J83-K83</f>
        <v>68.6266666666656</v>
      </c>
      <c r="L86" s="69" t="n">
        <f aca="false">K83-L83</f>
        <v>-153.673333333333</v>
      </c>
      <c r="M86" s="69" t="n">
        <f aca="false">L83-M83</f>
        <v>-153.673333333333</v>
      </c>
      <c r="N86" s="69" t="n">
        <f aca="false">M83-N83</f>
        <v>-444.373333333334</v>
      </c>
      <c r="O86" s="69" t="n">
        <f aca="false">N83-O83</f>
        <v>109.365466666667</v>
      </c>
      <c r="P86" s="69" t="n">
        <f aca="false">O83-P83</f>
        <v>-155.210066666667</v>
      </c>
      <c r="Q86" s="69" t="n">
        <f aca="false">P83-Q83</f>
        <v>-155.210066666667</v>
      </c>
      <c r="R86" s="69" t="n">
        <f aca="false">Q83-R83</f>
        <v>0</v>
      </c>
      <c r="S86" s="69" t="n">
        <f aca="false">R83-S83</f>
        <v>0</v>
      </c>
      <c r="T86" s="69" t="n">
        <f aca="false">S83-T83</f>
        <v>-345.420000000001</v>
      </c>
      <c r="U86" s="69" t="n">
        <f aca="false">T83-U83</f>
        <v>0</v>
      </c>
      <c r="V86" s="69" t="n">
        <f aca="false">U83-V83</f>
        <v>0</v>
      </c>
      <c r="W86" s="69" t="n">
        <f aca="false">V83-W83</f>
        <v>345.420000000001</v>
      </c>
      <c r="X86" s="69" t="n">
        <f aca="false">W83-X83</f>
        <v>0</v>
      </c>
      <c r="Y86" s="69" t="n">
        <f aca="false">X83-Y83</f>
        <v>0</v>
      </c>
      <c r="Z86" s="69" t="n">
        <f aca="false">Y83-Z83</f>
        <v>-345.420000000001</v>
      </c>
      <c r="AA86" s="69" t="n">
        <f aca="false">Z83-AA83</f>
        <v>314.377986666667</v>
      </c>
      <c r="AB86" s="69" t="n">
        <f aca="false">AA83-AB83</f>
        <v>0</v>
      </c>
      <c r="AC86" s="69" t="n">
        <f aca="false">AB83-AC83</f>
        <v>0</v>
      </c>
      <c r="AD86" s="69" t="n">
        <f aca="false">AC83-AD83</f>
        <v>0</v>
      </c>
      <c r="AE86" s="69" t="n">
        <f aca="false">AD83-AE83</f>
        <v>0</v>
      </c>
      <c r="AF86" s="69" t="n">
        <f aca="false">AE83-AF83</f>
        <v>-348.8742</v>
      </c>
      <c r="AG86" s="69" t="n">
        <f aca="false">AF83-AG83</f>
        <v>0</v>
      </c>
      <c r="AH86" s="69" t="n">
        <f aca="false">AG83-AH83</f>
        <v>0</v>
      </c>
      <c r="AI86" s="69" t="n">
        <f aca="false">AH83-AI83</f>
        <v>348.8742</v>
      </c>
      <c r="AJ86" s="69" t="n">
        <f aca="false">AI83-AJ83</f>
        <v>0</v>
      </c>
      <c r="AK86" s="69" t="n">
        <f aca="false">AJ83-AK83</f>
        <v>0</v>
      </c>
      <c r="AL86" s="69" t="n">
        <f aca="false">AK83-AL83</f>
        <v>-348.8742</v>
      </c>
      <c r="AM86" s="69" t="n">
        <f aca="false">AL83-AM83</f>
        <v>317.521766533333</v>
      </c>
      <c r="AN86" s="69" t="n">
        <f aca="false">AM83-AN83</f>
        <v>0</v>
      </c>
      <c r="AO86" s="69" t="n">
        <f aca="false">AN83-AO83</f>
        <v>0</v>
      </c>
      <c r="AP86" s="69" t="n">
        <f aca="false">AO83-AP83</f>
        <v>0</v>
      </c>
      <c r="AQ86" s="69" t="n">
        <f aca="false">AP83-AQ83</f>
        <v>0</v>
      </c>
      <c r="AR86" s="69" t="n">
        <f aca="false">AQ83-AR83</f>
        <v>-352.362942</v>
      </c>
      <c r="AS86" s="69" t="n">
        <f aca="false">AR83-AS83</f>
        <v>0</v>
      </c>
      <c r="AT86" s="69" t="n">
        <f aca="false">AS83-AT83</f>
        <v>0</v>
      </c>
      <c r="AU86" s="69" t="n">
        <f aca="false">AT83-AU83</f>
        <v>352.362942</v>
      </c>
      <c r="AV86" s="69" t="n">
        <f aca="false">AU83-AV83</f>
        <v>0</v>
      </c>
      <c r="AW86" s="69" t="n">
        <f aca="false">AV83-AW83</f>
        <v>0</v>
      </c>
      <c r="AX86" s="69" t="n">
        <f aca="false">AW83-AX83</f>
        <v>-352.362942</v>
      </c>
      <c r="AY86" s="69" t="n">
        <f aca="false">AX83-AY83</f>
        <v>320.696984198667</v>
      </c>
      <c r="AZ86" s="69" t="n">
        <f aca="false">AY83-AZ83</f>
        <v>0</v>
      </c>
      <c r="BA86" s="69" t="n">
        <f aca="false">AZ83-BA83</f>
        <v>0</v>
      </c>
      <c r="BB86" s="69" t="n">
        <f aca="false">BA83-BB83</f>
        <v>0</v>
      </c>
      <c r="BC86" s="69" t="n">
        <f aca="false">BB83-BC83</f>
        <v>0</v>
      </c>
      <c r="BD86" s="69" t="n">
        <f aca="false">BC83-BD83</f>
        <v>-355.886571419999</v>
      </c>
      <c r="BE86" s="69" t="n">
        <f aca="false">BD83-BE83</f>
        <v>0</v>
      </c>
      <c r="BF86" s="69" t="n">
        <f aca="false">BE83-BF83</f>
        <v>0</v>
      </c>
      <c r="BG86" s="69" t="n">
        <f aca="false">BF83-BG83</f>
        <v>355.886571419999</v>
      </c>
      <c r="BH86" s="69" t="n">
        <f aca="false">BG83-BH83</f>
        <v>0</v>
      </c>
      <c r="BI86" s="69" t="n">
        <f aca="false">BH83-BI83</f>
        <v>0</v>
      </c>
      <c r="BJ86" s="69" t="n">
        <f aca="false">BI83-BJ83</f>
        <v>-355.886571419999</v>
      </c>
    </row>
    <row r="87" customFormat="false" ht="15" hidden="false" customHeight="false" outlineLevel="0" collapsed="false">
      <c r="A87" s="6" t="s">
        <v>345</v>
      </c>
      <c r="C87" s="69" t="n">
        <f aca="false">-C84</f>
        <v>-1633.34266666667</v>
      </c>
      <c r="D87" s="69" t="n">
        <f aca="false">C84-D84</f>
        <v>-144.446</v>
      </c>
      <c r="E87" s="69" t="n">
        <f aca="false">D84-E84</f>
        <v>-144.445999999999</v>
      </c>
      <c r="F87" s="69" t="n">
        <f aca="false">E84-F84</f>
        <v>-144.446000000001</v>
      </c>
      <c r="G87" s="69" t="n">
        <f aca="false">F84-G84</f>
        <v>-144.445999999999</v>
      </c>
      <c r="H87" s="69" t="n">
        <f aca="false">G84-H84</f>
        <v>-223.448</v>
      </c>
      <c r="I87" s="69" t="n">
        <f aca="false">H84-I84</f>
        <v>-151.628000000001</v>
      </c>
      <c r="J87" s="69" t="n">
        <f aca="false">I84-J84</f>
        <v>-151.627999999999</v>
      </c>
      <c r="K87" s="69" t="n">
        <f aca="false">J84-K84</f>
        <v>-51.0799999999999</v>
      </c>
      <c r="L87" s="69" t="n">
        <f aca="false">K84-L84</f>
        <v>-144.446000000001</v>
      </c>
      <c r="M87" s="69" t="n">
        <f aca="false">L84-M84</f>
        <v>-144.445999999999</v>
      </c>
      <c r="N87" s="69" t="n">
        <f aca="false">M84-N84</f>
        <v>-266.54</v>
      </c>
      <c r="O87" s="69" t="n">
        <f aca="false">N84-O84</f>
        <v>-104.088986666667</v>
      </c>
      <c r="P87" s="69" t="n">
        <f aca="false">O84-P84</f>
        <v>-147.28324</v>
      </c>
      <c r="Q87" s="69" t="n">
        <f aca="false">P84-Q84</f>
        <v>-147.283240000001</v>
      </c>
      <c r="R87" s="69" t="n">
        <f aca="false">Q84-R84</f>
        <v>0</v>
      </c>
      <c r="S87" s="69" t="n">
        <f aca="false">R84-S84</f>
        <v>0</v>
      </c>
      <c r="T87" s="69" t="n">
        <f aca="false">S84-T84</f>
        <v>-149.3856</v>
      </c>
      <c r="U87" s="69" t="n">
        <f aca="false">T84-U84</f>
        <v>0</v>
      </c>
      <c r="V87" s="69" t="n">
        <f aca="false">U84-V84</f>
        <v>0</v>
      </c>
      <c r="W87" s="69" t="n">
        <f aca="false">V84-W84</f>
        <v>149.3856</v>
      </c>
      <c r="X87" s="69" t="n">
        <f aca="false">W84-X84</f>
        <v>0</v>
      </c>
      <c r="Y87" s="69" t="n">
        <f aca="false">X84-Y84</f>
        <v>0</v>
      </c>
      <c r="Z87" s="69" t="n">
        <f aca="false">Y84-Z84</f>
        <v>-149.3856</v>
      </c>
      <c r="AA87" s="69" t="n">
        <f aca="false">Z84-AA84</f>
        <v>59.065794666667</v>
      </c>
      <c r="AB87" s="69" t="n">
        <f aca="false">AA84-AB84</f>
        <v>0</v>
      </c>
      <c r="AC87" s="69" t="n">
        <f aca="false">AB84-AC84</f>
        <v>0</v>
      </c>
      <c r="AD87" s="69" t="n">
        <f aca="false">AC84-AD84</f>
        <v>0</v>
      </c>
      <c r="AE87" s="69" t="n">
        <f aca="false">AD84-AE84</f>
        <v>0</v>
      </c>
      <c r="AF87" s="69" t="n">
        <f aca="false">AE84-AF84</f>
        <v>-155.361024</v>
      </c>
      <c r="AG87" s="69" t="n">
        <f aca="false">AF84-AG84</f>
        <v>0</v>
      </c>
      <c r="AH87" s="69" t="n">
        <f aca="false">AG84-AH84</f>
        <v>0</v>
      </c>
      <c r="AI87" s="69" t="n">
        <f aca="false">AH84-AI84</f>
        <v>155.361024</v>
      </c>
      <c r="AJ87" s="69" t="n">
        <f aca="false">AI84-AJ84</f>
        <v>0</v>
      </c>
      <c r="AK87" s="69" t="n">
        <f aca="false">AJ84-AK84</f>
        <v>0</v>
      </c>
      <c r="AL87" s="69" t="n">
        <f aca="false">AK84-AL84</f>
        <v>-155.361024</v>
      </c>
      <c r="AM87" s="69" t="n">
        <f aca="false">AL84-AM84</f>
        <v>62.0224276533345</v>
      </c>
      <c r="AN87" s="69" t="n">
        <f aca="false">AM84-AN84</f>
        <v>0</v>
      </c>
      <c r="AO87" s="69" t="n">
        <f aca="false">AN84-AO84</f>
        <v>0</v>
      </c>
      <c r="AP87" s="69" t="n">
        <f aca="false">AO84-AP84</f>
        <v>0</v>
      </c>
      <c r="AQ87" s="69" t="n">
        <f aca="false">AP84-AQ84</f>
        <v>0</v>
      </c>
      <c r="AR87" s="69" t="n">
        <f aca="false">AQ84-AR84</f>
        <v>-161.57546496</v>
      </c>
      <c r="AS87" s="69" t="n">
        <f aca="false">AR84-AS84</f>
        <v>0</v>
      </c>
      <c r="AT87" s="69" t="n">
        <f aca="false">AS84-AT84</f>
        <v>0</v>
      </c>
      <c r="AU87" s="69" t="n">
        <f aca="false">AT84-AU84</f>
        <v>161.57546496</v>
      </c>
      <c r="AV87" s="69" t="n">
        <f aca="false">AU84-AV84</f>
        <v>0</v>
      </c>
      <c r="AW87" s="69" t="n">
        <f aca="false">AV84-AW84</f>
        <v>0</v>
      </c>
      <c r="AX87" s="69" t="n">
        <f aca="false">AW84-AX84</f>
        <v>-161.57546496</v>
      </c>
      <c r="AY87" s="69" t="n">
        <f aca="false">AX84-AY84</f>
        <v>65.103265971466</v>
      </c>
      <c r="AZ87" s="69" t="n">
        <f aca="false">AY84-AZ84</f>
        <v>0</v>
      </c>
      <c r="BA87" s="69" t="n">
        <f aca="false">AZ84-BA84</f>
        <v>0</v>
      </c>
      <c r="BB87" s="69" t="n">
        <f aca="false">BA84-BB84</f>
        <v>0</v>
      </c>
      <c r="BC87" s="69" t="n">
        <f aca="false">BB84-BC84</f>
        <v>0</v>
      </c>
      <c r="BD87" s="69" t="n">
        <f aca="false">BC84-BD84</f>
        <v>-168.0384835584</v>
      </c>
      <c r="BE87" s="69" t="n">
        <f aca="false">BD84-BE84</f>
        <v>0</v>
      </c>
      <c r="BF87" s="69" t="n">
        <f aca="false">BE84-BF84</f>
        <v>0</v>
      </c>
      <c r="BG87" s="69" t="n">
        <f aca="false">BF84-BG84</f>
        <v>168.0384835584</v>
      </c>
      <c r="BH87" s="69" t="n">
        <f aca="false">BG84-BH84</f>
        <v>0</v>
      </c>
      <c r="BI87" s="69" t="n">
        <f aca="false">BH84-BI84</f>
        <v>0</v>
      </c>
      <c r="BJ87" s="69" t="n">
        <f aca="false">BI84-BJ84</f>
        <v>-168.0384835584</v>
      </c>
    </row>
    <row r="88" customFormat="false" ht="15" hidden="false" customHeight="false" outlineLevel="0" collapsed="false">
      <c r="A88" s="6" t="s">
        <v>346</v>
      </c>
      <c r="C88" s="69" t="n">
        <f aca="false">C85</f>
        <v>6805.59444444445</v>
      </c>
      <c r="D88" s="69" t="n">
        <f aca="false">D85-C85</f>
        <v>601.858333333334</v>
      </c>
      <c r="E88" s="69" t="n">
        <f aca="false">E85-D85</f>
        <v>601.858333333329</v>
      </c>
      <c r="F88" s="69" t="n">
        <f aca="false">F85-E85</f>
        <v>601.858333333337</v>
      </c>
      <c r="G88" s="69" t="n">
        <f aca="false">G85-F85</f>
        <v>601.85833333333</v>
      </c>
      <c r="H88" s="69" t="n">
        <f aca="false">H85-G85</f>
        <v>931.033333333333</v>
      </c>
      <c r="I88" s="69" t="n">
        <f aca="false">I85-H85</f>
        <v>631.783333333337</v>
      </c>
      <c r="J88" s="69" t="n">
        <f aca="false">J85-I85</f>
        <v>631.783333333331</v>
      </c>
      <c r="K88" s="69" t="n">
        <f aca="false">K85-J85</f>
        <v>212.833333333334</v>
      </c>
      <c r="L88" s="69" t="n">
        <f aca="false">L85-K85</f>
        <v>601.858333333335</v>
      </c>
      <c r="M88" s="69" t="n">
        <f aca="false">M85-L85</f>
        <v>601.85833333333</v>
      </c>
      <c r="N88" s="69" t="n">
        <f aca="false">N85-M85</f>
        <v>1110.58333333334</v>
      </c>
      <c r="O88" s="69" t="n">
        <f aca="false">O85-N85</f>
        <v>433.704111111112</v>
      </c>
      <c r="P88" s="69" t="n">
        <f aca="false">P85-O85</f>
        <v>613.680166666667</v>
      </c>
      <c r="Q88" s="69" t="n">
        <f aca="false">Q85-P85</f>
        <v>613.680166666667</v>
      </c>
      <c r="R88" s="69" t="n">
        <f aca="false">R85-Q85</f>
        <v>0</v>
      </c>
      <c r="S88" s="69" t="n">
        <f aca="false">S85-R85</f>
        <v>0</v>
      </c>
      <c r="T88" s="69" t="n">
        <f aca="false">T85-S85</f>
        <v>622.440000000001</v>
      </c>
      <c r="U88" s="69" t="n">
        <f aca="false">U85-T85</f>
        <v>0</v>
      </c>
      <c r="V88" s="69" t="n">
        <f aca="false">V85-U85</f>
        <v>0</v>
      </c>
      <c r="W88" s="69" t="n">
        <f aca="false">W85-V85</f>
        <v>-622.440000000001</v>
      </c>
      <c r="X88" s="69" t="n">
        <f aca="false">X85-W85</f>
        <v>0</v>
      </c>
      <c r="Y88" s="69" t="n">
        <f aca="false">Y85-X85</f>
        <v>0</v>
      </c>
      <c r="Z88" s="69" t="n">
        <f aca="false">Z85-Y85</f>
        <v>622.440000000001</v>
      </c>
      <c r="AA88" s="69" t="n">
        <f aca="false">AA85-Z85</f>
        <v>-246.107477777779</v>
      </c>
      <c r="AB88" s="69" t="n">
        <f aca="false">AB85-AA85</f>
        <v>0</v>
      </c>
      <c r="AC88" s="69" t="n">
        <f aca="false">AC85-AB85</f>
        <v>0</v>
      </c>
      <c r="AD88" s="69" t="n">
        <f aca="false">AD85-AC85</f>
        <v>0</v>
      </c>
      <c r="AE88" s="69" t="n">
        <f aca="false">AE85-AD85</f>
        <v>0</v>
      </c>
      <c r="AF88" s="69" t="n">
        <f aca="false">AF85-AE85</f>
        <v>647.337600000003</v>
      </c>
      <c r="AG88" s="69" t="n">
        <f aca="false">AG85-AF85</f>
        <v>0</v>
      </c>
      <c r="AH88" s="69" t="n">
        <f aca="false">AH85-AG85</f>
        <v>0</v>
      </c>
      <c r="AI88" s="69" t="n">
        <f aca="false">AI85-AH85</f>
        <v>-647.337600000003</v>
      </c>
      <c r="AJ88" s="69" t="n">
        <f aca="false">AJ85-AI85</f>
        <v>0</v>
      </c>
      <c r="AK88" s="69" t="n">
        <f aca="false">AK85-AJ85</f>
        <v>0</v>
      </c>
      <c r="AL88" s="69" t="n">
        <f aca="false">AL85-AK85</f>
        <v>647.337600000003</v>
      </c>
      <c r="AM88" s="69" t="n">
        <f aca="false">AM85-AL85</f>
        <v>-258.426781888893</v>
      </c>
      <c r="AN88" s="69" t="n">
        <f aca="false">AN85-AM85</f>
        <v>0</v>
      </c>
      <c r="AO88" s="69" t="n">
        <f aca="false">AO85-AN85</f>
        <v>0</v>
      </c>
      <c r="AP88" s="69" t="n">
        <f aca="false">AP85-AO85</f>
        <v>0</v>
      </c>
      <c r="AQ88" s="69" t="n">
        <f aca="false">AQ85-AP85</f>
        <v>0</v>
      </c>
      <c r="AR88" s="69" t="n">
        <f aca="false">AR85-AQ85</f>
        <v>673.231104</v>
      </c>
      <c r="AS88" s="69" t="n">
        <f aca="false">AS85-AR85</f>
        <v>0</v>
      </c>
      <c r="AT88" s="69" t="n">
        <f aca="false">AT85-AS85</f>
        <v>0</v>
      </c>
      <c r="AU88" s="69" t="n">
        <f aca="false">AU85-AT85</f>
        <v>-673.231104</v>
      </c>
      <c r="AV88" s="69" t="n">
        <f aca="false">AV85-AU85</f>
        <v>0</v>
      </c>
      <c r="AW88" s="69" t="n">
        <f aca="false">AW85-AV85</f>
        <v>0</v>
      </c>
      <c r="AX88" s="69" t="n">
        <f aca="false">AX85-AW85</f>
        <v>673.231104</v>
      </c>
      <c r="AY88" s="69" t="n">
        <f aca="false">AY85-AX85</f>
        <v>-271.263608214445</v>
      </c>
      <c r="AZ88" s="69" t="n">
        <f aca="false">AZ85-AY85</f>
        <v>0</v>
      </c>
      <c r="BA88" s="69" t="n">
        <f aca="false">BA85-AZ85</f>
        <v>0</v>
      </c>
      <c r="BB88" s="69" t="n">
        <f aca="false">BB85-BA85</f>
        <v>0</v>
      </c>
      <c r="BC88" s="69" t="n">
        <f aca="false">BC85-BB85</f>
        <v>0</v>
      </c>
      <c r="BD88" s="69" t="n">
        <f aca="false">BD85-BC85</f>
        <v>700.160348160003</v>
      </c>
      <c r="BE88" s="69" t="n">
        <f aca="false">BE85-BD85</f>
        <v>0</v>
      </c>
      <c r="BF88" s="69" t="n">
        <f aca="false">BF85-BE85</f>
        <v>0</v>
      </c>
      <c r="BG88" s="69" t="n">
        <f aca="false">BG85-BF85</f>
        <v>-700.160348160003</v>
      </c>
      <c r="BH88" s="69" t="n">
        <f aca="false">BH85-BG85</f>
        <v>0</v>
      </c>
      <c r="BI88" s="69" t="n">
        <f aca="false">BI85-BH85</f>
        <v>0</v>
      </c>
      <c r="BJ88" s="69" t="n">
        <f aca="false">BJ85-BI85</f>
        <v>700.160348160003</v>
      </c>
    </row>
    <row r="90" customFormat="false" ht="15.75" hidden="false" customHeight="true" outlineLevel="0" collapsed="false">
      <c r="A90" s="7" t="s">
        <v>444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customFormat="false" ht="15" hidden="false" customHeight="false" outlineLevel="0" collapsed="false">
      <c r="A91" s="4" t="s">
        <v>52</v>
      </c>
      <c r="C91" s="75" t="n">
        <f aca="false">C61-C72+C86+C87+C88</f>
        <v>-26015.9807555556</v>
      </c>
      <c r="D91" s="75" t="n">
        <f aca="false">D61-D72+D86+D87+D88</f>
        <v>-28447.0967333333</v>
      </c>
      <c r="E91" s="75" t="n">
        <f aca="false">E61-E72+E86+E87+E88</f>
        <v>-26925.4899333333</v>
      </c>
      <c r="F91" s="75" t="n">
        <f aca="false">F61-F72+F86+F87+F88</f>
        <v>-25403.8831333333</v>
      </c>
      <c r="G91" s="75" t="n">
        <f aca="false">G61-G72+G86+G87+G88</f>
        <v>-23882.2763333333</v>
      </c>
      <c r="H91" s="75" t="n">
        <f aca="false">H61-H72+H86+H87+H88</f>
        <v>-19962.3945333333</v>
      </c>
      <c r="I91" s="75" t="n">
        <f aca="false">I61-I72+I86+I87+I88</f>
        <v>-18284.8357333333</v>
      </c>
      <c r="J91" s="75" t="n">
        <f aca="false">J61-J72+J86+J87+J88</f>
        <v>-16550.8469333333</v>
      </c>
      <c r="K91" s="75" t="n">
        <f aca="false">K61-K72+K86+K87+K88</f>
        <v>-17869.2081333333</v>
      </c>
      <c r="L91" s="75" t="n">
        <f aca="false">L61-L72+L86+L87+L88</f>
        <v>-16274.2423333333</v>
      </c>
      <c r="M91" s="75" t="n">
        <f aca="false">M61-M72+M86+M87+M88</f>
        <v>-14752.6355333333</v>
      </c>
      <c r="N91" s="75" t="n">
        <f aca="false">N61-N72+N86+N87+N88</f>
        <v>-9524.60373333333</v>
      </c>
      <c r="O91" s="75" t="n">
        <f aca="false">O61-O72+O86+O87+O88</f>
        <v>-11690.7246515556</v>
      </c>
      <c r="P91" s="75" t="n">
        <f aca="false">P61-P72+P86+P87+P88</f>
        <v>-10288.7844146667</v>
      </c>
      <c r="Q91" s="75" t="n">
        <f aca="false">Q61-Q72+Q86+Q87+Q88</f>
        <v>-8759.05044666667</v>
      </c>
      <c r="R91" s="75" t="n">
        <f aca="false">R61-R72+R86+R87+R88</f>
        <v>-9057.73730666667</v>
      </c>
      <c r="S91" s="75" t="n">
        <f aca="false">S61-S72+S86+S87+S88</f>
        <v>-9045.23730666667</v>
      </c>
      <c r="T91" s="75" t="n">
        <f aca="false">T61-T72+T86+T87+T88</f>
        <v>-4636.53250666666</v>
      </c>
      <c r="U91" s="75" t="n">
        <f aca="false">U61-U72+U86+U87+U88</f>
        <v>-4751.66690666666</v>
      </c>
      <c r="V91" s="75" t="n">
        <f aca="false">V61-V72+V86+V87+V88</f>
        <v>-4739.16690666666</v>
      </c>
      <c r="W91" s="75" t="n">
        <f aca="false">W61-W72+W86+W87+W88</f>
        <v>-9122.87170666667</v>
      </c>
      <c r="X91" s="75" t="n">
        <f aca="false">X61-X72+X86+X87+X88</f>
        <v>-8982.73730666667</v>
      </c>
      <c r="Y91" s="75" t="n">
        <f aca="false">Y61-Y72+Y86+Y87+Y88</f>
        <v>-8970.23730666667</v>
      </c>
      <c r="Z91" s="75" t="n">
        <f aca="false">Z61-Z72+Z86+Z87+Z88</f>
        <v>-4561.53250666666</v>
      </c>
      <c r="AA91" s="75" t="n">
        <f aca="false">AA61-AA72+AA86+AA87+AA88</f>
        <v>-9286.94999617779</v>
      </c>
      <c r="AB91" s="75" t="n">
        <f aca="false">AB61-AB72+AB86+AB87+AB88</f>
        <v>-9401.78629973334</v>
      </c>
      <c r="AC91" s="75" t="n">
        <f aca="false">AC61-AC72+AC86+AC87+AC88</f>
        <v>-9389.28629973334</v>
      </c>
      <c r="AD91" s="75" t="n">
        <f aca="false">AD61-AD72+AD86+AD87+AD88</f>
        <v>-9376.78629973334</v>
      </c>
      <c r="AE91" s="75" t="n">
        <f aca="false">AE61-AE72+AE86+AE87+AE88</f>
        <v>-9364.28629973334</v>
      </c>
      <c r="AF91" s="75" t="n">
        <f aca="false">AF61-AF72+AF86+AF87+AF88</f>
        <v>-4919.83565973334</v>
      </c>
      <c r="AG91" s="75" t="n">
        <f aca="false">AG61-AG72+AG86+AG87+AG88</f>
        <v>-5050.43803573334</v>
      </c>
      <c r="AH91" s="75" t="n">
        <f aca="false">AH61-AH72+AH86+AH87+AH88</f>
        <v>-5037.93803573334</v>
      </c>
      <c r="AI91" s="75" t="n">
        <f aca="false">AI61-AI72+AI86+AI87+AI88</f>
        <v>-9457.38867573335</v>
      </c>
      <c r="AJ91" s="75" t="n">
        <f aca="false">AJ61-AJ72+AJ86+AJ87+AJ88</f>
        <v>-9301.78629973334</v>
      </c>
      <c r="AK91" s="75" t="n">
        <f aca="false">AK61-AK72+AK86+AK87+AK88</f>
        <v>-9289.28629973334</v>
      </c>
      <c r="AL91" s="75" t="n">
        <f aca="false">AL61-AL72+AL86+AL87+AL88</f>
        <v>-4844.83565973334</v>
      </c>
      <c r="AM91" s="75" t="n">
        <f aca="false">AM61-AM72+AM86+AM87+AM88</f>
        <v>-9888.65073523289</v>
      </c>
      <c r="AN91" s="75" t="n">
        <f aca="false">AN61-AN72+AN86+AN87+AN88</f>
        <v>-9997.26814753067</v>
      </c>
      <c r="AO91" s="75" t="n">
        <f aca="false">AO61-AO72+AO86+AO87+AO88</f>
        <v>-9984.76814753067</v>
      </c>
      <c r="AP91" s="75" t="n">
        <f aca="false">AP61-AP72+AP86+AP87+AP88</f>
        <v>-9972.26814753067</v>
      </c>
      <c r="AQ91" s="75" t="n">
        <f aca="false">AQ61-AQ72+AQ86+AQ87+AQ88</f>
        <v>-9959.76814753067</v>
      </c>
      <c r="AR91" s="75" t="n">
        <f aca="false">AR61-AR72+AR86+AR87+AR88</f>
        <v>-5479.54285745067</v>
      </c>
      <c r="AS91" s="75" t="n">
        <f aca="false">AS61-AS72+AS86+AS87+AS88</f>
        <v>-5626.33555449067</v>
      </c>
      <c r="AT91" s="75" t="n">
        <f aca="false">AT61-AT72+AT86+AT87+AT88</f>
        <v>-5613.83555449067</v>
      </c>
      <c r="AU91" s="75" t="n">
        <f aca="false">AU61-AU72+AU86+AU87+AU88</f>
        <v>-10069.0608445707</v>
      </c>
      <c r="AV91" s="75" t="n">
        <f aca="false">AV61-AV72+AV86+AV87+AV88</f>
        <v>-9897.26814753067</v>
      </c>
      <c r="AW91" s="75" t="n">
        <f aca="false">AW61-AW72+AW86+AW87+AW88</f>
        <v>-9884.76814753067</v>
      </c>
      <c r="AX91" s="75" t="n">
        <f aca="false">AX61-AX72+AX86+AX87+AX88</f>
        <v>-5404.54285745067</v>
      </c>
      <c r="AY91" s="75" t="n">
        <f aca="false">AY61-AY72+AY86+AY87+AY88</f>
        <v>-10703.2556112423</v>
      </c>
      <c r="AZ91" s="75" t="n">
        <f aca="false">AZ61-AZ72+AZ86+AZ87+AZ88</f>
        <v>-10805.292253198</v>
      </c>
      <c r="BA91" s="75" t="n">
        <f aca="false">BA61-BA72+BA86+BA87+BA88</f>
        <v>-10792.792253198</v>
      </c>
      <c r="BB91" s="75" t="n">
        <f aca="false">BB61-BB72+BB86+BB87+BB88</f>
        <v>-10780.292253198</v>
      </c>
      <c r="BC91" s="75" t="n">
        <f aca="false">BC61-BC72+BC86+BC87+BC88</f>
        <v>-10767.792253198</v>
      </c>
      <c r="BD91" s="75" t="n">
        <f aca="false">BD61-BD72+BD86+BD87+BD88</f>
        <v>-6251.77636078998</v>
      </c>
      <c r="BE91" s="75" t="n">
        <f aca="false">BE61-BE72+BE86+BE87+BE88</f>
        <v>-6415.51165397158</v>
      </c>
      <c r="BF91" s="75" t="n">
        <f aca="false">BF61-BF72+BF86+BF87+BF88</f>
        <v>-6403.01165397158</v>
      </c>
      <c r="BG91" s="75" t="n">
        <f aca="false">BG61-BG72+BG86+BG87+BG88</f>
        <v>-10894.0275463796</v>
      </c>
      <c r="BH91" s="75" t="n">
        <f aca="false">BH61-BH72+BH86+BH87+BH88</f>
        <v>-10705.292253198</v>
      </c>
      <c r="BI91" s="75" t="n">
        <f aca="false">BI61-BI72+BI86+BI87+BI88</f>
        <v>-10692.792253198</v>
      </c>
      <c r="BJ91" s="75" t="n">
        <f aca="false">BJ61-BJ72+BJ86+BJ87+BJ88</f>
        <v>-6176.77636078998</v>
      </c>
    </row>
    <row r="92" customFormat="false" ht="15" hidden="false" customHeight="false" outlineLevel="0" collapsed="false">
      <c r="A92" s="6" t="s">
        <v>445</v>
      </c>
      <c r="C92" s="69" t="n">
        <f aca="false">-C69</f>
        <v>-189000</v>
      </c>
      <c r="D92" s="69" t="n">
        <f aca="false">-D69</f>
        <v>-0</v>
      </c>
      <c r="E92" s="69" t="n">
        <f aca="false">-E69</f>
        <v>-0</v>
      </c>
      <c r="F92" s="69" t="n">
        <f aca="false">-F69</f>
        <v>-0</v>
      </c>
      <c r="G92" s="69" t="n">
        <f aca="false">-G69</f>
        <v>-0</v>
      </c>
      <c r="H92" s="69" t="n">
        <f aca="false">-H69</f>
        <v>-0</v>
      </c>
      <c r="I92" s="69" t="n">
        <f aca="false">-I69</f>
        <v>-0</v>
      </c>
      <c r="J92" s="69" t="n">
        <f aca="false">-J69</f>
        <v>-0</v>
      </c>
      <c r="K92" s="69" t="n">
        <f aca="false">-K69</f>
        <v>-0</v>
      </c>
      <c r="L92" s="69" t="n">
        <f aca="false">-L69</f>
        <v>-0</v>
      </c>
      <c r="M92" s="69" t="n">
        <f aca="false">-M69</f>
        <v>-0</v>
      </c>
      <c r="N92" s="69" t="n">
        <f aca="false">-N69</f>
        <v>-0</v>
      </c>
      <c r="O92" s="69" t="n">
        <f aca="false">-O69</f>
        <v>-10000</v>
      </c>
      <c r="P92" s="69" t="n">
        <f aca="false">-P69</f>
        <v>-0</v>
      </c>
      <c r="Q92" s="69" t="n">
        <f aca="false">-Q69</f>
        <v>-0</v>
      </c>
      <c r="R92" s="69" t="n">
        <f aca="false">-R69</f>
        <v>-0</v>
      </c>
      <c r="S92" s="69" t="n">
        <f aca="false">-S69</f>
        <v>-0</v>
      </c>
      <c r="T92" s="69" t="n">
        <f aca="false">-T69</f>
        <v>-0</v>
      </c>
      <c r="U92" s="69" t="n">
        <f aca="false">-U69</f>
        <v>-0</v>
      </c>
      <c r="V92" s="69" t="n">
        <f aca="false">-V69</f>
        <v>-0</v>
      </c>
      <c r="W92" s="69" t="n">
        <f aca="false">-W69</f>
        <v>-0</v>
      </c>
      <c r="X92" s="69" t="n">
        <f aca="false">-X69</f>
        <v>-0</v>
      </c>
      <c r="Y92" s="69" t="n">
        <f aca="false">-Y69</f>
        <v>-0</v>
      </c>
      <c r="Z92" s="69" t="n">
        <f aca="false">-Z69</f>
        <v>-0</v>
      </c>
      <c r="AA92" s="69" t="n">
        <f aca="false">-AA69</f>
        <v>-10000</v>
      </c>
      <c r="AB92" s="69" t="n">
        <f aca="false">-AB69</f>
        <v>-0</v>
      </c>
      <c r="AC92" s="69" t="n">
        <f aca="false">-AC69</f>
        <v>-0</v>
      </c>
      <c r="AD92" s="69" t="n">
        <f aca="false">-AD69</f>
        <v>-0</v>
      </c>
      <c r="AE92" s="69" t="n">
        <f aca="false">-AE69</f>
        <v>-0</v>
      </c>
      <c r="AF92" s="69" t="n">
        <f aca="false">-AF69</f>
        <v>-0</v>
      </c>
      <c r="AG92" s="69" t="n">
        <f aca="false">-AG69</f>
        <v>-0</v>
      </c>
      <c r="AH92" s="69" t="n">
        <f aca="false">-AH69</f>
        <v>-0</v>
      </c>
      <c r="AI92" s="69" t="n">
        <f aca="false">-AI69</f>
        <v>-0</v>
      </c>
      <c r="AJ92" s="69" t="n">
        <f aca="false">-AJ69</f>
        <v>-0</v>
      </c>
      <c r="AK92" s="69" t="n">
        <f aca="false">-AK69</f>
        <v>-0</v>
      </c>
      <c r="AL92" s="69" t="n">
        <f aca="false">-AL69</f>
        <v>-0</v>
      </c>
      <c r="AM92" s="69" t="n">
        <f aca="false">-AM69</f>
        <v>-10000</v>
      </c>
      <c r="AN92" s="69" t="n">
        <f aca="false">-AN69</f>
        <v>-0</v>
      </c>
      <c r="AO92" s="69" t="n">
        <f aca="false">-AO69</f>
        <v>-0</v>
      </c>
      <c r="AP92" s="69" t="n">
        <f aca="false">-AP69</f>
        <v>-0</v>
      </c>
      <c r="AQ92" s="69" t="n">
        <f aca="false">-AQ69</f>
        <v>-0</v>
      </c>
      <c r="AR92" s="69" t="n">
        <f aca="false">-AR69</f>
        <v>-0</v>
      </c>
      <c r="AS92" s="69" t="n">
        <f aca="false">-AS69</f>
        <v>-0</v>
      </c>
      <c r="AT92" s="69" t="n">
        <f aca="false">-AT69</f>
        <v>-0</v>
      </c>
      <c r="AU92" s="69" t="n">
        <f aca="false">-AU69</f>
        <v>-0</v>
      </c>
      <c r="AV92" s="69" t="n">
        <f aca="false">-AV69</f>
        <v>-0</v>
      </c>
      <c r="AW92" s="69" t="n">
        <f aca="false">-AW69</f>
        <v>-0</v>
      </c>
      <c r="AX92" s="69" t="n">
        <f aca="false">-AX69</f>
        <v>-0</v>
      </c>
      <c r="AY92" s="69" t="n">
        <f aca="false">-AY69</f>
        <v>-10000</v>
      </c>
      <c r="AZ92" s="69" t="n">
        <f aca="false">-AZ69</f>
        <v>-0</v>
      </c>
      <c r="BA92" s="69" t="n">
        <f aca="false">-BA69</f>
        <v>-0</v>
      </c>
      <c r="BB92" s="69" t="n">
        <f aca="false">-BB69</f>
        <v>-0</v>
      </c>
      <c r="BC92" s="69" t="n">
        <f aca="false">-BC69</f>
        <v>-0</v>
      </c>
      <c r="BD92" s="69" t="n">
        <f aca="false">-BD69</f>
        <v>-0</v>
      </c>
      <c r="BE92" s="69" t="n">
        <f aca="false">-BE69</f>
        <v>-0</v>
      </c>
      <c r="BF92" s="69" t="n">
        <f aca="false">-BF69</f>
        <v>-0</v>
      </c>
      <c r="BG92" s="69" t="n">
        <f aca="false">-BG69</f>
        <v>-0</v>
      </c>
      <c r="BH92" s="69" t="n">
        <f aca="false">-BH69</f>
        <v>-0</v>
      </c>
      <c r="BI92" s="69" t="n">
        <f aca="false">-BI69</f>
        <v>-0</v>
      </c>
      <c r="BJ92" s="69" t="n">
        <f aca="false">-BJ69</f>
        <v>-0</v>
      </c>
    </row>
    <row r="93" customFormat="false" ht="15" hidden="false" customHeight="false" outlineLevel="0" collapsed="false">
      <c r="A93" s="6" t="s">
        <v>64</v>
      </c>
      <c r="C93" s="69" t="n">
        <f aca="false">IF(C$6=1,Inputs!$B$71,0)</f>
        <v>330000</v>
      </c>
      <c r="D93" s="69" t="n">
        <f aca="false">IF(D$6=1,Inputs!$B$71,0)</f>
        <v>0</v>
      </c>
      <c r="E93" s="69" t="n">
        <f aca="false">IF(E$6=1,Inputs!$B$71,0)</f>
        <v>0</v>
      </c>
      <c r="F93" s="69" t="n">
        <f aca="false">IF(F$6=1,Inputs!$B$71,0)</f>
        <v>0</v>
      </c>
      <c r="G93" s="69" t="n">
        <f aca="false">IF(G$6=1,Inputs!$B$71,0)</f>
        <v>0</v>
      </c>
      <c r="H93" s="69" t="n">
        <f aca="false">IF(H$6=1,Inputs!$B$71,0)</f>
        <v>0</v>
      </c>
      <c r="I93" s="69" t="n">
        <f aca="false">IF(I$6=1,Inputs!$B$71,0)</f>
        <v>0</v>
      </c>
      <c r="J93" s="69" t="n">
        <f aca="false">IF(J$6=1,Inputs!$B$71,0)</f>
        <v>0</v>
      </c>
      <c r="K93" s="69" t="n">
        <f aca="false">IF(K$6=1,Inputs!$B$71,0)</f>
        <v>0</v>
      </c>
      <c r="L93" s="69" t="n">
        <f aca="false">IF(L$6=1,Inputs!$B$71,0)</f>
        <v>0</v>
      </c>
      <c r="M93" s="69" t="n">
        <f aca="false">IF(M$6=1,Inputs!$B$71,0)</f>
        <v>0</v>
      </c>
      <c r="N93" s="69" t="n">
        <f aca="false">IF(N$6=1,Inputs!$B$71,0)</f>
        <v>0</v>
      </c>
      <c r="O93" s="69" t="n">
        <f aca="false">IF(O$6=1,Inputs!$B$71,0)</f>
        <v>0</v>
      </c>
      <c r="P93" s="69" t="n">
        <f aca="false">IF(P$6=1,Inputs!$B$71,0)</f>
        <v>0</v>
      </c>
      <c r="Q93" s="69" t="n">
        <f aca="false">IF(Q$6=1,Inputs!$B$71,0)</f>
        <v>0</v>
      </c>
      <c r="R93" s="69" t="n">
        <f aca="false">IF(R$6=1,Inputs!$B$71,0)</f>
        <v>0</v>
      </c>
      <c r="S93" s="69" t="n">
        <f aca="false">IF(S$6=1,Inputs!$B$71,0)</f>
        <v>0</v>
      </c>
      <c r="T93" s="69" t="n">
        <f aca="false">IF(T$6=1,Inputs!$B$71,0)</f>
        <v>0</v>
      </c>
      <c r="U93" s="69" t="n">
        <f aca="false">IF(U$6=1,Inputs!$B$71,0)</f>
        <v>0</v>
      </c>
      <c r="V93" s="69" t="n">
        <f aca="false">IF(V$6=1,Inputs!$B$71,0)</f>
        <v>0</v>
      </c>
      <c r="W93" s="69" t="n">
        <f aca="false">IF(W$6=1,Inputs!$B$71,0)</f>
        <v>0</v>
      </c>
      <c r="X93" s="69" t="n">
        <f aca="false">IF(X$6=1,Inputs!$B$71,0)</f>
        <v>0</v>
      </c>
      <c r="Y93" s="69" t="n">
        <f aca="false">IF(Y$6=1,Inputs!$B$71,0)</f>
        <v>0</v>
      </c>
      <c r="Z93" s="69" t="n">
        <f aca="false">IF(Z$6=1,Inputs!$B$71,0)</f>
        <v>0</v>
      </c>
      <c r="AA93" s="69" t="n">
        <f aca="false">IF(AA$6=1,Inputs!$B$71,0)</f>
        <v>0</v>
      </c>
      <c r="AB93" s="69" t="n">
        <f aca="false">IF(AB$6=1,Inputs!$B$71,0)</f>
        <v>0</v>
      </c>
      <c r="AC93" s="69" t="n">
        <f aca="false">IF(AC$6=1,Inputs!$B$71,0)</f>
        <v>0</v>
      </c>
      <c r="AD93" s="69" t="n">
        <f aca="false">IF(AD$6=1,Inputs!$B$71,0)</f>
        <v>0</v>
      </c>
      <c r="AE93" s="69" t="n">
        <f aca="false">IF(AE$6=1,Inputs!$B$71,0)</f>
        <v>0</v>
      </c>
      <c r="AF93" s="69" t="n">
        <f aca="false">IF(AF$6=1,Inputs!$B$71,0)</f>
        <v>0</v>
      </c>
      <c r="AG93" s="69" t="n">
        <f aca="false">IF(AG$6=1,Inputs!$B$71,0)</f>
        <v>0</v>
      </c>
      <c r="AH93" s="69" t="n">
        <f aca="false">IF(AH$6=1,Inputs!$B$71,0)</f>
        <v>0</v>
      </c>
      <c r="AI93" s="69" t="n">
        <f aca="false">IF(AI$6=1,Inputs!$B$71,0)</f>
        <v>0</v>
      </c>
      <c r="AJ93" s="69" t="n">
        <f aca="false">IF(AJ$6=1,Inputs!$B$71,0)</f>
        <v>0</v>
      </c>
      <c r="AK93" s="69" t="n">
        <f aca="false">IF(AK$6=1,Inputs!$B$71,0)</f>
        <v>0</v>
      </c>
      <c r="AL93" s="69" t="n">
        <f aca="false">IF(AL$6=1,Inputs!$B$71,0)</f>
        <v>0</v>
      </c>
      <c r="AM93" s="69" t="n">
        <f aca="false">IF(AM$6=1,Inputs!$B$71,0)</f>
        <v>0</v>
      </c>
      <c r="AN93" s="69" t="n">
        <f aca="false">IF(AN$6=1,Inputs!$B$71,0)</f>
        <v>0</v>
      </c>
      <c r="AO93" s="69" t="n">
        <f aca="false">IF(AO$6=1,Inputs!$B$71,0)</f>
        <v>0</v>
      </c>
      <c r="AP93" s="69" t="n">
        <f aca="false">IF(AP$6=1,Inputs!$B$71,0)</f>
        <v>0</v>
      </c>
      <c r="AQ93" s="69" t="n">
        <f aca="false">IF(AQ$6=1,Inputs!$B$71,0)</f>
        <v>0</v>
      </c>
      <c r="AR93" s="69" t="n">
        <f aca="false">IF(AR$6=1,Inputs!$B$71,0)</f>
        <v>0</v>
      </c>
      <c r="AS93" s="69" t="n">
        <f aca="false">IF(AS$6=1,Inputs!$B$71,0)</f>
        <v>0</v>
      </c>
      <c r="AT93" s="69" t="n">
        <f aca="false">IF(AT$6=1,Inputs!$B$71,0)</f>
        <v>0</v>
      </c>
      <c r="AU93" s="69" t="n">
        <f aca="false">IF(AU$6=1,Inputs!$B$71,0)</f>
        <v>0</v>
      </c>
      <c r="AV93" s="69" t="n">
        <f aca="false">IF(AV$6=1,Inputs!$B$71,0)</f>
        <v>0</v>
      </c>
      <c r="AW93" s="69" t="n">
        <f aca="false">IF(AW$6=1,Inputs!$B$71,0)</f>
        <v>0</v>
      </c>
      <c r="AX93" s="69" t="n">
        <f aca="false">IF(AX$6=1,Inputs!$B$71,0)</f>
        <v>0</v>
      </c>
      <c r="AY93" s="69" t="n">
        <f aca="false">IF(AY$6=1,Inputs!$B$71,0)</f>
        <v>0</v>
      </c>
      <c r="AZ93" s="69" t="n">
        <f aca="false">IF(AZ$6=1,Inputs!$B$71,0)</f>
        <v>0</v>
      </c>
      <c r="BA93" s="69" t="n">
        <f aca="false">IF(BA$6=1,Inputs!$B$71,0)</f>
        <v>0</v>
      </c>
      <c r="BB93" s="69" t="n">
        <f aca="false">IF(BB$6=1,Inputs!$B$71,0)</f>
        <v>0</v>
      </c>
      <c r="BC93" s="69" t="n">
        <f aca="false">IF(BC$6=1,Inputs!$B$71,0)</f>
        <v>0</v>
      </c>
      <c r="BD93" s="69" t="n">
        <f aca="false">IF(BD$6=1,Inputs!$B$71,0)</f>
        <v>0</v>
      </c>
      <c r="BE93" s="69" t="n">
        <f aca="false">IF(BE$6=1,Inputs!$B$71,0)</f>
        <v>0</v>
      </c>
      <c r="BF93" s="69" t="n">
        <f aca="false">IF(BF$6=1,Inputs!$B$71,0)</f>
        <v>0</v>
      </c>
      <c r="BG93" s="69" t="n">
        <f aca="false">IF(BG$6=1,Inputs!$B$71,0)</f>
        <v>0</v>
      </c>
      <c r="BH93" s="69" t="n">
        <f aca="false">IF(BH$6=1,Inputs!$B$71,0)</f>
        <v>0</v>
      </c>
      <c r="BI93" s="69" t="n">
        <f aca="false">IF(BI$6=1,Inputs!$B$71,0)</f>
        <v>0</v>
      </c>
      <c r="BJ93" s="69" t="n">
        <f aca="false">IF(BJ$6=1,Inputs!$B$71,0)</f>
        <v>0</v>
      </c>
    </row>
    <row r="94" customFormat="false" ht="15" hidden="false" customHeight="false" outlineLevel="0" collapsed="false">
      <c r="A94" s="6" t="s">
        <v>54</v>
      </c>
      <c r="C94" s="69" t="n">
        <f aca="false">C93+C78+C79</f>
        <v>430000</v>
      </c>
      <c r="D94" s="69" t="n">
        <f aca="false">D93+D78+D79</f>
        <v>-1666.66666666667</v>
      </c>
      <c r="E94" s="69" t="n">
        <f aca="false">E93+E78+E79</f>
        <v>-1666.66666666667</v>
      </c>
      <c r="F94" s="69" t="n">
        <f aca="false">F93+F78+F79</f>
        <v>-1666.66666666667</v>
      </c>
      <c r="G94" s="69" t="n">
        <f aca="false">G93+G78+G79</f>
        <v>-1666.66666666667</v>
      </c>
      <c r="H94" s="69" t="n">
        <f aca="false">H93+H78+H79</f>
        <v>-1666.66666666667</v>
      </c>
      <c r="I94" s="69" t="n">
        <f aca="false">I93+I78+I79</f>
        <v>-1666.66666666667</v>
      </c>
      <c r="J94" s="69" t="n">
        <f aca="false">J93+J78+J79</f>
        <v>-1666.66666666667</v>
      </c>
      <c r="K94" s="69" t="n">
        <f aca="false">K93+K78+K79</f>
        <v>-1666.66666666667</v>
      </c>
      <c r="L94" s="69" t="n">
        <f aca="false">L93+L78+L79</f>
        <v>-1666.66666666667</v>
      </c>
      <c r="M94" s="69" t="n">
        <f aca="false">M93+M78+M79</f>
        <v>-1666.66666666667</v>
      </c>
      <c r="N94" s="69" t="n">
        <f aca="false">N93+N78+N79</f>
        <v>-1666.66666666667</v>
      </c>
      <c r="O94" s="69" t="n">
        <f aca="false">O93+O78+O79</f>
        <v>-1666.66666666667</v>
      </c>
      <c r="P94" s="69" t="n">
        <f aca="false">P93+P78+P79</f>
        <v>-1666.66666666667</v>
      </c>
      <c r="Q94" s="69" t="n">
        <f aca="false">Q93+Q78+Q79</f>
        <v>-1666.66666666667</v>
      </c>
      <c r="R94" s="69" t="n">
        <f aca="false">R93+R78+R79</f>
        <v>-1666.66666666667</v>
      </c>
      <c r="S94" s="69" t="n">
        <f aca="false">S93+S78+S79</f>
        <v>-1666.66666666667</v>
      </c>
      <c r="T94" s="69" t="n">
        <f aca="false">T93+T78+T79</f>
        <v>-1666.66666666667</v>
      </c>
      <c r="U94" s="69" t="n">
        <f aca="false">U93+U78+U79</f>
        <v>-1666.66666666667</v>
      </c>
      <c r="V94" s="69" t="n">
        <f aca="false">V93+V78+V79</f>
        <v>-1666.66666666667</v>
      </c>
      <c r="W94" s="69" t="n">
        <f aca="false">W93+W78+W79</f>
        <v>-1666.66666666667</v>
      </c>
      <c r="X94" s="69" t="n">
        <f aca="false">X93+X78+X79</f>
        <v>-1666.66666666667</v>
      </c>
      <c r="Y94" s="69" t="n">
        <f aca="false">Y93+Y78+Y79</f>
        <v>-1666.66666666667</v>
      </c>
      <c r="Z94" s="69" t="n">
        <f aca="false">Z93+Z78+Z79</f>
        <v>-1666.66666666667</v>
      </c>
      <c r="AA94" s="69" t="n">
        <f aca="false">AA93+AA78+AA79</f>
        <v>-1666.66666666667</v>
      </c>
      <c r="AB94" s="69" t="n">
        <f aca="false">AB93+AB78+AB79</f>
        <v>-1666.66666666667</v>
      </c>
      <c r="AC94" s="69" t="n">
        <f aca="false">AC93+AC78+AC79</f>
        <v>-1666.66666666667</v>
      </c>
      <c r="AD94" s="69" t="n">
        <f aca="false">AD93+AD78+AD79</f>
        <v>-1666.66666666667</v>
      </c>
      <c r="AE94" s="69" t="n">
        <f aca="false">AE93+AE78+AE79</f>
        <v>-1666.66666666667</v>
      </c>
      <c r="AF94" s="69" t="n">
        <f aca="false">AF93+AF78+AF79</f>
        <v>-1666.66666666667</v>
      </c>
      <c r="AG94" s="69" t="n">
        <f aca="false">AG93+AG78+AG79</f>
        <v>-1666.66666666667</v>
      </c>
      <c r="AH94" s="69" t="n">
        <f aca="false">AH93+AH78+AH79</f>
        <v>-1666.66666666667</v>
      </c>
      <c r="AI94" s="69" t="n">
        <f aca="false">AI93+AI78+AI79</f>
        <v>-1666.66666666667</v>
      </c>
      <c r="AJ94" s="69" t="n">
        <f aca="false">AJ93+AJ78+AJ79</f>
        <v>-1666.66666666667</v>
      </c>
      <c r="AK94" s="69" t="n">
        <f aca="false">AK93+AK78+AK79</f>
        <v>-1666.66666666667</v>
      </c>
      <c r="AL94" s="69" t="n">
        <f aca="false">AL93+AL78+AL79</f>
        <v>-1666.66666666667</v>
      </c>
      <c r="AM94" s="69" t="n">
        <f aca="false">AM93+AM78+AM79</f>
        <v>-1666.66666666667</v>
      </c>
      <c r="AN94" s="69" t="n">
        <f aca="false">AN93+AN78+AN79</f>
        <v>-1666.66666666667</v>
      </c>
      <c r="AO94" s="69" t="n">
        <f aca="false">AO93+AO78+AO79</f>
        <v>-1666.66666666667</v>
      </c>
      <c r="AP94" s="69" t="n">
        <f aca="false">AP93+AP78+AP79</f>
        <v>-1666.66666666667</v>
      </c>
      <c r="AQ94" s="69" t="n">
        <f aca="false">AQ93+AQ78+AQ79</f>
        <v>-1666.66666666667</v>
      </c>
      <c r="AR94" s="69" t="n">
        <f aca="false">AR93+AR78+AR79</f>
        <v>-1666.66666666667</v>
      </c>
      <c r="AS94" s="69" t="n">
        <f aca="false">AS93+AS78+AS79</f>
        <v>-1666.66666666667</v>
      </c>
      <c r="AT94" s="69" t="n">
        <f aca="false">AT93+AT78+AT79</f>
        <v>-1666.66666666667</v>
      </c>
      <c r="AU94" s="69" t="n">
        <f aca="false">AU93+AU78+AU79</f>
        <v>-1666.66666666667</v>
      </c>
      <c r="AV94" s="69" t="n">
        <f aca="false">AV93+AV78+AV79</f>
        <v>-1666.66666666667</v>
      </c>
      <c r="AW94" s="69" t="n">
        <f aca="false">AW93+AW78+AW79</f>
        <v>-1666.66666666667</v>
      </c>
      <c r="AX94" s="69" t="n">
        <f aca="false">AX93+AX78+AX79</f>
        <v>-1666.66666666667</v>
      </c>
      <c r="AY94" s="69" t="n">
        <f aca="false">AY93+AY78+AY79</f>
        <v>-1666.66666666667</v>
      </c>
      <c r="AZ94" s="69" t="n">
        <f aca="false">AZ93+AZ78+AZ79</f>
        <v>-1666.66666666667</v>
      </c>
      <c r="BA94" s="69" t="n">
        <f aca="false">BA93+BA78+BA79</f>
        <v>-1666.66666666667</v>
      </c>
      <c r="BB94" s="69" t="n">
        <f aca="false">BB93+BB78+BB79</f>
        <v>-1666.66666666667</v>
      </c>
      <c r="BC94" s="69" t="n">
        <f aca="false">BC93+BC78+BC79</f>
        <v>-1666.66666666667</v>
      </c>
      <c r="BD94" s="69" t="n">
        <f aca="false">BD93+BD78+BD79</f>
        <v>-1666.66666666667</v>
      </c>
      <c r="BE94" s="69" t="n">
        <f aca="false">BE93+BE78+BE79</f>
        <v>-1666.66666666667</v>
      </c>
      <c r="BF94" s="69" t="n">
        <f aca="false">BF93+BF78+BF79</f>
        <v>-1666.66666666667</v>
      </c>
      <c r="BG94" s="69" t="n">
        <f aca="false">BG93+BG78+BG79</f>
        <v>-1666.66666666667</v>
      </c>
      <c r="BH94" s="69" t="n">
        <f aca="false">BH93+BH78+BH79</f>
        <v>-1666.66666666667</v>
      </c>
      <c r="BI94" s="69" t="n">
        <f aca="false">BI93+BI78+BI79</f>
        <v>-1666.66666666667</v>
      </c>
      <c r="BJ94" s="69" t="n">
        <f aca="false">BJ93+BJ78+BJ79</f>
        <v>-1666.66666666667</v>
      </c>
    </row>
    <row r="95" customFormat="false" ht="15" hidden="false" customHeight="false" outlineLevel="0" collapsed="false">
      <c r="A95" s="115" t="s">
        <v>446</v>
      </c>
      <c r="C95" s="70" t="n">
        <f aca="false">C91+C92+C94</f>
        <v>214984.019244444</v>
      </c>
      <c r="D95" s="70" t="n">
        <f aca="false">D91+D92+D94</f>
        <v>-30113.7634</v>
      </c>
      <c r="E95" s="70" t="n">
        <f aca="false">E91+E92+E94</f>
        <v>-28592.1566</v>
      </c>
      <c r="F95" s="70" t="n">
        <f aca="false">F91+F92+F94</f>
        <v>-27070.5498</v>
      </c>
      <c r="G95" s="70" t="n">
        <f aca="false">G91+G92+G94</f>
        <v>-25548.943</v>
      </c>
      <c r="H95" s="70" t="n">
        <f aca="false">H91+H92+H94</f>
        <v>-21629.0612</v>
      </c>
      <c r="I95" s="70" t="n">
        <f aca="false">I91+I92+I94</f>
        <v>-19951.5024</v>
      </c>
      <c r="J95" s="70" t="n">
        <f aca="false">J91+J92+J94</f>
        <v>-18217.5136</v>
      </c>
      <c r="K95" s="70" t="n">
        <f aca="false">K91+K92+K94</f>
        <v>-19535.8748</v>
      </c>
      <c r="L95" s="70" t="n">
        <f aca="false">L91+L92+L94</f>
        <v>-17940.909</v>
      </c>
      <c r="M95" s="70" t="n">
        <f aca="false">M91+M92+M94</f>
        <v>-16419.3022</v>
      </c>
      <c r="N95" s="70" t="n">
        <f aca="false">N91+N92+N94</f>
        <v>-11191.2704</v>
      </c>
      <c r="O95" s="70" t="n">
        <f aca="false">O91+O92+O94</f>
        <v>-23357.3913182222</v>
      </c>
      <c r="P95" s="70" t="n">
        <f aca="false">P91+P92+P94</f>
        <v>-11955.4510813333</v>
      </c>
      <c r="Q95" s="70" t="n">
        <f aca="false">Q91+Q92+Q94</f>
        <v>-10425.7171133333</v>
      </c>
      <c r="R95" s="70" t="n">
        <f aca="false">R91+R92+R94</f>
        <v>-10724.4039733333</v>
      </c>
      <c r="S95" s="70" t="n">
        <f aca="false">S91+S92+S94</f>
        <v>-10711.9039733333</v>
      </c>
      <c r="T95" s="70" t="n">
        <f aca="false">T91+T92+T94</f>
        <v>-6303.19917333333</v>
      </c>
      <c r="U95" s="70" t="n">
        <f aca="false">U91+U92+U94</f>
        <v>-6418.33357333333</v>
      </c>
      <c r="V95" s="70" t="n">
        <f aca="false">V91+V92+V94</f>
        <v>-6405.83357333333</v>
      </c>
      <c r="W95" s="70" t="n">
        <f aca="false">W91+W92+W94</f>
        <v>-10789.5383733333</v>
      </c>
      <c r="X95" s="70" t="n">
        <f aca="false">X91+X92+X94</f>
        <v>-10649.4039733333</v>
      </c>
      <c r="Y95" s="70" t="n">
        <f aca="false">Y91+Y92+Y94</f>
        <v>-10636.9039733333</v>
      </c>
      <c r="Z95" s="70" t="n">
        <f aca="false">Z91+Z92+Z94</f>
        <v>-6228.19917333333</v>
      </c>
      <c r="AA95" s="70" t="n">
        <f aca="false">AA91+AA92+AA94</f>
        <v>-20953.6166628445</v>
      </c>
      <c r="AB95" s="70" t="n">
        <f aca="false">AB91+AB92+AB94</f>
        <v>-11068.4529664</v>
      </c>
      <c r="AC95" s="70" t="n">
        <f aca="false">AC91+AC92+AC94</f>
        <v>-11055.9529664</v>
      </c>
      <c r="AD95" s="70" t="n">
        <f aca="false">AD91+AD92+AD94</f>
        <v>-11043.4529664</v>
      </c>
      <c r="AE95" s="70" t="n">
        <f aca="false">AE91+AE92+AE94</f>
        <v>-11030.9529664</v>
      </c>
      <c r="AF95" s="70" t="n">
        <f aca="false">AF91+AF92+AF94</f>
        <v>-6586.5023264</v>
      </c>
      <c r="AG95" s="70" t="n">
        <f aca="false">AG91+AG92+AG94</f>
        <v>-6717.10470240001</v>
      </c>
      <c r="AH95" s="70" t="n">
        <f aca="false">AH91+AH92+AH94</f>
        <v>-6704.60470240001</v>
      </c>
      <c r="AI95" s="70" t="n">
        <f aca="false">AI91+AI92+AI94</f>
        <v>-11124.0553424</v>
      </c>
      <c r="AJ95" s="70" t="n">
        <f aca="false">AJ91+AJ92+AJ94</f>
        <v>-10968.4529664</v>
      </c>
      <c r="AK95" s="70" t="n">
        <f aca="false">AK91+AK92+AK94</f>
        <v>-10955.9529664</v>
      </c>
      <c r="AL95" s="70" t="n">
        <f aca="false">AL91+AL92+AL94</f>
        <v>-6511.5023264</v>
      </c>
      <c r="AM95" s="70" t="n">
        <f aca="false">AM91+AM92+AM94</f>
        <v>-21555.3174018996</v>
      </c>
      <c r="AN95" s="70" t="n">
        <f aca="false">AN91+AN92+AN94</f>
        <v>-11663.9348141973</v>
      </c>
      <c r="AO95" s="70" t="n">
        <f aca="false">AO91+AO92+AO94</f>
        <v>-11651.4348141973</v>
      </c>
      <c r="AP95" s="70" t="n">
        <f aca="false">AP91+AP92+AP94</f>
        <v>-11638.9348141973</v>
      </c>
      <c r="AQ95" s="70" t="n">
        <f aca="false">AQ91+AQ92+AQ94</f>
        <v>-11626.4348141973</v>
      </c>
      <c r="AR95" s="70" t="n">
        <f aca="false">AR91+AR92+AR94</f>
        <v>-7146.20952411733</v>
      </c>
      <c r="AS95" s="70" t="n">
        <f aca="false">AS91+AS92+AS94</f>
        <v>-7293.00222115733</v>
      </c>
      <c r="AT95" s="70" t="n">
        <f aca="false">AT91+AT92+AT94</f>
        <v>-7280.50222115733</v>
      </c>
      <c r="AU95" s="70" t="n">
        <f aca="false">AU91+AU92+AU94</f>
        <v>-11735.7275112373</v>
      </c>
      <c r="AV95" s="70" t="n">
        <f aca="false">AV91+AV92+AV94</f>
        <v>-11563.9348141973</v>
      </c>
      <c r="AW95" s="70" t="n">
        <f aca="false">AW91+AW92+AW94</f>
        <v>-11551.4348141973</v>
      </c>
      <c r="AX95" s="70" t="n">
        <f aca="false">AX91+AX92+AX94</f>
        <v>-7071.20952411733</v>
      </c>
      <c r="AY95" s="70" t="n">
        <f aca="false">AY91+AY92+AY94</f>
        <v>-22369.922277909</v>
      </c>
      <c r="AZ95" s="70" t="n">
        <f aca="false">AZ91+AZ92+AZ94</f>
        <v>-12471.9589198646</v>
      </c>
      <c r="BA95" s="70" t="n">
        <f aca="false">BA91+BA92+BA94</f>
        <v>-12459.4589198646</v>
      </c>
      <c r="BB95" s="70" t="n">
        <f aca="false">BB91+BB92+BB94</f>
        <v>-12446.9589198646</v>
      </c>
      <c r="BC95" s="70" t="n">
        <f aca="false">BC91+BC92+BC94</f>
        <v>-12434.4589198646</v>
      </c>
      <c r="BD95" s="70" t="n">
        <f aca="false">BD91+BD92+BD94</f>
        <v>-7918.44302745665</v>
      </c>
      <c r="BE95" s="70" t="n">
        <f aca="false">BE91+BE92+BE94</f>
        <v>-8082.17832063825</v>
      </c>
      <c r="BF95" s="70" t="n">
        <f aca="false">BF91+BF92+BF94</f>
        <v>-8069.67832063825</v>
      </c>
      <c r="BG95" s="70" t="n">
        <f aca="false">BG91+BG92+BG94</f>
        <v>-12560.6942130462</v>
      </c>
      <c r="BH95" s="70" t="n">
        <f aca="false">BH91+BH92+BH94</f>
        <v>-12371.9589198646</v>
      </c>
      <c r="BI95" s="70" t="n">
        <f aca="false">BI91+BI92+BI94</f>
        <v>-12359.4589198646</v>
      </c>
      <c r="BJ95" s="70" t="n">
        <f aca="false">BJ91+BJ92+BJ94</f>
        <v>-7843.44302745665</v>
      </c>
    </row>
    <row r="96" customFormat="false" ht="15" hidden="false" customHeight="false" outlineLevel="0" collapsed="false">
      <c r="A96" s="6" t="s">
        <v>347</v>
      </c>
      <c r="C96" s="69" t="n">
        <f aca="false">0</f>
        <v>0</v>
      </c>
      <c r="D96" s="69" t="n">
        <f aca="false">C97</f>
        <v>214984.019244444</v>
      </c>
      <c r="E96" s="69" t="n">
        <f aca="false">D97</f>
        <v>184870.255844444</v>
      </c>
      <c r="F96" s="69" t="n">
        <f aca="false">E97</f>
        <v>156278.099244444</v>
      </c>
      <c r="G96" s="69" t="n">
        <f aca="false">F97</f>
        <v>129207.549444444</v>
      </c>
      <c r="H96" s="69" t="n">
        <f aca="false">G97</f>
        <v>103658.606444444</v>
      </c>
      <c r="I96" s="69" t="n">
        <f aca="false">H97</f>
        <v>82029.5452444444</v>
      </c>
      <c r="J96" s="69" t="n">
        <f aca="false">I97</f>
        <v>62078.0428444444</v>
      </c>
      <c r="K96" s="69" t="n">
        <f aca="false">J97</f>
        <v>43860.5292444444</v>
      </c>
      <c r="L96" s="69" t="n">
        <f aca="false">K97</f>
        <v>24324.6544444444</v>
      </c>
      <c r="M96" s="69" t="n">
        <f aca="false">L97</f>
        <v>6383.74544444443</v>
      </c>
      <c r="N96" s="69" t="n">
        <f aca="false">M97</f>
        <v>-10035.5567555556</v>
      </c>
      <c r="O96" s="69" t="n">
        <f aca="false">N97</f>
        <v>-21226.8271555556</v>
      </c>
      <c r="P96" s="69" t="n">
        <f aca="false">O97</f>
        <v>-44584.2184737778</v>
      </c>
      <c r="Q96" s="69" t="n">
        <f aca="false">P97</f>
        <v>-56539.6695551111</v>
      </c>
      <c r="R96" s="69" t="n">
        <f aca="false">Q97</f>
        <v>-66965.3866684445</v>
      </c>
      <c r="S96" s="69" t="n">
        <f aca="false">R97</f>
        <v>-77689.7906417778</v>
      </c>
      <c r="T96" s="69" t="n">
        <f aca="false">S97</f>
        <v>-88401.6946151111</v>
      </c>
      <c r="U96" s="69" t="n">
        <f aca="false">T97</f>
        <v>-94704.8937884445</v>
      </c>
      <c r="V96" s="69" t="n">
        <f aca="false">U97</f>
        <v>-101123.227361778</v>
      </c>
      <c r="W96" s="69" t="n">
        <f aca="false">V97</f>
        <v>-107529.060935111</v>
      </c>
      <c r="X96" s="69" t="n">
        <f aca="false">W97</f>
        <v>-118318.599308444</v>
      </c>
      <c r="Y96" s="69" t="n">
        <f aca="false">X97</f>
        <v>-128968.003281778</v>
      </c>
      <c r="Z96" s="69" t="n">
        <f aca="false">Y97</f>
        <v>-139604.907255111</v>
      </c>
      <c r="AA96" s="69" t="n">
        <f aca="false">Z97</f>
        <v>-145833.106428444</v>
      </c>
      <c r="AB96" s="69" t="n">
        <f aca="false">AA97</f>
        <v>-166786.723091289</v>
      </c>
      <c r="AC96" s="69" t="n">
        <f aca="false">AB97</f>
        <v>-177855.176057689</v>
      </c>
      <c r="AD96" s="69" t="n">
        <f aca="false">AC97</f>
        <v>-188911.129024089</v>
      </c>
      <c r="AE96" s="69" t="n">
        <f aca="false">AD97</f>
        <v>-199954.581990489</v>
      </c>
      <c r="AF96" s="69" t="n">
        <f aca="false">AE97</f>
        <v>-210985.534956889</v>
      </c>
      <c r="AG96" s="69" t="n">
        <f aca="false">AF97</f>
        <v>-217572.037283289</v>
      </c>
      <c r="AH96" s="69" t="n">
        <f aca="false">AG97</f>
        <v>-224289.141985689</v>
      </c>
      <c r="AI96" s="69" t="n">
        <f aca="false">AH97</f>
        <v>-230993.746688089</v>
      </c>
      <c r="AJ96" s="69" t="n">
        <f aca="false">AI97</f>
        <v>-242117.802030489</v>
      </c>
      <c r="AK96" s="69" t="n">
        <f aca="false">AJ97</f>
        <v>-253086.254996889</v>
      </c>
      <c r="AL96" s="69" t="n">
        <f aca="false">AK97</f>
        <v>-264042.207963289</v>
      </c>
      <c r="AM96" s="69" t="n">
        <f aca="false">AL97</f>
        <v>-270553.710289689</v>
      </c>
      <c r="AN96" s="69" t="n">
        <f aca="false">AM97</f>
        <v>-292109.027691589</v>
      </c>
      <c r="AO96" s="69" t="n">
        <f aca="false">AN97</f>
        <v>-303772.962505786</v>
      </c>
      <c r="AP96" s="69" t="n">
        <f aca="false">AO97</f>
        <v>-315424.397319983</v>
      </c>
      <c r="AQ96" s="69" t="n">
        <f aca="false">AP97</f>
        <v>-327063.332134181</v>
      </c>
      <c r="AR96" s="69" t="n">
        <f aca="false">AQ97</f>
        <v>-338689.766948378</v>
      </c>
      <c r="AS96" s="69" t="n">
        <f aca="false">AR97</f>
        <v>-345835.976472495</v>
      </c>
      <c r="AT96" s="69" t="n">
        <f aca="false">AS97</f>
        <v>-353128.978693653</v>
      </c>
      <c r="AU96" s="69" t="n">
        <f aca="false">AT97</f>
        <v>-360409.48091481</v>
      </c>
      <c r="AV96" s="69" t="n">
        <f aca="false">AU97</f>
        <v>-372145.208426047</v>
      </c>
      <c r="AW96" s="69" t="n">
        <f aca="false">AV97</f>
        <v>-383709.143240245</v>
      </c>
      <c r="AX96" s="69" t="n">
        <f aca="false">AW97</f>
        <v>-395260.578054442</v>
      </c>
      <c r="AY96" s="69" t="n">
        <f aca="false">AX97</f>
        <v>-402331.787578559</v>
      </c>
      <c r="AZ96" s="69" t="n">
        <f aca="false">AY97</f>
        <v>-424701.709856468</v>
      </c>
      <c r="BA96" s="69" t="n">
        <f aca="false">AZ97</f>
        <v>-437173.668776333</v>
      </c>
      <c r="BB96" s="69" t="n">
        <f aca="false">BA97</f>
        <v>-449633.127696198</v>
      </c>
      <c r="BC96" s="69" t="n">
        <f aca="false">BB97</f>
        <v>-462080.086616062</v>
      </c>
      <c r="BD96" s="69" t="n">
        <f aca="false">BC97</f>
        <v>-474514.545535927</v>
      </c>
      <c r="BE96" s="69" t="n">
        <f aca="false">BD97</f>
        <v>-482432.988563384</v>
      </c>
      <c r="BF96" s="69" t="n">
        <f aca="false">BE97</f>
        <v>-490515.166884022</v>
      </c>
      <c r="BG96" s="69" t="n">
        <f aca="false">BF97</f>
        <v>-498584.84520466</v>
      </c>
      <c r="BH96" s="69" t="n">
        <f aca="false">BG97</f>
        <v>-511145.539417706</v>
      </c>
      <c r="BI96" s="69" t="n">
        <f aca="false">BH97</f>
        <v>-523517.498337571</v>
      </c>
      <c r="BJ96" s="69" t="n">
        <f aca="false">BI97</f>
        <v>-535876.957257436</v>
      </c>
    </row>
    <row r="97" customFormat="false" ht="15" hidden="false" customHeight="false" outlineLevel="0" collapsed="false">
      <c r="A97" s="115" t="s">
        <v>87</v>
      </c>
      <c r="C97" s="70" t="n">
        <f aca="false">C96+C95</f>
        <v>214984.019244444</v>
      </c>
      <c r="D97" s="70" t="n">
        <f aca="false">D96+D95</f>
        <v>184870.255844444</v>
      </c>
      <c r="E97" s="70" t="n">
        <f aca="false">E96+E95</f>
        <v>156278.099244444</v>
      </c>
      <c r="F97" s="70" t="n">
        <f aca="false">F96+F95</f>
        <v>129207.549444444</v>
      </c>
      <c r="G97" s="70" t="n">
        <f aca="false">G96+G95</f>
        <v>103658.606444444</v>
      </c>
      <c r="H97" s="70" t="n">
        <f aca="false">H96+H95</f>
        <v>82029.5452444444</v>
      </c>
      <c r="I97" s="70" t="n">
        <f aca="false">I96+I95</f>
        <v>62078.0428444444</v>
      </c>
      <c r="J97" s="70" t="n">
        <f aca="false">J96+J95</f>
        <v>43860.5292444444</v>
      </c>
      <c r="K97" s="70" t="n">
        <f aca="false">K96+K95</f>
        <v>24324.6544444444</v>
      </c>
      <c r="L97" s="70" t="n">
        <f aca="false">L96+L95</f>
        <v>6383.74544444443</v>
      </c>
      <c r="M97" s="70" t="n">
        <f aca="false">M96+M95</f>
        <v>-10035.5567555556</v>
      </c>
      <c r="N97" s="70" t="n">
        <f aca="false">N96+N95</f>
        <v>-21226.8271555556</v>
      </c>
      <c r="O97" s="70" t="n">
        <f aca="false">O96+O95</f>
        <v>-44584.2184737778</v>
      </c>
      <c r="P97" s="70" t="n">
        <f aca="false">P96+P95</f>
        <v>-56539.6695551111</v>
      </c>
      <c r="Q97" s="70" t="n">
        <f aca="false">Q96+Q95</f>
        <v>-66965.3866684445</v>
      </c>
      <c r="R97" s="70" t="n">
        <f aca="false">R96+R95</f>
        <v>-77689.7906417778</v>
      </c>
      <c r="S97" s="70" t="n">
        <f aca="false">S96+S95</f>
        <v>-88401.6946151111</v>
      </c>
      <c r="T97" s="70" t="n">
        <f aca="false">T96+T95</f>
        <v>-94704.8937884445</v>
      </c>
      <c r="U97" s="70" t="n">
        <f aca="false">U96+U95</f>
        <v>-101123.227361778</v>
      </c>
      <c r="V97" s="70" t="n">
        <f aca="false">V96+V95</f>
        <v>-107529.060935111</v>
      </c>
      <c r="W97" s="70" t="n">
        <f aca="false">W96+W95</f>
        <v>-118318.599308444</v>
      </c>
      <c r="X97" s="70" t="n">
        <f aca="false">X96+X95</f>
        <v>-128968.003281778</v>
      </c>
      <c r="Y97" s="70" t="n">
        <f aca="false">Y96+Y95</f>
        <v>-139604.907255111</v>
      </c>
      <c r="Z97" s="70" t="n">
        <f aca="false">Z96+Z95</f>
        <v>-145833.106428444</v>
      </c>
      <c r="AA97" s="70" t="n">
        <f aca="false">AA96+AA95</f>
        <v>-166786.723091289</v>
      </c>
      <c r="AB97" s="70" t="n">
        <f aca="false">AB96+AB95</f>
        <v>-177855.176057689</v>
      </c>
      <c r="AC97" s="70" t="n">
        <f aca="false">AC96+AC95</f>
        <v>-188911.129024089</v>
      </c>
      <c r="AD97" s="70" t="n">
        <f aca="false">AD96+AD95</f>
        <v>-199954.581990489</v>
      </c>
      <c r="AE97" s="70" t="n">
        <f aca="false">AE96+AE95</f>
        <v>-210985.534956889</v>
      </c>
      <c r="AF97" s="70" t="n">
        <f aca="false">AF96+AF95</f>
        <v>-217572.037283289</v>
      </c>
      <c r="AG97" s="70" t="n">
        <f aca="false">AG96+AG95</f>
        <v>-224289.141985689</v>
      </c>
      <c r="AH97" s="70" t="n">
        <f aca="false">AH96+AH95</f>
        <v>-230993.746688089</v>
      </c>
      <c r="AI97" s="70" t="n">
        <f aca="false">AI96+AI95</f>
        <v>-242117.802030489</v>
      </c>
      <c r="AJ97" s="70" t="n">
        <f aca="false">AJ96+AJ95</f>
        <v>-253086.254996889</v>
      </c>
      <c r="AK97" s="70" t="n">
        <f aca="false">AK96+AK95</f>
        <v>-264042.207963289</v>
      </c>
      <c r="AL97" s="70" t="n">
        <f aca="false">AL96+AL95</f>
        <v>-270553.710289689</v>
      </c>
      <c r="AM97" s="70" t="n">
        <f aca="false">AM96+AM95</f>
        <v>-292109.027691589</v>
      </c>
      <c r="AN97" s="70" t="n">
        <f aca="false">AN96+AN95</f>
        <v>-303772.962505786</v>
      </c>
      <c r="AO97" s="70" t="n">
        <f aca="false">AO96+AO95</f>
        <v>-315424.397319983</v>
      </c>
      <c r="AP97" s="70" t="n">
        <f aca="false">AP96+AP95</f>
        <v>-327063.332134181</v>
      </c>
      <c r="AQ97" s="70" t="n">
        <f aca="false">AQ96+AQ95</f>
        <v>-338689.766948378</v>
      </c>
      <c r="AR97" s="70" t="n">
        <f aca="false">AR96+AR95</f>
        <v>-345835.976472495</v>
      </c>
      <c r="AS97" s="70" t="n">
        <f aca="false">AS96+AS95</f>
        <v>-353128.978693653</v>
      </c>
      <c r="AT97" s="70" t="n">
        <f aca="false">AT96+AT95</f>
        <v>-360409.48091481</v>
      </c>
      <c r="AU97" s="70" t="n">
        <f aca="false">AU96+AU95</f>
        <v>-372145.208426047</v>
      </c>
      <c r="AV97" s="70" t="n">
        <f aca="false">AV96+AV95</f>
        <v>-383709.143240245</v>
      </c>
      <c r="AW97" s="70" t="n">
        <f aca="false">AW96+AW95</f>
        <v>-395260.578054442</v>
      </c>
      <c r="AX97" s="70" t="n">
        <f aca="false">AX96+AX95</f>
        <v>-402331.787578559</v>
      </c>
      <c r="AY97" s="70" t="n">
        <f aca="false">AY96+AY95</f>
        <v>-424701.709856468</v>
      </c>
      <c r="AZ97" s="70" t="n">
        <f aca="false">AZ96+AZ95</f>
        <v>-437173.668776333</v>
      </c>
      <c r="BA97" s="70" t="n">
        <f aca="false">BA96+BA95</f>
        <v>-449633.127696198</v>
      </c>
      <c r="BB97" s="70" t="n">
        <f aca="false">BB96+BB95</f>
        <v>-462080.086616062</v>
      </c>
      <c r="BC97" s="70" t="n">
        <f aca="false">BC96+BC95</f>
        <v>-474514.545535927</v>
      </c>
      <c r="BD97" s="70" t="n">
        <f aca="false">BD96+BD95</f>
        <v>-482432.988563384</v>
      </c>
      <c r="BE97" s="70" t="n">
        <f aca="false">BE96+BE95</f>
        <v>-490515.166884022</v>
      </c>
      <c r="BF97" s="70" t="n">
        <f aca="false">BF96+BF95</f>
        <v>-498584.84520466</v>
      </c>
      <c r="BG97" s="70" t="n">
        <f aca="false">BG96+BG95</f>
        <v>-511145.539417706</v>
      </c>
      <c r="BH97" s="70" t="n">
        <f aca="false">BH96+BH95</f>
        <v>-523517.498337571</v>
      </c>
      <c r="BI97" s="70" t="n">
        <f aca="false">BI96+BI95</f>
        <v>-535876.957257436</v>
      </c>
      <c r="BJ97" s="70" t="n">
        <f aca="false">BJ96+BJ95</f>
        <v>-543720.400284892</v>
      </c>
    </row>
    <row r="98" customFormat="false" ht="15" hidden="false" customHeight="false" outlineLevel="0" collapsed="false">
      <c r="A98" s="118" t="s">
        <v>447</v>
      </c>
      <c r="C98" s="120" t="n">
        <f aca="false">IF(C52&gt;0,1,0)</f>
        <v>0</v>
      </c>
      <c r="D98" s="120" t="n">
        <f aca="false">IF(D52&gt;0,1,0)</f>
        <v>0</v>
      </c>
      <c r="E98" s="120" t="n">
        <f aca="false">IF(E52&gt;0,1,0)</f>
        <v>0</v>
      </c>
      <c r="F98" s="120" t="n">
        <f aca="false">IF(F52&gt;0,1,0)</f>
        <v>0</v>
      </c>
      <c r="G98" s="120" t="n">
        <f aca="false">IF(G52&gt;0,1,0)</f>
        <v>0</v>
      </c>
      <c r="H98" s="120" t="n">
        <f aca="false">IF(H52&gt;0,1,0)</f>
        <v>0</v>
      </c>
      <c r="I98" s="120" t="n">
        <f aca="false">IF(I52&gt;0,1,0)</f>
        <v>0</v>
      </c>
      <c r="J98" s="120" t="n">
        <f aca="false">IF(J52&gt;0,1,0)</f>
        <v>0</v>
      </c>
      <c r="K98" s="120" t="n">
        <f aca="false">IF(K52&gt;0,1,0)</f>
        <v>0</v>
      </c>
      <c r="L98" s="120" t="n">
        <f aca="false">IF(L52&gt;0,1,0)</f>
        <v>0</v>
      </c>
      <c r="M98" s="120" t="n">
        <f aca="false">IF(M52&gt;0,1,0)</f>
        <v>0</v>
      </c>
      <c r="N98" s="120" t="n">
        <f aca="false">IF(N52&gt;0,1,0)</f>
        <v>0</v>
      </c>
      <c r="O98" s="120" t="n">
        <f aca="false">IF(O52&gt;0,1,0)</f>
        <v>0</v>
      </c>
      <c r="P98" s="120" t="n">
        <f aca="false">IF(P52&gt;0,1,0)</f>
        <v>0</v>
      </c>
      <c r="Q98" s="120" t="n">
        <f aca="false">IF(Q52&gt;0,1,0)</f>
        <v>0</v>
      </c>
      <c r="R98" s="120" t="n">
        <f aca="false">IF(R52&gt;0,1,0)</f>
        <v>0</v>
      </c>
      <c r="S98" s="120" t="n">
        <f aca="false">IF(S52&gt;0,1,0)</f>
        <v>0</v>
      </c>
      <c r="T98" s="120" t="n">
        <f aca="false">IF(T52&gt;0,1,0)</f>
        <v>0</v>
      </c>
      <c r="U98" s="120" t="n">
        <f aca="false">IF(U52&gt;0,1,0)</f>
        <v>0</v>
      </c>
      <c r="V98" s="120" t="n">
        <f aca="false">IF(V52&gt;0,1,0)</f>
        <v>0</v>
      </c>
      <c r="W98" s="120" t="n">
        <f aca="false">IF(W52&gt;0,1,0)</f>
        <v>0</v>
      </c>
      <c r="X98" s="120" t="n">
        <f aca="false">IF(X52&gt;0,1,0)</f>
        <v>0</v>
      </c>
      <c r="Y98" s="120" t="n">
        <f aca="false">IF(Y52&gt;0,1,0)</f>
        <v>0</v>
      </c>
      <c r="Z98" s="120" t="n">
        <f aca="false">IF(Z52&gt;0,1,0)</f>
        <v>0</v>
      </c>
      <c r="AA98" s="120" t="n">
        <f aca="false">IF(AA52&gt;0,1,0)</f>
        <v>0</v>
      </c>
      <c r="AB98" s="120" t="n">
        <f aca="false">IF(AB52&gt;0,1,0)</f>
        <v>0</v>
      </c>
      <c r="AC98" s="120" t="n">
        <f aca="false">IF(AC52&gt;0,1,0)</f>
        <v>0</v>
      </c>
      <c r="AD98" s="120" t="n">
        <f aca="false">IF(AD52&gt;0,1,0)</f>
        <v>0</v>
      </c>
      <c r="AE98" s="120" t="n">
        <f aca="false">IF(AE52&gt;0,1,0)</f>
        <v>0</v>
      </c>
      <c r="AF98" s="120" t="n">
        <f aca="false">IF(AF52&gt;0,1,0)</f>
        <v>0</v>
      </c>
      <c r="AG98" s="120" t="n">
        <f aca="false">IF(AG52&gt;0,1,0)</f>
        <v>0</v>
      </c>
      <c r="AH98" s="120" t="n">
        <f aca="false">IF(AH52&gt;0,1,0)</f>
        <v>0</v>
      </c>
      <c r="AI98" s="120" t="n">
        <f aca="false">IF(AI52&gt;0,1,0)</f>
        <v>0</v>
      </c>
      <c r="AJ98" s="120" t="n">
        <f aca="false">IF(AJ52&gt;0,1,0)</f>
        <v>0</v>
      </c>
      <c r="AK98" s="120" t="n">
        <f aca="false">IF(AK52&gt;0,1,0)</f>
        <v>0</v>
      </c>
      <c r="AL98" s="120" t="n">
        <f aca="false">IF(AL52&gt;0,1,0)</f>
        <v>0</v>
      </c>
      <c r="AM98" s="120" t="n">
        <f aca="false">IF(AM52&gt;0,1,0)</f>
        <v>0</v>
      </c>
      <c r="AN98" s="120" t="n">
        <f aca="false">IF(AN52&gt;0,1,0)</f>
        <v>0</v>
      </c>
      <c r="AO98" s="120" t="n">
        <f aca="false">IF(AO52&gt;0,1,0)</f>
        <v>0</v>
      </c>
      <c r="AP98" s="120" t="n">
        <f aca="false">IF(AP52&gt;0,1,0)</f>
        <v>0</v>
      </c>
      <c r="AQ98" s="120" t="n">
        <f aca="false">IF(AQ52&gt;0,1,0)</f>
        <v>0</v>
      </c>
      <c r="AR98" s="120" t="n">
        <f aca="false">IF(AR52&gt;0,1,0)</f>
        <v>0</v>
      </c>
      <c r="AS98" s="120" t="n">
        <f aca="false">IF(AS52&gt;0,1,0)</f>
        <v>0</v>
      </c>
      <c r="AT98" s="120" t="n">
        <f aca="false">IF(AT52&gt;0,1,0)</f>
        <v>0</v>
      </c>
      <c r="AU98" s="120" t="n">
        <f aca="false">IF(AU52&gt;0,1,0)</f>
        <v>0</v>
      </c>
      <c r="AV98" s="120" t="n">
        <f aca="false">IF(AV52&gt;0,1,0)</f>
        <v>0</v>
      </c>
      <c r="AW98" s="120" t="n">
        <f aca="false">IF(AW52&gt;0,1,0)</f>
        <v>0</v>
      </c>
      <c r="AX98" s="120" t="n">
        <f aca="false">IF(AX52&gt;0,1,0)</f>
        <v>0</v>
      </c>
      <c r="AY98" s="120" t="n">
        <f aca="false">IF(AY52&gt;0,1,0)</f>
        <v>0</v>
      </c>
      <c r="AZ98" s="120" t="n">
        <f aca="false">IF(AZ52&gt;0,1,0)</f>
        <v>0</v>
      </c>
      <c r="BA98" s="120" t="n">
        <f aca="false">IF(BA52&gt;0,1,0)</f>
        <v>0</v>
      </c>
      <c r="BB98" s="120" t="n">
        <f aca="false">IF(BB52&gt;0,1,0)</f>
        <v>0</v>
      </c>
      <c r="BC98" s="120" t="n">
        <f aca="false">IF(BC52&gt;0,1,0)</f>
        <v>0</v>
      </c>
      <c r="BD98" s="120" t="n">
        <f aca="false">IF(BD52&gt;0,1,0)</f>
        <v>0</v>
      </c>
      <c r="BE98" s="120" t="n">
        <f aca="false">IF(BE52&gt;0,1,0)</f>
        <v>0</v>
      </c>
      <c r="BF98" s="120" t="n">
        <f aca="false">IF(BF52&gt;0,1,0)</f>
        <v>0</v>
      </c>
      <c r="BG98" s="120" t="n">
        <f aca="false">IF(BG52&gt;0,1,0)</f>
        <v>0</v>
      </c>
      <c r="BH98" s="120" t="n">
        <f aca="false">IF(BH52&gt;0,1,0)</f>
        <v>0</v>
      </c>
      <c r="BI98" s="120" t="n">
        <f aca="false">IF(BI52&gt;0,1,0)</f>
        <v>0</v>
      </c>
      <c r="BJ98" s="120" t="n">
        <f aca="false">IF(BJ52&gt;0,1,0)</f>
        <v>0</v>
      </c>
    </row>
    <row r="100" customFormat="false" ht="15.75" hidden="false" customHeight="true" outlineLevel="0" collapsed="false">
      <c r="A100" s="7" t="s">
        <v>448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customFormat="false" ht="15" hidden="false" customHeight="false" outlineLevel="0" collapsed="false">
      <c r="A101" s="118" t="s">
        <v>449</v>
      </c>
      <c r="C101" s="120" t="n">
        <f aca="false">IF(C61&gt;0,1,0)</f>
        <v>0</v>
      </c>
      <c r="D101" s="120" t="n">
        <f aca="false">IF(D61&gt;0,1,0)</f>
        <v>0</v>
      </c>
      <c r="E101" s="120" t="n">
        <f aca="false">IF(E61&gt;0,1,0)</f>
        <v>0</v>
      </c>
      <c r="F101" s="120" t="n">
        <f aca="false">IF(F61&gt;0,1,0)</f>
        <v>0</v>
      </c>
      <c r="G101" s="120" t="n">
        <f aca="false">IF(G61&gt;0,1,0)</f>
        <v>0</v>
      </c>
      <c r="H101" s="120" t="n">
        <f aca="false">IF(H61&gt;0,1,0)</f>
        <v>0</v>
      </c>
      <c r="I101" s="120" t="n">
        <f aca="false">IF(I61&gt;0,1,0)</f>
        <v>0</v>
      </c>
      <c r="J101" s="120" t="n">
        <f aca="false">IF(J61&gt;0,1,0)</f>
        <v>0</v>
      </c>
      <c r="K101" s="120" t="n">
        <f aca="false">IF(K61&gt;0,1,0)</f>
        <v>0</v>
      </c>
      <c r="L101" s="120" t="n">
        <f aca="false">IF(L61&gt;0,1,0)</f>
        <v>0</v>
      </c>
      <c r="M101" s="120" t="n">
        <f aca="false">IF(M61&gt;0,1,0)</f>
        <v>0</v>
      </c>
      <c r="N101" s="120" t="n">
        <f aca="false">IF(N61&gt;0,1,0)</f>
        <v>0</v>
      </c>
      <c r="O101" s="120" t="n">
        <f aca="false">IF(O61&gt;0,1,0)</f>
        <v>0</v>
      </c>
      <c r="P101" s="120" t="n">
        <f aca="false">IF(P61&gt;0,1,0)</f>
        <v>0</v>
      </c>
      <c r="Q101" s="120" t="n">
        <f aca="false">IF(Q61&gt;0,1,0)</f>
        <v>0</v>
      </c>
      <c r="R101" s="120" t="n">
        <f aca="false">IF(R61&gt;0,1,0)</f>
        <v>0</v>
      </c>
      <c r="S101" s="120" t="n">
        <f aca="false">IF(S61&gt;0,1,0)</f>
        <v>0</v>
      </c>
      <c r="T101" s="120" t="n">
        <f aca="false">IF(T61&gt;0,1,0)</f>
        <v>0</v>
      </c>
      <c r="U101" s="120" t="n">
        <f aca="false">IF(U61&gt;0,1,0)</f>
        <v>0</v>
      </c>
      <c r="V101" s="120" t="n">
        <f aca="false">IF(V61&gt;0,1,0)</f>
        <v>0</v>
      </c>
      <c r="W101" s="120" t="n">
        <f aca="false">IF(W61&gt;0,1,0)</f>
        <v>0</v>
      </c>
      <c r="X101" s="120" t="n">
        <f aca="false">IF(X61&gt;0,1,0)</f>
        <v>0</v>
      </c>
      <c r="Y101" s="120" t="n">
        <f aca="false">IF(Y61&gt;0,1,0)</f>
        <v>0</v>
      </c>
      <c r="Z101" s="120" t="n">
        <f aca="false">IF(Z61&gt;0,1,0)</f>
        <v>0</v>
      </c>
      <c r="AA101" s="120" t="n">
        <f aca="false">IF(AA61&gt;0,1,0)</f>
        <v>0</v>
      </c>
      <c r="AB101" s="120" t="n">
        <f aca="false">IF(AB61&gt;0,1,0)</f>
        <v>0</v>
      </c>
      <c r="AC101" s="120" t="n">
        <f aca="false">IF(AC61&gt;0,1,0)</f>
        <v>0</v>
      </c>
      <c r="AD101" s="120" t="n">
        <f aca="false">IF(AD61&gt;0,1,0)</f>
        <v>0</v>
      </c>
      <c r="AE101" s="120" t="n">
        <f aca="false">IF(AE61&gt;0,1,0)</f>
        <v>0</v>
      </c>
      <c r="AF101" s="120" t="n">
        <f aca="false">IF(AF61&gt;0,1,0)</f>
        <v>0</v>
      </c>
      <c r="AG101" s="120" t="n">
        <f aca="false">IF(AG61&gt;0,1,0)</f>
        <v>0</v>
      </c>
      <c r="AH101" s="120" t="n">
        <f aca="false">IF(AH61&gt;0,1,0)</f>
        <v>0</v>
      </c>
      <c r="AI101" s="120" t="n">
        <f aca="false">IF(AI61&gt;0,1,0)</f>
        <v>0</v>
      </c>
      <c r="AJ101" s="120" t="n">
        <f aca="false">IF(AJ61&gt;0,1,0)</f>
        <v>0</v>
      </c>
      <c r="AK101" s="120" t="n">
        <f aca="false">IF(AK61&gt;0,1,0)</f>
        <v>0</v>
      </c>
      <c r="AL101" s="120" t="n">
        <f aca="false">IF(AL61&gt;0,1,0)</f>
        <v>0</v>
      </c>
      <c r="AM101" s="120" t="n">
        <f aca="false">IF(AM61&gt;0,1,0)</f>
        <v>0</v>
      </c>
      <c r="AN101" s="120" t="n">
        <f aca="false">IF(AN61&gt;0,1,0)</f>
        <v>0</v>
      </c>
      <c r="AO101" s="120" t="n">
        <f aca="false">IF(AO61&gt;0,1,0)</f>
        <v>0</v>
      </c>
      <c r="AP101" s="120" t="n">
        <f aca="false">IF(AP61&gt;0,1,0)</f>
        <v>0</v>
      </c>
      <c r="AQ101" s="120" t="n">
        <f aca="false">IF(AQ61&gt;0,1,0)</f>
        <v>0</v>
      </c>
      <c r="AR101" s="120" t="n">
        <f aca="false">IF(AR61&gt;0,1,0)</f>
        <v>0</v>
      </c>
      <c r="AS101" s="120" t="n">
        <f aca="false">IF(AS61&gt;0,1,0)</f>
        <v>0</v>
      </c>
      <c r="AT101" s="120" t="n">
        <f aca="false">IF(AT61&gt;0,1,0)</f>
        <v>0</v>
      </c>
      <c r="AU101" s="120" t="n">
        <f aca="false">IF(AU61&gt;0,1,0)</f>
        <v>0</v>
      </c>
      <c r="AV101" s="120" t="n">
        <f aca="false">IF(AV61&gt;0,1,0)</f>
        <v>0</v>
      </c>
      <c r="AW101" s="120" t="n">
        <f aca="false">IF(AW61&gt;0,1,0)</f>
        <v>0</v>
      </c>
      <c r="AX101" s="120" t="n">
        <f aca="false">IF(AX61&gt;0,1,0)</f>
        <v>0</v>
      </c>
      <c r="AY101" s="120" t="n">
        <f aca="false">IF(AY61&gt;0,1,0)</f>
        <v>0</v>
      </c>
      <c r="AZ101" s="120" t="n">
        <f aca="false">IF(AZ61&gt;0,1,0)</f>
        <v>0</v>
      </c>
      <c r="BA101" s="120" t="n">
        <f aca="false">IF(BA61&gt;0,1,0)</f>
        <v>0</v>
      </c>
      <c r="BB101" s="120" t="n">
        <f aca="false">IF(BB61&gt;0,1,0)</f>
        <v>0</v>
      </c>
      <c r="BC101" s="120" t="n">
        <f aca="false">IF(BC61&gt;0,1,0)</f>
        <v>0</v>
      </c>
      <c r="BD101" s="120" t="n">
        <f aca="false">IF(BD61&gt;0,1,0)</f>
        <v>0</v>
      </c>
      <c r="BE101" s="120" t="n">
        <f aca="false">IF(BE61&gt;0,1,0)</f>
        <v>0</v>
      </c>
      <c r="BF101" s="120" t="n">
        <f aca="false">IF(BF61&gt;0,1,0)</f>
        <v>0</v>
      </c>
      <c r="BG101" s="120" t="n">
        <f aca="false">IF(BG61&gt;0,1,0)</f>
        <v>0</v>
      </c>
      <c r="BH101" s="120" t="n">
        <f aca="false">IF(BH61&gt;0,1,0)</f>
        <v>0</v>
      </c>
      <c r="BI101" s="120" t="n">
        <f aca="false">IF(BI61&gt;0,1,0)</f>
        <v>0</v>
      </c>
      <c r="BJ101" s="120" t="n">
        <f aca="false">IF(BJ61&gt;0,1,0)</f>
        <v>0</v>
      </c>
    </row>
    <row r="102" customFormat="false" ht="15" hidden="false" customHeight="false" outlineLevel="0" collapsed="false">
      <c r="A102" s="6" t="s">
        <v>450</v>
      </c>
      <c r="C102" s="69" t="n">
        <f aca="false">C91+C92</f>
        <v>-215015.980755556</v>
      </c>
      <c r="D102" s="69" t="n">
        <f aca="false">D91+D92</f>
        <v>-28447.0967333333</v>
      </c>
      <c r="E102" s="69" t="n">
        <f aca="false">E91+E92</f>
        <v>-26925.4899333333</v>
      </c>
      <c r="F102" s="69" t="n">
        <f aca="false">F91+F92</f>
        <v>-25403.8831333333</v>
      </c>
      <c r="G102" s="69" t="n">
        <f aca="false">G91+G92</f>
        <v>-23882.2763333333</v>
      </c>
      <c r="H102" s="69" t="n">
        <f aca="false">H91+H92</f>
        <v>-19962.3945333333</v>
      </c>
      <c r="I102" s="69" t="n">
        <f aca="false">I91+I92</f>
        <v>-18284.8357333333</v>
      </c>
      <c r="J102" s="69" t="n">
        <f aca="false">J91+J92</f>
        <v>-16550.8469333333</v>
      </c>
      <c r="K102" s="69" t="n">
        <f aca="false">K91+K92</f>
        <v>-17869.2081333333</v>
      </c>
      <c r="L102" s="69" t="n">
        <f aca="false">L91+L92</f>
        <v>-16274.2423333333</v>
      </c>
      <c r="M102" s="69" t="n">
        <f aca="false">M91+M92</f>
        <v>-14752.6355333333</v>
      </c>
      <c r="N102" s="69" t="n">
        <f aca="false">N91+N92</f>
        <v>-9524.60373333333</v>
      </c>
      <c r="O102" s="69" t="n">
        <f aca="false">O91+O92</f>
        <v>-21690.7246515556</v>
      </c>
      <c r="P102" s="69" t="n">
        <f aca="false">P91+P92</f>
        <v>-10288.7844146667</v>
      </c>
      <c r="Q102" s="69" t="n">
        <f aca="false">Q91+Q92</f>
        <v>-8759.05044666667</v>
      </c>
      <c r="R102" s="69" t="n">
        <f aca="false">R91+R92</f>
        <v>-9057.73730666667</v>
      </c>
      <c r="S102" s="69" t="n">
        <f aca="false">S91+S92</f>
        <v>-9045.23730666667</v>
      </c>
      <c r="T102" s="69" t="n">
        <f aca="false">T91+T92</f>
        <v>-4636.53250666666</v>
      </c>
      <c r="U102" s="69" t="n">
        <f aca="false">U91+U92</f>
        <v>-4751.66690666666</v>
      </c>
      <c r="V102" s="69" t="n">
        <f aca="false">V91+V92</f>
        <v>-4739.16690666666</v>
      </c>
      <c r="W102" s="69" t="n">
        <f aca="false">W91+W92</f>
        <v>-9122.87170666667</v>
      </c>
      <c r="X102" s="69" t="n">
        <f aca="false">X91+X92</f>
        <v>-8982.73730666667</v>
      </c>
      <c r="Y102" s="69" t="n">
        <f aca="false">Y91+Y92</f>
        <v>-8970.23730666667</v>
      </c>
      <c r="Z102" s="69" t="n">
        <f aca="false">Z91+Z92</f>
        <v>-4561.53250666666</v>
      </c>
      <c r="AA102" s="69" t="n">
        <f aca="false">AA91+AA92</f>
        <v>-19286.9499961778</v>
      </c>
      <c r="AB102" s="69" t="n">
        <f aca="false">AB91+AB92</f>
        <v>-9401.78629973334</v>
      </c>
      <c r="AC102" s="69" t="n">
        <f aca="false">AC91+AC92</f>
        <v>-9389.28629973334</v>
      </c>
      <c r="AD102" s="69" t="n">
        <f aca="false">AD91+AD92</f>
        <v>-9376.78629973334</v>
      </c>
      <c r="AE102" s="69" t="n">
        <f aca="false">AE91+AE92</f>
        <v>-9364.28629973334</v>
      </c>
      <c r="AF102" s="69" t="n">
        <f aca="false">AF91+AF92</f>
        <v>-4919.83565973334</v>
      </c>
      <c r="AG102" s="69" t="n">
        <f aca="false">AG91+AG92</f>
        <v>-5050.43803573334</v>
      </c>
      <c r="AH102" s="69" t="n">
        <f aca="false">AH91+AH92</f>
        <v>-5037.93803573334</v>
      </c>
      <c r="AI102" s="69" t="n">
        <f aca="false">AI91+AI92</f>
        <v>-9457.38867573335</v>
      </c>
      <c r="AJ102" s="69" t="n">
        <f aca="false">AJ91+AJ92</f>
        <v>-9301.78629973334</v>
      </c>
      <c r="AK102" s="69" t="n">
        <f aca="false">AK91+AK92</f>
        <v>-9289.28629973334</v>
      </c>
      <c r="AL102" s="69" t="n">
        <f aca="false">AL91+AL92</f>
        <v>-4844.83565973334</v>
      </c>
      <c r="AM102" s="69" t="n">
        <f aca="false">AM91+AM92</f>
        <v>-19888.6507352329</v>
      </c>
      <c r="AN102" s="69" t="n">
        <f aca="false">AN91+AN92</f>
        <v>-9997.26814753067</v>
      </c>
      <c r="AO102" s="69" t="n">
        <f aca="false">AO91+AO92</f>
        <v>-9984.76814753067</v>
      </c>
      <c r="AP102" s="69" t="n">
        <f aca="false">AP91+AP92</f>
        <v>-9972.26814753067</v>
      </c>
      <c r="AQ102" s="69" t="n">
        <f aca="false">AQ91+AQ92</f>
        <v>-9959.76814753067</v>
      </c>
      <c r="AR102" s="69" t="n">
        <f aca="false">AR91+AR92</f>
        <v>-5479.54285745067</v>
      </c>
      <c r="AS102" s="69" t="n">
        <f aca="false">AS91+AS92</f>
        <v>-5626.33555449067</v>
      </c>
      <c r="AT102" s="69" t="n">
        <f aca="false">AT91+AT92</f>
        <v>-5613.83555449067</v>
      </c>
      <c r="AU102" s="69" t="n">
        <f aca="false">AU91+AU92</f>
        <v>-10069.0608445707</v>
      </c>
      <c r="AV102" s="69" t="n">
        <f aca="false">AV91+AV92</f>
        <v>-9897.26814753067</v>
      </c>
      <c r="AW102" s="69" t="n">
        <f aca="false">AW91+AW92</f>
        <v>-9884.76814753067</v>
      </c>
      <c r="AX102" s="69" t="n">
        <f aca="false">AX91+AX92</f>
        <v>-5404.54285745067</v>
      </c>
      <c r="AY102" s="69" t="n">
        <f aca="false">AY91+AY92</f>
        <v>-20703.2556112423</v>
      </c>
      <c r="AZ102" s="69" t="n">
        <f aca="false">AZ91+AZ92</f>
        <v>-10805.292253198</v>
      </c>
      <c r="BA102" s="69" t="n">
        <f aca="false">BA91+BA92</f>
        <v>-10792.792253198</v>
      </c>
      <c r="BB102" s="69" t="n">
        <f aca="false">BB91+BB92</f>
        <v>-10780.292253198</v>
      </c>
      <c r="BC102" s="69" t="n">
        <f aca="false">BC91+BC92</f>
        <v>-10767.792253198</v>
      </c>
      <c r="BD102" s="69" t="n">
        <f aca="false">BD91+BD92</f>
        <v>-6251.77636078998</v>
      </c>
      <c r="BE102" s="69" t="n">
        <f aca="false">BE91+BE92</f>
        <v>-6415.51165397158</v>
      </c>
      <c r="BF102" s="69" t="n">
        <f aca="false">BF91+BF92</f>
        <v>-6403.01165397158</v>
      </c>
      <c r="BG102" s="69" t="n">
        <f aca="false">BG91+BG92</f>
        <v>-10894.0275463796</v>
      </c>
      <c r="BH102" s="69" t="n">
        <f aca="false">BH91+BH92</f>
        <v>-10705.292253198</v>
      </c>
      <c r="BI102" s="69" t="n">
        <f aca="false">BI91+BI92</f>
        <v>-10692.792253198</v>
      </c>
      <c r="BJ102" s="69" t="n">
        <f aca="false">BJ91+BJ92</f>
        <v>-6176.77636078998</v>
      </c>
    </row>
    <row r="103" customFormat="false" ht="15" hidden="false" customHeight="false" outlineLevel="0" collapsed="false">
      <c r="A103" s="6" t="s">
        <v>451</v>
      </c>
      <c r="C103" s="69" t="n">
        <f aca="false">C102</f>
        <v>-215015.980755556</v>
      </c>
      <c r="D103" s="69" t="n">
        <f aca="false">C103+D102</f>
        <v>-243463.077488889</v>
      </c>
      <c r="E103" s="69" t="n">
        <f aca="false">D103+E102</f>
        <v>-270388.567422222</v>
      </c>
      <c r="F103" s="69" t="n">
        <f aca="false">E103+F102</f>
        <v>-295792.450555556</v>
      </c>
      <c r="G103" s="69" t="n">
        <f aca="false">F103+G102</f>
        <v>-319674.726888889</v>
      </c>
      <c r="H103" s="69" t="n">
        <f aca="false">G103+H102</f>
        <v>-339637.121422222</v>
      </c>
      <c r="I103" s="69" t="n">
        <f aca="false">H103+I102</f>
        <v>-357921.957155556</v>
      </c>
      <c r="J103" s="69" t="n">
        <f aca="false">I103+J102</f>
        <v>-374472.804088889</v>
      </c>
      <c r="K103" s="69" t="n">
        <f aca="false">J103+K102</f>
        <v>-392342.012222222</v>
      </c>
      <c r="L103" s="69" t="n">
        <f aca="false">K103+L102</f>
        <v>-408616.254555555</v>
      </c>
      <c r="M103" s="69" t="n">
        <f aca="false">L103+M102</f>
        <v>-423368.890088889</v>
      </c>
      <c r="N103" s="69" t="n">
        <f aca="false">M103+N102</f>
        <v>-432893.493822222</v>
      </c>
      <c r="O103" s="69" t="n">
        <f aca="false">N103+O102</f>
        <v>-454584.218473778</v>
      </c>
      <c r="P103" s="69" t="n">
        <f aca="false">O103+P102</f>
        <v>-464873.002888444</v>
      </c>
      <c r="Q103" s="69" t="n">
        <f aca="false">P103+Q102</f>
        <v>-473632.053335111</v>
      </c>
      <c r="R103" s="69" t="n">
        <f aca="false">Q103+R102</f>
        <v>-482689.790641778</v>
      </c>
      <c r="S103" s="69" t="n">
        <f aca="false">R103+S102</f>
        <v>-491735.027948444</v>
      </c>
      <c r="T103" s="69" t="n">
        <f aca="false">S103+T102</f>
        <v>-496371.560455111</v>
      </c>
      <c r="U103" s="69" t="n">
        <f aca="false">T103+U102</f>
        <v>-501123.227361778</v>
      </c>
      <c r="V103" s="69" t="n">
        <f aca="false">U103+V102</f>
        <v>-505862.394268444</v>
      </c>
      <c r="W103" s="69" t="n">
        <f aca="false">V103+W102</f>
        <v>-514985.265975111</v>
      </c>
      <c r="X103" s="69" t="n">
        <f aca="false">W103+X102</f>
        <v>-523968.003281778</v>
      </c>
      <c r="Y103" s="69" t="n">
        <f aca="false">X103+Y102</f>
        <v>-532938.240588444</v>
      </c>
      <c r="Z103" s="69" t="n">
        <f aca="false">Y103+Z102</f>
        <v>-537499.773095111</v>
      </c>
      <c r="AA103" s="69" t="n">
        <f aca="false">Z103+AA102</f>
        <v>-556786.723091289</v>
      </c>
      <c r="AB103" s="69" t="n">
        <f aca="false">AA103+AB102</f>
        <v>-566188.509391022</v>
      </c>
      <c r="AC103" s="69" t="n">
        <f aca="false">AB103+AC102</f>
        <v>-575577.795690755</v>
      </c>
      <c r="AD103" s="69" t="n">
        <f aca="false">AC103+AD102</f>
        <v>-584954.581990489</v>
      </c>
      <c r="AE103" s="69" t="n">
        <f aca="false">AD103+AE102</f>
        <v>-594318.868290222</v>
      </c>
      <c r="AF103" s="69" t="n">
        <f aca="false">AE103+AF102</f>
        <v>-599238.703949955</v>
      </c>
      <c r="AG103" s="69" t="n">
        <f aca="false">AF103+AG102</f>
        <v>-604289.141985689</v>
      </c>
      <c r="AH103" s="69" t="n">
        <f aca="false">AG103+AH102</f>
        <v>-609327.080021422</v>
      </c>
      <c r="AI103" s="69" t="n">
        <f aca="false">AH103+AI102</f>
        <v>-618784.468697155</v>
      </c>
      <c r="AJ103" s="69" t="n">
        <f aca="false">AI103+AJ102</f>
        <v>-628086.254996889</v>
      </c>
      <c r="AK103" s="69" t="n">
        <f aca="false">AJ103+AK102</f>
        <v>-637375.541296622</v>
      </c>
      <c r="AL103" s="69" t="n">
        <f aca="false">AK103+AL102</f>
        <v>-642220.376956355</v>
      </c>
      <c r="AM103" s="69" t="n">
        <f aca="false">AL103+AM102</f>
        <v>-662109.027691588</v>
      </c>
      <c r="AN103" s="69" t="n">
        <f aca="false">AM103+AN102</f>
        <v>-672106.295839119</v>
      </c>
      <c r="AO103" s="69" t="n">
        <f aca="false">AN103+AO102</f>
        <v>-682091.06398665</v>
      </c>
      <c r="AP103" s="69" t="n">
        <f aca="false">AO103+AP102</f>
        <v>-692063.33213418</v>
      </c>
      <c r="AQ103" s="69" t="n">
        <f aca="false">AP103+AQ102</f>
        <v>-702023.100281711</v>
      </c>
      <c r="AR103" s="69" t="n">
        <f aca="false">AQ103+AR102</f>
        <v>-707502.643139161</v>
      </c>
      <c r="AS103" s="69" t="n">
        <f aca="false">AR103+AS102</f>
        <v>-713128.978693652</v>
      </c>
      <c r="AT103" s="69" t="n">
        <f aca="false">AS103+AT102</f>
        <v>-718742.814248143</v>
      </c>
      <c r="AU103" s="69" t="n">
        <f aca="false">AT103+AU102</f>
        <v>-728811.875092713</v>
      </c>
      <c r="AV103" s="69" t="n">
        <f aca="false">AU103+AV102</f>
        <v>-738709.143240244</v>
      </c>
      <c r="AW103" s="69" t="n">
        <f aca="false">AV103+AW102</f>
        <v>-748593.911387775</v>
      </c>
      <c r="AX103" s="69" t="n">
        <f aca="false">AW103+AX102</f>
        <v>-753998.454245225</v>
      </c>
      <c r="AY103" s="69" t="n">
        <f aca="false">AX103+AY102</f>
        <v>-774701.709856468</v>
      </c>
      <c r="AZ103" s="69" t="n">
        <f aca="false">AY103+AZ102</f>
        <v>-785507.002109666</v>
      </c>
      <c r="BA103" s="69" t="n">
        <f aca="false">AZ103+BA102</f>
        <v>-796299.794362864</v>
      </c>
      <c r="BB103" s="69" t="n">
        <f aca="false">BA103+BB102</f>
        <v>-807080.086616062</v>
      </c>
      <c r="BC103" s="69" t="n">
        <f aca="false">BB103+BC102</f>
        <v>-817847.87886926</v>
      </c>
      <c r="BD103" s="69" t="n">
        <f aca="false">BC103+BD102</f>
        <v>-824099.65523005</v>
      </c>
      <c r="BE103" s="69" t="n">
        <f aca="false">BD103+BE102</f>
        <v>-830515.166884021</v>
      </c>
      <c r="BF103" s="69" t="n">
        <f aca="false">BE103+BF102</f>
        <v>-836918.178537993</v>
      </c>
      <c r="BG103" s="69" t="n">
        <f aca="false">BF103+BG102</f>
        <v>-847812.206084372</v>
      </c>
      <c r="BH103" s="69" t="n">
        <f aca="false">BG103+BH102</f>
        <v>-858517.49833757</v>
      </c>
      <c r="BI103" s="69" t="n">
        <f aca="false">BH103+BI102</f>
        <v>-869210.290590768</v>
      </c>
      <c r="BJ103" s="69" t="n">
        <f aca="false">BI103+BJ102</f>
        <v>-875387.066951558</v>
      </c>
    </row>
    <row r="104" customFormat="false" ht="15" hidden="false" customHeight="false" outlineLevel="0" collapsed="false">
      <c r="A104" s="118" t="s">
        <v>452</v>
      </c>
      <c r="C104" s="69" t="n">
        <f aca="false">C103</f>
        <v>-215015.980755556</v>
      </c>
      <c r="D104" s="69" t="n">
        <f aca="false">MIN(C104,D103)</f>
        <v>-243463.077488889</v>
      </c>
      <c r="E104" s="69" t="n">
        <f aca="false">MIN(D104,E103)</f>
        <v>-270388.567422222</v>
      </c>
      <c r="F104" s="69" t="n">
        <f aca="false">MIN(E104,F103)</f>
        <v>-295792.450555556</v>
      </c>
      <c r="G104" s="69" t="n">
        <f aca="false">MIN(F104,G103)</f>
        <v>-319674.726888889</v>
      </c>
      <c r="H104" s="69" t="n">
        <f aca="false">MIN(G104,H103)</f>
        <v>-339637.121422222</v>
      </c>
      <c r="I104" s="69" t="n">
        <f aca="false">MIN(H104,I103)</f>
        <v>-357921.957155556</v>
      </c>
      <c r="J104" s="69" t="n">
        <f aca="false">MIN(I104,J103)</f>
        <v>-374472.804088889</v>
      </c>
      <c r="K104" s="69" t="n">
        <f aca="false">MIN(J104,K103)</f>
        <v>-392342.012222222</v>
      </c>
      <c r="L104" s="69" t="n">
        <f aca="false">MIN(K104,L103)</f>
        <v>-408616.254555555</v>
      </c>
      <c r="M104" s="69" t="n">
        <f aca="false">MIN(L104,M103)</f>
        <v>-423368.890088889</v>
      </c>
      <c r="N104" s="69" t="n">
        <f aca="false">MIN(M104,N103)</f>
        <v>-432893.493822222</v>
      </c>
      <c r="O104" s="69" t="n">
        <f aca="false">MIN(N104,O103)</f>
        <v>-454584.218473778</v>
      </c>
      <c r="P104" s="69" t="n">
        <f aca="false">MIN(O104,P103)</f>
        <v>-464873.002888444</v>
      </c>
      <c r="Q104" s="69" t="n">
        <f aca="false">MIN(P104,Q103)</f>
        <v>-473632.053335111</v>
      </c>
      <c r="R104" s="69" t="n">
        <f aca="false">MIN(Q104,R103)</f>
        <v>-482689.790641778</v>
      </c>
      <c r="S104" s="69" t="n">
        <f aca="false">MIN(R104,S103)</f>
        <v>-491735.027948444</v>
      </c>
      <c r="T104" s="69" t="n">
        <f aca="false">MIN(S104,T103)</f>
        <v>-496371.560455111</v>
      </c>
      <c r="U104" s="69" t="n">
        <f aca="false">MIN(T104,U103)</f>
        <v>-501123.227361778</v>
      </c>
      <c r="V104" s="69" t="n">
        <f aca="false">MIN(U104,V103)</f>
        <v>-505862.394268444</v>
      </c>
      <c r="W104" s="69" t="n">
        <f aca="false">MIN(V104,W103)</f>
        <v>-514985.265975111</v>
      </c>
      <c r="X104" s="69" t="n">
        <f aca="false">MIN(W104,X103)</f>
        <v>-523968.003281778</v>
      </c>
      <c r="Y104" s="69" t="n">
        <f aca="false">MIN(X104,Y103)</f>
        <v>-532938.240588444</v>
      </c>
      <c r="Z104" s="69" t="n">
        <f aca="false">MIN(Y104,Z103)</f>
        <v>-537499.773095111</v>
      </c>
      <c r="AA104" s="69" t="n">
        <f aca="false">MIN(Z104,AA103)</f>
        <v>-556786.723091289</v>
      </c>
      <c r="AB104" s="69" t="n">
        <f aca="false">MIN(AA104,AB103)</f>
        <v>-566188.509391022</v>
      </c>
      <c r="AC104" s="69" t="n">
        <f aca="false">MIN(AB104,AC103)</f>
        <v>-575577.795690755</v>
      </c>
      <c r="AD104" s="69" t="n">
        <f aca="false">MIN(AC104,AD103)</f>
        <v>-584954.581990489</v>
      </c>
      <c r="AE104" s="69" t="n">
        <f aca="false">MIN(AD104,AE103)</f>
        <v>-594318.868290222</v>
      </c>
      <c r="AF104" s="69" t="n">
        <f aca="false">MIN(AE104,AF103)</f>
        <v>-599238.703949955</v>
      </c>
      <c r="AG104" s="69" t="n">
        <f aca="false">MIN(AF104,AG103)</f>
        <v>-604289.141985689</v>
      </c>
      <c r="AH104" s="69" t="n">
        <f aca="false">MIN(AG104,AH103)</f>
        <v>-609327.080021422</v>
      </c>
      <c r="AI104" s="69" t="n">
        <f aca="false">MIN(AH104,AI103)</f>
        <v>-618784.468697155</v>
      </c>
      <c r="AJ104" s="69" t="n">
        <f aca="false">MIN(AI104,AJ103)</f>
        <v>-628086.254996889</v>
      </c>
      <c r="AK104" s="69" t="n">
        <f aca="false">MIN(AJ104,AK103)</f>
        <v>-637375.541296622</v>
      </c>
      <c r="AL104" s="69" t="n">
        <f aca="false">MIN(AK104,AL103)</f>
        <v>-642220.376956355</v>
      </c>
      <c r="AM104" s="69" t="n">
        <f aca="false">MIN(AL104,AM103)</f>
        <v>-662109.027691588</v>
      </c>
      <c r="AN104" s="69" t="n">
        <f aca="false">MIN(AM104,AN103)</f>
        <v>-672106.295839119</v>
      </c>
      <c r="AO104" s="69" t="n">
        <f aca="false">MIN(AN104,AO103)</f>
        <v>-682091.06398665</v>
      </c>
      <c r="AP104" s="69" t="n">
        <f aca="false">MIN(AO104,AP103)</f>
        <v>-692063.33213418</v>
      </c>
      <c r="AQ104" s="69" t="n">
        <f aca="false">MIN(AP104,AQ103)</f>
        <v>-702023.100281711</v>
      </c>
      <c r="AR104" s="69" t="n">
        <f aca="false">MIN(AQ104,AR103)</f>
        <v>-707502.643139161</v>
      </c>
      <c r="AS104" s="69" t="n">
        <f aca="false">MIN(AR104,AS103)</f>
        <v>-713128.978693652</v>
      </c>
      <c r="AT104" s="69" t="n">
        <f aca="false">MIN(AS104,AT103)</f>
        <v>-718742.814248143</v>
      </c>
      <c r="AU104" s="69" t="n">
        <f aca="false">MIN(AT104,AU103)</f>
        <v>-728811.875092713</v>
      </c>
      <c r="AV104" s="69" t="n">
        <f aca="false">MIN(AU104,AV103)</f>
        <v>-738709.143240244</v>
      </c>
      <c r="AW104" s="69" t="n">
        <f aca="false">MIN(AV104,AW103)</f>
        <v>-748593.911387775</v>
      </c>
      <c r="AX104" s="69" t="n">
        <f aca="false">MIN(AW104,AX103)</f>
        <v>-753998.454245225</v>
      </c>
      <c r="AY104" s="69" t="n">
        <f aca="false">MIN(AX104,AY103)</f>
        <v>-774701.709856468</v>
      </c>
      <c r="AZ104" s="69" t="n">
        <f aca="false">MIN(AY104,AZ103)</f>
        <v>-785507.002109666</v>
      </c>
      <c r="BA104" s="69" t="n">
        <f aca="false">MIN(AZ104,BA103)</f>
        <v>-796299.794362864</v>
      </c>
      <c r="BB104" s="69" t="n">
        <f aca="false">MIN(BA104,BB103)</f>
        <v>-807080.086616062</v>
      </c>
      <c r="BC104" s="69" t="n">
        <f aca="false">MIN(BB104,BC103)</f>
        <v>-817847.87886926</v>
      </c>
      <c r="BD104" s="69" t="n">
        <f aca="false">MIN(BC104,BD103)</f>
        <v>-824099.65523005</v>
      </c>
      <c r="BE104" s="69" t="n">
        <f aca="false">MIN(BD104,BE103)</f>
        <v>-830515.166884021</v>
      </c>
      <c r="BF104" s="69" t="n">
        <f aca="false">MIN(BE104,BF103)</f>
        <v>-836918.178537993</v>
      </c>
      <c r="BG104" s="69" t="n">
        <f aca="false">MIN(BF104,BG103)</f>
        <v>-847812.206084372</v>
      </c>
      <c r="BH104" s="69" t="n">
        <f aca="false">MIN(BG104,BH103)</f>
        <v>-858517.49833757</v>
      </c>
      <c r="BI104" s="69" t="n">
        <f aca="false">MIN(BH104,BI103)</f>
        <v>-869210.290590768</v>
      </c>
      <c r="BJ104" s="69" t="n">
        <f aca="false">MIN(BI104,BJ103)</f>
        <v>-875387.066951558</v>
      </c>
    </row>
    <row r="105" customFormat="false" ht="15" hidden="false" customHeight="false" outlineLevel="0" collapsed="false">
      <c r="A105" s="118" t="s">
        <v>453</v>
      </c>
      <c r="C105" s="120" t="n">
        <f aca="false">IF(AND(C103&gt;=0,C104&lt;0),1,0)</f>
        <v>0</v>
      </c>
      <c r="D105" s="120" t="n">
        <f aca="false">IF(AND(D103&gt;=0,D104&lt;0),1,0)</f>
        <v>0</v>
      </c>
      <c r="E105" s="120" t="n">
        <f aca="false">IF(AND(E103&gt;=0,E104&lt;0),1,0)</f>
        <v>0</v>
      </c>
      <c r="F105" s="120" t="n">
        <f aca="false">IF(AND(F103&gt;=0,F104&lt;0),1,0)</f>
        <v>0</v>
      </c>
      <c r="G105" s="120" t="n">
        <f aca="false">IF(AND(G103&gt;=0,G104&lt;0),1,0)</f>
        <v>0</v>
      </c>
      <c r="H105" s="120" t="n">
        <f aca="false">IF(AND(H103&gt;=0,H104&lt;0),1,0)</f>
        <v>0</v>
      </c>
      <c r="I105" s="120" t="n">
        <f aca="false">IF(AND(I103&gt;=0,I104&lt;0),1,0)</f>
        <v>0</v>
      </c>
      <c r="J105" s="120" t="n">
        <f aca="false">IF(AND(J103&gt;=0,J104&lt;0),1,0)</f>
        <v>0</v>
      </c>
      <c r="K105" s="120" t="n">
        <f aca="false">IF(AND(K103&gt;=0,K104&lt;0),1,0)</f>
        <v>0</v>
      </c>
      <c r="L105" s="120" t="n">
        <f aca="false">IF(AND(L103&gt;=0,L104&lt;0),1,0)</f>
        <v>0</v>
      </c>
      <c r="M105" s="120" t="n">
        <f aca="false">IF(AND(M103&gt;=0,M104&lt;0),1,0)</f>
        <v>0</v>
      </c>
      <c r="N105" s="120" t="n">
        <f aca="false">IF(AND(N103&gt;=0,N104&lt;0),1,0)</f>
        <v>0</v>
      </c>
      <c r="O105" s="120" t="n">
        <f aca="false">IF(AND(O103&gt;=0,O104&lt;0),1,0)</f>
        <v>0</v>
      </c>
      <c r="P105" s="120" t="n">
        <f aca="false">IF(AND(P103&gt;=0,P104&lt;0),1,0)</f>
        <v>0</v>
      </c>
      <c r="Q105" s="120" t="n">
        <f aca="false">IF(AND(Q103&gt;=0,Q104&lt;0),1,0)</f>
        <v>0</v>
      </c>
      <c r="R105" s="120" t="n">
        <f aca="false">IF(AND(R103&gt;=0,R104&lt;0),1,0)</f>
        <v>0</v>
      </c>
      <c r="S105" s="120" t="n">
        <f aca="false">IF(AND(S103&gt;=0,S104&lt;0),1,0)</f>
        <v>0</v>
      </c>
      <c r="T105" s="120" t="n">
        <f aca="false">IF(AND(T103&gt;=0,T104&lt;0),1,0)</f>
        <v>0</v>
      </c>
      <c r="U105" s="120" t="n">
        <f aca="false">IF(AND(U103&gt;=0,U104&lt;0),1,0)</f>
        <v>0</v>
      </c>
      <c r="V105" s="120" t="n">
        <f aca="false">IF(AND(V103&gt;=0,V104&lt;0),1,0)</f>
        <v>0</v>
      </c>
      <c r="W105" s="120" t="n">
        <f aca="false">IF(AND(W103&gt;=0,W104&lt;0),1,0)</f>
        <v>0</v>
      </c>
      <c r="X105" s="120" t="n">
        <f aca="false">IF(AND(X103&gt;=0,X104&lt;0),1,0)</f>
        <v>0</v>
      </c>
      <c r="Y105" s="120" t="n">
        <f aca="false">IF(AND(Y103&gt;=0,Y104&lt;0),1,0)</f>
        <v>0</v>
      </c>
      <c r="Z105" s="120" t="n">
        <f aca="false">IF(AND(Z103&gt;=0,Z104&lt;0),1,0)</f>
        <v>0</v>
      </c>
      <c r="AA105" s="120" t="n">
        <f aca="false">IF(AND(AA103&gt;=0,AA104&lt;0),1,0)</f>
        <v>0</v>
      </c>
      <c r="AB105" s="120" t="n">
        <f aca="false">IF(AND(AB103&gt;=0,AB104&lt;0),1,0)</f>
        <v>0</v>
      </c>
      <c r="AC105" s="120" t="n">
        <f aca="false">IF(AND(AC103&gt;=0,AC104&lt;0),1,0)</f>
        <v>0</v>
      </c>
      <c r="AD105" s="120" t="n">
        <f aca="false">IF(AND(AD103&gt;=0,AD104&lt;0),1,0)</f>
        <v>0</v>
      </c>
      <c r="AE105" s="120" t="n">
        <f aca="false">IF(AND(AE103&gt;=0,AE104&lt;0),1,0)</f>
        <v>0</v>
      </c>
      <c r="AF105" s="120" t="n">
        <f aca="false">IF(AND(AF103&gt;=0,AF104&lt;0),1,0)</f>
        <v>0</v>
      </c>
      <c r="AG105" s="120" t="n">
        <f aca="false">IF(AND(AG103&gt;=0,AG104&lt;0),1,0)</f>
        <v>0</v>
      </c>
      <c r="AH105" s="120" t="n">
        <f aca="false">IF(AND(AH103&gt;=0,AH104&lt;0),1,0)</f>
        <v>0</v>
      </c>
      <c r="AI105" s="120" t="n">
        <f aca="false">IF(AND(AI103&gt;=0,AI104&lt;0),1,0)</f>
        <v>0</v>
      </c>
      <c r="AJ105" s="120" t="n">
        <f aca="false">IF(AND(AJ103&gt;=0,AJ104&lt;0),1,0)</f>
        <v>0</v>
      </c>
      <c r="AK105" s="120" t="n">
        <f aca="false">IF(AND(AK103&gt;=0,AK104&lt;0),1,0)</f>
        <v>0</v>
      </c>
      <c r="AL105" s="120" t="n">
        <f aca="false">IF(AND(AL103&gt;=0,AL104&lt;0),1,0)</f>
        <v>0</v>
      </c>
      <c r="AM105" s="120" t="n">
        <f aca="false">IF(AND(AM103&gt;=0,AM104&lt;0),1,0)</f>
        <v>0</v>
      </c>
      <c r="AN105" s="120" t="n">
        <f aca="false">IF(AND(AN103&gt;=0,AN104&lt;0),1,0)</f>
        <v>0</v>
      </c>
      <c r="AO105" s="120" t="n">
        <f aca="false">IF(AND(AO103&gt;=0,AO104&lt;0),1,0)</f>
        <v>0</v>
      </c>
      <c r="AP105" s="120" t="n">
        <f aca="false">IF(AND(AP103&gt;=0,AP104&lt;0),1,0)</f>
        <v>0</v>
      </c>
      <c r="AQ105" s="120" t="n">
        <f aca="false">IF(AND(AQ103&gt;=0,AQ104&lt;0),1,0)</f>
        <v>0</v>
      </c>
      <c r="AR105" s="120" t="n">
        <f aca="false">IF(AND(AR103&gt;=0,AR104&lt;0),1,0)</f>
        <v>0</v>
      </c>
      <c r="AS105" s="120" t="n">
        <f aca="false">IF(AND(AS103&gt;=0,AS104&lt;0),1,0)</f>
        <v>0</v>
      </c>
      <c r="AT105" s="120" t="n">
        <f aca="false">IF(AND(AT103&gt;=0,AT104&lt;0),1,0)</f>
        <v>0</v>
      </c>
      <c r="AU105" s="120" t="n">
        <f aca="false">IF(AND(AU103&gt;=0,AU104&lt;0),1,0)</f>
        <v>0</v>
      </c>
      <c r="AV105" s="120" t="n">
        <f aca="false">IF(AND(AV103&gt;=0,AV104&lt;0),1,0)</f>
        <v>0</v>
      </c>
      <c r="AW105" s="120" t="n">
        <f aca="false">IF(AND(AW103&gt;=0,AW104&lt;0),1,0)</f>
        <v>0</v>
      </c>
      <c r="AX105" s="120" t="n">
        <f aca="false">IF(AND(AX103&gt;=0,AX104&lt;0),1,0)</f>
        <v>0</v>
      </c>
      <c r="AY105" s="120" t="n">
        <f aca="false">IF(AND(AY103&gt;=0,AY104&lt;0),1,0)</f>
        <v>0</v>
      </c>
      <c r="AZ105" s="120" t="n">
        <f aca="false">IF(AND(AZ103&gt;=0,AZ104&lt;0),1,0)</f>
        <v>0</v>
      </c>
      <c r="BA105" s="120" t="n">
        <f aca="false">IF(AND(BA103&gt;=0,BA104&lt;0),1,0)</f>
        <v>0</v>
      </c>
      <c r="BB105" s="120" t="n">
        <f aca="false">IF(AND(BB103&gt;=0,BB104&lt;0),1,0)</f>
        <v>0</v>
      </c>
      <c r="BC105" s="120" t="n">
        <f aca="false">IF(AND(BC103&gt;=0,BC104&lt;0),1,0)</f>
        <v>0</v>
      </c>
      <c r="BD105" s="120" t="n">
        <f aca="false">IF(AND(BD103&gt;=0,BD104&lt;0),1,0)</f>
        <v>0</v>
      </c>
      <c r="BE105" s="120" t="n">
        <f aca="false">IF(AND(BE103&gt;=0,BE104&lt;0),1,0)</f>
        <v>0</v>
      </c>
      <c r="BF105" s="120" t="n">
        <f aca="false">IF(AND(BF103&gt;=0,BF104&lt;0),1,0)</f>
        <v>0</v>
      </c>
      <c r="BG105" s="120" t="n">
        <f aca="false">IF(AND(BG103&gt;=0,BG104&lt;0),1,0)</f>
        <v>0</v>
      </c>
      <c r="BH105" s="120" t="n">
        <f aca="false">IF(AND(BH103&gt;=0,BH104&lt;0),1,0)</f>
        <v>0</v>
      </c>
      <c r="BI105" s="120" t="n">
        <f aca="false">IF(AND(BI103&gt;=0,BI104&lt;0),1,0)</f>
        <v>0</v>
      </c>
      <c r="BJ105" s="120" t="n">
        <f aca="false">IF(AND(BJ103&gt;=0,BJ104&lt;0),1,0)</f>
        <v>0</v>
      </c>
    </row>
    <row r="106" customFormat="false" ht="15" hidden="false" customHeight="false" outlineLevel="0" collapsed="false">
      <c r="A106" s="6" t="s">
        <v>454</v>
      </c>
      <c r="C106" s="69" t="n">
        <f aca="false">C91-C56*(1-Inputs!$B$83)+C92</f>
        <v>-214423.480755556</v>
      </c>
      <c r="D106" s="69" t="n">
        <f aca="false">D91-D56*(1-Inputs!$B$83)+D92</f>
        <v>-27859.5342333333</v>
      </c>
      <c r="E106" s="69" t="n">
        <f aca="false">E91-E56*(1-Inputs!$B$83)+E92</f>
        <v>-26347.8024333333</v>
      </c>
      <c r="F106" s="69" t="n">
        <f aca="false">F91-F56*(1-Inputs!$B$83)+F92</f>
        <v>-24836.0706333333</v>
      </c>
      <c r="G106" s="69" t="n">
        <f aca="false">G91-G56*(1-Inputs!$B$83)+G92</f>
        <v>-23324.3388333333</v>
      </c>
      <c r="H106" s="69" t="n">
        <f aca="false">H91-H56*(1-Inputs!$B$83)+H92</f>
        <v>-19414.3320333333</v>
      </c>
      <c r="I106" s="69" t="n">
        <f aca="false">I91-I56*(1-Inputs!$B$83)+I92</f>
        <v>-17746.6482333333</v>
      </c>
      <c r="J106" s="69" t="n">
        <f aca="false">J91-J56*(1-Inputs!$B$83)+J92</f>
        <v>-16022.5344333333</v>
      </c>
      <c r="K106" s="69" t="n">
        <f aca="false">K91-K56*(1-Inputs!$B$83)+K92</f>
        <v>-17350.7706333333</v>
      </c>
      <c r="L106" s="69" t="n">
        <f aca="false">L91-L56*(1-Inputs!$B$83)+L92</f>
        <v>-15765.6798333333</v>
      </c>
      <c r="M106" s="69" t="n">
        <f aca="false">M91-M56*(1-Inputs!$B$83)+M92</f>
        <v>-14253.9480333333</v>
      </c>
      <c r="N106" s="69" t="n">
        <f aca="false">N91-N56*(1-Inputs!$B$83)+N92</f>
        <v>-9035.79123333333</v>
      </c>
      <c r="O106" s="69" t="n">
        <f aca="false">O91-O56*(1-Inputs!$B$83)+O92</f>
        <v>-21211.7871515556</v>
      </c>
      <c r="P106" s="69" t="n">
        <f aca="false">P91-P56*(1-Inputs!$B$83)+P92</f>
        <v>-9819.72191466667</v>
      </c>
      <c r="Q106" s="69" t="n">
        <f aca="false">Q91-Q56*(1-Inputs!$B$83)+Q92</f>
        <v>-8299.86294666667</v>
      </c>
      <c r="R106" s="69" t="n">
        <f aca="false">R91-R56*(1-Inputs!$B$83)+R92</f>
        <v>-8608.42480666667</v>
      </c>
      <c r="S106" s="69" t="n">
        <f aca="false">S91-S56*(1-Inputs!$B$83)+S92</f>
        <v>-8605.79980666667</v>
      </c>
      <c r="T106" s="69" t="n">
        <f aca="false">T91-T56*(1-Inputs!$B$83)+T92</f>
        <v>-4206.97000666666</v>
      </c>
      <c r="U106" s="69" t="n">
        <f aca="false">U91-U56*(1-Inputs!$B$83)+U92</f>
        <v>-4331.97940666666</v>
      </c>
      <c r="V106" s="69" t="n">
        <f aca="false">V91-V56*(1-Inputs!$B$83)+V92</f>
        <v>-4329.35440666666</v>
      </c>
      <c r="W106" s="69" t="n">
        <f aca="false">W91-W56*(1-Inputs!$B$83)+W92</f>
        <v>-8722.93420666667</v>
      </c>
      <c r="X106" s="69" t="n">
        <f aca="false">X91-X56*(1-Inputs!$B$83)+X92</f>
        <v>-8592.67480666667</v>
      </c>
      <c r="Y106" s="69" t="n">
        <f aca="false">Y91-Y56*(1-Inputs!$B$83)+Y92</f>
        <v>-8590.04980666667</v>
      </c>
      <c r="Z106" s="69" t="n">
        <f aca="false">Z91-Z56*(1-Inputs!$B$83)+Z92</f>
        <v>-4191.22000666666</v>
      </c>
      <c r="AA106" s="69" t="n">
        <f aca="false">AA91-AA56*(1-Inputs!$B$83)+AA92</f>
        <v>-18926.5124961778</v>
      </c>
      <c r="AB106" s="69" t="n">
        <f aca="false">AB91-AB56*(1-Inputs!$B$83)+AB92</f>
        <v>-9051.22379973334</v>
      </c>
      <c r="AC106" s="69" t="n">
        <f aca="false">AC91-AC56*(1-Inputs!$B$83)+AC92</f>
        <v>-9048.59879973334</v>
      </c>
      <c r="AD106" s="69" t="n">
        <f aca="false">AD91-AD56*(1-Inputs!$B$83)+AD92</f>
        <v>-9045.97379973334</v>
      </c>
      <c r="AE106" s="69" t="n">
        <f aca="false">AE91-AE56*(1-Inputs!$B$83)+AE92</f>
        <v>-9043.34879973334</v>
      </c>
      <c r="AF106" s="69" t="n">
        <f aca="false">AF91-AF56*(1-Inputs!$B$83)+AF92</f>
        <v>-4608.77315973334</v>
      </c>
      <c r="AG106" s="69" t="n">
        <f aca="false">AG91-AG56*(1-Inputs!$B$83)+AG92</f>
        <v>-4749.25053573334</v>
      </c>
      <c r="AH106" s="69" t="n">
        <f aca="false">AH91-AH56*(1-Inputs!$B$83)+AH92</f>
        <v>-4746.62553573334</v>
      </c>
      <c r="AI106" s="69" t="n">
        <f aca="false">AI91-AI56*(1-Inputs!$B$83)+AI92</f>
        <v>-9175.95117573335</v>
      </c>
      <c r="AJ106" s="69" t="n">
        <f aca="false">AJ91-AJ56*(1-Inputs!$B$83)+AJ92</f>
        <v>-9030.22379973334</v>
      </c>
      <c r="AK106" s="69" t="n">
        <f aca="false">AK91-AK56*(1-Inputs!$B$83)+AK92</f>
        <v>-9027.59879973334</v>
      </c>
      <c r="AL106" s="69" t="n">
        <f aca="false">AL91-AL56*(1-Inputs!$B$83)+AL92</f>
        <v>-4593.02315973334</v>
      </c>
      <c r="AM106" s="69" t="n">
        <f aca="false">AM91-AM56*(1-Inputs!$B$83)+AM92</f>
        <v>-19646.7132352329</v>
      </c>
      <c r="AN106" s="69" t="n">
        <f aca="false">AN91-AN56*(1-Inputs!$B$83)+AN92</f>
        <v>-9765.20564753067</v>
      </c>
      <c r="AO106" s="69" t="n">
        <f aca="false">AO91-AO56*(1-Inputs!$B$83)+AO92</f>
        <v>-9762.58064753067</v>
      </c>
      <c r="AP106" s="69" t="n">
        <f aca="false">AP91-AP56*(1-Inputs!$B$83)+AP92</f>
        <v>-9759.95564753067</v>
      </c>
      <c r="AQ106" s="69" t="n">
        <f aca="false">AQ91-AQ56*(1-Inputs!$B$83)+AQ92</f>
        <v>-9757.33064753067</v>
      </c>
      <c r="AR106" s="69" t="n">
        <f aca="false">AR91-AR56*(1-Inputs!$B$83)+AR92</f>
        <v>-5286.98035745067</v>
      </c>
      <c r="AS106" s="69" t="n">
        <f aca="false">AS91-AS56*(1-Inputs!$B$83)+AS92</f>
        <v>-5443.64805449067</v>
      </c>
      <c r="AT106" s="69" t="n">
        <f aca="false">AT91-AT56*(1-Inputs!$B$83)+AT92</f>
        <v>-5441.02305449067</v>
      </c>
      <c r="AU106" s="69" t="n">
        <f aca="false">AU91-AU56*(1-Inputs!$B$83)+AU92</f>
        <v>-9906.12334457067</v>
      </c>
      <c r="AV106" s="69" t="n">
        <f aca="false">AV91-AV56*(1-Inputs!$B$83)+AV92</f>
        <v>-9744.20564753067</v>
      </c>
      <c r="AW106" s="69" t="n">
        <f aca="false">AW91-AW56*(1-Inputs!$B$83)+AW92</f>
        <v>-9741.58064753067</v>
      </c>
      <c r="AX106" s="69" t="n">
        <f aca="false">AX91-AX56*(1-Inputs!$B$83)+AX92</f>
        <v>-5271.23035745067</v>
      </c>
      <c r="AY106" s="69" t="n">
        <f aca="false">AY91-AY56*(1-Inputs!$B$83)+AY92</f>
        <v>-20579.8181112423</v>
      </c>
      <c r="AZ106" s="69" t="n">
        <f aca="false">AZ91-AZ56*(1-Inputs!$B$83)+AZ92</f>
        <v>-10691.729753198</v>
      </c>
      <c r="BA106" s="69" t="n">
        <f aca="false">BA91-BA56*(1-Inputs!$B$83)+BA92</f>
        <v>-10689.104753198</v>
      </c>
      <c r="BB106" s="69" t="n">
        <f aca="false">BB91-BB56*(1-Inputs!$B$83)+BB92</f>
        <v>-10686.479753198</v>
      </c>
      <c r="BC106" s="69" t="n">
        <f aca="false">BC91-BC56*(1-Inputs!$B$83)+BC92</f>
        <v>-10683.854753198</v>
      </c>
      <c r="BD106" s="69" t="n">
        <f aca="false">BD91-BD56*(1-Inputs!$B$83)+BD92</f>
        <v>-6177.71386078998</v>
      </c>
      <c r="BE106" s="69" t="n">
        <f aca="false">BE91-BE56*(1-Inputs!$B$83)+BE92</f>
        <v>-6351.32415397158</v>
      </c>
      <c r="BF106" s="69" t="n">
        <f aca="false">BF91-BF56*(1-Inputs!$B$83)+BF92</f>
        <v>-6348.69915397158</v>
      </c>
      <c r="BG106" s="69" t="n">
        <f aca="false">BG91-BG56*(1-Inputs!$B$83)+BG92</f>
        <v>-10849.5900463796</v>
      </c>
      <c r="BH106" s="69" t="n">
        <f aca="false">BH91-BH56*(1-Inputs!$B$83)+BH92</f>
        <v>-10670.729753198</v>
      </c>
      <c r="BI106" s="69" t="n">
        <f aca="false">BI91-BI56*(1-Inputs!$B$83)+BI92</f>
        <v>-10668.104753198</v>
      </c>
      <c r="BJ106" s="69" t="n">
        <f aca="false">BJ91-BJ56*(1-Inputs!$B$83)+BJ92</f>
        <v>-6161.96386078998</v>
      </c>
    </row>
    <row r="108" customFormat="false" ht="15.75" hidden="false" customHeight="true" outlineLevel="0" collapsed="false">
      <c r="A108" s="7" t="s">
        <v>455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customFormat="false" ht="15" hidden="false" customHeight="false" outlineLevel="0" collapsed="false">
      <c r="A109" s="6" t="s">
        <v>97</v>
      </c>
      <c r="C109" s="69" t="n">
        <f aca="false">C93</f>
        <v>330000</v>
      </c>
      <c r="D109" s="69" t="n">
        <f aca="false">C109+D93</f>
        <v>330000</v>
      </c>
      <c r="E109" s="69" t="n">
        <f aca="false">D109+E93</f>
        <v>330000</v>
      </c>
      <c r="F109" s="69" t="n">
        <f aca="false">E109+F93</f>
        <v>330000</v>
      </c>
      <c r="G109" s="69" t="n">
        <f aca="false">F109+G93</f>
        <v>330000</v>
      </c>
      <c r="H109" s="69" t="n">
        <f aca="false">G109+H93</f>
        <v>330000</v>
      </c>
      <c r="I109" s="69" t="n">
        <f aca="false">H109+I93</f>
        <v>330000</v>
      </c>
      <c r="J109" s="69" t="n">
        <f aca="false">I109+J93</f>
        <v>330000</v>
      </c>
      <c r="K109" s="69" t="n">
        <f aca="false">J109+K93</f>
        <v>330000</v>
      </c>
      <c r="L109" s="69" t="n">
        <f aca="false">K109+L93</f>
        <v>330000</v>
      </c>
      <c r="M109" s="69" t="n">
        <f aca="false">L109+M93</f>
        <v>330000</v>
      </c>
      <c r="N109" s="69" t="n">
        <f aca="false">M109+N93</f>
        <v>330000</v>
      </c>
      <c r="O109" s="69" t="n">
        <f aca="false">N109+O93</f>
        <v>330000</v>
      </c>
      <c r="P109" s="69" t="n">
        <f aca="false">O109+P93</f>
        <v>330000</v>
      </c>
      <c r="Q109" s="69" t="n">
        <f aca="false">P109+Q93</f>
        <v>330000</v>
      </c>
      <c r="R109" s="69" t="n">
        <f aca="false">Q109+R93</f>
        <v>330000</v>
      </c>
      <c r="S109" s="69" t="n">
        <f aca="false">R109+S93</f>
        <v>330000</v>
      </c>
      <c r="T109" s="69" t="n">
        <f aca="false">S109+T93</f>
        <v>330000</v>
      </c>
      <c r="U109" s="69" t="n">
        <f aca="false">T109+U93</f>
        <v>330000</v>
      </c>
      <c r="V109" s="69" t="n">
        <f aca="false">U109+V93</f>
        <v>330000</v>
      </c>
      <c r="W109" s="69" t="n">
        <f aca="false">V109+W93</f>
        <v>330000</v>
      </c>
      <c r="X109" s="69" t="n">
        <f aca="false">W109+X93</f>
        <v>330000</v>
      </c>
      <c r="Y109" s="69" t="n">
        <f aca="false">X109+Y93</f>
        <v>330000</v>
      </c>
      <c r="Z109" s="69" t="n">
        <f aca="false">Y109+Z93</f>
        <v>330000</v>
      </c>
      <c r="AA109" s="69" t="n">
        <f aca="false">Z109+AA93</f>
        <v>330000</v>
      </c>
      <c r="AB109" s="69" t="n">
        <f aca="false">AA109+AB93</f>
        <v>330000</v>
      </c>
      <c r="AC109" s="69" t="n">
        <f aca="false">AB109+AC93</f>
        <v>330000</v>
      </c>
      <c r="AD109" s="69" t="n">
        <f aca="false">AC109+AD93</f>
        <v>330000</v>
      </c>
      <c r="AE109" s="69" t="n">
        <f aca="false">AD109+AE93</f>
        <v>330000</v>
      </c>
      <c r="AF109" s="69" t="n">
        <f aca="false">AE109+AF93</f>
        <v>330000</v>
      </c>
      <c r="AG109" s="69" t="n">
        <f aca="false">AF109+AG93</f>
        <v>330000</v>
      </c>
      <c r="AH109" s="69" t="n">
        <f aca="false">AG109+AH93</f>
        <v>330000</v>
      </c>
      <c r="AI109" s="69" t="n">
        <f aca="false">AH109+AI93</f>
        <v>330000</v>
      </c>
      <c r="AJ109" s="69" t="n">
        <f aca="false">AI109+AJ93</f>
        <v>330000</v>
      </c>
      <c r="AK109" s="69" t="n">
        <f aca="false">AJ109+AK93</f>
        <v>330000</v>
      </c>
      <c r="AL109" s="69" t="n">
        <f aca="false">AK109+AL93</f>
        <v>330000</v>
      </c>
      <c r="AM109" s="69" t="n">
        <f aca="false">AL109+AM93</f>
        <v>330000</v>
      </c>
      <c r="AN109" s="69" t="n">
        <f aca="false">AM109+AN93</f>
        <v>330000</v>
      </c>
      <c r="AO109" s="69" t="n">
        <f aca="false">AN109+AO93</f>
        <v>330000</v>
      </c>
      <c r="AP109" s="69" t="n">
        <f aca="false">AO109+AP93</f>
        <v>330000</v>
      </c>
      <c r="AQ109" s="69" t="n">
        <f aca="false">AP109+AQ93</f>
        <v>330000</v>
      </c>
      <c r="AR109" s="69" t="n">
        <f aca="false">AQ109+AR93</f>
        <v>330000</v>
      </c>
      <c r="AS109" s="69" t="n">
        <f aca="false">AR109+AS93</f>
        <v>330000</v>
      </c>
      <c r="AT109" s="69" t="n">
        <f aca="false">AS109+AT93</f>
        <v>330000</v>
      </c>
      <c r="AU109" s="69" t="n">
        <f aca="false">AT109+AU93</f>
        <v>330000</v>
      </c>
      <c r="AV109" s="69" t="n">
        <f aca="false">AU109+AV93</f>
        <v>330000</v>
      </c>
      <c r="AW109" s="69" t="n">
        <f aca="false">AV109+AW93</f>
        <v>330000</v>
      </c>
      <c r="AX109" s="69" t="n">
        <f aca="false">AW109+AX93</f>
        <v>330000</v>
      </c>
      <c r="AY109" s="69" t="n">
        <f aca="false">AX109+AY93</f>
        <v>330000</v>
      </c>
      <c r="AZ109" s="69" t="n">
        <f aca="false">AY109+AZ93</f>
        <v>330000</v>
      </c>
      <c r="BA109" s="69" t="n">
        <f aca="false">AZ109+BA93</f>
        <v>330000</v>
      </c>
      <c r="BB109" s="69" t="n">
        <f aca="false">BA109+BB93</f>
        <v>330000</v>
      </c>
      <c r="BC109" s="69" t="n">
        <f aca="false">BB109+BC93</f>
        <v>330000</v>
      </c>
      <c r="BD109" s="69" t="n">
        <f aca="false">BC109+BD93</f>
        <v>330000</v>
      </c>
      <c r="BE109" s="69" t="n">
        <f aca="false">BD109+BE93</f>
        <v>330000</v>
      </c>
      <c r="BF109" s="69" t="n">
        <f aca="false">BE109+BF93</f>
        <v>330000</v>
      </c>
      <c r="BG109" s="69" t="n">
        <f aca="false">BF109+BG93</f>
        <v>330000</v>
      </c>
      <c r="BH109" s="69" t="n">
        <f aca="false">BG109+BH93</f>
        <v>330000</v>
      </c>
      <c r="BI109" s="69" t="n">
        <f aca="false">BH109+BI93</f>
        <v>330000</v>
      </c>
      <c r="BJ109" s="69" t="n">
        <f aca="false">BI109+BJ93</f>
        <v>330000</v>
      </c>
    </row>
    <row r="110" customFormat="false" ht="15" hidden="false" customHeight="false" outlineLevel="0" collapsed="false">
      <c r="A110" s="6" t="s">
        <v>98</v>
      </c>
      <c r="C110" s="69" t="n">
        <f aca="false">C61</f>
        <v>-32234.9425333333</v>
      </c>
      <c r="D110" s="69" t="n">
        <f aca="false">C110+D61</f>
        <v>-62954.5282666667</v>
      </c>
      <c r="E110" s="69" t="n">
        <f aca="false">D110+E61</f>
        <v>-92152.5072</v>
      </c>
      <c r="F110" s="69" t="n">
        <f aca="false">E110+F61</f>
        <v>-119828.879333333</v>
      </c>
      <c r="G110" s="69" t="n">
        <f aca="false">F110+G61</f>
        <v>-145983.644666667</v>
      </c>
      <c r="H110" s="69" t="n">
        <f aca="false">G110+H61</f>
        <v>-168280.6012</v>
      </c>
      <c r="I110" s="69" t="n">
        <f aca="false">H110+I61</f>
        <v>-188843.568933333</v>
      </c>
      <c r="J110" s="69" t="n">
        <f aca="false">I110+J61</f>
        <v>-207672.547866667</v>
      </c>
      <c r="K110" s="69" t="n">
        <f aca="false">J110+K61</f>
        <v>-227740.886</v>
      </c>
      <c r="L110" s="69" t="n">
        <f aca="false">K110+L61</f>
        <v>-246287.617333333</v>
      </c>
      <c r="M110" s="69" t="n">
        <f aca="false">L110+M61</f>
        <v>-263312.741866667</v>
      </c>
      <c r="N110" s="69" t="n">
        <f aca="false">M110+N61</f>
        <v>-275205.7656</v>
      </c>
      <c r="O110" s="69" t="n">
        <f aca="false">N110+O61</f>
        <v>-289408.387509333</v>
      </c>
      <c r="P110" s="69" t="n">
        <f aca="false">O110+P61</f>
        <v>-302081.275450667</v>
      </c>
      <c r="Q110" s="69" t="n">
        <f aca="false">P110+Q61</f>
        <v>-313224.429424</v>
      </c>
      <c r="R110" s="69" t="n">
        <f aca="false">Q110+R61</f>
        <v>-324355.083397333</v>
      </c>
      <c r="S110" s="69" t="n">
        <f aca="false">R110+S61</f>
        <v>-335473.237370667</v>
      </c>
      <c r="T110" s="69" t="n">
        <f aca="false">S110+T61</f>
        <v>-342310.320944</v>
      </c>
      <c r="U110" s="69" t="n">
        <f aca="false">T110+U61</f>
        <v>-349134.904517333</v>
      </c>
      <c r="V110" s="69" t="n">
        <f aca="false">U110+V61</f>
        <v>-355946.988090667</v>
      </c>
      <c r="W110" s="69" t="n">
        <f aca="false">V110+W61</f>
        <v>-367015.142064</v>
      </c>
      <c r="X110" s="69" t="n">
        <f aca="false">W110+X61</f>
        <v>-378070.796037333</v>
      </c>
      <c r="Y110" s="69" t="n">
        <f aca="false">X110+Y61</f>
        <v>-389113.950010667</v>
      </c>
      <c r="Z110" s="69" t="n">
        <f aca="false">Y110+Z61</f>
        <v>-395876.033584</v>
      </c>
      <c r="AA110" s="69" t="n">
        <f aca="false">Z110+AA61</f>
        <v>-407467.403217067</v>
      </c>
      <c r="AB110" s="69" t="n">
        <f aca="false">AA110+AB61</f>
        <v>-419046.272850133</v>
      </c>
      <c r="AC110" s="69" t="n">
        <f aca="false">AB110+AC61</f>
        <v>-430612.6424832</v>
      </c>
      <c r="AD110" s="69" t="n">
        <f aca="false">AC110+AD61</f>
        <v>-442166.512116267</v>
      </c>
      <c r="AE110" s="69" t="n">
        <f aca="false">AD110+AE61</f>
        <v>-453707.881749333</v>
      </c>
      <c r="AF110" s="69" t="n">
        <f aca="false">AE110+AF61</f>
        <v>-460947.9031184</v>
      </c>
      <c r="AG110" s="69" t="n">
        <f aca="false">AF110+AG61</f>
        <v>-468175.424487467</v>
      </c>
      <c r="AH110" s="69" t="n">
        <f aca="false">AG110+AH61</f>
        <v>-475390.445856533</v>
      </c>
      <c r="AI110" s="69" t="n">
        <f aca="false">AH110+AI61</f>
        <v>-486881.8154896</v>
      </c>
      <c r="AJ110" s="69" t="n">
        <f aca="false">AI110+AJ61</f>
        <v>-498360.685122667</v>
      </c>
      <c r="AK110" s="69" t="n">
        <f aca="false">AJ110+AK61</f>
        <v>-509827.054755733</v>
      </c>
      <c r="AL110" s="69" t="n">
        <f aca="false">AK110+AL61</f>
        <v>-516992.0761248</v>
      </c>
      <c r="AM110" s="69" t="n">
        <f aca="false">AL110+AM61</f>
        <v>-529283.094272331</v>
      </c>
      <c r="AN110" s="69" t="n">
        <f aca="false">AM110+AN61</f>
        <v>-541561.612419861</v>
      </c>
      <c r="AO110" s="69" t="n">
        <f aca="false">AN110+AO61</f>
        <v>-553827.630567392</v>
      </c>
      <c r="AP110" s="69" t="n">
        <f aca="false">AO110+AP61</f>
        <v>-566081.148714923</v>
      </c>
      <c r="AQ110" s="69" t="n">
        <f aca="false">AP110+AQ61</f>
        <v>-578322.166862453</v>
      </c>
      <c r="AR110" s="69" t="n">
        <f aca="false">AQ110+AR61</f>
        <v>-586242.252416944</v>
      </c>
      <c r="AS110" s="69" t="n">
        <f aca="false">AR110+AS61</f>
        <v>-594149.837971435</v>
      </c>
      <c r="AT110" s="69" t="n">
        <f aca="false">AS110+AT61</f>
        <v>-602044.923525925</v>
      </c>
      <c r="AU110" s="69" t="n">
        <f aca="false">AT110+AU61</f>
        <v>-614235.941673456</v>
      </c>
      <c r="AV110" s="69" t="n">
        <f aca="false">AU110+AV61</f>
        <v>-626414.459820987</v>
      </c>
      <c r="AW110" s="69" t="n">
        <f aca="false">AV110+AW61</f>
        <v>-638580.477968517</v>
      </c>
      <c r="AX110" s="69" t="n">
        <f aca="false">AW110+AX61</f>
        <v>-646425.563523008</v>
      </c>
      <c r="AY110" s="69" t="n">
        <f aca="false">AX110+AY61</f>
        <v>-659628.772442872</v>
      </c>
      <c r="AZ110" s="69" t="n">
        <f aca="false">AY110+AZ61</f>
        <v>-672819.481362737</v>
      </c>
      <c r="BA110" s="69" t="n">
        <f aca="false">AZ110+BA61</f>
        <v>-685997.690282602</v>
      </c>
      <c r="BB110" s="69" t="n">
        <f aca="false">BA110+BB61</f>
        <v>-699163.399202466</v>
      </c>
      <c r="BC110" s="69" t="n">
        <f aca="false">BB110+BC61</f>
        <v>-712316.608122331</v>
      </c>
      <c r="BD110" s="69" t="n">
        <f aca="false">BC110+BD61</f>
        <v>-721130.036442969</v>
      </c>
      <c r="BE110" s="69" t="n">
        <f aca="false">BD110+BE61</f>
        <v>-729930.964763607</v>
      </c>
      <c r="BF110" s="69" t="n">
        <f aca="false">BE110+BF61</f>
        <v>-738719.393084246</v>
      </c>
      <c r="BG110" s="69" t="n">
        <f aca="false">BF110+BG61</f>
        <v>-751822.60200411</v>
      </c>
      <c r="BH110" s="69" t="n">
        <f aca="false">BG110+BH61</f>
        <v>-764913.310923975</v>
      </c>
      <c r="BI110" s="69" t="n">
        <f aca="false">BH110+BI61</f>
        <v>-777991.51984384</v>
      </c>
      <c r="BJ110" s="69" t="n">
        <f aca="false">BI110+BJ61</f>
        <v>-786729.948164478</v>
      </c>
    </row>
    <row r="111" customFormat="false" ht="15" hidden="false" customHeight="false" outlineLevel="0" collapsed="false">
      <c r="A111" s="4" t="s">
        <v>93</v>
      </c>
      <c r="C111" s="75" t="n">
        <f aca="false">C97+C83+C84+C74</f>
        <v>404570.651911111</v>
      </c>
      <c r="D111" s="75" t="n">
        <f aca="false">D97+D83+D84+D74</f>
        <v>372786.257844445</v>
      </c>
      <c r="E111" s="75" t="n">
        <f aca="false">E97+E83+E84+E74</f>
        <v>342523.470577778</v>
      </c>
      <c r="F111" s="75" t="n">
        <f aca="false">F97+F83+F84+F74</f>
        <v>313782.290111111</v>
      </c>
      <c r="G111" s="75" t="n">
        <f aca="false">G97+G83+G84+G74</f>
        <v>286562.716444444</v>
      </c>
      <c r="H111" s="75" t="n">
        <f aca="false">H97+H83+H84+H74</f>
        <v>263530.126577778</v>
      </c>
      <c r="I111" s="75" t="n">
        <f aca="false">I97+I83+I84+I74</f>
        <v>241932.275511111</v>
      </c>
      <c r="J111" s="75" t="n">
        <f aca="false">J97+J83+J84+J74</f>
        <v>222068.413244444</v>
      </c>
      <c r="K111" s="75" t="n">
        <f aca="false">K97+K83+K84+K74</f>
        <v>200546.241777778</v>
      </c>
      <c r="L111" s="75" t="n">
        <f aca="false">L97+L83+L84+L74</f>
        <v>180934.702111111</v>
      </c>
      <c r="M111" s="75" t="n">
        <f aca="false">M97+M83+M84+M74</f>
        <v>162844.769244444</v>
      </c>
      <c r="N111" s="75" t="n">
        <f aca="false">N97+N83+N84+N74</f>
        <v>150395.662177778</v>
      </c>
      <c r="O111" s="75" t="n">
        <f aca="false">O97+O83+O84+O74</f>
        <v>134960.077712889</v>
      </c>
      <c r="P111" s="75" t="n">
        <f aca="false">P97+P83+P84+P74</f>
        <v>121234.203271556</v>
      </c>
      <c r="Q111" s="75" t="n">
        <f aca="false">Q97+Q83+Q84+Q74</f>
        <v>109038.062798222</v>
      </c>
      <c r="R111" s="75" t="n">
        <f aca="false">R97+R83+R84+R74</f>
        <v>96240.7421582222</v>
      </c>
      <c r="S111" s="75" t="n">
        <f aca="false">S97+S83+S84+S74</f>
        <v>83455.9215182222</v>
      </c>
      <c r="T111" s="75" t="n">
        <f aca="false">T97+T83+T84+T74</f>
        <v>75574.6112782222</v>
      </c>
      <c r="U111" s="75" t="n">
        <f aca="false">U97+U83+U84+U74</f>
        <v>67083.3610382222</v>
      </c>
      <c r="V111" s="75" t="n">
        <f aca="false">V97+V83+V84+V74</f>
        <v>58604.6107982222</v>
      </c>
      <c r="W111" s="75" t="n">
        <f aca="false">W97+W83+W84+W74</f>
        <v>45247.3501582222</v>
      </c>
      <c r="X111" s="75" t="n">
        <f aca="false">X97+X83+X84+X74</f>
        <v>32525.0295182222</v>
      </c>
      <c r="Y111" s="75" t="n">
        <f aca="false">Y97+Y83+Y84+Y74</f>
        <v>19815.2088782223</v>
      </c>
      <c r="Z111" s="75" t="n">
        <f aca="false">Z97+Z83+Z84+Z74</f>
        <v>12008.8986382223</v>
      </c>
      <c r="AA111" s="75" t="n">
        <f aca="false">AA97+AA83+AA84+AA74</f>
        <v>-1495.24513928886</v>
      </c>
      <c r="AB111" s="75" t="n">
        <f aca="false">AB97+AB83+AB84+AB74</f>
        <v>-14740.7814390222</v>
      </c>
      <c r="AC111" s="75" t="n">
        <f aca="false">AC97+AC83+AC84+AC74</f>
        <v>-27973.8177387556</v>
      </c>
      <c r="AD111" s="75" t="n">
        <f aca="false">AD97+AD83+AD84+AD74</f>
        <v>-41194.3540384889</v>
      </c>
      <c r="AE111" s="75" t="n">
        <f aca="false">AE97+AE83+AE84+AE74</f>
        <v>-54402.3903382223</v>
      </c>
      <c r="AF111" s="75" t="n">
        <f aca="false">AF97+AF83+AF84+AF74</f>
        <v>-62661.7407739556</v>
      </c>
      <c r="AG111" s="75" t="n">
        <f aca="false">AG97+AG83+AG84+AG74</f>
        <v>-71555.928809689</v>
      </c>
      <c r="AH111" s="75" t="n">
        <f aca="false">AH97+AH83+AH84+AH74</f>
        <v>-80437.6168454223</v>
      </c>
      <c r="AI111" s="75" t="n">
        <f aca="false">AI97+AI83+AI84+AI74</f>
        <v>-94242.9907451556</v>
      </c>
      <c r="AJ111" s="75" t="n">
        <f aca="false">AJ97+AJ83+AJ84+AJ74</f>
        <v>-107388.527044889</v>
      </c>
      <c r="AK111" s="75" t="n">
        <f aca="false">AK97+AK83+AK84+AK74</f>
        <v>-120521.563344622</v>
      </c>
      <c r="AL111" s="75" t="n">
        <f aca="false">AL97+AL83+AL84+AL74</f>
        <v>-128705.913780356</v>
      </c>
      <c r="AM111" s="75" t="n">
        <f aca="false">AM97+AM83+AM84+AM74</f>
        <v>-142922.025376442</v>
      </c>
      <c r="AN111" s="75" t="n">
        <f aca="false">AN97+AN83+AN84+AN74</f>
        <v>-156867.210190639</v>
      </c>
      <c r="AO111" s="75" t="n">
        <f aca="false">AO97+AO83+AO84+AO74</f>
        <v>-170799.895004837</v>
      </c>
      <c r="AP111" s="75" t="n">
        <f aca="false">AP97+AP83+AP84+AP74</f>
        <v>-184720.079819034</v>
      </c>
      <c r="AQ111" s="75" t="n">
        <f aca="false">AQ97+AQ83+AQ84+AQ74</f>
        <v>-198627.764633231</v>
      </c>
      <c r="AR111" s="75" t="n">
        <f aca="false">AR97+AR83+AR84+AR74</f>
        <v>-207541.285750389</v>
      </c>
      <c r="AS111" s="75" t="n">
        <f aca="false">AS97+AS83+AS84+AS74</f>
        <v>-217115.537971546</v>
      </c>
      <c r="AT111" s="75" t="n">
        <f aca="false">AT97+AT83+AT84+AT74</f>
        <v>-226677.290192703</v>
      </c>
      <c r="AU111" s="75" t="n">
        <f aca="false">AU97+AU83+AU84+AU74</f>
        <v>-241208.206110901</v>
      </c>
      <c r="AV111" s="75" t="n">
        <f aca="false">AV97+AV83+AV84+AV74</f>
        <v>-255053.390925098</v>
      </c>
      <c r="AW111" s="75" t="n">
        <f aca="false">AW97+AW83+AW84+AW74</f>
        <v>-268886.075739295</v>
      </c>
      <c r="AX111" s="75" t="n">
        <f aca="false">AX97+AX83+AX84+AX74</f>
        <v>-277724.596856453</v>
      </c>
      <c r="AY111" s="75" t="n">
        <f aca="false">AY97+AY83+AY84+AY74</f>
        <v>-292865.736051198</v>
      </c>
      <c r="AZ111" s="75" t="n">
        <f aca="false">AZ97+AZ83+AZ84+AZ74</f>
        <v>-307723.11163773</v>
      </c>
      <c r="BA111" s="75" t="n">
        <f aca="false">BA97+BA83+BA84+BA74</f>
        <v>-322567.987224261</v>
      </c>
      <c r="BB111" s="75" t="n">
        <f aca="false">BB97+BB83+BB84+BB74</f>
        <v>-337400.362810792</v>
      </c>
      <c r="BC111" s="75" t="n">
        <f aca="false">BC97+BC83+BC84+BC74</f>
        <v>-352220.238397324</v>
      </c>
      <c r="BD111" s="75" t="n">
        <f aca="false">BD97+BD83+BD84+BD74</f>
        <v>-362000.173036469</v>
      </c>
      <c r="BE111" s="75" t="n">
        <f aca="false">BE97+BE83+BE84+BE74</f>
        <v>-372467.768023774</v>
      </c>
      <c r="BF111" s="75" t="n">
        <f aca="false">BF97+BF83+BF84+BF74</f>
        <v>-382922.863011079</v>
      </c>
      <c r="BG111" s="75" t="n">
        <f aca="false">BG97+BG83+BG84+BG74</f>
        <v>-398392.89894577</v>
      </c>
      <c r="BH111" s="75" t="n">
        <f aca="false">BH97+BH83+BH84+BH74</f>
        <v>-413150.274532301</v>
      </c>
      <c r="BI111" s="75" t="n">
        <f aca="false">BI97+BI83+BI84+BI74</f>
        <v>-427895.150118833</v>
      </c>
      <c r="BJ111" s="75" t="n">
        <f aca="false">BJ97+BJ83+BJ84+BJ74</f>
        <v>-437600.084757977</v>
      </c>
    </row>
    <row r="112" customFormat="false" ht="15" hidden="false" customHeight="false" outlineLevel="0" collapsed="false">
      <c r="A112" s="6" t="s">
        <v>96</v>
      </c>
      <c r="C112" s="69" t="n">
        <f aca="false">C85+C80</f>
        <v>106805.594444444</v>
      </c>
      <c r="D112" s="69" t="n">
        <f aca="false">D85+D80</f>
        <v>105740.786111111</v>
      </c>
      <c r="E112" s="69" t="n">
        <f aca="false">E85+E80</f>
        <v>104675.977777778</v>
      </c>
      <c r="F112" s="69" t="n">
        <f aca="false">F85+F80</f>
        <v>103611.169444444</v>
      </c>
      <c r="G112" s="69" t="n">
        <f aca="false">G85+G80</f>
        <v>102546.361111111</v>
      </c>
      <c r="H112" s="69" t="n">
        <f aca="false">H85+H80</f>
        <v>101810.727777778</v>
      </c>
      <c r="I112" s="69" t="n">
        <f aca="false">I85+I80</f>
        <v>100775.844444444</v>
      </c>
      <c r="J112" s="69" t="n">
        <f aca="false">J85+J80</f>
        <v>99740.9611111111</v>
      </c>
      <c r="K112" s="69" t="n">
        <f aca="false">K85+K80</f>
        <v>98287.1277777777</v>
      </c>
      <c r="L112" s="69" t="n">
        <f aca="false">L85+L80</f>
        <v>97222.3194444444</v>
      </c>
      <c r="M112" s="69" t="n">
        <f aca="false">M85+M80</f>
        <v>96157.5111111111</v>
      </c>
      <c r="N112" s="69" t="n">
        <f aca="false">N85+N80</f>
        <v>95601.4277777777</v>
      </c>
      <c r="O112" s="69" t="n">
        <f aca="false">O85+O80</f>
        <v>94368.4652222222</v>
      </c>
      <c r="P112" s="69" t="n">
        <f aca="false">P85+P80</f>
        <v>93315.4787222222</v>
      </c>
      <c r="Q112" s="69" t="n">
        <f aca="false">Q85+Q80</f>
        <v>92262.4922222222</v>
      </c>
      <c r="R112" s="69" t="n">
        <f aca="false">R85+R80</f>
        <v>90595.8255555555</v>
      </c>
      <c r="S112" s="69" t="n">
        <f aca="false">S85+S80</f>
        <v>88929.1588888888</v>
      </c>
      <c r="T112" s="69" t="n">
        <f aca="false">T85+T80</f>
        <v>87884.9322222221</v>
      </c>
      <c r="U112" s="69" t="n">
        <f aca="false">U85+U80</f>
        <v>86218.2655555555</v>
      </c>
      <c r="V112" s="69" t="n">
        <f aca="false">V85+V80</f>
        <v>84551.5988888888</v>
      </c>
      <c r="W112" s="69" t="n">
        <f aca="false">W85+W80</f>
        <v>82262.4922222221</v>
      </c>
      <c r="X112" s="69" t="n">
        <f aca="false">X85+X80</f>
        <v>80595.8255555555</v>
      </c>
      <c r="Y112" s="69" t="n">
        <f aca="false">Y85+Y80</f>
        <v>78929.1588888888</v>
      </c>
      <c r="Z112" s="69" t="n">
        <f aca="false">Z85+Z80</f>
        <v>77884.9322222221</v>
      </c>
      <c r="AA112" s="69" t="n">
        <f aca="false">AA85+AA80</f>
        <v>75972.1580777777</v>
      </c>
      <c r="AB112" s="69" t="n">
        <f aca="false">AB85+AB80</f>
        <v>74305.491411111</v>
      </c>
      <c r="AC112" s="69" t="n">
        <f aca="false">AC85+AC80</f>
        <v>72638.8247444444</v>
      </c>
      <c r="AD112" s="69" t="n">
        <f aca="false">AD85+AD80</f>
        <v>70972.1580777777</v>
      </c>
      <c r="AE112" s="69" t="n">
        <f aca="false">AE85+AE80</f>
        <v>69305.491411111</v>
      </c>
      <c r="AF112" s="69" t="n">
        <f aca="false">AF85+AF80</f>
        <v>68286.1623444444</v>
      </c>
      <c r="AG112" s="69" t="n">
        <f aca="false">AG85+AG80</f>
        <v>66619.4956777777</v>
      </c>
      <c r="AH112" s="69" t="n">
        <f aca="false">AH85+AH80</f>
        <v>64952.829011111</v>
      </c>
      <c r="AI112" s="69" t="n">
        <f aca="false">AI85+AI80</f>
        <v>62638.8247444444</v>
      </c>
      <c r="AJ112" s="69" t="n">
        <f aca="false">AJ85+AJ80</f>
        <v>60972.1580777777</v>
      </c>
      <c r="AK112" s="69" t="n">
        <f aca="false">AK85+AK80</f>
        <v>59305.4914111111</v>
      </c>
      <c r="AL112" s="69" t="n">
        <f aca="false">AL85+AL80</f>
        <v>58286.1623444444</v>
      </c>
      <c r="AM112" s="69" t="n">
        <f aca="false">AM85+AM80</f>
        <v>56361.0688958888</v>
      </c>
      <c r="AN112" s="69" t="n">
        <f aca="false">AN85+AN80</f>
        <v>54694.4022292222</v>
      </c>
      <c r="AO112" s="69" t="n">
        <f aca="false">AO85+AO80</f>
        <v>53027.7355625555</v>
      </c>
      <c r="AP112" s="69" t="n">
        <f aca="false">AP85+AP80</f>
        <v>51361.0688958888</v>
      </c>
      <c r="AQ112" s="69" t="n">
        <f aca="false">AQ85+AQ80</f>
        <v>49694.4022292222</v>
      </c>
      <c r="AR112" s="69" t="n">
        <f aca="false">AR85+AR80</f>
        <v>48700.9666665555</v>
      </c>
      <c r="AS112" s="69" t="n">
        <f aca="false">AS85+AS80</f>
        <v>47034.2999998888</v>
      </c>
      <c r="AT112" s="69" t="n">
        <f aca="false">AT85+AT80</f>
        <v>45367.6333332222</v>
      </c>
      <c r="AU112" s="69" t="n">
        <f aca="false">AU85+AU80</f>
        <v>43027.7355625555</v>
      </c>
      <c r="AV112" s="69" t="n">
        <f aca="false">AV85+AV80</f>
        <v>41361.0688958888</v>
      </c>
      <c r="AW112" s="69" t="n">
        <f aca="false">AW85+AW80</f>
        <v>39694.4022292222</v>
      </c>
      <c r="AX112" s="69" t="n">
        <f aca="false">AX85+AX80</f>
        <v>38700.9666665555</v>
      </c>
      <c r="AY112" s="69" t="n">
        <f aca="false">AY85+AY80</f>
        <v>36763.0363916744</v>
      </c>
      <c r="AZ112" s="69" t="n">
        <f aca="false">AZ85+AZ80</f>
        <v>35096.3697250077</v>
      </c>
      <c r="BA112" s="69" t="n">
        <f aca="false">BA85+BA80</f>
        <v>33429.7030583411</v>
      </c>
      <c r="BB112" s="69" t="n">
        <f aca="false">BB85+BB80</f>
        <v>31763.0363916744</v>
      </c>
      <c r="BC112" s="69" t="n">
        <f aca="false">BC85+BC80</f>
        <v>30096.3697250077</v>
      </c>
      <c r="BD112" s="69" t="n">
        <f aca="false">BD85+BD80</f>
        <v>29129.8634065011</v>
      </c>
      <c r="BE112" s="69" t="n">
        <f aca="false">BE85+BE80</f>
        <v>27463.1967398344</v>
      </c>
      <c r="BF112" s="69" t="n">
        <f aca="false">BF85+BF80</f>
        <v>25796.5300731677</v>
      </c>
      <c r="BG112" s="69" t="n">
        <f aca="false">BG85+BG80</f>
        <v>23429.7030583411</v>
      </c>
      <c r="BH112" s="69" t="n">
        <f aca="false">BH85+BH80</f>
        <v>21763.0363916744</v>
      </c>
      <c r="BI112" s="69" t="n">
        <f aca="false">BI85+BI80</f>
        <v>20096.3697250077</v>
      </c>
      <c r="BJ112" s="69" t="n">
        <f aca="false">BJ85+BJ80</f>
        <v>19129.8634065011</v>
      </c>
    </row>
    <row r="113" customFormat="false" ht="15" hidden="false" customHeight="false" outlineLevel="0" collapsed="false">
      <c r="A113" s="6" t="s">
        <v>99</v>
      </c>
      <c r="C113" s="69" t="n">
        <f aca="false">C109+C110</f>
        <v>297765.057466667</v>
      </c>
      <c r="D113" s="69" t="n">
        <f aca="false">D109+D110</f>
        <v>267045.471733333</v>
      </c>
      <c r="E113" s="69" t="n">
        <f aca="false">E109+E110</f>
        <v>237847.4928</v>
      </c>
      <c r="F113" s="69" t="n">
        <f aca="false">F109+F110</f>
        <v>210171.120666667</v>
      </c>
      <c r="G113" s="69" t="n">
        <f aca="false">G109+G110</f>
        <v>184016.355333333</v>
      </c>
      <c r="H113" s="69" t="n">
        <f aca="false">H109+H110</f>
        <v>161719.3988</v>
      </c>
      <c r="I113" s="69" t="n">
        <f aca="false">I109+I110</f>
        <v>141156.431066667</v>
      </c>
      <c r="J113" s="69" t="n">
        <f aca="false">J109+J110</f>
        <v>122327.452133333</v>
      </c>
      <c r="K113" s="69" t="n">
        <f aca="false">K109+K110</f>
        <v>102259.114</v>
      </c>
      <c r="L113" s="69" t="n">
        <f aca="false">L109+L110</f>
        <v>83712.3826666667</v>
      </c>
      <c r="M113" s="69" t="n">
        <f aca="false">M109+M110</f>
        <v>66687.2581333334</v>
      </c>
      <c r="N113" s="69" t="n">
        <f aca="false">N109+N110</f>
        <v>54794.2344</v>
      </c>
      <c r="O113" s="69" t="n">
        <f aca="false">O109+O110</f>
        <v>40591.6124906667</v>
      </c>
      <c r="P113" s="69" t="n">
        <f aca="false">P109+P110</f>
        <v>27918.7245493333</v>
      </c>
      <c r="Q113" s="69" t="n">
        <f aca="false">Q109+Q110</f>
        <v>16775.570576</v>
      </c>
      <c r="R113" s="69" t="n">
        <f aca="false">R109+R110</f>
        <v>5644.91660266672</v>
      </c>
      <c r="S113" s="69" t="n">
        <f aca="false">S109+S110</f>
        <v>-5473.23737066658</v>
      </c>
      <c r="T113" s="69" t="n">
        <f aca="false">T109+T110</f>
        <v>-12310.3209439999</v>
      </c>
      <c r="U113" s="69" t="n">
        <f aca="false">U109+U110</f>
        <v>-19134.9045173333</v>
      </c>
      <c r="V113" s="69" t="n">
        <f aca="false">V109+V110</f>
        <v>-25946.9880906666</v>
      </c>
      <c r="W113" s="69" t="n">
        <f aca="false">W109+W110</f>
        <v>-37015.1420639999</v>
      </c>
      <c r="X113" s="69" t="n">
        <f aca="false">X109+X110</f>
        <v>-48070.7960373332</v>
      </c>
      <c r="Y113" s="69" t="n">
        <f aca="false">Y109+Y110</f>
        <v>-59113.9500106665</v>
      </c>
      <c r="Z113" s="69" t="n">
        <f aca="false">Z109+Z110</f>
        <v>-65876.0335839998</v>
      </c>
      <c r="AA113" s="69" t="n">
        <f aca="false">AA109+AA110</f>
        <v>-77467.4032170666</v>
      </c>
      <c r="AB113" s="69" t="n">
        <f aca="false">AB109+AB110</f>
        <v>-89046.2728501333</v>
      </c>
      <c r="AC113" s="69" t="n">
        <f aca="false">AC109+AC110</f>
        <v>-100612.6424832</v>
      </c>
      <c r="AD113" s="69" t="n">
        <f aca="false">AD109+AD110</f>
        <v>-112166.512116267</v>
      </c>
      <c r="AE113" s="69" t="n">
        <f aca="false">AE109+AE110</f>
        <v>-123707.881749333</v>
      </c>
      <c r="AF113" s="69" t="n">
        <f aca="false">AF109+AF110</f>
        <v>-130947.9031184</v>
      </c>
      <c r="AG113" s="69" t="n">
        <f aca="false">AG109+AG110</f>
        <v>-138175.424487467</v>
      </c>
      <c r="AH113" s="69" t="n">
        <f aca="false">AH109+AH110</f>
        <v>-145390.445856533</v>
      </c>
      <c r="AI113" s="69" t="n">
        <f aca="false">AI109+AI110</f>
        <v>-156881.8154896</v>
      </c>
      <c r="AJ113" s="69" t="n">
        <f aca="false">AJ109+AJ110</f>
        <v>-168360.685122667</v>
      </c>
      <c r="AK113" s="69" t="n">
        <f aca="false">AK109+AK110</f>
        <v>-179827.054755733</v>
      </c>
      <c r="AL113" s="69" t="n">
        <f aca="false">AL109+AL110</f>
        <v>-186992.0761248</v>
      </c>
      <c r="AM113" s="69" t="n">
        <f aca="false">AM109+AM110</f>
        <v>-199283.094272331</v>
      </c>
      <c r="AN113" s="69" t="n">
        <f aca="false">AN109+AN110</f>
        <v>-211561.612419861</v>
      </c>
      <c r="AO113" s="69" t="n">
        <f aca="false">AO109+AO110</f>
        <v>-223827.630567392</v>
      </c>
      <c r="AP113" s="69" t="n">
        <f aca="false">AP109+AP110</f>
        <v>-236081.148714923</v>
      </c>
      <c r="AQ113" s="69" t="n">
        <f aca="false">AQ109+AQ110</f>
        <v>-248322.166862453</v>
      </c>
      <c r="AR113" s="69" t="n">
        <f aca="false">AR109+AR110</f>
        <v>-256242.252416944</v>
      </c>
      <c r="AS113" s="69" t="n">
        <f aca="false">AS109+AS110</f>
        <v>-264149.837971435</v>
      </c>
      <c r="AT113" s="69" t="n">
        <f aca="false">AT109+AT110</f>
        <v>-272044.923525925</v>
      </c>
      <c r="AU113" s="69" t="n">
        <f aca="false">AU109+AU110</f>
        <v>-284235.941673456</v>
      </c>
      <c r="AV113" s="69" t="n">
        <f aca="false">AV109+AV110</f>
        <v>-296414.459820987</v>
      </c>
      <c r="AW113" s="69" t="n">
        <f aca="false">AW109+AW110</f>
        <v>-308580.477968517</v>
      </c>
      <c r="AX113" s="69" t="n">
        <f aca="false">AX109+AX110</f>
        <v>-316425.563523008</v>
      </c>
      <c r="AY113" s="69" t="n">
        <f aca="false">AY109+AY110</f>
        <v>-329628.772442872</v>
      </c>
      <c r="AZ113" s="69" t="n">
        <f aca="false">AZ109+AZ110</f>
        <v>-342819.481362737</v>
      </c>
      <c r="BA113" s="69" t="n">
        <f aca="false">BA109+BA110</f>
        <v>-355997.690282602</v>
      </c>
      <c r="BB113" s="69" t="n">
        <f aca="false">BB109+BB110</f>
        <v>-369163.399202466</v>
      </c>
      <c r="BC113" s="69" t="n">
        <f aca="false">BC109+BC110</f>
        <v>-382316.608122331</v>
      </c>
      <c r="BD113" s="69" t="n">
        <f aca="false">BD109+BD110</f>
        <v>-391130.036442969</v>
      </c>
      <c r="BE113" s="69" t="n">
        <f aca="false">BE109+BE110</f>
        <v>-399930.964763607</v>
      </c>
      <c r="BF113" s="69" t="n">
        <f aca="false">BF109+BF110</f>
        <v>-408719.393084246</v>
      </c>
      <c r="BG113" s="69" t="n">
        <f aca="false">BG109+BG110</f>
        <v>-421822.60200411</v>
      </c>
      <c r="BH113" s="69" t="n">
        <f aca="false">BH109+BH110</f>
        <v>-434913.310923975</v>
      </c>
      <c r="BI113" s="69" t="n">
        <f aca="false">BI109+BI110</f>
        <v>-447991.519843839</v>
      </c>
      <c r="BJ113" s="69" t="n">
        <f aca="false">BJ109+BJ110</f>
        <v>-456729.948164478</v>
      </c>
    </row>
    <row r="114" customFormat="false" ht="15" hidden="false" customHeight="false" outlineLevel="0" collapsed="false">
      <c r="A114" s="4" t="s">
        <v>100</v>
      </c>
      <c r="C114" s="75" t="n">
        <f aca="false">C112+C113</f>
        <v>404570.651911111</v>
      </c>
      <c r="D114" s="75" t="n">
        <f aca="false">D112+D113</f>
        <v>372786.257844444</v>
      </c>
      <c r="E114" s="75" t="n">
        <f aca="false">E112+E113</f>
        <v>342523.470577778</v>
      </c>
      <c r="F114" s="75" t="n">
        <f aca="false">F112+F113</f>
        <v>313782.290111111</v>
      </c>
      <c r="G114" s="75" t="n">
        <f aca="false">G112+G113</f>
        <v>286562.716444444</v>
      </c>
      <c r="H114" s="75" t="n">
        <f aca="false">H112+H113</f>
        <v>263530.126577778</v>
      </c>
      <c r="I114" s="75" t="n">
        <f aca="false">I112+I113</f>
        <v>241932.275511111</v>
      </c>
      <c r="J114" s="75" t="n">
        <f aca="false">J112+J113</f>
        <v>222068.413244444</v>
      </c>
      <c r="K114" s="75" t="n">
        <f aca="false">K112+K113</f>
        <v>200546.241777778</v>
      </c>
      <c r="L114" s="75" t="n">
        <f aca="false">L112+L113</f>
        <v>180934.702111111</v>
      </c>
      <c r="M114" s="75" t="n">
        <f aca="false">M112+M113</f>
        <v>162844.769244444</v>
      </c>
      <c r="N114" s="75" t="n">
        <f aca="false">N112+N113</f>
        <v>150395.662177778</v>
      </c>
      <c r="O114" s="75" t="n">
        <f aca="false">O112+O113</f>
        <v>134960.077712889</v>
      </c>
      <c r="P114" s="75" t="n">
        <f aca="false">P112+P113</f>
        <v>121234.203271556</v>
      </c>
      <c r="Q114" s="75" t="n">
        <f aca="false">Q112+Q113</f>
        <v>109038.062798222</v>
      </c>
      <c r="R114" s="75" t="n">
        <f aca="false">R112+R113</f>
        <v>96240.7421582222</v>
      </c>
      <c r="S114" s="75" t="n">
        <f aca="false">S112+S113</f>
        <v>83455.9215182222</v>
      </c>
      <c r="T114" s="75" t="n">
        <f aca="false">T112+T113</f>
        <v>75574.6112782222</v>
      </c>
      <c r="U114" s="75" t="n">
        <f aca="false">U112+U113</f>
        <v>67083.3610382222</v>
      </c>
      <c r="V114" s="75" t="n">
        <f aca="false">V112+V113</f>
        <v>58604.6107982222</v>
      </c>
      <c r="W114" s="75" t="n">
        <f aca="false">W112+W113</f>
        <v>45247.3501582222</v>
      </c>
      <c r="X114" s="75" t="n">
        <f aca="false">X112+X113</f>
        <v>32525.0295182223</v>
      </c>
      <c r="Y114" s="75" t="n">
        <f aca="false">Y112+Y113</f>
        <v>19815.2088782223</v>
      </c>
      <c r="Z114" s="75" t="n">
        <f aca="false">Z112+Z113</f>
        <v>12008.8986382223</v>
      </c>
      <c r="AA114" s="75" t="n">
        <f aca="false">AA112+AA113</f>
        <v>-1495.24513928886</v>
      </c>
      <c r="AB114" s="75" t="n">
        <f aca="false">AB112+AB113</f>
        <v>-14740.7814390222</v>
      </c>
      <c r="AC114" s="75" t="n">
        <f aca="false">AC112+AC113</f>
        <v>-27973.8177387556</v>
      </c>
      <c r="AD114" s="75" t="n">
        <f aca="false">AD112+AD113</f>
        <v>-41194.354038489</v>
      </c>
      <c r="AE114" s="75" t="n">
        <f aca="false">AE112+AE113</f>
        <v>-54402.3903382223</v>
      </c>
      <c r="AF114" s="75" t="n">
        <f aca="false">AF112+AF113</f>
        <v>-62661.7407739557</v>
      </c>
      <c r="AG114" s="75" t="n">
        <f aca="false">AG112+AG113</f>
        <v>-71555.928809689</v>
      </c>
      <c r="AH114" s="75" t="n">
        <f aca="false">AH112+AH113</f>
        <v>-80437.6168454223</v>
      </c>
      <c r="AI114" s="75" t="n">
        <f aca="false">AI112+AI113</f>
        <v>-94242.9907451557</v>
      </c>
      <c r="AJ114" s="75" t="n">
        <f aca="false">AJ112+AJ113</f>
        <v>-107388.527044889</v>
      </c>
      <c r="AK114" s="75" t="n">
        <f aca="false">AK112+AK113</f>
        <v>-120521.563344622</v>
      </c>
      <c r="AL114" s="75" t="n">
        <f aca="false">AL112+AL113</f>
        <v>-128705.913780356</v>
      </c>
      <c r="AM114" s="75" t="n">
        <f aca="false">AM112+AM113</f>
        <v>-142922.025376442</v>
      </c>
      <c r="AN114" s="75" t="n">
        <f aca="false">AN112+AN113</f>
        <v>-156867.210190639</v>
      </c>
      <c r="AO114" s="75" t="n">
        <f aca="false">AO112+AO113</f>
        <v>-170799.895004837</v>
      </c>
      <c r="AP114" s="75" t="n">
        <f aca="false">AP112+AP113</f>
        <v>-184720.079819034</v>
      </c>
      <c r="AQ114" s="75" t="n">
        <f aca="false">AQ112+AQ113</f>
        <v>-198627.764633231</v>
      </c>
      <c r="AR114" s="75" t="n">
        <f aca="false">AR112+AR113</f>
        <v>-207541.285750388</v>
      </c>
      <c r="AS114" s="75" t="n">
        <f aca="false">AS112+AS113</f>
        <v>-217115.537971546</v>
      </c>
      <c r="AT114" s="75" t="n">
        <f aca="false">AT112+AT113</f>
        <v>-226677.290192703</v>
      </c>
      <c r="AU114" s="75" t="n">
        <f aca="false">AU112+AU113</f>
        <v>-241208.2061109</v>
      </c>
      <c r="AV114" s="75" t="n">
        <f aca="false">AV112+AV113</f>
        <v>-255053.390925098</v>
      </c>
      <c r="AW114" s="75" t="n">
        <f aca="false">AW112+AW113</f>
        <v>-268886.075739295</v>
      </c>
      <c r="AX114" s="75" t="n">
        <f aca="false">AX112+AX113</f>
        <v>-277724.596856452</v>
      </c>
      <c r="AY114" s="75" t="n">
        <f aca="false">AY112+AY113</f>
        <v>-292865.736051198</v>
      </c>
      <c r="AZ114" s="75" t="n">
        <f aca="false">AZ112+AZ113</f>
        <v>-307723.111637729</v>
      </c>
      <c r="BA114" s="75" t="n">
        <f aca="false">BA112+BA113</f>
        <v>-322567.987224261</v>
      </c>
      <c r="BB114" s="75" t="n">
        <f aca="false">BB112+BB113</f>
        <v>-337400.362810792</v>
      </c>
      <c r="BC114" s="75" t="n">
        <f aca="false">BC112+BC113</f>
        <v>-352220.238397323</v>
      </c>
      <c r="BD114" s="75" t="n">
        <f aca="false">BD112+BD113</f>
        <v>-362000.173036468</v>
      </c>
      <c r="BE114" s="75" t="n">
        <f aca="false">BE112+BE113</f>
        <v>-372467.768023773</v>
      </c>
      <c r="BF114" s="75" t="n">
        <f aca="false">BF112+BF113</f>
        <v>-382922.863011078</v>
      </c>
      <c r="BG114" s="75" t="n">
        <f aca="false">BG112+BG113</f>
        <v>-398392.898945769</v>
      </c>
      <c r="BH114" s="75" t="n">
        <f aca="false">BH112+BH113</f>
        <v>-413150.274532301</v>
      </c>
      <c r="BI114" s="75" t="n">
        <f aca="false">BI112+BI113</f>
        <v>-427895.150118832</v>
      </c>
      <c r="BJ114" s="75" t="n">
        <f aca="false">BJ112+BJ113</f>
        <v>-437600.084757977</v>
      </c>
    </row>
    <row r="115" customFormat="false" ht="15" hidden="false" customHeight="false" outlineLevel="0" collapsed="false">
      <c r="A115" s="6" t="s">
        <v>456</v>
      </c>
      <c r="C115" s="69" t="n">
        <f aca="false">C111-C114</f>
        <v>0</v>
      </c>
      <c r="D115" s="69" t="n">
        <f aca="false">D111-D114</f>
        <v>0</v>
      </c>
      <c r="E115" s="69" t="n">
        <f aca="false">E111-E114</f>
        <v>0</v>
      </c>
      <c r="F115" s="69" t="n">
        <f aca="false">F111-F114</f>
        <v>0</v>
      </c>
      <c r="G115" s="69" t="n">
        <f aca="false">G111-G114</f>
        <v>0</v>
      </c>
      <c r="H115" s="69" t="n">
        <f aca="false">H111-H114</f>
        <v>0</v>
      </c>
      <c r="I115" s="69" t="n">
        <f aca="false">I111-I114</f>
        <v>0</v>
      </c>
      <c r="J115" s="69" t="n">
        <f aca="false">J111-J114</f>
        <v>0</v>
      </c>
      <c r="K115" s="69" t="n">
        <f aca="false">K111-K114</f>
        <v>0</v>
      </c>
      <c r="L115" s="69" t="n">
        <f aca="false">L111-L114</f>
        <v>0</v>
      </c>
      <c r="M115" s="69" t="n">
        <f aca="false">M111-M114</f>
        <v>0</v>
      </c>
      <c r="N115" s="69" t="n">
        <f aca="false">N111-N114</f>
        <v>0</v>
      </c>
      <c r="O115" s="69" t="n">
        <f aca="false">O111-O114</f>
        <v>0</v>
      </c>
      <c r="P115" s="69" t="n">
        <f aca="false">P111-P114</f>
        <v>0</v>
      </c>
      <c r="Q115" s="69" t="n">
        <f aca="false">Q111-Q114</f>
        <v>0</v>
      </c>
      <c r="R115" s="69" t="n">
        <f aca="false">R111-R114</f>
        <v>0</v>
      </c>
      <c r="S115" s="69" t="n">
        <f aca="false">S111-S114</f>
        <v>0</v>
      </c>
      <c r="T115" s="69" t="n">
        <f aca="false">T111-T114</f>
        <v>0</v>
      </c>
      <c r="U115" s="69" t="n">
        <f aca="false">U111-U114</f>
        <v>0</v>
      </c>
      <c r="V115" s="69" t="n">
        <f aca="false">V111-V114</f>
        <v>0</v>
      </c>
      <c r="W115" s="69" t="n">
        <f aca="false">W111-W114</f>
        <v>0</v>
      </c>
      <c r="X115" s="69" t="n">
        <f aca="false">X111-X114</f>
        <v>0</v>
      </c>
      <c r="Y115" s="69" t="n">
        <f aca="false">Y111-Y114</f>
        <v>0</v>
      </c>
      <c r="Z115" s="69" t="n">
        <f aca="false">Z111-Z114</f>
        <v>-4.36557456851006E-011</v>
      </c>
      <c r="AA115" s="69" t="n">
        <f aca="false">AA111-AA114</f>
        <v>0</v>
      </c>
      <c r="AB115" s="69" t="n">
        <f aca="false">AB111-AB114</f>
        <v>0</v>
      </c>
      <c r="AC115" s="69" t="n">
        <f aca="false">AC111-AC114</f>
        <v>0</v>
      </c>
      <c r="AD115" s="69" t="n">
        <f aca="false">AD111-AD114</f>
        <v>0</v>
      </c>
      <c r="AE115" s="69" t="n">
        <f aca="false">AE111-AE114</f>
        <v>0</v>
      </c>
      <c r="AF115" s="69" t="n">
        <f aca="false">AF111-AF114</f>
        <v>0</v>
      </c>
      <c r="AG115" s="69" t="n">
        <f aca="false">AG111-AG114</f>
        <v>0</v>
      </c>
      <c r="AH115" s="69" t="n">
        <f aca="false">AH111-AH114</f>
        <v>0</v>
      </c>
      <c r="AI115" s="69" t="n">
        <f aca="false">AI111-AI114</f>
        <v>0</v>
      </c>
      <c r="AJ115" s="69" t="n">
        <f aca="false">AJ111-AJ114</f>
        <v>0</v>
      </c>
      <c r="AK115" s="69" t="n">
        <f aca="false">AK111-AK114</f>
        <v>0</v>
      </c>
      <c r="AL115" s="69" t="n">
        <f aca="false">AL111-AL114</f>
        <v>0</v>
      </c>
      <c r="AM115" s="69" t="n">
        <f aca="false">AM111-AM114</f>
        <v>0</v>
      </c>
      <c r="AN115" s="69" t="n">
        <f aca="false">AN111-AN114</f>
        <v>0</v>
      </c>
      <c r="AO115" s="69" t="n">
        <f aca="false">AO111-AO114</f>
        <v>0</v>
      </c>
      <c r="AP115" s="69" t="n">
        <f aca="false">AP111-AP114</f>
        <v>0</v>
      </c>
      <c r="AQ115" s="69" t="n">
        <f aca="false">AQ111-AQ114</f>
        <v>0</v>
      </c>
      <c r="AR115" s="69" t="n">
        <f aca="false">AR111-AR114</f>
        <v>0</v>
      </c>
      <c r="AS115" s="69" t="n">
        <f aca="false">AS111-AS114</f>
        <v>0</v>
      </c>
      <c r="AT115" s="69" t="n">
        <f aca="false">AT111-AT114</f>
        <v>0</v>
      </c>
      <c r="AU115" s="69" t="n">
        <f aca="false">AU111-AU114</f>
        <v>0</v>
      </c>
      <c r="AV115" s="69" t="n">
        <f aca="false">AV111-AV114</f>
        <v>0</v>
      </c>
      <c r="AW115" s="69" t="n">
        <f aca="false">AW111-AW114</f>
        <v>0</v>
      </c>
      <c r="AX115" s="69" t="n">
        <f aca="false">AX111-AX114</f>
        <v>0</v>
      </c>
      <c r="AY115" s="69" t="n">
        <f aca="false">AY111-AY114</f>
        <v>0</v>
      </c>
      <c r="AZ115" s="69" t="n">
        <f aca="false">AZ111-AZ114</f>
        <v>0</v>
      </c>
      <c r="BA115" s="69" t="n">
        <f aca="false">BA111-BA114</f>
        <v>0</v>
      </c>
      <c r="BB115" s="69" t="n">
        <f aca="false">BB111-BB114</f>
        <v>0</v>
      </c>
      <c r="BC115" s="69" t="n">
        <f aca="false">BC111-BC114</f>
        <v>0</v>
      </c>
      <c r="BD115" s="69" t="n">
        <f aca="false">BD111-BD114</f>
        <v>0</v>
      </c>
      <c r="BE115" s="69" t="n">
        <f aca="false">BE111-BE114</f>
        <v>0</v>
      </c>
      <c r="BF115" s="69" t="n">
        <f aca="false">BF111-BF114</f>
        <v>0</v>
      </c>
      <c r="BG115" s="69" t="n">
        <f aca="false">BG111-BG114</f>
        <v>0</v>
      </c>
      <c r="BH115" s="69" t="n">
        <f aca="false">BH111-BH114</f>
        <v>0</v>
      </c>
      <c r="BI115" s="69" t="n">
        <f aca="false">BI111-BI114</f>
        <v>0</v>
      </c>
      <c r="BJ115" s="69" t="n">
        <f aca="false">BJ111-BJ114</f>
        <v>0</v>
      </c>
    </row>
    <row r="117" customFormat="false" ht="15.75" hidden="false" customHeight="true" outlineLevel="0" collapsed="false">
      <c r="A117" s="7" t="s">
        <v>458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6" t="s">
        <v>459</v>
      </c>
      <c r="C118" s="119" t="n">
        <f aca="false">Inputs!$B$55*(1+Inputs!$B$57)^(C$7-1)*MAX(0,MIN(1,C$6*1-Inputs!$B$58+1))/1</f>
        <v>4</v>
      </c>
      <c r="D118" s="119" t="n">
        <f aca="false">Inputs!$B$55*(1+Inputs!$B$57)^(D$7-1)*MAX(0,MIN(1,D$6*1-Inputs!$B$58+1))/1</f>
        <v>4</v>
      </c>
      <c r="E118" s="119" t="n">
        <f aca="false">Inputs!$B$55*(1+Inputs!$B$57)^(E$7-1)*MAX(0,MIN(1,E$6*1-Inputs!$B$58+1))/1</f>
        <v>4</v>
      </c>
      <c r="F118" s="119" t="n">
        <f aca="false">Inputs!$B$55*(1+Inputs!$B$57)^(F$7-1)*MAX(0,MIN(1,F$6*1-Inputs!$B$58+1))/1</f>
        <v>4</v>
      </c>
      <c r="G118" s="119" t="n">
        <f aca="false">Inputs!$B$55*(1+Inputs!$B$57)^(G$7-1)*MAX(0,MIN(1,G$6*1-Inputs!$B$58+1))/1</f>
        <v>4</v>
      </c>
      <c r="H118" s="119" t="n">
        <f aca="false">Inputs!$B$55*(1+Inputs!$B$57)^(H$7-1)*MAX(0,MIN(1,H$6*1-Inputs!$B$58+1))/1</f>
        <v>4</v>
      </c>
      <c r="I118" s="119" t="n">
        <f aca="false">Inputs!$B$55*(1+Inputs!$B$57)^(I$7-1)*MAX(0,MIN(1,I$6*1-Inputs!$B$58+1))/1</f>
        <v>4</v>
      </c>
      <c r="J118" s="119" t="n">
        <f aca="false">Inputs!$B$55*(1+Inputs!$B$57)^(J$7-1)*MAX(0,MIN(1,J$6*1-Inputs!$B$58+1))/1</f>
        <v>4</v>
      </c>
      <c r="K118" s="119" t="n">
        <f aca="false">Inputs!$B$55*(1+Inputs!$B$57)^(K$7-1)*MAX(0,MIN(1,K$6*1-Inputs!$B$58+1))/1</f>
        <v>4</v>
      </c>
      <c r="L118" s="119" t="n">
        <f aca="false">Inputs!$B$55*(1+Inputs!$B$57)^(L$7-1)*MAX(0,MIN(1,L$6*1-Inputs!$B$58+1))/1</f>
        <v>4</v>
      </c>
      <c r="M118" s="119" t="n">
        <f aca="false">Inputs!$B$55*(1+Inputs!$B$57)^(M$7-1)*MAX(0,MIN(1,M$6*1-Inputs!$B$58+1))/1</f>
        <v>4</v>
      </c>
      <c r="N118" s="119" t="n">
        <f aca="false">Inputs!$B$55*(1+Inputs!$B$57)^(N$7-1)*MAX(0,MIN(1,N$6*1-Inputs!$B$58+1))/1</f>
        <v>4</v>
      </c>
      <c r="O118" s="119" t="n">
        <f aca="false">Inputs!$B$55*(1+Inputs!$B$57)^(O$7-1)*MAX(0,MIN(1,O$6*1-Inputs!$B$58+1))/1</f>
        <v>4</v>
      </c>
      <c r="P118" s="119" t="n">
        <f aca="false">Inputs!$B$55*(1+Inputs!$B$57)^(P$7-1)*MAX(0,MIN(1,P$6*1-Inputs!$B$58+1))/1</f>
        <v>4</v>
      </c>
      <c r="Q118" s="119" t="n">
        <f aca="false">Inputs!$B$55*(1+Inputs!$B$57)^(Q$7-1)*MAX(0,MIN(1,Q$6*1-Inputs!$B$58+1))/1</f>
        <v>4</v>
      </c>
      <c r="R118" s="119" t="n">
        <f aca="false">Inputs!$B$55*(1+Inputs!$B$57)^(R$7-1)*MAX(0,MIN(1,R$6*1-Inputs!$B$58+1))/1</f>
        <v>4</v>
      </c>
      <c r="S118" s="119" t="n">
        <f aca="false">Inputs!$B$55*(1+Inputs!$B$57)^(S$7-1)*MAX(0,MIN(1,S$6*1-Inputs!$B$58+1))/1</f>
        <v>4</v>
      </c>
      <c r="T118" s="119" t="n">
        <f aca="false">Inputs!$B$55*(1+Inputs!$B$57)^(T$7-1)*MAX(0,MIN(1,T$6*1-Inputs!$B$58+1))/1</f>
        <v>4</v>
      </c>
      <c r="U118" s="119" t="n">
        <f aca="false">Inputs!$B$55*(1+Inputs!$B$57)^(U$7-1)*MAX(0,MIN(1,U$6*1-Inputs!$B$58+1))/1</f>
        <v>4</v>
      </c>
      <c r="V118" s="119" t="n">
        <f aca="false">Inputs!$B$55*(1+Inputs!$B$57)^(V$7-1)*MAX(0,MIN(1,V$6*1-Inputs!$B$58+1))/1</f>
        <v>4</v>
      </c>
      <c r="W118" s="119" t="n">
        <f aca="false">Inputs!$B$55*(1+Inputs!$B$57)^(W$7-1)*MAX(0,MIN(1,W$6*1-Inputs!$B$58+1))/1</f>
        <v>4</v>
      </c>
      <c r="X118" s="119" t="n">
        <f aca="false">Inputs!$B$55*(1+Inputs!$B$57)^(X$7-1)*MAX(0,MIN(1,X$6*1-Inputs!$B$58+1))/1</f>
        <v>4</v>
      </c>
      <c r="Y118" s="119" t="n">
        <f aca="false">Inputs!$B$55*(1+Inputs!$B$57)^(Y$7-1)*MAX(0,MIN(1,Y$6*1-Inputs!$B$58+1))/1</f>
        <v>4</v>
      </c>
      <c r="Z118" s="119" t="n">
        <f aca="false">Inputs!$B$55*(1+Inputs!$B$57)^(Z$7-1)*MAX(0,MIN(1,Z$6*1-Inputs!$B$58+1))/1</f>
        <v>4</v>
      </c>
      <c r="AA118" s="119" t="n">
        <f aca="false">Inputs!$B$55*(1+Inputs!$B$57)^(AA$7-1)*MAX(0,MIN(1,AA$6*1-Inputs!$B$58+1))/1</f>
        <v>4</v>
      </c>
      <c r="AB118" s="119" t="n">
        <f aca="false">Inputs!$B$55*(1+Inputs!$B$57)^(AB$7-1)*MAX(0,MIN(1,AB$6*1-Inputs!$B$58+1))/1</f>
        <v>4</v>
      </c>
      <c r="AC118" s="119" t="n">
        <f aca="false">Inputs!$B$55*(1+Inputs!$B$57)^(AC$7-1)*MAX(0,MIN(1,AC$6*1-Inputs!$B$58+1))/1</f>
        <v>4</v>
      </c>
      <c r="AD118" s="119" t="n">
        <f aca="false">Inputs!$B$55*(1+Inputs!$B$57)^(AD$7-1)*MAX(0,MIN(1,AD$6*1-Inputs!$B$58+1))/1</f>
        <v>4</v>
      </c>
      <c r="AE118" s="119" t="n">
        <f aca="false">Inputs!$B$55*(1+Inputs!$B$57)^(AE$7-1)*MAX(0,MIN(1,AE$6*1-Inputs!$B$58+1))/1</f>
        <v>4</v>
      </c>
      <c r="AF118" s="119" t="n">
        <f aca="false">Inputs!$B$55*(1+Inputs!$B$57)^(AF$7-1)*MAX(0,MIN(1,AF$6*1-Inputs!$B$58+1))/1</f>
        <v>4</v>
      </c>
      <c r="AG118" s="119" t="n">
        <f aca="false">Inputs!$B$55*(1+Inputs!$B$57)^(AG$7-1)*MAX(0,MIN(1,AG$6*1-Inputs!$B$58+1))/1</f>
        <v>4</v>
      </c>
      <c r="AH118" s="119" t="n">
        <f aca="false">Inputs!$B$55*(1+Inputs!$B$57)^(AH$7-1)*MAX(0,MIN(1,AH$6*1-Inputs!$B$58+1))/1</f>
        <v>4</v>
      </c>
      <c r="AI118" s="119" t="n">
        <f aca="false">Inputs!$B$55*(1+Inputs!$B$57)^(AI$7-1)*MAX(0,MIN(1,AI$6*1-Inputs!$B$58+1))/1</f>
        <v>4</v>
      </c>
      <c r="AJ118" s="119" t="n">
        <f aca="false">Inputs!$B$55*(1+Inputs!$B$57)^(AJ$7-1)*MAX(0,MIN(1,AJ$6*1-Inputs!$B$58+1))/1</f>
        <v>4</v>
      </c>
      <c r="AK118" s="119" t="n">
        <f aca="false">Inputs!$B$55*(1+Inputs!$B$57)^(AK$7-1)*MAX(0,MIN(1,AK$6*1-Inputs!$B$58+1))/1</f>
        <v>4</v>
      </c>
      <c r="AL118" s="119" t="n">
        <f aca="false">Inputs!$B$55*(1+Inputs!$B$57)^(AL$7-1)*MAX(0,MIN(1,AL$6*1-Inputs!$B$58+1))/1</f>
        <v>4</v>
      </c>
      <c r="AM118" s="119" t="n">
        <f aca="false">Inputs!$B$55*(1+Inputs!$B$57)^(AM$7-1)*MAX(0,MIN(1,AM$6*1-Inputs!$B$58+1))/1</f>
        <v>4</v>
      </c>
      <c r="AN118" s="119" t="n">
        <f aca="false">Inputs!$B$55*(1+Inputs!$B$57)^(AN$7-1)*MAX(0,MIN(1,AN$6*1-Inputs!$B$58+1))/1</f>
        <v>4</v>
      </c>
      <c r="AO118" s="119" t="n">
        <f aca="false">Inputs!$B$55*(1+Inputs!$B$57)^(AO$7-1)*MAX(0,MIN(1,AO$6*1-Inputs!$B$58+1))/1</f>
        <v>4</v>
      </c>
      <c r="AP118" s="119" t="n">
        <f aca="false">Inputs!$B$55*(1+Inputs!$B$57)^(AP$7-1)*MAX(0,MIN(1,AP$6*1-Inputs!$B$58+1))/1</f>
        <v>4</v>
      </c>
      <c r="AQ118" s="119" t="n">
        <f aca="false">Inputs!$B$55*(1+Inputs!$B$57)^(AQ$7-1)*MAX(0,MIN(1,AQ$6*1-Inputs!$B$58+1))/1</f>
        <v>4</v>
      </c>
      <c r="AR118" s="119" t="n">
        <f aca="false">Inputs!$B$55*(1+Inputs!$B$57)^(AR$7-1)*MAX(0,MIN(1,AR$6*1-Inputs!$B$58+1))/1</f>
        <v>4</v>
      </c>
      <c r="AS118" s="119" t="n">
        <f aca="false">Inputs!$B$55*(1+Inputs!$B$57)^(AS$7-1)*MAX(0,MIN(1,AS$6*1-Inputs!$B$58+1))/1</f>
        <v>4</v>
      </c>
      <c r="AT118" s="119" t="n">
        <f aca="false">Inputs!$B$55*(1+Inputs!$B$57)^(AT$7-1)*MAX(0,MIN(1,AT$6*1-Inputs!$B$58+1))/1</f>
        <v>4</v>
      </c>
      <c r="AU118" s="119" t="n">
        <f aca="false">Inputs!$B$55*(1+Inputs!$B$57)^(AU$7-1)*MAX(0,MIN(1,AU$6*1-Inputs!$B$58+1))/1</f>
        <v>4</v>
      </c>
      <c r="AV118" s="119" t="n">
        <f aca="false">Inputs!$B$55*(1+Inputs!$B$57)^(AV$7-1)*MAX(0,MIN(1,AV$6*1-Inputs!$B$58+1))/1</f>
        <v>4</v>
      </c>
      <c r="AW118" s="119" t="n">
        <f aca="false">Inputs!$B$55*(1+Inputs!$B$57)^(AW$7-1)*MAX(0,MIN(1,AW$6*1-Inputs!$B$58+1))/1</f>
        <v>4</v>
      </c>
      <c r="AX118" s="119" t="n">
        <f aca="false">Inputs!$B$55*(1+Inputs!$B$57)^(AX$7-1)*MAX(0,MIN(1,AX$6*1-Inputs!$B$58+1))/1</f>
        <v>4</v>
      </c>
      <c r="AY118" s="119" t="n">
        <f aca="false">Inputs!$B$55*(1+Inputs!$B$57)^(AY$7-1)*MAX(0,MIN(1,AY$6*1-Inputs!$B$58+1))/1</f>
        <v>4</v>
      </c>
      <c r="AZ118" s="119" t="n">
        <f aca="false">Inputs!$B$55*(1+Inputs!$B$57)^(AZ$7-1)*MAX(0,MIN(1,AZ$6*1-Inputs!$B$58+1))/1</f>
        <v>4</v>
      </c>
      <c r="BA118" s="119" t="n">
        <f aca="false">Inputs!$B$55*(1+Inputs!$B$57)^(BA$7-1)*MAX(0,MIN(1,BA$6*1-Inputs!$B$58+1))/1</f>
        <v>4</v>
      </c>
      <c r="BB118" s="119" t="n">
        <f aca="false">Inputs!$B$55*(1+Inputs!$B$57)^(BB$7-1)*MAX(0,MIN(1,BB$6*1-Inputs!$B$58+1))/1</f>
        <v>4</v>
      </c>
      <c r="BC118" s="119" t="n">
        <f aca="false">Inputs!$B$55*(1+Inputs!$B$57)^(BC$7-1)*MAX(0,MIN(1,BC$6*1-Inputs!$B$58+1))/1</f>
        <v>4</v>
      </c>
      <c r="BD118" s="119" t="n">
        <f aca="false">Inputs!$B$55*(1+Inputs!$B$57)^(BD$7-1)*MAX(0,MIN(1,BD$6*1-Inputs!$B$58+1))/1</f>
        <v>4</v>
      </c>
      <c r="BE118" s="119" t="n">
        <f aca="false">Inputs!$B$55*(1+Inputs!$B$57)^(BE$7-1)*MAX(0,MIN(1,BE$6*1-Inputs!$B$58+1))/1</f>
        <v>4</v>
      </c>
      <c r="BF118" s="119" t="n">
        <f aca="false">Inputs!$B$55*(1+Inputs!$B$57)^(BF$7-1)*MAX(0,MIN(1,BF$6*1-Inputs!$B$58+1))/1</f>
        <v>4</v>
      </c>
      <c r="BG118" s="119" t="n">
        <f aca="false">Inputs!$B$55*(1+Inputs!$B$57)^(BG$7-1)*MAX(0,MIN(1,BG$6*1-Inputs!$B$58+1))/1</f>
        <v>4</v>
      </c>
      <c r="BH118" s="119" t="n">
        <f aca="false">Inputs!$B$55*(1+Inputs!$B$57)^(BH$7-1)*MAX(0,MIN(1,BH$6*1-Inputs!$B$58+1))/1</f>
        <v>4</v>
      </c>
      <c r="BI118" s="119" t="n">
        <f aca="false">Inputs!$B$55*(1+Inputs!$B$57)^(BI$7-1)*MAX(0,MIN(1,BI$6*1-Inputs!$B$58+1))/1</f>
        <v>4</v>
      </c>
      <c r="BJ118" s="119" t="n">
        <f aca="false">Inputs!$B$55*(1+Inputs!$B$57)^(BJ$7-1)*MAX(0,MIN(1,BJ$6*1-Inputs!$B$58+1))/1</f>
        <v>4</v>
      </c>
    </row>
    <row r="119" customFormat="false" ht="15" hidden="false" customHeight="false" outlineLevel="0" collapsed="false">
      <c r="A119" s="6" t="s">
        <v>460</v>
      </c>
      <c r="C119" s="119" t="n">
        <f aca="false">Inputs!$B$59*(1+Inputs!$B$61)^(C$7-1)*MAX(0,MIN(1,C$6*1-Inputs!$B$62+1))/1</f>
        <v>3</v>
      </c>
      <c r="D119" s="119" t="n">
        <f aca="false">Inputs!$B$59*(1+Inputs!$B$61)^(D$7-1)*MAX(0,MIN(1,D$6*1-Inputs!$B$62+1))/1</f>
        <v>3</v>
      </c>
      <c r="E119" s="119" t="n">
        <f aca="false">Inputs!$B$59*(1+Inputs!$B$61)^(E$7-1)*MAX(0,MIN(1,E$6*1-Inputs!$B$62+1))/1</f>
        <v>3</v>
      </c>
      <c r="F119" s="119" t="n">
        <f aca="false">Inputs!$B$59*(1+Inputs!$B$61)^(F$7-1)*MAX(0,MIN(1,F$6*1-Inputs!$B$62+1))/1</f>
        <v>3</v>
      </c>
      <c r="G119" s="119" t="n">
        <f aca="false">Inputs!$B$59*(1+Inputs!$B$61)^(G$7-1)*MAX(0,MIN(1,G$6*1-Inputs!$B$62+1))/1</f>
        <v>3</v>
      </c>
      <c r="H119" s="119" t="n">
        <f aca="false">Inputs!$B$59*(1+Inputs!$B$61)^(H$7-1)*MAX(0,MIN(1,H$6*1-Inputs!$B$62+1))/1</f>
        <v>3</v>
      </c>
      <c r="I119" s="119" t="n">
        <f aca="false">Inputs!$B$59*(1+Inputs!$B$61)^(I$7-1)*MAX(0,MIN(1,I$6*1-Inputs!$B$62+1))/1</f>
        <v>3</v>
      </c>
      <c r="J119" s="119" t="n">
        <f aca="false">Inputs!$B$59*(1+Inputs!$B$61)^(J$7-1)*MAX(0,MIN(1,J$6*1-Inputs!$B$62+1))/1</f>
        <v>3</v>
      </c>
      <c r="K119" s="119" t="n">
        <f aca="false">Inputs!$B$59*(1+Inputs!$B$61)^(K$7-1)*MAX(0,MIN(1,K$6*1-Inputs!$B$62+1))/1</f>
        <v>3</v>
      </c>
      <c r="L119" s="119" t="n">
        <f aca="false">Inputs!$B$59*(1+Inputs!$B$61)^(L$7-1)*MAX(0,MIN(1,L$6*1-Inputs!$B$62+1))/1</f>
        <v>3</v>
      </c>
      <c r="M119" s="119" t="n">
        <f aca="false">Inputs!$B$59*(1+Inputs!$B$61)^(M$7-1)*MAX(0,MIN(1,M$6*1-Inputs!$B$62+1))/1</f>
        <v>3</v>
      </c>
      <c r="N119" s="119" t="n">
        <f aca="false">Inputs!$B$59*(1+Inputs!$B$61)^(N$7-1)*MAX(0,MIN(1,N$6*1-Inputs!$B$62+1))/1</f>
        <v>3</v>
      </c>
      <c r="O119" s="119" t="n">
        <f aca="false">Inputs!$B$59*(1+Inputs!$B$61)^(O$7-1)*MAX(0,MIN(1,O$6*1-Inputs!$B$62+1))/1</f>
        <v>3</v>
      </c>
      <c r="P119" s="119" t="n">
        <f aca="false">Inputs!$B$59*(1+Inputs!$B$61)^(P$7-1)*MAX(0,MIN(1,P$6*1-Inputs!$B$62+1))/1</f>
        <v>3</v>
      </c>
      <c r="Q119" s="119" t="n">
        <f aca="false">Inputs!$B$59*(1+Inputs!$B$61)^(Q$7-1)*MAX(0,MIN(1,Q$6*1-Inputs!$B$62+1))/1</f>
        <v>3</v>
      </c>
      <c r="R119" s="119" t="n">
        <f aca="false">Inputs!$B$59*(1+Inputs!$B$61)^(R$7-1)*MAX(0,MIN(1,R$6*1-Inputs!$B$62+1))/1</f>
        <v>3</v>
      </c>
      <c r="S119" s="119" t="n">
        <f aca="false">Inputs!$B$59*(1+Inputs!$B$61)^(S$7-1)*MAX(0,MIN(1,S$6*1-Inputs!$B$62+1))/1</f>
        <v>3</v>
      </c>
      <c r="T119" s="119" t="n">
        <f aca="false">Inputs!$B$59*(1+Inputs!$B$61)^(T$7-1)*MAX(0,MIN(1,T$6*1-Inputs!$B$62+1))/1</f>
        <v>3</v>
      </c>
      <c r="U119" s="119" t="n">
        <f aca="false">Inputs!$B$59*(1+Inputs!$B$61)^(U$7-1)*MAX(0,MIN(1,U$6*1-Inputs!$B$62+1))/1</f>
        <v>3</v>
      </c>
      <c r="V119" s="119" t="n">
        <f aca="false">Inputs!$B$59*(1+Inputs!$B$61)^(V$7-1)*MAX(0,MIN(1,V$6*1-Inputs!$B$62+1))/1</f>
        <v>3</v>
      </c>
      <c r="W119" s="119" t="n">
        <f aca="false">Inputs!$B$59*(1+Inputs!$B$61)^(W$7-1)*MAX(0,MIN(1,W$6*1-Inputs!$B$62+1))/1</f>
        <v>3</v>
      </c>
      <c r="X119" s="119" t="n">
        <f aca="false">Inputs!$B$59*(1+Inputs!$B$61)^(X$7-1)*MAX(0,MIN(1,X$6*1-Inputs!$B$62+1))/1</f>
        <v>3</v>
      </c>
      <c r="Y119" s="119" t="n">
        <f aca="false">Inputs!$B$59*(1+Inputs!$B$61)^(Y$7-1)*MAX(0,MIN(1,Y$6*1-Inputs!$B$62+1))/1</f>
        <v>3</v>
      </c>
      <c r="Z119" s="119" t="n">
        <f aca="false">Inputs!$B$59*(1+Inputs!$B$61)^(Z$7-1)*MAX(0,MIN(1,Z$6*1-Inputs!$B$62+1))/1</f>
        <v>3</v>
      </c>
      <c r="AA119" s="119" t="n">
        <f aca="false">Inputs!$B$59*(1+Inputs!$B$61)^(AA$7-1)*MAX(0,MIN(1,AA$6*1-Inputs!$B$62+1))/1</f>
        <v>3</v>
      </c>
      <c r="AB119" s="119" t="n">
        <f aca="false">Inputs!$B$59*(1+Inputs!$B$61)^(AB$7-1)*MAX(0,MIN(1,AB$6*1-Inputs!$B$62+1))/1</f>
        <v>3</v>
      </c>
      <c r="AC119" s="119" t="n">
        <f aca="false">Inputs!$B$59*(1+Inputs!$B$61)^(AC$7-1)*MAX(0,MIN(1,AC$6*1-Inputs!$B$62+1))/1</f>
        <v>3</v>
      </c>
      <c r="AD119" s="119" t="n">
        <f aca="false">Inputs!$B$59*(1+Inputs!$B$61)^(AD$7-1)*MAX(0,MIN(1,AD$6*1-Inputs!$B$62+1))/1</f>
        <v>3</v>
      </c>
      <c r="AE119" s="119" t="n">
        <f aca="false">Inputs!$B$59*(1+Inputs!$B$61)^(AE$7-1)*MAX(0,MIN(1,AE$6*1-Inputs!$B$62+1))/1</f>
        <v>3</v>
      </c>
      <c r="AF119" s="119" t="n">
        <f aca="false">Inputs!$B$59*(1+Inputs!$B$61)^(AF$7-1)*MAX(0,MIN(1,AF$6*1-Inputs!$B$62+1))/1</f>
        <v>3</v>
      </c>
      <c r="AG119" s="119" t="n">
        <f aca="false">Inputs!$B$59*(1+Inputs!$B$61)^(AG$7-1)*MAX(0,MIN(1,AG$6*1-Inputs!$B$62+1))/1</f>
        <v>3</v>
      </c>
      <c r="AH119" s="119" t="n">
        <f aca="false">Inputs!$B$59*(1+Inputs!$B$61)^(AH$7-1)*MAX(0,MIN(1,AH$6*1-Inputs!$B$62+1))/1</f>
        <v>3</v>
      </c>
      <c r="AI119" s="119" t="n">
        <f aca="false">Inputs!$B$59*(1+Inputs!$B$61)^(AI$7-1)*MAX(0,MIN(1,AI$6*1-Inputs!$B$62+1))/1</f>
        <v>3</v>
      </c>
      <c r="AJ119" s="119" t="n">
        <f aca="false">Inputs!$B$59*(1+Inputs!$B$61)^(AJ$7-1)*MAX(0,MIN(1,AJ$6*1-Inputs!$B$62+1))/1</f>
        <v>3</v>
      </c>
      <c r="AK119" s="119" t="n">
        <f aca="false">Inputs!$B$59*(1+Inputs!$B$61)^(AK$7-1)*MAX(0,MIN(1,AK$6*1-Inputs!$B$62+1))/1</f>
        <v>3</v>
      </c>
      <c r="AL119" s="119" t="n">
        <f aca="false">Inputs!$B$59*(1+Inputs!$B$61)^(AL$7-1)*MAX(0,MIN(1,AL$6*1-Inputs!$B$62+1))/1</f>
        <v>3</v>
      </c>
      <c r="AM119" s="119" t="n">
        <f aca="false">Inputs!$B$59*(1+Inputs!$B$61)^(AM$7-1)*MAX(0,MIN(1,AM$6*1-Inputs!$B$62+1))/1</f>
        <v>3</v>
      </c>
      <c r="AN119" s="119" t="n">
        <f aca="false">Inputs!$B$59*(1+Inputs!$B$61)^(AN$7-1)*MAX(0,MIN(1,AN$6*1-Inputs!$B$62+1))/1</f>
        <v>3</v>
      </c>
      <c r="AO119" s="119" t="n">
        <f aca="false">Inputs!$B$59*(1+Inputs!$B$61)^(AO$7-1)*MAX(0,MIN(1,AO$6*1-Inputs!$B$62+1))/1</f>
        <v>3</v>
      </c>
      <c r="AP119" s="119" t="n">
        <f aca="false">Inputs!$B$59*(1+Inputs!$B$61)^(AP$7-1)*MAX(0,MIN(1,AP$6*1-Inputs!$B$62+1))/1</f>
        <v>3</v>
      </c>
      <c r="AQ119" s="119" t="n">
        <f aca="false">Inputs!$B$59*(1+Inputs!$B$61)^(AQ$7-1)*MAX(0,MIN(1,AQ$6*1-Inputs!$B$62+1))/1</f>
        <v>3</v>
      </c>
      <c r="AR119" s="119" t="n">
        <f aca="false">Inputs!$B$59*(1+Inputs!$B$61)^(AR$7-1)*MAX(0,MIN(1,AR$6*1-Inputs!$B$62+1))/1</f>
        <v>3</v>
      </c>
      <c r="AS119" s="119" t="n">
        <f aca="false">Inputs!$B$59*(1+Inputs!$B$61)^(AS$7-1)*MAX(0,MIN(1,AS$6*1-Inputs!$B$62+1))/1</f>
        <v>3</v>
      </c>
      <c r="AT119" s="119" t="n">
        <f aca="false">Inputs!$B$59*(1+Inputs!$B$61)^(AT$7-1)*MAX(0,MIN(1,AT$6*1-Inputs!$B$62+1))/1</f>
        <v>3</v>
      </c>
      <c r="AU119" s="119" t="n">
        <f aca="false">Inputs!$B$59*(1+Inputs!$B$61)^(AU$7-1)*MAX(0,MIN(1,AU$6*1-Inputs!$B$62+1))/1</f>
        <v>3</v>
      </c>
      <c r="AV119" s="119" t="n">
        <f aca="false">Inputs!$B$59*(1+Inputs!$B$61)^(AV$7-1)*MAX(0,MIN(1,AV$6*1-Inputs!$B$62+1))/1</f>
        <v>3</v>
      </c>
      <c r="AW119" s="119" t="n">
        <f aca="false">Inputs!$B$59*(1+Inputs!$B$61)^(AW$7-1)*MAX(0,MIN(1,AW$6*1-Inputs!$B$62+1))/1</f>
        <v>3</v>
      </c>
      <c r="AX119" s="119" t="n">
        <f aca="false">Inputs!$B$59*(1+Inputs!$B$61)^(AX$7-1)*MAX(0,MIN(1,AX$6*1-Inputs!$B$62+1))/1</f>
        <v>3</v>
      </c>
      <c r="AY119" s="119" t="n">
        <f aca="false">Inputs!$B$59*(1+Inputs!$B$61)^(AY$7-1)*MAX(0,MIN(1,AY$6*1-Inputs!$B$62+1))/1</f>
        <v>3</v>
      </c>
      <c r="AZ119" s="119" t="n">
        <f aca="false">Inputs!$B$59*(1+Inputs!$B$61)^(AZ$7-1)*MAX(0,MIN(1,AZ$6*1-Inputs!$B$62+1))/1</f>
        <v>3</v>
      </c>
      <c r="BA119" s="119" t="n">
        <f aca="false">Inputs!$B$59*(1+Inputs!$B$61)^(BA$7-1)*MAX(0,MIN(1,BA$6*1-Inputs!$B$62+1))/1</f>
        <v>3</v>
      </c>
      <c r="BB119" s="119" t="n">
        <f aca="false">Inputs!$B$59*(1+Inputs!$B$61)^(BB$7-1)*MAX(0,MIN(1,BB$6*1-Inputs!$B$62+1))/1</f>
        <v>3</v>
      </c>
      <c r="BC119" s="119" t="n">
        <f aca="false">Inputs!$B$59*(1+Inputs!$B$61)^(BC$7-1)*MAX(0,MIN(1,BC$6*1-Inputs!$B$62+1))/1</f>
        <v>3</v>
      </c>
      <c r="BD119" s="119" t="n">
        <f aca="false">Inputs!$B$59*(1+Inputs!$B$61)^(BD$7-1)*MAX(0,MIN(1,BD$6*1-Inputs!$B$62+1))/1</f>
        <v>3</v>
      </c>
      <c r="BE119" s="119" t="n">
        <f aca="false">Inputs!$B$59*(1+Inputs!$B$61)^(BE$7-1)*MAX(0,MIN(1,BE$6*1-Inputs!$B$62+1))/1</f>
        <v>3</v>
      </c>
      <c r="BF119" s="119" t="n">
        <f aca="false">Inputs!$B$59*(1+Inputs!$B$61)^(BF$7-1)*MAX(0,MIN(1,BF$6*1-Inputs!$B$62+1))/1</f>
        <v>3</v>
      </c>
      <c r="BG119" s="119" t="n">
        <f aca="false">Inputs!$B$59*(1+Inputs!$B$61)^(BG$7-1)*MAX(0,MIN(1,BG$6*1-Inputs!$B$62+1))/1</f>
        <v>3</v>
      </c>
      <c r="BH119" s="119" t="n">
        <f aca="false">Inputs!$B$59*(1+Inputs!$B$61)^(BH$7-1)*MAX(0,MIN(1,BH$6*1-Inputs!$B$62+1))/1</f>
        <v>3</v>
      </c>
      <c r="BI119" s="119" t="n">
        <f aca="false">Inputs!$B$59*(1+Inputs!$B$61)^(BI$7-1)*MAX(0,MIN(1,BI$6*1-Inputs!$B$62+1))/1</f>
        <v>3</v>
      </c>
      <c r="BJ119" s="119" t="n">
        <f aca="false">Inputs!$B$59*(1+Inputs!$B$61)^(BJ$7-1)*MAX(0,MIN(1,BJ$6*1-Inputs!$B$62+1))/1</f>
        <v>3</v>
      </c>
    </row>
    <row r="120" customFormat="false" ht="15" hidden="false" customHeight="false" outlineLevel="0" collapsed="false">
      <c r="A120" s="6" t="s">
        <v>461</v>
      </c>
      <c r="C120" s="119" t="n">
        <f aca="false">Inputs!$B$63*(1+Inputs!$B$65)^(C$7-1)*MAX(0,MIN(1,C$6*1-Inputs!$B$66+1))/1</f>
        <v>1</v>
      </c>
      <c r="D120" s="119" t="n">
        <f aca="false">Inputs!$B$63*(1+Inputs!$B$65)^(D$7-1)*MAX(0,MIN(1,D$6*1-Inputs!$B$66+1))/1</f>
        <v>1</v>
      </c>
      <c r="E120" s="119" t="n">
        <f aca="false">Inputs!$B$63*(1+Inputs!$B$65)^(E$7-1)*MAX(0,MIN(1,E$6*1-Inputs!$B$66+1))/1</f>
        <v>1</v>
      </c>
      <c r="F120" s="119" t="n">
        <f aca="false">Inputs!$B$63*(1+Inputs!$B$65)^(F$7-1)*MAX(0,MIN(1,F$6*1-Inputs!$B$66+1))/1</f>
        <v>1</v>
      </c>
      <c r="G120" s="119" t="n">
        <f aca="false">Inputs!$B$63*(1+Inputs!$B$65)^(G$7-1)*MAX(0,MIN(1,G$6*1-Inputs!$B$66+1))/1</f>
        <v>1</v>
      </c>
      <c r="H120" s="119" t="n">
        <f aca="false">Inputs!$B$63*(1+Inputs!$B$65)^(H$7-1)*MAX(0,MIN(1,H$6*1-Inputs!$B$66+1))/1</f>
        <v>1</v>
      </c>
      <c r="I120" s="119" t="n">
        <f aca="false">Inputs!$B$63*(1+Inputs!$B$65)^(I$7-1)*MAX(0,MIN(1,I$6*1-Inputs!$B$66+1))/1</f>
        <v>1</v>
      </c>
      <c r="J120" s="119" t="n">
        <f aca="false">Inputs!$B$63*(1+Inputs!$B$65)^(J$7-1)*MAX(0,MIN(1,J$6*1-Inputs!$B$66+1))/1</f>
        <v>1</v>
      </c>
      <c r="K120" s="119" t="n">
        <f aca="false">Inputs!$B$63*(1+Inputs!$B$65)^(K$7-1)*MAX(0,MIN(1,K$6*1-Inputs!$B$66+1))/1</f>
        <v>1</v>
      </c>
      <c r="L120" s="119" t="n">
        <f aca="false">Inputs!$B$63*(1+Inputs!$B$65)^(L$7-1)*MAX(0,MIN(1,L$6*1-Inputs!$B$66+1))/1</f>
        <v>1</v>
      </c>
      <c r="M120" s="119" t="n">
        <f aca="false">Inputs!$B$63*(1+Inputs!$B$65)^(M$7-1)*MAX(0,MIN(1,M$6*1-Inputs!$B$66+1))/1</f>
        <v>1</v>
      </c>
      <c r="N120" s="119" t="n">
        <f aca="false">Inputs!$B$63*(1+Inputs!$B$65)^(N$7-1)*MAX(0,MIN(1,N$6*1-Inputs!$B$66+1))/1</f>
        <v>1</v>
      </c>
      <c r="O120" s="119" t="n">
        <f aca="false">Inputs!$B$63*(1+Inputs!$B$65)^(O$7-1)*MAX(0,MIN(1,O$6*1-Inputs!$B$66+1))/1</f>
        <v>1</v>
      </c>
      <c r="P120" s="119" t="n">
        <f aca="false">Inputs!$B$63*(1+Inputs!$B$65)^(P$7-1)*MAX(0,MIN(1,P$6*1-Inputs!$B$66+1))/1</f>
        <v>1</v>
      </c>
      <c r="Q120" s="119" t="n">
        <f aca="false">Inputs!$B$63*(1+Inputs!$B$65)^(Q$7-1)*MAX(0,MIN(1,Q$6*1-Inputs!$B$66+1))/1</f>
        <v>1</v>
      </c>
      <c r="R120" s="119" t="n">
        <f aca="false">Inputs!$B$63*(1+Inputs!$B$65)^(R$7-1)*MAX(0,MIN(1,R$6*1-Inputs!$B$66+1))/1</f>
        <v>1</v>
      </c>
      <c r="S120" s="119" t="n">
        <f aca="false">Inputs!$B$63*(1+Inputs!$B$65)^(S$7-1)*MAX(0,MIN(1,S$6*1-Inputs!$B$66+1))/1</f>
        <v>1</v>
      </c>
      <c r="T120" s="119" t="n">
        <f aca="false">Inputs!$B$63*(1+Inputs!$B$65)^(T$7-1)*MAX(0,MIN(1,T$6*1-Inputs!$B$66+1))/1</f>
        <v>1</v>
      </c>
      <c r="U120" s="119" t="n">
        <f aca="false">Inputs!$B$63*(1+Inputs!$B$65)^(U$7-1)*MAX(0,MIN(1,U$6*1-Inputs!$B$66+1))/1</f>
        <v>1</v>
      </c>
      <c r="V120" s="119" t="n">
        <f aca="false">Inputs!$B$63*(1+Inputs!$B$65)^(V$7-1)*MAX(0,MIN(1,V$6*1-Inputs!$B$66+1))/1</f>
        <v>1</v>
      </c>
      <c r="W120" s="119" t="n">
        <f aca="false">Inputs!$B$63*(1+Inputs!$B$65)^(W$7-1)*MAX(0,MIN(1,W$6*1-Inputs!$B$66+1))/1</f>
        <v>1</v>
      </c>
      <c r="X120" s="119" t="n">
        <f aca="false">Inputs!$B$63*(1+Inputs!$B$65)^(X$7-1)*MAX(0,MIN(1,X$6*1-Inputs!$B$66+1))/1</f>
        <v>1</v>
      </c>
      <c r="Y120" s="119" t="n">
        <f aca="false">Inputs!$B$63*(1+Inputs!$B$65)^(Y$7-1)*MAX(0,MIN(1,Y$6*1-Inputs!$B$66+1))/1</f>
        <v>1</v>
      </c>
      <c r="Z120" s="119" t="n">
        <f aca="false">Inputs!$B$63*(1+Inputs!$B$65)^(Z$7-1)*MAX(0,MIN(1,Z$6*1-Inputs!$B$66+1))/1</f>
        <v>1</v>
      </c>
      <c r="AA120" s="119" t="n">
        <f aca="false">Inputs!$B$63*(1+Inputs!$B$65)^(AA$7-1)*MAX(0,MIN(1,AA$6*1-Inputs!$B$66+1))/1</f>
        <v>1</v>
      </c>
      <c r="AB120" s="119" t="n">
        <f aca="false">Inputs!$B$63*(1+Inputs!$B$65)^(AB$7-1)*MAX(0,MIN(1,AB$6*1-Inputs!$B$66+1))/1</f>
        <v>1</v>
      </c>
      <c r="AC120" s="119" t="n">
        <f aca="false">Inputs!$B$63*(1+Inputs!$B$65)^(AC$7-1)*MAX(0,MIN(1,AC$6*1-Inputs!$B$66+1))/1</f>
        <v>1</v>
      </c>
      <c r="AD120" s="119" t="n">
        <f aca="false">Inputs!$B$63*(1+Inputs!$B$65)^(AD$7-1)*MAX(0,MIN(1,AD$6*1-Inputs!$B$66+1))/1</f>
        <v>1</v>
      </c>
      <c r="AE120" s="119" t="n">
        <f aca="false">Inputs!$B$63*(1+Inputs!$B$65)^(AE$7-1)*MAX(0,MIN(1,AE$6*1-Inputs!$B$66+1))/1</f>
        <v>1</v>
      </c>
      <c r="AF120" s="119" t="n">
        <f aca="false">Inputs!$B$63*(1+Inputs!$B$65)^(AF$7-1)*MAX(0,MIN(1,AF$6*1-Inputs!$B$66+1))/1</f>
        <v>1</v>
      </c>
      <c r="AG120" s="119" t="n">
        <f aca="false">Inputs!$B$63*(1+Inputs!$B$65)^(AG$7-1)*MAX(0,MIN(1,AG$6*1-Inputs!$B$66+1))/1</f>
        <v>1</v>
      </c>
      <c r="AH120" s="119" t="n">
        <f aca="false">Inputs!$B$63*(1+Inputs!$B$65)^(AH$7-1)*MAX(0,MIN(1,AH$6*1-Inputs!$B$66+1))/1</f>
        <v>1</v>
      </c>
      <c r="AI120" s="119" t="n">
        <f aca="false">Inputs!$B$63*(1+Inputs!$B$65)^(AI$7-1)*MAX(0,MIN(1,AI$6*1-Inputs!$B$66+1))/1</f>
        <v>1</v>
      </c>
      <c r="AJ120" s="119" t="n">
        <f aca="false">Inputs!$B$63*(1+Inputs!$B$65)^(AJ$7-1)*MAX(0,MIN(1,AJ$6*1-Inputs!$B$66+1))/1</f>
        <v>1</v>
      </c>
      <c r="AK120" s="119" t="n">
        <f aca="false">Inputs!$B$63*(1+Inputs!$B$65)^(AK$7-1)*MAX(0,MIN(1,AK$6*1-Inputs!$B$66+1))/1</f>
        <v>1</v>
      </c>
      <c r="AL120" s="119" t="n">
        <f aca="false">Inputs!$B$63*(1+Inputs!$B$65)^(AL$7-1)*MAX(0,MIN(1,AL$6*1-Inputs!$B$66+1))/1</f>
        <v>1</v>
      </c>
      <c r="AM120" s="119" t="n">
        <f aca="false">Inputs!$B$63*(1+Inputs!$B$65)^(AM$7-1)*MAX(0,MIN(1,AM$6*1-Inputs!$B$66+1))/1</f>
        <v>1</v>
      </c>
      <c r="AN120" s="119" t="n">
        <f aca="false">Inputs!$B$63*(1+Inputs!$B$65)^(AN$7-1)*MAX(0,MIN(1,AN$6*1-Inputs!$B$66+1))/1</f>
        <v>1</v>
      </c>
      <c r="AO120" s="119" t="n">
        <f aca="false">Inputs!$B$63*(1+Inputs!$B$65)^(AO$7-1)*MAX(0,MIN(1,AO$6*1-Inputs!$B$66+1))/1</f>
        <v>1</v>
      </c>
      <c r="AP120" s="119" t="n">
        <f aca="false">Inputs!$B$63*(1+Inputs!$B$65)^(AP$7-1)*MAX(0,MIN(1,AP$6*1-Inputs!$B$66+1))/1</f>
        <v>1</v>
      </c>
      <c r="AQ120" s="119" t="n">
        <f aca="false">Inputs!$B$63*(1+Inputs!$B$65)^(AQ$7-1)*MAX(0,MIN(1,AQ$6*1-Inputs!$B$66+1))/1</f>
        <v>1</v>
      </c>
      <c r="AR120" s="119" t="n">
        <f aca="false">Inputs!$B$63*(1+Inputs!$B$65)^(AR$7-1)*MAX(0,MIN(1,AR$6*1-Inputs!$B$66+1))/1</f>
        <v>1</v>
      </c>
      <c r="AS120" s="119" t="n">
        <f aca="false">Inputs!$B$63*(1+Inputs!$B$65)^(AS$7-1)*MAX(0,MIN(1,AS$6*1-Inputs!$B$66+1))/1</f>
        <v>1</v>
      </c>
      <c r="AT120" s="119" t="n">
        <f aca="false">Inputs!$B$63*(1+Inputs!$B$65)^(AT$7-1)*MAX(0,MIN(1,AT$6*1-Inputs!$B$66+1))/1</f>
        <v>1</v>
      </c>
      <c r="AU120" s="119" t="n">
        <f aca="false">Inputs!$B$63*(1+Inputs!$B$65)^(AU$7-1)*MAX(0,MIN(1,AU$6*1-Inputs!$B$66+1))/1</f>
        <v>1</v>
      </c>
      <c r="AV120" s="119" t="n">
        <f aca="false">Inputs!$B$63*(1+Inputs!$B$65)^(AV$7-1)*MAX(0,MIN(1,AV$6*1-Inputs!$B$66+1))/1</f>
        <v>1</v>
      </c>
      <c r="AW120" s="119" t="n">
        <f aca="false">Inputs!$B$63*(1+Inputs!$B$65)^(AW$7-1)*MAX(0,MIN(1,AW$6*1-Inputs!$B$66+1))/1</f>
        <v>1</v>
      </c>
      <c r="AX120" s="119" t="n">
        <f aca="false">Inputs!$B$63*(1+Inputs!$B$65)^(AX$7-1)*MAX(0,MIN(1,AX$6*1-Inputs!$B$66+1))/1</f>
        <v>1</v>
      </c>
      <c r="AY120" s="119" t="n">
        <f aca="false">Inputs!$B$63*(1+Inputs!$B$65)^(AY$7-1)*MAX(0,MIN(1,AY$6*1-Inputs!$B$66+1))/1</f>
        <v>1</v>
      </c>
      <c r="AZ120" s="119" t="n">
        <f aca="false">Inputs!$B$63*(1+Inputs!$B$65)^(AZ$7-1)*MAX(0,MIN(1,AZ$6*1-Inputs!$B$66+1))/1</f>
        <v>1</v>
      </c>
      <c r="BA120" s="119" t="n">
        <f aca="false">Inputs!$B$63*(1+Inputs!$B$65)^(BA$7-1)*MAX(0,MIN(1,BA$6*1-Inputs!$B$66+1))/1</f>
        <v>1</v>
      </c>
      <c r="BB120" s="119" t="n">
        <f aca="false">Inputs!$B$63*(1+Inputs!$B$65)^(BB$7-1)*MAX(0,MIN(1,BB$6*1-Inputs!$B$66+1))/1</f>
        <v>1</v>
      </c>
      <c r="BC120" s="119" t="n">
        <f aca="false">Inputs!$B$63*(1+Inputs!$B$65)^(BC$7-1)*MAX(0,MIN(1,BC$6*1-Inputs!$B$66+1))/1</f>
        <v>1</v>
      </c>
      <c r="BD120" s="119" t="n">
        <f aca="false">Inputs!$B$63*(1+Inputs!$B$65)^(BD$7-1)*MAX(0,MIN(1,BD$6*1-Inputs!$B$66+1))/1</f>
        <v>1</v>
      </c>
      <c r="BE120" s="119" t="n">
        <f aca="false">Inputs!$B$63*(1+Inputs!$B$65)^(BE$7-1)*MAX(0,MIN(1,BE$6*1-Inputs!$B$66+1))/1</f>
        <v>1</v>
      </c>
      <c r="BF120" s="119" t="n">
        <f aca="false">Inputs!$B$63*(1+Inputs!$B$65)^(BF$7-1)*MAX(0,MIN(1,BF$6*1-Inputs!$B$66+1))/1</f>
        <v>1</v>
      </c>
      <c r="BG120" s="119" t="n">
        <f aca="false">Inputs!$B$63*(1+Inputs!$B$65)^(BG$7-1)*MAX(0,MIN(1,BG$6*1-Inputs!$B$66+1))/1</f>
        <v>1</v>
      </c>
      <c r="BH120" s="119" t="n">
        <f aca="false">Inputs!$B$63*(1+Inputs!$B$65)^(BH$7-1)*MAX(0,MIN(1,BH$6*1-Inputs!$B$66+1))/1</f>
        <v>1</v>
      </c>
      <c r="BI120" s="119" t="n">
        <f aca="false">Inputs!$B$63*(1+Inputs!$B$65)^(BI$7-1)*MAX(0,MIN(1,BI$6*1-Inputs!$B$66+1))/1</f>
        <v>1</v>
      </c>
      <c r="BJ120" s="119" t="n">
        <f aca="false">Inputs!$B$63*(1+Inputs!$B$65)^(BJ$7-1)*MAX(0,MIN(1,BJ$6*1-Inputs!$B$66+1))/1</f>
        <v>1</v>
      </c>
    </row>
    <row r="121" customFormat="false" ht="15" hidden="false" customHeight="false" outlineLevel="0" collapsed="false">
      <c r="A121" s="115" t="s">
        <v>462</v>
      </c>
      <c r="C121" s="124" t="n">
        <f aca="false">C118+C119+C120</f>
        <v>8</v>
      </c>
      <c r="D121" s="124" t="n">
        <f aca="false">D118+D119+D120</f>
        <v>8</v>
      </c>
      <c r="E121" s="124" t="n">
        <f aca="false">E118+E119+E120</f>
        <v>8</v>
      </c>
      <c r="F121" s="124" t="n">
        <f aca="false">F118+F119+F120</f>
        <v>8</v>
      </c>
      <c r="G121" s="124" t="n">
        <f aca="false">G118+G119+G120</f>
        <v>8</v>
      </c>
      <c r="H121" s="124" t="n">
        <f aca="false">H118+H119+H120</f>
        <v>8</v>
      </c>
      <c r="I121" s="124" t="n">
        <f aca="false">I118+I119+I120</f>
        <v>8</v>
      </c>
      <c r="J121" s="124" t="n">
        <f aca="false">J118+J119+J120</f>
        <v>8</v>
      </c>
      <c r="K121" s="124" t="n">
        <f aca="false">K118+K119+K120</f>
        <v>8</v>
      </c>
      <c r="L121" s="124" t="n">
        <f aca="false">L118+L119+L120</f>
        <v>8</v>
      </c>
      <c r="M121" s="124" t="n">
        <f aca="false">M118+M119+M120</f>
        <v>8</v>
      </c>
      <c r="N121" s="124" t="n">
        <f aca="false">N118+N119+N120</f>
        <v>8</v>
      </c>
      <c r="O121" s="124" t="n">
        <f aca="false">O118+O119+O120</f>
        <v>8</v>
      </c>
      <c r="P121" s="124" t="n">
        <f aca="false">P118+P119+P120</f>
        <v>8</v>
      </c>
      <c r="Q121" s="124" t="n">
        <f aca="false">Q118+Q119+Q120</f>
        <v>8</v>
      </c>
      <c r="R121" s="124" t="n">
        <f aca="false">R118+R119+R120</f>
        <v>8</v>
      </c>
      <c r="S121" s="124" t="n">
        <f aca="false">S118+S119+S120</f>
        <v>8</v>
      </c>
      <c r="T121" s="124" t="n">
        <f aca="false">T118+T119+T120</f>
        <v>8</v>
      </c>
      <c r="U121" s="124" t="n">
        <f aca="false">U118+U119+U120</f>
        <v>8</v>
      </c>
      <c r="V121" s="124" t="n">
        <f aca="false">V118+V119+V120</f>
        <v>8</v>
      </c>
      <c r="W121" s="124" t="n">
        <f aca="false">W118+W119+W120</f>
        <v>8</v>
      </c>
      <c r="X121" s="124" t="n">
        <f aca="false">X118+X119+X120</f>
        <v>8</v>
      </c>
      <c r="Y121" s="124" t="n">
        <f aca="false">Y118+Y119+Y120</f>
        <v>8</v>
      </c>
      <c r="Z121" s="124" t="n">
        <f aca="false">Z118+Z119+Z120</f>
        <v>8</v>
      </c>
      <c r="AA121" s="124" t="n">
        <f aca="false">AA118+AA119+AA120</f>
        <v>8</v>
      </c>
      <c r="AB121" s="124" t="n">
        <f aca="false">AB118+AB119+AB120</f>
        <v>8</v>
      </c>
      <c r="AC121" s="124" t="n">
        <f aca="false">AC118+AC119+AC120</f>
        <v>8</v>
      </c>
      <c r="AD121" s="124" t="n">
        <f aca="false">AD118+AD119+AD120</f>
        <v>8</v>
      </c>
      <c r="AE121" s="124" t="n">
        <f aca="false">AE118+AE119+AE120</f>
        <v>8</v>
      </c>
      <c r="AF121" s="124" t="n">
        <f aca="false">AF118+AF119+AF120</f>
        <v>8</v>
      </c>
      <c r="AG121" s="124" t="n">
        <f aca="false">AG118+AG119+AG120</f>
        <v>8</v>
      </c>
      <c r="AH121" s="124" t="n">
        <f aca="false">AH118+AH119+AH120</f>
        <v>8</v>
      </c>
      <c r="AI121" s="124" t="n">
        <f aca="false">AI118+AI119+AI120</f>
        <v>8</v>
      </c>
      <c r="AJ121" s="124" t="n">
        <f aca="false">AJ118+AJ119+AJ120</f>
        <v>8</v>
      </c>
      <c r="AK121" s="124" t="n">
        <f aca="false">AK118+AK119+AK120</f>
        <v>8</v>
      </c>
      <c r="AL121" s="124" t="n">
        <f aca="false">AL118+AL119+AL120</f>
        <v>8</v>
      </c>
      <c r="AM121" s="124" t="n">
        <f aca="false">AM118+AM119+AM120</f>
        <v>8</v>
      </c>
      <c r="AN121" s="124" t="n">
        <f aca="false">AN118+AN119+AN120</f>
        <v>8</v>
      </c>
      <c r="AO121" s="124" t="n">
        <f aca="false">AO118+AO119+AO120</f>
        <v>8</v>
      </c>
      <c r="AP121" s="124" t="n">
        <f aca="false">AP118+AP119+AP120</f>
        <v>8</v>
      </c>
      <c r="AQ121" s="124" t="n">
        <f aca="false">AQ118+AQ119+AQ120</f>
        <v>8</v>
      </c>
      <c r="AR121" s="124" t="n">
        <f aca="false">AR118+AR119+AR120</f>
        <v>8</v>
      </c>
      <c r="AS121" s="124" t="n">
        <f aca="false">AS118+AS119+AS120</f>
        <v>8</v>
      </c>
      <c r="AT121" s="124" t="n">
        <f aca="false">AT118+AT119+AT120</f>
        <v>8</v>
      </c>
      <c r="AU121" s="124" t="n">
        <f aca="false">AU118+AU119+AU120</f>
        <v>8</v>
      </c>
      <c r="AV121" s="124" t="n">
        <f aca="false">AV118+AV119+AV120</f>
        <v>8</v>
      </c>
      <c r="AW121" s="124" t="n">
        <f aca="false">AW118+AW119+AW120</f>
        <v>8</v>
      </c>
      <c r="AX121" s="124" t="n">
        <f aca="false">AX118+AX119+AX120</f>
        <v>8</v>
      </c>
      <c r="AY121" s="124" t="n">
        <f aca="false">AY118+AY119+AY120</f>
        <v>8</v>
      </c>
      <c r="AZ121" s="124" t="n">
        <f aca="false">AZ118+AZ119+AZ120</f>
        <v>8</v>
      </c>
      <c r="BA121" s="124" t="n">
        <f aca="false">BA118+BA119+BA120</f>
        <v>8</v>
      </c>
      <c r="BB121" s="124" t="n">
        <f aca="false">BB118+BB119+BB120</f>
        <v>8</v>
      </c>
      <c r="BC121" s="124" t="n">
        <f aca="false">BC118+BC119+BC120</f>
        <v>8</v>
      </c>
      <c r="BD121" s="124" t="n">
        <f aca="false">BD118+BD119+BD120</f>
        <v>8</v>
      </c>
      <c r="BE121" s="124" t="n">
        <f aca="false">BE118+BE119+BE120</f>
        <v>8</v>
      </c>
      <c r="BF121" s="124" t="n">
        <f aca="false">BF118+BF119+BF120</f>
        <v>8</v>
      </c>
      <c r="BG121" s="124" t="n">
        <f aca="false">BG118+BG119+BG120</f>
        <v>8</v>
      </c>
      <c r="BH121" s="124" t="n">
        <f aca="false">BH118+BH119+BH120</f>
        <v>8</v>
      </c>
      <c r="BI121" s="124" t="n">
        <f aca="false">BI118+BI119+BI120</f>
        <v>8</v>
      </c>
      <c r="BJ121" s="124" t="n">
        <f aca="false">BJ118+BJ119+BJ120</f>
        <v>8</v>
      </c>
    </row>
    <row r="123" customFormat="false" ht="15.75" hidden="false" customHeight="true" outlineLevel="0" collapsed="false">
      <c r="A123" s="7" t="s">
        <v>463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customFormat="false" ht="15" hidden="false" customHeight="false" outlineLevel="0" collapsed="false">
      <c r="A124" s="6" t="s">
        <v>464</v>
      </c>
      <c r="C124" s="69" t="n">
        <f aca="false">-C118*Inputs!$B$56/12*1*(1+Inputs!$B$67)*(1+Inputs!$B$68)^(C$7-1)</f>
        <v>-3833.33333333333</v>
      </c>
      <c r="D124" s="69" t="n">
        <f aca="false">-D118*Inputs!$B$56/12*1*(1+Inputs!$B$67)*(1+Inputs!$B$68)^(D$7-1)</f>
        <v>-3833.33333333333</v>
      </c>
      <c r="E124" s="69" t="n">
        <f aca="false">-E118*Inputs!$B$56/12*1*(1+Inputs!$B$67)*(1+Inputs!$B$68)^(E$7-1)</f>
        <v>-3833.33333333333</v>
      </c>
      <c r="F124" s="69" t="n">
        <f aca="false">-F118*Inputs!$B$56/12*1*(1+Inputs!$B$67)*(1+Inputs!$B$68)^(F$7-1)</f>
        <v>-3833.33333333333</v>
      </c>
      <c r="G124" s="69" t="n">
        <f aca="false">-G118*Inputs!$B$56/12*1*(1+Inputs!$B$67)*(1+Inputs!$B$68)^(G$7-1)</f>
        <v>-3833.33333333333</v>
      </c>
      <c r="H124" s="69" t="n">
        <f aca="false">-H118*Inputs!$B$56/12*1*(1+Inputs!$B$67)*(1+Inputs!$B$68)^(H$7-1)</f>
        <v>-3833.33333333333</v>
      </c>
      <c r="I124" s="69" t="n">
        <f aca="false">-I118*Inputs!$B$56/12*1*(1+Inputs!$B$67)*(1+Inputs!$B$68)^(I$7-1)</f>
        <v>-3833.33333333333</v>
      </c>
      <c r="J124" s="69" t="n">
        <f aca="false">-J118*Inputs!$B$56/12*1*(1+Inputs!$B$67)*(1+Inputs!$B$68)^(J$7-1)</f>
        <v>-3833.33333333333</v>
      </c>
      <c r="K124" s="69" t="n">
        <f aca="false">-K118*Inputs!$B$56/12*1*(1+Inputs!$B$67)*(1+Inputs!$B$68)^(K$7-1)</f>
        <v>-3833.33333333333</v>
      </c>
      <c r="L124" s="69" t="n">
        <f aca="false">-L118*Inputs!$B$56/12*1*(1+Inputs!$B$67)*(1+Inputs!$B$68)^(L$7-1)</f>
        <v>-3833.33333333333</v>
      </c>
      <c r="M124" s="69" t="n">
        <f aca="false">-M118*Inputs!$B$56/12*1*(1+Inputs!$B$67)*(1+Inputs!$B$68)^(M$7-1)</f>
        <v>-3833.33333333333</v>
      </c>
      <c r="N124" s="69" t="n">
        <f aca="false">-N118*Inputs!$B$56/12*1*(1+Inputs!$B$67)*(1+Inputs!$B$68)^(N$7-1)</f>
        <v>-3833.33333333333</v>
      </c>
      <c r="O124" s="69" t="n">
        <f aca="false">-O118*Inputs!$B$56/12*1*(1+Inputs!$B$67)*(1+Inputs!$B$68)^(O$7-1)</f>
        <v>-3986.66666666667</v>
      </c>
      <c r="P124" s="69" t="n">
        <f aca="false">-P118*Inputs!$B$56/12*1*(1+Inputs!$B$67)*(1+Inputs!$B$68)^(P$7-1)</f>
        <v>-3986.66666666667</v>
      </c>
      <c r="Q124" s="69" t="n">
        <f aca="false">-Q118*Inputs!$B$56/12*1*(1+Inputs!$B$67)*(1+Inputs!$B$68)^(Q$7-1)</f>
        <v>-3986.66666666667</v>
      </c>
      <c r="R124" s="69" t="n">
        <f aca="false">-R118*Inputs!$B$56/12*1*(1+Inputs!$B$67)*(1+Inputs!$B$68)^(R$7-1)</f>
        <v>-3986.66666666667</v>
      </c>
      <c r="S124" s="69" t="n">
        <f aca="false">-S118*Inputs!$B$56/12*1*(1+Inputs!$B$67)*(1+Inputs!$B$68)^(S$7-1)</f>
        <v>-3986.66666666667</v>
      </c>
      <c r="T124" s="69" t="n">
        <f aca="false">-T118*Inputs!$B$56/12*1*(1+Inputs!$B$67)*(1+Inputs!$B$68)^(T$7-1)</f>
        <v>-3986.66666666667</v>
      </c>
      <c r="U124" s="69" t="n">
        <f aca="false">-U118*Inputs!$B$56/12*1*(1+Inputs!$B$67)*(1+Inputs!$B$68)^(U$7-1)</f>
        <v>-3986.66666666667</v>
      </c>
      <c r="V124" s="69" t="n">
        <f aca="false">-V118*Inputs!$B$56/12*1*(1+Inputs!$B$67)*(1+Inputs!$B$68)^(V$7-1)</f>
        <v>-3986.66666666667</v>
      </c>
      <c r="W124" s="69" t="n">
        <f aca="false">-W118*Inputs!$B$56/12*1*(1+Inputs!$B$67)*(1+Inputs!$B$68)^(W$7-1)</f>
        <v>-3986.66666666667</v>
      </c>
      <c r="X124" s="69" t="n">
        <f aca="false">-X118*Inputs!$B$56/12*1*(1+Inputs!$B$67)*(1+Inputs!$B$68)^(X$7-1)</f>
        <v>-3986.66666666667</v>
      </c>
      <c r="Y124" s="69" t="n">
        <f aca="false">-Y118*Inputs!$B$56/12*1*(1+Inputs!$B$67)*(1+Inputs!$B$68)^(Y$7-1)</f>
        <v>-3986.66666666667</v>
      </c>
      <c r="Z124" s="69" t="n">
        <f aca="false">-Z118*Inputs!$B$56/12*1*(1+Inputs!$B$67)*(1+Inputs!$B$68)^(Z$7-1)</f>
        <v>-3986.66666666667</v>
      </c>
      <c r="AA124" s="69" t="n">
        <f aca="false">-AA118*Inputs!$B$56/12*1*(1+Inputs!$B$67)*(1+Inputs!$B$68)^(AA$7-1)</f>
        <v>-4146.13333333333</v>
      </c>
      <c r="AB124" s="69" t="n">
        <f aca="false">-AB118*Inputs!$B$56/12*1*(1+Inputs!$B$67)*(1+Inputs!$B$68)^(AB$7-1)</f>
        <v>-4146.13333333333</v>
      </c>
      <c r="AC124" s="69" t="n">
        <f aca="false">-AC118*Inputs!$B$56/12*1*(1+Inputs!$B$67)*(1+Inputs!$B$68)^(AC$7-1)</f>
        <v>-4146.13333333333</v>
      </c>
      <c r="AD124" s="69" t="n">
        <f aca="false">-AD118*Inputs!$B$56/12*1*(1+Inputs!$B$67)*(1+Inputs!$B$68)^(AD$7-1)</f>
        <v>-4146.13333333333</v>
      </c>
      <c r="AE124" s="69" t="n">
        <f aca="false">-AE118*Inputs!$B$56/12*1*(1+Inputs!$B$67)*(1+Inputs!$B$68)^(AE$7-1)</f>
        <v>-4146.13333333333</v>
      </c>
      <c r="AF124" s="69" t="n">
        <f aca="false">-AF118*Inputs!$B$56/12*1*(1+Inputs!$B$67)*(1+Inputs!$B$68)^(AF$7-1)</f>
        <v>-4146.13333333333</v>
      </c>
      <c r="AG124" s="69" t="n">
        <f aca="false">-AG118*Inputs!$B$56/12*1*(1+Inputs!$B$67)*(1+Inputs!$B$68)^(AG$7-1)</f>
        <v>-4146.13333333333</v>
      </c>
      <c r="AH124" s="69" t="n">
        <f aca="false">-AH118*Inputs!$B$56/12*1*(1+Inputs!$B$67)*(1+Inputs!$B$68)^(AH$7-1)</f>
        <v>-4146.13333333333</v>
      </c>
      <c r="AI124" s="69" t="n">
        <f aca="false">-AI118*Inputs!$B$56/12*1*(1+Inputs!$B$67)*(1+Inputs!$B$68)^(AI$7-1)</f>
        <v>-4146.13333333333</v>
      </c>
      <c r="AJ124" s="69" t="n">
        <f aca="false">-AJ118*Inputs!$B$56/12*1*(1+Inputs!$B$67)*(1+Inputs!$B$68)^(AJ$7-1)</f>
        <v>-4146.13333333333</v>
      </c>
      <c r="AK124" s="69" t="n">
        <f aca="false">-AK118*Inputs!$B$56/12*1*(1+Inputs!$B$67)*(1+Inputs!$B$68)^(AK$7-1)</f>
        <v>-4146.13333333333</v>
      </c>
      <c r="AL124" s="69" t="n">
        <f aca="false">-AL118*Inputs!$B$56/12*1*(1+Inputs!$B$67)*(1+Inputs!$B$68)^(AL$7-1)</f>
        <v>-4146.13333333333</v>
      </c>
      <c r="AM124" s="69" t="n">
        <f aca="false">-AM118*Inputs!$B$56/12*1*(1+Inputs!$B$67)*(1+Inputs!$B$68)^(AM$7-1)</f>
        <v>-4311.97866666667</v>
      </c>
      <c r="AN124" s="69" t="n">
        <f aca="false">-AN118*Inputs!$B$56/12*1*(1+Inputs!$B$67)*(1+Inputs!$B$68)^(AN$7-1)</f>
        <v>-4311.97866666667</v>
      </c>
      <c r="AO124" s="69" t="n">
        <f aca="false">-AO118*Inputs!$B$56/12*1*(1+Inputs!$B$67)*(1+Inputs!$B$68)^(AO$7-1)</f>
        <v>-4311.97866666667</v>
      </c>
      <c r="AP124" s="69" t="n">
        <f aca="false">-AP118*Inputs!$B$56/12*1*(1+Inputs!$B$67)*(1+Inputs!$B$68)^(AP$7-1)</f>
        <v>-4311.97866666667</v>
      </c>
      <c r="AQ124" s="69" t="n">
        <f aca="false">-AQ118*Inputs!$B$56/12*1*(1+Inputs!$B$67)*(1+Inputs!$B$68)^(AQ$7-1)</f>
        <v>-4311.97866666667</v>
      </c>
      <c r="AR124" s="69" t="n">
        <f aca="false">-AR118*Inputs!$B$56/12*1*(1+Inputs!$B$67)*(1+Inputs!$B$68)^(AR$7-1)</f>
        <v>-4311.97866666667</v>
      </c>
      <c r="AS124" s="69" t="n">
        <f aca="false">-AS118*Inputs!$B$56/12*1*(1+Inputs!$B$67)*(1+Inputs!$B$68)^(AS$7-1)</f>
        <v>-4311.97866666667</v>
      </c>
      <c r="AT124" s="69" t="n">
        <f aca="false">-AT118*Inputs!$B$56/12*1*(1+Inputs!$B$67)*(1+Inputs!$B$68)^(AT$7-1)</f>
        <v>-4311.97866666667</v>
      </c>
      <c r="AU124" s="69" t="n">
        <f aca="false">-AU118*Inputs!$B$56/12*1*(1+Inputs!$B$67)*(1+Inputs!$B$68)^(AU$7-1)</f>
        <v>-4311.97866666667</v>
      </c>
      <c r="AV124" s="69" t="n">
        <f aca="false">-AV118*Inputs!$B$56/12*1*(1+Inputs!$B$67)*(1+Inputs!$B$68)^(AV$7-1)</f>
        <v>-4311.97866666667</v>
      </c>
      <c r="AW124" s="69" t="n">
        <f aca="false">-AW118*Inputs!$B$56/12*1*(1+Inputs!$B$67)*(1+Inputs!$B$68)^(AW$7-1)</f>
        <v>-4311.97866666667</v>
      </c>
      <c r="AX124" s="69" t="n">
        <f aca="false">-AX118*Inputs!$B$56/12*1*(1+Inputs!$B$67)*(1+Inputs!$B$68)^(AX$7-1)</f>
        <v>-4311.97866666667</v>
      </c>
      <c r="AY124" s="69" t="n">
        <f aca="false">-AY118*Inputs!$B$56/12*1*(1+Inputs!$B$67)*(1+Inputs!$B$68)^(AY$7-1)</f>
        <v>-4484.45781333333</v>
      </c>
      <c r="AZ124" s="69" t="n">
        <f aca="false">-AZ118*Inputs!$B$56/12*1*(1+Inputs!$B$67)*(1+Inputs!$B$68)^(AZ$7-1)</f>
        <v>-4484.45781333333</v>
      </c>
      <c r="BA124" s="69" t="n">
        <f aca="false">-BA118*Inputs!$B$56/12*1*(1+Inputs!$B$67)*(1+Inputs!$B$68)^(BA$7-1)</f>
        <v>-4484.45781333333</v>
      </c>
      <c r="BB124" s="69" t="n">
        <f aca="false">-BB118*Inputs!$B$56/12*1*(1+Inputs!$B$67)*(1+Inputs!$B$68)^(BB$7-1)</f>
        <v>-4484.45781333333</v>
      </c>
      <c r="BC124" s="69" t="n">
        <f aca="false">-BC118*Inputs!$B$56/12*1*(1+Inputs!$B$67)*(1+Inputs!$B$68)^(BC$7-1)</f>
        <v>-4484.45781333333</v>
      </c>
      <c r="BD124" s="69" t="n">
        <f aca="false">-BD118*Inputs!$B$56/12*1*(1+Inputs!$B$67)*(1+Inputs!$B$68)^(BD$7-1)</f>
        <v>-4484.45781333333</v>
      </c>
      <c r="BE124" s="69" t="n">
        <f aca="false">-BE118*Inputs!$B$56/12*1*(1+Inputs!$B$67)*(1+Inputs!$B$68)^(BE$7-1)</f>
        <v>-4484.45781333333</v>
      </c>
      <c r="BF124" s="69" t="n">
        <f aca="false">-BF118*Inputs!$B$56/12*1*(1+Inputs!$B$67)*(1+Inputs!$B$68)^(BF$7-1)</f>
        <v>-4484.45781333333</v>
      </c>
      <c r="BG124" s="69" t="n">
        <f aca="false">-BG118*Inputs!$B$56/12*1*(1+Inputs!$B$67)*(1+Inputs!$B$68)^(BG$7-1)</f>
        <v>-4484.45781333333</v>
      </c>
      <c r="BH124" s="69" t="n">
        <f aca="false">-BH118*Inputs!$B$56/12*1*(1+Inputs!$B$67)*(1+Inputs!$B$68)^(BH$7-1)</f>
        <v>-4484.45781333333</v>
      </c>
      <c r="BI124" s="69" t="n">
        <f aca="false">-BI118*Inputs!$B$56/12*1*(1+Inputs!$B$67)*(1+Inputs!$B$68)^(BI$7-1)</f>
        <v>-4484.45781333333</v>
      </c>
      <c r="BJ124" s="69" t="n">
        <f aca="false">-BJ118*Inputs!$B$56/12*1*(1+Inputs!$B$67)*(1+Inputs!$B$68)^(BJ$7-1)</f>
        <v>-4484.45781333333</v>
      </c>
    </row>
    <row r="125" customFormat="false" ht="15" hidden="false" customHeight="false" outlineLevel="0" collapsed="false">
      <c r="A125" s="6" t="s">
        <v>465</v>
      </c>
      <c r="C125" s="69" t="n">
        <f aca="false">-C119*Inputs!$B$60/12*1*(1+Inputs!$B$67)*(1+Inputs!$B$68)^(C$7-1)</f>
        <v>-9487.5</v>
      </c>
      <c r="D125" s="69" t="n">
        <f aca="false">-D119*Inputs!$B$60/12*1*(1+Inputs!$B$67)*(1+Inputs!$B$68)^(D$7-1)</f>
        <v>-9487.5</v>
      </c>
      <c r="E125" s="69" t="n">
        <f aca="false">-E119*Inputs!$B$60/12*1*(1+Inputs!$B$67)*(1+Inputs!$B$68)^(E$7-1)</f>
        <v>-9487.5</v>
      </c>
      <c r="F125" s="69" t="n">
        <f aca="false">-F119*Inputs!$B$60/12*1*(1+Inputs!$B$67)*(1+Inputs!$B$68)^(F$7-1)</f>
        <v>-9487.5</v>
      </c>
      <c r="G125" s="69" t="n">
        <f aca="false">-G119*Inputs!$B$60/12*1*(1+Inputs!$B$67)*(1+Inputs!$B$68)^(G$7-1)</f>
        <v>-9487.5</v>
      </c>
      <c r="H125" s="69" t="n">
        <f aca="false">-H119*Inputs!$B$60/12*1*(1+Inputs!$B$67)*(1+Inputs!$B$68)^(H$7-1)</f>
        <v>-9487.5</v>
      </c>
      <c r="I125" s="69" t="n">
        <f aca="false">-I119*Inputs!$B$60/12*1*(1+Inputs!$B$67)*(1+Inputs!$B$68)^(I$7-1)</f>
        <v>-9487.5</v>
      </c>
      <c r="J125" s="69" t="n">
        <f aca="false">-J119*Inputs!$B$60/12*1*(1+Inputs!$B$67)*(1+Inputs!$B$68)^(J$7-1)</f>
        <v>-9487.5</v>
      </c>
      <c r="K125" s="69" t="n">
        <f aca="false">-K119*Inputs!$B$60/12*1*(1+Inputs!$B$67)*(1+Inputs!$B$68)^(K$7-1)</f>
        <v>-9487.5</v>
      </c>
      <c r="L125" s="69" t="n">
        <f aca="false">-L119*Inputs!$B$60/12*1*(1+Inputs!$B$67)*(1+Inputs!$B$68)^(L$7-1)</f>
        <v>-9487.5</v>
      </c>
      <c r="M125" s="69" t="n">
        <f aca="false">-M119*Inputs!$B$60/12*1*(1+Inputs!$B$67)*(1+Inputs!$B$68)^(M$7-1)</f>
        <v>-9487.5</v>
      </c>
      <c r="N125" s="69" t="n">
        <f aca="false">-N119*Inputs!$B$60/12*1*(1+Inputs!$B$67)*(1+Inputs!$B$68)^(N$7-1)</f>
        <v>-9487.5</v>
      </c>
      <c r="O125" s="69" t="n">
        <f aca="false">-O119*Inputs!$B$60/12*1*(1+Inputs!$B$67)*(1+Inputs!$B$68)^(O$7-1)</f>
        <v>-9867</v>
      </c>
      <c r="P125" s="69" t="n">
        <f aca="false">-P119*Inputs!$B$60/12*1*(1+Inputs!$B$67)*(1+Inputs!$B$68)^(P$7-1)</f>
        <v>-9867</v>
      </c>
      <c r="Q125" s="69" t="n">
        <f aca="false">-Q119*Inputs!$B$60/12*1*(1+Inputs!$B$67)*(1+Inputs!$B$68)^(Q$7-1)</f>
        <v>-9867</v>
      </c>
      <c r="R125" s="69" t="n">
        <f aca="false">-R119*Inputs!$B$60/12*1*(1+Inputs!$B$67)*(1+Inputs!$B$68)^(R$7-1)</f>
        <v>-9867</v>
      </c>
      <c r="S125" s="69" t="n">
        <f aca="false">-S119*Inputs!$B$60/12*1*(1+Inputs!$B$67)*(1+Inputs!$B$68)^(S$7-1)</f>
        <v>-9867</v>
      </c>
      <c r="T125" s="69" t="n">
        <f aca="false">-T119*Inputs!$B$60/12*1*(1+Inputs!$B$67)*(1+Inputs!$B$68)^(T$7-1)</f>
        <v>-9867</v>
      </c>
      <c r="U125" s="69" t="n">
        <f aca="false">-U119*Inputs!$B$60/12*1*(1+Inputs!$B$67)*(1+Inputs!$B$68)^(U$7-1)</f>
        <v>-9867</v>
      </c>
      <c r="V125" s="69" t="n">
        <f aca="false">-V119*Inputs!$B$60/12*1*(1+Inputs!$B$67)*(1+Inputs!$B$68)^(V$7-1)</f>
        <v>-9867</v>
      </c>
      <c r="W125" s="69" t="n">
        <f aca="false">-W119*Inputs!$B$60/12*1*(1+Inputs!$B$67)*(1+Inputs!$B$68)^(W$7-1)</f>
        <v>-9867</v>
      </c>
      <c r="X125" s="69" t="n">
        <f aca="false">-X119*Inputs!$B$60/12*1*(1+Inputs!$B$67)*(1+Inputs!$B$68)^(X$7-1)</f>
        <v>-9867</v>
      </c>
      <c r="Y125" s="69" t="n">
        <f aca="false">-Y119*Inputs!$B$60/12*1*(1+Inputs!$B$67)*(1+Inputs!$B$68)^(Y$7-1)</f>
        <v>-9867</v>
      </c>
      <c r="Z125" s="69" t="n">
        <f aca="false">-Z119*Inputs!$B$60/12*1*(1+Inputs!$B$67)*(1+Inputs!$B$68)^(Z$7-1)</f>
        <v>-9867</v>
      </c>
      <c r="AA125" s="69" t="n">
        <f aca="false">-AA119*Inputs!$B$60/12*1*(1+Inputs!$B$67)*(1+Inputs!$B$68)^(AA$7-1)</f>
        <v>-10261.68</v>
      </c>
      <c r="AB125" s="69" t="n">
        <f aca="false">-AB119*Inputs!$B$60/12*1*(1+Inputs!$B$67)*(1+Inputs!$B$68)^(AB$7-1)</f>
        <v>-10261.68</v>
      </c>
      <c r="AC125" s="69" t="n">
        <f aca="false">-AC119*Inputs!$B$60/12*1*(1+Inputs!$B$67)*(1+Inputs!$B$68)^(AC$7-1)</f>
        <v>-10261.68</v>
      </c>
      <c r="AD125" s="69" t="n">
        <f aca="false">-AD119*Inputs!$B$60/12*1*(1+Inputs!$B$67)*(1+Inputs!$B$68)^(AD$7-1)</f>
        <v>-10261.68</v>
      </c>
      <c r="AE125" s="69" t="n">
        <f aca="false">-AE119*Inputs!$B$60/12*1*(1+Inputs!$B$67)*(1+Inputs!$B$68)^(AE$7-1)</f>
        <v>-10261.68</v>
      </c>
      <c r="AF125" s="69" t="n">
        <f aca="false">-AF119*Inputs!$B$60/12*1*(1+Inputs!$B$67)*(1+Inputs!$B$68)^(AF$7-1)</f>
        <v>-10261.68</v>
      </c>
      <c r="AG125" s="69" t="n">
        <f aca="false">-AG119*Inputs!$B$60/12*1*(1+Inputs!$B$67)*(1+Inputs!$B$68)^(AG$7-1)</f>
        <v>-10261.68</v>
      </c>
      <c r="AH125" s="69" t="n">
        <f aca="false">-AH119*Inputs!$B$60/12*1*(1+Inputs!$B$67)*(1+Inputs!$B$68)^(AH$7-1)</f>
        <v>-10261.68</v>
      </c>
      <c r="AI125" s="69" t="n">
        <f aca="false">-AI119*Inputs!$B$60/12*1*(1+Inputs!$B$67)*(1+Inputs!$B$68)^(AI$7-1)</f>
        <v>-10261.68</v>
      </c>
      <c r="AJ125" s="69" t="n">
        <f aca="false">-AJ119*Inputs!$B$60/12*1*(1+Inputs!$B$67)*(1+Inputs!$B$68)^(AJ$7-1)</f>
        <v>-10261.68</v>
      </c>
      <c r="AK125" s="69" t="n">
        <f aca="false">-AK119*Inputs!$B$60/12*1*(1+Inputs!$B$67)*(1+Inputs!$B$68)^(AK$7-1)</f>
        <v>-10261.68</v>
      </c>
      <c r="AL125" s="69" t="n">
        <f aca="false">-AL119*Inputs!$B$60/12*1*(1+Inputs!$B$67)*(1+Inputs!$B$68)^(AL$7-1)</f>
        <v>-10261.68</v>
      </c>
      <c r="AM125" s="69" t="n">
        <f aca="false">-AM119*Inputs!$B$60/12*1*(1+Inputs!$B$67)*(1+Inputs!$B$68)^(AM$7-1)</f>
        <v>-10672.1472</v>
      </c>
      <c r="AN125" s="69" t="n">
        <f aca="false">-AN119*Inputs!$B$60/12*1*(1+Inputs!$B$67)*(1+Inputs!$B$68)^(AN$7-1)</f>
        <v>-10672.1472</v>
      </c>
      <c r="AO125" s="69" t="n">
        <f aca="false">-AO119*Inputs!$B$60/12*1*(1+Inputs!$B$67)*(1+Inputs!$B$68)^(AO$7-1)</f>
        <v>-10672.1472</v>
      </c>
      <c r="AP125" s="69" t="n">
        <f aca="false">-AP119*Inputs!$B$60/12*1*(1+Inputs!$B$67)*(1+Inputs!$B$68)^(AP$7-1)</f>
        <v>-10672.1472</v>
      </c>
      <c r="AQ125" s="69" t="n">
        <f aca="false">-AQ119*Inputs!$B$60/12*1*(1+Inputs!$B$67)*(1+Inputs!$B$68)^(AQ$7-1)</f>
        <v>-10672.1472</v>
      </c>
      <c r="AR125" s="69" t="n">
        <f aca="false">-AR119*Inputs!$B$60/12*1*(1+Inputs!$B$67)*(1+Inputs!$B$68)^(AR$7-1)</f>
        <v>-10672.1472</v>
      </c>
      <c r="AS125" s="69" t="n">
        <f aca="false">-AS119*Inputs!$B$60/12*1*(1+Inputs!$B$67)*(1+Inputs!$B$68)^(AS$7-1)</f>
        <v>-10672.1472</v>
      </c>
      <c r="AT125" s="69" t="n">
        <f aca="false">-AT119*Inputs!$B$60/12*1*(1+Inputs!$B$67)*(1+Inputs!$B$68)^(AT$7-1)</f>
        <v>-10672.1472</v>
      </c>
      <c r="AU125" s="69" t="n">
        <f aca="false">-AU119*Inputs!$B$60/12*1*(1+Inputs!$B$67)*(1+Inputs!$B$68)^(AU$7-1)</f>
        <v>-10672.1472</v>
      </c>
      <c r="AV125" s="69" t="n">
        <f aca="false">-AV119*Inputs!$B$60/12*1*(1+Inputs!$B$67)*(1+Inputs!$B$68)^(AV$7-1)</f>
        <v>-10672.1472</v>
      </c>
      <c r="AW125" s="69" t="n">
        <f aca="false">-AW119*Inputs!$B$60/12*1*(1+Inputs!$B$67)*(1+Inputs!$B$68)^(AW$7-1)</f>
        <v>-10672.1472</v>
      </c>
      <c r="AX125" s="69" t="n">
        <f aca="false">-AX119*Inputs!$B$60/12*1*(1+Inputs!$B$67)*(1+Inputs!$B$68)^(AX$7-1)</f>
        <v>-10672.1472</v>
      </c>
      <c r="AY125" s="69" t="n">
        <f aca="false">-AY119*Inputs!$B$60/12*1*(1+Inputs!$B$67)*(1+Inputs!$B$68)^(AY$7-1)</f>
        <v>-11099.033088</v>
      </c>
      <c r="AZ125" s="69" t="n">
        <f aca="false">-AZ119*Inputs!$B$60/12*1*(1+Inputs!$B$67)*(1+Inputs!$B$68)^(AZ$7-1)</f>
        <v>-11099.033088</v>
      </c>
      <c r="BA125" s="69" t="n">
        <f aca="false">-BA119*Inputs!$B$60/12*1*(1+Inputs!$B$67)*(1+Inputs!$B$68)^(BA$7-1)</f>
        <v>-11099.033088</v>
      </c>
      <c r="BB125" s="69" t="n">
        <f aca="false">-BB119*Inputs!$B$60/12*1*(1+Inputs!$B$67)*(1+Inputs!$B$68)^(BB$7-1)</f>
        <v>-11099.033088</v>
      </c>
      <c r="BC125" s="69" t="n">
        <f aca="false">-BC119*Inputs!$B$60/12*1*(1+Inputs!$B$67)*(1+Inputs!$B$68)^(BC$7-1)</f>
        <v>-11099.033088</v>
      </c>
      <c r="BD125" s="69" t="n">
        <f aca="false">-BD119*Inputs!$B$60/12*1*(1+Inputs!$B$67)*(1+Inputs!$B$68)^(BD$7-1)</f>
        <v>-11099.033088</v>
      </c>
      <c r="BE125" s="69" t="n">
        <f aca="false">-BE119*Inputs!$B$60/12*1*(1+Inputs!$B$67)*(1+Inputs!$B$68)^(BE$7-1)</f>
        <v>-11099.033088</v>
      </c>
      <c r="BF125" s="69" t="n">
        <f aca="false">-BF119*Inputs!$B$60/12*1*(1+Inputs!$B$67)*(1+Inputs!$B$68)^(BF$7-1)</f>
        <v>-11099.033088</v>
      </c>
      <c r="BG125" s="69" t="n">
        <f aca="false">-BG119*Inputs!$B$60/12*1*(1+Inputs!$B$67)*(1+Inputs!$B$68)^(BG$7-1)</f>
        <v>-11099.033088</v>
      </c>
      <c r="BH125" s="69" t="n">
        <f aca="false">-BH119*Inputs!$B$60/12*1*(1+Inputs!$B$67)*(1+Inputs!$B$68)^(BH$7-1)</f>
        <v>-11099.033088</v>
      </c>
      <c r="BI125" s="69" t="n">
        <f aca="false">-BI119*Inputs!$B$60/12*1*(1+Inputs!$B$67)*(1+Inputs!$B$68)^(BI$7-1)</f>
        <v>-11099.033088</v>
      </c>
      <c r="BJ125" s="69" t="n">
        <f aca="false">-BJ119*Inputs!$B$60/12*1*(1+Inputs!$B$67)*(1+Inputs!$B$68)^(BJ$7-1)</f>
        <v>-11099.033088</v>
      </c>
    </row>
    <row r="126" customFormat="false" ht="15" hidden="false" customHeight="false" outlineLevel="0" collapsed="false">
      <c r="A126" s="6" t="s">
        <v>466</v>
      </c>
      <c r="C126" s="69" t="n">
        <f aca="false">-C120*Inputs!$B$64/12*1*(1+Inputs!$B$67)*(1+Inputs!$B$68)^(C$7-1)</f>
        <v>-5750</v>
      </c>
      <c r="D126" s="69" t="n">
        <f aca="false">-D120*Inputs!$B$64/12*1*(1+Inputs!$B$67)*(1+Inputs!$B$68)^(D$7-1)</f>
        <v>-5750</v>
      </c>
      <c r="E126" s="69" t="n">
        <f aca="false">-E120*Inputs!$B$64/12*1*(1+Inputs!$B$67)*(1+Inputs!$B$68)^(E$7-1)</f>
        <v>-5750</v>
      </c>
      <c r="F126" s="69" t="n">
        <f aca="false">-F120*Inputs!$B$64/12*1*(1+Inputs!$B$67)*(1+Inputs!$B$68)^(F$7-1)</f>
        <v>-5750</v>
      </c>
      <c r="G126" s="69" t="n">
        <f aca="false">-G120*Inputs!$B$64/12*1*(1+Inputs!$B$67)*(1+Inputs!$B$68)^(G$7-1)</f>
        <v>-5750</v>
      </c>
      <c r="H126" s="69" t="n">
        <f aca="false">-H120*Inputs!$B$64/12*1*(1+Inputs!$B$67)*(1+Inputs!$B$68)^(H$7-1)</f>
        <v>-5750</v>
      </c>
      <c r="I126" s="69" t="n">
        <f aca="false">-I120*Inputs!$B$64/12*1*(1+Inputs!$B$67)*(1+Inputs!$B$68)^(I$7-1)</f>
        <v>-5750</v>
      </c>
      <c r="J126" s="69" t="n">
        <f aca="false">-J120*Inputs!$B$64/12*1*(1+Inputs!$B$67)*(1+Inputs!$B$68)^(J$7-1)</f>
        <v>-5750</v>
      </c>
      <c r="K126" s="69" t="n">
        <f aca="false">-K120*Inputs!$B$64/12*1*(1+Inputs!$B$67)*(1+Inputs!$B$68)^(K$7-1)</f>
        <v>-5750</v>
      </c>
      <c r="L126" s="69" t="n">
        <f aca="false">-L120*Inputs!$B$64/12*1*(1+Inputs!$B$67)*(1+Inputs!$B$68)^(L$7-1)</f>
        <v>-5750</v>
      </c>
      <c r="M126" s="69" t="n">
        <f aca="false">-M120*Inputs!$B$64/12*1*(1+Inputs!$B$67)*(1+Inputs!$B$68)^(M$7-1)</f>
        <v>-5750</v>
      </c>
      <c r="N126" s="69" t="n">
        <f aca="false">-N120*Inputs!$B$64/12*1*(1+Inputs!$B$67)*(1+Inputs!$B$68)^(N$7-1)</f>
        <v>-5750</v>
      </c>
      <c r="O126" s="69" t="n">
        <f aca="false">-O120*Inputs!$B$64/12*1*(1+Inputs!$B$67)*(1+Inputs!$B$68)^(O$7-1)</f>
        <v>-5980</v>
      </c>
      <c r="P126" s="69" t="n">
        <f aca="false">-P120*Inputs!$B$64/12*1*(1+Inputs!$B$67)*(1+Inputs!$B$68)^(P$7-1)</f>
        <v>-5980</v>
      </c>
      <c r="Q126" s="69" t="n">
        <f aca="false">-Q120*Inputs!$B$64/12*1*(1+Inputs!$B$67)*(1+Inputs!$B$68)^(Q$7-1)</f>
        <v>-5980</v>
      </c>
      <c r="R126" s="69" t="n">
        <f aca="false">-R120*Inputs!$B$64/12*1*(1+Inputs!$B$67)*(1+Inputs!$B$68)^(R$7-1)</f>
        <v>-5980</v>
      </c>
      <c r="S126" s="69" t="n">
        <f aca="false">-S120*Inputs!$B$64/12*1*(1+Inputs!$B$67)*(1+Inputs!$B$68)^(S$7-1)</f>
        <v>-5980</v>
      </c>
      <c r="T126" s="69" t="n">
        <f aca="false">-T120*Inputs!$B$64/12*1*(1+Inputs!$B$67)*(1+Inputs!$B$68)^(T$7-1)</f>
        <v>-5980</v>
      </c>
      <c r="U126" s="69" t="n">
        <f aca="false">-U120*Inputs!$B$64/12*1*(1+Inputs!$B$67)*(1+Inputs!$B$68)^(U$7-1)</f>
        <v>-5980</v>
      </c>
      <c r="V126" s="69" t="n">
        <f aca="false">-V120*Inputs!$B$64/12*1*(1+Inputs!$B$67)*(1+Inputs!$B$68)^(V$7-1)</f>
        <v>-5980</v>
      </c>
      <c r="W126" s="69" t="n">
        <f aca="false">-W120*Inputs!$B$64/12*1*(1+Inputs!$B$67)*(1+Inputs!$B$68)^(W$7-1)</f>
        <v>-5980</v>
      </c>
      <c r="X126" s="69" t="n">
        <f aca="false">-X120*Inputs!$B$64/12*1*(1+Inputs!$B$67)*(1+Inputs!$B$68)^(X$7-1)</f>
        <v>-5980</v>
      </c>
      <c r="Y126" s="69" t="n">
        <f aca="false">-Y120*Inputs!$B$64/12*1*(1+Inputs!$B$67)*(1+Inputs!$B$68)^(Y$7-1)</f>
        <v>-5980</v>
      </c>
      <c r="Z126" s="69" t="n">
        <f aca="false">-Z120*Inputs!$B$64/12*1*(1+Inputs!$B$67)*(1+Inputs!$B$68)^(Z$7-1)</f>
        <v>-5980</v>
      </c>
      <c r="AA126" s="69" t="n">
        <f aca="false">-AA120*Inputs!$B$64/12*1*(1+Inputs!$B$67)*(1+Inputs!$B$68)^(AA$7-1)</f>
        <v>-6219.2</v>
      </c>
      <c r="AB126" s="69" t="n">
        <f aca="false">-AB120*Inputs!$B$64/12*1*(1+Inputs!$B$67)*(1+Inputs!$B$68)^(AB$7-1)</f>
        <v>-6219.2</v>
      </c>
      <c r="AC126" s="69" t="n">
        <f aca="false">-AC120*Inputs!$B$64/12*1*(1+Inputs!$B$67)*(1+Inputs!$B$68)^(AC$7-1)</f>
        <v>-6219.2</v>
      </c>
      <c r="AD126" s="69" t="n">
        <f aca="false">-AD120*Inputs!$B$64/12*1*(1+Inputs!$B$67)*(1+Inputs!$B$68)^(AD$7-1)</f>
        <v>-6219.2</v>
      </c>
      <c r="AE126" s="69" t="n">
        <f aca="false">-AE120*Inputs!$B$64/12*1*(1+Inputs!$B$67)*(1+Inputs!$B$68)^(AE$7-1)</f>
        <v>-6219.2</v>
      </c>
      <c r="AF126" s="69" t="n">
        <f aca="false">-AF120*Inputs!$B$64/12*1*(1+Inputs!$B$67)*(1+Inputs!$B$68)^(AF$7-1)</f>
        <v>-6219.2</v>
      </c>
      <c r="AG126" s="69" t="n">
        <f aca="false">-AG120*Inputs!$B$64/12*1*(1+Inputs!$B$67)*(1+Inputs!$B$68)^(AG$7-1)</f>
        <v>-6219.2</v>
      </c>
      <c r="AH126" s="69" t="n">
        <f aca="false">-AH120*Inputs!$B$64/12*1*(1+Inputs!$B$67)*(1+Inputs!$B$68)^(AH$7-1)</f>
        <v>-6219.2</v>
      </c>
      <c r="AI126" s="69" t="n">
        <f aca="false">-AI120*Inputs!$B$64/12*1*(1+Inputs!$B$67)*(1+Inputs!$B$68)^(AI$7-1)</f>
        <v>-6219.2</v>
      </c>
      <c r="AJ126" s="69" t="n">
        <f aca="false">-AJ120*Inputs!$B$64/12*1*(1+Inputs!$B$67)*(1+Inputs!$B$68)^(AJ$7-1)</f>
        <v>-6219.2</v>
      </c>
      <c r="AK126" s="69" t="n">
        <f aca="false">-AK120*Inputs!$B$64/12*1*(1+Inputs!$B$67)*(1+Inputs!$B$68)^(AK$7-1)</f>
        <v>-6219.2</v>
      </c>
      <c r="AL126" s="69" t="n">
        <f aca="false">-AL120*Inputs!$B$64/12*1*(1+Inputs!$B$67)*(1+Inputs!$B$68)^(AL$7-1)</f>
        <v>-6219.2</v>
      </c>
      <c r="AM126" s="69" t="n">
        <f aca="false">-AM120*Inputs!$B$64/12*1*(1+Inputs!$B$67)*(1+Inputs!$B$68)^(AM$7-1)</f>
        <v>-6467.968</v>
      </c>
      <c r="AN126" s="69" t="n">
        <f aca="false">-AN120*Inputs!$B$64/12*1*(1+Inputs!$B$67)*(1+Inputs!$B$68)^(AN$7-1)</f>
        <v>-6467.968</v>
      </c>
      <c r="AO126" s="69" t="n">
        <f aca="false">-AO120*Inputs!$B$64/12*1*(1+Inputs!$B$67)*(1+Inputs!$B$68)^(AO$7-1)</f>
        <v>-6467.968</v>
      </c>
      <c r="AP126" s="69" t="n">
        <f aca="false">-AP120*Inputs!$B$64/12*1*(1+Inputs!$B$67)*(1+Inputs!$B$68)^(AP$7-1)</f>
        <v>-6467.968</v>
      </c>
      <c r="AQ126" s="69" t="n">
        <f aca="false">-AQ120*Inputs!$B$64/12*1*(1+Inputs!$B$67)*(1+Inputs!$B$68)^(AQ$7-1)</f>
        <v>-6467.968</v>
      </c>
      <c r="AR126" s="69" t="n">
        <f aca="false">-AR120*Inputs!$B$64/12*1*(1+Inputs!$B$67)*(1+Inputs!$B$68)^(AR$7-1)</f>
        <v>-6467.968</v>
      </c>
      <c r="AS126" s="69" t="n">
        <f aca="false">-AS120*Inputs!$B$64/12*1*(1+Inputs!$B$67)*(1+Inputs!$B$68)^(AS$7-1)</f>
        <v>-6467.968</v>
      </c>
      <c r="AT126" s="69" t="n">
        <f aca="false">-AT120*Inputs!$B$64/12*1*(1+Inputs!$B$67)*(1+Inputs!$B$68)^(AT$7-1)</f>
        <v>-6467.968</v>
      </c>
      <c r="AU126" s="69" t="n">
        <f aca="false">-AU120*Inputs!$B$64/12*1*(1+Inputs!$B$67)*(1+Inputs!$B$68)^(AU$7-1)</f>
        <v>-6467.968</v>
      </c>
      <c r="AV126" s="69" t="n">
        <f aca="false">-AV120*Inputs!$B$64/12*1*(1+Inputs!$B$67)*(1+Inputs!$B$68)^(AV$7-1)</f>
        <v>-6467.968</v>
      </c>
      <c r="AW126" s="69" t="n">
        <f aca="false">-AW120*Inputs!$B$64/12*1*(1+Inputs!$B$67)*(1+Inputs!$B$68)^(AW$7-1)</f>
        <v>-6467.968</v>
      </c>
      <c r="AX126" s="69" t="n">
        <f aca="false">-AX120*Inputs!$B$64/12*1*(1+Inputs!$B$67)*(1+Inputs!$B$68)^(AX$7-1)</f>
        <v>-6467.968</v>
      </c>
      <c r="AY126" s="69" t="n">
        <f aca="false">-AY120*Inputs!$B$64/12*1*(1+Inputs!$B$67)*(1+Inputs!$B$68)^(AY$7-1)</f>
        <v>-6726.68672</v>
      </c>
      <c r="AZ126" s="69" t="n">
        <f aca="false">-AZ120*Inputs!$B$64/12*1*(1+Inputs!$B$67)*(1+Inputs!$B$68)^(AZ$7-1)</f>
        <v>-6726.68672</v>
      </c>
      <c r="BA126" s="69" t="n">
        <f aca="false">-BA120*Inputs!$B$64/12*1*(1+Inputs!$B$67)*(1+Inputs!$B$68)^(BA$7-1)</f>
        <v>-6726.68672</v>
      </c>
      <c r="BB126" s="69" t="n">
        <f aca="false">-BB120*Inputs!$B$64/12*1*(1+Inputs!$B$67)*(1+Inputs!$B$68)^(BB$7-1)</f>
        <v>-6726.68672</v>
      </c>
      <c r="BC126" s="69" t="n">
        <f aca="false">-BC120*Inputs!$B$64/12*1*(1+Inputs!$B$67)*(1+Inputs!$B$68)^(BC$7-1)</f>
        <v>-6726.68672</v>
      </c>
      <c r="BD126" s="69" t="n">
        <f aca="false">-BD120*Inputs!$B$64/12*1*(1+Inputs!$B$67)*(1+Inputs!$B$68)^(BD$7-1)</f>
        <v>-6726.68672</v>
      </c>
      <c r="BE126" s="69" t="n">
        <f aca="false">-BE120*Inputs!$B$64/12*1*(1+Inputs!$B$67)*(1+Inputs!$B$68)^(BE$7-1)</f>
        <v>-6726.68672</v>
      </c>
      <c r="BF126" s="69" t="n">
        <f aca="false">-BF120*Inputs!$B$64/12*1*(1+Inputs!$B$67)*(1+Inputs!$B$68)^(BF$7-1)</f>
        <v>-6726.68672</v>
      </c>
      <c r="BG126" s="69" t="n">
        <f aca="false">-BG120*Inputs!$B$64/12*1*(1+Inputs!$B$67)*(1+Inputs!$B$68)^(BG$7-1)</f>
        <v>-6726.68672</v>
      </c>
      <c r="BH126" s="69" t="n">
        <f aca="false">-BH120*Inputs!$B$64/12*1*(1+Inputs!$B$67)*(1+Inputs!$B$68)^(BH$7-1)</f>
        <v>-6726.68672</v>
      </c>
      <c r="BI126" s="69" t="n">
        <f aca="false">-BI120*Inputs!$B$64/12*1*(1+Inputs!$B$67)*(1+Inputs!$B$68)^(BI$7-1)</f>
        <v>-6726.68672</v>
      </c>
      <c r="BJ126" s="69" t="n">
        <f aca="false">-BJ120*Inputs!$B$64/12*1*(1+Inputs!$B$67)*(1+Inputs!$B$68)^(BJ$7-1)</f>
        <v>-6726.68672</v>
      </c>
    </row>
    <row r="127" customFormat="false" ht="15" hidden="false" customHeight="false" outlineLevel="0" collapsed="false">
      <c r="A127" s="115" t="s">
        <v>467</v>
      </c>
      <c r="C127" s="70" t="n">
        <f aca="false">C124+C125+C126</f>
        <v>-19070.8333333333</v>
      </c>
      <c r="D127" s="70" t="n">
        <f aca="false">D124+D125+D126</f>
        <v>-19070.8333333333</v>
      </c>
      <c r="E127" s="70" t="n">
        <f aca="false">E124+E125+E126</f>
        <v>-19070.8333333333</v>
      </c>
      <c r="F127" s="70" t="n">
        <f aca="false">F124+F125+F126</f>
        <v>-19070.8333333333</v>
      </c>
      <c r="G127" s="70" t="n">
        <f aca="false">G124+G125+G126</f>
        <v>-19070.8333333333</v>
      </c>
      <c r="H127" s="70" t="n">
        <f aca="false">H124+H125+H126</f>
        <v>-19070.8333333333</v>
      </c>
      <c r="I127" s="70" t="n">
        <f aca="false">I124+I125+I126</f>
        <v>-19070.8333333333</v>
      </c>
      <c r="J127" s="70" t="n">
        <f aca="false">J124+J125+J126</f>
        <v>-19070.8333333333</v>
      </c>
      <c r="K127" s="70" t="n">
        <f aca="false">K124+K125+K126</f>
        <v>-19070.8333333333</v>
      </c>
      <c r="L127" s="70" t="n">
        <f aca="false">L124+L125+L126</f>
        <v>-19070.8333333333</v>
      </c>
      <c r="M127" s="70" t="n">
        <f aca="false">M124+M125+M126</f>
        <v>-19070.8333333333</v>
      </c>
      <c r="N127" s="70" t="n">
        <f aca="false">N124+N125+N126</f>
        <v>-19070.8333333333</v>
      </c>
      <c r="O127" s="70" t="n">
        <f aca="false">O124+O125+O126</f>
        <v>-19833.6666666667</v>
      </c>
      <c r="P127" s="70" t="n">
        <f aca="false">P124+P125+P126</f>
        <v>-19833.6666666667</v>
      </c>
      <c r="Q127" s="70" t="n">
        <f aca="false">Q124+Q125+Q126</f>
        <v>-19833.6666666667</v>
      </c>
      <c r="R127" s="70" t="n">
        <f aca="false">R124+R125+R126</f>
        <v>-19833.6666666667</v>
      </c>
      <c r="S127" s="70" t="n">
        <f aca="false">S124+S125+S126</f>
        <v>-19833.6666666667</v>
      </c>
      <c r="T127" s="70" t="n">
        <f aca="false">T124+T125+T126</f>
        <v>-19833.6666666667</v>
      </c>
      <c r="U127" s="70" t="n">
        <f aca="false">U124+U125+U126</f>
        <v>-19833.6666666667</v>
      </c>
      <c r="V127" s="70" t="n">
        <f aca="false">V124+V125+V126</f>
        <v>-19833.6666666667</v>
      </c>
      <c r="W127" s="70" t="n">
        <f aca="false">W124+W125+W126</f>
        <v>-19833.6666666667</v>
      </c>
      <c r="X127" s="70" t="n">
        <f aca="false">X124+X125+X126</f>
        <v>-19833.6666666667</v>
      </c>
      <c r="Y127" s="70" t="n">
        <f aca="false">Y124+Y125+Y126</f>
        <v>-19833.6666666667</v>
      </c>
      <c r="Z127" s="70" t="n">
        <f aca="false">Z124+Z125+Z126</f>
        <v>-19833.6666666667</v>
      </c>
      <c r="AA127" s="70" t="n">
        <f aca="false">AA124+AA125+AA126</f>
        <v>-20627.0133333333</v>
      </c>
      <c r="AB127" s="70" t="n">
        <f aca="false">AB124+AB125+AB126</f>
        <v>-20627.0133333333</v>
      </c>
      <c r="AC127" s="70" t="n">
        <f aca="false">AC124+AC125+AC126</f>
        <v>-20627.0133333333</v>
      </c>
      <c r="AD127" s="70" t="n">
        <f aca="false">AD124+AD125+AD126</f>
        <v>-20627.0133333333</v>
      </c>
      <c r="AE127" s="70" t="n">
        <f aca="false">AE124+AE125+AE126</f>
        <v>-20627.0133333333</v>
      </c>
      <c r="AF127" s="70" t="n">
        <f aca="false">AF124+AF125+AF126</f>
        <v>-20627.0133333333</v>
      </c>
      <c r="AG127" s="70" t="n">
        <f aca="false">AG124+AG125+AG126</f>
        <v>-20627.0133333333</v>
      </c>
      <c r="AH127" s="70" t="n">
        <f aca="false">AH124+AH125+AH126</f>
        <v>-20627.0133333333</v>
      </c>
      <c r="AI127" s="70" t="n">
        <f aca="false">AI124+AI125+AI126</f>
        <v>-20627.0133333333</v>
      </c>
      <c r="AJ127" s="70" t="n">
        <f aca="false">AJ124+AJ125+AJ126</f>
        <v>-20627.0133333333</v>
      </c>
      <c r="AK127" s="70" t="n">
        <f aca="false">AK124+AK125+AK126</f>
        <v>-20627.0133333333</v>
      </c>
      <c r="AL127" s="70" t="n">
        <f aca="false">AL124+AL125+AL126</f>
        <v>-20627.0133333333</v>
      </c>
      <c r="AM127" s="70" t="n">
        <f aca="false">AM124+AM125+AM126</f>
        <v>-21452.0938666667</v>
      </c>
      <c r="AN127" s="70" t="n">
        <f aca="false">AN124+AN125+AN126</f>
        <v>-21452.0938666667</v>
      </c>
      <c r="AO127" s="70" t="n">
        <f aca="false">AO124+AO125+AO126</f>
        <v>-21452.0938666667</v>
      </c>
      <c r="AP127" s="70" t="n">
        <f aca="false">AP124+AP125+AP126</f>
        <v>-21452.0938666667</v>
      </c>
      <c r="AQ127" s="70" t="n">
        <f aca="false">AQ124+AQ125+AQ126</f>
        <v>-21452.0938666667</v>
      </c>
      <c r="AR127" s="70" t="n">
        <f aca="false">AR124+AR125+AR126</f>
        <v>-21452.0938666667</v>
      </c>
      <c r="AS127" s="70" t="n">
        <f aca="false">AS124+AS125+AS126</f>
        <v>-21452.0938666667</v>
      </c>
      <c r="AT127" s="70" t="n">
        <f aca="false">AT124+AT125+AT126</f>
        <v>-21452.0938666667</v>
      </c>
      <c r="AU127" s="70" t="n">
        <f aca="false">AU124+AU125+AU126</f>
        <v>-21452.0938666667</v>
      </c>
      <c r="AV127" s="70" t="n">
        <f aca="false">AV124+AV125+AV126</f>
        <v>-21452.0938666667</v>
      </c>
      <c r="AW127" s="70" t="n">
        <f aca="false">AW124+AW125+AW126</f>
        <v>-21452.0938666667</v>
      </c>
      <c r="AX127" s="70" t="n">
        <f aca="false">AX124+AX125+AX126</f>
        <v>-21452.0938666667</v>
      </c>
      <c r="AY127" s="70" t="n">
        <f aca="false">AY124+AY125+AY126</f>
        <v>-22310.1776213333</v>
      </c>
      <c r="AZ127" s="70" t="n">
        <f aca="false">AZ124+AZ125+AZ126</f>
        <v>-22310.1776213333</v>
      </c>
      <c r="BA127" s="70" t="n">
        <f aca="false">BA124+BA125+BA126</f>
        <v>-22310.1776213333</v>
      </c>
      <c r="BB127" s="70" t="n">
        <f aca="false">BB124+BB125+BB126</f>
        <v>-22310.1776213333</v>
      </c>
      <c r="BC127" s="70" t="n">
        <f aca="false">BC124+BC125+BC126</f>
        <v>-22310.1776213333</v>
      </c>
      <c r="BD127" s="70" t="n">
        <f aca="false">BD124+BD125+BD126</f>
        <v>-22310.1776213333</v>
      </c>
      <c r="BE127" s="70" t="n">
        <f aca="false">BE124+BE125+BE126</f>
        <v>-22310.1776213333</v>
      </c>
      <c r="BF127" s="70" t="n">
        <f aca="false">BF124+BF125+BF126</f>
        <v>-22310.1776213333</v>
      </c>
      <c r="BG127" s="70" t="n">
        <f aca="false">BG124+BG125+BG126</f>
        <v>-22310.1776213333</v>
      </c>
      <c r="BH127" s="70" t="n">
        <f aca="false">BH124+BH125+BH126</f>
        <v>-22310.1776213333</v>
      </c>
      <c r="BI127" s="70" t="n">
        <f aca="false">BI124+BI125+BI126</f>
        <v>-22310.1776213333</v>
      </c>
      <c r="BJ127" s="70" t="n">
        <f aca="false">BJ124+BJ125+BJ126</f>
        <v>-22310.1776213333</v>
      </c>
    </row>
    <row r="130" customFormat="false" ht="15.75" hidden="false" customHeight="true" outlineLevel="0" collapsed="false">
      <c r="A130" s="7" t="s">
        <v>471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customFormat="false" ht="15" hidden="false" customHeight="false" outlineLevel="0" collapsed="false">
      <c r="A131" s="33" t="s">
        <v>351</v>
      </c>
      <c r="C131" s="52" t="s">
        <v>352</v>
      </c>
      <c r="D131" s="52" t="s">
        <v>353</v>
      </c>
      <c r="E131" s="52" t="s">
        <v>354</v>
      </c>
      <c r="F131" s="52" t="s">
        <v>355</v>
      </c>
      <c r="G131" s="52" t="s">
        <v>356</v>
      </c>
      <c r="H131" s="52" t="s">
        <v>357</v>
      </c>
      <c r="I131" s="52" t="s">
        <v>358</v>
      </c>
      <c r="J131" s="52" t="s">
        <v>359</v>
      </c>
      <c r="K131" s="52" t="s">
        <v>360</v>
      </c>
      <c r="L131" s="52" t="s">
        <v>361</v>
      </c>
      <c r="M131" s="52" t="s">
        <v>362</v>
      </c>
      <c r="N131" s="52" t="s">
        <v>363</v>
      </c>
      <c r="O131" s="52" t="s">
        <v>364</v>
      </c>
      <c r="P131" s="52" t="s">
        <v>365</v>
      </c>
      <c r="Q131" s="52" t="s">
        <v>366</v>
      </c>
      <c r="R131" s="52" t="s">
        <v>367</v>
      </c>
      <c r="S131" s="52" t="s">
        <v>368</v>
      </c>
      <c r="T131" s="52" t="s">
        <v>369</v>
      </c>
      <c r="U131" s="52" t="s">
        <v>370</v>
      </c>
      <c r="V131" s="52" t="s">
        <v>371</v>
      </c>
      <c r="W131" s="52" t="s">
        <v>372</v>
      </c>
      <c r="X131" s="52" t="s">
        <v>373</v>
      </c>
      <c r="Y131" s="52" t="s">
        <v>374</v>
      </c>
      <c r="Z131" s="52" t="s">
        <v>375</v>
      </c>
      <c r="AA131" s="52" t="s">
        <v>376</v>
      </c>
      <c r="AB131" s="52" t="s">
        <v>377</v>
      </c>
      <c r="AC131" s="52" t="s">
        <v>378</v>
      </c>
      <c r="AD131" s="52" t="s">
        <v>379</v>
      </c>
      <c r="AE131" s="52" t="s">
        <v>380</v>
      </c>
      <c r="AF131" s="52" t="s">
        <v>381</v>
      </c>
      <c r="AG131" s="52" t="s">
        <v>382</v>
      </c>
      <c r="AH131" s="52" t="s">
        <v>383</v>
      </c>
      <c r="AI131" s="52" t="s">
        <v>384</v>
      </c>
      <c r="AJ131" s="52" t="s">
        <v>385</v>
      </c>
      <c r="AK131" s="52" t="s">
        <v>386</v>
      </c>
      <c r="AL131" s="52" t="s">
        <v>387</v>
      </c>
      <c r="AM131" s="52" t="s">
        <v>388</v>
      </c>
      <c r="AN131" s="52" t="s">
        <v>389</v>
      </c>
      <c r="AO131" s="52" t="s">
        <v>390</v>
      </c>
      <c r="AP131" s="52" t="s">
        <v>391</v>
      </c>
      <c r="AQ131" s="52" t="s">
        <v>392</v>
      </c>
      <c r="AR131" s="52" t="s">
        <v>393</v>
      </c>
      <c r="AS131" s="52" t="s">
        <v>394</v>
      </c>
      <c r="AT131" s="52" t="s">
        <v>395</v>
      </c>
      <c r="AU131" s="52" t="s">
        <v>396</v>
      </c>
      <c r="AV131" s="52" t="s">
        <v>397</v>
      </c>
      <c r="AW131" s="52" t="s">
        <v>398</v>
      </c>
      <c r="AX131" s="52" t="s">
        <v>399</v>
      </c>
      <c r="AY131" s="52" t="s">
        <v>400</v>
      </c>
      <c r="AZ131" s="52" t="s">
        <v>401</v>
      </c>
      <c r="BA131" s="52" t="s">
        <v>402</v>
      </c>
      <c r="BB131" s="52" t="s">
        <v>403</v>
      </c>
      <c r="BC131" s="52" t="s">
        <v>404</v>
      </c>
      <c r="BD131" s="52" t="s">
        <v>405</v>
      </c>
      <c r="BE131" s="52" t="s">
        <v>406</v>
      </c>
      <c r="BF131" s="52" t="s">
        <v>407</v>
      </c>
      <c r="BG131" s="52" t="s">
        <v>408</v>
      </c>
      <c r="BH131" s="52" t="s">
        <v>409</v>
      </c>
      <c r="BI131" s="52" t="s">
        <v>410</v>
      </c>
      <c r="BJ131" s="52" t="s">
        <v>411</v>
      </c>
    </row>
    <row r="132" customFormat="false" ht="15" hidden="false" customHeight="false" outlineLevel="0" collapsed="false">
      <c r="A132" s="74" t="s">
        <v>412</v>
      </c>
      <c r="C132" s="74" t="n">
        <v>1</v>
      </c>
      <c r="D132" s="74" t="n">
        <v>2</v>
      </c>
      <c r="E132" s="74" t="n">
        <v>3</v>
      </c>
      <c r="F132" s="74" t="n">
        <v>4</v>
      </c>
      <c r="G132" s="74" t="n">
        <v>5</v>
      </c>
      <c r="H132" s="74" t="n">
        <v>6</v>
      </c>
      <c r="I132" s="74" t="n">
        <v>7</v>
      </c>
      <c r="J132" s="74" t="n">
        <v>8</v>
      </c>
      <c r="K132" s="74" t="n">
        <v>9</v>
      </c>
      <c r="L132" s="74" t="n">
        <v>10</v>
      </c>
      <c r="M132" s="74" t="n">
        <v>11</v>
      </c>
      <c r="N132" s="74" t="n">
        <v>12</v>
      </c>
      <c r="O132" s="74" t="n">
        <v>13</v>
      </c>
      <c r="P132" s="74" t="n">
        <v>14</v>
      </c>
      <c r="Q132" s="74" t="n">
        <v>15</v>
      </c>
      <c r="R132" s="74" t="n">
        <v>16</v>
      </c>
      <c r="S132" s="74" t="n">
        <v>17</v>
      </c>
      <c r="T132" s="74" t="n">
        <v>18</v>
      </c>
      <c r="U132" s="74" t="n">
        <v>19</v>
      </c>
      <c r="V132" s="74" t="n">
        <v>20</v>
      </c>
      <c r="W132" s="74" t="n">
        <v>21</v>
      </c>
      <c r="X132" s="74" t="n">
        <v>22</v>
      </c>
      <c r="Y132" s="74" t="n">
        <v>23</v>
      </c>
      <c r="Z132" s="74" t="n">
        <v>24</v>
      </c>
      <c r="AA132" s="74" t="n">
        <v>25</v>
      </c>
      <c r="AB132" s="74" t="n">
        <v>26</v>
      </c>
      <c r="AC132" s="74" t="n">
        <v>27</v>
      </c>
      <c r="AD132" s="74" t="n">
        <v>28</v>
      </c>
      <c r="AE132" s="74" t="n">
        <v>29</v>
      </c>
      <c r="AF132" s="74" t="n">
        <v>30</v>
      </c>
      <c r="AG132" s="74" t="n">
        <v>31</v>
      </c>
      <c r="AH132" s="74" t="n">
        <v>32</v>
      </c>
      <c r="AI132" s="74" t="n">
        <v>33</v>
      </c>
      <c r="AJ132" s="74" t="n">
        <v>34</v>
      </c>
      <c r="AK132" s="74" t="n">
        <v>35</v>
      </c>
      <c r="AL132" s="74" t="n">
        <v>36</v>
      </c>
      <c r="AM132" s="74" t="n">
        <v>37</v>
      </c>
      <c r="AN132" s="74" t="n">
        <v>38</v>
      </c>
      <c r="AO132" s="74" t="n">
        <v>39</v>
      </c>
      <c r="AP132" s="74" t="n">
        <v>40</v>
      </c>
      <c r="AQ132" s="74" t="n">
        <v>41</v>
      </c>
      <c r="AR132" s="74" t="n">
        <v>42</v>
      </c>
      <c r="AS132" s="74" t="n">
        <v>43</v>
      </c>
      <c r="AT132" s="74" t="n">
        <v>44</v>
      </c>
      <c r="AU132" s="74" t="n">
        <v>45</v>
      </c>
      <c r="AV132" s="74" t="n">
        <v>46</v>
      </c>
      <c r="AW132" s="74" t="n">
        <v>47</v>
      </c>
      <c r="AX132" s="74" t="n">
        <v>48</v>
      </c>
      <c r="AY132" s="74" t="n">
        <v>49</v>
      </c>
      <c r="AZ132" s="74" t="n">
        <v>50</v>
      </c>
      <c r="BA132" s="74" t="n">
        <v>51</v>
      </c>
      <c r="BB132" s="74" t="n">
        <v>52</v>
      </c>
      <c r="BC132" s="74" t="n">
        <v>53</v>
      </c>
      <c r="BD132" s="74" t="n">
        <v>54</v>
      </c>
      <c r="BE132" s="74" t="n">
        <v>55</v>
      </c>
      <c r="BF132" s="74" t="n">
        <v>56</v>
      </c>
      <c r="BG132" s="74" t="n">
        <v>57</v>
      </c>
      <c r="BH132" s="74" t="n">
        <v>58</v>
      </c>
      <c r="BI132" s="74" t="n">
        <v>59</v>
      </c>
      <c r="BJ132" s="74" t="n">
        <v>60</v>
      </c>
    </row>
    <row r="133" customFormat="false" ht="15" hidden="false" customHeight="false" outlineLevel="0" collapsed="false">
      <c r="A133" s="74" t="s">
        <v>154</v>
      </c>
      <c r="C133" s="74" t="n">
        <f aca="false">ROUNDUP(C132*1/12,0)</f>
        <v>1</v>
      </c>
      <c r="D133" s="74" t="n">
        <f aca="false">ROUNDUP(D132*1/12,0)</f>
        <v>1</v>
      </c>
      <c r="E133" s="74" t="n">
        <f aca="false">ROUNDUP(E132*1/12,0)</f>
        <v>1</v>
      </c>
      <c r="F133" s="74" t="n">
        <f aca="false">ROUNDUP(F132*1/12,0)</f>
        <v>1</v>
      </c>
      <c r="G133" s="74" t="n">
        <f aca="false">ROUNDUP(G132*1/12,0)</f>
        <v>1</v>
      </c>
      <c r="H133" s="74" t="n">
        <f aca="false">ROUNDUP(H132*1/12,0)</f>
        <v>1</v>
      </c>
      <c r="I133" s="74" t="n">
        <f aca="false">ROUNDUP(I132*1/12,0)</f>
        <v>1</v>
      </c>
      <c r="J133" s="74" t="n">
        <f aca="false">ROUNDUP(J132*1/12,0)</f>
        <v>1</v>
      </c>
      <c r="K133" s="74" t="n">
        <f aca="false">ROUNDUP(K132*1/12,0)</f>
        <v>1</v>
      </c>
      <c r="L133" s="74" t="n">
        <f aca="false">ROUNDUP(L132*1/12,0)</f>
        <v>1</v>
      </c>
      <c r="M133" s="74" t="n">
        <f aca="false">ROUNDUP(M132*1/12,0)</f>
        <v>1</v>
      </c>
      <c r="N133" s="74" t="n">
        <f aca="false">ROUNDUP(N132*1/12,0)</f>
        <v>1</v>
      </c>
      <c r="O133" s="74" t="n">
        <f aca="false">ROUNDUP(O132*1/12,0)</f>
        <v>2</v>
      </c>
      <c r="P133" s="74" t="n">
        <f aca="false">ROUNDUP(P132*1/12,0)</f>
        <v>2</v>
      </c>
      <c r="Q133" s="74" t="n">
        <f aca="false">ROUNDUP(Q132*1/12,0)</f>
        <v>2</v>
      </c>
      <c r="R133" s="74" t="n">
        <f aca="false">ROUNDUP(R132*1/12,0)</f>
        <v>2</v>
      </c>
      <c r="S133" s="74" t="n">
        <f aca="false">ROUNDUP(S132*1/12,0)</f>
        <v>2</v>
      </c>
      <c r="T133" s="74" t="n">
        <f aca="false">ROUNDUP(T132*1/12,0)</f>
        <v>2</v>
      </c>
      <c r="U133" s="74" t="n">
        <f aca="false">ROUNDUP(U132*1/12,0)</f>
        <v>2</v>
      </c>
      <c r="V133" s="74" t="n">
        <f aca="false">ROUNDUP(V132*1/12,0)</f>
        <v>2</v>
      </c>
      <c r="W133" s="74" t="n">
        <f aca="false">ROUNDUP(W132*1/12,0)</f>
        <v>2</v>
      </c>
      <c r="X133" s="74" t="n">
        <f aca="false">ROUNDUP(X132*1/12,0)</f>
        <v>2</v>
      </c>
      <c r="Y133" s="74" t="n">
        <f aca="false">ROUNDUP(Y132*1/12,0)</f>
        <v>2</v>
      </c>
      <c r="Z133" s="74" t="n">
        <f aca="false">ROUNDUP(Z132*1/12,0)</f>
        <v>2</v>
      </c>
      <c r="AA133" s="74" t="n">
        <f aca="false">ROUNDUP(AA132*1/12,0)</f>
        <v>3</v>
      </c>
      <c r="AB133" s="74" t="n">
        <f aca="false">ROUNDUP(AB132*1/12,0)</f>
        <v>3</v>
      </c>
      <c r="AC133" s="74" t="n">
        <f aca="false">ROUNDUP(AC132*1/12,0)</f>
        <v>3</v>
      </c>
      <c r="AD133" s="74" t="n">
        <f aca="false">ROUNDUP(AD132*1/12,0)</f>
        <v>3</v>
      </c>
      <c r="AE133" s="74" t="n">
        <f aca="false">ROUNDUP(AE132*1/12,0)</f>
        <v>3</v>
      </c>
      <c r="AF133" s="74" t="n">
        <f aca="false">ROUNDUP(AF132*1/12,0)</f>
        <v>3</v>
      </c>
      <c r="AG133" s="74" t="n">
        <f aca="false">ROUNDUP(AG132*1/12,0)</f>
        <v>3</v>
      </c>
      <c r="AH133" s="74" t="n">
        <f aca="false">ROUNDUP(AH132*1/12,0)</f>
        <v>3</v>
      </c>
      <c r="AI133" s="74" t="n">
        <f aca="false">ROUNDUP(AI132*1/12,0)</f>
        <v>3</v>
      </c>
      <c r="AJ133" s="74" t="n">
        <f aca="false">ROUNDUP(AJ132*1/12,0)</f>
        <v>3</v>
      </c>
      <c r="AK133" s="74" t="n">
        <f aca="false">ROUNDUP(AK132*1/12,0)</f>
        <v>3</v>
      </c>
      <c r="AL133" s="74" t="n">
        <f aca="false">ROUNDUP(AL132*1/12,0)</f>
        <v>3</v>
      </c>
      <c r="AM133" s="74" t="n">
        <f aca="false">ROUNDUP(AM132*1/12,0)</f>
        <v>4</v>
      </c>
      <c r="AN133" s="74" t="n">
        <f aca="false">ROUNDUP(AN132*1/12,0)</f>
        <v>4</v>
      </c>
      <c r="AO133" s="74" t="n">
        <f aca="false">ROUNDUP(AO132*1/12,0)</f>
        <v>4</v>
      </c>
      <c r="AP133" s="74" t="n">
        <f aca="false">ROUNDUP(AP132*1/12,0)</f>
        <v>4</v>
      </c>
      <c r="AQ133" s="74" t="n">
        <f aca="false">ROUNDUP(AQ132*1/12,0)</f>
        <v>4</v>
      </c>
      <c r="AR133" s="74" t="n">
        <f aca="false">ROUNDUP(AR132*1/12,0)</f>
        <v>4</v>
      </c>
      <c r="AS133" s="74" t="n">
        <f aca="false">ROUNDUP(AS132*1/12,0)</f>
        <v>4</v>
      </c>
      <c r="AT133" s="74" t="n">
        <f aca="false">ROUNDUP(AT132*1/12,0)</f>
        <v>4</v>
      </c>
      <c r="AU133" s="74" t="n">
        <f aca="false">ROUNDUP(AU132*1/12,0)</f>
        <v>4</v>
      </c>
      <c r="AV133" s="74" t="n">
        <f aca="false">ROUNDUP(AV132*1/12,0)</f>
        <v>4</v>
      </c>
      <c r="AW133" s="74" t="n">
        <f aca="false">ROUNDUP(AW132*1/12,0)</f>
        <v>4</v>
      </c>
      <c r="AX133" s="74" t="n">
        <f aca="false">ROUNDUP(AX132*1/12,0)</f>
        <v>4</v>
      </c>
      <c r="AY133" s="74" t="n">
        <f aca="false">ROUNDUP(AY132*1/12,0)</f>
        <v>5</v>
      </c>
      <c r="AZ133" s="74" t="n">
        <f aca="false">ROUNDUP(AZ132*1/12,0)</f>
        <v>5</v>
      </c>
      <c r="BA133" s="74" t="n">
        <f aca="false">ROUNDUP(BA132*1/12,0)</f>
        <v>5</v>
      </c>
      <c r="BB133" s="74" t="n">
        <f aca="false">ROUNDUP(BB132*1/12,0)</f>
        <v>5</v>
      </c>
      <c r="BC133" s="74" t="n">
        <f aca="false">ROUNDUP(BC132*1/12,0)</f>
        <v>5</v>
      </c>
      <c r="BD133" s="74" t="n">
        <f aca="false">ROUNDUP(BD132*1/12,0)</f>
        <v>5</v>
      </c>
      <c r="BE133" s="74" t="n">
        <f aca="false">ROUNDUP(BE132*1/12,0)</f>
        <v>5</v>
      </c>
      <c r="BF133" s="74" t="n">
        <f aca="false">ROUNDUP(BF132*1/12,0)</f>
        <v>5</v>
      </c>
      <c r="BG133" s="74" t="n">
        <f aca="false">ROUNDUP(BG132*1/12,0)</f>
        <v>5</v>
      </c>
      <c r="BH133" s="74" t="n">
        <f aca="false">ROUNDUP(BH132*1/12,0)</f>
        <v>5</v>
      </c>
      <c r="BI133" s="74" t="n">
        <f aca="false">ROUNDUP(BI132*1/12,0)</f>
        <v>5</v>
      </c>
      <c r="BJ133" s="74" t="n">
        <f aca="false">ROUNDUP(BJ132*1/12,0)</f>
        <v>5</v>
      </c>
    </row>
    <row r="135" customFormat="false" ht="15.75" hidden="false" customHeight="true" outlineLevel="0" collapsed="false">
      <c r="A135" s="7" t="s">
        <v>249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118" t="s">
        <v>413</v>
      </c>
      <c r="C136" s="119" t="n">
        <f aca="false">MAX(0,MIN(1,Inputs!$C$10-(C$132-1)*1))</f>
        <v>1</v>
      </c>
      <c r="D136" s="119" t="n">
        <f aca="false">MAX(0,MIN(1,Inputs!$C$10-(D$132-1)*1))</f>
        <v>1</v>
      </c>
      <c r="E136" s="119" t="n">
        <f aca="false">MAX(0,MIN(1,Inputs!$C$10-(E$132-1)*1))</f>
        <v>1</v>
      </c>
      <c r="F136" s="119" t="n">
        <f aca="false">MAX(0,MIN(1,Inputs!$C$10-(F$132-1)*1))</f>
        <v>1</v>
      </c>
      <c r="G136" s="119" t="n">
        <f aca="false">MAX(0,MIN(1,Inputs!$C$10-(G$132-1)*1))</f>
        <v>1</v>
      </c>
      <c r="H136" s="119" t="n">
        <f aca="false">MAX(0,MIN(1,Inputs!$C$10-(H$132-1)*1))</f>
        <v>1</v>
      </c>
      <c r="I136" s="119" t="n">
        <f aca="false">MAX(0,MIN(1,Inputs!$C$10-(I$132-1)*1))</f>
        <v>1</v>
      </c>
      <c r="J136" s="119" t="n">
        <f aca="false">MAX(0,MIN(1,Inputs!$C$10-(J$132-1)*1))</f>
        <v>1</v>
      </c>
      <c r="K136" s="119" t="n">
        <f aca="false">MAX(0,MIN(1,Inputs!$C$10-(K$132-1)*1))</f>
        <v>1</v>
      </c>
      <c r="L136" s="119" t="n">
        <f aca="false">MAX(0,MIN(1,Inputs!$C$10-(L$132-1)*1))</f>
        <v>1</v>
      </c>
      <c r="M136" s="119" t="n">
        <f aca="false">MAX(0,MIN(1,Inputs!$C$10-(M$132-1)*1))</f>
        <v>0</v>
      </c>
      <c r="N136" s="119" t="n">
        <f aca="false">MAX(0,MIN(1,Inputs!$C$10-(N$132-1)*1))</f>
        <v>0</v>
      </c>
      <c r="O136" s="119" t="n">
        <f aca="false">MAX(0,MIN(1,Inputs!$C$10-(O$132-1)*1))</f>
        <v>0</v>
      </c>
      <c r="P136" s="119" t="n">
        <f aca="false">MAX(0,MIN(1,Inputs!$C$10-(P$132-1)*1))</f>
        <v>0</v>
      </c>
      <c r="Q136" s="119" t="n">
        <f aca="false">MAX(0,MIN(1,Inputs!$C$10-(Q$132-1)*1))</f>
        <v>0</v>
      </c>
      <c r="R136" s="119" t="n">
        <f aca="false">MAX(0,MIN(1,Inputs!$C$10-(R$132-1)*1))</f>
        <v>0</v>
      </c>
      <c r="S136" s="119" t="n">
        <f aca="false">MAX(0,MIN(1,Inputs!$C$10-(S$132-1)*1))</f>
        <v>0</v>
      </c>
      <c r="T136" s="119" t="n">
        <f aca="false">MAX(0,MIN(1,Inputs!$C$10-(T$132-1)*1))</f>
        <v>0</v>
      </c>
      <c r="U136" s="119" t="n">
        <f aca="false">MAX(0,MIN(1,Inputs!$C$10-(U$132-1)*1))</f>
        <v>0</v>
      </c>
      <c r="V136" s="119" t="n">
        <f aca="false">MAX(0,MIN(1,Inputs!$C$10-(V$132-1)*1))</f>
        <v>0</v>
      </c>
      <c r="W136" s="119" t="n">
        <f aca="false">MAX(0,MIN(1,Inputs!$C$10-(W$132-1)*1))</f>
        <v>0</v>
      </c>
      <c r="X136" s="119" t="n">
        <f aca="false">MAX(0,MIN(1,Inputs!$C$10-(X$132-1)*1))</f>
        <v>0</v>
      </c>
      <c r="Y136" s="119" t="n">
        <f aca="false">MAX(0,MIN(1,Inputs!$C$10-(Y$132-1)*1))</f>
        <v>0</v>
      </c>
      <c r="Z136" s="119" t="n">
        <f aca="false">MAX(0,MIN(1,Inputs!$C$10-(Z$132-1)*1))</f>
        <v>0</v>
      </c>
      <c r="AA136" s="119" t="n">
        <f aca="false">MAX(0,MIN(1,Inputs!$C$10-(AA$132-1)*1))</f>
        <v>0</v>
      </c>
      <c r="AB136" s="119" t="n">
        <f aca="false">MAX(0,MIN(1,Inputs!$C$10-(AB$132-1)*1))</f>
        <v>0</v>
      </c>
      <c r="AC136" s="119" t="n">
        <f aca="false">MAX(0,MIN(1,Inputs!$C$10-(AC$132-1)*1))</f>
        <v>0</v>
      </c>
      <c r="AD136" s="119" t="n">
        <f aca="false">MAX(0,MIN(1,Inputs!$C$10-(AD$132-1)*1))</f>
        <v>0</v>
      </c>
      <c r="AE136" s="119" t="n">
        <f aca="false">MAX(0,MIN(1,Inputs!$C$10-(AE$132-1)*1))</f>
        <v>0</v>
      </c>
      <c r="AF136" s="119" t="n">
        <f aca="false">MAX(0,MIN(1,Inputs!$C$10-(AF$132-1)*1))</f>
        <v>0</v>
      </c>
      <c r="AG136" s="119" t="n">
        <f aca="false">MAX(0,MIN(1,Inputs!$C$10-(AG$132-1)*1))</f>
        <v>0</v>
      </c>
      <c r="AH136" s="119" t="n">
        <f aca="false">MAX(0,MIN(1,Inputs!$C$10-(AH$132-1)*1))</f>
        <v>0</v>
      </c>
      <c r="AI136" s="119" t="n">
        <f aca="false">MAX(0,MIN(1,Inputs!$C$10-(AI$132-1)*1))</f>
        <v>0</v>
      </c>
      <c r="AJ136" s="119" t="n">
        <f aca="false">MAX(0,MIN(1,Inputs!$C$10-(AJ$132-1)*1))</f>
        <v>0</v>
      </c>
      <c r="AK136" s="119" t="n">
        <f aca="false">MAX(0,MIN(1,Inputs!$C$10-(AK$132-1)*1))</f>
        <v>0</v>
      </c>
      <c r="AL136" s="119" t="n">
        <f aca="false">MAX(0,MIN(1,Inputs!$C$10-(AL$132-1)*1))</f>
        <v>0</v>
      </c>
      <c r="AM136" s="119" t="n">
        <f aca="false">MAX(0,MIN(1,Inputs!$C$10-(AM$132-1)*1))</f>
        <v>0</v>
      </c>
      <c r="AN136" s="119" t="n">
        <f aca="false">MAX(0,MIN(1,Inputs!$C$10-(AN$132-1)*1))</f>
        <v>0</v>
      </c>
      <c r="AO136" s="119" t="n">
        <f aca="false">MAX(0,MIN(1,Inputs!$C$10-(AO$132-1)*1))</f>
        <v>0</v>
      </c>
      <c r="AP136" s="119" t="n">
        <f aca="false">MAX(0,MIN(1,Inputs!$C$10-(AP$132-1)*1))</f>
        <v>0</v>
      </c>
      <c r="AQ136" s="119" t="n">
        <f aca="false">MAX(0,MIN(1,Inputs!$C$10-(AQ$132-1)*1))</f>
        <v>0</v>
      </c>
      <c r="AR136" s="119" t="n">
        <f aca="false">MAX(0,MIN(1,Inputs!$C$10-(AR$132-1)*1))</f>
        <v>0</v>
      </c>
      <c r="AS136" s="119" t="n">
        <f aca="false">MAX(0,MIN(1,Inputs!$C$10-(AS$132-1)*1))</f>
        <v>0</v>
      </c>
      <c r="AT136" s="119" t="n">
        <f aca="false">MAX(0,MIN(1,Inputs!$C$10-(AT$132-1)*1))</f>
        <v>0</v>
      </c>
      <c r="AU136" s="119" t="n">
        <f aca="false">MAX(0,MIN(1,Inputs!$C$10-(AU$132-1)*1))</f>
        <v>0</v>
      </c>
      <c r="AV136" s="119" t="n">
        <f aca="false">MAX(0,MIN(1,Inputs!$C$10-(AV$132-1)*1))</f>
        <v>0</v>
      </c>
      <c r="AW136" s="119" t="n">
        <f aca="false">MAX(0,MIN(1,Inputs!$C$10-(AW$132-1)*1))</f>
        <v>0</v>
      </c>
      <c r="AX136" s="119" t="n">
        <f aca="false">MAX(0,MIN(1,Inputs!$C$10-(AX$132-1)*1))</f>
        <v>0</v>
      </c>
      <c r="AY136" s="119" t="n">
        <f aca="false">MAX(0,MIN(1,Inputs!$C$10-(AY$132-1)*1))</f>
        <v>0</v>
      </c>
      <c r="AZ136" s="119" t="n">
        <f aca="false">MAX(0,MIN(1,Inputs!$C$10-(AZ$132-1)*1))</f>
        <v>0</v>
      </c>
      <c r="BA136" s="119" t="n">
        <f aca="false">MAX(0,MIN(1,Inputs!$C$10-(BA$132-1)*1))</f>
        <v>0</v>
      </c>
      <c r="BB136" s="119" t="n">
        <f aca="false">MAX(0,MIN(1,Inputs!$C$10-(BB$132-1)*1))</f>
        <v>0</v>
      </c>
      <c r="BC136" s="119" t="n">
        <f aca="false">MAX(0,MIN(1,Inputs!$C$10-(BC$132-1)*1))</f>
        <v>0</v>
      </c>
      <c r="BD136" s="119" t="n">
        <f aca="false">MAX(0,MIN(1,Inputs!$C$10-(BD$132-1)*1))</f>
        <v>0</v>
      </c>
      <c r="BE136" s="119" t="n">
        <f aca="false">MAX(0,MIN(1,Inputs!$C$10-(BE$132-1)*1))</f>
        <v>0</v>
      </c>
      <c r="BF136" s="119" t="n">
        <f aca="false">MAX(0,MIN(1,Inputs!$C$10-(BF$132-1)*1))</f>
        <v>0</v>
      </c>
      <c r="BG136" s="119" t="n">
        <f aca="false">MAX(0,MIN(1,Inputs!$C$10-(BG$132-1)*1))</f>
        <v>0</v>
      </c>
      <c r="BH136" s="119" t="n">
        <f aca="false">MAX(0,MIN(1,Inputs!$C$10-(BH$132-1)*1))</f>
        <v>0</v>
      </c>
      <c r="BI136" s="119" t="n">
        <f aca="false">MAX(0,MIN(1,Inputs!$C$10-(BI$132-1)*1))</f>
        <v>0</v>
      </c>
      <c r="BJ136" s="119" t="n">
        <f aca="false">MAX(0,MIN(1,Inputs!$C$10-(BJ$132-1)*1))</f>
        <v>0</v>
      </c>
    </row>
    <row r="137" customFormat="false" ht="15" hidden="false" customHeight="false" outlineLevel="0" collapsed="false">
      <c r="A137" s="38" t="s">
        <v>414</v>
      </c>
      <c r="C137" s="76" t="n">
        <f aca="false">IF(Inputs!$C$10&lt;=0,1,(C136*Inputs!$C$11+(1-Inputs!$C$11)/MAX(1,Inputs!$C$10)*(C136*(C$132-1)*1+C136*(C136-1)/2)+1-C136)/1)</f>
        <v>0.4</v>
      </c>
      <c r="D137" s="76" t="n">
        <f aca="false">IF(Inputs!$C$10&lt;=0,1,(D136*Inputs!$C$11+(1-Inputs!$C$11)/MAX(1,Inputs!$C$10)*(D136*(D$132-1)*1+D136*(D136-1)/2)+1-D136)/1)</f>
        <v>0.46</v>
      </c>
      <c r="E137" s="76" t="n">
        <f aca="false">IF(Inputs!$C$10&lt;=0,1,(E136*Inputs!$C$11+(1-Inputs!$C$11)/MAX(1,Inputs!$C$10)*(E136*(E$132-1)*1+E136*(E136-1)/2)+1-E136)/1)</f>
        <v>0.52</v>
      </c>
      <c r="F137" s="76" t="n">
        <f aca="false">IF(Inputs!$C$10&lt;=0,1,(F136*Inputs!$C$11+(1-Inputs!$C$11)/MAX(1,Inputs!$C$10)*(F136*(F$132-1)*1+F136*(F136-1)/2)+1-F136)/1)</f>
        <v>0.58</v>
      </c>
      <c r="G137" s="76" t="n">
        <f aca="false">IF(Inputs!$C$10&lt;=0,1,(G136*Inputs!$C$11+(1-Inputs!$C$11)/MAX(1,Inputs!$C$10)*(G136*(G$132-1)*1+G136*(G136-1)/2)+1-G136)/1)</f>
        <v>0.64</v>
      </c>
      <c r="H137" s="76" t="n">
        <f aca="false">IF(Inputs!$C$10&lt;=0,1,(H136*Inputs!$C$11+(1-Inputs!$C$11)/MAX(1,Inputs!$C$10)*(H136*(H$132-1)*1+H136*(H136-1)/2)+1-H136)/1)</f>
        <v>0.7</v>
      </c>
      <c r="I137" s="76" t="n">
        <f aca="false">IF(Inputs!$C$10&lt;=0,1,(I136*Inputs!$C$11+(1-Inputs!$C$11)/MAX(1,Inputs!$C$10)*(I136*(I$132-1)*1+I136*(I136-1)/2)+1-I136)/1)</f>
        <v>0.76</v>
      </c>
      <c r="J137" s="76" t="n">
        <f aca="false">IF(Inputs!$C$10&lt;=0,1,(J136*Inputs!$C$11+(1-Inputs!$C$11)/MAX(1,Inputs!$C$10)*(J136*(J$132-1)*1+J136*(J136-1)/2)+1-J136)/1)</f>
        <v>0.82</v>
      </c>
      <c r="K137" s="76" t="n">
        <f aca="false">IF(Inputs!$C$10&lt;=0,1,(K136*Inputs!$C$11+(1-Inputs!$C$11)/MAX(1,Inputs!$C$10)*(K136*(K$132-1)*1+K136*(K136-1)/2)+1-K136)/1)</f>
        <v>0.88</v>
      </c>
      <c r="L137" s="76" t="n">
        <f aca="false">IF(Inputs!$C$10&lt;=0,1,(L136*Inputs!$C$11+(1-Inputs!$C$11)/MAX(1,Inputs!$C$10)*(L136*(L$132-1)*1+L136*(L136-1)/2)+1-L136)/1)</f>
        <v>0.94</v>
      </c>
      <c r="M137" s="76" t="n">
        <f aca="false">IF(Inputs!$C$10&lt;=0,1,(M136*Inputs!$C$11+(1-Inputs!$C$11)/MAX(1,Inputs!$C$10)*(M136*(M$132-1)*1+M136*(M136-1)/2)+1-M136)/1)</f>
        <v>1</v>
      </c>
      <c r="N137" s="76" t="n">
        <f aca="false">IF(Inputs!$C$10&lt;=0,1,(N136*Inputs!$C$11+(1-Inputs!$C$11)/MAX(1,Inputs!$C$10)*(N136*(N$132-1)*1+N136*(N136-1)/2)+1-N136)/1)</f>
        <v>1</v>
      </c>
      <c r="O137" s="76" t="n">
        <f aca="false">IF(Inputs!$C$10&lt;=0,1,(O136*Inputs!$C$11+(1-Inputs!$C$11)/MAX(1,Inputs!$C$10)*(O136*(O$132-1)*1+O136*(O136-1)/2)+1-O136)/1)</f>
        <v>1</v>
      </c>
      <c r="P137" s="76" t="n">
        <f aca="false">IF(Inputs!$C$10&lt;=0,1,(P136*Inputs!$C$11+(1-Inputs!$C$11)/MAX(1,Inputs!$C$10)*(P136*(P$132-1)*1+P136*(P136-1)/2)+1-P136)/1)</f>
        <v>1</v>
      </c>
      <c r="Q137" s="76" t="n">
        <f aca="false">IF(Inputs!$C$10&lt;=0,1,(Q136*Inputs!$C$11+(1-Inputs!$C$11)/MAX(1,Inputs!$C$10)*(Q136*(Q$132-1)*1+Q136*(Q136-1)/2)+1-Q136)/1)</f>
        <v>1</v>
      </c>
      <c r="R137" s="76" t="n">
        <f aca="false">IF(Inputs!$C$10&lt;=0,1,(R136*Inputs!$C$11+(1-Inputs!$C$11)/MAX(1,Inputs!$C$10)*(R136*(R$132-1)*1+R136*(R136-1)/2)+1-R136)/1)</f>
        <v>1</v>
      </c>
      <c r="S137" s="76" t="n">
        <f aca="false">IF(Inputs!$C$10&lt;=0,1,(S136*Inputs!$C$11+(1-Inputs!$C$11)/MAX(1,Inputs!$C$10)*(S136*(S$132-1)*1+S136*(S136-1)/2)+1-S136)/1)</f>
        <v>1</v>
      </c>
      <c r="T137" s="76" t="n">
        <f aca="false">IF(Inputs!$C$10&lt;=0,1,(T136*Inputs!$C$11+(1-Inputs!$C$11)/MAX(1,Inputs!$C$10)*(T136*(T$132-1)*1+T136*(T136-1)/2)+1-T136)/1)</f>
        <v>1</v>
      </c>
      <c r="U137" s="76" t="n">
        <f aca="false">IF(Inputs!$C$10&lt;=0,1,(U136*Inputs!$C$11+(1-Inputs!$C$11)/MAX(1,Inputs!$C$10)*(U136*(U$132-1)*1+U136*(U136-1)/2)+1-U136)/1)</f>
        <v>1</v>
      </c>
      <c r="V137" s="76" t="n">
        <f aca="false">IF(Inputs!$C$10&lt;=0,1,(V136*Inputs!$C$11+(1-Inputs!$C$11)/MAX(1,Inputs!$C$10)*(V136*(V$132-1)*1+V136*(V136-1)/2)+1-V136)/1)</f>
        <v>1</v>
      </c>
      <c r="W137" s="76" t="n">
        <f aca="false">IF(Inputs!$C$10&lt;=0,1,(W136*Inputs!$C$11+(1-Inputs!$C$11)/MAX(1,Inputs!$C$10)*(W136*(W$132-1)*1+W136*(W136-1)/2)+1-W136)/1)</f>
        <v>1</v>
      </c>
      <c r="X137" s="76" t="n">
        <f aca="false">IF(Inputs!$C$10&lt;=0,1,(X136*Inputs!$C$11+(1-Inputs!$C$11)/MAX(1,Inputs!$C$10)*(X136*(X$132-1)*1+X136*(X136-1)/2)+1-X136)/1)</f>
        <v>1</v>
      </c>
      <c r="Y137" s="76" t="n">
        <f aca="false">IF(Inputs!$C$10&lt;=0,1,(Y136*Inputs!$C$11+(1-Inputs!$C$11)/MAX(1,Inputs!$C$10)*(Y136*(Y$132-1)*1+Y136*(Y136-1)/2)+1-Y136)/1)</f>
        <v>1</v>
      </c>
      <c r="Z137" s="76" t="n">
        <f aca="false">IF(Inputs!$C$10&lt;=0,1,(Z136*Inputs!$C$11+(1-Inputs!$C$11)/MAX(1,Inputs!$C$10)*(Z136*(Z$132-1)*1+Z136*(Z136-1)/2)+1-Z136)/1)</f>
        <v>1</v>
      </c>
      <c r="AA137" s="76" t="n">
        <f aca="false">IF(Inputs!$C$10&lt;=0,1,(AA136*Inputs!$C$11+(1-Inputs!$C$11)/MAX(1,Inputs!$C$10)*(AA136*(AA$132-1)*1+AA136*(AA136-1)/2)+1-AA136)/1)</f>
        <v>1</v>
      </c>
      <c r="AB137" s="76" t="n">
        <f aca="false">IF(Inputs!$C$10&lt;=0,1,(AB136*Inputs!$C$11+(1-Inputs!$C$11)/MAX(1,Inputs!$C$10)*(AB136*(AB$132-1)*1+AB136*(AB136-1)/2)+1-AB136)/1)</f>
        <v>1</v>
      </c>
      <c r="AC137" s="76" t="n">
        <f aca="false">IF(Inputs!$C$10&lt;=0,1,(AC136*Inputs!$C$11+(1-Inputs!$C$11)/MAX(1,Inputs!$C$10)*(AC136*(AC$132-1)*1+AC136*(AC136-1)/2)+1-AC136)/1)</f>
        <v>1</v>
      </c>
      <c r="AD137" s="76" t="n">
        <f aca="false">IF(Inputs!$C$10&lt;=0,1,(AD136*Inputs!$C$11+(1-Inputs!$C$11)/MAX(1,Inputs!$C$10)*(AD136*(AD$132-1)*1+AD136*(AD136-1)/2)+1-AD136)/1)</f>
        <v>1</v>
      </c>
      <c r="AE137" s="76" t="n">
        <f aca="false">IF(Inputs!$C$10&lt;=0,1,(AE136*Inputs!$C$11+(1-Inputs!$C$11)/MAX(1,Inputs!$C$10)*(AE136*(AE$132-1)*1+AE136*(AE136-1)/2)+1-AE136)/1)</f>
        <v>1</v>
      </c>
      <c r="AF137" s="76" t="n">
        <f aca="false">IF(Inputs!$C$10&lt;=0,1,(AF136*Inputs!$C$11+(1-Inputs!$C$11)/MAX(1,Inputs!$C$10)*(AF136*(AF$132-1)*1+AF136*(AF136-1)/2)+1-AF136)/1)</f>
        <v>1</v>
      </c>
      <c r="AG137" s="76" t="n">
        <f aca="false">IF(Inputs!$C$10&lt;=0,1,(AG136*Inputs!$C$11+(1-Inputs!$C$11)/MAX(1,Inputs!$C$10)*(AG136*(AG$132-1)*1+AG136*(AG136-1)/2)+1-AG136)/1)</f>
        <v>1</v>
      </c>
      <c r="AH137" s="76" t="n">
        <f aca="false">IF(Inputs!$C$10&lt;=0,1,(AH136*Inputs!$C$11+(1-Inputs!$C$11)/MAX(1,Inputs!$C$10)*(AH136*(AH$132-1)*1+AH136*(AH136-1)/2)+1-AH136)/1)</f>
        <v>1</v>
      </c>
      <c r="AI137" s="76" t="n">
        <f aca="false">IF(Inputs!$C$10&lt;=0,1,(AI136*Inputs!$C$11+(1-Inputs!$C$11)/MAX(1,Inputs!$C$10)*(AI136*(AI$132-1)*1+AI136*(AI136-1)/2)+1-AI136)/1)</f>
        <v>1</v>
      </c>
      <c r="AJ137" s="76" t="n">
        <f aca="false">IF(Inputs!$C$10&lt;=0,1,(AJ136*Inputs!$C$11+(1-Inputs!$C$11)/MAX(1,Inputs!$C$10)*(AJ136*(AJ$132-1)*1+AJ136*(AJ136-1)/2)+1-AJ136)/1)</f>
        <v>1</v>
      </c>
      <c r="AK137" s="76" t="n">
        <f aca="false">IF(Inputs!$C$10&lt;=0,1,(AK136*Inputs!$C$11+(1-Inputs!$C$11)/MAX(1,Inputs!$C$10)*(AK136*(AK$132-1)*1+AK136*(AK136-1)/2)+1-AK136)/1)</f>
        <v>1</v>
      </c>
      <c r="AL137" s="76" t="n">
        <f aca="false">IF(Inputs!$C$10&lt;=0,1,(AL136*Inputs!$C$11+(1-Inputs!$C$11)/MAX(1,Inputs!$C$10)*(AL136*(AL$132-1)*1+AL136*(AL136-1)/2)+1-AL136)/1)</f>
        <v>1</v>
      </c>
      <c r="AM137" s="76" t="n">
        <f aca="false">IF(Inputs!$C$10&lt;=0,1,(AM136*Inputs!$C$11+(1-Inputs!$C$11)/MAX(1,Inputs!$C$10)*(AM136*(AM$132-1)*1+AM136*(AM136-1)/2)+1-AM136)/1)</f>
        <v>1</v>
      </c>
      <c r="AN137" s="76" t="n">
        <f aca="false">IF(Inputs!$C$10&lt;=0,1,(AN136*Inputs!$C$11+(1-Inputs!$C$11)/MAX(1,Inputs!$C$10)*(AN136*(AN$132-1)*1+AN136*(AN136-1)/2)+1-AN136)/1)</f>
        <v>1</v>
      </c>
      <c r="AO137" s="76" t="n">
        <f aca="false">IF(Inputs!$C$10&lt;=0,1,(AO136*Inputs!$C$11+(1-Inputs!$C$11)/MAX(1,Inputs!$C$10)*(AO136*(AO$132-1)*1+AO136*(AO136-1)/2)+1-AO136)/1)</f>
        <v>1</v>
      </c>
      <c r="AP137" s="76" t="n">
        <f aca="false">IF(Inputs!$C$10&lt;=0,1,(AP136*Inputs!$C$11+(1-Inputs!$C$11)/MAX(1,Inputs!$C$10)*(AP136*(AP$132-1)*1+AP136*(AP136-1)/2)+1-AP136)/1)</f>
        <v>1</v>
      </c>
      <c r="AQ137" s="76" t="n">
        <f aca="false">IF(Inputs!$C$10&lt;=0,1,(AQ136*Inputs!$C$11+(1-Inputs!$C$11)/MAX(1,Inputs!$C$10)*(AQ136*(AQ$132-1)*1+AQ136*(AQ136-1)/2)+1-AQ136)/1)</f>
        <v>1</v>
      </c>
      <c r="AR137" s="76" t="n">
        <f aca="false">IF(Inputs!$C$10&lt;=0,1,(AR136*Inputs!$C$11+(1-Inputs!$C$11)/MAX(1,Inputs!$C$10)*(AR136*(AR$132-1)*1+AR136*(AR136-1)/2)+1-AR136)/1)</f>
        <v>1</v>
      </c>
      <c r="AS137" s="76" t="n">
        <f aca="false">IF(Inputs!$C$10&lt;=0,1,(AS136*Inputs!$C$11+(1-Inputs!$C$11)/MAX(1,Inputs!$C$10)*(AS136*(AS$132-1)*1+AS136*(AS136-1)/2)+1-AS136)/1)</f>
        <v>1</v>
      </c>
      <c r="AT137" s="76" t="n">
        <f aca="false">IF(Inputs!$C$10&lt;=0,1,(AT136*Inputs!$C$11+(1-Inputs!$C$11)/MAX(1,Inputs!$C$10)*(AT136*(AT$132-1)*1+AT136*(AT136-1)/2)+1-AT136)/1)</f>
        <v>1</v>
      </c>
      <c r="AU137" s="76" t="n">
        <f aca="false">IF(Inputs!$C$10&lt;=0,1,(AU136*Inputs!$C$11+(1-Inputs!$C$11)/MAX(1,Inputs!$C$10)*(AU136*(AU$132-1)*1+AU136*(AU136-1)/2)+1-AU136)/1)</f>
        <v>1</v>
      </c>
      <c r="AV137" s="76" t="n">
        <f aca="false">IF(Inputs!$C$10&lt;=0,1,(AV136*Inputs!$C$11+(1-Inputs!$C$11)/MAX(1,Inputs!$C$10)*(AV136*(AV$132-1)*1+AV136*(AV136-1)/2)+1-AV136)/1)</f>
        <v>1</v>
      </c>
      <c r="AW137" s="76" t="n">
        <f aca="false">IF(Inputs!$C$10&lt;=0,1,(AW136*Inputs!$C$11+(1-Inputs!$C$11)/MAX(1,Inputs!$C$10)*(AW136*(AW$132-1)*1+AW136*(AW136-1)/2)+1-AW136)/1)</f>
        <v>1</v>
      </c>
      <c r="AX137" s="76" t="n">
        <f aca="false">IF(Inputs!$C$10&lt;=0,1,(AX136*Inputs!$C$11+(1-Inputs!$C$11)/MAX(1,Inputs!$C$10)*(AX136*(AX$132-1)*1+AX136*(AX136-1)/2)+1-AX136)/1)</f>
        <v>1</v>
      </c>
      <c r="AY137" s="76" t="n">
        <f aca="false">IF(Inputs!$C$10&lt;=0,1,(AY136*Inputs!$C$11+(1-Inputs!$C$11)/MAX(1,Inputs!$C$10)*(AY136*(AY$132-1)*1+AY136*(AY136-1)/2)+1-AY136)/1)</f>
        <v>1</v>
      </c>
      <c r="AZ137" s="76" t="n">
        <f aca="false">IF(Inputs!$C$10&lt;=0,1,(AZ136*Inputs!$C$11+(1-Inputs!$C$11)/MAX(1,Inputs!$C$10)*(AZ136*(AZ$132-1)*1+AZ136*(AZ136-1)/2)+1-AZ136)/1)</f>
        <v>1</v>
      </c>
      <c r="BA137" s="76" t="n">
        <f aca="false">IF(Inputs!$C$10&lt;=0,1,(BA136*Inputs!$C$11+(1-Inputs!$C$11)/MAX(1,Inputs!$C$10)*(BA136*(BA$132-1)*1+BA136*(BA136-1)/2)+1-BA136)/1)</f>
        <v>1</v>
      </c>
      <c r="BB137" s="76" t="n">
        <f aca="false">IF(Inputs!$C$10&lt;=0,1,(BB136*Inputs!$C$11+(1-Inputs!$C$11)/MAX(1,Inputs!$C$10)*(BB136*(BB$132-1)*1+BB136*(BB136-1)/2)+1-BB136)/1)</f>
        <v>1</v>
      </c>
      <c r="BC137" s="76" t="n">
        <f aca="false">IF(Inputs!$C$10&lt;=0,1,(BC136*Inputs!$C$11+(1-Inputs!$C$11)/MAX(1,Inputs!$C$10)*(BC136*(BC$132-1)*1+BC136*(BC136-1)/2)+1-BC136)/1)</f>
        <v>1</v>
      </c>
      <c r="BD137" s="76" t="n">
        <f aca="false">IF(Inputs!$C$10&lt;=0,1,(BD136*Inputs!$C$11+(1-Inputs!$C$11)/MAX(1,Inputs!$C$10)*(BD136*(BD$132-1)*1+BD136*(BD136-1)/2)+1-BD136)/1)</f>
        <v>1</v>
      </c>
      <c r="BE137" s="76" t="n">
        <f aca="false">IF(Inputs!$C$10&lt;=0,1,(BE136*Inputs!$C$11+(1-Inputs!$C$11)/MAX(1,Inputs!$C$10)*(BE136*(BE$132-1)*1+BE136*(BE136-1)/2)+1-BE136)/1)</f>
        <v>1</v>
      </c>
      <c r="BF137" s="76" t="n">
        <f aca="false">IF(Inputs!$C$10&lt;=0,1,(BF136*Inputs!$C$11+(1-Inputs!$C$11)/MAX(1,Inputs!$C$10)*(BF136*(BF$132-1)*1+BF136*(BF136-1)/2)+1-BF136)/1)</f>
        <v>1</v>
      </c>
      <c r="BG137" s="76" t="n">
        <f aca="false">IF(Inputs!$C$10&lt;=0,1,(BG136*Inputs!$C$11+(1-Inputs!$C$11)/MAX(1,Inputs!$C$10)*(BG136*(BG$132-1)*1+BG136*(BG136-1)/2)+1-BG136)/1)</f>
        <v>1</v>
      </c>
      <c r="BH137" s="76" t="n">
        <f aca="false">IF(Inputs!$C$10&lt;=0,1,(BH136*Inputs!$C$11+(1-Inputs!$C$11)/MAX(1,Inputs!$C$10)*(BH136*(BH$132-1)*1+BH136*(BH136-1)/2)+1-BH136)/1)</f>
        <v>1</v>
      </c>
      <c r="BI137" s="76" t="n">
        <f aca="false">IF(Inputs!$C$10&lt;=0,1,(BI136*Inputs!$C$11+(1-Inputs!$C$11)/MAX(1,Inputs!$C$10)*(BI136*(BI$132-1)*1+BI136*(BI136-1)/2)+1-BI136)/1)</f>
        <v>1</v>
      </c>
      <c r="BJ137" s="76" t="n">
        <f aca="false">IF(Inputs!$C$10&lt;=0,1,(BJ136*Inputs!$C$11+(1-Inputs!$C$11)/MAX(1,Inputs!$C$10)*(BJ136*(BJ$132-1)*1+BJ136*(BJ136-1)/2)+1-BJ136)/1)</f>
        <v>1</v>
      </c>
    </row>
    <row r="138" customFormat="false" ht="15" hidden="false" customHeight="false" outlineLevel="0" collapsed="false">
      <c r="A138" s="6" t="s">
        <v>415</v>
      </c>
      <c r="C138" s="120" t="n">
        <f aca="false">Inputs!$C$7*(1+Inputs!$C$8)^(C$133-1)*Inputs!$C$9*1*C137</f>
        <v>166.4</v>
      </c>
      <c r="D138" s="120" t="n">
        <f aca="false">Inputs!$C$7*(1+Inputs!$C$8)^(D$133-1)*Inputs!$C$9*1*D137</f>
        <v>191.36</v>
      </c>
      <c r="E138" s="120" t="n">
        <f aca="false">Inputs!$C$7*(1+Inputs!$C$8)^(E$133-1)*Inputs!$C$9*1*E137</f>
        <v>216.32</v>
      </c>
      <c r="F138" s="120" t="n">
        <f aca="false">Inputs!$C$7*(1+Inputs!$C$8)^(F$133-1)*Inputs!$C$9*1*F137</f>
        <v>241.28</v>
      </c>
      <c r="G138" s="120" t="n">
        <f aca="false">Inputs!$C$7*(1+Inputs!$C$8)^(G$133-1)*Inputs!$C$9*1*G137</f>
        <v>266.24</v>
      </c>
      <c r="H138" s="120" t="n">
        <f aca="false">Inputs!$C$7*(1+Inputs!$C$8)^(H$133-1)*Inputs!$C$9*1*H137</f>
        <v>291.2</v>
      </c>
      <c r="I138" s="120" t="n">
        <f aca="false">Inputs!$C$7*(1+Inputs!$C$8)^(I$133-1)*Inputs!$C$9*1*I137</f>
        <v>316.16</v>
      </c>
      <c r="J138" s="120" t="n">
        <f aca="false">Inputs!$C$7*(1+Inputs!$C$8)^(J$133-1)*Inputs!$C$9*1*J137</f>
        <v>341.12</v>
      </c>
      <c r="K138" s="120" t="n">
        <f aca="false">Inputs!$C$7*(1+Inputs!$C$8)^(K$133-1)*Inputs!$C$9*1*K137</f>
        <v>366.08</v>
      </c>
      <c r="L138" s="120" t="n">
        <f aca="false">Inputs!$C$7*(1+Inputs!$C$8)^(L$133-1)*Inputs!$C$9*1*L137</f>
        <v>391.04</v>
      </c>
      <c r="M138" s="120" t="n">
        <f aca="false">Inputs!$C$7*(1+Inputs!$C$8)^(M$133-1)*Inputs!$C$9*1*M137</f>
        <v>416</v>
      </c>
      <c r="N138" s="120" t="n">
        <f aca="false">Inputs!$C$7*(1+Inputs!$C$8)^(N$133-1)*Inputs!$C$9*1*N137</f>
        <v>416</v>
      </c>
      <c r="O138" s="120" t="n">
        <f aca="false">Inputs!$C$7*(1+Inputs!$C$8)^(O$133-1)*Inputs!$C$9*1*O137</f>
        <v>428.48</v>
      </c>
      <c r="P138" s="120" t="n">
        <f aca="false">Inputs!$C$7*(1+Inputs!$C$8)^(P$133-1)*Inputs!$C$9*1*P137</f>
        <v>428.48</v>
      </c>
      <c r="Q138" s="120" t="n">
        <f aca="false">Inputs!$C$7*(1+Inputs!$C$8)^(Q$133-1)*Inputs!$C$9*1*Q137</f>
        <v>428.48</v>
      </c>
      <c r="R138" s="120" t="n">
        <f aca="false">Inputs!$C$7*(1+Inputs!$C$8)^(R$133-1)*Inputs!$C$9*1*R137</f>
        <v>428.48</v>
      </c>
      <c r="S138" s="120" t="n">
        <f aca="false">Inputs!$C$7*(1+Inputs!$C$8)^(S$133-1)*Inputs!$C$9*1*S137</f>
        <v>428.48</v>
      </c>
      <c r="T138" s="120" t="n">
        <f aca="false">Inputs!$C$7*(1+Inputs!$C$8)^(T$133-1)*Inputs!$C$9*1*T137</f>
        <v>428.48</v>
      </c>
      <c r="U138" s="120" t="n">
        <f aca="false">Inputs!$C$7*(1+Inputs!$C$8)^(U$133-1)*Inputs!$C$9*1*U137</f>
        <v>428.48</v>
      </c>
      <c r="V138" s="120" t="n">
        <f aca="false">Inputs!$C$7*(1+Inputs!$C$8)^(V$133-1)*Inputs!$C$9*1*V137</f>
        <v>428.48</v>
      </c>
      <c r="W138" s="120" t="n">
        <f aca="false">Inputs!$C$7*(1+Inputs!$C$8)^(W$133-1)*Inputs!$C$9*1*W137</f>
        <v>428.48</v>
      </c>
      <c r="X138" s="120" t="n">
        <f aca="false">Inputs!$C$7*(1+Inputs!$C$8)^(X$133-1)*Inputs!$C$9*1*X137</f>
        <v>428.48</v>
      </c>
      <c r="Y138" s="120" t="n">
        <f aca="false">Inputs!$C$7*(1+Inputs!$C$8)^(Y$133-1)*Inputs!$C$9*1*Y137</f>
        <v>428.48</v>
      </c>
      <c r="Z138" s="120" t="n">
        <f aca="false">Inputs!$C$7*(1+Inputs!$C$8)^(Z$133-1)*Inputs!$C$9*1*Z137</f>
        <v>428.48</v>
      </c>
      <c r="AA138" s="120" t="n">
        <f aca="false">Inputs!$C$7*(1+Inputs!$C$8)^(AA$133-1)*Inputs!$C$9*1*AA137</f>
        <v>441.3344</v>
      </c>
      <c r="AB138" s="120" t="n">
        <f aca="false">Inputs!$C$7*(1+Inputs!$C$8)^(AB$133-1)*Inputs!$C$9*1*AB137</f>
        <v>441.3344</v>
      </c>
      <c r="AC138" s="120" t="n">
        <f aca="false">Inputs!$C$7*(1+Inputs!$C$8)^(AC$133-1)*Inputs!$C$9*1*AC137</f>
        <v>441.3344</v>
      </c>
      <c r="AD138" s="120" t="n">
        <f aca="false">Inputs!$C$7*(1+Inputs!$C$8)^(AD$133-1)*Inputs!$C$9*1*AD137</f>
        <v>441.3344</v>
      </c>
      <c r="AE138" s="120" t="n">
        <f aca="false">Inputs!$C$7*(1+Inputs!$C$8)^(AE$133-1)*Inputs!$C$9*1*AE137</f>
        <v>441.3344</v>
      </c>
      <c r="AF138" s="120" t="n">
        <f aca="false">Inputs!$C$7*(1+Inputs!$C$8)^(AF$133-1)*Inputs!$C$9*1*AF137</f>
        <v>441.3344</v>
      </c>
      <c r="AG138" s="120" t="n">
        <f aca="false">Inputs!$C$7*(1+Inputs!$C$8)^(AG$133-1)*Inputs!$C$9*1*AG137</f>
        <v>441.3344</v>
      </c>
      <c r="AH138" s="120" t="n">
        <f aca="false">Inputs!$C$7*(1+Inputs!$C$8)^(AH$133-1)*Inputs!$C$9*1*AH137</f>
        <v>441.3344</v>
      </c>
      <c r="AI138" s="120" t="n">
        <f aca="false">Inputs!$C$7*(1+Inputs!$C$8)^(AI$133-1)*Inputs!$C$9*1*AI137</f>
        <v>441.3344</v>
      </c>
      <c r="AJ138" s="120" t="n">
        <f aca="false">Inputs!$C$7*(1+Inputs!$C$8)^(AJ$133-1)*Inputs!$C$9*1*AJ137</f>
        <v>441.3344</v>
      </c>
      <c r="AK138" s="120" t="n">
        <f aca="false">Inputs!$C$7*(1+Inputs!$C$8)^(AK$133-1)*Inputs!$C$9*1*AK137</f>
        <v>441.3344</v>
      </c>
      <c r="AL138" s="120" t="n">
        <f aca="false">Inputs!$C$7*(1+Inputs!$C$8)^(AL$133-1)*Inputs!$C$9*1*AL137</f>
        <v>441.3344</v>
      </c>
      <c r="AM138" s="120" t="n">
        <f aca="false">Inputs!$C$7*(1+Inputs!$C$8)^(AM$133-1)*Inputs!$C$9*1*AM137</f>
        <v>454.574432</v>
      </c>
      <c r="AN138" s="120" t="n">
        <f aca="false">Inputs!$C$7*(1+Inputs!$C$8)^(AN$133-1)*Inputs!$C$9*1*AN137</f>
        <v>454.574432</v>
      </c>
      <c r="AO138" s="120" t="n">
        <f aca="false">Inputs!$C$7*(1+Inputs!$C$8)^(AO$133-1)*Inputs!$C$9*1*AO137</f>
        <v>454.574432</v>
      </c>
      <c r="AP138" s="120" t="n">
        <f aca="false">Inputs!$C$7*(1+Inputs!$C$8)^(AP$133-1)*Inputs!$C$9*1*AP137</f>
        <v>454.574432</v>
      </c>
      <c r="AQ138" s="120" t="n">
        <f aca="false">Inputs!$C$7*(1+Inputs!$C$8)^(AQ$133-1)*Inputs!$C$9*1*AQ137</f>
        <v>454.574432</v>
      </c>
      <c r="AR138" s="120" t="n">
        <f aca="false">Inputs!$C$7*(1+Inputs!$C$8)^(AR$133-1)*Inputs!$C$9*1*AR137</f>
        <v>454.574432</v>
      </c>
      <c r="AS138" s="120" t="n">
        <f aca="false">Inputs!$C$7*(1+Inputs!$C$8)^(AS$133-1)*Inputs!$C$9*1*AS137</f>
        <v>454.574432</v>
      </c>
      <c r="AT138" s="120" t="n">
        <f aca="false">Inputs!$C$7*(1+Inputs!$C$8)^(AT$133-1)*Inputs!$C$9*1*AT137</f>
        <v>454.574432</v>
      </c>
      <c r="AU138" s="120" t="n">
        <f aca="false">Inputs!$C$7*(1+Inputs!$C$8)^(AU$133-1)*Inputs!$C$9*1*AU137</f>
        <v>454.574432</v>
      </c>
      <c r="AV138" s="120" t="n">
        <f aca="false">Inputs!$C$7*(1+Inputs!$C$8)^(AV$133-1)*Inputs!$C$9*1*AV137</f>
        <v>454.574432</v>
      </c>
      <c r="AW138" s="120" t="n">
        <f aca="false">Inputs!$C$7*(1+Inputs!$C$8)^(AW$133-1)*Inputs!$C$9*1*AW137</f>
        <v>454.574432</v>
      </c>
      <c r="AX138" s="120" t="n">
        <f aca="false">Inputs!$C$7*(1+Inputs!$C$8)^(AX$133-1)*Inputs!$C$9*1*AX137</f>
        <v>454.574432</v>
      </c>
      <c r="AY138" s="120" t="n">
        <f aca="false">Inputs!$C$7*(1+Inputs!$C$8)^(AY$133-1)*Inputs!$C$9*1*AY137</f>
        <v>468.21166496</v>
      </c>
      <c r="AZ138" s="120" t="n">
        <f aca="false">Inputs!$C$7*(1+Inputs!$C$8)^(AZ$133-1)*Inputs!$C$9*1*AZ137</f>
        <v>468.21166496</v>
      </c>
      <c r="BA138" s="120" t="n">
        <f aca="false">Inputs!$C$7*(1+Inputs!$C$8)^(BA$133-1)*Inputs!$C$9*1*BA137</f>
        <v>468.21166496</v>
      </c>
      <c r="BB138" s="120" t="n">
        <f aca="false">Inputs!$C$7*(1+Inputs!$C$8)^(BB$133-1)*Inputs!$C$9*1*BB137</f>
        <v>468.21166496</v>
      </c>
      <c r="BC138" s="120" t="n">
        <f aca="false">Inputs!$C$7*(1+Inputs!$C$8)^(BC$133-1)*Inputs!$C$9*1*BC137</f>
        <v>468.21166496</v>
      </c>
      <c r="BD138" s="120" t="n">
        <f aca="false">Inputs!$C$7*(1+Inputs!$C$8)^(BD$133-1)*Inputs!$C$9*1*BD137</f>
        <v>468.21166496</v>
      </c>
      <c r="BE138" s="120" t="n">
        <f aca="false">Inputs!$C$7*(1+Inputs!$C$8)^(BE$133-1)*Inputs!$C$9*1*BE137</f>
        <v>468.21166496</v>
      </c>
      <c r="BF138" s="120" t="n">
        <f aca="false">Inputs!$C$7*(1+Inputs!$C$8)^(BF$133-1)*Inputs!$C$9*1*BF137</f>
        <v>468.21166496</v>
      </c>
      <c r="BG138" s="120" t="n">
        <f aca="false">Inputs!$C$7*(1+Inputs!$C$8)^(BG$133-1)*Inputs!$C$9*1*BG137</f>
        <v>468.21166496</v>
      </c>
      <c r="BH138" s="120" t="n">
        <f aca="false">Inputs!$C$7*(1+Inputs!$C$8)^(BH$133-1)*Inputs!$C$9*1*BH137</f>
        <v>468.21166496</v>
      </c>
      <c r="BI138" s="120" t="n">
        <f aca="false">Inputs!$C$7*(1+Inputs!$C$8)^(BI$133-1)*Inputs!$C$9*1*BI137</f>
        <v>468.21166496</v>
      </c>
      <c r="BJ138" s="120" t="n">
        <f aca="false">Inputs!$C$7*(1+Inputs!$C$8)^(BJ$133-1)*Inputs!$C$9*1*BJ137</f>
        <v>468.21166496</v>
      </c>
    </row>
    <row r="140" customFormat="false" ht="15.75" hidden="false" customHeight="true" outlineLevel="0" collapsed="false">
      <c r="A140" s="7" t="s">
        <v>261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customFormat="false" ht="15" hidden="false" customHeight="false" outlineLevel="0" collapsed="false">
      <c r="A141" s="6" t="s">
        <v>233</v>
      </c>
      <c r="C141" s="119" t="n">
        <f aca="false">C244</f>
        <v>4</v>
      </c>
      <c r="D141" s="119" t="n">
        <f aca="false">D244</f>
        <v>4</v>
      </c>
      <c r="E141" s="119" t="n">
        <f aca="false">E244</f>
        <v>4</v>
      </c>
      <c r="F141" s="119" t="n">
        <f aca="false">F244</f>
        <v>4</v>
      </c>
      <c r="G141" s="119" t="n">
        <f aca="false">G244</f>
        <v>4</v>
      </c>
      <c r="H141" s="119" t="n">
        <f aca="false">H244</f>
        <v>4</v>
      </c>
      <c r="I141" s="119" t="n">
        <f aca="false">I244</f>
        <v>4</v>
      </c>
      <c r="J141" s="119" t="n">
        <f aca="false">J244</f>
        <v>4</v>
      </c>
      <c r="K141" s="119" t="n">
        <f aca="false">K244</f>
        <v>4</v>
      </c>
      <c r="L141" s="119" t="n">
        <f aca="false">L244</f>
        <v>4</v>
      </c>
      <c r="M141" s="119" t="n">
        <f aca="false">M244</f>
        <v>4</v>
      </c>
      <c r="N141" s="119" t="n">
        <f aca="false">N244</f>
        <v>4</v>
      </c>
      <c r="O141" s="119" t="n">
        <f aca="false">O244</f>
        <v>4</v>
      </c>
      <c r="P141" s="119" t="n">
        <f aca="false">P244</f>
        <v>4</v>
      </c>
      <c r="Q141" s="119" t="n">
        <f aca="false">Q244</f>
        <v>4</v>
      </c>
      <c r="R141" s="119" t="n">
        <f aca="false">R244</f>
        <v>4</v>
      </c>
      <c r="S141" s="119" t="n">
        <f aca="false">S244</f>
        <v>4</v>
      </c>
      <c r="T141" s="119" t="n">
        <f aca="false">T244</f>
        <v>4</v>
      </c>
      <c r="U141" s="119" t="n">
        <f aca="false">U244</f>
        <v>4</v>
      </c>
      <c r="V141" s="119" t="n">
        <f aca="false">V244</f>
        <v>4</v>
      </c>
      <c r="W141" s="119" t="n">
        <f aca="false">W244</f>
        <v>4</v>
      </c>
      <c r="X141" s="119" t="n">
        <f aca="false">X244</f>
        <v>4</v>
      </c>
      <c r="Y141" s="119" t="n">
        <f aca="false">Y244</f>
        <v>4</v>
      </c>
      <c r="Z141" s="119" t="n">
        <f aca="false">Z244</f>
        <v>4</v>
      </c>
      <c r="AA141" s="119" t="n">
        <f aca="false">AA244</f>
        <v>4</v>
      </c>
      <c r="AB141" s="119" t="n">
        <f aca="false">AB244</f>
        <v>4</v>
      </c>
      <c r="AC141" s="119" t="n">
        <f aca="false">AC244</f>
        <v>4</v>
      </c>
      <c r="AD141" s="119" t="n">
        <f aca="false">AD244</f>
        <v>4</v>
      </c>
      <c r="AE141" s="119" t="n">
        <f aca="false">AE244</f>
        <v>4</v>
      </c>
      <c r="AF141" s="119" t="n">
        <f aca="false">AF244</f>
        <v>4</v>
      </c>
      <c r="AG141" s="119" t="n">
        <f aca="false">AG244</f>
        <v>4</v>
      </c>
      <c r="AH141" s="119" t="n">
        <f aca="false">AH244</f>
        <v>4</v>
      </c>
      <c r="AI141" s="119" t="n">
        <f aca="false">AI244</f>
        <v>4</v>
      </c>
      <c r="AJ141" s="119" t="n">
        <f aca="false">AJ244</f>
        <v>4</v>
      </c>
      <c r="AK141" s="119" t="n">
        <f aca="false">AK244</f>
        <v>4</v>
      </c>
      <c r="AL141" s="119" t="n">
        <f aca="false">AL244</f>
        <v>4</v>
      </c>
      <c r="AM141" s="119" t="n">
        <f aca="false">AM244</f>
        <v>4</v>
      </c>
      <c r="AN141" s="119" t="n">
        <f aca="false">AN244</f>
        <v>4</v>
      </c>
      <c r="AO141" s="119" t="n">
        <f aca="false">AO244</f>
        <v>4</v>
      </c>
      <c r="AP141" s="119" t="n">
        <f aca="false">AP244</f>
        <v>4</v>
      </c>
      <c r="AQ141" s="119" t="n">
        <f aca="false">AQ244</f>
        <v>4</v>
      </c>
      <c r="AR141" s="119" t="n">
        <f aca="false">AR244</f>
        <v>4</v>
      </c>
      <c r="AS141" s="119" t="n">
        <f aca="false">AS244</f>
        <v>4</v>
      </c>
      <c r="AT141" s="119" t="n">
        <f aca="false">AT244</f>
        <v>4</v>
      </c>
      <c r="AU141" s="119" t="n">
        <f aca="false">AU244</f>
        <v>4</v>
      </c>
      <c r="AV141" s="119" t="n">
        <f aca="false">AV244</f>
        <v>4</v>
      </c>
      <c r="AW141" s="119" t="n">
        <f aca="false">AW244</f>
        <v>4</v>
      </c>
      <c r="AX141" s="119" t="n">
        <f aca="false">AX244</f>
        <v>4</v>
      </c>
      <c r="AY141" s="119" t="n">
        <f aca="false">AY244</f>
        <v>4</v>
      </c>
      <c r="AZ141" s="119" t="n">
        <f aca="false">AZ244</f>
        <v>4</v>
      </c>
      <c r="BA141" s="119" t="n">
        <f aca="false">BA244</f>
        <v>4</v>
      </c>
      <c r="BB141" s="119" t="n">
        <f aca="false">BB244</f>
        <v>4</v>
      </c>
      <c r="BC141" s="119" t="n">
        <f aca="false">BC244</f>
        <v>4</v>
      </c>
      <c r="BD141" s="119" t="n">
        <f aca="false">BD244</f>
        <v>4</v>
      </c>
      <c r="BE141" s="119" t="n">
        <f aca="false">BE244</f>
        <v>4</v>
      </c>
      <c r="BF141" s="119" t="n">
        <f aca="false">BF244</f>
        <v>4</v>
      </c>
      <c r="BG141" s="119" t="n">
        <f aca="false">BG244</f>
        <v>4</v>
      </c>
      <c r="BH141" s="119" t="n">
        <f aca="false">BH244</f>
        <v>4</v>
      </c>
      <c r="BI141" s="119" t="n">
        <f aca="false">BI244</f>
        <v>4</v>
      </c>
      <c r="BJ141" s="119" t="n">
        <f aca="false">BJ244</f>
        <v>4</v>
      </c>
    </row>
    <row r="142" customFormat="false" ht="15" hidden="false" customHeight="false" outlineLevel="0" collapsed="false">
      <c r="A142" s="6" t="s">
        <v>416</v>
      </c>
      <c r="C142" s="120" t="n">
        <f aca="false">Inputs!$C$14*Inputs!$C$15*Inputs!$C$9*1</f>
        <v>624</v>
      </c>
      <c r="D142" s="120" t="n">
        <f aca="false">Inputs!$C$14*Inputs!$C$15*Inputs!$C$9*1</f>
        <v>624</v>
      </c>
      <c r="E142" s="120" t="n">
        <f aca="false">Inputs!$C$14*Inputs!$C$15*Inputs!$C$9*1</f>
        <v>624</v>
      </c>
      <c r="F142" s="120" t="n">
        <f aca="false">Inputs!$C$14*Inputs!$C$15*Inputs!$C$9*1</f>
        <v>624</v>
      </c>
      <c r="G142" s="120" t="n">
        <f aca="false">Inputs!$C$14*Inputs!$C$15*Inputs!$C$9*1</f>
        <v>624</v>
      </c>
      <c r="H142" s="120" t="n">
        <f aca="false">Inputs!$C$14*Inputs!$C$15*Inputs!$C$9*1</f>
        <v>624</v>
      </c>
      <c r="I142" s="120" t="n">
        <f aca="false">Inputs!$C$14*Inputs!$C$15*Inputs!$C$9*1</f>
        <v>624</v>
      </c>
      <c r="J142" s="120" t="n">
        <f aca="false">Inputs!$C$14*Inputs!$C$15*Inputs!$C$9*1</f>
        <v>624</v>
      </c>
      <c r="K142" s="120" t="n">
        <f aca="false">Inputs!$C$14*Inputs!$C$15*Inputs!$C$9*1</f>
        <v>624</v>
      </c>
      <c r="L142" s="120" t="n">
        <f aca="false">Inputs!$C$14*Inputs!$C$15*Inputs!$C$9*1</f>
        <v>624</v>
      </c>
      <c r="M142" s="120" t="n">
        <f aca="false">Inputs!$C$14*Inputs!$C$15*Inputs!$C$9*1</f>
        <v>624</v>
      </c>
      <c r="N142" s="120" t="n">
        <f aca="false">Inputs!$C$14*Inputs!$C$15*Inputs!$C$9*1</f>
        <v>624</v>
      </c>
      <c r="O142" s="120" t="n">
        <f aca="false">Inputs!$C$14*Inputs!$C$15*Inputs!$C$9*1</f>
        <v>624</v>
      </c>
      <c r="P142" s="120" t="n">
        <f aca="false">Inputs!$C$14*Inputs!$C$15*Inputs!$C$9*1</f>
        <v>624</v>
      </c>
      <c r="Q142" s="120" t="n">
        <f aca="false">Inputs!$C$14*Inputs!$C$15*Inputs!$C$9*1</f>
        <v>624</v>
      </c>
      <c r="R142" s="120" t="n">
        <f aca="false">Inputs!$C$14*Inputs!$C$15*Inputs!$C$9*1</f>
        <v>624</v>
      </c>
      <c r="S142" s="120" t="n">
        <f aca="false">Inputs!$C$14*Inputs!$C$15*Inputs!$C$9*1</f>
        <v>624</v>
      </c>
      <c r="T142" s="120" t="n">
        <f aca="false">Inputs!$C$14*Inputs!$C$15*Inputs!$C$9*1</f>
        <v>624</v>
      </c>
      <c r="U142" s="120" t="n">
        <f aca="false">Inputs!$C$14*Inputs!$C$15*Inputs!$C$9*1</f>
        <v>624</v>
      </c>
      <c r="V142" s="120" t="n">
        <f aca="false">Inputs!$C$14*Inputs!$C$15*Inputs!$C$9*1</f>
        <v>624</v>
      </c>
      <c r="W142" s="120" t="n">
        <f aca="false">Inputs!$C$14*Inputs!$C$15*Inputs!$C$9*1</f>
        <v>624</v>
      </c>
      <c r="X142" s="120" t="n">
        <f aca="false">Inputs!$C$14*Inputs!$C$15*Inputs!$C$9*1</f>
        <v>624</v>
      </c>
      <c r="Y142" s="120" t="n">
        <f aca="false">Inputs!$C$14*Inputs!$C$15*Inputs!$C$9*1</f>
        <v>624</v>
      </c>
      <c r="Z142" s="120" t="n">
        <f aca="false">Inputs!$C$14*Inputs!$C$15*Inputs!$C$9*1</f>
        <v>624</v>
      </c>
      <c r="AA142" s="120" t="n">
        <f aca="false">Inputs!$C$14*Inputs!$C$15*Inputs!$C$9*1</f>
        <v>624</v>
      </c>
      <c r="AB142" s="120" t="n">
        <f aca="false">Inputs!$C$14*Inputs!$C$15*Inputs!$C$9*1</f>
        <v>624</v>
      </c>
      <c r="AC142" s="120" t="n">
        <f aca="false">Inputs!$C$14*Inputs!$C$15*Inputs!$C$9*1</f>
        <v>624</v>
      </c>
      <c r="AD142" s="120" t="n">
        <f aca="false">Inputs!$C$14*Inputs!$C$15*Inputs!$C$9*1</f>
        <v>624</v>
      </c>
      <c r="AE142" s="120" t="n">
        <f aca="false">Inputs!$C$14*Inputs!$C$15*Inputs!$C$9*1</f>
        <v>624</v>
      </c>
      <c r="AF142" s="120" t="n">
        <f aca="false">Inputs!$C$14*Inputs!$C$15*Inputs!$C$9*1</f>
        <v>624</v>
      </c>
      <c r="AG142" s="120" t="n">
        <f aca="false">Inputs!$C$14*Inputs!$C$15*Inputs!$C$9*1</f>
        <v>624</v>
      </c>
      <c r="AH142" s="120" t="n">
        <f aca="false">Inputs!$C$14*Inputs!$C$15*Inputs!$C$9*1</f>
        <v>624</v>
      </c>
      <c r="AI142" s="120" t="n">
        <f aca="false">Inputs!$C$14*Inputs!$C$15*Inputs!$C$9*1</f>
        <v>624</v>
      </c>
      <c r="AJ142" s="120" t="n">
        <f aca="false">Inputs!$C$14*Inputs!$C$15*Inputs!$C$9*1</f>
        <v>624</v>
      </c>
      <c r="AK142" s="120" t="n">
        <f aca="false">Inputs!$C$14*Inputs!$C$15*Inputs!$C$9*1</f>
        <v>624</v>
      </c>
      <c r="AL142" s="120" t="n">
        <f aca="false">Inputs!$C$14*Inputs!$C$15*Inputs!$C$9*1</f>
        <v>624</v>
      </c>
      <c r="AM142" s="120" t="n">
        <f aca="false">Inputs!$C$14*Inputs!$C$15*Inputs!$C$9*1</f>
        <v>624</v>
      </c>
      <c r="AN142" s="120" t="n">
        <f aca="false">Inputs!$C$14*Inputs!$C$15*Inputs!$C$9*1</f>
        <v>624</v>
      </c>
      <c r="AO142" s="120" t="n">
        <f aca="false">Inputs!$C$14*Inputs!$C$15*Inputs!$C$9*1</f>
        <v>624</v>
      </c>
      <c r="AP142" s="120" t="n">
        <f aca="false">Inputs!$C$14*Inputs!$C$15*Inputs!$C$9*1</f>
        <v>624</v>
      </c>
      <c r="AQ142" s="120" t="n">
        <f aca="false">Inputs!$C$14*Inputs!$C$15*Inputs!$C$9*1</f>
        <v>624</v>
      </c>
      <c r="AR142" s="120" t="n">
        <f aca="false">Inputs!$C$14*Inputs!$C$15*Inputs!$C$9*1</f>
        <v>624</v>
      </c>
      <c r="AS142" s="120" t="n">
        <f aca="false">Inputs!$C$14*Inputs!$C$15*Inputs!$C$9*1</f>
        <v>624</v>
      </c>
      <c r="AT142" s="120" t="n">
        <f aca="false">Inputs!$C$14*Inputs!$C$15*Inputs!$C$9*1</f>
        <v>624</v>
      </c>
      <c r="AU142" s="120" t="n">
        <f aca="false">Inputs!$C$14*Inputs!$C$15*Inputs!$C$9*1</f>
        <v>624</v>
      </c>
      <c r="AV142" s="120" t="n">
        <f aca="false">Inputs!$C$14*Inputs!$C$15*Inputs!$C$9*1</f>
        <v>624</v>
      </c>
      <c r="AW142" s="120" t="n">
        <f aca="false">Inputs!$C$14*Inputs!$C$15*Inputs!$C$9*1</f>
        <v>624</v>
      </c>
      <c r="AX142" s="120" t="n">
        <f aca="false">Inputs!$C$14*Inputs!$C$15*Inputs!$C$9*1</f>
        <v>624</v>
      </c>
      <c r="AY142" s="120" t="n">
        <f aca="false">Inputs!$C$14*Inputs!$C$15*Inputs!$C$9*1</f>
        <v>624</v>
      </c>
      <c r="AZ142" s="120" t="n">
        <f aca="false">Inputs!$C$14*Inputs!$C$15*Inputs!$C$9*1</f>
        <v>624</v>
      </c>
      <c r="BA142" s="120" t="n">
        <f aca="false">Inputs!$C$14*Inputs!$C$15*Inputs!$C$9*1</f>
        <v>624</v>
      </c>
      <c r="BB142" s="120" t="n">
        <f aca="false">Inputs!$C$14*Inputs!$C$15*Inputs!$C$9*1</f>
        <v>624</v>
      </c>
      <c r="BC142" s="120" t="n">
        <f aca="false">Inputs!$C$14*Inputs!$C$15*Inputs!$C$9*1</f>
        <v>624</v>
      </c>
      <c r="BD142" s="120" t="n">
        <f aca="false">Inputs!$C$14*Inputs!$C$15*Inputs!$C$9*1</f>
        <v>624</v>
      </c>
      <c r="BE142" s="120" t="n">
        <f aca="false">Inputs!$C$14*Inputs!$C$15*Inputs!$C$9*1</f>
        <v>624</v>
      </c>
      <c r="BF142" s="120" t="n">
        <f aca="false">Inputs!$C$14*Inputs!$C$15*Inputs!$C$9*1</f>
        <v>624</v>
      </c>
      <c r="BG142" s="120" t="n">
        <f aca="false">Inputs!$C$14*Inputs!$C$15*Inputs!$C$9*1</f>
        <v>624</v>
      </c>
      <c r="BH142" s="120" t="n">
        <f aca="false">Inputs!$C$14*Inputs!$C$15*Inputs!$C$9*1</f>
        <v>624</v>
      </c>
      <c r="BI142" s="120" t="n">
        <f aca="false">Inputs!$C$14*Inputs!$C$15*Inputs!$C$9*1</f>
        <v>624</v>
      </c>
      <c r="BJ142" s="120" t="n">
        <f aca="false">Inputs!$C$14*Inputs!$C$15*Inputs!$C$9*1</f>
        <v>624</v>
      </c>
    </row>
    <row r="143" customFormat="false" ht="15" hidden="false" customHeight="false" outlineLevel="0" collapsed="false">
      <c r="A143" s="6" t="s">
        <v>417</v>
      </c>
      <c r="C143" s="120" t="n">
        <f aca="false">C141*Inputs!$C$16*Inputs!$C$9*1</f>
        <v>572</v>
      </c>
      <c r="D143" s="120" t="n">
        <f aca="false">D141*Inputs!$C$16*Inputs!$C$9*1</f>
        <v>572</v>
      </c>
      <c r="E143" s="120" t="n">
        <f aca="false">E141*Inputs!$C$16*Inputs!$C$9*1</f>
        <v>572</v>
      </c>
      <c r="F143" s="120" t="n">
        <f aca="false">F141*Inputs!$C$16*Inputs!$C$9*1</f>
        <v>572</v>
      </c>
      <c r="G143" s="120" t="n">
        <f aca="false">G141*Inputs!$C$16*Inputs!$C$9*1</f>
        <v>572</v>
      </c>
      <c r="H143" s="120" t="n">
        <f aca="false">H141*Inputs!$C$16*Inputs!$C$9*1</f>
        <v>572</v>
      </c>
      <c r="I143" s="120" t="n">
        <f aca="false">I141*Inputs!$C$16*Inputs!$C$9*1</f>
        <v>572</v>
      </c>
      <c r="J143" s="120" t="n">
        <f aca="false">J141*Inputs!$C$16*Inputs!$C$9*1</f>
        <v>572</v>
      </c>
      <c r="K143" s="120" t="n">
        <f aca="false">K141*Inputs!$C$16*Inputs!$C$9*1</f>
        <v>572</v>
      </c>
      <c r="L143" s="120" t="n">
        <f aca="false">L141*Inputs!$C$16*Inputs!$C$9*1</f>
        <v>572</v>
      </c>
      <c r="M143" s="120" t="n">
        <f aca="false">M141*Inputs!$C$16*Inputs!$C$9*1</f>
        <v>572</v>
      </c>
      <c r="N143" s="120" t="n">
        <f aca="false">N141*Inputs!$C$16*Inputs!$C$9*1</f>
        <v>572</v>
      </c>
      <c r="O143" s="120" t="n">
        <f aca="false">O141*Inputs!$C$16*Inputs!$C$9*1</f>
        <v>572</v>
      </c>
      <c r="P143" s="120" t="n">
        <f aca="false">P141*Inputs!$C$16*Inputs!$C$9*1</f>
        <v>572</v>
      </c>
      <c r="Q143" s="120" t="n">
        <f aca="false">Q141*Inputs!$C$16*Inputs!$C$9*1</f>
        <v>572</v>
      </c>
      <c r="R143" s="120" t="n">
        <f aca="false">R141*Inputs!$C$16*Inputs!$C$9*1</f>
        <v>572</v>
      </c>
      <c r="S143" s="120" t="n">
        <f aca="false">S141*Inputs!$C$16*Inputs!$C$9*1</f>
        <v>572</v>
      </c>
      <c r="T143" s="120" t="n">
        <f aca="false">T141*Inputs!$C$16*Inputs!$C$9*1</f>
        <v>572</v>
      </c>
      <c r="U143" s="120" t="n">
        <f aca="false">U141*Inputs!$C$16*Inputs!$C$9*1</f>
        <v>572</v>
      </c>
      <c r="V143" s="120" t="n">
        <f aca="false">V141*Inputs!$C$16*Inputs!$C$9*1</f>
        <v>572</v>
      </c>
      <c r="W143" s="120" t="n">
        <f aca="false">W141*Inputs!$C$16*Inputs!$C$9*1</f>
        <v>572</v>
      </c>
      <c r="X143" s="120" t="n">
        <f aca="false">X141*Inputs!$C$16*Inputs!$C$9*1</f>
        <v>572</v>
      </c>
      <c r="Y143" s="120" t="n">
        <f aca="false">Y141*Inputs!$C$16*Inputs!$C$9*1</f>
        <v>572</v>
      </c>
      <c r="Z143" s="120" t="n">
        <f aca="false">Z141*Inputs!$C$16*Inputs!$C$9*1</f>
        <v>572</v>
      </c>
      <c r="AA143" s="120" t="n">
        <f aca="false">AA141*Inputs!$C$16*Inputs!$C$9*1</f>
        <v>572</v>
      </c>
      <c r="AB143" s="120" t="n">
        <f aca="false">AB141*Inputs!$C$16*Inputs!$C$9*1</f>
        <v>572</v>
      </c>
      <c r="AC143" s="120" t="n">
        <f aca="false">AC141*Inputs!$C$16*Inputs!$C$9*1</f>
        <v>572</v>
      </c>
      <c r="AD143" s="120" t="n">
        <f aca="false">AD141*Inputs!$C$16*Inputs!$C$9*1</f>
        <v>572</v>
      </c>
      <c r="AE143" s="120" t="n">
        <f aca="false">AE141*Inputs!$C$16*Inputs!$C$9*1</f>
        <v>572</v>
      </c>
      <c r="AF143" s="120" t="n">
        <f aca="false">AF141*Inputs!$C$16*Inputs!$C$9*1</f>
        <v>572</v>
      </c>
      <c r="AG143" s="120" t="n">
        <f aca="false">AG141*Inputs!$C$16*Inputs!$C$9*1</f>
        <v>572</v>
      </c>
      <c r="AH143" s="120" t="n">
        <f aca="false">AH141*Inputs!$C$16*Inputs!$C$9*1</f>
        <v>572</v>
      </c>
      <c r="AI143" s="120" t="n">
        <f aca="false">AI141*Inputs!$C$16*Inputs!$C$9*1</f>
        <v>572</v>
      </c>
      <c r="AJ143" s="120" t="n">
        <f aca="false">AJ141*Inputs!$C$16*Inputs!$C$9*1</f>
        <v>572</v>
      </c>
      <c r="AK143" s="120" t="n">
        <f aca="false">AK141*Inputs!$C$16*Inputs!$C$9*1</f>
        <v>572</v>
      </c>
      <c r="AL143" s="120" t="n">
        <f aca="false">AL141*Inputs!$C$16*Inputs!$C$9*1</f>
        <v>572</v>
      </c>
      <c r="AM143" s="120" t="n">
        <f aca="false">AM141*Inputs!$C$16*Inputs!$C$9*1</f>
        <v>572</v>
      </c>
      <c r="AN143" s="120" t="n">
        <f aca="false">AN141*Inputs!$C$16*Inputs!$C$9*1</f>
        <v>572</v>
      </c>
      <c r="AO143" s="120" t="n">
        <f aca="false">AO141*Inputs!$C$16*Inputs!$C$9*1</f>
        <v>572</v>
      </c>
      <c r="AP143" s="120" t="n">
        <f aca="false">AP141*Inputs!$C$16*Inputs!$C$9*1</f>
        <v>572</v>
      </c>
      <c r="AQ143" s="120" t="n">
        <f aca="false">AQ141*Inputs!$C$16*Inputs!$C$9*1</f>
        <v>572</v>
      </c>
      <c r="AR143" s="120" t="n">
        <f aca="false">AR141*Inputs!$C$16*Inputs!$C$9*1</f>
        <v>572</v>
      </c>
      <c r="AS143" s="120" t="n">
        <f aca="false">AS141*Inputs!$C$16*Inputs!$C$9*1</f>
        <v>572</v>
      </c>
      <c r="AT143" s="120" t="n">
        <f aca="false">AT141*Inputs!$C$16*Inputs!$C$9*1</f>
        <v>572</v>
      </c>
      <c r="AU143" s="120" t="n">
        <f aca="false">AU141*Inputs!$C$16*Inputs!$C$9*1</f>
        <v>572</v>
      </c>
      <c r="AV143" s="120" t="n">
        <f aca="false">AV141*Inputs!$C$16*Inputs!$C$9*1</f>
        <v>572</v>
      </c>
      <c r="AW143" s="120" t="n">
        <f aca="false">AW141*Inputs!$C$16*Inputs!$C$9*1</f>
        <v>572</v>
      </c>
      <c r="AX143" s="120" t="n">
        <f aca="false">AX141*Inputs!$C$16*Inputs!$C$9*1</f>
        <v>572</v>
      </c>
      <c r="AY143" s="120" t="n">
        <f aca="false">AY141*Inputs!$C$16*Inputs!$C$9*1</f>
        <v>572</v>
      </c>
      <c r="AZ143" s="120" t="n">
        <f aca="false">AZ141*Inputs!$C$16*Inputs!$C$9*1</f>
        <v>572</v>
      </c>
      <c r="BA143" s="120" t="n">
        <f aca="false">BA141*Inputs!$C$16*Inputs!$C$9*1</f>
        <v>572</v>
      </c>
      <c r="BB143" s="120" t="n">
        <f aca="false">BB141*Inputs!$C$16*Inputs!$C$9*1</f>
        <v>572</v>
      </c>
      <c r="BC143" s="120" t="n">
        <f aca="false">BC141*Inputs!$C$16*Inputs!$C$9*1</f>
        <v>572</v>
      </c>
      <c r="BD143" s="120" t="n">
        <f aca="false">BD141*Inputs!$C$16*Inputs!$C$9*1</f>
        <v>572</v>
      </c>
      <c r="BE143" s="120" t="n">
        <f aca="false">BE141*Inputs!$C$16*Inputs!$C$9*1</f>
        <v>572</v>
      </c>
      <c r="BF143" s="120" t="n">
        <f aca="false">BF141*Inputs!$C$16*Inputs!$C$9*1</f>
        <v>572</v>
      </c>
      <c r="BG143" s="120" t="n">
        <f aca="false">BG141*Inputs!$C$16*Inputs!$C$9*1</f>
        <v>572</v>
      </c>
      <c r="BH143" s="120" t="n">
        <f aca="false">BH141*Inputs!$C$16*Inputs!$C$9*1</f>
        <v>572</v>
      </c>
      <c r="BI143" s="120" t="n">
        <f aca="false">BI141*Inputs!$C$16*Inputs!$C$9*1</f>
        <v>572</v>
      </c>
      <c r="BJ143" s="120" t="n">
        <f aca="false">BJ141*Inputs!$C$16*Inputs!$C$9*1</f>
        <v>572</v>
      </c>
    </row>
    <row r="144" customFormat="false" ht="15" hidden="false" customHeight="false" outlineLevel="0" collapsed="false">
      <c r="A144" s="6" t="s">
        <v>234</v>
      </c>
      <c r="C144" s="120" t="n">
        <f aca="false">MIN(C142,C143)</f>
        <v>572</v>
      </c>
      <c r="D144" s="120" t="n">
        <f aca="false">MIN(D142,D143)</f>
        <v>572</v>
      </c>
      <c r="E144" s="120" t="n">
        <f aca="false">MIN(E142,E143)</f>
        <v>572</v>
      </c>
      <c r="F144" s="120" t="n">
        <f aca="false">MIN(F142,F143)</f>
        <v>572</v>
      </c>
      <c r="G144" s="120" t="n">
        <f aca="false">MIN(G142,G143)</f>
        <v>572</v>
      </c>
      <c r="H144" s="120" t="n">
        <f aca="false">MIN(H142,H143)</f>
        <v>572</v>
      </c>
      <c r="I144" s="120" t="n">
        <f aca="false">MIN(I142,I143)</f>
        <v>572</v>
      </c>
      <c r="J144" s="120" t="n">
        <f aca="false">MIN(J142,J143)</f>
        <v>572</v>
      </c>
      <c r="K144" s="120" t="n">
        <f aca="false">MIN(K142,K143)</f>
        <v>572</v>
      </c>
      <c r="L144" s="120" t="n">
        <f aca="false">MIN(L142,L143)</f>
        <v>572</v>
      </c>
      <c r="M144" s="120" t="n">
        <f aca="false">MIN(M142,M143)</f>
        <v>572</v>
      </c>
      <c r="N144" s="120" t="n">
        <f aca="false">MIN(N142,N143)</f>
        <v>572</v>
      </c>
      <c r="O144" s="120" t="n">
        <f aca="false">MIN(O142,O143)</f>
        <v>572</v>
      </c>
      <c r="P144" s="120" t="n">
        <f aca="false">MIN(P142,P143)</f>
        <v>572</v>
      </c>
      <c r="Q144" s="120" t="n">
        <f aca="false">MIN(Q142,Q143)</f>
        <v>572</v>
      </c>
      <c r="R144" s="120" t="n">
        <f aca="false">MIN(R142,R143)</f>
        <v>572</v>
      </c>
      <c r="S144" s="120" t="n">
        <f aca="false">MIN(S142,S143)</f>
        <v>572</v>
      </c>
      <c r="T144" s="120" t="n">
        <f aca="false">MIN(T142,T143)</f>
        <v>572</v>
      </c>
      <c r="U144" s="120" t="n">
        <f aca="false">MIN(U142,U143)</f>
        <v>572</v>
      </c>
      <c r="V144" s="120" t="n">
        <f aca="false">MIN(V142,V143)</f>
        <v>572</v>
      </c>
      <c r="W144" s="120" t="n">
        <f aca="false">MIN(W142,W143)</f>
        <v>572</v>
      </c>
      <c r="X144" s="120" t="n">
        <f aca="false">MIN(X142,X143)</f>
        <v>572</v>
      </c>
      <c r="Y144" s="120" t="n">
        <f aca="false">MIN(Y142,Y143)</f>
        <v>572</v>
      </c>
      <c r="Z144" s="120" t="n">
        <f aca="false">MIN(Z142,Z143)</f>
        <v>572</v>
      </c>
      <c r="AA144" s="120" t="n">
        <f aca="false">MIN(AA142,AA143)</f>
        <v>572</v>
      </c>
      <c r="AB144" s="120" t="n">
        <f aca="false">MIN(AB142,AB143)</f>
        <v>572</v>
      </c>
      <c r="AC144" s="120" t="n">
        <f aca="false">MIN(AC142,AC143)</f>
        <v>572</v>
      </c>
      <c r="AD144" s="120" t="n">
        <f aca="false">MIN(AD142,AD143)</f>
        <v>572</v>
      </c>
      <c r="AE144" s="120" t="n">
        <f aca="false">MIN(AE142,AE143)</f>
        <v>572</v>
      </c>
      <c r="AF144" s="120" t="n">
        <f aca="false">MIN(AF142,AF143)</f>
        <v>572</v>
      </c>
      <c r="AG144" s="120" t="n">
        <f aca="false">MIN(AG142,AG143)</f>
        <v>572</v>
      </c>
      <c r="AH144" s="120" t="n">
        <f aca="false">MIN(AH142,AH143)</f>
        <v>572</v>
      </c>
      <c r="AI144" s="120" t="n">
        <f aca="false">MIN(AI142,AI143)</f>
        <v>572</v>
      </c>
      <c r="AJ144" s="120" t="n">
        <f aca="false">MIN(AJ142,AJ143)</f>
        <v>572</v>
      </c>
      <c r="AK144" s="120" t="n">
        <f aca="false">MIN(AK142,AK143)</f>
        <v>572</v>
      </c>
      <c r="AL144" s="120" t="n">
        <f aca="false">MIN(AL142,AL143)</f>
        <v>572</v>
      </c>
      <c r="AM144" s="120" t="n">
        <f aca="false">MIN(AM142,AM143)</f>
        <v>572</v>
      </c>
      <c r="AN144" s="120" t="n">
        <f aca="false">MIN(AN142,AN143)</f>
        <v>572</v>
      </c>
      <c r="AO144" s="120" t="n">
        <f aca="false">MIN(AO142,AO143)</f>
        <v>572</v>
      </c>
      <c r="AP144" s="120" t="n">
        <f aca="false">MIN(AP142,AP143)</f>
        <v>572</v>
      </c>
      <c r="AQ144" s="120" t="n">
        <f aca="false">MIN(AQ142,AQ143)</f>
        <v>572</v>
      </c>
      <c r="AR144" s="120" t="n">
        <f aca="false">MIN(AR142,AR143)</f>
        <v>572</v>
      </c>
      <c r="AS144" s="120" t="n">
        <f aca="false">MIN(AS142,AS143)</f>
        <v>572</v>
      </c>
      <c r="AT144" s="120" t="n">
        <f aca="false">MIN(AT142,AT143)</f>
        <v>572</v>
      </c>
      <c r="AU144" s="120" t="n">
        <f aca="false">MIN(AU142,AU143)</f>
        <v>572</v>
      </c>
      <c r="AV144" s="120" t="n">
        <f aca="false">MIN(AV142,AV143)</f>
        <v>572</v>
      </c>
      <c r="AW144" s="120" t="n">
        <f aca="false">MIN(AW142,AW143)</f>
        <v>572</v>
      </c>
      <c r="AX144" s="120" t="n">
        <f aca="false">MIN(AX142,AX143)</f>
        <v>572</v>
      </c>
      <c r="AY144" s="120" t="n">
        <f aca="false">MIN(AY142,AY143)</f>
        <v>572</v>
      </c>
      <c r="AZ144" s="120" t="n">
        <f aca="false">MIN(AZ142,AZ143)</f>
        <v>572</v>
      </c>
      <c r="BA144" s="120" t="n">
        <f aca="false">MIN(BA142,BA143)</f>
        <v>572</v>
      </c>
      <c r="BB144" s="120" t="n">
        <f aca="false">MIN(BB142,BB143)</f>
        <v>572</v>
      </c>
      <c r="BC144" s="120" t="n">
        <f aca="false">MIN(BC142,BC143)</f>
        <v>572</v>
      </c>
      <c r="BD144" s="120" t="n">
        <f aca="false">MIN(BD142,BD143)</f>
        <v>572</v>
      </c>
      <c r="BE144" s="120" t="n">
        <f aca="false">MIN(BE142,BE143)</f>
        <v>572</v>
      </c>
      <c r="BF144" s="120" t="n">
        <f aca="false">MIN(BF142,BF143)</f>
        <v>572</v>
      </c>
      <c r="BG144" s="120" t="n">
        <f aca="false">MIN(BG142,BG143)</f>
        <v>572</v>
      </c>
      <c r="BH144" s="120" t="n">
        <f aca="false">MIN(BH142,BH143)</f>
        <v>572</v>
      </c>
      <c r="BI144" s="120" t="n">
        <f aca="false">MIN(BI142,BI143)</f>
        <v>572</v>
      </c>
      <c r="BJ144" s="120" t="n">
        <f aca="false">MIN(BJ142,BJ143)</f>
        <v>572</v>
      </c>
    </row>
    <row r="145" customFormat="false" ht="15" hidden="false" customHeight="false" outlineLevel="0" collapsed="false">
      <c r="A145" s="4" t="s">
        <v>418</v>
      </c>
      <c r="C145" s="122" t="n">
        <f aca="false">MIN(C138,C144)</f>
        <v>166.4</v>
      </c>
      <c r="D145" s="122" t="n">
        <f aca="false">MIN(D138,D144)</f>
        <v>191.36</v>
      </c>
      <c r="E145" s="122" t="n">
        <f aca="false">MIN(E138,E144)</f>
        <v>216.32</v>
      </c>
      <c r="F145" s="122" t="n">
        <f aca="false">MIN(F138,F144)</f>
        <v>241.28</v>
      </c>
      <c r="G145" s="122" t="n">
        <f aca="false">MIN(G138,G144)</f>
        <v>266.24</v>
      </c>
      <c r="H145" s="122" t="n">
        <f aca="false">MIN(H138,H144)</f>
        <v>291.2</v>
      </c>
      <c r="I145" s="122" t="n">
        <f aca="false">MIN(I138,I144)</f>
        <v>316.16</v>
      </c>
      <c r="J145" s="122" t="n">
        <f aca="false">MIN(J138,J144)</f>
        <v>341.12</v>
      </c>
      <c r="K145" s="122" t="n">
        <f aca="false">MIN(K138,K144)</f>
        <v>366.08</v>
      </c>
      <c r="L145" s="122" t="n">
        <f aca="false">MIN(L138,L144)</f>
        <v>391.04</v>
      </c>
      <c r="M145" s="122" t="n">
        <f aca="false">MIN(M138,M144)</f>
        <v>416</v>
      </c>
      <c r="N145" s="122" t="n">
        <f aca="false">MIN(N138,N144)</f>
        <v>416</v>
      </c>
      <c r="O145" s="122" t="n">
        <f aca="false">MIN(O138,O144)</f>
        <v>428.48</v>
      </c>
      <c r="P145" s="122" t="n">
        <f aca="false">MIN(P138,P144)</f>
        <v>428.48</v>
      </c>
      <c r="Q145" s="122" t="n">
        <f aca="false">MIN(Q138,Q144)</f>
        <v>428.48</v>
      </c>
      <c r="R145" s="122" t="n">
        <f aca="false">MIN(R138,R144)</f>
        <v>428.48</v>
      </c>
      <c r="S145" s="122" t="n">
        <f aca="false">MIN(S138,S144)</f>
        <v>428.48</v>
      </c>
      <c r="T145" s="122" t="n">
        <f aca="false">MIN(T138,T144)</f>
        <v>428.48</v>
      </c>
      <c r="U145" s="122" t="n">
        <f aca="false">MIN(U138,U144)</f>
        <v>428.48</v>
      </c>
      <c r="V145" s="122" t="n">
        <f aca="false">MIN(V138,V144)</f>
        <v>428.48</v>
      </c>
      <c r="W145" s="122" t="n">
        <f aca="false">MIN(W138,W144)</f>
        <v>428.48</v>
      </c>
      <c r="X145" s="122" t="n">
        <f aca="false">MIN(X138,X144)</f>
        <v>428.48</v>
      </c>
      <c r="Y145" s="122" t="n">
        <f aca="false">MIN(Y138,Y144)</f>
        <v>428.48</v>
      </c>
      <c r="Z145" s="122" t="n">
        <f aca="false">MIN(Z138,Z144)</f>
        <v>428.48</v>
      </c>
      <c r="AA145" s="122" t="n">
        <f aca="false">MIN(AA138,AA144)</f>
        <v>441.3344</v>
      </c>
      <c r="AB145" s="122" t="n">
        <f aca="false">MIN(AB138,AB144)</f>
        <v>441.3344</v>
      </c>
      <c r="AC145" s="122" t="n">
        <f aca="false">MIN(AC138,AC144)</f>
        <v>441.3344</v>
      </c>
      <c r="AD145" s="122" t="n">
        <f aca="false">MIN(AD138,AD144)</f>
        <v>441.3344</v>
      </c>
      <c r="AE145" s="122" t="n">
        <f aca="false">MIN(AE138,AE144)</f>
        <v>441.3344</v>
      </c>
      <c r="AF145" s="122" t="n">
        <f aca="false">MIN(AF138,AF144)</f>
        <v>441.3344</v>
      </c>
      <c r="AG145" s="122" t="n">
        <f aca="false">MIN(AG138,AG144)</f>
        <v>441.3344</v>
      </c>
      <c r="AH145" s="122" t="n">
        <f aca="false">MIN(AH138,AH144)</f>
        <v>441.3344</v>
      </c>
      <c r="AI145" s="122" t="n">
        <f aca="false">MIN(AI138,AI144)</f>
        <v>441.3344</v>
      </c>
      <c r="AJ145" s="122" t="n">
        <f aca="false">MIN(AJ138,AJ144)</f>
        <v>441.3344</v>
      </c>
      <c r="AK145" s="122" t="n">
        <f aca="false">MIN(AK138,AK144)</f>
        <v>441.3344</v>
      </c>
      <c r="AL145" s="122" t="n">
        <f aca="false">MIN(AL138,AL144)</f>
        <v>441.3344</v>
      </c>
      <c r="AM145" s="122" t="n">
        <f aca="false">MIN(AM138,AM144)</f>
        <v>454.574432</v>
      </c>
      <c r="AN145" s="122" t="n">
        <f aca="false">MIN(AN138,AN144)</f>
        <v>454.574432</v>
      </c>
      <c r="AO145" s="122" t="n">
        <f aca="false">MIN(AO138,AO144)</f>
        <v>454.574432</v>
      </c>
      <c r="AP145" s="122" t="n">
        <f aca="false">MIN(AP138,AP144)</f>
        <v>454.574432</v>
      </c>
      <c r="AQ145" s="122" t="n">
        <f aca="false">MIN(AQ138,AQ144)</f>
        <v>454.574432</v>
      </c>
      <c r="AR145" s="122" t="n">
        <f aca="false">MIN(AR138,AR144)</f>
        <v>454.574432</v>
      </c>
      <c r="AS145" s="122" t="n">
        <f aca="false">MIN(AS138,AS144)</f>
        <v>454.574432</v>
      </c>
      <c r="AT145" s="122" t="n">
        <f aca="false">MIN(AT138,AT144)</f>
        <v>454.574432</v>
      </c>
      <c r="AU145" s="122" t="n">
        <f aca="false">MIN(AU138,AU144)</f>
        <v>454.574432</v>
      </c>
      <c r="AV145" s="122" t="n">
        <f aca="false">MIN(AV138,AV144)</f>
        <v>454.574432</v>
      </c>
      <c r="AW145" s="122" t="n">
        <f aca="false">MIN(AW138,AW144)</f>
        <v>454.574432</v>
      </c>
      <c r="AX145" s="122" t="n">
        <f aca="false">MIN(AX138,AX144)</f>
        <v>454.574432</v>
      </c>
      <c r="AY145" s="122" t="n">
        <f aca="false">MIN(AY138,AY144)</f>
        <v>468.21166496</v>
      </c>
      <c r="AZ145" s="122" t="n">
        <f aca="false">MIN(AZ138,AZ144)</f>
        <v>468.21166496</v>
      </c>
      <c r="BA145" s="122" t="n">
        <f aca="false">MIN(BA138,BA144)</f>
        <v>468.21166496</v>
      </c>
      <c r="BB145" s="122" t="n">
        <f aca="false">MIN(BB138,BB144)</f>
        <v>468.21166496</v>
      </c>
      <c r="BC145" s="122" t="n">
        <f aca="false">MIN(BC138,BC144)</f>
        <v>468.21166496</v>
      </c>
      <c r="BD145" s="122" t="n">
        <f aca="false">MIN(BD138,BD144)</f>
        <v>468.21166496</v>
      </c>
      <c r="BE145" s="122" t="n">
        <f aca="false">MIN(BE138,BE144)</f>
        <v>468.21166496</v>
      </c>
      <c r="BF145" s="122" t="n">
        <f aca="false">MIN(BF138,BF144)</f>
        <v>468.21166496</v>
      </c>
      <c r="BG145" s="122" t="n">
        <f aca="false">MIN(BG138,BG144)</f>
        <v>468.21166496</v>
      </c>
      <c r="BH145" s="122" t="n">
        <f aca="false">MIN(BH138,BH144)</f>
        <v>468.21166496</v>
      </c>
      <c r="BI145" s="122" t="n">
        <f aca="false">MIN(BI138,BI144)</f>
        <v>468.21166496</v>
      </c>
      <c r="BJ145" s="122" t="n">
        <f aca="false">MIN(BJ138,BJ144)</f>
        <v>468.21166496</v>
      </c>
    </row>
    <row r="146" customFormat="false" ht="15" hidden="false" customHeight="false" outlineLevel="0" collapsed="false">
      <c r="A146" s="6" t="s">
        <v>235</v>
      </c>
      <c r="C146" s="120" t="n">
        <f aca="false">C138-C145</f>
        <v>0</v>
      </c>
      <c r="D146" s="120" t="n">
        <f aca="false">D138-D145</f>
        <v>0</v>
      </c>
      <c r="E146" s="120" t="n">
        <f aca="false">E138-E145</f>
        <v>0</v>
      </c>
      <c r="F146" s="120" t="n">
        <f aca="false">F138-F145</f>
        <v>0</v>
      </c>
      <c r="G146" s="120" t="n">
        <f aca="false">G138-G145</f>
        <v>0</v>
      </c>
      <c r="H146" s="120" t="n">
        <f aca="false">H138-H145</f>
        <v>0</v>
      </c>
      <c r="I146" s="120" t="n">
        <f aca="false">I138-I145</f>
        <v>0</v>
      </c>
      <c r="J146" s="120" t="n">
        <f aca="false">J138-J145</f>
        <v>0</v>
      </c>
      <c r="K146" s="120" t="n">
        <f aca="false">K138-K145</f>
        <v>0</v>
      </c>
      <c r="L146" s="120" t="n">
        <f aca="false">L138-L145</f>
        <v>0</v>
      </c>
      <c r="M146" s="120" t="n">
        <f aca="false">M138-M145</f>
        <v>0</v>
      </c>
      <c r="N146" s="120" t="n">
        <f aca="false">N138-N145</f>
        <v>0</v>
      </c>
      <c r="O146" s="120" t="n">
        <f aca="false">O138-O145</f>
        <v>0</v>
      </c>
      <c r="P146" s="120" t="n">
        <f aca="false">P138-P145</f>
        <v>0</v>
      </c>
      <c r="Q146" s="120" t="n">
        <f aca="false">Q138-Q145</f>
        <v>0</v>
      </c>
      <c r="R146" s="120" t="n">
        <f aca="false">R138-R145</f>
        <v>0</v>
      </c>
      <c r="S146" s="120" t="n">
        <f aca="false">S138-S145</f>
        <v>0</v>
      </c>
      <c r="T146" s="120" t="n">
        <f aca="false">T138-T145</f>
        <v>0</v>
      </c>
      <c r="U146" s="120" t="n">
        <f aca="false">U138-U145</f>
        <v>0</v>
      </c>
      <c r="V146" s="120" t="n">
        <f aca="false">V138-V145</f>
        <v>0</v>
      </c>
      <c r="W146" s="120" t="n">
        <f aca="false">W138-W145</f>
        <v>0</v>
      </c>
      <c r="X146" s="120" t="n">
        <f aca="false">X138-X145</f>
        <v>0</v>
      </c>
      <c r="Y146" s="120" t="n">
        <f aca="false">Y138-Y145</f>
        <v>0</v>
      </c>
      <c r="Z146" s="120" t="n">
        <f aca="false">Z138-Z145</f>
        <v>0</v>
      </c>
      <c r="AA146" s="120" t="n">
        <f aca="false">AA138-AA145</f>
        <v>0</v>
      </c>
      <c r="AB146" s="120" t="n">
        <f aca="false">AB138-AB145</f>
        <v>0</v>
      </c>
      <c r="AC146" s="120" t="n">
        <f aca="false">AC138-AC145</f>
        <v>0</v>
      </c>
      <c r="AD146" s="120" t="n">
        <f aca="false">AD138-AD145</f>
        <v>0</v>
      </c>
      <c r="AE146" s="120" t="n">
        <f aca="false">AE138-AE145</f>
        <v>0</v>
      </c>
      <c r="AF146" s="120" t="n">
        <f aca="false">AF138-AF145</f>
        <v>0</v>
      </c>
      <c r="AG146" s="120" t="n">
        <f aca="false">AG138-AG145</f>
        <v>0</v>
      </c>
      <c r="AH146" s="120" t="n">
        <f aca="false">AH138-AH145</f>
        <v>0</v>
      </c>
      <c r="AI146" s="120" t="n">
        <f aca="false">AI138-AI145</f>
        <v>0</v>
      </c>
      <c r="AJ146" s="120" t="n">
        <f aca="false">AJ138-AJ145</f>
        <v>0</v>
      </c>
      <c r="AK146" s="120" t="n">
        <f aca="false">AK138-AK145</f>
        <v>0</v>
      </c>
      <c r="AL146" s="120" t="n">
        <f aca="false">AL138-AL145</f>
        <v>0</v>
      </c>
      <c r="AM146" s="120" t="n">
        <f aca="false">AM138-AM145</f>
        <v>0</v>
      </c>
      <c r="AN146" s="120" t="n">
        <f aca="false">AN138-AN145</f>
        <v>0</v>
      </c>
      <c r="AO146" s="120" t="n">
        <f aca="false">AO138-AO145</f>
        <v>0</v>
      </c>
      <c r="AP146" s="120" t="n">
        <f aca="false">AP138-AP145</f>
        <v>0</v>
      </c>
      <c r="AQ146" s="120" t="n">
        <f aca="false">AQ138-AQ145</f>
        <v>0</v>
      </c>
      <c r="AR146" s="120" t="n">
        <f aca="false">AR138-AR145</f>
        <v>0</v>
      </c>
      <c r="AS146" s="120" t="n">
        <f aca="false">AS138-AS145</f>
        <v>0</v>
      </c>
      <c r="AT146" s="120" t="n">
        <f aca="false">AT138-AT145</f>
        <v>0</v>
      </c>
      <c r="AU146" s="120" t="n">
        <f aca="false">AU138-AU145</f>
        <v>0</v>
      </c>
      <c r="AV146" s="120" t="n">
        <f aca="false">AV138-AV145</f>
        <v>0</v>
      </c>
      <c r="AW146" s="120" t="n">
        <f aca="false">AW138-AW145</f>
        <v>0</v>
      </c>
      <c r="AX146" s="120" t="n">
        <f aca="false">AX138-AX145</f>
        <v>0</v>
      </c>
      <c r="AY146" s="120" t="n">
        <f aca="false">AY138-AY145</f>
        <v>0</v>
      </c>
      <c r="AZ146" s="120" t="n">
        <f aca="false">AZ138-AZ145</f>
        <v>0</v>
      </c>
      <c r="BA146" s="120" t="n">
        <f aca="false">BA138-BA145</f>
        <v>0</v>
      </c>
      <c r="BB146" s="120" t="n">
        <f aca="false">BB138-BB145</f>
        <v>0</v>
      </c>
      <c r="BC146" s="120" t="n">
        <f aca="false">BC138-BC145</f>
        <v>0</v>
      </c>
      <c r="BD146" s="120" t="n">
        <f aca="false">BD138-BD145</f>
        <v>0</v>
      </c>
      <c r="BE146" s="120" t="n">
        <f aca="false">BE138-BE145</f>
        <v>0</v>
      </c>
      <c r="BF146" s="120" t="n">
        <f aca="false">BF138-BF145</f>
        <v>0</v>
      </c>
      <c r="BG146" s="120" t="n">
        <f aca="false">BG138-BG145</f>
        <v>0</v>
      </c>
      <c r="BH146" s="120" t="n">
        <f aca="false">BH138-BH145</f>
        <v>0</v>
      </c>
      <c r="BI146" s="120" t="n">
        <f aca="false">BI138-BI145</f>
        <v>0</v>
      </c>
      <c r="BJ146" s="120" t="n">
        <f aca="false">BJ138-BJ145</f>
        <v>0</v>
      </c>
    </row>
    <row r="148" customFormat="false" ht="15.75" hidden="false" customHeight="true" outlineLevel="0" collapsed="false">
      <c r="A148" s="7" t="s">
        <v>272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customFormat="false" ht="15" hidden="false" customHeight="false" outlineLevel="0" collapsed="false">
      <c r="A149" s="6" t="s">
        <v>419</v>
      </c>
      <c r="C149" s="79" t="n">
        <f aca="false">IF(OR(AND(MOD(C$132-1,12)&gt;=5,MOD(C$132-1,12)&lt;=7),MOD(C$132-1,12)=11),1+Inputs!$C$28,1-Inputs!$C$28/2)</f>
        <v>0.9</v>
      </c>
      <c r="D149" s="79" t="n">
        <f aca="false">IF(OR(AND(MOD(D$132-1,12)&gt;=5,MOD(D$132-1,12)&lt;=7),MOD(D$132-1,12)=11),1+Inputs!$C$28,1-Inputs!$C$28/2)</f>
        <v>0.9</v>
      </c>
      <c r="E149" s="79" t="n">
        <f aca="false">IF(OR(AND(MOD(E$132-1,12)&gt;=5,MOD(E$132-1,12)&lt;=7),MOD(E$132-1,12)=11),1+Inputs!$C$28,1-Inputs!$C$28/2)</f>
        <v>0.9</v>
      </c>
      <c r="F149" s="79" t="n">
        <f aca="false">IF(OR(AND(MOD(F$132-1,12)&gt;=5,MOD(F$132-1,12)&lt;=7),MOD(F$132-1,12)=11),1+Inputs!$C$28,1-Inputs!$C$28/2)</f>
        <v>0.9</v>
      </c>
      <c r="G149" s="79" t="n">
        <f aca="false">IF(OR(AND(MOD(G$132-1,12)&gt;=5,MOD(G$132-1,12)&lt;=7),MOD(G$132-1,12)=11),1+Inputs!$C$28,1-Inputs!$C$28/2)</f>
        <v>0.9</v>
      </c>
      <c r="H149" s="79" t="n">
        <f aca="false">IF(OR(AND(MOD(H$132-1,12)&gt;=5,MOD(H$132-1,12)&lt;=7),MOD(H$132-1,12)=11),1+Inputs!$C$28,1-Inputs!$C$28/2)</f>
        <v>1.2</v>
      </c>
      <c r="I149" s="79" t="n">
        <f aca="false">IF(OR(AND(MOD(I$132-1,12)&gt;=5,MOD(I$132-1,12)&lt;=7),MOD(I$132-1,12)=11),1+Inputs!$C$28,1-Inputs!$C$28/2)</f>
        <v>1.2</v>
      </c>
      <c r="J149" s="79" t="n">
        <f aca="false">IF(OR(AND(MOD(J$132-1,12)&gt;=5,MOD(J$132-1,12)&lt;=7),MOD(J$132-1,12)=11),1+Inputs!$C$28,1-Inputs!$C$28/2)</f>
        <v>1.2</v>
      </c>
      <c r="K149" s="79" t="n">
        <f aca="false">IF(OR(AND(MOD(K$132-1,12)&gt;=5,MOD(K$132-1,12)&lt;=7),MOD(K$132-1,12)=11),1+Inputs!$C$28,1-Inputs!$C$28/2)</f>
        <v>0.9</v>
      </c>
      <c r="L149" s="79" t="n">
        <f aca="false">IF(OR(AND(MOD(L$132-1,12)&gt;=5,MOD(L$132-1,12)&lt;=7),MOD(L$132-1,12)=11),1+Inputs!$C$28,1-Inputs!$C$28/2)</f>
        <v>0.9</v>
      </c>
      <c r="M149" s="79" t="n">
        <f aca="false">IF(OR(AND(MOD(M$132-1,12)&gt;=5,MOD(M$132-1,12)&lt;=7),MOD(M$132-1,12)=11),1+Inputs!$C$28,1-Inputs!$C$28/2)</f>
        <v>0.9</v>
      </c>
      <c r="N149" s="79" t="n">
        <f aca="false">IF(OR(AND(MOD(N$132-1,12)&gt;=5,MOD(N$132-1,12)&lt;=7),MOD(N$132-1,12)=11),1+Inputs!$C$28,1-Inputs!$C$28/2)</f>
        <v>1.2</v>
      </c>
      <c r="O149" s="79" t="n">
        <f aca="false">IF(OR(AND(MOD(O$132-1,12)&gt;=5,MOD(O$132-1,12)&lt;=7),MOD(O$132-1,12)=11),1+Inputs!$C$28,1-Inputs!$C$28/2)</f>
        <v>0.9</v>
      </c>
      <c r="P149" s="79" t="n">
        <f aca="false">IF(OR(AND(MOD(P$132-1,12)&gt;=5,MOD(P$132-1,12)&lt;=7),MOD(P$132-1,12)=11),1+Inputs!$C$28,1-Inputs!$C$28/2)</f>
        <v>0.9</v>
      </c>
      <c r="Q149" s="79" t="n">
        <f aca="false">IF(OR(AND(MOD(Q$132-1,12)&gt;=5,MOD(Q$132-1,12)&lt;=7),MOD(Q$132-1,12)=11),1+Inputs!$C$28,1-Inputs!$C$28/2)</f>
        <v>0.9</v>
      </c>
      <c r="R149" s="79" t="n">
        <f aca="false">IF(OR(AND(MOD(R$132-1,12)&gt;=5,MOD(R$132-1,12)&lt;=7),MOD(R$132-1,12)=11),1+Inputs!$C$28,1-Inputs!$C$28/2)</f>
        <v>0.9</v>
      </c>
      <c r="S149" s="79" t="n">
        <f aca="false">IF(OR(AND(MOD(S$132-1,12)&gt;=5,MOD(S$132-1,12)&lt;=7),MOD(S$132-1,12)=11),1+Inputs!$C$28,1-Inputs!$C$28/2)</f>
        <v>0.9</v>
      </c>
      <c r="T149" s="79" t="n">
        <f aca="false">IF(OR(AND(MOD(T$132-1,12)&gt;=5,MOD(T$132-1,12)&lt;=7),MOD(T$132-1,12)=11),1+Inputs!$C$28,1-Inputs!$C$28/2)</f>
        <v>1.2</v>
      </c>
      <c r="U149" s="79" t="n">
        <f aca="false">IF(OR(AND(MOD(U$132-1,12)&gt;=5,MOD(U$132-1,12)&lt;=7),MOD(U$132-1,12)=11),1+Inputs!$C$28,1-Inputs!$C$28/2)</f>
        <v>1.2</v>
      </c>
      <c r="V149" s="79" t="n">
        <f aca="false">IF(OR(AND(MOD(V$132-1,12)&gt;=5,MOD(V$132-1,12)&lt;=7),MOD(V$132-1,12)=11),1+Inputs!$C$28,1-Inputs!$C$28/2)</f>
        <v>1.2</v>
      </c>
      <c r="W149" s="79" t="n">
        <f aca="false">IF(OR(AND(MOD(W$132-1,12)&gt;=5,MOD(W$132-1,12)&lt;=7),MOD(W$132-1,12)=11),1+Inputs!$C$28,1-Inputs!$C$28/2)</f>
        <v>0.9</v>
      </c>
      <c r="X149" s="79" t="n">
        <f aca="false">IF(OR(AND(MOD(X$132-1,12)&gt;=5,MOD(X$132-1,12)&lt;=7),MOD(X$132-1,12)=11),1+Inputs!$C$28,1-Inputs!$C$28/2)</f>
        <v>0.9</v>
      </c>
      <c r="Y149" s="79" t="n">
        <f aca="false">IF(OR(AND(MOD(Y$132-1,12)&gt;=5,MOD(Y$132-1,12)&lt;=7),MOD(Y$132-1,12)=11),1+Inputs!$C$28,1-Inputs!$C$28/2)</f>
        <v>0.9</v>
      </c>
      <c r="Z149" s="79" t="n">
        <f aca="false">IF(OR(AND(MOD(Z$132-1,12)&gt;=5,MOD(Z$132-1,12)&lt;=7),MOD(Z$132-1,12)=11),1+Inputs!$C$28,1-Inputs!$C$28/2)</f>
        <v>1.2</v>
      </c>
      <c r="AA149" s="79" t="n">
        <f aca="false">IF(OR(AND(MOD(AA$132-1,12)&gt;=5,MOD(AA$132-1,12)&lt;=7),MOD(AA$132-1,12)=11),1+Inputs!$C$28,1-Inputs!$C$28/2)</f>
        <v>0.9</v>
      </c>
      <c r="AB149" s="79" t="n">
        <f aca="false">IF(OR(AND(MOD(AB$132-1,12)&gt;=5,MOD(AB$132-1,12)&lt;=7),MOD(AB$132-1,12)=11),1+Inputs!$C$28,1-Inputs!$C$28/2)</f>
        <v>0.9</v>
      </c>
      <c r="AC149" s="79" t="n">
        <f aca="false">IF(OR(AND(MOD(AC$132-1,12)&gt;=5,MOD(AC$132-1,12)&lt;=7),MOD(AC$132-1,12)=11),1+Inputs!$C$28,1-Inputs!$C$28/2)</f>
        <v>0.9</v>
      </c>
      <c r="AD149" s="79" t="n">
        <f aca="false">IF(OR(AND(MOD(AD$132-1,12)&gt;=5,MOD(AD$132-1,12)&lt;=7),MOD(AD$132-1,12)=11),1+Inputs!$C$28,1-Inputs!$C$28/2)</f>
        <v>0.9</v>
      </c>
      <c r="AE149" s="79" t="n">
        <f aca="false">IF(OR(AND(MOD(AE$132-1,12)&gt;=5,MOD(AE$132-1,12)&lt;=7),MOD(AE$132-1,12)=11),1+Inputs!$C$28,1-Inputs!$C$28/2)</f>
        <v>0.9</v>
      </c>
      <c r="AF149" s="79" t="n">
        <f aca="false">IF(OR(AND(MOD(AF$132-1,12)&gt;=5,MOD(AF$132-1,12)&lt;=7),MOD(AF$132-1,12)=11),1+Inputs!$C$28,1-Inputs!$C$28/2)</f>
        <v>1.2</v>
      </c>
      <c r="AG149" s="79" t="n">
        <f aca="false">IF(OR(AND(MOD(AG$132-1,12)&gt;=5,MOD(AG$132-1,12)&lt;=7),MOD(AG$132-1,12)=11),1+Inputs!$C$28,1-Inputs!$C$28/2)</f>
        <v>1.2</v>
      </c>
      <c r="AH149" s="79" t="n">
        <f aca="false">IF(OR(AND(MOD(AH$132-1,12)&gt;=5,MOD(AH$132-1,12)&lt;=7),MOD(AH$132-1,12)=11),1+Inputs!$C$28,1-Inputs!$C$28/2)</f>
        <v>1.2</v>
      </c>
      <c r="AI149" s="79" t="n">
        <f aca="false">IF(OR(AND(MOD(AI$132-1,12)&gt;=5,MOD(AI$132-1,12)&lt;=7),MOD(AI$132-1,12)=11),1+Inputs!$C$28,1-Inputs!$C$28/2)</f>
        <v>0.9</v>
      </c>
      <c r="AJ149" s="79" t="n">
        <f aca="false">IF(OR(AND(MOD(AJ$132-1,12)&gt;=5,MOD(AJ$132-1,12)&lt;=7),MOD(AJ$132-1,12)=11),1+Inputs!$C$28,1-Inputs!$C$28/2)</f>
        <v>0.9</v>
      </c>
      <c r="AK149" s="79" t="n">
        <f aca="false">IF(OR(AND(MOD(AK$132-1,12)&gt;=5,MOD(AK$132-1,12)&lt;=7),MOD(AK$132-1,12)=11),1+Inputs!$C$28,1-Inputs!$C$28/2)</f>
        <v>0.9</v>
      </c>
      <c r="AL149" s="79" t="n">
        <f aca="false">IF(OR(AND(MOD(AL$132-1,12)&gt;=5,MOD(AL$132-1,12)&lt;=7),MOD(AL$132-1,12)=11),1+Inputs!$C$28,1-Inputs!$C$28/2)</f>
        <v>1.2</v>
      </c>
      <c r="AM149" s="79" t="n">
        <f aca="false">IF(OR(AND(MOD(AM$132-1,12)&gt;=5,MOD(AM$132-1,12)&lt;=7),MOD(AM$132-1,12)=11),1+Inputs!$C$28,1-Inputs!$C$28/2)</f>
        <v>0.9</v>
      </c>
      <c r="AN149" s="79" t="n">
        <f aca="false">IF(OR(AND(MOD(AN$132-1,12)&gt;=5,MOD(AN$132-1,12)&lt;=7),MOD(AN$132-1,12)=11),1+Inputs!$C$28,1-Inputs!$C$28/2)</f>
        <v>0.9</v>
      </c>
      <c r="AO149" s="79" t="n">
        <f aca="false">IF(OR(AND(MOD(AO$132-1,12)&gt;=5,MOD(AO$132-1,12)&lt;=7),MOD(AO$132-1,12)=11),1+Inputs!$C$28,1-Inputs!$C$28/2)</f>
        <v>0.9</v>
      </c>
      <c r="AP149" s="79" t="n">
        <f aca="false">IF(OR(AND(MOD(AP$132-1,12)&gt;=5,MOD(AP$132-1,12)&lt;=7),MOD(AP$132-1,12)=11),1+Inputs!$C$28,1-Inputs!$C$28/2)</f>
        <v>0.9</v>
      </c>
      <c r="AQ149" s="79" t="n">
        <f aca="false">IF(OR(AND(MOD(AQ$132-1,12)&gt;=5,MOD(AQ$132-1,12)&lt;=7),MOD(AQ$132-1,12)=11),1+Inputs!$C$28,1-Inputs!$C$28/2)</f>
        <v>0.9</v>
      </c>
      <c r="AR149" s="79" t="n">
        <f aca="false">IF(OR(AND(MOD(AR$132-1,12)&gt;=5,MOD(AR$132-1,12)&lt;=7),MOD(AR$132-1,12)=11),1+Inputs!$C$28,1-Inputs!$C$28/2)</f>
        <v>1.2</v>
      </c>
      <c r="AS149" s="79" t="n">
        <f aca="false">IF(OR(AND(MOD(AS$132-1,12)&gt;=5,MOD(AS$132-1,12)&lt;=7),MOD(AS$132-1,12)=11),1+Inputs!$C$28,1-Inputs!$C$28/2)</f>
        <v>1.2</v>
      </c>
      <c r="AT149" s="79" t="n">
        <f aca="false">IF(OR(AND(MOD(AT$132-1,12)&gt;=5,MOD(AT$132-1,12)&lt;=7),MOD(AT$132-1,12)=11),1+Inputs!$C$28,1-Inputs!$C$28/2)</f>
        <v>1.2</v>
      </c>
      <c r="AU149" s="79" t="n">
        <f aca="false">IF(OR(AND(MOD(AU$132-1,12)&gt;=5,MOD(AU$132-1,12)&lt;=7),MOD(AU$132-1,12)=11),1+Inputs!$C$28,1-Inputs!$C$28/2)</f>
        <v>0.9</v>
      </c>
      <c r="AV149" s="79" t="n">
        <f aca="false">IF(OR(AND(MOD(AV$132-1,12)&gt;=5,MOD(AV$132-1,12)&lt;=7),MOD(AV$132-1,12)=11),1+Inputs!$C$28,1-Inputs!$C$28/2)</f>
        <v>0.9</v>
      </c>
      <c r="AW149" s="79" t="n">
        <f aca="false">IF(OR(AND(MOD(AW$132-1,12)&gt;=5,MOD(AW$132-1,12)&lt;=7),MOD(AW$132-1,12)=11),1+Inputs!$C$28,1-Inputs!$C$28/2)</f>
        <v>0.9</v>
      </c>
      <c r="AX149" s="79" t="n">
        <f aca="false">IF(OR(AND(MOD(AX$132-1,12)&gt;=5,MOD(AX$132-1,12)&lt;=7),MOD(AX$132-1,12)=11),1+Inputs!$C$28,1-Inputs!$C$28/2)</f>
        <v>1.2</v>
      </c>
      <c r="AY149" s="79" t="n">
        <f aca="false">IF(OR(AND(MOD(AY$132-1,12)&gt;=5,MOD(AY$132-1,12)&lt;=7),MOD(AY$132-1,12)=11),1+Inputs!$C$28,1-Inputs!$C$28/2)</f>
        <v>0.9</v>
      </c>
      <c r="AZ149" s="79" t="n">
        <f aca="false">IF(OR(AND(MOD(AZ$132-1,12)&gt;=5,MOD(AZ$132-1,12)&lt;=7),MOD(AZ$132-1,12)=11),1+Inputs!$C$28,1-Inputs!$C$28/2)</f>
        <v>0.9</v>
      </c>
      <c r="BA149" s="79" t="n">
        <f aca="false">IF(OR(AND(MOD(BA$132-1,12)&gt;=5,MOD(BA$132-1,12)&lt;=7),MOD(BA$132-1,12)=11),1+Inputs!$C$28,1-Inputs!$C$28/2)</f>
        <v>0.9</v>
      </c>
      <c r="BB149" s="79" t="n">
        <f aca="false">IF(OR(AND(MOD(BB$132-1,12)&gt;=5,MOD(BB$132-1,12)&lt;=7),MOD(BB$132-1,12)=11),1+Inputs!$C$28,1-Inputs!$C$28/2)</f>
        <v>0.9</v>
      </c>
      <c r="BC149" s="79" t="n">
        <f aca="false">IF(OR(AND(MOD(BC$132-1,12)&gt;=5,MOD(BC$132-1,12)&lt;=7),MOD(BC$132-1,12)=11),1+Inputs!$C$28,1-Inputs!$C$28/2)</f>
        <v>0.9</v>
      </c>
      <c r="BD149" s="79" t="n">
        <f aca="false">IF(OR(AND(MOD(BD$132-1,12)&gt;=5,MOD(BD$132-1,12)&lt;=7),MOD(BD$132-1,12)=11),1+Inputs!$C$28,1-Inputs!$C$28/2)</f>
        <v>1.2</v>
      </c>
      <c r="BE149" s="79" t="n">
        <f aca="false">IF(OR(AND(MOD(BE$132-1,12)&gt;=5,MOD(BE$132-1,12)&lt;=7),MOD(BE$132-1,12)=11),1+Inputs!$C$28,1-Inputs!$C$28/2)</f>
        <v>1.2</v>
      </c>
      <c r="BF149" s="79" t="n">
        <f aca="false">IF(OR(AND(MOD(BF$132-1,12)&gt;=5,MOD(BF$132-1,12)&lt;=7),MOD(BF$132-1,12)=11),1+Inputs!$C$28,1-Inputs!$C$28/2)</f>
        <v>1.2</v>
      </c>
      <c r="BG149" s="79" t="n">
        <f aca="false">IF(OR(AND(MOD(BG$132-1,12)&gt;=5,MOD(BG$132-1,12)&lt;=7),MOD(BG$132-1,12)=11),1+Inputs!$C$28,1-Inputs!$C$28/2)</f>
        <v>0.9</v>
      </c>
      <c r="BH149" s="79" t="n">
        <f aca="false">IF(OR(AND(MOD(BH$132-1,12)&gt;=5,MOD(BH$132-1,12)&lt;=7),MOD(BH$132-1,12)=11),1+Inputs!$C$28,1-Inputs!$C$28/2)</f>
        <v>0.9</v>
      </c>
      <c r="BI149" s="79" t="n">
        <f aca="false">IF(OR(AND(MOD(BI$132-1,12)&gt;=5,MOD(BI$132-1,12)&lt;=7),MOD(BI$132-1,12)=11),1+Inputs!$C$28,1-Inputs!$C$28/2)</f>
        <v>0.9</v>
      </c>
      <c r="BJ149" s="79" t="n">
        <f aca="false">IF(OR(AND(MOD(BJ$132-1,12)&gt;=5,MOD(BJ$132-1,12)&lt;=7),MOD(BJ$132-1,12)=11),1+Inputs!$C$28,1-Inputs!$C$28/2)</f>
        <v>1.2</v>
      </c>
    </row>
    <row r="150" customFormat="false" ht="15" hidden="false" customHeight="false" outlineLevel="0" collapsed="false">
      <c r="A150" s="6" t="s">
        <v>420</v>
      </c>
      <c r="C150" s="120" t="n">
        <f aca="false">Inputs!$C$25*Inputs!$C$29*1</f>
        <v>912</v>
      </c>
      <c r="D150" s="120" t="n">
        <f aca="false">Inputs!$C$25*Inputs!$C$29*1</f>
        <v>912</v>
      </c>
      <c r="E150" s="120" t="n">
        <f aca="false">Inputs!$C$25*Inputs!$C$29*1</f>
        <v>912</v>
      </c>
      <c r="F150" s="120" t="n">
        <f aca="false">Inputs!$C$25*Inputs!$C$29*1</f>
        <v>912</v>
      </c>
      <c r="G150" s="120" t="n">
        <f aca="false">Inputs!$C$25*Inputs!$C$29*1</f>
        <v>912</v>
      </c>
      <c r="H150" s="120" t="n">
        <f aca="false">Inputs!$C$25*Inputs!$C$29*1</f>
        <v>912</v>
      </c>
      <c r="I150" s="120" t="n">
        <f aca="false">Inputs!$C$25*Inputs!$C$29*1</f>
        <v>912</v>
      </c>
      <c r="J150" s="120" t="n">
        <f aca="false">Inputs!$C$25*Inputs!$C$29*1</f>
        <v>912</v>
      </c>
      <c r="K150" s="120" t="n">
        <f aca="false">Inputs!$C$25*Inputs!$C$29*1</f>
        <v>912</v>
      </c>
      <c r="L150" s="120" t="n">
        <f aca="false">Inputs!$C$25*Inputs!$C$29*1</f>
        <v>912</v>
      </c>
      <c r="M150" s="120" t="n">
        <f aca="false">Inputs!$C$25*Inputs!$C$29*1</f>
        <v>912</v>
      </c>
      <c r="N150" s="120" t="n">
        <f aca="false">Inputs!$C$25*Inputs!$C$29*1</f>
        <v>912</v>
      </c>
      <c r="O150" s="120" t="n">
        <f aca="false">Inputs!$C$25*Inputs!$C$29*1</f>
        <v>912</v>
      </c>
      <c r="P150" s="120" t="n">
        <f aca="false">Inputs!$C$25*Inputs!$C$29*1</f>
        <v>912</v>
      </c>
      <c r="Q150" s="120" t="n">
        <f aca="false">Inputs!$C$25*Inputs!$C$29*1</f>
        <v>912</v>
      </c>
      <c r="R150" s="120" t="n">
        <f aca="false">Inputs!$C$25*Inputs!$C$29*1</f>
        <v>912</v>
      </c>
      <c r="S150" s="120" t="n">
        <f aca="false">Inputs!$C$25*Inputs!$C$29*1</f>
        <v>912</v>
      </c>
      <c r="T150" s="120" t="n">
        <f aca="false">Inputs!$C$25*Inputs!$C$29*1</f>
        <v>912</v>
      </c>
      <c r="U150" s="120" t="n">
        <f aca="false">Inputs!$C$25*Inputs!$C$29*1</f>
        <v>912</v>
      </c>
      <c r="V150" s="120" t="n">
        <f aca="false">Inputs!$C$25*Inputs!$C$29*1</f>
        <v>912</v>
      </c>
      <c r="W150" s="120" t="n">
        <f aca="false">Inputs!$C$25*Inputs!$C$29*1</f>
        <v>912</v>
      </c>
      <c r="X150" s="120" t="n">
        <f aca="false">Inputs!$C$25*Inputs!$C$29*1</f>
        <v>912</v>
      </c>
      <c r="Y150" s="120" t="n">
        <f aca="false">Inputs!$C$25*Inputs!$C$29*1</f>
        <v>912</v>
      </c>
      <c r="Z150" s="120" t="n">
        <f aca="false">Inputs!$C$25*Inputs!$C$29*1</f>
        <v>912</v>
      </c>
      <c r="AA150" s="120" t="n">
        <f aca="false">Inputs!$C$25*Inputs!$C$29*1</f>
        <v>912</v>
      </c>
      <c r="AB150" s="120" t="n">
        <f aca="false">Inputs!$C$25*Inputs!$C$29*1</f>
        <v>912</v>
      </c>
      <c r="AC150" s="120" t="n">
        <f aca="false">Inputs!$C$25*Inputs!$C$29*1</f>
        <v>912</v>
      </c>
      <c r="AD150" s="120" t="n">
        <f aca="false">Inputs!$C$25*Inputs!$C$29*1</f>
        <v>912</v>
      </c>
      <c r="AE150" s="120" t="n">
        <f aca="false">Inputs!$C$25*Inputs!$C$29*1</f>
        <v>912</v>
      </c>
      <c r="AF150" s="120" t="n">
        <f aca="false">Inputs!$C$25*Inputs!$C$29*1</f>
        <v>912</v>
      </c>
      <c r="AG150" s="120" t="n">
        <f aca="false">Inputs!$C$25*Inputs!$C$29*1</f>
        <v>912</v>
      </c>
      <c r="AH150" s="120" t="n">
        <f aca="false">Inputs!$C$25*Inputs!$C$29*1</f>
        <v>912</v>
      </c>
      <c r="AI150" s="120" t="n">
        <f aca="false">Inputs!$C$25*Inputs!$C$29*1</f>
        <v>912</v>
      </c>
      <c r="AJ150" s="120" t="n">
        <f aca="false">Inputs!$C$25*Inputs!$C$29*1</f>
        <v>912</v>
      </c>
      <c r="AK150" s="120" t="n">
        <f aca="false">Inputs!$C$25*Inputs!$C$29*1</f>
        <v>912</v>
      </c>
      <c r="AL150" s="120" t="n">
        <f aca="false">Inputs!$C$25*Inputs!$C$29*1</f>
        <v>912</v>
      </c>
      <c r="AM150" s="120" t="n">
        <f aca="false">Inputs!$C$25*Inputs!$C$29*1</f>
        <v>912</v>
      </c>
      <c r="AN150" s="120" t="n">
        <f aca="false">Inputs!$C$25*Inputs!$C$29*1</f>
        <v>912</v>
      </c>
      <c r="AO150" s="120" t="n">
        <f aca="false">Inputs!$C$25*Inputs!$C$29*1</f>
        <v>912</v>
      </c>
      <c r="AP150" s="120" t="n">
        <f aca="false">Inputs!$C$25*Inputs!$C$29*1</f>
        <v>912</v>
      </c>
      <c r="AQ150" s="120" t="n">
        <f aca="false">Inputs!$C$25*Inputs!$C$29*1</f>
        <v>912</v>
      </c>
      <c r="AR150" s="120" t="n">
        <f aca="false">Inputs!$C$25*Inputs!$C$29*1</f>
        <v>912</v>
      </c>
      <c r="AS150" s="120" t="n">
        <f aca="false">Inputs!$C$25*Inputs!$C$29*1</f>
        <v>912</v>
      </c>
      <c r="AT150" s="120" t="n">
        <f aca="false">Inputs!$C$25*Inputs!$C$29*1</f>
        <v>912</v>
      </c>
      <c r="AU150" s="120" t="n">
        <f aca="false">Inputs!$C$25*Inputs!$C$29*1</f>
        <v>912</v>
      </c>
      <c r="AV150" s="120" t="n">
        <f aca="false">Inputs!$C$25*Inputs!$C$29*1</f>
        <v>912</v>
      </c>
      <c r="AW150" s="120" t="n">
        <f aca="false">Inputs!$C$25*Inputs!$C$29*1</f>
        <v>912</v>
      </c>
      <c r="AX150" s="120" t="n">
        <f aca="false">Inputs!$C$25*Inputs!$C$29*1</f>
        <v>912</v>
      </c>
      <c r="AY150" s="120" t="n">
        <f aca="false">Inputs!$C$25*Inputs!$C$29*1</f>
        <v>912</v>
      </c>
      <c r="AZ150" s="120" t="n">
        <f aca="false">Inputs!$C$25*Inputs!$C$29*1</f>
        <v>912</v>
      </c>
      <c r="BA150" s="120" t="n">
        <f aca="false">Inputs!$C$25*Inputs!$C$29*1</f>
        <v>912</v>
      </c>
      <c r="BB150" s="120" t="n">
        <f aca="false">Inputs!$C$25*Inputs!$C$29*1</f>
        <v>912</v>
      </c>
      <c r="BC150" s="120" t="n">
        <f aca="false">Inputs!$C$25*Inputs!$C$29*1</f>
        <v>912</v>
      </c>
      <c r="BD150" s="120" t="n">
        <f aca="false">Inputs!$C$25*Inputs!$C$29*1</f>
        <v>912</v>
      </c>
      <c r="BE150" s="120" t="n">
        <f aca="false">Inputs!$C$25*Inputs!$C$29*1</f>
        <v>912</v>
      </c>
      <c r="BF150" s="120" t="n">
        <f aca="false">Inputs!$C$25*Inputs!$C$29*1</f>
        <v>912</v>
      </c>
      <c r="BG150" s="120" t="n">
        <f aca="false">Inputs!$C$25*Inputs!$C$29*1</f>
        <v>912</v>
      </c>
      <c r="BH150" s="120" t="n">
        <f aca="false">Inputs!$C$25*Inputs!$C$29*1</f>
        <v>912</v>
      </c>
      <c r="BI150" s="120" t="n">
        <f aca="false">Inputs!$C$25*Inputs!$C$29*1</f>
        <v>912</v>
      </c>
      <c r="BJ150" s="120" t="n">
        <f aca="false">Inputs!$C$25*Inputs!$C$29*1</f>
        <v>912</v>
      </c>
    </row>
    <row r="151" customFormat="false" ht="15" hidden="false" customHeight="false" outlineLevel="0" collapsed="false">
      <c r="A151" s="38" t="s">
        <v>421</v>
      </c>
      <c r="C151" s="76" t="n">
        <f aca="false">MIN(1,Inputs!$C$26*(1+Inputs!$C$27)^(C$133-1)*C137*C149)</f>
        <v>0.2232</v>
      </c>
      <c r="D151" s="76" t="n">
        <f aca="false">MIN(1,Inputs!$C$26*(1+Inputs!$C$27)^(D$133-1)*D137*D149)</f>
        <v>0.25668</v>
      </c>
      <c r="E151" s="76" t="n">
        <f aca="false">MIN(1,Inputs!$C$26*(1+Inputs!$C$27)^(E$133-1)*E137*E149)</f>
        <v>0.29016</v>
      </c>
      <c r="F151" s="76" t="n">
        <f aca="false">MIN(1,Inputs!$C$26*(1+Inputs!$C$27)^(F$133-1)*F137*F149)</f>
        <v>0.32364</v>
      </c>
      <c r="G151" s="76" t="n">
        <f aca="false">MIN(1,Inputs!$C$26*(1+Inputs!$C$27)^(G$133-1)*G137*G149)</f>
        <v>0.35712</v>
      </c>
      <c r="H151" s="76" t="n">
        <f aca="false">MIN(1,Inputs!$C$26*(1+Inputs!$C$27)^(H$133-1)*H137*H149)</f>
        <v>0.5208</v>
      </c>
      <c r="I151" s="76" t="n">
        <f aca="false">MIN(1,Inputs!$C$26*(1+Inputs!$C$27)^(I$133-1)*I137*I149)</f>
        <v>0.56544</v>
      </c>
      <c r="J151" s="76" t="n">
        <f aca="false">MIN(1,Inputs!$C$26*(1+Inputs!$C$27)^(J$133-1)*J137*J149)</f>
        <v>0.61008</v>
      </c>
      <c r="K151" s="76" t="n">
        <f aca="false">MIN(1,Inputs!$C$26*(1+Inputs!$C$27)^(K$133-1)*K137*K149)</f>
        <v>0.49104</v>
      </c>
      <c r="L151" s="76" t="n">
        <f aca="false">MIN(1,Inputs!$C$26*(1+Inputs!$C$27)^(L$133-1)*L137*L149)</f>
        <v>0.52452</v>
      </c>
      <c r="M151" s="76" t="n">
        <f aca="false">MIN(1,Inputs!$C$26*(1+Inputs!$C$27)^(M$133-1)*M137*M149)</f>
        <v>0.558</v>
      </c>
      <c r="N151" s="76" t="n">
        <f aca="false">MIN(1,Inputs!$C$26*(1+Inputs!$C$27)^(N$133-1)*N137*N149)</f>
        <v>0.744</v>
      </c>
      <c r="O151" s="76" t="n">
        <f aca="false">MIN(1,Inputs!$C$26*(1+Inputs!$C$27)^(O$133-1)*O137*O149)</f>
        <v>0.57474</v>
      </c>
      <c r="P151" s="76" t="n">
        <f aca="false">MIN(1,Inputs!$C$26*(1+Inputs!$C$27)^(P$133-1)*P137*P149)</f>
        <v>0.57474</v>
      </c>
      <c r="Q151" s="76" t="n">
        <f aca="false">MIN(1,Inputs!$C$26*(1+Inputs!$C$27)^(Q$133-1)*Q137*Q149)</f>
        <v>0.57474</v>
      </c>
      <c r="R151" s="76" t="n">
        <f aca="false">MIN(1,Inputs!$C$26*(1+Inputs!$C$27)^(R$133-1)*R137*R149)</f>
        <v>0.57474</v>
      </c>
      <c r="S151" s="76" t="n">
        <f aca="false">MIN(1,Inputs!$C$26*(1+Inputs!$C$27)^(S$133-1)*S137*S149)</f>
        <v>0.57474</v>
      </c>
      <c r="T151" s="76" t="n">
        <f aca="false">MIN(1,Inputs!$C$26*(1+Inputs!$C$27)^(T$133-1)*T137*T149)</f>
        <v>0.76632</v>
      </c>
      <c r="U151" s="76" t="n">
        <f aca="false">MIN(1,Inputs!$C$26*(1+Inputs!$C$27)^(U$133-1)*U137*U149)</f>
        <v>0.76632</v>
      </c>
      <c r="V151" s="76" t="n">
        <f aca="false">MIN(1,Inputs!$C$26*(1+Inputs!$C$27)^(V$133-1)*V137*V149)</f>
        <v>0.76632</v>
      </c>
      <c r="W151" s="76" t="n">
        <f aca="false">MIN(1,Inputs!$C$26*(1+Inputs!$C$27)^(W$133-1)*W137*W149)</f>
        <v>0.57474</v>
      </c>
      <c r="X151" s="76" t="n">
        <f aca="false">MIN(1,Inputs!$C$26*(1+Inputs!$C$27)^(X$133-1)*X137*X149)</f>
        <v>0.57474</v>
      </c>
      <c r="Y151" s="76" t="n">
        <f aca="false">MIN(1,Inputs!$C$26*(1+Inputs!$C$27)^(Y$133-1)*Y137*Y149)</f>
        <v>0.57474</v>
      </c>
      <c r="Z151" s="76" t="n">
        <f aca="false">MIN(1,Inputs!$C$26*(1+Inputs!$C$27)^(Z$133-1)*Z137*Z149)</f>
        <v>0.76632</v>
      </c>
      <c r="AA151" s="76" t="n">
        <f aca="false">MIN(1,Inputs!$C$26*(1+Inputs!$C$27)^(AA$133-1)*AA137*AA149)</f>
        <v>0.5919822</v>
      </c>
      <c r="AB151" s="76" t="n">
        <f aca="false">MIN(1,Inputs!$C$26*(1+Inputs!$C$27)^(AB$133-1)*AB137*AB149)</f>
        <v>0.5919822</v>
      </c>
      <c r="AC151" s="76" t="n">
        <f aca="false">MIN(1,Inputs!$C$26*(1+Inputs!$C$27)^(AC$133-1)*AC137*AC149)</f>
        <v>0.5919822</v>
      </c>
      <c r="AD151" s="76" t="n">
        <f aca="false">MIN(1,Inputs!$C$26*(1+Inputs!$C$27)^(AD$133-1)*AD137*AD149)</f>
        <v>0.5919822</v>
      </c>
      <c r="AE151" s="76" t="n">
        <f aca="false">MIN(1,Inputs!$C$26*(1+Inputs!$C$27)^(AE$133-1)*AE137*AE149)</f>
        <v>0.5919822</v>
      </c>
      <c r="AF151" s="76" t="n">
        <f aca="false">MIN(1,Inputs!$C$26*(1+Inputs!$C$27)^(AF$133-1)*AF137*AF149)</f>
        <v>0.7893096</v>
      </c>
      <c r="AG151" s="76" t="n">
        <f aca="false">MIN(1,Inputs!$C$26*(1+Inputs!$C$27)^(AG$133-1)*AG137*AG149)</f>
        <v>0.7893096</v>
      </c>
      <c r="AH151" s="76" t="n">
        <f aca="false">MIN(1,Inputs!$C$26*(1+Inputs!$C$27)^(AH$133-1)*AH137*AH149)</f>
        <v>0.7893096</v>
      </c>
      <c r="AI151" s="76" t="n">
        <f aca="false">MIN(1,Inputs!$C$26*(1+Inputs!$C$27)^(AI$133-1)*AI137*AI149)</f>
        <v>0.5919822</v>
      </c>
      <c r="AJ151" s="76" t="n">
        <f aca="false">MIN(1,Inputs!$C$26*(1+Inputs!$C$27)^(AJ$133-1)*AJ137*AJ149)</f>
        <v>0.5919822</v>
      </c>
      <c r="AK151" s="76" t="n">
        <f aca="false">MIN(1,Inputs!$C$26*(1+Inputs!$C$27)^(AK$133-1)*AK137*AK149)</f>
        <v>0.5919822</v>
      </c>
      <c r="AL151" s="76" t="n">
        <f aca="false">MIN(1,Inputs!$C$26*(1+Inputs!$C$27)^(AL$133-1)*AL137*AL149)</f>
        <v>0.7893096</v>
      </c>
      <c r="AM151" s="76" t="n">
        <f aca="false">MIN(1,Inputs!$C$26*(1+Inputs!$C$27)^(AM$133-1)*AM137*AM149)</f>
        <v>0.609741666</v>
      </c>
      <c r="AN151" s="76" t="n">
        <f aca="false">MIN(1,Inputs!$C$26*(1+Inputs!$C$27)^(AN$133-1)*AN137*AN149)</f>
        <v>0.609741666</v>
      </c>
      <c r="AO151" s="76" t="n">
        <f aca="false">MIN(1,Inputs!$C$26*(1+Inputs!$C$27)^(AO$133-1)*AO137*AO149)</f>
        <v>0.609741666</v>
      </c>
      <c r="AP151" s="76" t="n">
        <f aca="false">MIN(1,Inputs!$C$26*(1+Inputs!$C$27)^(AP$133-1)*AP137*AP149)</f>
        <v>0.609741666</v>
      </c>
      <c r="AQ151" s="76" t="n">
        <f aca="false">MIN(1,Inputs!$C$26*(1+Inputs!$C$27)^(AQ$133-1)*AQ137*AQ149)</f>
        <v>0.609741666</v>
      </c>
      <c r="AR151" s="76" t="n">
        <f aca="false">MIN(1,Inputs!$C$26*(1+Inputs!$C$27)^(AR$133-1)*AR137*AR149)</f>
        <v>0.812988888</v>
      </c>
      <c r="AS151" s="76" t="n">
        <f aca="false">MIN(1,Inputs!$C$26*(1+Inputs!$C$27)^(AS$133-1)*AS137*AS149)</f>
        <v>0.812988888</v>
      </c>
      <c r="AT151" s="76" t="n">
        <f aca="false">MIN(1,Inputs!$C$26*(1+Inputs!$C$27)^(AT$133-1)*AT137*AT149)</f>
        <v>0.812988888</v>
      </c>
      <c r="AU151" s="76" t="n">
        <f aca="false">MIN(1,Inputs!$C$26*(1+Inputs!$C$27)^(AU$133-1)*AU137*AU149)</f>
        <v>0.609741666</v>
      </c>
      <c r="AV151" s="76" t="n">
        <f aca="false">MIN(1,Inputs!$C$26*(1+Inputs!$C$27)^(AV$133-1)*AV137*AV149)</f>
        <v>0.609741666</v>
      </c>
      <c r="AW151" s="76" t="n">
        <f aca="false">MIN(1,Inputs!$C$26*(1+Inputs!$C$27)^(AW$133-1)*AW137*AW149)</f>
        <v>0.609741666</v>
      </c>
      <c r="AX151" s="76" t="n">
        <f aca="false">MIN(1,Inputs!$C$26*(1+Inputs!$C$27)^(AX$133-1)*AX137*AX149)</f>
        <v>0.812988888</v>
      </c>
      <c r="AY151" s="76" t="n">
        <f aca="false">MIN(1,Inputs!$C$26*(1+Inputs!$C$27)^(AY$133-1)*AY137*AY149)</f>
        <v>0.62803391598</v>
      </c>
      <c r="AZ151" s="76" t="n">
        <f aca="false">MIN(1,Inputs!$C$26*(1+Inputs!$C$27)^(AZ$133-1)*AZ137*AZ149)</f>
        <v>0.62803391598</v>
      </c>
      <c r="BA151" s="76" t="n">
        <f aca="false">MIN(1,Inputs!$C$26*(1+Inputs!$C$27)^(BA$133-1)*BA137*BA149)</f>
        <v>0.62803391598</v>
      </c>
      <c r="BB151" s="76" t="n">
        <f aca="false">MIN(1,Inputs!$C$26*(1+Inputs!$C$27)^(BB$133-1)*BB137*BB149)</f>
        <v>0.62803391598</v>
      </c>
      <c r="BC151" s="76" t="n">
        <f aca="false">MIN(1,Inputs!$C$26*(1+Inputs!$C$27)^(BC$133-1)*BC137*BC149)</f>
        <v>0.62803391598</v>
      </c>
      <c r="BD151" s="76" t="n">
        <f aca="false">MIN(1,Inputs!$C$26*(1+Inputs!$C$27)^(BD$133-1)*BD137*BD149)</f>
        <v>0.83737855464</v>
      </c>
      <c r="BE151" s="76" t="n">
        <f aca="false">MIN(1,Inputs!$C$26*(1+Inputs!$C$27)^(BE$133-1)*BE137*BE149)</f>
        <v>0.83737855464</v>
      </c>
      <c r="BF151" s="76" t="n">
        <f aca="false">MIN(1,Inputs!$C$26*(1+Inputs!$C$27)^(BF$133-1)*BF137*BF149)</f>
        <v>0.83737855464</v>
      </c>
      <c r="BG151" s="76" t="n">
        <f aca="false">MIN(1,Inputs!$C$26*(1+Inputs!$C$27)^(BG$133-1)*BG137*BG149)</f>
        <v>0.62803391598</v>
      </c>
      <c r="BH151" s="76" t="n">
        <f aca="false">MIN(1,Inputs!$C$26*(1+Inputs!$C$27)^(BH$133-1)*BH137*BH149)</f>
        <v>0.62803391598</v>
      </c>
      <c r="BI151" s="76" t="n">
        <f aca="false">MIN(1,Inputs!$C$26*(1+Inputs!$C$27)^(BI$133-1)*BI137*BI149)</f>
        <v>0.62803391598</v>
      </c>
      <c r="BJ151" s="76" t="n">
        <f aca="false">MIN(1,Inputs!$C$26*(1+Inputs!$C$27)^(BJ$133-1)*BJ137*BJ149)</f>
        <v>0.83737855464</v>
      </c>
    </row>
    <row r="152" customFormat="false" ht="15" hidden="false" customHeight="false" outlineLevel="0" collapsed="false">
      <c r="A152" s="4" t="s">
        <v>236</v>
      </c>
      <c r="C152" s="122" t="n">
        <f aca="false">C150*C151</f>
        <v>203.5584</v>
      </c>
      <c r="D152" s="122" t="n">
        <f aca="false">D150*D151</f>
        <v>234.09216</v>
      </c>
      <c r="E152" s="122" t="n">
        <f aca="false">E150*E151</f>
        <v>264.62592</v>
      </c>
      <c r="F152" s="122" t="n">
        <f aca="false">F150*F151</f>
        <v>295.15968</v>
      </c>
      <c r="G152" s="122" t="n">
        <f aca="false">G150*G151</f>
        <v>325.69344</v>
      </c>
      <c r="H152" s="122" t="n">
        <f aca="false">H150*H151</f>
        <v>474.9696</v>
      </c>
      <c r="I152" s="122" t="n">
        <f aca="false">I150*I151</f>
        <v>515.68128</v>
      </c>
      <c r="J152" s="122" t="n">
        <f aca="false">J150*J151</f>
        <v>556.39296</v>
      </c>
      <c r="K152" s="122" t="n">
        <f aca="false">K150*K151</f>
        <v>447.82848</v>
      </c>
      <c r="L152" s="122" t="n">
        <f aca="false">L150*L151</f>
        <v>478.36224</v>
      </c>
      <c r="M152" s="122" t="n">
        <f aca="false">M150*M151</f>
        <v>508.896</v>
      </c>
      <c r="N152" s="122" t="n">
        <f aca="false">N150*N151</f>
        <v>678.528</v>
      </c>
      <c r="O152" s="122" t="n">
        <f aca="false">O150*O151</f>
        <v>524.16288</v>
      </c>
      <c r="P152" s="122" t="n">
        <f aca="false">P150*P151</f>
        <v>524.16288</v>
      </c>
      <c r="Q152" s="122" t="n">
        <f aca="false">Q150*Q151</f>
        <v>524.16288</v>
      </c>
      <c r="R152" s="122" t="n">
        <f aca="false">R150*R151</f>
        <v>524.16288</v>
      </c>
      <c r="S152" s="122" t="n">
        <f aca="false">S150*S151</f>
        <v>524.16288</v>
      </c>
      <c r="T152" s="122" t="n">
        <f aca="false">T150*T151</f>
        <v>698.88384</v>
      </c>
      <c r="U152" s="122" t="n">
        <f aca="false">U150*U151</f>
        <v>698.88384</v>
      </c>
      <c r="V152" s="122" t="n">
        <f aca="false">V150*V151</f>
        <v>698.88384</v>
      </c>
      <c r="W152" s="122" t="n">
        <f aca="false">W150*W151</f>
        <v>524.16288</v>
      </c>
      <c r="X152" s="122" t="n">
        <f aca="false">X150*X151</f>
        <v>524.16288</v>
      </c>
      <c r="Y152" s="122" t="n">
        <f aca="false">Y150*Y151</f>
        <v>524.16288</v>
      </c>
      <c r="Z152" s="122" t="n">
        <f aca="false">Z150*Z151</f>
        <v>698.88384</v>
      </c>
      <c r="AA152" s="122" t="n">
        <f aca="false">AA150*AA151</f>
        <v>539.8877664</v>
      </c>
      <c r="AB152" s="122" t="n">
        <f aca="false">AB150*AB151</f>
        <v>539.8877664</v>
      </c>
      <c r="AC152" s="122" t="n">
        <f aca="false">AC150*AC151</f>
        <v>539.8877664</v>
      </c>
      <c r="AD152" s="122" t="n">
        <f aca="false">AD150*AD151</f>
        <v>539.8877664</v>
      </c>
      <c r="AE152" s="122" t="n">
        <f aca="false">AE150*AE151</f>
        <v>539.8877664</v>
      </c>
      <c r="AF152" s="122" t="n">
        <f aca="false">AF150*AF151</f>
        <v>719.8503552</v>
      </c>
      <c r="AG152" s="122" t="n">
        <f aca="false">AG150*AG151</f>
        <v>719.8503552</v>
      </c>
      <c r="AH152" s="122" t="n">
        <f aca="false">AH150*AH151</f>
        <v>719.8503552</v>
      </c>
      <c r="AI152" s="122" t="n">
        <f aca="false">AI150*AI151</f>
        <v>539.8877664</v>
      </c>
      <c r="AJ152" s="122" t="n">
        <f aca="false">AJ150*AJ151</f>
        <v>539.8877664</v>
      </c>
      <c r="AK152" s="122" t="n">
        <f aca="false">AK150*AK151</f>
        <v>539.8877664</v>
      </c>
      <c r="AL152" s="122" t="n">
        <f aca="false">AL150*AL151</f>
        <v>719.8503552</v>
      </c>
      <c r="AM152" s="122" t="n">
        <f aca="false">AM150*AM151</f>
        <v>556.084399392</v>
      </c>
      <c r="AN152" s="122" t="n">
        <f aca="false">AN150*AN151</f>
        <v>556.084399392</v>
      </c>
      <c r="AO152" s="122" t="n">
        <f aca="false">AO150*AO151</f>
        <v>556.084399392</v>
      </c>
      <c r="AP152" s="122" t="n">
        <f aca="false">AP150*AP151</f>
        <v>556.084399392</v>
      </c>
      <c r="AQ152" s="122" t="n">
        <f aca="false">AQ150*AQ151</f>
        <v>556.084399392</v>
      </c>
      <c r="AR152" s="122" t="n">
        <f aca="false">AR150*AR151</f>
        <v>741.445865856</v>
      </c>
      <c r="AS152" s="122" t="n">
        <f aca="false">AS150*AS151</f>
        <v>741.445865856</v>
      </c>
      <c r="AT152" s="122" t="n">
        <f aca="false">AT150*AT151</f>
        <v>741.445865856</v>
      </c>
      <c r="AU152" s="122" t="n">
        <f aca="false">AU150*AU151</f>
        <v>556.084399392</v>
      </c>
      <c r="AV152" s="122" t="n">
        <f aca="false">AV150*AV151</f>
        <v>556.084399392</v>
      </c>
      <c r="AW152" s="122" t="n">
        <f aca="false">AW150*AW151</f>
        <v>556.084399392</v>
      </c>
      <c r="AX152" s="122" t="n">
        <f aca="false">AX150*AX151</f>
        <v>741.445865856</v>
      </c>
      <c r="AY152" s="122" t="n">
        <f aca="false">AY150*AY151</f>
        <v>572.76693137376</v>
      </c>
      <c r="AZ152" s="122" t="n">
        <f aca="false">AZ150*AZ151</f>
        <v>572.76693137376</v>
      </c>
      <c r="BA152" s="122" t="n">
        <f aca="false">BA150*BA151</f>
        <v>572.76693137376</v>
      </c>
      <c r="BB152" s="122" t="n">
        <f aca="false">BB150*BB151</f>
        <v>572.76693137376</v>
      </c>
      <c r="BC152" s="122" t="n">
        <f aca="false">BC150*BC151</f>
        <v>572.76693137376</v>
      </c>
      <c r="BD152" s="122" t="n">
        <f aca="false">BD150*BD151</f>
        <v>763.68924183168</v>
      </c>
      <c r="BE152" s="122" t="n">
        <f aca="false">BE150*BE151</f>
        <v>763.68924183168</v>
      </c>
      <c r="BF152" s="122" t="n">
        <f aca="false">BF150*BF151</f>
        <v>763.68924183168</v>
      </c>
      <c r="BG152" s="122" t="n">
        <f aca="false">BG150*BG151</f>
        <v>572.76693137376</v>
      </c>
      <c r="BH152" s="122" t="n">
        <f aca="false">BH150*BH151</f>
        <v>572.76693137376</v>
      </c>
      <c r="BI152" s="122" t="n">
        <f aca="false">BI150*BI151</f>
        <v>572.76693137376</v>
      </c>
      <c r="BJ152" s="122" t="n">
        <f aca="false">BJ150*BJ151</f>
        <v>763.68924183168</v>
      </c>
    </row>
    <row r="154" customFormat="false" ht="15.75" hidden="false" customHeight="true" outlineLevel="0" collapsed="false">
      <c r="A154" s="7" t="s">
        <v>44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6" t="s">
        <v>422</v>
      </c>
      <c r="C155" s="123" t="n">
        <f aca="false">Inputs!$C$19*(1+Inputs!$C$20)^(C$133-1)</f>
        <v>75</v>
      </c>
      <c r="D155" s="123" t="n">
        <f aca="false">Inputs!$C$19*(1+Inputs!$C$20)^(D$133-1)</f>
        <v>75</v>
      </c>
      <c r="E155" s="123" t="n">
        <f aca="false">Inputs!$C$19*(1+Inputs!$C$20)^(E$133-1)</f>
        <v>75</v>
      </c>
      <c r="F155" s="123" t="n">
        <f aca="false">Inputs!$C$19*(1+Inputs!$C$20)^(F$133-1)</f>
        <v>75</v>
      </c>
      <c r="G155" s="123" t="n">
        <f aca="false">Inputs!$C$19*(1+Inputs!$C$20)^(G$133-1)</f>
        <v>75</v>
      </c>
      <c r="H155" s="123" t="n">
        <f aca="false">Inputs!$C$19*(1+Inputs!$C$20)^(H$133-1)</f>
        <v>75</v>
      </c>
      <c r="I155" s="123" t="n">
        <f aca="false">Inputs!$C$19*(1+Inputs!$C$20)^(I$133-1)</f>
        <v>75</v>
      </c>
      <c r="J155" s="123" t="n">
        <f aca="false">Inputs!$C$19*(1+Inputs!$C$20)^(J$133-1)</f>
        <v>75</v>
      </c>
      <c r="K155" s="123" t="n">
        <f aca="false">Inputs!$C$19*(1+Inputs!$C$20)^(K$133-1)</f>
        <v>75</v>
      </c>
      <c r="L155" s="123" t="n">
        <f aca="false">Inputs!$C$19*(1+Inputs!$C$20)^(L$133-1)</f>
        <v>75</v>
      </c>
      <c r="M155" s="123" t="n">
        <f aca="false">Inputs!$C$19*(1+Inputs!$C$20)^(M$133-1)</f>
        <v>75</v>
      </c>
      <c r="N155" s="123" t="n">
        <f aca="false">Inputs!$C$19*(1+Inputs!$C$20)^(N$133-1)</f>
        <v>75</v>
      </c>
      <c r="O155" s="123" t="n">
        <f aca="false">Inputs!$C$19*(1+Inputs!$C$20)^(O$133-1)</f>
        <v>77.25</v>
      </c>
      <c r="P155" s="123" t="n">
        <f aca="false">Inputs!$C$19*(1+Inputs!$C$20)^(P$133-1)</f>
        <v>77.25</v>
      </c>
      <c r="Q155" s="123" t="n">
        <f aca="false">Inputs!$C$19*(1+Inputs!$C$20)^(Q$133-1)</f>
        <v>77.25</v>
      </c>
      <c r="R155" s="123" t="n">
        <f aca="false">Inputs!$C$19*(1+Inputs!$C$20)^(R$133-1)</f>
        <v>77.25</v>
      </c>
      <c r="S155" s="123" t="n">
        <f aca="false">Inputs!$C$19*(1+Inputs!$C$20)^(S$133-1)</f>
        <v>77.25</v>
      </c>
      <c r="T155" s="123" t="n">
        <f aca="false">Inputs!$C$19*(1+Inputs!$C$20)^(T$133-1)</f>
        <v>77.25</v>
      </c>
      <c r="U155" s="123" t="n">
        <f aca="false">Inputs!$C$19*(1+Inputs!$C$20)^(U$133-1)</f>
        <v>77.25</v>
      </c>
      <c r="V155" s="123" t="n">
        <f aca="false">Inputs!$C$19*(1+Inputs!$C$20)^(V$133-1)</f>
        <v>77.25</v>
      </c>
      <c r="W155" s="123" t="n">
        <f aca="false">Inputs!$C$19*(1+Inputs!$C$20)^(W$133-1)</f>
        <v>77.25</v>
      </c>
      <c r="X155" s="123" t="n">
        <f aca="false">Inputs!$C$19*(1+Inputs!$C$20)^(X$133-1)</f>
        <v>77.25</v>
      </c>
      <c r="Y155" s="123" t="n">
        <f aca="false">Inputs!$C$19*(1+Inputs!$C$20)^(Y$133-1)</f>
        <v>77.25</v>
      </c>
      <c r="Z155" s="123" t="n">
        <f aca="false">Inputs!$C$19*(1+Inputs!$C$20)^(Z$133-1)</f>
        <v>77.25</v>
      </c>
      <c r="AA155" s="123" t="n">
        <f aca="false">Inputs!$C$19*(1+Inputs!$C$20)^(AA$133-1)</f>
        <v>79.5675</v>
      </c>
      <c r="AB155" s="123" t="n">
        <f aca="false">Inputs!$C$19*(1+Inputs!$C$20)^(AB$133-1)</f>
        <v>79.5675</v>
      </c>
      <c r="AC155" s="123" t="n">
        <f aca="false">Inputs!$C$19*(1+Inputs!$C$20)^(AC$133-1)</f>
        <v>79.5675</v>
      </c>
      <c r="AD155" s="123" t="n">
        <f aca="false">Inputs!$C$19*(1+Inputs!$C$20)^(AD$133-1)</f>
        <v>79.5675</v>
      </c>
      <c r="AE155" s="123" t="n">
        <f aca="false">Inputs!$C$19*(1+Inputs!$C$20)^(AE$133-1)</f>
        <v>79.5675</v>
      </c>
      <c r="AF155" s="123" t="n">
        <f aca="false">Inputs!$C$19*(1+Inputs!$C$20)^(AF$133-1)</f>
        <v>79.5675</v>
      </c>
      <c r="AG155" s="123" t="n">
        <f aca="false">Inputs!$C$19*(1+Inputs!$C$20)^(AG$133-1)</f>
        <v>79.5675</v>
      </c>
      <c r="AH155" s="123" t="n">
        <f aca="false">Inputs!$C$19*(1+Inputs!$C$20)^(AH$133-1)</f>
        <v>79.5675</v>
      </c>
      <c r="AI155" s="123" t="n">
        <f aca="false">Inputs!$C$19*(1+Inputs!$C$20)^(AI$133-1)</f>
        <v>79.5675</v>
      </c>
      <c r="AJ155" s="123" t="n">
        <f aca="false">Inputs!$C$19*(1+Inputs!$C$20)^(AJ$133-1)</f>
        <v>79.5675</v>
      </c>
      <c r="AK155" s="123" t="n">
        <f aca="false">Inputs!$C$19*(1+Inputs!$C$20)^(AK$133-1)</f>
        <v>79.5675</v>
      </c>
      <c r="AL155" s="123" t="n">
        <f aca="false">Inputs!$C$19*(1+Inputs!$C$20)^(AL$133-1)</f>
        <v>79.5675</v>
      </c>
      <c r="AM155" s="123" t="n">
        <f aca="false">Inputs!$C$19*(1+Inputs!$C$20)^(AM$133-1)</f>
        <v>81.954525</v>
      </c>
      <c r="AN155" s="123" t="n">
        <f aca="false">Inputs!$C$19*(1+Inputs!$C$20)^(AN$133-1)</f>
        <v>81.954525</v>
      </c>
      <c r="AO155" s="123" t="n">
        <f aca="false">Inputs!$C$19*(1+Inputs!$C$20)^(AO$133-1)</f>
        <v>81.954525</v>
      </c>
      <c r="AP155" s="123" t="n">
        <f aca="false">Inputs!$C$19*(1+Inputs!$C$20)^(AP$133-1)</f>
        <v>81.954525</v>
      </c>
      <c r="AQ155" s="123" t="n">
        <f aca="false">Inputs!$C$19*(1+Inputs!$C$20)^(AQ$133-1)</f>
        <v>81.954525</v>
      </c>
      <c r="AR155" s="123" t="n">
        <f aca="false">Inputs!$C$19*(1+Inputs!$C$20)^(AR$133-1)</f>
        <v>81.954525</v>
      </c>
      <c r="AS155" s="123" t="n">
        <f aca="false">Inputs!$C$19*(1+Inputs!$C$20)^(AS$133-1)</f>
        <v>81.954525</v>
      </c>
      <c r="AT155" s="123" t="n">
        <f aca="false">Inputs!$C$19*(1+Inputs!$C$20)^(AT$133-1)</f>
        <v>81.954525</v>
      </c>
      <c r="AU155" s="123" t="n">
        <f aca="false">Inputs!$C$19*(1+Inputs!$C$20)^(AU$133-1)</f>
        <v>81.954525</v>
      </c>
      <c r="AV155" s="123" t="n">
        <f aca="false">Inputs!$C$19*(1+Inputs!$C$20)^(AV$133-1)</f>
        <v>81.954525</v>
      </c>
      <c r="AW155" s="123" t="n">
        <f aca="false">Inputs!$C$19*(1+Inputs!$C$20)^(AW$133-1)</f>
        <v>81.954525</v>
      </c>
      <c r="AX155" s="123" t="n">
        <f aca="false">Inputs!$C$19*(1+Inputs!$C$20)^(AX$133-1)</f>
        <v>81.954525</v>
      </c>
      <c r="AY155" s="123" t="n">
        <f aca="false">Inputs!$C$19*(1+Inputs!$C$20)^(AY$133-1)</f>
        <v>84.41316075</v>
      </c>
      <c r="AZ155" s="123" t="n">
        <f aca="false">Inputs!$C$19*(1+Inputs!$C$20)^(AZ$133-1)</f>
        <v>84.41316075</v>
      </c>
      <c r="BA155" s="123" t="n">
        <f aca="false">Inputs!$C$19*(1+Inputs!$C$20)^(BA$133-1)</f>
        <v>84.41316075</v>
      </c>
      <c r="BB155" s="123" t="n">
        <f aca="false">Inputs!$C$19*(1+Inputs!$C$20)^(BB$133-1)</f>
        <v>84.41316075</v>
      </c>
      <c r="BC155" s="123" t="n">
        <f aca="false">Inputs!$C$19*(1+Inputs!$C$20)^(BC$133-1)</f>
        <v>84.41316075</v>
      </c>
      <c r="BD155" s="123" t="n">
        <f aca="false">Inputs!$C$19*(1+Inputs!$C$20)^(BD$133-1)</f>
        <v>84.41316075</v>
      </c>
      <c r="BE155" s="123" t="n">
        <f aca="false">Inputs!$C$19*(1+Inputs!$C$20)^(BE$133-1)</f>
        <v>84.41316075</v>
      </c>
      <c r="BF155" s="123" t="n">
        <f aca="false">Inputs!$C$19*(1+Inputs!$C$20)^(BF$133-1)</f>
        <v>84.41316075</v>
      </c>
      <c r="BG155" s="123" t="n">
        <f aca="false">Inputs!$C$19*(1+Inputs!$C$20)^(BG$133-1)</f>
        <v>84.41316075</v>
      </c>
      <c r="BH155" s="123" t="n">
        <f aca="false">Inputs!$C$19*(1+Inputs!$C$20)^(BH$133-1)</f>
        <v>84.41316075</v>
      </c>
      <c r="BI155" s="123" t="n">
        <f aca="false">Inputs!$C$19*(1+Inputs!$C$20)^(BI$133-1)</f>
        <v>84.41316075</v>
      </c>
      <c r="BJ155" s="123" t="n">
        <f aca="false">Inputs!$C$19*(1+Inputs!$C$20)^(BJ$133-1)</f>
        <v>84.41316075</v>
      </c>
    </row>
    <row r="156" customFormat="false" ht="15" hidden="false" customHeight="false" outlineLevel="0" collapsed="false">
      <c r="A156" s="6" t="s">
        <v>238</v>
      </c>
      <c r="C156" s="69" t="n">
        <f aca="false">C145*C155</f>
        <v>12480</v>
      </c>
      <c r="D156" s="69" t="n">
        <f aca="false">D145*D155</f>
        <v>14352</v>
      </c>
      <c r="E156" s="69" t="n">
        <f aca="false">E145*E155</f>
        <v>16224</v>
      </c>
      <c r="F156" s="69" t="n">
        <f aca="false">F145*F155</f>
        <v>18096</v>
      </c>
      <c r="G156" s="69" t="n">
        <f aca="false">G145*G155</f>
        <v>19968</v>
      </c>
      <c r="H156" s="69" t="n">
        <f aca="false">H145*H155</f>
        <v>21840</v>
      </c>
      <c r="I156" s="69" t="n">
        <f aca="false">I145*I155</f>
        <v>23712</v>
      </c>
      <c r="J156" s="69" t="n">
        <f aca="false">J145*J155</f>
        <v>25584</v>
      </c>
      <c r="K156" s="69" t="n">
        <f aca="false">K145*K155</f>
        <v>27456</v>
      </c>
      <c r="L156" s="69" t="n">
        <f aca="false">L145*L155</f>
        <v>29328</v>
      </c>
      <c r="M156" s="69" t="n">
        <f aca="false">M145*M155</f>
        <v>31200</v>
      </c>
      <c r="N156" s="69" t="n">
        <f aca="false">N145*N155</f>
        <v>31200</v>
      </c>
      <c r="O156" s="69" t="n">
        <f aca="false">O145*O155</f>
        <v>33100.08</v>
      </c>
      <c r="P156" s="69" t="n">
        <f aca="false">P145*P155</f>
        <v>33100.08</v>
      </c>
      <c r="Q156" s="69" t="n">
        <f aca="false">Q145*Q155</f>
        <v>33100.08</v>
      </c>
      <c r="R156" s="69" t="n">
        <f aca="false">R145*R155</f>
        <v>33100.08</v>
      </c>
      <c r="S156" s="69" t="n">
        <f aca="false">S145*S155</f>
        <v>33100.08</v>
      </c>
      <c r="T156" s="69" t="n">
        <f aca="false">T145*T155</f>
        <v>33100.08</v>
      </c>
      <c r="U156" s="69" t="n">
        <f aca="false">U145*U155</f>
        <v>33100.08</v>
      </c>
      <c r="V156" s="69" t="n">
        <f aca="false">V145*V155</f>
        <v>33100.08</v>
      </c>
      <c r="W156" s="69" t="n">
        <f aca="false">W145*W155</f>
        <v>33100.08</v>
      </c>
      <c r="X156" s="69" t="n">
        <f aca="false">X145*X155</f>
        <v>33100.08</v>
      </c>
      <c r="Y156" s="69" t="n">
        <f aca="false">Y145*Y155</f>
        <v>33100.08</v>
      </c>
      <c r="Z156" s="69" t="n">
        <f aca="false">Z145*Z155</f>
        <v>33100.08</v>
      </c>
      <c r="AA156" s="69" t="n">
        <f aca="false">AA145*AA155</f>
        <v>35115.874872</v>
      </c>
      <c r="AB156" s="69" t="n">
        <f aca="false">AB145*AB155</f>
        <v>35115.874872</v>
      </c>
      <c r="AC156" s="69" t="n">
        <f aca="false">AC145*AC155</f>
        <v>35115.874872</v>
      </c>
      <c r="AD156" s="69" t="n">
        <f aca="false">AD145*AD155</f>
        <v>35115.874872</v>
      </c>
      <c r="AE156" s="69" t="n">
        <f aca="false">AE145*AE155</f>
        <v>35115.874872</v>
      </c>
      <c r="AF156" s="69" t="n">
        <f aca="false">AF145*AF155</f>
        <v>35115.874872</v>
      </c>
      <c r="AG156" s="69" t="n">
        <f aca="false">AG145*AG155</f>
        <v>35115.874872</v>
      </c>
      <c r="AH156" s="69" t="n">
        <f aca="false">AH145*AH155</f>
        <v>35115.874872</v>
      </c>
      <c r="AI156" s="69" t="n">
        <f aca="false">AI145*AI155</f>
        <v>35115.874872</v>
      </c>
      <c r="AJ156" s="69" t="n">
        <f aca="false">AJ145*AJ155</f>
        <v>35115.874872</v>
      </c>
      <c r="AK156" s="69" t="n">
        <f aca="false">AK145*AK155</f>
        <v>35115.874872</v>
      </c>
      <c r="AL156" s="69" t="n">
        <f aca="false">AL145*AL155</f>
        <v>35115.874872</v>
      </c>
      <c r="AM156" s="69" t="n">
        <f aca="false">AM145*AM155</f>
        <v>37254.4316517048</v>
      </c>
      <c r="AN156" s="69" t="n">
        <f aca="false">AN145*AN155</f>
        <v>37254.4316517048</v>
      </c>
      <c r="AO156" s="69" t="n">
        <f aca="false">AO145*AO155</f>
        <v>37254.4316517048</v>
      </c>
      <c r="AP156" s="69" t="n">
        <f aca="false">AP145*AP155</f>
        <v>37254.4316517048</v>
      </c>
      <c r="AQ156" s="69" t="n">
        <f aca="false">AQ145*AQ155</f>
        <v>37254.4316517048</v>
      </c>
      <c r="AR156" s="69" t="n">
        <f aca="false">AR145*AR155</f>
        <v>37254.4316517048</v>
      </c>
      <c r="AS156" s="69" t="n">
        <f aca="false">AS145*AS155</f>
        <v>37254.4316517048</v>
      </c>
      <c r="AT156" s="69" t="n">
        <f aca="false">AT145*AT155</f>
        <v>37254.4316517048</v>
      </c>
      <c r="AU156" s="69" t="n">
        <f aca="false">AU145*AU155</f>
        <v>37254.4316517048</v>
      </c>
      <c r="AV156" s="69" t="n">
        <f aca="false">AV145*AV155</f>
        <v>37254.4316517048</v>
      </c>
      <c r="AW156" s="69" t="n">
        <f aca="false">AW145*AW155</f>
        <v>37254.4316517048</v>
      </c>
      <c r="AX156" s="69" t="n">
        <f aca="false">AX145*AX155</f>
        <v>37254.4316517048</v>
      </c>
      <c r="AY156" s="69" t="n">
        <f aca="false">AY145*AY155</f>
        <v>39523.2265392936</v>
      </c>
      <c r="AZ156" s="69" t="n">
        <f aca="false">AZ145*AZ155</f>
        <v>39523.2265392936</v>
      </c>
      <c r="BA156" s="69" t="n">
        <f aca="false">BA145*BA155</f>
        <v>39523.2265392936</v>
      </c>
      <c r="BB156" s="69" t="n">
        <f aca="false">BB145*BB155</f>
        <v>39523.2265392936</v>
      </c>
      <c r="BC156" s="69" t="n">
        <f aca="false">BC145*BC155</f>
        <v>39523.2265392936</v>
      </c>
      <c r="BD156" s="69" t="n">
        <f aca="false">BD145*BD155</f>
        <v>39523.2265392936</v>
      </c>
      <c r="BE156" s="69" t="n">
        <f aca="false">BE145*BE155</f>
        <v>39523.2265392936</v>
      </c>
      <c r="BF156" s="69" t="n">
        <f aca="false">BF145*BF155</f>
        <v>39523.2265392936</v>
      </c>
      <c r="BG156" s="69" t="n">
        <f aca="false">BG145*BG155</f>
        <v>39523.2265392936</v>
      </c>
      <c r="BH156" s="69" t="n">
        <f aca="false">BH145*BH155</f>
        <v>39523.2265392936</v>
      </c>
      <c r="BI156" s="69" t="n">
        <f aca="false">BI145*BI155</f>
        <v>39523.2265392936</v>
      </c>
      <c r="BJ156" s="69" t="n">
        <f aca="false">BJ145*BJ155</f>
        <v>39523.2265392936</v>
      </c>
    </row>
    <row r="157" customFormat="false" ht="15" hidden="false" customHeight="false" outlineLevel="0" collapsed="false">
      <c r="A157" s="6" t="s">
        <v>239</v>
      </c>
      <c r="C157" s="69" t="n">
        <f aca="false">C152*Inputs!$C$30*(1+Inputs!$C$20)^(C$133-1)</f>
        <v>11195.712</v>
      </c>
      <c r="D157" s="69" t="n">
        <f aca="false">D152*Inputs!$C$30*(1+Inputs!$C$20)^(D$133-1)</f>
        <v>12875.0688</v>
      </c>
      <c r="E157" s="69" t="n">
        <f aca="false">E152*Inputs!$C$30*(1+Inputs!$C$20)^(E$133-1)</f>
        <v>14554.4256</v>
      </c>
      <c r="F157" s="69" t="n">
        <f aca="false">F152*Inputs!$C$30*(1+Inputs!$C$20)^(F$133-1)</f>
        <v>16233.7824</v>
      </c>
      <c r="G157" s="69" t="n">
        <f aca="false">G152*Inputs!$C$30*(1+Inputs!$C$20)^(G$133-1)</f>
        <v>17913.1392</v>
      </c>
      <c r="H157" s="69" t="n">
        <f aca="false">H152*Inputs!$C$30*(1+Inputs!$C$20)^(H$133-1)</f>
        <v>26123.328</v>
      </c>
      <c r="I157" s="69" t="n">
        <f aca="false">I152*Inputs!$C$30*(1+Inputs!$C$20)^(I$133-1)</f>
        <v>28362.4704</v>
      </c>
      <c r="J157" s="69" t="n">
        <f aca="false">J152*Inputs!$C$30*(1+Inputs!$C$20)^(J$133-1)</f>
        <v>30601.6128</v>
      </c>
      <c r="K157" s="69" t="n">
        <f aca="false">K152*Inputs!$C$30*(1+Inputs!$C$20)^(K$133-1)</f>
        <v>24630.5664</v>
      </c>
      <c r="L157" s="69" t="n">
        <f aca="false">L152*Inputs!$C$30*(1+Inputs!$C$20)^(L$133-1)</f>
        <v>26309.9232</v>
      </c>
      <c r="M157" s="69" t="n">
        <f aca="false">M152*Inputs!$C$30*(1+Inputs!$C$20)^(M$133-1)</f>
        <v>27989.28</v>
      </c>
      <c r="N157" s="69" t="n">
        <f aca="false">N152*Inputs!$C$30*(1+Inputs!$C$20)^(N$133-1)</f>
        <v>37319.04</v>
      </c>
      <c r="O157" s="69" t="n">
        <f aca="false">O152*Inputs!$C$30*(1+Inputs!$C$20)^(O$133-1)</f>
        <v>29693.827152</v>
      </c>
      <c r="P157" s="69" t="n">
        <f aca="false">P152*Inputs!$C$30*(1+Inputs!$C$20)^(P$133-1)</f>
        <v>29693.827152</v>
      </c>
      <c r="Q157" s="69" t="n">
        <f aca="false">Q152*Inputs!$C$30*(1+Inputs!$C$20)^(Q$133-1)</f>
        <v>29693.827152</v>
      </c>
      <c r="R157" s="69" t="n">
        <f aca="false">R152*Inputs!$C$30*(1+Inputs!$C$20)^(R$133-1)</f>
        <v>29693.827152</v>
      </c>
      <c r="S157" s="69" t="n">
        <f aca="false">S152*Inputs!$C$30*(1+Inputs!$C$20)^(S$133-1)</f>
        <v>29693.827152</v>
      </c>
      <c r="T157" s="69" t="n">
        <f aca="false">T152*Inputs!$C$30*(1+Inputs!$C$20)^(T$133-1)</f>
        <v>39591.769536</v>
      </c>
      <c r="U157" s="69" t="n">
        <f aca="false">U152*Inputs!$C$30*(1+Inputs!$C$20)^(U$133-1)</f>
        <v>39591.769536</v>
      </c>
      <c r="V157" s="69" t="n">
        <f aca="false">V152*Inputs!$C$30*(1+Inputs!$C$20)^(V$133-1)</f>
        <v>39591.769536</v>
      </c>
      <c r="W157" s="69" t="n">
        <f aca="false">W152*Inputs!$C$30*(1+Inputs!$C$20)^(W$133-1)</f>
        <v>29693.827152</v>
      </c>
      <c r="X157" s="69" t="n">
        <f aca="false">X152*Inputs!$C$30*(1+Inputs!$C$20)^(X$133-1)</f>
        <v>29693.827152</v>
      </c>
      <c r="Y157" s="69" t="n">
        <f aca="false">Y152*Inputs!$C$30*(1+Inputs!$C$20)^(Y$133-1)</f>
        <v>29693.827152</v>
      </c>
      <c r="Z157" s="69" t="n">
        <f aca="false">Z152*Inputs!$C$30*(1+Inputs!$C$20)^(Z$133-1)</f>
        <v>39591.769536</v>
      </c>
      <c r="AA157" s="69" t="n">
        <f aca="false">AA152*Inputs!$C$30*(1+Inputs!$C$20)^(AA$133-1)</f>
        <v>31502.1812255568</v>
      </c>
      <c r="AB157" s="69" t="n">
        <f aca="false">AB152*Inputs!$C$30*(1+Inputs!$C$20)^(AB$133-1)</f>
        <v>31502.1812255568</v>
      </c>
      <c r="AC157" s="69" t="n">
        <f aca="false">AC152*Inputs!$C$30*(1+Inputs!$C$20)^(AC$133-1)</f>
        <v>31502.1812255568</v>
      </c>
      <c r="AD157" s="69" t="n">
        <f aca="false">AD152*Inputs!$C$30*(1+Inputs!$C$20)^(AD$133-1)</f>
        <v>31502.1812255568</v>
      </c>
      <c r="AE157" s="69" t="n">
        <f aca="false">AE152*Inputs!$C$30*(1+Inputs!$C$20)^(AE$133-1)</f>
        <v>31502.1812255568</v>
      </c>
      <c r="AF157" s="69" t="n">
        <f aca="false">AF152*Inputs!$C$30*(1+Inputs!$C$20)^(AF$133-1)</f>
        <v>42002.9083007424</v>
      </c>
      <c r="AG157" s="69" t="n">
        <f aca="false">AG152*Inputs!$C$30*(1+Inputs!$C$20)^(AG$133-1)</f>
        <v>42002.9083007424</v>
      </c>
      <c r="AH157" s="69" t="n">
        <f aca="false">AH152*Inputs!$C$30*(1+Inputs!$C$20)^(AH$133-1)</f>
        <v>42002.9083007424</v>
      </c>
      <c r="AI157" s="69" t="n">
        <f aca="false">AI152*Inputs!$C$30*(1+Inputs!$C$20)^(AI$133-1)</f>
        <v>31502.1812255568</v>
      </c>
      <c r="AJ157" s="69" t="n">
        <f aca="false">AJ152*Inputs!$C$30*(1+Inputs!$C$20)^(AJ$133-1)</f>
        <v>31502.1812255568</v>
      </c>
      <c r="AK157" s="69" t="n">
        <f aca="false">AK152*Inputs!$C$30*(1+Inputs!$C$20)^(AK$133-1)</f>
        <v>31502.1812255568</v>
      </c>
      <c r="AL157" s="69" t="n">
        <f aca="false">AL152*Inputs!$C$30*(1+Inputs!$C$20)^(AL$133-1)</f>
        <v>42002.9083007424</v>
      </c>
      <c r="AM157" s="69" t="n">
        <f aca="false">AM152*Inputs!$C$30*(1+Inputs!$C$20)^(AM$133-1)</f>
        <v>33420.6640621932</v>
      </c>
      <c r="AN157" s="69" t="n">
        <f aca="false">AN152*Inputs!$C$30*(1+Inputs!$C$20)^(AN$133-1)</f>
        <v>33420.6640621932</v>
      </c>
      <c r="AO157" s="69" t="n">
        <f aca="false">AO152*Inputs!$C$30*(1+Inputs!$C$20)^(AO$133-1)</f>
        <v>33420.6640621932</v>
      </c>
      <c r="AP157" s="69" t="n">
        <f aca="false">AP152*Inputs!$C$30*(1+Inputs!$C$20)^(AP$133-1)</f>
        <v>33420.6640621932</v>
      </c>
      <c r="AQ157" s="69" t="n">
        <f aca="false">AQ152*Inputs!$C$30*(1+Inputs!$C$20)^(AQ$133-1)</f>
        <v>33420.6640621932</v>
      </c>
      <c r="AR157" s="69" t="n">
        <f aca="false">AR152*Inputs!$C$30*(1+Inputs!$C$20)^(AR$133-1)</f>
        <v>44560.8854162576</v>
      </c>
      <c r="AS157" s="69" t="n">
        <f aca="false">AS152*Inputs!$C$30*(1+Inputs!$C$20)^(AS$133-1)</f>
        <v>44560.8854162576</v>
      </c>
      <c r="AT157" s="69" t="n">
        <f aca="false">AT152*Inputs!$C$30*(1+Inputs!$C$20)^(AT$133-1)</f>
        <v>44560.8854162576</v>
      </c>
      <c r="AU157" s="69" t="n">
        <f aca="false">AU152*Inputs!$C$30*(1+Inputs!$C$20)^(AU$133-1)</f>
        <v>33420.6640621932</v>
      </c>
      <c r="AV157" s="69" t="n">
        <f aca="false">AV152*Inputs!$C$30*(1+Inputs!$C$20)^(AV$133-1)</f>
        <v>33420.6640621932</v>
      </c>
      <c r="AW157" s="69" t="n">
        <f aca="false">AW152*Inputs!$C$30*(1+Inputs!$C$20)^(AW$133-1)</f>
        <v>33420.6640621932</v>
      </c>
      <c r="AX157" s="69" t="n">
        <f aca="false">AX152*Inputs!$C$30*(1+Inputs!$C$20)^(AX$133-1)</f>
        <v>44560.8854162576</v>
      </c>
      <c r="AY157" s="69" t="n">
        <f aca="false">AY152*Inputs!$C$30*(1+Inputs!$C$20)^(AY$133-1)</f>
        <v>35455.9825035808</v>
      </c>
      <c r="AZ157" s="69" t="n">
        <f aca="false">AZ152*Inputs!$C$30*(1+Inputs!$C$20)^(AZ$133-1)</f>
        <v>35455.9825035808</v>
      </c>
      <c r="BA157" s="69" t="n">
        <f aca="false">BA152*Inputs!$C$30*(1+Inputs!$C$20)^(BA$133-1)</f>
        <v>35455.9825035808</v>
      </c>
      <c r="BB157" s="69" t="n">
        <f aca="false">BB152*Inputs!$C$30*(1+Inputs!$C$20)^(BB$133-1)</f>
        <v>35455.9825035808</v>
      </c>
      <c r="BC157" s="69" t="n">
        <f aca="false">BC152*Inputs!$C$30*(1+Inputs!$C$20)^(BC$133-1)</f>
        <v>35455.9825035808</v>
      </c>
      <c r="BD157" s="69" t="n">
        <f aca="false">BD152*Inputs!$C$30*(1+Inputs!$C$20)^(BD$133-1)</f>
        <v>47274.6433381077</v>
      </c>
      <c r="BE157" s="69" t="n">
        <f aca="false">BE152*Inputs!$C$30*(1+Inputs!$C$20)^(BE$133-1)</f>
        <v>47274.6433381077</v>
      </c>
      <c r="BF157" s="69" t="n">
        <f aca="false">BF152*Inputs!$C$30*(1+Inputs!$C$20)^(BF$133-1)</f>
        <v>47274.6433381077</v>
      </c>
      <c r="BG157" s="69" t="n">
        <f aca="false">BG152*Inputs!$C$30*(1+Inputs!$C$20)^(BG$133-1)</f>
        <v>35455.9825035808</v>
      </c>
      <c r="BH157" s="69" t="n">
        <f aca="false">BH152*Inputs!$C$30*(1+Inputs!$C$20)^(BH$133-1)</f>
        <v>35455.9825035808</v>
      </c>
      <c r="BI157" s="69" t="n">
        <f aca="false">BI152*Inputs!$C$30*(1+Inputs!$C$20)^(BI$133-1)</f>
        <v>35455.9825035808</v>
      </c>
      <c r="BJ157" s="69" t="n">
        <f aca="false">BJ152*Inputs!$C$30*(1+Inputs!$C$20)^(BJ$133-1)</f>
        <v>47274.6433381077</v>
      </c>
    </row>
    <row r="158" customFormat="false" ht="15" hidden="false" customHeight="false" outlineLevel="0" collapsed="false">
      <c r="A158" s="6" t="s">
        <v>240</v>
      </c>
      <c r="C158" s="69" t="n">
        <f aca="false">C145*Inputs!$C$21*(1+Inputs!$C$20)^(C$133-1)</f>
        <v>1331.2</v>
      </c>
      <c r="D158" s="69" t="n">
        <f aca="false">D145*Inputs!$C$21*(1+Inputs!$C$20)^(D$133-1)</f>
        <v>1530.88</v>
      </c>
      <c r="E158" s="69" t="n">
        <f aca="false">E145*Inputs!$C$21*(1+Inputs!$C$20)^(E$133-1)</f>
        <v>1730.56</v>
      </c>
      <c r="F158" s="69" t="n">
        <f aca="false">F145*Inputs!$C$21*(1+Inputs!$C$20)^(F$133-1)</f>
        <v>1930.24</v>
      </c>
      <c r="G158" s="69" t="n">
        <f aca="false">G145*Inputs!$C$21*(1+Inputs!$C$20)^(G$133-1)</f>
        <v>2129.92</v>
      </c>
      <c r="H158" s="69" t="n">
        <f aca="false">H145*Inputs!$C$21*(1+Inputs!$C$20)^(H$133-1)</f>
        <v>2329.6</v>
      </c>
      <c r="I158" s="69" t="n">
        <f aca="false">I145*Inputs!$C$21*(1+Inputs!$C$20)^(I$133-1)</f>
        <v>2529.28</v>
      </c>
      <c r="J158" s="69" t="n">
        <f aca="false">J145*Inputs!$C$21*(1+Inputs!$C$20)^(J$133-1)</f>
        <v>2728.96</v>
      </c>
      <c r="K158" s="69" t="n">
        <f aca="false">K145*Inputs!$C$21*(1+Inputs!$C$20)^(K$133-1)</f>
        <v>2928.64</v>
      </c>
      <c r="L158" s="69" t="n">
        <f aca="false">L145*Inputs!$C$21*(1+Inputs!$C$20)^(L$133-1)</f>
        <v>3128.32</v>
      </c>
      <c r="M158" s="69" t="n">
        <f aca="false">M145*Inputs!$C$21*(1+Inputs!$C$20)^(M$133-1)</f>
        <v>3328</v>
      </c>
      <c r="N158" s="69" t="n">
        <f aca="false">N145*Inputs!$C$21*(1+Inputs!$C$20)^(N$133-1)</f>
        <v>3328</v>
      </c>
      <c r="O158" s="69" t="n">
        <f aca="false">O145*Inputs!$C$21*(1+Inputs!$C$20)^(O$133-1)</f>
        <v>3530.6752</v>
      </c>
      <c r="P158" s="69" t="n">
        <f aca="false">P145*Inputs!$C$21*(1+Inputs!$C$20)^(P$133-1)</f>
        <v>3530.6752</v>
      </c>
      <c r="Q158" s="69" t="n">
        <f aca="false">Q145*Inputs!$C$21*(1+Inputs!$C$20)^(Q$133-1)</f>
        <v>3530.6752</v>
      </c>
      <c r="R158" s="69" t="n">
        <f aca="false">R145*Inputs!$C$21*(1+Inputs!$C$20)^(R$133-1)</f>
        <v>3530.6752</v>
      </c>
      <c r="S158" s="69" t="n">
        <f aca="false">S145*Inputs!$C$21*(1+Inputs!$C$20)^(S$133-1)</f>
        <v>3530.6752</v>
      </c>
      <c r="T158" s="69" t="n">
        <f aca="false">T145*Inputs!$C$21*(1+Inputs!$C$20)^(T$133-1)</f>
        <v>3530.6752</v>
      </c>
      <c r="U158" s="69" t="n">
        <f aca="false">U145*Inputs!$C$21*(1+Inputs!$C$20)^(U$133-1)</f>
        <v>3530.6752</v>
      </c>
      <c r="V158" s="69" t="n">
        <f aca="false">V145*Inputs!$C$21*(1+Inputs!$C$20)^(V$133-1)</f>
        <v>3530.6752</v>
      </c>
      <c r="W158" s="69" t="n">
        <f aca="false">W145*Inputs!$C$21*(1+Inputs!$C$20)^(W$133-1)</f>
        <v>3530.6752</v>
      </c>
      <c r="X158" s="69" t="n">
        <f aca="false">X145*Inputs!$C$21*(1+Inputs!$C$20)^(X$133-1)</f>
        <v>3530.6752</v>
      </c>
      <c r="Y158" s="69" t="n">
        <f aca="false">Y145*Inputs!$C$21*(1+Inputs!$C$20)^(Y$133-1)</f>
        <v>3530.6752</v>
      </c>
      <c r="Z158" s="69" t="n">
        <f aca="false">Z145*Inputs!$C$21*(1+Inputs!$C$20)^(Z$133-1)</f>
        <v>3530.6752</v>
      </c>
      <c r="AA158" s="69" t="n">
        <f aca="false">AA145*Inputs!$C$21*(1+Inputs!$C$20)^(AA$133-1)</f>
        <v>3745.69331968</v>
      </c>
      <c r="AB158" s="69" t="n">
        <f aca="false">AB145*Inputs!$C$21*(1+Inputs!$C$20)^(AB$133-1)</f>
        <v>3745.69331968</v>
      </c>
      <c r="AC158" s="69" t="n">
        <f aca="false">AC145*Inputs!$C$21*(1+Inputs!$C$20)^(AC$133-1)</f>
        <v>3745.69331968</v>
      </c>
      <c r="AD158" s="69" t="n">
        <f aca="false">AD145*Inputs!$C$21*(1+Inputs!$C$20)^(AD$133-1)</f>
        <v>3745.69331968</v>
      </c>
      <c r="AE158" s="69" t="n">
        <f aca="false">AE145*Inputs!$C$21*(1+Inputs!$C$20)^(AE$133-1)</f>
        <v>3745.69331968</v>
      </c>
      <c r="AF158" s="69" t="n">
        <f aca="false">AF145*Inputs!$C$21*(1+Inputs!$C$20)^(AF$133-1)</f>
        <v>3745.69331968</v>
      </c>
      <c r="AG158" s="69" t="n">
        <f aca="false">AG145*Inputs!$C$21*(1+Inputs!$C$20)^(AG$133-1)</f>
        <v>3745.69331968</v>
      </c>
      <c r="AH158" s="69" t="n">
        <f aca="false">AH145*Inputs!$C$21*(1+Inputs!$C$20)^(AH$133-1)</f>
        <v>3745.69331968</v>
      </c>
      <c r="AI158" s="69" t="n">
        <f aca="false">AI145*Inputs!$C$21*(1+Inputs!$C$20)^(AI$133-1)</f>
        <v>3745.69331968</v>
      </c>
      <c r="AJ158" s="69" t="n">
        <f aca="false">AJ145*Inputs!$C$21*(1+Inputs!$C$20)^(AJ$133-1)</f>
        <v>3745.69331968</v>
      </c>
      <c r="AK158" s="69" t="n">
        <f aca="false">AK145*Inputs!$C$21*(1+Inputs!$C$20)^(AK$133-1)</f>
        <v>3745.69331968</v>
      </c>
      <c r="AL158" s="69" t="n">
        <f aca="false">AL145*Inputs!$C$21*(1+Inputs!$C$20)^(AL$133-1)</f>
        <v>3745.69331968</v>
      </c>
      <c r="AM158" s="69" t="n">
        <f aca="false">AM145*Inputs!$C$21*(1+Inputs!$C$20)^(AM$133-1)</f>
        <v>3973.80604284851</v>
      </c>
      <c r="AN158" s="69" t="n">
        <f aca="false">AN145*Inputs!$C$21*(1+Inputs!$C$20)^(AN$133-1)</f>
        <v>3973.80604284851</v>
      </c>
      <c r="AO158" s="69" t="n">
        <f aca="false">AO145*Inputs!$C$21*(1+Inputs!$C$20)^(AO$133-1)</f>
        <v>3973.80604284851</v>
      </c>
      <c r="AP158" s="69" t="n">
        <f aca="false">AP145*Inputs!$C$21*(1+Inputs!$C$20)^(AP$133-1)</f>
        <v>3973.80604284851</v>
      </c>
      <c r="AQ158" s="69" t="n">
        <f aca="false">AQ145*Inputs!$C$21*(1+Inputs!$C$20)^(AQ$133-1)</f>
        <v>3973.80604284851</v>
      </c>
      <c r="AR158" s="69" t="n">
        <f aca="false">AR145*Inputs!$C$21*(1+Inputs!$C$20)^(AR$133-1)</f>
        <v>3973.80604284851</v>
      </c>
      <c r="AS158" s="69" t="n">
        <f aca="false">AS145*Inputs!$C$21*(1+Inputs!$C$20)^(AS$133-1)</f>
        <v>3973.80604284851</v>
      </c>
      <c r="AT158" s="69" t="n">
        <f aca="false">AT145*Inputs!$C$21*(1+Inputs!$C$20)^(AT$133-1)</f>
        <v>3973.80604284851</v>
      </c>
      <c r="AU158" s="69" t="n">
        <f aca="false">AU145*Inputs!$C$21*(1+Inputs!$C$20)^(AU$133-1)</f>
        <v>3973.80604284851</v>
      </c>
      <c r="AV158" s="69" t="n">
        <f aca="false">AV145*Inputs!$C$21*(1+Inputs!$C$20)^(AV$133-1)</f>
        <v>3973.80604284851</v>
      </c>
      <c r="AW158" s="69" t="n">
        <f aca="false">AW145*Inputs!$C$21*(1+Inputs!$C$20)^(AW$133-1)</f>
        <v>3973.80604284851</v>
      </c>
      <c r="AX158" s="69" t="n">
        <f aca="false">AX145*Inputs!$C$21*(1+Inputs!$C$20)^(AX$133-1)</f>
        <v>3973.80604284851</v>
      </c>
      <c r="AY158" s="69" t="n">
        <f aca="false">AY145*Inputs!$C$21*(1+Inputs!$C$20)^(AY$133-1)</f>
        <v>4215.81083085799</v>
      </c>
      <c r="AZ158" s="69" t="n">
        <f aca="false">AZ145*Inputs!$C$21*(1+Inputs!$C$20)^(AZ$133-1)</f>
        <v>4215.81083085799</v>
      </c>
      <c r="BA158" s="69" t="n">
        <f aca="false">BA145*Inputs!$C$21*(1+Inputs!$C$20)^(BA$133-1)</f>
        <v>4215.81083085799</v>
      </c>
      <c r="BB158" s="69" t="n">
        <f aca="false">BB145*Inputs!$C$21*(1+Inputs!$C$20)^(BB$133-1)</f>
        <v>4215.81083085799</v>
      </c>
      <c r="BC158" s="69" t="n">
        <f aca="false">BC145*Inputs!$C$21*(1+Inputs!$C$20)^(BC$133-1)</f>
        <v>4215.81083085799</v>
      </c>
      <c r="BD158" s="69" t="n">
        <f aca="false">BD145*Inputs!$C$21*(1+Inputs!$C$20)^(BD$133-1)</f>
        <v>4215.81083085799</v>
      </c>
      <c r="BE158" s="69" t="n">
        <f aca="false">BE145*Inputs!$C$21*(1+Inputs!$C$20)^(BE$133-1)</f>
        <v>4215.81083085799</v>
      </c>
      <c r="BF158" s="69" t="n">
        <f aca="false">BF145*Inputs!$C$21*(1+Inputs!$C$20)^(BF$133-1)</f>
        <v>4215.81083085799</v>
      </c>
      <c r="BG158" s="69" t="n">
        <f aca="false">BG145*Inputs!$C$21*(1+Inputs!$C$20)^(BG$133-1)</f>
        <v>4215.81083085799</v>
      </c>
      <c r="BH158" s="69" t="n">
        <f aca="false">BH145*Inputs!$C$21*(1+Inputs!$C$20)^(BH$133-1)</f>
        <v>4215.81083085799</v>
      </c>
      <c r="BI158" s="69" t="n">
        <f aca="false">BI145*Inputs!$C$21*(1+Inputs!$C$20)^(BI$133-1)</f>
        <v>4215.81083085799</v>
      </c>
      <c r="BJ158" s="69" t="n">
        <f aca="false">BJ145*Inputs!$C$21*(1+Inputs!$C$20)^(BJ$133-1)</f>
        <v>4215.81083085799</v>
      </c>
    </row>
    <row r="159" customFormat="false" ht="15" hidden="false" customHeight="false" outlineLevel="0" collapsed="false">
      <c r="A159" s="115" t="s">
        <v>44</v>
      </c>
      <c r="C159" s="70" t="n">
        <f aca="false">C156+C157+C158</f>
        <v>25006.912</v>
      </c>
      <c r="D159" s="70" t="n">
        <f aca="false">D156+D157+D158</f>
        <v>28757.9488</v>
      </c>
      <c r="E159" s="70" t="n">
        <f aca="false">E156+E157+E158</f>
        <v>32508.9856</v>
      </c>
      <c r="F159" s="70" t="n">
        <f aca="false">F156+F157+F158</f>
        <v>36260.0224</v>
      </c>
      <c r="G159" s="70" t="n">
        <f aca="false">G156+G157+G158</f>
        <v>40011.0592</v>
      </c>
      <c r="H159" s="70" t="n">
        <f aca="false">H156+H157+H158</f>
        <v>50292.928</v>
      </c>
      <c r="I159" s="70" t="n">
        <f aca="false">I156+I157+I158</f>
        <v>54603.7504</v>
      </c>
      <c r="J159" s="70" t="n">
        <f aca="false">J156+J157+J158</f>
        <v>58914.5728</v>
      </c>
      <c r="K159" s="70" t="n">
        <f aca="false">K156+K157+K158</f>
        <v>55015.2064</v>
      </c>
      <c r="L159" s="70" t="n">
        <f aca="false">L156+L157+L158</f>
        <v>58766.2432</v>
      </c>
      <c r="M159" s="70" t="n">
        <f aca="false">M156+M157+M158</f>
        <v>62517.28</v>
      </c>
      <c r="N159" s="70" t="n">
        <f aca="false">N156+N157+N158</f>
        <v>71847.04</v>
      </c>
      <c r="O159" s="70" t="n">
        <f aca="false">O156+O157+O158</f>
        <v>66324.582352</v>
      </c>
      <c r="P159" s="70" t="n">
        <f aca="false">P156+P157+P158</f>
        <v>66324.582352</v>
      </c>
      <c r="Q159" s="70" t="n">
        <f aca="false">Q156+Q157+Q158</f>
        <v>66324.582352</v>
      </c>
      <c r="R159" s="70" t="n">
        <f aca="false">R156+R157+R158</f>
        <v>66324.582352</v>
      </c>
      <c r="S159" s="70" t="n">
        <f aca="false">S156+S157+S158</f>
        <v>66324.582352</v>
      </c>
      <c r="T159" s="70" t="n">
        <f aca="false">T156+T157+T158</f>
        <v>76222.524736</v>
      </c>
      <c r="U159" s="70" t="n">
        <f aca="false">U156+U157+U158</f>
        <v>76222.524736</v>
      </c>
      <c r="V159" s="70" t="n">
        <f aca="false">V156+V157+V158</f>
        <v>76222.524736</v>
      </c>
      <c r="W159" s="70" t="n">
        <f aca="false">W156+W157+W158</f>
        <v>66324.582352</v>
      </c>
      <c r="X159" s="70" t="n">
        <f aca="false">X156+X157+X158</f>
        <v>66324.582352</v>
      </c>
      <c r="Y159" s="70" t="n">
        <f aca="false">Y156+Y157+Y158</f>
        <v>66324.582352</v>
      </c>
      <c r="Z159" s="70" t="n">
        <f aca="false">Z156+Z157+Z158</f>
        <v>76222.524736</v>
      </c>
      <c r="AA159" s="70" t="n">
        <f aca="false">AA156+AA157+AA158</f>
        <v>70363.7494172368</v>
      </c>
      <c r="AB159" s="70" t="n">
        <f aca="false">AB156+AB157+AB158</f>
        <v>70363.7494172368</v>
      </c>
      <c r="AC159" s="70" t="n">
        <f aca="false">AC156+AC157+AC158</f>
        <v>70363.7494172368</v>
      </c>
      <c r="AD159" s="70" t="n">
        <f aca="false">AD156+AD157+AD158</f>
        <v>70363.7494172368</v>
      </c>
      <c r="AE159" s="70" t="n">
        <f aca="false">AE156+AE157+AE158</f>
        <v>70363.7494172368</v>
      </c>
      <c r="AF159" s="70" t="n">
        <f aca="false">AF156+AF157+AF158</f>
        <v>80864.4764924224</v>
      </c>
      <c r="AG159" s="70" t="n">
        <f aca="false">AG156+AG157+AG158</f>
        <v>80864.4764924224</v>
      </c>
      <c r="AH159" s="70" t="n">
        <f aca="false">AH156+AH157+AH158</f>
        <v>80864.4764924224</v>
      </c>
      <c r="AI159" s="70" t="n">
        <f aca="false">AI156+AI157+AI158</f>
        <v>70363.7494172368</v>
      </c>
      <c r="AJ159" s="70" t="n">
        <f aca="false">AJ156+AJ157+AJ158</f>
        <v>70363.7494172368</v>
      </c>
      <c r="AK159" s="70" t="n">
        <f aca="false">AK156+AK157+AK158</f>
        <v>70363.7494172368</v>
      </c>
      <c r="AL159" s="70" t="n">
        <f aca="false">AL156+AL157+AL158</f>
        <v>80864.4764924224</v>
      </c>
      <c r="AM159" s="70" t="n">
        <f aca="false">AM156+AM157+AM158</f>
        <v>74648.9017567465</v>
      </c>
      <c r="AN159" s="70" t="n">
        <f aca="false">AN156+AN157+AN158</f>
        <v>74648.9017567465</v>
      </c>
      <c r="AO159" s="70" t="n">
        <f aca="false">AO156+AO157+AO158</f>
        <v>74648.9017567465</v>
      </c>
      <c r="AP159" s="70" t="n">
        <f aca="false">AP156+AP157+AP158</f>
        <v>74648.9017567465</v>
      </c>
      <c r="AQ159" s="70" t="n">
        <f aca="false">AQ156+AQ157+AQ158</f>
        <v>74648.9017567465</v>
      </c>
      <c r="AR159" s="70" t="n">
        <f aca="false">AR156+AR157+AR158</f>
        <v>85789.1231108109</v>
      </c>
      <c r="AS159" s="70" t="n">
        <f aca="false">AS156+AS157+AS158</f>
        <v>85789.1231108109</v>
      </c>
      <c r="AT159" s="70" t="n">
        <f aca="false">AT156+AT157+AT158</f>
        <v>85789.1231108109</v>
      </c>
      <c r="AU159" s="70" t="n">
        <f aca="false">AU156+AU157+AU158</f>
        <v>74648.9017567465</v>
      </c>
      <c r="AV159" s="70" t="n">
        <f aca="false">AV156+AV157+AV158</f>
        <v>74648.9017567465</v>
      </c>
      <c r="AW159" s="70" t="n">
        <f aca="false">AW156+AW157+AW158</f>
        <v>74648.9017567465</v>
      </c>
      <c r="AX159" s="70" t="n">
        <f aca="false">AX156+AX157+AX158</f>
        <v>85789.1231108109</v>
      </c>
      <c r="AY159" s="70" t="n">
        <f aca="false">AY156+AY157+AY158</f>
        <v>79195.0198737324</v>
      </c>
      <c r="AZ159" s="70" t="n">
        <f aca="false">AZ156+AZ157+AZ158</f>
        <v>79195.0198737324</v>
      </c>
      <c r="BA159" s="70" t="n">
        <f aca="false">BA156+BA157+BA158</f>
        <v>79195.0198737324</v>
      </c>
      <c r="BB159" s="70" t="n">
        <f aca="false">BB156+BB157+BB158</f>
        <v>79195.0198737324</v>
      </c>
      <c r="BC159" s="70" t="n">
        <f aca="false">BC156+BC157+BC158</f>
        <v>79195.0198737324</v>
      </c>
      <c r="BD159" s="70" t="n">
        <f aca="false">BD156+BD157+BD158</f>
        <v>91013.6807082593</v>
      </c>
      <c r="BE159" s="70" t="n">
        <f aca="false">BE156+BE157+BE158</f>
        <v>91013.6807082593</v>
      </c>
      <c r="BF159" s="70" t="n">
        <f aca="false">BF156+BF157+BF158</f>
        <v>91013.6807082593</v>
      </c>
      <c r="BG159" s="70" t="n">
        <f aca="false">BG156+BG157+BG158</f>
        <v>79195.0198737324</v>
      </c>
      <c r="BH159" s="70" t="n">
        <f aca="false">BH156+BH157+BH158</f>
        <v>79195.0198737324</v>
      </c>
      <c r="BI159" s="70" t="n">
        <f aca="false">BI156+BI157+BI158</f>
        <v>79195.0198737324</v>
      </c>
      <c r="BJ159" s="70" t="n">
        <f aca="false">BJ156+BJ157+BJ158</f>
        <v>91013.6807082593</v>
      </c>
    </row>
    <row r="161" customFormat="false" ht="15.75" hidden="false" customHeight="true" outlineLevel="0" collapsed="false">
      <c r="A161" s="7" t="s">
        <v>76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customFormat="false" ht="15" hidden="false" customHeight="false" outlineLevel="0" collapsed="false">
      <c r="A162" s="6" t="s">
        <v>423</v>
      </c>
      <c r="C162" s="69" t="n">
        <f aca="false">C250</f>
        <v>-3833.33333333333</v>
      </c>
      <c r="D162" s="69" t="n">
        <f aca="false">D250</f>
        <v>-3833.33333333333</v>
      </c>
      <c r="E162" s="69" t="n">
        <f aca="false">E250</f>
        <v>-3833.33333333333</v>
      </c>
      <c r="F162" s="69" t="n">
        <f aca="false">F250</f>
        <v>-3833.33333333333</v>
      </c>
      <c r="G162" s="69" t="n">
        <f aca="false">G250</f>
        <v>-3833.33333333333</v>
      </c>
      <c r="H162" s="69" t="n">
        <f aca="false">H250</f>
        <v>-3833.33333333333</v>
      </c>
      <c r="I162" s="69" t="n">
        <f aca="false">I250</f>
        <v>-3833.33333333333</v>
      </c>
      <c r="J162" s="69" t="n">
        <f aca="false">J250</f>
        <v>-3833.33333333333</v>
      </c>
      <c r="K162" s="69" t="n">
        <f aca="false">K250</f>
        <v>-3833.33333333333</v>
      </c>
      <c r="L162" s="69" t="n">
        <f aca="false">L250</f>
        <v>-3833.33333333333</v>
      </c>
      <c r="M162" s="69" t="n">
        <f aca="false">M250</f>
        <v>-3833.33333333333</v>
      </c>
      <c r="N162" s="69" t="n">
        <f aca="false">N250</f>
        <v>-3833.33333333333</v>
      </c>
      <c r="O162" s="69" t="n">
        <f aca="false">O250</f>
        <v>-3948.33333333333</v>
      </c>
      <c r="P162" s="69" t="n">
        <f aca="false">P250</f>
        <v>-3948.33333333333</v>
      </c>
      <c r="Q162" s="69" t="n">
        <f aca="false">Q250</f>
        <v>-3948.33333333333</v>
      </c>
      <c r="R162" s="69" t="n">
        <f aca="false">R250</f>
        <v>-3948.33333333333</v>
      </c>
      <c r="S162" s="69" t="n">
        <f aca="false">S250</f>
        <v>-3948.33333333333</v>
      </c>
      <c r="T162" s="69" t="n">
        <f aca="false">T250</f>
        <v>-3948.33333333333</v>
      </c>
      <c r="U162" s="69" t="n">
        <f aca="false">U250</f>
        <v>-3948.33333333333</v>
      </c>
      <c r="V162" s="69" t="n">
        <f aca="false">V250</f>
        <v>-3948.33333333333</v>
      </c>
      <c r="W162" s="69" t="n">
        <f aca="false">W250</f>
        <v>-3948.33333333333</v>
      </c>
      <c r="X162" s="69" t="n">
        <f aca="false">X250</f>
        <v>-3948.33333333333</v>
      </c>
      <c r="Y162" s="69" t="n">
        <f aca="false">Y250</f>
        <v>-3948.33333333333</v>
      </c>
      <c r="Z162" s="69" t="n">
        <f aca="false">Z250</f>
        <v>-3948.33333333333</v>
      </c>
      <c r="AA162" s="69" t="n">
        <f aca="false">AA250</f>
        <v>-4066.78333333333</v>
      </c>
      <c r="AB162" s="69" t="n">
        <f aca="false">AB250</f>
        <v>-4066.78333333333</v>
      </c>
      <c r="AC162" s="69" t="n">
        <f aca="false">AC250</f>
        <v>-4066.78333333333</v>
      </c>
      <c r="AD162" s="69" t="n">
        <f aca="false">AD250</f>
        <v>-4066.78333333333</v>
      </c>
      <c r="AE162" s="69" t="n">
        <f aca="false">AE250</f>
        <v>-4066.78333333333</v>
      </c>
      <c r="AF162" s="69" t="n">
        <f aca="false">AF250</f>
        <v>-4066.78333333333</v>
      </c>
      <c r="AG162" s="69" t="n">
        <f aca="false">AG250</f>
        <v>-4066.78333333333</v>
      </c>
      <c r="AH162" s="69" t="n">
        <f aca="false">AH250</f>
        <v>-4066.78333333333</v>
      </c>
      <c r="AI162" s="69" t="n">
        <f aca="false">AI250</f>
        <v>-4066.78333333333</v>
      </c>
      <c r="AJ162" s="69" t="n">
        <f aca="false">AJ250</f>
        <v>-4066.78333333333</v>
      </c>
      <c r="AK162" s="69" t="n">
        <f aca="false">AK250</f>
        <v>-4066.78333333333</v>
      </c>
      <c r="AL162" s="69" t="n">
        <f aca="false">AL250</f>
        <v>-4066.78333333333</v>
      </c>
      <c r="AM162" s="69" t="n">
        <f aca="false">AM250</f>
        <v>-4188.78683333333</v>
      </c>
      <c r="AN162" s="69" t="n">
        <f aca="false">AN250</f>
        <v>-4188.78683333333</v>
      </c>
      <c r="AO162" s="69" t="n">
        <f aca="false">AO250</f>
        <v>-4188.78683333333</v>
      </c>
      <c r="AP162" s="69" t="n">
        <f aca="false">AP250</f>
        <v>-4188.78683333333</v>
      </c>
      <c r="AQ162" s="69" t="n">
        <f aca="false">AQ250</f>
        <v>-4188.78683333333</v>
      </c>
      <c r="AR162" s="69" t="n">
        <f aca="false">AR250</f>
        <v>-4188.78683333333</v>
      </c>
      <c r="AS162" s="69" t="n">
        <f aca="false">AS250</f>
        <v>-4188.78683333333</v>
      </c>
      <c r="AT162" s="69" t="n">
        <f aca="false">AT250</f>
        <v>-4188.78683333333</v>
      </c>
      <c r="AU162" s="69" t="n">
        <f aca="false">AU250</f>
        <v>-4188.78683333333</v>
      </c>
      <c r="AV162" s="69" t="n">
        <f aca="false">AV250</f>
        <v>-4188.78683333333</v>
      </c>
      <c r="AW162" s="69" t="n">
        <f aca="false">AW250</f>
        <v>-4188.78683333333</v>
      </c>
      <c r="AX162" s="69" t="n">
        <f aca="false">AX250</f>
        <v>-4188.78683333333</v>
      </c>
      <c r="AY162" s="69" t="n">
        <f aca="false">AY250</f>
        <v>-4314.45043833333</v>
      </c>
      <c r="AZ162" s="69" t="n">
        <f aca="false">AZ250</f>
        <v>-4314.45043833333</v>
      </c>
      <c r="BA162" s="69" t="n">
        <f aca="false">BA250</f>
        <v>-4314.45043833333</v>
      </c>
      <c r="BB162" s="69" t="n">
        <f aca="false">BB250</f>
        <v>-4314.45043833333</v>
      </c>
      <c r="BC162" s="69" t="n">
        <f aca="false">BC250</f>
        <v>-4314.45043833333</v>
      </c>
      <c r="BD162" s="69" t="n">
        <f aca="false">BD250</f>
        <v>-4314.45043833333</v>
      </c>
      <c r="BE162" s="69" t="n">
        <f aca="false">BE250</f>
        <v>-4314.45043833333</v>
      </c>
      <c r="BF162" s="69" t="n">
        <f aca="false">BF250</f>
        <v>-4314.45043833333</v>
      </c>
      <c r="BG162" s="69" t="n">
        <f aca="false">BG250</f>
        <v>-4314.45043833333</v>
      </c>
      <c r="BH162" s="69" t="n">
        <f aca="false">BH250</f>
        <v>-4314.45043833333</v>
      </c>
      <c r="BI162" s="69" t="n">
        <f aca="false">BI250</f>
        <v>-4314.45043833333</v>
      </c>
      <c r="BJ162" s="69" t="n">
        <f aca="false">BJ250</f>
        <v>-4314.45043833333</v>
      </c>
    </row>
    <row r="163" customFormat="false" ht="15" hidden="false" customHeight="false" outlineLevel="0" collapsed="false">
      <c r="A163" s="6" t="s">
        <v>424</v>
      </c>
      <c r="C163" s="69" t="n">
        <f aca="false">-C156*Inputs!$C$33</f>
        <v>-4368</v>
      </c>
      <c r="D163" s="69" t="n">
        <f aca="false">-D156*Inputs!$C$33</f>
        <v>-5023.2</v>
      </c>
      <c r="E163" s="69" t="n">
        <f aca="false">-E156*Inputs!$C$33</f>
        <v>-5678.4</v>
      </c>
      <c r="F163" s="69" t="n">
        <f aca="false">-F156*Inputs!$C$33</f>
        <v>-6333.6</v>
      </c>
      <c r="G163" s="69" t="n">
        <f aca="false">-G156*Inputs!$C$33</f>
        <v>-6988.8</v>
      </c>
      <c r="H163" s="69" t="n">
        <f aca="false">-H156*Inputs!$C$33</f>
        <v>-7644</v>
      </c>
      <c r="I163" s="69" t="n">
        <f aca="false">-I156*Inputs!$C$33</f>
        <v>-8299.2</v>
      </c>
      <c r="J163" s="69" t="n">
        <f aca="false">-J156*Inputs!$C$33</f>
        <v>-8954.4</v>
      </c>
      <c r="K163" s="69" t="n">
        <f aca="false">-K156*Inputs!$C$33</f>
        <v>-9609.6</v>
      </c>
      <c r="L163" s="69" t="n">
        <f aca="false">-L156*Inputs!$C$33</f>
        <v>-10264.8</v>
      </c>
      <c r="M163" s="69" t="n">
        <f aca="false">-M156*Inputs!$C$33</f>
        <v>-10920</v>
      </c>
      <c r="N163" s="69" t="n">
        <f aca="false">-N156*Inputs!$C$33</f>
        <v>-10920</v>
      </c>
      <c r="O163" s="69" t="n">
        <f aca="false">-O156*Inputs!$C$33</f>
        <v>-11585.028</v>
      </c>
      <c r="P163" s="69" t="n">
        <f aca="false">-P156*Inputs!$C$33</f>
        <v>-11585.028</v>
      </c>
      <c r="Q163" s="69" t="n">
        <f aca="false">-Q156*Inputs!$C$33</f>
        <v>-11585.028</v>
      </c>
      <c r="R163" s="69" t="n">
        <f aca="false">-R156*Inputs!$C$33</f>
        <v>-11585.028</v>
      </c>
      <c r="S163" s="69" t="n">
        <f aca="false">-S156*Inputs!$C$33</f>
        <v>-11585.028</v>
      </c>
      <c r="T163" s="69" t="n">
        <f aca="false">-T156*Inputs!$C$33</f>
        <v>-11585.028</v>
      </c>
      <c r="U163" s="69" t="n">
        <f aca="false">-U156*Inputs!$C$33</f>
        <v>-11585.028</v>
      </c>
      <c r="V163" s="69" t="n">
        <f aca="false">-V156*Inputs!$C$33</f>
        <v>-11585.028</v>
      </c>
      <c r="W163" s="69" t="n">
        <f aca="false">-W156*Inputs!$C$33</f>
        <v>-11585.028</v>
      </c>
      <c r="X163" s="69" t="n">
        <f aca="false">-X156*Inputs!$C$33</f>
        <v>-11585.028</v>
      </c>
      <c r="Y163" s="69" t="n">
        <f aca="false">-Y156*Inputs!$C$33</f>
        <v>-11585.028</v>
      </c>
      <c r="Z163" s="69" t="n">
        <f aca="false">-Z156*Inputs!$C$33</f>
        <v>-11585.028</v>
      </c>
      <c r="AA163" s="69" t="n">
        <f aca="false">-AA156*Inputs!$C$33</f>
        <v>-12290.5562052</v>
      </c>
      <c r="AB163" s="69" t="n">
        <f aca="false">-AB156*Inputs!$C$33</f>
        <v>-12290.5562052</v>
      </c>
      <c r="AC163" s="69" t="n">
        <f aca="false">-AC156*Inputs!$C$33</f>
        <v>-12290.5562052</v>
      </c>
      <c r="AD163" s="69" t="n">
        <f aca="false">-AD156*Inputs!$C$33</f>
        <v>-12290.5562052</v>
      </c>
      <c r="AE163" s="69" t="n">
        <f aca="false">-AE156*Inputs!$C$33</f>
        <v>-12290.5562052</v>
      </c>
      <c r="AF163" s="69" t="n">
        <f aca="false">-AF156*Inputs!$C$33</f>
        <v>-12290.5562052</v>
      </c>
      <c r="AG163" s="69" t="n">
        <f aca="false">-AG156*Inputs!$C$33</f>
        <v>-12290.5562052</v>
      </c>
      <c r="AH163" s="69" t="n">
        <f aca="false">-AH156*Inputs!$C$33</f>
        <v>-12290.5562052</v>
      </c>
      <c r="AI163" s="69" t="n">
        <f aca="false">-AI156*Inputs!$C$33</f>
        <v>-12290.5562052</v>
      </c>
      <c r="AJ163" s="69" t="n">
        <f aca="false">-AJ156*Inputs!$C$33</f>
        <v>-12290.5562052</v>
      </c>
      <c r="AK163" s="69" t="n">
        <f aca="false">-AK156*Inputs!$C$33</f>
        <v>-12290.5562052</v>
      </c>
      <c r="AL163" s="69" t="n">
        <f aca="false">-AL156*Inputs!$C$33</f>
        <v>-12290.5562052</v>
      </c>
      <c r="AM163" s="69" t="n">
        <f aca="false">-AM156*Inputs!$C$33</f>
        <v>-13039.0510780967</v>
      </c>
      <c r="AN163" s="69" t="n">
        <f aca="false">-AN156*Inputs!$C$33</f>
        <v>-13039.0510780967</v>
      </c>
      <c r="AO163" s="69" t="n">
        <f aca="false">-AO156*Inputs!$C$33</f>
        <v>-13039.0510780967</v>
      </c>
      <c r="AP163" s="69" t="n">
        <f aca="false">-AP156*Inputs!$C$33</f>
        <v>-13039.0510780967</v>
      </c>
      <c r="AQ163" s="69" t="n">
        <f aca="false">-AQ156*Inputs!$C$33</f>
        <v>-13039.0510780967</v>
      </c>
      <c r="AR163" s="69" t="n">
        <f aca="false">-AR156*Inputs!$C$33</f>
        <v>-13039.0510780967</v>
      </c>
      <c r="AS163" s="69" t="n">
        <f aca="false">-AS156*Inputs!$C$33</f>
        <v>-13039.0510780967</v>
      </c>
      <c r="AT163" s="69" t="n">
        <f aca="false">-AT156*Inputs!$C$33</f>
        <v>-13039.0510780967</v>
      </c>
      <c r="AU163" s="69" t="n">
        <f aca="false">-AU156*Inputs!$C$33</f>
        <v>-13039.0510780967</v>
      </c>
      <c r="AV163" s="69" t="n">
        <f aca="false">-AV156*Inputs!$C$33</f>
        <v>-13039.0510780967</v>
      </c>
      <c r="AW163" s="69" t="n">
        <f aca="false">-AW156*Inputs!$C$33</f>
        <v>-13039.0510780967</v>
      </c>
      <c r="AX163" s="69" t="n">
        <f aca="false">-AX156*Inputs!$C$33</f>
        <v>-13039.0510780967</v>
      </c>
      <c r="AY163" s="69" t="n">
        <f aca="false">-AY156*Inputs!$C$33</f>
        <v>-13833.1292887528</v>
      </c>
      <c r="AZ163" s="69" t="n">
        <f aca="false">-AZ156*Inputs!$C$33</f>
        <v>-13833.1292887528</v>
      </c>
      <c r="BA163" s="69" t="n">
        <f aca="false">-BA156*Inputs!$C$33</f>
        <v>-13833.1292887528</v>
      </c>
      <c r="BB163" s="69" t="n">
        <f aca="false">-BB156*Inputs!$C$33</f>
        <v>-13833.1292887528</v>
      </c>
      <c r="BC163" s="69" t="n">
        <f aca="false">-BC156*Inputs!$C$33</f>
        <v>-13833.1292887528</v>
      </c>
      <c r="BD163" s="69" t="n">
        <f aca="false">-BD156*Inputs!$C$33</f>
        <v>-13833.1292887528</v>
      </c>
      <c r="BE163" s="69" t="n">
        <f aca="false">-BE156*Inputs!$C$33</f>
        <v>-13833.1292887528</v>
      </c>
      <c r="BF163" s="69" t="n">
        <f aca="false">-BF156*Inputs!$C$33</f>
        <v>-13833.1292887528</v>
      </c>
      <c r="BG163" s="69" t="n">
        <f aca="false">-BG156*Inputs!$C$33</f>
        <v>-13833.1292887528</v>
      </c>
      <c r="BH163" s="69" t="n">
        <f aca="false">-BH156*Inputs!$C$33</f>
        <v>-13833.1292887528</v>
      </c>
      <c r="BI163" s="69" t="n">
        <f aca="false">-BI156*Inputs!$C$33</f>
        <v>-13833.1292887528</v>
      </c>
      <c r="BJ163" s="69" t="n">
        <f aca="false">-BJ156*Inputs!$C$33</f>
        <v>-13833.1292887528</v>
      </c>
    </row>
    <row r="164" customFormat="false" ht="15" hidden="false" customHeight="false" outlineLevel="0" collapsed="false">
      <c r="A164" s="6" t="s">
        <v>425</v>
      </c>
      <c r="C164" s="69" t="n">
        <f aca="false">-C145*Inputs!$C$34*(1+Inputs!$C$45)^(C$133-1)</f>
        <v>-748.8</v>
      </c>
      <c r="D164" s="69" t="n">
        <f aca="false">-D145*Inputs!$C$34*(1+Inputs!$C$45)^(D$133-1)</f>
        <v>-861.12</v>
      </c>
      <c r="E164" s="69" t="n">
        <f aca="false">-E145*Inputs!$C$34*(1+Inputs!$C$45)^(E$133-1)</f>
        <v>-973.44</v>
      </c>
      <c r="F164" s="69" t="n">
        <f aca="false">-F145*Inputs!$C$34*(1+Inputs!$C$45)^(F$133-1)</f>
        <v>-1085.76</v>
      </c>
      <c r="G164" s="69" t="n">
        <f aca="false">-G145*Inputs!$C$34*(1+Inputs!$C$45)^(G$133-1)</f>
        <v>-1198.08</v>
      </c>
      <c r="H164" s="69" t="n">
        <f aca="false">-H145*Inputs!$C$34*(1+Inputs!$C$45)^(H$133-1)</f>
        <v>-1310.4</v>
      </c>
      <c r="I164" s="69" t="n">
        <f aca="false">-I145*Inputs!$C$34*(1+Inputs!$C$45)^(I$133-1)</f>
        <v>-1422.72</v>
      </c>
      <c r="J164" s="69" t="n">
        <f aca="false">-J145*Inputs!$C$34*(1+Inputs!$C$45)^(J$133-1)</f>
        <v>-1535.04</v>
      </c>
      <c r="K164" s="69" t="n">
        <f aca="false">-K145*Inputs!$C$34*(1+Inputs!$C$45)^(K$133-1)</f>
        <v>-1647.36</v>
      </c>
      <c r="L164" s="69" t="n">
        <f aca="false">-L145*Inputs!$C$34*(1+Inputs!$C$45)^(L$133-1)</f>
        <v>-1759.68</v>
      </c>
      <c r="M164" s="69" t="n">
        <f aca="false">-M145*Inputs!$C$34*(1+Inputs!$C$45)^(M$133-1)</f>
        <v>-1872</v>
      </c>
      <c r="N164" s="69" t="n">
        <f aca="false">-N145*Inputs!$C$34*(1+Inputs!$C$45)^(N$133-1)</f>
        <v>-1872</v>
      </c>
      <c r="O164" s="69" t="n">
        <f aca="false">-O145*Inputs!$C$34*(1+Inputs!$C$45)^(O$133-1)</f>
        <v>-1986.0048</v>
      </c>
      <c r="P164" s="69" t="n">
        <f aca="false">-P145*Inputs!$C$34*(1+Inputs!$C$45)^(P$133-1)</f>
        <v>-1986.0048</v>
      </c>
      <c r="Q164" s="69" t="n">
        <f aca="false">-Q145*Inputs!$C$34*(1+Inputs!$C$45)^(Q$133-1)</f>
        <v>-1986.0048</v>
      </c>
      <c r="R164" s="69" t="n">
        <f aca="false">-R145*Inputs!$C$34*(1+Inputs!$C$45)^(R$133-1)</f>
        <v>-1986.0048</v>
      </c>
      <c r="S164" s="69" t="n">
        <f aca="false">-S145*Inputs!$C$34*(1+Inputs!$C$45)^(S$133-1)</f>
        <v>-1986.0048</v>
      </c>
      <c r="T164" s="69" t="n">
        <f aca="false">-T145*Inputs!$C$34*(1+Inputs!$C$45)^(T$133-1)</f>
        <v>-1986.0048</v>
      </c>
      <c r="U164" s="69" t="n">
        <f aca="false">-U145*Inputs!$C$34*(1+Inputs!$C$45)^(U$133-1)</f>
        <v>-1986.0048</v>
      </c>
      <c r="V164" s="69" t="n">
        <f aca="false">-V145*Inputs!$C$34*(1+Inputs!$C$45)^(V$133-1)</f>
        <v>-1986.0048</v>
      </c>
      <c r="W164" s="69" t="n">
        <f aca="false">-W145*Inputs!$C$34*(1+Inputs!$C$45)^(W$133-1)</f>
        <v>-1986.0048</v>
      </c>
      <c r="X164" s="69" t="n">
        <f aca="false">-X145*Inputs!$C$34*(1+Inputs!$C$45)^(X$133-1)</f>
        <v>-1986.0048</v>
      </c>
      <c r="Y164" s="69" t="n">
        <f aca="false">-Y145*Inputs!$C$34*(1+Inputs!$C$45)^(Y$133-1)</f>
        <v>-1986.0048</v>
      </c>
      <c r="Z164" s="69" t="n">
        <f aca="false">-Z145*Inputs!$C$34*(1+Inputs!$C$45)^(Z$133-1)</f>
        <v>-1986.0048</v>
      </c>
      <c r="AA164" s="69" t="n">
        <f aca="false">-AA145*Inputs!$C$34*(1+Inputs!$C$45)^(AA$133-1)</f>
        <v>-2106.95249232</v>
      </c>
      <c r="AB164" s="69" t="n">
        <f aca="false">-AB145*Inputs!$C$34*(1+Inputs!$C$45)^(AB$133-1)</f>
        <v>-2106.95249232</v>
      </c>
      <c r="AC164" s="69" t="n">
        <f aca="false">-AC145*Inputs!$C$34*(1+Inputs!$C$45)^(AC$133-1)</f>
        <v>-2106.95249232</v>
      </c>
      <c r="AD164" s="69" t="n">
        <f aca="false">-AD145*Inputs!$C$34*(1+Inputs!$C$45)^(AD$133-1)</f>
        <v>-2106.95249232</v>
      </c>
      <c r="AE164" s="69" t="n">
        <f aca="false">-AE145*Inputs!$C$34*(1+Inputs!$C$45)^(AE$133-1)</f>
        <v>-2106.95249232</v>
      </c>
      <c r="AF164" s="69" t="n">
        <f aca="false">-AF145*Inputs!$C$34*(1+Inputs!$C$45)^(AF$133-1)</f>
        <v>-2106.95249232</v>
      </c>
      <c r="AG164" s="69" t="n">
        <f aca="false">-AG145*Inputs!$C$34*(1+Inputs!$C$45)^(AG$133-1)</f>
        <v>-2106.95249232</v>
      </c>
      <c r="AH164" s="69" t="n">
        <f aca="false">-AH145*Inputs!$C$34*(1+Inputs!$C$45)^(AH$133-1)</f>
        <v>-2106.95249232</v>
      </c>
      <c r="AI164" s="69" t="n">
        <f aca="false">-AI145*Inputs!$C$34*(1+Inputs!$C$45)^(AI$133-1)</f>
        <v>-2106.95249232</v>
      </c>
      <c r="AJ164" s="69" t="n">
        <f aca="false">-AJ145*Inputs!$C$34*(1+Inputs!$C$45)^(AJ$133-1)</f>
        <v>-2106.95249232</v>
      </c>
      <c r="AK164" s="69" t="n">
        <f aca="false">-AK145*Inputs!$C$34*(1+Inputs!$C$45)^(AK$133-1)</f>
        <v>-2106.95249232</v>
      </c>
      <c r="AL164" s="69" t="n">
        <f aca="false">-AL145*Inputs!$C$34*(1+Inputs!$C$45)^(AL$133-1)</f>
        <v>-2106.95249232</v>
      </c>
      <c r="AM164" s="69" t="n">
        <f aca="false">-AM145*Inputs!$C$34*(1+Inputs!$C$45)^(AM$133-1)</f>
        <v>-2235.26589910229</v>
      </c>
      <c r="AN164" s="69" t="n">
        <f aca="false">-AN145*Inputs!$C$34*(1+Inputs!$C$45)^(AN$133-1)</f>
        <v>-2235.26589910229</v>
      </c>
      <c r="AO164" s="69" t="n">
        <f aca="false">-AO145*Inputs!$C$34*(1+Inputs!$C$45)^(AO$133-1)</f>
        <v>-2235.26589910229</v>
      </c>
      <c r="AP164" s="69" t="n">
        <f aca="false">-AP145*Inputs!$C$34*(1+Inputs!$C$45)^(AP$133-1)</f>
        <v>-2235.26589910229</v>
      </c>
      <c r="AQ164" s="69" t="n">
        <f aca="false">-AQ145*Inputs!$C$34*(1+Inputs!$C$45)^(AQ$133-1)</f>
        <v>-2235.26589910229</v>
      </c>
      <c r="AR164" s="69" t="n">
        <f aca="false">-AR145*Inputs!$C$34*(1+Inputs!$C$45)^(AR$133-1)</f>
        <v>-2235.26589910229</v>
      </c>
      <c r="AS164" s="69" t="n">
        <f aca="false">-AS145*Inputs!$C$34*(1+Inputs!$C$45)^(AS$133-1)</f>
        <v>-2235.26589910229</v>
      </c>
      <c r="AT164" s="69" t="n">
        <f aca="false">-AT145*Inputs!$C$34*(1+Inputs!$C$45)^(AT$133-1)</f>
        <v>-2235.26589910229</v>
      </c>
      <c r="AU164" s="69" t="n">
        <f aca="false">-AU145*Inputs!$C$34*(1+Inputs!$C$45)^(AU$133-1)</f>
        <v>-2235.26589910229</v>
      </c>
      <c r="AV164" s="69" t="n">
        <f aca="false">-AV145*Inputs!$C$34*(1+Inputs!$C$45)^(AV$133-1)</f>
        <v>-2235.26589910229</v>
      </c>
      <c r="AW164" s="69" t="n">
        <f aca="false">-AW145*Inputs!$C$34*(1+Inputs!$C$45)^(AW$133-1)</f>
        <v>-2235.26589910229</v>
      </c>
      <c r="AX164" s="69" t="n">
        <f aca="false">-AX145*Inputs!$C$34*(1+Inputs!$C$45)^(AX$133-1)</f>
        <v>-2235.26589910229</v>
      </c>
      <c r="AY164" s="69" t="n">
        <f aca="false">-AY145*Inputs!$C$34*(1+Inputs!$C$45)^(AY$133-1)</f>
        <v>-2371.39359235762</v>
      </c>
      <c r="AZ164" s="69" t="n">
        <f aca="false">-AZ145*Inputs!$C$34*(1+Inputs!$C$45)^(AZ$133-1)</f>
        <v>-2371.39359235762</v>
      </c>
      <c r="BA164" s="69" t="n">
        <f aca="false">-BA145*Inputs!$C$34*(1+Inputs!$C$45)^(BA$133-1)</f>
        <v>-2371.39359235762</v>
      </c>
      <c r="BB164" s="69" t="n">
        <f aca="false">-BB145*Inputs!$C$34*(1+Inputs!$C$45)^(BB$133-1)</f>
        <v>-2371.39359235762</v>
      </c>
      <c r="BC164" s="69" t="n">
        <f aca="false">-BC145*Inputs!$C$34*(1+Inputs!$C$45)^(BC$133-1)</f>
        <v>-2371.39359235762</v>
      </c>
      <c r="BD164" s="69" t="n">
        <f aca="false">-BD145*Inputs!$C$34*(1+Inputs!$C$45)^(BD$133-1)</f>
        <v>-2371.39359235762</v>
      </c>
      <c r="BE164" s="69" t="n">
        <f aca="false">-BE145*Inputs!$C$34*(1+Inputs!$C$45)^(BE$133-1)</f>
        <v>-2371.39359235762</v>
      </c>
      <c r="BF164" s="69" t="n">
        <f aca="false">-BF145*Inputs!$C$34*(1+Inputs!$C$45)^(BF$133-1)</f>
        <v>-2371.39359235762</v>
      </c>
      <c r="BG164" s="69" t="n">
        <f aca="false">-BG145*Inputs!$C$34*(1+Inputs!$C$45)^(BG$133-1)</f>
        <v>-2371.39359235762</v>
      </c>
      <c r="BH164" s="69" t="n">
        <f aca="false">-BH145*Inputs!$C$34*(1+Inputs!$C$45)^(BH$133-1)</f>
        <v>-2371.39359235762</v>
      </c>
      <c r="BI164" s="69" t="n">
        <f aca="false">-BI145*Inputs!$C$34*(1+Inputs!$C$45)^(BI$133-1)</f>
        <v>-2371.39359235762</v>
      </c>
      <c r="BJ164" s="69" t="n">
        <f aca="false">-BJ145*Inputs!$C$34*(1+Inputs!$C$45)^(BJ$133-1)</f>
        <v>-2371.39359235762</v>
      </c>
    </row>
    <row r="165" customFormat="false" ht="15" hidden="false" customHeight="false" outlineLevel="0" collapsed="false">
      <c r="A165" s="6" t="s">
        <v>426</v>
      </c>
      <c r="C165" s="69" t="n">
        <f aca="false">-C152*Inputs!$C$35*(1+Inputs!$C$45)^(C$133-1)</f>
        <v>-1221.3504</v>
      </c>
      <c r="D165" s="69" t="n">
        <f aca="false">-D152*Inputs!$C$35*(1+Inputs!$C$45)^(D$133-1)</f>
        <v>-1404.55296</v>
      </c>
      <c r="E165" s="69" t="n">
        <f aca="false">-E152*Inputs!$C$35*(1+Inputs!$C$45)^(E$133-1)</f>
        <v>-1587.75552</v>
      </c>
      <c r="F165" s="69" t="n">
        <f aca="false">-F152*Inputs!$C$35*(1+Inputs!$C$45)^(F$133-1)</f>
        <v>-1770.95808</v>
      </c>
      <c r="G165" s="69" t="n">
        <f aca="false">-G152*Inputs!$C$35*(1+Inputs!$C$45)^(G$133-1)</f>
        <v>-1954.16064</v>
      </c>
      <c r="H165" s="69" t="n">
        <f aca="false">-H152*Inputs!$C$35*(1+Inputs!$C$45)^(H$133-1)</f>
        <v>-2849.8176</v>
      </c>
      <c r="I165" s="69" t="n">
        <f aca="false">-I152*Inputs!$C$35*(1+Inputs!$C$45)^(I$133-1)</f>
        <v>-3094.08768</v>
      </c>
      <c r="J165" s="69" t="n">
        <f aca="false">-J152*Inputs!$C$35*(1+Inputs!$C$45)^(J$133-1)</f>
        <v>-3338.35776</v>
      </c>
      <c r="K165" s="69" t="n">
        <f aca="false">-K152*Inputs!$C$35*(1+Inputs!$C$45)^(K$133-1)</f>
        <v>-2686.97088</v>
      </c>
      <c r="L165" s="69" t="n">
        <f aca="false">-L152*Inputs!$C$35*(1+Inputs!$C$45)^(L$133-1)</f>
        <v>-2870.17344</v>
      </c>
      <c r="M165" s="69" t="n">
        <f aca="false">-M152*Inputs!$C$35*(1+Inputs!$C$45)^(M$133-1)</f>
        <v>-3053.376</v>
      </c>
      <c r="N165" s="69" t="n">
        <f aca="false">-N152*Inputs!$C$35*(1+Inputs!$C$45)^(N$133-1)</f>
        <v>-4071.168</v>
      </c>
      <c r="O165" s="69" t="n">
        <f aca="false">-O152*Inputs!$C$35*(1+Inputs!$C$45)^(O$133-1)</f>
        <v>-3239.3265984</v>
      </c>
      <c r="P165" s="69" t="n">
        <f aca="false">-P152*Inputs!$C$35*(1+Inputs!$C$45)^(P$133-1)</f>
        <v>-3239.3265984</v>
      </c>
      <c r="Q165" s="69" t="n">
        <f aca="false">-Q152*Inputs!$C$35*(1+Inputs!$C$45)^(Q$133-1)</f>
        <v>-3239.3265984</v>
      </c>
      <c r="R165" s="69" t="n">
        <f aca="false">-R152*Inputs!$C$35*(1+Inputs!$C$45)^(R$133-1)</f>
        <v>-3239.3265984</v>
      </c>
      <c r="S165" s="69" t="n">
        <f aca="false">-S152*Inputs!$C$35*(1+Inputs!$C$45)^(S$133-1)</f>
        <v>-3239.3265984</v>
      </c>
      <c r="T165" s="69" t="n">
        <f aca="false">-T152*Inputs!$C$35*(1+Inputs!$C$45)^(T$133-1)</f>
        <v>-4319.1021312</v>
      </c>
      <c r="U165" s="69" t="n">
        <f aca="false">-U152*Inputs!$C$35*(1+Inputs!$C$45)^(U$133-1)</f>
        <v>-4319.1021312</v>
      </c>
      <c r="V165" s="69" t="n">
        <f aca="false">-V152*Inputs!$C$35*(1+Inputs!$C$45)^(V$133-1)</f>
        <v>-4319.1021312</v>
      </c>
      <c r="W165" s="69" t="n">
        <f aca="false">-W152*Inputs!$C$35*(1+Inputs!$C$45)^(W$133-1)</f>
        <v>-3239.3265984</v>
      </c>
      <c r="X165" s="69" t="n">
        <f aca="false">-X152*Inputs!$C$35*(1+Inputs!$C$45)^(X$133-1)</f>
        <v>-3239.3265984</v>
      </c>
      <c r="Y165" s="69" t="n">
        <f aca="false">-Y152*Inputs!$C$35*(1+Inputs!$C$45)^(Y$133-1)</f>
        <v>-3239.3265984</v>
      </c>
      <c r="Z165" s="69" t="n">
        <f aca="false">-Z152*Inputs!$C$35*(1+Inputs!$C$45)^(Z$133-1)</f>
        <v>-4319.1021312</v>
      </c>
      <c r="AA165" s="69" t="n">
        <f aca="false">-AA152*Inputs!$C$35*(1+Inputs!$C$45)^(AA$133-1)</f>
        <v>-3436.60158824256</v>
      </c>
      <c r="AB165" s="69" t="n">
        <f aca="false">-AB152*Inputs!$C$35*(1+Inputs!$C$45)^(AB$133-1)</f>
        <v>-3436.60158824256</v>
      </c>
      <c r="AC165" s="69" t="n">
        <f aca="false">-AC152*Inputs!$C$35*(1+Inputs!$C$45)^(AC$133-1)</f>
        <v>-3436.60158824256</v>
      </c>
      <c r="AD165" s="69" t="n">
        <f aca="false">-AD152*Inputs!$C$35*(1+Inputs!$C$45)^(AD$133-1)</f>
        <v>-3436.60158824256</v>
      </c>
      <c r="AE165" s="69" t="n">
        <f aca="false">-AE152*Inputs!$C$35*(1+Inputs!$C$45)^(AE$133-1)</f>
        <v>-3436.60158824256</v>
      </c>
      <c r="AF165" s="69" t="n">
        <f aca="false">-AF152*Inputs!$C$35*(1+Inputs!$C$45)^(AF$133-1)</f>
        <v>-4582.13545099008</v>
      </c>
      <c r="AG165" s="69" t="n">
        <f aca="false">-AG152*Inputs!$C$35*(1+Inputs!$C$45)^(AG$133-1)</f>
        <v>-4582.13545099008</v>
      </c>
      <c r="AH165" s="69" t="n">
        <f aca="false">-AH152*Inputs!$C$35*(1+Inputs!$C$45)^(AH$133-1)</f>
        <v>-4582.13545099008</v>
      </c>
      <c r="AI165" s="69" t="n">
        <f aca="false">-AI152*Inputs!$C$35*(1+Inputs!$C$45)^(AI$133-1)</f>
        <v>-3436.60158824256</v>
      </c>
      <c r="AJ165" s="69" t="n">
        <f aca="false">-AJ152*Inputs!$C$35*(1+Inputs!$C$45)^(AJ$133-1)</f>
        <v>-3436.60158824256</v>
      </c>
      <c r="AK165" s="69" t="n">
        <f aca="false">-AK152*Inputs!$C$35*(1+Inputs!$C$45)^(AK$133-1)</f>
        <v>-3436.60158824256</v>
      </c>
      <c r="AL165" s="69" t="n">
        <f aca="false">-AL152*Inputs!$C$35*(1+Inputs!$C$45)^(AL$133-1)</f>
        <v>-4582.13545099008</v>
      </c>
      <c r="AM165" s="69" t="n">
        <f aca="false">-AM152*Inputs!$C$35*(1+Inputs!$C$45)^(AM$133-1)</f>
        <v>-3645.89062496653</v>
      </c>
      <c r="AN165" s="69" t="n">
        <f aca="false">-AN152*Inputs!$C$35*(1+Inputs!$C$45)^(AN$133-1)</f>
        <v>-3645.89062496653</v>
      </c>
      <c r="AO165" s="69" t="n">
        <f aca="false">-AO152*Inputs!$C$35*(1+Inputs!$C$45)^(AO$133-1)</f>
        <v>-3645.89062496653</v>
      </c>
      <c r="AP165" s="69" t="n">
        <f aca="false">-AP152*Inputs!$C$35*(1+Inputs!$C$45)^(AP$133-1)</f>
        <v>-3645.89062496653</v>
      </c>
      <c r="AQ165" s="69" t="n">
        <f aca="false">-AQ152*Inputs!$C$35*(1+Inputs!$C$45)^(AQ$133-1)</f>
        <v>-3645.89062496653</v>
      </c>
      <c r="AR165" s="69" t="n">
        <f aca="false">-AR152*Inputs!$C$35*(1+Inputs!$C$45)^(AR$133-1)</f>
        <v>-4861.18749995538</v>
      </c>
      <c r="AS165" s="69" t="n">
        <f aca="false">-AS152*Inputs!$C$35*(1+Inputs!$C$45)^(AS$133-1)</f>
        <v>-4861.18749995538</v>
      </c>
      <c r="AT165" s="69" t="n">
        <f aca="false">-AT152*Inputs!$C$35*(1+Inputs!$C$45)^(AT$133-1)</f>
        <v>-4861.18749995538</v>
      </c>
      <c r="AU165" s="69" t="n">
        <f aca="false">-AU152*Inputs!$C$35*(1+Inputs!$C$45)^(AU$133-1)</f>
        <v>-3645.89062496653</v>
      </c>
      <c r="AV165" s="69" t="n">
        <f aca="false">-AV152*Inputs!$C$35*(1+Inputs!$C$45)^(AV$133-1)</f>
        <v>-3645.89062496653</v>
      </c>
      <c r="AW165" s="69" t="n">
        <f aca="false">-AW152*Inputs!$C$35*(1+Inputs!$C$45)^(AW$133-1)</f>
        <v>-3645.89062496653</v>
      </c>
      <c r="AX165" s="69" t="n">
        <f aca="false">-AX152*Inputs!$C$35*(1+Inputs!$C$45)^(AX$133-1)</f>
        <v>-4861.18749995538</v>
      </c>
      <c r="AY165" s="69" t="n">
        <f aca="false">-AY152*Inputs!$C$35*(1+Inputs!$C$45)^(AY$133-1)</f>
        <v>-3867.925364027</v>
      </c>
      <c r="AZ165" s="69" t="n">
        <f aca="false">-AZ152*Inputs!$C$35*(1+Inputs!$C$45)^(AZ$133-1)</f>
        <v>-3867.925364027</v>
      </c>
      <c r="BA165" s="69" t="n">
        <f aca="false">-BA152*Inputs!$C$35*(1+Inputs!$C$45)^(BA$133-1)</f>
        <v>-3867.925364027</v>
      </c>
      <c r="BB165" s="69" t="n">
        <f aca="false">-BB152*Inputs!$C$35*(1+Inputs!$C$45)^(BB$133-1)</f>
        <v>-3867.925364027</v>
      </c>
      <c r="BC165" s="69" t="n">
        <f aca="false">-BC152*Inputs!$C$35*(1+Inputs!$C$45)^(BC$133-1)</f>
        <v>-3867.925364027</v>
      </c>
      <c r="BD165" s="69" t="n">
        <f aca="false">-BD152*Inputs!$C$35*(1+Inputs!$C$45)^(BD$133-1)</f>
        <v>-5157.23381870266</v>
      </c>
      <c r="BE165" s="69" t="n">
        <f aca="false">-BE152*Inputs!$C$35*(1+Inputs!$C$45)^(BE$133-1)</f>
        <v>-5157.23381870266</v>
      </c>
      <c r="BF165" s="69" t="n">
        <f aca="false">-BF152*Inputs!$C$35*(1+Inputs!$C$45)^(BF$133-1)</f>
        <v>-5157.23381870266</v>
      </c>
      <c r="BG165" s="69" t="n">
        <f aca="false">-BG152*Inputs!$C$35*(1+Inputs!$C$45)^(BG$133-1)</f>
        <v>-3867.925364027</v>
      </c>
      <c r="BH165" s="69" t="n">
        <f aca="false">-BH152*Inputs!$C$35*(1+Inputs!$C$45)^(BH$133-1)</f>
        <v>-3867.925364027</v>
      </c>
      <c r="BI165" s="69" t="n">
        <f aca="false">-BI152*Inputs!$C$35*(1+Inputs!$C$45)^(BI$133-1)</f>
        <v>-3867.925364027</v>
      </c>
      <c r="BJ165" s="69" t="n">
        <f aca="false">-BJ152*Inputs!$C$35*(1+Inputs!$C$45)^(BJ$133-1)</f>
        <v>-5157.23381870266</v>
      </c>
    </row>
    <row r="166" customFormat="false" ht="15" hidden="false" customHeight="false" outlineLevel="0" collapsed="false">
      <c r="A166" s="6" t="s">
        <v>427</v>
      </c>
      <c r="C166" s="69" t="n">
        <f aca="false">-C158*(1-Inputs!$C$22)</f>
        <v>-798.72</v>
      </c>
      <c r="D166" s="69" t="n">
        <f aca="false">-D158*(1-Inputs!$C$22)</f>
        <v>-918.528</v>
      </c>
      <c r="E166" s="69" t="n">
        <f aca="false">-E158*(1-Inputs!$C$22)</f>
        <v>-1038.336</v>
      </c>
      <c r="F166" s="69" t="n">
        <f aca="false">-F158*(1-Inputs!$C$22)</f>
        <v>-1158.144</v>
      </c>
      <c r="G166" s="69" t="n">
        <f aca="false">-G158*(1-Inputs!$C$22)</f>
        <v>-1277.952</v>
      </c>
      <c r="H166" s="69" t="n">
        <f aca="false">-H158*(1-Inputs!$C$22)</f>
        <v>-1397.76</v>
      </c>
      <c r="I166" s="69" t="n">
        <f aca="false">-I158*(1-Inputs!$C$22)</f>
        <v>-1517.568</v>
      </c>
      <c r="J166" s="69" t="n">
        <f aca="false">-J158*(1-Inputs!$C$22)</f>
        <v>-1637.376</v>
      </c>
      <c r="K166" s="69" t="n">
        <f aca="false">-K158*(1-Inputs!$C$22)</f>
        <v>-1757.184</v>
      </c>
      <c r="L166" s="69" t="n">
        <f aca="false">-L158*(1-Inputs!$C$22)</f>
        <v>-1876.992</v>
      </c>
      <c r="M166" s="69" t="n">
        <f aca="false">-M158*(1-Inputs!$C$22)</f>
        <v>-1996.8</v>
      </c>
      <c r="N166" s="69" t="n">
        <f aca="false">-N158*(1-Inputs!$C$22)</f>
        <v>-1996.8</v>
      </c>
      <c r="O166" s="69" t="n">
        <f aca="false">-O158*(1-Inputs!$C$22)</f>
        <v>-2118.40512</v>
      </c>
      <c r="P166" s="69" t="n">
        <f aca="false">-P158*(1-Inputs!$C$22)</f>
        <v>-2118.40512</v>
      </c>
      <c r="Q166" s="69" t="n">
        <f aca="false">-Q158*(1-Inputs!$C$22)</f>
        <v>-2118.40512</v>
      </c>
      <c r="R166" s="69" t="n">
        <f aca="false">-R158*(1-Inputs!$C$22)</f>
        <v>-2118.40512</v>
      </c>
      <c r="S166" s="69" t="n">
        <f aca="false">-S158*(1-Inputs!$C$22)</f>
        <v>-2118.40512</v>
      </c>
      <c r="T166" s="69" t="n">
        <f aca="false">-T158*(1-Inputs!$C$22)</f>
        <v>-2118.40512</v>
      </c>
      <c r="U166" s="69" t="n">
        <f aca="false">-U158*(1-Inputs!$C$22)</f>
        <v>-2118.40512</v>
      </c>
      <c r="V166" s="69" t="n">
        <f aca="false">-V158*(1-Inputs!$C$22)</f>
        <v>-2118.40512</v>
      </c>
      <c r="W166" s="69" t="n">
        <f aca="false">-W158*(1-Inputs!$C$22)</f>
        <v>-2118.40512</v>
      </c>
      <c r="X166" s="69" t="n">
        <f aca="false">-X158*(1-Inputs!$C$22)</f>
        <v>-2118.40512</v>
      </c>
      <c r="Y166" s="69" t="n">
        <f aca="false">-Y158*(1-Inputs!$C$22)</f>
        <v>-2118.40512</v>
      </c>
      <c r="Z166" s="69" t="n">
        <f aca="false">-Z158*(1-Inputs!$C$22)</f>
        <v>-2118.40512</v>
      </c>
      <c r="AA166" s="69" t="n">
        <f aca="false">-AA158*(1-Inputs!$C$22)</f>
        <v>-2247.415991808</v>
      </c>
      <c r="AB166" s="69" t="n">
        <f aca="false">-AB158*(1-Inputs!$C$22)</f>
        <v>-2247.415991808</v>
      </c>
      <c r="AC166" s="69" t="n">
        <f aca="false">-AC158*(1-Inputs!$C$22)</f>
        <v>-2247.415991808</v>
      </c>
      <c r="AD166" s="69" t="n">
        <f aca="false">-AD158*(1-Inputs!$C$22)</f>
        <v>-2247.415991808</v>
      </c>
      <c r="AE166" s="69" t="n">
        <f aca="false">-AE158*(1-Inputs!$C$22)</f>
        <v>-2247.415991808</v>
      </c>
      <c r="AF166" s="69" t="n">
        <f aca="false">-AF158*(1-Inputs!$C$22)</f>
        <v>-2247.415991808</v>
      </c>
      <c r="AG166" s="69" t="n">
        <f aca="false">-AG158*(1-Inputs!$C$22)</f>
        <v>-2247.415991808</v>
      </c>
      <c r="AH166" s="69" t="n">
        <f aca="false">-AH158*(1-Inputs!$C$22)</f>
        <v>-2247.415991808</v>
      </c>
      <c r="AI166" s="69" t="n">
        <f aca="false">-AI158*(1-Inputs!$C$22)</f>
        <v>-2247.415991808</v>
      </c>
      <c r="AJ166" s="69" t="n">
        <f aca="false">-AJ158*(1-Inputs!$C$22)</f>
        <v>-2247.415991808</v>
      </c>
      <c r="AK166" s="69" t="n">
        <f aca="false">-AK158*(1-Inputs!$C$22)</f>
        <v>-2247.415991808</v>
      </c>
      <c r="AL166" s="69" t="n">
        <f aca="false">-AL158*(1-Inputs!$C$22)</f>
        <v>-2247.415991808</v>
      </c>
      <c r="AM166" s="69" t="n">
        <f aca="false">-AM158*(1-Inputs!$C$22)</f>
        <v>-2384.28362570911</v>
      </c>
      <c r="AN166" s="69" t="n">
        <f aca="false">-AN158*(1-Inputs!$C$22)</f>
        <v>-2384.28362570911</v>
      </c>
      <c r="AO166" s="69" t="n">
        <f aca="false">-AO158*(1-Inputs!$C$22)</f>
        <v>-2384.28362570911</v>
      </c>
      <c r="AP166" s="69" t="n">
        <f aca="false">-AP158*(1-Inputs!$C$22)</f>
        <v>-2384.28362570911</v>
      </c>
      <c r="AQ166" s="69" t="n">
        <f aca="false">-AQ158*(1-Inputs!$C$22)</f>
        <v>-2384.28362570911</v>
      </c>
      <c r="AR166" s="69" t="n">
        <f aca="false">-AR158*(1-Inputs!$C$22)</f>
        <v>-2384.28362570911</v>
      </c>
      <c r="AS166" s="69" t="n">
        <f aca="false">-AS158*(1-Inputs!$C$22)</f>
        <v>-2384.28362570911</v>
      </c>
      <c r="AT166" s="69" t="n">
        <f aca="false">-AT158*(1-Inputs!$C$22)</f>
        <v>-2384.28362570911</v>
      </c>
      <c r="AU166" s="69" t="n">
        <f aca="false">-AU158*(1-Inputs!$C$22)</f>
        <v>-2384.28362570911</v>
      </c>
      <c r="AV166" s="69" t="n">
        <f aca="false">-AV158*(1-Inputs!$C$22)</f>
        <v>-2384.28362570911</v>
      </c>
      <c r="AW166" s="69" t="n">
        <f aca="false">-AW158*(1-Inputs!$C$22)</f>
        <v>-2384.28362570911</v>
      </c>
      <c r="AX166" s="69" t="n">
        <f aca="false">-AX158*(1-Inputs!$C$22)</f>
        <v>-2384.28362570911</v>
      </c>
      <c r="AY166" s="69" t="n">
        <f aca="false">-AY158*(1-Inputs!$C$22)</f>
        <v>-2529.48649851479</v>
      </c>
      <c r="AZ166" s="69" t="n">
        <f aca="false">-AZ158*(1-Inputs!$C$22)</f>
        <v>-2529.48649851479</v>
      </c>
      <c r="BA166" s="69" t="n">
        <f aca="false">-BA158*(1-Inputs!$C$22)</f>
        <v>-2529.48649851479</v>
      </c>
      <c r="BB166" s="69" t="n">
        <f aca="false">-BB158*(1-Inputs!$C$22)</f>
        <v>-2529.48649851479</v>
      </c>
      <c r="BC166" s="69" t="n">
        <f aca="false">-BC158*(1-Inputs!$C$22)</f>
        <v>-2529.48649851479</v>
      </c>
      <c r="BD166" s="69" t="n">
        <f aca="false">-BD158*(1-Inputs!$C$22)</f>
        <v>-2529.48649851479</v>
      </c>
      <c r="BE166" s="69" t="n">
        <f aca="false">-BE158*(1-Inputs!$C$22)</f>
        <v>-2529.48649851479</v>
      </c>
      <c r="BF166" s="69" t="n">
        <f aca="false">-BF158*(1-Inputs!$C$22)</f>
        <v>-2529.48649851479</v>
      </c>
      <c r="BG166" s="69" t="n">
        <f aca="false">-BG158*(1-Inputs!$C$22)</f>
        <v>-2529.48649851479</v>
      </c>
      <c r="BH166" s="69" t="n">
        <f aca="false">-BH158*(1-Inputs!$C$22)</f>
        <v>-2529.48649851479</v>
      </c>
      <c r="BI166" s="69" t="n">
        <f aca="false">-BI158*(1-Inputs!$C$22)</f>
        <v>-2529.48649851479</v>
      </c>
      <c r="BJ166" s="69" t="n">
        <f aca="false">-BJ158*(1-Inputs!$C$22)</f>
        <v>-2529.48649851479</v>
      </c>
    </row>
    <row r="167" customFormat="false" ht="15" hidden="false" customHeight="false" outlineLevel="0" collapsed="false">
      <c r="A167" s="4" t="s">
        <v>76</v>
      </c>
      <c r="C167" s="75" t="n">
        <f aca="false">C162+C163+C164+C165+C166</f>
        <v>-10970.2037333333</v>
      </c>
      <c r="D167" s="75" t="n">
        <f aca="false">D162+D163+D164+D165+D166</f>
        <v>-12040.7342933333</v>
      </c>
      <c r="E167" s="75" t="n">
        <f aca="false">E162+E163+E164+E165+E166</f>
        <v>-13111.2648533333</v>
      </c>
      <c r="F167" s="75" t="n">
        <f aca="false">F162+F163+F164+F165+F166</f>
        <v>-14181.7954133333</v>
      </c>
      <c r="G167" s="75" t="n">
        <f aca="false">G162+G163+G164+G165+G166</f>
        <v>-15252.3259733333</v>
      </c>
      <c r="H167" s="75" t="n">
        <f aca="false">H162+H163+H164+H165+H166</f>
        <v>-17035.3109333333</v>
      </c>
      <c r="I167" s="75" t="n">
        <f aca="false">I162+I163+I164+I165+I166</f>
        <v>-18166.9090133333</v>
      </c>
      <c r="J167" s="75" t="n">
        <f aca="false">J162+J163+J164+J165+J166</f>
        <v>-19298.5070933333</v>
      </c>
      <c r="K167" s="75" t="n">
        <f aca="false">K162+K163+K164+K165+K166</f>
        <v>-19534.4482133333</v>
      </c>
      <c r="L167" s="75" t="n">
        <f aca="false">L162+L163+L164+L165+L166</f>
        <v>-20604.9787733333</v>
      </c>
      <c r="M167" s="75" t="n">
        <f aca="false">M162+M163+M164+M165+M166</f>
        <v>-21675.5093333333</v>
      </c>
      <c r="N167" s="75" t="n">
        <f aca="false">N162+N163+N164+N165+N166</f>
        <v>-22693.3013333333</v>
      </c>
      <c r="O167" s="75" t="n">
        <f aca="false">O162+O163+O164+O165+O166</f>
        <v>-22877.0978517333</v>
      </c>
      <c r="P167" s="75" t="n">
        <f aca="false">P162+P163+P164+P165+P166</f>
        <v>-22877.0978517333</v>
      </c>
      <c r="Q167" s="75" t="n">
        <f aca="false">Q162+Q163+Q164+Q165+Q166</f>
        <v>-22877.0978517333</v>
      </c>
      <c r="R167" s="75" t="n">
        <f aca="false">R162+R163+R164+R165+R166</f>
        <v>-22877.0978517333</v>
      </c>
      <c r="S167" s="75" t="n">
        <f aca="false">S162+S163+S164+S165+S166</f>
        <v>-22877.0978517333</v>
      </c>
      <c r="T167" s="75" t="n">
        <f aca="false">T162+T163+T164+T165+T166</f>
        <v>-23956.8733845333</v>
      </c>
      <c r="U167" s="75" t="n">
        <f aca="false">U162+U163+U164+U165+U166</f>
        <v>-23956.8733845333</v>
      </c>
      <c r="V167" s="75" t="n">
        <f aca="false">V162+V163+V164+V165+V166</f>
        <v>-23956.8733845333</v>
      </c>
      <c r="W167" s="75" t="n">
        <f aca="false">W162+W163+W164+W165+W166</f>
        <v>-22877.0978517333</v>
      </c>
      <c r="X167" s="75" t="n">
        <f aca="false">X162+X163+X164+X165+X166</f>
        <v>-22877.0978517333</v>
      </c>
      <c r="Y167" s="75" t="n">
        <f aca="false">Y162+Y163+Y164+Y165+Y166</f>
        <v>-22877.0978517333</v>
      </c>
      <c r="Z167" s="75" t="n">
        <f aca="false">Z162+Z163+Z164+Z165+Z166</f>
        <v>-23956.8733845333</v>
      </c>
      <c r="AA167" s="75" t="n">
        <f aca="false">AA162+AA163+AA164+AA165+AA166</f>
        <v>-24148.3096109039</v>
      </c>
      <c r="AB167" s="75" t="n">
        <f aca="false">AB162+AB163+AB164+AB165+AB166</f>
        <v>-24148.3096109039</v>
      </c>
      <c r="AC167" s="75" t="n">
        <f aca="false">AC162+AC163+AC164+AC165+AC166</f>
        <v>-24148.3096109039</v>
      </c>
      <c r="AD167" s="75" t="n">
        <f aca="false">AD162+AD163+AD164+AD165+AD166</f>
        <v>-24148.3096109039</v>
      </c>
      <c r="AE167" s="75" t="n">
        <f aca="false">AE162+AE163+AE164+AE165+AE166</f>
        <v>-24148.3096109039</v>
      </c>
      <c r="AF167" s="75" t="n">
        <f aca="false">AF162+AF163+AF164+AF165+AF166</f>
        <v>-25293.8434736514</v>
      </c>
      <c r="AG167" s="75" t="n">
        <f aca="false">AG162+AG163+AG164+AG165+AG166</f>
        <v>-25293.8434736514</v>
      </c>
      <c r="AH167" s="75" t="n">
        <f aca="false">AH162+AH163+AH164+AH165+AH166</f>
        <v>-25293.8434736514</v>
      </c>
      <c r="AI167" s="75" t="n">
        <f aca="false">AI162+AI163+AI164+AI165+AI166</f>
        <v>-24148.3096109039</v>
      </c>
      <c r="AJ167" s="75" t="n">
        <f aca="false">AJ162+AJ163+AJ164+AJ165+AJ166</f>
        <v>-24148.3096109039</v>
      </c>
      <c r="AK167" s="75" t="n">
        <f aca="false">AK162+AK163+AK164+AK165+AK166</f>
        <v>-24148.3096109039</v>
      </c>
      <c r="AL167" s="75" t="n">
        <f aca="false">AL162+AL163+AL164+AL165+AL166</f>
        <v>-25293.8434736514</v>
      </c>
      <c r="AM167" s="75" t="n">
        <f aca="false">AM162+AM163+AM164+AM165+AM166</f>
        <v>-25493.2780612079</v>
      </c>
      <c r="AN167" s="75" t="n">
        <f aca="false">AN162+AN163+AN164+AN165+AN166</f>
        <v>-25493.2780612079</v>
      </c>
      <c r="AO167" s="75" t="n">
        <f aca="false">AO162+AO163+AO164+AO165+AO166</f>
        <v>-25493.2780612079</v>
      </c>
      <c r="AP167" s="75" t="n">
        <f aca="false">AP162+AP163+AP164+AP165+AP166</f>
        <v>-25493.2780612079</v>
      </c>
      <c r="AQ167" s="75" t="n">
        <f aca="false">AQ162+AQ163+AQ164+AQ165+AQ166</f>
        <v>-25493.2780612079</v>
      </c>
      <c r="AR167" s="75" t="n">
        <f aca="false">AR162+AR163+AR164+AR165+AR166</f>
        <v>-26708.5749361968</v>
      </c>
      <c r="AS167" s="75" t="n">
        <f aca="false">AS162+AS163+AS164+AS165+AS166</f>
        <v>-26708.5749361968</v>
      </c>
      <c r="AT167" s="75" t="n">
        <f aca="false">AT162+AT163+AT164+AT165+AT166</f>
        <v>-26708.5749361968</v>
      </c>
      <c r="AU167" s="75" t="n">
        <f aca="false">AU162+AU163+AU164+AU165+AU166</f>
        <v>-25493.2780612079</v>
      </c>
      <c r="AV167" s="75" t="n">
        <f aca="false">AV162+AV163+AV164+AV165+AV166</f>
        <v>-25493.2780612079</v>
      </c>
      <c r="AW167" s="75" t="n">
        <f aca="false">AW162+AW163+AW164+AW165+AW166</f>
        <v>-25493.2780612079</v>
      </c>
      <c r="AX167" s="75" t="n">
        <f aca="false">AX162+AX163+AX164+AX165+AX166</f>
        <v>-26708.5749361968</v>
      </c>
      <c r="AY167" s="75" t="n">
        <f aca="false">AY162+AY163+AY164+AY165+AY166</f>
        <v>-26916.3851819855</v>
      </c>
      <c r="AZ167" s="75" t="n">
        <f aca="false">AZ162+AZ163+AZ164+AZ165+AZ166</f>
        <v>-26916.3851819855</v>
      </c>
      <c r="BA167" s="75" t="n">
        <f aca="false">BA162+BA163+BA164+BA165+BA166</f>
        <v>-26916.3851819855</v>
      </c>
      <c r="BB167" s="75" t="n">
        <f aca="false">BB162+BB163+BB164+BB165+BB166</f>
        <v>-26916.3851819855</v>
      </c>
      <c r="BC167" s="75" t="n">
        <f aca="false">BC162+BC163+BC164+BC165+BC166</f>
        <v>-26916.3851819855</v>
      </c>
      <c r="BD167" s="75" t="n">
        <f aca="false">BD162+BD163+BD164+BD165+BD166</f>
        <v>-28205.6936366612</v>
      </c>
      <c r="BE167" s="75" t="n">
        <f aca="false">BE162+BE163+BE164+BE165+BE166</f>
        <v>-28205.6936366612</v>
      </c>
      <c r="BF167" s="75" t="n">
        <f aca="false">BF162+BF163+BF164+BF165+BF166</f>
        <v>-28205.6936366612</v>
      </c>
      <c r="BG167" s="75" t="n">
        <f aca="false">BG162+BG163+BG164+BG165+BG166</f>
        <v>-26916.3851819855</v>
      </c>
      <c r="BH167" s="75" t="n">
        <f aca="false">BH162+BH163+BH164+BH165+BH166</f>
        <v>-26916.3851819855</v>
      </c>
      <c r="BI167" s="75" t="n">
        <f aca="false">BI162+BI163+BI164+BI165+BI166</f>
        <v>-26916.3851819855</v>
      </c>
      <c r="BJ167" s="75" t="n">
        <f aca="false">BJ162+BJ163+BJ164+BJ165+BJ166</f>
        <v>-28205.6936366612</v>
      </c>
    </row>
    <row r="168" customFormat="false" ht="15" hidden="false" customHeight="false" outlineLevel="0" collapsed="false">
      <c r="A168" s="115" t="s">
        <v>45</v>
      </c>
      <c r="C168" s="70" t="n">
        <f aca="false">C159+C167</f>
        <v>14036.7082666667</v>
      </c>
      <c r="D168" s="70" t="n">
        <f aca="false">D159+D167</f>
        <v>16717.2145066667</v>
      </c>
      <c r="E168" s="70" t="n">
        <f aca="false">E159+E167</f>
        <v>19397.7207466667</v>
      </c>
      <c r="F168" s="70" t="n">
        <f aca="false">F159+F167</f>
        <v>22078.2269866667</v>
      </c>
      <c r="G168" s="70" t="n">
        <f aca="false">G159+G167</f>
        <v>24758.7332266667</v>
      </c>
      <c r="H168" s="70" t="n">
        <f aca="false">H159+H167</f>
        <v>33257.6170666667</v>
      </c>
      <c r="I168" s="70" t="n">
        <f aca="false">I159+I167</f>
        <v>36436.8413866667</v>
      </c>
      <c r="J168" s="70" t="n">
        <f aca="false">J159+J167</f>
        <v>39616.0657066667</v>
      </c>
      <c r="K168" s="70" t="n">
        <f aca="false">K159+K167</f>
        <v>35480.7581866667</v>
      </c>
      <c r="L168" s="70" t="n">
        <f aca="false">L159+L167</f>
        <v>38161.2644266667</v>
      </c>
      <c r="M168" s="70" t="n">
        <f aca="false">M159+M167</f>
        <v>40841.7706666667</v>
      </c>
      <c r="N168" s="70" t="n">
        <f aca="false">N159+N167</f>
        <v>49153.7386666667</v>
      </c>
      <c r="O168" s="70" t="n">
        <f aca="false">O159+O167</f>
        <v>43447.4845002667</v>
      </c>
      <c r="P168" s="70" t="n">
        <f aca="false">P159+P167</f>
        <v>43447.4845002667</v>
      </c>
      <c r="Q168" s="70" t="n">
        <f aca="false">Q159+Q167</f>
        <v>43447.4845002667</v>
      </c>
      <c r="R168" s="70" t="n">
        <f aca="false">R159+R167</f>
        <v>43447.4845002667</v>
      </c>
      <c r="S168" s="70" t="n">
        <f aca="false">S159+S167</f>
        <v>43447.4845002667</v>
      </c>
      <c r="T168" s="70" t="n">
        <f aca="false">T159+T167</f>
        <v>52265.6513514667</v>
      </c>
      <c r="U168" s="70" t="n">
        <f aca="false">U159+U167</f>
        <v>52265.6513514667</v>
      </c>
      <c r="V168" s="70" t="n">
        <f aca="false">V159+V167</f>
        <v>52265.6513514667</v>
      </c>
      <c r="W168" s="70" t="n">
        <f aca="false">W159+W167</f>
        <v>43447.4845002667</v>
      </c>
      <c r="X168" s="70" t="n">
        <f aca="false">X159+X167</f>
        <v>43447.4845002667</v>
      </c>
      <c r="Y168" s="70" t="n">
        <f aca="false">Y159+Y167</f>
        <v>43447.4845002667</v>
      </c>
      <c r="Z168" s="70" t="n">
        <f aca="false">Z159+Z167</f>
        <v>52265.6513514667</v>
      </c>
      <c r="AA168" s="70" t="n">
        <f aca="false">AA159+AA167</f>
        <v>46215.4398063329</v>
      </c>
      <c r="AB168" s="70" t="n">
        <f aca="false">AB159+AB167</f>
        <v>46215.4398063329</v>
      </c>
      <c r="AC168" s="70" t="n">
        <f aca="false">AC159+AC167</f>
        <v>46215.4398063329</v>
      </c>
      <c r="AD168" s="70" t="n">
        <f aca="false">AD159+AD167</f>
        <v>46215.4398063329</v>
      </c>
      <c r="AE168" s="70" t="n">
        <f aca="false">AE159+AE167</f>
        <v>46215.4398063329</v>
      </c>
      <c r="AF168" s="70" t="n">
        <f aca="false">AF159+AF167</f>
        <v>55570.633018771</v>
      </c>
      <c r="AG168" s="70" t="n">
        <f aca="false">AG159+AG167</f>
        <v>55570.633018771</v>
      </c>
      <c r="AH168" s="70" t="n">
        <f aca="false">AH159+AH167</f>
        <v>55570.633018771</v>
      </c>
      <c r="AI168" s="70" t="n">
        <f aca="false">AI159+AI167</f>
        <v>46215.4398063329</v>
      </c>
      <c r="AJ168" s="70" t="n">
        <f aca="false">AJ159+AJ167</f>
        <v>46215.4398063329</v>
      </c>
      <c r="AK168" s="70" t="n">
        <f aca="false">AK159+AK167</f>
        <v>46215.4398063329</v>
      </c>
      <c r="AL168" s="70" t="n">
        <f aca="false">AL159+AL167</f>
        <v>55570.633018771</v>
      </c>
      <c r="AM168" s="70" t="n">
        <f aca="false">AM159+AM167</f>
        <v>49155.6236955386</v>
      </c>
      <c r="AN168" s="70" t="n">
        <f aca="false">AN159+AN167</f>
        <v>49155.6236955386</v>
      </c>
      <c r="AO168" s="70" t="n">
        <f aca="false">AO159+AO167</f>
        <v>49155.6236955386</v>
      </c>
      <c r="AP168" s="70" t="n">
        <f aca="false">AP159+AP167</f>
        <v>49155.6236955386</v>
      </c>
      <c r="AQ168" s="70" t="n">
        <f aca="false">AQ159+AQ167</f>
        <v>49155.6236955386</v>
      </c>
      <c r="AR168" s="70" t="n">
        <f aca="false">AR159+AR167</f>
        <v>59080.5481746141</v>
      </c>
      <c r="AS168" s="70" t="n">
        <f aca="false">AS159+AS167</f>
        <v>59080.5481746141</v>
      </c>
      <c r="AT168" s="70" t="n">
        <f aca="false">AT159+AT167</f>
        <v>59080.5481746141</v>
      </c>
      <c r="AU168" s="70" t="n">
        <f aca="false">AU159+AU167</f>
        <v>49155.6236955386</v>
      </c>
      <c r="AV168" s="70" t="n">
        <f aca="false">AV159+AV167</f>
        <v>49155.6236955386</v>
      </c>
      <c r="AW168" s="70" t="n">
        <f aca="false">AW159+AW167</f>
        <v>49155.6236955386</v>
      </c>
      <c r="AX168" s="70" t="n">
        <f aca="false">AX159+AX167</f>
        <v>59080.5481746141</v>
      </c>
      <c r="AY168" s="70" t="n">
        <f aca="false">AY159+AY167</f>
        <v>52278.6346917469</v>
      </c>
      <c r="AZ168" s="70" t="n">
        <f aca="false">AZ159+AZ167</f>
        <v>52278.6346917469</v>
      </c>
      <c r="BA168" s="70" t="n">
        <f aca="false">BA159+BA167</f>
        <v>52278.6346917469</v>
      </c>
      <c r="BB168" s="70" t="n">
        <f aca="false">BB159+BB167</f>
        <v>52278.6346917469</v>
      </c>
      <c r="BC168" s="70" t="n">
        <f aca="false">BC159+BC167</f>
        <v>52278.6346917469</v>
      </c>
      <c r="BD168" s="70" t="n">
        <f aca="false">BD159+BD167</f>
        <v>62807.9870715982</v>
      </c>
      <c r="BE168" s="70" t="n">
        <f aca="false">BE159+BE167</f>
        <v>62807.9870715982</v>
      </c>
      <c r="BF168" s="70" t="n">
        <f aca="false">BF159+BF167</f>
        <v>62807.9870715982</v>
      </c>
      <c r="BG168" s="70" t="n">
        <f aca="false">BG159+BG167</f>
        <v>52278.6346917469</v>
      </c>
      <c r="BH168" s="70" t="n">
        <f aca="false">BH159+BH167</f>
        <v>52278.6346917469</v>
      </c>
      <c r="BI168" s="70" t="n">
        <f aca="false">BI159+BI167</f>
        <v>52278.6346917469</v>
      </c>
      <c r="BJ168" s="70" t="n">
        <f aca="false">BJ159+BJ167</f>
        <v>62807.9870715982</v>
      </c>
    </row>
    <row r="170" customFormat="false" ht="15.75" hidden="false" customHeight="true" outlineLevel="0" collapsed="false">
      <c r="A170" s="7" t="s">
        <v>47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337</v>
      </c>
      <c r="C171" s="69" t="n">
        <f aca="false">C253-C250</f>
        <v>-15237.5</v>
      </c>
      <c r="D171" s="69" t="n">
        <f aca="false">D253-D250</f>
        <v>-15237.5</v>
      </c>
      <c r="E171" s="69" t="n">
        <f aca="false">E253-E250</f>
        <v>-15237.5</v>
      </c>
      <c r="F171" s="69" t="n">
        <f aca="false">F253-F250</f>
        <v>-15237.5</v>
      </c>
      <c r="G171" s="69" t="n">
        <f aca="false">G253-G250</f>
        <v>-15237.5</v>
      </c>
      <c r="H171" s="69" t="n">
        <f aca="false">H253-H250</f>
        <v>-15237.5</v>
      </c>
      <c r="I171" s="69" t="n">
        <f aca="false">I253-I250</f>
        <v>-15237.5</v>
      </c>
      <c r="J171" s="69" t="n">
        <f aca="false">J253-J250</f>
        <v>-15237.5</v>
      </c>
      <c r="K171" s="69" t="n">
        <f aca="false">K253-K250</f>
        <v>-15237.5</v>
      </c>
      <c r="L171" s="69" t="n">
        <f aca="false">L253-L250</f>
        <v>-15237.5</v>
      </c>
      <c r="M171" s="69" t="n">
        <f aca="false">M253-M250</f>
        <v>-15237.5</v>
      </c>
      <c r="N171" s="69" t="n">
        <f aca="false">N253-N250</f>
        <v>-15237.5</v>
      </c>
      <c r="O171" s="69" t="n">
        <f aca="false">O253-O250</f>
        <v>-15694.625</v>
      </c>
      <c r="P171" s="69" t="n">
        <f aca="false">P253-P250</f>
        <v>-15694.625</v>
      </c>
      <c r="Q171" s="69" t="n">
        <f aca="false">Q253-Q250</f>
        <v>-15694.625</v>
      </c>
      <c r="R171" s="69" t="n">
        <f aca="false">R253-R250</f>
        <v>-15694.625</v>
      </c>
      <c r="S171" s="69" t="n">
        <f aca="false">S253-S250</f>
        <v>-15694.625</v>
      </c>
      <c r="T171" s="69" t="n">
        <f aca="false">T253-T250</f>
        <v>-15694.625</v>
      </c>
      <c r="U171" s="69" t="n">
        <f aca="false">U253-U250</f>
        <v>-15694.625</v>
      </c>
      <c r="V171" s="69" t="n">
        <f aca="false">V253-V250</f>
        <v>-15694.625</v>
      </c>
      <c r="W171" s="69" t="n">
        <f aca="false">W253-W250</f>
        <v>-15694.625</v>
      </c>
      <c r="X171" s="69" t="n">
        <f aca="false">X253-X250</f>
        <v>-15694.625</v>
      </c>
      <c r="Y171" s="69" t="n">
        <f aca="false">Y253-Y250</f>
        <v>-15694.625</v>
      </c>
      <c r="Z171" s="69" t="n">
        <f aca="false">Z253-Z250</f>
        <v>-15694.625</v>
      </c>
      <c r="AA171" s="69" t="n">
        <f aca="false">AA253-AA250</f>
        <v>-16165.46375</v>
      </c>
      <c r="AB171" s="69" t="n">
        <f aca="false">AB253-AB250</f>
        <v>-16165.46375</v>
      </c>
      <c r="AC171" s="69" t="n">
        <f aca="false">AC253-AC250</f>
        <v>-16165.46375</v>
      </c>
      <c r="AD171" s="69" t="n">
        <f aca="false">AD253-AD250</f>
        <v>-16165.46375</v>
      </c>
      <c r="AE171" s="69" t="n">
        <f aca="false">AE253-AE250</f>
        <v>-16165.46375</v>
      </c>
      <c r="AF171" s="69" t="n">
        <f aca="false">AF253-AF250</f>
        <v>-16165.46375</v>
      </c>
      <c r="AG171" s="69" t="n">
        <f aca="false">AG253-AG250</f>
        <v>-16165.46375</v>
      </c>
      <c r="AH171" s="69" t="n">
        <f aca="false">AH253-AH250</f>
        <v>-16165.46375</v>
      </c>
      <c r="AI171" s="69" t="n">
        <f aca="false">AI253-AI250</f>
        <v>-16165.46375</v>
      </c>
      <c r="AJ171" s="69" t="n">
        <f aca="false">AJ253-AJ250</f>
        <v>-16165.46375</v>
      </c>
      <c r="AK171" s="69" t="n">
        <f aca="false">AK253-AK250</f>
        <v>-16165.46375</v>
      </c>
      <c r="AL171" s="69" t="n">
        <f aca="false">AL253-AL250</f>
        <v>-16165.46375</v>
      </c>
      <c r="AM171" s="69" t="n">
        <f aca="false">AM253-AM250</f>
        <v>-16650.4276625</v>
      </c>
      <c r="AN171" s="69" t="n">
        <f aca="false">AN253-AN250</f>
        <v>-16650.4276625</v>
      </c>
      <c r="AO171" s="69" t="n">
        <f aca="false">AO253-AO250</f>
        <v>-16650.4276625</v>
      </c>
      <c r="AP171" s="69" t="n">
        <f aca="false">AP253-AP250</f>
        <v>-16650.4276625</v>
      </c>
      <c r="AQ171" s="69" t="n">
        <f aca="false">AQ253-AQ250</f>
        <v>-16650.4276625</v>
      </c>
      <c r="AR171" s="69" t="n">
        <f aca="false">AR253-AR250</f>
        <v>-16650.4276625</v>
      </c>
      <c r="AS171" s="69" t="n">
        <f aca="false">AS253-AS250</f>
        <v>-16650.4276625</v>
      </c>
      <c r="AT171" s="69" t="n">
        <f aca="false">AT253-AT250</f>
        <v>-16650.4276625</v>
      </c>
      <c r="AU171" s="69" t="n">
        <f aca="false">AU253-AU250</f>
        <v>-16650.4276625</v>
      </c>
      <c r="AV171" s="69" t="n">
        <f aca="false">AV253-AV250</f>
        <v>-16650.4276625</v>
      </c>
      <c r="AW171" s="69" t="n">
        <f aca="false">AW253-AW250</f>
        <v>-16650.4276625</v>
      </c>
      <c r="AX171" s="69" t="n">
        <f aca="false">AX253-AX250</f>
        <v>-16650.4276625</v>
      </c>
      <c r="AY171" s="69" t="n">
        <f aca="false">AY253-AY250</f>
        <v>-17149.940492375</v>
      </c>
      <c r="AZ171" s="69" t="n">
        <f aca="false">AZ253-AZ250</f>
        <v>-17149.940492375</v>
      </c>
      <c r="BA171" s="69" t="n">
        <f aca="false">BA253-BA250</f>
        <v>-17149.940492375</v>
      </c>
      <c r="BB171" s="69" t="n">
        <f aca="false">BB253-BB250</f>
        <v>-17149.940492375</v>
      </c>
      <c r="BC171" s="69" t="n">
        <f aca="false">BC253-BC250</f>
        <v>-17149.940492375</v>
      </c>
      <c r="BD171" s="69" t="n">
        <f aca="false">BD253-BD250</f>
        <v>-17149.940492375</v>
      </c>
      <c r="BE171" s="69" t="n">
        <f aca="false">BE253-BE250</f>
        <v>-17149.940492375</v>
      </c>
      <c r="BF171" s="69" t="n">
        <f aca="false">BF253-BF250</f>
        <v>-17149.940492375</v>
      </c>
      <c r="BG171" s="69" t="n">
        <f aca="false">BG253-BG250</f>
        <v>-17149.940492375</v>
      </c>
      <c r="BH171" s="69" t="n">
        <f aca="false">BH253-BH250</f>
        <v>-17149.940492375</v>
      </c>
      <c r="BI171" s="69" t="n">
        <f aca="false">BI253-BI250</f>
        <v>-17149.940492375</v>
      </c>
      <c r="BJ171" s="69" t="n">
        <f aca="false">BJ253-BJ250</f>
        <v>-17149.940492375</v>
      </c>
    </row>
    <row r="172" customFormat="false" ht="15" hidden="false" customHeight="false" outlineLevel="0" collapsed="false">
      <c r="A172" s="6" t="s">
        <v>338</v>
      </c>
      <c r="C172" s="69" t="n">
        <f aca="false">-Inputs!$C$38*(1+Inputs!$C$39)^(C$133-1)*1</f>
        <v>-9000</v>
      </c>
      <c r="D172" s="69" t="n">
        <f aca="false">-Inputs!$C$38*(1+Inputs!$C$39)^(D$133-1)*1</f>
        <v>-9000</v>
      </c>
      <c r="E172" s="69" t="n">
        <f aca="false">-Inputs!$C$38*(1+Inputs!$C$39)^(E$133-1)*1</f>
        <v>-9000</v>
      </c>
      <c r="F172" s="69" t="n">
        <f aca="false">-Inputs!$C$38*(1+Inputs!$C$39)^(F$133-1)*1</f>
        <v>-9000</v>
      </c>
      <c r="G172" s="69" t="n">
        <f aca="false">-Inputs!$C$38*(1+Inputs!$C$39)^(G$133-1)*1</f>
        <v>-9000</v>
      </c>
      <c r="H172" s="69" t="n">
        <f aca="false">-Inputs!$C$38*(1+Inputs!$C$39)^(H$133-1)*1</f>
        <v>-9000</v>
      </c>
      <c r="I172" s="69" t="n">
        <f aca="false">-Inputs!$C$38*(1+Inputs!$C$39)^(I$133-1)*1</f>
        <v>-9000</v>
      </c>
      <c r="J172" s="69" t="n">
        <f aca="false">-Inputs!$C$38*(1+Inputs!$C$39)^(J$133-1)*1</f>
        <v>-9000</v>
      </c>
      <c r="K172" s="69" t="n">
        <f aca="false">-Inputs!$C$38*(1+Inputs!$C$39)^(K$133-1)*1</f>
        <v>-9000</v>
      </c>
      <c r="L172" s="69" t="n">
        <f aca="false">-Inputs!$C$38*(1+Inputs!$C$39)^(L$133-1)*1</f>
        <v>-9000</v>
      </c>
      <c r="M172" s="69" t="n">
        <f aca="false">-Inputs!$C$38*(1+Inputs!$C$39)^(M$133-1)*1</f>
        <v>-9000</v>
      </c>
      <c r="N172" s="69" t="n">
        <f aca="false">-Inputs!$C$38*(1+Inputs!$C$39)^(N$133-1)*1</f>
        <v>-9000</v>
      </c>
      <c r="O172" s="69" t="n">
        <f aca="false">-Inputs!$C$38*(1+Inputs!$C$39)^(O$133-1)*1</f>
        <v>-9270</v>
      </c>
      <c r="P172" s="69" t="n">
        <f aca="false">-Inputs!$C$38*(1+Inputs!$C$39)^(P$133-1)*1</f>
        <v>-9270</v>
      </c>
      <c r="Q172" s="69" t="n">
        <f aca="false">-Inputs!$C$38*(1+Inputs!$C$39)^(Q$133-1)*1</f>
        <v>-9270</v>
      </c>
      <c r="R172" s="69" t="n">
        <f aca="false">-Inputs!$C$38*(1+Inputs!$C$39)^(R$133-1)*1</f>
        <v>-9270</v>
      </c>
      <c r="S172" s="69" t="n">
        <f aca="false">-Inputs!$C$38*(1+Inputs!$C$39)^(S$133-1)*1</f>
        <v>-9270</v>
      </c>
      <c r="T172" s="69" t="n">
        <f aca="false">-Inputs!$C$38*(1+Inputs!$C$39)^(T$133-1)*1</f>
        <v>-9270</v>
      </c>
      <c r="U172" s="69" t="n">
        <f aca="false">-Inputs!$C$38*(1+Inputs!$C$39)^(U$133-1)*1</f>
        <v>-9270</v>
      </c>
      <c r="V172" s="69" t="n">
        <f aca="false">-Inputs!$C$38*(1+Inputs!$C$39)^(V$133-1)*1</f>
        <v>-9270</v>
      </c>
      <c r="W172" s="69" t="n">
        <f aca="false">-Inputs!$C$38*(1+Inputs!$C$39)^(W$133-1)*1</f>
        <v>-9270</v>
      </c>
      <c r="X172" s="69" t="n">
        <f aca="false">-Inputs!$C$38*(1+Inputs!$C$39)^(X$133-1)*1</f>
        <v>-9270</v>
      </c>
      <c r="Y172" s="69" t="n">
        <f aca="false">-Inputs!$C$38*(1+Inputs!$C$39)^(Y$133-1)*1</f>
        <v>-9270</v>
      </c>
      <c r="Z172" s="69" t="n">
        <f aca="false">-Inputs!$C$38*(1+Inputs!$C$39)^(Z$133-1)*1</f>
        <v>-9270</v>
      </c>
      <c r="AA172" s="69" t="n">
        <f aca="false">-Inputs!$C$38*(1+Inputs!$C$39)^(AA$133-1)*1</f>
        <v>-9548.1</v>
      </c>
      <c r="AB172" s="69" t="n">
        <f aca="false">-Inputs!$C$38*(1+Inputs!$C$39)^(AB$133-1)*1</f>
        <v>-9548.1</v>
      </c>
      <c r="AC172" s="69" t="n">
        <f aca="false">-Inputs!$C$38*(1+Inputs!$C$39)^(AC$133-1)*1</f>
        <v>-9548.1</v>
      </c>
      <c r="AD172" s="69" t="n">
        <f aca="false">-Inputs!$C$38*(1+Inputs!$C$39)^(AD$133-1)*1</f>
        <v>-9548.1</v>
      </c>
      <c r="AE172" s="69" t="n">
        <f aca="false">-Inputs!$C$38*(1+Inputs!$C$39)^(AE$133-1)*1</f>
        <v>-9548.1</v>
      </c>
      <c r="AF172" s="69" t="n">
        <f aca="false">-Inputs!$C$38*(1+Inputs!$C$39)^(AF$133-1)*1</f>
        <v>-9548.1</v>
      </c>
      <c r="AG172" s="69" t="n">
        <f aca="false">-Inputs!$C$38*(1+Inputs!$C$39)^(AG$133-1)*1</f>
        <v>-9548.1</v>
      </c>
      <c r="AH172" s="69" t="n">
        <f aca="false">-Inputs!$C$38*(1+Inputs!$C$39)^(AH$133-1)*1</f>
        <v>-9548.1</v>
      </c>
      <c r="AI172" s="69" t="n">
        <f aca="false">-Inputs!$C$38*(1+Inputs!$C$39)^(AI$133-1)*1</f>
        <v>-9548.1</v>
      </c>
      <c r="AJ172" s="69" t="n">
        <f aca="false">-Inputs!$C$38*(1+Inputs!$C$39)^(AJ$133-1)*1</f>
        <v>-9548.1</v>
      </c>
      <c r="AK172" s="69" t="n">
        <f aca="false">-Inputs!$C$38*(1+Inputs!$C$39)^(AK$133-1)*1</f>
        <v>-9548.1</v>
      </c>
      <c r="AL172" s="69" t="n">
        <f aca="false">-Inputs!$C$38*(1+Inputs!$C$39)^(AL$133-1)*1</f>
        <v>-9548.1</v>
      </c>
      <c r="AM172" s="69" t="n">
        <f aca="false">-Inputs!$C$38*(1+Inputs!$C$39)^(AM$133-1)*1</f>
        <v>-9834.543</v>
      </c>
      <c r="AN172" s="69" t="n">
        <f aca="false">-Inputs!$C$38*(1+Inputs!$C$39)^(AN$133-1)*1</f>
        <v>-9834.543</v>
      </c>
      <c r="AO172" s="69" t="n">
        <f aca="false">-Inputs!$C$38*(1+Inputs!$C$39)^(AO$133-1)*1</f>
        <v>-9834.543</v>
      </c>
      <c r="AP172" s="69" t="n">
        <f aca="false">-Inputs!$C$38*(1+Inputs!$C$39)^(AP$133-1)*1</f>
        <v>-9834.543</v>
      </c>
      <c r="AQ172" s="69" t="n">
        <f aca="false">-Inputs!$C$38*(1+Inputs!$C$39)^(AQ$133-1)*1</f>
        <v>-9834.543</v>
      </c>
      <c r="AR172" s="69" t="n">
        <f aca="false">-Inputs!$C$38*(1+Inputs!$C$39)^(AR$133-1)*1</f>
        <v>-9834.543</v>
      </c>
      <c r="AS172" s="69" t="n">
        <f aca="false">-Inputs!$C$38*(1+Inputs!$C$39)^(AS$133-1)*1</f>
        <v>-9834.543</v>
      </c>
      <c r="AT172" s="69" t="n">
        <f aca="false">-Inputs!$C$38*(1+Inputs!$C$39)^(AT$133-1)*1</f>
        <v>-9834.543</v>
      </c>
      <c r="AU172" s="69" t="n">
        <f aca="false">-Inputs!$C$38*(1+Inputs!$C$39)^(AU$133-1)*1</f>
        <v>-9834.543</v>
      </c>
      <c r="AV172" s="69" t="n">
        <f aca="false">-Inputs!$C$38*(1+Inputs!$C$39)^(AV$133-1)*1</f>
        <v>-9834.543</v>
      </c>
      <c r="AW172" s="69" t="n">
        <f aca="false">-Inputs!$C$38*(1+Inputs!$C$39)^(AW$133-1)*1</f>
        <v>-9834.543</v>
      </c>
      <c r="AX172" s="69" t="n">
        <f aca="false">-Inputs!$C$38*(1+Inputs!$C$39)^(AX$133-1)*1</f>
        <v>-9834.543</v>
      </c>
      <c r="AY172" s="69" t="n">
        <f aca="false">-Inputs!$C$38*(1+Inputs!$C$39)^(AY$133-1)*1</f>
        <v>-10129.57929</v>
      </c>
      <c r="AZ172" s="69" t="n">
        <f aca="false">-Inputs!$C$38*(1+Inputs!$C$39)^(AZ$133-1)*1</f>
        <v>-10129.57929</v>
      </c>
      <c r="BA172" s="69" t="n">
        <f aca="false">-Inputs!$C$38*(1+Inputs!$C$39)^(BA$133-1)*1</f>
        <v>-10129.57929</v>
      </c>
      <c r="BB172" s="69" t="n">
        <f aca="false">-Inputs!$C$38*(1+Inputs!$C$39)^(BB$133-1)*1</f>
        <v>-10129.57929</v>
      </c>
      <c r="BC172" s="69" t="n">
        <f aca="false">-Inputs!$C$38*(1+Inputs!$C$39)^(BC$133-1)*1</f>
        <v>-10129.57929</v>
      </c>
      <c r="BD172" s="69" t="n">
        <f aca="false">-Inputs!$C$38*(1+Inputs!$C$39)^(BD$133-1)*1</f>
        <v>-10129.57929</v>
      </c>
      <c r="BE172" s="69" t="n">
        <f aca="false">-Inputs!$C$38*(1+Inputs!$C$39)^(BE$133-1)*1</f>
        <v>-10129.57929</v>
      </c>
      <c r="BF172" s="69" t="n">
        <f aca="false">-Inputs!$C$38*(1+Inputs!$C$39)^(BF$133-1)*1</f>
        <v>-10129.57929</v>
      </c>
      <c r="BG172" s="69" t="n">
        <f aca="false">-Inputs!$C$38*(1+Inputs!$C$39)^(BG$133-1)*1</f>
        <v>-10129.57929</v>
      </c>
      <c r="BH172" s="69" t="n">
        <f aca="false">-Inputs!$C$38*(1+Inputs!$C$39)^(BH$133-1)*1</f>
        <v>-10129.57929</v>
      </c>
      <c r="BI172" s="69" t="n">
        <f aca="false">-Inputs!$C$38*(1+Inputs!$C$39)^(BI$133-1)*1</f>
        <v>-10129.57929</v>
      </c>
      <c r="BJ172" s="69" t="n">
        <f aca="false">-Inputs!$C$38*(1+Inputs!$C$39)^(BJ$133-1)*1</f>
        <v>-10129.57929</v>
      </c>
    </row>
    <row r="173" customFormat="false" ht="15" hidden="false" customHeight="false" outlineLevel="0" collapsed="false">
      <c r="A173" s="6" t="s">
        <v>339</v>
      </c>
      <c r="C173" s="69" t="n">
        <f aca="false">-Inputs!$C$40*(1+Inputs!$C$45)^(C$133-1)*1</f>
        <v>-2500</v>
      </c>
      <c r="D173" s="69" t="n">
        <f aca="false">-Inputs!$C$40*(1+Inputs!$C$45)^(D$133-1)*1</f>
        <v>-2500</v>
      </c>
      <c r="E173" s="69" t="n">
        <f aca="false">-Inputs!$C$40*(1+Inputs!$C$45)^(E$133-1)*1</f>
        <v>-2500</v>
      </c>
      <c r="F173" s="69" t="n">
        <f aca="false">-Inputs!$C$40*(1+Inputs!$C$45)^(F$133-1)*1</f>
        <v>-2500</v>
      </c>
      <c r="G173" s="69" t="n">
        <f aca="false">-Inputs!$C$40*(1+Inputs!$C$45)^(G$133-1)*1</f>
        <v>-2500</v>
      </c>
      <c r="H173" s="69" t="n">
        <f aca="false">-Inputs!$C$40*(1+Inputs!$C$45)^(H$133-1)*1</f>
        <v>-2500</v>
      </c>
      <c r="I173" s="69" t="n">
        <f aca="false">-Inputs!$C$40*(1+Inputs!$C$45)^(I$133-1)*1</f>
        <v>-2500</v>
      </c>
      <c r="J173" s="69" t="n">
        <f aca="false">-Inputs!$C$40*(1+Inputs!$C$45)^(J$133-1)*1</f>
        <v>-2500</v>
      </c>
      <c r="K173" s="69" t="n">
        <f aca="false">-Inputs!$C$40*(1+Inputs!$C$45)^(K$133-1)*1</f>
        <v>-2500</v>
      </c>
      <c r="L173" s="69" t="n">
        <f aca="false">-Inputs!$C$40*(1+Inputs!$C$45)^(L$133-1)*1</f>
        <v>-2500</v>
      </c>
      <c r="M173" s="69" t="n">
        <f aca="false">-Inputs!$C$40*(1+Inputs!$C$45)^(M$133-1)*1</f>
        <v>-2500</v>
      </c>
      <c r="N173" s="69" t="n">
        <f aca="false">-Inputs!$C$40*(1+Inputs!$C$45)^(N$133-1)*1</f>
        <v>-2500</v>
      </c>
      <c r="O173" s="69" t="n">
        <f aca="false">-Inputs!$C$40*(1+Inputs!$C$45)^(O$133-1)*1</f>
        <v>-2575</v>
      </c>
      <c r="P173" s="69" t="n">
        <f aca="false">-Inputs!$C$40*(1+Inputs!$C$45)^(P$133-1)*1</f>
        <v>-2575</v>
      </c>
      <c r="Q173" s="69" t="n">
        <f aca="false">-Inputs!$C$40*(1+Inputs!$C$45)^(Q$133-1)*1</f>
        <v>-2575</v>
      </c>
      <c r="R173" s="69" t="n">
        <f aca="false">-Inputs!$C$40*(1+Inputs!$C$45)^(R$133-1)*1</f>
        <v>-2575</v>
      </c>
      <c r="S173" s="69" t="n">
        <f aca="false">-Inputs!$C$40*(1+Inputs!$C$45)^(S$133-1)*1</f>
        <v>-2575</v>
      </c>
      <c r="T173" s="69" t="n">
        <f aca="false">-Inputs!$C$40*(1+Inputs!$C$45)^(T$133-1)*1</f>
        <v>-2575</v>
      </c>
      <c r="U173" s="69" t="n">
        <f aca="false">-Inputs!$C$40*(1+Inputs!$C$45)^(U$133-1)*1</f>
        <v>-2575</v>
      </c>
      <c r="V173" s="69" t="n">
        <f aca="false">-Inputs!$C$40*(1+Inputs!$C$45)^(V$133-1)*1</f>
        <v>-2575</v>
      </c>
      <c r="W173" s="69" t="n">
        <f aca="false">-Inputs!$C$40*(1+Inputs!$C$45)^(W$133-1)*1</f>
        <v>-2575</v>
      </c>
      <c r="X173" s="69" t="n">
        <f aca="false">-Inputs!$C$40*(1+Inputs!$C$45)^(X$133-1)*1</f>
        <v>-2575</v>
      </c>
      <c r="Y173" s="69" t="n">
        <f aca="false">-Inputs!$C$40*(1+Inputs!$C$45)^(Y$133-1)*1</f>
        <v>-2575</v>
      </c>
      <c r="Z173" s="69" t="n">
        <f aca="false">-Inputs!$C$40*(1+Inputs!$C$45)^(Z$133-1)*1</f>
        <v>-2575</v>
      </c>
      <c r="AA173" s="69" t="n">
        <f aca="false">-Inputs!$C$40*(1+Inputs!$C$45)^(AA$133-1)*1</f>
        <v>-2652.25</v>
      </c>
      <c r="AB173" s="69" t="n">
        <f aca="false">-Inputs!$C$40*(1+Inputs!$C$45)^(AB$133-1)*1</f>
        <v>-2652.25</v>
      </c>
      <c r="AC173" s="69" t="n">
        <f aca="false">-Inputs!$C$40*(1+Inputs!$C$45)^(AC$133-1)*1</f>
        <v>-2652.25</v>
      </c>
      <c r="AD173" s="69" t="n">
        <f aca="false">-Inputs!$C$40*(1+Inputs!$C$45)^(AD$133-1)*1</f>
        <v>-2652.25</v>
      </c>
      <c r="AE173" s="69" t="n">
        <f aca="false">-Inputs!$C$40*(1+Inputs!$C$45)^(AE$133-1)*1</f>
        <v>-2652.25</v>
      </c>
      <c r="AF173" s="69" t="n">
        <f aca="false">-Inputs!$C$40*(1+Inputs!$C$45)^(AF$133-1)*1</f>
        <v>-2652.25</v>
      </c>
      <c r="AG173" s="69" t="n">
        <f aca="false">-Inputs!$C$40*(1+Inputs!$C$45)^(AG$133-1)*1</f>
        <v>-2652.25</v>
      </c>
      <c r="AH173" s="69" t="n">
        <f aca="false">-Inputs!$C$40*(1+Inputs!$C$45)^(AH$133-1)*1</f>
        <v>-2652.25</v>
      </c>
      <c r="AI173" s="69" t="n">
        <f aca="false">-Inputs!$C$40*(1+Inputs!$C$45)^(AI$133-1)*1</f>
        <v>-2652.25</v>
      </c>
      <c r="AJ173" s="69" t="n">
        <f aca="false">-Inputs!$C$40*(1+Inputs!$C$45)^(AJ$133-1)*1</f>
        <v>-2652.25</v>
      </c>
      <c r="AK173" s="69" t="n">
        <f aca="false">-Inputs!$C$40*(1+Inputs!$C$45)^(AK$133-1)*1</f>
        <v>-2652.25</v>
      </c>
      <c r="AL173" s="69" t="n">
        <f aca="false">-Inputs!$C$40*(1+Inputs!$C$45)^(AL$133-1)*1</f>
        <v>-2652.25</v>
      </c>
      <c r="AM173" s="69" t="n">
        <f aca="false">-Inputs!$C$40*(1+Inputs!$C$45)^(AM$133-1)*1</f>
        <v>-2731.8175</v>
      </c>
      <c r="AN173" s="69" t="n">
        <f aca="false">-Inputs!$C$40*(1+Inputs!$C$45)^(AN$133-1)*1</f>
        <v>-2731.8175</v>
      </c>
      <c r="AO173" s="69" t="n">
        <f aca="false">-Inputs!$C$40*(1+Inputs!$C$45)^(AO$133-1)*1</f>
        <v>-2731.8175</v>
      </c>
      <c r="AP173" s="69" t="n">
        <f aca="false">-Inputs!$C$40*(1+Inputs!$C$45)^(AP$133-1)*1</f>
        <v>-2731.8175</v>
      </c>
      <c r="AQ173" s="69" t="n">
        <f aca="false">-Inputs!$C$40*(1+Inputs!$C$45)^(AQ$133-1)*1</f>
        <v>-2731.8175</v>
      </c>
      <c r="AR173" s="69" t="n">
        <f aca="false">-Inputs!$C$40*(1+Inputs!$C$45)^(AR$133-1)*1</f>
        <v>-2731.8175</v>
      </c>
      <c r="AS173" s="69" t="n">
        <f aca="false">-Inputs!$C$40*(1+Inputs!$C$45)^(AS$133-1)*1</f>
        <v>-2731.8175</v>
      </c>
      <c r="AT173" s="69" t="n">
        <f aca="false">-Inputs!$C$40*(1+Inputs!$C$45)^(AT$133-1)*1</f>
        <v>-2731.8175</v>
      </c>
      <c r="AU173" s="69" t="n">
        <f aca="false">-Inputs!$C$40*(1+Inputs!$C$45)^(AU$133-1)*1</f>
        <v>-2731.8175</v>
      </c>
      <c r="AV173" s="69" t="n">
        <f aca="false">-Inputs!$C$40*(1+Inputs!$C$45)^(AV$133-1)*1</f>
        <v>-2731.8175</v>
      </c>
      <c r="AW173" s="69" t="n">
        <f aca="false">-Inputs!$C$40*(1+Inputs!$C$45)^(AW$133-1)*1</f>
        <v>-2731.8175</v>
      </c>
      <c r="AX173" s="69" t="n">
        <f aca="false">-Inputs!$C$40*(1+Inputs!$C$45)^(AX$133-1)*1</f>
        <v>-2731.8175</v>
      </c>
      <c r="AY173" s="69" t="n">
        <f aca="false">-Inputs!$C$40*(1+Inputs!$C$45)^(AY$133-1)*1</f>
        <v>-2813.772025</v>
      </c>
      <c r="AZ173" s="69" t="n">
        <f aca="false">-Inputs!$C$40*(1+Inputs!$C$45)^(AZ$133-1)*1</f>
        <v>-2813.772025</v>
      </c>
      <c r="BA173" s="69" t="n">
        <f aca="false">-Inputs!$C$40*(1+Inputs!$C$45)^(BA$133-1)*1</f>
        <v>-2813.772025</v>
      </c>
      <c r="BB173" s="69" t="n">
        <f aca="false">-Inputs!$C$40*(1+Inputs!$C$45)^(BB$133-1)*1</f>
        <v>-2813.772025</v>
      </c>
      <c r="BC173" s="69" t="n">
        <f aca="false">-Inputs!$C$40*(1+Inputs!$C$45)^(BC$133-1)*1</f>
        <v>-2813.772025</v>
      </c>
      <c r="BD173" s="69" t="n">
        <f aca="false">-Inputs!$C$40*(1+Inputs!$C$45)^(BD$133-1)*1</f>
        <v>-2813.772025</v>
      </c>
      <c r="BE173" s="69" t="n">
        <f aca="false">-Inputs!$C$40*(1+Inputs!$C$45)^(BE$133-1)*1</f>
        <v>-2813.772025</v>
      </c>
      <c r="BF173" s="69" t="n">
        <f aca="false">-Inputs!$C$40*(1+Inputs!$C$45)^(BF$133-1)*1</f>
        <v>-2813.772025</v>
      </c>
      <c r="BG173" s="69" t="n">
        <f aca="false">-Inputs!$C$40*(1+Inputs!$C$45)^(BG$133-1)*1</f>
        <v>-2813.772025</v>
      </c>
      <c r="BH173" s="69" t="n">
        <f aca="false">-Inputs!$C$40*(1+Inputs!$C$45)^(BH$133-1)*1</f>
        <v>-2813.772025</v>
      </c>
      <c r="BI173" s="69" t="n">
        <f aca="false">-Inputs!$C$40*(1+Inputs!$C$45)^(BI$133-1)*1</f>
        <v>-2813.772025</v>
      </c>
      <c r="BJ173" s="69" t="n">
        <f aca="false">-Inputs!$C$40*(1+Inputs!$C$45)^(BJ$133-1)*1</f>
        <v>-2813.772025</v>
      </c>
    </row>
    <row r="174" customFormat="false" ht="15" hidden="false" customHeight="false" outlineLevel="0" collapsed="false">
      <c r="A174" s="6" t="s">
        <v>340</v>
      </c>
      <c r="C174" s="69" t="n">
        <f aca="false">-Inputs!$C$41*(1+Inputs!$C$45)^(C$133-1)*1</f>
        <v>-4500</v>
      </c>
      <c r="D174" s="69" t="n">
        <f aca="false">-Inputs!$C$41*(1+Inputs!$C$45)^(D$133-1)*1</f>
        <v>-4500</v>
      </c>
      <c r="E174" s="69" t="n">
        <f aca="false">-Inputs!$C$41*(1+Inputs!$C$45)^(E$133-1)*1</f>
        <v>-4500</v>
      </c>
      <c r="F174" s="69" t="n">
        <f aca="false">-Inputs!$C$41*(1+Inputs!$C$45)^(F$133-1)*1</f>
        <v>-4500</v>
      </c>
      <c r="G174" s="69" t="n">
        <f aca="false">-Inputs!$C$41*(1+Inputs!$C$45)^(G$133-1)*1</f>
        <v>-4500</v>
      </c>
      <c r="H174" s="69" t="n">
        <f aca="false">-Inputs!$C$41*(1+Inputs!$C$45)^(H$133-1)*1</f>
        <v>-4500</v>
      </c>
      <c r="I174" s="69" t="n">
        <f aca="false">-Inputs!$C$41*(1+Inputs!$C$45)^(I$133-1)*1</f>
        <v>-4500</v>
      </c>
      <c r="J174" s="69" t="n">
        <f aca="false">-Inputs!$C$41*(1+Inputs!$C$45)^(J$133-1)*1</f>
        <v>-4500</v>
      </c>
      <c r="K174" s="69" t="n">
        <f aca="false">-Inputs!$C$41*(1+Inputs!$C$45)^(K$133-1)*1</f>
        <v>-4500</v>
      </c>
      <c r="L174" s="69" t="n">
        <f aca="false">-Inputs!$C$41*(1+Inputs!$C$45)^(L$133-1)*1</f>
        <v>-4500</v>
      </c>
      <c r="M174" s="69" t="n">
        <f aca="false">-Inputs!$C$41*(1+Inputs!$C$45)^(M$133-1)*1</f>
        <v>-4500</v>
      </c>
      <c r="N174" s="69" t="n">
        <f aca="false">-Inputs!$C$41*(1+Inputs!$C$45)^(N$133-1)*1</f>
        <v>-4500</v>
      </c>
      <c r="O174" s="69" t="n">
        <f aca="false">-Inputs!$C$41*(1+Inputs!$C$45)^(O$133-1)*1</f>
        <v>-4635</v>
      </c>
      <c r="P174" s="69" t="n">
        <f aca="false">-Inputs!$C$41*(1+Inputs!$C$45)^(P$133-1)*1</f>
        <v>-4635</v>
      </c>
      <c r="Q174" s="69" t="n">
        <f aca="false">-Inputs!$C$41*(1+Inputs!$C$45)^(Q$133-1)*1</f>
        <v>-4635</v>
      </c>
      <c r="R174" s="69" t="n">
        <f aca="false">-Inputs!$C$41*(1+Inputs!$C$45)^(R$133-1)*1</f>
        <v>-4635</v>
      </c>
      <c r="S174" s="69" t="n">
        <f aca="false">-Inputs!$C$41*(1+Inputs!$C$45)^(S$133-1)*1</f>
        <v>-4635</v>
      </c>
      <c r="T174" s="69" t="n">
        <f aca="false">-Inputs!$C$41*(1+Inputs!$C$45)^(T$133-1)*1</f>
        <v>-4635</v>
      </c>
      <c r="U174" s="69" t="n">
        <f aca="false">-Inputs!$C$41*(1+Inputs!$C$45)^(U$133-1)*1</f>
        <v>-4635</v>
      </c>
      <c r="V174" s="69" t="n">
        <f aca="false">-Inputs!$C$41*(1+Inputs!$C$45)^(V$133-1)*1</f>
        <v>-4635</v>
      </c>
      <c r="W174" s="69" t="n">
        <f aca="false">-Inputs!$C$41*(1+Inputs!$C$45)^(W$133-1)*1</f>
        <v>-4635</v>
      </c>
      <c r="X174" s="69" t="n">
        <f aca="false">-Inputs!$C$41*(1+Inputs!$C$45)^(X$133-1)*1</f>
        <v>-4635</v>
      </c>
      <c r="Y174" s="69" t="n">
        <f aca="false">-Inputs!$C$41*(1+Inputs!$C$45)^(Y$133-1)*1</f>
        <v>-4635</v>
      </c>
      <c r="Z174" s="69" t="n">
        <f aca="false">-Inputs!$C$41*(1+Inputs!$C$45)^(Z$133-1)*1</f>
        <v>-4635</v>
      </c>
      <c r="AA174" s="69" t="n">
        <f aca="false">-Inputs!$C$41*(1+Inputs!$C$45)^(AA$133-1)*1</f>
        <v>-4774.05</v>
      </c>
      <c r="AB174" s="69" t="n">
        <f aca="false">-Inputs!$C$41*(1+Inputs!$C$45)^(AB$133-1)*1</f>
        <v>-4774.05</v>
      </c>
      <c r="AC174" s="69" t="n">
        <f aca="false">-Inputs!$C$41*(1+Inputs!$C$45)^(AC$133-1)*1</f>
        <v>-4774.05</v>
      </c>
      <c r="AD174" s="69" t="n">
        <f aca="false">-Inputs!$C$41*(1+Inputs!$C$45)^(AD$133-1)*1</f>
        <v>-4774.05</v>
      </c>
      <c r="AE174" s="69" t="n">
        <f aca="false">-Inputs!$C$41*(1+Inputs!$C$45)^(AE$133-1)*1</f>
        <v>-4774.05</v>
      </c>
      <c r="AF174" s="69" t="n">
        <f aca="false">-Inputs!$C$41*(1+Inputs!$C$45)^(AF$133-1)*1</f>
        <v>-4774.05</v>
      </c>
      <c r="AG174" s="69" t="n">
        <f aca="false">-Inputs!$C$41*(1+Inputs!$C$45)^(AG$133-1)*1</f>
        <v>-4774.05</v>
      </c>
      <c r="AH174" s="69" t="n">
        <f aca="false">-Inputs!$C$41*(1+Inputs!$C$45)^(AH$133-1)*1</f>
        <v>-4774.05</v>
      </c>
      <c r="AI174" s="69" t="n">
        <f aca="false">-Inputs!$C$41*(1+Inputs!$C$45)^(AI$133-1)*1</f>
        <v>-4774.05</v>
      </c>
      <c r="AJ174" s="69" t="n">
        <f aca="false">-Inputs!$C$41*(1+Inputs!$C$45)^(AJ$133-1)*1</f>
        <v>-4774.05</v>
      </c>
      <c r="AK174" s="69" t="n">
        <f aca="false">-Inputs!$C$41*(1+Inputs!$C$45)^(AK$133-1)*1</f>
        <v>-4774.05</v>
      </c>
      <c r="AL174" s="69" t="n">
        <f aca="false">-Inputs!$C$41*(1+Inputs!$C$45)^(AL$133-1)*1</f>
        <v>-4774.05</v>
      </c>
      <c r="AM174" s="69" t="n">
        <f aca="false">-Inputs!$C$41*(1+Inputs!$C$45)^(AM$133-1)*1</f>
        <v>-4917.2715</v>
      </c>
      <c r="AN174" s="69" t="n">
        <f aca="false">-Inputs!$C$41*(1+Inputs!$C$45)^(AN$133-1)*1</f>
        <v>-4917.2715</v>
      </c>
      <c r="AO174" s="69" t="n">
        <f aca="false">-Inputs!$C$41*(1+Inputs!$C$45)^(AO$133-1)*1</f>
        <v>-4917.2715</v>
      </c>
      <c r="AP174" s="69" t="n">
        <f aca="false">-Inputs!$C$41*(1+Inputs!$C$45)^(AP$133-1)*1</f>
        <v>-4917.2715</v>
      </c>
      <c r="AQ174" s="69" t="n">
        <f aca="false">-Inputs!$C$41*(1+Inputs!$C$45)^(AQ$133-1)*1</f>
        <v>-4917.2715</v>
      </c>
      <c r="AR174" s="69" t="n">
        <f aca="false">-Inputs!$C$41*(1+Inputs!$C$45)^(AR$133-1)*1</f>
        <v>-4917.2715</v>
      </c>
      <c r="AS174" s="69" t="n">
        <f aca="false">-Inputs!$C$41*(1+Inputs!$C$45)^(AS$133-1)*1</f>
        <v>-4917.2715</v>
      </c>
      <c r="AT174" s="69" t="n">
        <f aca="false">-Inputs!$C$41*(1+Inputs!$C$45)^(AT$133-1)*1</f>
        <v>-4917.2715</v>
      </c>
      <c r="AU174" s="69" t="n">
        <f aca="false">-Inputs!$C$41*(1+Inputs!$C$45)^(AU$133-1)*1</f>
        <v>-4917.2715</v>
      </c>
      <c r="AV174" s="69" t="n">
        <f aca="false">-Inputs!$C$41*(1+Inputs!$C$45)^(AV$133-1)*1</f>
        <v>-4917.2715</v>
      </c>
      <c r="AW174" s="69" t="n">
        <f aca="false">-Inputs!$C$41*(1+Inputs!$C$45)^(AW$133-1)*1</f>
        <v>-4917.2715</v>
      </c>
      <c r="AX174" s="69" t="n">
        <f aca="false">-Inputs!$C$41*(1+Inputs!$C$45)^(AX$133-1)*1</f>
        <v>-4917.2715</v>
      </c>
      <c r="AY174" s="69" t="n">
        <f aca="false">-Inputs!$C$41*(1+Inputs!$C$45)^(AY$133-1)*1</f>
        <v>-5064.789645</v>
      </c>
      <c r="AZ174" s="69" t="n">
        <f aca="false">-Inputs!$C$41*(1+Inputs!$C$45)^(AZ$133-1)*1</f>
        <v>-5064.789645</v>
      </c>
      <c r="BA174" s="69" t="n">
        <f aca="false">-Inputs!$C$41*(1+Inputs!$C$45)^(BA$133-1)*1</f>
        <v>-5064.789645</v>
      </c>
      <c r="BB174" s="69" t="n">
        <f aca="false">-Inputs!$C$41*(1+Inputs!$C$45)^(BB$133-1)*1</f>
        <v>-5064.789645</v>
      </c>
      <c r="BC174" s="69" t="n">
        <f aca="false">-Inputs!$C$41*(1+Inputs!$C$45)^(BC$133-1)*1</f>
        <v>-5064.789645</v>
      </c>
      <c r="BD174" s="69" t="n">
        <f aca="false">-Inputs!$C$41*(1+Inputs!$C$45)^(BD$133-1)*1</f>
        <v>-5064.789645</v>
      </c>
      <c r="BE174" s="69" t="n">
        <f aca="false">-Inputs!$C$41*(1+Inputs!$C$45)^(BE$133-1)*1</f>
        <v>-5064.789645</v>
      </c>
      <c r="BF174" s="69" t="n">
        <f aca="false">-Inputs!$C$41*(1+Inputs!$C$45)^(BF$133-1)*1</f>
        <v>-5064.789645</v>
      </c>
      <c r="BG174" s="69" t="n">
        <f aca="false">-Inputs!$C$41*(1+Inputs!$C$45)^(BG$133-1)*1</f>
        <v>-5064.789645</v>
      </c>
      <c r="BH174" s="69" t="n">
        <f aca="false">-Inputs!$C$41*(1+Inputs!$C$45)^(BH$133-1)*1</f>
        <v>-5064.789645</v>
      </c>
      <c r="BI174" s="69" t="n">
        <f aca="false">-Inputs!$C$41*(1+Inputs!$C$45)^(BI$133-1)*1</f>
        <v>-5064.789645</v>
      </c>
      <c r="BJ174" s="69" t="n">
        <f aca="false">-Inputs!$C$41*(1+Inputs!$C$45)^(BJ$133-1)*1</f>
        <v>-5064.789645</v>
      </c>
    </row>
    <row r="175" customFormat="false" ht="15" hidden="false" customHeight="false" outlineLevel="0" collapsed="false">
      <c r="A175" s="6" t="s">
        <v>341</v>
      </c>
      <c r="C175" s="69" t="n">
        <f aca="false">-Inputs!$C$42*(1+Inputs!$C$43)^(C$133-1)*1</f>
        <v>-3500</v>
      </c>
      <c r="D175" s="69" t="n">
        <f aca="false">-Inputs!$C$42*(1+Inputs!$C$43)^(D$133-1)*1</f>
        <v>-3500</v>
      </c>
      <c r="E175" s="69" t="n">
        <f aca="false">-Inputs!$C$42*(1+Inputs!$C$43)^(E$133-1)*1</f>
        <v>-3500</v>
      </c>
      <c r="F175" s="69" t="n">
        <f aca="false">-Inputs!$C$42*(1+Inputs!$C$43)^(F$133-1)*1</f>
        <v>-3500</v>
      </c>
      <c r="G175" s="69" t="n">
        <f aca="false">-Inputs!$C$42*(1+Inputs!$C$43)^(G$133-1)*1</f>
        <v>-3500</v>
      </c>
      <c r="H175" s="69" t="n">
        <f aca="false">-Inputs!$C$42*(1+Inputs!$C$43)^(H$133-1)*1</f>
        <v>-3500</v>
      </c>
      <c r="I175" s="69" t="n">
        <f aca="false">-Inputs!$C$42*(1+Inputs!$C$43)^(I$133-1)*1</f>
        <v>-3500</v>
      </c>
      <c r="J175" s="69" t="n">
        <f aca="false">-Inputs!$C$42*(1+Inputs!$C$43)^(J$133-1)*1</f>
        <v>-3500</v>
      </c>
      <c r="K175" s="69" t="n">
        <f aca="false">-Inputs!$C$42*(1+Inputs!$C$43)^(K$133-1)*1</f>
        <v>-3500</v>
      </c>
      <c r="L175" s="69" t="n">
        <f aca="false">-Inputs!$C$42*(1+Inputs!$C$43)^(L$133-1)*1</f>
        <v>-3500</v>
      </c>
      <c r="M175" s="69" t="n">
        <f aca="false">-Inputs!$C$42*(1+Inputs!$C$43)^(M$133-1)*1</f>
        <v>-3500</v>
      </c>
      <c r="N175" s="69" t="n">
        <f aca="false">-Inputs!$C$42*(1+Inputs!$C$43)^(N$133-1)*1</f>
        <v>-3500</v>
      </c>
      <c r="O175" s="69" t="n">
        <f aca="false">-Inputs!$C$42*(1+Inputs!$C$43)^(O$133-1)*1</f>
        <v>-2800</v>
      </c>
      <c r="P175" s="69" t="n">
        <f aca="false">-Inputs!$C$42*(1+Inputs!$C$43)^(P$133-1)*1</f>
        <v>-2800</v>
      </c>
      <c r="Q175" s="69" t="n">
        <f aca="false">-Inputs!$C$42*(1+Inputs!$C$43)^(Q$133-1)*1</f>
        <v>-2800</v>
      </c>
      <c r="R175" s="69" t="n">
        <f aca="false">-Inputs!$C$42*(1+Inputs!$C$43)^(R$133-1)*1</f>
        <v>-2800</v>
      </c>
      <c r="S175" s="69" t="n">
        <f aca="false">-Inputs!$C$42*(1+Inputs!$C$43)^(S$133-1)*1</f>
        <v>-2800</v>
      </c>
      <c r="T175" s="69" t="n">
        <f aca="false">-Inputs!$C$42*(1+Inputs!$C$43)^(T$133-1)*1</f>
        <v>-2800</v>
      </c>
      <c r="U175" s="69" t="n">
        <f aca="false">-Inputs!$C$42*(1+Inputs!$C$43)^(U$133-1)*1</f>
        <v>-2800</v>
      </c>
      <c r="V175" s="69" t="n">
        <f aca="false">-Inputs!$C$42*(1+Inputs!$C$43)^(V$133-1)*1</f>
        <v>-2800</v>
      </c>
      <c r="W175" s="69" t="n">
        <f aca="false">-Inputs!$C$42*(1+Inputs!$C$43)^(W$133-1)*1</f>
        <v>-2800</v>
      </c>
      <c r="X175" s="69" t="n">
        <f aca="false">-Inputs!$C$42*(1+Inputs!$C$43)^(X$133-1)*1</f>
        <v>-2800</v>
      </c>
      <c r="Y175" s="69" t="n">
        <f aca="false">-Inputs!$C$42*(1+Inputs!$C$43)^(Y$133-1)*1</f>
        <v>-2800</v>
      </c>
      <c r="Z175" s="69" t="n">
        <f aca="false">-Inputs!$C$42*(1+Inputs!$C$43)^(Z$133-1)*1</f>
        <v>-2800</v>
      </c>
      <c r="AA175" s="69" t="n">
        <f aca="false">-Inputs!$C$42*(1+Inputs!$C$43)^(AA$133-1)*1</f>
        <v>-2240</v>
      </c>
      <c r="AB175" s="69" t="n">
        <f aca="false">-Inputs!$C$42*(1+Inputs!$C$43)^(AB$133-1)*1</f>
        <v>-2240</v>
      </c>
      <c r="AC175" s="69" t="n">
        <f aca="false">-Inputs!$C$42*(1+Inputs!$C$43)^(AC$133-1)*1</f>
        <v>-2240</v>
      </c>
      <c r="AD175" s="69" t="n">
        <f aca="false">-Inputs!$C$42*(1+Inputs!$C$43)^(AD$133-1)*1</f>
        <v>-2240</v>
      </c>
      <c r="AE175" s="69" t="n">
        <f aca="false">-Inputs!$C$42*(1+Inputs!$C$43)^(AE$133-1)*1</f>
        <v>-2240</v>
      </c>
      <c r="AF175" s="69" t="n">
        <f aca="false">-Inputs!$C$42*(1+Inputs!$C$43)^(AF$133-1)*1</f>
        <v>-2240</v>
      </c>
      <c r="AG175" s="69" t="n">
        <f aca="false">-Inputs!$C$42*(1+Inputs!$C$43)^(AG$133-1)*1</f>
        <v>-2240</v>
      </c>
      <c r="AH175" s="69" t="n">
        <f aca="false">-Inputs!$C$42*(1+Inputs!$C$43)^(AH$133-1)*1</f>
        <v>-2240</v>
      </c>
      <c r="AI175" s="69" t="n">
        <f aca="false">-Inputs!$C$42*(1+Inputs!$C$43)^(AI$133-1)*1</f>
        <v>-2240</v>
      </c>
      <c r="AJ175" s="69" t="n">
        <f aca="false">-Inputs!$C$42*(1+Inputs!$C$43)^(AJ$133-1)*1</f>
        <v>-2240</v>
      </c>
      <c r="AK175" s="69" t="n">
        <f aca="false">-Inputs!$C$42*(1+Inputs!$C$43)^(AK$133-1)*1</f>
        <v>-2240</v>
      </c>
      <c r="AL175" s="69" t="n">
        <f aca="false">-Inputs!$C$42*(1+Inputs!$C$43)^(AL$133-1)*1</f>
        <v>-2240</v>
      </c>
      <c r="AM175" s="69" t="n">
        <f aca="false">-Inputs!$C$42*(1+Inputs!$C$43)^(AM$133-1)*1</f>
        <v>-1792</v>
      </c>
      <c r="AN175" s="69" t="n">
        <f aca="false">-Inputs!$C$42*(1+Inputs!$C$43)^(AN$133-1)*1</f>
        <v>-1792</v>
      </c>
      <c r="AO175" s="69" t="n">
        <f aca="false">-Inputs!$C$42*(1+Inputs!$C$43)^(AO$133-1)*1</f>
        <v>-1792</v>
      </c>
      <c r="AP175" s="69" t="n">
        <f aca="false">-Inputs!$C$42*(1+Inputs!$C$43)^(AP$133-1)*1</f>
        <v>-1792</v>
      </c>
      <c r="AQ175" s="69" t="n">
        <f aca="false">-Inputs!$C$42*(1+Inputs!$C$43)^(AQ$133-1)*1</f>
        <v>-1792</v>
      </c>
      <c r="AR175" s="69" t="n">
        <f aca="false">-Inputs!$C$42*(1+Inputs!$C$43)^(AR$133-1)*1</f>
        <v>-1792</v>
      </c>
      <c r="AS175" s="69" t="n">
        <f aca="false">-Inputs!$C$42*(1+Inputs!$C$43)^(AS$133-1)*1</f>
        <v>-1792</v>
      </c>
      <c r="AT175" s="69" t="n">
        <f aca="false">-Inputs!$C$42*(1+Inputs!$C$43)^(AT$133-1)*1</f>
        <v>-1792</v>
      </c>
      <c r="AU175" s="69" t="n">
        <f aca="false">-Inputs!$C$42*(1+Inputs!$C$43)^(AU$133-1)*1</f>
        <v>-1792</v>
      </c>
      <c r="AV175" s="69" t="n">
        <f aca="false">-Inputs!$C$42*(1+Inputs!$C$43)^(AV$133-1)*1</f>
        <v>-1792</v>
      </c>
      <c r="AW175" s="69" t="n">
        <f aca="false">-Inputs!$C$42*(1+Inputs!$C$43)^(AW$133-1)*1</f>
        <v>-1792</v>
      </c>
      <c r="AX175" s="69" t="n">
        <f aca="false">-Inputs!$C$42*(1+Inputs!$C$43)^(AX$133-1)*1</f>
        <v>-1792</v>
      </c>
      <c r="AY175" s="69" t="n">
        <f aca="false">-Inputs!$C$42*(1+Inputs!$C$43)^(AY$133-1)*1</f>
        <v>-1433.6</v>
      </c>
      <c r="AZ175" s="69" t="n">
        <f aca="false">-Inputs!$C$42*(1+Inputs!$C$43)^(AZ$133-1)*1</f>
        <v>-1433.6</v>
      </c>
      <c r="BA175" s="69" t="n">
        <f aca="false">-Inputs!$C$42*(1+Inputs!$C$43)^(BA$133-1)*1</f>
        <v>-1433.6</v>
      </c>
      <c r="BB175" s="69" t="n">
        <f aca="false">-Inputs!$C$42*(1+Inputs!$C$43)^(BB$133-1)*1</f>
        <v>-1433.6</v>
      </c>
      <c r="BC175" s="69" t="n">
        <f aca="false">-Inputs!$C$42*(1+Inputs!$C$43)^(BC$133-1)*1</f>
        <v>-1433.6</v>
      </c>
      <c r="BD175" s="69" t="n">
        <f aca="false">-Inputs!$C$42*(1+Inputs!$C$43)^(BD$133-1)*1</f>
        <v>-1433.6</v>
      </c>
      <c r="BE175" s="69" t="n">
        <f aca="false">-Inputs!$C$42*(1+Inputs!$C$43)^(BE$133-1)*1</f>
        <v>-1433.6</v>
      </c>
      <c r="BF175" s="69" t="n">
        <f aca="false">-Inputs!$C$42*(1+Inputs!$C$43)^(BF$133-1)*1</f>
        <v>-1433.6</v>
      </c>
      <c r="BG175" s="69" t="n">
        <f aca="false">-Inputs!$C$42*(1+Inputs!$C$43)^(BG$133-1)*1</f>
        <v>-1433.6</v>
      </c>
      <c r="BH175" s="69" t="n">
        <f aca="false">-Inputs!$C$42*(1+Inputs!$C$43)^(BH$133-1)*1</f>
        <v>-1433.6</v>
      </c>
      <c r="BI175" s="69" t="n">
        <f aca="false">-Inputs!$C$42*(1+Inputs!$C$43)^(BI$133-1)*1</f>
        <v>-1433.6</v>
      </c>
      <c r="BJ175" s="69" t="n">
        <f aca="false">-Inputs!$C$42*(1+Inputs!$C$43)^(BJ$133-1)*1</f>
        <v>-1433.6</v>
      </c>
    </row>
    <row r="176" customFormat="false" ht="15" hidden="false" customHeight="false" outlineLevel="0" collapsed="false">
      <c r="A176" s="6" t="s">
        <v>342</v>
      </c>
      <c r="C176" s="69" t="n">
        <f aca="false">-C159*Inputs!$C$44</f>
        <v>-750.20736</v>
      </c>
      <c r="D176" s="69" t="n">
        <f aca="false">-D159*Inputs!$C$44</f>
        <v>-862.738464</v>
      </c>
      <c r="E176" s="69" t="n">
        <f aca="false">-E159*Inputs!$C$44</f>
        <v>-975.269568</v>
      </c>
      <c r="F176" s="69" t="n">
        <f aca="false">-F159*Inputs!$C$44</f>
        <v>-1087.800672</v>
      </c>
      <c r="G176" s="69" t="n">
        <f aca="false">-G159*Inputs!$C$44</f>
        <v>-1200.331776</v>
      </c>
      <c r="H176" s="69" t="n">
        <f aca="false">-H159*Inputs!$C$44</f>
        <v>-1508.78784</v>
      </c>
      <c r="I176" s="69" t="n">
        <f aca="false">-I159*Inputs!$C$44</f>
        <v>-1638.112512</v>
      </c>
      <c r="J176" s="69" t="n">
        <f aca="false">-J159*Inputs!$C$44</f>
        <v>-1767.437184</v>
      </c>
      <c r="K176" s="69" t="n">
        <f aca="false">-K159*Inputs!$C$44</f>
        <v>-1650.456192</v>
      </c>
      <c r="L176" s="69" t="n">
        <f aca="false">-L159*Inputs!$C$44</f>
        <v>-1762.987296</v>
      </c>
      <c r="M176" s="69" t="n">
        <f aca="false">-M159*Inputs!$C$44</f>
        <v>-1875.5184</v>
      </c>
      <c r="N176" s="69" t="n">
        <f aca="false">-N159*Inputs!$C$44</f>
        <v>-2155.4112</v>
      </c>
      <c r="O176" s="69" t="n">
        <f aca="false">-O159*Inputs!$C$44</f>
        <v>-1989.73747056</v>
      </c>
      <c r="P176" s="69" t="n">
        <f aca="false">-P159*Inputs!$C$44</f>
        <v>-1989.73747056</v>
      </c>
      <c r="Q176" s="69" t="n">
        <f aca="false">-Q159*Inputs!$C$44</f>
        <v>-1989.73747056</v>
      </c>
      <c r="R176" s="69" t="n">
        <f aca="false">-R159*Inputs!$C$44</f>
        <v>-1989.73747056</v>
      </c>
      <c r="S176" s="69" t="n">
        <f aca="false">-S159*Inputs!$C$44</f>
        <v>-1989.73747056</v>
      </c>
      <c r="T176" s="69" t="n">
        <f aca="false">-T159*Inputs!$C$44</f>
        <v>-2286.67574208</v>
      </c>
      <c r="U176" s="69" t="n">
        <f aca="false">-U159*Inputs!$C$44</f>
        <v>-2286.67574208</v>
      </c>
      <c r="V176" s="69" t="n">
        <f aca="false">-V159*Inputs!$C$44</f>
        <v>-2286.67574208</v>
      </c>
      <c r="W176" s="69" t="n">
        <f aca="false">-W159*Inputs!$C$44</f>
        <v>-1989.73747056</v>
      </c>
      <c r="X176" s="69" t="n">
        <f aca="false">-X159*Inputs!$C$44</f>
        <v>-1989.73747056</v>
      </c>
      <c r="Y176" s="69" t="n">
        <f aca="false">-Y159*Inputs!$C$44</f>
        <v>-1989.73747056</v>
      </c>
      <c r="Z176" s="69" t="n">
        <f aca="false">-Z159*Inputs!$C$44</f>
        <v>-2286.67574208</v>
      </c>
      <c r="AA176" s="69" t="n">
        <f aca="false">-AA159*Inputs!$C$44</f>
        <v>-2110.9124825171</v>
      </c>
      <c r="AB176" s="69" t="n">
        <f aca="false">-AB159*Inputs!$C$44</f>
        <v>-2110.9124825171</v>
      </c>
      <c r="AC176" s="69" t="n">
        <f aca="false">-AC159*Inputs!$C$44</f>
        <v>-2110.9124825171</v>
      </c>
      <c r="AD176" s="69" t="n">
        <f aca="false">-AD159*Inputs!$C$44</f>
        <v>-2110.9124825171</v>
      </c>
      <c r="AE176" s="69" t="n">
        <f aca="false">-AE159*Inputs!$C$44</f>
        <v>-2110.9124825171</v>
      </c>
      <c r="AF176" s="69" t="n">
        <f aca="false">-AF159*Inputs!$C$44</f>
        <v>-2425.93429477267</v>
      </c>
      <c r="AG176" s="69" t="n">
        <f aca="false">-AG159*Inputs!$C$44</f>
        <v>-2425.93429477267</v>
      </c>
      <c r="AH176" s="69" t="n">
        <f aca="false">-AH159*Inputs!$C$44</f>
        <v>-2425.93429477267</v>
      </c>
      <c r="AI176" s="69" t="n">
        <f aca="false">-AI159*Inputs!$C$44</f>
        <v>-2110.9124825171</v>
      </c>
      <c r="AJ176" s="69" t="n">
        <f aca="false">-AJ159*Inputs!$C$44</f>
        <v>-2110.9124825171</v>
      </c>
      <c r="AK176" s="69" t="n">
        <f aca="false">-AK159*Inputs!$C$44</f>
        <v>-2110.9124825171</v>
      </c>
      <c r="AL176" s="69" t="n">
        <f aca="false">-AL159*Inputs!$C$44</f>
        <v>-2425.93429477267</v>
      </c>
      <c r="AM176" s="69" t="n">
        <f aca="false">-AM159*Inputs!$C$44</f>
        <v>-2239.4670527024</v>
      </c>
      <c r="AN176" s="69" t="n">
        <f aca="false">-AN159*Inputs!$C$44</f>
        <v>-2239.4670527024</v>
      </c>
      <c r="AO176" s="69" t="n">
        <f aca="false">-AO159*Inputs!$C$44</f>
        <v>-2239.4670527024</v>
      </c>
      <c r="AP176" s="69" t="n">
        <f aca="false">-AP159*Inputs!$C$44</f>
        <v>-2239.4670527024</v>
      </c>
      <c r="AQ176" s="69" t="n">
        <f aca="false">-AQ159*Inputs!$C$44</f>
        <v>-2239.4670527024</v>
      </c>
      <c r="AR176" s="69" t="n">
        <f aca="false">-AR159*Inputs!$C$44</f>
        <v>-2573.67369332433</v>
      </c>
      <c r="AS176" s="69" t="n">
        <f aca="false">-AS159*Inputs!$C$44</f>
        <v>-2573.67369332433</v>
      </c>
      <c r="AT176" s="69" t="n">
        <f aca="false">-AT159*Inputs!$C$44</f>
        <v>-2573.67369332433</v>
      </c>
      <c r="AU176" s="69" t="n">
        <f aca="false">-AU159*Inputs!$C$44</f>
        <v>-2239.4670527024</v>
      </c>
      <c r="AV176" s="69" t="n">
        <f aca="false">-AV159*Inputs!$C$44</f>
        <v>-2239.4670527024</v>
      </c>
      <c r="AW176" s="69" t="n">
        <f aca="false">-AW159*Inputs!$C$44</f>
        <v>-2239.4670527024</v>
      </c>
      <c r="AX176" s="69" t="n">
        <f aca="false">-AX159*Inputs!$C$44</f>
        <v>-2573.67369332433</v>
      </c>
      <c r="AY176" s="69" t="n">
        <f aca="false">-AY159*Inputs!$C$44</f>
        <v>-2375.85059621197</v>
      </c>
      <c r="AZ176" s="69" t="n">
        <f aca="false">-AZ159*Inputs!$C$44</f>
        <v>-2375.85059621197</v>
      </c>
      <c r="BA176" s="69" t="n">
        <f aca="false">-BA159*Inputs!$C$44</f>
        <v>-2375.85059621197</v>
      </c>
      <c r="BB176" s="69" t="n">
        <f aca="false">-BB159*Inputs!$C$44</f>
        <v>-2375.85059621197</v>
      </c>
      <c r="BC176" s="69" t="n">
        <f aca="false">-BC159*Inputs!$C$44</f>
        <v>-2375.85059621197</v>
      </c>
      <c r="BD176" s="69" t="n">
        <f aca="false">-BD159*Inputs!$C$44</f>
        <v>-2730.41042124778</v>
      </c>
      <c r="BE176" s="69" t="n">
        <f aca="false">-BE159*Inputs!$C$44</f>
        <v>-2730.41042124778</v>
      </c>
      <c r="BF176" s="69" t="n">
        <f aca="false">-BF159*Inputs!$C$44</f>
        <v>-2730.41042124778</v>
      </c>
      <c r="BG176" s="69" t="n">
        <f aca="false">-BG159*Inputs!$C$44</f>
        <v>-2375.85059621197</v>
      </c>
      <c r="BH176" s="69" t="n">
        <f aca="false">-BH159*Inputs!$C$44</f>
        <v>-2375.85059621197</v>
      </c>
      <c r="BI176" s="69" t="n">
        <f aca="false">-BI159*Inputs!$C$44</f>
        <v>-2375.85059621197</v>
      </c>
      <c r="BJ176" s="69" t="n">
        <f aca="false">-BJ159*Inputs!$C$44</f>
        <v>-2730.41042124778</v>
      </c>
    </row>
    <row r="177" customFormat="false" ht="15" hidden="false" customHeight="false" outlineLevel="0" collapsed="false">
      <c r="A177" s="115" t="s">
        <v>77</v>
      </c>
      <c r="C177" s="70" t="n">
        <f aca="false">C171+C172+C173+C174+C175+C176</f>
        <v>-35487.70736</v>
      </c>
      <c r="D177" s="70" t="n">
        <f aca="false">D171+D172+D173+D174+D175+D176</f>
        <v>-35600.238464</v>
      </c>
      <c r="E177" s="70" t="n">
        <f aca="false">E171+E172+E173+E174+E175+E176</f>
        <v>-35712.769568</v>
      </c>
      <c r="F177" s="70" t="n">
        <f aca="false">F171+F172+F173+F174+F175+F176</f>
        <v>-35825.300672</v>
      </c>
      <c r="G177" s="70" t="n">
        <f aca="false">G171+G172+G173+G174+G175+G176</f>
        <v>-35937.831776</v>
      </c>
      <c r="H177" s="70" t="n">
        <f aca="false">H171+H172+H173+H174+H175+H176</f>
        <v>-36246.28784</v>
      </c>
      <c r="I177" s="70" t="n">
        <f aca="false">I171+I172+I173+I174+I175+I176</f>
        <v>-36375.612512</v>
      </c>
      <c r="J177" s="70" t="n">
        <f aca="false">J171+J172+J173+J174+J175+J176</f>
        <v>-36504.937184</v>
      </c>
      <c r="K177" s="70" t="n">
        <f aca="false">K171+K172+K173+K174+K175+K176</f>
        <v>-36387.956192</v>
      </c>
      <c r="L177" s="70" t="n">
        <f aca="false">L171+L172+L173+L174+L175+L176</f>
        <v>-36500.487296</v>
      </c>
      <c r="M177" s="70" t="n">
        <f aca="false">M171+M172+M173+M174+M175+M176</f>
        <v>-36613.0184</v>
      </c>
      <c r="N177" s="70" t="n">
        <f aca="false">N171+N172+N173+N174+N175+N176</f>
        <v>-36892.9112</v>
      </c>
      <c r="O177" s="70" t="n">
        <f aca="false">O171+O172+O173+O174+O175+O176</f>
        <v>-36964.36247056</v>
      </c>
      <c r="P177" s="70" t="n">
        <f aca="false">P171+P172+P173+P174+P175+P176</f>
        <v>-36964.36247056</v>
      </c>
      <c r="Q177" s="70" t="n">
        <f aca="false">Q171+Q172+Q173+Q174+Q175+Q176</f>
        <v>-36964.36247056</v>
      </c>
      <c r="R177" s="70" t="n">
        <f aca="false">R171+R172+R173+R174+R175+R176</f>
        <v>-36964.36247056</v>
      </c>
      <c r="S177" s="70" t="n">
        <f aca="false">S171+S172+S173+S174+S175+S176</f>
        <v>-36964.36247056</v>
      </c>
      <c r="T177" s="70" t="n">
        <f aca="false">T171+T172+T173+T174+T175+T176</f>
        <v>-37261.30074208</v>
      </c>
      <c r="U177" s="70" t="n">
        <f aca="false">U171+U172+U173+U174+U175+U176</f>
        <v>-37261.30074208</v>
      </c>
      <c r="V177" s="70" t="n">
        <f aca="false">V171+V172+V173+V174+V175+V176</f>
        <v>-37261.30074208</v>
      </c>
      <c r="W177" s="70" t="n">
        <f aca="false">W171+W172+W173+W174+W175+W176</f>
        <v>-36964.36247056</v>
      </c>
      <c r="X177" s="70" t="n">
        <f aca="false">X171+X172+X173+X174+X175+X176</f>
        <v>-36964.36247056</v>
      </c>
      <c r="Y177" s="70" t="n">
        <f aca="false">Y171+Y172+Y173+Y174+Y175+Y176</f>
        <v>-36964.36247056</v>
      </c>
      <c r="Z177" s="70" t="n">
        <f aca="false">Z171+Z172+Z173+Z174+Z175+Z176</f>
        <v>-37261.30074208</v>
      </c>
      <c r="AA177" s="70" t="n">
        <f aca="false">AA171+AA172+AA173+AA174+AA175+AA176</f>
        <v>-37490.7762325171</v>
      </c>
      <c r="AB177" s="70" t="n">
        <f aca="false">AB171+AB172+AB173+AB174+AB175+AB176</f>
        <v>-37490.7762325171</v>
      </c>
      <c r="AC177" s="70" t="n">
        <f aca="false">AC171+AC172+AC173+AC174+AC175+AC176</f>
        <v>-37490.7762325171</v>
      </c>
      <c r="AD177" s="70" t="n">
        <f aca="false">AD171+AD172+AD173+AD174+AD175+AD176</f>
        <v>-37490.7762325171</v>
      </c>
      <c r="AE177" s="70" t="n">
        <f aca="false">AE171+AE172+AE173+AE174+AE175+AE176</f>
        <v>-37490.7762325171</v>
      </c>
      <c r="AF177" s="70" t="n">
        <f aca="false">AF171+AF172+AF173+AF174+AF175+AF176</f>
        <v>-37805.7980447727</v>
      </c>
      <c r="AG177" s="70" t="n">
        <f aca="false">AG171+AG172+AG173+AG174+AG175+AG176</f>
        <v>-37805.7980447727</v>
      </c>
      <c r="AH177" s="70" t="n">
        <f aca="false">AH171+AH172+AH173+AH174+AH175+AH176</f>
        <v>-37805.7980447727</v>
      </c>
      <c r="AI177" s="70" t="n">
        <f aca="false">AI171+AI172+AI173+AI174+AI175+AI176</f>
        <v>-37490.7762325171</v>
      </c>
      <c r="AJ177" s="70" t="n">
        <f aca="false">AJ171+AJ172+AJ173+AJ174+AJ175+AJ176</f>
        <v>-37490.7762325171</v>
      </c>
      <c r="AK177" s="70" t="n">
        <f aca="false">AK171+AK172+AK173+AK174+AK175+AK176</f>
        <v>-37490.7762325171</v>
      </c>
      <c r="AL177" s="70" t="n">
        <f aca="false">AL171+AL172+AL173+AL174+AL175+AL176</f>
        <v>-37805.7980447727</v>
      </c>
      <c r="AM177" s="70" t="n">
        <f aca="false">AM171+AM172+AM173+AM174+AM175+AM176</f>
        <v>-38165.5267152024</v>
      </c>
      <c r="AN177" s="70" t="n">
        <f aca="false">AN171+AN172+AN173+AN174+AN175+AN176</f>
        <v>-38165.5267152024</v>
      </c>
      <c r="AO177" s="70" t="n">
        <f aca="false">AO171+AO172+AO173+AO174+AO175+AO176</f>
        <v>-38165.5267152024</v>
      </c>
      <c r="AP177" s="70" t="n">
        <f aca="false">AP171+AP172+AP173+AP174+AP175+AP176</f>
        <v>-38165.5267152024</v>
      </c>
      <c r="AQ177" s="70" t="n">
        <f aca="false">AQ171+AQ172+AQ173+AQ174+AQ175+AQ176</f>
        <v>-38165.5267152024</v>
      </c>
      <c r="AR177" s="70" t="n">
        <f aca="false">AR171+AR172+AR173+AR174+AR175+AR176</f>
        <v>-38499.7333558243</v>
      </c>
      <c r="AS177" s="70" t="n">
        <f aca="false">AS171+AS172+AS173+AS174+AS175+AS176</f>
        <v>-38499.7333558243</v>
      </c>
      <c r="AT177" s="70" t="n">
        <f aca="false">AT171+AT172+AT173+AT174+AT175+AT176</f>
        <v>-38499.7333558243</v>
      </c>
      <c r="AU177" s="70" t="n">
        <f aca="false">AU171+AU172+AU173+AU174+AU175+AU176</f>
        <v>-38165.5267152024</v>
      </c>
      <c r="AV177" s="70" t="n">
        <f aca="false">AV171+AV172+AV173+AV174+AV175+AV176</f>
        <v>-38165.5267152024</v>
      </c>
      <c r="AW177" s="70" t="n">
        <f aca="false">AW171+AW172+AW173+AW174+AW175+AW176</f>
        <v>-38165.5267152024</v>
      </c>
      <c r="AX177" s="70" t="n">
        <f aca="false">AX171+AX172+AX173+AX174+AX175+AX176</f>
        <v>-38499.7333558243</v>
      </c>
      <c r="AY177" s="70" t="n">
        <f aca="false">AY171+AY172+AY173+AY174+AY175+AY176</f>
        <v>-38967.532048587</v>
      </c>
      <c r="AZ177" s="70" t="n">
        <f aca="false">AZ171+AZ172+AZ173+AZ174+AZ175+AZ176</f>
        <v>-38967.532048587</v>
      </c>
      <c r="BA177" s="70" t="n">
        <f aca="false">BA171+BA172+BA173+BA174+BA175+BA176</f>
        <v>-38967.532048587</v>
      </c>
      <c r="BB177" s="70" t="n">
        <f aca="false">BB171+BB172+BB173+BB174+BB175+BB176</f>
        <v>-38967.532048587</v>
      </c>
      <c r="BC177" s="70" t="n">
        <f aca="false">BC171+BC172+BC173+BC174+BC175+BC176</f>
        <v>-38967.532048587</v>
      </c>
      <c r="BD177" s="70" t="n">
        <f aca="false">BD171+BD172+BD173+BD174+BD175+BD176</f>
        <v>-39322.0918736228</v>
      </c>
      <c r="BE177" s="70" t="n">
        <f aca="false">BE171+BE172+BE173+BE174+BE175+BE176</f>
        <v>-39322.0918736228</v>
      </c>
      <c r="BF177" s="70" t="n">
        <f aca="false">BF171+BF172+BF173+BF174+BF175+BF176</f>
        <v>-39322.0918736228</v>
      </c>
      <c r="BG177" s="70" t="n">
        <f aca="false">BG171+BG172+BG173+BG174+BG175+BG176</f>
        <v>-38967.532048587</v>
      </c>
      <c r="BH177" s="70" t="n">
        <f aca="false">BH171+BH172+BH173+BH174+BH175+BH176</f>
        <v>-38967.532048587</v>
      </c>
      <c r="BI177" s="70" t="n">
        <f aca="false">BI171+BI172+BI173+BI174+BI175+BI176</f>
        <v>-38967.532048587</v>
      </c>
      <c r="BJ177" s="70" t="n">
        <f aca="false">BJ171+BJ172+BJ173+BJ174+BJ175+BJ176</f>
        <v>-39322.0918736228</v>
      </c>
    </row>
    <row r="178" customFormat="false" ht="15" hidden="false" customHeight="false" outlineLevel="0" collapsed="false">
      <c r="A178" s="115" t="s">
        <v>48</v>
      </c>
      <c r="C178" s="70" t="n">
        <f aca="false">C168+C177</f>
        <v>-21450.9990933333</v>
      </c>
      <c r="D178" s="70" t="n">
        <f aca="false">D168+D177</f>
        <v>-18883.0239573333</v>
      </c>
      <c r="E178" s="70" t="n">
        <f aca="false">E168+E177</f>
        <v>-16315.0488213333</v>
      </c>
      <c r="F178" s="70" t="n">
        <f aca="false">F168+F177</f>
        <v>-13747.0736853333</v>
      </c>
      <c r="G178" s="70" t="n">
        <f aca="false">G168+G177</f>
        <v>-11179.0985493333</v>
      </c>
      <c r="H178" s="70" t="n">
        <f aca="false">H168+H177</f>
        <v>-2988.67077333334</v>
      </c>
      <c r="I178" s="70" t="n">
        <f aca="false">I168+I177</f>
        <v>61.2288746666673</v>
      </c>
      <c r="J178" s="70" t="n">
        <f aca="false">J168+J177</f>
        <v>3111.12852266667</v>
      </c>
      <c r="K178" s="70" t="n">
        <f aca="false">K168+K177</f>
        <v>-907.198005333339</v>
      </c>
      <c r="L178" s="70" t="n">
        <f aca="false">L168+L177</f>
        <v>1660.77713066666</v>
      </c>
      <c r="M178" s="70" t="n">
        <f aca="false">M168+M177</f>
        <v>4228.75226666666</v>
      </c>
      <c r="N178" s="70" t="n">
        <f aca="false">N168+N177</f>
        <v>12260.8274666667</v>
      </c>
      <c r="O178" s="70" t="n">
        <f aca="false">O168+O177</f>
        <v>6483.12202970667</v>
      </c>
      <c r="P178" s="70" t="n">
        <f aca="false">P168+P177</f>
        <v>6483.12202970667</v>
      </c>
      <c r="Q178" s="70" t="n">
        <f aca="false">Q168+Q177</f>
        <v>6483.12202970667</v>
      </c>
      <c r="R178" s="70" t="n">
        <f aca="false">R168+R177</f>
        <v>6483.12202970667</v>
      </c>
      <c r="S178" s="70" t="n">
        <f aca="false">S168+S177</f>
        <v>6483.12202970667</v>
      </c>
      <c r="T178" s="70" t="n">
        <f aca="false">T168+T177</f>
        <v>15004.3506093867</v>
      </c>
      <c r="U178" s="70" t="n">
        <f aca="false">U168+U177</f>
        <v>15004.3506093867</v>
      </c>
      <c r="V178" s="70" t="n">
        <f aca="false">V168+V177</f>
        <v>15004.3506093867</v>
      </c>
      <c r="W178" s="70" t="n">
        <f aca="false">W168+W177</f>
        <v>6483.12202970667</v>
      </c>
      <c r="X178" s="70" t="n">
        <f aca="false">X168+X177</f>
        <v>6483.12202970667</v>
      </c>
      <c r="Y178" s="70" t="n">
        <f aca="false">Y168+Y177</f>
        <v>6483.12202970667</v>
      </c>
      <c r="Z178" s="70" t="n">
        <f aca="false">Z168+Z177</f>
        <v>15004.3506093867</v>
      </c>
      <c r="AA178" s="70" t="n">
        <f aca="false">AA168+AA177</f>
        <v>8724.66357381579</v>
      </c>
      <c r="AB178" s="70" t="n">
        <f aca="false">AB168+AB177</f>
        <v>8724.66357381579</v>
      </c>
      <c r="AC178" s="70" t="n">
        <f aca="false">AC168+AC177</f>
        <v>8724.66357381579</v>
      </c>
      <c r="AD178" s="70" t="n">
        <f aca="false">AD168+AD177</f>
        <v>8724.66357381579</v>
      </c>
      <c r="AE178" s="70" t="n">
        <f aca="false">AE168+AE177</f>
        <v>8724.66357381579</v>
      </c>
      <c r="AF178" s="70" t="n">
        <f aca="false">AF168+AF177</f>
        <v>17764.8349739983</v>
      </c>
      <c r="AG178" s="70" t="n">
        <f aca="false">AG168+AG177</f>
        <v>17764.8349739983</v>
      </c>
      <c r="AH178" s="70" t="n">
        <f aca="false">AH168+AH177</f>
        <v>17764.8349739983</v>
      </c>
      <c r="AI178" s="70" t="n">
        <f aca="false">AI168+AI177</f>
        <v>8724.66357381579</v>
      </c>
      <c r="AJ178" s="70" t="n">
        <f aca="false">AJ168+AJ177</f>
        <v>8724.66357381579</v>
      </c>
      <c r="AK178" s="70" t="n">
        <f aca="false">AK168+AK177</f>
        <v>8724.66357381579</v>
      </c>
      <c r="AL178" s="70" t="n">
        <f aca="false">AL168+AL177</f>
        <v>17764.8349739983</v>
      </c>
      <c r="AM178" s="70" t="n">
        <f aca="false">AM168+AM177</f>
        <v>10990.0969803362</v>
      </c>
      <c r="AN178" s="70" t="n">
        <f aca="false">AN168+AN177</f>
        <v>10990.0969803362</v>
      </c>
      <c r="AO178" s="70" t="n">
        <f aca="false">AO168+AO177</f>
        <v>10990.0969803362</v>
      </c>
      <c r="AP178" s="70" t="n">
        <f aca="false">AP168+AP177</f>
        <v>10990.0969803362</v>
      </c>
      <c r="AQ178" s="70" t="n">
        <f aca="false">AQ168+AQ177</f>
        <v>10990.0969803362</v>
      </c>
      <c r="AR178" s="70" t="n">
        <f aca="false">AR168+AR177</f>
        <v>20580.8148187898</v>
      </c>
      <c r="AS178" s="70" t="n">
        <f aca="false">AS168+AS177</f>
        <v>20580.8148187898</v>
      </c>
      <c r="AT178" s="70" t="n">
        <f aca="false">AT168+AT177</f>
        <v>20580.8148187898</v>
      </c>
      <c r="AU178" s="70" t="n">
        <f aca="false">AU168+AU177</f>
        <v>10990.0969803362</v>
      </c>
      <c r="AV178" s="70" t="n">
        <f aca="false">AV168+AV177</f>
        <v>10990.0969803362</v>
      </c>
      <c r="AW178" s="70" t="n">
        <f aca="false">AW168+AW177</f>
        <v>10990.0969803362</v>
      </c>
      <c r="AX178" s="70" t="n">
        <f aca="false">AX168+AX177</f>
        <v>20580.8148187898</v>
      </c>
      <c r="AY178" s="70" t="n">
        <f aca="false">AY168+AY177</f>
        <v>13311.1026431599</v>
      </c>
      <c r="AZ178" s="70" t="n">
        <f aca="false">AZ168+AZ177</f>
        <v>13311.1026431599</v>
      </c>
      <c r="BA178" s="70" t="n">
        <f aca="false">BA168+BA177</f>
        <v>13311.1026431599</v>
      </c>
      <c r="BB178" s="70" t="n">
        <f aca="false">BB168+BB177</f>
        <v>13311.1026431599</v>
      </c>
      <c r="BC178" s="70" t="n">
        <f aca="false">BC168+BC177</f>
        <v>13311.1026431599</v>
      </c>
      <c r="BD178" s="70" t="n">
        <f aca="false">BD168+BD177</f>
        <v>23485.8951979754</v>
      </c>
      <c r="BE178" s="70" t="n">
        <f aca="false">BE168+BE177</f>
        <v>23485.8951979754</v>
      </c>
      <c r="BF178" s="70" t="n">
        <f aca="false">BF168+BF177</f>
        <v>23485.8951979754</v>
      </c>
      <c r="BG178" s="70" t="n">
        <f aca="false">BG168+BG177</f>
        <v>13311.1026431599</v>
      </c>
      <c r="BH178" s="70" t="n">
        <f aca="false">BH168+BH177</f>
        <v>13311.1026431599</v>
      </c>
      <c r="BI178" s="70" t="n">
        <f aca="false">BI168+BI177</f>
        <v>13311.1026431599</v>
      </c>
      <c r="BJ178" s="70" t="n">
        <f aca="false">BJ168+BJ177</f>
        <v>23485.8951979754</v>
      </c>
    </row>
    <row r="180" customFormat="false" ht="15.75" hidden="false" customHeight="true" outlineLevel="0" collapsed="false">
      <c r="A180" s="7" t="s">
        <v>428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customFormat="false" ht="15" hidden="false" customHeight="false" outlineLevel="0" collapsed="false">
      <c r="A181" s="4" t="s">
        <v>79</v>
      </c>
      <c r="C181" s="75" t="n">
        <f aca="false">C178+C198</f>
        <v>-23419.7490933333</v>
      </c>
      <c r="D181" s="75" t="n">
        <f aca="false">D178+D198</f>
        <v>-20851.7739573333</v>
      </c>
      <c r="E181" s="75" t="n">
        <f aca="false">E178+E198</f>
        <v>-18283.7988213333</v>
      </c>
      <c r="F181" s="75" t="n">
        <f aca="false">F178+F198</f>
        <v>-15715.8236853333</v>
      </c>
      <c r="G181" s="75" t="n">
        <f aca="false">G178+G198</f>
        <v>-13147.8485493333</v>
      </c>
      <c r="H181" s="75" t="n">
        <f aca="false">H178+H198</f>
        <v>-4957.42077333334</v>
      </c>
      <c r="I181" s="75" t="n">
        <f aca="false">I178+I198</f>
        <v>-1907.52112533333</v>
      </c>
      <c r="J181" s="75" t="n">
        <f aca="false">J178+J198</f>
        <v>1142.37852266667</v>
      </c>
      <c r="K181" s="75" t="n">
        <f aca="false">K178+K198</f>
        <v>-2875.94800533334</v>
      </c>
      <c r="L181" s="75" t="n">
        <f aca="false">L178+L198</f>
        <v>-307.972869333338</v>
      </c>
      <c r="M181" s="75" t="n">
        <f aca="false">M178+M198</f>
        <v>2260.00226666666</v>
      </c>
      <c r="N181" s="75" t="n">
        <f aca="false">N178+N198</f>
        <v>10292.0774666667</v>
      </c>
      <c r="O181" s="75" t="n">
        <f aca="false">O178+O198</f>
        <v>4410.20536304</v>
      </c>
      <c r="P181" s="75" t="n">
        <f aca="false">P178+P198</f>
        <v>4410.20536304</v>
      </c>
      <c r="Q181" s="75" t="n">
        <f aca="false">Q178+Q198</f>
        <v>4410.20536304</v>
      </c>
      <c r="R181" s="75" t="n">
        <f aca="false">R178+R198</f>
        <v>4410.20536304</v>
      </c>
      <c r="S181" s="75" t="n">
        <f aca="false">S178+S198</f>
        <v>4410.20536304</v>
      </c>
      <c r="T181" s="75" t="n">
        <f aca="false">T178+T198</f>
        <v>12931.43394272</v>
      </c>
      <c r="U181" s="75" t="n">
        <f aca="false">U178+U198</f>
        <v>12931.43394272</v>
      </c>
      <c r="V181" s="75" t="n">
        <f aca="false">V178+V198</f>
        <v>12931.43394272</v>
      </c>
      <c r="W181" s="75" t="n">
        <f aca="false">W178+W198</f>
        <v>4410.20536304</v>
      </c>
      <c r="X181" s="75" t="n">
        <f aca="false">X178+X198</f>
        <v>4410.20536304</v>
      </c>
      <c r="Y181" s="75" t="n">
        <f aca="false">Y178+Y198</f>
        <v>4410.20536304</v>
      </c>
      <c r="Z181" s="75" t="n">
        <f aca="false">Z178+Z198</f>
        <v>12931.43394272</v>
      </c>
      <c r="AA181" s="75" t="n">
        <f aca="false">AA178+AA198</f>
        <v>6547.58024048246</v>
      </c>
      <c r="AB181" s="75" t="n">
        <f aca="false">AB178+AB198</f>
        <v>6547.58024048246</v>
      </c>
      <c r="AC181" s="75" t="n">
        <f aca="false">AC178+AC198</f>
        <v>6547.58024048246</v>
      </c>
      <c r="AD181" s="75" t="n">
        <f aca="false">AD178+AD198</f>
        <v>6547.58024048246</v>
      </c>
      <c r="AE181" s="75" t="n">
        <f aca="false">AE178+AE198</f>
        <v>6547.58024048246</v>
      </c>
      <c r="AF181" s="75" t="n">
        <f aca="false">AF178+AF198</f>
        <v>15587.751640665</v>
      </c>
      <c r="AG181" s="75" t="n">
        <f aca="false">AG178+AG198</f>
        <v>15587.751640665</v>
      </c>
      <c r="AH181" s="75" t="n">
        <f aca="false">AH178+AH198</f>
        <v>15587.751640665</v>
      </c>
      <c r="AI181" s="75" t="n">
        <f aca="false">AI178+AI198</f>
        <v>6547.58024048246</v>
      </c>
      <c r="AJ181" s="75" t="n">
        <f aca="false">AJ178+AJ198</f>
        <v>6547.58024048246</v>
      </c>
      <c r="AK181" s="75" t="n">
        <f aca="false">AK178+AK198</f>
        <v>6547.58024048246</v>
      </c>
      <c r="AL181" s="75" t="n">
        <f aca="false">AL178+AL198</f>
        <v>15587.751640665</v>
      </c>
      <c r="AM181" s="75" t="n">
        <f aca="false">AM178+AM198</f>
        <v>8708.8469803362</v>
      </c>
      <c r="AN181" s="75" t="n">
        <f aca="false">AN178+AN198</f>
        <v>8708.8469803362</v>
      </c>
      <c r="AO181" s="75" t="n">
        <f aca="false">AO178+AO198</f>
        <v>8708.8469803362</v>
      </c>
      <c r="AP181" s="75" t="n">
        <f aca="false">AP178+AP198</f>
        <v>8708.8469803362</v>
      </c>
      <c r="AQ181" s="75" t="n">
        <f aca="false">AQ178+AQ198</f>
        <v>8708.8469803362</v>
      </c>
      <c r="AR181" s="75" t="n">
        <f aca="false">AR178+AR198</f>
        <v>18299.5648187898</v>
      </c>
      <c r="AS181" s="75" t="n">
        <f aca="false">AS178+AS198</f>
        <v>18299.5648187898</v>
      </c>
      <c r="AT181" s="75" t="n">
        <f aca="false">AT178+AT198</f>
        <v>18299.5648187898</v>
      </c>
      <c r="AU181" s="75" t="n">
        <f aca="false">AU178+AU198</f>
        <v>8708.8469803362</v>
      </c>
      <c r="AV181" s="75" t="n">
        <f aca="false">AV178+AV198</f>
        <v>8708.8469803362</v>
      </c>
      <c r="AW181" s="75" t="n">
        <f aca="false">AW178+AW198</f>
        <v>8708.8469803362</v>
      </c>
      <c r="AX181" s="75" t="n">
        <f aca="false">AX178+AX198</f>
        <v>18299.5648187898</v>
      </c>
      <c r="AY181" s="75" t="n">
        <f aca="false">AY178+AY198</f>
        <v>10925.6859764933</v>
      </c>
      <c r="AZ181" s="75" t="n">
        <f aca="false">AZ178+AZ198</f>
        <v>10925.6859764933</v>
      </c>
      <c r="BA181" s="75" t="n">
        <f aca="false">BA178+BA198</f>
        <v>10925.6859764933</v>
      </c>
      <c r="BB181" s="75" t="n">
        <f aca="false">BB178+BB198</f>
        <v>10925.6859764933</v>
      </c>
      <c r="BC181" s="75" t="n">
        <f aca="false">BC178+BC198</f>
        <v>10925.6859764933</v>
      </c>
      <c r="BD181" s="75" t="n">
        <f aca="false">BD178+BD198</f>
        <v>21100.4785313087</v>
      </c>
      <c r="BE181" s="75" t="n">
        <f aca="false">BE178+BE198</f>
        <v>21100.4785313087</v>
      </c>
      <c r="BF181" s="75" t="n">
        <f aca="false">BF178+BF198</f>
        <v>21100.4785313087</v>
      </c>
      <c r="BG181" s="75" t="n">
        <f aca="false">BG178+BG198</f>
        <v>10925.6859764933</v>
      </c>
      <c r="BH181" s="75" t="n">
        <f aca="false">BH178+BH198</f>
        <v>10925.6859764933</v>
      </c>
      <c r="BI181" s="75" t="n">
        <f aca="false">BI178+BI198</f>
        <v>10925.6859764933</v>
      </c>
      <c r="BJ181" s="75" t="n">
        <f aca="false">BJ178+BJ198</f>
        <v>21100.4785313087</v>
      </c>
    </row>
    <row r="182" customFormat="false" ht="15" hidden="false" customHeight="false" outlineLevel="0" collapsed="false">
      <c r="A182" s="6" t="s">
        <v>429</v>
      </c>
      <c r="C182" s="69" t="n">
        <f aca="false">-(C203+C204+C206)/2*Inputs!$C$73/12</f>
        <v>-750</v>
      </c>
      <c r="D182" s="69" t="n">
        <f aca="false">-(D203+D204+D206)/2*Inputs!$C$73/12</f>
        <v>-743.75</v>
      </c>
      <c r="E182" s="69" t="n">
        <f aca="false">-(E203+E204+E206)/2*Inputs!$C$73/12</f>
        <v>-731.25</v>
      </c>
      <c r="F182" s="69" t="n">
        <f aca="false">-(F203+F204+F206)/2*Inputs!$C$73/12</f>
        <v>-718.75</v>
      </c>
      <c r="G182" s="69" t="n">
        <f aca="false">-(G203+G204+G206)/2*Inputs!$C$73/12</f>
        <v>-706.25</v>
      </c>
      <c r="H182" s="69" t="n">
        <f aca="false">-(H203+H204+H206)/2*Inputs!$C$73/12</f>
        <v>-693.75</v>
      </c>
      <c r="I182" s="69" t="n">
        <f aca="false">-(I203+I204+I206)/2*Inputs!$C$73/12</f>
        <v>-681.25</v>
      </c>
      <c r="J182" s="69" t="n">
        <f aca="false">-(J203+J204+J206)/2*Inputs!$C$73/12</f>
        <v>-668.75</v>
      </c>
      <c r="K182" s="69" t="n">
        <f aca="false">-(K203+K204+K206)/2*Inputs!$C$73/12</f>
        <v>-656.25</v>
      </c>
      <c r="L182" s="69" t="n">
        <f aca="false">-(L203+L204+L206)/2*Inputs!$C$73/12</f>
        <v>-643.75</v>
      </c>
      <c r="M182" s="69" t="n">
        <f aca="false">-(M203+M204+M206)/2*Inputs!$C$73/12</f>
        <v>-631.25</v>
      </c>
      <c r="N182" s="69" t="n">
        <f aca="false">-(N203+N204+N206)/2*Inputs!$C$73/12</f>
        <v>-618.75</v>
      </c>
      <c r="O182" s="69" t="n">
        <f aca="false">-(O203+O204+O206)/2*Inputs!$C$73/12</f>
        <v>-606.25</v>
      </c>
      <c r="P182" s="69" t="n">
        <f aca="false">-(P203+P204+P206)/2*Inputs!$C$73/12</f>
        <v>-593.749999999999</v>
      </c>
      <c r="Q182" s="69" t="n">
        <f aca="false">-(Q203+Q204+Q206)/2*Inputs!$C$73/12</f>
        <v>-581.25</v>
      </c>
      <c r="R182" s="69" t="n">
        <f aca="false">-(R203+R204+R206)/2*Inputs!$C$73/12</f>
        <v>-568.749999999999</v>
      </c>
      <c r="S182" s="69" t="n">
        <f aca="false">-(S203+S204+S206)/2*Inputs!$C$73/12</f>
        <v>-556.249999999999</v>
      </c>
      <c r="T182" s="69" t="n">
        <f aca="false">-(T203+T204+T206)/2*Inputs!$C$73/12</f>
        <v>-543.749999999999</v>
      </c>
      <c r="U182" s="69" t="n">
        <f aca="false">-(U203+U204+U206)/2*Inputs!$C$73/12</f>
        <v>-531.249999999999</v>
      </c>
      <c r="V182" s="69" t="n">
        <f aca="false">-(V203+V204+V206)/2*Inputs!$C$73/12</f>
        <v>-518.749999999999</v>
      </c>
      <c r="W182" s="69" t="n">
        <f aca="false">-(W203+W204+W206)/2*Inputs!$C$73/12</f>
        <v>-506.249999999999</v>
      </c>
      <c r="X182" s="69" t="n">
        <f aca="false">-(X203+X204+X206)/2*Inputs!$C$73/12</f>
        <v>-493.749999999999</v>
      </c>
      <c r="Y182" s="69" t="n">
        <f aca="false">-(Y203+Y204+Y206)/2*Inputs!$C$73/12</f>
        <v>-481.249999999999</v>
      </c>
      <c r="Z182" s="69" t="n">
        <f aca="false">-(Z203+Z204+Z206)/2*Inputs!$C$73/12</f>
        <v>-468.749999999999</v>
      </c>
      <c r="AA182" s="69" t="n">
        <f aca="false">-(AA203+AA204+AA206)/2*Inputs!$C$73/12</f>
        <v>-456.249999999999</v>
      </c>
      <c r="AB182" s="69" t="n">
        <f aca="false">-(AB203+AB204+AB206)/2*Inputs!$C$73/12</f>
        <v>-443.749999999999</v>
      </c>
      <c r="AC182" s="69" t="n">
        <f aca="false">-(AC203+AC204+AC206)/2*Inputs!$C$73/12</f>
        <v>-431.249999999999</v>
      </c>
      <c r="AD182" s="69" t="n">
        <f aca="false">-(AD203+AD204+AD206)/2*Inputs!$C$73/12</f>
        <v>-418.749999999999</v>
      </c>
      <c r="AE182" s="69" t="n">
        <f aca="false">-(AE203+AE204+AE206)/2*Inputs!$C$73/12</f>
        <v>-406.249999999999</v>
      </c>
      <c r="AF182" s="69" t="n">
        <f aca="false">-(AF203+AF204+AF206)/2*Inputs!$C$73/12</f>
        <v>-393.75</v>
      </c>
      <c r="AG182" s="69" t="n">
        <f aca="false">-(AG203+AG204+AG206)/2*Inputs!$C$73/12</f>
        <v>-381.249999999999</v>
      </c>
      <c r="AH182" s="69" t="n">
        <f aca="false">-(AH203+AH204+AH206)/2*Inputs!$C$73/12</f>
        <v>-368.75</v>
      </c>
      <c r="AI182" s="69" t="n">
        <f aca="false">-(AI203+AI204+AI206)/2*Inputs!$C$73/12</f>
        <v>-356.25</v>
      </c>
      <c r="AJ182" s="69" t="n">
        <f aca="false">-(AJ203+AJ204+AJ206)/2*Inputs!$C$73/12</f>
        <v>-343.75</v>
      </c>
      <c r="AK182" s="69" t="n">
        <f aca="false">-(AK203+AK204+AK206)/2*Inputs!$C$73/12</f>
        <v>-331.25</v>
      </c>
      <c r="AL182" s="69" t="n">
        <f aca="false">-(AL203+AL204+AL206)/2*Inputs!$C$73/12</f>
        <v>-318.75</v>
      </c>
      <c r="AM182" s="69" t="n">
        <f aca="false">-(AM203+AM204+AM206)/2*Inputs!$C$73/12</f>
        <v>-306.25</v>
      </c>
      <c r="AN182" s="69" t="n">
        <f aca="false">-(AN203+AN204+AN206)/2*Inputs!$C$73/12</f>
        <v>-293.75</v>
      </c>
      <c r="AO182" s="69" t="n">
        <f aca="false">-(AO203+AO204+AO206)/2*Inputs!$C$73/12</f>
        <v>-281.25</v>
      </c>
      <c r="AP182" s="69" t="n">
        <f aca="false">-(AP203+AP204+AP206)/2*Inputs!$C$73/12</f>
        <v>-268.75</v>
      </c>
      <c r="AQ182" s="69" t="n">
        <f aca="false">-(AQ203+AQ204+AQ206)/2*Inputs!$C$73/12</f>
        <v>-256.25</v>
      </c>
      <c r="AR182" s="69" t="n">
        <f aca="false">-(AR203+AR204+AR206)/2*Inputs!$C$73/12</f>
        <v>-243.75</v>
      </c>
      <c r="AS182" s="69" t="n">
        <f aca="false">-(AS203+AS204+AS206)/2*Inputs!$C$73/12</f>
        <v>-231.25</v>
      </c>
      <c r="AT182" s="69" t="n">
        <f aca="false">-(AT203+AT204+AT206)/2*Inputs!$C$73/12</f>
        <v>-218.75</v>
      </c>
      <c r="AU182" s="69" t="n">
        <f aca="false">-(AU203+AU204+AU206)/2*Inputs!$C$73/12</f>
        <v>-206.25</v>
      </c>
      <c r="AV182" s="69" t="n">
        <f aca="false">-(AV203+AV204+AV206)/2*Inputs!$C$73/12</f>
        <v>-193.75</v>
      </c>
      <c r="AW182" s="69" t="n">
        <f aca="false">-(AW203+AW204+AW206)/2*Inputs!$C$73/12</f>
        <v>-181.25</v>
      </c>
      <c r="AX182" s="69" t="n">
        <f aca="false">-(AX203+AX204+AX206)/2*Inputs!$C$73/12</f>
        <v>-168.75</v>
      </c>
      <c r="AY182" s="69" t="n">
        <f aca="false">-(AY203+AY204+AY206)/2*Inputs!$C$73/12</f>
        <v>-156.25</v>
      </c>
      <c r="AZ182" s="69" t="n">
        <f aca="false">-(AZ203+AZ204+AZ206)/2*Inputs!$C$73/12</f>
        <v>-143.75</v>
      </c>
      <c r="BA182" s="69" t="n">
        <f aca="false">-(BA203+BA204+BA206)/2*Inputs!$C$73/12</f>
        <v>-131.25</v>
      </c>
      <c r="BB182" s="69" t="n">
        <f aca="false">-(BB203+BB204+BB206)/2*Inputs!$C$73/12</f>
        <v>-118.75</v>
      </c>
      <c r="BC182" s="69" t="n">
        <f aca="false">-(BC203+BC204+BC206)/2*Inputs!$C$73/12</f>
        <v>-106.25</v>
      </c>
      <c r="BD182" s="69" t="n">
        <f aca="false">-(BD203+BD204+BD206)/2*Inputs!$C$73/12</f>
        <v>-93.7499999999996</v>
      </c>
      <c r="BE182" s="69" t="n">
        <f aca="false">-(BE203+BE204+BE206)/2*Inputs!$C$73/12</f>
        <v>-81.2499999999996</v>
      </c>
      <c r="BF182" s="69" t="n">
        <f aca="false">-(BF203+BF204+BF206)/2*Inputs!$C$73/12</f>
        <v>-68.7499999999996</v>
      </c>
      <c r="BG182" s="69" t="n">
        <f aca="false">-(BG203+BG204+BG206)/2*Inputs!$C$73/12</f>
        <v>-56.2499999999996</v>
      </c>
      <c r="BH182" s="69" t="n">
        <f aca="false">-(BH203+BH204+BH206)/2*Inputs!$C$73/12</f>
        <v>-43.7499999999996</v>
      </c>
      <c r="BI182" s="69" t="n">
        <f aca="false">-(BI203+BI204+BI206)/2*Inputs!$C$73/12</f>
        <v>-31.2499999999996</v>
      </c>
      <c r="BJ182" s="69" t="n">
        <f aca="false">-(BJ203+BJ204+BJ206)/2*Inputs!$C$73/12</f>
        <v>-18.7499999999996</v>
      </c>
    </row>
    <row r="183" customFormat="false" ht="15" hidden="false" customHeight="false" outlineLevel="0" collapsed="false">
      <c r="A183" s="115" t="s">
        <v>81</v>
      </c>
      <c r="C183" s="70" t="n">
        <f aca="false">C181+C182</f>
        <v>-24169.7490933333</v>
      </c>
      <c r="D183" s="70" t="n">
        <f aca="false">D181+D182</f>
        <v>-21595.5239573333</v>
      </c>
      <c r="E183" s="70" t="n">
        <f aca="false">E181+E182</f>
        <v>-19015.0488213333</v>
      </c>
      <c r="F183" s="70" t="n">
        <f aca="false">F181+F182</f>
        <v>-16434.5736853333</v>
      </c>
      <c r="G183" s="70" t="n">
        <f aca="false">G181+G182</f>
        <v>-13854.0985493333</v>
      </c>
      <c r="H183" s="70" t="n">
        <f aca="false">H181+H182</f>
        <v>-5651.17077333334</v>
      </c>
      <c r="I183" s="70" t="n">
        <f aca="false">I181+I182</f>
        <v>-2588.77112533333</v>
      </c>
      <c r="J183" s="70" t="n">
        <f aca="false">J181+J182</f>
        <v>473.628522666666</v>
      </c>
      <c r="K183" s="70" t="n">
        <f aca="false">K181+K182</f>
        <v>-3532.19800533334</v>
      </c>
      <c r="L183" s="70" t="n">
        <f aca="false">L181+L182</f>
        <v>-951.722869333338</v>
      </c>
      <c r="M183" s="70" t="n">
        <f aca="false">M181+M182</f>
        <v>1628.75226666666</v>
      </c>
      <c r="N183" s="70" t="n">
        <f aca="false">N181+N182</f>
        <v>9673.32746666667</v>
      </c>
      <c r="O183" s="70" t="n">
        <f aca="false">O181+O182</f>
        <v>3803.95536304</v>
      </c>
      <c r="P183" s="70" t="n">
        <f aca="false">P181+P182</f>
        <v>3816.45536304</v>
      </c>
      <c r="Q183" s="70" t="n">
        <f aca="false">Q181+Q182</f>
        <v>3828.95536304</v>
      </c>
      <c r="R183" s="70" t="n">
        <f aca="false">R181+R182</f>
        <v>3841.45536304</v>
      </c>
      <c r="S183" s="70" t="n">
        <f aca="false">S181+S182</f>
        <v>3853.95536304</v>
      </c>
      <c r="T183" s="70" t="n">
        <f aca="false">T181+T182</f>
        <v>12387.68394272</v>
      </c>
      <c r="U183" s="70" t="n">
        <f aca="false">U181+U182</f>
        <v>12400.18394272</v>
      </c>
      <c r="V183" s="70" t="n">
        <f aca="false">V181+V182</f>
        <v>12412.68394272</v>
      </c>
      <c r="W183" s="70" t="n">
        <f aca="false">W181+W182</f>
        <v>3903.95536304</v>
      </c>
      <c r="X183" s="70" t="n">
        <f aca="false">X181+X182</f>
        <v>3916.45536304</v>
      </c>
      <c r="Y183" s="70" t="n">
        <f aca="false">Y181+Y182</f>
        <v>3928.95536304</v>
      </c>
      <c r="Z183" s="70" t="n">
        <f aca="false">Z181+Z182</f>
        <v>12462.68394272</v>
      </c>
      <c r="AA183" s="70" t="n">
        <f aca="false">AA181+AA182</f>
        <v>6091.33024048246</v>
      </c>
      <c r="AB183" s="70" t="n">
        <f aca="false">AB181+AB182</f>
        <v>6103.83024048246</v>
      </c>
      <c r="AC183" s="70" t="n">
        <f aca="false">AC181+AC182</f>
        <v>6116.33024048246</v>
      </c>
      <c r="AD183" s="70" t="n">
        <f aca="false">AD181+AD182</f>
        <v>6128.83024048246</v>
      </c>
      <c r="AE183" s="70" t="n">
        <f aca="false">AE181+AE182</f>
        <v>6141.33024048246</v>
      </c>
      <c r="AF183" s="70" t="n">
        <f aca="false">AF181+AF182</f>
        <v>15194.001640665</v>
      </c>
      <c r="AG183" s="70" t="n">
        <f aca="false">AG181+AG182</f>
        <v>15206.501640665</v>
      </c>
      <c r="AH183" s="70" t="n">
        <f aca="false">AH181+AH182</f>
        <v>15219.001640665</v>
      </c>
      <c r="AI183" s="70" t="n">
        <f aca="false">AI181+AI182</f>
        <v>6191.33024048246</v>
      </c>
      <c r="AJ183" s="70" t="n">
        <f aca="false">AJ181+AJ182</f>
        <v>6203.83024048246</v>
      </c>
      <c r="AK183" s="70" t="n">
        <f aca="false">AK181+AK182</f>
        <v>6216.33024048246</v>
      </c>
      <c r="AL183" s="70" t="n">
        <f aca="false">AL181+AL182</f>
        <v>15269.001640665</v>
      </c>
      <c r="AM183" s="70" t="n">
        <f aca="false">AM181+AM182</f>
        <v>8402.5969803362</v>
      </c>
      <c r="AN183" s="70" t="n">
        <f aca="false">AN181+AN182</f>
        <v>8415.0969803362</v>
      </c>
      <c r="AO183" s="70" t="n">
        <f aca="false">AO181+AO182</f>
        <v>8427.5969803362</v>
      </c>
      <c r="AP183" s="70" t="n">
        <f aca="false">AP181+AP182</f>
        <v>8440.0969803362</v>
      </c>
      <c r="AQ183" s="70" t="n">
        <f aca="false">AQ181+AQ182</f>
        <v>8452.5969803362</v>
      </c>
      <c r="AR183" s="70" t="n">
        <f aca="false">AR181+AR182</f>
        <v>18055.8148187898</v>
      </c>
      <c r="AS183" s="70" t="n">
        <f aca="false">AS181+AS182</f>
        <v>18068.3148187898</v>
      </c>
      <c r="AT183" s="70" t="n">
        <f aca="false">AT181+AT182</f>
        <v>18080.8148187898</v>
      </c>
      <c r="AU183" s="70" t="n">
        <f aca="false">AU181+AU182</f>
        <v>8502.5969803362</v>
      </c>
      <c r="AV183" s="70" t="n">
        <f aca="false">AV181+AV182</f>
        <v>8515.0969803362</v>
      </c>
      <c r="AW183" s="70" t="n">
        <f aca="false">AW181+AW182</f>
        <v>8527.5969803362</v>
      </c>
      <c r="AX183" s="70" t="n">
        <f aca="false">AX181+AX182</f>
        <v>18130.8148187898</v>
      </c>
      <c r="AY183" s="70" t="n">
        <f aca="false">AY181+AY182</f>
        <v>10769.4359764933</v>
      </c>
      <c r="AZ183" s="70" t="n">
        <f aca="false">AZ181+AZ182</f>
        <v>10781.9359764933</v>
      </c>
      <c r="BA183" s="70" t="n">
        <f aca="false">BA181+BA182</f>
        <v>10794.4359764933</v>
      </c>
      <c r="BB183" s="70" t="n">
        <f aca="false">BB181+BB182</f>
        <v>10806.9359764933</v>
      </c>
      <c r="BC183" s="70" t="n">
        <f aca="false">BC181+BC182</f>
        <v>10819.4359764933</v>
      </c>
      <c r="BD183" s="70" t="n">
        <f aca="false">BD181+BD182</f>
        <v>21006.7285313087</v>
      </c>
      <c r="BE183" s="70" t="n">
        <f aca="false">BE181+BE182</f>
        <v>21019.2285313087</v>
      </c>
      <c r="BF183" s="70" t="n">
        <f aca="false">BF181+BF182</f>
        <v>21031.7285313087</v>
      </c>
      <c r="BG183" s="70" t="n">
        <f aca="false">BG181+BG182</f>
        <v>10869.4359764933</v>
      </c>
      <c r="BH183" s="70" t="n">
        <f aca="false">BH181+BH182</f>
        <v>10881.9359764933</v>
      </c>
      <c r="BI183" s="70" t="n">
        <f aca="false">BI181+BI182</f>
        <v>10894.4359764933</v>
      </c>
      <c r="BJ183" s="70" t="n">
        <f aca="false">BJ181+BJ182</f>
        <v>21081.7285313087</v>
      </c>
    </row>
    <row r="184" customFormat="false" ht="15" hidden="false" customHeight="false" outlineLevel="0" collapsed="false">
      <c r="A184" s="118" t="s">
        <v>430</v>
      </c>
      <c r="C184" s="69" t="n">
        <f aca="false">C183</f>
        <v>-24169.7490933333</v>
      </c>
      <c r="D184" s="69" t="n">
        <f aca="false">C184+D183</f>
        <v>-45765.2730506667</v>
      </c>
      <c r="E184" s="69" t="n">
        <f aca="false">D184+E183</f>
        <v>-64780.321872</v>
      </c>
      <c r="F184" s="69" t="n">
        <f aca="false">E184+F183</f>
        <v>-81214.8955573333</v>
      </c>
      <c r="G184" s="69" t="n">
        <f aca="false">F184+G183</f>
        <v>-95068.9941066667</v>
      </c>
      <c r="H184" s="69" t="n">
        <f aca="false">G184+H183</f>
        <v>-100720.16488</v>
      </c>
      <c r="I184" s="69" t="n">
        <f aca="false">H184+I183</f>
        <v>-103308.936005333</v>
      </c>
      <c r="J184" s="69" t="n">
        <f aca="false">I184+J183</f>
        <v>-102835.307482667</v>
      </c>
      <c r="K184" s="69" t="n">
        <f aca="false">J184+K183</f>
        <v>-106367.505488</v>
      </c>
      <c r="L184" s="69" t="n">
        <f aca="false">K184+L183</f>
        <v>-107319.228357333</v>
      </c>
      <c r="M184" s="69" t="n">
        <f aca="false">L184+M183</f>
        <v>-105690.476090667</v>
      </c>
      <c r="N184" s="69" t="n">
        <f aca="false">M184+N183</f>
        <v>-96017.148624</v>
      </c>
      <c r="O184" s="69" t="n">
        <f aca="false">N184+O183</f>
        <v>-92213.19326096</v>
      </c>
      <c r="P184" s="69" t="n">
        <f aca="false">O184+P183</f>
        <v>-88396.73789792</v>
      </c>
      <c r="Q184" s="69" t="n">
        <f aca="false">P184+Q183</f>
        <v>-84567.78253488</v>
      </c>
      <c r="R184" s="69" t="n">
        <f aca="false">Q184+R183</f>
        <v>-80726.32717184</v>
      </c>
      <c r="S184" s="69" t="n">
        <f aca="false">R184+S183</f>
        <v>-76872.3718088</v>
      </c>
      <c r="T184" s="69" t="n">
        <f aca="false">S184+T183</f>
        <v>-64484.68786608</v>
      </c>
      <c r="U184" s="69" t="n">
        <f aca="false">T184+U183</f>
        <v>-52084.50392336</v>
      </c>
      <c r="V184" s="69" t="n">
        <f aca="false">U184+V183</f>
        <v>-39671.81998064</v>
      </c>
      <c r="W184" s="69" t="n">
        <f aca="false">V184+W183</f>
        <v>-35767.8646176</v>
      </c>
      <c r="X184" s="69" t="n">
        <f aca="false">W184+X183</f>
        <v>-31851.40925456</v>
      </c>
      <c r="Y184" s="69" t="n">
        <f aca="false">X184+Y183</f>
        <v>-27922.45389152</v>
      </c>
      <c r="Z184" s="69" t="n">
        <f aca="false">Y184+Z183</f>
        <v>-15459.7699488</v>
      </c>
      <c r="AA184" s="69" t="n">
        <f aca="false">Z184+AA183</f>
        <v>-9368.43970831752</v>
      </c>
      <c r="AB184" s="69" t="n">
        <f aca="false">AA184+AB183</f>
        <v>-3264.60946783506</v>
      </c>
      <c r="AC184" s="69" t="n">
        <f aca="false">AB184+AC183</f>
        <v>2851.7207726474</v>
      </c>
      <c r="AD184" s="69" t="n">
        <f aca="false">AC184+AD183</f>
        <v>8980.55101312986</v>
      </c>
      <c r="AE184" s="69" t="n">
        <f aca="false">AD184+AE183</f>
        <v>15121.8812536123</v>
      </c>
      <c r="AF184" s="69" t="n">
        <f aca="false">AE184+AF183</f>
        <v>30315.8828942773</v>
      </c>
      <c r="AG184" s="69" t="n">
        <f aca="false">AF184+AG183</f>
        <v>45522.3845349423</v>
      </c>
      <c r="AH184" s="69" t="n">
        <f aca="false">AG184+AH183</f>
        <v>60741.3861756072</v>
      </c>
      <c r="AI184" s="69" t="n">
        <f aca="false">AH184+AI183</f>
        <v>66932.7164160897</v>
      </c>
      <c r="AJ184" s="69" t="n">
        <f aca="false">AI184+AJ183</f>
        <v>73136.5466565722</v>
      </c>
      <c r="AK184" s="69" t="n">
        <f aca="false">AJ184+AK183</f>
        <v>79352.8768970546</v>
      </c>
      <c r="AL184" s="69" t="n">
        <f aca="false">AK184+AL183</f>
        <v>94621.8785377196</v>
      </c>
      <c r="AM184" s="69" t="n">
        <f aca="false">AL184+AM183</f>
        <v>103024.475518056</v>
      </c>
      <c r="AN184" s="69" t="n">
        <f aca="false">AM184+AN183</f>
        <v>111439.572498392</v>
      </c>
      <c r="AO184" s="69" t="n">
        <f aca="false">AN184+AO183</f>
        <v>119867.169478728</v>
      </c>
      <c r="AP184" s="69" t="n">
        <f aca="false">AO184+AP183</f>
        <v>128307.266459064</v>
      </c>
      <c r="AQ184" s="69" t="n">
        <f aca="false">AP184+AQ183</f>
        <v>136759.863439401</v>
      </c>
      <c r="AR184" s="69" t="n">
        <f aca="false">AQ184+AR183</f>
        <v>154815.67825819</v>
      </c>
      <c r="AS184" s="69" t="n">
        <f aca="false">AR184+AS183</f>
        <v>172883.99307698</v>
      </c>
      <c r="AT184" s="69" t="n">
        <f aca="false">AS184+AT183</f>
        <v>190964.80789577</v>
      </c>
      <c r="AU184" s="69" t="n">
        <f aca="false">AT184+AU183</f>
        <v>199467.404876106</v>
      </c>
      <c r="AV184" s="69" t="n">
        <f aca="false">AU184+AV183</f>
        <v>207982.501856442</v>
      </c>
      <c r="AW184" s="69" t="n">
        <f aca="false">AV184+AW183</f>
        <v>216510.098836779</v>
      </c>
      <c r="AX184" s="69" t="n">
        <f aca="false">AW184+AX183</f>
        <v>234640.913655568</v>
      </c>
      <c r="AY184" s="69" t="n">
        <f aca="false">AX184+AY183</f>
        <v>245410.349632062</v>
      </c>
      <c r="AZ184" s="69" t="n">
        <f aca="false">AY184+AZ183</f>
        <v>256192.285608555</v>
      </c>
      <c r="BA184" s="69" t="n">
        <f aca="false">AZ184+BA183</f>
        <v>266986.721585048</v>
      </c>
      <c r="BB184" s="69" t="n">
        <f aca="false">BA184+BB183</f>
        <v>277793.657561541</v>
      </c>
      <c r="BC184" s="69" t="n">
        <f aca="false">BB184+BC183</f>
        <v>288613.093538035</v>
      </c>
      <c r="BD184" s="69" t="n">
        <f aca="false">BC184+BD183</f>
        <v>309619.822069343</v>
      </c>
      <c r="BE184" s="69" t="n">
        <f aca="false">BD184+BE183</f>
        <v>330639.050600652</v>
      </c>
      <c r="BF184" s="69" t="n">
        <f aca="false">BE184+BF183</f>
        <v>351670.779131961</v>
      </c>
      <c r="BG184" s="69" t="n">
        <f aca="false">BF184+BG183</f>
        <v>362540.215108454</v>
      </c>
      <c r="BH184" s="69" t="n">
        <f aca="false">BG184+BH183</f>
        <v>373422.151084947</v>
      </c>
      <c r="BI184" s="69" t="n">
        <f aca="false">BH184+BI183</f>
        <v>384316.58706144</v>
      </c>
      <c r="BJ184" s="69" t="n">
        <f aca="false">BI184+BJ183</f>
        <v>405398.315592749</v>
      </c>
    </row>
    <row r="185" customFormat="false" ht="15" hidden="false" customHeight="false" outlineLevel="0" collapsed="false">
      <c r="A185" s="118" t="s">
        <v>431</v>
      </c>
      <c r="C185" s="69" t="n">
        <f aca="false">MAX(0,C184)</f>
        <v>0</v>
      </c>
      <c r="D185" s="69" t="n">
        <f aca="false">MAX(C185,D184)</f>
        <v>0</v>
      </c>
      <c r="E185" s="69" t="n">
        <f aca="false">MAX(D185,E184)</f>
        <v>0</v>
      </c>
      <c r="F185" s="69" t="n">
        <f aca="false">MAX(E185,F184)</f>
        <v>0</v>
      </c>
      <c r="G185" s="69" t="n">
        <f aca="false">MAX(F185,G184)</f>
        <v>0</v>
      </c>
      <c r="H185" s="69" t="n">
        <f aca="false">MAX(G185,H184)</f>
        <v>0</v>
      </c>
      <c r="I185" s="69" t="n">
        <f aca="false">MAX(H185,I184)</f>
        <v>0</v>
      </c>
      <c r="J185" s="69" t="n">
        <f aca="false">MAX(I185,J184)</f>
        <v>0</v>
      </c>
      <c r="K185" s="69" t="n">
        <f aca="false">MAX(J185,K184)</f>
        <v>0</v>
      </c>
      <c r="L185" s="69" t="n">
        <f aca="false">MAX(K185,L184)</f>
        <v>0</v>
      </c>
      <c r="M185" s="69" t="n">
        <f aca="false">MAX(L185,M184)</f>
        <v>0</v>
      </c>
      <c r="N185" s="69" t="n">
        <f aca="false">MAX(M185,N184)</f>
        <v>0</v>
      </c>
      <c r="O185" s="69" t="n">
        <f aca="false">MAX(N185,O184)</f>
        <v>0</v>
      </c>
      <c r="P185" s="69" t="n">
        <f aca="false">MAX(O185,P184)</f>
        <v>0</v>
      </c>
      <c r="Q185" s="69" t="n">
        <f aca="false">MAX(P185,Q184)</f>
        <v>0</v>
      </c>
      <c r="R185" s="69" t="n">
        <f aca="false">MAX(Q185,R184)</f>
        <v>0</v>
      </c>
      <c r="S185" s="69" t="n">
        <f aca="false">MAX(R185,S184)</f>
        <v>0</v>
      </c>
      <c r="T185" s="69" t="n">
        <f aca="false">MAX(S185,T184)</f>
        <v>0</v>
      </c>
      <c r="U185" s="69" t="n">
        <f aca="false">MAX(T185,U184)</f>
        <v>0</v>
      </c>
      <c r="V185" s="69" t="n">
        <f aca="false">MAX(U185,V184)</f>
        <v>0</v>
      </c>
      <c r="W185" s="69" t="n">
        <f aca="false">MAX(V185,W184)</f>
        <v>0</v>
      </c>
      <c r="X185" s="69" t="n">
        <f aca="false">MAX(W185,X184)</f>
        <v>0</v>
      </c>
      <c r="Y185" s="69" t="n">
        <f aca="false">MAX(X185,Y184)</f>
        <v>0</v>
      </c>
      <c r="Z185" s="69" t="n">
        <f aca="false">MAX(Y185,Z184)</f>
        <v>0</v>
      </c>
      <c r="AA185" s="69" t="n">
        <f aca="false">MAX(Z185,AA184)</f>
        <v>0</v>
      </c>
      <c r="AB185" s="69" t="n">
        <f aca="false">MAX(AA185,AB184)</f>
        <v>0</v>
      </c>
      <c r="AC185" s="69" t="n">
        <f aca="false">MAX(AB185,AC184)</f>
        <v>2851.7207726474</v>
      </c>
      <c r="AD185" s="69" t="n">
        <f aca="false">MAX(AC185,AD184)</f>
        <v>8980.55101312986</v>
      </c>
      <c r="AE185" s="69" t="n">
        <f aca="false">MAX(AD185,AE184)</f>
        <v>15121.8812536123</v>
      </c>
      <c r="AF185" s="69" t="n">
        <f aca="false">MAX(AE185,AF184)</f>
        <v>30315.8828942773</v>
      </c>
      <c r="AG185" s="69" t="n">
        <f aca="false">MAX(AF185,AG184)</f>
        <v>45522.3845349423</v>
      </c>
      <c r="AH185" s="69" t="n">
        <f aca="false">MAX(AG185,AH184)</f>
        <v>60741.3861756072</v>
      </c>
      <c r="AI185" s="69" t="n">
        <f aca="false">MAX(AH185,AI184)</f>
        <v>66932.7164160897</v>
      </c>
      <c r="AJ185" s="69" t="n">
        <f aca="false">MAX(AI185,AJ184)</f>
        <v>73136.5466565722</v>
      </c>
      <c r="AK185" s="69" t="n">
        <f aca="false">MAX(AJ185,AK184)</f>
        <v>79352.8768970546</v>
      </c>
      <c r="AL185" s="69" t="n">
        <f aca="false">MAX(AK185,AL184)</f>
        <v>94621.8785377196</v>
      </c>
      <c r="AM185" s="69" t="n">
        <f aca="false">MAX(AL185,AM184)</f>
        <v>103024.475518056</v>
      </c>
      <c r="AN185" s="69" t="n">
        <f aca="false">MAX(AM185,AN184)</f>
        <v>111439.572498392</v>
      </c>
      <c r="AO185" s="69" t="n">
        <f aca="false">MAX(AN185,AO184)</f>
        <v>119867.169478728</v>
      </c>
      <c r="AP185" s="69" t="n">
        <f aca="false">MAX(AO185,AP184)</f>
        <v>128307.266459064</v>
      </c>
      <c r="AQ185" s="69" t="n">
        <f aca="false">MAX(AP185,AQ184)</f>
        <v>136759.863439401</v>
      </c>
      <c r="AR185" s="69" t="n">
        <f aca="false">MAX(AQ185,AR184)</f>
        <v>154815.67825819</v>
      </c>
      <c r="AS185" s="69" t="n">
        <f aca="false">MAX(AR185,AS184)</f>
        <v>172883.99307698</v>
      </c>
      <c r="AT185" s="69" t="n">
        <f aca="false">MAX(AS185,AT184)</f>
        <v>190964.80789577</v>
      </c>
      <c r="AU185" s="69" t="n">
        <f aca="false">MAX(AT185,AU184)</f>
        <v>199467.404876106</v>
      </c>
      <c r="AV185" s="69" t="n">
        <f aca="false">MAX(AU185,AV184)</f>
        <v>207982.501856442</v>
      </c>
      <c r="AW185" s="69" t="n">
        <f aca="false">MAX(AV185,AW184)</f>
        <v>216510.098836779</v>
      </c>
      <c r="AX185" s="69" t="n">
        <f aca="false">MAX(AW185,AX184)</f>
        <v>234640.913655568</v>
      </c>
      <c r="AY185" s="69" t="n">
        <f aca="false">MAX(AX185,AY184)</f>
        <v>245410.349632062</v>
      </c>
      <c r="AZ185" s="69" t="n">
        <f aca="false">MAX(AY185,AZ184)</f>
        <v>256192.285608555</v>
      </c>
      <c r="BA185" s="69" t="n">
        <f aca="false">MAX(AZ185,BA184)</f>
        <v>266986.721585048</v>
      </c>
      <c r="BB185" s="69" t="n">
        <f aca="false">MAX(BA185,BB184)</f>
        <v>277793.657561541</v>
      </c>
      <c r="BC185" s="69" t="n">
        <f aca="false">MAX(BB185,BC184)</f>
        <v>288613.093538035</v>
      </c>
      <c r="BD185" s="69" t="n">
        <f aca="false">MAX(BC185,BD184)</f>
        <v>309619.822069343</v>
      </c>
      <c r="BE185" s="69" t="n">
        <f aca="false">MAX(BD185,BE184)</f>
        <v>330639.050600652</v>
      </c>
      <c r="BF185" s="69" t="n">
        <f aca="false">MAX(BE185,BF184)</f>
        <v>351670.779131961</v>
      </c>
      <c r="BG185" s="69" t="n">
        <f aca="false">MAX(BF185,BG184)</f>
        <v>362540.215108454</v>
      </c>
      <c r="BH185" s="69" t="n">
        <f aca="false">MAX(BG185,BH184)</f>
        <v>373422.151084947</v>
      </c>
      <c r="BI185" s="69" t="n">
        <f aca="false">MAX(BH185,BI184)</f>
        <v>384316.58706144</v>
      </c>
      <c r="BJ185" s="69" t="n">
        <f aca="false">MAX(BI185,BJ184)</f>
        <v>405398.315592749</v>
      </c>
    </row>
    <row r="186" customFormat="false" ht="15" hidden="false" customHeight="false" outlineLevel="0" collapsed="false">
      <c r="A186" s="6" t="s">
        <v>82</v>
      </c>
      <c r="C186" s="69" t="n">
        <f aca="false">-C185*Inputs!$C$83</f>
        <v>-0</v>
      </c>
      <c r="D186" s="69" t="n">
        <f aca="false">-(D185-C185)*Inputs!$C$83</f>
        <v>-0</v>
      </c>
      <c r="E186" s="69" t="n">
        <f aca="false">-(E185-D185)*Inputs!$C$83</f>
        <v>-0</v>
      </c>
      <c r="F186" s="69" t="n">
        <f aca="false">-(F185-E185)*Inputs!$C$83</f>
        <v>-0</v>
      </c>
      <c r="G186" s="69" t="n">
        <f aca="false">-(G185-F185)*Inputs!$C$83</f>
        <v>-0</v>
      </c>
      <c r="H186" s="69" t="n">
        <f aca="false">-(H185-G185)*Inputs!$C$83</f>
        <v>-0</v>
      </c>
      <c r="I186" s="69" t="n">
        <f aca="false">-(I185-H185)*Inputs!$C$83</f>
        <v>-0</v>
      </c>
      <c r="J186" s="69" t="n">
        <f aca="false">-(J185-I185)*Inputs!$C$83</f>
        <v>-0</v>
      </c>
      <c r="K186" s="69" t="n">
        <f aca="false">-(K185-J185)*Inputs!$C$83</f>
        <v>-0</v>
      </c>
      <c r="L186" s="69" t="n">
        <f aca="false">-(L185-K185)*Inputs!$C$83</f>
        <v>-0</v>
      </c>
      <c r="M186" s="69" t="n">
        <f aca="false">-(M185-L185)*Inputs!$C$83</f>
        <v>-0</v>
      </c>
      <c r="N186" s="69" t="n">
        <f aca="false">-(N185-M185)*Inputs!$C$83</f>
        <v>-0</v>
      </c>
      <c r="O186" s="69" t="n">
        <f aca="false">-(O185-N185)*Inputs!$C$83</f>
        <v>-0</v>
      </c>
      <c r="P186" s="69" t="n">
        <f aca="false">-(P185-O185)*Inputs!$C$83</f>
        <v>-0</v>
      </c>
      <c r="Q186" s="69" t="n">
        <f aca="false">-(Q185-P185)*Inputs!$C$83</f>
        <v>-0</v>
      </c>
      <c r="R186" s="69" t="n">
        <f aca="false">-(R185-Q185)*Inputs!$C$83</f>
        <v>-0</v>
      </c>
      <c r="S186" s="69" t="n">
        <f aca="false">-(S185-R185)*Inputs!$C$83</f>
        <v>-0</v>
      </c>
      <c r="T186" s="69" t="n">
        <f aca="false">-(T185-S185)*Inputs!$C$83</f>
        <v>-0</v>
      </c>
      <c r="U186" s="69" t="n">
        <f aca="false">-(U185-T185)*Inputs!$C$83</f>
        <v>-0</v>
      </c>
      <c r="V186" s="69" t="n">
        <f aca="false">-(V185-U185)*Inputs!$C$83</f>
        <v>-0</v>
      </c>
      <c r="W186" s="69" t="n">
        <f aca="false">-(W185-V185)*Inputs!$C$83</f>
        <v>-0</v>
      </c>
      <c r="X186" s="69" t="n">
        <f aca="false">-(X185-W185)*Inputs!$C$83</f>
        <v>-0</v>
      </c>
      <c r="Y186" s="69" t="n">
        <f aca="false">-(Y185-X185)*Inputs!$C$83</f>
        <v>-0</v>
      </c>
      <c r="Z186" s="69" t="n">
        <f aca="false">-(Z185-Y185)*Inputs!$C$83</f>
        <v>-0</v>
      </c>
      <c r="AA186" s="69" t="n">
        <f aca="false">-(AA185-Z185)*Inputs!$C$83</f>
        <v>-0</v>
      </c>
      <c r="AB186" s="69" t="n">
        <f aca="false">-(AB185-AA185)*Inputs!$C$83</f>
        <v>-0</v>
      </c>
      <c r="AC186" s="69" t="n">
        <f aca="false">-(AC185-AB185)*Inputs!$C$83</f>
        <v>-598.861362255954</v>
      </c>
      <c r="AD186" s="69" t="n">
        <f aca="false">-(AD185-AC185)*Inputs!$C$83</f>
        <v>-1287.05435050132</v>
      </c>
      <c r="AE186" s="69" t="n">
        <f aca="false">-(AE185-AD185)*Inputs!$C$83</f>
        <v>-1289.67935050132</v>
      </c>
      <c r="AF186" s="69" t="n">
        <f aca="false">-(AF185-AE185)*Inputs!$C$83</f>
        <v>-3190.74034453965</v>
      </c>
      <c r="AG186" s="69" t="n">
        <f aca="false">-(AG185-AF185)*Inputs!$C$83</f>
        <v>-3193.36534453964</v>
      </c>
      <c r="AH186" s="69" t="n">
        <f aca="false">-(AH185-AG185)*Inputs!$C$83</f>
        <v>-3195.99034453964</v>
      </c>
      <c r="AI186" s="69" t="n">
        <f aca="false">-(AI185-AH185)*Inputs!$C$83</f>
        <v>-1300.17935050132</v>
      </c>
      <c r="AJ186" s="69" t="n">
        <f aca="false">-(AJ185-AI185)*Inputs!$C$83</f>
        <v>-1302.80435050132</v>
      </c>
      <c r="AK186" s="69" t="n">
        <f aca="false">-(AK185-AJ185)*Inputs!$C$83</f>
        <v>-1305.42935050132</v>
      </c>
      <c r="AL186" s="69" t="n">
        <f aca="false">-(AL185-AK185)*Inputs!$C$83</f>
        <v>-3206.49034453965</v>
      </c>
      <c r="AM186" s="69" t="n">
        <f aca="false">-(AM185-AL185)*Inputs!$C$83</f>
        <v>-1764.5453658706</v>
      </c>
      <c r="AN186" s="69" t="n">
        <f aca="false">-(AN185-AM185)*Inputs!$C$83</f>
        <v>-1767.1703658706</v>
      </c>
      <c r="AO186" s="69" t="n">
        <f aca="false">-(AO185-AN185)*Inputs!$C$83</f>
        <v>-1769.7953658706</v>
      </c>
      <c r="AP186" s="69" t="n">
        <f aca="false">-(AP185-AO185)*Inputs!$C$83</f>
        <v>-1772.4203658706</v>
      </c>
      <c r="AQ186" s="69" t="n">
        <f aca="false">-(AQ185-AP185)*Inputs!$C$83</f>
        <v>-1775.0453658706</v>
      </c>
      <c r="AR186" s="69" t="n">
        <f aca="false">-(AR185-AQ185)*Inputs!$C$83</f>
        <v>-3791.72111194586</v>
      </c>
      <c r="AS186" s="69" t="n">
        <f aca="false">-(AS185-AR185)*Inputs!$C$83</f>
        <v>-3794.34611194586</v>
      </c>
      <c r="AT186" s="69" t="n">
        <f aca="false">-(AT185-AS185)*Inputs!$C$83</f>
        <v>-3796.97111194586</v>
      </c>
      <c r="AU186" s="69" t="n">
        <f aca="false">-(AU185-AT185)*Inputs!$C$83</f>
        <v>-1785.5453658706</v>
      </c>
      <c r="AV186" s="69" t="n">
        <f aca="false">-(AV185-AU185)*Inputs!$C$83</f>
        <v>-1788.1703658706</v>
      </c>
      <c r="AW186" s="69" t="n">
        <f aca="false">-(AW185-AV185)*Inputs!$C$83</f>
        <v>-1790.7953658706</v>
      </c>
      <c r="AX186" s="69" t="n">
        <f aca="false">-(AX185-AW185)*Inputs!$C$83</f>
        <v>-3807.47111194586</v>
      </c>
      <c r="AY186" s="69" t="n">
        <f aca="false">-(AY185-AX185)*Inputs!$C$83</f>
        <v>-2261.58155506358</v>
      </c>
      <c r="AZ186" s="69" t="n">
        <f aca="false">-(AZ185-AY185)*Inputs!$C$83</f>
        <v>-2264.20655506358</v>
      </c>
      <c r="BA186" s="69" t="n">
        <f aca="false">-(BA185-AZ185)*Inputs!$C$83</f>
        <v>-2266.83155506358</v>
      </c>
      <c r="BB186" s="69" t="n">
        <f aca="false">-(BB185-BA185)*Inputs!$C$83</f>
        <v>-2269.45655506358</v>
      </c>
      <c r="BC186" s="69" t="n">
        <f aca="false">-(BC185-BB185)*Inputs!$C$83</f>
        <v>-2272.08155506358</v>
      </c>
      <c r="BD186" s="69" t="n">
        <f aca="false">-(BD185-BC185)*Inputs!$C$83</f>
        <v>-4411.41299157483</v>
      </c>
      <c r="BE186" s="69" t="n">
        <f aca="false">-(BE185-BD185)*Inputs!$C$83</f>
        <v>-4414.03799157483</v>
      </c>
      <c r="BF186" s="69" t="n">
        <f aca="false">-(BF185-BE185)*Inputs!$C$83</f>
        <v>-4416.66299157483</v>
      </c>
      <c r="BG186" s="69" t="n">
        <f aca="false">-(BG185-BF185)*Inputs!$C$83</f>
        <v>-2282.58155506358</v>
      </c>
      <c r="BH186" s="69" t="n">
        <f aca="false">-(BH185-BG185)*Inputs!$C$83</f>
        <v>-2285.20655506358</v>
      </c>
      <c r="BI186" s="69" t="n">
        <f aca="false">-(BI185-BH185)*Inputs!$C$83</f>
        <v>-2287.83155506358</v>
      </c>
      <c r="BJ186" s="69" t="n">
        <f aca="false">-(BJ185-BI185)*Inputs!$C$83</f>
        <v>-4427.16299157483</v>
      </c>
    </row>
    <row r="187" customFormat="false" ht="15" hidden="false" customHeight="false" outlineLevel="0" collapsed="false">
      <c r="A187" s="115" t="s">
        <v>50</v>
      </c>
      <c r="C187" s="70" t="n">
        <f aca="false">C183+C186</f>
        <v>-24169.7490933333</v>
      </c>
      <c r="D187" s="70" t="n">
        <f aca="false">D183+D186</f>
        <v>-21595.5239573333</v>
      </c>
      <c r="E187" s="70" t="n">
        <f aca="false">E183+E186</f>
        <v>-19015.0488213333</v>
      </c>
      <c r="F187" s="70" t="n">
        <f aca="false">F183+F186</f>
        <v>-16434.5736853333</v>
      </c>
      <c r="G187" s="70" t="n">
        <f aca="false">G183+G186</f>
        <v>-13854.0985493333</v>
      </c>
      <c r="H187" s="70" t="n">
        <f aca="false">H183+H186</f>
        <v>-5651.17077333334</v>
      </c>
      <c r="I187" s="70" t="n">
        <f aca="false">I183+I186</f>
        <v>-2588.77112533333</v>
      </c>
      <c r="J187" s="70" t="n">
        <f aca="false">J183+J186</f>
        <v>473.628522666666</v>
      </c>
      <c r="K187" s="70" t="n">
        <f aca="false">K183+K186</f>
        <v>-3532.19800533334</v>
      </c>
      <c r="L187" s="70" t="n">
        <f aca="false">L183+L186</f>
        <v>-951.722869333338</v>
      </c>
      <c r="M187" s="70" t="n">
        <f aca="false">M183+M186</f>
        <v>1628.75226666666</v>
      </c>
      <c r="N187" s="70" t="n">
        <f aca="false">N183+N186</f>
        <v>9673.32746666667</v>
      </c>
      <c r="O187" s="70" t="n">
        <f aca="false">O183+O186</f>
        <v>3803.95536304</v>
      </c>
      <c r="P187" s="70" t="n">
        <f aca="false">P183+P186</f>
        <v>3816.45536304</v>
      </c>
      <c r="Q187" s="70" t="n">
        <f aca="false">Q183+Q186</f>
        <v>3828.95536304</v>
      </c>
      <c r="R187" s="70" t="n">
        <f aca="false">R183+R186</f>
        <v>3841.45536304</v>
      </c>
      <c r="S187" s="70" t="n">
        <f aca="false">S183+S186</f>
        <v>3853.95536304</v>
      </c>
      <c r="T187" s="70" t="n">
        <f aca="false">T183+T186</f>
        <v>12387.68394272</v>
      </c>
      <c r="U187" s="70" t="n">
        <f aca="false">U183+U186</f>
        <v>12400.18394272</v>
      </c>
      <c r="V187" s="70" t="n">
        <f aca="false">V183+V186</f>
        <v>12412.68394272</v>
      </c>
      <c r="W187" s="70" t="n">
        <f aca="false">W183+W186</f>
        <v>3903.95536304</v>
      </c>
      <c r="X187" s="70" t="n">
        <f aca="false">X183+X186</f>
        <v>3916.45536304</v>
      </c>
      <c r="Y187" s="70" t="n">
        <f aca="false">Y183+Y186</f>
        <v>3928.95536304</v>
      </c>
      <c r="Z187" s="70" t="n">
        <f aca="false">Z183+Z186</f>
        <v>12462.68394272</v>
      </c>
      <c r="AA187" s="70" t="n">
        <f aca="false">AA183+AA186</f>
        <v>6091.33024048246</v>
      </c>
      <c r="AB187" s="70" t="n">
        <f aca="false">AB183+AB186</f>
        <v>6103.83024048246</v>
      </c>
      <c r="AC187" s="70" t="n">
        <f aca="false">AC183+AC186</f>
        <v>5517.46887822651</v>
      </c>
      <c r="AD187" s="70" t="n">
        <f aca="false">AD183+AD186</f>
        <v>4841.77588998114</v>
      </c>
      <c r="AE187" s="70" t="n">
        <f aca="false">AE183+AE186</f>
        <v>4851.65088998114</v>
      </c>
      <c r="AF187" s="70" t="n">
        <f aca="false">AF183+AF186</f>
        <v>12003.2612961253</v>
      </c>
      <c r="AG187" s="70" t="n">
        <f aca="false">AG183+AG186</f>
        <v>12013.1362961253</v>
      </c>
      <c r="AH187" s="70" t="n">
        <f aca="false">AH183+AH186</f>
        <v>12023.0112961253</v>
      </c>
      <c r="AI187" s="70" t="n">
        <f aca="false">AI183+AI186</f>
        <v>4891.15088998114</v>
      </c>
      <c r="AJ187" s="70" t="n">
        <f aca="false">AJ183+AJ186</f>
        <v>4901.02588998114</v>
      </c>
      <c r="AK187" s="70" t="n">
        <f aca="false">AK183+AK186</f>
        <v>4910.90088998114</v>
      </c>
      <c r="AL187" s="70" t="n">
        <f aca="false">AL183+AL186</f>
        <v>12062.5112961253</v>
      </c>
      <c r="AM187" s="70" t="n">
        <f aca="false">AM183+AM186</f>
        <v>6638.05161446559</v>
      </c>
      <c r="AN187" s="70" t="n">
        <f aca="false">AN183+AN186</f>
        <v>6647.92661446559</v>
      </c>
      <c r="AO187" s="70" t="n">
        <f aca="false">AO183+AO186</f>
        <v>6657.80161446559</v>
      </c>
      <c r="AP187" s="70" t="n">
        <f aca="false">AP183+AP186</f>
        <v>6667.67661446559</v>
      </c>
      <c r="AQ187" s="70" t="n">
        <f aca="false">AQ183+AQ186</f>
        <v>6677.55161446559</v>
      </c>
      <c r="AR187" s="70" t="n">
        <f aca="false">AR183+AR186</f>
        <v>14264.0937068439</v>
      </c>
      <c r="AS187" s="70" t="n">
        <f aca="false">AS183+AS186</f>
        <v>14273.9687068439</v>
      </c>
      <c r="AT187" s="70" t="n">
        <f aca="false">AT183+AT186</f>
        <v>14283.8437068439</v>
      </c>
      <c r="AU187" s="70" t="n">
        <f aca="false">AU183+AU186</f>
        <v>6717.0516144656</v>
      </c>
      <c r="AV187" s="70" t="n">
        <f aca="false">AV183+AV186</f>
        <v>6726.9266144656</v>
      </c>
      <c r="AW187" s="70" t="n">
        <f aca="false">AW183+AW186</f>
        <v>6736.8016144656</v>
      </c>
      <c r="AX187" s="70" t="n">
        <f aca="false">AX183+AX186</f>
        <v>14323.3437068439</v>
      </c>
      <c r="AY187" s="70" t="n">
        <f aca="false">AY183+AY186</f>
        <v>8507.85442142967</v>
      </c>
      <c r="AZ187" s="70" t="n">
        <f aca="false">AZ183+AZ186</f>
        <v>8517.72942142967</v>
      </c>
      <c r="BA187" s="70" t="n">
        <f aca="false">BA183+BA186</f>
        <v>8527.60442142967</v>
      </c>
      <c r="BB187" s="70" t="n">
        <f aca="false">BB183+BB186</f>
        <v>8537.47942142968</v>
      </c>
      <c r="BC187" s="70" t="n">
        <f aca="false">BC183+BC186</f>
        <v>8547.35442142968</v>
      </c>
      <c r="BD187" s="70" t="n">
        <f aca="false">BD183+BD186</f>
        <v>16595.3155397339</v>
      </c>
      <c r="BE187" s="70" t="n">
        <f aca="false">BE183+BE186</f>
        <v>16605.1905397339</v>
      </c>
      <c r="BF187" s="70" t="n">
        <f aca="false">BF183+BF186</f>
        <v>16615.0655397339</v>
      </c>
      <c r="BG187" s="70" t="n">
        <f aca="false">BG183+BG186</f>
        <v>8586.85442142968</v>
      </c>
      <c r="BH187" s="70" t="n">
        <f aca="false">BH183+BH186</f>
        <v>8596.72942142968</v>
      </c>
      <c r="BI187" s="70" t="n">
        <f aca="false">BI183+BI186</f>
        <v>8606.60442142968</v>
      </c>
      <c r="BJ187" s="70" t="n">
        <f aca="false">BJ183+BJ186</f>
        <v>16654.5655397339</v>
      </c>
    </row>
    <row r="189" customFormat="false" ht="15.75" hidden="false" customHeight="true" outlineLevel="0" collapsed="false">
      <c r="A189" s="7" t="s">
        <v>432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customFormat="false" ht="15" hidden="false" customHeight="false" outlineLevel="0" collapsed="false">
      <c r="A190" s="6" t="s">
        <v>433</v>
      </c>
      <c r="C190" s="69" t="n">
        <f aca="false">IF(C$132=1,Inputs!$C$14*Inputs!$C$48,0)</f>
        <v>24000</v>
      </c>
      <c r="D190" s="69" t="n">
        <f aca="false">IF(D$132=1,Inputs!$C$14*Inputs!$C$48,0)</f>
        <v>0</v>
      </c>
      <c r="E190" s="69" t="n">
        <f aca="false">IF(E$132=1,Inputs!$C$14*Inputs!$C$48,0)</f>
        <v>0</v>
      </c>
      <c r="F190" s="69" t="n">
        <f aca="false">IF(F$132=1,Inputs!$C$14*Inputs!$C$48,0)</f>
        <v>0</v>
      </c>
      <c r="G190" s="69" t="n">
        <f aca="false">IF(G$132=1,Inputs!$C$14*Inputs!$C$48,0)</f>
        <v>0</v>
      </c>
      <c r="H190" s="69" t="n">
        <f aca="false">IF(H$132=1,Inputs!$C$14*Inputs!$C$48,0)</f>
        <v>0</v>
      </c>
      <c r="I190" s="69" t="n">
        <f aca="false">IF(I$132=1,Inputs!$C$14*Inputs!$C$48,0)</f>
        <v>0</v>
      </c>
      <c r="J190" s="69" t="n">
        <f aca="false">IF(J$132=1,Inputs!$C$14*Inputs!$C$48,0)</f>
        <v>0</v>
      </c>
      <c r="K190" s="69" t="n">
        <f aca="false">IF(K$132=1,Inputs!$C$14*Inputs!$C$48,0)</f>
        <v>0</v>
      </c>
      <c r="L190" s="69" t="n">
        <f aca="false">IF(L$132=1,Inputs!$C$14*Inputs!$C$48,0)</f>
        <v>0</v>
      </c>
      <c r="M190" s="69" t="n">
        <f aca="false">IF(M$132=1,Inputs!$C$14*Inputs!$C$48,0)</f>
        <v>0</v>
      </c>
      <c r="N190" s="69" t="n">
        <f aca="false">IF(N$132=1,Inputs!$C$14*Inputs!$C$48,0)</f>
        <v>0</v>
      </c>
      <c r="O190" s="69" t="n">
        <f aca="false">IF(O$132=1,Inputs!$C$14*Inputs!$C$48,0)</f>
        <v>0</v>
      </c>
      <c r="P190" s="69" t="n">
        <f aca="false">IF(P$132=1,Inputs!$C$14*Inputs!$C$48,0)</f>
        <v>0</v>
      </c>
      <c r="Q190" s="69" t="n">
        <f aca="false">IF(Q$132=1,Inputs!$C$14*Inputs!$C$48,0)</f>
        <v>0</v>
      </c>
      <c r="R190" s="69" t="n">
        <f aca="false">IF(R$132=1,Inputs!$C$14*Inputs!$C$48,0)</f>
        <v>0</v>
      </c>
      <c r="S190" s="69" t="n">
        <f aca="false">IF(S$132=1,Inputs!$C$14*Inputs!$C$48,0)</f>
        <v>0</v>
      </c>
      <c r="T190" s="69" t="n">
        <f aca="false">IF(T$132=1,Inputs!$C$14*Inputs!$C$48,0)</f>
        <v>0</v>
      </c>
      <c r="U190" s="69" t="n">
        <f aca="false">IF(U$132=1,Inputs!$C$14*Inputs!$C$48,0)</f>
        <v>0</v>
      </c>
      <c r="V190" s="69" t="n">
        <f aca="false">IF(V$132=1,Inputs!$C$14*Inputs!$C$48,0)</f>
        <v>0</v>
      </c>
      <c r="W190" s="69" t="n">
        <f aca="false">IF(W$132=1,Inputs!$C$14*Inputs!$C$48,0)</f>
        <v>0</v>
      </c>
      <c r="X190" s="69" t="n">
        <f aca="false">IF(X$132=1,Inputs!$C$14*Inputs!$C$48,0)</f>
        <v>0</v>
      </c>
      <c r="Y190" s="69" t="n">
        <f aca="false">IF(Y$132=1,Inputs!$C$14*Inputs!$C$48,0)</f>
        <v>0</v>
      </c>
      <c r="Z190" s="69" t="n">
        <f aca="false">IF(Z$132=1,Inputs!$C$14*Inputs!$C$48,0)</f>
        <v>0</v>
      </c>
      <c r="AA190" s="69" t="n">
        <f aca="false">IF(AA$132=1,Inputs!$C$14*Inputs!$C$48,0)</f>
        <v>0</v>
      </c>
      <c r="AB190" s="69" t="n">
        <f aca="false">IF(AB$132=1,Inputs!$C$14*Inputs!$C$48,0)</f>
        <v>0</v>
      </c>
      <c r="AC190" s="69" t="n">
        <f aca="false">IF(AC$132=1,Inputs!$C$14*Inputs!$C$48,0)</f>
        <v>0</v>
      </c>
      <c r="AD190" s="69" t="n">
        <f aca="false">IF(AD$132=1,Inputs!$C$14*Inputs!$C$48,0)</f>
        <v>0</v>
      </c>
      <c r="AE190" s="69" t="n">
        <f aca="false">IF(AE$132=1,Inputs!$C$14*Inputs!$C$48,0)</f>
        <v>0</v>
      </c>
      <c r="AF190" s="69" t="n">
        <f aca="false">IF(AF$132=1,Inputs!$C$14*Inputs!$C$48,0)</f>
        <v>0</v>
      </c>
      <c r="AG190" s="69" t="n">
        <f aca="false">IF(AG$132=1,Inputs!$C$14*Inputs!$C$48,0)</f>
        <v>0</v>
      </c>
      <c r="AH190" s="69" t="n">
        <f aca="false">IF(AH$132=1,Inputs!$C$14*Inputs!$C$48,0)</f>
        <v>0</v>
      </c>
      <c r="AI190" s="69" t="n">
        <f aca="false">IF(AI$132=1,Inputs!$C$14*Inputs!$C$48,0)</f>
        <v>0</v>
      </c>
      <c r="AJ190" s="69" t="n">
        <f aca="false">IF(AJ$132=1,Inputs!$C$14*Inputs!$C$48,0)</f>
        <v>0</v>
      </c>
      <c r="AK190" s="69" t="n">
        <f aca="false">IF(AK$132=1,Inputs!$C$14*Inputs!$C$48,0)</f>
        <v>0</v>
      </c>
      <c r="AL190" s="69" t="n">
        <f aca="false">IF(AL$132=1,Inputs!$C$14*Inputs!$C$48,0)</f>
        <v>0</v>
      </c>
      <c r="AM190" s="69" t="n">
        <f aca="false">IF(AM$132=1,Inputs!$C$14*Inputs!$C$48,0)</f>
        <v>0</v>
      </c>
      <c r="AN190" s="69" t="n">
        <f aca="false">IF(AN$132=1,Inputs!$C$14*Inputs!$C$48,0)</f>
        <v>0</v>
      </c>
      <c r="AO190" s="69" t="n">
        <f aca="false">IF(AO$132=1,Inputs!$C$14*Inputs!$C$48,0)</f>
        <v>0</v>
      </c>
      <c r="AP190" s="69" t="n">
        <f aca="false">IF(AP$132=1,Inputs!$C$14*Inputs!$C$48,0)</f>
        <v>0</v>
      </c>
      <c r="AQ190" s="69" t="n">
        <f aca="false">IF(AQ$132=1,Inputs!$C$14*Inputs!$C$48,0)</f>
        <v>0</v>
      </c>
      <c r="AR190" s="69" t="n">
        <f aca="false">IF(AR$132=1,Inputs!$C$14*Inputs!$C$48,0)</f>
        <v>0</v>
      </c>
      <c r="AS190" s="69" t="n">
        <f aca="false">IF(AS$132=1,Inputs!$C$14*Inputs!$C$48,0)</f>
        <v>0</v>
      </c>
      <c r="AT190" s="69" t="n">
        <f aca="false">IF(AT$132=1,Inputs!$C$14*Inputs!$C$48,0)</f>
        <v>0</v>
      </c>
      <c r="AU190" s="69" t="n">
        <f aca="false">IF(AU$132=1,Inputs!$C$14*Inputs!$C$48,0)</f>
        <v>0</v>
      </c>
      <c r="AV190" s="69" t="n">
        <f aca="false">IF(AV$132=1,Inputs!$C$14*Inputs!$C$48,0)</f>
        <v>0</v>
      </c>
      <c r="AW190" s="69" t="n">
        <f aca="false">IF(AW$132=1,Inputs!$C$14*Inputs!$C$48,0)</f>
        <v>0</v>
      </c>
      <c r="AX190" s="69" t="n">
        <f aca="false">IF(AX$132=1,Inputs!$C$14*Inputs!$C$48,0)</f>
        <v>0</v>
      </c>
      <c r="AY190" s="69" t="n">
        <f aca="false">IF(AY$132=1,Inputs!$C$14*Inputs!$C$48,0)</f>
        <v>0</v>
      </c>
      <c r="AZ190" s="69" t="n">
        <f aca="false">IF(AZ$132=1,Inputs!$C$14*Inputs!$C$48,0)</f>
        <v>0</v>
      </c>
      <c r="BA190" s="69" t="n">
        <f aca="false">IF(BA$132=1,Inputs!$C$14*Inputs!$C$48,0)</f>
        <v>0</v>
      </c>
      <c r="BB190" s="69" t="n">
        <f aca="false">IF(BB$132=1,Inputs!$C$14*Inputs!$C$48,0)</f>
        <v>0</v>
      </c>
      <c r="BC190" s="69" t="n">
        <f aca="false">IF(BC$132=1,Inputs!$C$14*Inputs!$C$48,0)</f>
        <v>0</v>
      </c>
      <c r="BD190" s="69" t="n">
        <f aca="false">IF(BD$132=1,Inputs!$C$14*Inputs!$C$48,0)</f>
        <v>0</v>
      </c>
      <c r="BE190" s="69" t="n">
        <f aca="false">IF(BE$132=1,Inputs!$C$14*Inputs!$C$48,0)</f>
        <v>0</v>
      </c>
      <c r="BF190" s="69" t="n">
        <f aca="false">IF(BF$132=1,Inputs!$C$14*Inputs!$C$48,0)</f>
        <v>0</v>
      </c>
      <c r="BG190" s="69" t="n">
        <f aca="false">IF(BG$132=1,Inputs!$C$14*Inputs!$C$48,0)</f>
        <v>0</v>
      </c>
      <c r="BH190" s="69" t="n">
        <f aca="false">IF(BH$132=1,Inputs!$C$14*Inputs!$C$48,0)</f>
        <v>0</v>
      </c>
      <c r="BI190" s="69" t="n">
        <f aca="false">IF(BI$132=1,Inputs!$C$14*Inputs!$C$48,0)</f>
        <v>0</v>
      </c>
      <c r="BJ190" s="69" t="n">
        <f aca="false">IF(BJ$132=1,Inputs!$C$14*Inputs!$C$48,0)</f>
        <v>0</v>
      </c>
    </row>
    <row r="191" customFormat="false" ht="15" hidden="false" customHeight="false" outlineLevel="0" collapsed="false">
      <c r="A191" s="6" t="s">
        <v>434</v>
      </c>
      <c r="C191" s="69" t="n">
        <f aca="false">IF(C$132=1,Inputs!$C$25*Inputs!$C$49,0)</f>
        <v>75000</v>
      </c>
      <c r="D191" s="69" t="n">
        <f aca="false">IF(D$132=1,Inputs!$C$25*Inputs!$C$49,0)</f>
        <v>0</v>
      </c>
      <c r="E191" s="69" t="n">
        <f aca="false">IF(E$132=1,Inputs!$C$25*Inputs!$C$49,0)</f>
        <v>0</v>
      </c>
      <c r="F191" s="69" t="n">
        <f aca="false">IF(F$132=1,Inputs!$C$25*Inputs!$C$49,0)</f>
        <v>0</v>
      </c>
      <c r="G191" s="69" t="n">
        <f aca="false">IF(G$132=1,Inputs!$C$25*Inputs!$C$49,0)</f>
        <v>0</v>
      </c>
      <c r="H191" s="69" t="n">
        <f aca="false">IF(H$132=1,Inputs!$C$25*Inputs!$C$49,0)</f>
        <v>0</v>
      </c>
      <c r="I191" s="69" t="n">
        <f aca="false">IF(I$132=1,Inputs!$C$25*Inputs!$C$49,0)</f>
        <v>0</v>
      </c>
      <c r="J191" s="69" t="n">
        <f aca="false">IF(J$132=1,Inputs!$C$25*Inputs!$C$49,0)</f>
        <v>0</v>
      </c>
      <c r="K191" s="69" t="n">
        <f aca="false">IF(K$132=1,Inputs!$C$25*Inputs!$C$49,0)</f>
        <v>0</v>
      </c>
      <c r="L191" s="69" t="n">
        <f aca="false">IF(L$132=1,Inputs!$C$25*Inputs!$C$49,0)</f>
        <v>0</v>
      </c>
      <c r="M191" s="69" t="n">
        <f aca="false">IF(M$132=1,Inputs!$C$25*Inputs!$C$49,0)</f>
        <v>0</v>
      </c>
      <c r="N191" s="69" t="n">
        <f aca="false">IF(N$132=1,Inputs!$C$25*Inputs!$C$49,0)</f>
        <v>0</v>
      </c>
      <c r="O191" s="69" t="n">
        <f aca="false">IF(O$132=1,Inputs!$C$25*Inputs!$C$49,0)</f>
        <v>0</v>
      </c>
      <c r="P191" s="69" t="n">
        <f aca="false">IF(P$132=1,Inputs!$C$25*Inputs!$C$49,0)</f>
        <v>0</v>
      </c>
      <c r="Q191" s="69" t="n">
        <f aca="false">IF(Q$132=1,Inputs!$C$25*Inputs!$C$49,0)</f>
        <v>0</v>
      </c>
      <c r="R191" s="69" t="n">
        <f aca="false">IF(R$132=1,Inputs!$C$25*Inputs!$C$49,0)</f>
        <v>0</v>
      </c>
      <c r="S191" s="69" t="n">
        <f aca="false">IF(S$132=1,Inputs!$C$25*Inputs!$C$49,0)</f>
        <v>0</v>
      </c>
      <c r="T191" s="69" t="n">
        <f aca="false">IF(T$132=1,Inputs!$C$25*Inputs!$C$49,0)</f>
        <v>0</v>
      </c>
      <c r="U191" s="69" t="n">
        <f aca="false">IF(U$132=1,Inputs!$C$25*Inputs!$C$49,0)</f>
        <v>0</v>
      </c>
      <c r="V191" s="69" t="n">
        <f aca="false">IF(V$132=1,Inputs!$C$25*Inputs!$C$49,0)</f>
        <v>0</v>
      </c>
      <c r="W191" s="69" t="n">
        <f aca="false">IF(W$132=1,Inputs!$C$25*Inputs!$C$49,0)</f>
        <v>0</v>
      </c>
      <c r="X191" s="69" t="n">
        <f aca="false">IF(X$132=1,Inputs!$C$25*Inputs!$C$49,0)</f>
        <v>0</v>
      </c>
      <c r="Y191" s="69" t="n">
        <f aca="false">IF(Y$132=1,Inputs!$C$25*Inputs!$C$49,0)</f>
        <v>0</v>
      </c>
      <c r="Z191" s="69" t="n">
        <f aca="false">IF(Z$132=1,Inputs!$C$25*Inputs!$C$49,0)</f>
        <v>0</v>
      </c>
      <c r="AA191" s="69" t="n">
        <f aca="false">IF(AA$132=1,Inputs!$C$25*Inputs!$C$49,0)</f>
        <v>0</v>
      </c>
      <c r="AB191" s="69" t="n">
        <f aca="false">IF(AB$132=1,Inputs!$C$25*Inputs!$C$49,0)</f>
        <v>0</v>
      </c>
      <c r="AC191" s="69" t="n">
        <f aca="false">IF(AC$132=1,Inputs!$C$25*Inputs!$C$49,0)</f>
        <v>0</v>
      </c>
      <c r="AD191" s="69" t="n">
        <f aca="false">IF(AD$132=1,Inputs!$C$25*Inputs!$C$49,0)</f>
        <v>0</v>
      </c>
      <c r="AE191" s="69" t="n">
        <f aca="false">IF(AE$132=1,Inputs!$C$25*Inputs!$C$49,0)</f>
        <v>0</v>
      </c>
      <c r="AF191" s="69" t="n">
        <f aca="false">IF(AF$132=1,Inputs!$C$25*Inputs!$C$49,0)</f>
        <v>0</v>
      </c>
      <c r="AG191" s="69" t="n">
        <f aca="false">IF(AG$132=1,Inputs!$C$25*Inputs!$C$49,0)</f>
        <v>0</v>
      </c>
      <c r="AH191" s="69" t="n">
        <f aca="false">IF(AH$132=1,Inputs!$C$25*Inputs!$C$49,0)</f>
        <v>0</v>
      </c>
      <c r="AI191" s="69" t="n">
        <f aca="false">IF(AI$132=1,Inputs!$C$25*Inputs!$C$49,0)</f>
        <v>0</v>
      </c>
      <c r="AJ191" s="69" t="n">
        <f aca="false">IF(AJ$132=1,Inputs!$C$25*Inputs!$C$49,0)</f>
        <v>0</v>
      </c>
      <c r="AK191" s="69" t="n">
        <f aca="false">IF(AK$132=1,Inputs!$C$25*Inputs!$C$49,0)</f>
        <v>0</v>
      </c>
      <c r="AL191" s="69" t="n">
        <f aca="false">IF(AL$132=1,Inputs!$C$25*Inputs!$C$49,0)</f>
        <v>0</v>
      </c>
      <c r="AM191" s="69" t="n">
        <f aca="false">IF(AM$132=1,Inputs!$C$25*Inputs!$C$49,0)</f>
        <v>0</v>
      </c>
      <c r="AN191" s="69" t="n">
        <f aca="false">IF(AN$132=1,Inputs!$C$25*Inputs!$C$49,0)</f>
        <v>0</v>
      </c>
      <c r="AO191" s="69" t="n">
        <f aca="false">IF(AO$132=1,Inputs!$C$25*Inputs!$C$49,0)</f>
        <v>0</v>
      </c>
      <c r="AP191" s="69" t="n">
        <f aca="false">IF(AP$132=1,Inputs!$C$25*Inputs!$C$49,0)</f>
        <v>0</v>
      </c>
      <c r="AQ191" s="69" t="n">
        <f aca="false">IF(AQ$132=1,Inputs!$C$25*Inputs!$C$49,0)</f>
        <v>0</v>
      </c>
      <c r="AR191" s="69" t="n">
        <f aca="false">IF(AR$132=1,Inputs!$C$25*Inputs!$C$49,0)</f>
        <v>0</v>
      </c>
      <c r="AS191" s="69" t="n">
        <f aca="false">IF(AS$132=1,Inputs!$C$25*Inputs!$C$49,0)</f>
        <v>0</v>
      </c>
      <c r="AT191" s="69" t="n">
        <f aca="false">IF(AT$132=1,Inputs!$C$25*Inputs!$C$49,0)</f>
        <v>0</v>
      </c>
      <c r="AU191" s="69" t="n">
        <f aca="false">IF(AU$132=1,Inputs!$C$25*Inputs!$C$49,0)</f>
        <v>0</v>
      </c>
      <c r="AV191" s="69" t="n">
        <f aca="false">IF(AV$132=1,Inputs!$C$25*Inputs!$C$49,0)</f>
        <v>0</v>
      </c>
      <c r="AW191" s="69" t="n">
        <f aca="false">IF(AW$132=1,Inputs!$C$25*Inputs!$C$49,0)</f>
        <v>0</v>
      </c>
      <c r="AX191" s="69" t="n">
        <f aca="false">IF(AX$132=1,Inputs!$C$25*Inputs!$C$49,0)</f>
        <v>0</v>
      </c>
      <c r="AY191" s="69" t="n">
        <f aca="false">IF(AY$132=1,Inputs!$C$25*Inputs!$C$49,0)</f>
        <v>0</v>
      </c>
      <c r="AZ191" s="69" t="n">
        <f aca="false">IF(AZ$132=1,Inputs!$C$25*Inputs!$C$49,0)</f>
        <v>0</v>
      </c>
      <c r="BA191" s="69" t="n">
        <f aca="false">IF(BA$132=1,Inputs!$C$25*Inputs!$C$49,0)</f>
        <v>0</v>
      </c>
      <c r="BB191" s="69" t="n">
        <f aca="false">IF(BB$132=1,Inputs!$C$25*Inputs!$C$49,0)</f>
        <v>0</v>
      </c>
      <c r="BC191" s="69" t="n">
        <f aca="false">IF(BC$132=1,Inputs!$C$25*Inputs!$C$49,0)</f>
        <v>0</v>
      </c>
      <c r="BD191" s="69" t="n">
        <f aca="false">IF(BD$132=1,Inputs!$C$25*Inputs!$C$49,0)</f>
        <v>0</v>
      </c>
      <c r="BE191" s="69" t="n">
        <f aca="false">IF(BE$132=1,Inputs!$C$25*Inputs!$C$49,0)</f>
        <v>0</v>
      </c>
      <c r="BF191" s="69" t="n">
        <f aca="false">IF(BF$132=1,Inputs!$C$25*Inputs!$C$49,0)</f>
        <v>0</v>
      </c>
      <c r="BG191" s="69" t="n">
        <f aca="false">IF(BG$132=1,Inputs!$C$25*Inputs!$C$49,0)</f>
        <v>0</v>
      </c>
      <c r="BH191" s="69" t="n">
        <f aca="false">IF(BH$132=1,Inputs!$C$25*Inputs!$C$49,0)</f>
        <v>0</v>
      </c>
      <c r="BI191" s="69" t="n">
        <f aca="false">IF(BI$132=1,Inputs!$C$25*Inputs!$C$49,0)</f>
        <v>0</v>
      </c>
      <c r="BJ191" s="69" t="n">
        <f aca="false">IF(BJ$132=1,Inputs!$C$25*Inputs!$C$49,0)</f>
        <v>0</v>
      </c>
    </row>
    <row r="192" customFormat="false" ht="15" hidden="false" customHeight="false" outlineLevel="0" collapsed="false">
      <c r="A192" s="6" t="s">
        <v>435</v>
      </c>
      <c r="C192" s="69" t="n">
        <f aca="false">IF(C$132=1,Inputs!$C$50,0)</f>
        <v>90000</v>
      </c>
      <c r="D192" s="69" t="n">
        <f aca="false">IF(D$132=1,Inputs!$C$50,0)</f>
        <v>0</v>
      </c>
      <c r="E192" s="69" t="n">
        <f aca="false">IF(E$132=1,Inputs!$C$50,0)</f>
        <v>0</v>
      </c>
      <c r="F192" s="69" t="n">
        <f aca="false">IF(F$132=1,Inputs!$C$50,0)</f>
        <v>0</v>
      </c>
      <c r="G192" s="69" t="n">
        <f aca="false">IF(G$132=1,Inputs!$C$50,0)</f>
        <v>0</v>
      </c>
      <c r="H192" s="69" t="n">
        <f aca="false">IF(H$132=1,Inputs!$C$50,0)</f>
        <v>0</v>
      </c>
      <c r="I192" s="69" t="n">
        <f aca="false">IF(I$132=1,Inputs!$C$50,0)</f>
        <v>0</v>
      </c>
      <c r="J192" s="69" t="n">
        <f aca="false">IF(J$132=1,Inputs!$C$50,0)</f>
        <v>0</v>
      </c>
      <c r="K192" s="69" t="n">
        <f aca="false">IF(K$132=1,Inputs!$C$50,0)</f>
        <v>0</v>
      </c>
      <c r="L192" s="69" t="n">
        <f aca="false">IF(L$132=1,Inputs!$C$50,0)</f>
        <v>0</v>
      </c>
      <c r="M192" s="69" t="n">
        <f aca="false">IF(M$132=1,Inputs!$C$50,0)</f>
        <v>0</v>
      </c>
      <c r="N192" s="69" t="n">
        <f aca="false">IF(N$132=1,Inputs!$C$50,0)</f>
        <v>0</v>
      </c>
      <c r="O192" s="69" t="n">
        <f aca="false">IF(O$132=1,Inputs!$C$50,0)</f>
        <v>0</v>
      </c>
      <c r="P192" s="69" t="n">
        <f aca="false">IF(P$132=1,Inputs!$C$50,0)</f>
        <v>0</v>
      </c>
      <c r="Q192" s="69" t="n">
        <f aca="false">IF(Q$132=1,Inputs!$C$50,0)</f>
        <v>0</v>
      </c>
      <c r="R192" s="69" t="n">
        <f aca="false">IF(R$132=1,Inputs!$C$50,0)</f>
        <v>0</v>
      </c>
      <c r="S192" s="69" t="n">
        <f aca="false">IF(S$132=1,Inputs!$C$50,0)</f>
        <v>0</v>
      </c>
      <c r="T192" s="69" t="n">
        <f aca="false">IF(T$132=1,Inputs!$C$50,0)</f>
        <v>0</v>
      </c>
      <c r="U192" s="69" t="n">
        <f aca="false">IF(U$132=1,Inputs!$C$50,0)</f>
        <v>0</v>
      </c>
      <c r="V192" s="69" t="n">
        <f aca="false">IF(V$132=1,Inputs!$C$50,0)</f>
        <v>0</v>
      </c>
      <c r="W192" s="69" t="n">
        <f aca="false">IF(W$132=1,Inputs!$C$50,0)</f>
        <v>0</v>
      </c>
      <c r="X192" s="69" t="n">
        <f aca="false">IF(X$132=1,Inputs!$C$50,0)</f>
        <v>0</v>
      </c>
      <c r="Y192" s="69" t="n">
        <f aca="false">IF(Y$132=1,Inputs!$C$50,0)</f>
        <v>0</v>
      </c>
      <c r="Z192" s="69" t="n">
        <f aca="false">IF(Z$132=1,Inputs!$C$50,0)</f>
        <v>0</v>
      </c>
      <c r="AA192" s="69" t="n">
        <f aca="false">IF(AA$132=1,Inputs!$C$50,0)</f>
        <v>0</v>
      </c>
      <c r="AB192" s="69" t="n">
        <f aca="false">IF(AB$132=1,Inputs!$C$50,0)</f>
        <v>0</v>
      </c>
      <c r="AC192" s="69" t="n">
        <f aca="false">IF(AC$132=1,Inputs!$C$50,0)</f>
        <v>0</v>
      </c>
      <c r="AD192" s="69" t="n">
        <f aca="false">IF(AD$132=1,Inputs!$C$50,0)</f>
        <v>0</v>
      </c>
      <c r="AE192" s="69" t="n">
        <f aca="false">IF(AE$132=1,Inputs!$C$50,0)</f>
        <v>0</v>
      </c>
      <c r="AF192" s="69" t="n">
        <f aca="false">IF(AF$132=1,Inputs!$C$50,0)</f>
        <v>0</v>
      </c>
      <c r="AG192" s="69" t="n">
        <f aca="false">IF(AG$132=1,Inputs!$C$50,0)</f>
        <v>0</v>
      </c>
      <c r="AH192" s="69" t="n">
        <f aca="false">IF(AH$132=1,Inputs!$C$50,0)</f>
        <v>0</v>
      </c>
      <c r="AI192" s="69" t="n">
        <f aca="false">IF(AI$132=1,Inputs!$C$50,0)</f>
        <v>0</v>
      </c>
      <c r="AJ192" s="69" t="n">
        <f aca="false">IF(AJ$132=1,Inputs!$C$50,0)</f>
        <v>0</v>
      </c>
      <c r="AK192" s="69" t="n">
        <f aca="false">IF(AK$132=1,Inputs!$C$50,0)</f>
        <v>0</v>
      </c>
      <c r="AL192" s="69" t="n">
        <f aca="false">IF(AL$132=1,Inputs!$C$50,0)</f>
        <v>0</v>
      </c>
      <c r="AM192" s="69" t="n">
        <f aca="false">IF(AM$132=1,Inputs!$C$50,0)</f>
        <v>0</v>
      </c>
      <c r="AN192" s="69" t="n">
        <f aca="false">IF(AN$132=1,Inputs!$C$50,0)</f>
        <v>0</v>
      </c>
      <c r="AO192" s="69" t="n">
        <f aca="false">IF(AO$132=1,Inputs!$C$50,0)</f>
        <v>0</v>
      </c>
      <c r="AP192" s="69" t="n">
        <f aca="false">IF(AP$132=1,Inputs!$C$50,0)</f>
        <v>0</v>
      </c>
      <c r="AQ192" s="69" t="n">
        <f aca="false">IF(AQ$132=1,Inputs!$C$50,0)</f>
        <v>0</v>
      </c>
      <c r="AR192" s="69" t="n">
        <f aca="false">IF(AR$132=1,Inputs!$C$50,0)</f>
        <v>0</v>
      </c>
      <c r="AS192" s="69" t="n">
        <f aca="false">IF(AS$132=1,Inputs!$C$50,0)</f>
        <v>0</v>
      </c>
      <c r="AT192" s="69" t="n">
        <f aca="false">IF(AT$132=1,Inputs!$C$50,0)</f>
        <v>0</v>
      </c>
      <c r="AU192" s="69" t="n">
        <f aca="false">IF(AU$132=1,Inputs!$C$50,0)</f>
        <v>0</v>
      </c>
      <c r="AV192" s="69" t="n">
        <f aca="false">IF(AV$132=1,Inputs!$C$50,0)</f>
        <v>0</v>
      </c>
      <c r="AW192" s="69" t="n">
        <f aca="false">IF(AW$132=1,Inputs!$C$50,0)</f>
        <v>0</v>
      </c>
      <c r="AX192" s="69" t="n">
        <f aca="false">IF(AX$132=1,Inputs!$C$50,0)</f>
        <v>0</v>
      </c>
      <c r="AY192" s="69" t="n">
        <f aca="false">IF(AY$132=1,Inputs!$C$50,0)</f>
        <v>0</v>
      </c>
      <c r="AZ192" s="69" t="n">
        <f aca="false">IF(AZ$132=1,Inputs!$C$50,0)</f>
        <v>0</v>
      </c>
      <c r="BA192" s="69" t="n">
        <f aca="false">IF(BA$132=1,Inputs!$C$50,0)</f>
        <v>0</v>
      </c>
      <c r="BB192" s="69" t="n">
        <f aca="false">IF(BB$132=1,Inputs!$C$50,0)</f>
        <v>0</v>
      </c>
      <c r="BC192" s="69" t="n">
        <f aca="false">IF(BC$132=1,Inputs!$C$50,0)</f>
        <v>0</v>
      </c>
      <c r="BD192" s="69" t="n">
        <f aca="false">IF(BD$132=1,Inputs!$C$50,0)</f>
        <v>0</v>
      </c>
      <c r="BE192" s="69" t="n">
        <f aca="false">IF(BE$132=1,Inputs!$C$50,0)</f>
        <v>0</v>
      </c>
      <c r="BF192" s="69" t="n">
        <f aca="false">IF(BF$132=1,Inputs!$C$50,0)</f>
        <v>0</v>
      </c>
      <c r="BG192" s="69" t="n">
        <f aca="false">IF(BG$132=1,Inputs!$C$50,0)</f>
        <v>0</v>
      </c>
      <c r="BH192" s="69" t="n">
        <f aca="false">IF(BH$132=1,Inputs!$C$50,0)</f>
        <v>0</v>
      </c>
      <c r="BI192" s="69" t="n">
        <f aca="false">IF(BI$132=1,Inputs!$C$50,0)</f>
        <v>0</v>
      </c>
      <c r="BJ192" s="69" t="n">
        <f aca="false">IF(BJ$132=1,Inputs!$C$50,0)</f>
        <v>0</v>
      </c>
    </row>
    <row r="193" customFormat="false" ht="15" hidden="false" customHeight="false" outlineLevel="0" collapsed="false">
      <c r="A193" s="6" t="s">
        <v>436</v>
      </c>
      <c r="C193" s="69" t="n">
        <f aca="false">IF(C$132=1,Inputs!$C$51,0)</f>
        <v>0</v>
      </c>
      <c r="D193" s="69" t="n">
        <f aca="false">IF(D$132=1,Inputs!$C$51,0)</f>
        <v>0</v>
      </c>
      <c r="E193" s="69" t="n">
        <f aca="false">IF(E$132=1,Inputs!$C$51,0)</f>
        <v>0</v>
      </c>
      <c r="F193" s="69" t="n">
        <f aca="false">IF(F$132=1,Inputs!$C$51,0)</f>
        <v>0</v>
      </c>
      <c r="G193" s="69" t="n">
        <f aca="false">IF(G$132=1,Inputs!$C$51,0)</f>
        <v>0</v>
      </c>
      <c r="H193" s="69" t="n">
        <f aca="false">IF(H$132=1,Inputs!$C$51,0)</f>
        <v>0</v>
      </c>
      <c r="I193" s="69" t="n">
        <f aca="false">IF(I$132=1,Inputs!$C$51,0)</f>
        <v>0</v>
      </c>
      <c r="J193" s="69" t="n">
        <f aca="false">IF(J$132=1,Inputs!$C$51,0)</f>
        <v>0</v>
      </c>
      <c r="K193" s="69" t="n">
        <f aca="false">IF(K$132=1,Inputs!$C$51,0)</f>
        <v>0</v>
      </c>
      <c r="L193" s="69" t="n">
        <f aca="false">IF(L$132=1,Inputs!$C$51,0)</f>
        <v>0</v>
      </c>
      <c r="M193" s="69" t="n">
        <f aca="false">IF(M$132=1,Inputs!$C$51,0)</f>
        <v>0</v>
      </c>
      <c r="N193" s="69" t="n">
        <f aca="false">IF(N$132=1,Inputs!$C$51,0)</f>
        <v>0</v>
      </c>
      <c r="O193" s="69" t="n">
        <f aca="false">IF(O$132=1,Inputs!$C$51,0)</f>
        <v>0</v>
      </c>
      <c r="P193" s="69" t="n">
        <f aca="false">IF(P$132=1,Inputs!$C$51,0)</f>
        <v>0</v>
      </c>
      <c r="Q193" s="69" t="n">
        <f aca="false">IF(Q$132=1,Inputs!$C$51,0)</f>
        <v>0</v>
      </c>
      <c r="R193" s="69" t="n">
        <f aca="false">IF(R$132=1,Inputs!$C$51,0)</f>
        <v>0</v>
      </c>
      <c r="S193" s="69" t="n">
        <f aca="false">IF(S$132=1,Inputs!$C$51,0)</f>
        <v>0</v>
      </c>
      <c r="T193" s="69" t="n">
        <f aca="false">IF(T$132=1,Inputs!$C$51,0)</f>
        <v>0</v>
      </c>
      <c r="U193" s="69" t="n">
        <f aca="false">IF(U$132=1,Inputs!$C$51,0)</f>
        <v>0</v>
      </c>
      <c r="V193" s="69" t="n">
        <f aca="false">IF(V$132=1,Inputs!$C$51,0)</f>
        <v>0</v>
      </c>
      <c r="W193" s="69" t="n">
        <f aca="false">IF(W$132=1,Inputs!$C$51,0)</f>
        <v>0</v>
      </c>
      <c r="X193" s="69" t="n">
        <f aca="false">IF(X$132=1,Inputs!$C$51,0)</f>
        <v>0</v>
      </c>
      <c r="Y193" s="69" t="n">
        <f aca="false">IF(Y$132=1,Inputs!$C$51,0)</f>
        <v>0</v>
      </c>
      <c r="Z193" s="69" t="n">
        <f aca="false">IF(Z$132=1,Inputs!$C$51,0)</f>
        <v>0</v>
      </c>
      <c r="AA193" s="69" t="n">
        <f aca="false">IF(AA$132=1,Inputs!$C$51,0)</f>
        <v>0</v>
      </c>
      <c r="AB193" s="69" t="n">
        <f aca="false">IF(AB$132=1,Inputs!$C$51,0)</f>
        <v>0</v>
      </c>
      <c r="AC193" s="69" t="n">
        <f aca="false">IF(AC$132=1,Inputs!$C$51,0)</f>
        <v>0</v>
      </c>
      <c r="AD193" s="69" t="n">
        <f aca="false">IF(AD$132=1,Inputs!$C$51,0)</f>
        <v>0</v>
      </c>
      <c r="AE193" s="69" t="n">
        <f aca="false">IF(AE$132=1,Inputs!$C$51,0)</f>
        <v>0</v>
      </c>
      <c r="AF193" s="69" t="n">
        <f aca="false">IF(AF$132=1,Inputs!$C$51,0)</f>
        <v>0</v>
      </c>
      <c r="AG193" s="69" t="n">
        <f aca="false">IF(AG$132=1,Inputs!$C$51,0)</f>
        <v>0</v>
      </c>
      <c r="AH193" s="69" t="n">
        <f aca="false">IF(AH$132=1,Inputs!$C$51,0)</f>
        <v>0</v>
      </c>
      <c r="AI193" s="69" t="n">
        <f aca="false">IF(AI$132=1,Inputs!$C$51,0)</f>
        <v>0</v>
      </c>
      <c r="AJ193" s="69" t="n">
        <f aca="false">IF(AJ$132=1,Inputs!$C$51,0)</f>
        <v>0</v>
      </c>
      <c r="AK193" s="69" t="n">
        <f aca="false">IF(AK$132=1,Inputs!$C$51,0)</f>
        <v>0</v>
      </c>
      <c r="AL193" s="69" t="n">
        <f aca="false">IF(AL$132=1,Inputs!$C$51,0)</f>
        <v>0</v>
      </c>
      <c r="AM193" s="69" t="n">
        <f aca="false">IF(AM$132=1,Inputs!$C$51,0)</f>
        <v>0</v>
      </c>
      <c r="AN193" s="69" t="n">
        <f aca="false">IF(AN$132=1,Inputs!$C$51,0)</f>
        <v>0</v>
      </c>
      <c r="AO193" s="69" t="n">
        <f aca="false">IF(AO$132=1,Inputs!$C$51,0)</f>
        <v>0</v>
      </c>
      <c r="AP193" s="69" t="n">
        <f aca="false">IF(AP$132=1,Inputs!$C$51,0)</f>
        <v>0</v>
      </c>
      <c r="AQ193" s="69" t="n">
        <f aca="false">IF(AQ$132=1,Inputs!$C$51,0)</f>
        <v>0</v>
      </c>
      <c r="AR193" s="69" t="n">
        <f aca="false">IF(AR$132=1,Inputs!$C$51,0)</f>
        <v>0</v>
      </c>
      <c r="AS193" s="69" t="n">
        <f aca="false">IF(AS$132=1,Inputs!$C$51,0)</f>
        <v>0</v>
      </c>
      <c r="AT193" s="69" t="n">
        <f aca="false">IF(AT$132=1,Inputs!$C$51,0)</f>
        <v>0</v>
      </c>
      <c r="AU193" s="69" t="n">
        <f aca="false">IF(AU$132=1,Inputs!$C$51,0)</f>
        <v>0</v>
      </c>
      <c r="AV193" s="69" t="n">
        <f aca="false">IF(AV$132=1,Inputs!$C$51,0)</f>
        <v>0</v>
      </c>
      <c r="AW193" s="69" t="n">
        <f aca="false">IF(AW$132=1,Inputs!$C$51,0)</f>
        <v>0</v>
      </c>
      <c r="AX193" s="69" t="n">
        <f aca="false">IF(AX$132=1,Inputs!$C$51,0)</f>
        <v>0</v>
      </c>
      <c r="AY193" s="69" t="n">
        <f aca="false">IF(AY$132=1,Inputs!$C$51,0)</f>
        <v>0</v>
      </c>
      <c r="AZ193" s="69" t="n">
        <f aca="false">IF(AZ$132=1,Inputs!$C$51,0)</f>
        <v>0</v>
      </c>
      <c r="BA193" s="69" t="n">
        <f aca="false">IF(BA$132=1,Inputs!$C$51,0)</f>
        <v>0</v>
      </c>
      <c r="BB193" s="69" t="n">
        <f aca="false">IF(BB$132=1,Inputs!$C$51,0)</f>
        <v>0</v>
      </c>
      <c r="BC193" s="69" t="n">
        <f aca="false">IF(BC$132=1,Inputs!$C$51,0)</f>
        <v>0</v>
      </c>
      <c r="BD193" s="69" t="n">
        <f aca="false">IF(BD$132=1,Inputs!$C$51,0)</f>
        <v>0</v>
      </c>
      <c r="BE193" s="69" t="n">
        <f aca="false">IF(BE$132=1,Inputs!$C$51,0)</f>
        <v>0</v>
      </c>
      <c r="BF193" s="69" t="n">
        <f aca="false">IF(BF$132=1,Inputs!$C$51,0)</f>
        <v>0</v>
      </c>
      <c r="BG193" s="69" t="n">
        <f aca="false">IF(BG$132=1,Inputs!$C$51,0)</f>
        <v>0</v>
      </c>
      <c r="BH193" s="69" t="n">
        <f aca="false">IF(BH$132=1,Inputs!$C$51,0)</f>
        <v>0</v>
      </c>
      <c r="BI193" s="69" t="n">
        <f aca="false">IF(BI$132=1,Inputs!$C$51,0)</f>
        <v>0</v>
      </c>
      <c r="BJ193" s="69" t="n">
        <f aca="false">IF(BJ$132=1,Inputs!$C$51,0)</f>
        <v>0</v>
      </c>
    </row>
    <row r="194" customFormat="false" ht="15" hidden="false" customHeight="false" outlineLevel="0" collapsed="false">
      <c r="A194" s="6" t="s">
        <v>437</v>
      </c>
      <c r="C194" s="69" t="n">
        <f aca="false">IF(AND(C$133&gt;1,MOD(C$132-1,12)=0),Inputs!$C$52,0)</f>
        <v>0</v>
      </c>
      <c r="D194" s="69" t="n">
        <f aca="false">IF(AND(D$133&gt;1,MOD(D$132-1,12)=0),Inputs!$C$52,0)</f>
        <v>0</v>
      </c>
      <c r="E194" s="69" t="n">
        <f aca="false">IF(AND(E$133&gt;1,MOD(E$132-1,12)=0),Inputs!$C$52,0)</f>
        <v>0</v>
      </c>
      <c r="F194" s="69" t="n">
        <f aca="false">IF(AND(F$133&gt;1,MOD(F$132-1,12)=0),Inputs!$C$52,0)</f>
        <v>0</v>
      </c>
      <c r="G194" s="69" t="n">
        <f aca="false">IF(AND(G$133&gt;1,MOD(G$132-1,12)=0),Inputs!$C$52,0)</f>
        <v>0</v>
      </c>
      <c r="H194" s="69" t="n">
        <f aca="false">IF(AND(H$133&gt;1,MOD(H$132-1,12)=0),Inputs!$C$52,0)</f>
        <v>0</v>
      </c>
      <c r="I194" s="69" t="n">
        <f aca="false">IF(AND(I$133&gt;1,MOD(I$132-1,12)=0),Inputs!$C$52,0)</f>
        <v>0</v>
      </c>
      <c r="J194" s="69" t="n">
        <f aca="false">IF(AND(J$133&gt;1,MOD(J$132-1,12)=0),Inputs!$C$52,0)</f>
        <v>0</v>
      </c>
      <c r="K194" s="69" t="n">
        <f aca="false">IF(AND(K$133&gt;1,MOD(K$132-1,12)=0),Inputs!$C$52,0)</f>
        <v>0</v>
      </c>
      <c r="L194" s="69" t="n">
        <f aca="false">IF(AND(L$133&gt;1,MOD(L$132-1,12)=0),Inputs!$C$52,0)</f>
        <v>0</v>
      </c>
      <c r="M194" s="69" t="n">
        <f aca="false">IF(AND(M$133&gt;1,MOD(M$132-1,12)=0),Inputs!$C$52,0)</f>
        <v>0</v>
      </c>
      <c r="N194" s="69" t="n">
        <f aca="false">IF(AND(N$133&gt;1,MOD(N$132-1,12)=0),Inputs!$C$52,0)</f>
        <v>0</v>
      </c>
      <c r="O194" s="69" t="n">
        <f aca="false">IF(AND(O$133&gt;1,MOD(O$132-1,12)=0),Inputs!$C$52,0)</f>
        <v>10000</v>
      </c>
      <c r="P194" s="69" t="n">
        <f aca="false">IF(AND(P$133&gt;1,MOD(P$132-1,12)=0),Inputs!$C$52,0)</f>
        <v>0</v>
      </c>
      <c r="Q194" s="69" t="n">
        <f aca="false">IF(AND(Q$133&gt;1,MOD(Q$132-1,12)=0),Inputs!$C$52,0)</f>
        <v>0</v>
      </c>
      <c r="R194" s="69" t="n">
        <f aca="false">IF(AND(R$133&gt;1,MOD(R$132-1,12)=0),Inputs!$C$52,0)</f>
        <v>0</v>
      </c>
      <c r="S194" s="69" t="n">
        <f aca="false">IF(AND(S$133&gt;1,MOD(S$132-1,12)=0),Inputs!$C$52,0)</f>
        <v>0</v>
      </c>
      <c r="T194" s="69" t="n">
        <f aca="false">IF(AND(T$133&gt;1,MOD(T$132-1,12)=0),Inputs!$C$52,0)</f>
        <v>0</v>
      </c>
      <c r="U194" s="69" t="n">
        <f aca="false">IF(AND(U$133&gt;1,MOD(U$132-1,12)=0),Inputs!$C$52,0)</f>
        <v>0</v>
      </c>
      <c r="V194" s="69" t="n">
        <f aca="false">IF(AND(V$133&gt;1,MOD(V$132-1,12)=0),Inputs!$C$52,0)</f>
        <v>0</v>
      </c>
      <c r="W194" s="69" t="n">
        <f aca="false">IF(AND(W$133&gt;1,MOD(W$132-1,12)=0),Inputs!$C$52,0)</f>
        <v>0</v>
      </c>
      <c r="X194" s="69" t="n">
        <f aca="false">IF(AND(X$133&gt;1,MOD(X$132-1,12)=0),Inputs!$C$52,0)</f>
        <v>0</v>
      </c>
      <c r="Y194" s="69" t="n">
        <f aca="false">IF(AND(Y$133&gt;1,MOD(Y$132-1,12)=0),Inputs!$C$52,0)</f>
        <v>0</v>
      </c>
      <c r="Z194" s="69" t="n">
        <f aca="false">IF(AND(Z$133&gt;1,MOD(Z$132-1,12)=0),Inputs!$C$52,0)</f>
        <v>0</v>
      </c>
      <c r="AA194" s="69" t="n">
        <f aca="false">IF(AND(AA$133&gt;1,MOD(AA$132-1,12)=0),Inputs!$C$52,0)</f>
        <v>10000</v>
      </c>
      <c r="AB194" s="69" t="n">
        <f aca="false">IF(AND(AB$133&gt;1,MOD(AB$132-1,12)=0),Inputs!$C$52,0)</f>
        <v>0</v>
      </c>
      <c r="AC194" s="69" t="n">
        <f aca="false">IF(AND(AC$133&gt;1,MOD(AC$132-1,12)=0),Inputs!$C$52,0)</f>
        <v>0</v>
      </c>
      <c r="AD194" s="69" t="n">
        <f aca="false">IF(AND(AD$133&gt;1,MOD(AD$132-1,12)=0),Inputs!$C$52,0)</f>
        <v>0</v>
      </c>
      <c r="AE194" s="69" t="n">
        <f aca="false">IF(AND(AE$133&gt;1,MOD(AE$132-1,12)=0),Inputs!$C$52,0)</f>
        <v>0</v>
      </c>
      <c r="AF194" s="69" t="n">
        <f aca="false">IF(AND(AF$133&gt;1,MOD(AF$132-1,12)=0),Inputs!$C$52,0)</f>
        <v>0</v>
      </c>
      <c r="AG194" s="69" t="n">
        <f aca="false">IF(AND(AG$133&gt;1,MOD(AG$132-1,12)=0),Inputs!$C$52,0)</f>
        <v>0</v>
      </c>
      <c r="AH194" s="69" t="n">
        <f aca="false">IF(AND(AH$133&gt;1,MOD(AH$132-1,12)=0),Inputs!$C$52,0)</f>
        <v>0</v>
      </c>
      <c r="AI194" s="69" t="n">
        <f aca="false">IF(AND(AI$133&gt;1,MOD(AI$132-1,12)=0),Inputs!$C$52,0)</f>
        <v>0</v>
      </c>
      <c r="AJ194" s="69" t="n">
        <f aca="false">IF(AND(AJ$133&gt;1,MOD(AJ$132-1,12)=0),Inputs!$C$52,0)</f>
        <v>0</v>
      </c>
      <c r="AK194" s="69" t="n">
        <f aca="false">IF(AND(AK$133&gt;1,MOD(AK$132-1,12)=0),Inputs!$C$52,0)</f>
        <v>0</v>
      </c>
      <c r="AL194" s="69" t="n">
        <f aca="false">IF(AND(AL$133&gt;1,MOD(AL$132-1,12)=0),Inputs!$C$52,0)</f>
        <v>0</v>
      </c>
      <c r="AM194" s="69" t="n">
        <f aca="false">IF(AND(AM$133&gt;1,MOD(AM$132-1,12)=0),Inputs!$C$52,0)</f>
        <v>10000</v>
      </c>
      <c r="AN194" s="69" t="n">
        <f aca="false">IF(AND(AN$133&gt;1,MOD(AN$132-1,12)=0),Inputs!$C$52,0)</f>
        <v>0</v>
      </c>
      <c r="AO194" s="69" t="n">
        <f aca="false">IF(AND(AO$133&gt;1,MOD(AO$132-1,12)=0),Inputs!$C$52,0)</f>
        <v>0</v>
      </c>
      <c r="AP194" s="69" t="n">
        <f aca="false">IF(AND(AP$133&gt;1,MOD(AP$132-1,12)=0),Inputs!$C$52,0)</f>
        <v>0</v>
      </c>
      <c r="AQ194" s="69" t="n">
        <f aca="false">IF(AND(AQ$133&gt;1,MOD(AQ$132-1,12)=0),Inputs!$C$52,0)</f>
        <v>0</v>
      </c>
      <c r="AR194" s="69" t="n">
        <f aca="false">IF(AND(AR$133&gt;1,MOD(AR$132-1,12)=0),Inputs!$C$52,0)</f>
        <v>0</v>
      </c>
      <c r="AS194" s="69" t="n">
        <f aca="false">IF(AND(AS$133&gt;1,MOD(AS$132-1,12)=0),Inputs!$C$52,0)</f>
        <v>0</v>
      </c>
      <c r="AT194" s="69" t="n">
        <f aca="false">IF(AND(AT$133&gt;1,MOD(AT$132-1,12)=0),Inputs!$C$52,0)</f>
        <v>0</v>
      </c>
      <c r="AU194" s="69" t="n">
        <f aca="false">IF(AND(AU$133&gt;1,MOD(AU$132-1,12)=0),Inputs!$C$52,0)</f>
        <v>0</v>
      </c>
      <c r="AV194" s="69" t="n">
        <f aca="false">IF(AND(AV$133&gt;1,MOD(AV$132-1,12)=0),Inputs!$C$52,0)</f>
        <v>0</v>
      </c>
      <c r="AW194" s="69" t="n">
        <f aca="false">IF(AND(AW$133&gt;1,MOD(AW$132-1,12)=0),Inputs!$C$52,0)</f>
        <v>0</v>
      </c>
      <c r="AX194" s="69" t="n">
        <f aca="false">IF(AND(AX$133&gt;1,MOD(AX$132-1,12)=0),Inputs!$C$52,0)</f>
        <v>0</v>
      </c>
      <c r="AY194" s="69" t="n">
        <f aca="false">IF(AND(AY$133&gt;1,MOD(AY$132-1,12)=0),Inputs!$C$52,0)</f>
        <v>10000</v>
      </c>
      <c r="AZ194" s="69" t="n">
        <f aca="false">IF(AND(AZ$133&gt;1,MOD(AZ$132-1,12)=0),Inputs!$C$52,0)</f>
        <v>0</v>
      </c>
      <c r="BA194" s="69" t="n">
        <f aca="false">IF(AND(BA$133&gt;1,MOD(BA$132-1,12)=0),Inputs!$C$52,0)</f>
        <v>0</v>
      </c>
      <c r="BB194" s="69" t="n">
        <f aca="false">IF(AND(BB$133&gt;1,MOD(BB$132-1,12)=0),Inputs!$C$52,0)</f>
        <v>0</v>
      </c>
      <c r="BC194" s="69" t="n">
        <f aca="false">IF(AND(BC$133&gt;1,MOD(BC$132-1,12)=0),Inputs!$C$52,0)</f>
        <v>0</v>
      </c>
      <c r="BD194" s="69" t="n">
        <f aca="false">IF(AND(BD$133&gt;1,MOD(BD$132-1,12)=0),Inputs!$C$52,0)</f>
        <v>0</v>
      </c>
      <c r="BE194" s="69" t="n">
        <f aca="false">IF(AND(BE$133&gt;1,MOD(BE$132-1,12)=0),Inputs!$C$52,0)</f>
        <v>0</v>
      </c>
      <c r="BF194" s="69" t="n">
        <f aca="false">IF(AND(BF$133&gt;1,MOD(BF$132-1,12)=0),Inputs!$C$52,0)</f>
        <v>0</v>
      </c>
      <c r="BG194" s="69" t="n">
        <f aca="false">IF(AND(BG$133&gt;1,MOD(BG$132-1,12)=0),Inputs!$C$52,0)</f>
        <v>0</v>
      </c>
      <c r="BH194" s="69" t="n">
        <f aca="false">IF(AND(BH$133&gt;1,MOD(BH$132-1,12)=0),Inputs!$C$52,0)</f>
        <v>0</v>
      </c>
      <c r="BI194" s="69" t="n">
        <f aca="false">IF(AND(BI$133&gt;1,MOD(BI$132-1,12)=0),Inputs!$C$52,0)</f>
        <v>0</v>
      </c>
      <c r="BJ194" s="69" t="n">
        <f aca="false">IF(AND(BJ$133&gt;1,MOD(BJ$132-1,12)=0),Inputs!$C$52,0)</f>
        <v>0</v>
      </c>
    </row>
    <row r="195" customFormat="false" ht="15" hidden="false" customHeight="false" outlineLevel="0" collapsed="false">
      <c r="A195" s="4" t="s">
        <v>84</v>
      </c>
      <c r="C195" s="75" t="n">
        <f aca="false">C190+C191+C192+C193+C194</f>
        <v>189000</v>
      </c>
      <c r="D195" s="75" t="n">
        <f aca="false">D190+D191+D192+D193+D194</f>
        <v>0</v>
      </c>
      <c r="E195" s="75" t="n">
        <f aca="false">E190+E191+E192+E193+E194</f>
        <v>0</v>
      </c>
      <c r="F195" s="75" t="n">
        <f aca="false">F190+F191+F192+F193+F194</f>
        <v>0</v>
      </c>
      <c r="G195" s="75" t="n">
        <f aca="false">G190+G191+G192+G193+G194</f>
        <v>0</v>
      </c>
      <c r="H195" s="75" t="n">
        <f aca="false">H190+H191+H192+H193+H194</f>
        <v>0</v>
      </c>
      <c r="I195" s="75" t="n">
        <f aca="false">I190+I191+I192+I193+I194</f>
        <v>0</v>
      </c>
      <c r="J195" s="75" t="n">
        <f aca="false">J190+J191+J192+J193+J194</f>
        <v>0</v>
      </c>
      <c r="K195" s="75" t="n">
        <f aca="false">K190+K191+K192+K193+K194</f>
        <v>0</v>
      </c>
      <c r="L195" s="75" t="n">
        <f aca="false">L190+L191+L192+L193+L194</f>
        <v>0</v>
      </c>
      <c r="M195" s="75" t="n">
        <f aca="false">M190+M191+M192+M193+M194</f>
        <v>0</v>
      </c>
      <c r="N195" s="75" t="n">
        <f aca="false">N190+N191+N192+N193+N194</f>
        <v>0</v>
      </c>
      <c r="O195" s="75" t="n">
        <f aca="false">O190+O191+O192+O193+O194</f>
        <v>10000</v>
      </c>
      <c r="P195" s="75" t="n">
        <f aca="false">P190+P191+P192+P193+P194</f>
        <v>0</v>
      </c>
      <c r="Q195" s="75" t="n">
        <f aca="false">Q190+Q191+Q192+Q193+Q194</f>
        <v>0</v>
      </c>
      <c r="R195" s="75" t="n">
        <f aca="false">R190+R191+R192+R193+R194</f>
        <v>0</v>
      </c>
      <c r="S195" s="75" t="n">
        <f aca="false">S190+S191+S192+S193+S194</f>
        <v>0</v>
      </c>
      <c r="T195" s="75" t="n">
        <f aca="false">T190+T191+T192+T193+T194</f>
        <v>0</v>
      </c>
      <c r="U195" s="75" t="n">
        <f aca="false">U190+U191+U192+U193+U194</f>
        <v>0</v>
      </c>
      <c r="V195" s="75" t="n">
        <f aca="false">V190+V191+V192+V193+V194</f>
        <v>0</v>
      </c>
      <c r="W195" s="75" t="n">
        <f aca="false">W190+W191+W192+W193+W194</f>
        <v>0</v>
      </c>
      <c r="X195" s="75" t="n">
        <f aca="false">X190+X191+X192+X193+X194</f>
        <v>0</v>
      </c>
      <c r="Y195" s="75" t="n">
        <f aca="false">Y190+Y191+Y192+Y193+Y194</f>
        <v>0</v>
      </c>
      <c r="Z195" s="75" t="n">
        <f aca="false">Z190+Z191+Z192+Z193+Z194</f>
        <v>0</v>
      </c>
      <c r="AA195" s="75" t="n">
        <f aca="false">AA190+AA191+AA192+AA193+AA194</f>
        <v>10000</v>
      </c>
      <c r="AB195" s="75" t="n">
        <f aca="false">AB190+AB191+AB192+AB193+AB194</f>
        <v>0</v>
      </c>
      <c r="AC195" s="75" t="n">
        <f aca="false">AC190+AC191+AC192+AC193+AC194</f>
        <v>0</v>
      </c>
      <c r="AD195" s="75" t="n">
        <f aca="false">AD190+AD191+AD192+AD193+AD194</f>
        <v>0</v>
      </c>
      <c r="AE195" s="75" t="n">
        <f aca="false">AE190+AE191+AE192+AE193+AE194</f>
        <v>0</v>
      </c>
      <c r="AF195" s="75" t="n">
        <f aca="false">AF190+AF191+AF192+AF193+AF194</f>
        <v>0</v>
      </c>
      <c r="AG195" s="75" t="n">
        <f aca="false">AG190+AG191+AG192+AG193+AG194</f>
        <v>0</v>
      </c>
      <c r="AH195" s="75" t="n">
        <f aca="false">AH190+AH191+AH192+AH193+AH194</f>
        <v>0</v>
      </c>
      <c r="AI195" s="75" t="n">
        <f aca="false">AI190+AI191+AI192+AI193+AI194</f>
        <v>0</v>
      </c>
      <c r="AJ195" s="75" t="n">
        <f aca="false">AJ190+AJ191+AJ192+AJ193+AJ194</f>
        <v>0</v>
      </c>
      <c r="AK195" s="75" t="n">
        <f aca="false">AK190+AK191+AK192+AK193+AK194</f>
        <v>0</v>
      </c>
      <c r="AL195" s="75" t="n">
        <f aca="false">AL190+AL191+AL192+AL193+AL194</f>
        <v>0</v>
      </c>
      <c r="AM195" s="75" t="n">
        <f aca="false">AM190+AM191+AM192+AM193+AM194</f>
        <v>10000</v>
      </c>
      <c r="AN195" s="75" t="n">
        <f aca="false">AN190+AN191+AN192+AN193+AN194</f>
        <v>0</v>
      </c>
      <c r="AO195" s="75" t="n">
        <f aca="false">AO190+AO191+AO192+AO193+AO194</f>
        <v>0</v>
      </c>
      <c r="AP195" s="75" t="n">
        <f aca="false">AP190+AP191+AP192+AP193+AP194</f>
        <v>0</v>
      </c>
      <c r="AQ195" s="75" t="n">
        <f aca="false">AQ190+AQ191+AQ192+AQ193+AQ194</f>
        <v>0</v>
      </c>
      <c r="AR195" s="75" t="n">
        <f aca="false">AR190+AR191+AR192+AR193+AR194</f>
        <v>0</v>
      </c>
      <c r="AS195" s="75" t="n">
        <f aca="false">AS190+AS191+AS192+AS193+AS194</f>
        <v>0</v>
      </c>
      <c r="AT195" s="75" t="n">
        <f aca="false">AT190+AT191+AT192+AT193+AT194</f>
        <v>0</v>
      </c>
      <c r="AU195" s="75" t="n">
        <f aca="false">AU190+AU191+AU192+AU193+AU194</f>
        <v>0</v>
      </c>
      <c r="AV195" s="75" t="n">
        <f aca="false">AV190+AV191+AV192+AV193+AV194</f>
        <v>0</v>
      </c>
      <c r="AW195" s="75" t="n">
        <f aca="false">AW190+AW191+AW192+AW193+AW194</f>
        <v>0</v>
      </c>
      <c r="AX195" s="75" t="n">
        <f aca="false">AX190+AX191+AX192+AX193+AX194</f>
        <v>0</v>
      </c>
      <c r="AY195" s="75" t="n">
        <f aca="false">AY190+AY191+AY192+AY193+AY194</f>
        <v>10000</v>
      </c>
      <c r="AZ195" s="75" t="n">
        <f aca="false">AZ190+AZ191+AZ192+AZ193+AZ194</f>
        <v>0</v>
      </c>
      <c r="BA195" s="75" t="n">
        <f aca="false">BA190+BA191+BA192+BA193+BA194</f>
        <v>0</v>
      </c>
      <c r="BB195" s="75" t="n">
        <f aca="false">BB190+BB191+BB192+BB193+BB194</f>
        <v>0</v>
      </c>
      <c r="BC195" s="75" t="n">
        <f aca="false">BC190+BC191+BC192+BC193+BC194</f>
        <v>0</v>
      </c>
      <c r="BD195" s="75" t="n">
        <f aca="false">BD190+BD191+BD192+BD193+BD194</f>
        <v>0</v>
      </c>
      <c r="BE195" s="75" t="n">
        <f aca="false">BE190+BE191+BE192+BE193+BE194</f>
        <v>0</v>
      </c>
      <c r="BF195" s="75" t="n">
        <f aca="false">BF190+BF191+BF192+BF193+BF194</f>
        <v>0</v>
      </c>
      <c r="BG195" s="75" t="n">
        <f aca="false">BG190+BG191+BG192+BG193+BG194</f>
        <v>0</v>
      </c>
      <c r="BH195" s="75" t="n">
        <f aca="false">BH190+BH191+BH192+BH193+BH194</f>
        <v>0</v>
      </c>
      <c r="BI195" s="75" t="n">
        <f aca="false">BI190+BI191+BI192+BI193+BI194</f>
        <v>0</v>
      </c>
      <c r="BJ195" s="75" t="n">
        <f aca="false">BJ190+BJ191+BJ192+BJ193+BJ194</f>
        <v>0</v>
      </c>
    </row>
    <row r="196" customFormat="false" ht="15" hidden="false" customHeight="false" outlineLevel="0" collapsed="false">
      <c r="A196" s="6" t="s">
        <v>438</v>
      </c>
      <c r="C196" s="69" t="n">
        <f aca="false">C195</f>
        <v>189000</v>
      </c>
      <c r="D196" s="69" t="n">
        <f aca="false">C196+D195</f>
        <v>189000</v>
      </c>
      <c r="E196" s="69" t="n">
        <f aca="false">D196+E195</f>
        <v>189000</v>
      </c>
      <c r="F196" s="69" t="n">
        <f aca="false">E196+F195</f>
        <v>189000</v>
      </c>
      <c r="G196" s="69" t="n">
        <f aca="false">F196+G195</f>
        <v>189000</v>
      </c>
      <c r="H196" s="69" t="n">
        <f aca="false">G196+H195</f>
        <v>189000</v>
      </c>
      <c r="I196" s="69" t="n">
        <f aca="false">H196+I195</f>
        <v>189000</v>
      </c>
      <c r="J196" s="69" t="n">
        <f aca="false">I196+J195</f>
        <v>189000</v>
      </c>
      <c r="K196" s="69" t="n">
        <f aca="false">J196+K195</f>
        <v>189000</v>
      </c>
      <c r="L196" s="69" t="n">
        <f aca="false">K196+L195</f>
        <v>189000</v>
      </c>
      <c r="M196" s="69" t="n">
        <f aca="false">L196+M195</f>
        <v>189000</v>
      </c>
      <c r="N196" s="69" t="n">
        <f aca="false">M196+N195</f>
        <v>189000</v>
      </c>
      <c r="O196" s="69" t="n">
        <f aca="false">N196+O195</f>
        <v>199000</v>
      </c>
      <c r="P196" s="69" t="n">
        <f aca="false">O196+P195</f>
        <v>199000</v>
      </c>
      <c r="Q196" s="69" t="n">
        <f aca="false">P196+Q195</f>
        <v>199000</v>
      </c>
      <c r="R196" s="69" t="n">
        <f aca="false">Q196+R195</f>
        <v>199000</v>
      </c>
      <c r="S196" s="69" t="n">
        <f aca="false">R196+S195</f>
        <v>199000</v>
      </c>
      <c r="T196" s="69" t="n">
        <f aca="false">S196+T195</f>
        <v>199000</v>
      </c>
      <c r="U196" s="69" t="n">
        <f aca="false">T196+U195</f>
        <v>199000</v>
      </c>
      <c r="V196" s="69" t="n">
        <f aca="false">U196+V195</f>
        <v>199000</v>
      </c>
      <c r="W196" s="69" t="n">
        <f aca="false">V196+W195</f>
        <v>199000</v>
      </c>
      <c r="X196" s="69" t="n">
        <f aca="false">W196+X195</f>
        <v>199000</v>
      </c>
      <c r="Y196" s="69" t="n">
        <f aca="false">X196+Y195</f>
        <v>199000</v>
      </c>
      <c r="Z196" s="69" t="n">
        <f aca="false">Y196+Z195</f>
        <v>199000</v>
      </c>
      <c r="AA196" s="69" t="n">
        <f aca="false">Z196+AA195</f>
        <v>209000</v>
      </c>
      <c r="AB196" s="69" t="n">
        <f aca="false">AA196+AB195</f>
        <v>209000</v>
      </c>
      <c r="AC196" s="69" t="n">
        <f aca="false">AB196+AC195</f>
        <v>209000</v>
      </c>
      <c r="AD196" s="69" t="n">
        <f aca="false">AC196+AD195</f>
        <v>209000</v>
      </c>
      <c r="AE196" s="69" t="n">
        <f aca="false">AD196+AE195</f>
        <v>209000</v>
      </c>
      <c r="AF196" s="69" t="n">
        <f aca="false">AE196+AF195</f>
        <v>209000</v>
      </c>
      <c r="AG196" s="69" t="n">
        <f aca="false">AF196+AG195</f>
        <v>209000</v>
      </c>
      <c r="AH196" s="69" t="n">
        <f aca="false">AG196+AH195</f>
        <v>209000</v>
      </c>
      <c r="AI196" s="69" t="n">
        <f aca="false">AH196+AI195</f>
        <v>209000</v>
      </c>
      <c r="AJ196" s="69" t="n">
        <f aca="false">AI196+AJ195</f>
        <v>209000</v>
      </c>
      <c r="AK196" s="69" t="n">
        <f aca="false">AJ196+AK195</f>
        <v>209000</v>
      </c>
      <c r="AL196" s="69" t="n">
        <f aca="false">AK196+AL195</f>
        <v>209000</v>
      </c>
      <c r="AM196" s="69" t="n">
        <f aca="false">AL196+AM195</f>
        <v>219000</v>
      </c>
      <c r="AN196" s="69" t="n">
        <f aca="false">AM196+AN195</f>
        <v>219000</v>
      </c>
      <c r="AO196" s="69" t="n">
        <f aca="false">AN196+AO195</f>
        <v>219000</v>
      </c>
      <c r="AP196" s="69" t="n">
        <f aca="false">AO196+AP195</f>
        <v>219000</v>
      </c>
      <c r="AQ196" s="69" t="n">
        <f aca="false">AP196+AQ195</f>
        <v>219000</v>
      </c>
      <c r="AR196" s="69" t="n">
        <f aca="false">AQ196+AR195</f>
        <v>219000</v>
      </c>
      <c r="AS196" s="69" t="n">
        <f aca="false">AR196+AS195</f>
        <v>219000</v>
      </c>
      <c r="AT196" s="69" t="n">
        <f aca="false">AS196+AT195</f>
        <v>219000</v>
      </c>
      <c r="AU196" s="69" t="n">
        <f aca="false">AT196+AU195</f>
        <v>219000</v>
      </c>
      <c r="AV196" s="69" t="n">
        <f aca="false">AU196+AV195</f>
        <v>219000</v>
      </c>
      <c r="AW196" s="69" t="n">
        <f aca="false">AV196+AW195</f>
        <v>219000</v>
      </c>
      <c r="AX196" s="69" t="n">
        <f aca="false">AW196+AX195</f>
        <v>219000</v>
      </c>
      <c r="AY196" s="69" t="n">
        <f aca="false">AX196+AY195</f>
        <v>229000</v>
      </c>
      <c r="AZ196" s="69" t="n">
        <f aca="false">AY196+AZ195</f>
        <v>229000</v>
      </c>
      <c r="BA196" s="69" t="n">
        <f aca="false">AZ196+BA195</f>
        <v>229000</v>
      </c>
      <c r="BB196" s="69" t="n">
        <f aca="false">BA196+BB195</f>
        <v>229000</v>
      </c>
      <c r="BC196" s="69" t="n">
        <f aca="false">BB196+BC195</f>
        <v>229000</v>
      </c>
      <c r="BD196" s="69" t="n">
        <f aca="false">BC196+BD195</f>
        <v>229000</v>
      </c>
      <c r="BE196" s="69" t="n">
        <f aca="false">BD196+BE195</f>
        <v>229000</v>
      </c>
      <c r="BF196" s="69" t="n">
        <f aca="false">BE196+BF195</f>
        <v>229000</v>
      </c>
      <c r="BG196" s="69" t="n">
        <f aca="false">BF196+BG195</f>
        <v>229000</v>
      </c>
      <c r="BH196" s="69" t="n">
        <f aca="false">BG196+BH195</f>
        <v>229000</v>
      </c>
      <c r="BI196" s="69" t="n">
        <f aca="false">BH196+BI195</f>
        <v>229000</v>
      </c>
      <c r="BJ196" s="69" t="n">
        <f aca="false">BI196+BJ195</f>
        <v>229000</v>
      </c>
    </row>
    <row r="197" customFormat="false" ht="15" hidden="false" customHeight="false" outlineLevel="0" collapsed="false">
      <c r="A197" s="6" t="s">
        <v>439</v>
      </c>
      <c r="C197" s="69" t="n">
        <f aca="false">C193</f>
        <v>0</v>
      </c>
      <c r="D197" s="69" t="n">
        <f aca="false">C197+D193</f>
        <v>0</v>
      </c>
      <c r="E197" s="69" t="n">
        <f aca="false">D197+E193</f>
        <v>0</v>
      </c>
      <c r="F197" s="69" t="n">
        <f aca="false">E197+F193</f>
        <v>0</v>
      </c>
      <c r="G197" s="69" t="n">
        <f aca="false">F197+G193</f>
        <v>0</v>
      </c>
      <c r="H197" s="69" t="n">
        <f aca="false">G197+H193</f>
        <v>0</v>
      </c>
      <c r="I197" s="69" t="n">
        <f aca="false">H197+I193</f>
        <v>0</v>
      </c>
      <c r="J197" s="69" t="n">
        <f aca="false">I197+J193</f>
        <v>0</v>
      </c>
      <c r="K197" s="69" t="n">
        <f aca="false">J197+K193</f>
        <v>0</v>
      </c>
      <c r="L197" s="69" t="n">
        <f aca="false">K197+L193</f>
        <v>0</v>
      </c>
      <c r="M197" s="69" t="n">
        <f aca="false">L197+M193</f>
        <v>0</v>
      </c>
      <c r="N197" s="69" t="n">
        <f aca="false">M197+N193</f>
        <v>0</v>
      </c>
      <c r="O197" s="69" t="n">
        <f aca="false">N197+O193</f>
        <v>0</v>
      </c>
      <c r="P197" s="69" t="n">
        <f aca="false">O197+P193</f>
        <v>0</v>
      </c>
      <c r="Q197" s="69" t="n">
        <f aca="false">P197+Q193</f>
        <v>0</v>
      </c>
      <c r="R197" s="69" t="n">
        <f aca="false">Q197+R193</f>
        <v>0</v>
      </c>
      <c r="S197" s="69" t="n">
        <f aca="false">R197+S193</f>
        <v>0</v>
      </c>
      <c r="T197" s="69" t="n">
        <f aca="false">S197+T193</f>
        <v>0</v>
      </c>
      <c r="U197" s="69" t="n">
        <f aca="false">T197+U193</f>
        <v>0</v>
      </c>
      <c r="V197" s="69" t="n">
        <f aca="false">U197+V193</f>
        <v>0</v>
      </c>
      <c r="W197" s="69" t="n">
        <f aca="false">V197+W193</f>
        <v>0</v>
      </c>
      <c r="X197" s="69" t="n">
        <f aca="false">W197+X193</f>
        <v>0</v>
      </c>
      <c r="Y197" s="69" t="n">
        <f aca="false">X197+Y193</f>
        <v>0</v>
      </c>
      <c r="Z197" s="69" t="n">
        <f aca="false">Y197+Z193</f>
        <v>0</v>
      </c>
      <c r="AA197" s="69" t="n">
        <f aca="false">Z197+AA193</f>
        <v>0</v>
      </c>
      <c r="AB197" s="69" t="n">
        <f aca="false">AA197+AB193</f>
        <v>0</v>
      </c>
      <c r="AC197" s="69" t="n">
        <f aca="false">AB197+AC193</f>
        <v>0</v>
      </c>
      <c r="AD197" s="69" t="n">
        <f aca="false">AC197+AD193</f>
        <v>0</v>
      </c>
      <c r="AE197" s="69" t="n">
        <f aca="false">AD197+AE193</f>
        <v>0</v>
      </c>
      <c r="AF197" s="69" t="n">
        <f aca="false">AE197+AF193</f>
        <v>0</v>
      </c>
      <c r="AG197" s="69" t="n">
        <f aca="false">AF197+AG193</f>
        <v>0</v>
      </c>
      <c r="AH197" s="69" t="n">
        <f aca="false">AG197+AH193</f>
        <v>0</v>
      </c>
      <c r="AI197" s="69" t="n">
        <f aca="false">AH197+AI193</f>
        <v>0</v>
      </c>
      <c r="AJ197" s="69" t="n">
        <f aca="false">AI197+AJ193</f>
        <v>0</v>
      </c>
      <c r="AK197" s="69" t="n">
        <f aca="false">AJ197+AK193</f>
        <v>0</v>
      </c>
      <c r="AL197" s="69" t="n">
        <f aca="false">AK197+AL193</f>
        <v>0</v>
      </c>
      <c r="AM197" s="69" t="n">
        <f aca="false">AL197+AM193</f>
        <v>0</v>
      </c>
      <c r="AN197" s="69" t="n">
        <f aca="false">AM197+AN193</f>
        <v>0</v>
      </c>
      <c r="AO197" s="69" t="n">
        <f aca="false">AN197+AO193</f>
        <v>0</v>
      </c>
      <c r="AP197" s="69" t="n">
        <f aca="false">AO197+AP193</f>
        <v>0</v>
      </c>
      <c r="AQ197" s="69" t="n">
        <f aca="false">AP197+AQ193</f>
        <v>0</v>
      </c>
      <c r="AR197" s="69" t="n">
        <f aca="false">AQ197+AR193</f>
        <v>0</v>
      </c>
      <c r="AS197" s="69" t="n">
        <f aca="false">AR197+AS193</f>
        <v>0</v>
      </c>
      <c r="AT197" s="69" t="n">
        <f aca="false">AS197+AT193</f>
        <v>0</v>
      </c>
      <c r="AU197" s="69" t="n">
        <f aca="false">AT197+AU193</f>
        <v>0</v>
      </c>
      <c r="AV197" s="69" t="n">
        <f aca="false">AU197+AV193</f>
        <v>0</v>
      </c>
      <c r="AW197" s="69" t="n">
        <f aca="false">AV197+AW193</f>
        <v>0</v>
      </c>
      <c r="AX197" s="69" t="n">
        <f aca="false">AW197+AX193</f>
        <v>0</v>
      </c>
      <c r="AY197" s="69" t="n">
        <f aca="false">AX197+AY193</f>
        <v>0</v>
      </c>
      <c r="AZ197" s="69" t="n">
        <f aca="false">AY197+AZ193</f>
        <v>0</v>
      </c>
      <c r="BA197" s="69" t="n">
        <f aca="false">AZ197+BA193</f>
        <v>0</v>
      </c>
      <c r="BB197" s="69" t="n">
        <f aca="false">BA197+BB193</f>
        <v>0</v>
      </c>
      <c r="BC197" s="69" t="n">
        <f aca="false">BB197+BC193</f>
        <v>0</v>
      </c>
      <c r="BD197" s="69" t="n">
        <f aca="false">BC197+BD193</f>
        <v>0</v>
      </c>
      <c r="BE197" s="69" t="n">
        <f aca="false">BD197+BE193</f>
        <v>0</v>
      </c>
      <c r="BF197" s="69" t="n">
        <f aca="false">BE197+BF193</f>
        <v>0</v>
      </c>
      <c r="BG197" s="69" t="n">
        <f aca="false">BF197+BG193</f>
        <v>0</v>
      </c>
      <c r="BH197" s="69" t="n">
        <f aca="false">BG197+BH193</f>
        <v>0</v>
      </c>
      <c r="BI197" s="69" t="n">
        <f aca="false">BH197+BI193</f>
        <v>0</v>
      </c>
      <c r="BJ197" s="69" t="n">
        <f aca="false">BI197+BJ193</f>
        <v>0</v>
      </c>
    </row>
    <row r="198" customFormat="false" ht="15" hidden="false" customHeight="false" outlineLevel="0" collapsed="false">
      <c r="A198" s="6" t="s">
        <v>78</v>
      </c>
      <c r="C198" s="69" t="n">
        <f aca="false">-MIN((C196-C197)/MAX(1,Inputs!$C$82*12),C195-C197)</f>
        <v>-1968.75</v>
      </c>
      <c r="D198" s="69" t="n">
        <f aca="false">-MIN((D196-D197)/MAX(1,Inputs!$C$82*12),C200+D195-D197)</f>
        <v>-1968.75</v>
      </c>
      <c r="E198" s="69" t="n">
        <f aca="false">-MIN((E196-E197)/MAX(1,Inputs!$C$82*12),D200+E195-E197)</f>
        <v>-1968.75</v>
      </c>
      <c r="F198" s="69" t="n">
        <f aca="false">-MIN((F196-F197)/MAX(1,Inputs!$C$82*12),E200+F195-F197)</f>
        <v>-1968.75</v>
      </c>
      <c r="G198" s="69" t="n">
        <f aca="false">-MIN((G196-G197)/MAX(1,Inputs!$C$82*12),F200+G195-G197)</f>
        <v>-1968.75</v>
      </c>
      <c r="H198" s="69" t="n">
        <f aca="false">-MIN((H196-H197)/MAX(1,Inputs!$C$82*12),G200+H195-H197)</f>
        <v>-1968.75</v>
      </c>
      <c r="I198" s="69" t="n">
        <f aca="false">-MIN((I196-I197)/MAX(1,Inputs!$C$82*12),H200+I195-I197)</f>
        <v>-1968.75</v>
      </c>
      <c r="J198" s="69" t="n">
        <f aca="false">-MIN((J196-J197)/MAX(1,Inputs!$C$82*12),I200+J195-J197)</f>
        <v>-1968.75</v>
      </c>
      <c r="K198" s="69" t="n">
        <f aca="false">-MIN((K196-K197)/MAX(1,Inputs!$C$82*12),J200+K195-K197)</f>
        <v>-1968.75</v>
      </c>
      <c r="L198" s="69" t="n">
        <f aca="false">-MIN((L196-L197)/MAX(1,Inputs!$C$82*12),K200+L195-L197)</f>
        <v>-1968.75</v>
      </c>
      <c r="M198" s="69" t="n">
        <f aca="false">-MIN((M196-M197)/MAX(1,Inputs!$C$82*12),L200+M195-M197)</f>
        <v>-1968.75</v>
      </c>
      <c r="N198" s="69" t="n">
        <f aca="false">-MIN((N196-N197)/MAX(1,Inputs!$C$82*12),M200+N195-N197)</f>
        <v>-1968.75</v>
      </c>
      <c r="O198" s="69" t="n">
        <f aca="false">-MIN((O196-O197)/MAX(1,Inputs!$C$82*12),N200+O195-O197)</f>
        <v>-2072.91666666667</v>
      </c>
      <c r="P198" s="69" t="n">
        <f aca="false">-MIN((P196-P197)/MAX(1,Inputs!$C$82*12),O200+P195-P197)</f>
        <v>-2072.91666666667</v>
      </c>
      <c r="Q198" s="69" t="n">
        <f aca="false">-MIN((Q196-Q197)/MAX(1,Inputs!$C$82*12),P200+Q195-Q197)</f>
        <v>-2072.91666666667</v>
      </c>
      <c r="R198" s="69" t="n">
        <f aca="false">-MIN((R196-R197)/MAX(1,Inputs!$C$82*12),Q200+R195-R197)</f>
        <v>-2072.91666666667</v>
      </c>
      <c r="S198" s="69" t="n">
        <f aca="false">-MIN((S196-S197)/MAX(1,Inputs!$C$82*12),R200+S195-S197)</f>
        <v>-2072.91666666667</v>
      </c>
      <c r="T198" s="69" t="n">
        <f aca="false">-MIN((T196-T197)/MAX(1,Inputs!$C$82*12),S200+T195-T197)</f>
        <v>-2072.91666666667</v>
      </c>
      <c r="U198" s="69" t="n">
        <f aca="false">-MIN((U196-U197)/MAX(1,Inputs!$C$82*12),T200+U195-U197)</f>
        <v>-2072.91666666667</v>
      </c>
      <c r="V198" s="69" t="n">
        <f aca="false">-MIN((V196-V197)/MAX(1,Inputs!$C$82*12),U200+V195-V197)</f>
        <v>-2072.91666666667</v>
      </c>
      <c r="W198" s="69" t="n">
        <f aca="false">-MIN((W196-W197)/MAX(1,Inputs!$C$82*12),V200+W195-W197)</f>
        <v>-2072.91666666667</v>
      </c>
      <c r="X198" s="69" t="n">
        <f aca="false">-MIN((X196-X197)/MAX(1,Inputs!$C$82*12),W200+X195-X197)</f>
        <v>-2072.91666666667</v>
      </c>
      <c r="Y198" s="69" t="n">
        <f aca="false">-MIN((Y196-Y197)/MAX(1,Inputs!$C$82*12),X200+Y195-Y197)</f>
        <v>-2072.91666666667</v>
      </c>
      <c r="Z198" s="69" t="n">
        <f aca="false">-MIN((Z196-Z197)/MAX(1,Inputs!$C$82*12),Y200+Z195-Z197)</f>
        <v>-2072.91666666667</v>
      </c>
      <c r="AA198" s="69" t="n">
        <f aca="false">-MIN((AA196-AA197)/MAX(1,Inputs!$C$82*12),Z200+AA195-AA197)</f>
        <v>-2177.08333333333</v>
      </c>
      <c r="AB198" s="69" t="n">
        <f aca="false">-MIN((AB196-AB197)/MAX(1,Inputs!$C$82*12),AA200+AB195-AB197)</f>
        <v>-2177.08333333333</v>
      </c>
      <c r="AC198" s="69" t="n">
        <f aca="false">-MIN((AC196-AC197)/MAX(1,Inputs!$C$82*12),AB200+AC195-AC197)</f>
        <v>-2177.08333333333</v>
      </c>
      <c r="AD198" s="69" t="n">
        <f aca="false">-MIN((AD196-AD197)/MAX(1,Inputs!$C$82*12),AC200+AD195-AD197)</f>
        <v>-2177.08333333333</v>
      </c>
      <c r="AE198" s="69" t="n">
        <f aca="false">-MIN((AE196-AE197)/MAX(1,Inputs!$C$82*12),AD200+AE195-AE197)</f>
        <v>-2177.08333333333</v>
      </c>
      <c r="AF198" s="69" t="n">
        <f aca="false">-MIN((AF196-AF197)/MAX(1,Inputs!$C$82*12),AE200+AF195-AF197)</f>
        <v>-2177.08333333333</v>
      </c>
      <c r="AG198" s="69" t="n">
        <f aca="false">-MIN((AG196-AG197)/MAX(1,Inputs!$C$82*12),AF200+AG195-AG197)</f>
        <v>-2177.08333333333</v>
      </c>
      <c r="AH198" s="69" t="n">
        <f aca="false">-MIN((AH196-AH197)/MAX(1,Inputs!$C$82*12),AG200+AH195-AH197)</f>
        <v>-2177.08333333333</v>
      </c>
      <c r="AI198" s="69" t="n">
        <f aca="false">-MIN((AI196-AI197)/MAX(1,Inputs!$C$82*12),AH200+AI195-AI197)</f>
        <v>-2177.08333333333</v>
      </c>
      <c r="AJ198" s="69" t="n">
        <f aca="false">-MIN((AJ196-AJ197)/MAX(1,Inputs!$C$82*12),AI200+AJ195-AJ197)</f>
        <v>-2177.08333333333</v>
      </c>
      <c r="AK198" s="69" t="n">
        <f aca="false">-MIN((AK196-AK197)/MAX(1,Inputs!$C$82*12),AJ200+AK195-AK197)</f>
        <v>-2177.08333333333</v>
      </c>
      <c r="AL198" s="69" t="n">
        <f aca="false">-MIN((AL196-AL197)/MAX(1,Inputs!$C$82*12),AK200+AL195-AL197)</f>
        <v>-2177.08333333333</v>
      </c>
      <c r="AM198" s="69" t="n">
        <f aca="false">-MIN((AM196-AM197)/MAX(1,Inputs!$C$82*12),AL200+AM195-AM197)</f>
        <v>-2281.25</v>
      </c>
      <c r="AN198" s="69" t="n">
        <f aca="false">-MIN((AN196-AN197)/MAX(1,Inputs!$C$82*12),AM200+AN195-AN197)</f>
        <v>-2281.25</v>
      </c>
      <c r="AO198" s="69" t="n">
        <f aca="false">-MIN((AO196-AO197)/MAX(1,Inputs!$C$82*12),AN200+AO195-AO197)</f>
        <v>-2281.25</v>
      </c>
      <c r="AP198" s="69" t="n">
        <f aca="false">-MIN((AP196-AP197)/MAX(1,Inputs!$C$82*12),AO200+AP195-AP197)</f>
        <v>-2281.25</v>
      </c>
      <c r="AQ198" s="69" t="n">
        <f aca="false">-MIN((AQ196-AQ197)/MAX(1,Inputs!$C$82*12),AP200+AQ195-AQ197)</f>
        <v>-2281.25</v>
      </c>
      <c r="AR198" s="69" t="n">
        <f aca="false">-MIN((AR196-AR197)/MAX(1,Inputs!$C$82*12),AQ200+AR195-AR197)</f>
        <v>-2281.25</v>
      </c>
      <c r="AS198" s="69" t="n">
        <f aca="false">-MIN((AS196-AS197)/MAX(1,Inputs!$C$82*12),AR200+AS195-AS197)</f>
        <v>-2281.25</v>
      </c>
      <c r="AT198" s="69" t="n">
        <f aca="false">-MIN((AT196-AT197)/MAX(1,Inputs!$C$82*12),AS200+AT195-AT197)</f>
        <v>-2281.25</v>
      </c>
      <c r="AU198" s="69" t="n">
        <f aca="false">-MIN((AU196-AU197)/MAX(1,Inputs!$C$82*12),AT200+AU195-AU197)</f>
        <v>-2281.25</v>
      </c>
      <c r="AV198" s="69" t="n">
        <f aca="false">-MIN((AV196-AV197)/MAX(1,Inputs!$C$82*12),AU200+AV195-AV197)</f>
        <v>-2281.25</v>
      </c>
      <c r="AW198" s="69" t="n">
        <f aca="false">-MIN((AW196-AW197)/MAX(1,Inputs!$C$82*12),AV200+AW195-AW197)</f>
        <v>-2281.25</v>
      </c>
      <c r="AX198" s="69" t="n">
        <f aca="false">-MIN((AX196-AX197)/MAX(1,Inputs!$C$82*12),AW200+AX195-AX197)</f>
        <v>-2281.25</v>
      </c>
      <c r="AY198" s="69" t="n">
        <f aca="false">-MIN((AY196-AY197)/MAX(1,Inputs!$C$82*12),AX200+AY195-AY197)</f>
        <v>-2385.41666666667</v>
      </c>
      <c r="AZ198" s="69" t="n">
        <f aca="false">-MIN((AZ196-AZ197)/MAX(1,Inputs!$C$82*12),AY200+AZ195-AZ197)</f>
        <v>-2385.41666666667</v>
      </c>
      <c r="BA198" s="69" t="n">
        <f aca="false">-MIN((BA196-BA197)/MAX(1,Inputs!$C$82*12),AZ200+BA195-BA197)</f>
        <v>-2385.41666666667</v>
      </c>
      <c r="BB198" s="69" t="n">
        <f aca="false">-MIN((BB196-BB197)/MAX(1,Inputs!$C$82*12),BA200+BB195-BB197)</f>
        <v>-2385.41666666667</v>
      </c>
      <c r="BC198" s="69" t="n">
        <f aca="false">-MIN((BC196-BC197)/MAX(1,Inputs!$C$82*12),BB200+BC195-BC197)</f>
        <v>-2385.41666666667</v>
      </c>
      <c r="BD198" s="69" t="n">
        <f aca="false">-MIN((BD196-BD197)/MAX(1,Inputs!$C$82*12),BC200+BD195-BD197)</f>
        <v>-2385.41666666667</v>
      </c>
      <c r="BE198" s="69" t="n">
        <f aca="false">-MIN((BE196-BE197)/MAX(1,Inputs!$C$82*12),BD200+BE195-BE197)</f>
        <v>-2385.41666666667</v>
      </c>
      <c r="BF198" s="69" t="n">
        <f aca="false">-MIN((BF196-BF197)/MAX(1,Inputs!$C$82*12),BE200+BF195-BF197)</f>
        <v>-2385.41666666667</v>
      </c>
      <c r="BG198" s="69" t="n">
        <f aca="false">-MIN((BG196-BG197)/MAX(1,Inputs!$C$82*12),BF200+BG195-BG197)</f>
        <v>-2385.41666666667</v>
      </c>
      <c r="BH198" s="69" t="n">
        <f aca="false">-MIN((BH196-BH197)/MAX(1,Inputs!$C$82*12),BG200+BH195-BH197)</f>
        <v>-2385.41666666667</v>
      </c>
      <c r="BI198" s="69" t="n">
        <f aca="false">-MIN((BI196-BI197)/MAX(1,Inputs!$C$82*12),BH200+BI195-BI197)</f>
        <v>-2385.41666666667</v>
      </c>
      <c r="BJ198" s="69" t="n">
        <f aca="false">-MIN((BJ196-BJ197)/MAX(1,Inputs!$C$82*12),BI200+BJ195-BJ197)</f>
        <v>-2385.41666666667</v>
      </c>
    </row>
    <row r="199" customFormat="false" ht="15" hidden="false" customHeight="false" outlineLevel="0" collapsed="false">
      <c r="A199" s="6" t="s">
        <v>440</v>
      </c>
      <c r="C199" s="69" t="n">
        <f aca="false">C198</f>
        <v>-1968.75</v>
      </c>
      <c r="D199" s="69" t="n">
        <f aca="false">C199+D198</f>
        <v>-3937.5</v>
      </c>
      <c r="E199" s="69" t="n">
        <f aca="false">D199+E198</f>
        <v>-5906.25</v>
      </c>
      <c r="F199" s="69" t="n">
        <f aca="false">E199+F198</f>
        <v>-7875</v>
      </c>
      <c r="G199" s="69" t="n">
        <f aca="false">F199+G198</f>
        <v>-9843.75</v>
      </c>
      <c r="H199" s="69" t="n">
        <f aca="false">G199+H198</f>
        <v>-11812.5</v>
      </c>
      <c r="I199" s="69" t="n">
        <f aca="false">H199+I198</f>
        <v>-13781.25</v>
      </c>
      <c r="J199" s="69" t="n">
        <f aca="false">I199+J198</f>
        <v>-15750</v>
      </c>
      <c r="K199" s="69" t="n">
        <f aca="false">J199+K198</f>
        <v>-17718.75</v>
      </c>
      <c r="L199" s="69" t="n">
        <f aca="false">K199+L198</f>
        <v>-19687.5</v>
      </c>
      <c r="M199" s="69" t="n">
        <f aca="false">L199+M198</f>
        <v>-21656.25</v>
      </c>
      <c r="N199" s="69" t="n">
        <f aca="false">M199+N198</f>
        <v>-23625</v>
      </c>
      <c r="O199" s="69" t="n">
        <f aca="false">N199+O198</f>
        <v>-25697.9166666667</v>
      </c>
      <c r="P199" s="69" t="n">
        <f aca="false">O199+P198</f>
        <v>-27770.8333333333</v>
      </c>
      <c r="Q199" s="69" t="n">
        <f aca="false">P199+Q198</f>
        <v>-29843.75</v>
      </c>
      <c r="R199" s="69" t="n">
        <f aca="false">Q199+R198</f>
        <v>-31916.6666666667</v>
      </c>
      <c r="S199" s="69" t="n">
        <f aca="false">R199+S198</f>
        <v>-33989.5833333333</v>
      </c>
      <c r="T199" s="69" t="n">
        <f aca="false">S199+T198</f>
        <v>-36062.5</v>
      </c>
      <c r="U199" s="69" t="n">
        <f aca="false">T199+U198</f>
        <v>-38135.4166666667</v>
      </c>
      <c r="V199" s="69" t="n">
        <f aca="false">U199+V198</f>
        <v>-40208.3333333333</v>
      </c>
      <c r="W199" s="69" t="n">
        <f aca="false">V199+W198</f>
        <v>-42281.25</v>
      </c>
      <c r="X199" s="69" t="n">
        <f aca="false">W199+X198</f>
        <v>-44354.1666666667</v>
      </c>
      <c r="Y199" s="69" t="n">
        <f aca="false">X199+Y198</f>
        <v>-46427.0833333333</v>
      </c>
      <c r="Z199" s="69" t="n">
        <f aca="false">Y199+Z198</f>
        <v>-48500</v>
      </c>
      <c r="AA199" s="69" t="n">
        <f aca="false">Z199+AA198</f>
        <v>-50677.0833333333</v>
      </c>
      <c r="AB199" s="69" t="n">
        <f aca="false">AA199+AB198</f>
        <v>-52854.1666666667</v>
      </c>
      <c r="AC199" s="69" t="n">
        <f aca="false">AB199+AC198</f>
        <v>-55031.25</v>
      </c>
      <c r="AD199" s="69" t="n">
        <f aca="false">AC199+AD198</f>
        <v>-57208.3333333333</v>
      </c>
      <c r="AE199" s="69" t="n">
        <f aca="false">AD199+AE198</f>
        <v>-59385.4166666667</v>
      </c>
      <c r="AF199" s="69" t="n">
        <f aca="false">AE199+AF198</f>
        <v>-61562.5</v>
      </c>
      <c r="AG199" s="69" t="n">
        <f aca="false">AF199+AG198</f>
        <v>-63739.5833333333</v>
      </c>
      <c r="AH199" s="69" t="n">
        <f aca="false">AG199+AH198</f>
        <v>-65916.6666666667</v>
      </c>
      <c r="AI199" s="69" t="n">
        <f aca="false">AH199+AI198</f>
        <v>-68093.75</v>
      </c>
      <c r="AJ199" s="69" t="n">
        <f aca="false">AI199+AJ198</f>
        <v>-70270.8333333333</v>
      </c>
      <c r="AK199" s="69" t="n">
        <f aca="false">AJ199+AK198</f>
        <v>-72447.9166666667</v>
      </c>
      <c r="AL199" s="69" t="n">
        <f aca="false">AK199+AL198</f>
        <v>-74625</v>
      </c>
      <c r="AM199" s="69" t="n">
        <f aca="false">AL199+AM198</f>
        <v>-76906.25</v>
      </c>
      <c r="AN199" s="69" t="n">
        <f aca="false">AM199+AN198</f>
        <v>-79187.5</v>
      </c>
      <c r="AO199" s="69" t="n">
        <f aca="false">AN199+AO198</f>
        <v>-81468.75</v>
      </c>
      <c r="AP199" s="69" t="n">
        <f aca="false">AO199+AP198</f>
        <v>-83750</v>
      </c>
      <c r="AQ199" s="69" t="n">
        <f aca="false">AP199+AQ198</f>
        <v>-86031.25</v>
      </c>
      <c r="AR199" s="69" t="n">
        <f aca="false">AQ199+AR198</f>
        <v>-88312.5</v>
      </c>
      <c r="AS199" s="69" t="n">
        <f aca="false">AR199+AS198</f>
        <v>-90593.75</v>
      </c>
      <c r="AT199" s="69" t="n">
        <f aca="false">AS199+AT198</f>
        <v>-92875</v>
      </c>
      <c r="AU199" s="69" t="n">
        <f aca="false">AT199+AU198</f>
        <v>-95156.25</v>
      </c>
      <c r="AV199" s="69" t="n">
        <f aca="false">AU199+AV198</f>
        <v>-97437.5</v>
      </c>
      <c r="AW199" s="69" t="n">
        <f aca="false">AV199+AW198</f>
        <v>-99718.75</v>
      </c>
      <c r="AX199" s="69" t="n">
        <f aca="false">AW199+AX198</f>
        <v>-102000</v>
      </c>
      <c r="AY199" s="69" t="n">
        <f aca="false">AX199+AY198</f>
        <v>-104385.416666667</v>
      </c>
      <c r="AZ199" s="69" t="n">
        <f aca="false">AY199+AZ198</f>
        <v>-106770.833333333</v>
      </c>
      <c r="BA199" s="69" t="n">
        <f aca="false">AZ199+BA198</f>
        <v>-109156.25</v>
      </c>
      <c r="BB199" s="69" t="n">
        <f aca="false">BA199+BB198</f>
        <v>-111541.666666667</v>
      </c>
      <c r="BC199" s="69" t="n">
        <f aca="false">BB199+BC198</f>
        <v>-113927.083333333</v>
      </c>
      <c r="BD199" s="69" t="n">
        <f aca="false">BC199+BD198</f>
        <v>-116312.5</v>
      </c>
      <c r="BE199" s="69" t="n">
        <f aca="false">BD199+BE198</f>
        <v>-118697.916666667</v>
      </c>
      <c r="BF199" s="69" t="n">
        <f aca="false">BE199+BF198</f>
        <v>-121083.333333333</v>
      </c>
      <c r="BG199" s="69" t="n">
        <f aca="false">BF199+BG198</f>
        <v>-123468.75</v>
      </c>
      <c r="BH199" s="69" t="n">
        <f aca="false">BG199+BH198</f>
        <v>-125854.166666667</v>
      </c>
      <c r="BI199" s="69" t="n">
        <f aca="false">BH199+BI198</f>
        <v>-128239.583333333</v>
      </c>
      <c r="BJ199" s="69" t="n">
        <f aca="false">BI199+BJ198</f>
        <v>-130625</v>
      </c>
    </row>
    <row r="200" customFormat="false" ht="15" hidden="false" customHeight="false" outlineLevel="0" collapsed="false">
      <c r="A200" s="4" t="s">
        <v>92</v>
      </c>
      <c r="C200" s="75" t="n">
        <f aca="false">C196+C199</f>
        <v>187031.25</v>
      </c>
      <c r="D200" s="75" t="n">
        <f aca="false">D196+D199</f>
        <v>185062.5</v>
      </c>
      <c r="E200" s="75" t="n">
        <f aca="false">E196+E199</f>
        <v>183093.75</v>
      </c>
      <c r="F200" s="75" t="n">
        <f aca="false">F196+F199</f>
        <v>181125</v>
      </c>
      <c r="G200" s="75" t="n">
        <f aca="false">G196+G199</f>
        <v>179156.25</v>
      </c>
      <c r="H200" s="75" t="n">
        <f aca="false">H196+H199</f>
        <v>177187.5</v>
      </c>
      <c r="I200" s="75" t="n">
        <f aca="false">I196+I199</f>
        <v>175218.75</v>
      </c>
      <c r="J200" s="75" t="n">
        <f aca="false">J196+J199</f>
        <v>173250</v>
      </c>
      <c r="K200" s="75" t="n">
        <f aca="false">K196+K199</f>
        <v>171281.25</v>
      </c>
      <c r="L200" s="75" t="n">
        <f aca="false">L196+L199</f>
        <v>169312.5</v>
      </c>
      <c r="M200" s="75" t="n">
        <f aca="false">M196+M199</f>
        <v>167343.75</v>
      </c>
      <c r="N200" s="75" t="n">
        <f aca="false">N196+N199</f>
        <v>165375</v>
      </c>
      <c r="O200" s="75" t="n">
        <f aca="false">O196+O199</f>
        <v>173302.083333333</v>
      </c>
      <c r="P200" s="75" t="n">
        <f aca="false">P196+P199</f>
        <v>171229.166666667</v>
      </c>
      <c r="Q200" s="75" t="n">
        <f aca="false">Q196+Q199</f>
        <v>169156.25</v>
      </c>
      <c r="R200" s="75" t="n">
        <f aca="false">R196+R199</f>
        <v>167083.333333333</v>
      </c>
      <c r="S200" s="75" t="n">
        <f aca="false">S196+S199</f>
        <v>165010.416666667</v>
      </c>
      <c r="T200" s="75" t="n">
        <f aca="false">T196+T199</f>
        <v>162937.5</v>
      </c>
      <c r="U200" s="75" t="n">
        <f aca="false">U196+U199</f>
        <v>160864.583333333</v>
      </c>
      <c r="V200" s="75" t="n">
        <f aca="false">V196+V199</f>
        <v>158791.666666667</v>
      </c>
      <c r="W200" s="75" t="n">
        <f aca="false">W196+W199</f>
        <v>156718.75</v>
      </c>
      <c r="X200" s="75" t="n">
        <f aca="false">X196+X199</f>
        <v>154645.833333333</v>
      </c>
      <c r="Y200" s="75" t="n">
        <f aca="false">Y196+Y199</f>
        <v>152572.916666667</v>
      </c>
      <c r="Z200" s="75" t="n">
        <f aca="false">Z196+Z199</f>
        <v>150500</v>
      </c>
      <c r="AA200" s="75" t="n">
        <f aca="false">AA196+AA199</f>
        <v>158322.916666667</v>
      </c>
      <c r="AB200" s="75" t="n">
        <f aca="false">AB196+AB199</f>
        <v>156145.833333333</v>
      </c>
      <c r="AC200" s="75" t="n">
        <f aca="false">AC196+AC199</f>
        <v>153968.75</v>
      </c>
      <c r="AD200" s="75" t="n">
        <f aca="false">AD196+AD199</f>
        <v>151791.666666667</v>
      </c>
      <c r="AE200" s="75" t="n">
        <f aca="false">AE196+AE199</f>
        <v>149614.583333333</v>
      </c>
      <c r="AF200" s="75" t="n">
        <f aca="false">AF196+AF199</f>
        <v>147437.5</v>
      </c>
      <c r="AG200" s="75" t="n">
        <f aca="false">AG196+AG199</f>
        <v>145260.416666667</v>
      </c>
      <c r="AH200" s="75" t="n">
        <f aca="false">AH196+AH199</f>
        <v>143083.333333333</v>
      </c>
      <c r="AI200" s="75" t="n">
        <f aca="false">AI196+AI199</f>
        <v>140906.25</v>
      </c>
      <c r="AJ200" s="75" t="n">
        <f aca="false">AJ196+AJ199</f>
        <v>138729.166666667</v>
      </c>
      <c r="AK200" s="75" t="n">
        <f aca="false">AK196+AK199</f>
        <v>136552.083333333</v>
      </c>
      <c r="AL200" s="75" t="n">
        <f aca="false">AL196+AL199</f>
        <v>134375</v>
      </c>
      <c r="AM200" s="75" t="n">
        <f aca="false">AM196+AM199</f>
        <v>142093.75</v>
      </c>
      <c r="AN200" s="75" t="n">
        <f aca="false">AN196+AN199</f>
        <v>139812.5</v>
      </c>
      <c r="AO200" s="75" t="n">
        <f aca="false">AO196+AO199</f>
        <v>137531.25</v>
      </c>
      <c r="AP200" s="75" t="n">
        <f aca="false">AP196+AP199</f>
        <v>135250</v>
      </c>
      <c r="AQ200" s="75" t="n">
        <f aca="false">AQ196+AQ199</f>
        <v>132968.75</v>
      </c>
      <c r="AR200" s="75" t="n">
        <f aca="false">AR196+AR199</f>
        <v>130687.5</v>
      </c>
      <c r="AS200" s="75" t="n">
        <f aca="false">AS196+AS199</f>
        <v>128406.25</v>
      </c>
      <c r="AT200" s="75" t="n">
        <f aca="false">AT196+AT199</f>
        <v>126125</v>
      </c>
      <c r="AU200" s="75" t="n">
        <f aca="false">AU196+AU199</f>
        <v>123843.75</v>
      </c>
      <c r="AV200" s="75" t="n">
        <f aca="false">AV196+AV199</f>
        <v>121562.5</v>
      </c>
      <c r="AW200" s="75" t="n">
        <f aca="false">AW196+AW199</f>
        <v>119281.25</v>
      </c>
      <c r="AX200" s="75" t="n">
        <f aca="false">AX196+AX199</f>
        <v>117000</v>
      </c>
      <c r="AY200" s="75" t="n">
        <f aca="false">AY196+AY199</f>
        <v>124614.583333333</v>
      </c>
      <c r="AZ200" s="75" t="n">
        <f aca="false">AZ196+AZ199</f>
        <v>122229.166666667</v>
      </c>
      <c r="BA200" s="75" t="n">
        <f aca="false">BA196+BA199</f>
        <v>119843.75</v>
      </c>
      <c r="BB200" s="75" t="n">
        <f aca="false">BB196+BB199</f>
        <v>117458.333333333</v>
      </c>
      <c r="BC200" s="75" t="n">
        <f aca="false">BC196+BC199</f>
        <v>115072.916666667</v>
      </c>
      <c r="BD200" s="75" t="n">
        <f aca="false">BD196+BD199</f>
        <v>112687.5</v>
      </c>
      <c r="BE200" s="75" t="n">
        <f aca="false">BE196+BE199</f>
        <v>110302.083333333</v>
      </c>
      <c r="BF200" s="75" t="n">
        <f aca="false">BF196+BF199</f>
        <v>107916.666666667</v>
      </c>
      <c r="BG200" s="75" t="n">
        <f aca="false">BG196+BG199</f>
        <v>105531.25</v>
      </c>
      <c r="BH200" s="75" t="n">
        <f aca="false">BH196+BH199</f>
        <v>103145.833333333</v>
      </c>
      <c r="BI200" s="75" t="n">
        <f aca="false">BI196+BI199</f>
        <v>100760.416666667</v>
      </c>
      <c r="BJ200" s="75" t="n">
        <f aca="false">BJ196+BJ199</f>
        <v>98375</v>
      </c>
    </row>
    <row r="202" customFormat="false" ht="15.75" hidden="false" customHeight="true" outlineLevel="0" collapsed="false">
      <c r="A202" s="7" t="s">
        <v>441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442</v>
      </c>
      <c r="C203" s="69" t="n">
        <f aca="false">0</f>
        <v>0</v>
      </c>
      <c r="D203" s="69" t="n">
        <f aca="false">C206</f>
        <v>100000</v>
      </c>
      <c r="E203" s="69" t="n">
        <f aca="false">D206</f>
        <v>98333.3333333333</v>
      </c>
      <c r="F203" s="69" t="n">
        <f aca="false">E206</f>
        <v>96666.6666666667</v>
      </c>
      <c r="G203" s="69" t="n">
        <f aca="false">F206</f>
        <v>95000</v>
      </c>
      <c r="H203" s="69" t="n">
        <f aca="false">G206</f>
        <v>93333.3333333333</v>
      </c>
      <c r="I203" s="69" t="n">
        <f aca="false">H206</f>
        <v>91666.6666666666</v>
      </c>
      <c r="J203" s="69" t="n">
        <f aca="false">I206</f>
        <v>90000</v>
      </c>
      <c r="K203" s="69" t="n">
        <f aca="false">J206</f>
        <v>88333.3333333333</v>
      </c>
      <c r="L203" s="69" t="n">
        <f aca="false">K206</f>
        <v>86666.6666666666</v>
      </c>
      <c r="M203" s="69" t="n">
        <f aca="false">L206</f>
        <v>85000</v>
      </c>
      <c r="N203" s="69" t="n">
        <f aca="false">M206</f>
        <v>83333.3333333333</v>
      </c>
      <c r="O203" s="69" t="n">
        <f aca="false">N206</f>
        <v>81666.6666666666</v>
      </c>
      <c r="P203" s="69" t="n">
        <f aca="false">O206</f>
        <v>79999.9999999999</v>
      </c>
      <c r="Q203" s="69" t="n">
        <f aca="false">P206</f>
        <v>78333.3333333333</v>
      </c>
      <c r="R203" s="69" t="n">
        <f aca="false">Q206</f>
        <v>76666.6666666666</v>
      </c>
      <c r="S203" s="69" t="n">
        <f aca="false">R206</f>
        <v>74999.9999999999</v>
      </c>
      <c r="T203" s="69" t="n">
        <f aca="false">S206</f>
        <v>73333.3333333333</v>
      </c>
      <c r="U203" s="69" t="n">
        <f aca="false">T206</f>
        <v>71666.6666666666</v>
      </c>
      <c r="V203" s="69" t="n">
        <f aca="false">U206</f>
        <v>69999.9999999999</v>
      </c>
      <c r="W203" s="69" t="n">
        <f aca="false">V206</f>
        <v>68333.3333333332</v>
      </c>
      <c r="X203" s="69" t="n">
        <f aca="false">W206</f>
        <v>66666.6666666666</v>
      </c>
      <c r="Y203" s="69" t="n">
        <f aca="false">X206</f>
        <v>64999.9999999999</v>
      </c>
      <c r="Z203" s="69" t="n">
        <f aca="false">Y206</f>
        <v>63333.3333333332</v>
      </c>
      <c r="AA203" s="69" t="n">
        <f aca="false">Z206</f>
        <v>61666.6666666666</v>
      </c>
      <c r="AB203" s="69" t="n">
        <f aca="false">AA206</f>
        <v>59999.9999999999</v>
      </c>
      <c r="AC203" s="69" t="n">
        <f aca="false">AB206</f>
        <v>58333.3333333333</v>
      </c>
      <c r="AD203" s="69" t="n">
        <f aca="false">AC206</f>
        <v>56666.6666666666</v>
      </c>
      <c r="AE203" s="69" t="n">
        <f aca="false">AD206</f>
        <v>54999.9999999999</v>
      </c>
      <c r="AF203" s="69" t="n">
        <f aca="false">AE206</f>
        <v>53333.3333333333</v>
      </c>
      <c r="AG203" s="69" t="n">
        <f aca="false">AF206</f>
        <v>51666.6666666666</v>
      </c>
      <c r="AH203" s="69" t="n">
        <f aca="false">AG206</f>
        <v>49999.9999999999</v>
      </c>
      <c r="AI203" s="69" t="n">
        <f aca="false">AH206</f>
        <v>48333.3333333333</v>
      </c>
      <c r="AJ203" s="69" t="n">
        <f aca="false">AI206</f>
        <v>46666.6666666666</v>
      </c>
      <c r="AK203" s="69" t="n">
        <f aca="false">AJ206</f>
        <v>44999.9999999999</v>
      </c>
      <c r="AL203" s="69" t="n">
        <f aca="false">AK206</f>
        <v>43333.3333333333</v>
      </c>
      <c r="AM203" s="69" t="n">
        <f aca="false">AL206</f>
        <v>41666.6666666666</v>
      </c>
      <c r="AN203" s="69" t="n">
        <f aca="false">AM206</f>
        <v>39999.9999999999</v>
      </c>
      <c r="AO203" s="69" t="n">
        <f aca="false">AN206</f>
        <v>38333.3333333333</v>
      </c>
      <c r="AP203" s="69" t="n">
        <f aca="false">AO206</f>
        <v>36666.6666666666</v>
      </c>
      <c r="AQ203" s="69" t="n">
        <f aca="false">AP206</f>
        <v>35000</v>
      </c>
      <c r="AR203" s="69" t="n">
        <f aca="false">AQ206</f>
        <v>33333.3333333333</v>
      </c>
      <c r="AS203" s="69" t="n">
        <f aca="false">AR206</f>
        <v>31666.6666666666</v>
      </c>
      <c r="AT203" s="69" t="n">
        <f aca="false">AS206</f>
        <v>30000</v>
      </c>
      <c r="AU203" s="69" t="n">
        <f aca="false">AT206</f>
        <v>28333.3333333333</v>
      </c>
      <c r="AV203" s="69" t="n">
        <f aca="false">AU206</f>
        <v>26666.6666666666</v>
      </c>
      <c r="AW203" s="69" t="n">
        <f aca="false">AV206</f>
        <v>24999.9999999999</v>
      </c>
      <c r="AX203" s="69" t="n">
        <f aca="false">AW206</f>
        <v>23333.3333333333</v>
      </c>
      <c r="AY203" s="69" t="n">
        <f aca="false">AX206</f>
        <v>21666.6666666666</v>
      </c>
      <c r="AZ203" s="69" t="n">
        <f aca="false">AY206</f>
        <v>19999.9999999999</v>
      </c>
      <c r="BA203" s="69" t="n">
        <f aca="false">AZ206</f>
        <v>18333.3333333333</v>
      </c>
      <c r="BB203" s="69" t="n">
        <f aca="false">BA206</f>
        <v>16666.6666666666</v>
      </c>
      <c r="BC203" s="69" t="n">
        <f aca="false">BB206</f>
        <v>14999.9999999999</v>
      </c>
      <c r="BD203" s="69" t="n">
        <f aca="false">BC206</f>
        <v>13333.3333333333</v>
      </c>
      <c r="BE203" s="69" t="n">
        <f aca="false">BD206</f>
        <v>11666.6666666666</v>
      </c>
      <c r="BF203" s="69" t="n">
        <f aca="false">BE206</f>
        <v>9999.99999999994</v>
      </c>
      <c r="BG203" s="69" t="n">
        <f aca="false">BF206</f>
        <v>8333.33333333328</v>
      </c>
      <c r="BH203" s="69" t="n">
        <f aca="false">BG206</f>
        <v>6666.66666666661</v>
      </c>
      <c r="BI203" s="69" t="n">
        <f aca="false">BH206</f>
        <v>4999.99999999994</v>
      </c>
      <c r="BJ203" s="69" t="n">
        <f aca="false">BI206</f>
        <v>3333.33333333328</v>
      </c>
    </row>
    <row r="204" customFormat="false" ht="15" hidden="false" customHeight="false" outlineLevel="0" collapsed="false">
      <c r="A204" s="6" t="s">
        <v>85</v>
      </c>
      <c r="C204" s="69" t="n">
        <f aca="false">IF(C$132=1,Inputs!$C$72,0)</f>
        <v>100000</v>
      </c>
      <c r="D204" s="69" t="n">
        <f aca="false">IF(D$132=1,Inputs!$C$72,0)</f>
        <v>0</v>
      </c>
      <c r="E204" s="69" t="n">
        <f aca="false">IF(E$132=1,Inputs!$C$72,0)</f>
        <v>0</v>
      </c>
      <c r="F204" s="69" t="n">
        <f aca="false">IF(F$132=1,Inputs!$C$72,0)</f>
        <v>0</v>
      </c>
      <c r="G204" s="69" t="n">
        <f aca="false">IF(G$132=1,Inputs!$C$72,0)</f>
        <v>0</v>
      </c>
      <c r="H204" s="69" t="n">
        <f aca="false">IF(H$132=1,Inputs!$C$72,0)</f>
        <v>0</v>
      </c>
      <c r="I204" s="69" t="n">
        <f aca="false">IF(I$132=1,Inputs!$C$72,0)</f>
        <v>0</v>
      </c>
      <c r="J204" s="69" t="n">
        <f aca="false">IF(J$132=1,Inputs!$C$72,0)</f>
        <v>0</v>
      </c>
      <c r="K204" s="69" t="n">
        <f aca="false">IF(K$132=1,Inputs!$C$72,0)</f>
        <v>0</v>
      </c>
      <c r="L204" s="69" t="n">
        <f aca="false">IF(L$132=1,Inputs!$C$72,0)</f>
        <v>0</v>
      </c>
      <c r="M204" s="69" t="n">
        <f aca="false">IF(M$132=1,Inputs!$C$72,0)</f>
        <v>0</v>
      </c>
      <c r="N204" s="69" t="n">
        <f aca="false">IF(N$132=1,Inputs!$C$72,0)</f>
        <v>0</v>
      </c>
      <c r="O204" s="69" t="n">
        <f aca="false">IF(O$132=1,Inputs!$C$72,0)</f>
        <v>0</v>
      </c>
      <c r="P204" s="69" t="n">
        <f aca="false">IF(P$132=1,Inputs!$C$72,0)</f>
        <v>0</v>
      </c>
      <c r="Q204" s="69" t="n">
        <f aca="false">IF(Q$132=1,Inputs!$C$72,0)</f>
        <v>0</v>
      </c>
      <c r="R204" s="69" t="n">
        <f aca="false">IF(R$132=1,Inputs!$C$72,0)</f>
        <v>0</v>
      </c>
      <c r="S204" s="69" t="n">
        <f aca="false">IF(S$132=1,Inputs!$C$72,0)</f>
        <v>0</v>
      </c>
      <c r="T204" s="69" t="n">
        <f aca="false">IF(T$132=1,Inputs!$C$72,0)</f>
        <v>0</v>
      </c>
      <c r="U204" s="69" t="n">
        <f aca="false">IF(U$132=1,Inputs!$C$72,0)</f>
        <v>0</v>
      </c>
      <c r="V204" s="69" t="n">
        <f aca="false">IF(V$132=1,Inputs!$C$72,0)</f>
        <v>0</v>
      </c>
      <c r="W204" s="69" t="n">
        <f aca="false">IF(W$132=1,Inputs!$C$72,0)</f>
        <v>0</v>
      </c>
      <c r="X204" s="69" t="n">
        <f aca="false">IF(X$132=1,Inputs!$C$72,0)</f>
        <v>0</v>
      </c>
      <c r="Y204" s="69" t="n">
        <f aca="false">IF(Y$132=1,Inputs!$C$72,0)</f>
        <v>0</v>
      </c>
      <c r="Z204" s="69" t="n">
        <f aca="false">IF(Z$132=1,Inputs!$C$72,0)</f>
        <v>0</v>
      </c>
      <c r="AA204" s="69" t="n">
        <f aca="false">IF(AA$132=1,Inputs!$C$72,0)</f>
        <v>0</v>
      </c>
      <c r="AB204" s="69" t="n">
        <f aca="false">IF(AB$132=1,Inputs!$C$72,0)</f>
        <v>0</v>
      </c>
      <c r="AC204" s="69" t="n">
        <f aca="false">IF(AC$132=1,Inputs!$C$72,0)</f>
        <v>0</v>
      </c>
      <c r="AD204" s="69" t="n">
        <f aca="false">IF(AD$132=1,Inputs!$C$72,0)</f>
        <v>0</v>
      </c>
      <c r="AE204" s="69" t="n">
        <f aca="false">IF(AE$132=1,Inputs!$C$72,0)</f>
        <v>0</v>
      </c>
      <c r="AF204" s="69" t="n">
        <f aca="false">IF(AF$132=1,Inputs!$C$72,0)</f>
        <v>0</v>
      </c>
      <c r="AG204" s="69" t="n">
        <f aca="false">IF(AG$132=1,Inputs!$C$72,0)</f>
        <v>0</v>
      </c>
      <c r="AH204" s="69" t="n">
        <f aca="false">IF(AH$132=1,Inputs!$C$72,0)</f>
        <v>0</v>
      </c>
      <c r="AI204" s="69" t="n">
        <f aca="false">IF(AI$132=1,Inputs!$C$72,0)</f>
        <v>0</v>
      </c>
      <c r="AJ204" s="69" t="n">
        <f aca="false">IF(AJ$132=1,Inputs!$C$72,0)</f>
        <v>0</v>
      </c>
      <c r="AK204" s="69" t="n">
        <f aca="false">IF(AK$132=1,Inputs!$C$72,0)</f>
        <v>0</v>
      </c>
      <c r="AL204" s="69" t="n">
        <f aca="false">IF(AL$132=1,Inputs!$C$72,0)</f>
        <v>0</v>
      </c>
      <c r="AM204" s="69" t="n">
        <f aca="false">IF(AM$132=1,Inputs!$C$72,0)</f>
        <v>0</v>
      </c>
      <c r="AN204" s="69" t="n">
        <f aca="false">IF(AN$132=1,Inputs!$C$72,0)</f>
        <v>0</v>
      </c>
      <c r="AO204" s="69" t="n">
        <f aca="false">IF(AO$132=1,Inputs!$C$72,0)</f>
        <v>0</v>
      </c>
      <c r="AP204" s="69" t="n">
        <f aca="false">IF(AP$132=1,Inputs!$C$72,0)</f>
        <v>0</v>
      </c>
      <c r="AQ204" s="69" t="n">
        <f aca="false">IF(AQ$132=1,Inputs!$C$72,0)</f>
        <v>0</v>
      </c>
      <c r="AR204" s="69" t="n">
        <f aca="false">IF(AR$132=1,Inputs!$C$72,0)</f>
        <v>0</v>
      </c>
      <c r="AS204" s="69" t="n">
        <f aca="false">IF(AS$132=1,Inputs!$C$72,0)</f>
        <v>0</v>
      </c>
      <c r="AT204" s="69" t="n">
        <f aca="false">IF(AT$132=1,Inputs!$C$72,0)</f>
        <v>0</v>
      </c>
      <c r="AU204" s="69" t="n">
        <f aca="false">IF(AU$132=1,Inputs!$C$72,0)</f>
        <v>0</v>
      </c>
      <c r="AV204" s="69" t="n">
        <f aca="false">IF(AV$132=1,Inputs!$C$72,0)</f>
        <v>0</v>
      </c>
      <c r="AW204" s="69" t="n">
        <f aca="false">IF(AW$132=1,Inputs!$C$72,0)</f>
        <v>0</v>
      </c>
      <c r="AX204" s="69" t="n">
        <f aca="false">IF(AX$132=1,Inputs!$C$72,0)</f>
        <v>0</v>
      </c>
      <c r="AY204" s="69" t="n">
        <f aca="false">IF(AY$132=1,Inputs!$C$72,0)</f>
        <v>0</v>
      </c>
      <c r="AZ204" s="69" t="n">
        <f aca="false">IF(AZ$132=1,Inputs!$C$72,0)</f>
        <v>0</v>
      </c>
      <c r="BA204" s="69" t="n">
        <f aca="false">IF(BA$132=1,Inputs!$C$72,0)</f>
        <v>0</v>
      </c>
      <c r="BB204" s="69" t="n">
        <f aca="false">IF(BB$132=1,Inputs!$C$72,0)</f>
        <v>0</v>
      </c>
      <c r="BC204" s="69" t="n">
        <f aca="false">IF(BC$132=1,Inputs!$C$72,0)</f>
        <v>0</v>
      </c>
      <c r="BD204" s="69" t="n">
        <f aca="false">IF(BD$132=1,Inputs!$C$72,0)</f>
        <v>0</v>
      </c>
      <c r="BE204" s="69" t="n">
        <f aca="false">IF(BE$132=1,Inputs!$C$72,0)</f>
        <v>0</v>
      </c>
      <c r="BF204" s="69" t="n">
        <f aca="false">IF(BF$132=1,Inputs!$C$72,0)</f>
        <v>0</v>
      </c>
      <c r="BG204" s="69" t="n">
        <f aca="false">IF(BG$132=1,Inputs!$C$72,0)</f>
        <v>0</v>
      </c>
      <c r="BH204" s="69" t="n">
        <f aca="false">IF(BH$132=1,Inputs!$C$72,0)</f>
        <v>0</v>
      </c>
      <c r="BI204" s="69" t="n">
        <f aca="false">IF(BI$132=1,Inputs!$C$72,0)</f>
        <v>0</v>
      </c>
      <c r="BJ204" s="69" t="n">
        <f aca="false">IF(BJ$132=1,Inputs!$C$72,0)</f>
        <v>0</v>
      </c>
    </row>
    <row r="205" customFormat="false" ht="15" hidden="false" customHeight="false" outlineLevel="0" collapsed="false">
      <c r="A205" s="6" t="s">
        <v>86</v>
      </c>
      <c r="C205" s="69" t="n">
        <f aca="false">-MIN(C203,Inputs!$C$72/MAX(1,Inputs!$C$74*12))</f>
        <v>-0</v>
      </c>
      <c r="D205" s="69" t="n">
        <f aca="false">-MIN(D203,Inputs!$C$72/MAX(1,Inputs!$C$74*12))</f>
        <v>-1666.66666666667</v>
      </c>
      <c r="E205" s="69" t="n">
        <f aca="false">-MIN(E203,Inputs!$C$72/MAX(1,Inputs!$C$74*12))</f>
        <v>-1666.66666666667</v>
      </c>
      <c r="F205" s="69" t="n">
        <f aca="false">-MIN(F203,Inputs!$C$72/MAX(1,Inputs!$C$74*12))</f>
        <v>-1666.66666666667</v>
      </c>
      <c r="G205" s="69" t="n">
        <f aca="false">-MIN(G203,Inputs!$C$72/MAX(1,Inputs!$C$74*12))</f>
        <v>-1666.66666666667</v>
      </c>
      <c r="H205" s="69" t="n">
        <f aca="false">-MIN(H203,Inputs!$C$72/MAX(1,Inputs!$C$74*12))</f>
        <v>-1666.66666666667</v>
      </c>
      <c r="I205" s="69" t="n">
        <f aca="false">-MIN(I203,Inputs!$C$72/MAX(1,Inputs!$C$74*12))</f>
        <v>-1666.66666666667</v>
      </c>
      <c r="J205" s="69" t="n">
        <f aca="false">-MIN(J203,Inputs!$C$72/MAX(1,Inputs!$C$74*12))</f>
        <v>-1666.66666666667</v>
      </c>
      <c r="K205" s="69" t="n">
        <f aca="false">-MIN(K203,Inputs!$C$72/MAX(1,Inputs!$C$74*12))</f>
        <v>-1666.66666666667</v>
      </c>
      <c r="L205" s="69" t="n">
        <f aca="false">-MIN(L203,Inputs!$C$72/MAX(1,Inputs!$C$74*12))</f>
        <v>-1666.66666666667</v>
      </c>
      <c r="M205" s="69" t="n">
        <f aca="false">-MIN(M203,Inputs!$C$72/MAX(1,Inputs!$C$74*12))</f>
        <v>-1666.66666666667</v>
      </c>
      <c r="N205" s="69" t="n">
        <f aca="false">-MIN(N203,Inputs!$C$72/MAX(1,Inputs!$C$74*12))</f>
        <v>-1666.66666666667</v>
      </c>
      <c r="O205" s="69" t="n">
        <f aca="false">-MIN(O203,Inputs!$C$72/MAX(1,Inputs!$C$74*12))</f>
        <v>-1666.66666666667</v>
      </c>
      <c r="P205" s="69" t="n">
        <f aca="false">-MIN(P203,Inputs!$C$72/MAX(1,Inputs!$C$74*12))</f>
        <v>-1666.66666666667</v>
      </c>
      <c r="Q205" s="69" t="n">
        <f aca="false">-MIN(Q203,Inputs!$C$72/MAX(1,Inputs!$C$74*12))</f>
        <v>-1666.66666666667</v>
      </c>
      <c r="R205" s="69" t="n">
        <f aca="false">-MIN(R203,Inputs!$C$72/MAX(1,Inputs!$C$74*12))</f>
        <v>-1666.66666666667</v>
      </c>
      <c r="S205" s="69" t="n">
        <f aca="false">-MIN(S203,Inputs!$C$72/MAX(1,Inputs!$C$74*12))</f>
        <v>-1666.66666666667</v>
      </c>
      <c r="T205" s="69" t="n">
        <f aca="false">-MIN(T203,Inputs!$C$72/MAX(1,Inputs!$C$74*12))</f>
        <v>-1666.66666666667</v>
      </c>
      <c r="U205" s="69" t="n">
        <f aca="false">-MIN(U203,Inputs!$C$72/MAX(1,Inputs!$C$74*12))</f>
        <v>-1666.66666666667</v>
      </c>
      <c r="V205" s="69" t="n">
        <f aca="false">-MIN(V203,Inputs!$C$72/MAX(1,Inputs!$C$74*12))</f>
        <v>-1666.66666666667</v>
      </c>
      <c r="W205" s="69" t="n">
        <f aca="false">-MIN(W203,Inputs!$C$72/MAX(1,Inputs!$C$74*12))</f>
        <v>-1666.66666666667</v>
      </c>
      <c r="X205" s="69" t="n">
        <f aca="false">-MIN(X203,Inputs!$C$72/MAX(1,Inputs!$C$74*12))</f>
        <v>-1666.66666666667</v>
      </c>
      <c r="Y205" s="69" t="n">
        <f aca="false">-MIN(Y203,Inputs!$C$72/MAX(1,Inputs!$C$74*12))</f>
        <v>-1666.66666666667</v>
      </c>
      <c r="Z205" s="69" t="n">
        <f aca="false">-MIN(Z203,Inputs!$C$72/MAX(1,Inputs!$C$74*12))</f>
        <v>-1666.66666666667</v>
      </c>
      <c r="AA205" s="69" t="n">
        <f aca="false">-MIN(AA203,Inputs!$C$72/MAX(1,Inputs!$C$74*12))</f>
        <v>-1666.66666666667</v>
      </c>
      <c r="AB205" s="69" t="n">
        <f aca="false">-MIN(AB203,Inputs!$C$72/MAX(1,Inputs!$C$74*12))</f>
        <v>-1666.66666666667</v>
      </c>
      <c r="AC205" s="69" t="n">
        <f aca="false">-MIN(AC203,Inputs!$C$72/MAX(1,Inputs!$C$74*12))</f>
        <v>-1666.66666666667</v>
      </c>
      <c r="AD205" s="69" t="n">
        <f aca="false">-MIN(AD203,Inputs!$C$72/MAX(1,Inputs!$C$74*12))</f>
        <v>-1666.66666666667</v>
      </c>
      <c r="AE205" s="69" t="n">
        <f aca="false">-MIN(AE203,Inputs!$C$72/MAX(1,Inputs!$C$74*12))</f>
        <v>-1666.66666666667</v>
      </c>
      <c r="AF205" s="69" t="n">
        <f aca="false">-MIN(AF203,Inputs!$C$72/MAX(1,Inputs!$C$74*12))</f>
        <v>-1666.66666666667</v>
      </c>
      <c r="AG205" s="69" t="n">
        <f aca="false">-MIN(AG203,Inputs!$C$72/MAX(1,Inputs!$C$74*12))</f>
        <v>-1666.66666666667</v>
      </c>
      <c r="AH205" s="69" t="n">
        <f aca="false">-MIN(AH203,Inputs!$C$72/MAX(1,Inputs!$C$74*12))</f>
        <v>-1666.66666666667</v>
      </c>
      <c r="AI205" s="69" t="n">
        <f aca="false">-MIN(AI203,Inputs!$C$72/MAX(1,Inputs!$C$74*12))</f>
        <v>-1666.66666666667</v>
      </c>
      <c r="AJ205" s="69" t="n">
        <f aca="false">-MIN(AJ203,Inputs!$C$72/MAX(1,Inputs!$C$74*12))</f>
        <v>-1666.66666666667</v>
      </c>
      <c r="AK205" s="69" t="n">
        <f aca="false">-MIN(AK203,Inputs!$C$72/MAX(1,Inputs!$C$74*12))</f>
        <v>-1666.66666666667</v>
      </c>
      <c r="AL205" s="69" t="n">
        <f aca="false">-MIN(AL203,Inputs!$C$72/MAX(1,Inputs!$C$74*12))</f>
        <v>-1666.66666666667</v>
      </c>
      <c r="AM205" s="69" t="n">
        <f aca="false">-MIN(AM203,Inputs!$C$72/MAX(1,Inputs!$C$74*12))</f>
        <v>-1666.66666666667</v>
      </c>
      <c r="AN205" s="69" t="n">
        <f aca="false">-MIN(AN203,Inputs!$C$72/MAX(1,Inputs!$C$74*12))</f>
        <v>-1666.66666666667</v>
      </c>
      <c r="AO205" s="69" t="n">
        <f aca="false">-MIN(AO203,Inputs!$C$72/MAX(1,Inputs!$C$74*12))</f>
        <v>-1666.66666666667</v>
      </c>
      <c r="AP205" s="69" t="n">
        <f aca="false">-MIN(AP203,Inputs!$C$72/MAX(1,Inputs!$C$74*12))</f>
        <v>-1666.66666666667</v>
      </c>
      <c r="AQ205" s="69" t="n">
        <f aca="false">-MIN(AQ203,Inputs!$C$72/MAX(1,Inputs!$C$74*12))</f>
        <v>-1666.66666666667</v>
      </c>
      <c r="AR205" s="69" t="n">
        <f aca="false">-MIN(AR203,Inputs!$C$72/MAX(1,Inputs!$C$74*12))</f>
        <v>-1666.66666666667</v>
      </c>
      <c r="AS205" s="69" t="n">
        <f aca="false">-MIN(AS203,Inputs!$C$72/MAX(1,Inputs!$C$74*12))</f>
        <v>-1666.66666666667</v>
      </c>
      <c r="AT205" s="69" t="n">
        <f aca="false">-MIN(AT203,Inputs!$C$72/MAX(1,Inputs!$C$74*12))</f>
        <v>-1666.66666666667</v>
      </c>
      <c r="AU205" s="69" t="n">
        <f aca="false">-MIN(AU203,Inputs!$C$72/MAX(1,Inputs!$C$74*12))</f>
        <v>-1666.66666666667</v>
      </c>
      <c r="AV205" s="69" t="n">
        <f aca="false">-MIN(AV203,Inputs!$C$72/MAX(1,Inputs!$C$74*12))</f>
        <v>-1666.66666666667</v>
      </c>
      <c r="AW205" s="69" t="n">
        <f aca="false">-MIN(AW203,Inputs!$C$72/MAX(1,Inputs!$C$74*12))</f>
        <v>-1666.66666666667</v>
      </c>
      <c r="AX205" s="69" t="n">
        <f aca="false">-MIN(AX203,Inputs!$C$72/MAX(1,Inputs!$C$74*12))</f>
        <v>-1666.66666666667</v>
      </c>
      <c r="AY205" s="69" t="n">
        <f aca="false">-MIN(AY203,Inputs!$C$72/MAX(1,Inputs!$C$74*12))</f>
        <v>-1666.66666666667</v>
      </c>
      <c r="AZ205" s="69" t="n">
        <f aca="false">-MIN(AZ203,Inputs!$C$72/MAX(1,Inputs!$C$74*12))</f>
        <v>-1666.66666666667</v>
      </c>
      <c r="BA205" s="69" t="n">
        <f aca="false">-MIN(BA203,Inputs!$C$72/MAX(1,Inputs!$C$74*12))</f>
        <v>-1666.66666666667</v>
      </c>
      <c r="BB205" s="69" t="n">
        <f aca="false">-MIN(BB203,Inputs!$C$72/MAX(1,Inputs!$C$74*12))</f>
        <v>-1666.66666666667</v>
      </c>
      <c r="BC205" s="69" t="n">
        <f aca="false">-MIN(BC203,Inputs!$C$72/MAX(1,Inputs!$C$74*12))</f>
        <v>-1666.66666666667</v>
      </c>
      <c r="BD205" s="69" t="n">
        <f aca="false">-MIN(BD203,Inputs!$C$72/MAX(1,Inputs!$C$74*12))</f>
        <v>-1666.66666666667</v>
      </c>
      <c r="BE205" s="69" t="n">
        <f aca="false">-MIN(BE203,Inputs!$C$72/MAX(1,Inputs!$C$74*12))</f>
        <v>-1666.66666666667</v>
      </c>
      <c r="BF205" s="69" t="n">
        <f aca="false">-MIN(BF203,Inputs!$C$72/MAX(1,Inputs!$C$74*12))</f>
        <v>-1666.66666666667</v>
      </c>
      <c r="BG205" s="69" t="n">
        <f aca="false">-MIN(BG203,Inputs!$C$72/MAX(1,Inputs!$C$74*12))</f>
        <v>-1666.66666666667</v>
      </c>
      <c r="BH205" s="69" t="n">
        <f aca="false">-MIN(BH203,Inputs!$C$72/MAX(1,Inputs!$C$74*12))</f>
        <v>-1666.66666666667</v>
      </c>
      <c r="BI205" s="69" t="n">
        <f aca="false">-MIN(BI203,Inputs!$C$72/MAX(1,Inputs!$C$74*12))</f>
        <v>-1666.66666666667</v>
      </c>
      <c r="BJ205" s="69" t="n">
        <f aca="false">-MIN(BJ203,Inputs!$C$72/MAX(1,Inputs!$C$74*12))</f>
        <v>-1666.66666666667</v>
      </c>
    </row>
    <row r="206" customFormat="false" ht="15" hidden="false" customHeight="false" outlineLevel="0" collapsed="false">
      <c r="A206" s="4" t="s">
        <v>443</v>
      </c>
      <c r="C206" s="75" t="n">
        <f aca="false">C203+C204+C205</f>
        <v>100000</v>
      </c>
      <c r="D206" s="75" t="n">
        <f aca="false">D203+D204+D205</f>
        <v>98333.3333333333</v>
      </c>
      <c r="E206" s="75" t="n">
        <f aca="false">E203+E204+E205</f>
        <v>96666.6666666667</v>
      </c>
      <c r="F206" s="75" t="n">
        <f aca="false">F203+F204+F205</f>
        <v>95000</v>
      </c>
      <c r="G206" s="75" t="n">
        <f aca="false">G203+G204+G205</f>
        <v>93333.3333333333</v>
      </c>
      <c r="H206" s="75" t="n">
        <f aca="false">H203+H204+H205</f>
        <v>91666.6666666666</v>
      </c>
      <c r="I206" s="75" t="n">
        <f aca="false">I203+I204+I205</f>
        <v>90000</v>
      </c>
      <c r="J206" s="75" t="n">
        <f aca="false">J203+J204+J205</f>
        <v>88333.3333333333</v>
      </c>
      <c r="K206" s="75" t="n">
        <f aca="false">K203+K204+K205</f>
        <v>86666.6666666666</v>
      </c>
      <c r="L206" s="75" t="n">
        <f aca="false">L203+L204+L205</f>
        <v>85000</v>
      </c>
      <c r="M206" s="75" t="n">
        <f aca="false">M203+M204+M205</f>
        <v>83333.3333333333</v>
      </c>
      <c r="N206" s="75" t="n">
        <f aca="false">N203+N204+N205</f>
        <v>81666.6666666666</v>
      </c>
      <c r="O206" s="75" t="n">
        <f aca="false">O203+O204+O205</f>
        <v>79999.9999999999</v>
      </c>
      <c r="P206" s="75" t="n">
        <f aca="false">P203+P204+P205</f>
        <v>78333.3333333333</v>
      </c>
      <c r="Q206" s="75" t="n">
        <f aca="false">Q203+Q204+Q205</f>
        <v>76666.6666666666</v>
      </c>
      <c r="R206" s="75" t="n">
        <f aca="false">R203+R204+R205</f>
        <v>74999.9999999999</v>
      </c>
      <c r="S206" s="75" t="n">
        <f aca="false">S203+S204+S205</f>
        <v>73333.3333333333</v>
      </c>
      <c r="T206" s="75" t="n">
        <f aca="false">T203+T204+T205</f>
        <v>71666.6666666666</v>
      </c>
      <c r="U206" s="75" t="n">
        <f aca="false">U203+U204+U205</f>
        <v>69999.9999999999</v>
      </c>
      <c r="V206" s="75" t="n">
        <f aca="false">V203+V204+V205</f>
        <v>68333.3333333332</v>
      </c>
      <c r="W206" s="75" t="n">
        <f aca="false">W203+W204+W205</f>
        <v>66666.6666666666</v>
      </c>
      <c r="X206" s="75" t="n">
        <f aca="false">X203+X204+X205</f>
        <v>64999.9999999999</v>
      </c>
      <c r="Y206" s="75" t="n">
        <f aca="false">Y203+Y204+Y205</f>
        <v>63333.3333333332</v>
      </c>
      <c r="Z206" s="75" t="n">
        <f aca="false">Z203+Z204+Z205</f>
        <v>61666.6666666666</v>
      </c>
      <c r="AA206" s="75" t="n">
        <f aca="false">AA203+AA204+AA205</f>
        <v>59999.9999999999</v>
      </c>
      <c r="AB206" s="75" t="n">
        <f aca="false">AB203+AB204+AB205</f>
        <v>58333.3333333333</v>
      </c>
      <c r="AC206" s="75" t="n">
        <f aca="false">AC203+AC204+AC205</f>
        <v>56666.6666666666</v>
      </c>
      <c r="AD206" s="75" t="n">
        <f aca="false">AD203+AD204+AD205</f>
        <v>54999.9999999999</v>
      </c>
      <c r="AE206" s="75" t="n">
        <f aca="false">AE203+AE204+AE205</f>
        <v>53333.3333333333</v>
      </c>
      <c r="AF206" s="75" t="n">
        <f aca="false">AF203+AF204+AF205</f>
        <v>51666.6666666666</v>
      </c>
      <c r="AG206" s="75" t="n">
        <f aca="false">AG203+AG204+AG205</f>
        <v>49999.9999999999</v>
      </c>
      <c r="AH206" s="75" t="n">
        <f aca="false">AH203+AH204+AH205</f>
        <v>48333.3333333333</v>
      </c>
      <c r="AI206" s="75" t="n">
        <f aca="false">AI203+AI204+AI205</f>
        <v>46666.6666666666</v>
      </c>
      <c r="AJ206" s="75" t="n">
        <f aca="false">AJ203+AJ204+AJ205</f>
        <v>44999.9999999999</v>
      </c>
      <c r="AK206" s="75" t="n">
        <f aca="false">AK203+AK204+AK205</f>
        <v>43333.3333333333</v>
      </c>
      <c r="AL206" s="75" t="n">
        <f aca="false">AL203+AL204+AL205</f>
        <v>41666.6666666666</v>
      </c>
      <c r="AM206" s="75" t="n">
        <f aca="false">AM203+AM204+AM205</f>
        <v>39999.9999999999</v>
      </c>
      <c r="AN206" s="75" t="n">
        <f aca="false">AN203+AN204+AN205</f>
        <v>38333.3333333333</v>
      </c>
      <c r="AO206" s="75" t="n">
        <f aca="false">AO203+AO204+AO205</f>
        <v>36666.6666666666</v>
      </c>
      <c r="AP206" s="75" t="n">
        <f aca="false">AP203+AP204+AP205</f>
        <v>35000</v>
      </c>
      <c r="AQ206" s="75" t="n">
        <f aca="false">AQ203+AQ204+AQ205</f>
        <v>33333.3333333333</v>
      </c>
      <c r="AR206" s="75" t="n">
        <f aca="false">AR203+AR204+AR205</f>
        <v>31666.6666666666</v>
      </c>
      <c r="AS206" s="75" t="n">
        <f aca="false">AS203+AS204+AS205</f>
        <v>30000</v>
      </c>
      <c r="AT206" s="75" t="n">
        <f aca="false">AT203+AT204+AT205</f>
        <v>28333.3333333333</v>
      </c>
      <c r="AU206" s="75" t="n">
        <f aca="false">AU203+AU204+AU205</f>
        <v>26666.6666666666</v>
      </c>
      <c r="AV206" s="75" t="n">
        <f aca="false">AV203+AV204+AV205</f>
        <v>24999.9999999999</v>
      </c>
      <c r="AW206" s="75" t="n">
        <f aca="false">AW203+AW204+AW205</f>
        <v>23333.3333333333</v>
      </c>
      <c r="AX206" s="75" t="n">
        <f aca="false">AX203+AX204+AX205</f>
        <v>21666.6666666666</v>
      </c>
      <c r="AY206" s="75" t="n">
        <f aca="false">AY203+AY204+AY205</f>
        <v>19999.9999999999</v>
      </c>
      <c r="AZ206" s="75" t="n">
        <f aca="false">AZ203+AZ204+AZ205</f>
        <v>18333.3333333333</v>
      </c>
      <c r="BA206" s="75" t="n">
        <f aca="false">BA203+BA204+BA205</f>
        <v>16666.6666666666</v>
      </c>
      <c r="BB206" s="75" t="n">
        <f aca="false">BB203+BB204+BB205</f>
        <v>14999.9999999999</v>
      </c>
      <c r="BC206" s="75" t="n">
        <f aca="false">BC203+BC204+BC205</f>
        <v>13333.3333333333</v>
      </c>
      <c r="BD206" s="75" t="n">
        <f aca="false">BD203+BD204+BD205</f>
        <v>11666.6666666666</v>
      </c>
      <c r="BE206" s="75" t="n">
        <f aca="false">BE203+BE204+BE205</f>
        <v>9999.99999999994</v>
      </c>
      <c r="BF206" s="75" t="n">
        <f aca="false">BF203+BF204+BF205</f>
        <v>8333.33333333328</v>
      </c>
      <c r="BG206" s="75" t="n">
        <f aca="false">BG203+BG204+BG205</f>
        <v>6666.66666666661</v>
      </c>
      <c r="BH206" s="75" t="n">
        <f aca="false">BH203+BH204+BH205</f>
        <v>4999.99999999994</v>
      </c>
      <c r="BI206" s="75" t="n">
        <f aca="false">BI203+BI204+BI205</f>
        <v>3333.33333333328</v>
      </c>
      <c r="BJ206" s="75" t="n">
        <f aca="false">BJ203+BJ204+BJ205</f>
        <v>1666.66666666661</v>
      </c>
    </row>
    <row r="208" customFormat="false" ht="15.75" hidden="false" customHeight="true" outlineLevel="0" collapsed="false">
      <c r="A208" s="7" t="s">
        <v>321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customFormat="false" ht="15" hidden="false" customHeight="false" outlineLevel="0" collapsed="false">
      <c r="A209" s="6" t="s">
        <v>90</v>
      </c>
      <c r="C209" s="69" t="n">
        <f aca="false">C159*Inputs!$C$77/30</f>
        <v>1667.12746666667</v>
      </c>
      <c r="D209" s="69" t="n">
        <f aca="false">D159*Inputs!$C$77/30</f>
        <v>1917.19658666667</v>
      </c>
      <c r="E209" s="69" t="n">
        <f aca="false">E159*Inputs!$C$77/30</f>
        <v>2167.26570666667</v>
      </c>
      <c r="F209" s="69" t="n">
        <f aca="false">F159*Inputs!$C$77/30</f>
        <v>2417.33482666667</v>
      </c>
      <c r="G209" s="69" t="n">
        <f aca="false">G159*Inputs!$C$77/30</f>
        <v>2667.40394666667</v>
      </c>
      <c r="H209" s="69" t="n">
        <f aca="false">H159*Inputs!$C$77/30</f>
        <v>3352.86186666667</v>
      </c>
      <c r="I209" s="69" t="n">
        <f aca="false">I159*Inputs!$C$77/30</f>
        <v>3640.25002666667</v>
      </c>
      <c r="J209" s="69" t="n">
        <f aca="false">J159*Inputs!$C$77/30</f>
        <v>3927.63818666667</v>
      </c>
      <c r="K209" s="69" t="n">
        <f aca="false">K159*Inputs!$C$77/30</f>
        <v>3667.68042666667</v>
      </c>
      <c r="L209" s="69" t="n">
        <f aca="false">L159*Inputs!$C$77/30</f>
        <v>3917.74954666667</v>
      </c>
      <c r="M209" s="69" t="n">
        <f aca="false">M159*Inputs!$C$77/30</f>
        <v>4167.81866666667</v>
      </c>
      <c r="N209" s="69" t="n">
        <f aca="false">N159*Inputs!$C$77/30</f>
        <v>4789.80266666667</v>
      </c>
      <c r="O209" s="69" t="n">
        <f aca="false">O159*Inputs!$C$77/30</f>
        <v>4421.63882346667</v>
      </c>
      <c r="P209" s="69" t="n">
        <f aca="false">P159*Inputs!$C$77/30</f>
        <v>4421.63882346667</v>
      </c>
      <c r="Q209" s="69" t="n">
        <f aca="false">Q159*Inputs!$C$77/30</f>
        <v>4421.63882346667</v>
      </c>
      <c r="R209" s="69" t="n">
        <f aca="false">R159*Inputs!$C$77/30</f>
        <v>4421.63882346667</v>
      </c>
      <c r="S209" s="69" t="n">
        <f aca="false">S159*Inputs!$C$77/30</f>
        <v>4421.63882346667</v>
      </c>
      <c r="T209" s="69" t="n">
        <f aca="false">T159*Inputs!$C$77/30</f>
        <v>5081.50164906667</v>
      </c>
      <c r="U209" s="69" t="n">
        <f aca="false">U159*Inputs!$C$77/30</f>
        <v>5081.50164906667</v>
      </c>
      <c r="V209" s="69" t="n">
        <f aca="false">V159*Inputs!$C$77/30</f>
        <v>5081.50164906667</v>
      </c>
      <c r="W209" s="69" t="n">
        <f aca="false">W159*Inputs!$C$77/30</f>
        <v>4421.63882346667</v>
      </c>
      <c r="X209" s="69" t="n">
        <f aca="false">X159*Inputs!$C$77/30</f>
        <v>4421.63882346667</v>
      </c>
      <c r="Y209" s="69" t="n">
        <f aca="false">Y159*Inputs!$C$77/30</f>
        <v>4421.63882346667</v>
      </c>
      <c r="Z209" s="69" t="n">
        <f aca="false">Z159*Inputs!$C$77/30</f>
        <v>5081.50164906667</v>
      </c>
      <c r="AA209" s="69" t="n">
        <f aca="false">AA159*Inputs!$C$77/30</f>
        <v>4690.91662781579</v>
      </c>
      <c r="AB209" s="69" t="n">
        <f aca="false">AB159*Inputs!$C$77/30</f>
        <v>4690.91662781579</v>
      </c>
      <c r="AC209" s="69" t="n">
        <f aca="false">AC159*Inputs!$C$77/30</f>
        <v>4690.91662781579</v>
      </c>
      <c r="AD209" s="69" t="n">
        <f aca="false">AD159*Inputs!$C$77/30</f>
        <v>4690.91662781579</v>
      </c>
      <c r="AE209" s="69" t="n">
        <f aca="false">AE159*Inputs!$C$77/30</f>
        <v>4690.91662781579</v>
      </c>
      <c r="AF209" s="69" t="n">
        <f aca="false">AF159*Inputs!$C$77/30</f>
        <v>5390.96509949483</v>
      </c>
      <c r="AG209" s="69" t="n">
        <f aca="false">AG159*Inputs!$C$77/30</f>
        <v>5390.96509949483</v>
      </c>
      <c r="AH209" s="69" t="n">
        <f aca="false">AH159*Inputs!$C$77/30</f>
        <v>5390.96509949483</v>
      </c>
      <c r="AI209" s="69" t="n">
        <f aca="false">AI159*Inputs!$C$77/30</f>
        <v>4690.91662781579</v>
      </c>
      <c r="AJ209" s="69" t="n">
        <f aca="false">AJ159*Inputs!$C$77/30</f>
        <v>4690.91662781579</v>
      </c>
      <c r="AK209" s="69" t="n">
        <f aca="false">AK159*Inputs!$C$77/30</f>
        <v>4690.91662781579</v>
      </c>
      <c r="AL209" s="69" t="n">
        <f aca="false">AL159*Inputs!$C$77/30</f>
        <v>5390.96509949483</v>
      </c>
      <c r="AM209" s="69" t="n">
        <f aca="false">AM159*Inputs!$C$77/30</f>
        <v>4976.59345044977</v>
      </c>
      <c r="AN209" s="69" t="n">
        <f aca="false">AN159*Inputs!$C$77/30</f>
        <v>4976.59345044977</v>
      </c>
      <c r="AO209" s="69" t="n">
        <f aca="false">AO159*Inputs!$C$77/30</f>
        <v>4976.59345044977</v>
      </c>
      <c r="AP209" s="69" t="n">
        <f aca="false">AP159*Inputs!$C$77/30</f>
        <v>4976.59345044977</v>
      </c>
      <c r="AQ209" s="69" t="n">
        <f aca="false">AQ159*Inputs!$C$77/30</f>
        <v>4976.59345044977</v>
      </c>
      <c r="AR209" s="69" t="n">
        <f aca="false">AR159*Inputs!$C$77/30</f>
        <v>5719.27487405406</v>
      </c>
      <c r="AS209" s="69" t="n">
        <f aca="false">AS159*Inputs!$C$77/30</f>
        <v>5719.27487405406</v>
      </c>
      <c r="AT209" s="69" t="n">
        <f aca="false">AT159*Inputs!$C$77/30</f>
        <v>5719.27487405406</v>
      </c>
      <c r="AU209" s="69" t="n">
        <f aca="false">AU159*Inputs!$C$77/30</f>
        <v>4976.59345044977</v>
      </c>
      <c r="AV209" s="69" t="n">
        <f aca="false">AV159*Inputs!$C$77/30</f>
        <v>4976.59345044977</v>
      </c>
      <c r="AW209" s="69" t="n">
        <f aca="false">AW159*Inputs!$C$77/30</f>
        <v>4976.59345044977</v>
      </c>
      <c r="AX209" s="69" t="n">
        <f aca="false">AX159*Inputs!$C$77/30</f>
        <v>5719.27487405406</v>
      </c>
      <c r="AY209" s="69" t="n">
        <f aca="false">AY159*Inputs!$C$77/30</f>
        <v>5279.66799158216</v>
      </c>
      <c r="AZ209" s="69" t="n">
        <f aca="false">AZ159*Inputs!$C$77/30</f>
        <v>5279.66799158216</v>
      </c>
      <c r="BA209" s="69" t="n">
        <f aca="false">BA159*Inputs!$C$77/30</f>
        <v>5279.66799158216</v>
      </c>
      <c r="BB209" s="69" t="n">
        <f aca="false">BB159*Inputs!$C$77/30</f>
        <v>5279.66799158216</v>
      </c>
      <c r="BC209" s="69" t="n">
        <f aca="false">BC159*Inputs!$C$77/30</f>
        <v>5279.66799158216</v>
      </c>
      <c r="BD209" s="69" t="n">
        <f aca="false">BD159*Inputs!$C$77/30</f>
        <v>6067.57871388396</v>
      </c>
      <c r="BE209" s="69" t="n">
        <f aca="false">BE159*Inputs!$C$77/30</f>
        <v>6067.57871388396</v>
      </c>
      <c r="BF209" s="69" t="n">
        <f aca="false">BF159*Inputs!$C$77/30</f>
        <v>6067.57871388396</v>
      </c>
      <c r="BG209" s="69" t="n">
        <f aca="false">BG159*Inputs!$C$77/30</f>
        <v>5279.66799158216</v>
      </c>
      <c r="BH209" s="69" t="n">
        <f aca="false">BH159*Inputs!$C$77/30</f>
        <v>5279.66799158216</v>
      </c>
      <c r="BI209" s="69" t="n">
        <f aca="false">BI159*Inputs!$C$77/30</f>
        <v>5279.66799158216</v>
      </c>
      <c r="BJ209" s="69" t="n">
        <f aca="false">BJ159*Inputs!$C$77/30</f>
        <v>6067.57871388396</v>
      </c>
    </row>
    <row r="210" customFormat="false" ht="15" hidden="false" customHeight="false" outlineLevel="0" collapsed="false">
      <c r="A210" s="6" t="s">
        <v>91</v>
      </c>
      <c r="C210" s="69" t="n">
        <f aca="false">-C167*Inputs!$C$78/30</f>
        <v>2194.04074666667</v>
      </c>
      <c r="D210" s="69" t="n">
        <f aca="false">-D167*Inputs!$C$78/30</f>
        <v>2408.14685866667</v>
      </c>
      <c r="E210" s="69" t="n">
        <f aca="false">-E167*Inputs!$C$78/30</f>
        <v>2622.25297066667</v>
      </c>
      <c r="F210" s="69" t="n">
        <f aca="false">-F167*Inputs!$C$78/30</f>
        <v>2836.35908266667</v>
      </c>
      <c r="G210" s="69" t="n">
        <f aca="false">-G167*Inputs!$C$78/30</f>
        <v>3050.46519466667</v>
      </c>
      <c r="H210" s="69" t="n">
        <f aca="false">-H167*Inputs!$C$78/30</f>
        <v>3407.06218666667</v>
      </c>
      <c r="I210" s="69" t="n">
        <f aca="false">-I167*Inputs!$C$78/30</f>
        <v>3633.38180266667</v>
      </c>
      <c r="J210" s="69" t="n">
        <f aca="false">-J167*Inputs!$C$78/30</f>
        <v>3859.70141866667</v>
      </c>
      <c r="K210" s="69" t="n">
        <f aca="false">-K167*Inputs!$C$78/30</f>
        <v>3906.88964266667</v>
      </c>
      <c r="L210" s="69" t="n">
        <f aca="false">-L167*Inputs!$C$78/30</f>
        <v>4120.99575466667</v>
      </c>
      <c r="M210" s="69" t="n">
        <f aca="false">-M167*Inputs!$C$78/30</f>
        <v>4335.10186666667</v>
      </c>
      <c r="N210" s="69" t="n">
        <f aca="false">-N167*Inputs!$C$78/30</f>
        <v>4538.66026666667</v>
      </c>
      <c r="O210" s="69" t="n">
        <f aca="false">-O167*Inputs!$C$78/30</f>
        <v>4575.41957034667</v>
      </c>
      <c r="P210" s="69" t="n">
        <f aca="false">-P167*Inputs!$C$78/30</f>
        <v>4575.41957034667</v>
      </c>
      <c r="Q210" s="69" t="n">
        <f aca="false">-Q167*Inputs!$C$78/30</f>
        <v>4575.41957034667</v>
      </c>
      <c r="R210" s="69" t="n">
        <f aca="false">-R167*Inputs!$C$78/30</f>
        <v>4575.41957034667</v>
      </c>
      <c r="S210" s="69" t="n">
        <f aca="false">-S167*Inputs!$C$78/30</f>
        <v>4575.41957034667</v>
      </c>
      <c r="T210" s="69" t="n">
        <f aca="false">-T167*Inputs!$C$78/30</f>
        <v>4791.37467690667</v>
      </c>
      <c r="U210" s="69" t="n">
        <f aca="false">-U167*Inputs!$C$78/30</f>
        <v>4791.37467690667</v>
      </c>
      <c r="V210" s="69" t="n">
        <f aca="false">-V167*Inputs!$C$78/30</f>
        <v>4791.37467690667</v>
      </c>
      <c r="W210" s="69" t="n">
        <f aca="false">-W167*Inputs!$C$78/30</f>
        <v>4575.41957034667</v>
      </c>
      <c r="X210" s="69" t="n">
        <f aca="false">-X167*Inputs!$C$78/30</f>
        <v>4575.41957034667</v>
      </c>
      <c r="Y210" s="69" t="n">
        <f aca="false">-Y167*Inputs!$C$78/30</f>
        <v>4575.41957034667</v>
      </c>
      <c r="Z210" s="69" t="n">
        <f aca="false">-Z167*Inputs!$C$78/30</f>
        <v>4791.37467690667</v>
      </c>
      <c r="AA210" s="69" t="n">
        <f aca="false">-AA167*Inputs!$C$78/30</f>
        <v>4829.66192218078</v>
      </c>
      <c r="AB210" s="69" t="n">
        <f aca="false">-AB167*Inputs!$C$78/30</f>
        <v>4829.66192218078</v>
      </c>
      <c r="AC210" s="69" t="n">
        <f aca="false">-AC167*Inputs!$C$78/30</f>
        <v>4829.66192218078</v>
      </c>
      <c r="AD210" s="69" t="n">
        <f aca="false">-AD167*Inputs!$C$78/30</f>
        <v>4829.66192218078</v>
      </c>
      <c r="AE210" s="69" t="n">
        <f aca="false">-AE167*Inputs!$C$78/30</f>
        <v>4829.66192218078</v>
      </c>
      <c r="AF210" s="69" t="n">
        <f aca="false">-AF167*Inputs!$C$78/30</f>
        <v>5058.76869473028</v>
      </c>
      <c r="AG210" s="69" t="n">
        <f aca="false">-AG167*Inputs!$C$78/30</f>
        <v>5058.76869473028</v>
      </c>
      <c r="AH210" s="69" t="n">
        <f aca="false">-AH167*Inputs!$C$78/30</f>
        <v>5058.76869473028</v>
      </c>
      <c r="AI210" s="69" t="n">
        <f aca="false">-AI167*Inputs!$C$78/30</f>
        <v>4829.66192218078</v>
      </c>
      <c r="AJ210" s="69" t="n">
        <f aca="false">-AJ167*Inputs!$C$78/30</f>
        <v>4829.66192218078</v>
      </c>
      <c r="AK210" s="69" t="n">
        <f aca="false">-AK167*Inputs!$C$78/30</f>
        <v>4829.66192218078</v>
      </c>
      <c r="AL210" s="69" t="n">
        <f aca="false">-AL167*Inputs!$C$78/30</f>
        <v>5058.76869473028</v>
      </c>
      <c r="AM210" s="69" t="n">
        <f aca="false">-AM167*Inputs!$C$78/30</f>
        <v>5098.65561224159</v>
      </c>
      <c r="AN210" s="69" t="n">
        <f aca="false">-AN167*Inputs!$C$78/30</f>
        <v>5098.65561224159</v>
      </c>
      <c r="AO210" s="69" t="n">
        <f aca="false">-AO167*Inputs!$C$78/30</f>
        <v>5098.65561224159</v>
      </c>
      <c r="AP210" s="69" t="n">
        <f aca="false">-AP167*Inputs!$C$78/30</f>
        <v>5098.65561224159</v>
      </c>
      <c r="AQ210" s="69" t="n">
        <f aca="false">-AQ167*Inputs!$C$78/30</f>
        <v>5098.65561224159</v>
      </c>
      <c r="AR210" s="69" t="n">
        <f aca="false">-AR167*Inputs!$C$78/30</f>
        <v>5341.71498723936</v>
      </c>
      <c r="AS210" s="69" t="n">
        <f aca="false">-AS167*Inputs!$C$78/30</f>
        <v>5341.71498723936</v>
      </c>
      <c r="AT210" s="69" t="n">
        <f aca="false">-AT167*Inputs!$C$78/30</f>
        <v>5341.71498723936</v>
      </c>
      <c r="AU210" s="69" t="n">
        <f aca="false">-AU167*Inputs!$C$78/30</f>
        <v>5098.65561224159</v>
      </c>
      <c r="AV210" s="69" t="n">
        <f aca="false">-AV167*Inputs!$C$78/30</f>
        <v>5098.65561224159</v>
      </c>
      <c r="AW210" s="69" t="n">
        <f aca="false">-AW167*Inputs!$C$78/30</f>
        <v>5098.65561224159</v>
      </c>
      <c r="AX210" s="69" t="n">
        <f aca="false">-AX167*Inputs!$C$78/30</f>
        <v>5341.71498723936</v>
      </c>
      <c r="AY210" s="69" t="n">
        <f aca="false">-AY167*Inputs!$C$78/30</f>
        <v>5383.2770363971</v>
      </c>
      <c r="AZ210" s="69" t="n">
        <f aca="false">-AZ167*Inputs!$C$78/30</f>
        <v>5383.2770363971</v>
      </c>
      <c r="BA210" s="69" t="n">
        <f aca="false">-BA167*Inputs!$C$78/30</f>
        <v>5383.2770363971</v>
      </c>
      <c r="BB210" s="69" t="n">
        <f aca="false">-BB167*Inputs!$C$78/30</f>
        <v>5383.2770363971</v>
      </c>
      <c r="BC210" s="69" t="n">
        <f aca="false">-BC167*Inputs!$C$78/30</f>
        <v>5383.2770363971</v>
      </c>
      <c r="BD210" s="69" t="n">
        <f aca="false">-BD167*Inputs!$C$78/30</f>
        <v>5641.13872733224</v>
      </c>
      <c r="BE210" s="69" t="n">
        <f aca="false">-BE167*Inputs!$C$78/30</f>
        <v>5641.13872733224</v>
      </c>
      <c r="BF210" s="69" t="n">
        <f aca="false">-BF167*Inputs!$C$78/30</f>
        <v>5641.13872733224</v>
      </c>
      <c r="BG210" s="69" t="n">
        <f aca="false">-BG167*Inputs!$C$78/30</f>
        <v>5383.2770363971</v>
      </c>
      <c r="BH210" s="69" t="n">
        <f aca="false">-BH167*Inputs!$C$78/30</f>
        <v>5383.2770363971</v>
      </c>
      <c r="BI210" s="69" t="n">
        <f aca="false">-BI167*Inputs!$C$78/30</f>
        <v>5383.2770363971</v>
      </c>
      <c r="BJ210" s="69" t="n">
        <f aca="false">-BJ167*Inputs!$C$78/30</f>
        <v>5641.13872733224</v>
      </c>
    </row>
    <row r="211" customFormat="false" ht="15" hidden="false" customHeight="false" outlineLevel="0" collapsed="false">
      <c r="A211" s="6" t="s">
        <v>94</v>
      </c>
      <c r="C211" s="69" t="n">
        <f aca="false">-C167*Inputs!$C$79/30</f>
        <v>9141.83644444444</v>
      </c>
      <c r="D211" s="69" t="n">
        <f aca="false">-D167*Inputs!$C$79/30</f>
        <v>10033.9452444444</v>
      </c>
      <c r="E211" s="69" t="n">
        <f aca="false">-E167*Inputs!$C$79/30</f>
        <v>10926.0540444444</v>
      </c>
      <c r="F211" s="69" t="n">
        <f aca="false">-F167*Inputs!$C$79/30</f>
        <v>11818.1628444444</v>
      </c>
      <c r="G211" s="69" t="n">
        <f aca="false">-G167*Inputs!$C$79/30</f>
        <v>12710.2716444444</v>
      </c>
      <c r="H211" s="69" t="n">
        <f aca="false">-H167*Inputs!$C$79/30</f>
        <v>14196.0924444444</v>
      </c>
      <c r="I211" s="69" t="n">
        <f aca="false">-I167*Inputs!$C$79/30</f>
        <v>15139.0908444444</v>
      </c>
      <c r="J211" s="69" t="n">
        <f aca="false">-J167*Inputs!$C$79/30</f>
        <v>16082.0892444444</v>
      </c>
      <c r="K211" s="69" t="n">
        <f aca="false">-K167*Inputs!$C$79/30</f>
        <v>16278.7068444444</v>
      </c>
      <c r="L211" s="69" t="n">
        <f aca="false">-L167*Inputs!$C$79/30</f>
        <v>17170.8156444444</v>
      </c>
      <c r="M211" s="69" t="n">
        <f aca="false">-M167*Inputs!$C$79/30</f>
        <v>18062.9244444444</v>
      </c>
      <c r="N211" s="69" t="n">
        <f aca="false">-N167*Inputs!$C$79/30</f>
        <v>18911.0844444444</v>
      </c>
      <c r="O211" s="69" t="n">
        <f aca="false">-O167*Inputs!$C$79/30</f>
        <v>19064.2482097778</v>
      </c>
      <c r="P211" s="69" t="n">
        <f aca="false">-P167*Inputs!$C$79/30</f>
        <v>19064.2482097778</v>
      </c>
      <c r="Q211" s="69" t="n">
        <f aca="false">-Q167*Inputs!$C$79/30</f>
        <v>19064.2482097778</v>
      </c>
      <c r="R211" s="69" t="n">
        <f aca="false">-R167*Inputs!$C$79/30</f>
        <v>19064.2482097778</v>
      </c>
      <c r="S211" s="69" t="n">
        <f aca="false">-S167*Inputs!$C$79/30</f>
        <v>19064.2482097778</v>
      </c>
      <c r="T211" s="69" t="n">
        <f aca="false">-T167*Inputs!$C$79/30</f>
        <v>19964.0611537778</v>
      </c>
      <c r="U211" s="69" t="n">
        <f aca="false">-U167*Inputs!$C$79/30</f>
        <v>19964.0611537778</v>
      </c>
      <c r="V211" s="69" t="n">
        <f aca="false">-V167*Inputs!$C$79/30</f>
        <v>19964.0611537778</v>
      </c>
      <c r="W211" s="69" t="n">
        <f aca="false">-W167*Inputs!$C$79/30</f>
        <v>19064.2482097778</v>
      </c>
      <c r="X211" s="69" t="n">
        <f aca="false">-X167*Inputs!$C$79/30</f>
        <v>19064.2482097778</v>
      </c>
      <c r="Y211" s="69" t="n">
        <f aca="false">-Y167*Inputs!$C$79/30</f>
        <v>19064.2482097778</v>
      </c>
      <c r="Z211" s="69" t="n">
        <f aca="false">-Z167*Inputs!$C$79/30</f>
        <v>19964.0611537778</v>
      </c>
      <c r="AA211" s="69" t="n">
        <f aca="false">-AA167*Inputs!$C$79/30</f>
        <v>20123.5913424199</v>
      </c>
      <c r="AB211" s="69" t="n">
        <f aca="false">-AB167*Inputs!$C$79/30</f>
        <v>20123.5913424199</v>
      </c>
      <c r="AC211" s="69" t="n">
        <f aca="false">-AC167*Inputs!$C$79/30</f>
        <v>20123.5913424199</v>
      </c>
      <c r="AD211" s="69" t="n">
        <f aca="false">-AD167*Inputs!$C$79/30</f>
        <v>20123.5913424199</v>
      </c>
      <c r="AE211" s="69" t="n">
        <f aca="false">-AE167*Inputs!$C$79/30</f>
        <v>20123.5913424199</v>
      </c>
      <c r="AF211" s="69" t="n">
        <f aca="false">-AF167*Inputs!$C$79/30</f>
        <v>21078.2028947095</v>
      </c>
      <c r="AG211" s="69" t="n">
        <f aca="false">-AG167*Inputs!$C$79/30</f>
        <v>21078.2028947095</v>
      </c>
      <c r="AH211" s="69" t="n">
        <f aca="false">-AH167*Inputs!$C$79/30</f>
        <v>21078.2028947095</v>
      </c>
      <c r="AI211" s="69" t="n">
        <f aca="false">-AI167*Inputs!$C$79/30</f>
        <v>20123.5913424199</v>
      </c>
      <c r="AJ211" s="69" t="n">
        <f aca="false">-AJ167*Inputs!$C$79/30</f>
        <v>20123.5913424199</v>
      </c>
      <c r="AK211" s="69" t="n">
        <f aca="false">-AK167*Inputs!$C$79/30</f>
        <v>20123.5913424199</v>
      </c>
      <c r="AL211" s="69" t="n">
        <f aca="false">-AL167*Inputs!$C$79/30</f>
        <v>21078.2028947095</v>
      </c>
      <c r="AM211" s="69" t="n">
        <f aca="false">-AM167*Inputs!$C$79/30</f>
        <v>21244.3983843399</v>
      </c>
      <c r="AN211" s="69" t="n">
        <f aca="false">-AN167*Inputs!$C$79/30</f>
        <v>21244.3983843399</v>
      </c>
      <c r="AO211" s="69" t="n">
        <f aca="false">-AO167*Inputs!$C$79/30</f>
        <v>21244.3983843399</v>
      </c>
      <c r="AP211" s="69" t="n">
        <f aca="false">-AP167*Inputs!$C$79/30</f>
        <v>21244.3983843399</v>
      </c>
      <c r="AQ211" s="69" t="n">
        <f aca="false">-AQ167*Inputs!$C$79/30</f>
        <v>21244.3983843399</v>
      </c>
      <c r="AR211" s="69" t="n">
        <f aca="false">-AR167*Inputs!$C$79/30</f>
        <v>22257.145780164</v>
      </c>
      <c r="AS211" s="69" t="n">
        <f aca="false">-AS167*Inputs!$C$79/30</f>
        <v>22257.145780164</v>
      </c>
      <c r="AT211" s="69" t="n">
        <f aca="false">-AT167*Inputs!$C$79/30</f>
        <v>22257.145780164</v>
      </c>
      <c r="AU211" s="69" t="n">
        <f aca="false">-AU167*Inputs!$C$79/30</f>
        <v>21244.3983843399</v>
      </c>
      <c r="AV211" s="69" t="n">
        <f aca="false">-AV167*Inputs!$C$79/30</f>
        <v>21244.3983843399</v>
      </c>
      <c r="AW211" s="69" t="n">
        <f aca="false">-AW167*Inputs!$C$79/30</f>
        <v>21244.3983843399</v>
      </c>
      <c r="AX211" s="69" t="n">
        <f aca="false">-AX167*Inputs!$C$79/30</f>
        <v>22257.145780164</v>
      </c>
      <c r="AY211" s="69" t="n">
        <f aca="false">-AY167*Inputs!$C$79/30</f>
        <v>22430.3209849879</v>
      </c>
      <c r="AZ211" s="69" t="n">
        <f aca="false">-AZ167*Inputs!$C$79/30</f>
        <v>22430.3209849879</v>
      </c>
      <c r="BA211" s="69" t="n">
        <f aca="false">-BA167*Inputs!$C$79/30</f>
        <v>22430.3209849879</v>
      </c>
      <c r="BB211" s="69" t="n">
        <f aca="false">-BB167*Inputs!$C$79/30</f>
        <v>22430.3209849879</v>
      </c>
      <c r="BC211" s="69" t="n">
        <f aca="false">-BC167*Inputs!$C$79/30</f>
        <v>22430.3209849879</v>
      </c>
      <c r="BD211" s="69" t="n">
        <f aca="false">-BD167*Inputs!$C$79/30</f>
        <v>23504.7446972176</v>
      </c>
      <c r="BE211" s="69" t="n">
        <f aca="false">-BE167*Inputs!$C$79/30</f>
        <v>23504.7446972176</v>
      </c>
      <c r="BF211" s="69" t="n">
        <f aca="false">-BF167*Inputs!$C$79/30</f>
        <v>23504.7446972176</v>
      </c>
      <c r="BG211" s="69" t="n">
        <f aca="false">-BG167*Inputs!$C$79/30</f>
        <v>22430.3209849879</v>
      </c>
      <c r="BH211" s="69" t="n">
        <f aca="false">-BH167*Inputs!$C$79/30</f>
        <v>22430.3209849879</v>
      </c>
      <c r="BI211" s="69" t="n">
        <f aca="false">-BI167*Inputs!$C$79/30</f>
        <v>22430.3209849879</v>
      </c>
      <c r="BJ211" s="69" t="n">
        <f aca="false">-BJ167*Inputs!$C$79/30</f>
        <v>23504.7446972176</v>
      </c>
    </row>
    <row r="212" customFormat="false" ht="15" hidden="false" customHeight="false" outlineLevel="0" collapsed="false">
      <c r="A212" s="6" t="s">
        <v>344</v>
      </c>
      <c r="C212" s="69" t="n">
        <f aca="false">-C209</f>
        <v>-1667.12746666667</v>
      </c>
      <c r="D212" s="69" t="n">
        <f aca="false">C209-D209</f>
        <v>-250.06912</v>
      </c>
      <c r="E212" s="69" t="n">
        <f aca="false">D209-E209</f>
        <v>-250.069120000001</v>
      </c>
      <c r="F212" s="69" t="n">
        <f aca="false">E209-F209</f>
        <v>-250.06912</v>
      </c>
      <c r="G212" s="69" t="n">
        <f aca="false">F209-G209</f>
        <v>-250.06912</v>
      </c>
      <c r="H212" s="69" t="n">
        <f aca="false">G209-H209</f>
        <v>-685.457919999999</v>
      </c>
      <c r="I212" s="69" t="n">
        <f aca="false">H209-I209</f>
        <v>-287.38816</v>
      </c>
      <c r="J212" s="69" t="n">
        <f aca="false">I209-J209</f>
        <v>-287.38816</v>
      </c>
      <c r="K212" s="69" t="n">
        <f aca="false">J209-K209</f>
        <v>259.957760000001</v>
      </c>
      <c r="L212" s="69" t="n">
        <f aca="false">K209-L209</f>
        <v>-250.06912</v>
      </c>
      <c r="M212" s="69" t="n">
        <f aca="false">L209-M209</f>
        <v>-250.069120000001</v>
      </c>
      <c r="N212" s="69" t="n">
        <f aca="false">M209-N209</f>
        <v>-621.984</v>
      </c>
      <c r="O212" s="69" t="n">
        <f aca="false">N209-O209</f>
        <v>368.163843200001</v>
      </c>
      <c r="P212" s="69" t="n">
        <f aca="false">O209-P209</f>
        <v>0</v>
      </c>
      <c r="Q212" s="69" t="n">
        <f aca="false">P209-Q209</f>
        <v>0</v>
      </c>
      <c r="R212" s="69" t="n">
        <f aca="false">Q209-R209</f>
        <v>0</v>
      </c>
      <c r="S212" s="69" t="n">
        <f aca="false">R209-S209</f>
        <v>0</v>
      </c>
      <c r="T212" s="69" t="n">
        <f aca="false">S209-T209</f>
        <v>-659.862825599999</v>
      </c>
      <c r="U212" s="69" t="n">
        <f aca="false">T209-U209</f>
        <v>0</v>
      </c>
      <c r="V212" s="69" t="n">
        <f aca="false">U209-V209</f>
        <v>0</v>
      </c>
      <c r="W212" s="69" t="n">
        <f aca="false">V209-W209</f>
        <v>659.862825599999</v>
      </c>
      <c r="X212" s="69" t="n">
        <f aca="false">W209-X209</f>
        <v>0</v>
      </c>
      <c r="Y212" s="69" t="n">
        <f aca="false">X209-Y209</f>
        <v>0</v>
      </c>
      <c r="Z212" s="69" t="n">
        <f aca="false">Y209-Z209</f>
        <v>-659.862825599999</v>
      </c>
      <c r="AA212" s="69" t="n">
        <f aca="false">Z209-AA209</f>
        <v>390.58502125088</v>
      </c>
      <c r="AB212" s="69" t="n">
        <f aca="false">AA209-AB209</f>
        <v>0</v>
      </c>
      <c r="AC212" s="69" t="n">
        <f aca="false">AB209-AC209</f>
        <v>0</v>
      </c>
      <c r="AD212" s="69" t="n">
        <f aca="false">AC209-AD209</f>
        <v>0</v>
      </c>
      <c r="AE212" s="69" t="n">
        <f aca="false">AD209-AE209</f>
        <v>0</v>
      </c>
      <c r="AF212" s="69" t="n">
        <f aca="false">AE209-AF209</f>
        <v>-700.048471679041</v>
      </c>
      <c r="AG212" s="69" t="n">
        <f aca="false">AF209-AG209</f>
        <v>0</v>
      </c>
      <c r="AH212" s="69" t="n">
        <f aca="false">AG209-AH209</f>
        <v>0</v>
      </c>
      <c r="AI212" s="69" t="n">
        <f aca="false">AH209-AI209</f>
        <v>700.048471679041</v>
      </c>
      <c r="AJ212" s="69" t="n">
        <f aca="false">AI209-AJ209</f>
        <v>0</v>
      </c>
      <c r="AK212" s="69" t="n">
        <f aca="false">AJ209-AK209</f>
        <v>0</v>
      </c>
      <c r="AL212" s="69" t="n">
        <f aca="false">AK209-AL209</f>
        <v>-700.048471679041</v>
      </c>
      <c r="AM212" s="69" t="n">
        <f aca="false">AL209-AM209</f>
        <v>414.371649045057</v>
      </c>
      <c r="AN212" s="69" t="n">
        <f aca="false">AM209-AN209</f>
        <v>0</v>
      </c>
      <c r="AO212" s="69" t="n">
        <f aca="false">AN209-AO209</f>
        <v>0</v>
      </c>
      <c r="AP212" s="69" t="n">
        <f aca="false">AO209-AP209</f>
        <v>0</v>
      </c>
      <c r="AQ212" s="69" t="n">
        <f aca="false">AP209-AQ209</f>
        <v>0</v>
      </c>
      <c r="AR212" s="69" t="n">
        <f aca="false">AQ209-AR209</f>
        <v>-742.681423604292</v>
      </c>
      <c r="AS212" s="69" t="n">
        <f aca="false">AR209-AS209</f>
        <v>0</v>
      </c>
      <c r="AT212" s="69" t="n">
        <f aca="false">AS209-AT209</f>
        <v>0</v>
      </c>
      <c r="AU212" s="69" t="n">
        <f aca="false">AT209-AU209</f>
        <v>742.681423604292</v>
      </c>
      <c r="AV212" s="69" t="n">
        <f aca="false">AU209-AV209</f>
        <v>0</v>
      </c>
      <c r="AW212" s="69" t="n">
        <f aca="false">AV209-AW209</f>
        <v>0</v>
      </c>
      <c r="AX212" s="69" t="n">
        <f aca="false">AW209-AX209</f>
        <v>-742.681423604292</v>
      </c>
      <c r="AY212" s="69" t="n">
        <f aca="false">AX209-AY209</f>
        <v>439.6068824719</v>
      </c>
      <c r="AZ212" s="69" t="n">
        <f aca="false">AY209-AZ209</f>
        <v>0</v>
      </c>
      <c r="BA212" s="69" t="n">
        <f aca="false">AZ209-BA209</f>
        <v>0</v>
      </c>
      <c r="BB212" s="69" t="n">
        <f aca="false">BA209-BB209</f>
        <v>0</v>
      </c>
      <c r="BC212" s="69" t="n">
        <f aca="false">BB209-BC209</f>
        <v>0</v>
      </c>
      <c r="BD212" s="69" t="n">
        <f aca="false">BC209-BD209</f>
        <v>-787.910722301795</v>
      </c>
      <c r="BE212" s="69" t="n">
        <f aca="false">BD209-BE209</f>
        <v>0</v>
      </c>
      <c r="BF212" s="69" t="n">
        <f aca="false">BE209-BF209</f>
        <v>0</v>
      </c>
      <c r="BG212" s="69" t="n">
        <f aca="false">BF209-BG209</f>
        <v>787.910722301795</v>
      </c>
      <c r="BH212" s="69" t="n">
        <f aca="false">BG209-BH209</f>
        <v>0</v>
      </c>
      <c r="BI212" s="69" t="n">
        <f aca="false">BH209-BI209</f>
        <v>0</v>
      </c>
      <c r="BJ212" s="69" t="n">
        <f aca="false">BI209-BJ209</f>
        <v>-787.910722301795</v>
      </c>
    </row>
    <row r="213" customFormat="false" ht="15" hidden="false" customHeight="false" outlineLevel="0" collapsed="false">
      <c r="A213" s="6" t="s">
        <v>345</v>
      </c>
      <c r="C213" s="69" t="n">
        <f aca="false">-C210</f>
        <v>-2194.04074666667</v>
      </c>
      <c r="D213" s="69" t="n">
        <f aca="false">C210-D210</f>
        <v>-214.106112</v>
      </c>
      <c r="E213" s="69" t="n">
        <f aca="false">D210-E210</f>
        <v>-214.106112</v>
      </c>
      <c r="F213" s="69" t="n">
        <f aca="false">E210-F210</f>
        <v>-214.106112</v>
      </c>
      <c r="G213" s="69" t="n">
        <f aca="false">F210-G210</f>
        <v>-214.106111999999</v>
      </c>
      <c r="H213" s="69" t="n">
        <f aca="false">G210-H210</f>
        <v>-356.596992</v>
      </c>
      <c r="I213" s="69" t="n">
        <f aca="false">H210-I210</f>
        <v>-226.319615999999</v>
      </c>
      <c r="J213" s="69" t="n">
        <f aca="false">I210-J210</f>
        <v>-226.319616000001</v>
      </c>
      <c r="K213" s="69" t="n">
        <f aca="false">J210-K210</f>
        <v>-47.188224</v>
      </c>
      <c r="L213" s="69" t="n">
        <f aca="false">K210-L210</f>
        <v>-214.106111999999</v>
      </c>
      <c r="M213" s="69" t="n">
        <f aca="false">L210-M210</f>
        <v>-214.106112</v>
      </c>
      <c r="N213" s="69" t="n">
        <f aca="false">M210-N210</f>
        <v>-203.558400000001</v>
      </c>
      <c r="O213" s="69" t="n">
        <f aca="false">N210-O210</f>
        <v>-36.7593036799999</v>
      </c>
      <c r="P213" s="69" t="n">
        <f aca="false">O210-P210</f>
        <v>0</v>
      </c>
      <c r="Q213" s="69" t="n">
        <f aca="false">P210-Q210</f>
        <v>0</v>
      </c>
      <c r="R213" s="69" t="n">
        <f aca="false">Q210-R210</f>
        <v>0</v>
      </c>
      <c r="S213" s="69" t="n">
        <f aca="false">R210-S210</f>
        <v>0</v>
      </c>
      <c r="T213" s="69" t="n">
        <f aca="false">S210-T210</f>
        <v>-215.95510656</v>
      </c>
      <c r="U213" s="69" t="n">
        <f aca="false">T210-U210</f>
        <v>0</v>
      </c>
      <c r="V213" s="69" t="n">
        <f aca="false">U210-V210</f>
        <v>0</v>
      </c>
      <c r="W213" s="69" t="n">
        <f aca="false">V210-W210</f>
        <v>215.95510656</v>
      </c>
      <c r="X213" s="69" t="n">
        <f aca="false">W210-X210</f>
        <v>0</v>
      </c>
      <c r="Y213" s="69" t="n">
        <f aca="false">X210-Y210</f>
        <v>0</v>
      </c>
      <c r="Z213" s="69" t="n">
        <f aca="false">Y210-Z210</f>
        <v>-215.95510656</v>
      </c>
      <c r="AA213" s="69" t="n">
        <f aca="false">Z210-AA210</f>
        <v>-38.2872452741112</v>
      </c>
      <c r="AB213" s="69" t="n">
        <f aca="false">AA210-AB210</f>
        <v>0</v>
      </c>
      <c r="AC213" s="69" t="n">
        <f aca="false">AB210-AC210</f>
        <v>0</v>
      </c>
      <c r="AD213" s="69" t="n">
        <f aca="false">AC210-AD210</f>
        <v>0</v>
      </c>
      <c r="AE213" s="69" t="n">
        <f aca="false">AD210-AE210</f>
        <v>0</v>
      </c>
      <c r="AF213" s="69" t="n">
        <f aca="false">AE210-AF210</f>
        <v>-229.106772549504</v>
      </c>
      <c r="AG213" s="69" t="n">
        <f aca="false">AF210-AG210</f>
        <v>0</v>
      </c>
      <c r="AH213" s="69" t="n">
        <f aca="false">AG210-AH210</f>
        <v>0</v>
      </c>
      <c r="AI213" s="69" t="n">
        <f aca="false">AH210-AI210</f>
        <v>229.106772549504</v>
      </c>
      <c r="AJ213" s="69" t="n">
        <f aca="false">AI210-AJ210</f>
        <v>0</v>
      </c>
      <c r="AK213" s="69" t="n">
        <f aca="false">AJ210-AK210</f>
        <v>0</v>
      </c>
      <c r="AL213" s="69" t="n">
        <f aca="false">AK210-AL210</f>
        <v>-229.106772549504</v>
      </c>
      <c r="AM213" s="69" t="n">
        <f aca="false">AL210-AM210</f>
        <v>-39.8869175113059</v>
      </c>
      <c r="AN213" s="69" t="n">
        <f aca="false">AM210-AN210</f>
        <v>0</v>
      </c>
      <c r="AO213" s="69" t="n">
        <f aca="false">AN210-AO210</f>
        <v>0</v>
      </c>
      <c r="AP213" s="69" t="n">
        <f aca="false">AO210-AP210</f>
        <v>0</v>
      </c>
      <c r="AQ213" s="69" t="n">
        <f aca="false">AP210-AQ210</f>
        <v>0</v>
      </c>
      <c r="AR213" s="69" t="n">
        <f aca="false">AQ210-AR210</f>
        <v>-243.059374997768</v>
      </c>
      <c r="AS213" s="69" t="n">
        <f aca="false">AR210-AS210</f>
        <v>0</v>
      </c>
      <c r="AT213" s="69" t="n">
        <f aca="false">AS210-AT210</f>
        <v>0</v>
      </c>
      <c r="AU213" s="69" t="n">
        <f aca="false">AT210-AU210</f>
        <v>243.059374997768</v>
      </c>
      <c r="AV213" s="69" t="n">
        <f aca="false">AU210-AV210</f>
        <v>0</v>
      </c>
      <c r="AW213" s="69" t="n">
        <f aca="false">AV210-AW210</f>
        <v>0</v>
      </c>
      <c r="AX213" s="69" t="n">
        <f aca="false">AW210-AX210</f>
        <v>-243.059374997768</v>
      </c>
      <c r="AY213" s="69" t="n">
        <f aca="false">AX210-AY210</f>
        <v>-41.5620491577474</v>
      </c>
      <c r="AZ213" s="69" t="n">
        <f aca="false">AY210-AZ210</f>
        <v>0</v>
      </c>
      <c r="BA213" s="69" t="n">
        <f aca="false">AZ210-BA210</f>
        <v>0</v>
      </c>
      <c r="BB213" s="69" t="n">
        <f aca="false">BA210-BB210</f>
        <v>0</v>
      </c>
      <c r="BC213" s="69" t="n">
        <f aca="false">BB210-BC210</f>
        <v>0</v>
      </c>
      <c r="BD213" s="69" t="n">
        <f aca="false">BC210-BD210</f>
        <v>-257.861690935132</v>
      </c>
      <c r="BE213" s="69" t="n">
        <f aca="false">BD210-BE210</f>
        <v>0</v>
      </c>
      <c r="BF213" s="69" t="n">
        <f aca="false">BE210-BF210</f>
        <v>0</v>
      </c>
      <c r="BG213" s="69" t="n">
        <f aca="false">BF210-BG210</f>
        <v>257.861690935132</v>
      </c>
      <c r="BH213" s="69" t="n">
        <f aca="false">BG210-BH210</f>
        <v>0</v>
      </c>
      <c r="BI213" s="69" t="n">
        <f aca="false">BH210-BI210</f>
        <v>0</v>
      </c>
      <c r="BJ213" s="69" t="n">
        <f aca="false">BI210-BJ210</f>
        <v>-257.861690935132</v>
      </c>
    </row>
    <row r="214" customFormat="false" ht="15" hidden="false" customHeight="false" outlineLevel="0" collapsed="false">
      <c r="A214" s="6" t="s">
        <v>346</v>
      </c>
      <c r="C214" s="69" t="n">
        <f aca="false">C211</f>
        <v>9141.83644444444</v>
      </c>
      <c r="D214" s="69" t="n">
        <f aca="false">D211-C211</f>
        <v>892.108800000004</v>
      </c>
      <c r="E214" s="69" t="n">
        <f aca="false">E211-D211</f>
        <v>892.1088</v>
      </c>
      <c r="F214" s="69" t="n">
        <f aca="false">F211-E211</f>
        <v>892.108800000002</v>
      </c>
      <c r="G214" s="69" t="n">
        <f aca="false">G211-F211</f>
        <v>892.1088</v>
      </c>
      <c r="H214" s="69" t="n">
        <f aca="false">H211-G211</f>
        <v>1485.8208</v>
      </c>
      <c r="I214" s="69" t="n">
        <f aca="false">I211-H211</f>
        <v>942.998399999999</v>
      </c>
      <c r="J214" s="69" t="n">
        <f aca="false">J211-I211</f>
        <v>942.998400000004</v>
      </c>
      <c r="K214" s="69" t="n">
        <f aca="false">K211-J211</f>
        <v>196.6176</v>
      </c>
      <c r="L214" s="69" t="n">
        <f aca="false">L211-K211</f>
        <v>892.108799999995</v>
      </c>
      <c r="M214" s="69" t="n">
        <f aca="false">M211-L211</f>
        <v>892.108800000002</v>
      </c>
      <c r="N214" s="69" t="n">
        <f aca="false">N211-M211</f>
        <v>848.160000000004</v>
      </c>
      <c r="O214" s="69" t="n">
        <f aca="false">O211-N211</f>
        <v>153.163765333331</v>
      </c>
      <c r="P214" s="69" t="n">
        <f aca="false">P211-O211</f>
        <v>0</v>
      </c>
      <c r="Q214" s="69" t="n">
        <f aca="false">Q211-P211</f>
        <v>0</v>
      </c>
      <c r="R214" s="69" t="n">
        <f aca="false">R211-Q211</f>
        <v>0</v>
      </c>
      <c r="S214" s="69" t="n">
        <f aca="false">S211-R211</f>
        <v>0</v>
      </c>
      <c r="T214" s="69" t="n">
        <f aca="false">T211-S211</f>
        <v>899.812944000001</v>
      </c>
      <c r="U214" s="69" t="n">
        <f aca="false">U211-T211</f>
        <v>0</v>
      </c>
      <c r="V214" s="69" t="n">
        <f aca="false">V211-U211</f>
        <v>0</v>
      </c>
      <c r="W214" s="69" t="n">
        <f aca="false">W211-V211</f>
        <v>-899.812944000001</v>
      </c>
      <c r="X214" s="69" t="n">
        <f aca="false">X211-W211</f>
        <v>0</v>
      </c>
      <c r="Y214" s="69" t="n">
        <f aca="false">Y211-X211</f>
        <v>0</v>
      </c>
      <c r="Z214" s="69" t="n">
        <f aca="false">Z211-Y211</f>
        <v>899.812944000001</v>
      </c>
      <c r="AA214" s="69" t="n">
        <f aca="false">AA211-Z211</f>
        <v>159.530188642129</v>
      </c>
      <c r="AB214" s="69" t="n">
        <f aca="false">AB211-AA211</f>
        <v>0</v>
      </c>
      <c r="AC214" s="69" t="n">
        <f aca="false">AC211-AB211</f>
        <v>0</v>
      </c>
      <c r="AD214" s="69" t="n">
        <f aca="false">AD211-AC211</f>
        <v>0</v>
      </c>
      <c r="AE214" s="69" t="n">
        <f aca="false">AE211-AD211</f>
        <v>0</v>
      </c>
      <c r="AF214" s="69" t="n">
        <f aca="false">AF211-AE211</f>
        <v>954.611552289596</v>
      </c>
      <c r="AG214" s="69" t="n">
        <f aca="false">AG211-AF211</f>
        <v>0</v>
      </c>
      <c r="AH214" s="69" t="n">
        <f aca="false">AH211-AG211</f>
        <v>0</v>
      </c>
      <c r="AI214" s="69" t="n">
        <f aca="false">AI211-AH211</f>
        <v>-954.611552289596</v>
      </c>
      <c r="AJ214" s="69" t="n">
        <f aca="false">AJ211-AI211</f>
        <v>0</v>
      </c>
      <c r="AK214" s="69" t="n">
        <f aca="false">AK211-AJ211</f>
        <v>0</v>
      </c>
      <c r="AL214" s="69" t="n">
        <f aca="false">AL211-AK211</f>
        <v>954.611552289596</v>
      </c>
      <c r="AM214" s="69" t="n">
        <f aca="false">AM211-AL211</f>
        <v>166.195489630445</v>
      </c>
      <c r="AN214" s="69" t="n">
        <f aca="false">AN211-AM211</f>
        <v>0</v>
      </c>
      <c r="AO214" s="69" t="n">
        <f aca="false">AO211-AN211</f>
        <v>0</v>
      </c>
      <c r="AP214" s="69" t="n">
        <f aca="false">AP211-AO211</f>
        <v>0</v>
      </c>
      <c r="AQ214" s="69" t="n">
        <f aca="false">AQ211-AP211</f>
        <v>0</v>
      </c>
      <c r="AR214" s="69" t="n">
        <f aca="false">AR211-AQ211</f>
        <v>1012.74739582404</v>
      </c>
      <c r="AS214" s="69" t="n">
        <f aca="false">AS211-AR211</f>
        <v>0</v>
      </c>
      <c r="AT214" s="69" t="n">
        <f aca="false">AT211-AS211</f>
        <v>0</v>
      </c>
      <c r="AU214" s="69" t="n">
        <f aca="false">AU211-AT211</f>
        <v>-1012.74739582404</v>
      </c>
      <c r="AV214" s="69" t="n">
        <f aca="false">AV211-AU211</f>
        <v>0</v>
      </c>
      <c r="AW214" s="69" t="n">
        <f aca="false">AW211-AV211</f>
        <v>0</v>
      </c>
      <c r="AX214" s="69" t="n">
        <f aca="false">AX211-AW211</f>
        <v>1012.74739582404</v>
      </c>
      <c r="AY214" s="69" t="n">
        <f aca="false">AY211-AX211</f>
        <v>173.175204823943</v>
      </c>
      <c r="AZ214" s="69" t="n">
        <f aca="false">AZ211-AY211</f>
        <v>0</v>
      </c>
      <c r="BA214" s="69" t="n">
        <f aca="false">BA211-AZ211</f>
        <v>0</v>
      </c>
      <c r="BB214" s="69" t="n">
        <f aca="false">BB211-BA211</f>
        <v>0</v>
      </c>
      <c r="BC214" s="69" t="n">
        <f aca="false">BC211-BB211</f>
        <v>0</v>
      </c>
      <c r="BD214" s="69" t="n">
        <f aca="false">BD211-BC211</f>
        <v>1074.42371222972</v>
      </c>
      <c r="BE214" s="69" t="n">
        <f aca="false">BE211-BD211</f>
        <v>0</v>
      </c>
      <c r="BF214" s="69" t="n">
        <f aca="false">BF211-BE211</f>
        <v>0</v>
      </c>
      <c r="BG214" s="69" t="n">
        <f aca="false">BG211-BF211</f>
        <v>-1074.42371222972</v>
      </c>
      <c r="BH214" s="69" t="n">
        <f aca="false">BH211-BG211</f>
        <v>0</v>
      </c>
      <c r="BI214" s="69" t="n">
        <f aca="false">BI211-BH211</f>
        <v>0</v>
      </c>
      <c r="BJ214" s="69" t="n">
        <f aca="false">BJ211-BI211</f>
        <v>1074.42371222972</v>
      </c>
    </row>
    <row r="216" customFormat="false" ht="15.75" hidden="false" customHeight="true" outlineLevel="0" collapsed="false">
      <c r="A216" s="7" t="s">
        <v>444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4" t="s">
        <v>52</v>
      </c>
      <c r="C217" s="75" t="n">
        <f aca="false">C187-C198+C212+C213+C214</f>
        <v>-16920.3308622222</v>
      </c>
      <c r="D217" s="75" t="n">
        <f aca="false">D187-D198+D212+D213+D214</f>
        <v>-19198.8403893333</v>
      </c>
      <c r="E217" s="75" t="n">
        <f aca="false">E187-E198+E212+E213+E214</f>
        <v>-16618.3652533333</v>
      </c>
      <c r="F217" s="75" t="n">
        <f aca="false">F187-F198+F212+F213+F214</f>
        <v>-14037.8901173333</v>
      </c>
      <c r="G217" s="75" t="n">
        <f aca="false">G187-G198+G212+G213+G214</f>
        <v>-11457.4149813333</v>
      </c>
      <c r="H217" s="75" t="n">
        <f aca="false">H187-H198+H212+H213+H214</f>
        <v>-3238.65488533334</v>
      </c>
      <c r="I217" s="75" t="n">
        <f aca="false">I187-I198+I212+I213+I214</f>
        <v>-190.730501333334</v>
      </c>
      <c r="J217" s="75" t="n">
        <f aca="false">J187-J198+J212+J213+J214</f>
        <v>2871.66914666667</v>
      </c>
      <c r="K217" s="75" t="n">
        <f aca="false">K187-K198+K212+K213+K214</f>
        <v>-1154.06086933334</v>
      </c>
      <c r="L217" s="75" t="n">
        <f aca="false">L187-L198+L212+L213+L214</f>
        <v>1444.96069866666</v>
      </c>
      <c r="M217" s="75" t="n">
        <f aca="false">M187-M198+M212+M213+M214</f>
        <v>4025.43583466666</v>
      </c>
      <c r="N217" s="75" t="n">
        <f aca="false">N187-N198+N212+N213+N214</f>
        <v>11664.6950666667</v>
      </c>
      <c r="O217" s="75" t="n">
        <f aca="false">O187-O198+O212+O213+O214</f>
        <v>6361.44033456</v>
      </c>
      <c r="P217" s="75" t="n">
        <f aca="false">P187-P198+P212+P213+P214</f>
        <v>5889.37202970667</v>
      </c>
      <c r="Q217" s="75" t="n">
        <f aca="false">Q187-Q198+Q212+Q213+Q214</f>
        <v>5901.87202970667</v>
      </c>
      <c r="R217" s="75" t="n">
        <f aca="false">R187-R198+R212+R213+R214</f>
        <v>5914.37202970667</v>
      </c>
      <c r="S217" s="75" t="n">
        <f aca="false">S187-S198+S212+S213+S214</f>
        <v>5926.87202970667</v>
      </c>
      <c r="T217" s="75" t="n">
        <f aca="false">T187-T198+T212+T213+T214</f>
        <v>14484.5956212267</v>
      </c>
      <c r="U217" s="75" t="n">
        <f aca="false">U187-U198+U212+U213+U214</f>
        <v>14473.1006093867</v>
      </c>
      <c r="V217" s="75" t="n">
        <f aca="false">V187-V198+V212+V213+V214</f>
        <v>14485.6006093867</v>
      </c>
      <c r="W217" s="75" t="n">
        <f aca="false">W187-W198+W212+W213+W214</f>
        <v>5952.87701786667</v>
      </c>
      <c r="X217" s="75" t="n">
        <f aca="false">X187-X198+X212+X213+X214</f>
        <v>5989.37202970667</v>
      </c>
      <c r="Y217" s="75" t="n">
        <f aca="false">Y187-Y198+Y212+Y213+Y214</f>
        <v>6001.87202970667</v>
      </c>
      <c r="Z217" s="75" t="n">
        <f aca="false">Z187-Z198+Z212+Z213+Z214</f>
        <v>14559.5956212267</v>
      </c>
      <c r="AA217" s="75" t="n">
        <f aca="false">AA187-AA198+AA212+AA213+AA214</f>
        <v>8780.24153843469</v>
      </c>
      <c r="AB217" s="75" t="n">
        <f aca="false">AB187-AB198+AB212+AB213+AB214</f>
        <v>8280.91357381579</v>
      </c>
      <c r="AC217" s="75" t="n">
        <f aca="false">AC187-AC198+AC212+AC213+AC214</f>
        <v>7694.55221155984</v>
      </c>
      <c r="AD217" s="75" t="n">
        <f aca="false">AD187-AD198+AD212+AD213+AD214</f>
        <v>7018.85922331448</v>
      </c>
      <c r="AE217" s="75" t="n">
        <f aca="false">AE187-AE198+AE212+AE213+AE214</f>
        <v>7028.73422331448</v>
      </c>
      <c r="AF217" s="75" t="n">
        <f aca="false">AF187-AF198+AF212+AF213+AF214</f>
        <v>14205.8009375197</v>
      </c>
      <c r="AG217" s="75" t="n">
        <f aca="false">AG187-AG198+AG212+AG213+AG214</f>
        <v>14190.2196294587</v>
      </c>
      <c r="AH217" s="75" t="n">
        <f aca="false">AH187-AH198+AH212+AH213+AH214</f>
        <v>14200.0946294587</v>
      </c>
      <c r="AI217" s="75" t="n">
        <f aca="false">AI187-AI198+AI212+AI213+AI214</f>
        <v>7042.77791525342</v>
      </c>
      <c r="AJ217" s="75" t="n">
        <f aca="false">AJ187-AJ198+AJ212+AJ213+AJ214</f>
        <v>7078.10922331448</v>
      </c>
      <c r="AK217" s="75" t="n">
        <f aca="false">AK187-AK198+AK212+AK213+AK214</f>
        <v>7087.98422331448</v>
      </c>
      <c r="AL217" s="75" t="n">
        <f aca="false">AL187-AL198+AL212+AL213+AL214</f>
        <v>14265.0509375197</v>
      </c>
      <c r="AM217" s="75" t="n">
        <f aca="false">AM187-AM198+AM212+AM213+AM214</f>
        <v>9459.98183562979</v>
      </c>
      <c r="AN217" s="75" t="n">
        <f aca="false">AN187-AN198+AN212+AN213+AN214</f>
        <v>8929.17661446559</v>
      </c>
      <c r="AO217" s="75" t="n">
        <f aca="false">AO187-AO198+AO212+AO213+AO214</f>
        <v>8939.05161446559</v>
      </c>
      <c r="AP217" s="75" t="n">
        <f aca="false">AP187-AP198+AP212+AP213+AP214</f>
        <v>8948.92661446559</v>
      </c>
      <c r="AQ217" s="75" t="n">
        <f aca="false">AQ187-AQ198+AQ212+AQ213+AQ214</f>
        <v>8958.80161446559</v>
      </c>
      <c r="AR217" s="75" t="n">
        <f aca="false">AR187-AR198+AR212+AR213+AR214</f>
        <v>16572.3503040659</v>
      </c>
      <c r="AS217" s="75" t="n">
        <f aca="false">AS187-AS198+AS212+AS213+AS214</f>
        <v>16555.2187068439</v>
      </c>
      <c r="AT217" s="75" t="n">
        <f aca="false">AT187-AT198+AT212+AT213+AT214</f>
        <v>16565.0937068439</v>
      </c>
      <c r="AU217" s="75" t="n">
        <f aca="false">AU187-AU198+AU212+AU213+AU214</f>
        <v>8971.29501724362</v>
      </c>
      <c r="AV217" s="75" t="n">
        <f aca="false">AV187-AV198+AV212+AV213+AV214</f>
        <v>9008.1766144656</v>
      </c>
      <c r="AW217" s="75" t="n">
        <f aca="false">AW187-AW198+AW212+AW213+AW214</f>
        <v>9018.0516144656</v>
      </c>
      <c r="AX217" s="75" t="n">
        <f aca="false">AX187-AX198+AX212+AX213+AX214</f>
        <v>16631.6003040659</v>
      </c>
      <c r="AY217" s="75" t="n">
        <f aca="false">AY187-AY198+AY212+AY213+AY214</f>
        <v>11464.4911262344</v>
      </c>
      <c r="AZ217" s="75" t="n">
        <f aca="false">AZ187-AZ198+AZ212+AZ213+AZ214</f>
        <v>10903.1460880963</v>
      </c>
      <c r="BA217" s="75" t="n">
        <f aca="false">BA187-BA198+BA212+BA213+BA214</f>
        <v>10913.0210880963</v>
      </c>
      <c r="BB217" s="75" t="n">
        <f aca="false">BB187-BB198+BB212+BB213+BB214</f>
        <v>10922.8960880963</v>
      </c>
      <c r="BC217" s="75" t="n">
        <f aca="false">BC187-BC198+BC212+BC213+BC214</f>
        <v>10932.7710880963</v>
      </c>
      <c r="BD217" s="75" t="n">
        <f aca="false">BD187-BD198+BD212+BD213+BD214</f>
        <v>19009.3835053933</v>
      </c>
      <c r="BE217" s="75" t="n">
        <f aca="false">BE187-BE198+BE212+BE213+BE214</f>
        <v>18990.6072064006</v>
      </c>
      <c r="BF217" s="75" t="n">
        <f aca="false">BF187-BF198+BF212+BF213+BF214</f>
        <v>19000.4822064006</v>
      </c>
      <c r="BG217" s="75" t="n">
        <f aca="false">BG187-BG198+BG212+BG213+BG214</f>
        <v>10943.6197891036</v>
      </c>
      <c r="BH217" s="75" t="n">
        <f aca="false">BH187-BH198+BH212+BH213+BH214</f>
        <v>10982.1460880963</v>
      </c>
      <c r="BI217" s="75" t="n">
        <f aca="false">BI187-BI198+BI212+BI213+BI214</f>
        <v>10992.0210880963</v>
      </c>
      <c r="BJ217" s="75" t="n">
        <f aca="false">BJ187-BJ198+BJ212+BJ213+BJ214</f>
        <v>19068.6335053933</v>
      </c>
    </row>
    <row r="218" customFormat="false" ht="15" hidden="false" customHeight="false" outlineLevel="0" collapsed="false">
      <c r="A218" s="6" t="s">
        <v>445</v>
      </c>
      <c r="C218" s="69" t="n">
        <f aca="false">-C195</f>
        <v>-189000</v>
      </c>
      <c r="D218" s="69" t="n">
        <f aca="false">-D195</f>
        <v>-0</v>
      </c>
      <c r="E218" s="69" t="n">
        <f aca="false">-E195</f>
        <v>-0</v>
      </c>
      <c r="F218" s="69" t="n">
        <f aca="false">-F195</f>
        <v>-0</v>
      </c>
      <c r="G218" s="69" t="n">
        <f aca="false">-G195</f>
        <v>-0</v>
      </c>
      <c r="H218" s="69" t="n">
        <f aca="false">-H195</f>
        <v>-0</v>
      </c>
      <c r="I218" s="69" t="n">
        <f aca="false">-I195</f>
        <v>-0</v>
      </c>
      <c r="J218" s="69" t="n">
        <f aca="false">-J195</f>
        <v>-0</v>
      </c>
      <c r="K218" s="69" t="n">
        <f aca="false">-K195</f>
        <v>-0</v>
      </c>
      <c r="L218" s="69" t="n">
        <f aca="false">-L195</f>
        <v>-0</v>
      </c>
      <c r="M218" s="69" t="n">
        <f aca="false">-M195</f>
        <v>-0</v>
      </c>
      <c r="N218" s="69" t="n">
        <f aca="false">-N195</f>
        <v>-0</v>
      </c>
      <c r="O218" s="69" t="n">
        <f aca="false">-O195</f>
        <v>-10000</v>
      </c>
      <c r="P218" s="69" t="n">
        <f aca="false">-P195</f>
        <v>-0</v>
      </c>
      <c r="Q218" s="69" t="n">
        <f aca="false">-Q195</f>
        <v>-0</v>
      </c>
      <c r="R218" s="69" t="n">
        <f aca="false">-R195</f>
        <v>-0</v>
      </c>
      <c r="S218" s="69" t="n">
        <f aca="false">-S195</f>
        <v>-0</v>
      </c>
      <c r="T218" s="69" t="n">
        <f aca="false">-T195</f>
        <v>-0</v>
      </c>
      <c r="U218" s="69" t="n">
        <f aca="false">-U195</f>
        <v>-0</v>
      </c>
      <c r="V218" s="69" t="n">
        <f aca="false">-V195</f>
        <v>-0</v>
      </c>
      <c r="W218" s="69" t="n">
        <f aca="false">-W195</f>
        <v>-0</v>
      </c>
      <c r="X218" s="69" t="n">
        <f aca="false">-X195</f>
        <v>-0</v>
      </c>
      <c r="Y218" s="69" t="n">
        <f aca="false">-Y195</f>
        <v>-0</v>
      </c>
      <c r="Z218" s="69" t="n">
        <f aca="false">-Z195</f>
        <v>-0</v>
      </c>
      <c r="AA218" s="69" t="n">
        <f aca="false">-AA195</f>
        <v>-10000</v>
      </c>
      <c r="AB218" s="69" t="n">
        <f aca="false">-AB195</f>
        <v>-0</v>
      </c>
      <c r="AC218" s="69" t="n">
        <f aca="false">-AC195</f>
        <v>-0</v>
      </c>
      <c r="AD218" s="69" t="n">
        <f aca="false">-AD195</f>
        <v>-0</v>
      </c>
      <c r="AE218" s="69" t="n">
        <f aca="false">-AE195</f>
        <v>-0</v>
      </c>
      <c r="AF218" s="69" t="n">
        <f aca="false">-AF195</f>
        <v>-0</v>
      </c>
      <c r="AG218" s="69" t="n">
        <f aca="false">-AG195</f>
        <v>-0</v>
      </c>
      <c r="AH218" s="69" t="n">
        <f aca="false">-AH195</f>
        <v>-0</v>
      </c>
      <c r="AI218" s="69" t="n">
        <f aca="false">-AI195</f>
        <v>-0</v>
      </c>
      <c r="AJ218" s="69" t="n">
        <f aca="false">-AJ195</f>
        <v>-0</v>
      </c>
      <c r="AK218" s="69" t="n">
        <f aca="false">-AK195</f>
        <v>-0</v>
      </c>
      <c r="AL218" s="69" t="n">
        <f aca="false">-AL195</f>
        <v>-0</v>
      </c>
      <c r="AM218" s="69" t="n">
        <f aca="false">-AM195</f>
        <v>-10000</v>
      </c>
      <c r="AN218" s="69" t="n">
        <f aca="false">-AN195</f>
        <v>-0</v>
      </c>
      <c r="AO218" s="69" t="n">
        <f aca="false">-AO195</f>
        <v>-0</v>
      </c>
      <c r="AP218" s="69" t="n">
        <f aca="false">-AP195</f>
        <v>-0</v>
      </c>
      <c r="AQ218" s="69" t="n">
        <f aca="false">-AQ195</f>
        <v>-0</v>
      </c>
      <c r="AR218" s="69" t="n">
        <f aca="false">-AR195</f>
        <v>-0</v>
      </c>
      <c r="AS218" s="69" t="n">
        <f aca="false">-AS195</f>
        <v>-0</v>
      </c>
      <c r="AT218" s="69" t="n">
        <f aca="false">-AT195</f>
        <v>-0</v>
      </c>
      <c r="AU218" s="69" t="n">
        <f aca="false">-AU195</f>
        <v>-0</v>
      </c>
      <c r="AV218" s="69" t="n">
        <f aca="false">-AV195</f>
        <v>-0</v>
      </c>
      <c r="AW218" s="69" t="n">
        <f aca="false">-AW195</f>
        <v>-0</v>
      </c>
      <c r="AX218" s="69" t="n">
        <f aca="false">-AX195</f>
        <v>-0</v>
      </c>
      <c r="AY218" s="69" t="n">
        <f aca="false">-AY195</f>
        <v>-10000</v>
      </c>
      <c r="AZ218" s="69" t="n">
        <f aca="false">-AZ195</f>
        <v>-0</v>
      </c>
      <c r="BA218" s="69" t="n">
        <f aca="false">-BA195</f>
        <v>-0</v>
      </c>
      <c r="BB218" s="69" t="n">
        <f aca="false">-BB195</f>
        <v>-0</v>
      </c>
      <c r="BC218" s="69" t="n">
        <f aca="false">-BC195</f>
        <v>-0</v>
      </c>
      <c r="BD218" s="69" t="n">
        <f aca="false">-BD195</f>
        <v>-0</v>
      </c>
      <c r="BE218" s="69" t="n">
        <f aca="false">-BE195</f>
        <v>-0</v>
      </c>
      <c r="BF218" s="69" t="n">
        <f aca="false">-BF195</f>
        <v>-0</v>
      </c>
      <c r="BG218" s="69" t="n">
        <f aca="false">-BG195</f>
        <v>-0</v>
      </c>
      <c r="BH218" s="69" t="n">
        <f aca="false">-BH195</f>
        <v>-0</v>
      </c>
      <c r="BI218" s="69" t="n">
        <f aca="false">-BI195</f>
        <v>-0</v>
      </c>
      <c r="BJ218" s="69" t="n">
        <f aca="false">-BJ195</f>
        <v>-0</v>
      </c>
    </row>
    <row r="219" customFormat="false" ht="15" hidden="false" customHeight="false" outlineLevel="0" collapsed="false">
      <c r="A219" s="6" t="s">
        <v>64</v>
      </c>
      <c r="C219" s="69" t="n">
        <f aca="false">IF(C$132=1,Inputs!$C$71,0)</f>
        <v>330000</v>
      </c>
      <c r="D219" s="69" t="n">
        <f aca="false">IF(D$132=1,Inputs!$C$71,0)</f>
        <v>0</v>
      </c>
      <c r="E219" s="69" t="n">
        <f aca="false">IF(E$132=1,Inputs!$C$71,0)</f>
        <v>0</v>
      </c>
      <c r="F219" s="69" t="n">
        <f aca="false">IF(F$132=1,Inputs!$C$71,0)</f>
        <v>0</v>
      </c>
      <c r="G219" s="69" t="n">
        <f aca="false">IF(G$132=1,Inputs!$C$71,0)</f>
        <v>0</v>
      </c>
      <c r="H219" s="69" t="n">
        <f aca="false">IF(H$132=1,Inputs!$C$71,0)</f>
        <v>0</v>
      </c>
      <c r="I219" s="69" t="n">
        <f aca="false">IF(I$132=1,Inputs!$C$71,0)</f>
        <v>0</v>
      </c>
      <c r="J219" s="69" t="n">
        <f aca="false">IF(J$132=1,Inputs!$C$71,0)</f>
        <v>0</v>
      </c>
      <c r="K219" s="69" t="n">
        <f aca="false">IF(K$132=1,Inputs!$C$71,0)</f>
        <v>0</v>
      </c>
      <c r="L219" s="69" t="n">
        <f aca="false">IF(L$132=1,Inputs!$C$71,0)</f>
        <v>0</v>
      </c>
      <c r="M219" s="69" t="n">
        <f aca="false">IF(M$132=1,Inputs!$C$71,0)</f>
        <v>0</v>
      </c>
      <c r="N219" s="69" t="n">
        <f aca="false">IF(N$132=1,Inputs!$C$71,0)</f>
        <v>0</v>
      </c>
      <c r="O219" s="69" t="n">
        <f aca="false">IF(O$132=1,Inputs!$C$71,0)</f>
        <v>0</v>
      </c>
      <c r="P219" s="69" t="n">
        <f aca="false">IF(P$132=1,Inputs!$C$71,0)</f>
        <v>0</v>
      </c>
      <c r="Q219" s="69" t="n">
        <f aca="false">IF(Q$132=1,Inputs!$C$71,0)</f>
        <v>0</v>
      </c>
      <c r="R219" s="69" t="n">
        <f aca="false">IF(R$132=1,Inputs!$C$71,0)</f>
        <v>0</v>
      </c>
      <c r="S219" s="69" t="n">
        <f aca="false">IF(S$132=1,Inputs!$C$71,0)</f>
        <v>0</v>
      </c>
      <c r="T219" s="69" t="n">
        <f aca="false">IF(T$132=1,Inputs!$C$71,0)</f>
        <v>0</v>
      </c>
      <c r="U219" s="69" t="n">
        <f aca="false">IF(U$132=1,Inputs!$C$71,0)</f>
        <v>0</v>
      </c>
      <c r="V219" s="69" t="n">
        <f aca="false">IF(V$132=1,Inputs!$C$71,0)</f>
        <v>0</v>
      </c>
      <c r="W219" s="69" t="n">
        <f aca="false">IF(W$132=1,Inputs!$C$71,0)</f>
        <v>0</v>
      </c>
      <c r="X219" s="69" t="n">
        <f aca="false">IF(X$132=1,Inputs!$C$71,0)</f>
        <v>0</v>
      </c>
      <c r="Y219" s="69" t="n">
        <f aca="false">IF(Y$132=1,Inputs!$C$71,0)</f>
        <v>0</v>
      </c>
      <c r="Z219" s="69" t="n">
        <f aca="false">IF(Z$132=1,Inputs!$C$71,0)</f>
        <v>0</v>
      </c>
      <c r="AA219" s="69" t="n">
        <f aca="false">IF(AA$132=1,Inputs!$C$71,0)</f>
        <v>0</v>
      </c>
      <c r="AB219" s="69" t="n">
        <f aca="false">IF(AB$132=1,Inputs!$C$71,0)</f>
        <v>0</v>
      </c>
      <c r="AC219" s="69" t="n">
        <f aca="false">IF(AC$132=1,Inputs!$C$71,0)</f>
        <v>0</v>
      </c>
      <c r="AD219" s="69" t="n">
        <f aca="false">IF(AD$132=1,Inputs!$C$71,0)</f>
        <v>0</v>
      </c>
      <c r="AE219" s="69" t="n">
        <f aca="false">IF(AE$132=1,Inputs!$C$71,0)</f>
        <v>0</v>
      </c>
      <c r="AF219" s="69" t="n">
        <f aca="false">IF(AF$132=1,Inputs!$C$71,0)</f>
        <v>0</v>
      </c>
      <c r="AG219" s="69" t="n">
        <f aca="false">IF(AG$132=1,Inputs!$C$71,0)</f>
        <v>0</v>
      </c>
      <c r="AH219" s="69" t="n">
        <f aca="false">IF(AH$132=1,Inputs!$C$71,0)</f>
        <v>0</v>
      </c>
      <c r="AI219" s="69" t="n">
        <f aca="false">IF(AI$132=1,Inputs!$C$71,0)</f>
        <v>0</v>
      </c>
      <c r="AJ219" s="69" t="n">
        <f aca="false">IF(AJ$132=1,Inputs!$C$71,0)</f>
        <v>0</v>
      </c>
      <c r="AK219" s="69" t="n">
        <f aca="false">IF(AK$132=1,Inputs!$C$71,0)</f>
        <v>0</v>
      </c>
      <c r="AL219" s="69" t="n">
        <f aca="false">IF(AL$132=1,Inputs!$C$71,0)</f>
        <v>0</v>
      </c>
      <c r="AM219" s="69" t="n">
        <f aca="false">IF(AM$132=1,Inputs!$C$71,0)</f>
        <v>0</v>
      </c>
      <c r="AN219" s="69" t="n">
        <f aca="false">IF(AN$132=1,Inputs!$C$71,0)</f>
        <v>0</v>
      </c>
      <c r="AO219" s="69" t="n">
        <f aca="false">IF(AO$132=1,Inputs!$C$71,0)</f>
        <v>0</v>
      </c>
      <c r="AP219" s="69" t="n">
        <f aca="false">IF(AP$132=1,Inputs!$C$71,0)</f>
        <v>0</v>
      </c>
      <c r="AQ219" s="69" t="n">
        <f aca="false">IF(AQ$132=1,Inputs!$C$71,0)</f>
        <v>0</v>
      </c>
      <c r="AR219" s="69" t="n">
        <f aca="false">IF(AR$132=1,Inputs!$C$71,0)</f>
        <v>0</v>
      </c>
      <c r="AS219" s="69" t="n">
        <f aca="false">IF(AS$132=1,Inputs!$C$71,0)</f>
        <v>0</v>
      </c>
      <c r="AT219" s="69" t="n">
        <f aca="false">IF(AT$132=1,Inputs!$C$71,0)</f>
        <v>0</v>
      </c>
      <c r="AU219" s="69" t="n">
        <f aca="false">IF(AU$132=1,Inputs!$C$71,0)</f>
        <v>0</v>
      </c>
      <c r="AV219" s="69" t="n">
        <f aca="false">IF(AV$132=1,Inputs!$C$71,0)</f>
        <v>0</v>
      </c>
      <c r="AW219" s="69" t="n">
        <f aca="false">IF(AW$132=1,Inputs!$C$71,0)</f>
        <v>0</v>
      </c>
      <c r="AX219" s="69" t="n">
        <f aca="false">IF(AX$132=1,Inputs!$C$71,0)</f>
        <v>0</v>
      </c>
      <c r="AY219" s="69" t="n">
        <f aca="false">IF(AY$132=1,Inputs!$C$71,0)</f>
        <v>0</v>
      </c>
      <c r="AZ219" s="69" t="n">
        <f aca="false">IF(AZ$132=1,Inputs!$C$71,0)</f>
        <v>0</v>
      </c>
      <c r="BA219" s="69" t="n">
        <f aca="false">IF(BA$132=1,Inputs!$C$71,0)</f>
        <v>0</v>
      </c>
      <c r="BB219" s="69" t="n">
        <f aca="false">IF(BB$132=1,Inputs!$C$71,0)</f>
        <v>0</v>
      </c>
      <c r="BC219" s="69" t="n">
        <f aca="false">IF(BC$132=1,Inputs!$C$71,0)</f>
        <v>0</v>
      </c>
      <c r="BD219" s="69" t="n">
        <f aca="false">IF(BD$132=1,Inputs!$C$71,0)</f>
        <v>0</v>
      </c>
      <c r="BE219" s="69" t="n">
        <f aca="false">IF(BE$132=1,Inputs!$C$71,0)</f>
        <v>0</v>
      </c>
      <c r="BF219" s="69" t="n">
        <f aca="false">IF(BF$132=1,Inputs!$C$71,0)</f>
        <v>0</v>
      </c>
      <c r="BG219" s="69" t="n">
        <f aca="false">IF(BG$132=1,Inputs!$C$71,0)</f>
        <v>0</v>
      </c>
      <c r="BH219" s="69" t="n">
        <f aca="false">IF(BH$132=1,Inputs!$C$71,0)</f>
        <v>0</v>
      </c>
      <c r="BI219" s="69" t="n">
        <f aca="false">IF(BI$132=1,Inputs!$C$71,0)</f>
        <v>0</v>
      </c>
      <c r="BJ219" s="69" t="n">
        <f aca="false">IF(BJ$132=1,Inputs!$C$71,0)</f>
        <v>0</v>
      </c>
    </row>
    <row r="220" customFormat="false" ht="15" hidden="false" customHeight="false" outlineLevel="0" collapsed="false">
      <c r="A220" s="6" t="s">
        <v>54</v>
      </c>
      <c r="C220" s="69" t="n">
        <f aca="false">C219+C204+C205</f>
        <v>430000</v>
      </c>
      <c r="D220" s="69" t="n">
        <f aca="false">D219+D204+D205</f>
        <v>-1666.66666666667</v>
      </c>
      <c r="E220" s="69" t="n">
        <f aca="false">E219+E204+E205</f>
        <v>-1666.66666666667</v>
      </c>
      <c r="F220" s="69" t="n">
        <f aca="false">F219+F204+F205</f>
        <v>-1666.66666666667</v>
      </c>
      <c r="G220" s="69" t="n">
        <f aca="false">G219+G204+G205</f>
        <v>-1666.66666666667</v>
      </c>
      <c r="H220" s="69" t="n">
        <f aca="false">H219+H204+H205</f>
        <v>-1666.66666666667</v>
      </c>
      <c r="I220" s="69" t="n">
        <f aca="false">I219+I204+I205</f>
        <v>-1666.66666666667</v>
      </c>
      <c r="J220" s="69" t="n">
        <f aca="false">J219+J204+J205</f>
        <v>-1666.66666666667</v>
      </c>
      <c r="K220" s="69" t="n">
        <f aca="false">K219+K204+K205</f>
        <v>-1666.66666666667</v>
      </c>
      <c r="L220" s="69" t="n">
        <f aca="false">L219+L204+L205</f>
        <v>-1666.66666666667</v>
      </c>
      <c r="M220" s="69" t="n">
        <f aca="false">M219+M204+M205</f>
        <v>-1666.66666666667</v>
      </c>
      <c r="N220" s="69" t="n">
        <f aca="false">N219+N204+N205</f>
        <v>-1666.66666666667</v>
      </c>
      <c r="O220" s="69" t="n">
        <f aca="false">O219+O204+O205</f>
        <v>-1666.66666666667</v>
      </c>
      <c r="P220" s="69" t="n">
        <f aca="false">P219+P204+P205</f>
        <v>-1666.66666666667</v>
      </c>
      <c r="Q220" s="69" t="n">
        <f aca="false">Q219+Q204+Q205</f>
        <v>-1666.66666666667</v>
      </c>
      <c r="R220" s="69" t="n">
        <f aca="false">R219+R204+R205</f>
        <v>-1666.66666666667</v>
      </c>
      <c r="S220" s="69" t="n">
        <f aca="false">S219+S204+S205</f>
        <v>-1666.66666666667</v>
      </c>
      <c r="T220" s="69" t="n">
        <f aca="false">T219+T204+T205</f>
        <v>-1666.66666666667</v>
      </c>
      <c r="U220" s="69" t="n">
        <f aca="false">U219+U204+U205</f>
        <v>-1666.66666666667</v>
      </c>
      <c r="V220" s="69" t="n">
        <f aca="false">V219+V204+V205</f>
        <v>-1666.66666666667</v>
      </c>
      <c r="W220" s="69" t="n">
        <f aca="false">W219+W204+W205</f>
        <v>-1666.66666666667</v>
      </c>
      <c r="X220" s="69" t="n">
        <f aca="false">X219+X204+X205</f>
        <v>-1666.66666666667</v>
      </c>
      <c r="Y220" s="69" t="n">
        <f aca="false">Y219+Y204+Y205</f>
        <v>-1666.66666666667</v>
      </c>
      <c r="Z220" s="69" t="n">
        <f aca="false">Z219+Z204+Z205</f>
        <v>-1666.66666666667</v>
      </c>
      <c r="AA220" s="69" t="n">
        <f aca="false">AA219+AA204+AA205</f>
        <v>-1666.66666666667</v>
      </c>
      <c r="AB220" s="69" t="n">
        <f aca="false">AB219+AB204+AB205</f>
        <v>-1666.66666666667</v>
      </c>
      <c r="AC220" s="69" t="n">
        <f aca="false">AC219+AC204+AC205</f>
        <v>-1666.66666666667</v>
      </c>
      <c r="AD220" s="69" t="n">
        <f aca="false">AD219+AD204+AD205</f>
        <v>-1666.66666666667</v>
      </c>
      <c r="AE220" s="69" t="n">
        <f aca="false">AE219+AE204+AE205</f>
        <v>-1666.66666666667</v>
      </c>
      <c r="AF220" s="69" t="n">
        <f aca="false">AF219+AF204+AF205</f>
        <v>-1666.66666666667</v>
      </c>
      <c r="AG220" s="69" t="n">
        <f aca="false">AG219+AG204+AG205</f>
        <v>-1666.66666666667</v>
      </c>
      <c r="AH220" s="69" t="n">
        <f aca="false">AH219+AH204+AH205</f>
        <v>-1666.66666666667</v>
      </c>
      <c r="AI220" s="69" t="n">
        <f aca="false">AI219+AI204+AI205</f>
        <v>-1666.66666666667</v>
      </c>
      <c r="AJ220" s="69" t="n">
        <f aca="false">AJ219+AJ204+AJ205</f>
        <v>-1666.66666666667</v>
      </c>
      <c r="AK220" s="69" t="n">
        <f aca="false">AK219+AK204+AK205</f>
        <v>-1666.66666666667</v>
      </c>
      <c r="AL220" s="69" t="n">
        <f aca="false">AL219+AL204+AL205</f>
        <v>-1666.66666666667</v>
      </c>
      <c r="AM220" s="69" t="n">
        <f aca="false">AM219+AM204+AM205</f>
        <v>-1666.66666666667</v>
      </c>
      <c r="AN220" s="69" t="n">
        <f aca="false">AN219+AN204+AN205</f>
        <v>-1666.66666666667</v>
      </c>
      <c r="AO220" s="69" t="n">
        <f aca="false">AO219+AO204+AO205</f>
        <v>-1666.66666666667</v>
      </c>
      <c r="AP220" s="69" t="n">
        <f aca="false">AP219+AP204+AP205</f>
        <v>-1666.66666666667</v>
      </c>
      <c r="AQ220" s="69" t="n">
        <f aca="false">AQ219+AQ204+AQ205</f>
        <v>-1666.66666666667</v>
      </c>
      <c r="AR220" s="69" t="n">
        <f aca="false">AR219+AR204+AR205</f>
        <v>-1666.66666666667</v>
      </c>
      <c r="AS220" s="69" t="n">
        <f aca="false">AS219+AS204+AS205</f>
        <v>-1666.66666666667</v>
      </c>
      <c r="AT220" s="69" t="n">
        <f aca="false">AT219+AT204+AT205</f>
        <v>-1666.66666666667</v>
      </c>
      <c r="AU220" s="69" t="n">
        <f aca="false">AU219+AU204+AU205</f>
        <v>-1666.66666666667</v>
      </c>
      <c r="AV220" s="69" t="n">
        <f aca="false">AV219+AV204+AV205</f>
        <v>-1666.66666666667</v>
      </c>
      <c r="AW220" s="69" t="n">
        <f aca="false">AW219+AW204+AW205</f>
        <v>-1666.66666666667</v>
      </c>
      <c r="AX220" s="69" t="n">
        <f aca="false">AX219+AX204+AX205</f>
        <v>-1666.66666666667</v>
      </c>
      <c r="AY220" s="69" t="n">
        <f aca="false">AY219+AY204+AY205</f>
        <v>-1666.66666666667</v>
      </c>
      <c r="AZ220" s="69" t="n">
        <f aca="false">AZ219+AZ204+AZ205</f>
        <v>-1666.66666666667</v>
      </c>
      <c r="BA220" s="69" t="n">
        <f aca="false">BA219+BA204+BA205</f>
        <v>-1666.66666666667</v>
      </c>
      <c r="BB220" s="69" t="n">
        <f aca="false">BB219+BB204+BB205</f>
        <v>-1666.66666666667</v>
      </c>
      <c r="BC220" s="69" t="n">
        <f aca="false">BC219+BC204+BC205</f>
        <v>-1666.66666666667</v>
      </c>
      <c r="BD220" s="69" t="n">
        <f aca="false">BD219+BD204+BD205</f>
        <v>-1666.66666666667</v>
      </c>
      <c r="BE220" s="69" t="n">
        <f aca="false">BE219+BE204+BE205</f>
        <v>-1666.66666666667</v>
      </c>
      <c r="BF220" s="69" t="n">
        <f aca="false">BF219+BF204+BF205</f>
        <v>-1666.66666666667</v>
      </c>
      <c r="BG220" s="69" t="n">
        <f aca="false">BG219+BG204+BG205</f>
        <v>-1666.66666666667</v>
      </c>
      <c r="BH220" s="69" t="n">
        <f aca="false">BH219+BH204+BH205</f>
        <v>-1666.66666666667</v>
      </c>
      <c r="BI220" s="69" t="n">
        <f aca="false">BI219+BI204+BI205</f>
        <v>-1666.66666666667</v>
      </c>
      <c r="BJ220" s="69" t="n">
        <f aca="false">BJ219+BJ204+BJ205</f>
        <v>-1666.66666666667</v>
      </c>
    </row>
    <row r="221" customFormat="false" ht="15" hidden="false" customHeight="false" outlineLevel="0" collapsed="false">
      <c r="A221" s="115" t="s">
        <v>446</v>
      </c>
      <c r="C221" s="70" t="n">
        <f aca="false">C217+C218+C220</f>
        <v>224079.669137778</v>
      </c>
      <c r="D221" s="70" t="n">
        <f aca="false">D217+D218+D220</f>
        <v>-20865.507056</v>
      </c>
      <c r="E221" s="70" t="n">
        <f aca="false">E217+E218+E220</f>
        <v>-18285.03192</v>
      </c>
      <c r="F221" s="70" t="n">
        <f aca="false">F217+F218+F220</f>
        <v>-15704.556784</v>
      </c>
      <c r="G221" s="70" t="n">
        <f aca="false">G217+G218+G220</f>
        <v>-13124.081648</v>
      </c>
      <c r="H221" s="70" t="n">
        <f aca="false">H217+H218+H220</f>
        <v>-4905.32155200001</v>
      </c>
      <c r="I221" s="70" t="n">
        <f aca="false">I217+I218+I220</f>
        <v>-1857.397168</v>
      </c>
      <c r="J221" s="70" t="n">
        <f aca="false">J217+J218+J220</f>
        <v>1205.00248</v>
      </c>
      <c r="K221" s="70" t="n">
        <f aca="false">K217+K218+K220</f>
        <v>-2820.72753600001</v>
      </c>
      <c r="L221" s="70" t="n">
        <f aca="false">L217+L218+L220</f>
        <v>-221.705968000009</v>
      </c>
      <c r="M221" s="70" t="n">
        <f aca="false">M217+M218+M220</f>
        <v>2358.769168</v>
      </c>
      <c r="N221" s="70" t="n">
        <f aca="false">N217+N218+N220</f>
        <v>9998.02840000001</v>
      </c>
      <c r="O221" s="70" t="n">
        <f aca="false">O217+O218+O220</f>
        <v>-5305.22633210667</v>
      </c>
      <c r="P221" s="70" t="n">
        <f aca="false">P217+P218+P220</f>
        <v>4222.70536304</v>
      </c>
      <c r="Q221" s="70" t="n">
        <f aca="false">Q217+Q218+Q220</f>
        <v>4235.20536304</v>
      </c>
      <c r="R221" s="70" t="n">
        <f aca="false">R217+R218+R220</f>
        <v>4247.70536304</v>
      </c>
      <c r="S221" s="70" t="n">
        <f aca="false">S217+S218+S220</f>
        <v>4260.20536304</v>
      </c>
      <c r="T221" s="70" t="n">
        <f aca="false">T217+T218+T220</f>
        <v>12817.92895456</v>
      </c>
      <c r="U221" s="70" t="n">
        <f aca="false">U217+U218+U220</f>
        <v>12806.43394272</v>
      </c>
      <c r="V221" s="70" t="n">
        <f aca="false">V217+V218+V220</f>
        <v>12818.93394272</v>
      </c>
      <c r="W221" s="70" t="n">
        <f aca="false">W217+W218+W220</f>
        <v>4286.2103512</v>
      </c>
      <c r="X221" s="70" t="n">
        <f aca="false">X217+X218+X220</f>
        <v>4322.70536304</v>
      </c>
      <c r="Y221" s="70" t="n">
        <f aca="false">Y217+Y218+Y220</f>
        <v>4335.20536304</v>
      </c>
      <c r="Z221" s="70" t="n">
        <f aca="false">Z217+Z218+Z220</f>
        <v>12892.92895456</v>
      </c>
      <c r="AA221" s="70" t="n">
        <f aca="false">AA217+AA218+AA220</f>
        <v>-2886.42512823197</v>
      </c>
      <c r="AB221" s="70" t="n">
        <f aca="false">AB217+AB218+AB220</f>
        <v>6614.24690714913</v>
      </c>
      <c r="AC221" s="70" t="n">
        <f aca="false">AC217+AC218+AC220</f>
        <v>6027.88554489317</v>
      </c>
      <c r="AD221" s="70" t="n">
        <f aca="false">AD217+AD218+AD220</f>
        <v>5352.19255664781</v>
      </c>
      <c r="AE221" s="70" t="n">
        <f aca="false">AE217+AE218+AE220</f>
        <v>5362.06755664781</v>
      </c>
      <c r="AF221" s="70" t="n">
        <f aca="false">AF217+AF218+AF220</f>
        <v>12539.134270853</v>
      </c>
      <c r="AG221" s="70" t="n">
        <f aca="false">AG217+AG218+AG220</f>
        <v>12523.552962792</v>
      </c>
      <c r="AH221" s="70" t="n">
        <f aca="false">AH217+AH218+AH220</f>
        <v>12533.427962792</v>
      </c>
      <c r="AI221" s="70" t="n">
        <f aca="false">AI217+AI218+AI220</f>
        <v>5376.11124858676</v>
      </c>
      <c r="AJ221" s="70" t="n">
        <f aca="false">AJ217+AJ218+AJ220</f>
        <v>5411.44255664781</v>
      </c>
      <c r="AK221" s="70" t="n">
        <f aca="false">AK217+AK218+AK220</f>
        <v>5421.31755664781</v>
      </c>
      <c r="AL221" s="70" t="n">
        <f aca="false">AL217+AL218+AL220</f>
        <v>12598.384270853</v>
      </c>
      <c r="AM221" s="70" t="n">
        <f aca="false">AM217+AM218+AM220</f>
        <v>-2206.68483103688</v>
      </c>
      <c r="AN221" s="70" t="n">
        <f aca="false">AN217+AN218+AN220</f>
        <v>7262.50994779893</v>
      </c>
      <c r="AO221" s="70" t="n">
        <f aca="false">AO217+AO218+AO220</f>
        <v>7272.38494779893</v>
      </c>
      <c r="AP221" s="70" t="n">
        <f aca="false">AP217+AP218+AP220</f>
        <v>7282.25994779893</v>
      </c>
      <c r="AQ221" s="70" t="n">
        <f aca="false">AQ217+AQ218+AQ220</f>
        <v>7292.13494779893</v>
      </c>
      <c r="AR221" s="70" t="n">
        <f aca="false">AR217+AR218+AR220</f>
        <v>14905.6836373993</v>
      </c>
      <c r="AS221" s="70" t="n">
        <f aca="false">AS217+AS218+AS220</f>
        <v>14888.5520401773</v>
      </c>
      <c r="AT221" s="70" t="n">
        <f aca="false">AT217+AT218+AT220</f>
        <v>14898.4270401773</v>
      </c>
      <c r="AU221" s="70" t="n">
        <f aca="false">AU217+AU218+AU220</f>
        <v>7304.62835057695</v>
      </c>
      <c r="AV221" s="70" t="n">
        <f aca="false">AV217+AV218+AV220</f>
        <v>7341.50994779893</v>
      </c>
      <c r="AW221" s="70" t="n">
        <f aca="false">AW217+AW218+AW220</f>
        <v>7351.38494779893</v>
      </c>
      <c r="AX221" s="70" t="n">
        <f aca="false">AX217+AX218+AX220</f>
        <v>14964.9336373993</v>
      </c>
      <c r="AY221" s="70" t="n">
        <f aca="false">AY217+AY218+AY220</f>
        <v>-202.175540432231</v>
      </c>
      <c r="AZ221" s="70" t="n">
        <f aca="false">AZ217+AZ218+AZ220</f>
        <v>9236.47942142967</v>
      </c>
      <c r="BA221" s="70" t="n">
        <f aca="false">BA217+BA218+BA220</f>
        <v>9246.35442142967</v>
      </c>
      <c r="BB221" s="70" t="n">
        <f aca="false">BB217+BB218+BB220</f>
        <v>9256.22942142968</v>
      </c>
      <c r="BC221" s="70" t="n">
        <f aca="false">BC217+BC218+BC220</f>
        <v>9266.10442142968</v>
      </c>
      <c r="BD221" s="70" t="n">
        <f aca="false">BD217+BD218+BD220</f>
        <v>17342.7168387267</v>
      </c>
      <c r="BE221" s="70" t="n">
        <f aca="false">BE217+BE218+BE220</f>
        <v>17323.9405397339</v>
      </c>
      <c r="BF221" s="70" t="n">
        <f aca="false">BF217+BF218+BF220</f>
        <v>17333.8155397339</v>
      </c>
      <c r="BG221" s="70" t="n">
        <f aca="false">BG217+BG218+BG220</f>
        <v>9276.95312243689</v>
      </c>
      <c r="BH221" s="70" t="n">
        <f aca="false">BH217+BH218+BH220</f>
        <v>9315.47942142968</v>
      </c>
      <c r="BI221" s="70" t="n">
        <f aca="false">BI217+BI218+BI220</f>
        <v>9325.35442142968</v>
      </c>
      <c r="BJ221" s="70" t="n">
        <f aca="false">BJ217+BJ218+BJ220</f>
        <v>17401.9668387267</v>
      </c>
    </row>
    <row r="222" customFormat="false" ht="15" hidden="false" customHeight="false" outlineLevel="0" collapsed="false">
      <c r="A222" s="6" t="s">
        <v>347</v>
      </c>
      <c r="C222" s="69" t="n">
        <f aca="false">0</f>
        <v>0</v>
      </c>
      <c r="D222" s="69" t="n">
        <f aca="false">C223</f>
        <v>224079.669137778</v>
      </c>
      <c r="E222" s="69" t="n">
        <f aca="false">D223</f>
        <v>203214.162081778</v>
      </c>
      <c r="F222" s="69" t="n">
        <f aca="false">E223</f>
        <v>184929.130161778</v>
      </c>
      <c r="G222" s="69" t="n">
        <f aca="false">F223</f>
        <v>169224.573377778</v>
      </c>
      <c r="H222" s="69" t="n">
        <f aca="false">G223</f>
        <v>156100.491729778</v>
      </c>
      <c r="I222" s="69" t="n">
        <f aca="false">H223</f>
        <v>151195.170177778</v>
      </c>
      <c r="J222" s="69" t="n">
        <f aca="false">I223</f>
        <v>149337.773009778</v>
      </c>
      <c r="K222" s="69" t="n">
        <f aca="false">J223</f>
        <v>150542.775489778</v>
      </c>
      <c r="L222" s="69" t="n">
        <f aca="false">K223</f>
        <v>147722.047953778</v>
      </c>
      <c r="M222" s="69" t="n">
        <f aca="false">L223</f>
        <v>147500.341985778</v>
      </c>
      <c r="N222" s="69" t="n">
        <f aca="false">M223</f>
        <v>149859.111153778</v>
      </c>
      <c r="O222" s="69" t="n">
        <f aca="false">N223</f>
        <v>159857.139553778</v>
      </c>
      <c r="P222" s="69" t="n">
        <f aca="false">O223</f>
        <v>154551.913221671</v>
      </c>
      <c r="Q222" s="69" t="n">
        <f aca="false">P223</f>
        <v>158774.618584711</v>
      </c>
      <c r="R222" s="69" t="n">
        <f aca="false">Q223</f>
        <v>163009.823947751</v>
      </c>
      <c r="S222" s="69" t="n">
        <f aca="false">R223</f>
        <v>167257.529310791</v>
      </c>
      <c r="T222" s="69" t="n">
        <f aca="false">S223</f>
        <v>171517.734673831</v>
      </c>
      <c r="U222" s="69" t="n">
        <f aca="false">T223</f>
        <v>184335.663628391</v>
      </c>
      <c r="V222" s="69" t="n">
        <f aca="false">U223</f>
        <v>197142.097571111</v>
      </c>
      <c r="W222" s="69" t="n">
        <f aca="false">V223</f>
        <v>209961.031513831</v>
      </c>
      <c r="X222" s="69" t="n">
        <f aca="false">W223</f>
        <v>214247.241865031</v>
      </c>
      <c r="Y222" s="69" t="n">
        <f aca="false">X223</f>
        <v>218569.947228071</v>
      </c>
      <c r="Z222" s="69" t="n">
        <f aca="false">Y223</f>
        <v>222905.152591111</v>
      </c>
      <c r="AA222" s="69" t="n">
        <f aca="false">Z223</f>
        <v>235798.081545671</v>
      </c>
      <c r="AB222" s="69" t="n">
        <f aca="false">AA223</f>
        <v>232911.656417439</v>
      </c>
      <c r="AC222" s="69" t="n">
        <f aca="false">AB223</f>
        <v>239525.903324588</v>
      </c>
      <c r="AD222" s="69" t="n">
        <f aca="false">AC223</f>
        <v>245553.788869481</v>
      </c>
      <c r="AE222" s="69" t="n">
        <f aca="false">AD223</f>
        <v>250905.981426129</v>
      </c>
      <c r="AF222" s="69" t="n">
        <f aca="false">AE223</f>
        <v>256268.048982777</v>
      </c>
      <c r="AG222" s="69" t="n">
        <f aca="false">AF223</f>
        <v>268807.18325363</v>
      </c>
      <c r="AH222" s="69" t="n">
        <f aca="false">AG223</f>
        <v>281330.736216422</v>
      </c>
      <c r="AI222" s="69" t="n">
        <f aca="false">AH223</f>
        <v>293864.164179214</v>
      </c>
      <c r="AJ222" s="69" t="n">
        <f aca="false">AI223</f>
        <v>299240.275427801</v>
      </c>
      <c r="AK222" s="69" t="n">
        <f aca="false">AJ223</f>
        <v>304651.717984449</v>
      </c>
      <c r="AL222" s="69" t="n">
        <f aca="false">AK223</f>
        <v>310073.035541097</v>
      </c>
      <c r="AM222" s="69" t="n">
        <f aca="false">AL223</f>
        <v>322671.41981195</v>
      </c>
      <c r="AN222" s="69" t="n">
        <f aca="false">AM223</f>
        <v>320464.734980913</v>
      </c>
      <c r="AO222" s="69" t="n">
        <f aca="false">AN223</f>
        <v>327727.244928712</v>
      </c>
      <c r="AP222" s="69" t="n">
        <f aca="false">AO223</f>
        <v>334999.629876511</v>
      </c>
      <c r="AQ222" s="69" t="n">
        <f aca="false">AP223</f>
        <v>342281.889824309</v>
      </c>
      <c r="AR222" s="69" t="n">
        <f aca="false">AQ223</f>
        <v>349574.024772108</v>
      </c>
      <c r="AS222" s="69" t="n">
        <f aca="false">AR223</f>
        <v>364479.708409508</v>
      </c>
      <c r="AT222" s="69" t="n">
        <f aca="false">AS223</f>
        <v>379368.260449685</v>
      </c>
      <c r="AU222" s="69" t="n">
        <f aca="false">AT223</f>
        <v>394266.687489862</v>
      </c>
      <c r="AV222" s="69" t="n">
        <f aca="false">AU223</f>
        <v>401571.315840439</v>
      </c>
      <c r="AW222" s="69" t="n">
        <f aca="false">AV223</f>
        <v>408912.825788238</v>
      </c>
      <c r="AX222" s="69" t="n">
        <f aca="false">AW223</f>
        <v>416264.210736037</v>
      </c>
      <c r="AY222" s="69" t="n">
        <f aca="false">AX223</f>
        <v>431229.144373436</v>
      </c>
      <c r="AZ222" s="69" t="n">
        <f aca="false">AY223</f>
        <v>431026.968833004</v>
      </c>
      <c r="BA222" s="69" t="n">
        <f aca="false">AZ223</f>
        <v>440263.448254434</v>
      </c>
      <c r="BB222" s="69" t="n">
        <f aca="false">BA223</f>
        <v>449509.802675863</v>
      </c>
      <c r="BC222" s="69" t="n">
        <f aca="false">BB223</f>
        <v>458766.032097293</v>
      </c>
      <c r="BD222" s="69" t="n">
        <f aca="false">BC223</f>
        <v>468032.136518723</v>
      </c>
      <c r="BE222" s="69" t="n">
        <f aca="false">BD223</f>
        <v>485374.853357449</v>
      </c>
      <c r="BF222" s="69" t="n">
        <f aca="false">BE223</f>
        <v>502698.793897183</v>
      </c>
      <c r="BG222" s="69" t="n">
        <f aca="false">BF223</f>
        <v>520032.609436917</v>
      </c>
      <c r="BH222" s="69" t="n">
        <f aca="false">BG223</f>
        <v>529309.562559354</v>
      </c>
      <c r="BI222" s="69" t="n">
        <f aca="false">BH223</f>
        <v>538625.041980784</v>
      </c>
      <c r="BJ222" s="69" t="n">
        <f aca="false">BI223</f>
        <v>547950.396402214</v>
      </c>
    </row>
    <row r="223" customFormat="false" ht="15" hidden="false" customHeight="false" outlineLevel="0" collapsed="false">
      <c r="A223" s="115" t="s">
        <v>87</v>
      </c>
      <c r="C223" s="70" t="n">
        <f aca="false">C222+C221</f>
        <v>224079.669137778</v>
      </c>
      <c r="D223" s="70" t="n">
        <f aca="false">D222+D221</f>
        <v>203214.162081778</v>
      </c>
      <c r="E223" s="70" t="n">
        <f aca="false">E222+E221</f>
        <v>184929.130161778</v>
      </c>
      <c r="F223" s="70" t="n">
        <f aca="false">F222+F221</f>
        <v>169224.573377778</v>
      </c>
      <c r="G223" s="70" t="n">
        <f aca="false">G222+G221</f>
        <v>156100.491729778</v>
      </c>
      <c r="H223" s="70" t="n">
        <f aca="false">H222+H221</f>
        <v>151195.170177778</v>
      </c>
      <c r="I223" s="70" t="n">
        <f aca="false">I222+I221</f>
        <v>149337.773009778</v>
      </c>
      <c r="J223" s="70" t="n">
        <f aca="false">J222+J221</f>
        <v>150542.775489778</v>
      </c>
      <c r="K223" s="70" t="n">
        <f aca="false">K222+K221</f>
        <v>147722.047953778</v>
      </c>
      <c r="L223" s="70" t="n">
        <f aca="false">L222+L221</f>
        <v>147500.341985778</v>
      </c>
      <c r="M223" s="70" t="n">
        <f aca="false">M222+M221</f>
        <v>149859.111153778</v>
      </c>
      <c r="N223" s="70" t="n">
        <f aca="false">N222+N221</f>
        <v>159857.139553778</v>
      </c>
      <c r="O223" s="70" t="n">
        <f aca="false">O222+O221</f>
        <v>154551.913221671</v>
      </c>
      <c r="P223" s="70" t="n">
        <f aca="false">P222+P221</f>
        <v>158774.618584711</v>
      </c>
      <c r="Q223" s="70" t="n">
        <f aca="false">Q222+Q221</f>
        <v>163009.823947751</v>
      </c>
      <c r="R223" s="70" t="n">
        <f aca="false">R222+R221</f>
        <v>167257.529310791</v>
      </c>
      <c r="S223" s="70" t="n">
        <f aca="false">S222+S221</f>
        <v>171517.734673831</v>
      </c>
      <c r="T223" s="70" t="n">
        <f aca="false">T222+T221</f>
        <v>184335.663628391</v>
      </c>
      <c r="U223" s="70" t="n">
        <f aca="false">U222+U221</f>
        <v>197142.097571111</v>
      </c>
      <c r="V223" s="70" t="n">
        <f aca="false">V222+V221</f>
        <v>209961.031513831</v>
      </c>
      <c r="W223" s="70" t="n">
        <f aca="false">W222+W221</f>
        <v>214247.241865031</v>
      </c>
      <c r="X223" s="70" t="n">
        <f aca="false">X222+X221</f>
        <v>218569.947228071</v>
      </c>
      <c r="Y223" s="70" t="n">
        <f aca="false">Y222+Y221</f>
        <v>222905.152591111</v>
      </c>
      <c r="Z223" s="70" t="n">
        <f aca="false">Z222+Z221</f>
        <v>235798.081545671</v>
      </c>
      <c r="AA223" s="70" t="n">
        <f aca="false">AA222+AA221</f>
        <v>232911.656417439</v>
      </c>
      <c r="AB223" s="70" t="n">
        <f aca="false">AB222+AB221</f>
        <v>239525.903324588</v>
      </c>
      <c r="AC223" s="70" t="n">
        <f aca="false">AC222+AC221</f>
        <v>245553.788869481</v>
      </c>
      <c r="AD223" s="70" t="n">
        <f aca="false">AD222+AD221</f>
        <v>250905.981426129</v>
      </c>
      <c r="AE223" s="70" t="n">
        <f aca="false">AE222+AE221</f>
        <v>256268.048982777</v>
      </c>
      <c r="AF223" s="70" t="n">
        <f aca="false">AF222+AF221</f>
        <v>268807.18325363</v>
      </c>
      <c r="AG223" s="70" t="n">
        <f aca="false">AG222+AG221</f>
        <v>281330.736216422</v>
      </c>
      <c r="AH223" s="70" t="n">
        <f aca="false">AH222+AH221</f>
        <v>293864.164179214</v>
      </c>
      <c r="AI223" s="70" t="n">
        <f aca="false">AI222+AI221</f>
        <v>299240.275427801</v>
      </c>
      <c r="AJ223" s="70" t="n">
        <f aca="false">AJ222+AJ221</f>
        <v>304651.717984449</v>
      </c>
      <c r="AK223" s="70" t="n">
        <f aca="false">AK222+AK221</f>
        <v>310073.035541097</v>
      </c>
      <c r="AL223" s="70" t="n">
        <f aca="false">AL222+AL221</f>
        <v>322671.41981195</v>
      </c>
      <c r="AM223" s="70" t="n">
        <f aca="false">AM222+AM221</f>
        <v>320464.734980913</v>
      </c>
      <c r="AN223" s="70" t="n">
        <f aca="false">AN222+AN221</f>
        <v>327727.244928712</v>
      </c>
      <c r="AO223" s="70" t="n">
        <f aca="false">AO222+AO221</f>
        <v>334999.629876511</v>
      </c>
      <c r="AP223" s="70" t="n">
        <f aca="false">AP222+AP221</f>
        <v>342281.889824309</v>
      </c>
      <c r="AQ223" s="70" t="n">
        <f aca="false">AQ222+AQ221</f>
        <v>349574.024772108</v>
      </c>
      <c r="AR223" s="70" t="n">
        <f aca="false">AR222+AR221</f>
        <v>364479.708409508</v>
      </c>
      <c r="AS223" s="70" t="n">
        <f aca="false">AS222+AS221</f>
        <v>379368.260449685</v>
      </c>
      <c r="AT223" s="70" t="n">
        <f aca="false">AT222+AT221</f>
        <v>394266.687489862</v>
      </c>
      <c r="AU223" s="70" t="n">
        <f aca="false">AU222+AU221</f>
        <v>401571.315840439</v>
      </c>
      <c r="AV223" s="70" t="n">
        <f aca="false">AV222+AV221</f>
        <v>408912.825788238</v>
      </c>
      <c r="AW223" s="70" t="n">
        <f aca="false">AW222+AW221</f>
        <v>416264.210736037</v>
      </c>
      <c r="AX223" s="70" t="n">
        <f aca="false">AX222+AX221</f>
        <v>431229.144373436</v>
      </c>
      <c r="AY223" s="70" t="n">
        <f aca="false">AY222+AY221</f>
        <v>431026.968833004</v>
      </c>
      <c r="AZ223" s="70" t="n">
        <f aca="false">AZ222+AZ221</f>
        <v>440263.448254434</v>
      </c>
      <c r="BA223" s="70" t="n">
        <f aca="false">BA222+BA221</f>
        <v>449509.802675863</v>
      </c>
      <c r="BB223" s="70" t="n">
        <f aca="false">BB222+BB221</f>
        <v>458766.032097293</v>
      </c>
      <c r="BC223" s="70" t="n">
        <f aca="false">BC222+BC221</f>
        <v>468032.136518723</v>
      </c>
      <c r="BD223" s="70" t="n">
        <f aca="false">BD222+BD221</f>
        <v>485374.853357449</v>
      </c>
      <c r="BE223" s="70" t="n">
        <f aca="false">BE222+BE221</f>
        <v>502698.793897183</v>
      </c>
      <c r="BF223" s="70" t="n">
        <f aca="false">BF222+BF221</f>
        <v>520032.609436917</v>
      </c>
      <c r="BG223" s="70" t="n">
        <f aca="false">BG222+BG221</f>
        <v>529309.562559354</v>
      </c>
      <c r="BH223" s="70" t="n">
        <f aca="false">BH222+BH221</f>
        <v>538625.041980784</v>
      </c>
      <c r="BI223" s="70" t="n">
        <f aca="false">BI222+BI221</f>
        <v>547950.396402214</v>
      </c>
      <c r="BJ223" s="70" t="n">
        <f aca="false">BJ222+BJ221</f>
        <v>565352.36324094</v>
      </c>
    </row>
    <row r="224" customFormat="false" ht="15" hidden="false" customHeight="false" outlineLevel="0" collapsed="false">
      <c r="A224" s="118" t="s">
        <v>447</v>
      </c>
      <c r="C224" s="120" t="n">
        <f aca="false">IF(C178&gt;0,1,0)</f>
        <v>0</v>
      </c>
      <c r="D224" s="120" t="n">
        <f aca="false">IF(D178&gt;0,1,0)</f>
        <v>0</v>
      </c>
      <c r="E224" s="120" t="n">
        <f aca="false">IF(E178&gt;0,1,0)</f>
        <v>0</v>
      </c>
      <c r="F224" s="120" t="n">
        <f aca="false">IF(F178&gt;0,1,0)</f>
        <v>0</v>
      </c>
      <c r="G224" s="120" t="n">
        <f aca="false">IF(G178&gt;0,1,0)</f>
        <v>0</v>
      </c>
      <c r="H224" s="120" t="n">
        <f aca="false">IF(H178&gt;0,1,0)</f>
        <v>0</v>
      </c>
      <c r="I224" s="120" t="n">
        <f aca="false">IF(I178&gt;0,1,0)</f>
        <v>1</v>
      </c>
      <c r="J224" s="120" t="n">
        <f aca="false">IF(J178&gt;0,1,0)</f>
        <v>1</v>
      </c>
      <c r="K224" s="120" t="n">
        <f aca="false">IF(K178&gt;0,1,0)</f>
        <v>0</v>
      </c>
      <c r="L224" s="120" t="n">
        <f aca="false">IF(L178&gt;0,1,0)</f>
        <v>1</v>
      </c>
      <c r="M224" s="120" t="n">
        <f aca="false">IF(M178&gt;0,1,0)</f>
        <v>1</v>
      </c>
      <c r="N224" s="120" t="n">
        <f aca="false">IF(N178&gt;0,1,0)</f>
        <v>1</v>
      </c>
      <c r="O224" s="120" t="n">
        <f aca="false">IF(O178&gt;0,1,0)</f>
        <v>1</v>
      </c>
      <c r="P224" s="120" t="n">
        <f aca="false">IF(P178&gt;0,1,0)</f>
        <v>1</v>
      </c>
      <c r="Q224" s="120" t="n">
        <f aca="false">IF(Q178&gt;0,1,0)</f>
        <v>1</v>
      </c>
      <c r="R224" s="120" t="n">
        <f aca="false">IF(R178&gt;0,1,0)</f>
        <v>1</v>
      </c>
      <c r="S224" s="120" t="n">
        <f aca="false">IF(S178&gt;0,1,0)</f>
        <v>1</v>
      </c>
      <c r="T224" s="120" t="n">
        <f aca="false">IF(T178&gt;0,1,0)</f>
        <v>1</v>
      </c>
      <c r="U224" s="120" t="n">
        <f aca="false">IF(U178&gt;0,1,0)</f>
        <v>1</v>
      </c>
      <c r="V224" s="120" t="n">
        <f aca="false">IF(V178&gt;0,1,0)</f>
        <v>1</v>
      </c>
      <c r="W224" s="120" t="n">
        <f aca="false">IF(W178&gt;0,1,0)</f>
        <v>1</v>
      </c>
      <c r="X224" s="120" t="n">
        <f aca="false">IF(X178&gt;0,1,0)</f>
        <v>1</v>
      </c>
      <c r="Y224" s="120" t="n">
        <f aca="false">IF(Y178&gt;0,1,0)</f>
        <v>1</v>
      </c>
      <c r="Z224" s="120" t="n">
        <f aca="false">IF(Z178&gt;0,1,0)</f>
        <v>1</v>
      </c>
      <c r="AA224" s="120" t="n">
        <f aca="false">IF(AA178&gt;0,1,0)</f>
        <v>1</v>
      </c>
      <c r="AB224" s="120" t="n">
        <f aca="false">IF(AB178&gt;0,1,0)</f>
        <v>1</v>
      </c>
      <c r="AC224" s="120" t="n">
        <f aca="false">IF(AC178&gt;0,1,0)</f>
        <v>1</v>
      </c>
      <c r="AD224" s="120" t="n">
        <f aca="false">IF(AD178&gt;0,1,0)</f>
        <v>1</v>
      </c>
      <c r="AE224" s="120" t="n">
        <f aca="false">IF(AE178&gt;0,1,0)</f>
        <v>1</v>
      </c>
      <c r="AF224" s="120" t="n">
        <f aca="false">IF(AF178&gt;0,1,0)</f>
        <v>1</v>
      </c>
      <c r="AG224" s="120" t="n">
        <f aca="false">IF(AG178&gt;0,1,0)</f>
        <v>1</v>
      </c>
      <c r="AH224" s="120" t="n">
        <f aca="false">IF(AH178&gt;0,1,0)</f>
        <v>1</v>
      </c>
      <c r="AI224" s="120" t="n">
        <f aca="false">IF(AI178&gt;0,1,0)</f>
        <v>1</v>
      </c>
      <c r="AJ224" s="120" t="n">
        <f aca="false">IF(AJ178&gt;0,1,0)</f>
        <v>1</v>
      </c>
      <c r="AK224" s="120" t="n">
        <f aca="false">IF(AK178&gt;0,1,0)</f>
        <v>1</v>
      </c>
      <c r="AL224" s="120" t="n">
        <f aca="false">IF(AL178&gt;0,1,0)</f>
        <v>1</v>
      </c>
      <c r="AM224" s="120" t="n">
        <f aca="false">IF(AM178&gt;0,1,0)</f>
        <v>1</v>
      </c>
      <c r="AN224" s="120" t="n">
        <f aca="false">IF(AN178&gt;0,1,0)</f>
        <v>1</v>
      </c>
      <c r="AO224" s="120" t="n">
        <f aca="false">IF(AO178&gt;0,1,0)</f>
        <v>1</v>
      </c>
      <c r="AP224" s="120" t="n">
        <f aca="false">IF(AP178&gt;0,1,0)</f>
        <v>1</v>
      </c>
      <c r="AQ224" s="120" t="n">
        <f aca="false">IF(AQ178&gt;0,1,0)</f>
        <v>1</v>
      </c>
      <c r="AR224" s="120" t="n">
        <f aca="false">IF(AR178&gt;0,1,0)</f>
        <v>1</v>
      </c>
      <c r="AS224" s="120" t="n">
        <f aca="false">IF(AS178&gt;0,1,0)</f>
        <v>1</v>
      </c>
      <c r="AT224" s="120" t="n">
        <f aca="false">IF(AT178&gt;0,1,0)</f>
        <v>1</v>
      </c>
      <c r="AU224" s="120" t="n">
        <f aca="false">IF(AU178&gt;0,1,0)</f>
        <v>1</v>
      </c>
      <c r="AV224" s="120" t="n">
        <f aca="false">IF(AV178&gt;0,1,0)</f>
        <v>1</v>
      </c>
      <c r="AW224" s="120" t="n">
        <f aca="false">IF(AW178&gt;0,1,0)</f>
        <v>1</v>
      </c>
      <c r="AX224" s="120" t="n">
        <f aca="false">IF(AX178&gt;0,1,0)</f>
        <v>1</v>
      </c>
      <c r="AY224" s="120" t="n">
        <f aca="false">IF(AY178&gt;0,1,0)</f>
        <v>1</v>
      </c>
      <c r="AZ224" s="120" t="n">
        <f aca="false">IF(AZ178&gt;0,1,0)</f>
        <v>1</v>
      </c>
      <c r="BA224" s="120" t="n">
        <f aca="false">IF(BA178&gt;0,1,0)</f>
        <v>1</v>
      </c>
      <c r="BB224" s="120" t="n">
        <f aca="false">IF(BB178&gt;0,1,0)</f>
        <v>1</v>
      </c>
      <c r="BC224" s="120" t="n">
        <f aca="false">IF(BC178&gt;0,1,0)</f>
        <v>1</v>
      </c>
      <c r="BD224" s="120" t="n">
        <f aca="false">IF(BD178&gt;0,1,0)</f>
        <v>1</v>
      </c>
      <c r="BE224" s="120" t="n">
        <f aca="false">IF(BE178&gt;0,1,0)</f>
        <v>1</v>
      </c>
      <c r="BF224" s="120" t="n">
        <f aca="false">IF(BF178&gt;0,1,0)</f>
        <v>1</v>
      </c>
      <c r="BG224" s="120" t="n">
        <f aca="false">IF(BG178&gt;0,1,0)</f>
        <v>1</v>
      </c>
      <c r="BH224" s="120" t="n">
        <f aca="false">IF(BH178&gt;0,1,0)</f>
        <v>1</v>
      </c>
      <c r="BI224" s="120" t="n">
        <f aca="false">IF(BI178&gt;0,1,0)</f>
        <v>1</v>
      </c>
      <c r="BJ224" s="120" t="n">
        <f aca="false">IF(BJ178&gt;0,1,0)</f>
        <v>1</v>
      </c>
    </row>
    <row r="226" customFormat="false" ht="15.75" hidden="false" customHeight="true" outlineLevel="0" collapsed="false">
      <c r="A226" s="7" t="s">
        <v>448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</row>
    <row r="227" customFormat="false" ht="15" hidden="false" customHeight="false" outlineLevel="0" collapsed="false">
      <c r="A227" s="118" t="s">
        <v>449</v>
      </c>
      <c r="C227" s="120" t="n">
        <f aca="false">IF(C187&gt;0,1,0)</f>
        <v>0</v>
      </c>
      <c r="D227" s="120" t="n">
        <f aca="false">IF(D187&gt;0,1,0)</f>
        <v>0</v>
      </c>
      <c r="E227" s="120" t="n">
        <f aca="false">IF(E187&gt;0,1,0)</f>
        <v>0</v>
      </c>
      <c r="F227" s="120" t="n">
        <f aca="false">IF(F187&gt;0,1,0)</f>
        <v>0</v>
      </c>
      <c r="G227" s="120" t="n">
        <f aca="false">IF(G187&gt;0,1,0)</f>
        <v>0</v>
      </c>
      <c r="H227" s="120" t="n">
        <f aca="false">IF(H187&gt;0,1,0)</f>
        <v>0</v>
      </c>
      <c r="I227" s="120" t="n">
        <f aca="false">IF(I187&gt;0,1,0)</f>
        <v>0</v>
      </c>
      <c r="J227" s="120" t="n">
        <f aca="false">IF(J187&gt;0,1,0)</f>
        <v>1</v>
      </c>
      <c r="K227" s="120" t="n">
        <f aca="false">IF(K187&gt;0,1,0)</f>
        <v>0</v>
      </c>
      <c r="L227" s="120" t="n">
        <f aca="false">IF(L187&gt;0,1,0)</f>
        <v>0</v>
      </c>
      <c r="M227" s="120" t="n">
        <f aca="false">IF(M187&gt;0,1,0)</f>
        <v>1</v>
      </c>
      <c r="N227" s="120" t="n">
        <f aca="false">IF(N187&gt;0,1,0)</f>
        <v>1</v>
      </c>
      <c r="O227" s="120" t="n">
        <f aca="false">IF(O187&gt;0,1,0)</f>
        <v>1</v>
      </c>
      <c r="P227" s="120" t="n">
        <f aca="false">IF(P187&gt;0,1,0)</f>
        <v>1</v>
      </c>
      <c r="Q227" s="120" t="n">
        <f aca="false">IF(Q187&gt;0,1,0)</f>
        <v>1</v>
      </c>
      <c r="R227" s="120" t="n">
        <f aca="false">IF(R187&gt;0,1,0)</f>
        <v>1</v>
      </c>
      <c r="S227" s="120" t="n">
        <f aca="false">IF(S187&gt;0,1,0)</f>
        <v>1</v>
      </c>
      <c r="T227" s="120" t="n">
        <f aca="false">IF(T187&gt;0,1,0)</f>
        <v>1</v>
      </c>
      <c r="U227" s="120" t="n">
        <f aca="false">IF(U187&gt;0,1,0)</f>
        <v>1</v>
      </c>
      <c r="V227" s="120" t="n">
        <f aca="false">IF(V187&gt;0,1,0)</f>
        <v>1</v>
      </c>
      <c r="W227" s="120" t="n">
        <f aca="false">IF(W187&gt;0,1,0)</f>
        <v>1</v>
      </c>
      <c r="X227" s="120" t="n">
        <f aca="false">IF(X187&gt;0,1,0)</f>
        <v>1</v>
      </c>
      <c r="Y227" s="120" t="n">
        <f aca="false">IF(Y187&gt;0,1,0)</f>
        <v>1</v>
      </c>
      <c r="Z227" s="120" t="n">
        <f aca="false">IF(Z187&gt;0,1,0)</f>
        <v>1</v>
      </c>
      <c r="AA227" s="120" t="n">
        <f aca="false">IF(AA187&gt;0,1,0)</f>
        <v>1</v>
      </c>
      <c r="AB227" s="120" t="n">
        <f aca="false">IF(AB187&gt;0,1,0)</f>
        <v>1</v>
      </c>
      <c r="AC227" s="120" t="n">
        <f aca="false">IF(AC187&gt;0,1,0)</f>
        <v>1</v>
      </c>
      <c r="AD227" s="120" t="n">
        <f aca="false">IF(AD187&gt;0,1,0)</f>
        <v>1</v>
      </c>
      <c r="AE227" s="120" t="n">
        <f aca="false">IF(AE187&gt;0,1,0)</f>
        <v>1</v>
      </c>
      <c r="AF227" s="120" t="n">
        <f aca="false">IF(AF187&gt;0,1,0)</f>
        <v>1</v>
      </c>
      <c r="AG227" s="120" t="n">
        <f aca="false">IF(AG187&gt;0,1,0)</f>
        <v>1</v>
      </c>
      <c r="AH227" s="120" t="n">
        <f aca="false">IF(AH187&gt;0,1,0)</f>
        <v>1</v>
      </c>
      <c r="AI227" s="120" t="n">
        <f aca="false">IF(AI187&gt;0,1,0)</f>
        <v>1</v>
      </c>
      <c r="AJ227" s="120" t="n">
        <f aca="false">IF(AJ187&gt;0,1,0)</f>
        <v>1</v>
      </c>
      <c r="AK227" s="120" t="n">
        <f aca="false">IF(AK187&gt;0,1,0)</f>
        <v>1</v>
      </c>
      <c r="AL227" s="120" t="n">
        <f aca="false">IF(AL187&gt;0,1,0)</f>
        <v>1</v>
      </c>
      <c r="AM227" s="120" t="n">
        <f aca="false">IF(AM187&gt;0,1,0)</f>
        <v>1</v>
      </c>
      <c r="AN227" s="120" t="n">
        <f aca="false">IF(AN187&gt;0,1,0)</f>
        <v>1</v>
      </c>
      <c r="AO227" s="120" t="n">
        <f aca="false">IF(AO187&gt;0,1,0)</f>
        <v>1</v>
      </c>
      <c r="AP227" s="120" t="n">
        <f aca="false">IF(AP187&gt;0,1,0)</f>
        <v>1</v>
      </c>
      <c r="AQ227" s="120" t="n">
        <f aca="false">IF(AQ187&gt;0,1,0)</f>
        <v>1</v>
      </c>
      <c r="AR227" s="120" t="n">
        <f aca="false">IF(AR187&gt;0,1,0)</f>
        <v>1</v>
      </c>
      <c r="AS227" s="120" t="n">
        <f aca="false">IF(AS187&gt;0,1,0)</f>
        <v>1</v>
      </c>
      <c r="AT227" s="120" t="n">
        <f aca="false">IF(AT187&gt;0,1,0)</f>
        <v>1</v>
      </c>
      <c r="AU227" s="120" t="n">
        <f aca="false">IF(AU187&gt;0,1,0)</f>
        <v>1</v>
      </c>
      <c r="AV227" s="120" t="n">
        <f aca="false">IF(AV187&gt;0,1,0)</f>
        <v>1</v>
      </c>
      <c r="AW227" s="120" t="n">
        <f aca="false">IF(AW187&gt;0,1,0)</f>
        <v>1</v>
      </c>
      <c r="AX227" s="120" t="n">
        <f aca="false">IF(AX187&gt;0,1,0)</f>
        <v>1</v>
      </c>
      <c r="AY227" s="120" t="n">
        <f aca="false">IF(AY187&gt;0,1,0)</f>
        <v>1</v>
      </c>
      <c r="AZ227" s="120" t="n">
        <f aca="false">IF(AZ187&gt;0,1,0)</f>
        <v>1</v>
      </c>
      <c r="BA227" s="120" t="n">
        <f aca="false">IF(BA187&gt;0,1,0)</f>
        <v>1</v>
      </c>
      <c r="BB227" s="120" t="n">
        <f aca="false">IF(BB187&gt;0,1,0)</f>
        <v>1</v>
      </c>
      <c r="BC227" s="120" t="n">
        <f aca="false">IF(BC187&gt;0,1,0)</f>
        <v>1</v>
      </c>
      <c r="BD227" s="120" t="n">
        <f aca="false">IF(BD187&gt;0,1,0)</f>
        <v>1</v>
      </c>
      <c r="BE227" s="120" t="n">
        <f aca="false">IF(BE187&gt;0,1,0)</f>
        <v>1</v>
      </c>
      <c r="BF227" s="120" t="n">
        <f aca="false">IF(BF187&gt;0,1,0)</f>
        <v>1</v>
      </c>
      <c r="BG227" s="120" t="n">
        <f aca="false">IF(BG187&gt;0,1,0)</f>
        <v>1</v>
      </c>
      <c r="BH227" s="120" t="n">
        <f aca="false">IF(BH187&gt;0,1,0)</f>
        <v>1</v>
      </c>
      <c r="BI227" s="120" t="n">
        <f aca="false">IF(BI187&gt;0,1,0)</f>
        <v>1</v>
      </c>
      <c r="BJ227" s="120" t="n">
        <f aca="false">IF(BJ187&gt;0,1,0)</f>
        <v>1</v>
      </c>
    </row>
    <row r="228" customFormat="false" ht="15" hidden="false" customHeight="false" outlineLevel="0" collapsed="false">
      <c r="A228" s="6" t="s">
        <v>450</v>
      </c>
      <c r="C228" s="69" t="n">
        <f aca="false">C217+C218</f>
        <v>-205920.330862222</v>
      </c>
      <c r="D228" s="69" t="n">
        <f aca="false">D217+D218</f>
        <v>-19198.8403893333</v>
      </c>
      <c r="E228" s="69" t="n">
        <f aca="false">E217+E218</f>
        <v>-16618.3652533333</v>
      </c>
      <c r="F228" s="69" t="n">
        <f aca="false">F217+F218</f>
        <v>-14037.8901173333</v>
      </c>
      <c r="G228" s="69" t="n">
        <f aca="false">G217+G218</f>
        <v>-11457.4149813333</v>
      </c>
      <c r="H228" s="69" t="n">
        <f aca="false">H217+H218</f>
        <v>-3238.65488533334</v>
      </c>
      <c r="I228" s="69" t="n">
        <f aca="false">I217+I218</f>
        <v>-190.730501333334</v>
      </c>
      <c r="J228" s="69" t="n">
        <f aca="false">J217+J218</f>
        <v>2871.66914666667</v>
      </c>
      <c r="K228" s="69" t="n">
        <f aca="false">K217+K218</f>
        <v>-1154.06086933334</v>
      </c>
      <c r="L228" s="69" t="n">
        <f aca="false">L217+L218</f>
        <v>1444.96069866666</v>
      </c>
      <c r="M228" s="69" t="n">
        <f aca="false">M217+M218</f>
        <v>4025.43583466666</v>
      </c>
      <c r="N228" s="69" t="n">
        <f aca="false">N217+N218</f>
        <v>11664.6950666667</v>
      </c>
      <c r="O228" s="69" t="n">
        <f aca="false">O217+O218</f>
        <v>-3638.55966544</v>
      </c>
      <c r="P228" s="69" t="n">
        <f aca="false">P217+P218</f>
        <v>5889.37202970667</v>
      </c>
      <c r="Q228" s="69" t="n">
        <f aca="false">Q217+Q218</f>
        <v>5901.87202970667</v>
      </c>
      <c r="R228" s="69" t="n">
        <f aca="false">R217+R218</f>
        <v>5914.37202970667</v>
      </c>
      <c r="S228" s="69" t="n">
        <f aca="false">S217+S218</f>
        <v>5926.87202970667</v>
      </c>
      <c r="T228" s="69" t="n">
        <f aca="false">T217+T218</f>
        <v>14484.5956212267</v>
      </c>
      <c r="U228" s="69" t="n">
        <f aca="false">U217+U218</f>
        <v>14473.1006093867</v>
      </c>
      <c r="V228" s="69" t="n">
        <f aca="false">V217+V218</f>
        <v>14485.6006093867</v>
      </c>
      <c r="W228" s="69" t="n">
        <f aca="false">W217+W218</f>
        <v>5952.87701786667</v>
      </c>
      <c r="X228" s="69" t="n">
        <f aca="false">X217+X218</f>
        <v>5989.37202970667</v>
      </c>
      <c r="Y228" s="69" t="n">
        <f aca="false">Y217+Y218</f>
        <v>6001.87202970667</v>
      </c>
      <c r="Z228" s="69" t="n">
        <f aca="false">Z217+Z218</f>
        <v>14559.5956212267</v>
      </c>
      <c r="AA228" s="69" t="n">
        <f aca="false">AA217+AA218</f>
        <v>-1219.75846156531</v>
      </c>
      <c r="AB228" s="69" t="n">
        <f aca="false">AB217+AB218</f>
        <v>8280.91357381579</v>
      </c>
      <c r="AC228" s="69" t="n">
        <f aca="false">AC217+AC218</f>
        <v>7694.55221155984</v>
      </c>
      <c r="AD228" s="69" t="n">
        <f aca="false">AD217+AD218</f>
        <v>7018.85922331448</v>
      </c>
      <c r="AE228" s="69" t="n">
        <f aca="false">AE217+AE218</f>
        <v>7028.73422331448</v>
      </c>
      <c r="AF228" s="69" t="n">
        <f aca="false">AF217+AF218</f>
        <v>14205.8009375197</v>
      </c>
      <c r="AG228" s="69" t="n">
        <f aca="false">AG217+AG218</f>
        <v>14190.2196294587</v>
      </c>
      <c r="AH228" s="69" t="n">
        <f aca="false">AH217+AH218</f>
        <v>14200.0946294587</v>
      </c>
      <c r="AI228" s="69" t="n">
        <f aca="false">AI217+AI218</f>
        <v>7042.77791525342</v>
      </c>
      <c r="AJ228" s="69" t="n">
        <f aca="false">AJ217+AJ218</f>
        <v>7078.10922331448</v>
      </c>
      <c r="AK228" s="69" t="n">
        <f aca="false">AK217+AK218</f>
        <v>7087.98422331448</v>
      </c>
      <c r="AL228" s="69" t="n">
        <f aca="false">AL217+AL218</f>
        <v>14265.0509375197</v>
      </c>
      <c r="AM228" s="69" t="n">
        <f aca="false">AM217+AM218</f>
        <v>-540.018164370209</v>
      </c>
      <c r="AN228" s="69" t="n">
        <f aca="false">AN217+AN218</f>
        <v>8929.17661446559</v>
      </c>
      <c r="AO228" s="69" t="n">
        <f aca="false">AO217+AO218</f>
        <v>8939.05161446559</v>
      </c>
      <c r="AP228" s="69" t="n">
        <f aca="false">AP217+AP218</f>
        <v>8948.92661446559</v>
      </c>
      <c r="AQ228" s="69" t="n">
        <f aca="false">AQ217+AQ218</f>
        <v>8958.80161446559</v>
      </c>
      <c r="AR228" s="69" t="n">
        <f aca="false">AR217+AR218</f>
        <v>16572.3503040659</v>
      </c>
      <c r="AS228" s="69" t="n">
        <f aca="false">AS217+AS218</f>
        <v>16555.2187068439</v>
      </c>
      <c r="AT228" s="69" t="n">
        <f aca="false">AT217+AT218</f>
        <v>16565.0937068439</v>
      </c>
      <c r="AU228" s="69" t="n">
        <f aca="false">AU217+AU218</f>
        <v>8971.29501724362</v>
      </c>
      <c r="AV228" s="69" t="n">
        <f aca="false">AV217+AV218</f>
        <v>9008.1766144656</v>
      </c>
      <c r="AW228" s="69" t="n">
        <f aca="false">AW217+AW218</f>
        <v>9018.0516144656</v>
      </c>
      <c r="AX228" s="69" t="n">
        <f aca="false">AX217+AX218</f>
        <v>16631.6003040659</v>
      </c>
      <c r="AY228" s="69" t="n">
        <f aca="false">AY217+AY218</f>
        <v>1464.49112623444</v>
      </c>
      <c r="AZ228" s="69" t="n">
        <f aca="false">AZ217+AZ218</f>
        <v>10903.1460880963</v>
      </c>
      <c r="BA228" s="69" t="n">
        <f aca="false">BA217+BA218</f>
        <v>10913.0210880963</v>
      </c>
      <c r="BB228" s="69" t="n">
        <f aca="false">BB217+BB218</f>
        <v>10922.8960880963</v>
      </c>
      <c r="BC228" s="69" t="n">
        <f aca="false">BC217+BC218</f>
        <v>10932.7710880963</v>
      </c>
      <c r="BD228" s="69" t="n">
        <f aca="false">BD217+BD218</f>
        <v>19009.3835053933</v>
      </c>
      <c r="BE228" s="69" t="n">
        <f aca="false">BE217+BE218</f>
        <v>18990.6072064006</v>
      </c>
      <c r="BF228" s="69" t="n">
        <f aca="false">BF217+BF218</f>
        <v>19000.4822064006</v>
      </c>
      <c r="BG228" s="69" t="n">
        <f aca="false">BG217+BG218</f>
        <v>10943.6197891036</v>
      </c>
      <c r="BH228" s="69" t="n">
        <f aca="false">BH217+BH218</f>
        <v>10982.1460880963</v>
      </c>
      <c r="BI228" s="69" t="n">
        <f aca="false">BI217+BI218</f>
        <v>10992.0210880963</v>
      </c>
      <c r="BJ228" s="69" t="n">
        <f aca="false">BJ217+BJ218</f>
        <v>19068.6335053933</v>
      </c>
    </row>
    <row r="229" customFormat="false" ht="15" hidden="false" customHeight="false" outlineLevel="0" collapsed="false">
      <c r="A229" s="6" t="s">
        <v>451</v>
      </c>
      <c r="C229" s="69" t="n">
        <f aca="false">C228</f>
        <v>-205920.330862222</v>
      </c>
      <c r="D229" s="69" t="n">
        <f aca="false">C229+D228</f>
        <v>-225119.171251556</v>
      </c>
      <c r="E229" s="69" t="n">
        <f aca="false">D229+E228</f>
        <v>-241737.536504889</v>
      </c>
      <c r="F229" s="69" t="n">
        <f aca="false">E229+F228</f>
        <v>-255775.426622222</v>
      </c>
      <c r="G229" s="69" t="n">
        <f aca="false">F229+G228</f>
        <v>-267232.841603556</v>
      </c>
      <c r="H229" s="69" t="n">
        <f aca="false">G229+H228</f>
        <v>-270471.496488889</v>
      </c>
      <c r="I229" s="69" t="n">
        <f aca="false">H229+I228</f>
        <v>-270662.226990222</v>
      </c>
      <c r="J229" s="69" t="n">
        <f aca="false">I229+J228</f>
        <v>-267790.557843556</v>
      </c>
      <c r="K229" s="69" t="n">
        <f aca="false">J229+K228</f>
        <v>-268944.618712889</v>
      </c>
      <c r="L229" s="69" t="n">
        <f aca="false">K229+L228</f>
        <v>-267499.658014222</v>
      </c>
      <c r="M229" s="69" t="n">
        <f aca="false">L229+M228</f>
        <v>-263474.222179556</v>
      </c>
      <c r="N229" s="69" t="n">
        <f aca="false">M229+N228</f>
        <v>-251809.527112889</v>
      </c>
      <c r="O229" s="69" t="n">
        <f aca="false">N229+O228</f>
        <v>-255448.086778329</v>
      </c>
      <c r="P229" s="69" t="n">
        <f aca="false">O229+P228</f>
        <v>-249558.714748622</v>
      </c>
      <c r="Q229" s="69" t="n">
        <f aca="false">P229+Q228</f>
        <v>-243656.842718916</v>
      </c>
      <c r="R229" s="69" t="n">
        <f aca="false">Q229+R228</f>
        <v>-237742.470689209</v>
      </c>
      <c r="S229" s="69" t="n">
        <f aca="false">R229+S228</f>
        <v>-231815.598659502</v>
      </c>
      <c r="T229" s="69" t="n">
        <f aca="false">S229+T228</f>
        <v>-217331.003038276</v>
      </c>
      <c r="U229" s="69" t="n">
        <f aca="false">T229+U228</f>
        <v>-202857.902428889</v>
      </c>
      <c r="V229" s="69" t="n">
        <f aca="false">U229+V228</f>
        <v>-188372.301819502</v>
      </c>
      <c r="W229" s="69" t="n">
        <f aca="false">V229+W228</f>
        <v>-182419.424801636</v>
      </c>
      <c r="X229" s="69" t="n">
        <f aca="false">W229+X228</f>
        <v>-176430.052771929</v>
      </c>
      <c r="Y229" s="69" t="n">
        <f aca="false">X229+Y228</f>
        <v>-170428.180742222</v>
      </c>
      <c r="Z229" s="69" t="n">
        <f aca="false">Y229+Z228</f>
        <v>-155868.585120996</v>
      </c>
      <c r="AA229" s="69" t="n">
        <f aca="false">Z229+AA228</f>
        <v>-157088.343582561</v>
      </c>
      <c r="AB229" s="69" t="n">
        <f aca="false">AA229+AB228</f>
        <v>-148807.430008745</v>
      </c>
      <c r="AC229" s="69" t="n">
        <f aca="false">AB229+AC228</f>
        <v>-141112.877797185</v>
      </c>
      <c r="AD229" s="69" t="n">
        <f aca="false">AC229+AD228</f>
        <v>-134094.018573871</v>
      </c>
      <c r="AE229" s="69" t="n">
        <f aca="false">AD229+AE228</f>
        <v>-127065.284350556</v>
      </c>
      <c r="AF229" s="69" t="n">
        <f aca="false">AE229+AF228</f>
        <v>-112859.483413037</v>
      </c>
      <c r="AG229" s="69" t="n">
        <f aca="false">AF229+AG228</f>
        <v>-98669.263783578</v>
      </c>
      <c r="AH229" s="69" t="n">
        <f aca="false">AG229+AH228</f>
        <v>-84469.1691541193</v>
      </c>
      <c r="AI229" s="69" t="n">
        <f aca="false">AH229+AI228</f>
        <v>-77426.3912388659</v>
      </c>
      <c r="AJ229" s="69" t="n">
        <f aca="false">AI229+AJ228</f>
        <v>-70348.2820155514</v>
      </c>
      <c r="AK229" s="69" t="n">
        <f aca="false">AJ229+AK228</f>
        <v>-63260.2977922369</v>
      </c>
      <c r="AL229" s="69" t="n">
        <f aca="false">AK229+AL228</f>
        <v>-48995.2468547172</v>
      </c>
      <c r="AM229" s="69" t="n">
        <f aca="false">AL229+AM228</f>
        <v>-49535.2650190874</v>
      </c>
      <c r="AN229" s="69" t="n">
        <f aca="false">AM229+AN228</f>
        <v>-40606.0884046218</v>
      </c>
      <c r="AO229" s="69" t="n">
        <f aca="false">AN229+AO228</f>
        <v>-31667.0367901562</v>
      </c>
      <c r="AP229" s="69" t="n">
        <f aca="false">AO229+AP228</f>
        <v>-22718.1101756906</v>
      </c>
      <c r="AQ229" s="69" t="n">
        <f aca="false">AP229+AQ228</f>
        <v>-13759.308561225</v>
      </c>
      <c r="AR229" s="69" t="n">
        <f aca="false">AQ229+AR228</f>
        <v>2813.04174284088</v>
      </c>
      <c r="AS229" s="69" t="n">
        <f aca="false">AR229+AS228</f>
        <v>19368.2604496848</v>
      </c>
      <c r="AT229" s="69" t="n">
        <f aca="false">AS229+AT228</f>
        <v>35933.3541565288</v>
      </c>
      <c r="AU229" s="69" t="n">
        <f aca="false">AT229+AU228</f>
        <v>44904.6491737724</v>
      </c>
      <c r="AV229" s="69" t="n">
        <f aca="false">AU229+AV228</f>
        <v>53912.825788238</v>
      </c>
      <c r="AW229" s="69" t="n">
        <f aca="false">AV229+AW228</f>
        <v>62930.8774027036</v>
      </c>
      <c r="AX229" s="69" t="n">
        <f aca="false">AW229+AX228</f>
        <v>79562.4777067695</v>
      </c>
      <c r="AY229" s="69" t="n">
        <f aca="false">AX229+AY228</f>
        <v>81026.968833004</v>
      </c>
      <c r="AZ229" s="69" t="n">
        <f aca="false">AY229+AZ228</f>
        <v>91930.1149211003</v>
      </c>
      <c r="BA229" s="69" t="n">
        <f aca="false">AZ229+BA228</f>
        <v>102843.136009197</v>
      </c>
      <c r="BB229" s="69" t="n">
        <f aca="false">BA229+BB228</f>
        <v>113766.032097293</v>
      </c>
      <c r="BC229" s="69" t="n">
        <f aca="false">BB229+BC228</f>
        <v>124698.803185389</v>
      </c>
      <c r="BD229" s="69" t="n">
        <f aca="false">BC229+BD228</f>
        <v>143708.186690783</v>
      </c>
      <c r="BE229" s="69" t="n">
        <f aca="false">BD229+BE228</f>
        <v>162698.793897183</v>
      </c>
      <c r="BF229" s="69" t="n">
        <f aca="false">BE229+BF228</f>
        <v>181699.276103584</v>
      </c>
      <c r="BG229" s="69" t="n">
        <f aca="false">BF229+BG228</f>
        <v>192642.895892687</v>
      </c>
      <c r="BH229" s="69" t="n">
        <f aca="false">BG229+BH228</f>
        <v>203625.041980784</v>
      </c>
      <c r="BI229" s="69" t="n">
        <f aca="false">BH229+BI228</f>
        <v>214617.06306888</v>
      </c>
      <c r="BJ229" s="69" t="n">
        <f aca="false">BI229+BJ228</f>
        <v>233685.696574273</v>
      </c>
    </row>
    <row r="230" customFormat="false" ht="15" hidden="false" customHeight="false" outlineLevel="0" collapsed="false">
      <c r="A230" s="118" t="s">
        <v>452</v>
      </c>
      <c r="C230" s="69" t="n">
        <f aca="false">C229</f>
        <v>-205920.330862222</v>
      </c>
      <c r="D230" s="69" t="n">
        <f aca="false">MIN(C230,D229)</f>
        <v>-225119.171251556</v>
      </c>
      <c r="E230" s="69" t="n">
        <f aca="false">MIN(D230,E229)</f>
        <v>-241737.536504889</v>
      </c>
      <c r="F230" s="69" t="n">
        <f aca="false">MIN(E230,F229)</f>
        <v>-255775.426622222</v>
      </c>
      <c r="G230" s="69" t="n">
        <f aca="false">MIN(F230,G229)</f>
        <v>-267232.841603556</v>
      </c>
      <c r="H230" s="69" t="n">
        <f aca="false">MIN(G230,H229)</f>
        <v>-270471.496488889</v>
      </c>
      <c r="I230" s="69" t="n">
        <f aca="false">MIN(H230,I229)</f>
        <v>-270662.226990222</v>
      </c>
      <c r="J230" s="69" t="n">
        <f aca="false">MIN(I230,J229)</f>
        <v>-270662.226990222</v>
      </c>
      <c r="K230" s="69" t="n">
        <f aca="false">MIN(J230,K229)</f>
        <v>-270662.226990222</v>
      </c>
      <c r="L230" s="69" t="n">
        <f aca="false">MIN(K230,L229)</f>
        <v>-270662.226990222</v>
      </c>
      <c r="M230" s="69" t="n">
        <f aca="false">MIN(L230,M229)</f>
        <v>-270662.226990222</v>
      </c>
      <c r="N230" s="69" t="n">
        <f aca="false">MIN(M230,N229)</f>
        <v>-270662.226990222</v>
      </c>
      <c r="O230" s="69" t="n">
        <f aca="false">MIN(N230,O229)</f>
        <v>-270662.226990222</v>
      </c>
      <c r="P230" s="69" t="n">
        <f aca="false">MIN(O230,P229)</f>
        <v>-270662.226990222</v>
      </c>
      <c r="Q230" s="69" t="n">
        <f aca="false">MIN(P230,Q229)</f>
        <v>-270662.226990222</v>
      </c>
      <c r="R230" s="69" t="n">
        <f aca="false">MIN(Q230,R229)</f>
        <v>-270662.226990222</v>
      </c>
      <c r="S230" s="69" t="n">
        <f aca="false">MIN(R230,S229)</f>
        <v>-270662.226990222</v>
      </c>
      <c r="T230" s="69" t="n">
        <f aca="false">MIN(S230,T229)</f>
        <v>-270662.226990222</v>
      </c>
      <c r="U230" s="69" t="n">
        <f aca="false">MIN(T230,U229)</f>
        <v>-270662.226990222</v>
      </c>
      <c r="V230" s="69" t="n">
        <f aca="false">MIN(U230,V229)</f>
        <v>-270662.226990222</v>
      </c>
      <c r="W230" s="69" t="n">
        <f aca="false">MIN(V230,W229)</f>
        <v>-270662.226990222</v>
      </c>
      <c r="X230" s="69" t="n">
        <f aca="false">MIN(W230,X229)</f>
        <v>-270662.226990222</v>
      </c>
      <c r="Y230" s="69" t="n">
        <f aca="false">MIN(X230,Y229)</f>
        <v>-270662.226990222</v>
      </c>
      <c r="Z230" s="69" t="n">
        <f aca="false">MIN(Y230,Z229)</f>
        <v>-270662.226990222</v>
      </c>
      <c r="AA230" s="69" t="n">
        <f aca="false">MIN(Z230,AA229)</f>
        <v>-270662.226990222</v>
      </c>
      <c r="AB230" s="69" t="n">
        <f aca="false">MIN(AA230,AB229)</f>
        <v>-270662.226990222</v>
      </c>
      <c r="AC230" s="69" t="n">
        <f aca="false">MIN(AB230,AC229)</f>
        <v>-270662.226990222</v>
      </c>
      <c r="AD230" s="69" t="n">
        <f aca="false">MIN(AC230,AD229)</f>
        <v>-270662.226990222</v>
      </c>
      <c r="AE230" s="69" t="n">
        <f aca="false">MIN(AD230,AE229)</f>
        <v>-270662.226990222</v>
      </c>
      <c r="AF230" s="69" t="n">
        <f aca="false">MIN(AE230,AF229)</f>
        <v>-270662.226990222</v>
      </c>
      <c r="AG230" s="69" t="n">
        <f aca="false">MIN(AF230,AG229)</f>
        <v>-270662.226990222</v>
      </c>
      <c r="AH230" s="69" t="n">
        <f aca="false">MIN(AG230,AH229)</f>
        <v>-270662.226990222</v>
      </c>
      <c r="AI230" s="69" t="n">
        <f aca="false">MIN(AH230,AI229)</f>
        <v>-270662.226990222</v>
      </c>
      <c r="AJ230" s="69" t="n">
        <f aca="false">MIN(AI230,AJ229)</f>
        <v>-270662.226990222</v>
      </c>
      <c r="AK230" s="69" t="n">
        <f aca="false">MIN(AJ230,AK229)</f>
        <v>-270662.226990222</v>
      </c>
      <c r="AL230" s="69" t="n">
        <f aca="false">MIN(AK230,AL229)</f>
        <v>-270662.226990222</v>
      </c>
      <c r="AM230" s="69" t="n">
        <f aca="false">MIN(AL230,AM229)</f>
        <v>-270662.226990222</v>
      </c>
      <c r="AN230" s="69" t="n">
        <f aca="false">MIN(AM230,AN229)</f>
        <v>-270662.226990222</v>
      </c>
      <c r="AO230" s="69" t="n">
        <f aca="false">MIN(AN230,AO229)</f>
        <v>-270662.226990222</v>
      </c>
      <c r="AP230" s="69" t="n">
        <f aca="false">MIN(AO230,AP229)</f>
        <v>-270662.226990222</v>
      </c>
      <c r="AQ230" s="69" t="n">
        <f aca="false">MIN(AP230,AQ229)</f>
        <v>-270662.226990222</v>
      </c>
      <c r="AR230" s="69" t="n">
        <f aca="false">MIN(AQ230,AR229)</f>
        <v>-270662.226990222</v>
      </c>
      <c r="AS230" s="69" t="n">
        <f aca="false">MIN(AR230,AS229)</f>
        <v>-270662.226990222</v>
      </c>
      <c r="AT230" s="69" t="n">
        <f aca="false">MIN(AS230,AT229)</f>
        <v>-270662.226990222</v>
      </c>
      <c r="AU230" s="69" t="n">
        <f aca="false">MIN(AT230,AU229)</f>
        <v>-270662.226990222</v>
      </c>
      <c r="AV230" s="69" t="n">
        <f aca="false">MIN(AU230,AV229)</f>
        <v>-270662.226990222</v>
      </c>
      <c r="AW230" s="69" t="n">
        <f aca="false">MIN(AV230,AW229)</f>
        <v>-270662.226990222</v>
      </c>
      <c r="AX230" s="69" t="n">
        <f aca="false">MIN(AW230,AX229)</f>
        <v>-270662.226990222</v>
      </c>
      <c r="AY230" s="69" t="n">
        <f aca="false">MIN(AX230,AY229)</f>
        <v>-270662.226990222</v>
      </c>
      <c r="AZ230" s="69" t="n">
        <f aca="false">MIN(AY230,AZ229)</f>
        <v>-270662.226990222</v>
      </c>
      <c r="BA230" s="69" t="n">
        <f aca="false">MIN(AZ230,BA229)</f>
        <v>-270662.226990222</v>
      </c>
      <c r="BB230" s="69" t="n">
        <f aca="false">MIN(BA230,BB229)</f>
        <v>-270662.226990222</v>
      </c>
      <c r="BC230" s="69" t="n">
        <f aca="false">MIN(BB230,BC229)</f>
        <v>-270662.226990222</v>
      </c>
      <c r="BD230" s="69" t="n">
        <f aca="false">MIN(BC230,BD229)</f>
        <v>-270662.226990222</v>
      </c>
      <c r="BE230" s="69" t="n">
        <f aca="false">MIN(BD230,BE229)</f>
        <v>-270662.226990222</v>
      </c>
      <c r="BF230" s="69" t="n">
        <f aca="false">MIN(BE230,BF229)</f>
        <v>-270662.226990222</v>
      </c>
      <c r="BG230" s="69" t="n">
        <f aca="false">MIN(BF230,BG229)</f>
        <v>-270662.226990222</v>
      </c>
      <c r="BH230" s="69" t="n">
        <f aca="false">MIN(BG230,BH229)</f>
        <v>-270662.226990222</v>
      </c>
      <c r="BI230" s="69" t="n">
        <f aca="false">MIN(BH230,BI229)</f>
        <v>-270662.226990222</v>
      </c>
      <c r="BJ230" s="69" t="n">
        <f aca="false">MIN(BI230,BJ229)</f>
        <v>-270662.226990222</v>
      </c>
    </row>
    <row r="231" customFormat="false" ht="15" hidden="false" customHeight="false" outlineLevel="0" collapsed="false">
      <c r="A231" s="118" t="s">
        <v>453</v>
      </c>
      <c r="C231" s="120" t="n">
        <f aca="false">IF(AND(C229&gt;=0,C230&lt;0),1,0)</f>
        <v>0</v>
      </c>
      <c r="D231" s="120" t="n">
        <f aca="false">IF(AND(D229&gt;=0,D230&lt;0),1,0)</f>
        <v>0</v>
      </c>
      <c r="E231" s="120" t="n">
        <f aca="false">IF(AND(E229&gt;=0,E230&lt;0),1,0)</f>
        <v>0</v>
      </c>
      <c r="F231" s="120" t="n">
        <f aca="false">IF(AND(F229&gt;=0,F230&lt;0),1,0)</f>
        <v>0</v>
      </c>
      <c r="G231" s="120" t="n">
        <f aca="false">IF(AND(G229&gt;=0,G230&lt;0),1,0)</f>
        <v>0</v>
      </c>
      <c r="H231" s="120" t="n">
        <f aca="false">IF(AND(H229&gt;=0,H230&lt;0),1,0)</f>
        <v>0</v>
      </c>
      <c r="I231" s="120" t="n">
        <f aca="false">IF(AND(I229&gt;=0,I230&lt;0),1,0)</f>
        <v>0</v>
      </c>
      <c r="J231" s="120" t="n">
        <f aca="false">IF(AND(J229&gt;=0,J230&lt;0),1,0)</f>
        <v>0</v>
      </c>
      <c r="K231" s="120" t="n">
        <f aca="false">IF(AND(K229&gt;=0,K230&lt;0),1,0)</f>
        <v>0</v>
      </c>
      <c r="L231" s="120" t="n">
        <f aca="false">IF(AND(L229&gt;=0,L230&lt;0),1,0)</f>
        <v>0</v>
      </c>
      <c r="M231" s="120" t="n">
        <f aca="false">IF(AND(M229&gt;=0,M230&lt;0),1,0)</f>
        <v>0</v>
      </c>
      <c r="N231" s="120" t="n">
        <f aca="false">IF(AND(N229&gt;=0,N230&lt;0),1,0)</f>
        <v>0</v>
      </c>
      <c r="O231" s="120" t="n">
        <f aca="false">IF(AND(O229&gt;=0,O230&lt;0),1,0)</f>
        <v>0</v>
      </c>
      <c r="P231" s="120" t="n">
        <f aca="false">IF(AND(P229&gt;=0,P230&lt;0),1,0)</f>
        <v>0</v>
      </c>
      <c r="Q231" s="120" t="n">
        <f aca="false">IF(AND(Q229&gt;=0,Q230&lt;0),1,0)</f>
        <v>0</v>
      </c>
      <c r="R231" s="120" t="n">
        <f aca="false">IF(AND(R229&gt;=0,R230&lt;0),1,0)</f>
        <v>0</v>
      </c>
      <c r="S231" s="120" t="n">
        <f aca="false">IF(AND(S229&gt;=0,S230&lt;0),1,0)</f>
        <v>0</v>
      </c>
      <c r="T231" s="120" t="n">
        <f aca="false">IF(AND(T229&gt;=0,T230&lt;0),1,0)</f>
        <v>0</v>
      </c>
      <c r="U231" s="120" t="n">
        <f aca="false">IF(AND(U229&gt;=0,U230&lt;0),1,0)</f>
        <v>0</v>
      </c>
      <c r="V231" s="120" t="n">
        <f aca="false">IF(AND(V229&gt;=0,V230&lt;0),1,0)</f>
        <v>0</v>
      </c>
      <c r="W231" s="120" t="n">
        <f aca="false">IF(AND(W229&gt;=0,W230&lt;0),1,0)</f>
        <v>0</v>
      </c>
      <c r="X231" s="120" t="n">
        <f aca="false">IF(AND(X229&gt;=0,X230&lt;0),1,0)</f>
        <v>0</v>
      </c>
      <c r="Y231" s="120" t="n">
        <f aca="false">IF(AND(Y229&gt;=0,Y230&lt;0),1,0)</f>
        <v>0</v>
      </c>
      <c r="Z231" s="120" t="n">
        <f aca="false">IF(AND(Z229&gt;=0,Z230&lt;0),1,0)</f>
        <v>0</v>
      </c>
      <c r="AA231" s="120" t="n">
        <f aca="false">IF(AND(AA229&gt;=0,AA230&lt;0),1,0)</f>
        <v>0</v>
      </c>
      <c r="AB231" s="120" t="n">
        <f aca="false">IF(AND(AB229&gt;=0,AB230&lt;0),1,0)</f>
        <v>0</v>
      </c>
      <c r="AC231" s="120" t="n">
        <f aca="false">IF(AND(AC229&gt;=0,AC230&lt;0),1,0)</f>
        <v>0</v>
      </c>
      <c r="AD231" s="120" t="n">
        <f aca="false">IF(AND(AD229&gt;=0,AD230&lt;0),1,0)</f>
        <v>0</v>
      </c>
      <c r="AE231" s="120" t="n">
        <f aca="false">IF(AND(AE229&gt;=0,AE230&lt;0),1,0)</f>
        <v>0</v>
      </c>
      <c r="AF231" s="120" t="n">
        <f aca="false">IF(AND(AF229&gt;=0,AF230&lt;0),1,0)</f>
        <v>0</v>
      </c>
      <c r="AG231" s="120" t="n">
        <f aca="false">IF(AND(AG229&gt;=0,AG230&lt;0),1,0)</f>
        <v>0</v>
      </c>
      <c r="AH231" s="120" t="n">
        <f aca="false">IF(AND(AH229&gt;=0,AH230&lt;0),1,0)</f>
        <v>0</v>
      </c>
      <c r="AI231" s="120" t="n">
        <f aca="false">IF(AND(AI229&gt;=0,AI230&lt;0),1,0)</f>
        <v>0</v>
      </c>
      <c r="AJ231" s="120" t="n">
        <f aca="false">IF(AND(AJ229&gt;=0,AJ230&lt;0),1,0)</f>
        <v>0</v>
      </c>
      <c r="AK231" s="120" t="n">
        <f aca="false">IF(AND(AK229&gt;=0,AK230&lt;0),1,0)</f>
        <v>0</v>
      </c>
      <c r="AL231" s="120" t="n">
        <f aca="false">IF(AND(AL229&gt;=0,AL230&lt;0),1,0)</f>
        <v>0</v>
      </c>
      <c r="AM231" s="120" t="n">
        <f aca="false">IF(AND(AM229&gt;=0,AM230&lt;0),1,0)</f>
        <v>0</v>
      </c>
      <c r="AN231" s="120" t="n">
        <f aca="false">IF(AND(AN229&gt;=0,AN230&lt;0),1,0)</f>
        <v>0</v>
      </c>
      <c r="AO231" s="120" t="n">
        <f aca="false">IF(AND(AO229&gt;=0,AO230&lt;0),1,0)</f>
        <v>0</v>
      </c>
      <c r="AP231" s="120" t="n">
        <f aca="false">IF(AND(AP229&gt;=0,AP230&lt;0),1,0)</f>
        <v>0</v>
      </c>
      <c r="AQ231" s="120" t="n">
        <f aca="false">IF(AND(AQ229&gt;=0,AQ230&lt;0),1,0)</f>
        <v>0</v>
      </c>
      <c r="AR231" s="120" t="n">
        <f aca="false">IF(AND(AR229&gt;=0,AR230&lt;0),1,0)</f>
        <v>1</v>
      </c>
      <c r="AS231" s="120" t="n">
        <f aca="false">IF(AND(AS229&gt;=0,AS230&lt;0),1,0)</f>
        <v>1</v>
      </c>
      <c r="AT231" s="120" t="n">
        <f aca="false">IF(AND(AT229&gt;=0,AT230&lt;0),1,0)</f>
        <v>1</v>
      </c>
      <c r="AU231" s="120" t="n">
        <f aca="false">IF(AND(AU229&gt;=0,AU230&lt;0),1,0)</f>
        <v>1</v>
      </c>
      <c r="AV231" s="120" t="n">
        <f aca="false">IF(AND(AV229&gt;=0,AV230&lt;0),1,0)</f>
        <v>1</v>
      </c>
      <c r="AW231" s="120" t="n">
        <f aca="false">IF(AND(AW229&gt;=0,AW230&lt;0),1,0)</f>
        <v>1</v>
      </c>
      <c r="AX231" s="120" t="n">
        <f aca="false">IF(AND(AX229&gt;=0,AX230&lt;0),1,0)</f>
        <v>1</v>
      </c>
      <c r="AY231" s="120" t="n">
        <f aca="false">IF(AND(AY229&gt;=0,AY230&lt;0),1,0)</f>
        <v>1</v>
      </c>
      <c r="AZ231" s="120" t="n">
        <f aca="false">IF(AND(AZ229&gt;=0,AZ230&lt;0),1,0)</f>
        <v>1</v>
      </c>
      <c r="BA231" s="120" t="n">
        <f aca="false">IF(AND(BA229&gt;=0,BA230&lt;0),1,0)</f>
        <v>1</v>
      </c>
      <c r="BB231" s="120" t="n">
        <f aca="false">IF(AND(BB229&gt;=0,BB230&lt;0),1,0)</f>
        <v>1</v>
      </c>
      <c r="BC231" s="120" t="n">
        <f aca="false">IF(AND(BC229&gt;=0,BC230&lt;0),1,0)</f>
        <v>1</v>
      </c>
      <c r="BD231" s="120" t="n">
        <f aca="false">IF(AND(BD229&gt;=0,BD230&lt;0),1,0)</f>
        <v>1</v>
      </c>
      <c r="BE231" s="120" t="n">
        <f aca="false">IF(AND(BE229&gt;=0,BE230&lt;0),1,0)</f>
        <v>1</v>
      </c>
      <c r="BF231" s="120" t="n">
        <f aca="false">IF(AND(BF229&gt;=0,BF230&lt;0),1,0)</f>
        <v>1</v>
      </c>
      <c r="BG231" s="120" t="n">
        <f aca="false">IF(AND(BG229&gt;=0,BG230&lt;0),1,0)</f>
        <v>1</v>
      </c>
      <c r="BH231" s="120" t="n">
        <f aca="false">IF(AND(BH229&gt;=0,BH230&lt;0),1,0)</f>
        <v>1</v>
      </c>
      <c r="BI231" s="120" t="n">
        <f aca="false">IF(AND(BI229&gt;=0,BI230&lt;0),1,0)</f>
        <v>1</v>
      </c>
      <c r="BJ231" s="120" t="n">
        <f aca="false">IF(AND(BJ229&gt;=0,BJ230&lt;0),1,0)</f>
        <v>1</v>
      </c>
    </row>
    <row r="232" customFormat="false" ht="15" hidden="false" customHeight="false" outlineLevel="0" collapsed="false">
      <c r="A232" s="6" t="s">
        <v>454</v>
      </c>
      <c r="C232" s="69" t="n">
        <f aca="false">C217-C182*(1-Inputs!$C$83)+C218</f>
        <v>-205327.830862222</v>
      </c>
      <c r="D232" s="69" t="n">
        <f aca="false">D217-D182*(1-Inputs!$C$83)+D218</f>
        <v>-18611.2778893333</v>
      </c>
      <c r="E232" s="69" t="n">
        <f aca="false">E217-E182*(1-Inputs!$C$83)+E218</f>
        <v>-16040.6777533333</v>
      </c>
      <c r="F232" s="69" t="n">
        <f aca="false">F217-F182*(1-Inputs!$C$83)+F218</f>
        <v>-13470.0776173333</v>
      </c>
      <c r="G232" s="69" t="n">
        <f aca="false">G217-G182*(1-Inputs!$C$83)+G218</f>
        <v>-10899.4774813333</v>
      </c>
      <c r="H232" s="69" t="n">
        <f aca="false">H217-H182*(1-Inputs!$C$83)+H218</f>
        <v>-2690.59238533334</v>
      </c>
      <c r="I232" s="69" t="n">
        <f aca="false">I217-I182*(1-Inputs!$C$83)+I218</f>
        <v>347.456998666666</v>
      </c>
      <c r="J232" s="69" t="n">
        <f aca="false">J217-J182*(1-Inputs!$C$83)+J218</f>
        <v>3399.98164666667</v>
      </c>
      <c r="K232" s="69" t="n">
        <f aca="false">K217-K182*(1-Inputs!$C$83)+K218</f>
        <v>-635.623369333339</v>
      </c>
      <c r="L232" s="69" t="n">
        <f aca="false">L217-L182*(1-Inputs!$C$83)+L218</f>
        <v>1953.52319866666</v>
      </c>
      <c r="M232" s="69" t="n">
        <f aca="false">M217-M182*(1-Inputs!$C$83)+M218</f>
        <v>4524.12333466666</v>
      </c>
      <c r="N232" s="69" t="n">
        <f aca="false">N217-N182*(1-Inputs!$C$83)+N218</f>
        <v>12153.5075666667</v>
      </c>
      <c r="O232" s="69" t="n">
        <f aca="false">O217-O182*(1-Inputs!$C$83)+O218</f>
        <v>-3159.62216544</v>
      </c>
      <c r="P232" s="69" t="n">
        <f aca="false">P217-P182*(1-Inputs!$C$83)+P218</f>
        <v>6358.43452970667</v>
      </c>
      <c r="Q232" s="69" t="n">
        <f aca="false">Q217-Q182*(1-Inputs!$C$83)+Q218</f>
        <v>6361.05952970667</v>
      </c>
      <c r="R232" s="69" t="n">
        <f aca="false">R217-R182*(1-Inputs!$C$83)+R218</f>
        <v>6363.68452970667</v>
      </c>
      <c r="S232" s="69" t="n">
        <f aca="false">S217-S182*(1-Inputs!$C$83)+S218</f>
        <v>6366.30952970667</v>
      </c>
      <c r="T232" s="69" t="n">
        <f aca="false">T217-T182*(1-Inputs!$C$83)+T218</f>
        <v>14914.1581212267</v>
      </c>
      <c r="U232" s="69" t="n">
        <f aca="false">U217-U182*(1-Inputs!$C$83)+U218</f>
        <v>14892.7881093867</v>
      </c>
      <c r="V232" s="69" t="n">
        <f aca="false">V217-V182*(1-Inputs!$C$83)+V218</f>
        <v>14895.4131093867</v>
      </c>
      <c r="W232" s="69" t="n">
        <f aca="false">W217-W182*(1-Inputs!$C$83)+W218</f>
        <v>6352.81451786667</v>
      </c>
      <c r="X232" s="69" t="n">
        <f aca="false">X217-X182*(1-Inputs!$C$83)+X218</f>
        <v>6379.43452970667</v>
      </c>
      <c r="Y232" s="69" t="n">
        <f aca="false">Y217-Y182*(1-Inputs!$C$83)+Y218</f>
        <v>6382.05952970667</v>
      </c>
      <c r="Z232" s="69" t="n">
        <f aca="false">Z217-Z182*(1-Inputs!$C$83)+Z218</f>
        <v>14929.9081212267</v>
      </c>
      <c r="AA232" s="69" t="n">
        <f aca="false">AA217-AA182*(1-Inputs!$C$83)+AA218</f>
        <v>-859.320961565307</v>
      </c>
      <c r="AB232" s="69" t="n">
        <f aca="false">AB217-AB182*(1-Inputs!$C$83)+AB218</f>
        <v>8631.47607381579</v>
      </c>
      <c r="AC232" s="69" t="n">
        <f aca="false">AC217-AC182*(1-Inputs!$C$83)+AC218</f>
        <v>8035.23971155984</v>
      </c>
      <c r="AD232" s="69" t="n">
        <f aca="false">AD217-AD182*(1-Inputs!$C$83)+AD218</f>
        <v>7349.67172331448</v>
      </c>
      <c r="AE232" s="69" t="n">
        <f aca="false">AE217-AE182*(1-Inputs!$C$83)+AE218</f>
        <v>7349.67172331448</v>
      </c>
      <c r="AF232" s="69" t="n">
        <f aca="false">AF217-AF182*(1-Inputs!$C$83)+AF218</f>
        <v>14516.8634375197</v>
      </c>
      <c r="AG232" s="69" t="n">
        <f aca="false">AG217-AG182*(1-Inputs!$C$83)+AG218</f>
        <v>14491.4071294587</v>
      </c>
      <c r="AH232" s="69" t="n">
        <f aca="false">AH217-AH182*(1-Inputs!$C$83)+AH218</f>
        <v>14491.4071294587</v>
      </c>
      <c r="AI232" s="69" t="n">
        <f aca="false">AI217-AI182*(1-Inputs!$C$83)+AI218</f>
        <v>7324.21541525342</v>
      </c>
      <c r="AJ232" s="69" t="n">
        <f aca="false">AJ217-AJ182*(1-Inputs!$C$83)+AJ218</f>
        <v>7349.67172331448</v>
      </c>
      <c r="AK232" s="69" t="n">
        <f aca="false">AK217-AK182*(1-Inputs!$C$83)+AK218</f>
        <v>7349.67172331448</v>
      </c>
      <c r="AL232" s="69" t="n">
        <f aca="false">AL217-AL182*(1-Inputs!$C$83)+AL218</f>
        <v>14516.8634375197</v>
      </c>
      <c r="AM232" s="69" t="n">
        <f aca="false">AM217-AM182*(1-Inputs!$C$83)+AM218</f>
        <v>-298.080664370209</v>
      </c>
      <c r="AN232" s="69" t="n">
        <f aca="false">AN217-AN182*(1-Inputs!$C$83)+AN218</f>
        <v>9161.23911446559</v>
      </c>
      <c r="AO232" s="69" t="n">
        <f aca="false">AO217-AO182*(1-Inputs!$C$83)+AO218</f>
        <v>9161.23911446559</v>
      </c>
      <c r="AP232" s="69" t="n">
        <f aca="false">AP217-AP182*(1-Inputs!$C$83)+AP218</f>
        <v>9161.23911446559</v>
      </c>
      <c r="AQ232" s="69" t="n">
        <f aca="false">AQ217-AQ182*(1-Inputs!$C$83)+AQ218</f>
        <v>9161.23911446559</v>
      </c>
      <c r="AR232" s="69" t="n">
        <f aca="false">AR217-AR182*(1-Inputs!$C$83)+AR218</f>
        <v>16764.9128040659</v>
      </c>
      <c r="AS232" s="69" t="n">
        <f aca="false">AS217-AS182*(1-Inputs!$C$83)+AS218</f>
        <v>16737.9062068439</v>
      </c>
      <c r="AT232" s="69" t="n">
        <f aca="false">AT217-AT182*(1-Inputs!$C$83)+AT218</f>
        <v>16737.9062068439</v>
      </c>
      <c r="AU232" s="69" t="n">
        <f aca="false">AU217-AU182*(1-Inputs!$C$83)+AU218</f>
        <v>9134.23251724362</v>
      </c>
      <c r="AV232" s="69" t="n">
        <f aca="false">AV217-AV182*(1-Inputs!$C$83)+AV218</f>
        <v>9161.2391144656</v>
      </c>
      <c r="AW232" s="69" t="n">
        <f aca="false">AW217-AW182*(1-Inputs!$C$83)+AW218</f>
        <v>9161.2391144656</v>
      </c>
      <c r="AX232" s="69" t="n">
        <f aca="false">AX217-AX182*(1-Inputs!$C$83)+AX218</f>
        <v>16764.9128040659</v>
      </c>
      <c r="AY232" s="69" t="n">
        <f aca="false">AY217-AY182*(1-Inputs!$C$83)+AY218</f>
        <v>1587.92862623444</v>
      </c>
      <c r="AZ232" s="69" t="n">
        <f aca="false">AZ217-AZ182*(1-Inputs!$C$83)+AZ218</f>
        <v>11016.7085880963</v>
      </c>
      <c r="BA232" s="69" t="n">
        <f aca="false">BA217-BA182*(1-Inputs!$C$83)+BA218</f>
        <v>11016.7085880963</v>
      </c>
      <c r="BB232" s="69" t="n">
        <f aca="false">BB217-BB182*(1-Inputs!$C$83)+BB218</f>
        <v>11016.7085880963</v>
      </c>
      <c r="BC232" s="69" t="n">
        <f aca="false">BC217-BC182*(1-Inputs!$C$83)+BC218</f>
        <v>11016.7085880963</v>
      </c>
      <c r="BD232" s="69" t="n">
        <f aca="false">BD217-BD182*(1-Inputs!$C$83)+BD218</f>
        <v>19083.4460053933</v>
      </c>
      <c r="BE232" s="69" t="n">
        <f aca="false">BE217-BE182*(1-Inputs!$C$83)+BE218</f>
        <v>19054.7947064006</v>
      </c>
      <c r="BF232" s="69" t="n">
        <f aca="false">BF217-BF182*(1-Inputs!$C$83)+BF218</f>
        <v>19054.7947064006</v>
      </c>
      <c r="BG232" s="69" t="n">
        <f aca="false">BG217-BG182*(1-Inputs!$C$83)+BG218</f>
        <v>10988.0572891036</v>
      </c>
      <c r="BH232" s="69" t="n">
        <f aca="false">BH217-BH182*(1-Inputs!$C$83)+BH218</f>
        <v>11016.7085880963</v>
      </c>
      <c r="BI232" s="69" t="n">
        <f aca="false">BI217-BI182*(1-Inputs!$C$83)+BI218</f>
        <v>11016.7085880963</v>
      </c>
      <c r="BJ232" s="69" t="n">
        <f aca="false">BJ217-BJ182*(1-Inputs!$C$83)+BJ218</f>
        <v>19083.4460053933</v>
      </c>
    </row>
    <row r="234" customFormat="false" ht="15.75" hidden="false" customHeight="true" outlineLevel="0" collapsed="false">
      <c r="A234" s="7" t="s">
        <v>455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</row>
    <row r="235" customFormat="false" ht="15" hidden="false" customHeight="false" outlineLevel="0" collapsed="false">
      <c r="A235" s="6" t="s">
        <v>97</v>
      </c>
      <c r="C235" s="69" t="n">
        <f aca="false">C219</f>
        <v>330000</v>
      </c>
      <c r="D235" s="69" t="n">
        <f aca="false">C235+D219</f>
        <v>330000</v>
      </c>
      <c r="E235" s="69" t="n">
        <f aca="false">D235+E219</f>
        <v>330000</v>
      </c>
      <c r="F235" s="69" t="n">
        <f aca="false">E235+F219</f>
        <v>330000</v>
      </c>
      <c r="G235" s="69" t="n">
        <f aca="false">F235+G219</f>
        <v>330000</v>
      </c>
      <c r="H235" s="69" t="n">
        <f aca="false">G235+H219</f>
        <v>330000</v>
      </c>
      <c r="I235" s="69" t="n">
        <f aca="false">H235+I219</f>
        <v>330000</v>
      </c>
      <c r="J235" s="69" t="n">
        <f aca="false">I235+J219</f>
        <v>330000</v>
      </c>
      <c r="K235" s="69" t="n">
        <f aca="false">J235+K219</f>
        <v>330000</v>
      </c>
      <c r="L235" s="69" t="n">
        <f aca="false">K235+L219</f>
        <v>330000</v>
      </c>
      <c r="M235" s="69" t="n">
        <f aca="false">L235+M219</f>
        <v>330000</v>
      </c>
      <c r="N235" s="69" t="n">
        <f aca="false">M235+N219</f>
        <v>330000</v>
      </c>
      <c r="O235" s="69" t="n">
        <f aca="false">N235+O219</f>
        <v>330000</v>
      </c>
      <c r="P235" s="69" t="n">
        <f aca="false">O235+P219</f>
        <v>330000</v>
      </c>
      <c r="Q235" s="69" t="n">
        <f aca="false">P235+Q219</f>
        <v>330000</v>
      </c>
      <c r="R235" s="69" t="n">
        <f aca="false">Q235+R219</f>
        <v>330000</v>
      </c>
      <c r="S235" s="69" t="n">
        <f aca="false">R235+S219</f>
        <v>330000</v>
      </c>
      <c r="T235" s="69" t="n">
        <f aca="false">S235+T219</f>
        <v>330000</v>
      </c>
      <c r="U235" s="69" t="n">
        <f aca="false">T235+U219</f>
        <v>330000</v>
      </c>
      <c r="V235" s="69" t="n">
        <f aca="false">U235+V219</f>
        <v>330000</v>
      </c>
      <c r="W235" s="69" t="n">
        <f aca="false">V235+W219</f>
        <v>330000</v>
      </c>
      <c r="X235" s="69" t="n">
        <f aca="false">W235+X219</f>
        <v>330000</v>
      </c>
      <c r="Y235" s="69" t="n">
        <f aca="false">X235+Y219</f>
        <v>330000</v>
      </c>
      <c r="Z235" s="69" t="n">
        <f aca="false">Y235+Z219</f>
        <v>330000</v>
      </c>
      <c r="AA235" s="69" t="n">
        <f aca="false">Z235+AA219</f>
        <v>330000</v>
      </c>
      <c r="AB235" s="69" t="n">
        <f aca="false">AA235+AB219</f>
        <v>330000</v>
      </c>
      <c r="AC235" s="69" t="n">
        <f aca="false">AB235+AC219</f>
        <v>330000</v>
      </c>
      <c r="AD235" s="69" t="n">
        <f aca="false">AC235+AD219</f>
        <v>330000</v>
      </c>
      <c r="AE235" s="69" t="n">
        <f aca="false">AD235+AE219</f>
        <v>330000</v>
      </c>
      <c r="AF235" s="69" t="n">
        <f aca="false">AE235+AF219</f>
        <v>330000</v>
      </c>
      <c r="AG235" s="69" t="n">
        <f aca="false">AF235+AG219</f>
        <v>330000</v>
      </c>
      <c r="AH235" s="69" t="n">
        <f aca="false">AG235+AH219</f>
        <v>330000</v>
      </c>
      <c r="AI235" s="69" t="n">
        <f aca="false">AH235+AI219</f>
        <v>330000</v>
      </c>
      <c r="AJ235" s="69" t="n">
        <f aca="false">AI235+AJ219</f>
        <v>330000</v>
      </c>
      <c r="AK235" s="69" t="n">
        <f aca="false">AJ235+AK219</f>
        <v>330000</v>
      </c>
      <c r="AL235" s="69" t="n">
        <f aca="false">AK235+AL219</f>
        <v>330000</v>
      </c>
      <c r="AM235" s="69" t="n">
        <f aca="false">AL235+AM219</f>
        <v>330000</v>
      </c>
      <c r="AN235" s="69" t="n">
        <f aca="false">AM235+AN219</f>
        <v>330000</v>
      </c>
      <c r="AO235" s="69" t="n">
        <f aca="false">AN235+AO219</f>
        <v>330000</v>
      </c>
      <c r="AP235" s="69" t="n">
        <f aca="false">AO235+AP219</f>
        <v>330000</v>
      </c>
      <c r="AQ235" s="69" t="n">
        <f aca="false">AP235+AQ219</f>
        <v>330000</v>
      </c>
      <c r="AR235" s="69" t="n">
        <f aca="false">AQ235+AR219</f>
        <v>330000</v>
      </c>
      <c r="AS235" s="69" t="n">
        <f aca="false">AR235+AS219</f>
        <v>330000</v>
      </c>
      <c r="AT235" s="69" t="n">
        <f aca="false">AS235+AT219</f>
        <v>330000</v>
      </c>
      <c r="AU235" s="69" t="n">
        <f aca="false">AT235+AU219</f>
        <v>330000</v>
      </c>
      <c r="AV235" s="69" t="n">
        <f aca="false">AU235+AV219</f>
        <v>330000</v>
      </c>
      <c r="AW235" s="69" t="n">
        <f aca="false">AV235+AW219</f>
        <v>330000</v>
      </c>
      <c r="AX235" s="69" t="n">
        <f aca="false">AW235+AX219</f>
        <v>330000</v>
      </c>
      <c r="AY235" s="69" t="n">
        <f aca="false">AX235+AY219</f>
        <v>330000</v>
      </c>
      <c r="AZ235" s="69" t="n">
        <f aca="false">AY235+AZ219</f>
        <v>330000</v>
      </c>
      <c r="BA235" s="69" t="n">
        <f aca="false">AZ235+BA219</f>
        <v>330000</v>
      </c>
      <c r="BB235" s="69" t="n">
        <f aca="false">BA235+BB219</f>
        <v>330000</v>
      </c>
      <c r="BC235" s="69" t="n">
        <f aca="false">BB235+BC219</f>
        <v>330000</v>
      </c>
      <c r="BD235" s="69" t="n">
        <f aca="false">BC235+BD219</f>
        <v>330000</v>
      </c>
      <c r="BE235" s="69" t="n">
        <f aca="false">BD235+BE219</f>
        <v>330000</v>
      </c>
      <c r="BF235" s="69" t="n">
        <f aca="false">BE235+BF219</f>
        <v>330000</v>
      </c>
      <c r="BG235" s="69" t="n">
        <f aca="false">BF235+BG219</f>
        <v>330000</v>
      </c>
      <c r="BH235" s="69" t="n">
        <f aca="false">BG235+BH219</f>
        <v>330000</v>
      </c>
      <c r="BI235" s="69" t="n">
        <f aca="false">BH235+BI219</f>
        <v>330000</v>
      </c>
      <c r="BJ235" s="69" t="n">
        <f aca="false">BI235+BJ219</f>
        <v>330000</v>
      </c>
    </row>
    <row r="236" customFormat="false" ht="15" hidden="false" customHeight="false" outlineLevel="0" collapsed="false">
      <c r="A236" s="6" t="s">
        <v>98</v>
      </c>
      <c r="C236" s="69" t="n">
        <f aca="false">C187</f>
        <v>-24169.7490933333</v>
      </c>
      <c r="D236" s="69" t="n">
        <f aca="false">C236+D187</f>
        <v>-45765.2730506667</v>
      </c>
      <c r="E236" s="69" t="n">
        <f aca="false">D236+E187</f>
        <v>-64780.321872</v>
      </c>
      <c r="F236" s="69" t="n">
        <f aca="false">E236+F187</f>
        <v>-81214.8955573333</v>
      </c>
      <c r="G236" s="69" t="n">
        <f aca="false">F236+G187</f>
        <v>-95068.9941066667</v>
      </c>
      <c r="H236" s="69" t="n">
        <f aca="false">G236+H187</f>
        <v>-100720.16488</v>
      </c>
      <c r="I236" s="69" t="n">
        <f aca="false">H236+I187</f>
        <v>-103308.936005333</v>
      </c>
      <c r="J236" s="69" t="n">
        <f aca="false">I236+J187</f>
        <v>-102835.307482667</v>
      </c>
      <c r="K236" s="69" t="n">
        <f aca="false">J236+K187</f>
        <v>-106367.505488</v>
      </c>
      <c r="L236" s="69" t="n">
        <f aca="false">K236+L187</f>
        <v>-107319.228357333</v>
      </c>
      <c r="M236" s="69" t="n">
        <f aca="false">L236+M187</f>
        <v>-105690.476090667</v>
      </c>
      <c r="N236" s="69" t="n">
        <f aca="false">M236+N187</f>
        <v>-96017.148624</v>
      </c>
      <c r="O236" s="69" t="n">
        <f aca="false">N236+O187</f>
        <v>-92213.19326096</v>
      </c>
      <c r="P236" s="69" t="n">
        <f aca="false">O236+P187</f>
        <v>-88396.73789792</v>
      </c>
      <c r="Q236" s="69" t="n">
        <f aca="false">P236+Q187</f>
        <v>-84567.78253488</v>
      </c>
      <c r="R236" s="69" t="n">
        <f aca="false">Q236+R187</f>
        <v>-80726.32717184</v>
      </c>
      <c r="S236" s="69" t="n">
        <f aca="false">R236+S187</f>
        <v>-76872.3718088</v>
      </c>
      <c r="T236" s="69" t="n">
        <f aca="false">S236+T187</f>
        <v>-64484.68786608</v>
      </c>
      <c r="U236" s="69" t="n">
        <f aca="false">T236+U187</f>
        <v>-52084.50392336</v>
      </c>
      <c r="V236" s="69" t="n">
        <f aca="false">U236+V187</f>
        <v>-39671.81998064</v>
      </c>
      <c r="W236" s="69" t="n">
        <f aca="false">V236+W187</f>
        <v>-35767.8646176</v>
      </c>
      <c r="X236" s="69" t="n">
        <f aca="false">W236+X187</f>
        <v>-31851.40925456</v>
      </c>
      <c r="Y236" s="69" t="n">
        <f aca="false">X236+Y187</f>
        <v>-27922.45389152</v>
      </c>
      <c r="Z236" s="69" t="n">
        <f aca="false">Y236+Z187</f>
        <v>-15459.7699488</v>
      </c>
      <c r="AA236" s="69" t="n">
        <f aca="false">Z236+AA187</f>
        <v>-9368.43970831752</v>
      </c>
      <c r="AB236" s="69" t="n">
        <f aca="false">AA236+AB187</f>
        <v>-3264.60946783506</v>
      </c>
      <c r="AC236" s="69" t="n">
        <f aca="false">AB236+AC187</f>
        <v>2252.85941039144</v>
      </c>
      <c r="AD236" s="69" t="n">
        <f aca="false">AC236+AD187</f>
        <v>7094.63530037259</v>
      </c>
      <c r="AE236" s="69" t="n">
        <f aca="false">AD236+AE187</f>
        <v>11946.2861903537</v>
      </c>
      <c r="AF236" s="69" t="n">
        <f aca="false">AE236+AF187</f>
        <v>23949.5474864791</v>
      </c>
      <c r="AG236" s="69" t="n">
        <f aca="false">AF236+AG187</f>
        <v>35962.6837826044</v>
      </c>
      <c r="AH236" s="69" t="n">
        <f aca="false">AG236+AH187</f>
        <v>47985.6950787297</v>
      </c>
      <c r="AI236" s="69" t="n">
        <f aca="false">AH236+AI187</f>
        <v>52876.8459687109</v>
      </c>
      <c r="AJ236" s="69" t="n">
        <f aca="false">AI236+AJ187</f>
        <v>57777.871858692</v>
      </c>
      <c r="AK236" s="69" t="n">
        <f aca="false">AJ236+AK187</f>
        <v>62688.7727486732</v>
      </c>
      <c r="AL236" s="69" t="n">
        <f aca="false">AK236+AL187</f>
        <v>74751.2840447985</v>
      </c>
      <c r="AM236" s="69" t="n">
        <f aca="false">AL236+AM187</f>
        <v>81389.3356592641</v>
      </c>
      <c r="AN236" s="69" t="n">
        <f aca="false">AM236+AN187</f>
        <v>88037.2622737297</v>
      </c>
      <c r="AO236" s="69" t="n">
        <f aca="false">AN236+AO187</f>
        <v>94695.0638881953</v>
      </c>
      <c r="AP236" s="69" t="n">
        <f aca="false">AO236+AP187</f>
        <v>101362.740502661</v>
      </c>
      <c r="AQ236" s="69" t="n">
        <f aca="false">AP236+AQ187</f>
        <v>108040.292117126</v>
      </c>
      <c r="AR236" s="69" t="n">
        <f aca="false">AQ236+AR187</f>
        <v>122304.38582397</v>
      </c>
      <c r="AS236" s="69" t="n">
        <f aca="false">AR236+AS187</f>
        <v>136578.354530814</v>
      </c>
      <c r="AT236" s="69" t="n">
        <f aca="false">AS236+AT187</f>
        <v>150862.198237658</v>
      </c>
      <c r="AU236" s="69" t="n">
        <f aca="false">AT236+AU187</f>
        <v>157579.249852124</v>
      </c>
      <c r="AV236" s="69" t="n">
        <f aca="false">AU236+AV187</f>
        <v>164306.17646659</v>
      </c>
      <c r="AW236" s="69" t="n">
        <f aca="false">AV236+AW187</f>
        <v>171042.978081055</v>
      </c>
      <c r="AX236" s="69" t="n">
        <f aca="false">AW236+AX187</f>
        <v>185366.321787899</v>
      </c>
      <c r="AY236" s="69" t="n">
        <f aca="false">AX236+AY187</f>
        <v>193874.176209329</v>
      </c>
      <c r="AZ236" s="69" t="n">
        <f aca="false">AY236+AZ187</f>
        <v>202391.905630758</v>
      </c>
      <c r="BA236" s="69" t="n">
        <f aca="false">AZ236+BA187</f>
        <v>210919.510052188</v>
      </c>
      <c r="BB236" s="69" t="n">
        <f aca="false">BA236+BB187</f>
        <v>219456.989473618</v>
      </c>
      <c r="BC236" s="69" t="n">
        <f aca="false">BB236+BC187</f>
        <v>228004.343895047</v>
      </c>
      <c r="BD236" s="69" t="n">
        <f aca="false">BC236+BD187</f>
        <v>244599.659434781</v>
      </c>
      <c r="BE236" s="69" t="n">
        <f aca="false">BD236+BE187</f>
        <v>261204.849974515</v>
      </c>
      <c r="BF236" s="69" t="n">
        <f aca="false">BE236+BF187</f>
        <v>277819.915514249</v>
      </c>
      <c r="BG236" s="69" t="n">
        <f aca="false">BF236+BG187</f>
        <v>286406.769935679</v>
      </c>
      <c r="BH236" s="69" t="n">
        <f aca="false">BG236+BH187</f>
        <v>295003.499357109</v>
      </c>
      <c r="BI236" s="69" t="n">
        <f aca="false">BH236+BI187</f>
        <v>303610.103778538</v>
      </c>
      <c r="BJ236" s="69" t="n">
        <f aca="false">BI236+BJ187</f>
        <v>320264.669318272</v>
      </c>
    </row>
    <row r="237" customFormat="false" ht="15" hidden="false" customHeight="false" outlineLevel="0" collapsed="false">
      <c r="A237" s="4" t="s">
        <v>93</v>
      </c>
      <c r="C237" s="75" t="n">
        <f aca="false">C223+C209+C210+C200</f>
        <v>414972.087351111</v>
      </c>
      <c r="D237" s="75" t="n">
        <f aca="false">D223+D209+D210+D200</f>
        <v>392602.005527111</v>
      </c>
      <c r="E237" s="75" t="n">
        <f aca="false">E223+E209+E210+E200</f>
        <v>372812.398839111</v>
      </c>
      <c r="F237" s="75" t="n">
        <f aca="false">F223+F209+F210+F200</f>
        <v>355603.267287111</v>
      </c>
      <c r="G237" s="75" t="n">
        <f aca="false">G223+G209+G210+G200</f>
        <v>340974.610871111</v>
      </c>
      <c r="H237" s="75" t="n">
        <f aca="false">H223+H209+H210+H200</f>
        <v>335142.594231111</v>
      </c>
      <c r="I237" s="75" t="n">
        <f aca="false">I223+I209+I210+I200</f>
        <v>331830.154839111</v>
      </c>
      <c r="J237" s="75" t="n">
        <f aca="false">J223+J209+J210+J200</f>
        <v>331580.115095111</v>
      </c>
      <c r="K237" s="75" t="n">
        <f aca="false">K223+K209+K210+K200</f>
        <v>326577.868023111</v>
      </c>
      <c r="L237" s="75" t="n">
        <f aca="false">L223+L209+L210+L200</f>
        <v>324851.587287111</v>
      </c>
      <c r="M237" s="75" t="n">
        <f aca="false">M223+M209+M210+M200</f>
        <v>325705.781687111</v>
      </c>
      <c r="N237" s="75" t="n">
        <f aca="false">N223+N209+N210+N200</f>
        <v>334560.602487111</v>
      </c>
      <c r="O237" s="75" t="n">
        <f aca="false">O223+O209+O210+O200</f>
        <v>336851.054948818</v>
      </c>
      <c r="P237" s="75" t="n">
        <f aca="false">P223+P209+P210+P200</f>
        <v>339000.843645191</v>
      </c>
      <c r="Q237" s="75" t="n">
        <f aca="false">Q223+Q209+Q210+Q200</f>
        <v>341163.132341564</v>
      </c>
      <c r="R237" s="75" t="n">
        <f aca="false">R223+R209+R210+R200</f>
        <v>343337.921037938</v>
      </c>
      <c r="S237" s="75" t="n">
        <f aca="false">S223+S209+S210+S200</f>
        <v>345525.209734311</v>
      </c>
      <c r="T237" s="75" t="n">
        <f aca="false">T223+T209+T210+T200</f>
        <v>357146.039954365</v>
      </c>
      <c r="U237" s="75" t="n">
        <f aca="false">U223+U209+U210+U200</f>
        <v>367879.557230418</v>
      </c>
      <c r="V237" s="75" t="n">
        <f aca="false">V223+V209+V210+V200</f>
        <v>378625.574506471</v>
      </c>
      <c r="W237" s="75" t="n">
        <f aca="false">W223+W209+W210+W200</f>
        <v>379963.050258844</v>
      </c>
      <c r="X237" s="75" t="n">
        <f aca="false">X223+X209+X210+X200</f>
        <v>382212.838955218</v>
      </c>
      <c r="Y237" s="75" t="n">
        <f aca="false">Y223+Y209+Y210+Y200</f>
        <v>384475.127651591</v>
      </c>
      <c r="Z237" s="75" t="n">
        <f aca="false">Z223+Z209+Z210+Z200</f>
        <v>396170.957871644</v>
      </c>
      <c r="AA237" s="75" t="n">
        <f aca="false">AA223+AA209+AA210+AA200</f>
        <v>400755.151634102</v>
      </c>
      <c r="AB237" s="75" t="n">
        <f aca="false">AB223+AB209+AB210+AB200</f>
        <v>405192.315207918</v>
      </c>
      <c r="AC237" s="75" t="n">
        <f aca="false">AC223+AC209+AC210+AC200</f>
        <v>409043.117419478</v>
      </c>
      <c r="AD237" s="75" t="n">
        <f aca="false">AD223+AD209+AD210+AD200</f>
        <v>412218.226642793</v>
      </c>
      <c r="AE237" s="75" t="n">
        <f aca="false">AE223+AE209+AE210+AE200</f>
        <v>415403.210866107</v>
      </c>
      <c r="AF237" s="75" t="n">
        <f aca="false">AF223+AF209+AF210+AF200</f>
        <v>426694.417047855</v>
      </c>
      <c r="AG237" s="75" t="n">
        <f aca="false">AG223+AG209+AG210+AG200</f>
        <v>437040.886677314</v>
      </c>
      <c r="AH237" s="75" t="n">
        <f aca="false">AH223+AH209+AH210+AH200</f>
        <v>447397.231306773</v>
      </c>
      <c r="AI237" s="75" t="n">
        <f aca="false">AI223+AI209+AI210+AI200</f>
        <v>449667.103977798</v>
      </c>
      <c r="AJ237" s="75" t="n">
        <f aca="false">AJ223+AJ209+AJ210+AJ200</f>
        <v>452901.463201112</v>
      </c>
      <c r="AK237" s="75" t="n">
        <f aca="false">AK223+AK209+AK210+AK200</f>
        <v>456145.697424426</v>
      </c>
      <c r="AL237" s="75" t="n">
        <f aca="false">AL223+AL209+AL210+AL200</f>
        <v>467496.153606175</v>
      </c>
      <c r="AM237" s="75" t="n">
        <f aca="false">AM223+AM209+AM210+AM200</f>
        <v>472633.734043604</v>
      </c>
      <c r="AN237" s="75" t="n">
        <f aca="false">AN223+AN209+AN210+AN200</f>
        <v>477614.993991403</v>
      </c>
      <c r="AO237" s="75" t="n">
        <f aca="false">AO223+AO209+AO210+AO200</f>
        <v>482606.128939202</v>
      </c>
      <c r="AP237" s="75" t="n">
        <f aca="false">AP223+AP209+AP210+AP200</f>
        <v>487607.138887001</v>
      </c>
      <c r="AQ237" s="75" t="n">
        <f aca="false">AQ223+AQ209+AQ210+AQ200</f>
        <v>492618.0238348</v>
      </c>
      <c r="AR237" s="75" t="n">
        <f aca="false">AR223+AR209+AR210+AR200</f>
        <v>506228.198270801</v>
      </c>
      <c r="AS237" s="75" t="n">
        <f aca="false">AS223+AS209+AS210+AS200</f>
        <v>518835.500310978</v>
      </c>
      <c r="AT237" s="75" t="n">
        <f aca="false">AT223+AT209+AT210+AT200</f>
        <v>531452.677351156</v>
      </c>
      <c r="AU237" s="75" t="n">
        <f aca="false">AU223+AU209+AU210+AU200</f>
        <v>535490.314903131</v>
      </c>
      <c r="AV237" s="75" t="n">
        <f aca="false">AV223+AV209+AV210+AV200</f>
        <v>540550.574850929</v>
      </c>
      <c r="AW237" s="75" t="n">
        <f aca="false">AW223+AW209+AW210+AW200</f>
        <v>545620.709798728</v>
      </c>
      <c r="AX237" s="75" t="n">
        <f aca="false">AX223+AX209+AX210+AX200</f>
        <v>559290.13423473</v>
      </c>
      <c r="AY237" s="75" t="n">
        <f aca="false">AY223+AY209+AY210+AY200</f>
        <v>566304.497194317</v>
      </c>
      <c r="AZ237" s="75" t="n">
        <f aca="false">AZ223+AZ209+AZ210+AZ200</f>
        <v>573155.55994908</v>
      </c>
      <c r="BA237" s="75" t="n">
        <f aca="false">BA223+BA209+BA210+BA200</f>
        <v>580016.497703843</v>
      </c>
      <c r="BB237" s="75" t="n">
        <f aca="false">BB223+BB209+BB210+BB200</f>
        <v>586887.310458606</v>
      </c>
      <c r="BC237" s="75" t="n">
        <f aca="false">BC223+BC209+BC210+BC200</f>
        <v>593767.998213369</v>
      </c>
      <c r="BD237" s="75" t="n">
        <f aca="false">BD223+BD209+BD210+BD200</f>
        <v>609771.070798666</v>
      </c>
      <c r="BE237" s="75" t="n">
        <f aca="false">BE223+BE209+BE210+BE200</f>
        <v>624709.594671733</v>
      </c>
      <c r="BF237" s="75" t="n">
        <f aca="false">BF223+BF209+BF210+BF200</f>
        <v>639657.9935448</v>
      </c>
      <c r="BG237" s="75" t="n">
        <f aca="false">BG223+BG209+BG210+BG200</f>
        <v>645503.757587334</v>
      </c>
      <c r="BH237" s="75" t="n">
        <f aca="false">BH223+BH209+BH210+BH200</f>
        <v>652433.820342097</v>
      </c>
      <c r="BI237" s="75" t="n">
        <f aca="false">BI223+BI209+BI210+BI200</f>
        <v>659373.75809686</v>
      </c>
      <c r="BJ237" s="75" t="n">
        <f aca="false">BJ223+BJ209+BJ210+BJ200</f>
        <v>675436.080682157</v>
      </c>
    </row>
    <row r="238" customFormat="false" ht="15" hidden="false" customHeight="false" outlineLevel="0" collapsed="false">
      <c r="A238" s="6" t="s">
        <v>96</v>
      </c>
      <c r="C238" s="69" t="n">
        <f aca="false">C211+C206</f>
        <v>109141.836444444</v>
      </c>
      <c r="D238" s="69" t="n">
        <f aca="false">D211+D206</f>
        <v>108367.278577778</v>
      </c>
      <c r="E238" s="69" t="n">
        <f aca="false">E211+E206</f>
        <v>107592.720711111</v>
      </c>
      <c r="F238" s="69" t="n">
        <f aca="false">F211+F206</f>
        <v>106818.162844444</v>
      </c>
      <c r="G238" s="69" t="n">
        <f aca="false">G211+G206</f>
        <v>106043.604977778</v>
      </c>
      <c r="H238" s="69" t="n">
        <f aca="false">H211+H206</f>
        <v>105862.759111111</v>
      </c>
      <c r="I238" s="69" t="n">
        <f aca="false">I211+I206</f>
        <v>105139.090844444</v>
      </c>
      <c r="J238" s="69" t="n">
        <f aca="false">J211+J206</f>
        <v>104415.422577778</v>
      </c>
      <c r="K238" s="69" t="n">
        <f aca="false">K211+K206</f>
        <v>102945.373511111</v>
      </c>
      <c r="L238" s="69" t="n">
        <f aca="false">L211+L206</f>
        <v>102170.815644444</v>
      </c>
      <c r="M238" s="69" t="n">
        <f aca="false">M211+M206</f>
        <v>101396.257777778</v>
      </c>
      <c r="N238" s="69" t="n">
        <f aca="false">N211+N206</f>
        <v>100577.751111111</v>
      </c>
      <c r="O238" s="69" t="n">
        <f aca="false">O211+O206</f>
        <v>99064.2482097777</v>
      </c>
      <c r="P238" s="69" t="n">
        <f aca="false">P211+P206</f>
        <v>97397.581543111</v>
      </c>
      <c r="Q238" s="69" t="n">
        <f aca="false">Q211+Q206</f>
        <v>95730.9148764444</v>
      </c>
      <c r="R238" s="69" t="n">
        <f aca="false">R211+R206</f>
        <v>94064.2482097777</v>
      </c>
      <c r="S238" s="69" t="n">
        <f aca="false">S211+S206</f>
        <v>92397.581543111</v>
      </c>
      <c r="T238" s="69" t="n">
        <f aca="false">T211+T206</f>
        <v>91630.7278204444</v>
      </c>
      <c r="U238" s="69" t="n">
        <f aca="false">U211+U206</f>
        <v>89964.0611537777</v>
      </c>
      <c r="V238" s="69" t="n">
        <f aca="false">V211+V206</f>
        <v>88297.394487111</v>
      </c>
      <c r="W238" s="69" t="n">
        <f aca="false">W211+W206</f>
        <v>85730.9148764444</v>
      </c>
      <c r="X238" s="69" t="n">
        <f aca="false">X211+X206</f>
        <v>84064.2482097777</v>
      </c>
      <c r="Y238" s="69" t="n">
        <f aca="false">Y211+Y206</f>
        <v>82397.581543111</v>
      </c>
      <c r="Z238" s="69" t="n">
        <f aca="false">Z211+Z206</f>
        <v>81630.7278204444</v>
      </c>
      <c r="AA238" s="69" t="n">
        <f aca="false">AA211+AA206</f>
        <v>80123.5913424198</v>
      </c>
      <c r="AB238" s="69" t="n">
        <f aca="false">AB211+AB206</f>
        <v>78456.9246757532</v>
      </c>
      <c r="AC238" s="69" t="n">
        <f aca="false">AC211+AC206</f>
        <v>76790.2580090865</v>
      </c>
      <c r="AD238" s="69" t="n">
        <f aca="false">AD211+AD206</f>
        <v>75123.5913424198</v>
      </c>
      <c r="AE238" s="69" t="n">
        <f aca="false">AE211+AE206</f>
        <v>73456.9246757532</v>
      </c>
      <c r="AF238" s="69" t="n">
        <f aca="false">AF211+AF206</f>
        <v>72744.8695613761</v>
      </c>
      <c r="AG238" s="69" t="n">
        <f aca="false">AG211+AG206</f>
        <v>71078.2028947094</v>
      </c>
      <c r="AH238" s="69" t="n">
        <f aca="false">AH211+AH206</f>
        <v>69411.5362280428</v>
      </c>
      <c r="AI238" s="69" t="n">
        <f aca="false">AI211+AI206</f>
        <v>66790.2580090865</v>
      </c>
      <c r="AJ238" s="69" t="n">
        <f aca="false">AJ211+AJ206</f>
        <v>65123.5913424198</v>
      </c>
      <c r="AK238" s="69" t="n">
        <f aca="false">AK211+AK206</f>
        <v>63456.9246757532</v>
      </c>
      <c r="AL238" s="69" t="n">
        <f aca="false">AL211+AL206</f>
        <v>62744.8695613761</v>
      </c>
      <c r="AM238" s="69" t="n">
        <f aca="false">AM211+AM206</f>
        <v>61244.3983843399</v>
      </c>
      <c r="AN238" s="69" t="n">
        <f aca="false">AN211+AN206</f>
        <v>59577.7317176732</v>
      </c>
      <c r="AO238" s="69" t="n">
        <f aca="false">AO211+AO206</f>
        <v>57911.0650510066</v>
      </c>
      <c r="AP238" s="69" t="n">
        <f aca="false">AP211+AP206</f>
        <v>56244.3983843399</v>
      </c>
      <c r="AQ238" s="69" t="n">
        <f aca="false">AQ211+AQ206</f>
        <v>54577.7317176732</v>
      </c>
      <c r="AR238" s="69" t="n">
        <f aca="false">AR211+AR206</f>
        <v>53923.8124468306</v>
      </c>
      <c r="AS238" s="69" t="n">
        <f aca="false">AS211+AS206</f>
        <v>52257.1457801639</v>
      </c>
      <c r="AT238" s="69" t="n">
        <f aca="false">AT211+AT206</f>
        <v>50590.4791134973</v>
      </c>
      <c r="AU238" s="69" t="n">
        <f aca="false">AU211+AU206</f>
        <v>47911.0650510066</v>
      </c>
      <c r="AV238" s="69" t="n">
        <f aca="false">AV211+AV206</f>
        <v>46244.3983843399</v>
      </c>
      <c r="AW238" s="69" t="n">
        <f aca="false">AW211+AW206</f>
        <v>44577.7317176732</v>
      </c>
      <c r="AX238" s="69" t="n">
        <f aca="false">AX211+AX206</f>
        <v>43923.8124468306</v>
      </c>
      <c r="AY238" s="69" t="n">
        <f aca="false">AY211+AY206</f>
        <v>42430.3209849879</v>
      </c>
      <c r="AZ238" s="69" t="n">
        <f aca="false">AZ211+AZ206</f>
        <v>40763.6543183212</v>
      </c>
      <c r="BA238" s="69" t="n">
        <f aca="false">BA211+BA206</f>
        <v>39096.9876516545</v>
      </c>
      <c r="BB238" s="69" t="n">
        <f aca="false">BB211+BB206</f>
        <v>37430.3209849879</v>
      </c>
      <c r="BC238" s="69" t="n">
        <f aca="false">BC211+BC206</f>
        <v>35763.6543183212</v>
      </c>
      <c r="BD238" s="69" t="n">
        <f aca="false">BD211+BD206</f>
        <v>35171.4113638843</v>
      </c>
      <c r="BE238" s="69" t="n">
        <f aca="false">BE211+BE206</f>
        <v>33504.7446972176</v>
      </c>
      <c r="BF238" s="69" t="n">
        <f aca="false">BF211+BF206</f>
        <v>31838.0780305509</v>
      </c>
      <c r="BG238" s="69" t="n">
        <f aca="false">BG211+BG206</f>
        <v>29096.9876516545</v>
      </c>
      <c r="BH238" s="69" t="n">
        <f aca="false">BH211+BH206</f>
        <v>27430.3209849879</v>
      </c>
      <c r="BI238" s="69" t="n">
        <f aca="false">BI211+BI206</f>
        <v>25763.6543183212</v>
      </c>
      <c r="BJ238" s="69" t="n">
        <f aca="false">BJ211+BJ206</f>
        <v>25171.4113638843</v>
      </c>
    </row>
    <row r="239" customFormat="false" ht="15" hidden="false" customHeight="false" outlineLevel="0" collapsed="false">
      <c r="A239" s="6" t="s">
        <v>99</v>
      </c>
      <c r="C239" s="69" t="n">
        <f aca="false">C235+C236</f>
        <v>305830.250906667</v>
      </c>
      <c r="D239" s="69" t="n">
        <f aca="false">D235+D236</f>
        <v>284234.726949333</v>
      </c>
      <c r="E239" s="69" t="n">
        <f aca="false">E235+E236</f>
        <v>265219.678128</v>
      </c>
      <c r="F239" s="69" t="n">
        <f aca="false">F235+F236</f>
        <v>248785.104442667</v>
      </c>
      <c r="G239" s="69" t="n">
        <f aca="false">G235+G236</f>
        <v>234931.005893333</v>
      </c>
      <c r="H239" s="69" t="n">
        <f aca="false">H235+H236</f>
        <v>229279.83512</v>
      </c>
      <c r="I239" s="69" t="n">
        <f aca="false">I235+I236</f>
        <v>226691.063994667</v>
      </c>
      <c r="J239" s="69" t="n">
        <f aca="false">J235+J236</f>
        <v>227164.692517333</v>
      </c>
      <c r="K239" s="69" t="n">
        <f aca="false">K235+K236</f>
        <v>223632.494512</v>
      </c>
      <c r="L239" s="69" t="n">
        <f aca="false">L235+L236</f>
        <v>222680.771642667</v>
      </c>
      <c r="M239" s="69" t="n">
        <f aca="false">M235+M236</f>
        <v>224309.523909333</v>
      </c>
      <c r="N239" s="69" t="n">
        <f aca="false">N235+N236</f>
        <v>233982.851376</v>
      </c>
      <c r="O239" s="69" t="n">
        <f aca="false">O235+O236</f>
        <v>237786.80673904</v>
      </c>
      <c r="P239" s="69" t="n">
        <f aca="false">P235+P236</f>
        <v>241603.26210208</v>
      </c>
      <c r="Q239" s="69" t="n">
        <f aca="false">Q235+Q236</f>
        <v>245432.21746512</v>
      </c>
      <c r="R239" s="69" t="n">
        <f aca="false">R235+R236</f>
        <v>249273.67282816</v>
      </c>
      <c r="S239" s="69" t="n">
        <f aca="false">S235+S236</f>
        <v>253127.6281912</v>
      </c>
      <c r="T239" s="69" t="n">
        <f aca="false">T235+T236</f>
        <v>265515.31213392</v>
      </c>
      <c r="U239" s="69" t="n">
        <f aca="false">U235+U236</f>
        <v>277915.49607664</v>
      </c>
      <c r="V239" s="69" t="n">
        <f aca="false">V235+V236</f>
        <v>290328.18001936</v>
      </c>
      <c r="W239" s="69" t="n">
        <f aca="false">W235+W236</f>
        <v>294232.1353824</v>
      </c>
      <c r="X239" s="69" t="n">
        <f aca="false">X235+X236</f>
        <v>298148.59074544</v>
      </c>
      <c r="Y239" s="69" t="n">
        <f aca="false">Y235+Y236</f>
        <v>302077.54610848</v>
      </c>
      <c r="Z239" s="69" t="n">
        <f aca="false">Z235+Z236</f>
        <v>314540.2300512</v>
      </c>
      <c r="AA239" s="69" t="n">
        <f aca="false">AA235+AA236</f>
        <v>320631.560291683</v>
      </c>
      <c r="AB239" s="69" t="n">
        <f aca="false">AB235+AB236</f>
        <v>326735.390532165</v>
      </c>
      <c r="AC239" s="69" t="n">
        <f aca="false">AC235+AC236</f>
        <v>332252.859410391</v>
      </c>
      <c r="AD239" s="69" t="n">
        <f aca="false">AD235+AD236</f>
        <v>337094.635300373</v>
      </c>
      <c r="AE239" s="69" t="n">
        <f aca="false">AE235+AE236</f>
        <v>341946.286190354</v>
      </c>
      <c r="AF239" s="69" t="n">
        <f aca="false">AF235+AF236</f>
        <v>353949.547486479</v>
      </c>
      <c r="AG239" s="69" t="n">
        <f aca="false">AG235+AG236</f>
        <v>365962.683782604</v>
      </c>
      <c r="AH239" s="69" t="n">
        <f aca="false">AH235+AH236</f>
        <v>377985.69507873</v>
      </c>
      <c r="AI239" s="69" t="n">
        <f aca="false">AI235+AI236</f>
        <v>382876.845968711</v>
      </c>
      <c r="AJ239" s="69" t="n">
        <f aca="false">AJ235+AJ236</f>
        <v>387777.871858692</v>
      </c>
      <c r="AK239" s="69" t="n">
        <f aca="false">AK235+AK236</f>
        <v>392688.772748673</v>
      </c>
      <c r="AL239" s="69" t="n">
        <f aca="false">AL235+AL236</f>
        <v>404751.284044798</v>
      </c>
      <c r="AM239" s="69" t="n">
        <f aca="false">AM235+AM236</f>
        <v>411389.335659264</v>
      </c>
      <c r="AN239" s="69" t="n">
        <f aca="false">AN235+AN236</f>
        <v>418037.26227373</v>
      </c>
      <c r="AO239" s="69" t="n">
        <f aca="false">AO235+AO236</f>
        <v>424695.063888195</v>
      </c>
      <c r="AP239" s="69" t="n">
        <f aca="false">AP235+AP236</f>
        <v>431362.740502661</v>
      </c>
      <c r="AQ239" s="69" t="n">
        <f aca="false">AQ235+AQ236</f>
        <v>438040.292117127</v>
      </c>
      <c r="AR239" s="69" t="n">
        <f aca="false">AR235+AR236</f>
        <v>452304.38582397</v>
      </c>
      <c r="AS239" s="69" t="n">
        <f aca="false">AS235+AS236</f>
        <v>466578.354530814</v>
      </c>
      <c r="AT239" s="69" t="n">
        <f aca="false">AT235+AT236</f>
        <v>480862.198237658</v>
      </c>
      <c r="AU239" s="69" t="n">
        <f aca="false">AU235+AU236</f>
        <v>487579.249852124</v>
      </c>
      <c r="AV239" s="69" t="n">
        <f aca="false">AV235+AV236</f>
        <v>494306.17646659</v>
      </c>
      <c r="AW239" s="69" t="n">
        <f aca="false">AW235+AW236</f>
        <v>501042.978081055</v>
      </c>
      <c r="AX239" s="69" t="n">
        <f aca="false">AX235+AX236</f>
        <v>515366.321787899</v>
      </c>
      <c r="AY239" s="69" t="n">
        <f aca="false">AY235+AY236</f>
        <v>523874.176209329</v>
      </c>
      <c r="AZ239" s="69" t="n">
        <f aca="false">AZ235+AZ236</f>
        <v>532391.905630758</v>
      </c>
      <c r="BA239" s="69" t="n">
        <f aca="false">BA235+BA236</f>
        <v>540919.510052188</v>
      </c>
      <c r="BB239" s="69" t="n">
        <f aca="false">BB235+BB236</f>
        <v>549456.989473618</v>
      </c>
      <c r="BC239" s="69" t="n">
        <f aca="false">BC235+BC236</f>
        <v>558004.343895047</v>
      </c>
      <c r="BD239" s="69" t="n">
        <f aca="false">BD235+BD236</f>
        <v>574599.659434781</v>
      </c>
      <c r="BE239" s="69" t="n">
        <f aca="false">BE235+BE236</f>
        <v>591204.849974515</v>
      </c>
      <c r="BF239" s="69" t="n">
        <f aca="false">BF235+BF236</f>
        <v>607819.915514249</v>
      </c>
      <c r="BG239" s="69" t="n">
        <f aca="false">BG235+BG236</f>
        <v>616406.769935679</v>
      </c>
      <c r="BH239" s="69" t="n">
        <f aca="false">BH235+BH236</f>
        <v>625003.499357109</v>
      </c>
      <c r="BI239" s="69" t="n">
        <f aca="false">BI235+BI236</f>
        <v>633610.103778538</v>
      </c>
      <c r="BJ239" s="69" t="n">
        <f aca="false">BJ235+BJ236</f>
        <v>650264.669318272</v>
      </c>
    </row>
    <row r="240" customFormat="false" ht="15" hidden="false" customHeight="false" outlineLevel="0" collapsed="false">
      <c r="A240" s="4" t="s">
        <v>100</v>
      </c>
      <c r="C240" s="75" t="n">
        <f aca="false">C238+C239</f>
        <v>414972.087351111</v>
      </c>
      <c r="D240" s="75" t="n">
        <f aca="false">D238+D239</f>
        <v>392602.005527111</v>
      </c>
      <c r="E240" s="75" t="n">
        <f aca="false">E238+E239</f>
        <v>372812.398839111</v>
      </c>
      <c r="F240" s="75" t="n">
        <f aca="false">F238+F239</f>
        <v>355603.267287111</v>
      </c>
      <c r="G240" s="75" t="n">
        <f aca="false">G238+G239</f>
        <v>340974.610871111</v>
      </c>
      <c r="H240" s="75" t="n">
        <f aca="false">H238+H239</f>
        <v>335142.594231111</v>
      </c>
      <c r="I240" s="75" t="n">
        <f aca="false">I238+I239</f>
        <v>331830.154839111</v>
      </c>
      <c r="J240" s="75" t="n">
        <f aca="false">J238+J239</f>
        <v>331580.115095111</v>
      </c>
      <c r="K240" s="75" t="n">
        <f aca="false">K238+K239</f>
        <v>326577.868023111</v>
      </c>
      <c r="L240" s="75" t="n">
        <f aca="false">L238+L239</f>
        <v>324851.587287111</v>
      </c>
      <c r="M240" s="75" t="n">
        <f aca="false">M238+M239</f>
        <v>325705.781687111</v>
      </c>
      <c r="N240" s="75" t="n">
        <f aca="false">N238+N239</f>
        <v>334560.602487111</v>
      </c>
      <c r="O240" s="75" t="n">
        <f aca="false">O238+O239</f>
        <v>336851.054948818</v>
      </c>
      <c r="P240" s="75" t="n">
        <f aca="false">P238+P239</f>
        <v>339000.843645191</v>
      </c>
      <c r="Q240" s="75" t="n">
        <f aca="false">Q238+Q239</f>
        <v>341163.132341564</v>
      </c>
      <c r="R240" s="75" t="n">
        <f aca="false">R238+R239</f>
        <v>343337.921037938</v>
      </c>
      <c r="S240" s="75" t="n">
        <f aca="false">S238+S239</f>
        <v>345525.209734311</v>
      </c>
      <c r="T240" s="75" t="n">
        <f aca="false">T238+T239</f>
        <v>357146.039954364</v>
      </c>
      <c r="U240" s="75" t="n">
        <f aca="false">U238+U239</f>
        <v>367879.557230418</v>
      </c>
      <c r="V240" s="75" t="n">
        <f aca="false">V238+V239</f>
        <v>378625.574506471</v>
      </c>
      <c r="W240" s="75" t="n">
        <f aca="false">W238+W239</f>
        <v>379963.050258844</v>
      </c>
      <c r="X240" s="75" t="n">
        <f aca="false">X238+X239</f>
        <v>382212.838955218</v>
      </c>
      <c r="Y240" s="75" t="n">
        <f aca="false">Y238+Y239</f>
        <v>384475.127651591</v>
      </c>
      <c r="Z240" s="75" t="n">
        <f aca="false">Z238+Z239</f>
        <v>396170.957871644</v>
      </c>
      <c r="AA240" s="75" t="n">
        <f aca="false">AA238+AA239</f>
        <v>400755.151634102</v>
      </c>
      <c r="AB240" s="75" t="n">
        <f aca="false">AB238+AB239</f>
        <v>405192.315207918</v>
      </c>
      <c r="AC240" s="75" t="n">
        <f aca="false">AC238+AC239</f>
        <v>409043.117419478</v>
      </c>
      <c r="AD240" s="75" t="n">
        <f aca="false">AD238+AD239</f>
        <v>412218.226642792</v>
      </c>
      <c r="AE240" s="75" t="n">
        <f aca="false">AE238+AE239</f>
        <v>415403.210866107</v>
      </c>
      <c r="AF240" s="75" t="n">
        <f aca="false">AF238+AF239</f>
        <v>426694.417047855</v>
      </c>
      <c r="AG240" s="75" t="n">
        <f aca="false">AG238+AG239</f>
        <v>437040.886677314</v>
      </c>
      <c r="AH240" s="75" t="n">
        <f aca="false">AH238+AH239</f>
        <v>447397.231306772</v>
      </c>
      <c r="AI240" s="75" t="n">
        <f aca="false">AI238+AI239</f>
        <v>449667.103977797</v>
      </c>
      <c r="AJ240" s="75" t="n">
        <f aca="false">AJ238+AJ239</f>
        <v>452901.463201112</v>
      </c>
      <c r="AK240" s="75" t="n">
        <f aca="false">AK238+AK239</f>
        <v>456145.697424426</v>
      </c>
      <c r="AL240" s="75" t="n">
        <f aca="false">AL238+AL239</f>
        <v>467496.153606175</v>
      </c>
      <c r="AM240" s="75" t="n">
        <f aca="false">AM238+AM239</f>
        <v>472633.734043604</v>
      </c>
      <c r="AN240" s="75" t="n">
        <f aca="false">AN238+AN239</f>
        <v>477614.993991403</v>
      </c>
      <c r="AO240" s="75" t="n">
        <f aca="false">AO238+AO239</f>
        <v>482606.128939202</v>
      </c>
      <c r="AP240" s="75" t="n">
        <f aca="false">AP238+AP239</f>
        <v>487607.138887001</v>
      </c>
      <c r="AQ240" s="75" t="n">
        <f aca="false">AQ238+AQ239</f>
        <v>492618.0238348</v>
      </c>
      <c r="AR240" s="75" t="n">
        <f aca="false">AR238+AR239</f>
        <v>506228.198270801</v>
      </c>
      <c r="AS240" s="75" t="n">
        <f aca="false">AS238+AS239</f>
        <v>518835.500310978</v>
      </c>
      <c r="AT240" s="75" t="n">
        <f aca="false">AT238+AT239</f>
        <v>531452.677351156</v>
      </c>
      <c r="AU240" s="75" t="n">
        <f aca="false">AU238+AU239</f>
        <v>535490.314903131</v>
      </c>
      <c r="AV240" s="75" t="n">
        <f aca="false">AV238+AV239</f>
        <v>540550.574850929</v>
      </c>
      <c r="AW240" s="75" t="n">
        <f aca="false">AW238+AW239</f>
        <v>545620.709798728</v>
      </c>
      <c r="AX240" s="75" t="n">
        <f aca="false">AX238+AX239</f>
        <v>559290.13423473</v>
      </c>
      <c r="AY240" s="75" t="n">
        <f aca="false">AY238+AY239</f>
        <v>566304.497194317</v>
      </c>
      <c r="AZ240" s="75" t="n">
        <f aca="false">AZ238+AZ239</f>
        <v>573155.55994908</v>
      </c>
      <c r="BA240" s="75" t="n">
        <f aca="false">BA238+BA239</f>
        <v>580016.497703843</v>
      </c>
      <c r="BB240" s="75" t="n">
        <f aca="false">BB238+BB239</f>
        <v>586887.310458606</v>
      </c>
      <c r="BC240" s="75" t="n">
        <f aca="false">BC238+BC239</f>
        <v>593767.998213369</v>
      </c>
      <c r="BD240" s="75" t="n">
        <f aca="false">BD238+BD239</f>
        <v>609771.070798666</v>
      </c>
      <c r="BE240" s="75" t="n">
        <f aca="false">BE238+BE239</f>
        <v>624709.594671733</v>
      </c>
      <c r="BF240" s="75" t="n">
        <f aca="false">BF238+BF239</f>
        <v>639657.9935448</v>
      </c>
      <c r="BG240" s="75" t="n">
        <f aca="false">BG238+BG239</f>
        <v>645503.757587333</v>
      </c>
      <c r="BH240" s="75" t="n">
        <f aca="false">BH238+BH239</f>
        <v>652433.820342096</v>
      </c>
      <c r="BI240" s="75" t="n">
        <f aca="false">BI238+BI239</f>
        <v>659373.758096859</v>
      </c>
      <c r="BJ240" s="75" t="n">
        <f aca="false">BJ238+BJ239</f>
        <v>675436.080682156</v>
      </c>
    </row>
    <row r="241" customFormat="false" ht="15" hidden="false" customHeight="false" outlineLevel="0" collapsed="false">
      <c r="A241" s="6" t="s">
        <v>456</v>
      </c>
      <c r="C241" s="69" t="n">
        <f aca="false">C237-C240</f>
        <v>0</v>
      </c>
      <c r="D241" s="69" t="n">
        <f aca="false">D237-D240</f>
        <v>0</v>
      </c>
      <c r="E241" s="69" t="n">
        <f aca="false">E237-E240</f>
        <v>0</v>
      </c>
      <c r="F241" s="69" t="n">
        <f aca="false">F237-F240</f>
        <v>0</v>
      </c>
      <c r="G241" s="69" t="n">
        <f aca="false">G237-G240</f>
        <v>0</v>
      </c>
      <c r="H241" s="69" t="n">
        <f aca="false">H237-H240</f>
        <v>0</v>
      </c>
      <c r="I241" s="69" t="n">
        <f aca="false">I237-I240</f>
        <v>0</v>
      </c>
      <c r="J241" s="69" t="n">
        <f aca="false">J237-J240</f>
        <v>0</v>
      </c>
      <c r="K241" s="69" t="n">
        <f aca="false">K237-K240</f>
        <v>0</v>
      </c>
      <c r="L241" s="69" t="n">
        <f aca="false">L237-L240</f>
        <v>0</v>
      </c>
      <c r="M241" s="69" t="n">
        <f aca="false">M237-M240</f>
        <v>0</v>
      </c>
      <c r="N241" s="69" t="n">
        <f aca="false">N237-N240</f>
        <v>0</v>
      </c>
      <c r="O241" s="69" t="n">
        <f aca="false">O237-O240</f>
        <v>0</v>
      </c>
      <c r="P241" s="69" t="n">
        <f aca="false">P237-P240</f>
        <v>0</v>
      </c>
      <c r="Q241" s="69" t="n">
        <f aca="false">Q237-Q240</f>
        <v>0</v>
      </c>
      <c r="R241" s="69" t="n">
        <f aca="false">R237-R240</f>
        <v>0</v>
      </c>
      <c r="S241" s="69" t="n">
        <f aca="false">S237-S240</f>
        <v>0</v>
      </c>
      <c r="T241" s="69" t="n">
        <f aca="false">T237-T240</f>
        <v>0</v>
      </c>
      <c r="U241" s="69" t="n">
        <f aca="false">U237-U240</f>
        <v>0</v>
      </c>
      <c r="V241" s="69" t="n">
        <f aca="false">V237-V240</f>
        <v>0</v>
      </c>
      <c r="W241" s="69" t="n">
        <f aca="false">W237-W240</f>
        <v>0</v>
      </c>
      <c r="X241" s="69" t="n">
        <f aca="false">X237-X240</f>
        <v>0</v>
      </c>
      <c r="Y241" s="69" t="n">
        <f aca="false">Y237-Y240</f>
        <v>0</v>
      </c>
      <c r="Z241" s="69" t="n">
        <f aca="false">Z237-Z240</f>
        <v>0</v>
      </c>
      <c r="AA241" s="69" t="n">
        <f aca="false">AA237-AA240</f>
        <v>0</v>
      </c>
      <c r="AB241" s="69" t="n">
        <f aca="false">AB237-AB240</f>
        <v>0</v>
      </c>
      <c r="AC241" s="69" t="n">
        <f aca="false">AC237-AC240</f>
        <v>0</v>
      </c>
      <c r="AD241" s="69" t="n">
        <f aca="false">AD237-AD240</f>
        <v>0</v>
      </c>
      <c r="AE241" s="69" t="n">
        <f aca="false">AE237-AE240</f>
        <v>0</v>
      </c>
      <c r="AF241" s="69" t="n">
        <f aca="false">AF237-AF240</f>
        <v>0</v>
      </c>
      <c r="AG241" s="69" t="n">
        <f aca="false">AG237-AG240</f>
        <v>0</v>
      </c>
      <c r="AH241" s="69" t="n">
        <f aca="false">AH237-AH240</f>
        <v>0</v>
      </c>
      <c r="AI241" s="69" t="n">
        <f aca="false">AI237-AI240</f>
        <v>0</v>
      </c>
      <c r="AJ241" s="69" t="n">
        <f aca="false">AJ237-AJ240</f>
        <v>0</v>
      </c>
      <c r="AK241" s="69" t="n">
        <f aca="false">AK237-AK240</f>
        <v>0</v>
      </c>
      <c r="AL241" s="69" t="n">
        <f aca="false">AL237-AL240</f>
        <v>0</v>
      </c>
      <c r="AM241" s="69" t="n">
        <f aca="false">AM237-AM240</f>
        <v>0</v>
      </c>
      <c r="AN241" s="69" t="n">
        <f aca="false">AN237-AN240</f>
        <v>0</v>
      </c>
      <c r="AO241" s="69" t="n">
        <f aca="false">AO237-AO240</f>
        <v>0</v>
      </c>
      <c r="AP241" s="69" t="n">
        <f aca="false">AP237-AP240</f>
        <v>0</v>
      </c>
      <c r="AQ241" s="69" t="n">
        <f aca="false">AQ237-AQ240</f>
        <v>0</v>
      </c>
      <c r="AR241" s="69" t="n">
        <f aca="false">AR237-AR240</f>
        <v>0</v>
      </c>
      <c r="AS241" s="69" t="n">
        <f aca="false">AS237-AS240</f>
        <v>0</v>
      </c>
      <c r="AT241" s="69" t="n">
        <f aca="false">AT237-AT240</f>
        <v>0</v>
      </c>
      <c r="AU241" s="69" t="n">
        <f aca="false">AU237-AU240</f>
        <v>0</v>
      </c>
      <c r="AV241" s="69" t="n">
        <f aca="false">AV237-AV240</f>
        <v>0</v>
      </c>
      <c r="AW241" s="69" t="n">
        <f aca="false">AW237-AW240</f>
        <v>0</v>
      </c>
      <c r="AX241" s="69" t="n">
        <f aca="false">AX237-AX240</f>
        <v>0</v>
      </c>
      <c r="AY241" s="69" t="n">
        <f aca="false">AY237-AY240</f>
        <v>0</v>
      </c>
      <c r="AZ241" s="69" t="n">
        <f aca="false">AZ237-AZ240</f>
        <v>0</v>
      </c>
      <c r="BA241" s="69" t="n">
        <f aca="false">BA237-BA240</f>
        <v>0</v>
      </c>
      <c r="BB241" s="69" t="n">
        <f aca="false">BB237-BB240</f>
        <v>0</v>
      </c>
      <c r="BC241" s="69" t="n">
        <f aca="false">BC237-BC240</f>
        <v>0</v>
      </c>
      <c r="BD241" s="69" t="n">
        <f aca="false">BD237-BD240</f>
        <v>0</v>
      </c>
      <c r="BE241" s="69" t="n">
        <f aca="false">BE237-BE240</f>
        <v>0</v>
      </c>
      <c r="BF241" s="69" t="n">
        <f aca="false">BF237-BF240</f>
        <v>0</v>
      </c>
      <c r="BG241" s="69" t="n">
        <f aca="false">BG237-BG240</f>
        <v>0</v>
      </c>
      <c r="BH241" s="69" t="n">
        <f aca="false">BH237-BH240</f>
        <v>0</v>
      </c>
      <c r="BI241" s="69" t="n">
        <f aca="false">BI237-BI240</f>
        <v>0</v>
      </c>
      <c r="BJ241" s="69" t="n">
        <f aca="false">BJ237-BJ240</f>
        <v>0</v>
      </c>
    </row>
    <row r="243" customFormat="false" ht="15.75" hidden="false" customHeight="true" outlineLevel="0" collapsed="false">
      <c r="A243" s="7" t="s">
        <v>458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customFormat="false" ht="15" hidden="false" customHeight="false" outlineLevel="0" collapsed="false">
      <c r="A244" s="6" t="s">
        <v>459</v>
      </c>
      <c r="C244" s="119" t="n">
        <f aca="false">Inputs!$C$55*(1+Inputs!$C$57)^(C$133-1)*MAX(0,MIN(1,C$132*1-Inputs!$C$58+1))/1</f>
        <v>4</v>
      </c>
      <c r="D244" s="119" t="n">
        <f aca="false">Inputs!$C$55*(1+Inputs!$C$57)^(D$133-1)*MAX(0,MIN(1,D$132*1-Inputs!$C$58+1))/1</f>
        <v>4</v>
      </c>
      <c r="E244" s="119" t="n">
        <f aca="false">Inputs!$C$55*(1+Inputs!$C$57)^(E$133-1)*MAX(0,MIN(1,E$132*1-Inputs!$C$58+1))/1</f>
        <v>4</v>
      </c>
      <c r="F244" s="119" t="n">
        <f aca="false">Inputs!$C$55*(1+Inputs!$C$57)^(F$133-1)*MAX(0,MIN(1,F$132*1-Inputs!$C$58+1))/1</f>
        <v>4</v>
      </c>
      <c r="G244" s="119" t="n">
        <f aca="false">Inputs!$C$55*(1+Inputs!$C$57)^(G$133-1)*MAX(0,MIN(1,G$132*1-Inputs!$C$58+1))/1</f>
        <v>4</v>
      </c>
      <c r="H244" s="119" t="n">
        <f aca="false">Inputs!$C$55*(1+Inputs!$C$57)^(H$133-1)*MAX(0,MIN(1,H$132*1-Inputs!$C$58+1))/1</f>
        <v>4</v>
      </c>
      <c r="I244" s="119" t="n">
        <f aca="false">Inputs!$C$55*(1+Inputs!$C$57)^(I$133-1)*MAX(0,MIN(1,I$132*1-Inputs!$C$58+1))/1</f>
        <v>4</v>
      </c>
      <c r="J244" s="119" t="n">
        <f aca="false">Inputs!$C$55*(1+Inputs!$C$57)^(J$133-1)*MAX(0,MIN(1,J$132*1-Inputs!$C$58+1))/1</f>
        <v>4</v>
      </c>
      <c r="K244" s="119" t="n">
        <f aca="false">Inputs!$C$55*(1+Inputs!$C$57)^(K$133-1)*MAX(0,MIN(1,K$132*1-Inputs!$C$58+1))/1</f>
        <v>4</v>
      </c>
      <c r="L244" s="119" t="n">
        <f aca="false">Inputs!$C$55*(1+Inputs!$C$57)^(L$133-1)*MAX(0,MIN(1,L$132*1-Inputs!$C$58+1))/1</f>
        <v>4</v>
      </c>
      <c r="M244" s="119" t="n">
        <f aca="false">Inputs!$C$55*(1+Inputs!$C$57)^(M$133-1)*MAX(0,MIN(1,M$132*1-Inputs!$C$58+1))/1</f>
        <v>4</v>
      </c>
      <c r="N244" s="119" t="n">
        <f aca="false">Inputs!$C$55*(1+Inputs!$C$57)^(N$133-1)*MAX(0,MIN(1,N$132*1-Inputs!$C$58+1))/1</f>
        <v>4</v>
      </c>
      <c r="O244" s="119" t="n">
        <f aca="false">Inputs!$C$55*(1+Inputs!$C$57)^(O$133-1)*MAX(0,MIN(1,O$132*1-Inputs!$C$58+1))/1</f>
        <v>4</v>
      </c>
      <c r="P244" s="119" t="n">
        <f aca="false">Inputs!$C$55*(1+Inputs!$C$57)^(P$133-1)*MAX(0,MIN(1,P$132*1-Inputs!$C$58+1))/1</f>
        <v>4</v>
      </c>
      <c r="Q244" s="119" t="n">
        <f aca="false">Inputs!$C$55*(1+Inputs!$C$57)^(Q$133-1)*MAX(0,MIN(1,Q$132*1-Inputs!$C$58+1))/1</f>
        <v>4</v>
      </c>
      <c r="R244" s="119" t="n">
        <f aca="false">Inputs!$C$55*(1+Inputs!$C$57)^(R$133-1)*MAX(0,MIN(1,R$132*1-Inputs!$C$58+1))/1</f>
        <v>4</v>
      </c>
      <c r="S244" s="119" t="n">
        <f aca="false">Inputs!$C$55*(1+Inputs!$C$57)^(S$133-1)*MAX(0,MIN(1,S$132*1-Inputs!$C$58+1))/1</f>
        <v>4</v>
      </c>
      <c r="T244" s="119" t="n">
        <f aca="false">Inputs!$C$55*(1+Inputs!$C$57)^(T$133-1)*MAX(0,MIN(1,T$132*1-Inputs!$C$58+1))/1</f>
        <v>4</v>
      </c>
      <c r="U244" s="119" t="n">
        <f aca="false">Inputs!$C$55*(1+Inputs!$C$57)^(U$133-1)*MAX(0,MIN(1,U$132*1-Inputs!$C$58+1))/1</f>
        <v>4</v>
      </c>
      <c r="V244" s="119" t="n">
        <f aca="false">Inputs!$C$55*(1+Inputs!$C$57)^(V$133-1)*MAX(0,MIN(1,V$132*1-Inputs!$C$58+1))/1</f>
        <v>4</v>
      </c>
      <c r="W244" s="119" t="n">
        <f aca="false">Inputs!$C$55*(1+Inputs!$C$57)^(W$133-1)*MAX(0,MIN(1,W$132*1-Inputs!$C$58+1))/1</f>
        <v>4</v>
      </c>
      <c r="X244" s="119" t="n">
        <f aca="false">Inputs!$C$55*(1+Inputs!$C$57)^(X$133-1)*MAX(0,MIN(1,X$132*1-Inputs!$C$58+1))/1</f>
        <v>4</v>
      </c>
      <c r="Y244" s="119" t="n">
        <f aca="false">Inputs!$C$55*(1+Inputs!$C$57)^(Y$133-1)*MAX(0,MIN(1,Y$132*1-Inputs!$C$58+1))/1</f>
        <v>4</v>
      </c>
      <c r="Z244" s="119" t="n">
        <f aca="false">Inputs!$C$55*(1+Inputs!$C$57)^(Z$133-1)*MAX(0,MIN(1,Z$132*1-Inputs!$C$58+1))/1</f>
        <v>4</v>
      </c>
      <c r="AA244" s="119" t="n">
        <f aca="false">Inputs!$C$55*(1+Inputs!$C$57)^(AA$133-1)*MAX(0,MIN(1,AA$132*1-Inputs!$C$58+1))/1</f>
        <v>4</v>
      </c>
      <c r="AB244" s="119" t="n">
        <f aca="false">Inputs!$C$55*(1+Inputs!$C$57)^(AB$133-1)*MAX(0,MIN(1,AB$132*1-Inputs!$C$58+1))/1</f>
        <v>4</v>
      </c>
      <c r="AC244" s="119" t="n">
        <f aca="false">Inputs!$C$55*(1+Inputs!$C$57)^(AC$133-1)*MAX(0,MIN(1,AC$132*1-Inputs!$C$58+1))/1</f>
        <v>4</v>
      </c>
      <c r="AD244" s="119" t="n">
        <f aca="false">Inputs!$C$55*(1+Inputs!$C$57)^(AD$133-1)*MAX(0,MIN(1,AD$132*1-Inputs!$C$58+1))/1</f>
        <v>4</v>
      </c>
      <c r="AE244" s="119" t="n">
        <f aca="false">Inputs!$C$55*(1+Inputs!$C$57)^(AE$133-1)*MAX(0,MIN(1,AE$132*1-Inputs!$C$58+1))/1</f>
        <v>4</v>
      </c>
      <c r="AF244" s="119" t="n">
        <f aca="false">Inputs!$C$55*(1+Inputs!$C$57)^(AF$133-1)*MAX(0,MIN(1,AF$132*1-Inputs!$C$58+1))/1</f>
        <v>4</v>
      </c>
      <c r="AG244" s="119" t="n">
        <f aca="false">Inputs!$C$55*(1+Inputs!$C$57)^(AG$133-1)*MAX(0,MIN(1,AG$132*1-Inputs!$C$58+1))/1</f>
        <v>4</v>
      </c>
      <c r="AH244" s="119" t="n">
        <f aca="false">Inputs!$C$55*(1+Inputs!$C$57)^(AH$133-1)*MAX(0,MIN(1,AH$132*1-Inputs!$C$58+1))/1</f>
        <v>4</v>
      </c>
      <c r="AI244" s="119" t="n">
        <f aca="false">Inputs!$C$55*(1+Inputs!$C$57)^(AI$133-1)*MAX(0,MIN(1,AI$132*1-Inputs!$C$58+1))/1</f>
        <v>4</v>
      </c>
      <c r="AJ244" s="119" t="n">
        <f aca="false">Inputs!$C$55*(1+Inputs!$C$57)^(AJ$133-1)*MAX(0,MIN(1,AJ$132*1-Inputs!$C$58+1))/1</f>
        <v>4</v>
      </c>
      <c r="AK244" s="119" t="n">
        <f aca="false">Inputs!$C$55*(1+Inputs!$C$57)^(AK$133-1)*MAX(0,MIN(1,AK$132*1-Inputs!$C$58+1))/1</f>
        <v>4</v>
      </c>
      <c r="AL244" s="119" t="n">
        <f aca="false">Inputs!$C$55*(1+Inputs!$C$57)^(AL$133-1)*MAX(0,MIN(1,AL$132*1-Inputs!$C$58+1))/1</f>
        <v>4</v>
      </c>
      <c r="AM244" s="119" t="n">
        <f aca="false">Inputs!$C$55*(1+Inputs!$C$57)^(AM$133-1)*MAX(0,MIN(1,AM$132*1-Inputs!$C$58+1))/1</f>
        <v>4</v>
      </c>
      <c r="AN244" s="119" t="n">
        <f aca="false">Inputs!$C$55*(1+Inputs!$C$57)^(AN$133-1)*MAX(0,MIN(1,AN$132*1-Inputs!$C$58+1))/1</f>
        <v>4</v>
      </c>
      <c r="AO244" s="119" t="n">
        <f aca="false">Inputs!$C$55*(1+Inputs!$C$57)^(AO$133-1)*MAX(0,MIN(1,AO$132*1-Inputs!$C$58+1))/1</f>
        <v>4</v>
      </c>
      <c r="AP244" s="119" t="n">
        <f aca="false">Inputs!$C$55*(1+Inputs!$C$57)^(AP$133-1)*MAX(0,MIN(1,AP$132*1-Inputs!$C$58+1))/1</f>
        <v>4</v>
      </c>
      <c r="AQ244" s="119" t="n">
        <f aca="false">Inputs!$C$55*(1+Inputs!$C$57)^(AQ$133-1)*MAX(0,MIN(1,AQ$132*1-Inputs!$C$58+1))/1</f>
        <v>4</v>
      </c>
      <c r="AR244" s="119" t="n">
        <f aca="false">Inputs!$C$55*(1+Inputs!$C$57)^(AR$133-1)*MAX(0,MIN(1,AR$132*1-Inputs!$C$58+1))/1</f>
        <v>4</v>
      </c>
      <c r="AS244" s="119" t="n">
        <f aca="false">Inputs!$C$55*(1+Inputs!$C$57)^(AS$133-1)*MAX(0,MIN(1,AS$132*1-Inputs!$C$58+1))/1</f>
        <v>4</v>
      </c>
      <c r="AT244" s="119" t="n">
        <f aca="false">Inputs!$C$55*(1+Inputs!$C$57)^(AT$133-1)*MAX(0,MIN(1,AT$132*1-Inputs!$C$58+1))/1</f>
        <v>4</v>
      </c>
      <c r="AU244" s="119" t="n">
        <f aca="false">Inputs!$C$55*(1+Inputs!$C$57)^(AU$133-1)*MAX(0,MIN(1,AU$132*1-Inputs!$C$58+1))/1</f>
        <v>4</v>
      </c>
      <c r="AV244" s="119" t="n">
        <f aca="false">Inputs!$C$55*(1+Inputs!$C$57)^(AV$133-1)*MAX(0,MIN(1,AV$132*1-Inputs!$C$58+1))/1</f>
        <v>4</v>
      </c>
      <c r="AW244" s="119" t="n">
        <f aca="false">Inputs!$C$55*(1+Inputs!$C$57)^(AW$133-1)*MAX(0,MIN(1,AW$132*1-Inputs!$C$58+1))/1</f>
        <v>4</v>
      </c>
      <c r="AX244" s="119" t="n">
        <f aca="false">Inputs!$C$55*(1+Inputs!$C$57)^(AX$133-1)*MAX(0,MIN(1,AX$132*1-Inputs!$C$58+1))/1</f>
        <v>4</v>
      </c>
      <c r="AY244" s="119" t="n">
        <f aca="false">Inputs!$C$55*(1+Inputs!$C$57)^(AY$133-1)*MAX(0,MIN(1,AY$132*1-Inputs!$C$58+1))/1</f>
        <v>4</v>
      </c>
      <c r="AZ244" s="119" t="n">
        <f aca="false">Inputs!$C$55*(1+Inputs!$C$57)^(AZ$133-1)*MAX(0,MIN(1,AZ$132*1-Inputs!$C$58+1))/1</f>
        <v>4</v>
      </c>
      <c r="BA244" s="119" t="n">
        <f aca="false">Inputs!$C$55*(1+Inputs!$C$57)^(BA$133-1)*MAX(0,MIN(1,BA$132*1-Inputs!$C$58+1))/1</f>
        <v>4</v>
      </c>
      <c r="BB244" s="119" t="n">
        <f aca="false">Inputs!$C$55*(1+Inputs!$C$57)^(BB$133-1)*MAX(0,MIN(1,BB$132*1-Inputs!$C$58+1))/1</f>
        <v>4</v>
      </c>
      <c r="BC244" s="119" t="n">
        <f aca="false">Inputs!$C$55*(1+Inputs!$C$57)^(BC$133-1)*MAX(0,MIN(1,BC$132*1-Inputs!$C$58+1))/1</f>
        <v>4</v>
      </c>
      <c r="BD244" s="119" t="n">
        <f aca="false">Inputs!$C$55*(1+Inputs!$C$57)^(BD$133-1)*MAX(0,MIN(1,BD$132*1-Inputs!$C$58+1))/1</f>
        <v>4</v>
      </c>
      <c r="BE244" s="119" t="n">
        <f aca="false">Inputs!$C$55*(1+Inputs!$C$57)^(BE$133-1)*MAX(0,MIN(1,BE$132*1-Inputs!$C$58+1))/1</f>
        <v>4</v>
      </c>
      <c r="BF244" s="119" t="n">
        <f aca="false">Inputs!$C$55*(1+Inputs!$C$57)^(BF$133-1)*MAX(0,MIN(1,BF$132*1-Inputs!$C$58+1))/1</f>
        <v>4</v>
      </c>
      <c r="BG244" s="119" t="n">
        <f aca="false">Inputs!$C$55*(1+Inputs!$C$57)^(BG$133-1)*MAX(0,MIN(1,BG$132*1-Inputs!$C$58+1))/1</f>
        <v>4</v>
      </c>
      <c r="BH244" s="119" t="n">
        <f aca="false">Inputs!$C$55*(1+Inputs!$C$57)^(BH$133-1)*MAX(0,MIN(1,BH$132*1-Inputs!$C$58+1))/1</f>
        <v>4</v>
      </c>
      <c r="BI244" s="119" t="n">
        <f aca="false">Inputs!$C$55*(1+Inputs!$C$57)^(BI$133-1)*MAX(0,MIN(1,BI$132*1-Inputs!$C$58+1))/1</f>
        <v>4</v>
      </c>
      <c r="BJ244" s="119" t="n">
        <f aca="false">Inputs!$C$55*(1+Inputs!$C$57)^(BJ$133-1)*MAX(0,MIN(1,BJ$132*1-Inputs!$C$58+1))/1</f>
        <v>4</v>
      </c>
    </row>
    <row r="245" customFormat="false" ht="15" hidden="false" customHeight="false" outlineLevel="0" collapsed="false">
      <c r="A245" s="6" t="s">
        <v>460</v>
      </c>
      <c r="C245" s="119" t="n">
        <f aca="false">Inputs!$C$59*(1+Inputs!$C$61)^(C$133-1)*MAX(0,MIN(1,C$132*1-Inputs!$C$62+1))/1</f>
        <v>3</v>
      </c>
      <c r="D245" s="119" t="n">
        <f aca="false">Inputs!$C$59*(1+Inputs!$C$61)^(D$133-1)*MAX(0,MIN(1,D$132*1-Inputs!$C$62+1))/1</f>
        <v>3</v>
      </c>
      <c r="E245" s="119" t="n">
        <f aca="false">Inputs!$C$59*(1+Inputs!$C$61)^(E$133-1)*MAX(0,MIN(1,E$132*1-Inputs!$C$62+1))/1</f>
        <v>3</v>
      </c>
      <c r="F245" s="119" t="n">
        <f aca="false">Inputs!$C$59*(1+Inputs!$C$61)^(F$133-1)*MAX(0,MIN(1,F$132*1-Inputs!$C$62+1))/1</f>
        <v>3</v>
      </c>
      <c r="G245" s="119" t="n">
        <f aca="false">Inputs!$C$59*(1+Inputs!$C$61)^(G$133-1)*MAX(0,MIN(1,G$132*1-Inputs!$C$62+1))/1</f>
        <v>3</v>
      </c>
      <c r="H245" s="119" t="n">
        <f aca="false">Inputs!$C$59*(1+Inputs!$C$61)^(H$133-1)*MAX(0,MIN(1,H$132*1-Inputs!$C$62+1))/1</f>
        <v>3</v>
      </c>
      <c r="I245" s="119" t="n">
        <f aca="false">Inputs!$C$59*(1+Inputs!$C$61)^(I$133-1)*MAX(0,MIN(1,I$132*1-Inputs!$C$62+1))/1</f>
        <v>3</v>
      </c>
      <c r="J245" s="119" t="n">
        <f aca="false">Inputs!$C$59*(1+Inputs!$C$61)^(J$133-1)*MAX(0,MIN(1,J$132*1-Inputs!$C$62+1))/1</f>
        <v>3</v>
      </c>
      <c r="K245" s="119" t="n">
        <f aca="false">Inputs!$C$59*(1+Inputs!$C$61)^(K$133-1)*MAX(0,MIN(1,K$132*1-Inputs!$C$62+1))/1</f>
        <v>3</v>
      </c>
      <c r="L245" s="119" t="n">
        <f aca="false">Inputs!$C$59*(1+Inputs!$C$61)^(L$133-1)*MAX(0,MIN(1,L$132*1-Inputs!$C$62+1))/1</f>
        <v>3</v>
      </c>
      <c r="M245" s="119" t="n">
        <f aca="false">Inputs!$C$59*(1+Inputs!$C$61)^(M$133-1)*MAX(0,MIN(1,M$132*1-Inputs!$C$62+1))/1</f>
        <v>3</v>
      </c>
      <c r="N245" s="119" t="n">
        <f aca="false">Inputs!$C$59*(1+Inputs!$C$61)^(N$133-1)*MAX(0,MIN(1,N$132*1-Inputs!$C$62+1))/1</f>
        <v>3</v>
      </c>
      <c r="O245" s="119" t="n">
        <f aca="false">Inputs!$C$59*(1+Inputs!$C$61)^(O$133-1)*MAX(0,MIN(1,O$132*1-Inputs!$C$62+1))/1</f>
        <v>3</v>
      </c>
      <c r="P245" s="119" t="n">
        <f aca="false">Inputs!$C$59*(1+Inputs!$C$61)^(P$133-1)*MAX(0,MIN(1,P$132*1-Inputs!$C$62+1))/1</f>
        <v>3</v>
      </c>
      <c r="Q245" s="119" t="n">
        <f aca="false">Inputs!$C$59*(1+Inputs!$C$61)^(Q$133-1)*MAX(0,MIN(1,Q$132*1-Inputs!$C$62+1))/1</f>
        <v>3</v>
      </c>
      <c r="R245" s="119" t="n">
        <f aca="false">Inputs!$C$59*(1+Inputs!$C$61)^(R$133-1)*MAX(0,MIN(1,R$132*1-Inputs!$C$62+1))/1</f>
        <v>3</v>
      </c>
      <c r="S245" s="119" t="n">
        <f aca="false">Inputs!$C$59*(1+Inputs!$C$61)^(S$133-1)*MAX(0,MIN(1,S$132*1-Inputs!$C$62+1))/1</f>
        <v>3</v>
      </c>
      <c r="T245" s="119" t="n">
        <f aca="false">Inputs!$C$59*(1+Inputs!$C$61)^(T$133-1)*MAX(0,MIN(1,T$132*1-Inputs!$C$62+1))/1</f>
        <v>3</v>
      </c>
      <c r="U245" s="119" t="n">
        <f aca="false">Inputs!$C$59*(1+Inputs!$C$61)^(U$133-1)*MAX(0,MIN(1,U$132*1-Inputs!$C$62+1))/1</f>
        <v>3</v>
      </c>
      <c r="V245" s="119" t="n">
        <f aca="false">Inputs!$C$59*(1+Inputs!$C$61)^(V$133-1)*MAX(0,MIN(1,V$132*1-Inputs!$C$62+1))/1</f>
        <v>3</v>
      </c>
      <c r="W245" s="119" t="n">
        <f aca="false">Inputs!$C$59*(1+Inputs!$C$61)^(W$133-1)*MAX(0,MIN(1,W$132*1-Inputs!$C$62+1))/1</f>
        <v>3</v>
      </c>
      <c r="X245" s="119" t="n">
        <f aca="false">Inputs!$C$59*(1+Inputs!$C$61)^(X$133-1)*MAX(0,MIN(1,X$132*1-Inputs!$C$62+1))/1</f>
        <v>3</v>
      </c>
      <c r="Y245" s="119" t="n">
        <f aca="false">Inputs!$C$59*(1+Inputs!$C$61)^(Y$133-1)*MAX(0,MIN(1,Y$132*1-Inputs!$C$62+1))/1</f>
        <v>3</v>
      </c>
      <c r="Z245" s="119" t="n">
        <f aca="false">Inputs!$C$59*(1+Inputs!$C$61)^(Z$133-1)*MAX(0,MIN(1,Z$132*1-Inputs!$C$62+1))/1</f>
        <v>3</v>
      </c>
      <c r="AA245" s="119" t="n">
        <f aca="false">Inputs!$C$59*(1+Inputs!$C$61)^(AA$133-1)*MAX(0,MIN(1,AA$132*1-Inputs!$C$62+1))/1</f>
        <v>3</v>
      </c>
      <c r="AB245" s="119" t="n">
        <f aca="false">Inputs!$C$59*(1+Inputs!$C$61)^(AB$133-1)*MAX(0,MIN(1,AB$132*1-Inputs!$C$62+1))/1</f>
        <v>3</v>
      </c>
      <c r="AC245" s="119" t="n">
        <f aca="false">Inputs!$C$59*(1+Inputs!$C$61)^(AC$133-1)*MAX(0,MIN(1,AC$132*1-Inputs!$C$62+1))/1</f>
        <v>3</v>
      </c>
      <c r="AD245" s="119" t="n">
        <f aca="false">Inputs!$C$59*(1+Inputs!$C$61)^(AD$133-1)*MAX(0,MIN(1,AD$132*1-Inputs!$C$62+1))/1</f>
        <v>3</v>
      </c>
      <c r="AE245" s="119" t="n">
        <f aca="false">Inputs!$C$59*(1+Inputs!$C$61)^(AE$133-1)*MAX(0,MIN(1,AE$132*1-Inputs!$C$62+1))/1</f>
        <v>3</v>
      </c>
      <c r="AF245" s="119" t="n">
        <f aca="false">Inputs!$C$59*(1+Inputs!$C$61)^(AF$133-1)*MAX(0,MIN(1,AF$132*1-Inputs!$C$62+1))/1</f>
        <v>3</v>
      </c>
      <c r="AG245" s="119" t="n">
        <f aca="false">Inputs!$C$59*(1+Inputs!$C$61)^(AG$133-1)*MAX(0,MIN(1,AG$132*1-Inputs!$C$62+1))/1</f>
        <v>3</v>
      </c>
      <c r="AH245" s="119" t="n">
        <f aca="false">Inputs!$C$59*(1+Inputs!$C$61)^(AH$133-1)*MAX(0,MIN(1,AH$132*1-Inputs!$C$62+1))/1</f>
        <v>3</v>
      </c>
      <c r="AI245" s="119" t="n">
        <f aca="false">Inputs!$C$59*(1+Inputs!$C$61)^(AI$133-1)*MAX(0,MIN(1,AI$132*1-Inputs!$C$62+1))/1</f>
        <v>3</v>
      </c>
      <c r="AJ245" s="119" t="n">
        <f aca="false">Inputs!$C$59*(1+Inputs!$C$61)^(AJ$133-1)*MAX(0,MIN(1,AJ$132*1-Inputs!$C$62+1))/1</f>
        <v>3</v>
      </c>
      <c r="AK245" s="119" t="n">
        <f aca="false">Inputs!$C$59*(1+Inputs!$C$61)^(AK$133-1)*MAX(0,MIN(1,AK$132*1-Inputs!$C$62+1))/1</f>
        <v>3</v>
      </c>
      <c r="AL245" s="119" t="n">
        <f aca="false">Inputs!$C$59*(1+Inputs!$C$61)^(AL$133-1)*MAX(0,MIN(1,AL$132*1-Inputs!$C$62+1))/1</f>
        <v>3</v>
      </c>
      <c r="AM245" s="119" t="n">
        <f aca="false">Inputs!$C$59*(1+Inputs!$C$61)^(AM$133-1)*MAX(0,MIN(1,AM$132*1-Inputs!$C$62+1))/1</f>
        <v>3</v>
      </c>
      <c r="AN245" s="119" t="n">
        <f aca="false">Inputs!$C$59*(1+Inputs!$C$61)^(AN$133-1)*MAX(0,MIN(1,AN$132*1-Inputs!$C$62+1))/1</f>
        <v>3</v>
      </c>
      <c r="AO245" s="119" t="n">
        <f aca="false">Inputs!$C$59*(1+Inputs!$C$61)^(AO$133-1)*MAX(0,MIN(1,AO$132*1-Inputs!$C$62+1))/1</f>
        <v>3</v>
      </c>
      <c r="AP245" s="119" t="n">
        <f aca="false">Inputs!$C$59*(1+Inputs!$C$61)^(AP$133-1)*MAX(0,MIN(1,AP$132*1-Inputs!$C$62+1))/1</f>
        <v>3</v>
      </c>
      <c r="AQ245" s="119" t="n">
        <f aca="false">Inputs!$C$59*(1+Inputs!$C$61)^(AQ$133-1)*MAX(0,MIN(1,AQ$132*1-Inputs!$C$62+1))/1</f>
        <v>3</v>
      </c>
      <c r="AR245" s="119" t="n">
        <f aca="false">Inputs!$C$59*(1+Inputs!$C$61)^(AR$133-1)*MAX(0,MIN(1,AR$132*1-Inputs!$C$62+1))/1</f>
        <v>3</v>
      </c>
      <c r="AS245" s="119" t="n">
        <f aca="false">Inputs!$C$59*(1+Inputs!$C$61)^(AS$133-1)*MAX(0,MIN(1,AS$132*1-Inputs!$C$62+1))/1</f>
        <v>3</v>
      </c>
      <c r="AT245" s="119" t="n">
        <f aca="false">Inputs!$C$59*(1+Inputs!$C$61)^(AT$133-1)*MAX(0,MIN(1,AT$132*1-Inputs!$C$62+1))/1</f>
        <v>3</v>
      </c>
      <c r="AU245" s="119" t="n">
        <f aca="false">Inputs!$C$59*(1+Inputs!$C$61)^(AU$133-1)*MAX(0,MIN(1,AU$132*1-Inputs!$C$62+1))/1</f>
        <v>3</v>
      </c>
      <c r="AV245" s="119" t="n">
        <f aca="false">Inputs!$C$59*(1+Inputs!$C$61)^(AV$133-1)*MAX(0,MIN(1,AV$132*1-Inputs!$C$62+1))/1</f>
        <v>3</v>
      </c>
      <c r="AW245" s="119" t="n">
        <f aca="false">Inputs!$C$59*(1+Inputs!$C$61)^(AW$133-1)*MAX(0,MIN(1,AW$132*1-Inputs!$C$62+1))/1</f>
        <v>3</v>
      </c>
      <c r="AX245" s="119" t="n">
        <f aca="false">Inputs!$C$59*(1+Inputs!$C$61)^(AX$133-1)*MAX(0,MIN(1,AX$132*1-Inputs!$C$62+1))/1</f>
        <v>3</v>
      </c>
      <c r="AY245" s="119" t="n">
        <f aca="false">Inputs!$C$59*(1+Inputs!$C$61)^(AY$133-1)*MAX(0,MIN(1,AY$132*1-Inputs!$C$62+1))/1</f>
        <v>3</v>
      </c>
      <c r="AZ245" s="119" t="n">
        <f aca="false">Inputs!$C$59*(1+Inputs!$C$61)^(AZ$133-1)*MAX(0,MIN(1,AZ$132*1-Inputs!$C$62+1))/1</f>
        <v>3</v>
      </c>
      <c r="BA245" s="119" t="n">
        <f aca="false">Inputs!$C$59*(1+Inputs!$C$61)^(BA$133-1)*MAX(0,MIN(1,BA$132*1-Inputs!$C$62+1))/1</f>
        <v>3</v>
      </c>
      <c r="BB245" s="119" t="n">
        <f aca="false">Inputs!$C$59*(1+Inputs!$C$61)^(BB$133-1)*MAX(0,MIN(1,BB$132*1-Inputs!$C$62+1))/1</f>
        <v>3</v>
      </c>
      <c r="BC245" s="119" t="n">
        <f aca="false">Inputs!$C$59*(1+Inputs!$C$61)^(BC$133-1)*MAX(0,MIN(1,BC$132*1-Inputs!$C$62+1))/1</f>
        <v>3</v>
      </c>
      <c r="BD245" s="119" t="n">
        <f aca="false">Inputs!$C$59*(1+Inputs!$C$61)^(BD$133-1)*MAX(0,MIN(1,BD$132*1-Inputs!$C$62+1))/1</f>
        <v>3</v>
      </c>
      <c r="BE245" s="119" t="n">
        <f aca="false">Inputs!$C$59*(1+Inputs!$C$61)^(BE$133-1)*MAX(0,MIN(1,BE$132*1-Inputs!$C$62+1))/1</f>
        <v>3</v>
      </c>
      <c r="BF245" s="119" t="n">
        <f aca="false">Inputs!$C$59*(1+Inputs!$C$61)^(BF$133-1)*MAX(0,MIN(1,BF$132*1-Inputs!$C$62+1))/1</f>
        <v>3</v>
      </c>
      <c r="BG245" s="119" t="n">
        <f aca="false">Inputs!$C$59*(1+Inputs!$C$61)^(BG$133-1)*MAX(0,MIN(1,BG$132*1-Inputs!$C$62+1))/1</f>
        <v>3</v>
      </c>
      <c r="BH245" s="119" t="n">
        <f aca="false">Inputs!$C$59*(1+Inputs!$C$61)^(BH$133-1)*MAX(0,MIN(1,BH$132*1-Inputs!$C$62+1))/1</f>
        <v>3</v>
      </c>
      <c r="BI245" s="119" t="n">
        <f aca="false">Inputs!$C$59*(1+Inputs!$C$61)^(BI$133-1)*MAX(0,MIN(1,BI$132*1-Inputs!$C$62+1))/1</f>
        <v>3</v>
      </c>
      <c r="BJ245" s="119" t="n">
        <f aca="false">Inputs!$C$59*(1+Inputs!$C$61)^(BJ$133-1)*MAX(0,MIN(1,BJ$132*1-Inputs!$C$62+1))/1</f>
        <v>3</v>
      </c>
    </row>
    <row r="246" customFormat="false" ht="15" hidden="false" customHeight="false" outlineLevel="0" collapsed="false">
      <c r="A246" s="6" t="s">
        <v>461</v>
      </c>
      <c r="C246" s="119" t="n">
        <f aca="false">Inputs!$C$63*(1+Inputs!$C$65)^(C$133-1)*MAX(0,MIN(1,C$132*1-Inputs!$C$66+1))/1</f>
        <v>1</v>
      </c>
      <c r="D246" s="119" t="n">
        <f aca="false">Inputs!$C$63*(1+Inputs!$C$65)^(D$133-1)*MAX(0,MIN(1,D$132*1-Inputs!$C$66+1))/1</f>
        <v>1</v>
      </c>
      <c r="E246" s="119" t="n">
        <f aca="false">Inputs!$C$63*(1+Inputs!$C$65)^(E$133-1)*MAX(0,MIN(1,E$132*1-Inputs!$C$66+1))/1</f>
        <v>1</v>
      </c>
      <c r="F246" s="119" t="n">
        <f aca="false">Inputs!$C$63*(1+Inputs!$C$65)^(F$133-1)*MAX(0,MIN(1,F$132*1-Inputs!$C$66+1))/1</f>
        <v>1</v>
      </c>
      <c r="G246" s="119" t="n">
        <f aca="false">Inputs!$C$63*(1+Inputs!$C$65)^(G$133-1)*MAX(0,MIN(1,G$132*1-Inputs!$C$66+1))/1</f>
        <v>1</v>
      </c>
      <c r="H246" s="119" t="n">
        <f aca="false">Inputs!$C$63*(1+Inputs!$C$65)^(H$133-1)*MAX(0,MIN(1,H$132*1-Inputs!$C$66+1))/1</f>
        <v>1</v>
      </c>
      <c r="I246" s="119" t="n">
        <f aca="false">Inputs!$C$63*(1+Inputs!$C$65)^(I$133-1)*MAX(0,MIN(1,I$132*1-Inputs!$C$66+1))/1</f>
        <v>1</v>
      </c>
      <c r="J246" s="119" t="n">
        <f aca="false">Inputs!$C$63*(1+Inputs!$C$65)^(J$133-1)*MAX(0,MIN(1,J$132*1-Inputs!$C$66+1))/1</f>
        <v>1</v>
      </c>
      <c r="K246" s="119" t="n">
        <f aca="false">Inputs!$C$63*(1+Inputs!$C$65)^(K$133-1)*MAX(0,MIN(1,K$132*1-Inputs!$C$66+1))/1</f>
        <v>1</v>
      </c>
      <c r="L246" s="119" t="n">
        <f aca="false">Inputs!$C$63*(1+Inputs!$C$65)^(L$133-1)*MAX(0,MIN(1,L$132*1-Inputs!$C$66+1))/1</f>
        <v>1</v>
      </c>
      <c r="M246" s="119" t="n">
        <f aca="false">Inputs!$C$63*(1+Inputs!$C$65)^(M$133-1)*MAX(0,MIN(1,M$132*1-Inputs!$C$66+1))/1</f>
        <v>1</v>
      </c>
      <c r="N246" s="119" t="n">
        <f aca="false">Inputs!$C$63*(1+Inputs!$C$65)^(N$133-1)*MAX(0,MIN(1,N$132*1-Inputs!$C$66+1))/1</f>
        <v>1</v>
      </c>
      <c r="O246" s="119" t="n">
        <f aca="false">Inputs!$C$63*(1+Inputs!$C$65)^(O$133-1)*MAX(0,MIN(1,O$132*1-Inputs!$C$66+1))/1</f>
        <v>1</v>
      </c>
      <c r="P246" s="119" t="n">
        <f aca="false">Inputs!$C$63*(1+Inputs!$C$65)^(P$133-1)*MAX(0,MIN(1,P$132*1-Inputs!$C$66+1))/1</f>
        <v>1</v>
      </c>
      <c r="Q246" s="119" t="n">
        <f aca="false">Inputs!$C$63*(1+Inputs!$C$65)^(Q$133-1)*MAX(0,MIN(1,Q$132*1-Inputs!$C$66+1))/1</f>
        <v>1</v>
      </c>
      <c r="R246" s="119" t="n">
        <f aca="false">Inputs!$C$63*(1+Inputs!$C$65)^(R$133-1)*MAX(0,MIN(1,R$132*1-Inputs!$C$66+1))/1</f>
        <v>1</v>
      </c>
      <c r="S246" s="119" t="n">
        <f aca="false">Inputs!$C$63*(1+Inputs!$C$65)^(S$133-1)*MAX(0,MIN(1,S$132*1-Inputs!$C$66+1))/1</f>
        <v>1</v>
      </c>
      <c r="T246" s="119" t="n">
        <f aca="false">Inputs!$C$63*(1+Inputs!$C$65)^(T$133-1)*MAX(0,MIN(1,T$132*1-Inputs!$C$66+1))/1</f>
        <v>1</v>
      </c>
      <c r="U246" s="119" t="n">
        <f aca="false">Inputs!$C$63*(1+Inputs!$C$65)^(U$133-1)*MAX(0,MIN(1,U$132*1-Inputs!$C$66+1))/1</f>
        <v>1</v>
      </c>
      <c r="V246" s="119" t="n">
        <f aca="false">Inputs!$C$63*(1+Inputs!$C$65)^(V$133-1)*MAX(0,MIN(1,V$132*1-Inputs!$C$66+1))/1</f>
        <v>1</v>
      </c>
      <c r="W246" s="119" t="n">
        <f aca="false">Inputs!$C$63*(1+Inputs!$C$65)^(W$133-1)*MAX(0,MIN(1,W$132*1-Inputs!$C$66+1))/1</f>
        <v>1</v>
      </c>
      <c r="X246" s="119" t="n">
        <f aca="false">Inputs!$C$63*(1+Inputs!$C$65)^(X$133-1)*MAX(0,MIN(1,X$132*1-Inputs!$C$66+1))/1</f>
        <v>1</v>
      </c>
      <c r="Y246" s="119" t="n">
        <f aca="false">Inputs!$C$63*(1+Inputs!$C$65)^(Y$133-1)*MAX(0,MIN(1,Y$132*1-Inputs!$C$66+1))/1</f>
        <v>1</v>
      </c>
      <c r="Z246" s="119" t="n">
        <f aca="false">Inputs!$C$63*(1+Inputs!$C$65)^(Z$133-1)*MAX(0,MIN(1,Z$132*1-Inputs!$C$66+1))/1</f>
        <v>1</v>
      </c>
      <c r="AA246" s="119" t="n">
        <f aca="false">Inputs!$C$63*(1+Inputs!$C$65)^(AA$133-1)*MAX(0,MIN(1,AA$132*1-Inputs!$C$66+1))/1</f>
        <v>1</v>
      </c>
      <c r="AB246" s="119" t="n">
        <f aca="false">Inputs!$C$63*(1+Inputs!$C$65)^(AB$133-1)*MAX(0,MIN(1,AB$132*1-Inputs!$C$66+1))/1</f>
        <v>1</v>
      </c>
      <c r="AC246" s="119" t="n">
        <f aca="false">Inputs!$C$63*(1+Inputs!$C$65)^(AC$133-1)*MAX(0,MIN(1,AC$132*1-Inputs!$C$66+1))/1</f>
        <v>1</v>
      </c>
      <c r="AD246" s="119" t="n">
        <f aca="false">Inputs!$C$63*(1+Inputs!$C$65)^(AD$133-1)*MAX(0,MIN(1,AD$132*1-Inputs!$C$66+1))/1</f>
        <v>1</v>
      </c>
      <c r="AE246" s="119" t="n">
        <f aca="false">Inputs!$C$63*(1+Inputs!$C$65)^(AE$133-1)*MAX(0,MIN(1,AE$132*1-Inputs!$C$66+1))/1</f>
        <v>1</v>
      </c>
      <c r="AF246" s="119" t="n">
        <f aca="false">Inputs!$C$63*(1+Inputs!$C$65)^(AF$133-1)*MAX(0,MIN(1,AF$132*1-Inputs!$C$66+1))/1</f>
        <v>1</v>
      </c>
      <c r="AG246" s="119" t="n">
        <f aca="false">Inputs!$C$63*(1+Inputs!$C$65)^(AG$133-1)*MAX(0,MIN(1,AG$132*1-Inputs!$C$66+1))/1</f>
        <v>1</v>
      </c>
      <c r="AH246" s="119" t="n">
        <f aca="false">Inputs!$C$63*(1+Inputs!$C$65)^(AH$133-1)*MAX(0,MIN(1,AH$132*1-Inputs!$C$66+1))/1</f>
        <v>1</v>
      </c>
      <c r="AI246" s="119" t="n">
        <f aca="false">Inputs!$C$63*(1+Inputs!$C$65)^(AI$133-1)*MAX(0,MIN(1,AI$132*1-Inputs!$C$66+1))/1</f>
        <v>1</v>
      </c>
      <c r="AJ246" s="119" t="n">
        <f aca="false">Inputs!$C$63*(1+Inputs!$C$65)^(AJ$133-1)*MAX(0,MIN(1,AJ$132*1-Inputs!$C$66+1))/1</f>
        <v>1</v>
      </c>
      <c r="AK246" s="119" t="n">
        <f aca="false">Inputs!$C$63*(1+Inputs!$C$65)^(AK$133-1)*MAX(0,MIN(1,AK$132*1-Inputs!$C$66+1))/1</f>
        <v>1</v>
      </c>
      <c r="AL246" s="119" t="n">
        <f aca="false">Inputs!$C$63*(1+Inputs!$C$65)^(AL$133-1)*MAX(0,MIN(1,AL$132*1-Inputs!$C$66+1))/1</f>
        <v>1</v>
      </c>
      <c r="AM246" s="119" t="n">
        <f aca="false">Inputs!$C$63*(1+Inputs!$C$65)^(AM$133-1)*MAX(0,MIN(1,AM$132*1-Inputs!$C$66+1))/1</f>
        <v>1</v>
      </c>
      <c r="AN246" s="119" t="n">
        <f aca="false">Inputs!$C$63*(1+Inputs!$C$65)^(AN$133-1)*MAX(0,MIN(1,AN$132*1-Inputs!$C$66+1))/1</f>
        <v>1</v>
      </c>
      <c r="AO246" s="119" t="n">
        <f aca="false">Inputs!$C$63*(1+Inputs!$C$65)^(AO$133-1)*MAX(0,MIN(1,AO$132*1-Inputs!$C$66+1))/1</f>
        <v>1</v>
      </c>
      <c r="AP246" s="119" t="n">
        <f aca="false">Inputs!$C$63*(1+Inputs!$C$65)^(AP$133-1)*MAX(0,MIN(1,AP$132*1-Inputs!$C$66+1))/1</f>
        <v>1</v>
      </c>
      <c r="AQ246" s="119" t="n">
        <f aca="false">Inputs!$C$63*(1+Inputs!$C$65)^(AQ$133-1)*MAX(0,MIN(1,AQ$132*1-Inputs!$C$66+1))/1</f>
        <v>1</v>
      </c>
      <c r="AR246" s="119" t="n">
        <f aca="false">Inputs!$C$63*(1+Inputs!$C$65)^(AR$133-1)*MAX(0,MIN(1,AR$132*1-Inputs!$C$66+1))/1</f>
        <v>1</v>
      </c>
      <c r="AS246" s="119" t="n">
        <f aca="false">Inputs!$C$63*(1+Inputs!$C$65)^(AS$133-1)*MAX(0,MIN(1,AS$132*1-Inputs!$C$66+1))/1</f>
        <v>1</v>
      </c>
      <c r="AT246" s="119" t="n">
        <f aca="false">Inputs!$C$63*(1+Inputs!$C$65)^(AT$133-1)*MAX(0,MIN(1,AT$132*1-Inputs!$C$66+1))/1</f>
        <v>1</v>
      </c>
      <c r="AU246" s="119" t="n">
        <f aca="false">Inputs!$C$63*(1+Inputs!$C$65)^(AU$133-1)*MAX(0,MIN(1,AU$132*1-Inputs!$C$66+1))/1</f>
        <v>1</v>
      </c>
      <c r="AV246" s="119" t="n">
        <f aca="false">Inputs!$C$63*(1+Inputs!$C$65)^(AV$133-1)*MAX(0,MIN(1,AV$132*1-Inputs!$C$66+1))/1</f>
        <v>1</v>
      </c>
      <c r="AW246" s="119" t="n">
        <f aca="false">Inputs!$C$63*(1+Inputs!$C$65)^(AW$133-1)*MAX(0,MIN(1,AW$132*1-Inputs!$C$66+1))/1</f>
        <v>1</v>
      </c>
      <c r="AX246" s="119" t="n">
        <f aca="false">Inputs!$C$63*(1+Inputs!$C$65)^(AX$133-1)*MAX(0,MIN(1,AX$132*1-Inputs!$C$66+1))/1</f>
        <v>1</v>
      </c>
      <c r="AY246" s="119" t="n">
        <f aca="false">Inputs!$C$63*(1+Inputs!$C$65)^(AY$133-1)*MAX(0,MIN(1,AY$132*1-Inputs!$C$66+1))/1</f>
        <v>1</v>
      </c>
      <c r="AZ246" s="119" t="n">
        <f aca="false">Inputs!$C$63*(1+Inputs!$C$65)^(AZ$133-1)*MAX(0,MIN(1,AZ$132*1-Inputs!$C$66+1))/1</f>
        <v>1</v>
      </c>
      <c r="BA246" s="119" t="n">
        <f aca="false">Inputs!$C$63*(1+Inputs!$C$65)^(BA$133-1)*MAX(0,MIN(1,BA$132*1-Inputs!$C$66+1))/1</f>
        <v>1</v>
      </c>
      <c r="BB246" s="119" t="n">
        <f aca="false">Inputs!$C$63*(1+Inputs!$C$65)^(BB$133-1)*MAX(0,MIN(1,BB$132*1-Inputs!$C$66+1))/1</f>
        <v>1</v>
      </c>
      <c r="BC246" s="119" t="n">
        <f aca="false">Inputs!$C$63*(1+Inputs!$C$65)^(BC$133-1)*MAX(0,MIN(1,BC$132*1-Inputs!$C$66+1))/1</f>
        <v>1</v>
      </c>
      <c r="BD246" s="119" t="n">
        <f aca="false">Inputs!$C$63*(1+Inputs!$C$65)^(BD$133-1)*MAX(0,MIN(1,BD$132*1-Inputs!$C$66+1))/1</f>
        <v>1</v>
      </c>
      <c r="BE246" s="119" t="n">
        <f aca="false">Inputs!$C$63*(1+Inputs!$C$65)^(BE$133-1)*MAX(0,MIN(1,BE$132*1-Inputs!$C$66+1))/1</f>
        <v>1</v>
      </c>
      <c r="BF246" s="119" t="n">
        <f aca="false">Inputs!$C$63*(1+Inputs!$C$65)^(BF$133-1)*MAX(0,MIN(1,BF$132*1-Inputs!$C$66+1))/1</f>
        <v>1</v>
      </c>
      <c r="BG246" s="119" t="n">
        <f aca="false">Inputs!$C$63*(1+Inputs!$C$65)^(BG$133-1)*MAX(0,MIN(1,BG$132*1-Inputs!$C$66+1))/1</f>
        <v>1</v>
      </c>
      <c r="BH246" s="119" t="n">
        <f aca="false">Inputs!$C$63*(1+Inputs!$C$65)^(BH$133-1)*MAX(0,MIN(1,BH$132*1-Inputs!$C$66+1))/1</f>
        <v>1</v>
      </c>
      <c r="BI246" s="119" t="n">
        <f aca="false">Inputs!$C$63*(1+Inputs!$C$65)^(BI$133-1)*MAX(0,MIN(1,BI$132*1-Inputs!$C$66+1))/1</f>
        <v>1</v>
      </c>
      <c r="BJ246" s="119" t="n">
        <f aca="false">Inputs!$C$63*(1+Inputs!$C$65)^(BJ$133-1)*MAX(0,MIN(1,BJ$132*1-Inputs!$C$66+1))/1</f>
        <v>1</v>
      </c>
    </row>
    <row r="247" customFormat="false" ht="15" hidden="false" customHeight="false" outlineLevel="0" collapsed="false">
      <c r="A247" s="115" t="s">
        <v>462</v>
      </c>
      <c r="C247" s="124" t="n">
        <f aca="false">C244+C245+C246</f>
        <v>8</v>
      </c>
      <c r="D247" s="124" t="n">
        <f aca="false">D244+D245+D246</f>
        <v>8</v>
      </c>
      <c r="E247" s="124" t="n">
        <f aca="false">E244+E245+E246</f>
        <v>8</v>
      </c>
      <c r="F247" s="124" t="n">
        <f aca="false">F244+F245+F246</f>
        <v>8</v>
      </c>
      <c r="G247" s="124" t="n">
        <f aca="false">G244+G245+G246</f>
        <v>8</v>
      </c>
      <c r="H247" s="124" t="n">
        <f aca="false">H244+H245+H246</f>
        <v>8</v>
      </c>
      <c r="I247" s="124" t="n">
        <f aca="false">I244+I245+I246</f>
        <v>8</v>
      </c>
      <c r="J247" s="124" t="n">
        <f aca="false">J244+J245+J246</f>
        <v>8</v>
      </c>
      <c r="K247" s="124" t="n">
        <f aca="false">K244+K245+K246</f>
        <v>8</v>
      </c>
      <c r="L247" s="124" t="n">
        <f aca="false">L244+L245+L246</f>
        <v>8</v>
      </c>
      <c r="M247" s="124" t="n">
        <f aca="false">M244+M245+M246</f>
        <v>8</v>
      </c>
      <c r="N247" s="124" t="n">
        <f aca="false">N244+N245+N246</f>
        <v>8</v>
      </c>
      <c r="O247" s="124" t="n">
        <f aca="false">O244+O245+O246</f>
        <v>8</v>
      </c>
      <c r="P247" s="124" t="n">
        <f aca="false">P244+P245+P246</f>
        <v>8</v>
      </c>
      <c r="Q247" s="124" t="n">
        <f aca="false">Q244+Q245+Q246</f>
        <v>8</v>
      </c>
      <c r="R247" s="124" t="n">
        <f aca="false">R244+R245+R246</f>
        <v>8</v>
      </c>
      <c r="S247" s="124" t="n">
        <f aca="false">S244+S245+S246</f>
        <v>8</v>
      </c>
      <c r="T247" s="124" t="n">
        <f aca="false">T244+T245+T246</f>
        <v>8</v>
      </c>
      <c r="U247" s="124" t="n">
        <f aca="false">U244+U245+U246</f>
        <v>8</v>
      </c>
      <c r="V247" s="124" t="n">
        <f aca="false">V244+V245+V246</f>
        <v>8</v>
      </c>
      <c r="W247" s="124" t="n">
        <f aca="false">W244+W245+W246</f>
        <v>8</v>
      </c>
      <c r="X247" s="124" t="n">
        <f aca="false">X244+X245+X246</f>
        <v>8</v>
      </c>
      <c r="Y247" s="124" t="n">
        <f aca="false">Y244+Y245+Y246</f>
        <v>8</v>
      </c>
      <c r="Z247" s="124" t="n">
        <f aca="false">Z244+Z245+Z246</f>
        <v>8</v>
      </c>
      <c r="AA247" s="124" t="n">
        <f aca="false">AA244+AA245+AA246</f>
        <v>8</v>
      </c>
      <c r="AB247" s="124" t="n">
        <f aca="false">AB244+AB245+AB246</f>
        <v>8</v>
      </c>
      <c r="AC247" s="124" t="n">
        <f aca="false">AC244+AC245+AC246</f>
        <v>8</v>
      </c>
      <c r="AD247" s="124" t="n">
        <f aca="false">AD244+AD245+AD246</f>
        <v>8</v>
      </c>
      <c r="AE247" s="124" t="n">
        <f aca="false">AE244+AE245+AE246</f>
        <v>8</v>
      </c>
      <c r="AF247" s="124" t="n">
        <f aca="false">AF244+AF245+AF246</f>
        <v>8</v>
      </c>
      <c r="AG247" s="124" t="n">
        <f aca="false">AG244+AG245+AG246</f>
        <v>8</v>
      </c>
      <c r="AH247" s="124" t="n">
        <f aca="false">AH244+AH245+AH246</f>
        <v>8</v>
      </c>
      <c r="AI247" s="124" t="n">
        <f aca="false">AI244+AI245+AI246</f>
        <v>8</v>
      </c>
      <c r="AJ247" s="124" t="n">
        <f aca="false">AJ244+AJ245+AJ246</f>
        <v>8</v>
      </c>
      <c r="AK247" s="124" t="n">
        <f aca="false">AK244+AK245+AK246</f>
        <v>8</v>
      </c>
      <c r="AL247" s="124" t="n">
        <f aca="false">AL244+AL245+AL246</f>
        <v>8</v>
      </c>
      <c r="AM247" s="124" t="n">
        <f aca="false">AM244+AM245+AM246</f>
        <v>8</v>
      </c>
      <c r="AN247" s="124" t="n">
        <f aca="false">AN244+AN245+AN246</f>
        <v>8</v>
      </c>
      <c r="AO247" s="124" t="n">
        <f aca="false">AO244+AO245+AO246</f>
        <v>8</v>
      </c>
      <c r="AP247" s="124" t="n">
        <f aca="false">AP244+AP245+AP246</f>
        <v>8</v>
      </c>
      <c r="AQ247" s="124" t="n">
        <f aca="false">AQ244+AQ245+AQ246</f>
        <v>8</v>
      </c>
      <c r="AR247" s="124" t="n">
        <f aca="false">AR244+AR245+AR246</f>
        <v>8</v>
      </c>
      <c r="AS247" s="124" t="n">
        <f aca="false">AS244+AS245+AS246</f>
        <v>8</v>
      </c>
      <c r="AT247" s="124" t="n">
        <f aca="false">AT244+AT245+AT246</f>
        <v>8</v>
      </c>
      <c r="AU247" s="124" t="n">
        <f aca="false">AU244+AU245+AU246</f>
        <v>8</v>
      </c>
      <c r="AV247" s="124" t="n">
        <f aca="false">AV244+AV245+AV246</f>
        <v>8</v>
      </c>
      <c r="AW247" s="124" t="n">
        <f aca="false">AW244+AW245+AW246</f>
        <v>8</v>
      </c>
      <c r="AX247" s="124" t="n">
        <f aca="false">AX244+AX245+AX246</f>
        <v>8</v>
      </c>
      <c r="AY247" s="124" t="n">
        <f aca="false">AY244+AY245+AY246</f>
        <v>8</v>
      </c>
      <c r="AZ247" s="124" t="n">
        <f aca="false">AZ244+AZ245+AZ246</f>
        <v>8</v>
      </c>
      <c r="BA247" s="124" t="n">
        <f aca="false">BA244+BA245+BA246</f>
        <v>8</v>
      </c>
      <c r="BB247" s="124" t="n">
        <f aca="false">BB244+BB245+BB246</f>
        <v>8</v>
      </c>
      <c r="BC247" s="124" t="n">
        <f aca="false">BC244+BC245+BC246</f>
        <v>8</v>
      </c>
      <c r="BD247" s="124" t="n">
        <f aca="false">BD244+BD245+BD246</f>
        <v>8</v>
      </c>
      <c r="BE247" s="124" t="n">
        <f aca="false">BE244+BE245+BE246</f>
        <v>8</v>
      </c>
      <c r="BF247" s="124" t="n">
        <f aca="false">BF244+BF245+BF246</f>
        <v>8</v>
      </c>
      <c r="BG247" s="124" t="n">
        <f aca="false">BG244+BG245+BG246</f>
        <v>8</v>
      </c>
      <c r="BH247" s="124" t="n">
        <f aca="false">BH244+BH245+BH246</f>
        <v>8</v>
      </c>
      <c r="BI247" s="124" t="n">
        <f aca="false">BI244+BI245+BI246</f>
        <v>8</v>
      </c>
      <c r="BJ247" s="124" t="n">
        <f aca="false">BJ244+BJ245+BJ246</f>
        <v>8</v>
      </c>
    </row>
    <row r="249" customFormat="false" ht="15.75" hidden="false" customHeight="true" outlineLevel="0" collapsed="false">
      <c r="A249" s="7" t="s">
        <v>463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customFormat="false" ht="15" hidden="false" customHeight="false" outlineLevel="0" collapsed="false">
      <c r="A250" s="6" t="s">
        <v>464</v>
      </c>
      <c r="C250" s="69" t="n">
        <f aca="false">-C244*Inputs!$C$56/12*1*(1+Inputs!$C$67)*(1+Inputs!$C$68)^(C$133-1)</f>
        <v>-3833.33333333333</v>
      </c>
      <c r="D250" s="69" t="n">
        <f aca="false">-D244*Inputs!$C$56/12*1*(1+Inputs!$C$67)*(1+Inputs!$C$68)^(D$133-1)</f>
        <v>-3833.33333333333</v>
      </c>
      <c r="E250" s="69" t="n">
        <f aca="false">-E244*Inputs!$C$56/12*1*(1+Inputs!$C$67)*(1+Inputs!$C$68)^(E$133-1)</f>
        <v>-3833.33333333333</v>
      </c>
      <c r="F250" s="69" t="n">
        <f aca="false">-F244*Inputs!$C$56/12*1*(1+Inputs!$C$67)*(1+Inputs!$C$68)^(F$133-1)</f>
        <v>-3833.33333333333</v>
      </c>
      <c r="G250" s="69" t="n">
        <f aca="false">-G244*Inputs!$C$56/12*1*(1+Inputs!$C$67)*(1+Inputs!$C$68)^(G$133-1)</f>
        <v>-3833.33333333333</v>
      </c>
      <c r="H250" s="69" t="n">
        <f aca="false">-H244*Inputs!$C$56/12*1*(1+Inputs!$C$67)*(1+Inputs!$C$68)^(H$133-1)</f>
        <v>-3833.33333333333</v>
      </c>
      <c r="I250" s="69" t="n">
        <f aca="false">-I244*Inputs!$C$56/12*1*(1+Inputs!$C$67)*(1+Inputs!$C$68)^(I$133-1)</f>
        <v>-3833.33333333333</v>
      </c>
      <c r="J250" s="69" t="n">
        <f aca="false">-J244*Inputs!$C$56/12*1*(1+Inputs!$C$67)*(1+Inputs!$C$68)^(J$133-1)</f>
        <v>-3833.33333333333</v>
      </c>
      <c r="K250" s="69" t="n">
        <f aca="false">-K244*Inputs!$C$56/12*1*(1+Inputs!$C$67)*(1+Inputs!$C$68)^(K$133-1)</f>
        <v>-3833.33333333333</v>
      </c>
      <c r="L250" s="69" t="n">
        <f aca="false">-L244*Inputs!$C$56/12*1*(1+Inputs!$C$67)*(1+Inputs!$C$68)^(L$133-1)</f>
        <v>-3833.33333333333</v>
      </c>
      <c r="M250" s="69" t="n">
        <f aca="false">-M244*Inputs!$C$56/12*1*(1+Inputs!$C$67)*(1+Inputs!$C$68)^(M$133-1)</f>
        <v>-3833.33333333333</v>
      </c>
      <c r="N250" s="69" t="n">
        <f aca="false">-N244*Inputs!$C$56/12*1*(1+Inputs!$C$67)*(1+Inputs!$C$68)^(N$133-1)</f>
        <v>-3833.33333333333</v>
      </c>
      <c r="O250" s="69" t="n">
        <f aca="false">-O244*Inputs!$C$56/12*1*(1+Inputs!$C$67)*(1+Inputs!$C$68)^(O$133-1)</f>
        <v>-3948.33333333333</v>
      </c>
      <c r="P250" s="69" t="n">
        <f aca="false">-P244*Inputs!$C$56/12*1*(1+Inputs!$C$67)*(1+Inputs!$C$68)^(P$133-1)</f>
        <v>-3948.33333333333</v>
      </c>
      <c r="Q250" s="69" t="n">
        <f aca="false">-Q244*Inputs!$C$56/12*1*(1+Inputs!$C$67)*(1+Inputs!$C$68)^(Q$133-1)</f>
        <v>-3948.33333333333</v>
      </c>
      <c r="R250" s="69" t="n">
        <f aca="false">-R244*Inputs!$C$56/12*1*(1+Inputs!$C$67)*(1+Inputs!$C$68)^(R$133-1)</f>
        <v>-3948.33333333333</v>
      </c>
      <c r="S250" s="69" t="n">
        <f aca="false">-S244*Inputs!$C$56/12*1*(1+Inputs!$C$67)*(1+Inputs!$C$68)^(S$133-1)</f>
        <v>-3948.33333333333</v>
      </c>
      <c r="T250" s="69" t="n">
        <f aca="false">-T244*Inputs!$C$56/12*1*(1+Inputs!$C$67)*(1+Inputs!$C$68)^(T$133-1)</f>
        <v>-3948.33333333333</v>
      </c>
      <c r="U250" s="69" t="n">
        <f aca="false">-U244*Inputs!$C$56/12*1*(1+Inputs!$C$67)*(1+Inputs!$C$68)^(U$133-1)</f>
        <v>-3948.33333333333</v>
      </c>
      <c r="V250" s="69" t="n">
        <f aca="false">-V244*Inputs!$C$56/12*1*(1+Inputs!$C$67)*(1+Inputs!$C$68)^(V$133-1)</f>
        <v>-3948.33333333333</v>
      </c>
      <c r="W250" s="69" t="n">
        <f aca="false">-W244*Inputs!$C$56/12*1*(1+Inputs!$C$67)*(1+Inputs!$C$68)^(W$133-1)</f>
        <v>-3948.33333333333</v>
      </c>
      <c r="X250" s="69" t="n">
        <f aca="false">-X244*Inputs!$C$56/12*1*(1+Inputs!$C$67)*(1+Inputs!$C$68)^(X$133-1)</f>
        <v>-3948.33333333333</v>
      </c>
      <c r="Y250" s="69" t="n">
        <f aca="false">-Y244*Inputs!$C$56/12*1*(1+Inputs!$C$67)*(1+Inputs!$C$68)^(Y$133-1)</f>
        <v>-3948.33333333333</v>
      </c>
      <c r="Z250" s="69" t="n">
        <f aca="false">-Z244*Inputs!$C$56/12*1*(1+Inputs!$C$67)*(1+Inputs!$C$68)^(Z$133-1)</f>
        <v>-3948.33333333333</v>
      </c>
      <c r="AA250" s="69" t="n">
        <f aca="false">-AA244*Inputs!$C$56/12*1*(1+Inputs!$C$67)*(1+Inputs!$C$68)^(AA$133-1)</f>
        <v>-4066.78333333333</v>
      </c>
      <c r="AB250" s="69" t="n">
        <f aca="false">-AB244*Inputs!$C$56/12*1*(1+Inputs!$C$67)*(1+Inputs!$C$68)^(AB$133-1)</f>
        <v>-4066.78333333333</v>
      </c>
      <c r="AC250" s="69" t="n">
        <f aca="false">-AC244*Inputs!$C$56/12*1*(1+Inputs!$C$67)*(1+Inputs!$C$68)^(AC$133-1)</f>
        <v>-4066.78333333333</v>
      </c>
      <c r="AD250" s="69" t="n">
        <f aca="false">-AD244*Inputs!$C$56/12*1*(1+Inputs!$C$67)*(1+Inputs!$C$68)^(AD$133-1)</f>
        <v>-4066.78333333333</v>
      </c>
      <c r="AE250" s="69" t="n">
        <f aca="false">-AE244*Inputs!$C$56/12*1*(1+Inputs!$C$67)*(1+Inputs!$C$68)^(AE$133-1)</f>
        <v>-4066.78333333333</v>
      </c>
      <c r="AF250" s="69" t="n">
        <f aca="false">-AF244*Inputs!$C$56/12*1*(1+Inputs!$C$67)*(1+Inputs!$C$68)^(AF$133-1)</f>
        <v>-4066.78333333333</v>
      </c>
      <c r="AG250" s="69" t="n">
        <f aca="false">-AG244*Inputs!$C$56/12*1*(1+Inputs!$C$67)*(1+Inputs!$C$68)^(AG$133-1)</f>
        <v>-4066.78333333333</v>
      </c>
      <c r="AH250" s="69" t="n">
        <f aca="false">-AH244*Inputs!$C$56/12*1*(1+Inputs!$C$67)*(1+Inputs!$C$68)^(AH$133-1)</f>
        <v>-4066.78333333333</v>
      </c>
      <c r="AI250" s="69" t="n">
        <f aca="false">-AI244*Inputs!$C$56/12*1*(1+Inputs!$C$67)*(1+Inputs!$C$68)^(AI$133-1)</f>
        <v>-4066.78333333333</v>
      </c>
      <c r="AJ250" s="69" t="n">
        <f aca="false">-AJ244*Inputs!$C$56/12*1*(1+Inputs!$C$67)*(1+Inputs!$C$68)^(AJ$133-1)</f>
        <v>-4066.78333333333</v>
      </c>
      <c r="AK250" s="69" t="n">
        <f aca="false">-AK244*Inputs!$C$56/12*1*(1+Inputs!$C$67)*(1+Inputs!$C$68)^(AK$133-1)</f>
        <v>-4066.78333333333</v>
      </c>
      <c r="AL250" s="69" t="n">
        <f aca="false">-AL244*Inputs!$C$56/12*1*(1+Inputs!$C$67)*(1+Inputs!$C$68)^(AL$133-1)</f>
        <v>-4066.78333333333</v>
      </c>
      <c r="AM250" s="69" t="n">
        <f aca="false">-AM244*Inputs!$C$56/12*1*(1+Inputs!$C$67)*(1+Inputs!$C$68)^(AM$133-1)</f>
        <v>-4188.78683333333</v>
      </c>
      <c r="AN250" s="69" t="n">
        <f aca="false">-AN244*Inputs!$C$56/12*1*(1+Inputs!$C$67)*(1+Inputs!$C$68)^(AN$133-1)</f>
        <v>-4188.78683333333</v>
      </c>
      <c r="AO250" s="69" t="n">
        <f aca="false">-AO244*Inputs!$C$56/12*1*(1+Inputs!$C$67)*(1+Inputs!$C$68)^(AO$133-1)</f>
        <v>-4188.78683333333</v>
      </c>
      <c r="AP250" s="69" t="n">
        <f aca="false">-AP244*Inputs!$C$56/12*1*(1+Inputs!$C$67)*(1+Inputs!$C$68)^(AP$133-1)</f>
        <v>-4188.78683333333</v>
      </c>
      <c r="AQ250" s="69" t="n">
        <f aca="false">-AQ244*Inputs!$C$56/12*1*(1+Inputs!$C$67)*(1+Inputs!$C$68)^(AQ$133-1)</f>
        <v>-4188.78683333333</v>
      </c>
      <c r="AR250" s="69" t="n">
        <f aca="false">-AR244*Inputs!$C$56/12*1*(1+Inputs!$C$67)*(1+Inputs!$C$68)^(AR$133-1)</f>
        <v>-4188.78683333333</v>
      </c>
      <c r="AS250" s="69" t="n">
        <f aca="false">-AS244*Inputs!$C$56/12*1*(1+Inputs!$C$67)*(1+Inputs!$C$68)^(AS$133-1)</f>
        <v>-4188.78683333333</v>
      </c>
      <c r="AT250" s="69" t="n">
        <f aca="false">-AT244*Inputs!$C$56/12*1*(1+Inputs!$C$67)*(1+Inputs!$C$68)^(AT$133-1)</f>
        <v>-4188.78683333333</v>
      </c>
      <c r="AU250" s="69" t="n">
        <f aca="false">-AU244*Inputs!$C$56/12*1*(1+Inputs!$C$67)*(1+Inputs!$C$68)^(AU$133-1)</f>
        <v>-4188.78683333333</v>
      </c>
      <c r="AV250" s="69" t="n">
        <f aca="false">-AV244*Inputs!$C$56/12*1*(1+Inputs!$C$67)*(1+Inputs!$C$68)^(AV$133-1)</f>
        <v>-4188.78683333333</v>
      </c>
      <c r="AW250" s="69" t="n">
        <f aca="false">-AW244*Inputs!$C$56/12*1*(1+Inputs!$C$67)*(1+Inputs!$C$68)^(AW$133-1)</f>
        <v>-4188.78683333333</v>
      </c>
      <c r="AX250" s="69" t="n">
        <f aca="false">-AX244*Inputs!$C$56/12*1*(1+Inputs!$C$67)*(1+Inputs!$C$68)^(AX$133-1)</f>
        <v>-4188.78683333333</v>
      </c>
      <c r="AY250" s="69" t="n">
        <f aca="false">-AY244*Inputs!$C$56/12*1*(1+Inputs!$C$67)*(1+Inputs!$C$68)^(AY$133-1)</f>
        <v>-4314.45043833333</v>
      </c>
      <c r="AZ250" s="69" t="n">
        <f aca="false">-AZ244*Inputs!$C$56/12*1*(1+Inputs!$C$67)*(1+Inputs!$C$68)^(AZ$133-1)</f>
        <v>-4314.45043833333</v>
      </c>
      <c r="BA250" s="69" t="n">
        <f aca="false">-BA244*Inputs!$C$56/12*1*(1+Inputs!$C$67)*(1+Inputs!$C$68)^(BA$133-1)</f>
        <v>-4314.45043833333</v>
      </c>
      <c r="BB250" s="69" t="n">
        <f aca="false">-BB244*Inputs!$C$56/12*1*(1+Inputs!$C$67)*(1+Inputs!$C$68)^(BB$133-1)</f>
        <v>-4314.45043833333</v>
      </c>
      <c r="BC250" s="69" t="n">
        <f aca="false">-BC244*Inputs!$C$56/12*1*(1+Inputs!$C$67)*(1+Inputs!$C$68)^(BC$133-1)</f>
        <v>-4314.45043833333</v>
      </c>
      <c r="BD250" s="69" t="n">
        <f aca="false">-BD244*Inputs!$C$56/12*1*(1+Inputs!$C$67)*(1+Inputs!$C$68)^(BD$133-1)</f>
        <v>-4314.45043833333</v>
      </c>
      <c r="BE250" s="69" t="n">
        <f aca="false">-BE244*Inputs!$C$56/12*1*(1+Inputs!$C$67)*(1+Inputs!$C$68)^(BE$133-1)</f>
        <v>-4314.45043833333</v>
      </c>
      <c r="BF250" s="69" t="n">
        <f aca="false">-BF244*Inputs!$C$56/12*1*(1+Inputs!$C$67)*(1+Inputs!$C$68)^(BF$133-1)</f>
        <v>-4314.45043833333</v>
      </c>
      <c r="BG250" s="69" t="n">
        <f aca="false">-BG244*Inputs!$C$56/12*1*(1+Inputs!$C$67)*(1+Inputs!$C$68)^(BG$133-1)</f>
        <v>-4314.45043833333</v>
      </c>
      <c r="BH250" s="69" t="n">
        <f aca="false">-BH244*Inputs!$C$56/12*1*(1+Inputs!$C$67)*(1+Inputs!$C$68)^(BH$133-1)</f>
        <v>-4314.45043833333</v>
      </c>
      <c r="BI250" s="69" t="n">
        <f aca="false">-BI244*Inputs!$C$56/12*1*(1+Inputs!$C$67)*(1+Inputs!$C$68)^(BI$133-1)</f>
        <v>-4314.45043833333</v>
      </c>
      <c r="BJ250" s="69" t="n">
        <f aca="false">-BJ244*Inputs!$C$56/12*1*(1+Inputs!$C$67)*(1+Inputs!$C$68)^(BJ$133-1)</f>
        <v>-4314.45043833333</v>
      </c>
    </row>
    <row r="251" customFormat="false" ht="15" hidden="false" customHeight="false" outlineLevel="0" collapsed="false">
      <c r="A251" s="6" t="s">
        <v>465</v>
      </c>
      <c r="C251" s="69" t="n">
        <f aca="false">-C245*Inputs!$C$60/12*1*(1+Inputs!$C$67)*(1+Inputs!$C$68)^(C$133-1)</f>
        <v>-9487.5</v>
      </c>
      <c r="D251" s="69" t="n">
        <f aca="false">-D245*Inputs!$C$60/12*1*(1+Inputs!$C$67)*(1+Inputs!$C$68)^(D$133-1)</f>
        <v>-9487.5</v>
      </c>
      <c r="E251" s="69" t="n">
        <f aca="false">-E245*Inputs!$C$60/12*1*(1+Inputs!$C$67)*(1+Inputs!$C$68)^(E$133-1)</f>
        <v>-9487.5</v>
      </c>
      <c r="F251" s="69" t="n">
        <f aca="false">-F245*Inputs!$C$60/12*1*(1+Inputs!$C$67)*(1+Inputs!$C$68)^(F$133-1)</f>
        <v>-9487.5</v>
      </c>
      <c r="G251" s="69" t="n">
        <f aca="false">-G245*Inputs!$C$60/12*1*(1+Inputs!$C$67)*(1+Inputs!$C$68)^(G$133-1)</f>
        <v>-9487.5</v>
      </c>
      <c r="H251" s="69" t="n">
        <f aca="false">-H245*Inputs!$C$60/12*1*(1+Inputs!$C$67)*(1+Inputs!$C$68)^(H$133-1)</f>
        <v>-9487.5</v>
      </c>
      <c r="I251" s="69" t="n">
        <f aca="false">-I245*Inputs!$C$60/12*1*(1+Inputs!$C$67)*(1+Inputs!$C$68)^(I$133-1)</f>
        <v>-9487.5</v>
      </c>
      <c r="J251" s="69" t="n">
        <f aca="false">-J245*Inputs!$C$60/12*1*(1+Inputs!$C$67)*(1+Inputs!$C$68)^(J$133-1)</f>
        <v>-9487.5</v>
      </c>
      <c r="K251" s="69" t="n">
        <f aca="false">-K245*Inputs!$C$60/12*1*(1+Inputs!$C$67)*(1+Inputs!$C$68)^(K$133-1)</f>
        <v>-9487.5</v>
      </c>
      <c r="L251" s="69" t="n">
        <f aca="false">-L245*Inputs!$C$60/12*1*(1+Inputs!$C$67)*(1+Inputs!$C$68)^(L$133-1)</f>
        <v>-9487.5</v>
      </c>
      <c r="M251" s="69" t="n">
        <f aca="false">-M245*Inputs!$C$60/12*1*(1+Inputs!$C$67)*(1+Inputs!$C$68)^(M$133-1)</f>
        <v>-9487.5</v>
      </c>
      <c r="N251" s="69" t="n">
        <f aca="false">-N245*Inputs!$C$60/12*1*(1+Inputs!$C$67)*(1+Inputs!$C$68)^(N$133-1)</f>
        <v>-9487.5</v>
      </c>
      <c r="O251" s="69" t="n">
        <f aca="false">-O245*Inputs!$C$60/12*1*(1+Inputs!$C$67)*(1+Inputs!$C$68)^(O$133-1)</f>
        <v>-9772.125</v>
      </c>
      <c r="P251" s="69" t="n">
        <f aca="false">-P245*Inputs!$C$60/12*1*(1+Inputs!$C$67)*(1+Inputs!$C$68)^(P$133-1)</f>
        <v>-9772.125</v>
      </c>
      <c r="Q251" s="69" t="n">
        <f aca="false">-Q245*Inputs!$C$60/12*1*(1+Inputs!$C$67)*(1+Inputs!$C$68)^(Q$133-1)</f>
        <v>-9772.125</v>
      </c>
      <c r="R251" s="69" t="n">
        <f aca="false">-R245*Inputs!$C$60/12*1*(1+Inputs!$C$67)*(1+Inputs!$C$68)^(R$133-1)</f>
        <v>-9772.125</v>
      </c>
      <c r="S251" s="69" t="n">
        <f aca="false">-S245*Inputs!$C$60/12*1*(1+Inputs!$C$67)*(1+Inputs!$C$68)^(S$133-1)</f>
        <v>-9772.125</v>
      </c>
      <c r="T251" s="69" t="n">
        <f aca="false">-T245*Inputs!$C$60/12*1*(1+Inputs!$C$67)*(1+Inputs!$C$68)^(T$133-1)</f>
        <v>-9772.125</v>
      </c>
      <c r="U251" s="69" t="n">
        <f aca="false">-U245*Inputs!$C$60/12*1*(1+Inputs!$C$67)*(1+Inputs!$C$68)^(U$133-1)</f>
        <v>-9772.125</v>
      </c>
      <c r="V251" s="69" t="n">
        <f aca="false">-V245*Inputs!$C$60/12*1*(1+Inputs!$C$67)*(1+Inputs!$C$68)^(V$133-1)</f>
        <v>-9772.125</v>
      </c>
      <c r="W251" s="69" t="n">
        <f aca="false">-W245*Inputs!$C$60/12*1*(1+Inputs!$C$67)*(1+Inputs!$C$68)^(W$133-1)</f>
        <v>-9772.125</v>
      </c>
      <c r="X251" s="69" t="n">
        <f aca="false">-X245*Inputs!$C$60/12*1*(1+Inputs!$C$67)*(1+Inputs!$C$68)^(X$133-1)</f>
        <v>-9772.125</v>
      </c>
      <c r="Y251" s="69" t="n">
        <f aca="false">-Y245*Inputs!$C$60/12*1*(1+Inputs!$C$67)*(1+Inputs!$C$68)^(Y$133-1)</f>
        <v>-9772.125</v>
      </c>
      <c r="Z251" s="69" t="n">
        <f aca="false">-Z245*Inputs!$C$60/12*1*(1+Inputs!$C$67)*(1+Inputs!$C$68)^(Z$133-1)</f>
        <v>-9772.125</v>
      </c>
      <c r="AA251" s="69" t="n">
        <f aca="false">-AA245*Inputs!$C$60/12*1*(1+Inputs!$C$67)*(1+Inputs!$C$68)^(AA$133-1)</f>
        <v>-10065.28875</v>
      </c>
      <c r="AB251" s="69" t="n">
        <f aca="false">-AB245*Inputs!$C$60/12*1*(1+Inputs!$C$67)*(1+Inputs!$C$68)^(AB$133-1)</f>
        <v>-10065.28875</v>
      </c>
      <c r="AC251" s="69" t="n">
        <f aca="false">-AC245*Inputs!$C$60/12*1*(1+Inputs!$C$67)*(1+Inputs!$C$68)^(AC$133-1)</f>
        <v>-10065.28875</v>
      </c>
      <c r="AD251" s="69" t="n">
        <f aca="false">-AD245*Inputs!$C$60/12*1*(1+Inputs!$C$67)*(1+Inputs!$C$68)^(AD$133-1)</f>
        <v>-10065.28875</v>
      </c>
      <c r="AE251" s="69" t="n">
        <f aca="false">-AE245*Inputs!$C$60/12*1*(1+Inputs!$C$67)*(1+Inputs!$C$68)^(AE$133-1)</f>
        <v>-10065.28875</v>
      </c>
      <c r="AF251" s="69" t="n">
        <f aca="false">-AF245*Inputs!$C$60/12*1*(1+Inputs!$C$67)*(1+Inputs!$C$68)^(AF$133-1)</f>
        <v>-10065.28875</v>
      </c>
      <c r="AG251" s="69" t="n">
        <f aca="false">-AG245*Inputs!$C$60/12*1*(1+Inputs!$C$67)*(1+Inputs!$C$68)^(AG$133-1)</f>
        <v>-10065.28875</v>
      </c>
      <c r="AH251" s="69" t="n">
        <f aca="false">-AH245*Inputs!$C$60/12*1*(1+Inputs!$C$67)*(1+Inputs!$C$68)^(AH$133-1)</f>
        <v>-10065.28875</v>
      </c>
      <c r="AI251" s="69" t="n">
        <f aca="false">-AI245*Inputs!$C$60/12*1*(1+Inputs!$C$67)*(1+Inputs!$C$68)^(AI$133-1)</f>
        <v>-10065.28875</v>
      </c>
      <c r="AJ251" s="69" t="n">
        <f aca="false">-AJ245*Inputs!$C$60/12*1*(1+Inputs!$C$67)*(1+Inputs!$C$68)^(AJ$133-1)</f>
        <v>-10065.28875</v>
      </c>
      <c r="AK251" s="69" t="n">
        <f aca="false">-AK245*Inputs!$C$60/12*1*(1+Inputs!$C$67)*(1+Inputs!$C$68)^(AK$133-1)</f>
        <v>-10065.28875</v>
      </c>
      <c r="AL251" s="69" t="n">
        <f aca="false">-AL245*Inputs!$C$60/12*1*(1+Inputs!$C$67)*(1+Inputs!$C$68)^(AL$133-1)</f>
        <v>-10065.28875</v>
      </c>
      <c r="AM251" s="69" t="n">
        <f aca="false">-AM245*Inputs!$C$60/12*1*(1+Inputs!$C$67)*(1+Inputs!$C$68)^(AM$133-1)</f>
        <v>-10367.2474125</v>
      </c>
      <c r="AN251" s="69" t="n">
        <f aca="false">-AN245*Inputs!$C$60/12*1*(1+Inputs!$C$67)*(1+Inputs!$C$68)^(AN$133-1)</f>
        <v>-10367.2474125</v>
      </c>
      <c r="AO251" s="69" t="n">
        <f aca="false">-AO245*Inputs!$C$60/12*1*(1+Inputs!$C$67)*(1+Inputs!$C$68)^(AO$133-1)</f>
        <v>-10367.2474125</v>
      </c>
      <c r="AP251" s="69" t="n">
        <f aca="false">-AP245*Inputs!$C$60/12*1*(1+Inputs!$C$67)*(1+Inputs!$C$68)^(AP$133-1)</f>
        <v>-10367.2474125</v>
      </c>
      <c r="AQ251" s="69" t="n">
        <f aca="false">-AQ245*Inputs!$C$60/12*1*(1+Inputs!$C$67)*(1+Inputs!$C$68)^(AQ$133-1)</f>
        <v>-10367.2474125</v>
      </c>
      <c r="AR251" s="69" t="n">
        <f aca="false">-AR245*Inputs!$C$60/12*1*(1+Inputs!$C$67)*(1+Inputs!$C$68)^(AR$133-1)</f>
        <v>-10367.2474125</v>
      </c>
      <c r="AS251" s="69" t="n">
        <f aca="false">-AS245*Inputs!$C$60/12*1*(1+Inputs!$C$67)*(1+Inputs!$C$68)^(AS$133-1)</f>
        <v>-10367.2474125</v>
      </c>
      <c r="AT251" s="69" t="n">
        <f aca="false">-AT245*Inputs!$C$60/12*1*(1+Inputs!$C$67)*(1+Inputs!$C$68)^(AT$133-1)</f>
        <v>-10367.2474125</v>
      </c>
      <c r="AU251" s="69" t="n">
        <f aca="false">-AU245*Inputs!$C$60/12*1*(1+Inputs!$C$67)*(1+Inputs!$C$68)^(AU$133-1)</f>
        <v>-10367.2474125</v>
      </c>
      <c r="AV251" s="69" t="n">
        <f aca="false">-AV245*Inputs!$C$60/12*1*(1+Inputs!$C$67)*(1+Inputs!$C$68)^(AV$133-1)</f>
        <v>-10367.2474125</v>
      </c>
      <c r="AW251" s="69" t="n">
        <f aca="false">-AW245*Inputs!$C$60/12*1*(1+Inputs!$C$67)*(1+Inputs!$C$68)^(AW$133-1)</f>
        <v>-10367.2474125</v>
      </c>
      <c r="AX251" s="69" t="n">
        <f aca="false">-AX245*Inputs!$C$60/12*1*(1+Inputs!$C$67)*(1+Inputs!$C$68)^(AX$133-1)</f>
        <v>-10367.2474125</v>
      </c>
      <c r="AY251" s="69" t="n">
        <f aca="false">-AY245*Inputs!$C$60/12*1*(1+Inputs!$C$67)*(1+Inputs!$C$68)^(AY$133-1)</f>
        <v>-10678.264834875</v>
      </c>
      <c r="AZ251" s="69" t="n">
        <f aca="false">-AZ245*Inputs!$C$60/12*1*(1+Inputs!$C$67)*(1+Inputs!$C$68)^(AZ$133-1)</f>
        <v>-10678.264834875</v>
      </c>
      <c r="BA251" s="69" t="n">
        <f aca="false">-BA245*Inputs!$C$60/12*1*(1+Inputs!$C$67)*(1+Inputs!$C$68)^(BA$133-1)</f>
        <v>-10678.264834875</v>
      </c>
      <c r="BB251" s="69" t="n">
        <f aca="false">-BB245*Inputs!$C$60/12*1*(1+Inputs!$C$67)*(1+Inputs!$C$68)^(BB$133-1)</f>
        <v>-10678.264834875</v>
      </c>
      <c r="BC251" s="69" t="n">
        <f aca="false">-BC245*Inputs!$C$60/12*1*(1+Inputs!$C$67)*(1+Inputs!$C$68)^(BC$133-1)</f>
        <v>-10678.264834875</v>
      </c>
      <c r="BD251" s="69" t="n">
        <f aca="false">-BD245*Inputs!$C$60/12*1*(1+Inputs!$C$67)*(1+Inputs!$C$68)^(BD$133-1)</f>
        <v>-10678.264834875</v>
      </c>
      <c r="BE251" s="69" t="n">
        <f aca="false">-BE245*Inputs!$C$60/12*1*(1+Inputs!$C$67)*(1+Inputs!$C$68)^(BE$133-1)</f>
        <v>-10678.264834875</v>
      </c>
      <c r="BF251" s="69" t="n">
        <f aca="false">-BF245*Inputs!$C$60/12*1*(1+Inputs!$C$67)*(1+Inputs!$C$68)^(BF$133-1)</f>
        <v>-10678.264834875</v>
      </c>
      <c r="BG251" s="69" t="n">
        <f aca="false">-BG245*Inputs!$C$60/12*1*(1+Inputs!$C$67)*(1+Inputs!$C$68)^(BG$133-1)</f>
        <v>-10678.264834875</v>
      </c>
      <c r="BH251" s="69" t="n">
        <f aca="false">-BH245*Inputs!$C$60/12*1*(1+Inputs!$C$67)*(1+Inputs!$C$68)^(BH$133-1)</f>
        <v>-10678.264834875</v>
      </c>
      <c r="BI251" s="69" t="n">
        <f aca="false">-BI245*Inputs!$C$60/12*1*(1+Inputs!$C$67)*(1+Inputs!$C$68)^(BI$133-1)</f>
        <v>-10678.264834875</v>
      </c>
      <c r="BJ251" s="69" t="n">
        <f aca="false">-BJ245*Inputs!$C$60/12*1*(1+Inputs!$C$67)*(1+Inputs!$C$68)^(BJ$133-1)</f>
        <v>-10678.264834875</v>
      </c>
    </row>
    <row r="252" customFormat="false" ht="15" hidden="false" customHeight="false" outlineLevel="0" collapsed="false">
      <c r="A252" s="6" t="s">
        <v>466</v>
      </c>
      <c r="C252" s="69" t="n">
        <f aca="false">-C246*Inputs!$C$64/12*1*(1+Inputs!$C$67)*(1+Inputs!$C$68)^(C$133-1)</f>
        <v>-5750</v>
      </c>
      <c r="D252" s="69" t="n">
        <f aca="false">-D246*Inputs!$C$64/12*1*(1+Inputs!$C$67)*(1+Inputs!$C$68)^(D$133-1)</f>
        <v>-5750</v>
      </c>
      <c r="E252" s="69" t="n">
        <f aca="false">-E246*Inputs!$C$64/12*1*(1+Inputs!$C$67)*(1+Inputs!$C$68)^(E$133-1)</f>
        <v>-5750</v>
      </c>
      <c r="F252" s="69" t="n">
        <f aca="false">-F246*Inputs!$C$64/12*1*(1+Inputs!$C$67)*(1+Inputs!$C$68)^(F$133-1)</f>
        <v>-5750</v>
      </c>
      <c r="G252" s="69" t="n">
        <f aca="false">-G246*Inputs!$C$64/12*1*(1+Inputs!$C$67)*(1+Inputs!$C$68)^(G$133-1)</f>
        <v>-5750</v>
      </c>
      <c r="H252" s="69" t="n">
        <f aca="false">-H246*Inputs!$C$64/12*1*(1+Inputs!$C$67)*(1+Inputs!$C$68)^(H$133-1)</f>
        <v>-5750</v>
      </c>
      <c r="I252" s="69" t="n">
        <f aca="false">-I246*Inputs!$C$64/12*1*(1+Inputs!$C$67)*(1+Inputs!$C$68)^(I$133-1)</f>
        <v>-5750</v>
      </c>
      <c r="J252" s="69" t="n">
        <f aca="false">-J246*Inputs!$C$64/12*1*(1+Inputs!$C$67)*(1+Inputs!$C$68)^(J$133-1)</f>
        <v>-5750</v>
      </c>
      <c r="K252" s="69" t="n">
        <f aca="false">-K246*Inputs!$C$64/12*1*(1+Inputs!$C$67)*(1+Inputs!$C$68)^(K$133-1)</f>
        <v>-5750</v>
      </c>
      <c r="L252" s="69" t="n">
        <f aca="false">-L246*Inputs!$C$64/12*1*(1+Inputs!$C$67)*(1+Inputs!$C$68)^(L$133-1)</f>
        <v>-5750</v>
      </c>
      <c r="M252" s="69" t="n">
        <f aca="false">-M246*Inputs!$C$64/12*1*(1+Inputs!$C$67)*(1+Inputs!$C$68)^(M$133-1)</f>
        <v>-5750</v>
      </c>
      <c r="N252" s="69" t="n">
        <f aca="false">-N246*Inputs!$C$64/12*1*(1+Inputs!$C$67)*(1+Inputs!$C$68)^(N$133-1)</f>
        <v>-5750</v>
      </c>
      <c r="O252" s="69" t="n">
        <f aca="false">-O246*Inputs!$C$64/12*1*(1+Inputs!$C$67)*(1+Inputs!$C$68)^(O$133-1)</f>
        <v>-5922.5</v>
      </c>
      <c r="P252" s="69" t="n">
        <f aca="false">-P246*Inputs!$C$64/12*1*(1+Inputs!$C$67)*(1+Inputs!$C$68)^(P$133-1)</f>
        <v>-5922.5</v>
      </c>
      <c r="Q252" s="69" t="n">
        <f aca="false">-Q246*Inputs!$C$64/12*1*(1+Inputs!$C$67)*(1+Inputs!$C$68)^(Q$133-1)</f>
        <v>-5922.5</v>
      </c>
      <c r="R252" s="69" t="n">
        <f aca="false">-R246*Inputs!$C$64/12*1*(1+Inputs!$C$67)*(1+Inputs!$C$68)^(R$133-1)</f>
        <v>-5922.5</v>
      </c>
      <c r="S252" s="69" t="n">
        <f aca="false">-S246*Inputs!$C$64/12*1*(1+Inputs!$C$67)*(1+Inputs!$C$68)^(S$133-1)</f>
        <v>-5922.5</v>
      </c>
      <c r="T252" s="69" t="n">
        <f aca="false">-T246*Inputs!$C$64/12*1*(1+Inputs!$C$67)*(1+Inputs!$C$68)^(T$133-1)</f>
        <v>-5922.5</v>
      </c>
      <c r="U252" s="69" t="n">
        <f aca="false">-U246*Inputs!$C$64/12*1*(1+Inputs!$C$67)*(1+Inputs!$C$68)^(U$133-1)</f>
        <v>-5922.5</v>
      </c>
      <c r="V252" s="69" t="n">
        <f aca="false">-V246*Inputs!$C$64/12*1*(1+Inputs!$C$67)*(1+Inputs!$C$68)^(V$133-1)</f>
        <v>-5922.5</v>
      </c>
      <c r="W252" s="69" t="n">
        <f aca="false">-W246*Inputs!$C$64/12*1*(1+Inputs!$C$67)*(1+Inputs!$C$68)^(W$133-1)</f>
        <v>-5922.5</v>
      </c>
      <c r="X252" s="69" t="n">
        <f aca="false">-X246*Inputs!$C$64/12*1*(1+Inputs!$C$67)*(1+Inputs!$C$68)^(X$133-1)</f>
        <v>-5922.5</v>
      </c>
      <c r="Y252" s="69" t="n">
        <f aca="false">-Y246*Inputs!$C$64/12*1*(1+Inputs!$C$67)*(1+Inputs!$C$68)^(Y$133-1)</f>
        <v>-5922.5</v>
      </c>
      <c r="Z252" s="69" t="n">
        <f aca="false">-Z246*Inputs!$C$64/12*1*(1+Inputs!$C$67)*(1+Inputs!$C$68)^(Z$133-1)</f>
        <v>-5922.5</v>
      </c>
      <c r="AA252" s="69" t="n">
        <f aca="false">-AA246*Inputs!$C$64/12*1*(1+Inputs!$C$67)*(1+Inputs!$C$68)^(AA$133-1)</f>
        <v>-6100.175</v>
      </c>
      <c r="AB252" s="69" t="n">
        <f aca="false">-AB246*Inputs!$C$64/12*1*(1+Inputs!$C$67)*(1+Inputs!$C$68)^(AB$133-1)</f>
        <v>-6100.175</v>
      </c>
      <c r="AC252" s="69" t="n">
        <f aca="false">-AC246*Inputs!$C$64/12*1*(1+Inputs!$C$67)*(1+Inputs!$C$68)^(AC$133-1)</f>
        <v>-6100.175</v>
      </c>
      <c r="AD252" s="69" t="n">
        <f aca="false">-AD246*Inputs!$C$64/12*1*(1+Inputs!$C$67)*(1+Inputs!$C$68)^(AD$133-1)</f>
        <v>-6100.175</v>
      </c>
      <c r="AE252" s="69" t="n">
        <f aca="false">-AE246*Inputs!$C$64/12*1*(1+Inputs!$C$67)*(1+Inputs!$C$68)^(AE$133-1)</f>
        <v>-6100.175</v>
      </c>
      <c r="AF252" s="69" t="n">
        <f aca="false">-AF246*Inputs!$C$64/12*1*(1+Inputs!$C$67)*(1+Inputs!$C$68)^(AF$133-1)</f>
        <v>-6100.175</v>
      </c>
      <c r="AG252" s="69" t="n">
        <f aca="false">-AG246*Inputs!$C$64/12*1*(1+Inputs!$C$67)*(1+Inputs!$C$68)^(AG$133-1)</f>
        <v>-6100.175</v>
      </c>
      <c r="AH252" s="69" t="n">
        <f aca="false">-AH246*Inputs!$C$64/12*1*(1+Inputs!$C$67)*(1+Inputs!$C$68)^(AH$133-1)</f>
        <v>-6100.175</v>
      </c>
      <c r="AI252" s="69" t="n">
        <f aca="false">-AI246*Inputs!$C$64/12*1*(1+Inputs!$C$67)*(1+Inputs!$C$68)^(AI$133-1)</f>
        <v>-6100.175</v>
      </c>
      <c r="AJ252" s="69" t="n">
        <f aca="false">-AJ246*Inputs!$C$64/12*1*(1+Inputs!$C$67)*(1+Inputs!$C$68)^(AJ$133-1)</f>
        <v>-6100.175</v>
      </c>
      <c r="AK252" s="69" t="n">
        <f aca="false">-AK246*Inputs!$C$64/12*1*(1+Inputs!$C$67)*(1+Inputs!$C$68)^(AK$133-1)</f>
        <v>-6100.175</v>
      </c>
      <c r="AL252" s="69" t="n">
        <f aca="false">-AL246*Inputs!$C$64/12*1*(1+Inputs!$C$67)*(1+Inputs!$C$68)^(AL$133-1)</f>
        <v>-6100.175</v>
      </c>
      <c r="AM252" s="69" t="n">
        <f aca="false">-AM246*Inputs!$C$64/12*1*(1+Inputs!$C$67)*(1+Inputs!$C$68)^(AM$133-1)</f>
        <v>-6283.18025</v>
      </c>
      <c r="AN252" s="69" t="n">
        <f aca="false">-AN246*Inputs!$C$64/12*1*(1+Inputs!$C$67)*(1+Inputs!$C$68)^(AN$133-1)</f>
        <v>-6283.18025</v>
      </c>
      <c r="AO252" s="69" t="n">
        <f aca="false">-AO246*Inputs!$C$64/12*1*(1+Inputs!$C$67)*(1+Inputs!$C$68)^(AO$133-1)</f>
        <v>-6283.18025</v>
      </c>
      <c r="AP252" s="69" t="n">
        <f aca="false">-AP246*Inputs!$C$64/12*1*(1+Inputs!$C$67)*(1+Inputs!$C$68)^(AP$133-1)</f>
        <v>-6283.18025</v>
      </c>
      <c r="AQ252" s="69" t="n">
        <f aca="false">-AQ246*Inputs!$C$64/12*1*(1+Inputs!$C$67)*(1+Inputs!$C$68)^(AQ$133-1)</f>
        <v>-6283.18025</v>
      </c>
      <c r="AR252" s="69" t="n">
        <f aca="false">-AR246*Inputs!$C$64/12*1*(1+Inputs!$C$67)*(1+Inputs!$C$68)^(AR$133-1)</f>
        <v>-6283.18025</v>
      </c>
      <c r="AS252" s="69" t="n">
        <f aca="false">-AS246*Inputs!$C$64/12*1*(1+Inputs!$C$67)*(1+Inputs!$C$68)^(AS$133-1)</f>
        <v>-6283.18025</v>
      </c>
      <c r="AT252" s="69" t="n">
        <f aca="false">-AT246*Inputs!$C$64/12*1*(1+Inputs!$C$67)*(1+Inputs!$C$68)^(AT$133-1)</f>
        <v>-6283.18025</v>
      </c>
      <c r="AU252" s="69" t="n">
        <f aca="false">-AU246*Inputs!$C$64/12*1*(1+Inputs!$C$67)*(1+Inputs!$C$68)^(AU$133-1)</f>
        <v>-6283.18025</v>
      </c>
      <c r="AV252" s="69" t="n">
        <f aca="false">-AV246*Inputs!$C$64/12*1*(1+Inputs!$C$67)*(1+Inputs!$C$68)^(AV$133-1)</f>
        <v>-6283.18025</v>
      </c>
      <c r="AW252" s="69" t="n">
        <f aca="false">-AW246*Inputs!$C$64/12*1*(1+Inputs!$C$67)*(1+Inputs!$C$68)^(AW$133-1)</f>
        <v>-6283.18025</v>
      </c>
      <c r="AX252" s="69" t="n">
        <f aca="false">-AX246*Inputs!$C$64/12*1*(1+Inputs!$C$67)*(1+Inputs!$C$68)^(AX$133-1)</f>
        <v>-6283.18025</v>
      </c>
      <c r="AY252" s="69" t="n">
        <f aca="false">-AY246*Inputs!$C$64/12*1*(1+Inputs!$C$67)*(1+Inputs!$C$68)^(AY$133-1)</f>
        <v>-6471.6756575</v>
      </c>
      <c r="AZ252" s="69" t="n">
        <f aca="false">-AZ246*Inputs!$C$64/12*1*(1+Inputs!$C$67)*(1+Inputs!$C$68)^(AZ$133-1)</f>
        <v>-6471.6756575</v>
      </c>
      <c r="BA252" s="69" t="n">
        <f aca="false">-BA246*Inputs!$C$64/12*1*(1+Inputs!$C$67)*(1+Inputs!$C$68)^(BA$133-1)</f>
        <v>-6471.6756575</v>
      </c>
      <c r="BB252" s="69" t="n">
        <f aca="false">-BB246*Inputs!$C$64/12*1*(1+Inputs!$C$67)*(1+Inputs!$C$68)^(BB$133-1)</f>
        <v>-6471.6756575</v>
      </c>
      <c r="BC252" s="69" t="n">
        <f aca="false">-BC246*Inputs!$C$64/12*1*(1+Inputs!$C$67)*(1+Inputs!$C$68)^(BC$133-1)</f>
        <v>-6471.6756575</v>
      </c>
      <c r="BD252" s="69" t="n">
        <f aca="false">-BD246*Inputs!$C$64/12*1*(1+Inputs!$C$67)*(1+Inputs!$C$68)^(BD$133-1)</f>
        <v>-6471.6756575</v>
      </c>
      <c r="BE252" s="69" t="n">
        <f aca="false">-BE246*Inputs!$C$64/12*1*(1+Inputs!$C$67)*(1+Inputs!$C$68)^(BE$133-1)</f>
        <v>-6471.6756575</v>
      </c>
      <c r="BF252" s="69" t="n">
        <f aca="false">-BF246*Inputs!$C$64/12*1*(1+Inputs!$C$67)*(1+Inputs!$C$68)^(BF$133-1)</f>
        <v>-6471.6756575</v>
      </c>
      <c r="BG252" s="69" t="n">
        <f aca="false">-BG246*Inputs!$C$64/12*1*(1+Inputs!$C$67)*(1+Inputs!$C$68)^(BG$133-1)</f>
        <v>-6471.6756575</v>
      </c>
      <c r="BH252" s="69" t="n">
        <f aca="false">-BH246*Inputs!$C$64/12*1*(1+Inputs!$C$67)*(1+Inputs!$C$68)^(BH$133-1)</f>
        <v>-6471.6756575</v>
      </c>
      <c r="BI252" s="69" t="n">
        <f aca="false">-BI246*Inputs!$C$64/12*1*(1+Inputs!$C$67)*(1+Inputs!$C$68)^(BI$133-1)</f>
        <v>-6471.6756575</v>
      </c>
      <c r="BJ252" s="69" t="n">
        <f aca="false">-BJ246*Inputs!$C$64/12*1*(1+Inputs!$C$67)*(1+Inputs!$C$68)^(BJ$133-1)</f>
        <v>-6471.6756575</v>
      </c>
    </row>
    <row r="253" customFormat="false" ht="15" hidden="false" customHeight="false" outlineLevel="0" collapsed="false">
      <c r="A253" s="115" t="s">
        <v>467</v>
      </c>
      <c r="C253" s="70" t="n">
        <f aca="false">C250+C251+C252</f>
        <v>-19070.8333333333</v>
      </c>
      <c r="D253" s="70" t="n">
        <f aca="false">D250+D251+D252</f>
        <v>-19070.8333333333</v>
      </c>
      <c r="E253" s="70" t="n">
        <f aca="false">E250+E251+E252</f>
        <v>-19070.8333333333</v>
      </c>
      <c r="F253" s="70" t="n">
        <f aca="false">F250+F251+F252</f>
        <v>-19070.8333333333</v>
      </c>
      <c r="G253" s="70" t="n">
        <f aca="false">G250+G251+G252</f>
        <v>-19070.8333333333</v>
      </c>
      <c r="H253" s="70" t="n">
        <f aca="false">H250+H251+H252</f>
        <v>-19070.8333333333</v>
      </c>
      <c r="I253" s="70" t="n">
        <f aca="false">I250+I251+I252</f>
        <v>-19070.8333333333</v>
      </c>
      <c r="J253" s="70" t="n">
        <f aca="false">J250+J251+J252</f>
        <v>-19070.8333333333</v>
      </c>
      <c r="K253" s="70" t="n">
        <f aca="false">K250+K251+K252</f>
        <v>-19070.8333333333</v>
      </c>
      <c r="L253" s="70" t="n">
        <f aca="false">L250+L251+L252</f>
        <v>-19070.8333333333</v>
      </c>
      <c r="M253" s="70" t="n">
        <f aca="false">M250+M251+M252</f>
        <v>-19070.8333333333</v>
      </c>
      <c r="N253" s="70" t="n">
        <f aca="false">N250+N251+N252</f>
        <v>-19070.8333333333</v>
      </c>
      <c r="O253" s="70" t="n">
        <f aca="false">O250+O251+O252</f>
        <v>-19642.9583333333</v>
      </c>
      <c r="P253" s="70" t="n">
        <f aca="false">P250+P251+P252</f>
        <v>-19642.9583333333</v>
      </c>
      <c r="Q253" s="70" t="n">
        <f aca="false">Q250+Q251+Q252</f>
        <v>-19642.9583333333</v>
      </c>
      <c r="R253" s="70" t="n">
        <f aca="false">R250+R251+R252</f>
        <v>-19642.9583333333</v>
      </c>
      <c r="S253" s="70" t="n">
        <f aca="false">S250+S251+S252</f>
        <v>-19642.9583333333</v>
      </c>
      <c r="T253" s="70" t="n">
        <f aca="false">T250+T251+T252</f>
        <v>-19642.9583333333</v>
      </c>
      <c r="U253" s="70" t="n">
        <f aca="false">U250+U251+U252</f>
        <v>-19642.9583333333</v>
      </c>
      <c r="V253" s="70" t="n">
        <f aca="false">V250+V251+V252</f>
        <v>-19642.9583333333</v>
      </c>
      <c r="W253" s="70" t="n">
        <f aca="false">W250+W251+W252</f>
        <v>-19642.9583333333</v>
      </c>
      <c r="X253" s="70" t="n">
        <f aca="false">X250+X251+X252</f>
        <v>-19642.9583333333</v>
      </c>
      <c r="Y253" s="70" t="n">
        <f aca="false">Y250+Y251+Y252</f>
        <v>-19642.9583333333</v>
      </c>
      <c r="Z253" s="70" t="n">
        <f aca="false">Z250+Z251+Z252</f>
        <v>-19642.9583333333</v>
      </c>
      <c r="AA253" s="70" t="n">
        <f aca="false">AA250+AA251+AA252</f>
        <v>-20232.2470833333</v>
      </c>
      <c r="AB253" s="70" t="n">
        <f aca="false">AB250+AB251+AB252</f>
        <v>-20232.2470833333</v>
      </c>
      <c r="AC253" s="70" t="n">
        <f aca="false">AC250+AC251+AC252</f>
        <v>-20232.2470833333</v>
      </c>
      <c r="AD253" s="70" t="n">
        <f aca="false">AD250+AD251+AD252</f>
        <v>-20232.2470833333</v>
      </c>
      <c r="AE253" s="70" t="n">
        <f aca="false">AE250+AE251+AE252</f>
        <v>-20232.2470833333</v>
      </c>
      <c r="AF253" s="70" t="n">
        <f aca="false">AF250+AF251+AF252</f>
        <v>-20232.2470833333</v>
      </c>
      <c r="AG253" s="70" t="n">
        <f aca="false">AG250+AG251+AG252</f>
        <v>-20232.2470833333</v>
      </c>
      <c r="AH253" s="70" t="n">
        <f aca="false">AH250+AH251+AH252</f>
        <v>-20232.2470833333</v>
      </c>
      <c r="AI253" s="70" t="n">
        <f aca="false">AI250+AI251+AI252</f>
        <v>-20232.2470833333</v>
      </c>
      <c r="AJ253" s="70" t="n">
        <f aca="false">AJ250+AJ251+AJ252</f>
        <v>-20232.2470833333</v>
      </c>
      <c r="AK253" s="70" t="n">
        <f aca="false">AK250+AK251+AK252</f>
        <v>-20232.2470833333</v>
      </c>
      <c r="AL253" s="70" t="n">
        <f aca="false">AL250+AL251+AL252</f>
        <v>-20232.2470833333</v>
      </c>
      <c r="AM253" s="70" t="n">
        <f aca="false">AM250+AM251+AM252</f>
        <v>-20839.2144958333</v>
      </c>
      <c r="AN253" s="70" t="n">
        <f aca="false">AN250+AN251+AN252</f>
        <v>-20839.2144958333</v>
      </c>
      <c r="AO253" s="70" t="n">
        <f aca="false">AO250+AO251+AO252</f>
        <v>-20839.2144958333</v>
      </c>
      <c r="AP253" s="70" t="n">
        <f aca="false">AP250+AP251+AP252</f>
        <v>-20839.2144958333</v>
      </c>
      <c r="AQ253" s="70" t="n">
        <f aca="false">AQ250+AQ251+AQ252</f>
        <v>-20839.2144958333</v>
      </c>
      <c r="AR253" s="70" t="n">
        <f aca="false">AR250+AR251+AR252</f>
        <v>-20839.2144958333</v>
      </c>
      <c r="AS253" s="70" t="n">
        <f aca="false">AS250+AS251+AS252</f>
        <v>-20839.2144958333</v>
      </c>
      <c r="AT253" s="70" t="n">
        <f aca="false">AT250+AT251+AT252</f>
        <v>-20839.2144958333</v>
      </c>
      <c r="AU253" s="70" t="n">
        <f aca="false">AU250+AU251+AU252</f>
        <v>-20839.2144958333</v>
      </c>
      <c r="AV253" s="70" t="n">
        <f aca="false">AV250+AV251+AV252</f>
        <v>-20839.2144958333</v>
      </c>
      <c r="AW253" s="70" t="n">
        <f aca="false">AW250+AW251+AW252</f>
        <v>-20839.2144958333</v>
      </c>
      <c r="AX253" s="70" t="n">
        <f aca="false">AX250+AX251+AX252</f>
        <v>-20839.2144958333</v>
      </c>
      <c r="AY253" s="70" t="n">
        <f aca="false">AY250+AY251+AY252</f>
        <v>-21464.3909307083</v>
      </c>
      <c r="AZ253" s="70" t="n">
        <f aca="false">AZ250+AZ251+AZ252</f>
        <v>-21464.3909307083</v>
      </c>
      <c r="BA253" s="70" t="n">
        <f aca="false">BA250+BA251+BA252</f>
        <v>-21464.3909307083</v>
      </c>
      <c r="BB253" s="70" t="n">
        <f aca="false">BB250+BB251+BB252</f>
        <v>-21464.3909307083</v>
      </c>
      <c r="BC253" s="70" t="n">
        <f aca="false">BC250+BC251+BC252</f>
        <v>-21464.3909307083</v>
      </c>
      <c r="BD253" s="70" t="n">
        <f aca="false">BD250+BD251+BD252</f>
        <v>-21464.3909307083</v>
      </c>
      <c r="BE253" s="70" t="n">
        <f aca="false">BE250+BE251+BE252</f>
        <v>-21464.3909307083</v>
      </c>
      <c r="BF253" s="70" t="n">
        <f aca="false">BF250+BF251+BF252</f>
        <v>-21464.3909307083</v>
      </c>
      <c r="BG253" s="70" t="n">
        <f aca="false">BG250+BG251+BG252</f>
        <v>-21464.3909307083</v>
      </c>
      <c r="BH253" s="70" t="n">
        <f aca="false">BH250+BH251+BH252</f>
        <v>-21464.3909307083</v>
      </c>
      <c r="BI253" s="70" t="n">
        <f aca="false">BI250+BI251+BI252</f>
        <v>-21464.3909307083</v>
      </c>
      <c r="BJ253" s="70" t="n">
        <f aca="false">BJ250+BJ251+BJ252</f>
        <v>-21464.3909307083</v>
      </c>
    </row>
    <row r="256" customFormat="false" ht="15.75" hidden="false" customHeight="true" outlineLevel="0" collapsed="false">
      <c r="A256" s="7" t="s">
        <v>472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33" t="s">
        <v>351</v>
      </c>
      <c r="C257" s="52" t="s">
        <v>352</v>
      </c>
      <c r="D257" s="52" t="s">
        <v>353</v>
      </c>
      <c r="E257" s="52" t="s">
        <v>354</v>
      </c>
      <c r="F257" s="52" t="s">
        <v>355</v>
      </c>
      <c r="G257" s="52" t="s">
        <v>356</v>
      </c>
      <c r="H257" s="52" t="s">
        <v>357</v>
      </c>
      <c r="I257" s="52" t="s">
        <v>358</v>
      </c>
      <c r="J257" s="52" t="s">
        <v>359</v>
      </c>
      <c r="K257" s="52" t="s">
        <v>360</v>
      </c>
      <c r="L257" s="52" t="s">
        <v>361</v>
      </c>
      <c r="M257" s="52" t="s">
        <v>362</v>
      </c>
      <c r="N257" s="52" t="s">
        <v>363</v>
      </c>
      <c r="O257" s="52" t="s">
        <v>364</v>
      </c>
      <c r="P257" s="52" t="s">
        <v>365</v>
      </c>
      <c r="Q257" s="52" t="s">
        <v>366</v>
      </c>
      <c r="R257" s="52" t="s">
        <v>367</v>
      </c>
      <c r="S257" s="52" t="s">
        <v>368</v>
      </c>
      <c r="T257" s="52" t="s">
        <v>369</v>
      </c>
      <c r="U257" s="52" t="s">
        <v>370</v>
      </c>
      <c r="V257" s="52" t="s">
        <v>371</v>
      </c>
      <c r="W257" s="52" t="s">
        <v>372</v>
      </c>
      <c r="X257" s="52" t="s">
        <v>373</v>
      </c>
      <c r="Y257" s="52" t="s">
        <v>374</v>
      </c>
      <c r="Z257" s="52" t="s">
        <v>375</v>
      </c>
      <c r="AA257" s="52" t="s">
        <v>376</v>
      </c>
      <c r="AB257" s="52" t="s">
        <v>377</v>
      </c>
      <c r="AC257" s="52" t="s">
        <v>378</v>
      </c>
      <c r="AD257" s="52" t="s">
        <v>379</v>
      </c>
      <c r="AE257" s="52" t="s">
        <v>380</v>
      </c>
      <c r="AF257" s="52" t="s">
        <v>381</v>
      </c>
      <c r="AG257" s="52" t="s">
        <v>382</v>
      </c>
      <c r="AH257" s="52" t="s">
        <v>383</v>
      </c>
      <c r="AI257" s="52" t="s">
        <v>384</v>
      </c>
      <c r="AJ257" s="52" t="s">
        <v>385</v>
      </c>
      <c r="AK257" s="52" t="s">
        <v>386</v>
      </c>
      <c r="AL257" s="52" t="s">
        <v>387</v>
      </c>
      <c r="AM257" s="52" t="s">
        <v>388</v>
      </c>
      <c r="AN257" s="52" t="s">
        <v>389</v>
      </c>
      <c r="AO257" s="52" t="s">
        <v>390</v>
      </c>
      <c r="AP257" s="52" t="s">
        <v>391</v>
      </c>
      <c r="AQ257" s="52" t="s">
        <v>392</v>
      </c>
      <c r="AR257" s="52" t="s">
        <v>393</v>
      </c>
      <c r="AS257" s="52" t="s">
        <v>394</v>
      </c>
      <c r="AT257" s="52" t="s">
        <v>395</v>
      </c>
      <c r="AU257" s="52" t="s">
        <v>396</v>
      </c>
      <c r="AV257" s="52" t="s">
        <v>397</v>
      </c>
      <c r="AW257" s="52" t="s">
        <v>398</v>
      </c>
      <c r="AX257" s="52" t="s">
        <v>399</v>
      </c>
      <c r="AY257" s="52" t="s">
        <v>400</v>
      </c>
      <c r="AZ257" s="52" t="s">
        <v>401</v>
      </c>
      <c r="BA257" s="52" t="s">
        <v>402</v>
      </c>
      <c r="BB257" s="52" t="s">
        <v>403</v>
      </c>
      <c r="BC257" s="52" t="s">
        <v>404</v>
      </c>
      <c r="BD257" s="52" t="s">
        <v>405</v>
      </c>
      <c r="BE257" s="52" t="s">
        <v>406</v>
      </c>
      <c r="BF257" s="52" t="s">
        <v>407</v>
      </c>
      <c r="BG257" s="52" t="s">
        <v>408</v>
      </c>
      <c r="BH257" s="52" t="s">
        <v>409</v>
      </c>
      <c r="BI257" s="52" t="s">
        <v>410</v>
      </c>
      <c r="BJ257" s="52" t="s">
        <v>411</v>
      </c>
    </row>
    <row r="258" customFormat="false" ht="15" hidden="false" customHeight="false" outlineLevel="0" collapsed="false">
      <c r="A258" s="74" t="s">
        <v>412</v>
      </c>
      <c r="C258" s="74" t="n">
        <v>1</v>
      </c>
      <c r="D258" s="74" t="n">
        <v>2</v>
      </c>
      <c r="E258" s="74" t="n">
        <v>3</v>
      </c>
      <c r="F258" s="74" t="n">
        <v>4</v>
      </c>
      <c r="G258" s="74" t="n">
        <v>5</v>
      </c>
      <c r="H258" s="74" t="n">
        <v>6</v>
      </c>
      <c r="I258" s="74" t="n">
        <v>7</v>
      </c>
      <c r="J258" s="74" t="n">
        <v>8</v>
      </c>
      <c r="K258" s="74" t="n">
        <v>9</v>
      </c>
      <c r="L258" s="74" t="n">
        <v>10</v>
      </c>
      <c r="M258" s="74" t="n">
        <v>11</v>
      </c>
      <c r="N258" s="74" t="n">
        <v>12</v>
      </c>
      <c r="O258" s="74" t="n">
        <v>13</v>
      </c>
      <c r="P258" s="74" t="n">
        <v>14</v>
      </c>
      <c r="Q258" s="74" t="n">
        <v>15</v>
      </c>
      <c r="R258" s="74" t="n">
        <v>16</v>
      </c>
      <c r="S258" s="74" t="n">
        <v>17</v>
      </c>
      <c r="T258" s="74" t="n">
        <v>18</v>
      </c>
      <c r="U258" s="74" t="n">
        <v>19</v>
      </c>
      <c r="V258" s="74" t="n">
        <v>20</v>
      </c>
      <c r="W258" s="74" t="n">
        <v>21</v>
      </c>
      <c r="X258" s="74" t="n">
        <v>22</v>
      </c>
      <c r="Y258" s="74" t="n">
        <v>23</v>
      </c>
      <c r="Z258" s="74" t="n">
        <v>24</v>
      </c>
      <c r="AA258" s="74" t="n">
        <v>25</v>
      </c>
      <c r="AB258" s="74" t="n">
        <v>26</v>
      </c>
      <c r="AC258" s="74" t="n">
        <v>27</v>
      </c>
      <c r="AD258" s="74" t="n">
        <v>28</v>
      </c>
      <c r="AE258" s="74" t="n">
        <v>29</v>
      </c>
      <c r="AF258" s="74" t="n">
        <v>30</v>
      </c>
      <c r="AG258" s="74" t="n">
        <v>31</v>
      </c>
      <c r="AH258" s="74" t="n">
        <v>32</v>
      </c>
      <c r="AI258" s="74" t="n">
        <v>33</v>
      </c>
      <c r="AJ258" s="74" t="n">
        <v>34</v>
      </c>
      <c r="AK258" s="74" t="n">
        <v>35</v>
      </c>
      <c r="AL258" s="74" t="n">
        <v>36</v>
      </c>
      <c r="AM258" s="74" t="n">
        <v>37</v>
      </c>
      <c r="AN258" s="74" t="n">
        <v>38</v>
      </c>
      <c r="AO258" s="74" t="n">
        <v>39</v>
      </c>
      <c r="AP258" s="74" t="n">
        <v>40</v>
      </c>
      <c r="AQ258" s="74" t="n">
        <v>41</v>
      </c>
      <c r="AR258" s="74" t="n">
        <v>42</v>
      </c>
      <c r="AS258" s="74" t="n">
        <v>43</v>
      </c>
      <c r="AT258" s="74" t="n">
        <v>44</v>
      </c>
      <c r="AU258" s="74" t="n">
        <v>45</v>
      </c>
      <c r="AV258" s="74" t="n">
        <v>46</v>
      </c>
      <c r="AW258" s="74" t="n">
        <v>47</v>
      </c>
      <c r="AX258" s="74" t="n">
        <v>48</v>
      </c>
      <c r="AY258" s="74" t="n">
        <v>49</v>
      </c>
      <c r="AZ258" s="74" t="n">
        <v>50</v>
      </c>
      <c r="BA258" s="74" t="n">
        <v>51</v>
      </c>
      <c r="BB258" s="74" t="n">
        <v>52</v>
      </c>
      <c r="BC258" s="74" t="n">
        <v>53</v>
      </c>
      <c r="BD258" s="74" t="n">
        <v>54</v>
      </c>
      <c r="BE258" s="74" t="n">
        <v>55</v>
      </c>
      <c r="BF258" s="74" t="n">
        <v>56</v>
      </c>
      <c r="BG258" s="74" t="n">
        <v>57</v>
      </c>
      <c r="BH258" s="74" t="n">
        <v>58</v>
      </c>
      <c r="BI258" s="74" t="n">
        <v>59</v>
      </c>
      <c r="BJ258" s="74" t="n">
        <v>60</v>
      </c>
    </row>
    <row r="259" customFormat="false" ht="15" hidden="false" customHeight="false" outlineLevel="0" collapsed="false">
      <c r="A259" s="74" t="s">
        <v>154</v>
      </c>
      <c r="C259" s="74" t="n">
        <f aca="false">ROUNDUP(C258*1/12,0)</f>
        <v>1</v>
      </c>
      <c r="D259" s="74" t="n">
        <f aca="false">ROUNDUP(D258*1/12,0)</f>
        <v>1</v>
      </c>
      <c r="E259" s="74" t="n">
        <f aca="false">ROUNDUP(E258*1/12,0)</f>
        <v>1</v>
      </c>
      <c r="F259" s="74" t="n">
        <f aca="false">ROUNDUP(F258*1/12,0)</f>
        <v>1</v>
      </c>
      <c r="G259" s="74" t="n">
        <f aca="false">ROUNDUP(G258*1/12,0)</f>
        <v>1</v>
      </c>
      <c r="H259" s="74" t="n">
        <f aca="false">ROUNDUP(H258*1/12,0)</f>
        <v>1</v>
      </c>
      <c r="I259" s="74" t="n">
        <f aca="false">ROUNDUP(I258*1/12,0)</f>
        <v>1</v>
      </c>
      <c r="J259" s="74" t="n">
        <f aca="false">ROUNDUP(J258*1/12,0)</f>
        <v>1</v>
      </c>
      <c r="K259" s="74" t="n">
        <f aca="false">ROUNDUP(K258*1/12,0)</f>
        <v>1</v>
      </c>
      <c r="L259" s="74" t="n">
        <f aca="false">ROUNDUP(L258*1/12,0)</f>
        <v>1</v>
      </c>
      <c r="M259" s="74" t="n">
        <f aca="false">ROUNDUP(M258*1/12,0)</f>
        <v>1</v>
      </c>
      <c r="N259" s="74" t="n">
        <f aca="false">ROUNDUP(N258*1/12,0)</f>
        <v>1</v>
      </c>
      <c r="O259" s="74" t="n">
        <f aca="false">ROUNDUP(O258*1/12,0)</f>
        <v>2</v>
      </c>
      <c r="P259" s="74" t="n">
        <f aca="false">ROUNDUP(P258*1/12,0)</f>
        <v>2</v>
      </c>
      <c r="Q259" s="74" t="n">
        <f aca="false">ROUNDUP(Q258*1/12,0)</f>
        <v>2</v>
      </c>
      <c r="R259" s="74" t="n">
        <f aca="false">ROUNDUP(R258*1/12,0)</f>
        <v>2</v>
      </c>
      <c r="S259" s="74" t="n">
        <f aca="false">ROUNDUP(S258*1/12,0)</f>
        <v>2</v>
      </c>
      <c r="T259" s="74" t="n">
        <f aca="false">ROUNDUP(T258*1/12,0)</f>
        <v>2</v>
      </c>
      <c r="U259" s="74" t="n">
        <f aca="false">ROUNDUP(U258*1/12,0)</f>
        <v>2</v>
      </c>
      <c r="V259" s="74" t="n">
        <f aca="false">ROUNDUP(V258*1/12,0)</f>
        <v>2</v>
      </c>
      <c r="W259" s="74" t="n">
        <f aca="false">ROUNDUP(W258*1/12,0)</f>
        <v>2</v>
      </c>
      <c r="X259" s="74" t="n">
        <f aca="false">ROUNDUP(X258*1/12,0)</f>
        <v>2</v>
      </c>
      <c r="Y259" s="74" t="n">
        <f aca="false">ROUNDUP(Y258*1/12,0)</f>
        <v>2</v>
      </c>
      <c r="Z259" s="74" t="n">
        <f aca="false">ROUNDUP(Z258*1/12,0)</f>
        <v>2</v>
      </c>
      <c r="AA259" s="74" t="n">
        <f aca="false">ROUNDUP(AA258*1/12,0)</f>
        <v>3</v>
      </c>
      <c r="AB259" s="74" t="n">
        <f aca="false">ROUNDUP(AB258*1/12,0)</f>
        <v>3</v>
      </c>
      <c r="AC259" s="74" t="n">
        <f aca="false">ROUNDUP(AC258*1/12,0)</f>
        <v>3</v>
      </c>
      <c r="AD259" s="74" t="n">
        <f aca="false">ROUNDUP(AD258*1/12,0)</f>
        <v>3</v>
      </c>
      <c r="AE259" s="74" t="n">
        <f aca="false">ROUNDUP(AE258*1/12,0)</f>
        <v>3</v>
      </c>
      <c r="AF259" s="74" t="n">
        <f aca="false">ROUNDUP(AF258*1/12,0)</f>
        <v>3</v>
      </c>
      <c r="AG259" s="74" t="n">
        <f aca="false">ROUNDUP(AG258*1/12,0)</f>
        <v>3</v>
      </c>
      <c r="AH259" s="74" t="n">
        <f aca="false">ROUNDUP(AH258*1/12,0)</f>
        <v>3</v>
      </c>
      <c r="AI259" s="74" t="n">
        <f aca="false">ROUNDUP(AI258*1/12,0)</f>
        <v>3</v>
      </c>
      <c r="AJ259" s="74" t="n">
        <f aca="false">ROUNDUP(AJ258*1/12,0)</f>
        <v>3</v>
      </c>
      <c r="AK259" s="74" t="n">
        <f aca="false">ROUNDUP(AK258*1/12,0)</f>
        <v>3</v>
      </c>
      <c r="AL259" s="74" t="n">
        <f aca="false">ROUNDUP(AL258*1/12,0)</f>
        <v>3</v>
      </c>
      <c r="AM259" s="74" t="n">
        <f aca="false">ROUNDUP(AM258*1/12,0)</f>
        <v>4</v>
      </c>
      <c r="AN259" s="74" t="n">
        <f aca="false">ROUNDUP(AN258*1/12,0)</f>
        <v>4</v>
      </c>
      <c r="AO259" s="74" t="n">
        <f aca="false">ROUNDUP(AO258*1/12,0)</f>
        <v>4</v>
      </c>
      <c r="AP259" s="74" t="n">
        <f aca="false">ROUNDUP(AP258*1/12,0)</f>
        <v>4</v>
      </c>
      <c r="AQ259" s="74" t="n">
        <f aca="false">ROUNDUP(AQ258*1/12,0)</f>
        <v>4</v>
      </c>
      <c r="AR259" s="74" t="n">
        <f aca="false">ROUNDUP(AR258*1/12,0)</f>
        <v>4</v>
      </c>
      <c r="AS259" s="74" t="n">
        <f aca="false">ROUNDUP(AS258*1/12,0)</f>
        <v>4</v>
      </c>
      <c r="AT259" s="74" t="n">
        <f aca="false">ROUNDUP(AT258*1/12,0)</f>
        <v>4</v>
      </c>
      <c r="AU259" s="74" t="n">
        <f aca="false">ROUNDUP(AU258*1/12,0)</f>
        <v>4</v>
      </c>
      <c r="AV259" s="74" t="n">
        <f aca="false">ROUNDUP(AV258*1/12,0)</f>
        <v>4</v>
      </c>
      <c r="AW259" s="74" t="n">
        <f aca="false">ROUNDUP(AW258*1/12,0)</f>
        <v>4</v>
      </c>
      <c r="AX259" s="74" t="n">
        <f aca="false">ROUNDUP(AX258*1/12,0)</f>
        <v>4</v>
      </c>
      <c r="AY259" s="74" t="n">
        <f aca="false">ROUNDUP(AY258*1/12,0)</f>
        <v>5</v>
      </c>
      <c r="AZ259" s="74" t="n">
        <f aca="false">ROUNDUP(AZ258*1/12,0)</f>
        <v>5</v>
      </c>
      <c r="BA259" s="74" t="n">
        <f aca="false">ROUNDUP(BA258*1/12,0)</f>
        <v>5</v>
      </c>
      <c r="BB259" s="74" t="n">
        <f aca="false">ROUNDUP(BB258*1/12,0)</f>
        <v>5</v>
      </c>
      <c r="BC259" s="74" t="n">
        <f aca="false">ROUNDUP(BC258*1/12,0)</f>
        <v>5</v>
      </c>
      <c r="BD259" s="74" t="n">
        <f aca="false">ROUNDUP(BD258*1/12,0)</f>
        <v>5</v>
      </c>
      <c r="BE259" s="74" t="n">
        <f aca="false">ROUNDUP(BE258*1/12,0)</f>
        <v>5</v>
      </c>
      <c r="BF259" s="74" t="n">
        <f aca="false">ROUNDUP(BF258*1/12,0)</f>
        <v>5</v>
      </c>
      <c r="BG259" s="74" t="n">
        <f aca="false">ROUNDUP(BG258*1/12,0)</f>
        <v>5</v>
      </c>
      <c r="BH259" s="74" t="n">
        <f aca="false">ROUNDUP(BH258*1/12,0)</f>
        <v>5</v>
      </c>
      <c r="BI259" s="74" t="n">
        <f aca="false">ROUNDUP(BI258*1/12,0)</f>
        <v>5</v>
      </c>
      <c r="BJ259" s="74" t="n">
        <f aca="false">ROUNDUP(BJ258*1/12,0)</f>
        <v>5</v>
      </c>
    </row>
    <row r="261" customFormat="false" ht="15.75" hidden="false" customHeight="true" outlineLevel="0" collapsed="false">
      <c r="A261" s="7" t="s">
        <v>249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customFormat="false" ht="15" hidden="false" customHeight="false" outlineLevel="0" collapsed="false">
      <c r="A262" s="118" t="s">
        <v>413</v>
      </c>
      <c r="C262" s="119" t="n">
        <f aca="false">MAX(0,MIN(1,Inputs!$D$10-(C$258-1)*1))</f>
        <v>1</v>
      </c>
      <c r="D262" s="119" t="n">
        <f aca="false">MAX(0,MIN(1,Inputs!$D$10-(D$258-1)*1))</f>
        <v>1</v>
      </c>
      <c r="E262" s="119" t="n">
        <f aca="false">MAX(0,MIN(1,Inputs!$D$10-(E$258-1)*1))</f>
        <v>1</v>
      </c>
      <c r="F262" s="119" t="n">
        <f aca="false">MAX(0,MIN(1,Inputs!$D$10-(F$258-1)*1))</f>
        <v>1</v>
      </c>
      <c r="G262" s="119" t="n">
        <f aca="false">MAX(0,MIN(1,Inputs!$D$10-(G$258-1)*1))</f>
        <v>1</v>
      </c>
      <c r="H262" s="119" t="n">
        <f aca="false">MAX(0,MIN(1,Inputs!$D$10-(H$258-1)*1))</f>
        <v>1</v>
      </c>
      <c r="I262" s="119" t="n">
        <f aca="false">MAX(0,MIN(1,Inputs!$D$10-(I$258-1)*1))</f>
        <v>1</v>
      </c>
      <c r="J262" s="119" t="n">
        <f aca="false">MAX(0,MIN(1,Inputs!$D$10-(J$258-1)*1))</f>
        <v>1</v>
      </c>
      <c r="K262" s="119" t="n">
        <f aca="false">MAX(0,MIN(1,Inputs!$D$10-(K$258-1)*1))</f>
        <v>0</v>
      </c>
      <c r="L262" s="119" t="n">
        <f aca="false">MAX(0,MIN(1,Inputs!$D$10-(L$258-1)*1))</f>
        <v>0</v>
      </c>
      <c r="M262" s="119" t="n">
        <f aca="false">MAX(0,MIN(1,Inputs!$D$10-(M$258-1)*1))</f>
        <v>0</v>
      </c>
      <c r="N262" s="119" t="n">
        <f aca="false">MAX(0,MIN(1,Inputs!$D$10-(N$258-1)*1))</f>
        <v>0</v>
      </c>
      <c r="O262" s="119" t="n">
        <f aca="false">MAX(0,MIN(1,Inputs!$D$10-(O$258-1)*1))</f>
        <v>0</v>
      </c>
      <c r="P262" s="119" t="n">
        <f aca="false">MAX(0,MIN(1,Inputs!$D$10-(P$258-1)*1))</f>
        <v>0</v>
      </c>
      <c r="Q262" s="119" t="n">
        <f aca="false">MAX(0,MIN(1,Inputs!$D$10-(Q$258-1)*1))</f>
        <v>0</v>
      </c>
      <c r="R262" s="119" t="n">
        <f aca="false">MAX(0,MIN(1,Inputs!$D$10-(R$258-1)*1))</f>
        <v>0</v>
      </c>
      <c r="S262" s="119" t="n">
        <f aca="false">MAX(0,MIN(1,Inputs!$D$10-(S$258-1)*1))</f>
        <v>0</v>
      </c>
      <c r="T262" s="119" t="n">
        <f aca="false">MAX(0,MIN(1,Inputs!$D$10-(T$258-1)*1))</f>
        <v>0</v>
      </c>
      <c r="U262" s="119" t="n">
        <f aca="false">MAX(0,MIN(1,Inputs!$D$10-(U$258-1)*1))</f>
        <v>0</v>
      </c>
      <c r="V262" s="119" t="n">
        <f aca="false">MAX(0,MIN(1,Inputs!$D$10-(V$258-1)*1))</f>
        <v>0</v>
      </c>
      <c r="W262" s="119" t="n">
        <f aca="false">MAX(0,MIN(1,Inputs!$D$10-(W$258-1)*1))</f>
        <v>0</v>
      </c>
      <c r="X262" s="119" t="n">
        <f aca="false">MAX(0,MIN(1,Inputs!$D$10-(X$258-1)*1))</f>
        <v>0</v>
      </c>
      <c r="Y262" s="119" t="n">
        <f aca="false">MAX(0,MIN(1,Inputs!$D$10-(Y$258-1)*1))</f>
        <v>0</v>
      </c>
      <c r="Z262" s="119" t="n">
        <f aca="false">MAX(0,MIN(1,Inputs!$D$10-(Z$258-1)*1))</f>
        <v>0</v>
      </c>
      <c r="AA262" s="119" t="n">
        <f aca="false">MAX(0,MIN(1,Inputs!$D$10-(AA$258-1)*1))</f>
        <v>0</v>
      </c>
      <c r="AB262" s="119" t="n">
        <f aca="false">MAX(0,MIN(1,Inputs!$D$10-(AB$258-1)*1))</f>
        <v>0</v>
      </c>
      <c r="AC262" s="119" t="n">
        <f aca="false">MAX(0,MIN(1,Inputs!$D$10-(AC$258-1)*1))</f>
        <v>0</v>
      </c>
      <c r="AD262" s="119" t="n">
        <f aca="false">MAX(0,MIN(1,Inputs!$D$10-(AD$258-1)*1))</f>
        <v>0</v>
      </c>
      <c r="AE262" s="119" t="n">
        <f aca="false">MAX(0,MIN(1,Inputs!$D$10-(AE$258-1)*1))</f>
        <v>0</v>
      </c>
      <c r="AF262" s="119" t="n">
        <f aca="false">MAX(0,MIN(1,Inputs!$D$10-(AF$258-1)*1))</f>
        <v>0</v>
      </c>
      <c r="AG262" s="119" t="n">
        <f aca="false">MAX(0,MIN(1,Inputs!$D$10-(AG$258-1)*1))</f>
        <v>0</v>
      </c>
      <c r="AH262" s="119" t="n">
        <f aca="false">MAX(0,MIN(1,Inputs!$D$10-(AH$258-1)*1))</f>
        <v>0</v>
      </c>
      <c r="AI262" s="119" t="n">
        <f aca="false">MAX(0,MIN(1,Inputs!$D$10-(AI$258-1)*1))</f>
        <v>0</v>
      </c>
      <c r="AJ262" s="119" t="n">
        <f aca="false">MAX(0,MIN(1,Inputs!$D$10-(AJ$258-1)*1))</f>
        <v>0</v>
      </c>
      <c r="AK262" s="119" t="n">
        <f aca="false">MAX(0,MIN(1,Inputs!$D$10-(AK$258-1)*1))</f>
        <v>0</v>
      </c>
      <c r="AL262" s="119" t="n">
        <f aca="false">MAX(0,MIN(1,Inputs!$D$10-(AL$258-1)*1))</f>
        <v>0</v>
      </c>
      <c r="AM262" s="119" t="n">
        <f aca="false">MAX(0,MIN(1,Inputs!$D$10-(AM$258-1)*1))</f>
        <v>0</v>
      </c>
      <c r="AN262" s="119" t="n">
        <f aca="false">MAX(0,MIN(1,Inputs!$D$10-(AN$258-1)*1))</f>
        <v>0</v>
      </c>
      <c r="AO262" s="119" t="n">
        <f aca="false">MAX(0,MIN(1,Inputs!$D$10-(AO$258-1)*1))</f>
        <v>0</v>
      </c>
      <c r="AP262" s="119" t="n">
        <f aca="false">MAX(0,MIN(1,Inputs!$D$10-(AP$258-1)*1))</f>
        <v>0</v>
      </c>
      <c r="AQ262" s="119" t="n">
        <f aca="false">MAX(0,MIN(1,Inputs!$D$10-(AQ$258-1)*1))</f>
        <v>0</v>
      </c>
      <c r="AR262" s="119" t="n">
        <f aca="false">MAX(0,MIN(1,Inputs!$D$10-(AR$258-1)*1))</f>
        <v>0</v>
      </c>
      <c r="AS262" s="119" t="n">
        <f aca="false">MAX(0,MIN(1,Inputs!$D$10-(AS$258-1)*1))</f>
        <v>0</v>
      </c>
      <c r="AT262" s="119" t="n">
        <f aca="false">MAX(0,MIN(1,Inputs!$D$10-(AT$258-1)*1))</f>
        <v>0</v>
      </c>
      <c r="AU262" s="119" t="n">
        <f aca="false">MAX(0,MIN(1,Inputs!$D$10-(AU$258-1)*1))</f>
        <v>0</v>
      </c>
      <c r="AV262" s="119" t="n">
        <f aca="false">MAX(0,MIN(1,Inputs!$D$10-(AV$258-1)*1))</f>
        <v>0</v>
      </c>
      <c r="AW262" s="119" t="n">
        <f aca="false">MAX(0,MIN(1,Inputs!$D$10-(AW$258-1)*1))</f>
        <v>0</v>
      </c>
      <c r="AX262" s="119" t="n">
        <f aca="false">MAX(0,MIN(1,Inputs!$D$10-(AX$258-1)*1))</f>
        <v>0</v>
      </c>
      <c r="AY262" s="119" t="n">
        <f aca="false">MAX(0,MIN(1,Inputs!$D$10-(AY$258-1)*1))</f>
        <v>0</v>
      </c>
      <c r="AZ262" s="119" t="n">
        <f aca="false">MAX(0,MIN(1,Inputs!$D$10-(AZ$258-1)*1))</f>
        <v>0</v>
      </c>
      <c r="BA262" s="119" t="n">
        <f aca="false">MAX(0,MIN(1,Inputs!$D$10-(BA$258-1)*1))</f>
        <v>0</v>
      </c>
      <c r="BB262" s="119" t="n">
        <f aca="false">MAX(0,MIN(1,Inputs!$D$10-(BB$258-1)*1))</f>
        <v>0</v>
      </c>
      <c r="BC262" s="119" t="n">
        <f aca="false">MAX(0,MIN(1,Inputs!$D$10-(BC$258-1)*1))</f>
        <v>0</v>
      </c>
      <c r="BD262" s="119" t="n">
        <f aca="false">MAX(0,MIN(1,Inputs!$D$10-(BD$258-1)*1))</f>
        <v>0</v>
      </c>
      <c r="BE262" s="119" t="n">
        <f aca="false">MAX(0,MIN(1,Inputs!$D$10-(BE$258-1)*1))</f>
        <v>0</v>
      </c>
      <c r="BF262" s="119" t="n">
        <f aca="false">MAX(0,MIN(1,Inputs!$D$10-(BF$258-1)*1))</f>
        <v>0</v>
      </c>
      <c r="BG262" s="119" t="n">
        <f aca="false">MAX(0,MIN(1,Inputs!$D$10-(BG$258-1)*1))</f>
        <v>0</v>
      </c>
      <c r="BH262" s="119" t="n">
        <f aca="false">MAX(0,MIN(1,Inputs!$D$10-(BH$258-1)*1))</f>
        <v>0</v>
      </c>
      <c r="BI262" s="119" t="n">
        <f aca="false">MAX(0,MIN(1,Inputs!$D$10-(BI$258-1)*1))</f>
        <v>0</v>
      </c>
      <c r="BJ262" s="119" t="n">
        <f aca="false">MAX(0,MIN(1,Inputs!$D$10-(BJ$258-1)*1))</f>
        <v>0</v>
      </c>
    </row>
    <row r="263" customFormat="false" ht="15" hidden="false" customHeight="false" outlineLevel="0" collapsed="false">
      <c r="A263" s="38" t="s">
        <v>414</v>
      </c>
      <c r="C263" s="76" t="n">
        <f aca="false">IF(Inputs!$D$10&lt;=0,1,(C262*Inputs!$D$11+(1-Inputs!$D$11)/MAX(1,Inputs!$D$10)*(C262*(C$258-1)*1+C262*(C262-1)/2)+1-C262)/1)</f>
        <v>0.5</v>
      </c>
      <c r="D263" s="76" t="n">
        <f aca="false">IF(Inputs!$D$10&lt;=0,1,(D262*Inputs!$D$11+(1-Inputs!$D$11)/MAX(1,Inputs!$D$10)*(D262*(D$258-1)*1+D262*(D262-1)/2)+1-D262)/1)</f>
        <v>0.5625</v>
      </c>
      <c r="E263" s="76" t="n">
        <f aca="false">IF(Inputs!$D$10&lt;=0,1,(E262*Inputs!$D$11+(1-Inputs!$D$11)/MAX(1,Inputs!$D$10)*(E262*(E$258-1)*1+E262*(E262-1)/2)+1-E262)/1)</f>
        <v>0.625</v>
      </c>
      <c r="F263" s="76" t="n">
        <f aca="false">IF(Inputs!$D$10&lt;=0,1,(F262*Inputs!$D$11+(1-Inputs!$D$11)/MAX(1,Inputs!$D$10)*(F262*(F$258-1)*1+F262*(F262-1)/2)+1-F262)/1)</f>
        <v>0.6875</v>
      </c>
      <c r="G263" s="76" t="n">
        <f aca="false">IF(Inputs!$D$10&lt;=0,1,(G262*Inputs!$D$11+(1-Inputs!$D$11)/MAX(1,Inputs!$D$10)*(G262*(G$258-1)*1+G262*(G262-1)/2)+1-G262)/1)</f>
        <v>0.75</v>
      </c>
      <c r="H263" s="76" t="n">
        <f aca="false">IF(Inputs!$D$10&lt;=0,1,(H262*Inputs!$D$11+(1-Inputs!$D$11)/MAX(1,Inputs!$D$10)*(H262*(H$258-1)*1+H262*(H262-1)/2)+1-H262)/1)</f>
        <v>0.8125</v>
      </c>
      <c r="I263" s="76" t="n">
        <f aca="false">IF(Inputs!$D$10&lt;=0,1,(I262*Inputs!$D$11+(1-Inputs!$D$11)/MAX(1,Inputs!$D$10)*(I262*(I$258-1)*1+I262*(I262-1)/2)+1-I262)/1)</f>
        <v>0.875</v>
      </c>
      <c r="J263" s="76" t="n">
        <f aca="false">IF(Inputs!$D$10&lt;=0,1,(J262*Inputs!$D$11+(1-Inputs!$D$11)/MAX(1,Inputs!$D$10)*(J262*(J$258-1)*1+J262*(J262-1)/2)+1-J262)/1)</f>
        <v>0.9375</v>
      </c>
      <c r="K263" s="76" t="n">
        <f aca="false">IF(Inputs!$D$10&lt;=0,1,(K262*Inputs!$D$11+(1-Inputs!$D$11)/MAX(1,Inputs!$D$10)*(K262*(K$258-1)*1+K262*(K262-1)/2)+1-K262)/1)</f>
        <v>1</v>
      </c>
      <c r="L263" s="76" t="n">
        <f aca="false">IF(Inputs!$D$10&lt;=0,1,(L262*Inputs!$D$11+(1-Inputs!$D$11)/MAX(1,Inputs!$D$10)*(L262*(L$258-1)*1+L262*(L262-1)/2)+1-L262)/1)</f>
        <v>1</v>
      </c>
      <c r="M263" s="76" t="n">
        <f aca="false">IF(Inputs!$D$10&lt;=0,1,(M262*Inputs!$D$11+(1-Inputs!$D$11)/MAX(1,Inputs!$D$10)*(M262*(M$258-1)*1+M262*(M262-1)/2)+1-M262)/1)</f>
        <v>1</v>
      </c>
      <c r="N263" s="76" t="n">
        <f aca="false">IF(Inputs!$D$10&lt;=0,1,(N262*Inputs!$D$11+(1-Inputs!$D$11)/MAX(1,Inputs!$D$10)*(N262*(N$258-1)*1+N262*(N262-1)/2)+1-N262)/1)</f>
        <v>1</v>
      </c>
      <c r="O263" s="76" t="n">
        <f aca="false">IF(Inputs!$D$10&lt;=0,1,(O262*Inputs!$D$11+(1-Inputs!$D$11)/MAX(1,Inputs!$D$10)*(O262*(O$258-1)*1+O262*(O262-1)/2)+1-O262)/1)</f>
        <v>1</v>
      </c>
      <c r="P263" s="76" t="n">
        <f aca="false">IF(Inputs!$D$10&lt;=0,1,(P262*Inputs!$D$11+(1-Inputs!$D$11)/MAX(1,Inputs!$D$10)*(P262*(P$258-1)*1+P262*(P262-1)/2)+1-P262)/1)</f>
        <v>1</v>
      </c>
      <c r="Q263" s="76" t="n">
        <f aca="false">IF(Inputs!$D$10&lt;=0,1,(Q262*Inputs!$D$11+(1-Inputs!$D$11)/MAX(1,Inputs!$D$10)*(Q262*(Q$258-1)*1+Q262*(Q262-1)/2)+1-Q262)/1)</f>
        <v>1</v>
      </c>
      <c r="R263" s="76" t="n">
        <f aca="false">IF(Inputs!$D$10&lt;=0,1,(R262*Inputs!$D$11+(1-Inputs!$D$11)/MAX(1,Inputs!$D$10)*(R262*(R$258-1)*1+R262*(R262-1)/2)+1-R262)/1)</f>
        <v>1</v>
      </c>
      <c r="S263" s="76" t="n">
        <f aca="false">IF(Inputs!$D$10&lt;=0,1,(S262*Inputs!$D$11+(1-Inputs!$D$11)/MAX(1,Inputs!$D$10)*(S262*(S$258-1)*1+S262*(S262-1)/2)+1-S262)/1)</f>
        <v>1</v>
      </c>
      <c r="T263" s="76" t="n">
        <f aca="false">IF(Inputs!$D$10&lt;=0,1,(T262*Inputs!$D$11+(1-Inputs!$D$11)/MAX(1,Inputs!$D$10)*(T262*(T$258-1)*1+T262*(T262-1)/2)+1-T262)/1)</f>
        <v>1</v>
      </c>
      <c r="U263" s="76" t="n">
        <f aca="false">IF(Inputs!$D$10&lt;=0,1,(U262*Inputs!$D$11+(1-Inputs!$D$11)/MAX(1,Inputs!$D$10)*(U262*(U$258-1)*1+U262*(U262-1)/2)+1-U262)/1)</f>
        <v>1</v>
      </c>
      <c r="V263" s="76" t="n">
        <f aca="false">IF(Inputs!$D$10&lt;=0,1,(V262*Inputs!$D$11+(1-Inputs!$D$11)/MAX(1,Inputs!$D$10)*(V262*(V$258-1)*1+V262*(V262-1)/2)+1-V262)/1)</f>
        <v>1</v>
      </c>
      <c r="W263" s="76" t="n">
        <f aca="false">IF(Inputs!$D$10&lt;=0,1,(W262*Inputs!$D$11+(1-Inputs!$D$11)/MAX(1,Inputs!$D$10)*(W262*(W$258-1)*1+W262*(W262-1)/2)+1-W262)/1)</f>
        <v>1</v>
      </c>
      <c r="X263" s="76" t="n">
        <f aca="false">IF(Inputs!$D$10&lt;=0,1,(X262*Inputs!$D$11+(1-Inputs!$D$11)/MAX(1,Inputs!$D$10)*(X262*(X$258-1)*1+X262*(X262-1)/2)+1-X262)/1)</f>
        <v>1</v>
      </c>
      <c r="Y263" s="76" t="n">
        <f aca="false">IF(Inputs!$D$10&lt;=0,1,(Y262*Inputs!$D$11+(1-Inputs!$D$11)/MAX(1,Inputs!$D$10)*(Y262*(Y$258-1)*1+Y262*(Y262-1)/2)+1-Y262)/1)</f>
        <v>1</v>
      </c>
      <c r="Z263" s="76" t="n">
        <f aca="false">IF(Inputs!$D$10&lt;=0,1,(Z262*Inputs!$D$11+(1-Inputs!$D$11)/MAX(1,Inputs!$D$10)*(Z262*(Z$258-1)*1+Z262*(Z262-1)/2)+1-Z262)/1)</f>
        <v>1</v>
      </c>
      <c r="AA263" s="76" t="n">
        <f aca="false">IF(Inputs!$D$10&lt;=0,1,(AA262*Inputs!$D$11+(1-Inputs!$D$11)/MAX(1,Inputs!$D$10)*(AA262*(AA$258-1)*1+AA262*(AA262-1)/2)+1-AA262)/1)</f>
        <v>1</v>
      </c>
      <c r="AB263" s="76" t="n">
        <f aca="false">IF(Inputs!$D$10&lt;=0,1,(AB262*Inputs!$D$11+(1-Inputs!$D$11)/MAX(1,Inputs!$D$10)*(AB262*(AB$258-1)*1+AB262*(AB262-1)/2)+1-AB262)/1)</f>
        <v>1</v>
      </c>
      <c r="AC263" s="76" t="n">
        <f aca="false">IF(Inputs!$D$10&lt;=0,1,(AC262*Inputs!$D$11+(1-Inputs!$D$11)/MAX(1,Inputs!$D$10)*(AC262*(AC$258-1)*1+AC262*(AC262-1)/2)+1-AC262)/1)</f>
        <v>1</v>
      </c>
      <c r="AD263" s="76" t="n">
        <f aca="false">IF(Inputs!$D$10&lt;=0,1,(AD262*Inputs!$D$11+(1-Inputs!$D$11)/MAX(1,Inputs!$D$10)*(AD262*(AD$258-1)*1+AD262*(AD262-1)/2)+1-AD262)/1)</f>
        <v>1</v>
      </c>
      <c r="AE263" s="76" t="n">
        <f aca="false">IF(Inputs!$D$10&lt;=0,1,(AE262*Inputs!$D$11+(1-Inputs!$D$11)/MAX(1,Inputs!$D$10)*(AE262*(AE$258-1)*1+AE262*(AE262-1)/2)+1-AE262)/1)</f>
        <v>1</v>
      </c>
      <c r="AF263" s="76" t="n">
        <f aca="false">IF(Inputs!$D$10&lt;=0,1,(AF262*Inputs!$D$11+(1-Inputs!$D$11)/MAX(1,Inputs!$D$10)*(AF262*(AF$258-1)*1+AF262*(AF262-1)/2)+1-AF262)/1)</f>
        <v>1</v>
      </c>
      <c r="AG263" s="76" t="n">
        <f aca="false">IF(Inputs!$D$10&lt;=0,1,(AG262*Inputs!$D$11+(1-Inputs!$D$11)/MAX(1,Inputs!$D$10)*(AG262*(AG$258-1)*1+AG262*(AG262-1)/2)+1-AG262)/1)</f>
        <v>1</v>
      </c>
      <c r="AH263" s="76" t="n">
        <f aca="false">IF(Inputs!$D$10&lt;=0,1,(AH262*Inputs!$D$11+(1-Inputs!$D$11)/MAX(1,Inputs!$D$10)*(AH262*(AH$258-1)*1+AH262*(AH262-1)/2)+1-AH262)/1)</f>
        <v>1</v>
      </c>
      <c r="AI263" s="76" t="n">
        <f aca="false">IF(Inputs!$D$10&lt;=0,1,(AI262*Inputs!$D$11+(1-Inputs!$D$11)/MAX(1,Inputs!$D$10)*(AI262*(AI$258-1)*1+AI262*(AI262-1)/2)+1-AI262)/1)</f>
        <v>1</v>
      </c>
      <c r="AJ263" s="76" t="n">
        <f aca="false">IF(Inputs!$D$10&lt;=0,1,(AJ262*Inputs!$D$11+(1-Inputs!$D$11)/MAX(1,Inputs!$D$10)*(AJ262*(AJ$258-1)*1+AJ262*(AJ262-1)/2)+1-AJ262)/1)</f>
        <v>1</v>
      </c>
      <c r="AK263" s="76" t="n">
        <f aca="false">IF(Inputs!$D$10&lt;=0,1,(AK262*Inputs!$D$11+(1-Inputs!$D$11)/MAX(1,Inputs!$D$10)*(AK262*(AK$258-1)*1+AK262*(AK262-1)/2)+1-AK262)/1)</f>
        <v>1</v>
      </c>
      <c r="AL263" s="76" t="n">
        <f aca="false">IF(Inputs!$D$10&lt;=0,1,(AL262*Inputs!$D$11+(1-Inputs!$D$11)/MAX(1,Inputs!$D$10)*(AL262*(AL$258-1)*1+AL262*(AL262-1)/2)+1-AL262)/1)</f>
        <v>1</v>
      </c>
      <c r="AM263" s="76" t="n">
        <f aca="false">IF(Inputs!$D$10&lt;=0,1,(AM262*Inputs!$D$11+(1-Inputs!$D$11)/MAX(1,Inputs!$D$10)*(AM262*(AM$258-1)*1+AM262*(AM262-1)/2)+1-AM262)/1)</f>
        <v>1</v>
      </c>
      <c r="AN263" s="76" t="n">
        <f aca="false">IF(Inputs!$D$10&lt;=0,1,(AN262*Inputs!$D$11+(1-Inputs!$D$11)/MAX(1,Inputs!$D$10)*(AN262*(AN$258-1)*1+AN262*(AN262-1)/2)+1-AN262)/1)</f>
        <v>1</v>
      </c>
      <c r="AO263" s="76" t="n">
        <f aca="false">IF(Inputs!$D$10&lt;=0,1,(AO262*Inputs!$D$11+(1-Inputs!$D$11)/MAX(1,Inputs!$D$10)*(AO262*(AO$258-1)*1+AO262*(AO262-1)/2)+1-AO262)/1)</f>
        <v>1</v>
      </c>
      <c r="AP263" s="76" t="n">
        <f aca="false">IF(Inputs!$D$10&lt;=0,1,(AP262*Inputs!$D$11+(1-Inputs!$D$11)/MAX(1,Inputs!$D$10)*(AP262*(AP$258-1)*1+AP262*(AP262-1)/2)+1-AP262)/1)</f>
        <v>1</v>
      </c>
      <c r="AQ263" s="76" t="n">
        <f aca="false">IF(Inputs!$D$10&lt;=0,1,(AQ262*Inputs!$D$11+(1-Inputs!$D$11)/MAX(1,Inputs!$D$10)*(AQ262*(AQ$258-1)*1+AQ262*(AQ262-1)/2)+1-AQ262)/1)</f>
        <v>1</v>
      </c>
      <c r="AR263" s="76" t="n">
        <f aca="false">IF(Inputs!$D$10&lt;=0,1,(AR262*Inputs!$D$11+(1-Inputs!$D$11)/MAX(1,Inputs!$D$10)*(AR262*(AR$258-1)*1+AR262*(AR262-1)/2)+1-AR262)/1)</f>
        <v>1</v>
      </c>
      <c r="AS263" s="76" t="n">
        <f aca="false">IF(Inputs!$D$10&lt;=0,1,(AS262*Inputs!$D$11+(1-Inputs!$D$11)/MAX(1,Inputs!$D$10)*(AS262*(AS$258-1)*1+AS262*(AS262-1)/2)+1-AS262)/1)</f>
        <v>1</v>
      </c>
      <c r="AT263" s="76" t="n">
        <f aca="false">IF(Inputs!$D$10&lt;=0,1,(AT262*Inputs!$D$11+(1-Inputs!$D$11)/MAX(1,Inputs!$D$10)*(AT262*(AT$258-1)*1+AT262*(AT262-1)/2)+1-AT262)/1)</f>
        <v>1</v>
      </c>
      <c r="AU263" s="76" t="n">
        <f aca="false">IF(Inputs!$D$10&lt;=0,1,(AU262*Inputs!$D$11+(1-Inputs!$D$11)/MAX(1,Inputs!$D$10)*(AU262*(AU$258-1)*1+AU262*(AU262-1)/2)+1-AU262)/1)</f>
        <v>1</v>
      </c>
      <c r="AV263" s="76" t="n">
        <f aca="false">IF(Inputs!$D$10&lt;=0,1,(AV262*Inputs!$D$11+(1-Inputs!$D$11)/MAX(1,Inputs!$D$10)*(AV262*(AV$258-1)*1+AV262*(AV262-1)/2)+1-AV262)/1)</f>
        <v>1</v>
      </c>
      <c r="AW263" s="76" t="n">
        <f aca="false">IF(Inputs!$D$10&lt;=0,1,(AW262*Inputs!$D$11+(1-Inputs!$D$11)/MAX(1,Inputs!$D$10)*(AW262*(AW$258-1)*1+AW262*(AW262-1)/2)+1-AW262)/1)</f>
        <v>1</v>
      </c>
      <c r="AX263" s="76" t="n">
        <f aca="false">IF(Inputs!$D$10&lt;=0,1,(AX262*Inputs!$D$11+(1-Inputs!$D$11)/MAX(1,Inputs!$D$10)*(AX262*(AX$258-1)*1+AX262*(AX262-1)/2)+1-AX262)/1)</f>
        <v>1</v>
      </c>
      <c r="AY263" s="76" t="n">
        <f aca="false">IF(Inputs!$D$10&lt;=0,1,(AY262*Inputs!$D$11+(1-Inputs!$D$11)/MAX(1,Inputs!$D$10)*(AY262*(AY$258-1)*1+AY262*(AY262-1)/2)+1-AY262)/1)</f>
        <v>1</v>
      </c>
      <c r="AZ263" s="76" t="n">
        <f aca="false">IF(Inputs!$D$10&lt;=0,1,(AZ262*Inputs!$D$11+(1-Inputs!$D$11)/MAX(1,Inputs!$D$10)*(AZ262*(AZ$258-1)*1+AZ262*(AZ262-1)/2)+1-AZ262)/1)</f>
        <v>1</v>
      </c>
      <c r="BA263" s="76" t="n">
        <f aca="false">IF(Inputs!$D$10&lt;=0,1,(BA262*Inputs!$D$11+(1-Inputs!$D$11)/MAX(1,Inputs!$D$10)*(BA262*(BA$258-1)*1+BA262*(BA262-1)/2)+1-BA262)/1)</f>
        <v>1</v>
      </c>
      <c r="BB263" s="76" t="n">
        <f aca="false">IF(Inputs!$D$10&lt;=0,1,(BB262*Inputs!$D$11+(1-Inputs!$D$11)/MAX(1,Inputs!$D$10)*(BB262*(BB$258-1)*1+BB262*(BB262-1)/2)+1-BB262)/1)</f>
        <v>1</v>
      </c>
      <c r="BC263" s="76" t="n">
        <f aca="false">IF(Inputs!$D$10&lt;=0,1,(BC262*Inputs!$D$11+(1-Inputs!$D$11)/MAX(1,Inputs!$D$10)*(BC262*(BC$258-1)*1+BC262*(BC262-1)/2)+1-BC262)/1)</f>
        <v>1</v>
      </c>
      <c r="BD263" s="76" t="n">
        <f aca="false">IF(Inputs!$D$10&lt;=0,1,(BD262*Inputs!$D$11+(1-Inputs!$D$11)/MAX(1,Inputs!$D$10)*(BD262*(BD$258-1)*1+BD262*(BD262-1)/2)+1-BD262)/1)</f>
        <v>1</v>
      </c>
      <c r="BE263" s="76" t="n">
        <f aca="false">IF(Inputs!$D$10&lt;=0,1,(BE262*Inputs!$D$11+(1-Inputs!$D$11)/MAX(1,Inputs!$D$10)*(BE262*(BE$258-1)*1+BE262*(BE262-1)/2)+1-BE262)/1)</f>
        <v>1</v>
      </c>
      <c r="BF263" s="76" t="n">
        <f aca="false">IF(Inputs!$D$10&lt;=0,1,(BF262*Inputs!$D$11+(1-Inputs!$D$11)/MAX(1,Inputs!$D$10)*(BF262*(BF$258-1)*1+BF262*(BF262-1)/2)+1-BF262)/1)</f>
        <v>1</v>
      </c>
      <c r="BG263" s="76" t="n">
        <f aca="false">IF(Inputs!$D$10&lt;=0,1,(BG262*Inputs!$D$11+(1-Inputs!$D$11)/MAX(1,Inputs!$D$10)*(BG262*(BG$258-1)*1+BG262*(BG262-1)/2)+1-BG262)/1)</f>
        <v>1</v>
      </c>
      <c r="BH263" s="76" t="n">
        <f aca="false">IF(Inputs!$D$10&lt;=0,1,(BH262*Inputs!$D$11+(1-Inputs!$D$11)/MAX(1,Inputs!$D$10)*(BH262*(BH$258-1)*1+BH262*(BH262-1)/2)+1-BH262)/1)</f>
        <v>1</v>
      </c>
      <c r="BI263" s="76" t="n">
        <f aca="false">IF(Inputs!$D$10&lt;=0,1,(BI262*Inputs!$D$11+(1-Inputs!$D$11)/MAX(1,Inputs!$D$10)*(BI262*(BI$258-1)*1+BI262*(BI262-1)/2)+1-BI262)/1)</f>
        <v>1</v>
      </c>
      <c r="BJ263" s="76" t="n">
        <f aca="false">IF(Inputs!$D$10&lt;=0,1,(BJ262*Inputs!$D$11+(1-Inputs!$D$11)/MAX(1,Inputs!$D$10)*(BJ262*(BJ$258-1)*1+BJ262*(BJ262-1)/2)+1-BJ262)/1)</f>
        <v>1</v>
      </c>
    </row>
    <row r="264" customFormat="false" ht="15" hidden="false" customHeight="false" outlineLevel="0" collapsed="false">
      <c r="A264" s="6" t="s">
        <v>415</v>
      </c>
      <c r="C264" s="120" t="n">
        <f aca="false">Inputs!$D$7*(1+Inputs!$D$8)^(C$259-1)*Inputs!$D$9*1*C263</f>
        <v>247</v>
      </c>
      <c r="D264" s="120" t="n">
        <f aca="false">Inputs!$D$7*(1+Inputs!$D$8)^(D$259-1)*Inputs!$D$9*1*D263</f>
        <v>277.875</v>
      </c>
      <c r="E264" s="120" t="n">
        <f aca="false">Inputs!$D$7*(1+Inputs!$D$8)^(E$259-1)*Inputs!$D$9*1*E263</f>
        <v>308.75</v>
      </c>
      <c r="F264" s="120" t="n">
        <f aca="false">Inputs!$D$7*(1+Inputs!$D$8)^(F$259-1)*Inputs!$D$9*1*F263</f>
        <v>339.625</v>
      </c>
      <c r="G264" s="120" t="n">
        <f aca="false">Inputs!$D$7*(1+Inputs!$D$8)^(G$259-1)*Inputs!$D$9*1*G263</f>
        <v>370.5</v>
      </c>
      <c r="H264" s="120" t="n">
        <f aca="false">Inputs!$D$7*(1+Inputs!$D$8)^(H$259-1)*Inputs!$D$9*1*H263</f>
        <v>401.375</v>
      </c>
      <c r="I264" s="120" t="n">
        <f aca="false">Inputs!$D$7*(1+Inputs!$D$8)^(I$259-1)*Inputs!$D$9*1*I263</f>
        <v>432.25</v>
      </c>
      <c r="J264" s="120" t="n">
        <f aca="false">Inputs!$D$7*(1+Inputs!$D$8)^(J$259-1)*Inputs!$D$9*1*J263</f>
        <v>463.125</v>
      </c>
      <c r="K264" s="120" t="n">
        <f aca="false">Inputs!$D$7*(1+Inputs!$D$8)^(K$259-1)*Inputs!$D$9*1*K263</f>
        <v>494</v>
      </c>
      <c r="L264" s="120" t="n">
        <f aca="false">Inputs!$D$7*(1+Inputs!$D$8)^(L$259-1)*Inputs!$D$9*1*L263</f>
        <v>494</v>
      </c>
      <c r="M264" s="120" t="n">
        <f aca="false">Inputs!$D$7*(1+Inputs!$D$8)^(M$259-1)*Inputs!$D$9*1*M263</f>
        <v>494</v>
      </c>
      <c r="N264" s="120" t="n">
        <f aca="false">Inputs!$D$7*(1+Inputs!$D$8)^(N$259-1)*Inputs!$D$9*1*N263</f>
        <v>494</v>
      </c>
      <c r="O264" s="120" t="n">
        <f aca="false">Inputs!$D$7*(1+Inputs!$D$8)^(O$259-1)*Inputs!$D$9*1*O263</f>
        <v>523.64</v>
      </c>
      <c r="P264" s="120" t="n">
        <f aca="false">Inputs!$D$7*(1+Inputs!$D$8)^(P$259-1)*Inputs!$D$9*1*P263</f>
        <v>523.64</v>
      </c>
      <c r="Q264" s="120" t="n">
        <f aca="false">Inputs!$D$7*(1+Inputs!$D$8)^(Q$259-1)*Inputs!$D$9*1*Q263</f>
        <v>523.64</v>
      </c>
      <c r="R264" s="120" t="n">
        <f aca="false">Inputs!$D$7*(1+Inputs!$D$8)^(R$259-1)*Inputs!$D$9*1*R263</f>
        <v>523.64</v>
      </c>
      <c r="S264" s="120" t="n">
        <f aca="false">Inputs!$D$7*(1+Inputs!$D$8)^(S$259-1)*Inputs!$D$9*1*S263</f>
        <v>523.64</v>
      </c>
      <c r="T264" s="120" t="n">
        <f aca="false">Inputs!$D$7*(1+Inputs!$D$8)^(T$259-1)*Inputs!$D$9*1*T263</f>
        <v>523.64</v>
      </c>
      <c r="U264" s="120" t="n">
        <f aca="false">Inputs!$D$7*(1+Inputs!$D$8)^(U$259-1)*Inputs!$D$9*1*U263</f>
        <v>523.64</v>
      </c>
      <c r="V264" s="120" t="n">
        <f aca="false">Inputs!$D$7*(1+Inputs!$D$8)^(V$259-1)*Inputs!$D$9*1*V263</f>
        <v>523.64</v>
      </c>
      <c r="W264" s="120" t="n">
        <f aca="false">Inputs!$D$7*(1+Inputs!$D$8)^(W$259-1)*Inputs!$D$9*1*W263</f>
        <v>523.64</v>
      </c>
      <c r="X264" s="120" t="n">
        <f aca="false">Inputs!$D$7*(1+Inputs!$D$8)^(X$259-1)*Inputs!$D$9*1*X263</f>
        <v>523.64</v>
      </c>
      <c r="Y264" s="120" t="n">
        <f aca="false">Inputs!$D$7*(1+Inputs!$D$8)^(Y$259-1)*Inputs!$D$9*1*Y263</f>
        <v>523.64</v>
      </c>
      <c r="Z264" s="120" t="n">
        <f aca="false">Inputs!$D$7*(1+Inputs!$D$8)^(Z$259-1)*Inputs!$D$9*1*Z263</f>
        <v>523.64</v>
      </c>
      <c r="AA264" s="120" t="n">
        <f aca="false">Inputs!$D$7*(1+Inputs!$D$8)^(AA$259-1)*Inputs!$D$9*1*AA263</f>
        <v>555.0584</v>
      </c>
      <c r="AB264" s="120" t="n">
        <f aca="false">Inputs!$D$7*(1+Inputs!$D$8)^(AB$259-1)*Inputs!$D$9*1*AB263</f>
        <v>555.0584</v>
      </c>
      <c r="AC264" s="120" t="n">
        <f aca="false">Inputs!$D$7*(1+Inputs!$D$8)^(AC$259-1)*Inputs!$D$9*1*AC263</f>
        <v>555.0584</v>
      </c>
      <c r="AD264" s="120" t="n">
        <f aca="false">Inputs!$D$7*(1+Inputs!$D$8)^(AD$259-1)*Inputs!$D$9*1*AD263</f>
        <v>555.0584</v>
      </c>
      <c r="AE264" s="120" t="n">
        <f aca="false">Inputs!$D$7*(1+Inputs!$D$8)^(AE$259-1)*Inputs!$D$9*1*AE263</f>
        <v>555.0584</v>
      </c>
      <c r="AF264" s="120" t="n">
        <f aca="false">Inputs!$D$7*(1+Inputs!$D$8)^(AF$259-1)*Inputs!$D$9*1*AF263</f>
        <v>555.0584</v>
      </c>
      <c r="AG264" s="120" t="n">
        <f aca="false">Inputs!$D$7*(1+Inputs!$D$8)^(AG$259-1)*Inputs!$D$9*1*AG263</f>
        <v>555.0584</v>
      </c>
      <c r="AH264" s="120" t="n">
        <f aca="false">Inputs!$D$7*(1+Inputs!$D$8)^(AH$259-1)*Inputs!$D$9*1*AH263</f>
        <v>555.0584</v>
      </c>
      <c r="AI264" s="120" t="n">
        <f aca="false">Inputs!$D$7*(1+Inputs!$D$8)^(AI$259-1)*Inputs!$D$9*1*AI263</f>
        <v>555.0584</v>
      </c>
      <c r="AJ264" s="120" t="n">
        <f aca="false">Inputs!$D$7*(1+Inputs!$D$8)^(AJ$259-1)*Inputs!$D$9*1*AJ263</f>
        <v>555.0584</v>
      </c>
      <c r="AK264" s="120" t="n">
        <f aca="false">Inputs!$D$7*(1+Inputs!$D$8)^(AK$259-1)*Inputs!$D$9*1*AK263</f>
        <v>555.0584</v>
      </c>
      <c r="AL264" s="120" t="n">
        <f aca="false">Inputs!$D$7*(1+Inputs!$D$8)^(AL$259-1)*Inputs!$D$9*1*AL263</f>
        <v>555.0584</v>
      </c>
      <c r="AM264" s="120" t="n">
        <f aca="false">Inputs!$D$7*(1+Inputs!$D$8)^(AM$259-1)*Inputs!$D$9*1*AM263</f>
        <v>588.361904</v>
      </c>
      <c r="AN264" s="120" t="n">
        <f aca="false">Inputs!$D$7*(1+Inputs!$D$8)^(AN$259-1)*Inputs!$D$9*1*AN263</f>
        <v>588.361904</v>
      </c>
      <c r="AO264" s="120" t="n">
        <f aca="false">Inputs!$D$7*(1+Inputs!$D$8)^(AO$259-1)*Inputs!$D$9*1*AO263</f>
        <v>588.361904</v>
      </c>
      <c r="AP264" s="120" t="n">
        <f aca="false">Inputs!$D$7*(1+Inputs!$D$8)^(AP$259-1)*Inputs!$D$9*1*AP263</f>
        <v>588.361904</v>
      </c>
      <c r="AQ264" s="120" t="n">
        <f aca="false">Inputs!$D$7*(1+Inputs!$D$8)^(AQ$259-1)*Inputs!$D$9*1*AQ263</f>
        <v>588.361904</v>
      </c>
      <c r="AR264" s="120" t="n">
        <f aca="false">Inputs!$D$7*(1+Inputs!$D$8)^(AR$259-1)*Inputs!$D$9*1*AR263</f>
        <v>588.361904</v>
      </c>
      <c r="AS264" s="120" t="n">
        <f aca="false">Inputs!$D$7*(1+Inputs!$D$8)^(AS$259-1)*Inputs!$D$9*1*AS263</f>
        <v>588.361904</v>
      </c>
      <c r="AT264" s="120" t="n">
        <f aca="false">Inputs!$D$7*(1+Inputs!$D$8)^(AT$259-1)*Inputs!$D$9*1*AT263</f>
        <v>588.361904</v>
      </c>
      <c r="AU264" s="120" t="n">
        <f aca="false">Inputs!$D$7*(1+Inputs!$D$8)^(AU$259-1)*Inputs!$D$9*1*AU263</f>
        <v>588.361904</v>
      </c>
      <c r="AV264" s="120" t="n">
        <f aca="false">Inputs!$D$7*(1+Inputs!$D$8)^(AV$259-1)*Inputs!$D$9*1*AV263</f>
        <v>588.361904</v>
      </c>
      <c r="AW264" s="120" t="n">
        <f aca="false">Inputs!$D$7*(1+Inputs!$D$8)^(AW$259-1)*Inputs!$D$9*1*AW263</f>
        <v>588.361904</v>
      </c>
      <c r="AX264" s="120" t="n">
        <f aca="false">Inputs!$D$7*(1+Inputs!$D$8)^(AX$259-1)*Inputs!$D$9*1*AX263</f>
        <v>588.361904</v>
      </c>
      <c r="AY264" s="120" t="n">
        <f aca="false">Inputs!$D$7*(1+Inputs!$D$8)^(AY$259-1)*Inputs!$D$9*1*AY263</f>
        <v>623.66361824</v>
      </c>
      <c r="AZ264" s="120" t="n">
        <f aca="false">Inputs!$D$7*(1+Inputs!$D$8)^(AZ$259-1)*Inputs!$D$9*1*AZ263</f>
        <v>623.66361824</v>
      </c>
      <c r="BA264" s="120" t="n">
        <f aca="false">Inputs!$D$7*(1+Inputs!$D$8)^(BA$259-1)*Inputs!$D$9*1*BA263</f>
        <v>623.66361824</v>
      </c>
      <c r="BB264" s="120" t="n">
        <f aca="false">Inputs!$D$7*(1+Inputs!$D$8)^(BB$259-1)*Inputs!$D$9*1*BB263</f>
        <v>623.66361824</v>
      </c>
      <c r="BC264" s="120" t="n">
        <f aca="false">Inputs!$D$7*(1+Inputs!$D$8)^(BC$259-1)*Inputs!$D$9*1*BC263</f>
        <v>623.66361824</v>
      </c>
      <c r="BD264" s="120" t="n">
        <f aca="false">Inputs!$D$7*(1+Inputs!$D$8)^(BD$259-1)*Inputs!$D$9*1*BD263</f>
        <v>623.66361824</v>
      </c>
      <c r="BE264" s="120" t="n">
        <f aca="false">Inputs!$D$7*(1+Inputs!$D$8)^(BE$259-1)*Inputs!$D$9*1*BE263</f>
        <v>623.66361824</v>
      </c>
      <c r="BF264" s="120" t="n">
        <f aca="false">Inputs!$D$7*(1+Inputs!$D$8)^(BF$259-1)*Inputs!$D$9*1*BF263</f>
        <v>623.66361824</v>
      </c>
      <c r="BG264" s="120" t="n">
        <f aca="false">Inputs!$D$7*(1+Inputs!$D$8)^(BG$259-1)*Inputs!$D$9*1*BG263</f>
        <v>623.66361824</v>
      </c>
      <c r="BH264" s="120" t="n">
        <f aca="false">Inputs!$D$7*(1+Inputs!$D$8)^(BH$259-1)*Inputs!$D$9*1*BH263</f>
        <v>623.66361824</v>
      </c>
      <c r="BI264" s="120" t="n">
        <f aca="false">Inputs!$D$7*(1+Inputs!$D$8)^(BI$259-1)*Inputs!$D$9*1*BI263</f>
        <v>623.66361824</v>
      </c>
      <c r="BJ264" s="120" t="n">
        <f aca="false">Inputs!$D$7*(1+Inputs!$D$8)^(BJ$259-1)*Inputs!$D$9*1*BJ263</f>
        <v>623.66361824</v>
      </c>
    </row>
    <row r="266" customFormat="false" ht="15.75" hidden="false" customHeight="true" outlineLevel="0" collapsed="false">
      <c r="A266" s="7" t="s">
        <v>261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customFormat="false" ht="15" hidden="false" customHeight="false" outlineLevel="0" collapsed="false">
      <c r="A267" s="6" t="s">
        <v>233</v>
      </c>
      <c r="C267" s="119" t="n">
        <f aca="false">C370</f>
        <v>4</v>
      </c>
      <c r="D267" s="119" t="n">
        <f aca="false">D370</f>
        <v>4</v>
      </c>
      <c r="E267" s="119" t="n">
        <f aca="false">E370</f>
        <v>4</v>
      </c>
      <c r="F267" s="119" t="n">
        <f aca="false">F370</f>
        <v>4</v>
      </c>
      <c r="G267" s="119" t="n">
        <f aca="false">G370</f>
        <v>4</v>
      </c>
      <c r="H267" s="119" t="n">
        <f aca="false">H370</f>
        <v>4</v>
      </c>
      <c r="I267" s="119" t="n">
        <f aca="false">I370</f>
        <v>4</v>
      </c>
      <c r="J267" s="119" t="n">
        <f aca="false">J370</f>
        <v>4</v>
      </c>
      <c r="K267" s="119" t="n">
        <f aca="false">K370</f>
        <v>4</v>
      </c>
      <c r="L267" s="119" t="n">
        <f aca="false">L370</f>
        <v>4</v>
      </c>
      <c r="M267" s="119" t="n">
        <f aca="false">M370</f>
        <v>4</v>
      </c>
      <c r="N267" s="119" t="n">
        <f aca="false">N370</f>
        <v>4</v>
      </c>
      <c r="O267" s="119" t="n">
        <f aca="false">O370</f>
        <v>4</v>
      </c>
      <c r="P267" s="119" t="n">
        <f aca="false">P370</f>
        <v>4</v>
      </c>
      <c r="Q267" s="119" t="n">
        <f aca="false">Q370</f>
        <v>4</v>
      </c>
      <c r="R267" s="119" t="n">
        <f aca="false">R370</f>
        <v>4</v>
      </c>
      <c r="S267" s="119" t="n">
        <f aca="false">S370</f>
        <v>4</v>
      </c>
      <c r="T267" s="119" t="n">
        <f aca="false">T370</f>
        <v>4</v>
      </c>
      <c r="U267" s="119" t="n">
        <f aca="false">U370</f>
        <v>4</v>
      </c>
      <c r="V267" s="119" t="n">
        <f aca="false">V370</f>
        <v>4</v>
      </c>
      <c r="W267" s="119" t="n">
        <f aca="false">W370</f>
        <v>4</v>
      </c>
      <c r="X267" s="119" t="n">
        <f aca="false">X370</f>
        <v>4</v>
      </c>
      <c r="Y267" s="119" t="n">
        <f aca="false">Y370</f>
        <v>4</v>
      </c>
      <c r="Z267" s="119" t="n">
        <f aca="false">Z370</f>
        <v>4</v>
      </c>
      <c r="AA267" s="119" t="n">
        <f aca="false">AA370</f>
        <v>4</v>
      </c>
      <c r="AB267" s="119" t="n">
        <f aca="false">AB370</f>
        <v>4</v>
      </c>
      <c r="AC267" s="119" t="n">
        <f aca="false">AC370</f>
        <v>4</v>
      </c>
      <c r="AD267" s="119" t="n">
        <f aca="false">AD370</f>
        <v>4</v>
      </c>
      <c r="AE267" s="119" t="n">
        <f aca="false">AE370</f>
        <v>4</v>
      </c>
      <c r="AF267" s="119" t="n">
        <f aca="false">AF370</f>
        <v>4</v>
      </c>
      <c r="AG267" s="119" t="n">
        <f aca="false">AG370</f>
        <v>4</v>
      </c>
      <c r="AH267" s="119" t="n">
        <f aca="false">AH370</f>
        <v>4</v>
      </c>
      <c r="AI267" s="119" t="n">
        <f aca="false">AI370</f>
        <v>4</v>
      </c>
      <c r="AJ267" s="119" t="n">
        <f aca="false">AJ370</f>
        <v>4</v>
      </c>
      <c r="AK267" s="119" t="n">
        <f aca="false">AK370</f>
        <v>4</v>
      </c>
      <c r="AL267" s="119" t="n">
        <f aca="false">AL370</f>
        <v>4</v>
      </c>
      <c r="AM267" s="119" t="n">
        <f aca="false">AM370</f>
        <v>4</v>
      </c>
      <c r="AN267" s="119" t="n">
        <f aca="false">AN370</f>
        <v>4</v>
      </c>
      <c r="AO267" s="119" t="n">
        <f aca="false">AO370</f>
        <v>4</v>
      </c>
      <c r="AP267" s="119" t="n">
        <f aca="false">AP370</f>
        <v>4</v>
      </c>
      <c r="AQ267" s="119" t="n">
        <f aca="false">AQ370</f>
        <v>4</v>
      </c>
      <c r="AR267" s="119" t="n">
        <f aca="false">AR370</f>
        <v>4</v>
      </c>
      <c r="AS267" s="119" t="n">
        <f aca="false">AS370</f>
        <v>4</v>
      </c>
      <c r="AT267" s="119" t="n">
        <f aca="false">AT370</f>
        <v>4</v>
      </c>
      <c r="AU267" s="119" t="n">
        <f aca="false">AU370</f>
        <v>4</v>
      </c>
      <c r="AV267" s="119" t="n">
        <f aca="false">AV370</f>
        <v>4</v>
      </c>
      <c r="AW267" s="119" t="n">
        <f aca="false">AW370</f>
        <v>4</v>
      </c>
      <c r="AX267" s="119" t="n">
        <f aca="false">AX370</f>
        <v>4</v>
      </c>
      <c r="AY267" s="119" t="n">
        <f aca="false">AY370</f>
        <v>4</v>
      </c>
      <c r="AZ267" s="119" t="n">
        <f aca="false">AZ370</f>
        <v>4</v>
      </c>
      <c r="BA267" s="119" t="n">
        <f aca="false">BA370</f>
        <v>4</v>
      </c>
      <c r="BB267" s="119" t="n">
        <f aca="false">BB370</f>
        <v>4</v>
      </c>
      <c r="BC267" s="119" t="n">
        <f aca="false">BC370</f>
        <v>4</v>
      </c>
      <c r="BD267" s="119" t="n">
        <f aca="false">BD370</f>
        <v>4</v>
      </c>
      <c r="BE267" s="119" t="n">
        <f aca="false">BE370</f>
        <v>4</v>
      </c>
      <c r="BF267" s="119" t="n">
        <f aca="false">BF370</f>
        <v>4</v>
      </c>
      <c r="BG267" s="119" t="n">
        <f aca="false">BG370</f>
        <v>4</v>
      </c>
      <c r="BH267" s="119" t="n">
        <f aca="false">BH370</f>
        <v>4</v>
      </c>
      <c r="BI267" s="119" t="n">
        <f aca="false">BI370</f>
        <v>4</v>
      </c>
      <c r="BJ267" s="119" t="n">
        <f aca="false">BJ370</f>
        <v>4</v>
      </c>
    </row>
    <row r="268" customFormat="false" ht="15" hidden="false" customHeight="false" outlineLevel="0" collapsed="false">
      <c r="A268" s="6" t="s">
        <v>416</v>
      </c>
      <c r="C268" s="120" t="n">
        <f aca="false">Inputs!$D$14*Inputs!$D$15*Inputs!$D$9*1</f>
        <v>624</v>
      </c>
      <c r="D268" s="120" t="n">
        <f aca="false">Inputs!$D$14*Inputs!$D$15*Inputs!$D$9*1</f>
        <v>624</v>
      </c>
      <c r="E268" s="120" t="n">
        <f aca="false">Inputs!$D$14*Inputs!$D$15*Inputs!$D$9*1</f>
        <v>624</v>
      </c>
      <c r="F268" s="120" t="n">
        <f aca="false">Inputs!$D$14*Inputs!$D$15*Inputs!$D$9*1</f>
        <v>624</v>
      </c>
      <c r="G268" s="120" t="n">
        <f aca="false">Inputs!$D$14*Inputs!$D$15*Inputs!$D$9*1</f>
        <v>624</v>
      </c>
      <c r="H268" s="120" t="n">
        <f aca="false">Inputs!$D$14*Inputs!$D$15*Inputs!$D$9*1</f>
        <v>624</v>
      </c>
      <c r="I268" s="120" t="n">
        <f aca="false">Inputs!$D$14*Inputs!$D$15*Inputs!$D$9*1</f>
        <v>624</v>
      </c>
      <c r="J268" s="120" t="n">
        <f aca="false">Inputs!$D$14*Inputs!$D$15*Inputs!$D$9*1</f>
        <v>624</v>
      </c>
      <c r="K268" s="120" t="n">
        <f aca="false">Inputs!$D$14*Inputs!$D$15*Inputs!$D$9*1</f>
        <v>624</v>
      </c>
      <c r="L268" s="120" t="n">
        <f aca="false">Inputs!$D$14*Inputs!$D$15*Inputs!$D$9*1</f>
        <v>624</v>
      </c>
      <c r="M268" s="120" t="n">
        <f aca="false">Inputs!$D$14*Inputs!$D$15*Inputs!$D$9*1</f>
        <v>624</v>
      </c>
      <c r="N268" s="120" t="n">
        <f aca="false">Inputs!$D$14*Inputs!$D$15*Inputs!$D$9*1</f>
        <v>624</v>
      </c>
      <c r="O268" s="120" t="n">
        <f aca="false">Inputs!$D$14*Inputs!$D$15*Inputs!$D$9*1</f>
        <v>624</v>
      </c>
      <c r="P268" s="120" t="n">
        <f aca="false">Inputs!$D$14*Inputs!$D$15*Inputs!$D$9*1</f>
        <v>624</v>
      </c>
      <c r="Q268" s="120" t="n">
        <f aca="false">Inputs!$D$14*Inputs!$D$15*Inputs!$D$9*1</f>
        <v>624</v>
      </c>
      <c r="R268" s="120" t="n">
        <f aca="false">Inputs!$D$14*Inputs!$D$15*Inputs!$D$9*1</f>
        <v>624</v>
      </c>
      <c r="S268" s="120" t="n">
        <f aca="false">Inputs!$D$14*Inputs!$D$15*Inputs!$D$9*1</f>
        <v>624</v>
      </c>
      <c r="T268" s="120" t="n">
        <f aca="false">Inputs!$D$14*Inputs!$D$15*Inputs!$D$9*1</f>
        <v>624</v>
      </c>
      <c r="U268" s="120" t="n">
        <f aca="false">Inputs!$D$14*Inputs!$D$15*Inputs!$D$9*1</f>
        <v>624</v>
      </c>
      <c r="V268" s="120" t="n">
        <f aca="false">Inputs!$D$14*Inputs!$D$15*Inputs!$D$9*1</f>
        <v>624</v>
      </c>
      <c r="W268" s="120" t="n">
        <f aca="false">Inputs!$D$14*Inputs!$D$15*Inputs!$D$9*1</f>
        <v>624</v>
      </c>
      <c r="X268" s="120" t="n">
        <f aca="false">Inputs!$D$14*Inputs!$D$15*Inputs!$D$9*1</f>
        <v>624</v>
      </c>
      <c r="Y268" s="120" t="n">
        <f aca="false">Inputs!$D$14*Inputs!$D$15*Inputs!$D$9*1</f>
        <v>624</v>
      </c>
      <c r="Z268" s="120" t="n">
        <f aca="false">Inputs!$D$14*Inputs!$D$15*Inputs!$D$9*1</f>
        <v>624</v>
      </c>
      <c r="AA268" s="120" t="n">
        <f aca="false">Inputs!$D$14*Inputs!$D$15*Inputs!$D$9*1</f>
        <v>624</v>
      </c>
      <c r="AB268" s="120" t="n">
        <f aca="false">Inputs!$D$14*Inputs!$D$15*Inputs!$D$9*1</f>
        <v>624</v>
      </c>
      <c r="AC268" s="120" t="n">
        <f aca="false">Inputs!$D$14*Inputs!$D$15*Inputs!$D$9*1</f>
        <v>624</v>
      </c>
      <c r="AD268" s="120" t="n">
        <f aca="false">Inputs!$D$14*Inputs!$D$15*Inputs!$D$9*1</f>
        <v>624</v>
      </c>
      <c r="AE268" s="120" t="n">
        <f aca="false">Inputs!$D$14*Inputs!$D$15*Inputs!$D$9*1</f>
        <v>624</v>
      </c>
      <c r="AF268" s="120" t="n">
        <f aca="false">Inputs!$D$14*Inputs!$D$15*Inputs!$D$9*1</f>
        <v>624</v>
      </c>
      <c r="AG268" s="120" t="n">
        <f aca="false">Inputs!$D$14*Inputs!$D$15*Inputs!$D$9*1</f>
        <v>624</v>
      </c>
      <c r="AH268" s="120" t="n">
        <f aca="false">Inputs!$D$14*Inputs!$D$15*Inputs!$D$9*1</f>
        <v>624</v>
      </c>
      <c r="AI268" s="120" t="n">
        <f aca="false">Inputs!$D$14*Inputs!$D$15*Inputs!$D$9*1</f>
        <v>624</v>
      </c>
      <c r="AJ268" s="120" t="n">
        <f aca="false">Inputs!$D$14*Inputs!$D$15*Inputs!$D$9*1</f>
        <v>624</v>
      </c>
      <c r="AK268" s="120" t="n">
        <f aca="false">Inputs!$D$14*Inputs!$D$15*Inputs!$D$9*1</f>
        <v>624</v>
      </c>
      <c r="AL268" s="120" t="n">
        <f aca="false">Inputs!$D$14*Inputs!$D$15*Inputs!$D$9*1</f>
        <v>624</v>
      </c>
      <c r="AM268" s="120" t="n">
        <f aca="false">Inputs!$D$14*Inputs!$D$15*Inputs!$D$9*1</f>
        <v>624</v>
      </c>
      <c r="AN268" s="120" t="n">
        <f aca="false">Inputs!$D$14*Inputs!$D$15*Inputs!$D$9*1</f>
        <v>624</v>
      </c>
      <c r="AO268" s="120" t="n">
        <f aca="false">Inputs!$D$14*Inputs!$D$15*Inputs!$D$9*1</f>
        <v>624</v>
      </c>
      <c r="AP268" s="120" t="n">
        <f aca="false">Inputs!$D$14*Inputs!$D$15*Inputs!$D$9*1</f>
        <v>624</v>
      </c>
      <c r="AQ268" s="120" t="n">
        <f aca="false">Inputs!$D$14*Inputs!$D$15*Inputs!$D$9*1</f>
        <v>624</v>
      </c>
      <c r="AR268" s="120" t="n">
        <f aca="false">Inputs!$D$14*Inputs!$D$15*Inputs!$D$9*1</f>
        <v>624</v>
      </c>
      <c r="AS268" s="120" t="n">
        <f aca="false">Inputs!$D$14*Inputs!$D$15*Inputs!$D$9*1</f>
        <v>624</v>
      </c>
      <c r="AT268" s="120" t="n">
        <f aca="false">Inputs!$D$14*Inputs!$D$15*Inputs!$D$9*1</f>
        <v>624</v>
      </c>
      <c r="AU268" s="120" t="n">
        <f aca="false">Inputs!$D$14*Inputs!$D$15*Inputs!$D$9*1</f>
        <v>624</v>
      </c>
      <c r="AV268" s="120" t="n">
        <f aca="false">Inputs!$D$14*Inputs!$D$15*Inputs!$D$9*1</f>
        <v>624</v>
      </c>
      <c r="AW268" s="120" t="n">
        <f aca="false">Inputs!$D$14*Inputs!$D$15*Inputs!$D$9*1</f>
        <v>624</v>
      </c>
      <c r="AX268" s="120" t="n">
        <f aca="false">Inputs!$D$14*Inputs!$D$15*Inputs!$D$9*1</f>
        <v>624</v>
      </c>
      <c r="AY268" s="120" t="n">
        <f aca="false">Inputs!$D$14*Inputs!$D$15*Inputs!$D$9*1</f>
        <v>624</v>
      </c>
      <c r="AZ268" s="120" t="n">
        <f aca="false">Inputs!$D$14*Inputs!$D$15*Inputs!$D$9*1</f>
        <v>624</v>
      </c>
      <c r="BA268" s="120" t="n">
        <f aca="false">Inputs!$D$14*Inputs!$D$15*Inputs!$D$9*1</f>
        <v>624</v>
      </c>
      <c r="BB268" s="120" t="n">
        <f aca="false">Inputs!$D$14*Inputs!$D$15*Inputs!$D$9*1</f>
        <v>624</v>
      </c>
      <c r="BC268" s="120" t="n">
        <f aca="false">Inputs!$D$14*Inputs!$D$15*Inputs!$D$9*1</f>
        <v>624</v>
      </c>
      <c r="BD268" s="120" t="n">
        <f aca="false">Inputs!$D$14*Inputs!$D$15*Inputs!$D$9*1</f>
        <v>624</v>
      </c>
      <c r="BE268" s="120" t="n">
        <f aca="false">Inputs!$D$14*Inputs!$D$15*Inputs!$D$9*1</f>
        <v>624</v>
      </c>
      <c r="BF268" s="120" t="n">
        <f aca="false">Inputs!$D$14*Inputs!$D$15*Inputs!$D$9*1</f>
        <v>624</v>
      </c>
      <c r="BG268" s="120" t="n">
        <f aca="false">Inputs!$D$14*Inputs!$D$15*Inputs!$D$9*1</f>
        <v>624</v>
      </c>
      <c r="BH268" s="120" t="n">
        <f aca="false">Inputs!$D$14*Inputs!$D$15*Inputs!$D$9*1</f>
        <v>624</v>
      </c>
      <c r="BI268" s="120" t="n">
        <f aca="false">Inputs!$D$14*Inputs!$D$15*Inputs!$D$9*1</f>
        <v>624</v>
      </c>
      <c r="BJ268" s="120" t="n">
        <f aca="false">Inputs!$D$14*Inputs!$D$15*Inputs!$D$9*1</f>
        <v>624</v>
      </c>
    </row>
    <row r="269" customFormat="false" ht="15" hidden="false" customHeight="false" outlineLevel="0" collapsed="false">
      <c r="A269" s="6" t="s">
        <v>417</v>
      </c>
      <c r="C269" s="120" t="n">
        <f aca="false">C267*Inputs!$D$16*Inputs!$D$9*1</f>
        <v>624</v>
      </c>
      <c r="D269" s="120" t="n">
        <f aca="false">D267*Inputs!$D$16*Inputs!$D$9*1</f>
        <v>624</v>
      </c>
      <c r="E269" s="120" t="n">
        <f aca="false">E267*Inputs!$D$16*Inputs!$D$9*1</f>
        <v>624</v>
      </c>
      <c r="F269" s="120" t="n">
        <f aca="false">F267*Inputs!$D$16*Inputs!$D$9*1</f>
        <v>624</v>
      </c>
      <c r="G269" s="120" t="n">
        <f aca="false">G267*Inputs!$D$16*Inputs!$D$9*1</f>
        <v>624</v>
      </c>
      <c r="H269" s="120" t="n">
        <f aca="false">H267*Inputs!$D$16*Inputs!$D$9*1</f>
        <v>624</v>
      </c>
      <c r="I269" s="120" t="n">
        <f aca="false">I267*Inputs!$D$16*Inputs!$D$9*1</f>
        <v>624</v>
      </c>
      <c r="J269" s="120" t="n">
        <f aca="false">J267*Inputs!$D$16*Inputs!$D$9*1</f>
        <v>624</v>
      </c>
      <c r="K269" s="120" t="n">
        <f aca="false">K267*Inputs!$D$16*Inputs!$D$9*1</f>
        <v>624</v>
      </c>
      <c r="L269" s="120" t="n">
        <f aca="false">L267*Inputs!$D$16*Inputs!$D$9*1</f>
        <v>624</v>
      </c>
      <c r="M269" s="120" t="n">
        <f aca="false">M267*Inputs!$D$16*Inputs!$D$9*1</f>
        <v>624</v>
      </c>
      <c r="N269" s="120" t="n">
        <f aca="false">N267*Inputs!$D$16*Inputs!$D$9*1</f>
        <v>624</v>
      </c>
      <c r="O269" s="120" t="n">
        <f aca="false">O267*Inputs!$D$16*Inputs!$D$9*1</f>
        <v>624</v>
      </c>
      <c r="P269" s="120" t="n">
        <f aca="false">P267*Inputs!$D$16*Inputs!$D$9*1</f>
        <v>624</v>
      </c>
      <c r="Q269" s="120" t="n">
        <f aca="false">Q267*Inputs!$D$16*Inputs!$D$9*1</f>
        <v>624</v>
      </c>
      <c r="R269" s="120" t="n">
        <f aca="false">R267*Inputs!$D$16*Inputs!$D$9*1</f>
        <v>624</v>
      </c>
      <c r="S269" s="120" t="n">
        <f aca="false">S267*Inputs!$D$16*Inputs!$D$9*1</f>
        <v>624</v>
      </c>
      <c r="T269" s="120" t="n">
        <f aca="false">T267*Inputs!$D$16*Inputs!$D$9*1</f>
        <v>624</v>
      </c>
      <c r="U269" s="120" t="n">
        <f aca="false">U267*Inputs!$D$16*Inputs!$D$9*1</f>
        <v>624</v>
      </c>
      <c r="V269" s="120" t="n">
        <f aca="false">V267*Inputs!$D$16*Inputs!$D$9*1</f>
        <v>624</v>
      </c>
      <c r="W269" s="120" t="n">
        <f aca="false">W267*Inputs!$D$16*Inputs!$D$9*1</f>
        <v>624</v>
      </c>
      <c r="X269" s="120" t="n">
        <f aca="false">X267*Inputs!$D$16*Inputs!$D$9*1</f>
        <v>624</v>
      </c>
      <c r="Y269" s="120" t="n">
        <f aca="false">Y267*Inputs!$D$16*Inputs!$D$9*1</f>
        <v>624</v>
      </c>
      <c r="Z269" s="120" t="n">
        <f aca="false">Z267*Inputs!$D$16*Inputs!$D$9*1</f>
        <v>624</v>
      </c>
      <c r="AA269" s="120" t="n">
        <f aca="false">AA267*Inputs!$D$16*Inputs!$D$9*1</f>
        <v>624</v>
      </c>
      <c r="AB269" s="120" t="n">
        <f aca="false">AB267*Inputs!$D$16*Inputs!$D$9*1</f>
        <v>624</v>
      </c>
      <c r="AC269" s="120" t="n">
        <f aca="false">AC267*Inputs!$D$16*Inputs!$D$9*1</f>
        <v>624</v>
      </c>
      <c r="AD269" s="120" t="n">
        <f aca="false">AD267*Inputs!$D$16*Inputs!$D$9*1</f>
        <v>624</v>
      </c>
      <c r="AE269" s="120" t="n">
        <f aca="false">AE267*Inputs!$D$16*Inputs!$D$9*1</f>
        <v>624</v>
      </c>
      <c r="AF269" s="120" t="n">
        <f aca="false">AF267*Inputs!$D$16*Inputs!$D$9*1</f>
        <v>624</v>
      </c>
      <c r="AG269" s="120" t="n">
        <f aca="false">AG267*Inputs!$D$16*Inputs!$D$9*1</f>
        <v>624</v>
      </c>
      <c r="AH269" s="120" t="n">
        <f aca="false">AH267*Inputs!$D$16*Inputs!$D$9*1</f>
        <v>624</v>
      </c>
      <c r="AI269" s="120" t="n">
        <f aca="false">AI267*Inputs!$D$16*Inputs!$D$9*1</f>
        <v>624</v>
      </c>
      <c r="AJ269" s="120" t="n">
        <f aca="false">AJ267*Inputs!$D$16*Inputs!$D$9*1</f>
        <v>624</v>
      </c>
      <c r="AK269" s="120" t="n">
        <f aca="false">AK267*Inputs!$D$16*Inputs!$D$9*1</f>
        <v>624</v>
      </c>
      <c r="AL269" s="120" t="n">
        <f aca="false">AL267*Inputs!$D$16*Inputs!$D$9*1</f>
        <v>624</v>
      </c>
      <c r="AM269" s="120" t="n">
        <f aca="false">AM267*Inputs!$D$16*Inputs!$D$9*1</f>
        <v>624</v>
      </c>
      <c r="AN269" s="120" t="n">
        <f aca="false">AN267*Inputs!$D$16*Inputs!$D$9*1</f>
        <v>624</v>
      </c>
      <c r="AO269" s="120" t="n">
        <f aca="false">AO267*Inputs!$D$16*Inputs!$D$9*1</f>
        <v>624</v>
      </c>
      <c r="AP269" s="120" t="n">
        <f aca="false">AP267*Inputs!$D$16*Inputs!$D$9*1</f>
        <v>624</v>
      </c>
      <c r="AQ269" s="120" t="n">
        <f aca="false">AQ267*Inputs!$D$16*Inputs!$D$9*1</f>
        <v>624</v>
      </c>
      <c r="AR269" s="120" t="n">
        <f aca="false">AR267*Inputs!$D$16*Inputs!$D$9*1</f>
        <v>624</v>
      </c>
      <c r="AS269" s="120" t="n">
        <f aca="false">AS267*Inputs!$D$16*Inputs!$D$9*1</f>
        <v>624</v>
      </c>
      <c r="AT269" s="120" t="n">
        <f aca="false">AT267*Inputs!$D$16*Inputs!$D$9*1</f>
        <v>624</v>
      </c>
      <c r="AU269" s="120" t="n">
        <f aca="false">AU267*Inputs!$D$16*Inputs!$D$9*1</f>
        <v>624</v>
      </c>
      <c r="AV269" s="120" t="n">
        <f aca="false">AV267*Inputs!$D$16*Inputs!$D$9*1</f>
        <v>624</v>
      </c>
      <c r="AW269" s="120" t="n">
        <f aca="false">AW267*Inputs!$D$16*Inputs!$D$9*1</f>
        <v>624</v>
      </c>
      <c r="AX269" s="120" t="n">
        <f aca="false">AX267*Inputs!$D$16*Inputs!$D$9*1</f>
        <v>624</v>
      </c>
      <c r="AY269" s="120" t="n">
        <f aca="false">AY267*Inputs!$D$16*Inputs!$D$9*1</f>
        <v>624</v>
      </c>
      <c r="AZ269" s="120" t="n">
        <f aca="false">AZ267*Inputs!$D$16*Inputs!$D$9*1</f>
        <v>624</v>
      </c>
      <c r="BA269" s="120" t="n">
        <f aca="false">BA267*Inputs!$D$16*Inputs!$D$9*1</f>
        <v>624</v>
      </c>
      <c r="BB269" s="120" t="n">
        <f aca="false">BB267*Inputs!$D$16*Inputs!$D$9*1</f>
        <v>624</v>
      </c>
      <c r="BC269" s="120" t="n">
        <f aca="false">BC267*Inputs!$D$16*Inputs!$D$9*1</f>
        <v>624</v>
      </c>
      <c r="BD269" s="120" t="n">
        <f aca="false">BD267*Inputs!$D$16*Inputs!$D$9*1</f>
        <v>624</v>
      </c>
      <c r="BE269" s="120" t="n">
        <f aca="false">BE267*Inputs!$D$16*Inputs!$D$9*1</f>
        <v>624</v>
      </c>
      <c r="BF269" s="120" t="n">
        <f aca="false">BF267*Inputs!$D$16*Inputs!$D$9*1</f>
        <v>624</v>
      </c>
      <c r="BG269" s="120" t="n">
        <f aca="false">BG267*Inputs!$D$16*Inputs!$D$9*1</f>
        <v>624</v>
      </c>
      <c r="BH269" s="120" t="n">
        <f aca="false">BH267*Inputs!$D$16*Inputs!$D$9*1</f>
        <v>624</v>
      </c>
      <c r="BI269" s="120" t="n">
        <f aca="false">BI267*Inputs!$D$16*Inputs!$D$9*1</f>
        <v>624</v>
      </c>
      <c r="BJ269" s="120" t="n">
        <f aca="false">BJ267*Inputs!$D$16*Inputs!$D$9*1</f>
        <v>624</v>
      </c>
    </row>
    <row r="270" customFormat="false" ht="15" hidden="false" customHeight="false" outlineLevel="0" collapsed="false">
      <c r="A270" s="6" t="s">
        <v>234</v>
      </c>
      <c r="C270" s="120" t="n">
        <f aca="false">MIN(C268,C269)</f>
        <v>624</v>
      </c>
      <c r="D270" s="120" t="n">
        <f aca="false">MIN(D268,D269)</f>
        <v>624</v>
      </c>
      <c r="E270" s="120" t="n">
        <f aca="false">MIN(E268,E269)</f>
        <v>624</v>
      </c>
      <c r="F270" s="120" t="n">
        <f aca="false">MIN(F268,F269)</f>
        <v>624</v>
      </c>
      <c r="G270" s="120" t="n">
        <f aca="false">MIN(G268,G269)</f>
        <v>624</v>
      </c>
      <c r="H270" s="120" t="n">
        <f aca="false">MIN(H268,H269)</f>
        <v>624</v>
      </c>
      <c r="I270" s="120" t="n">
        <f aca="false">MIN(I268,I269)</f>
        <v>624</v>
      </c>
      <c r="J270" s="120" t="n">
        <f aca="false">MIN(J268,J269)</f>
        <v>624</v>
      </c>
      <c r="K270" s="120" t="n">
        <f aca="false">MIN(K268,K269)</f>
        <v>624</v>
      </c>
      <c r="L270" s="120" t="n">
        <f aca="false">MIN(L268,L269)</f>
        <v>624</v>
      </c>
      <c r="M270" s="120" t="n">
        <f aca="false">MIN(M268,M269)</f>
        <v>624</v>
      </c>
      <c r="N270" s="120" t="n">
        <f aca="false">MIN(N268,N269)</f>
        <v>624</v>
      </c>
      <c r="O270" s="120" t="n">
        <f aca="false">MIN(O268,O269)</f>
        <v>624</v>
      </c>
      <c r="P270" s="120" t="n">
        <f aca="false">MIN(P268,P269)</f>
        <v>624</v>
      </c>
      <c r="Q270" s="120" t="n">
        <f aca="false">MIN(Q268,Q269)</f>
        <v>624</v>
      </c>
      <c r="R270" s="120" t="n">
        <f aca="false">MIN(R268,R269)</f>
        <v>624</v>
      </c>
      <c r="S270" s="120" t="n">
        <f aca="false">MIN(S268,S269)</f>
        <v>624</v>
      </c>
      <c r="T270" s="120" t="n">
        <f aca="false">MIN(T268,T269)</f>
        <v>624</v>
      </c>
      <c r="U270" s="120" t="n">
        <f aca="false">MIN(U268,U269)</f>
        <v>624</v>
      </c>
      <c r="V270" s="120" t="n">
        <f aca="false">MIN(V268,V269)</f>
        <v>624</v>
      </c>
      <c r="W270" s="120" t="n">
        <f aca="false">MIN(W268,W269)</f>
        <v>624</v>
      </c>
      <c r="X270" s="120" t="n">
        <f aca="false">MIN(X268,X269)</f>
        <v>624</v>
      </c>
      <c r="Y270" s="120" t="n">
        <f aca="false">MIN(Y268,Y269)</f>
        <v>624</v>
      </c>
      <c r="Z270" s="120" t="n">
        <f aca="false">MIN(Z268,Z269)</f>
        <v>624</v>
      </c>
      <c r="AA270" s="120" t="n">
        <f aca="false">MIN(AA268,AA269)</f>
        <v>624</v>
      </c>
      <c r="AB270" s="120" t="n">
        <f aca="false">MIN(AB268,AB269)</f>
        <v>624</v>
      </c>
      <c r="AC270" s="120" t="n">
        <f aca="false">MIN(AC268,AC269)</f>
        <v>624</v>
      </c>
      <c r="AD270" s="120" t="n">
        <f aca="false">MIN(AD268,AD269)</f>
        <v>624</v>
      </c>
      <c r="AE270" s="120" t="n">
        <f aca="false">MIN(AE268,AE269)</f>
        <v>624</v>
      </c>
      <c r="AF270" s="120" t="n">
        <f aca="false">MIN(AF268,AF269)</f>
        <v>624</v>
      </c>
      <c r="AG270" s="120" t="n">
        <f aca="false">MIN(AG268,AG269)</f>
        <v>624</v>
      </c>
      <c r="AH270" s="120" t="n">
        <f aca="false">MIN(AH268,AH269)</f>
        <v>624</v>
      </c>
      <c r="AI270" s="120" t="n">
        <f aca="false">MIN(AI268,AI269)</f>
        <v>624</v>
      </c>
      <c r="AJ270" s="120" t="n">
        <f aca="false">MIN(AJ268,AJ269)</f>
        <v>624</v>
      </c>
      <c r="AK270" s="120" t="n">
        <f aca="false">MIN(AK268,AK269)</f>
        <v>624</v>
      </c>
      <c r="AL270" s="120" t="n">
        <f aca="false">MIN(AL268,AL269)</f>
        <v>624</v>
      </c>
      <c r="AM270" s="120" t="n">
        <f aca="false">MIN(AM268,AM269)</f>
        <v>624</v>
      </c>
      <c r="AN270" s="120" t="n">
        <f aca="false">MIN(AN268,AN269)</f>
        <v>624</v>
      </c>
      <c r="AO270" s="120" t="n">
        <f aca="false">MIN(AO268,AO269)</f>
        <v>624</v>
      </c>
      <c r="AP270" s="120" t="n">
        <f aca="false">MIN(AP268,AP269)</f>
        <v>624</v>
      </c>
      <c r="AQ270" s="120" t="n">
        <f aca="false">MIN(AQ268,AQ269)</f>
        <v>624</v>
      </c>
      <c r="AR270" s="120" t="n">
        <f aca="false">MIN(AR268,AR269)</f>
        <v>624</v>
      </c>
      <c r="AS270" s="120" t="n">
        <f aca="false">MIN(AS268,AS269)</f>
        <v>624</v>
      </c>
      <c r="AT270" s="120" t="n">
        <f aca="false">MIN(AT268,AT269)</f>
        <v>624</v>
      </c>
      <c r="AU270" s="120" t="n">
        <f aca="false">MIN(AU268,AU269)</f>
        <v>624</v>
      </c>
      <c r="AV270" s="120" t="n">
        <f aca="false">MIN(AV268,AV269)</f>
        <v>624</v>
      </c>
      <c r="AW270" s="120" t="n">
        <f aca="false">MIN(AW268,AW269)</f>
        <v>624</v>
      </c>
      <c r="AX270" s="120" t="n">
        <f aca="false">MIN(AX268,AX269)</f>
        <v>624</v>
      </c>
      <c r="AY270" s="120" t="n">
        <f aca="false">MIN(AY268,AY269)</f>
        <v>624</v>
      </c>
      <c r="AZ270" s="120" t="n">
        <f aca="false">MIN(AZ268,AZ269)</f>
        <v>624</v>
      </c>
      <c r="BA270" s="120" t="n">
        <f aca="false">MIN(BA268,BA269)</f>
        <v>624</v>
      </c>
      <c r="BB270" s="120" t="n">
        <f aca="false">MIN(BB268,BB269)</f>
        <v>624</v>
      </c>
      <c r="BC270" s="120" t="n">
        <f aca="false">MIN(BC268,BC269)</f>
        <v>624</v>
      </c>
      <c r="BD270" s="120" t="n">
        <f aca="false">MIN(BD268,BD269)</f>
        <v>624</v>
      </c>
      <c r="BE270" s="120" t="n">
        <f aca="false">MIN(BE268,BE269)</f>
        <v>624</v>
      </c>
      <c r="BF270" s="120" t="n">
        <f aca="false">MIN(BF268,BF269)</f>
        <v>624</v>
      </c>
      <c r="BG270" s="120" t="n">
        <f aca="false">MIN(BG268,BG269)</f>
        <v>624</v>
      </c>
      <c r="BH270" s="120" t="n">
        <f aca="false">MIN(BH268,BH269)</f>
        <v>624</v>
      </c>
      <c r="BI270" s="120" t="n">
        <f aca="false">MIN(BI268,BI269)</f>
        <v>624</v>
      </c>
      <c r="BJ270" s="120" t="n">
        <f aca="false">MIN(BJ268,BJ269)</f>
        <v>624</v>
      </c>
    </row>
    <row r="271" customFormat="false" ht="15" hidden="false" customHeight="false" outlineLevel="0" collapsed="false">
      <c r="A271" s="4" t="s">
        <v>418</v>
      </c>
      <c r="C271" s="122" t="n">
        <f aca="false">MIN(C264,C270)</f>
        <v>247</v>
      </c>
      <c r="D271" s="122" t="n">
        <f aca="false">MIN(D264,D270)</f>
        <v>277.875</v>
      </c>
      <c r="E271" s="122" t="n">
        <f aca="false">MIN(E264,E270)</f>
        <v>308.75</v>
      </c>
      <c r="F271" s="122" t="n">
        <f aca="false">MIN(F264,F270)</f>
        <v>339.625</v>
      </c>
      <c r="G271" s="122" t="n">
        <f aca="false">MIN(G264,G270)</f>
        <v>370.5</v>
      </c>
      <c r="H271" s="122" t="n">
        <f aca="false">MIN(H264,H270)</f>
        <v>401.375</v>
      </c>
      <c r="I271" s="122" t="n">
        <f aca="false">MIN(I264,I270)</f>
        <v>432.25</v>
      </c>
      <c r="J271" s="122" t="n">
        <f aca="false">MIN(J264,J270)</f>
        <v>463.125</v>
      </c>
      <c r="K271" s="122" t="n">
        <f aca="false">MIN(K264,K270)</f>
        <v>494</v>
      </c>
      <c r="L271" s="122" t="n">
        <f aca="false">MIN(L264,L270)</f>
        <v>494</v>
      </c>
      <c r="M271" s="122" t="n">
        <f aca="false">MIN(M264,M270)</f>
        <v>494</v>
      </c>
      <c r="N271" s="122" t="n">
        <f aca="false">MIN(N264,N270)</f>
        <v>494</v>
      </c>
      <c r="O271" s="122" t="n">
        <f aca="false">MIN(O264,O270)</f>
        <v>523.64</v>
      </c>
      <c r="P271" s="122" t="n">
        <f aca="false">MIN(P264,P270)</f>
        <v>523.64</v>
      </c>
      <c r="Q271" s="122" t="n">
        <f aca="false">MIN(Q264,Q270)</f>
        <v>523.64</v>
      </c>
      <c r="R271" s="122" t="n">
        <f aca="false">MIN(R264,R270)</f>
        <v>523.64</v>
      </c>
      <c r="S271" s="122" t="n">
        <f aca="false">MIN(S264,S270)</f>
        <v>523.64</v>
      </c>
      <c r="T271" s="122" t="n">
        <f aca="false">MIN(T264,T270)</f>
        <v>523.64</v>
      </c>
      <c r="U271" s="122" t="n">
        <f aca="false">MIN(U264,U270)</f>
        <v>523.64</v>
      </c>
      <c r="V271" s="122" t="n">
        <f aca="false">MIN(V264,V270)</f>
        <v>523.64</v>
      </c>
      <c r="W271" s="122" t="n">
        <f aca="false">MIN(W264,W270)</f>
        <v>523.64</v>
      </c>
      <c r="X271" s="122" t="n">
        <f aca="false">MIN(X264,X270)</f>
        <v>523.64</v>
      </c>
      <c r="Y271" s="122" t="n">
        <f aca="false">MIN(Y264,Y270)</f>
        <v>523.64</v>
      </c>
      <c r="Z271" s="122" t="n">
        <f aca="false">MIN(Z264,Z270)</f>
        <v>523.64</v>
      </c>
      <c r="AA271" s="122" t="n">
        <f aca="false">MIN(AA264,AA270)</f>
        <v>555.0584</v>
      </c>
      <c r="AB271" s="122" t="n">
        <f aca="false">MIN(AB264,AB270)</f>
        <v>555.0584</v>
      </c>
      <c r="AC271" s="122" t="n">
        <f aca="false">MIN(AC264,AC270)</f>
        <v>555.0584</v>
      </c>
      <c r="AD271" s="122" t="n">
        <f aca="false">MIN(AD264,AD270)</f>
        <v>555.0584</v>
      </c>
      <c r="AE271" s="122" t="n">
        <f aca="false">MIN(AE264,AE270)</f>
        <v>555.0584</v>
      </c>
      <c r="AF271" s="122" t="n">
        <f aca="false">MIN(AF264,AF270)</f>
        <v>555.0584</v>
      </c>
      <c r="AG271" s="122" t="n">
        <f aca="false">MIN(AG264,AG270)</f>
        <v>555.0584</v>
      </c>
      <c r="AH271" s="122" t="n">
        <f aca="false">MIN(AH264,AH270)</f>
        <v>555.0584</v>
      </c>
      <c r="AI271" s="122" t="n">
        <f aca="false">MIN(AI264,AI270)</f>
        <v>555.0584</v>
      </c>
      <c r="AJ271" s="122" t="n">
        <f aca="false">MIN(AJ264,AJ270)</f>
        <v>555.0584</v>
      </c>
      <c r="AK271" s="122" t="n">
        <f aca="false">MIN(AK264,AK270)</f>
        <v>555.0584</v>
      </c>
      <c r="AL271" s="122" t="n">
        <f aca="false">MIN(AL264,AL270)</f>
        <v>555.0584</v>
      </c>
      <c r="AM271" s="122" t="n">
        <f aca="false">MIN(AM264,AM270)</f>
        <v>588.361904</v>
      </c>
      <c r="AN271" s="122" t="n">
        <f aca="false">MIN(AN264,AN270)</f>
        <v>588.361904</v>
      </c>
      <c r="AO271" s="122" t="n">
        <f aca="false">MIN(AO264,AO270)</f>
        <v>588.361904</v>
      </c>
      <c r="AP271" s="122" t="n">
        <f aca="false">MIN(AP264,AP270)</f>
        <v>588.361904</v>
      </c>
      <c r="AQ271" s="122" t="n">
        <f aca="false">MIN(AQ264,AQ270)</f>
        <v>588.361904</v>
      </c>
      <c r="AR271" s="122" t="n">
        <f aca="false">MIN(AR264,AR270)</f>
        <v>588.361904</v>
      </c>
      <c r="AS271" s="122" t="n">
        <f aca="false">MIN(AS264,AS270)</f>
        <v>588.361904</v>
      </c>
      <c r="AT271" s="122" t="n">
        <f aca="false">MIN(AT264,AT270)</f>
        <v>588.361904</v>
      </c>
      <c r="AU271" s="122" t="n">
        <f aca="false">MIN(AU264,AU270)</f>
        <v>588.361904</v>
      </c>
      <c r="AV271" s="122" t="n">
        <f aca="false">MIN(AV264,AV270)</f>
        <v>588.361904</v>
      </c>
      <c r="AW271" s="122" t="n">
        <f aca="false">MIN(AW264,AW270)</f>
        <v>588.361904</v>
      </c>
      <c r="AX271" s="122" t="n">
        <f aca="false">MIN(AX264,AX270)</f>
        <v>588.361904</v>
      </c>
      <c r="AY271" s="122" t="n">
        <f aca="false">MIN(AY264,AY270)</f>
        <v>623.66361824</v>
      </c>
      <c r="AZ271" s="122" t="n">
        <f aca="false">MIN(AZ264,AZ270)</f>
        <v>623.66361824</v>
      </c>
      <c r="BA271" s="122" t="n">
        <f aca="false">MIN(BA264,BA270)</f>
        <v>623.66361824</v>
      </c>
      <c r="BB271" s="122" t="n">
        <f aca="false">MIN(BB264,BB270)</f>
        <v>623.66361824</v>
      </c>
      <c r="BC271" s="122" t="n">
        <f aca="false">MIN(BC264,BC270)</f>
        <v>623.66361824</v>
      </c>
      <c r="BD271" s="122" t="n">
        <f aca="false">MIN(BD264,BD270)</f>
        <v>623.66361824</v>
      </c>
      <c r="BE271" s="122" t="n">
        <f aca="false">MIN(BE264,BE270)</f>
        <v>623.66361824</v>
      </c>
      <c r="BF271" s="122" t="n">
        <f aca="false">MIN(BF264,BF270)</f>
        <v>623.66361824</v>
      </c>
      <c r="BG271" s="122" t="n">
        <f aca="false">MIN(BG264,BG270)</f>
        <v>623.66361824</v>
      </c>
      <c r="BH271" s="122" t="n">
        <f aca="false">MIN(BH264,BH270)</f>
        <v>623.66361824</v>
      </c>
      <c r="BI271" s="122" t="n">
        <f aca="false">MIN(BI264,BI270)</f>
        <v>623.66361824</v>
      </c>
      <c r="BJ271" s="122" t="n">
        <f aca="false">MIN(BJ264,BJ270)</f>
        <v>623.66361824</v>
      </c>
    </row>
    <row r="272" customFormat="false" ht="15" hidden="false" customHeight="false" outlineLevel="0" collapsed="false">
      <c r="A272" s="6" t="s">
        <v>235</v>
      </c>
      <c r="C272" s="120" t="n">
        <f aca="false">C264-C271</f>
        <v>0</v>
      </c>
      <c r="D272" s="120" t="n">
        <f aca="false">D264-D271</f>
        <v>0</v>
      </c>
      <c r="E272" s="120" t="n">
        <f aca="false">E264-E271</f>
        <v>0</v>
      </c>
      <c r="F272" s="120" t="n">
        <f aca="false">F264-F271</f>
        <v>0</v>
      </c>
      <c r="G272" s="120" t="n">
        <f aca="false">G264-G271</f>
        <v>0</v>
      </c>
      <c r="H272" s="120" t="n">
        <f aca="false">H264-H271</f>
        <v>0</v>
      </c>
      <c r="I272" s="120" t="n">
        <f aca="false">I264-I271</f>
        <v>0</v>
      </c>
      <c r="J272" s="120" t="n">
        <f aca="false">J264-J271</f>
        <v>0</v>
      </c>
      <c r="K272" s="120" t="n">
        <f aca="false">K264-K271</f>
        <v>0</v>
      </c>
      <c r="L272" s="120" t="n">
        <f aca="false">L264-L271</f>
        <v>0</v>
      </c>
      <c r="M272" s="120" t="n">
        <f aca="false">M264-M271</f>
        <v>0</v>
      </c>
      <c r="N272" s="120" t="n">
        <f aca="false">N264-N271</f>
        <v>0</v>
      </c>
      <c r="O272" s="120" t="n">
        <f aca="false">O264-O271</f>
        <v>0</v>
      </c>
      <c r="P272" s="120" t="n">
        <f aca="false">P264-P271</f>
        <v>0</v>
      </c>
      <c r="Q272" s="120" t="n">
        <f aca="false">Q264-Q271</f>
        <v>0</v>
      </c>
      <c r="R272" s="120" t="n">
        <f aca="false">R264-R271</f>
        <v>0</v>
      </c>
      <c r="S272" s="120" t="n">
        <f aca="false">S264-S271</f>
        <v>0</v>
      </c>
      <c r="T272" s="120" t="n">
        <f aca="false">T264-T271</f>
        <v>0</v>
      </c>
      <c r="U272" s="120" t="n">
        <f aca="false">U264-U271</f>
        <v>0</v>
      </c>
      <c r="V272" s="120" t="n">
        <f aca="false">V264-V271</f>
        <v>0</v>
      </c>
      <c r="W272" s="120" t="n">
        <f aca="false">W264-W271</f>
        <v>0</v>
      </c>
      <c r="X272" s="120" t="n">
        <f aca="false">X264-X271</f>
        <v>0</v>
      </c>
      <c r="Y272" s="120" t="n">
        <f aca="false">Y264-Y271</f>
        <v>0</v>
      </c>
      <c r="Z272" s="120" t="n">
        <f aca="false">Z264-Z271</f>
        <v>0</v>
      </c>
      <c r="AA272" s="120" t="n">
        <f aca="false">AA264-AA271</f>
        <v>0</v>
      </c>
      <c r="AB272" s="120" t="n">
        <f aca="false">AB264-AB271</f>
        <v>0</v>
      </c>
      <c r="AC272" s="120" t="n">
        <f aca="false">AC264-AC271</f>
        <v>0</v>
      </c>
      <c r="AD272" s="120" t="n">
        <f aca="false">AD264-AD271</f>
        <v>0</v>
      </c>
      <c r="AE272" s="120" t="n">
        <f aca="false">AE264-AE271</f>
        <v>0</v>
      </c>
      <c r="AF272" s="120" t="n">
        <f aca="false">AF264-AF271</f>
        <v>0</v>
      </c>
      <c r="AG272" s="120" t="n">
        <f aca="false">AG264-AG271</f>
        <v>0</v>
      </c>
      <c r="AH272" s="120" t="n">
        <f aca="false">AH264-AH271</f>
        <v>0</v>
      </c>
      <c r="AI272" s="120" t="n">
        <f aca="false">AI264-AI271</f>
        <v>0</v>
      </c>
      <c r="AJ272" s="120" t="n">
        <f aca="false">AJ264-AJ271</f>
        <v>0</v>
      </c>
      <c r="AK272" s="120" t="n">
        <f aca="false">AK264-AK271</f>
        <v>0</v>
      </c>
      <c r="AL272" s="120" t="n">
        <f aca="false">AL264-AL271</f>
        <v>0</v>
      </c>
      <c r="AM272" s="120" t="n">
        <f aca="false">AM264-AM271</f>
        <v>0</v>
      </c>
      <c r="AN272" s="120" t="n">
        <f aca="false">AN264-AN271</f>
        <v>0</v>
      </c>
      <c r="AO272" s="120" t="n">
        <f aca="false">AO264-AO271</f>
        <v>0</v>
      </c>
      <c r="AP272" s="120" t="n">
        <f aca="false">AP264-AP271</f>
        <v>0</v>
      </c>
      <c r="AQ272" s="120" t="n">
        <f aca="false">AQ264-AQ271</f>
        <v>0</v>
      </c>
      <c r="AR272" s="120" t="n">
        <f aca="false">AR264-AR271</f>
        <v>0</v>
      </c>
      <c r="AS272" s="120" t="n">
        <f aca="false">AS264-AS271</f>
        <v>0</v>
      </c>
      <c r="AT272" s="120" t="n">
        <f aca="false">AT264-AT271</f>
        <v>0</v>
      </c>
      <c r="AU272" s="120" t="n">
        <f aca="false">AU264-AU271</f>
        <v>0</v>
      </c>
      <c r="AV272" s="120" t="n">
        <f aca="false">AV264-AV271</f>
        <v>0</v>
      </c>
      <c r="AW272" s="120" t="n">
        <f aca="false">AW264-AW271</f>
        <v>0</v>
      </c>
      <c r="AX272" s="120" t="n">
        <f aca="false">AX264-AX271</f>
        <v>0</v>
      </c>
      <c r="AY272" s="120" t="n">
        <f aca="false">AY264-AY271</f>
        <v>0</v>
      </c>
      <c r="AZ272" s="120" t="n">
        <f aca="false">AZ264-AZ271</f>
        <v>0</v>
      </c>
      <c r="BA272" s="120" t="n">
        <f aca="false">BA264-BA271</f>
        <v>0</v>
      </c>
      <c r="BB272" s="120" t="n">
        <f aca="false">BB264-BB271</f>
        <v>0</v>
      </c>
      <c r="BC272" s="120" t="n">
        <f aca="false">BC264-BC271</f>
        <v>0</v>
      </c>
      <c r="BD272" s="120" t="n">
        <f aca="false">BD264-BD271</f>
        <v>0</v>
      </c>
      <c r="BE272" s="120" t="n">
        <f aca="false">BE264-BE271</f>
        <v>0</v>
      </c>
      <c r="BF272" s="120" t="n">
        <f aca="false">BF264-BF271</f>
        <v>0</v>
      </c>
      <c r="BG272" s="120" t="n">
        <f aca="false">BG264-BG271</f>
        <v>0</v>
      </c>
      <c r="BH272" s="120" t="n">
        <f aca="false">BH264-BH271</f>
        <v>0</v>
      </c>
      <c r="BI272" s="120" t="n">
        <f aca="false">BI264-BI271</f>
        <v>0</v>
      </c>
      <c r="BJ272" s="120" t="n">
        <f aca="false">BJ264-BJ271</f>
        <v>0</v>
      </c>
    </row>
    <row r="274" customFormat="false" ht="15.75" hidden="false" customHeight="true" outlineLevel="0" collapsed="false">
      <c r="A274" s="7" t="s">
        <v>272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customFormat="false" ht="15" hidden="false" customHeight="false" outlineLevel="0" collapsed="false">
      <c r="A275" s="6" t="s">
        <v>419</v>
      </c>
      <c r="C275" s="79" t="n">
        <f aca="false">IF(OR(AND(MOD(C$258-1,12)&gt;=5,MOD(C$258-1,12)&lt;=7),MOD(C$258-1,12)=11),1+Inputs!$D$28,1-Inputs!$D$28/2)</f>
        <v>0.875</v>
      </c>
      <c r="D275" s="79" t="n">
        <f aca="false">IF(OR(AND(MOD(D$258-1,12)&gt;=5,MOD(D$258-1,12)&lt;=7),MOD(D$258-1,12)=11),1+Inputs!$D$28,1-Inputs!$D$28/2)</f>
        <v>0.875</v>
      </c>
      <c r="E275" s="79" t="n">
        <f aca="false">IF(OR(AND(MOD(E$258-1,12)&gt;=5,MOD(E$258-1,12)&lt;=7),MOD(E$258-1,12)=11),1+Inputs!$D$28,1-Inputs!$D$28/2)</f>
        <v>0.875</v>
      </c>
      <c r="F275" s="79" t="n">
        <f aca="false">IF(OR(AND(MOD(F$258-1,12)&gt;=5,MOD(F$258-1,12)&lt;=7),MOD(F$258-1,12)=11),1+Inputs!$D$28,1-Inputs!$D$28/2)</f>
        <v>0.875</v>
      </c>
      <c r="G275" s="79" t="n">
        <f aca="false">IF(OR(AND(MOD(G$258-1,12)&gt;=5,MOD(G$258-1,12)&lt;=7),MOD(G$258-1,12)=11),1+Inputs!$D$28,1-Inputs!$D$28/2)</f>
        <v>0.875</v>
      </c>
      <c r="H275" s="79" t="n">
        <f aca="false">IF(OR(AND(MOD(H$258-1,12)&gt;=5,MOD(H$258-1,12)&lt;=7),MOD(H$258-1,12)=11),1+Inputs!$D$28,1-Inputs!$D$28/2)</f>
        <v>1.25</v>
      </c>
      <c r="I275" s="79" t="n">
        <f aca="false">IF(OR(AND(MOD(I$258-1,12)&gt;=5,MOD(I$258-1,12)&lt;=7),MOD(I$258-1,12)=11),1+Inputs!$D$28,1-Inputs!$D$28/2)</f>
        <v>1.25</v>
      </c>
      <c r="J275" s="79" t="n">
        <f aca="false">IF(OR(AND(MOD(J$258-1,12)&gt;=5,MOD(J$258-1,12)&lt;=7),MOD(J$258-1,12)=11),1+Inputs!$D$28,1-Inputs!$D$28/2)</f>
        <v>1.25</v>
      </c>
      <c r="K275" s="79" t="n">
        <f aca="false">IF(OR(AND(MOD(K$258-1,12)&gt;=5,MOD(K$258-1,12)&lt;=7),MOD(K$258-1,12)=11),1+Inputs!$D$28,1-Inputs!$D$28/2)</f>
        <v>0.875</v>
      </c>
      <c r="L275" s="79" t="n">
        <f aca="false">IF(OR(AND(MOD(L$258-1,12)&gt;=5,MOD(L$258-1,12)&lt;=7),MOD(L$258-1,12)=11),1+Inputs!$D$28,1-Inputs!$D$28/2)</f>
        <v>0.875</v>
      </c>
      <c r="M275" s="79" t="n">
        <f aca="false">IF(OR(AND(MOD(M$258-1,12)&gt;=5,MOD(M$258-1,12)&lt;=7),MOD(M$258-1,12)=11),1+Inputs!$D$28,1-Inputs!$D$28/2)</f>
        <v>0.875</v>
      </c>
      <c r="N275" s="79" t="n">
        <f aca="false">IF(OR(AND(MOD(N$258-1,12)&gt;=5,MOD(N$258-1,12)&lt;=7),MOD(N$258-1,12)=11),1+Inputs!$D$28,1-Inputs!$D$28/2)</f>
        <v>1.25</v>
      </c>
      <c r="O275" s="79" t="n">
        <f aca="false">IF(OR(AND(MOD(O$258-1,12)&gt;=5,MOD(O$258-1,12)&lt;=7),MOD(O$258-1,12)=11),1+Inputs!$D$28,1-Inputs!$D$28/2)</f>
        <v>0.875</v>
      </c>
      <c r="P275" s="79" t="n">
        <f aca="false">IF(OR(AND(MOD(P$258-1,12)&gt;=5,MOD(P$258-1,12)&lt;=7),MOD(P$258-1,12)=11),1+Inputs!$D$28,1-Inputs!$D$28/2)</f>
        <v>0.875</v>
      </c>
      <c r="Q275" s="79" t="n">
        <f aca="false">IF(OR(AND(MOD(Q$258-1,12)&gt;=5,MOD(Q$258-1,12)&lt;=7),MOD(Q$258-1,12)=11),1+Inputs!$D$28,1-Inputs!$D$28/2)</f>
        <v>0.875</v>
      </c>
      <c r="R275" s="79" t="n">
        <f aca="false">IF(OR(AND(MOD(R$258-1,12)&gt;=5,MOD(R$258-1,12)&lt;=7),MOD(R$258-1,12)=11),1+Inputs!$D$28,1-Inputs!$D$28/2)</f>
        <v>0.875</v>
      </c>
      <c r="S275" s="79" t="n">
        <f aca="false">IF(OR(AND(MOD(S$258-1,12)&gt;=5,MOD(S$258-1,12)&lt;=7),MOD(S$258-1,12)=11),1+Inputs!$D$28,1-Inputs!$D$28/2)</f>
        <v>0.875</v>
      </c>
      <c r="T275" s="79" t="n">
        <f aca="false">IF(OR(AND(MOD(T$258-1,12)&gt;=5,MOD(T$258-1,12)&lt;=7),MOD(T$258-1,12)=11),1+Inputs!$D$28,1-Inputs!$D$28/2)</f>
        <v>1.25</v>
      </c>
      <c r="U275" s="79" t="n">
        <f aca="false">IF(OR(AND(MOD(U$258-1,12)&gt;=5,MOD(U$258-1,12)&lt;=7),MOD(U$258-1,12)=11),1+Inputs!$D$28,1-Inputs!$D$28/2)</f>
        <v>1.25</v>
      </c>
      <c r="V275" s="79" t="n">
        <f aca="false">IF(OR(AND(MOD(V$258-1,12)&gt;=5,MOD(V$258-1,12)&lt;=7),MOD(V$258-1,12)=11),1+Inputs!$D$28,1-Inputs!$D$28/2)</f>
        <v>1.25</v>
      </c>
      <c r="W275" s="79" t="n">
        <f aca="false">IF(OR(AND(MOD(W$258-1,12)&gt;=5,MOD(W$258-1,12)&lt;=7),MOD(W$258-1,12)=11),1+Inputs!$D$28,1-Inputs!$D$28/2)</f>
        <v>0.875</v>
      </c>
      <c r="X275" s="79" t="n">
        <f aca="false">IF(OR(AND(MOD(X$258-1,12)&gt;=5,MOD(X$258-1,12)&lt;=7),MOD(X$258-1,12)=11),1+Inputs!$D$28,1-Inputs!$D$28/2)</f>
        <v>0.875</v>
      </c>
      <c r="Y275" s="79" t="n">
        <f aca="false">IF(OR(AND(MOD(Y$258-1,12)&gt;=5,MOD(Y$258-1,12)&lt;=7),MOD(Y$258-1,12)=11),1+Inputs!$D$28,1-Inputs!$D$28/2)</f>
        <v>0.875</v>
      </c>
      <c r="Z275" s="79" t="n">
        <f aca="false">IF(OR(AND(MOD(Z$258-1,12)&gt;=5,MOD(Z$258-1,12)&lt;=7),MOD(Z$258-1,12)=11),1+Inputs!$D$28,1-Inputs!$D$28/2)</f>
        <v>1.25</v>
      </c>
      <c r="AA275" s="79" t="n">
        <f aca="false">IF(OR(AND(MOD(AA$258-1,12)&gt;=5,MOD(AA$258-1,12)&lt;=7),MOD(AA$258-1,12)=11),1+Inputs!$D$28,1-Inputs!$D$28/2)</f>
        <v>0.875</v>
      </c>
      <c r="AB275" s="79" t="n">
        <f aca="false">IF(OR(AND(MOD(AB$258-1,12)&gt;=5,MOD(AB$258-1,12)&lt;=7),MOD(AB$258-1,12)=11),1+Inputs!$D$28,1-Inputs!$D$28/2)</f>
        <v>0.875</v>
      </c>
      <c r="AC275" s="79" t="n">
        <f aca="false">IF(OR(AND(MOD(AC$258-1,12)&gt;=5,MOD(AC$258-1,12)&lt;=7),MOD(AC$258-1,12)=11),1+Inputs!$D$28,1-Inputs!$D$28/2)</f>
        <v>0.875</v>
      </c>
      <c r="AD275" s="79" t="n">
        <f aca="false">IF(OR(AND(MOD(AD$258-1,12)&gt;=5,MOD(AD$258-1,12)&lt;=7),MOD(AD$258-1,12)=11),1+Inputs!$D$28,1-Inputs!$D$28/2)</f>
        <v>0.875</v>
      </c>
      <c r="AE275" s="79" t="n">
        <f aca="false">IF(OR(AND(MOD(AE$258-1,12)&gt;=5,MOD(AE$258-1,12)&lt;=7),MOD(AE$258-1,12)=11),1+Inputs!$D$28,1-Inputs!$D$28/2)</f>
        <v>0.875</v>
      </c>
      <c r="AF275" s="79" t="n">
        <f aca="false">IF(OR(AND(MOD(AF$258-1,12)&gt;=5,MOD(AF$258-1,12)&lt;=7),MOD(AF$258-1,12)=11),1+Inputs!$D$28,1-Inputs!$D$28/2)</f>
        <v>1.25</v>
      </c>
      <c r="AG275" s="79" t="n">
        <f aca="false">IF(OR(AND(MOD(AG$258-1,12)&gt;=5,MOD(AG$258-1,12)&lt;=7),MOD(AG$258-1,12)=11),1+Inputs!$D$28,1-Inputs!$D$28/2)</f>
        <v>1.25</v>
      </c>
      <c r="AH275" s="79" t="n">
        <f aca="false">IF(OR(AND(MOD(AH$258-1,12)&gt;=5,MOD(AH$258-1,12)&lt;=7),MOD(AH$258-1,12)=11),1+Inputs!$D$28,1-Inputs!$D$28/2)</f>
        <v>1.25</v>
      </c>
      <c r="AI275" s="79" t="n">
        <f aca="false">IF(OR(AND(MOD(AI$258-1,12)&gt;=5,MOD(AI$258-1,12)&lt;=7),MOD(AI$258-1,12)=11),1+Inputs!$D$28,1-Inputs!$D$28/2)</f>
        <v>0.875</v>
      </c>
      <c r="AJ275" s="79" t="n">
        <f aca="false">IF(OR(AND(MOD(AJ$258-1,12)&gt;=5,MOD(AJ$258-1,12)&lt;=7),MOD(AJ$258-1,12)=11),1+Inputs!$D$28,1-Inputs!$D$28/2)</f>
        <v>0.875</v>
      </c>
      <c r="AK275" s="79" t="n">
        <f aca="false">IF(OR(AND(MOD(AK$258-1,12)&gt;=5,MOD(AK$258-1,12)&lt;=7),MOD(AK$258-1,12)=11),1+Inputs!$D$28,1-Inputs!$D$28/2)</f>
        <v>0.875</v>
      </c>
      <c r="AL275" s="79" t="n">
        <f aca="false">IF(OR(AND(MOD(AL$258-1,12)&gt;=5,MOD(AL$258-1,12)&lt;=7),MOD(AL$258-1,12)=11),1+Inputs!$D$28,1-Inputs!$D$28/2)</f>
        <v>1.25</v>
      </c>
      <c r="AM275" s="79" t="n">
        <f aca="false">IF(OR(AND(MOD(AM$258-1,12)&gt;=5,MOD(AM$258-1,12)&lt;=7),MOD(AM$258-1,12)=11),1+Inputs!$D$28,1-Inputs!$D$28/2)</f>
        <v>0.875</v>
      </c>
      <c r="AN275" s="79" t="n">
        <f aca="false">IF(OR(AND(MOD(AN$258-1,12)&gt;=5,MOD(AN$258-1,12)&lt;=7),MOD(AN$258-1,12)=11),1+Inputs!$D$28,1-Inputs!$D$28/2)</f>
        <v>0.875</v>
      </c>
      <c r="AO275" s="79" t="n">
        <f aca="false">IF(OR(AND(MOD(AO$258-1,12)&gt;=5,MOD(AO$258-1,12)&lt;=7),MOD(AO$258-1,12)=11),1+Inputs!$D$28,1-Inputs!$D$28/2)</f>
        <v>0.875</v>
      </c>
      <c r="AP275" s="79" t="n">
        <f aca="false">IF(OR(AND(MOD(AP$258-1,12)&gt;=5,MOD(AP$258-1,12)&lt;=7),MOD(AP$258-1,12)=11),1+Inputs!$D$28,1-Inputs!$D$28/2)</f>
        <v>0.875</v>
      </c>
      <c r="AQ275" s="79" t="n">
        <f aca="false">IF(OR(AND(MOD(AQ$258-1,12)&gt;=5,MOD(AQ$258-1,12)&lt;=7),MOD(AQ$258-1,12)=11),1+Inputs!$D$28,1-Inputs!$D$28/2)</f>
        <v>0.875</v>
      </c>
      <c r="AR275" s="79" t="n">
        <f aca="false">IF(OR(AND(MOD(AR$258-1,12)&gt;=5,MOD(AR$258-1,12)&lt;=7),MOD(AR$258-1,12)=11),1+Inputs!$D$28,1-Inputs!$D$28/2)</f>
        <v>1.25</v>
      </c>
      <c r="AS275" s="79" t="n">
        <f aca="false">IF(OR(AND(MOD(AS$258-1,12)&gt;=5,MOD(AS$258-1,12)&lt;=7),MOD(AS$258-1,12)=11),1+Inputs!$D$28,1-Inputs!$D$28/2)</f>
        <v>1.25</v>
      </c>
      <c r="AT275" s="79" t="n">
        <f aca="false">IF(OR(AND(MOD(AT$258-1,12)&gt;=5,MOD(AT$258-1,12)&lt;=7),MOD(AT$258-1,12)=11),1+Inputs!$D$28,1-Inputs!$D$28/2)</f>
        <v>1.25</v>
      </c>
      <c r="AU275" s="79" t="n">
        <f aca="false">IF(OR(AND(MOD(AU$258-1,12)&gt;=5,MOD(AU$258-1,12)&lt;=7),MOD(AU$258-1,12)=11),1+Inputs!$D$28,1-Inputs!$D$28/2)</f>
        <v>0.875</v>
      </c>
      <c r="AV275" s="79" t="n">
        <f aca="false">IF(OR(AND(MOD(AV$258-1,12)&gt;=5,MOD(AV$258-1,12)&lt;=7),MOD(AV$258-1,12)=11),1+Inputs!$D$28,1-Inputs!$D$28/2)</f>
        <v>0.875</v>
      </c>
      <c r="AW275" s="79" t="n">
        <f aca="false">IF(OR(AND(MOD(AW$258-1,12)&gt;=5,MOD(AW$258-1,12)&lt;=7),MOD(AW$258-1,12)=11),1+Inputs!$D$28,1-Inputs!$D$28/2)</f>
        <v>0.875</v>
      </c>
      <c r="AX275" s="79" t="n">
        <f aca="false">IF(OR(AND(MOD(AX$258-1,12)&gt;=5,MOD(AX$258-1,12)&lt;=7),MOD(AX$258-1,12)=11),1+Inputs!$D$28,1-Inputs!$D$28/2)</f>
        <v>1.25</v>
      </c>
      <c r="AY275" s="79" t="n">
        <f aca="false">IF(OR(AND(MOD(AY$258-1,12)&gt;=5,MOD(AY$258-1,12)&lt;=7),MOD(AY$258-1,12)=11),1+Inputs!$D$28,1-Inputs!$D$28/2)</f>
        <v>0.875</v>
      </c>
      <c r="AZ275" s="79" t="n">
        <f aca="false">IF(OR(AND(MOD(AZ$258-1,12)&gt;=5,MOD(AZ$258-1,12)&lt;=7),MOD(AZ$258-1,12)=11),1+Inputs!$D$28,1-Inputs!$D$28/2)</f>
        <v>0.875</v>
      </c>
      <c r="BA275" s="79" t="n">
        <f aca="false">IF(OR(AND(MOD(BA$258-1,12)&gt;=5,MOD(BA$258-1,12)&lt;=7),MOD(BA$258-1,12)=11),1+Inputs!$D$28,1-Inputs!$D$28/2)</f>
        <v>0.875</v>
      </c>
      <c r="BB275" s="79" t="n">
        <f aca="false">IF(OR(AND(MOD(BB$258-1,12)&gt;=5,MOD(BB$258-1,12)&lt;=7),MOD(BB$258-1,12)=11),1+Inputs!$D$28,1-Inputs!$D$28/2)</f>
        <v>0.875</v>
      </c>
      <c r="BC275" s="79" t="n">
        <f aca="false">IF(OR(AND(MOD(BC$258-1,12)&gt;=5,MOD(BC$258-1,12)&lt;=7),MOD(BC$258-1,12)=11),1+Inputs!$D$28,1-Inputs!$D$28/2)</f>
        <v>0.875</v>
      </c>
      <c r="BD275" s="79" t="n">
        <f aca="false">IF(OR(AND(MOD(BD$258-1,12)&gt;=5,MOD(BD$258-1,12)&lt;=7),MOD(BD$258-1,12)=11),1+Inputs!$D$28,1-Inputs!$D$28/2)</f>
        <v>1.25</v>
      </c>
      <c r="BE275" s="79" t="n">
        <f aca="false">IF(OR(AND(MOD(BE$258-1,12)&gt;=5,MOD(BE$258-1,12)&lt;=7),MOD(BE$258-1,12)=11),1+Inputs!$D$28,1-Inputs!$D$28/2)</f>
        <v>1.25</v>
      </c>
      <c r="BF275" s="79" t="n">
        <f aca="false">IF(OR(AND(MOD(BF$258-1,12)&gt;=5,MOD(BF$258-1,12)&lt;=7),MOD(BF$258-1,12)=11),1+Inputs!$D$28,1-Inputs!$D$28/2)</f>
        <v>1.25</v>
      </c>
      <c r="BG275" s="79" t="n">
        <f aca="false">IF(OR(AND(MOD(BG$258-1,12)&gt;=5,MOD(BG$258-1,12)&lt;=7),MOD(BG$258-1,12)=11),1+Inputs!$D$28,1-Inputs!$D$28/2)</f>
        <v>0.875</v>
      </c>
      <c r="BH275" s="79" t="n">
        <f aca="false">IF(OR(AND(MOD(BH$258-1,12)&gt;=5,MOD(BH$258-1,12)&lt;=7),MOD(BH$258-1,12)=11),1+Inputs!$D$28,1-Inputs!$D$28/2)</f>
        <v>0.875</v>
      </c>
      <c r="BI275" s="79" t="n">
        <f aca="false">IF(OR(AND(MOD(BI$258-1,12)&gt;=5,MOD(BI$258-1,12)&lt;=7),MOD(BI$258-1,12)=11),1+Inputs!$D$28,1-Inputs!$D$28/2)</f>
        <v>0.875</v>
      </c>
      <c r="BJ275" s="79" t="n">
        <f aca="false">IF(OR(AND(MOD(BJ$258-1,12)&gt;=5,MOD(BJ$258-1,12)&lt;=7),MOD(BJ$258-1,12)=11),1+Inputs!$D$28,1-Inputs!$D$28/2)</f>
        <v>1.25</v>
      </c>
    </row>
    <row r="276" customFormat="false" ht="15" hidden="false" customHeight="false" outlineLevel="0" collapsed="false">
      <c r="A276" s="6" t="s">
        <v>420</v>
      </c>
      <c r="C276" s="120" t="n">
        <f aca="false">Inputs!$D$25*Inputs!$D$29*1</f>
        <v>912</v>
      </c>
      <c r="D276" s="120" t="n">
        <f aca="false">Inputs!$D$25*Inputs!$D$29*1</f>
        <v>912</v>
      </c>
      <c r="E276" s="120" t="n">
        <f aca="false">Inputs!$D$25*Inputs!$D$29*1</f>
        <v>912</v>
      </c>
      <c r="F276" s="120" t="n">
        <f aca="false">Inputs!$D$25*Inputs!$D$29*1</f>
        <v>912</v>
      </c>
      <c r="G276" s="120" t="n">
        <f aca="false">Inputs!$D$25*Inputs!$D$29*1</f>
        <v>912</v>
      </c>
      <c r="H276" s="120" t="n">
        <f aca="false">Inputs!$D$25*Inputs!$D$29*1</f>
        <v>912</v>
      </c>
      <c r="I276" s="120" t="n">
        <f aca="false">Inputs!$D$25*Inputs!$D$29*1</f>
        <v>912</v>
      </c>
      <c r="J276" s="120" t="n">
        <f aca="false">Inputs!$D$25*Inputs!$D$29*1</f>
        <v>912</v>
      </c>
      <c r="K276" s="120" t="n">
        <f aca="false">Inputs!$D$25*Inputs!$D$29*1</f>
        <v>912</v>
      </c>
      <c r="L276" s="120" t="n">
        <f aca="false">Inputs!$D$25*Inputs!$D$29*1</f>
        <v>912</v>
      </c>
      <c r="M276" s="120" t="n">
        <f aca="false">Inputs!$D$25*Inputs!$D$29*1</f>
        <v>912</v>
      </c>
      <c r="N276" s="120" t="n">
        <f aca="false">Inputs!$D$25*Inputs!$D$29*1</f>
        <v>912</v>
      </c>
      <c r="O276" s="120" t="n">
        <f aca="false">Inputs!$D$25*Inputs!$D$29*1</f>
        <v>912</v>
      </c>
      <c r="P276" s="120" t="n">
        <f aca="false">Inputs!$D$25*Inputs!$D$29*1</f>
        <v>912</v>
      </c>
      <c r="Q276" s="120" t="n">
        <f aca="false">Inputs!$D$25*Inputs!$D$29*1</f>
        <v>912</v>
      </c>
      <c r="R276" s="120" t="n">
        <f aca="false">Inputs!$D$25*Inputs!$D$29*1</f>
        <v>912</v>
      </c>
      <c r="S276" s="120" t="n">
        <f aca="false">Inputs!$D$25*Inputs!$D$29*1</f>
        <v>912</v>
      </c>
      <c r="T276" s="120" t="n">
        <f aca="false">Inputs!$D$25*Inputs!$D$29*1</f>
        <v>912</v>
      </c>
      <c r="U276" s="120" t="n">
        <f aca="false">Inputs!$D$25*Inputs!$D$29*1</f>
        <v>912</v>
      </c>
      <c r="V276" s="120" t="n">
        <f aca="false">Inputs!$D$25*Inputs!$D$29*1</f>
        <v>912</v>
      </c>
      <c r="W276" s="120" t="n">
        <f aca="false">Inputs!$D$25*Inputs!$D$29*1</f>
        <v>912</v>
      </c>
      <c r="X276" s="120" t="n">
        <f aca="false">Inputs!$D$25*Inputs!$D$29*1</f>
        <v>912</v>
      </c>
      <c r="Y276" s="120" t="n">
        <f aca="false">Inputs!$D$25*Inputs!$D$29*1</f>
        <v>912</v>
      </c>
      <c r="Z276" s="120" t="n">
        <f aca="false">Inputs!$D$25*Inputs!$D$29*1</f>
        <v>912</v>
      </c>
      <c r="AA276" s="120" t="n">
        <f aca="false">Inputs!$D$25*Inputs!$D$29*1</f>
        <v>912</v>
      </c>
      <c r="AB276" s="120" t="n">
        <f aca="false">Inputs!$D$25*Inputs!$D$29*1</f>
        <v>912</v>
      </c>
      <c r="AC276" s="120" t="n">
        <f aca="false">Inputs!$D$25*Inputs!$D$29*1</f>
        <v>912</v>
      </c>
      <c r="AD276" s="120" t="n">
        <f aca="false">Inputs!$D$25*Inputs!$D$29*1</f>
        <v>912</v>
      </c>
      <c r="AE276" s="120" t="n">
        <f aca="false">Inputs!$D$25*Inputs!$D$29*1</f>
        <v>912</v>
      </c>
      <c r="AF276" s="120" t="n">
        <f aca="false">Inputs!$D$25*Inputs!$D$29*1</f>
        <v>912</v>
      </c>
      <c r="AG276" s="120" t="n">
        <f aca="false">Inputs!$D$25*Inputs!$D$29*1</f>
        <v>912</v>
      </c>
      <c r="AH276" s="120" t="n">
        <f aca="false">Inputs!$D$25*Inputs!$D$29*1</f>
        <v>912</v>
      </c>
      <c r="AI276" s="120" t="n">
        <f aca="false">Inputs!$D$25*Inputs!$D$29*1</f>
        <v>912</v>
      </c>
      <c r="AJ276" s="120" t="n">
        <f aca="false">Inputs!$D$25*Inputs!$D$29*1</f>
        <v>912</v>
      </c>
      <c r="AK276" s="120" t="n">
        <f aca="false">Inputs!$D$25*Inputs!$D$29*1</f>
        <v>912</v>
      </c>
      <c r="AL276" s="120" t="n">
        <f aca="false">Inputs!$D$25*Inputs!$D$29*1</f>
        <v>912</v>
      </c>
      <c r="AM276" s="120" t="n">
        <f aca="false">Inputs!$D$25*Inputs!$D$29*1</f>
        <v>912</v>
      </c>
      <c r="AN276" s="120" t="n">
        <f aca="false">Inputs!$D$25*Inputs!$D$29*1</f>
        <v>912</v>
      </c>
      <c r="AO276" s="120" t="n">
        <f aca="false">Inputs!$D$25*Inputs!$D$29*1</f>
        <v>912</v>
      </c>
      <c r="AP276" s="120" t="n">
        <f aca="false">Inputs!$D$25*Inputs!$D$29*1</f>
        <v>912</v>
      </c>
      <c r="AQ276" s="120" t="n">
        <f aca="false">Inputs!$D$25*Inputs!$D$29*1</f>
        <v>912</v>
      </c>
      <c r="AR276" s="120" t="n">
        <f aca="false">Inputs!$D$25*Inputs!$D$29*1</f>
        <v>912</v>
      </c>
      <c r="AS276" s="120" t="n">
        <f aca="false">Inputs!$D$25*Inputs!$D$29*1</f>
        <v>912</v>
      </c>
      <c r="AT276" s="120" t="n">
        <f aca="false">Inputs!$D$25*Inputs!$D$29*1</f>
        <v>912</v>
      </c>
      <c r="AU276" s="120" t="n">
        <f aca="false">Inputs!$D$25*Inputs!$D$29*1</f>
        <v>912</v>
      </c>
      <c r="AV276" s="120" t="n">
        <f aca="false">Inputs!$D$25*Inputs!$D$29*1</f>
        <v>912</v>
      </c>
      <c r="AW276" s="120" t="n">
        <f aca="false">Inputs!$D$25*Inputs!$D$29*1</f>
        <v>912</v>
      </c>
      <c r="AX276" s="120" t="n">
        <f aca="false">Inputs!$D$25*Inputs!$D$29*1</f>
        <v>912</v>
      </c>
      <c r="AY276" s="120" t="n">
        <f aca="false">Inputs!$D$25*Inputs!$D$29*1</f>
        <v>912</v>
      </c>
      <c r="AZ276" s="120" t="n">
        <f aca="false">Inputs!$D$25*Inputs!$D$29*1</f>
        <v>912</v>
      </c>
      <c r="BA276" s="120" t="n">
        <f aca="false">Inputs!$D$25*Inputs!$D$29*1</f>
        <v>912</v>
      </c>
      <c r="BB276" s="120" t="n">
        <f aca="false">Inputs!$D$25*Inputs!$D$29*1</f>
        <v>912</v>
      </c>
      <c r="BC276" s="120" t="n">
        <f aca="false">Inputs!$D$25*Inputs!$D$29*1</f>
        <v>912</v>
      </c>
      <c r="BD276" s="120" t="n">
        <f aca="false">Inputs!$D$25*Inputs!$D$29*1</f>
        <v>912</v>
      </c>
      <c r="BE276" s="120" t="n">
        <f aca="false">Inputs!$D$25*Inputs!$D$29*1</f>
        <v>912</v>
      </c>
      <c r="BF276" s="120" t="n">
        <f aca="false">Inputs!$D$25*Inputs!$D$29*1</f>
        <v>912</v>
      </c>
      <c r="BG276" s="120" t="n">
        <f aca="false">Inputs!$D$25*Inputs!$D$29*1</f>
        <v>912</v>
      </c>
      <c r="BH276" s="120" t="n">
        <f aca="false">Inputs!$D$25*Inputs!$D$29*1</f>
        <v>912</v>
      </c>
      <c r="BI276" s="120" t="n">
        <f aca="false">Inputs!$D$25*Inputs!$D$29*1</f>
        <v>912</v>
      </c>
      <c r="BJ276" s="120" t="n">
        <f aca="false">Inputs!$D$25*Inputs!$D$29*1</f>
        <v>912</v>
      </c>
    </row>
    <row r="277" customFormat="false" ht="15" hidden="false" customHeight="false" outlineLevel="0" collapsed="false">
      <c r="A277" s="38" t="s">
        <v>421</v>
      </c>
      <c r="C277" s="76" t="n">
        <f aca="false">MIN(1,Inputs!$D$26*(1+Inputs!$D$27)^(C$259-1)*C263*C275)</f>
        <v>0.315</v>
      </c>
      <c r="D277" s="76" t="n">
        <f aca="false">MIN(1,Inputs!$D$26*(1+Inputs!$D$27)^(D$259-1)*D263*D275)</f>
        <v>0.354375</v>
      </c>
      <c r="E277" s="76" t="n">
        <f aca="false">MIN(1,Inputs!$D$26*(1+Inputs!$D$27)^(E$259-1)*E263*E275)</f>
        <v>0.39375</v>
      </c>
      <c r="F277" s="76" t="n">
        <f aca="false">MIN(1,Inputs!$D$26*(1+Inputs!$D$27)^(F$259-1)*F263*F275)</f>
        <v>0.433125</v>
      </c>
      <c r="G277" s="76" t="n">
        <f aca="false">MIN(1,Inputs!$D$26*(1+Inputs!$D$27)^(G$259-1)*G263*G275)</f>
        <v>0.4725</v>
      </c>
      <c r="H277" s="76" t="n">
        <f aca="false">MIN(1,Inputs!$D$26*(1+Inputs!$D$27)^(H$259-1)*H263*H275)</f>
        <v>0.73125</v>
      </c>
      <c r="I277" s="76" t="n">
        <f aca="false">MIN(1,Inputs!$D$26*(1+Inputs!$D$27)^(I$259-1)*I263*I275)</f>
        <v>0.7875</v>
      </c>
      <c r="J277" s="76" t="n">
        <f aca="false">MIN(1,Inputs!$D$26*(1+Inputs!$D$27)^(J$259-1)*J263*J275)</f>
        <v>0.84375</v>
      </c>
      <c r="K277" s="76" t="n">
        <f aca="false">MIN(1,Inputs!$D$26*(1+Inputs!$D$27)^(K$259-1)*K263*K275)</f>
        <v>0.63</v>
      </c>
      <c r="L277" s="76" t="n">
        <f aca="false">MIN(1,Inputs!$D$26*(1+Inputs!$D$27)^(L$259-1)*L263*L275)</f>
        <v>0.63</v>
      </c>
      <c r="M277" s="76" t="n">
        <f aca="false">MIN(1,Inputs!$D$26*(1+Inputs!$D$27)^(M$259-1)*M263*M275)</f>
        <v>0.63</v>
      </c>
      <c r="N277" s="76" t="n">
        <f aca="false">MIN(1,Inputs!$D$26*(1+Inputs!$D$27)^(N$259-1)*N263*N275)</f>
        <v>0.9</v>
      </c>
      <c r="O277" s="76" t="n">
        <f aca="false">MIN(1,Inputs!$D$26*(1+Inputs!$D$27)^(O$259-1)*O263*O275)</f>
        <v>0.6615</v>
      </c>
      <c r="P277" s="76" t="n">
        <f aca="false">MIN(1,Inputs!$D$26*(1+Inputs!$D$27)^(P$259-1)*P263*P275)</f>
        <v>0.6615</v>
      </c>
      <c r="Q277" s="76" t="n">
        <f aca="false">MIN(1,Inputs!$D$26*(1+Inputs!$D$27)^(Q$259-1)*Q263*Q275)</f>
        <v>0.6615</v>
      </c>
      <c r="R277" s="76" t="n">
        <f aca="false">MIN(1,Inputs!$D$26*(1+Inputs!$D$27)^(R$259-1)*R263*R275)</f>
        <v>0.6615</v>
      </c>
      <c r="S277" s="76" t="n">
        <f aca="false">MIN(1,Inputs!$D$26*(1+Inputs!$D$27)^(S$259-1)*S263*S275)</f>
        <v>0.6615</v>
      </c>
      <c r="T277" s="76" t="n">
        <f aca="false">MIN(1,Inputs!$D$26*(1+Inputs!$D$27)^(T$259-1)*T263*T275)</f>
        <v>0.945</v>
      </c>
      <c r="U277" s="76" t="n">
        <f aca="false">MIN(1,Inputs!$D$26*(1+Inputs!$D$27)^(U$259-1)*U263*U275)</f>
        <v>0.945</v>
      </c>
      <c r="V277" s="76" t="n">
        <f aca="false">MIN(1,Inputs!$D$26*(1+Inputs!$D$27)^(V$259-1)*V263*V275)</f>
        <v>0.945</v>
      </c>
      <c r="W277" s="76" t="n">
        <f aca="false">MIN(1,Inputs!$D$26*(1+Inputs!$D$27)^(W$259-1)*W263*W275)</f>
        <v>0.6615</v>
      </c>
      <c r="X277" s="76" t="n">
        <f aca="false">MIN(1,Inputs!$D$26*(1+Inputs!$D$27)^(X$259-1)*X263*X275)</f>
        <v>0.6615</v>
      </c>
      <c r="Y277" s="76" t="n">
        <f aca="false">MIN(1,Inputs!$D$26*(1+Inputs!$D$27)^(Y$259-1)*Y263*Y275)</f>
        <v>0.6615</v>
      </c>
      <c r="Z277" s="76" t="n">
        <f aca="false">MIN(1,Inputs!$D$26*(1+Inputs!$D$27)^(Z$259-1)*Z263*Z275)</f>
        <v>0.945</v>
      </c>
      <c r="AA277" s="76" t="n">
        <f aca="false">MIN(1,Inputs!$D$26*(1+Inputs!$D$27)^(AA$259-1)*AA263*AA275)</f>
        <v>0.694575</v>
      </c>
      <c r="AB277" s="76" t="n">
        <f aca="false">MIN(1,Inputs!$D$26*(1+Inputs!$D$27)^(AB$259-1)*AB263*AB275)</f>
        <v>0.694575</v>
      </c>
      <c r="AC277" s="76" t="n">
        <f aca="false">MIN(1,Inputs!$D$26*(1+Inputs!$D$27)^(AC$259-1)*AC263*AC275)</f>
        <v>0.694575</v>
      </c>
      <c r="AD277" s="76" t="n">
        <f aca="false">MIN(1,Inputs!$D$26*(1+Inputs!$D$27)^(AD$259-1)*AD263*AD275)</f>
        <v>0.694575</v>
      </c>
      <c r="AE277" s="76" t="n">
        <f aca="false">MIN(1,Inputs!$D$26*(1+Inputs!$D$27)^(AE$259-1)*AE263*AE275)</f>
        <v>0.694575</v>
      </c>
      <c r="AF277" s="76" t="n">
        <f aca="false">MIN(1,Inputs!$D$26*(1+Inputs!$D$27)^(AF$259-1)*AF263*AF275)</f>
        <v>0.99225</v>
      </c>
      <c r="AG277" s="76" t="n">
        <f aca="false">MIN(1,Inputs!$D$26*(1+Inputs!$D$27)^(AG$259-1)*AG263*AG275)</f>
        <v>0.99225</v>
      </c>
      <c r="AH277" s="76" t="n">
        <f aca="false">MIN(1,Inputs!$D$26*(1+Inputs!$D$27)^(AH$259-1)*AH263*AH275)</f>
        <v>0.99225</v>
      </c>
      <c r="AI277" s="76" t="n">
        <f aca="false">MIN(1,Inputs!$D$26*(1+Inputs!$D$27)^(AI$259-1)*AI263*AI275)</f>
        <v>0.694575</v>
      </c>
      <c r="AJ277" s="76" t="n">
        <f aca="false">MIN(1,Inputs!$D$26*(1+Inputs!$D$27)^(AJ$259-1)*AJ263*AJ275)</f>
        <v>0.694575</v>
      </c>
      <c r="AK277" s="76" t="n">
        <f aca="false">MIN(1,Inputs!$D$26*(1+Inputs!$D$27)^(AK$259-1)*AK263*AK275)</f>
        <v>0.694575</v>
      </c>
      <c r="AL277" s="76" t="n">
        <f aca="false">MIN(1,Inputs!$D$26*(1+Inputs!$D$27)^(AL$259-1)*AL263*AL275)</f>
        <v>0.99225</v>
      </c>
      <c r="AM277" s="76" t="n">
        <f aca="false">MIN(1,Inputs!$D$26*(1+Inputs!$D$27)^(AM$259-1)*AM263*AM275)</f>
        <v>0.72930375</v>
      </c>
      <c r="AN277" s="76" t="n">
        <f aca="false">MIN(1,Inputs!$D$26*(1+Inputs!$D$27)^(AN$259-1)*AN263*AN275)</f>
        <v>0.72930375</v>
      </c>
      <c r="AO277" s="76" t="n">
        <f aca="false">MIN(1,Inputs!$D$26*(1+Inputs!$D$27)^(AO$259-1)*AO263*AO275)</f>
        <v>0.72930375</v>
      </c>
      <c r="AP277" s="76" t="n">
        <f aca="false">MIN(1,Inputs!$D$26*(1+Inputs!$D$27)^(AP$259-1)*AP263*AP275)</f>
        <v>0.72930375</v>
      </c>
      <c r="AQ277" s="76" t="n">
        <f aca="false">MIN(1,Inputs!$D$26*(1+Inputs!$D$27)^(AQ$259-1)*AQ263*AQ275)</f>
        <v>0.72930375</v>
      </c>
      <c r="AR277" s="76" t="n">
        <f aca="false">MIN(1,Inputs!$D$26*(1+Inputs!$D$27)^(AR$259-1)*AR263*AR275)</f>
        <v>1</v>
      </c>
      <c r="AS277" s="76" t="n">
        <f aca="false">MIN(1,Inputs!$D$26*(1+Inputs!$D$27)^(AS$259-1)*AS263*AS275)</f>
        <v>1</v>
      </c>
      <c r="AT277" s="76" t="n">
        <f aca="false">MIN(1,Inputs!$D$26*(1+Inputs!$D$27)^(AT$259-1)*AT263*AT275)</f>
        <v>1</v>
      </c>
      <c r="AU277" s="76" t="n">
        <f aca="false">MIN(1,Inputs!$D$26*(1+Inputs!$D$27)^(AU$259-1)*AU263*AU275)</f>
        <v>0.72930375</v>
      </c>
      <c r="AV277" s="76" t="n">
        <f aca="false">MIN(1,Inputs!$D$26*(1+Inputs!$D$27)^(AV$259-1)*AV263*AV275)</f>
        <v>0.72930375</v>
      </c>
      <c r="AW277" s="76" t="n">
        <f aca="false">MIN(1,Inputs!$D$26*(1+Inputs!$D$27)^(AW$259-1)*AW263*AW275)</f>
        <v>0.72930375</v>
      </c>
      <c r="AX277" s="76" t="n">
        <f aca="false">MIN(1,Inputs!$D$26*(1+Inputs!$D$27)^(AX$259-1)*AX263*AX275)</f>
        <v>1</v>
      </c>
      <c r="AY277" s="76" t="n">
        <f aca="false">MIN(1,Inputs!$D$26*(1+Inputs!$D$27)^(AY$259-1)*AY263*AY275)</f>
        <v>0.7657689375</v>
      </c>
      <c r="AZ277" s="76" t="n">
        <f aca="false">MIN(1,Inputs!$D$26*(1+Inputs!$D$27)^(AZ$259-1)*AZ263*AZ275)</f>
        <v>0.7657689375</v>
      </c>
      <c r="BA277" s="76" t="n">
        <f aca="false">MIN(1,Inputs!$D$26*(1+Inputs!$D$27)^(BA$259-1)*BA263*BA275)</f>
        <v>0.7657689375</v>
      </c>
      <c r="BB277" s="76" t="n">
        <f aca="false">MIN(1,Inputs!$D$26*(1+Inputs!$D$27)^(BB$259-1)*BB263*BB275)</f>
        <v>0.7657689375</v>
      </c>
      <c r="BC277" s="76" t="n">
        <f aca="false">MIN(1,Inputs!$D$26*(1+Inputs!$D$27)^(BC$259-1)*BC263*BC275)</f>
        <v>0.7657689375</v>
      </c>
      <c r="BD277" s="76" t="n">
        <f aca="false">MIN(1,Inputs!$D$26*(1+Inputs!$D$27)^(BD$259-1)*BD263*BD275)</f>
        <v>1</v>
      </c>
      <c r="BE277" s="76" t="n">
        <f aca="false">MIN(1,Inputs!$D$26*(1+Inputs!$D$27)^(BE$259-1)*BE263*BE275)</f>
        <v>1</v>
      </c>
      <c r="BF277" s="76" t="n">
        <f aca="false">MIN(1,Inputs!$D$26*(1+Inputs!$D$27)^(BF$259-1)*BF263*BF275)</f>
        <v>1</v>
      </c>
      <c r="BG277" s="76" t="n">
        <f aca="false">MIN(1,Inputs!$D$26*(1+Inputs!$D$27)^(BG$259-1)*BG263*BG275)</f>
        <v>0.7657689375</v>
      </c>
      <c r="BH277" s="76" t="n">
        <f aca="false">MIN(1,Inputs!$D$26*(1+Inputs!$D$27)^(BH$259-1)*BH263*BH275)</f>
        <v>0.7657689375</v>
      </c>
      <c r="BI277" s="76" t="n">
        <f aca="false">MIN(1,Inputs!$D$26*(1+Inputs!$D$27)^(BI$259-1)*BI263*BI275)</f>
        <v>0.7657689375</v>
      </c>
      <c r="BJ277" s="76" t="n">
        <f aca="false">MIN(1,Inputs!$D$26*(1+Inputs!$D$27)^(BJ$259-1)*BJ263*BJ275)</f>
        <v>1</v>
      </c>
    </row>
    <row r="278" customFormat="false" ht="15" hidden="false" customHeight="false" outlineLevel="0" collapsed="false">
      <c r="A278" s="4" t="s">
        <v>236</v>
      </c>
      <c r="C278" s="122" t="n">
        <f aca="false">C276*C277</f>
        <v>287.28</v>
      </c>
      <c r="D278" s="122" t="n">
        <f aca="false">D276*D277</f>
        <v>323.19</v>
      </c>
      <c r="E278" s="122" t="n">
        <f aca="false">E276*E277</f>
        <v>359.1</v>
      </c>
      <c r="F278" s="122" t="n">
        <f aca="false">F276*F277</f>
        <v>395.01</v>
      </c>
      <c r="G278" s="122" t="n">
        <f aca="false">G276*G277</f>
        <v>430.92</v>
      </c>
      <c r="H278" s="122" t="n">
        <f aca="false">H276*H277</f>
        <v>666.9</v>
      </c>
      <c r="I278" s="122" t="n">
        <f aca="false">I276*I277</f>
        <v>718.2</v>
      </c>
      <c r="J278" s="122" t="n">
        <f aca="false">J276*J277</f>
        <v>769.5</v>
      </c>
      <c r="K278" s="122" t="n">
        <f aca="false">K276*K277</f>
        <v>574.56</v>
      </c>
      <c r="L278" s="122" t="n">
        <f aca="false">L276*L277</f>
        <v>574.56</v>
      </c>
      <c r="M278" s="122" t="n">
        <f aca="false">M276*M277</f>
        <v>574.56</v>
      </c>
      <c r="N278" s="122" t="n">
        <f aca="false">N276*N277</f>
        <v>820.8</v>
      </c>
      <c r="O278" s="122" t="n">
        <f aca="false">O276*O277</f>
        <v>603.288</v>
      </c>
      <c r="P278" s="122" t="n">
        <f aca="false">P276*P277</f>
        <v>603.288</v>
      </c>
      <c r="Q278" s="122" t="n">
        <f aca="false">Q276*Q277</f>
        <v>603.288</v>
      </c>
      <c r="R278" s="122" t="n">
        <f aca="false">R276*R277</f>
        <v>603.288</v>
      </c>
      <c r="S278" s="122" t="n">
        <f aca="false">S276*S277</f>
        <v>603.288</v>
      </c>
      <c r="T278" s="122" t="n">
        <f aca="false">T276*T277</f>
        <v>861.84</v>
      </c>
      <c r="U278" s="122" t="n">
        <f aca="false">U276*U277</f>
        <v>861.84</v>
      </c>
      <c r="V278" s="122" t="n">
        <f aca="false">V276*V277</f>
        <v>861.84</v>
      </c>
      <c r="W278" s="122" t="n">
        <f aca="false">W276*W277</f>
        <v>603.288</v>
      </c>
      <c r="X278" s="122" t="n">
        <f aca="false">X276*X277</f>
        <v>603.288</v>
      </c>
      <c r="Y278" s="122" t="n">
        <f aca="false">Y276*Y277</f>
        <v>603.288</v>
      </c>
      <c r="Z278" s="122" t="n">
        <f aca="false">Z276*Z277</f>
        <v>861.84</v>
      </c>
      <c r="AA278" s="122" t="n">
        <f aca="false">AA276*AA277</f>
        <v>633.4524</v>
      </c>
      <c r="AB278" s="122" t="n">
        <f aca="false">AB276*AB277</f>
        <v>633.4524</v>
      </c>
      <c r="AC278" s="122" t="n">
        <f aca="false">AC276*AC277</f>
        <v>633.4524</v>
      </c>
      <c r="AD278" s="122" t="n">
        <f aca="false">AD276*AD277</f>
        <v>633.4524</v>
      </c>
      <c r="AE278" s="122" t="n">
        <f aca="false">AE276*AE277</f>
        <v>633.4524</v>
      </c>
      <c r="AF278" s="122" t="n">
        <f aca="false">AF276*AF277</f>
        <v>904.932</v>
      </c>
      <c r="AG278" s="122" t="n">
        <f aca="false">AG276*AG277</f>
        <v>904.932</v>
      </c>
      <c r="AH278" s="122" t="n">
        <f aca="false">AH276*AH277</f>
        <v>904.932</v>
      </c>
      <c r="AI278" s="122" t="n">
        <f aca="false">AI276*AI277</f>
        <v>633.4524</v>
      </c>
      <c r="AJ278" s="122" t="n">
        <f aca="false">AJ276*AJ277</f>
        <v>633.4524</v>
      </c>
      <c r="AK278" s="122" t="n">
        <f aca="false">AK276*AK277</f>
        <v>633.4524</v>
      </c>
      <c r="AL278" s="122" t="n">
        <f aca="false">AL276*AL277</f>
        <v>904.932</v>
      </c>
      <c r="AM278" s="122" t="n">
        <f aca="false">AM276*AM277</f>
        <v>665.12502</v>
      </c>
      <c r="AN278" s="122" t="n">
        <f aca="false">AN276*AN277</f>
        <v>665.12502</v>
      </c>
      <c r="AO278" s="122" t="n">
        <f aca="false">AO276*AO277</f>
        <v>665.12502</v>
      </c>
      <c r="AP278" s="122" t="n">
        <f aca="false">AP276*AP277</f>
        <v>665.12502</v>
      </c>
      <c r="AQ278" s="122" t="n">
        <f aca="false">AQ276*AQ277</f>
        <v>665.12502</v>
      </c>
      <c r="AR278" s="122" t="n">
        <f aca="false">AR276*AR277</f>
        <v>912</v>
      </c>
      <c r="AS278" s="122" t="n">
        <f aca="false">AS276*AS277</f>
        <v>912</v>
      </c>
      <c r="AT278" s="122" t="n">
        <f aca="false">AT276*AT277</f>
        <v>912</v>
      </c>
      <c r="AU278" s="122" t="n">
        <f aca="false">AU276*AU277</f>
        <v>665.12502</v>
      </c>
      <c r="AV278" s="122" t="n">
        <f aca="false">AV276*AV277</f>
        <v>665.12502</v>
      </c>
      <c r="AW278" s="122" t="n">
        <f aca="false">AW276*AW277</f>
        <v>665.12502</v>
      </c>
      <c r="AX278" s="122" t="n">
        <f aca="false">AX276*AX277</f>
        <v>912</v>
      </c>
      <c r="AY278" s="122" t="n">
        <f aca="false">AY276*AY277</f>
        <v>698.381271</v>
      </c>
      <c r="AZ278" s="122" t="n">
        <f aca="false">AZ276*AZ277</f>
        <v>698.381271</v>
      </c>
      <c r="BA278" s="122" t="n">
        <f aca="false">BA276*BA277</f>
        <v>698.381271</v>
      </c>
      <c r="BB278" s="122" t="n">
        <f aca="false">BB276*BB277</f>
        <v>698.381271</v>
      </c>
      <c r="BC278" s="122" t="n">
        <f aca="false">BC276*BC277</f>
        <v>698.381271</v>
      </c>
      <c r="BD278" s="122" t="n">
        <f aca="false">BD276*BD277</f>
        <v>912</v>
      </c>
      <c r="BE278" s="122" t="n">
        <f aca="false">BE276*BE277</f>
        <v>912</v>
      </c>
      <c r="BF278" s="122" t="n">
        <f aca="false">BF276*BF277</f>
        <v>912</v>
      </c>
      <c r="BG278" s="122" t="n">
        <f aca="false">BG276*BG277</f>
        <v>698.381271</v>
      </c>
      <c r="BH278" s="122" t="n">
        <f aca="false">BH276*BH277</f>
        <v>698.381271</v>
      </c>
      <c r="BI278" s="122" t="n">
        <f aca="false">BI276*BI277</f>
        <v>698.381271</v>
      </c>
      <c r="BJ278" s="122" t="n">
        <f aca="false">BJ276*BJ277</f>
        <v>912</v>
      </c>
    </row>
    <row r="280" customFormat="false" ht="15.75" hidden="false" customHeight="true" outlineLevel="0" collapsed="false">
      <c r="A280" s="7" t="s">
        <v>44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customFormat="false" ht="15" hidden="false" customHeight="false" outlineLevel="0" collapsed="false">
      <c r="A281" s="6" t="s">
        <v>422</v>
      </c>
      <c r="C281" s="123" t="n">
        <f aca="false">Inputs!$D$19*(1+Inputs!$D$20)^(C$259-1)</f>
        <v>82</v>
      </c>
      <c r="D281" s="123" t="n">
        <f aca="false">Inputs!$D$19*(1+Inputs!$D$20)^(D$259-1)</f>
        <v>82</v>
      </c>
      <c r="E281" s="123" t="n">
        <f aca="false">Inputs!$D$19*(1+Inputs!$D$20)^(E$259-1)</f>
        <v>82</v>
      </c>
      <c r="F281" s="123" t="n">
        <f aca="false">Inputs!$D$19*(1+Inputs!$D$20)^(F$259-1)</f>
        <v>82</v>
      </c>
      <c r="G281" s="123" t="n">
        <f aca="false">Inputs!$D$19*(1+Inputs!$D$20)^(G$259-1)</f>
        <v>82</v>
      </c>
      <c r="H281" s="123" t="n">
        <f aca="false">Inputs!$D$19*(1+Inputs!$D$20)^(H$259-1)</f>
        <v>82</v>
      </c>
      <c r="I281" s="123" t="n">
        <f aca="false">Inputs!$D$19*(1+Inputs!$D$20)^(I$259-1)</f>
        <v>82</v>
      </c>
      <c r="J281" s="123" t="n">
        <f aca="false">Inputs!$D$19*(1+Inputs!$D$20)^(J$259-1)</f>
        <v>82</v>
      </c>
      <c r="K281" s="123" t="n">
        <f aca="false">Inputs!$D$19*(1+Inputs!$D$20)^(K$259-1)</f>
        <v>82</v>
      </c>
      <c r="L281" s="123" t="n">
        <f aca="false">Inputs!$D$19*(1+Inputs!$D$20)^(L$259-1)</f>
        <v>82</v>
      </c>
      <c r="M281" s="123" t="n">
        <f aca="false">Inputs!$D$19*(1+Inputs!$D$20)^(M$259-1)</f>
        <v>82</v>
      </c>
      <c r="N281" s="123" t="n">
        <f aca="false">Inputs!$D$19*(1+Inputs!$D$20)^(N$259-1)</f>
        <v>82</v>
      </c>
      <c r="O281" s="123" t="n">
        <f aca="false">Inputs!$D$19*(1+Inputs!$D$20)^(O$259-1)</f>
        <v>85.28</v>
      </c>
      <c r="P281" s="123" t="n">
        <f aca="false">Inputs!$D$19*(1+Inputs!$D$20)^(P$259-1)</f>
        <v>85.28</v>
      </c>
      <c r="Q281" s="123" t="n">
        <f aca="false">Inputs!$D$19*(1+Inputs!$D$20)^(Q$259-1)</f>
        <v>85.28</v>
      </c>
      <c r="R281" s="123" t="n">
        <f aca="false">Inputs!$D$19*(1+Inputs!$D$20)^(R$259-1)</f>
        <v>85.28</v>
      </c>
      <c r="S281" s="123" t="n">
        <f aca="false">Inputs!$D$19*(1+Inputs!$D$20)^(S$259-1)</f>
        <v>85.28</v>
      </c>
      <c r="T281" s="123" t="n">
        <f aca="false">Inputs!$D$19*(1+Inputs!$D$20)^(T$259-1)</f>
        <v>85.28</v>
      </c>
      <c r="U281" s="123" t="n">
        <f aca="false">Inputs!$D$19*(1+Inputs!$D$20)^(U$259-1)</f>
        <v>85.28</v>
      </c>
      <c r="V281" s="123" t="n">
        <f aca="false">Inputs!$D$19*(1+Inputs!$D$20)^(V$259-1)</f>
        <v>85.28</v>
      </c>
      <c r="W281" s="123" t="n">
        <f aca="false">Inputs!$D$19*(1+Inputs!$D$20)^(W$259-1)</f>
        <v>85.28</v>
      </c>
      <c r="X281" s="123" t="n">
        <f aca="false">Inputs!$D$19*(1+Inputs!$D$20)^(X$259-1)</f>
        <v>85.28</v>
      </c>
      <c r="Y281" s="123" t="n">
        <f aca="false">Inputs!$D$19*(1+Inputs!$D$20)^(Y$259-1)</f>
        <v>85.28</v>
      </c>
      <c r="Z281" s="123" t="n">
        <f aca="false">Inputs!$D$19*(1+Inputs!$D$20)^(Z$259-1)</f>
        <v>85.28</v>
      </c>
      <c r="AA281" s="123" t="n">
        <f aca="false">Inputs!$D$19*(1+Inputs!$D$20)^(AA$259-1)</f>
        <v>88.6912</v>
      </c>
      <c r="AB281" s="123" t="n">
        <f aca="false">Inputs!$D$19*(1+Inputs!$D$20)^(AB$259-1)</f>
        <v>88.6912</v>
      </c>
      <c r="AC281" s="123" t="n">
        <f aca="false">Inputs!$D$19*(1+Inputs!$D$20)^(AC$259-1)</f>
        <v>88.6912</v>
      </c>
      <c r="AD281" s="123" t="n">
        <f aca="false">Inputs!$D$19*(1+Inputs!$D$20)^(AD$259-1)</f>
        <v>88.6912</v>
      </c>
      <c r="AE281" s="123" t="n">
        <f aca="false">Inputs!$D$19*(1+Inputs!$D$20)^(AE$259-1)</f>
        <v>88.6912</v>
      </c>
      <c r="AF281" s="123" t="n">
        <f aca="false">Inputs!$D$19*(1+Inputs!$D$20)^(AF$259-1)</f>
        <v>88.6912</v>
      </c>
      <c r="AG281" s="123" t="n">
        <f aca="false">Inputs!$D$19*(1+Inputs!$D$20)^(AG$259-1)</f>
        <v>88.6912</v>
      </c>
      <c r="AH281" s="123" t="n">
        <f aca="false">Inputs!$D$19*(1+Inputs!$D$20)^(AH$259-1)</f>
        <v>88.6912</v>
      </c>
      <c r="AI281" s="123" t="n">
        <f aca="false">Inputs!$D$19*(1+Inputs!$D$20)^(AI$259-1)</f>
        <v>88.6912</v>
      </c>
      <c r="AJ281" s="123" t="n">
        <f aca="false">Inputs!$D$19*(1+Inputs!$D$20)^(AJ$259-1)</f>
        <v>88.6912</v>
      </c>
      <c r="AK281" s="123" t="n">
        <f aca="false">Inputs!$D$19*(1+Inputs!$D$20)^(AK$259-1)</f>
        <v>88.6912</v>
      </c>
      <c r="AL281" s="123" t="n">
        <f aca="false">Inputs!$D$19*(1+Inputs!$D$20)^(AL$259-1)</f>
        <v>88.6912</v>
      </c>
      <c r="AM281" s="123" t="n">
        <f aca="false">Inputs!$D$19*(1+Inputs!$D$20)^(AM$259-1)</f>
        <v>92.238848</v>
      </c>
      <c r="AN281" s="123" t="n">
        <f aca="false">Inputs!$D$19*(1+Inputs!$D$20)^(AN$259-1)</f>
        <v>92.238848</v>
      </c>
      <c r="AO281" s="123" t="n">
        <f aca="false">Inputs!$D$19*(1+Inputs!$D$20)^(AO$259-1)</f>
        <v>92.238848</v>
      </c>
      <c r="AP281" s="123" t="n">
        <f aca="false">Inputs!$D$19*(1+Inputs!$D$20)^(AP$259-1)</f>
        <v>92.238848</v>
      </c>
      <c r="AQ281" s="123" t="n">
        <f aca="false">Inputs!$D$19*(1+Inputs!$D$20)^(AQ$259-1)</f>
        <v>92.238848</v>
      </c>
      <c r="AR281" s="123" t="n">
        <f aca="false">Inputs!$D$19*(1+Inputs!$D$20)^(AR$259-1)</f>
        <v>92.238848</v>
      </c>
      <c r="AS281" s="123" t="n">
        <f aca="false">Inputs!$D$19*(1+Inputs!$D$20)^(AS$259-1)</f>
        <v>92.238848</v>
      </c>
      <c r="AT281" s="123" t="n">
        <f aca="false">Inputs!$D$19*(1+Inputs!$D$20)^(AT$259-1)</f>
        <v>92.238848</v>
      </c>
      <c r="AU281" s="123" t="n">
        <f aca="false">Inputs!$D$19*(1+Inputs!$D$20)^(AU$259-1)</f>
        <v>92.238848</v>
      </c>
      <c r="AV281" s="123" t="n">
        <f aca="false">Inputs!$D$19*(1+Inputs!$D$20)^(AV$259-1)</f>
        <v>92.238848</v>
      </c>
      <c r="AW281" s="123" t="n">
        <f aca="false">Inputs!$D$19*(1+Inputs!$D$20)^(AW$259-1)</f>
        <v>92.238848</v>
      </c>
      <c r="AX281" s="123" t="n">
        <f aca="false">Inputs!$D$19*(1+Inputs!$D$20)^(AX$259-1)</f>
        <v>92.238848</v>
      </c>
      <c r="AY281" s="123" t="n">
        <f aca="false">Inputs!$D$19*(1+Inputs!$D$20)^(AY$259-1)</f>
        <v>95.92840192</v>
      </c>
      <c r="AZ281" s="123" t="n">
        <f aca="false">Inputs!$D$19*(1+Inputs!$D$20)^(AZ$259-1)</f>
        <v>95.92840192</v>
      </c>
      <c r="BA281" s="123" t="n">
        <f aca="false">Inputs!$D$19*(1+Inputs!$D$20)^(BA$259-1)</f>
        <v>95.92840192</v>
      </c>
      <c r="BB281" s="123" t="n">
        <f aca="false">Inputs!$D$19*(1+Inputs!$D$20)^(BB$259-1)</f>
        <v>95.92840192</v>
      </c>
      <c r="BC281" s="123" t="n">
        <f aca="false">Inputs!$D$19*(1+Inputs!$D$20)^(BC$259-1)</f>
        <v>95.92840192</v>
      </c>
      <c r="BD281" s="123" t="n">
        <f aca="false">Inputs!$D$19*(1+Inputs!$D$20)^(BD$259-1)</f>
        <v>95.92840192</v>
      </c>
      <c r="BE281" s="123" t="n">
        <f aca="false">Inputs!$D$19*(1+Inputs!$D$20)^(BE$259-1)</f>
        <v>95.92840192</v>
      </c>
      <c r="BF281" s="123" t="n">
        <f aca="false">Inputs!$D$19*(1+Inputs!$D$20)^(BF$259-1)</f>
        <v>95.92840192</v>
      </c>
      <c r="BG281" s="123" t="n">
        <f aca="false">Inputs!$D$19*(1+Inputs!$D$20)^(BG$259-1)</f>
        <v>95.92840192</v>
      </c>
      <c r="BH281" s="123" t="n">
        <f aca="false">Inputs!$D$19*(1+Inputs!$D$20)^(BH$259-1)</f>
        <v>95.92840192</v>
      </c>
      <c r="BI281" s="123" t="n">
        <f aca="false">Inputs!$D$19*(1+Inputs!$D$20)^(BI$259-1)</f>
        <v>95.92840192</v>
      </c>
      <c r="BJ281" s="123" t="n">
        <f aca="false">Inputs!$D$19*(1+Inputs!$D$20)^(BJ$259-1)</f>
        <v>95.92840192</v>
      </c>
    </row>
    <row r="282" customFormat="false" ht="15" hidden="false" customHeight="false" outlineLevel="0" collapsed="false">
      <c r="A282" s="6" t="s">
        <v>238</v>
      </c>
      <c r="C282" s="69" t="n">
        <f aca="false">C271*C281</f>
        <v>20254</v>
      </c>
      <c r="D282" s="69" t="n">
        <f aca="false">D271*D281</f>
        <v>22785.75</v>
      </c>
      <c r="E282" s="69" t="n">
        <f aca="false">E271*E281</f>
        <v>25317.5</v>
      </c>
      <c r="F282" s="69" t="n">
        <f aca="false">F271*F281</f>
        <v>27849.25</v>
      </c>
      <c r="G282" s="69" t="n">
        <f aca="false">G271*G281</f>
        <v>30381</v>
      </c>
      <c r="H282" s="69" t="n">
        <f aca="false">H271*H281</f>
        <v>32912.75</v>
      </c>
      <c r="I282" s="69" t="n">
        <f aca="false">I271*I281</f>
        <v>35444.5</v>
      </c>
      <c r="J282" s="69" t="n">
        <f aca="false">J271*J281</f>
        <v>37976.25</v>
      </c>
      <c r="K282" s="69" t="n">
        <f aca="false">K271*K281</f>
        <v>40508</v>
      </c>
      <c r="L282" s="69" t="n">
        <f aca="false">L271*L281</f>
        <v>40508</v>
      </c>
      <c r="M282" s="69" t="n">
        <f aca="false">M271*M281</f>
        <v>40508</v>
      </c>
      <c r="N282" s="69" t="n">
        <f aca="false">N271*N281</f>
        <v>40508</v>
      </c>
      <c r="O282" s="69" t="n">
        <f aca="false">O271*O281</f>
        <v>44656.0192</v>
      </c>
      <c r="P282" s="69" t="n">
        <f aca="false">P271*P281</f>
        <v>44656.0192</v>
      </c>
      <c r="Q282" s="69" t="n">
        <f aca="false">Q271*Q281</f>
        <v>44656.0192</v>
      </c>
      <c r="R282" s="69" t="n">
        <f aca="false">R271*R281</f>
        <v>44656.0192</v>
      </c>
      <c r="S282" s="69" t="n">
        <f aca="false">S271*S281</f>
        <v>44656.0192</v>
      </c>
      <c r="T282" s="69" t="n">
        <f aca="false">T271*T281</f>
        <v>44656.0192</v>
      </c>
      <c r="U282" s="69" t="n">
        <f aca="false">U271*U281</f>
        <v>44656.0192</v>
      </c>
      <c r="V282" s="69" t="n">
        <f aca="false">V271*V281</f>
        <v>44656.0192</v>
      </c>
      <c r="W282" s="69" t="n">
        <f aca="false">W271*W281</f>
        <v>44656.0192</v>
      </c>
      <c r="X282" s="69" t="n">
        <f aca="false">X271*X281</f>
        <v>44656.0192</v>
      </c>
      <c r="Y282" s="69" t="n">
        <f aca="false">Y271*Y281</f>
        <v>44656.0192</v>
      </c>
      <c r="Z282" s="69" t="n">
        <f aca="false">Z271*Z281</f>
        <v>44656.0192</v>
      </c>
      <c r="AA282" s="69" t="n">
        <f aca="false">AA271*AA281</f>
        <v>49228.79556608</v>
      </c>
      <c r="AB282" s="69" t="n">
        <f aca="false">AB271*AB281</f>
        <v>49228.79556608</v>
      </c>
      <c r="AC282" s="69" t="n">
        <f aca="false">AC271*AC281</f>
        <v>49228.79556608</v>
      </c>
      <c r="AD282" s="69" t="n">
        <f aca="false">AD271*AD281</f>
        <v>49228.79556608</v>
      </c>
      <c r="AE282" s="69" t="n">
        <f aca="false">AE271*AE281</f>
        <v>49228.79556608</v>
      </c>
      <c r="AF282" s="69" t="n">
        <f aca="false">AF271*AF281</f>
        <v>49228.79556608</v>
      </c>
      <c r="AG282" s="69" t="n">
        <f aca="false">AG271*AG281</f>
        <v>49228.79556608</v>
      </c>
      <c r="AH282" s="69" t="n">
        <f aca="false">AH271*AH281</f>
        <v>49228.79556608</v>
      </c>
      <c r="AI282" s="69" t="n">
        <f aca="false">AI271*AI281</f>
        <v>49228.79556608</v>
      </c>
      <c r="AJ282" s="69" t="n">
        <f aca="false">AJ271*AJ281</f>
        <v>49228.79556608</v>
      </c>
      <c r="AK282" s="69" t="n">
        <f aca="false">AK271*AK281</f>
        <v>49228.79556608</v>
      </c>
      <c r="AL282" s="69" t="n">
        <f aca="false">AL271*AL281</f>
        <v>49228.79556608</v>
      </c>
      <c r="AM282" s="69" t="n">
        <f aca="false">AM271*AM281</f>
        <v>54269.8242320466</v>
      </c>
      <c r="AN282" s="69" t="n">
        <f aca="false">AN271*AN281</f>
        <v>54269.8242320466</v>
      </c>
      <c r="AO282" s="69" t="n">
        <f aca="false">AO271*AO281</f>
        <v>54269.8242320466</v>
      </c>
      <c r="AP282" s="69" t="n">
        <f aca="false">AP271*AP281</f>
        <v>54269.8242320466</v>
      </c>
      <c r="AQ282" s="69" t="n">
        <f aca="false">AQ271*AQ281</f>
        <v>54269.8242320466</v>
      </c>
      <c r="AR282" s="69" t="n">
        <f aca="false">AR271*AR281</f>
        <v>54269.8242320466</v>
      </c>
      <c r="AS282" s="69" t="n">
        <f aca="false">AS271*AS281</f>
        <v>54269.8242320466</v>
      </c>
      <c r="AT282" s="69" t="n">
        <f aca="false">AT271*AT281</f>
        <v>54269.8242320466</v>
      </c>
      <c r="AU282" s="69" t="n">
        <f aca="false">AU271*AU281</f>
        <v>54269.8242320466</v>
      </c>
      <c r="AV282" s="69" t="n">
        <f aca="false">AV271*AV281</f>
        <v>54269.8242320466</v>
      </c>
      <c r="AW282" s="69" t="n">
        <f aca="false">AW271*AW281</f>
        <v>54269.8242320466</v>
      </c>
      <c r="AX282" s="69" t="n">
        <f aca="false">AX271*AX281</f>
        <v>54269.8242320466</v>
      </c>
      <c r="AY282" s="69" t="n">
        <f aca="false">AY271*AY281</f>
        <v>59827.0542334082</v>
      </c>
      <c r="AZ282" s="69" t="n">
        <f aca="false">AZ271*AZ281</f>
        <v>59827.0542334082</v>
      </c>
      <c r="BA282" s="69" t="n">
        <f aca="false">BA271*BA281</f>
        <v>59827.0542334082</v>
      </c>
      <c r="BB282" s="69" t="n">
        <f aca="false">BB271*BB281</f>
        <v>59827.0542334082</v>
      </c>
      <c r="BC282" s="69" t="n">
        <f aca="false">BC271*BC281</f>
        <v>59827.0542334082</v>
      </c>
      <c r="BD282" s="69" t="n">
        <f aca="false">BD271*BD281</f>
        <v>59827.0542334082</v>
      </c>
      <c r="BE282" s="69" t="n">
        <f aca="false">BE271*BE281</f>
        <v>59827.0542334082</v>
      </c>
      <c r="BF282" s="69" t="n">
        <f aca="false">BF271*BF281</f>
        <v>59827.0542334082</v>
      </c>
      <c r="BG282" s="69" t="n">
        <f aca="false">BG271*BG281</f>
        <v>59827.0542334082</v>
      </c>
      <c r="BH282" s="69" t="n">
        <f aca="false">BH271*BH281</f>
        <v>59827.0542334082</v>
      </c>
      <c r="BI282" s="69" t="n">
        <f aca="false">BI271*BI281</f>
        <v>59827.0542334082</v>
      </c>
      <c r="BJ282" s="69" t="n">
        <f aca="false">BJ271*BJ281</f>
        <v>59827.0542334082</v>
      </c>
    </row>
    <row r="283" customFormat="false" ht="15" hidden="false" customHeight="false" outlineLevel="0" collapsed="false">
      <c r="A283" s="6" t="s">
        <v>239</v>
      </c>
      <c r="C283" s="69" t="n">
        <f aca="false">C278*Inputs!$D$30*(1+Inputs!$D$20)^(C$259-1)</f>
        <v>17236.8</v>
      </c>
      <c r="D283" s="69" t="n">
        <f aca="false">D278*Inputs!$D$30*(1+Inputs!$D$20)^(D$259-1)</f>
        <v>19391.4</v>
      </c>
      <c r="E283" s="69" t="n">
        <f aca="false">E278*Inputs!$D$30*(1+Inputs!$D$20)^(E$259-1)</f>
        <v>21546</v>
      </c>
      <c r="F283" s="69" t="n">
        <f aca="false">F278*Inputs!$D$30*(1+Inputs!$D$20)^(F$259-1)</f>
        <v>23700.6</v>
      </c>
      <c r="G283" s="69" t="n">
        <f aca="false">G278*Inputs!$D$30*(1+Inputs!$D$20)^(G$259-1)</f>
        <v>25855.2</v>
      </c>
      <c r="H283" s="69" t="n">
        <f aca="false">H278*Inputs!$D$30*(1+Inputs!$D$20)^(H$259-1)</f>
        <v>40014</v>
      </c>
      <c r="I283" s="69" t="n">
        <f aca="false">I278*Inputs!$D$30*(1+Inputs!$D$20)^(I$259-1)</f>
        <v>43092</v>
      </c>
      <c r="J283" s="69" t="n">
        <f aca="false">J278*Inputs!$D$30*(1+Inputs!$D$20)^(J$259-1)</f>
        <v>46170</v>
      </c>
      <c r="K283" s="69" t="n">
        <f aca="false">K278*Inputs!$D$30*(1+Inputs!$D$20)^(K$259-1)</f>
        <v>34473.6</v>
      </c>
      <c r="L283" s="69" t="n">
        <f aca="false">L278*Inputs!$D$30*(1+Inputs!$D$20)^(L$259-1)</f>
        <v>34473.6</v>
      </c>
      <c r="M283" s="69" t="n">
        <f aca="false">M278*Inputs!$D$30*(1+Inputs!$D$20)^(M$259-1)</f>
        <v>34473.6</v>
      </c>
      <c r="N283" s="69" t="n">
        <f aca="false">N278*Inputs!$D$30*(1+Inputs!$D$20)^(N$259-1)</f>
        <v>49248</v>
      </c>
      <c r="O283" s="69" t="n">
        <f aca="false">O278*Inputs!$D$30*(1+Inputs!$D$20)^(O$259-1)</f>
        <v>37645.1712</v>
      </c>
      <c r="P283" s="69" t="n">
        <f aca="false">P278*Inputs!$D$30*(1+Inputs!$D$20)^(P$259-1)</f>
        <v>37645.1712</v>
      </c>
      <c r="Q283" s="69" t="n">
        <f aca="false">Q278*Inputs!$D$30*(1+Inputs!$D$20)^(Q$259-1)</f>
        <v>37645.1712</v>
      </c>
      <c r="R283" s="69" t="n">
        <f aca="false">R278*Inputs!$D$30*(1+Inputs!$D$20)^(R$259-1)</f>
        <v>37645.1712</v>
      </c>
      <c r="S283" s="69" t="n">
        <f aca="false">S278*Inputs!$D$30*(1+Inputs!$D$20)^(S$259-1)</f>
        <v>37645.1712</v>
      </c>
      <c r="T283" s="69" t="n">
        <f aca="false">T278*Inputs!$D$30*(1+Inputs!$D$20)^(T$259-1)</f>
        <v>53778.816</v>
      </c>
      <c r="U283" s="69" t="n">
        <f aca="false">U278*Inputs!$D$30*(1+Inputs!$D$20)^(U$259-1)</f>
        <v>53778.816</v>
      </c>
      <c r="V283" s="69" t="n">
        <f aca="false">V278*Inputs!$D$30*(1+Inputs!$D$20)^(V$259-1)</f>
        <v>53778.816</v>
      </c>
      <c r="W283" s="69" t="n">
        <f aca="false">W278*Inputs!$D$30*(1+Inputs!$D$20)^(W$259-1)</f>
        <v>37645.1712</v>
      </c>
      <c r="X283" s="69" t="n">
        <f aca="false">X278*Inputs!$D$30*(1+Inputs!$D$20)^(X$259-1)</f>
        <v>37645.1712</v>
      </c>
      <c r="Y283" s="69" t="n">
        <f aca="false">Y278*Inputs!$D$30*(1+Inputs!$D$20)^(Y$259-1)</f>
        <v>37645.1712</v>
      </c>
      <c r="Z283" s="69" t="n">
        <f aca="false">Z278*Inputs!$D$30*(1+Inputs!$D$20)^(Z$259-1)</f>
        <v>53778.816</v>
      </c>
      <c r="AA283" s="69" t="n">
        <f aca="false">AA278*Inputs!$D$30*(1+Inputs!$D$20)^(AA$259-1)</f>
        <v>41108.5269504</v>
      </c>
      <c r="AB283" s="69" t="n">
        <f aca="false">AB278*Inputs!$D$30*(1+Inputs!$D$20)^(AB$259-1)</f>
        <v>41108.5269504</v>
      </c>
      <c r="AC283" s="69" t="n">
        <f aca="false">AC278*Inputs!$D$30*(1+Inputs!$D$20)^(AC$259-1)</f>
        <v>41108.5269504</v>
      </c>
      <c r="AD283" s="69" t="n">
        <f aca="false">AD278*Inputs!$D$30*(1+Inputs!$D$20)^(AD$259-1)</f>
        <v>41108.5269504</v>
      </c>
      <c r="AE283" s="69" t="n">
        <f aca="false">AE278*Inputs!$D$30*(1+Inputs!$D$20)^(AE$259-1)</f>
        <v>41108.5269504</v>
      </c>
      <c r="AF283" s="69" t="n">
        <f aca="false">AF278*Inputs!$D$30*(1+Inputs!$D$20)^(AF$259-1)</f>
        <v>58726.467072</v>
      </c>
      <c r="AG283" s="69" t="n">
        <f aca="false">AG278*Inputs!$D$30*(1+Inputs!$D$20)^(AG$259-1)</f>
        <v>58726.467072</v>
      </c>
      <c r="AH283" s="69" t="n">
        <f aca="false">AH278*Inputs!$D$30*(1+Inputs!$D$20)^(AH$259-1)</f>
        <v>58726.467072</v>
      </c>
      <c r="AI283" s="69" t="n">
        <f aca="false">AI278*Inputs!$D$30*(1+Inputs!$D$20)^(AI$259-1)</f>
        <v>41108.5269504</v>
      </c>
      <c r="AJ283" s="69" t="n">
        <f aca="false">AJ278*Inputs!$D$30*(1+Inputs!$D$20)^(AJ$259-1)</f>
        <v>41108.5269504</v>
      </c>
      <c r="AK283" s="69" t="n">
        <f aca="false">AK278*Inputs!$D$30*(1+Inputs!$D$20)^(AK$259-1)</f>
        <v>41108.5269504</v>
      </c>
      <c r="AL283" s="69" t="n">
        <f aca="false">AL278*Inputs!$D$30*(1+Inputs!$D$20)^(AL$259-1)</f>
        <v>58726.467072</v>
      </c>
      <c r="AM283" s="69" t="n">
        <f aca="false">AM278*Inputs!$D$30*(1+Inputs!$D$20)^(AM$259-1)</f>
        <v>44890.5114298368</v>
      </c>
      <c r="AN283" s="69" t="n">
        <f aca="false">AN278*Inputs!$D$30*(1+Inputs!$D$20)^(AN$259-1)</f>
        <v>44890.5114298368</v>
      </c>
      <c r="AO283" s="69" t="n">
        <f aca="false">AO278*Inputs!$D$30*(1+Inputs!$D$20)^(AO$259-1)</f>
        <v>44890.5114298368</v>
      </c>
      <c r="AP283" s="69" t="n">
        <f aca="false">AP278*Inputs!$D$30*(1+Inputs!$D$20)^(AP$259-1)</f>
        <v>44890.5114298368</v>
      </c>
      <c r="AQ283" s="69" t="n">
        <f aca="false">AQ278*Inputs!$D$30*(1+Inputs!$D$20)^(AQ$259-1)</f>
        <v>44890.5114298368</v>
      </c>
      <c r="AR283" s="69" t="n">
        <f aca="false">AR278*Inputs!$D$30*(1+Inputs!$D$20)^(AR$259-1)</f>
        <v>61552.55808</v>
      </c>
      <c r="AS283" s="69" t="n">
        <f aca="false">AS278*Inputs!$D$30*(1+Inputs!$D$20)^(AS$259-1)</f>
        <v>61552.55808</v>
      </c>
      <c r="AT283" s="69" t="n">
        <f aca="false">AT278*Inputs!$D$30*(1+Inputs!$D$20)^(AT$259-1)</f>
        <v>61552.55808</v>
      </c>
      <c r="AU283" s="69" t="n">
        <f aca="false">AU278*Inputs!$D$30*(1+Inputs!$D$20)^(AU$259-1)</f>
        <v>44890.5114298368</v>
      </c>
      <c r="AV283" s="69" t="n">
        <f aca="false">AV278*Inputs!$D$30*(1+Inputs!$D$20)^(AV$259-1)</f>
        <v>44890.5114298368</v>
      </c>
      <c r="AW283" s="69" t="n">
        <f aca="false">AW278*Inputs!$D$30*(1+Inputs!$D$20)^(AW$259-1)</f>
        <v>44890.5114298368</v>
      </c>
      <c r="AX283" s="69" t="n">
        <f aca="false">AX278*Inputs!$D$30*(1+Inputs!$D$20)^(AX$259-1)</f>
        <v>61552.55808</v>
      </c>
      <c r="AY283" s="69" t="n">
        <f aca="false">AY278*Inputs!$D$30*(1+Inputs!$D$20)^(AY$259-1)</f>
        <v>49020.4384813818</v>
      </c>
      <c r="AZ283" s="69" t="n">
        <f aca="false">AZ278*Inputs!$D$30*(1+Inputs!$D$20)^(AZ$259-1)</f>
        <v>49020.4384813818</v>
      </c>
      <c r="BA283" s="69" t="n">
        <f aca="false">BA278*Inputs!$D$30*(1+Inputs!$D$20)^(BA$259-1)</f>
        <v>49020.4384813818</v>
      </c>
      <c r="BB283" s="69" t="n">
        <f aca="false">BB278*Inputs!$D$30*(1+Inputs!$D$20)^(BB$259-1)</f>
        <v>49020.4384813818</v>
      </c>
      <c r="BC283" s="69" t="n">
        <f aca="false">BC278*Inputs!$D$30*(1+Inputs!$D$20)^(BC$259-1)</f>
        <v>49020.4384813818</v>
      </c>
      <c r="BD283" s="69" t="n">
        <f aca="false">BD278*Inputs!$D$30*(1+Inputs!$D$20)^(BD$259-1)</f>
        <v>64014.6604032</v>
      </c>
      <c r="BE283" s="69" t="n">
        <f aca="false">BE278*Inputs!$D$30*(1+Inputs!$D$20)^(BE$259-1)</f>
        <v>64014.6604032</v>
      </c>
      <c r="BF283" s="69" t="n">
        <f aca="false">BF278*Inputs!$D$30*(1+Inputs!$D$20)^(BF$259-1)</f>
        <v>64014.6604032</v>
      </c>
      <c r="BG283" s="69" t="n">
        <f aca="false">BG278*Inputs!$D$30*(1+Inputs!$D$20)^(BG$259-1)</f>
        <v>49020.4384813818</v>
      </c>
      <c r="BH283" s="69" t="n">
        <f aca="false">BH278*Inputs!$D$30*(1+Inputs!$D$20)^(BH$259-1)</f>
        <v>49020.4384813818</v>
      </c>
      <c r="BI283" s="69" t="n">
        <f aca="false">BI278*Inputs!$D$30*(1+Inputs!$D$20)^(BI$259-1)</f>
        <v>49020.4384813818</v>
      </c>
      <c r="BJ283" s="69" t="n">
        <f aca="false">BJ278*Inputs!$D$30*(1+Inputs!$D$20)^(BJ$259-1)</f>
        <v>64014.6604032</v>
      </c>
    </row>
    <row r="284" customFormat="false" ht="15" hidden="false" customHeight="false" outlineLevel="0" collapsed="false">
      <c r="A284" s="6" t="s">
        <v>240</v>
      </c>
      <c r="C284" s="69" t="n">
        <f aca="false">C271*Inputs!$D$21*(1+Inputs!$D$20)^(C$259-1)</f>
        <v>2470</v>
      </c>
      <c r="D284" s="69" t="n">
        <f aca="false">D271*Inputs!$D$21*(1+Inputs!$D$20)^(D$259-1)</f>
        <v>2778.75</v>
      </c>
      <c r="E284" s="69" t="n">
        <f aca="false">E271*Inputs!$D$21*(1+Inputs!$D$20)^(E$259-1)</f>
        <v>3087.5</v>
      </c>
      <c r="F284" s="69" t="n">
        <f aca="false">F271*Inputs!$D$21*(1+Inputs!$D$20)^(F$259-1)</f>
        <v>3396.25</v>
      </c>
      <c r="G284" s="69" t="n">
        <f aca="false">G271*Inputs!$D$21*(1+Inputs!$D$20)^(G$259-1)</f>
        <v>3705</v>
      </c>
      <c r="H284" s="69" t="n">
        <f aca="false">H271*Inputs!$D$21*(1+Inputs!$D$20)^(H$259-1)</f>
        <v>4013.75</v>
      </c>
      <c r="I284" s="69" t="n">
        <f aca="false">I271*Inputs!$D$21*(1+Inputs!$D$20)^(I$259-1)</f>
        <v>4322.5</v>
      </c>
      <c r="J284" s="69" t="n">
        <f aca="false">J271*Inputs!$D$21*(1+Inputs!$D$20)^(J$259-1)</f>
        <v>4631.25</v>
      </c>
      <c r="K284" s="69" t="n">
        <f aca="false">K271*Inputs!$D$21*(1+Inputs!$D$20)^(K$259-1)</f>
        <v>4940</v>
      </c>
      <c r="L284" s="69" t="n">
        <f aca="false">L271*Inputs!$D$21*(1+Inputs!$D$20)^(L$259-1)</f>
        <v>4940</v>
      </c>
      <c r="M284" s="69" t="n">
        <f aca="false">M271*Inputs!$D$21*(1+Inputs!$D$20)^(M$259-1)</f>
        <v>4940</v>
      </c>
      <c r="N284" s="69" t="n">
        <f aca="false">N271*Inputs!$D$21*(1+Inputs!$D$20)^(N$259-1)</f>
        <v>4940</v>
      </c>
      <c r="O284" s="69" t="n">
        <f aca="false">O271*Inputs!$D$21*(1+Inputs!$D$20)^(O$259-1)</f>
        <v>5445.856</v>
      </c>
      <c r="P284" s="69" t="n">
        <f aca="false">P271*Inputs!$D$21*(1+Inputs!$D$20)^(P$259-1)</f>
        <v>5445.856</v>
      </c>
      <c r="Q284" s="69" t="n">
        <f aca="false">Q271*Inputs!$D$21*(1+Inputs!$D$20)^(Q$259-1)</f>
        <v>5445.856</v>
      </c>
      <c r="R284" s="69" t="n">
        <f aca="false">R271*Inputs!$D$21*(1+Inputs!$D$20)^(R$259-1)</f>
        <v>5445.856</v>
      </c>
      <c r="S284" s="69" t="n">
        <f aca="false">S271*Inputs!$D$21*(1+Inputs!$D$20)^(S$259-1)</f>
        <v>5445.856</v>
      </c>
      <c r="T284" s="69" t="n">
        <f aca="false">T271*Inputs!$D$21*(1+Inputs!$D$20)^(T$259-1)</f>
        <v>5445.856</v>
      </c>
      <c r="U284" s="69" t="n">
        <f aca="false">U271*Inputs!$D$21*(1+Inputs!$D$20)^(U$259-1)</f>
        <v>5445.856</v>
      </c>
      <c r="V284" s="69" t="n">
        <f aca="false">V271*Inputs!$D$21*(1+Inputs!$D$20)^(V$259-1)</f>
        <v>5445.856</v>
      </c>
      <c r="W284" s="69" t="n">
        <f aca="false">W271*Inputs!$D$21*(1+Inputs!$D$20)^(W$259-1)</f>
        <v>5445.856</v>
      </c>
      <c r="X284" s="69" t="n">
        <f aca="false">X271*Inputs!$D$21*(1+Inputs!$D$20)^(X$259-1)</f>
        <v>5445.856</v>
      </c>
      <c r="Y284" s="69" t="n">
        <f aca="false">Y271*Inputs!$D$21*(1+Inputs!$D$20)^(Y$259-1)</f>
        <v>5445.856</v>
      </c>
      <c r="Z284" s="69" t="n">
        <f aca="false">Z271*Inputs!$D$21*(1+Inputs!$D$20)^(Z$259-1)</f>
        <v>5445.856</v>
      </c>
      <c r="AA284" s="69" t="n">
        <f aca="false">AA271*Inputs!$D$21*(1+Inputs!$D$20)^(AA$259-1)</f>
        <v>6003.5116544</v>
      </c>
      <c r="AB284" s="69" t="n">
        <f aca="false">AB271*Inputs!$D$21*(1+Inputs!$D$20)^(AB$259-1)</f>
        <v>6003.5116544</v>
      </c>
      <c r="AC284" s="69" t="n">
        <f aca="false">AC271*Inputs!$D$21*(1+Inputs!$D$20)^(AC$259-1)</f>
        <v>6003.5116544</v>
      </c>
      <c r="AD284" s="69" t="n">
        <f aca="false">AD271*Inputs!$D$21*(1+Inputs!$D$20)^(AD$259-1)</f>
        <v>6003.5116544</v>
      </c>
      <c r="AE284" s="69" t="n">
        <f aca="false">AE271*Inputs!$D$21*(1+Inputs!$D$20)^(AE$259-1)</f>
        <v>6003.5116544</v>
      </c>
      <c r="AF284" s="69" t="n">
        <f aca="false">AF271*Inputs!$D$21*(1+Inputs!$D$20)^(AF$259-1)</f>
        <v>6003.5116544</v>
      </c>
      <c r="AG284" s="69" t="n">
        <f aca="false">AG271*Inputs!$D$21*(1+Inputs!$D$20)^(AG$259-1)</f>
        <v>6003.5116544</v>
      </c>
      <c r="AH284" s="69" t="n">
        <f aca="false">AH271*Inputs!$D$21*(1+Inputs!$D$20)^(AH$259-1)</f>
        <v>6003.5116544</v>
      </c>
      <c r="AI284" s="69" t="n">
        <f aca="false">AI271*Inputs!$D$21*(1+Inputs!$D$20)^(AI$259-1)</f>
        <v>6003.5116544</v>
      </c>
      <c r="AJ284" s="69" t="n">
        <f aca="false">AJ271*Inputs!$D$21*(1+Inputs!$D$20)^(AJ$259-1)</f>
        <v>6003.5116544</v>
      </c>
      <c r="AK284" s="69" t="n">
        <f aca="false">AK271*Inputs!$D$21*(1+Inputs!$D$20)^(AK$259-1)</f>
        <v>6003.5116544</v>
      </c>
      <c r="AL284" s="69" t="n">
        <f aca="false">AL271*Inputs!$D$21*(1+Inputs!$D$20)^(AL$259-1)</f>
        <v>6003.5116544</v>
      </c>
      <c r="AM284" s="69" t="n">
        <f aca="false">AM271*Inputs!$D$21*(1+Inputs!$D$20)^(AM$259-1)</f>
        <v>6618.27124781056</v>
      </c>
      <c r="AN284" s="69" t="n">
        <f aca="false">AN271*Inputs!$D$21*(1+Inputs!$D$20)^(AN$259-1)</f>
        <v>6618.27124781056</v>
      </c>
      <c r="AO284" s="69" t="n">
        <f aca="false">AO271*Inputs!$D$21*(1+Inputs!$D$20)^(AO$259-1)</f>
        <v>6618.27124781056</v>
      </c>
      <c r="AP284" s="69" t="n">
        <f aca="false">AP271*Inputs!$D$21*(1+Inputs!$D$20)^(AP$259-1)</f>
        <v>6618.27124781056</v>
      </c>
      <c r="AQ284" s="69" t="n">
        <f aca="false">AQ271*Inputs!$D$21*(1+Inputs!$D$20)^(AQ$259-1)</f>
        <v>6618.27124781056</v>
      </c>
      <c r="AR284" s="69" t="n">
        <f aca="false">AR271*Inputs!$D$21*(1+Inputs!$D$20)^(AR$259-1)</f>
        <v>6618.27124781056</v>
      </c>
      <c r="AS284" s="69" t="n">
        <f aca="false">AS271*Inputs!$D$21*(1+Inputs!$D$20)^(AS$259-1)</f>
        <v>6618.27124781056</v>
      </c>
      <c r="AT284" s="69" t="n">
        <f aca="false">AT271*Inputs!$D$21*(1+Inputs!$D$20)^(AT$259-1)</f>
        <v>6618.27124781056</v>
      </c>
      <c r="AU284" s="69" t="n">
        <f aca="false">AU271*Inputs!$D$21*(1+Inputs!$D$20)^(AU$259-1)</f>
        <v>6618.27124781056</v>
      </c>
      <c r="AV284" s="69" t="n">
        <f aca="false">AV271*Inputs!$D$21*(1+Inputs!$D$20)^(AV$259-1)</f>
        <v>6618.27124781056</v>
      </c>
      <c r="AW284" s="69" t="n">
        <f aca="false">AW271*Inputs!$D$21*(1+Inputs!$D$20)^(AW$259-1)</f>
        <v>6618.27124781056</v>
      </c>
      <c r="AX284" s="69" t="n">
        <f aca="false">AX271*Inputs!$D$21*(1+Inputs!$D$20)^(AX$259-1)</f>
        <v>6618.27124781056</v>
      </c>
      <c r="AY284" s="69" t="n">
        <f aca="false">AY271*Inputs!$D$21*(1+Inputs!$D$20)^(AY$259-1)</f>
        <v>7295.98222358637</v>
      </c>
      <c r="AZ284" s="69" t="n">
        <f aca="false">AZ271*Inputs!$D$21*(1+Inputs!$D$20)^(AZ$259-1)</f>
        <v>7295.98222358637</v>
      </c>
      <c r="BA284" s="69" t="n">
        <f aca="false">BA271*Inputs!$D$21*(1+Inputs!$D$20)^(BA$259-1)</f>
        <v>7295.98222358637</v>
      </c>
      <c r="BB284" s="69" t="n">
        <f aca="false">BB271*Inputs!$D$21*(1+Inputs!$D$20)^(BB$259-1)</f>
        <v>7295.98222358637</v>
      </c>
      <c r="BC284" s="69" t="n">
        <f aca="false">BC271*Inputs!$D$21*(1+Inputs!$D$20)^(BC$259-1)</f>
        <v>7295.98222358637</v>
      </c>
      <c r="BD284" s="69" t="n">
        <f aca="false">BD271*Inputs!$D$21*(1+Inputs!$D$20)^(BD$259-1)</f>
        <v>7295.98222358637</v>
      </c>
      <c r="BE284" s="69" t="n">
        <f aca="false">BE271*Inputs!$D$21*(1+Inputs!$D$20)^(BE$259-1)</f>
        <v>7295.98222358637</v>
      </c>
      <c r="BF284" s="69" t="n">
        <f aca="false">BF271*Inputs!$D$21*(1+Inputs!$D$20)^(BF$259-1)</f>
        <v>7295.98222358637</v>
      </c>
      <c r="BG284" s="69" t="n">
        <f aca="false">BG271*Inputs!$D$21*(1+Inputs!$D$20)^(BG$259-1)</f>
        <v>7295.98222358637</v>
      </c>
      <c r="BH284" s="69" t="n">
        <f aca="false">BH271*Inputs!$D$21*(1+Inputs!$D$20)^(BH$259-1)</f>
        <v>7295.98222358637</v>
      </c>
      <c r="BI284" s="69" t="n">
        <f aca="false">BI271*Inputs!$D$21*(1+Inputs!$D$20)^(BI$259-1)</f>
        <v>7295.98222358637</v>
      </c>
      <c r="BJ284" s="69" t="n">
        <f aca="false">BJ271*Inputs!$D$21*(1+Inputs!$D$20)^(BJ$259-1)</f>
        <v>7295.98222358637</v>
      </c>
    </row>
    <row r="285" customFormat="false" ht="15" hidden="false" customHeight="false" outlineLevel="0" collapsed="false">
      <c r="A285" s="115" t="s">
        <v>44</v>
      </c>
      <c r="C285" s="70" t="n">
        <f aca="false">C282+C283+C284</f>
        <v>39960.8</v>
      </c>
      <c r="D285" s="70" t="n">
        <f aca="false">D282+D283+D284</f>
        <v>44955.9</v>
      </c>
      <c r="E285" s="70" t="n">
        <f aca="false">E282+E283+E284</f>
        <v>49951</v>
      </c>
      <c r="F285" s="70" t="n">
        <f aca="false">F282+F283+F284</f>
        <v>54946.1</v>
      </c>
      <c r="G285" s="70" t="n">
        <f aca="false">G282+G283+G284</f>
        <v>59941.2</v>
      </c>
      <c r="H285" s="70" t="n">
        <f aca="false">H282+H283+H284</f>
        <v>76940.5</v>
      </c>
      <c r="I285" s="70" t="n">
        <f aca="false">I282+I283+I284</f>
        <v>82859</v>
      </c>
      <c r="J285" s="70" t="n">
        <f aca="false">J282+J283+J284</f>
        <v>88777.5</v>
      </c>
      <c r="K285" s="70" t="n">
        <f aca="false">K282+K283+K284</f>
        <v>79921.6</v>
      </c>
      <c r="L285" s="70" t="n">
        <f aca="false">L282+L283+L284</f>
        <v>79921.6</v>
      </c>
      <c r="M285" s="70" t="n">
        <f aca="false">M282+M283+M284</f>
        <v>79921.6</v>
      </c>
      <c r="N285" s="70" t="n">
        <f aca="false">N282+N283+N284</f>
        <v>94696</v>
      </c>
      <c r="O285" s="70" t="n">
        <f aca="false">O282+O283+O284</f>
        <v>87747.0464</v>
      </c>
      <c r="P285" s="70" t="n">
        <f aca="false">P282+P283+P284</f>
        <v>87747.0464</v>
      </c>
      <c r="Q285" s="70" t="n">
        <f aca="false">Q282+Q283+Q284</f>
        <v>87747.0464</v>
      </c>
      <c r="R285" s="70" t="n">
        <f aca="false">R282+R283+R284</f>
        <v>87747.0464</v>
      </c>
      <c r="S285" s="70" t="n">
        <f aca="false">S282+S283+S284</f>
        <v>87747.0464</v>
      </c>
      <c r="T285" s="70" t="n">
        <f aca="false">T282+T283+T284</f>
        <v>103880.6912</v>
      </c>
      <c r="U285" s="70" t="n">
        <f aca="false">U282+U283+U284</f>
        <v>103880.6912</v>
      </c>
      <c r="V285" s="70" t="n">
        <f aca="false">V282+V283+V284</f>
        <v>103880.6912</v>
      </c>
      <c r="W285" s="70" t="n">
        <f aca="false">W282+W283+W284</f>
        <v>87747.0464</v>
      </c>
      <c r="X285" s="70" t="n">
        <f aca="false">X282+X283+X284</f>
        <v>87747.0464</v>
      </c>
      <c r="Y285" s="70" t="n">
        <f aca="false">Y282+Y283+Y284</f>
        <v>87747.0464</v>
      </c>
      <c r="Z285" s="70" t="n">
        <f aca="false">Z282+Z283+Z284</f>
        <v>103880.6912</v>
      </c>
      <c r="AA285" s="70" t="n">
        <f aca="false">AA282+AA283+AA284</f>
        <v>96340.83417088</v>
      </c>
      <c r="AB285" s="70" t="n">
        <f aca="false">AB282+AB283+AB284</f>
        <v>96340.83417088</v>
      </c>
      <c r="AC285" s="70" t="n">
        <f aca="false">AC282+AC283+AC284</f>
        <v>96340.83417088</v>
      </c>
      <c r="AD285" s="70" t="n">
        <f aca="false">AD282+AD283+AD284</f>
        <v>96340.83417088</v>
      </c>
      <c r="AE285" s="70" t="n">
        <f aca="false">AE282+AE283+AE284</f>
        <v>96340.83417088</v>
      </c>
      <c r="AF285" s="70" t="n">
        <f aca="false">AF282+AF283+AF284</f>
        <v>113958.77429248</v>
      </c>
      <c r="AG285" s="70" t="n">
        <f aca="false">AG282+AG283+AG284</f>
        <v>113958.77429248</v>
      </c>
      <c r="AH285" s="70" t="n">
        <f aca="false">AH282+AH283+AH284</f>
        <v>113958.77429248</v>
      </c>
      <c r="AI285" s="70" t="n">
        <f aca="false">AI282+AI283+AI284</f>
        <v>96340.83417088</v>
      </c>
      <c r="AJ285" s="70" t="n">
        <f aca="false">AJ282+AJ283+AJ284</f>
        <v>96340.83417088</v>
      </c>
      <c r="AK285" s="70" t="n">
        <f aca="false">AK282+AK283+AK284</f>
        <v>96340.83417088</v>
      </c>
      <c r="AL285" s="70" t="n">
        <f aca="false">AL282+AL283+AL284</f>
        <v>113958.77429248</v>
      </c>
      <c r="AM285" s="70" t="n">
        <f aca="false">AM282+AM283+AM284</f>
        <v>105778.606909694</v>
      </c>
      <c r="AN285" s="70" t="n">
        <f aca="false">AN282+AN283+AN284</f>
        <v>105778.606909694</v>
      </c>
      <c r="AO285" s="70" t="n">
        <f aca="false">AO282+AO283+AO284</f>
        <v>105778.606909694</v>
      </c>
      <c r="AP285" s="70" t="n">
        <f aca="false">AP282+AP283+AP284</f>
        <v>105778.606909694</v>
      </c>
      <c r="AQ285" s="70" t="n">
        <f aca="false">AQ282+AQ283+AQ284</f>
        <v>105778.606909694</v>
      </c>
      <c r="AR285" s="70" t="n">
        <f aca="false">AR282+AR283+AR284</f>
        <v>122440.653559857</v>
      </c>
      <c r="AS285" s="70" t="n">
        <f aca="false">AS282+AS283+AS284</f>
        <v>122440.653559857</v>
      </c>
      <c r="AT285" s="70" t="n">
        <f aca="false">AT282+AT283+AT284</f>
        <v>122440.653559857</v>
      </c>
      <c r="AU285" s="70" t="n">
        <f aca="false">AU282+AU283+AU284</f>
        <v>105778.606909694</v>
      </c>
      <c r="AV285" s="70" t="n">
        <f aca="false">AV282+AV283+AV284</f>
        <v>105778.606909694</v>
      </c>
      <c r="AW285" s="70" t="n">
        <f aca="false">AW282+AW283+AW284</f>
        <v>105778.606909694</v>
      </c>
      <c r="AX285" s="70" t="n">
        <f aca="false">AX282+AX283+AX284</f>
        <v>122440.653559857</v>
      </c>
      <c r="AY285" s="70" t="n">
        <f aca="false">AY282+AY283+AY284</f>
        <v>116143.474938376</v>
      </c>
      <c r="AZ285" s="70" t="n">
        <f aca="false">AZ282+AZ283+AZ284</f>
        <v>116143.474938376</v>
      </c>
      <c r="BA285" s="70" t="n">
        <f aca="false">BA282+BA283+BA284</f>
        <v>116143.474938376</v>
      </c>
      <c r="BB285" s="70" t="n">
        <f aca="false">BB282+BB283+BB284</f>
        <v>116143.474938376</v>
      </c>
      <c r="BC285" s="70" t="n">
        <f aca="false">BC282+BC283+BC284</f>
        <v>116143.474938376</v>
      </c>
      <c r="BD285" s="70" t="n">
        <f aca="false">BD282+BD283+BD284</f>
        <v>131137.696860195</v>
      </c>
      <c r="BE285" s="70" t="n">
        <f aca="false">BE282+BE283+BE284</f>
        <v>131137.696860195</v>
      </c>
      <c r="BF285" s="70" t="n">
        <f aca="false">BF282+BF283+BF284</f>
        <v>131137.696860195</v>
      </c>
      <c r="BG285" s="70" t="n">
        <f aca="false">BG282+BG283+BG284</f>
        <v>116143.474938376</v>
      </c>
      <c r="BH285" s="70" t="n">
        <f aca="false">BH282+BH283+BH284</f>
        <v>116143.474938376</v>
      </c>
      <c r="BI285" s="70" t="n">
        <f aca="false">BI282+BI283+BI284</f>
        <v>116143.474938376</v>
      </c>
      <c r="BJ285" s="70" t="n">
        <f aca="false">BJ282+BJ283+BJ284</f>
        <v>131137.696860195</v>
      </c>
    </row>
    <row r="287" customFormat="false" ht="15.75" hidden="false" customHeight="true" outlineLevel="0" collapsed="false">
      <c r="A287" s="7" t="s">
        <v>76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423</v>
      </c>
      <c r="C288" s="69" t="n">
        <f aca="false">C376</f>
        <v>-3833.33333333333</v>
      </c>
      <c r="D288" s="69" t="n">
        <f aca="false">D376</f>
        <v>-3833.33333333333</v>
      </c>
      <c r="E288" s="69" t="n">
        <f aca="false">E376</f>
        <v>-3833.33333333333</v>
      </c>
      <c r="F288" s="69" t="n">
        <f aca="false">F376</f>
        <v>-3833.33333333333</v>
      </c>
      <c r="G288" s="69" t="n">
        <f aca="false">G376</f>
        <v>-3833.33333333333</v>
      </c>
      <c r="H288" s="69" t="n">
        <f aca="false">H376</f>
        <v>-3833.33333333333</v>
      </c>
      <c r="I288" s="69" t="n">
        <f aca="false">I376</f>
        <v>-3833.33333333333</v>
      </c>
      <c r="J288" s="69" t="n">
        <f aca="false">J376</f>
        <v>-3833.33333333333</v>
      </c>
      <c r="K288" s="69" t="n">
        <f aca="false">K376</f>
        <v>-3833.33333333333</v>
      </c>
      <c r="L288" s="69" t="n">
        <f aca="false">L376</f>
        <v>-3833.33333333333</v>
      </c>
      <c r="M288" s="69" t="n">
        <f aca="false">M376</f>
        <v>-3833.33333333333</v>
      </c>
      <c r="N288" s="69" t="n">
        <f aca="false">N376</f>
        <v>-3833.33333333333</v>
      </c>
      <c r="O288" s="69" t="n">
        <f aca="false">O376</f>
        <v>-3948.33333333333</v>
      </c>
      <c r="P288" s="69" t="n">
        <f aca="false">P376</f>
        <v>-3948.33333333333</v>
      </c>
      <c r="Q288" s="69" t="n">
        <f aca="false">Q376</f>
        <v>-3948.33333333333</v>
      </c>
      <c r="R288" s="69" t="n">
        <f aca="false">R376</f>
        <v>-3948.33333333333</v>
      </c>
      <c r="S288" s="69" t="n">
        <f aca="false">S376</f>
        <v>-3948.33333333333</v>
      </c>
      <c r="T288" s="69" t="n">
        <f aca="false">T376</f>
        <v>-3948.33333333333</v>
      </c>
      <c r="U288" s="69" t="n">
        <f aca="false">U376</f>
        <v>-3948.33333333333</v>
      </c>
      <c r="V288" s="69" t="n">
        <f aca="false">V376</f>
        <v>-3948.33333333333</v>
      </c>
      <c r="W288" s="69" t="n">
        <f aca="false">W376</f>
        <v>-3948.33333333333</v>
      </c>
      <c r="X288" s="69" t="n">
        <f aca="false">X376</f>
        <v>-3948.33333333333</v>
      </c>
      <c r="Y288" s="69" t="n">
        <f aca="false">Y376</f>
        <v>-3948.33333333333</v>
      </c>
      <c r="Z288" s="69" t="n">
        <f aca="false">Z376</f>
        <v>-3948.33333333333</v>
      </c>
      <c r="AA288" s="69" t="n">
        <f aca="false">AA376</f>
        <v>-4066.78333333333</v>
      </c>
      <c r="AB288" s="69" t="n">
        <f aca="false">AB376</f>
        <v>-4066.78333333333</v>
      </c>
      <c r="AC288" s="69" t="n">
        <f aca="false">AC376</f>
        <v>-4066.78333333333</v>
      </c>
      <c r="AD288" s="69" t="n">
        <f aca="false">AD376</f>
        <v>-4066.78333333333</v>
      </c>
      <c r="AE288" s="69" t="n">
        <f aca="false">AE376</f>
        <v>-4066.78333333333</v>
      </c>
      <c r="AF288" s="69" t="n">
        <f aca="false">AF376</f>
        <v>-4066.78333333333</v>
      </c>
      <c r="AG288" s="69" t="n">
        <f aca="false">AG376</f>
        <v>-4066.78333333333</v>
      </c>
      <c r="AH288" s="69" t="n">
        <f aca="false">AH376</f>
        <v>-4066.78333333333</v>
      </c>
      <c r="AI288" s="69" t="n">
        <f aca="false">AI376</f>
        <v>-4066.78333333333</v>
      </c>
      <c r="AJ288" s="69" t="n">
        <f aca="false">AJ376</f>
        <v>-4066.78333333333</v>
      </c>
      <c r="AK288" s="69" t="n">
        <f aca="false">AK376</f>
        <v>-4066.78333333333</v>
      </c>
      <c r="AL288" s="69" t="n">
        <f aca="false">AL376</f>
        <v>-4066.78333333333</v>
      </c>
      <c r="AM288" s="69" t="n">
        <f aca="false">AM376</f>
        <v>-4188.78683333333</v>
      </c>
      <c r="AN288" s="69" t="n">
        <f aca="false">AN376</f>
        <v>-4188.78683333333</v>
      </c>
      <c r="AO288" s="69" t="n">
        <f aca="false">AO376</f>
        <v>-4188.78683333333</v>
      </c>
      <c r="AP288" s="69" t="n">
        <f aca="false">AP376</f>
        <v>-4188.78683333333</v>
      </c>
      <c r="AQ288" s="69" t="n">
        <f aca="false">AQ376</f>
        <v>-4188.78683333333</v>
      </c>
      <c r="AR288" s="69" t="n">
        <f aca="false">AR376</f>
        <v>-4188.78683333333</v>
      </c>
      <c r="AS288" s="69" t="n">
        <f aca="false">AS376</f>
        <v>-4188.78683333333</v>
      </c>
      <c r="AT288" s="69" t="n">
        <f aca="false">AT376</f>
        <v>-4188.78683333333</v>
      </c>
      <c r="AU288" s="69" t="n">
        <f aca="false">AU376</f>
        <v>-4188.78683333333</v>
      </c>
      <c r="AV288" s="69" t="n">
        <f aca="false">AV376</f>
        <v>-4188.78683333333</v>
      </c>
      <c r="AW288" s="69" t="n">
        <f aca="false">AW376</f>
        <v>-4188.78683333333</v>
      </c>
      <c r="AX288" s="69" t="n">
        <f aca="false">AX376</f>
        <v>-4188.78683333333</v>
      </c>
      <c r="AY288" s="69" t="n">
        <f aca="false">AY376</f>
        <v>-4314.45043833333</v>
      </c>
      <c r="AZ288" s="69" t="n">
        <f aca="false">AZ376</f>
        <v>-4314.45043833333</v>
      </c>
      <c r="BA288" s="69" t="n">
        <f aca="false">BA376</f>
        <v>-4314.45043833333</v>
      </c>
      <c r="BB288" s="69" t="n">
        <f aca="false">BB376</f>
        <v>-4314.45043833333</v>
      </c>
      <c r="BC288" s="69" t="n">
        <f aca="false">BC376</f>
        <v>-4314.45043833333</v>
      </c>
      <c r="BD288" s="69" t="n">
        <f aca="false">BD376</f>
        <v>-4314.45043833333</v>
      </c>
      <c r="BE288" s="69" t="n">
        <f aca="false">BE376</f>
        <v>-4314.45043833333</v>
      </c>
      <c r="BF288" s="69" t="n">
        <f aca="false">BF376</f>
        <v>-4314.45043833333</v>
      </c>
      <c r="BG288" s="69" t="n">
        <f aca="false">BG376</f>
        <v>-4314.45043833333</v>
      </c>
      <c r="BH288" s="69" t="n">
        <f aca="false">BH376</f>
        <v>-4314.45043833333</v>
      </c>
      <c r="BI288" s="69" t="n">
        <f aca="false">BI376</f>
        <v>-4314.45043833333</v>
      </c>
      <c r="BJ288" s="69" t="n">
        <f aca="false">BJ376</f>
        <v>-4314.45043833333</v>
      </c>
    </row>
    <row r="289" customFormat="false" ht="15" hidden="false" customHeight="false" outlineLevel="0" collapsed="false">
      <c r="A289" s="6" t="s">
        <v>424</v>
      </c>
      <c r="C289" s="69" t="n">
        <f aca="false">-C282*Inputs!$D$33</f>
        <v>-6683.82</v>
      </c>
      <c r="D289" s="69" t="n">
        <f aca="false">-D282*Inputs!$D$33</f>
        <v>-7519.2975</v>
      </c>
      <c r="E289" s="69" t="n">
        <f aca="false">-E282*Inputs!$D$33</f>
        <v>-8354.775</v>
      </c>
      <c r="F289" s="69" t="n">
        <f aca="false">-F282*Inputs!$D$33</f>
        <v>-9190.2525</v>
      </c>
      <c r="G289" s="69" t="n">
        <f aca="false">-G282*Inputs!$D$33</f>
        <v>-10025.73</v>
      </c>
      <c r="H289" s="69" t="n">
        <f aca="false">-H282*Inputs!$D$33</f>
        <v>-10861.2075</v>
      </c>
      <c r="I289" s="69" t="n">
        <f aca="false">-I282*Inputs!$D$33</f>
        <v>-11696.685</v>
      </c>
      <c r="J289" s="69" t="n">
        <f aca="false">-J282*Inputs!$D$33</f>
        <v>-12532.1625</v>
      </c>
      <c r="K289" s="69" t="n">
        <f aca="false">-K282*Inputs!$D$33</f>
        <v>-13367.64</v>
      </c>
      <c r="L289" s="69" t="n">
        <f aca="false">-L282*Inputs!$D$33</f>
        <v>-13367.64</v>
      </c>
      <c r="M289" s="69" t="n">
        <f aca="false">-M282*Inputs!$D$33</f>
        <v>-13367.64</v>
      </c>
      <c r="N289" s="69" t="n">
        <f aca="false">-N282*Inputs!$D$33</f>
        <v>-13367.64</v>
      </c>
      <c r="O289" s="69" t="n">
        <f aca="false">-O282*Inputs!$D$33</f>
        <v>-14736.486336</v>
      </c>
      <c r="P289" s="69" t="n">
        <f aca="false">-P282*Inputs!$D$33</f>
        <v>-14736.486336</v>
      </c>
      <c r="Q289" s="69" t="n">
        <f aca="false">-Q282*Inputs!$D$33</f>
        <v>-14736.486336</v>
      </c>
      <c r="R289" s="69" t="n">
        <f aca="false">-R282*Inputs!$D$33</f>
        <v>-14736.486336</v>
      </c>
      <c r="S289" s="69" t="n">
        <f aca="false">-S282*Inputs!$D$33</f>
        <v>-14736.486336</v>
      </c>
      <c r="T289" s="69" t="n">
        <f aca="false">-T282*Inputs!$D$33</f>
        <v>-14736.486336</v>
      </c>
      <c r="U289" s="69" t="n">
        <f aca="false">-U282*Inputs!$D$33</f>
        <v>-14736.486336</v>
      </c>
      <c r="V289" s="69" t="n">
        <f aca="false">-V282*Inputs!$D$33</f>
        <v>-14736.486336</v>
      </c>
      <c r="W289" s="69" t="n">
        <f aca="false">-W282*Inputs!$D$33</f>
        <v>-14736.486336</v>
      </c>
      <c r="X289" s="69" t="n">
        <f aca="false">-X282*Inputs!$D$33</f>
        <v>-14736.486336</v>
      </c>
      <c r="Y289" s="69" t="n">
        <f aca="false">-Y282*Inputs!$D$33</f>
        <v>-14736.486336</v>
      </c>
      <c r="Z289" s="69" t="n">
        <f aca="false">-Z282*Inputs!$D$33</f>
        <v>-14736.486336</v>
      </c>
      <c r="AA289" s="69" t="n">
        <f aca="false">-AA282*Inputs!$D$33</f>
        <v>-16245.5025368064</v>
      </c>
      <c r="AB289" s="69" t="n">
        <f aca="false">-AB282*Inputs!$D$33</f>
        <v>-16245.5025368064</v>
      </c>
      <c r="AC289" s="69" t="n">
        <f aca="false">-AC282*Inputs!$D$33</f>
        <v>-16245.5025368064</v>
      </c>
      <c r="AD289" s="69" t="n">
        <f aca="false">-AD282*Inputs!$D$33</f>
        <v>-16245.5025368064</v>
      </c>
      <c r="AE289" s="69" t="n">
        <f aca="false">-AE282*Inputs!$D$33</f>
        <v>-16245.5025368064</v>
      </c>
      <c r="AF289" s="69" t="n">
        <f aca="false">-AF282*Inputs!$D$33</f>
        <v>-16245.5025368064</v>
      </c>
      <c r="AG289" s="69" t="n">
        <f aca="false">-AG282*Inputs!$D$33</f>
        <v>-16245.5025368064</v>
      </c>
      <c r="AH289" s="69" t="n">
        <f aca="false">-AH282*Inputs!$D$33</f>
        <v>-16245.5025368064</v>
      </c>
      <c r="AI289" s="69" t="n">
        <f aca="false">-AI282*Inputs!$D$33</f>
        <v>-16245.5025368064</v>
      </c>
      <c r="AJ289" s="69" t="n">
        <f aca="false">-AJ282*Inputs!$D$33</f>
        <v>-16245.5025368064</v>
      </c>
      <c r="AK289" s="69" t="n">
        <f aca="false">-AK282*Inputs!$D$33</f>
        <v>-16245.5025368064</v>
      </c>
      <c r="AL289" s="69" t="n">
        <f aca="false">-AL282*Inputs!$D$33</f>
        <v>-16245.5025368064</v>
      </c>
      <c r="AM289" s="69" t="n">
        <f aca="false">-AM282*Inputs!$D$33</f>
        <v>-17909.0419965754</v>
      </c>
      <c r="AN289" s="69" t="n">
        <f aca="false">-AN282*Inputs!$D$33</f>
        <v>-17909.0419965754</v>
      </c>
      <c r="AO289" s="69" t="n">
        <f aca="false">-AO282*Inputs!$D$33</f>
        <v>-17909.0419965754</v>
      </c>
      <c r="AP289" s="69" t="n">
        <f aca="false">-AP282*Inputs!$D$33</f>
        <v>-17909.0419965754</v>
      </c>
      <c r="AQ289" s="69" t="n">
        <f aca="false">-AQ282*Inputs!$D$33</f>
        <v>-17909.0419965754</v>
      </c>
      <c r="AR289" s="69" t="n">
        <f aca="false">-AR282*Inputs!$D$33</f>
        <v>-17909.0419965754</v>
      </c>
      <c r="AS289" s="69" t="n">
        <f aca="false">-AS282*Inputs!$D$33</f>
        <v>-17909.0419965754</v>
      </c>
      <c r="AT289" s="69" t="n">
        <f aca="false">-AT282*Inputs!$D$33</f>
        <v>-17909.0419965754</v>
      </c>
      <c r="AU289" s="69" t="n">
        <f aca="false">-AU282*Inputs!$D$33</f>
        <v>-17909.0419965754</v>
      </c>
      <c r="AV289" s="69" t="n">
        <f aca="false">-AV282*Inputs!$D$33</f>
        <v>-17909.0419965754</v>
      </c>
      <c r="AW289" s="69" t="n">
        <f aca="false">-AW282*Inputs!$D$33</f>
        <v>-17909.0419965754</v>
      </c>
      <c r="AX289" s="69" t="n">
        <f aca="false">-AX282*Inputs!$D$33</f>
        <v>-17909.0419965754</v>
      </c>
      <c r="AY289" s="69" t="n">
        <f aca="false">-AY282*Inputs!$D$33</f>
        <v>-19742.9278970247</v>
      </c>
      <c r="AZ289" s="69" t="n">
        <f aca="false">-AZ282*Inputs!$D$33</f>
        <v>-19742.9278970247</v>
      </c>
      <c r="BA289" s="69" t="n">
        <f aca="false">-BA282*Inputs!$D$33</f>
        <v>-19742.9278970247</v>
      </c>
      <c r="BB289" s="69" t="n">
        <f aca="false">-BB282*Inputs!$D$33</f>
        <v>-19742.9278970247</v>
      </c>
      <c r="BC289" s="69" t="n">
        <f aca="false">-BC282*Inputs!$D$33</f>
        <v>-19742.9278970247</v>
      </c>
      <c r="BD289" s="69" t="n">
        <f aca="false">-BD282*Inputs!$D$33</f>
        <v>-19742.9278970247</v>
      </c>
      <c r="BE289" s="69" t="n">
        <f aca="false">-BE282*Inputs!$D$33</f>
        <v>-19742.9278970247</v>
      </c>
      <c r="BF289" s="69" t="n">
        <f aca="false">-BF282*Inputs!$D$33</f>
        <v>-19742.9278970247</v>
      </c>
      <c r="BG289" s="69" t="n">
        <f aca="false">-BG282*Inputs!$D$33</f>
        <v>-19742.9278970247</v>
      </c>
      <c r="BH289" s="69" t="n">
        <f aca="false">-BH282*Inputs!$D$33</f>
        <v>-19742.9278970247</v>
      </c>
      <c r="BI289" s="69" t="n">
        <f aca="false">-BI282*Inputs!$D$33</f>
        <v>-19742.9278970247</v>
      </c>
      <c r="BJ289" s="69" t="n">
        <f aca="false">-BJ282*Inputs!$D$33</f>
        <v>-19742.9278970247</v>
      </c>
    </row>
    <row r="290" customFormat="false" ht="15" hidden="false" customHeight="false" outlineLevel="0" collapsed="false">
      <c r="A290" s="6" t="s">
        <v>425</v>
      </c>
      <c r="C290" s="69" t="n">
        <f aca="false">-C271*Inputs!$D$34*(1+Inputs!$D$45)^(C$259-1)</f>
        <v>-988</v>
      </c>
      <c r="D290" s="69" t="n">
        <f aca="false">-D271*Inputs!$D$34*(1+Inputs!$D$45)^(D$259-1)</f>
        <v>-1111.5</v>
      </c>
      <c r="E290" s="69" t="n">
        <f aca="false">-E271*Inputs!$D$34*(1+Inputs!$D$45)^(E$259-1)</f>
        <v>-1235</v>
      </c>
      <c r="F290" s="69" t="n">
        <f aca="false">-F271*Inputs!$D$34*(1+Inputs!$D$45)^(F$259-1)</f>
        <v>-1358.5</v>
      </c>
      <c r="G290" s="69" t="n">
        <f aca="false">-G271*Inputs!$D$34*(1+Inputs!$D$45)^(G$259-1)</f>
        <v>-1482</v>
      </c>
      <c r="H290" s="69" t="n">
        <f aca="false">-H271*Inputs!$D$34*(1+Inputs!$D$45)^(H$259-1)</f>
        <v>-1605.5</v>
      </c>
      <c r="I290" s="69" t="n">
        <f aca="false">-I271*Inputs!$D$34*(1+Inputs!$D$45)^(I$259-1)</f>
        <v>-1729</v>
      </c>
      <c r="J290" s="69" t="n">
        <f aca="false">-J271*Inputs!$D$34*(1+Inputs!$D$45)^(J$259-1)</f>
        <v>-1852.5</v>
      </c>
      <c r="K290" s="69" t="n">
        <f aca="false">-K271*Inputs!$D$34*(1+Inputs!$D$45)^(K$259-1)</f>
        <v>-1976</v>
      </c>
      <c r="L290" s="69" t="n">
        <f aca="false">-L271*Inputs!$D$34*(1+Inputs!$D$45)^(L$259-1)</f>
        <v>-1976</v>
      </c>
      <c r="M290" s="69" t="n">
        <f aca="false">-M271*Inputs!$D$34*(1+Inputs!$D$45)^(M$259-1)</f>
        <v>-1976</v>
      </c>
      <c r="N290" s="69" t="n">
        <f aca="false">-N271*Inputs!$D$34*(1+Inputs!$D$45)^(N$259-1)</f>
        <v>-1976</v>
      </c>
      <c r="O290" s="69" t="n">
        <f aca="false">-O271*Inputs!$D$34*(1+Inputs!$D$45)^(O$259-1)</f>
        <v>-2146.924</v>
      </c>
      <c r="P290" s="69" t="n">
        <f aca="false">-P271*Inputs!$D$34*(1+Inputs!$D$45)^(P$259-1)</f>
        <v>-2146.924</v>
      </c>
      <c r="Q290" s="69" t="n">
        <f aca="false">-Q271*Inputs!$D$34*(1+Inputs!$D$45)^(Q$259-1)</f>
        <v>-2146.924</v>
      </c>
      <c r="R290" s="69" t="n">
        <f aca="false">-R271*Inputs!$D$34*(1+Inputs!$D$45)^(R$259-1)</f>
        <v>-2146.924</v>
      </c>
      <c r="S290" s="69" t="n">
        <f aca="false">-S271*Inputs!$D$34*(1+Inputs!$D$45)^(S$259-1)</f>
        <v>-2146.924</v>
      </c>
      <c r="T290" s="69" t="n">
        <f aca="false">-T271*Inputs!$D$34*(1+Inputs!$D$45)^(T$259-1)</f>
        <v>-2146.924</v>
      </c>
      <c r="U290" s="69" t="n">
        <f aca="false">-U271*Inputs!$D$34*(1+Inputs!$D$45)^(U$259-1)</f>
        <v>-2146.924</v>
      </c>
      <c r="V290" s="69" t="n">
        <f aca="false">-V271*Inputs!$D$34*(1+Inputs!$D$45)^(V$259-1)</f>
        <v>-2146.924</v>
      </c>
      <c r="W290" s="69" t="n">
        <f aca="false">-W271*Inputs!$D$34*(1+Inputs!$D$45)^(W$259-1)</f>
        <v>-2146.924</v>
      </c>
      <c r="X290" s="69" t="n">
        <f aca="false">-X271*Inputs!$D$34*(1+Inputs!$D$45)^(X$259-1)</f>
        <v>-2146.924</v>
      </c>
      <c r="Y290" s="69" t="n">
        <f aca="false">-Y271*Inputs!$D$34*(1+Inputs!$D$45)^(Y$259-1)</f>
        <v>-2146.924</v>
      </c>
      <c r="Z290" s="69" t="n">
        <f aca="false">-Z271*Inputs!$D$34*(1+Inputs!$D$45)^(Z$259-1)</f>
        <v>-2146.924</v>
      </c>
      <c r="AA290" s="69" t="n">
        <f aca="false">-AA271*Inputs!$D$34*(1+Inputs!$D$45)^(AA$259-1)</f>
        <v>-2332.632926</v>
      </c>
      <c r="AB290" s="69" t="n">
        <f aca="false">-AB271*Inputs!$D$34*(1+Inputs!$D$45)^(AB$259-1)</f>
        <v>-2332.632926</v>
      </c>
      <c r="AC290" s="69" t="n">
        <f aca="false">-AC271*Inputs!$D$34*(1+Inputs!$D$45)^(AC$259-1)</f>
        <v>-2332.632926</v>
      </c>
      <c r="AD290" s="69" t="n">
        <f aca="false">-AD271*Inputs!$D$34*(1+Inputs!$D$45)^(AD$259-1)</f>
        <v>-2332.632926</v>
      </c>
      <c r="AE290" s="69" t="n">
        <f aca="false">-AE271*Inputs!$D$34*(1+Inputs!$D$45)^(AE$259-1)</f>
        <v>-2332.632926</v>
      </c>
      <c r="AF290" s="69" t="n">
        <f aca="false">-AF271*Inputs!$D$34*(1+Inputs!$D$45)^(AF$259-1)</f>
        <v>-2332.632926</v>
      </c>
      <c r="AG290" s="69" t="n">
        <f aca="false">-AG271*Inputs!$D$34*(1+Inputs!$D$45)^(AG$259-1)</f>
        <v>-2332.632926</v>
      </c>
      <c r="AH290" s="69" t="n">
        <f aca="false">-AH271*Inputs!$D$34*(1+Inputs!$D$45)^(AH$259-1)</f>
        <v>-2332.632926</v>
      </c>
      <c r="AI290" s="69" t="n">
        <f aca="false">-AI271*Inputs!$D$34*(1+Inputs!$D$45)^(AI$259-1)</f>
        <v>-2332.632926</v>
      </c>
      <c r="AJ290" s="69" t="n">
        <f aca="false">-AJ271*Inputs!$D$34*(1+Inputs!$D$45)^(AJ$259-1)</f>
        <v>-2332.632926</v>
      </c>
      <c r="AK290" s="69" t="n">
        <f aca="false">-AK271*Inputs!$D$34*(1+Inputs!$D$45)^(AK$259-1)</f>
        <v>-2332.632926</v>
      </c>
      <c r="AL290" s="69" t="n">
        <f aca="false">-AL271*Inputs!$D$34*(1+Inputs!$D$45)^(AL$259-1)</f>
        <v>-2332.632926</v>
      </c>
      <c r="AM290" s="69" t="n">
        <f aca="false">-AM271*Inputs!$D$34*(1+Inputs!$D$45)^(AM$259-1)</f>
        <v>-2534.405674099</v>
      </c>
      <c r="AN290" s="69" t="n">
        <f aca="false">-AN271*Inputs!$D$34*(1+Inputs!$D$45)^(AN$259-1)</f>
        <v>-2534.405674099</v>
      </c>
      <c r="AO290" s="69" t="n">
        <f aca="false">-AO271*Inputs!$D$34*(1+Inputs!$D$45)^(AO$259-1)</f>
        <v>-2534.405674099</v>
      </c>
      <c r="AP290" s="69" t="n">
        <f aca="false">-AP271*Inputs!$D$34*(1+Inputs!$D$45)^(AP$259-1)</f>
        <v>-2534.405674099</v>
      </c>
      <c r="AQ290" s="69" t="n">
        <f aca="false">-AQ271*Inputs!$D$34*(1+Inputs!$D$45)^(AQ$259-1)</f>
        <v>-2534.405674099</v>
      </c>
      <c r="AR290" s="69" t="n">
        <f aca="false">-AR271*Inputs!$D$34*(1+Inputs!$D$45)^(AR$259-1)</f>
        <v>-2534.405674099</v>
      </c>
      <c r="AS290" s="69" t="n">
        <f aca="false">-AS271*Inputs!$D$34*(1+Inputs!$D$45)^(AS$259-1)</f>
        <v>-2534.405674099</v>
      </c>
      <c r="AT290" s="69" t="n">
        <f aca="false">-AT271*Inputs!$D$34*(1+Inputs!$D$45)^(AT$259-1)</f>
        <v>-2534.405674099</v>
      </c>
      <c r="AU290" s="69" t="n">
        <f aca="false">-AU271*Inputs!$D$34*(1+Inputs!$D$45)^(AU$259-1)</f>
        <v>-2534.405674099</v>
      </c>
      <c r="AV290" s="69" t="n">
        <f aca="false">-AV271*Inputs!$D$34*(1+Inputs!$D$45)^(AV$259-1)</f>
        <v>-2534.405674099</v>
      </c>
      <c r="AW290" s="69" t="n">
        <f aca="false">-AW271*Inputs!$D$34*(1+Inputs!$D$45)^(AW$259-1)</f>
        <v>-2534.405674099</v>
      </c>
      <c r="AX290" s="69" t="n">
        <f aca="false">-AX271*Inputs!$D$34*(1+Inputs!$D$45)^(AX$259-1)</f>
        <v>-2534.405674099</v>
      </c>
      <c r="AY290" s="69" t="n">
        <f aca="false">-AY271*Inputs!$D$34*(1+Inputs!$D$45)^(AY$259-1)</f>
        <v>-2753.63176490856</v>
      </c>
      <c r="AZ290" s="69" t="n">
        <f aca="false">-AZ271*Inputs!$D$34*(1+Inputs!$D$45)^(AZ$259-1)</f>
        <v>-2753.63176490856</v>
      </c>
      <c r="BA290" s="69" t="n">
        <f aca="false">-BA271*Inputs!$D$34*(1+Inputs!$D$45)^(BA$259-1)</f>
        <v>-2753.63176490856</v>
      </c>
      <c r="BB290" s="69" t="n">
        <f aca="false">-BB271*Inputs!$D$34*(1+Inputs!$D$45)^(BB$259-1)</f>
        <v>-2753.63176490856</v>
      </c>
      <c r="BC290" s="69" t="n">
        <f aca="false">-BC271*Inputs!$D$34*(1+Inputs!$D$45)^(BC$259-1)</f>
        <v>-2753.63176490856</v>
      </c>
      <c r="BD290" s="69" t="n">
        <f aca="false">-BD271*Inputs!$D$34*(1+Inputs!$D$45)^(BD$259-1)</f>
        <v>-2753.63176490856</v>
      </c>
      <c r="BE290" s="69" t="n">
        <f aca="false">-BE271*Inputs!$D$34*(1+Inputs!$D$45)^(BE$259-1)</f>
        <v>-2753.63176490856</v>
      </c>
      <c r="BF290" s="69" t="n">
        <f aca="false">-BF271*Inputs!$D$34*(1+Inputs!$D$45)^(BF$259-1)</f>
        <v>-2753.63176490856</v>
      </c>
      <c r="BG290" s="69" t="n">
        <f aca="false">-BG271*Inputs!$D$34*(1+Inputs!$D$45)^(BG$259-1)</f>
        <v>-2753.63176490856</v>
      </c>
      <c r="BH290" s="69" t="n">
        <f aca="false">-BH271*Inputs!$D$34*(1+Inputs!$D$45)^(BH$259-1)</f>
        <v>-2753.63176490856</v>
      </c>
      <c r="BI290" s="69" t="n">
        <f aca="false">-BI271*Inputs!$D$34*(1+Inputs!$D$45)^(BI$259-1)</f>
        <v>-2753.63176490856</v>
      </c>
      <c r="BJ290" s="69" t="n">
        <f aca="false">-BJ271*Inputs!$D$34*(1+Inputs!$D$45)^(BJ$259-1)</f>
        <v>-2753.63176490856</v>
      </c>
    </row>
    <row r="291" customFormat="false" ht="15" hidden="false" customHeight="false" outlineLevel="0" collapsed="false">
      <c r="A291" s="6" t="s">
        <v>426</v>
      </c>
      <c r="C291" s="69" t="n">
        <f aca="false">-C278*Inputs!$D$35*(1+Inputs!$D$45)^(C$259-1)</f>
        <v>-1580.04</v>
      </c>
      <c r="D291" s="69" t="n">
        <f aca="false">-D278*Inputs!$D$35*(1+Inputs!$D$45)^(D$259-1)</f>
        <v>-1777.545</v>
      </c>
      <c r="E291" s="69" t="n">
        <f aca="false">-E278*Inputs!$D$35*(1+Inputs!$D$45)^(E$259-1)</f>
        <v>-1975.05</v>
      </c>
      <c r="F291" s="69" t="n">
        <f aca="false">-F278*Inputs!$D$35*(1+Inputs!$D$45)^(F$259-1)</f>
        <v>-2172.555</v>
      </c>
      <c r="G291" s="69" t="n">
        <f aca="false">-G278*Inputs!$D$35*(1+Inputs!$D$45)^(G$259-1)</f>
        <v>-2370.06</v>
      </c>
      <c r="H291" s="69" t="n">
        <f aca="false">-H278*Inputs!$D$35*(1+Inputs!$D$45)^(H$259-1)</f>
        <v>-3667.95</v>
      </c>
      <c r="I291" s="69" t="n">
        <f aca="false">-I278*Inputs!$D$35*(1+Inputs!$D$45)^(I$259-1)</f>
        <v>-3950.1</v>
      </c>
      <c r="J291" s="69" t="n">
        <f aca="false">-J278*Inputs!$D$35*(1+Inputs!$D$45)^(J$259-1)</f>
        <v>-4232.25</v>
      </c>
      <c r="K291" s="69" t="n">
        <f aca="false">-K278*Inputs!$D$35*(1+Inputs!$D$45)^(K$259-1)</f>
        <v>-3160.08</v>
      </c>
      <c r="L291" s="69" t="n">
        <f aca="false">-L278*Inputs!$D$35*(1+Inputs!$D$45)^(L$259-1)</f>
        <v>-3160.08</v>
      </c>
      <c r="M291" s="69" t="n">
        <f aca="false">-M278*Inputs!$D$35*(1+Inputs!$D$45)^(M$259-1)</f>
        <v>-3160.08</v>
      </c>
      <c r="N291" s="69" t="n">
        <f aca="false">-N278*Inputs!$D$35*(1+Inputs!$D$45)^(N$259-1)</f>
        <v>-4514.4</v>
      </c>
      <c r="O291" s="69" t="n">
        <f aca="false">-O278*Inputs!$D$35*(1+Inputs!$D$45)^(O$259-1)</f>
        <v>-3401.0361</v>
      </c>
      <c r="P291" s="69" t="n">
        <f aca="false">-P278*Inputs!$D$35*(1+Inputs!$D$45)^(P$259-1)</f>
        <v>-3401.0361</v>
      </c>
      <c r="Q291" s="69" t="n">
        <f aca="false">-Q278*Inputs!$D$35*(1+Inputs!$D$45)^(Q$259-1)</f>
        <v>-3401.0361</v>
      </c>
      <c r="R291" s="69" t="n">
        <f aca="false">-R278*Inputs!$D$35*(1+Inputs!$D$45)^(R$259-1)</f>
        <v>-3401.0361</v>
      </c>
      <c r="S291" s="69" t="n">
        <f aca="false">-S278*Inputs!$D$35*(1+Inputs!$D$45)^(S$259-1)</f>
        <v>-3401.0361</v>
      </c>
      <c r="T291" s="69" t="n">
        <f aca="false">-T278*Inputs!$D$35*(1+Inputs!$D$45)^(T$259-1)</f>
        <v>-4858.623</v>
      </c>
      <c r="U291" s="69" t="n">
        <f aca="false">-U278*Inputs!$D$35*(1+Inputs!$D$45)^(U$259-1)</f>
        <v>-4858.623</v>
      </c>
      <c r="V291" s="69" t="n">
        <f aca="false">-V278*Inputs!$D$35*(1+Inputs!$D$45)^(V$259-1)</f>
        <v>-4858.623</v>
      </c>
      <c r="W291" s="69" t="n">
        <f aca="false">-W278*Inputs!$D$35*(1+Inputs!$D$45)^(W$259-1)</f>
        <v>-3401.0361</v>
      </c>
      <c r="X291" s="69" t="n">
        <f aca="false">-X278*Inputs!$D$35*(1+Inputs!$D$45)^(X$259-1)</f>
        <v>-3401.0361</v>
      </c>
      <c r="Y291" s="69" t="n">
        <f aca="false">-Y278*Inputs!$D$35*(1+Inputs!$D$45)^(Y$259-1)</f>
        <v>-3401.0361</v>
      </c>
      <c r="Z291" s="69" t="n">
        <f aca="false">-Z278*Inputs!$D$35*(1+Inputs!$D$45)^(Z$259-1)</f>
        <v>-4858.623</v>
      </c>
      <c r="AA291" s="69" t="n">
        <f aca="false">-AA278*Inputs!$D$35*(1+Inputs!$D$45)^(AA$259-1)</f>
        <v>-3660.365102625</v>
      </c>
      <c r="AB291" s="69" t="n">
        <f aca="false">-AB278*Inputs!$D$35*(1+Inputs!$D$45)^(AB$259-1)</f>
        <v>-3660.365102625</v>
      </c>
      <c r="AC291" s="69" t="n">
        <f aca="false">-AC278*Inputs!$D$35*(1+Inputs!$D$45)^(AC$259-1)</f>
        <v>-3660.365102625</v>
      </c>
      <c r="AD291" s="69" t="n">
        <f aca="false">-AD278*Inputs!$D$35*(1+Inputs!$D$45)^(AD$259-1)</f>
        <v>-3660.365102625</v>
      </c>
      <c r="AE291" s="69" t="n">
        <f aca="false">-AE278*Inputs!$D$35*(1+Inputs!$D$45)^(AE$259-1)</f>
        <v>-3660.365102625</v>
      </c>
      <c r="AF291" s="69" t="n">
        <f aca="false">-AF278*Inputs!$D$35*(1+Inputs!$D$45)^(AF$259-1)</f>
        <v>-5229.09300375</v>
      </c>
      <c r="AG291" s="69" t="n">
        <f aca="false">-AG278*Inputs!$D$35*(1+Inputs!$D$45)^(AG$259-1)</f>
        <v>-5229.09300375</v>
      </c>
      <c r="AH291" s="69" t="n">
        <f aca="false">-AH278*Inputs!$D$35*(1+Inputs!$D$45)^(AH$259-1)</f>
        <v>-5229.09300375</v>
      </c>
      <c r="AI291" s="69" t="n">
        <f aca="false">-AI278*Inputs!$D$35*(1+Inputs!$D$45)^(AI$259-1)</f>
        <v>-3660.365102625</v>
      </c>
      <c r="AJ291" s="69" t="n">
        <f aca="false">-AJ278*Inputs!$D$35*(1+Inputs!$D$45)^(AJ$259-1)</f>
        <v>-3660.365102625</v>
      </c>
      <c r="AK291" s="69" t="n">
        <f aca="false">-AK278*Inputs!$D$35*(1+Inputs!$D$45)^(AK$259-1)</f>
        <v>-3660.365102625</v>
      </c>
      <c r="AL291" s="69" t="n">
        <f aca="false">-AL278*Inputs!$D$35*(1+Inputs!$D$45)^(AL$259-1)</f>
        <v>-5229.09300375</v>
      </c>
      <c r="AM291" s="69" t="n">
        <f aca="false">-AM278*Inputs!$D$35*(1+Inputs!$D$45)^(AM$259-1)</f>
        <v>-3939.46794170016</v>
      </c>
      <c r="AN291" s="69" t="n">
        <f aca="false">-AN278*Inputs!$D$35*(1+Inputs!$D$45)^(AN$259-1)</f>
        <v>-3939.46794170016</v>
      </c>
      <c r="AO291" s="69" t="n">
        <f aca="false">-AO278*Inputs!$D$35*(1+Inputs!$D$45)^(AO$259-1)</f>
        <v>-3939.46794170016</v>
      </c>
      <c r="AP291" s="69" t="n">
        <f aca="false">-AP278*Inputs!$D$35*(1+Inputs!$D$45)^(AP$259-1)</f>
        <v>-3939.46794170016</v>
      </c>
      <c r="AQ291" s="69" t="n">
        <f aca="false">-AQ278*Inputs!$D$35*(1+Inputs!$D$45)^(AQ$259-1)</f>
        <v>-3939.46794170016</v>
      </c>
      <c r="AR291" s="69" t="n">
        <f aca="false">-AR278*Inputs!$D$35*(1+Inputs!$D$45)^(AR$259-1)</f>
        <v>-5401.683375</v>
      </c>
      <c r="AS291" s="69" t="n">
        <f aca="false">-AS278*Inputs!$D$35*(1+Inputs!$D$45)^(AS$259-1)</f>
        <v>-5401.683375</v>
      </c>
      <c r="AT291" s="69" t="n">
        <f aca="false">-AT278*Inputs!$D$35*(1+Inputs!$D$45)^(AT$259-1)</f>
        <v>-5401.683375</v>
      </c>
      <c r="AU291" s="69" t="n">
        <f aca="false">-AU278*Inputs!$D$35*(1+Inputs!$D$45)^(AU$259-1)</f>
        <v>-3939.46794170016</v>
      </c>
      <c r="AV291" s="69" t="n">
        <f aca="false">-AV278*Inputs!$D$35*(1+Inputs!$D$45)^(AV$259-1)</f>
        <v>-3939.46794170016</v>
      </c>
      <c r="AW291" s="69" t="n">
        <f aca="false">-AW278*Inputs!$D$35*(1+Inputs!$D$45)^(AW$259-1)</f>
        <v>-3939.46794170016</v>
      </c>
      <c r="AX291" s="69" t="n">
        <f aca="false">-AX278*Inputs!$D$35*(1+Inputs!$D$45)^(AX$259-1)</f>
        <v>-5401.683375</v>
      </c>
      <c r="AY291" s="69" t="n">
        <f aca="false">-AY278*Inputs!$D$35*(1+Inputs!$D$45)^(AY$259-1)</f>
        <v>-4239.85237225479</v>
      </c>
      <c r="AZ291" s="69" t="n">
        <f aca="false">-AZ278*Inputs!$D$35*(1+Inputs!$D$45)^(AZ$259-1)</f>
        <v>-4239.85237225479</v>
      </c>
      <c r="BA291" s="69" t="n">
        <f aca="false">-BA278*Inputs!$D$35*(1+Inputs!$D$45)^(BA$259-1)</f>
        <v>-4239.85237225479</v>
      </c>
      <c r="BB291" s="69" t="n">
        <f aca="false">-BB278*Inputs!$D$35*(1+Inputs!$D$45)^(BB$259-1)</f>
        <v>-4239.85237225479</v>
      </c>
      <c r="BC291" s="69" t="n">
        <f aca="false">-BC278*Inputs!$D$35*(1+Inputs!$D$45)^(BC$259-1)</f>
        <v>-4239.85237225479</v>
      </c>
      <c r="BD291" s="69" t="n">
        <f aca="false">-BD278*Inputs!$D$35*(1+Inputs!$D$45)^(BD$259-1)</f>
        <v>-5536.725459375</v>
      </c>
      <c r="BE291" s="69" t="n">
        <f aca="false">-BE278*Inputs!$D$35*(1+Inputs!$D$45)^(BE$259-1)</f>
        <v>-5536.725459375</v>
      </c>
      <c r="BF291" s="69" t="n">
        <f aca="false">-BF278*Inputs!$D$35*(1+Inputs!$D$45)^(BF$259-1)</f>
        <v>-5536.725459375</v>
      </c>
      <c r="BG291" s="69" t="n">
        <f aca="false">-BG278*Inputs!$D$35*(1+Inputs!$D$45)^(BG$259-1)</f>
        <v>-4239.85237225479</v>
      </c>
      <c r="BH291" s="69" t="n">
        <f aca="false">-BH278*Inputs!$D$35*(1+Inputs!$D$45)^(BH$259-1)</f>
        <v>-4239.85237225479</v>
      </c>
      <c r="BI291" s="69" t="n">
        <f aca="false">-BI278*Inputs!$D$35*(1+Inputs!$D$45)^(BI$259-1)</f>
        <v>-4239.85237225479</v>
      </c>
      <c r="BJ291" s="69" t="n">
        <f aca="false">-BJ278*Inputs!$D$35*(1+Inputs!$D$45)^(BJ$259-1)</f>
        <v>-5536.725459375</v>
      </c>
    </row>
    <row r="292" customFormat="false" ht="15" hidden="false" customHeight="false" outlineLevel="0" collapsed="false">
      <c r="A292" s="6" t="s">
        <v>427</v>
      </c>
      <c r="C292" s="69" t="n">
        <f aca="false">-C284*(1-Inputs!$D$22)</f>
        <v>-1383.2</v>
      </c>
      <c r="D292" s="69" t="n">
        <f aca="false">-D284*(1-Inputs!$D$22)</f>
        <v>-1556.1</v>
      </c>
      <c r="E292" s="69" t="n">
        <f aca="false">-E284*(1-Inputs!$D$22)</f>
        <v>-1729</v>
      </c>
      <c r="F292" s="69" t="n">
        <f aca="false">-F284*(1-Inputs!$D$22)</f>
        <v>-1901.9</v>
      </c>
      <c r="G292" s="69" t="n">
        <f aca="false">-G284*(1-Inputs!$D$22)</f>
        <v>-2074.8</v>
      </c>
      <c r="H292" s="69" t="n">
        <f aca="false">-H284*(1-Inputs!$D$22)</f>
        <v>-2247.7</v>
      </c>
      <c r="I292" s="69" t="n">
        <f aca="false">-I284*(1-Inputs!$D$22)</f>
        <v>-2420.6</v>
      </c>
      <c r="J292" s="69" t="n">
        <f aca="false">-J284*(1-Inputs!$D$22)</f>
        <v>-2593.5</v>
      </c>
      <c r="K292" s="69" t="n">
        <f aca="false">-K284*(1-Inputs!$D$22)</f>
        <v>-2766.4</v>
      </c>
      <c r="L292" s="69" t="n">
        <f aca="false">-L284*(1-Inputs!$D$22)</f>
        <v>-2766.4</v>
      </c>
      <c r="M292" s="69" t="n">
        <f aca="false">-M284*(1-Inputs!$D$22)</f>
        <v>-2766.4</v>
      </c>
      <c r="N292" s="69" t="n">
        <f aca="false">-N284*(1-Inputs!$D$22)</f>
        <v>-2766.4</v>
      </c>
      <c r="O292" s="69" t="n">
        <f aca="false">-O284*(1-Inputs!$D$22)</f>
        <v>-3049.67936</v>
      </c>
      <c r="P292" s="69" t="n">
        <f aca="false">-P284*(1-Inputs!$D$22)</f>
        <v>-3049.67936</v>
      </c>
      <c r="Q292" s="69" t="n">
        <f aca="false">-Q284*(1-Inputs!$D$22)</f>
        <v>-3049.67936</v>
      </c>
      <c r="R292" s="69" t="n">
        <f aca="false">-R284*(1-Inputs!$D$22)</f>
        <v>-3049.67936</v>
      </c>
      <c r="S292" s="69" t="n">
        <f aca="false">-S284*(1-Inputs!$D$22)</f>
        <v>-3049.67936</v>
      </c>
      <c r="T292" s="69" t="n">
        <f aca="false">-T284*(1-Inputs!$D$22)</f>
        <v>-3049.67936</v>
      </c>
      <c r="U292" s="69" t="n">
        <f aca="false">-U284*(1-Inputs!$D$22)</f>
        <v>-3049.67936</v>
      </c>
      <c r="V292" s="69" t="n">
        <f aca="false">-V284*(1-Inputs!$D$22)</f>
        <v>-3049.67936</v>
      </c>
      <c r="W292" s="69" t="n">
        <f aca="false">-W284*(1-Inputs!$D$22)</f>
        <v>-3049.67936</v>
      </c>
      <c r="X292" s="69" t="n">
        <f aca="false">-X284*(1-Inputs!$D$22)</f>
        <v>-3049.67936</v>
      </c>
      <c r="Y292" s="69" t="n">
        <f aca="false">-Y284*(1-Inputs!$D$22)</f>
        <v>-3049.67936</v>
      </c>
      <c r="Z292" s="69" t="n">
        <f aca="false">-Z284*(1-Inputs!$D$22)</f>
        <v>-3049.67936</v>
      </c>
      <c r="AA292" s="69" t="n">
        <f aca="false">-AA284*(1-Inputs!$D$22)</f>
        <v>-3361.966526464</v>
      </c>
      <c r="AB292" s="69" t="n">
        <f aca="false">-AB284*(1-Inputs!$D$22)</f>
        <v>-3361.966526464</v>
      </c>
      <c r="AC292" s="69" t="n">
        <f aca="false">-AC284*(1-Inputs!$D$22)</f>
        <v>-3361.966526464</v>
      </c>
      <c r="AD292" s="69" t="n">
        <f aca="false">-AD284*(1-Inputs!$D$22)</f>
        <v>-3361.966526464</v>
      </c>
      <c r="AE292" s="69" t="n">
        <f aca="false">-AE284*(1-Inputs!$D$22)</f>
        <v>-3361.966526464</v>
      </c>
      <c r="AF292" s="69" t="n">
        <f aca="false">-AF284*(1-Inputs!$D$22)</f>
        <v>-3361.966526464</v>
      </c>
      <c r="AG292" s="69" t="n">
        <f aca="false">-AG284*(1-Inputs!$D$22)</f>
        <v>-3361.966526464</v>
      </c>
      <c r="AH292" s="69" t="n">
        <f aca="false">-AH284*(1-Inputs!$D$22)</f>
        <v>-3361.966526464</v>
      </c>
      <c r="AI292" s="69" t="n">
        <f aca="false">-AI284*(1-Inputs!$D$22)</f>
        <v>-3361.966526464</v>
      </c>
      <c r="AJ292" s="69" t="n">
        <f aca="false">-AJ284*(1-Inputs!$D$22)</f>
        <v>-3361.966526464</v>
      </c>
      <c r="AK292" s="69" t="n">
        <f aca="false">-AK284*(1-Inputs!$D$22)</f>
        <v>-3361.966526464</v>
      </c>
      <c r="AL292" s="69" t="n">
        <f aca="false">-AL284*(1-Inputs!$D$22)</f>
        <v>-3361.966526464</v>
      </c>
      <c r="AM292" s="69" t="n">
        <f aca="false">-AM284*(1-Inputs!$D$22)</f>
        <v>-3706.23189877391</v>
      </c>
      <c r="AN292" s="69" t="n">
        <f aca="false">-AN284*(1-Inputs!$D$22)</f>
        <v>-3706.23189877391</v>
      </c>
      <c r="AO292" s="69" t="n">
        <f aca="false">-AO284*(1-Inputs!$D$22)</f>
        <v>-3706.23189877391</v>
      </c>
      <c r="AP292" s="69" t="n">
        <f aca="false">-AP284*(1-Inputs!$D$22)</f>
        <v>-3706.23189877391</v>
      </c>
      <c r="AQ292" s="69" t="n">
        <f aca="false">-AQ284*(1-Inputs!$D$22)</f>
        <v>-3706.23189877391</v>
      </c>
      <c r="AR292" s="69" t="n">
        <f aca="false">-AR284*(1-Inputs!$D$22)</f>
        <v>-3706.23189877391</v>
      </c>
      <c r="AS292" s="69" t="n">
        <f aca="false">-AS284*(1-Inputs!$D$22)</f>
        <v>-3706.23189877391</v>
      </c>
      <c r="AT292" s="69" t="n">
        <f aca="false">-AT284*(1-Inputs!$D$22)</f>
        <v>-3706.23189877391</v>
      </c>
      <c r="AU292" s="69" t="n">
        <f aca="false">-AU284*(1-Inputs!$D$22)</f>
        <v>-3706.23189877391</v>
      </c>
      <c r="AV292" s="69" t="n">
        <f aca="false">-AV284*(1-Inputs!$D$22)</f>
        <v>-3706.23189877391</v>
      </c>
      <c r="AW292" s="69" t="n">
        <f aca="false">-AW284*(1-Inputs!$D$22)</f>
        <v>-3706.23189877391</v>
      </c>
      <c r="AX292" s="69" t="n">
        <f aca="false">-AX284*(1-Inputs!$D$22)</f>
        <v>-3706.23189877391</v>
      </c>
      <c r="AY292" s="69" t="n">
        <f aca="false">-AY284*(1-Inputs!$D$22)</f>
        <v>-4085.75004520837</v>
      </c>
      <c r="AZ292" s="69" t="n">
        <f aca="false">-AZ284*(1-Inputs!$D$22)</f>
        <v>-4085.75004520837</v>
      </c>
      <c r="BA292" s="69" t="n">
        <f aca="false">-BA284*(1-Inputs!$D$22)</f>
        <v>-4085.75004520837</v>
      </c>
      <c r="BB292" s="69" t="n">
        <f aca="false">-BB284*(1-Inputs!$D$22)</f>
        <v>-4085.75004520837</v>
      </c>
      <c r="BC292" s="69" t="n">
        <f aca="false">-BC284*(1-Inputs!$D$22)</f>
        <v>-4085.75004520837</v>
      </c>
      <c r="BD292" s="69" t="n">
        <f aca="false">-BD284*(1-Inputs!$D$22)</f>
        <v>-4085.75004520837</v>
      </c>
      <c r="BE292" s="69" t="n">
        <f aca="false">-BE284*(1-Inputs!$D$22)</f>
        <v>-4085.75004520837</v>
      </c>
      <c r="BF292" s="69" t="n">
        <f aca="false">-BF284*(1-Inputs!$D$22)</f>
        <v>-4085.75004520837</v>
      </c>
      <c r="BG292" s="69" t="n">
        <f aca="false">-BG284*(1-Inputs!$D$22)</f>
        <v>-4085.75004520837</v>
      </c>
      <c r="BH292" s="69" t="n">
        <f aca="false">-BH284*(1-Inputs!$D$22)</f>
        <v>-4085.75004520837</v>
      </c>
      <c r="BI292" s="69" t="n">
        <f aca="false">-BI284*(1-Inputs!$D$22)</f>
        <v>-4085.75004520837</v>
      </c>
      <c r="BJ292" s="69" t="n">
        <f aca="false">-BJ284*(1-Inputs!$D$22)</f>
        <v>-4085.75004520837</v>
      </c>
    </row>
    <row r="293" customFormat="false" ht="15" hidden="false" customHeight="false" outlineLevel="0" collapsed="false">
      <c r="A293" s="4" t="s">
        <v>76</v>
      </c>
      <c r="C293" s="75" t="n">
        <f aca="false">C288+C289+C290+C291+C292</f>
        <v>-14468.3933333333</v>
      </c>
      <c r="D293" s="75" t="n">
        <f aca="false">D288+D289+D290+D291+D292</f>
        <v>-15797.7758333333</v>
      </c>
      <c r="E293" s="75" t="n">
        <f aca="false">E288+E289+E290+E291+E292</f>
        <v>-17127.1583333333</v>
      </c>
      <c r="F293" s="75" t="n">
        <f aca="false">F288+F289+F290+F291+F292</f>
        <v>-18456.5408333333</v>
      </c>
      <c r="G293" s="75" t="n">
        <f aca="false">G288+G289+G290+G291+G292</f>
        <v>-19785.9233333333</v>
      </c>
      <c r="H293" s="75" t="n">
        <f aca="false">H288+H289+H290+H291+H292</f>
        <v>-22215.6908333333</v>
      </c>
      <c r="I293" s="75" t="n">
        <f aca="false">I288+I289+I290+I291+I292</f>
        <v>-23629.7183333333</v>
      </c>
      <c r="J293" s="75" t="n">
        <f aca="false">J288+J289+J290+J291+J292</f>
        <v>-25043.7458333333</v>
      </c>
      <c r="K293" s="75" t="n">
        <f aca="false">K288+K289+K290+K291+K292</f>
        <v>-25103.4533333333</v>
      </c>
      <c r="L293" s="75" t="n">
        <f aca="false">L288+L289+L290+L291+L292</f>
        <v>-25103.4533333333</v>
      </c>
      <c r="M293" s="75" t="n">
        <f aca="false">M288+M289+M290+M291+M292</f>
        <v>-25103.4533333333</v>
      </c>
      <c r="N293" s="75" t="n">
        <f aca="false">N288+N289+N290+N291+N292</f>
        <v>-26457.7733333333</v>
      </c>
      <c r="O293" s="75" t="n">
        <f aca="false">O288+O289+O290+O291+O292</f>
        <v>-27282.4591293333</v>
      </c>
      <c r="P293" s="75" t="n">
        <f aca="false">P288+P289+P290+P291+P292</f>
        <v>-27282.4591293333</v>
      </c>
      <c r="Q293" s="75" t="n">
        <f aca="false">Q288+Q289+Q290+Q291+Q292</f>
        <v>-27282.4591293333</v>
      </c>
      <c r="R293" s="75" t="n">
        <f aca="false">R288+R289+R290+R291+R292</f>
        <v>-27282.4591293333</v>
      </c>
      <c r="S293" s="75" t="n">
        <f aca="false">S288+S289+S290+S291+S292</f>
        <v>-27282.4591293333</v>
      </c>
      <c r="T293" s="75" t="n">
        <f aca="false">T288+T289+T290+T291+T292</f>
        <v>-28740.0460293333</v>
      </c>
      <c r="U293" s="75" t="n">
        <f aca="false">U288+U289+U290+U291+U292</f>
        <v>-28740.0460293333</v>
      </c>
      <c r="V293" s="75" t="n">
        <f aca="false">V288+V289+V290+V291+V292</f>
        <v>-28740.0460293333</v>
      </c>
      <c r="W293" s="75" t="n">
        <f aca="false">W288+W289+W290+W291+W292</f>
        <v>-27282.4591293333</v>
      </c>
      <c r="X293" s="75" t="n">
        <f aca="false">X288+X289+X290+X291+X292</f>
        <v>-27282.4591293333</v>
      </c>
      <c r="Y293" s="75" t="n">
        <f aca="false">Y288+Y289+Y290+Y291+Y292</f>
        <v>-27282.4591293333</v>
      </c>
      <c r="Z293" s="75" t="n">
        <f aca="false">Z288+Z289+Z290+Z291+Z292</f>
        <v>-28740.0460293333</v>
      </c>
      <c r="AA293" s="75" t="n">
        <f aca="false">AA288+AA289+AA290+AA291+AA292</f>
        <v>-29667.2504252287</v>
      </c>
      <c r="AB293" s="75" t="n">
        <f aca="false">AB288+AB289+AB290+AB291+AB292</f>
        <v>-29667.2504252287</v>
      </c>
      <c r="AC293" s="75" t="n">
        <f aca="false">AC288+AC289+AC290+AC291+AC292</f>
        <v>-29667.2504252287</v>
      </c>
      <c r="AD293" s="75" t="n">
        <f aca="false">AD288+AD289+AD290+AD291+AD292</f>
        <v>-29667.2504252287</v>
      </c>
      <c r="AE293" s="75" t="n">
        <f aca="false">AE288+AE289+AE290+AE291+AE292</f>
        <v>-29667.2504252287</v>
      </c>
      <c r="AF293" s="75" t="n">
        <f aca="false">AF288+AF289+AF290+AF291+AF292</f>
        <v>-31235.9783263537</v>
      </c>
      <c r="AG293" s="75" t="n">
        <f aca="false">AG288+AG289+AG290+AG291+AG292</f>
        <v>-31235.9783263537</v>
      </c>
      <c r="AH293" s="75" t="n">
        <f aca="false">AH288+AH289+AH290+AH291+AH292</f>
        <v>-31235.9783263537</v>
      </c>
      <c r="AI293" s="75" t="n">
        <f aca="false">AI288+AI289+AI290+AI291+AI292</f>
        <v>-29667.2504252287</v>
      </c>
      <c r="AJ293" s="75" t="n">
        <f aca="false">AJ288+AJ289+AJ290+AJ291+AJ292</f>
        <v>-29667.2504252287</v>
      </c>
      <c r="AK293" s="75" t="n">
        <f aca="false">AK288+AK289+AK290+AK291+AK292</f>
        <v>-29667.2504252287</v>
      </c>
      <c r="AL293" s="75" t="n">
        <f aca="false">AL288+AL289+AL290+AL291+AL292</f>
        <v>-31235.9783263537</v>
      </c>
      <c r="AM293" s="75" t="n">
        <f aca="false">AM288+AM289+AM290+AM291+AM292</f>
        <v>-32277.9343444818</v>
      </c>
      <c r="AN293" s="75" t="n">
        <f aca="false">AN288+AN289+AN290+AN291+AN292</f>
        <v>-32277.9343444818</v>
      </c>
      <c r="AO293" s="75" t="n">
        <f aca="false">AO288+AO289+AO290+AO291+AO292</f>
        <v>-32277.9343444818</v>
      </c>
      <c r="AP293" s="75" t="n">
        <f aca="false">AP288+AP289+AP290+AP291+AP292</f>
        <v>-32277.9343444818</v>
      </c>
      <c r="AQ293" s="75" t="n">
        <f aca="false">AQ288+AQ289+AQ290+AQ291+AQ292</f>
        <v>-32277.9343444818</v>
      </c>
      <c r="AR293" s="75" t="n">
        <f aca="false">AR288+AR289+AR290+AR291+AR292</f>
        <v>-33740.1497777816</v>
      </c>
      <c r="AS293" s="75" t="n">
        <f aca="false">AS288+AS289+AS290+AS291+AS292</f>
        <v>-33740.1497777816</v>
      </c>
      <c r="AT293" s="75" t="n">
        <f aca="false">AT288+AT289+AT290+AT291+AT292</f>
        <v>-33740.1497777816</v>
      </c>
      <c r="AU293" s="75" t="n">
        <f aca="false">AU288+AU289+AU290+AU291+AU292</f>
        <v>-32277.9343444818</v>
      </c>
      <c r="AV293" s="75" t="n">
        <f aca="false">AV288+AV289+AV290+AV291+AV292</f>
        <v>-32277.9343444818</v>
      </c>
      <c r="AW293" s="75" t="n">
        <f aca="false">AW288+AW289+AW290+AW291+AW292</f>
        <v>-32277.9343444818</v>
      </c>
      <c r="AX293" s="75" t="n">
        <f aca="false">AX288+AX289+AX290+AX291+AX292</f>
        <v>-33740.1497777816</v>
      </c>
      <c r="AY293" s="75" t="n">
        <f aca="false">AY288+AY289+AY290+AY291+AY292</f>
        <v>-35136.6125177298</v>
      </c>
      <c r="AZ293" s="75" t="n">
        <f aca="false">AZ288+AZ289+AZ290+AZ291+AZ292</f>
        <v>-35136.6125177298</v>
      </c>
      <c r="BA293" s="75" t="n">
        <f aca="false">BA288+BA289+BA290+BA291+BA292</f>
        <v>-35136.6125177298</v>
      </c>
      <c r="BB293" s="75" t="n">
        <f aca="false">BB288+BB289+BB290+BB291+BB292</f>
        <v>-35136.6125177298</v>
      </c>
      <c r="BC293" s="75" t="n">
        <f aca="false">BC288+BC289+BC290+BC291+BC292</f>
        <v>-35136.6125177298</v>
      </c>
      <c r="BD293" s="75" t="n">
        <f aca="false">BD288+BD289+BD290+BD291+BD292</f>
        <v>-36433.48560485</v>
      </c>
      <c r="BE293" s="75" t="n">
        <f aca="false">BE288+BE289+BE290+BE291+BE292</f>
        <v>-36433.48560485</v>
      </c>
      <c r="BF293" s="75" t="n">
        <f aca="false">BF288+BF289+BF290+BF291+BF292</f>
        <v>-36433.48560485</v>
      </c>
      <c r="BG293" s="75" t="n">
        <f aca="false">BG288+BG289+BG290+BG291+BG292</f>
        <v>-35136.6125177298</v>
      </c>
      <c r="BH293" s="75" t="n">
        <f aca="false">BH288+BH289+BH290+BH291+BH292</f>
        <v>-35136.6125177298</v>
      </c>
      <c r="BI293" s="75" t="n">
        <f aca="false">BI288+BI289+BI290+BI291+BI292</f>
        <v>-35136.6125177298</v>
      </c>
      <c r="BJ293" s="75" t="n">
        <f aca="false">BJ288+BJ289+BJ290+BJ291+BJ292</f>
        <v>-36433.48560485</v>
      </c>
    </row>
    <row r="294" customFormat="false" ht="15" hidden="false" customHeight="false" outlineLevel="0" collapsed="false">
      <c r="A294" s="115" t="s">
        <v>45</v>
      </c>
      <c r="C294" s="70" t="n">
        <f aca="false">C285+C293</f>
        <v>25492.4066666667</v>
      </c>
      <c r="D294" s="70" t="n">
        <f aca="false">D285+D293</f>
        <v>29158.1241666667</v>
      </c>
      <c r="E294" s="70" t="n">
        <f aca="false">E285+E293</f>
        <v>32823.8416666667</v>
      </c>
      <c r="F294" s="70" t="n">
        <f aca="false">F285+F293</f>
        <v>36489.5591666667</v>
      </c>
      <c r="G294" s="70" t="n">
        <f aca="false">G285+G293</f>
        <v>40155.2766666667</v>
      </c>
      <c r="H294" s="70" t="n">
        <f aca="false">H285+H293</f>
        <v>54724.8091666667</v>
      </c>
      <c r="I294" s="70" t="n">
        <f aca="false">I285+I293</f>
        <v>59229.2816666667</v>
      </c>
      <c r="J294" s="70" t="n">
        <f aca="false">J285+J293</f>
        <v>63733.7541666667</v>
      </c>
      <c r="K294" s="70" t="n">
        <f aca="false">K285+K293</f>
        <v>54818.1466666667</v>
      </c>
      <c r="L294" s="70" t="n">
        <f aca="false">L285+L293</f>
        <v>54818.1466666667</v>
      </c>
      <c r="M294" s="70" t="n">
        <f aca="false">M285+M293</f>
        <v>54818.1466666667</v>
      </c>
      <c r="N294" s="70" t="n">
        <f aca="false">N285+N293</f>
        <v>68238.2266666667</v>
      </c>
      <c r="O294" s="70" t="n">
        <f aca="false">O285+O293</f>
        <v>60464.5872706667</v>
      </c>
      <c r="P294" s="70" t="n">
        <f aca="false">P285+P293</f>
        <v>60464.5872706667</v>
      </c>
      <c r="Q294" s="70" t="n">
        <f aca="false">Q285+Q293</f>
        <v>60464.5872706667</v>
      </c>
      <c r="R294" s="70" t="n">
        <f aca="false">R285+R293</f>
        <v>60464.5872706667</v>
      </c>
      <c r="S294" s="70" t="n">
        <f aca="false">S285+S293</f>
        <v>60464.5872706667</v>
      </c>
      <c r="T294" s="70" t="n">
        <f aca="false">T285+T293</f>
        <v>75140.6451706667</v>
      </c>
      <c r="U294" s="70" t="n">
        <f aca="false">U285+U293</f>
        <v>75140.6451706667</v>
      </c>
      <c r="V294" s="70" t="n">
        <f aca="false">V285+V293</f>
        <v>75140.6451706667</v>
      </c>
      <c r="W294" s="70" t="n">
        <f aca="false">W285+W293</f>
        <v>60464.5872706667</v>
      </c>
      <c r="X294" s="70" t="n">
        <f aca="false">X285+X293</f>
        <v>60464.5872706667</v>
      </c>
      <c r="Y294" s="70" t="n">
        <f aca="false">Y285+Y293</f>
        <v>60464.5872706667</v>
      </c>
      <c r="Z294" s="70" t="n">
        <f aca="false">Z285+Z293</f>
        <v>75140.6451706667</v>
      </c>
      <c r="AA294" s="70" t="n">
        <f aca="false">AA285+AA293</f>
        <v>66673.5837456513</v>
      </c>
      <c r="AB294" s="70" t="n">
        <f aca="false">AB285+AB293</f>
        <v>66673.5837456513</v>
      </c>
      <c r="AC294" s="70" t="n">
        <f aca="false">AC285+AC293</f>
        <v>66673.5837456513</v>
      </c>
      <c r="AD294" s="70" t="n">
        <f aca="false">AD285+AD293</f>
        <v>66673.5837456513</v>
      </c>
      <c r="AE294" s="70" t="n">
        <f aca="false">AE285+AE293</f>
        <v>66673.5837456513</v>
      </c>
      <c r="AF294" s="70" t="n">
        <f aca="false">AF285+AF293</f>
        <v>82722.7959661263</v>
      </c>
      <c r="AG294" s="70" t="n">
        <f aca="false">AG285+AG293</f>
        <v>82722.7959661263</v>
      </c>
      <c r="AH294" s="70" t="n">
        <f aca="false">AH285+AH293</f>
        <v>82722.7959661263</v>
      </c>
      <c r="AI294" s="70" t="n">
        <f aca="false">AI285+AI293</f>
        <v>66673.5837456513</v>
      </c>
      <c r="AJ294" s="70" t="n">
        <f aca="false">AJ285+AJ293</f>
        <v>66673.5837456513</v>
      </c>
      <c r="AK294" s="70" t="n">
        <f aca="false">AK285+AK293</f>
        <v>66673.5837456513</v>
      </c>
      <c r="AL294" s="70" t="n">
        <f aca="false">AL285+AL293</f>
        <v>82722.7959661263</v>
      </c>
      <c r="AM294" s="70" t="n">
        <f aca="false">AM285+AM293</f>
        <v>73500.6725652122</v>
      </c>
      <c r="AN294" s="70" t="n">
        <f aca="false">AN285+AN293</f>
        <v>73500.6725652122</v>
      </c>
      <c r="AO294" s="70" t="n">
        <f aca="false">AO285+AO293</f>
        <v>73500.6725652122</v>
      </c>
      <c r="AP294" s="70" t="n">
        <f aca="false">AP285+AP293</f>
        <v>73500.6725652122</v>
      </c>
      <c r="AQ294" s="70" t="n">
        <f aca="false">AQ285+AQ293</f>
        <v>73500.6725652122</v>
      </c>
      <c r="AR294" s="70" t="n">
        <f aca="false">AR285+AR293</f>
        <v>88700.5037820755</v>
      </c>
      <c r="AS294" s="70" t="n">
        <f aca="false">AS285+AS293</f>
        <v>88700.5037820755</v>
      </c>
      <c r="AT294" s="70" t="n">
        <f aca="false">AT285+AT293</f>
        <v>88700.5037820755</v>
      </c>
      <c r="AU294" s="70" t="n">
        <f aca="false">AU285+AU293</f>
        <v>73500.6725652122</v>
      </c>
      <c r="AV294" s="70" t="n">
        <f aca="false">AV285+AV293</f>
        <v>73500.6725652122</v>
      </c>
      <c r="AW294" s="70" t="n">
        <f aca="false">AW285+AW293</f>
        <v>73500.6725652122</v>
      </c>
      <c r="AX294" s="70" t="n">
        <f aca="false">AX285+AX293</f>
        <v>88700.5037820755</v>
      </c>
      <c r="AY294" s="70" t="n">
        <f aca="false">AY285+AY293</f>
        <v>81006.8624206466</v>
      </c>
      <c r="AZ294" s="70" t="n">
        <f aca="false">AZ285+AZ293</f>
        <v>81006.8624206466</v>
      </c>
      <c r="BA294" s="70" t="n">
        <f aca="false">BA285+BA293</f>
        <v>81006.8624206466</v>
      </c>
      <c r="BB294" s="70" t="n">
        <f aca="false">BB285+BB293</f>
        <v>81006.8624206466</v>
      </c>
      <c r="BC294" s="70" t="n">
        <f aca="false">BC285+BC293</f>
        <v>81006.8624206466</v>
      </c>
      <c r="BD294" s="70" t="n">
        <f aca="false">BD285+BD293</f>
        <v>94704.2112553446</v>
      </c>
      <c r="BE294" s="70" t="n">
        <f aca="false">BE285+BE293</f>
        <v>94704.2112553446</v>
      </c>
      <c r="BF294" s="70" t="n">
        <f aca="false">BF285+BF293</f>
        <v>94704.2112553446</v>
      </c>
      <c r="BG294" s="70" t="n">
        <f aca="false">BG285+BG293</f>
        <v>81006.8624206466</v>
      </c>
      <c r="BH294" s="70" t="n">
        <f aca="false">BH285+BH293</f>
        <v>81006.8624206466</v>
      </c>
      <c r="BI294" s="70" t="n">
        <f aca="false">BI285+BI293</f>
        <v>81006.8624206466</v>
      </c>
      <c r="BJ294" s="70" t="n">
        <f aca="false">BJ285+BJ293</f>
        <v>94704.2112553446</v>
      </c>
    </row>
    <row r="296" customFormat="false" ht="15.75" hidden="false" customHeight="true" outlineLevel="0" collapsed="false">
      <c r="A296" s="7" t="s">
        <v>47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customFormat="false" ht="15" hidden="false" customHeight="false" outlineLevel="0" collapsed="false">
      <c r="A297" s="6" t="s">
        <v>337</v>
      </c>
      <c r="C297" s="69" t="n">
        <f aca="false">C379-C376</f>
        <v>-15237.5</v>
      </c>
      <c r="D297" s="69" t="n">
        <f aca="false">D379-D376</f>
        <v>-15237.5</v>
      </c>
      <c r="E297" s="69" t="n">
        <f aca="false">E379-E376</f>
        <v>-15237.5</v>
      </c>
      <c r="F297" s="69" t="n">
        <f aca="false">F379-F376</f>
        <v>-15237.5</v>
      </c>
      <c r="G297" s="69" t="n">
        <f aca="false">G379-G376</f>
        <v>-15237.5</v>
      </c>
      <c r="H297" s="69" t="n">
        <f aca="false">H379-H376</f>
        <v>-15237.5</v>
      </c>
      <c r="I297" s="69" t="n">
        <f aca="false">I379-I376</f>
        <v>-15237.5</v>
      </c>
      <c r="J297" s="69" t="n">
        <f aca="false">J379-J376</f>
        <v>-15237.5</v>
      </c>
      <c r="K297" s="69" t="n">
        <f aca="false">K379-K376</f>
        <v>-15237.5</v>
      </c>
      <c r="L297" s="69" t="n">
        <f aca="false">L379-L376</f>
        <v>-15237.5</v>
      </c>
      <c r="M297" s="69" t="n">
        <f aca="false">M379-M376</f>
        <v>-15237.5</v>
      </c>
      <c r="N297" s="69" t="n">
        <f aca="false">N379-N376</f>
        <v>-15237.5</v>
      </c>
      <c r="O297" s="69" t="n">
        <f aca="false">O379-O376</f>
        <v>-15694.625</v>
      </c>
      <c r="P297" s="69" t="n">
        <f aca="false">P379-P376</f>
        <v>-15694.625</v>
      </c>
      <c r="Q297" s="69" t="n">
        <f aca="false">Q379-Q376</f>
        <v>-15694.625</v>
      </c>
      <c r="R297" s="69" t="n">
        <f aca="false">R379-R376</f>
        <v>-15694.625</v>
      </c>
      <c r="S297" s="69" t="n">
        <f aca="false">S379-S376</f>
        <v>-15694.625</v>
      </c>
      <c r="T297" s="69" t="n">
        <f aca="false">T379-T376</f>
        <v>-15694.625</v>
      </c>
      <c r="U297" s="69" t="n">
        <f aca="false">U379-U376</f>
        <v>-15694.625</v>
      </c>
      <c r="V297" s="69" t="n">
        <f aca="false">V379-V376</f>
        <v>-15694.625</v>
      </c>
      <c r="W297" s="69" t="n">
        <f aca="false">W379-W376</f>
        <v>-15694.625</v>
      </c>
      <c r="X297" s="69" t="n">
        <f aca="false">X379-X376</f>
        <v>-15694.625</v>
      </c>
      <c r="Y297" s="69" t="n">
        <f aca="false">Y379-Y376</f>
        <v>-15694.625</v>
      </c>
      <c r="Z297" s="69" t="n">
        <f aca="false">Z379-Z376</f>
        <v>-15694.625</v>
      </c>
      <c r="AA297" s="69" t="n">
        <f aca="false">AA379-AA376</f>
        <v>-16165.46375</v>
      </c>
      <c r="AB297" s="69" t="n">
        <f aca="false">AB379-AB376</f>
        <v>-16165.46375</v>
      </c>
      <c r="AC297" s="69" t="n">
        <f aca="false">AC379-AC376</f>
        <v>-16165.46375</v>
      </c>
      <c r="AD297" s="69" t="n">
        <f aca="false">AD379-AD376</f>
        <v>-16165.46375</v>
      </c>
      <c r="AE297" s="69" t="n">
        <f aca="false">AE379-AE376</f>
        <v>-16165.46375</v>
      </c>
      <c r="AF297" s="69" t="n">
        <f aca="false">AF379-AF376</f>
        <v>-16165.46375</v>
      </c>
      <c r="AG297" s="69" t="n">
        <f aca="false">AG379-AG376</f>
        <v>-16165.46375</v>
      </c>
      <c r="AH297" s="69" t="n">
        <f aca="false">AH379-AH376</f>
        <v>-16165.46375</v>
      </c>
      <c r="AI297" s="69" t="n">
        <f aca="false">AI379-AI376</f>
        <v>-16165.46375</v>
      </c>
      <c r="AJ297" s="69" t="n">
        <f aca="false">AJ379-AJ376</f>
        <v>-16165.46375</v>
      </c>
      <c r="AK297" s="69" t="n">
        <f aca="false">AK379-AK376</f>
        <v>-16165.46375</v>
      </c>
      <c r="AL297" s="69" t="n">
        <f aca="false">AL379-AL376</f>
        <v>-16165.46375</v>
      </c>
      <c r="AM297" s="69" t="n">
        <f aca="false">AM379-AM376</f>
        <v>-16650.4276625</v>
      </c>
      <c r="AN297" s="69" t="n">
        <f aca="false">AN379-AN376</f>
        <v>-16650.4276625</v>
      </c>
      <c r="AO297" s="69" t="n">
        <f aca="false">AO379-AO376</f>
        <v>-16650.4276625</v>
      </c>
      <c r="AP297" s="69" t="n">
        <f aca="false">AP379-AP376</f>
        <v>-16650.4276625</v>
      </c>
      <c r="AQ297" s="69" t="n">
        <f aca="false">AQ379-AQ376</f>
        <v>-16650.4276625</v>
      </c>
      <c r="AR297" s="69" t="n">
        <f aca="false">AR379-AR376</f>
        <v>-16650.4276625</v>
      </c>
      <c r="AS297" s="69" t="n">
        <f aca="false">AS379-AS376</f>
        <v>-16650.4276625</v>
      </c>
      <c r="AT297" s="69" t="n">
        <f aca="false">AT379-AT376</f>
        <v>-16650.4276625</v>
      </c>
      <c r="AU297" s="69" t="n">
        <f aca="false">AU379-AU376</f>
        <v>-16650.4276625</v>
      </c>
      <c r="AV297" s="69" t="n">
        <f aca="false">AV379-AV376</f>
        <v>-16650.4276625</v>
      </c>
      <c r="AW297" s="69" t="n">
        <f aca="false">AW379-AW376</f>
        <v>-16650.4276625</v>
      </c>
      <c r="AX297" s="69" t="n">
        <f aca="false">AX379-AX376</f>
        <v>-16650.4276625</v>
      </c>
      <c r="AY297" s="69" t="n">
        <f aca="false">AY379-AY376</f>
        <v>-17149.940492375</v>
      </c>
      <c r="AZ297" s="69" t="n">
        <f aca="false">AZ379-AZ376</f>
        <v>-17149.940492375</v>
      </c>
      <c r="BA297" s="69" t="n">
        <f aca="false">BA379-BA376</f>
        <v>-17149.940492375</v>
      </c>
      <c r="BB297" s="69" t="n">
        <f aca="false">BB379-BB376</f>
        <v>-17149.940492375</v>
      </c>
      <c r="BC297" s="69" t="n">
        <f aca="false">BC379-BC376</f>
        <v>-17149.940492375</v>
      </c>
      <c r="BD297" s="69" t="n">
        <f aca="false">BD379-BD376</f>
        <v>-17149.940492375</v>
      </c>
      <c r="BE297" s="69" t="n">
        <f aca="false">BE379-BE376</f>
        <v>-17149.940492375</v>
      </c>
      <c r="BF297" s="69" t="n">
        <f aca="false">BF379-BF376</f>
        <v>-17149.940492375</v>
      </c>
      <c r="BG297" s="69" t="n">
        <f aca="false">BG379-BG376</f>
        <v>-17149.940492375</v>
      </c>
      <c r="BH297" s="69" t="n">
        <f aca="false">BH379-BH376</f>
        <v>-17149.940492375</v>
      </c>
      <c r="BI297" s="69" t="n">
        <f aca="false">BI379-BI376</f>
        <v>-17149.940492375</v>
      </c>
      <c r="BJ297" s="69" t="n">
        <f aca="false">BJ379-BJ376</f>
        <v>-17149.940492375</v>
      </c>
    </row>
    <row r="298" customFormat="false" ht="15" hidden="false" customHeight="false" outlineLevel="0" collapsed="false">
      <c r="A298" s="6" t="s">
        <v>338</v>
      </c>
      <c r="C298" s="69" t="n">
        <f aca="false">-Inputs!$D$38*(1+Inputs!$D$39)^(C$259-1)*1</f>
        <v>-9000</v>
      </c>
      <c r="D298" s="69" t="n">
        <f aca="false">-Inputs!$D$38*(1+Inputs!$D$39)^(D$259-1)*1</f>
        <v>-9000</v>
      </c>
      <c r="E298" s="69" t="n">
        <f aca="false">-Inputs!$D$38*(1+Inputs!$D$39)^(E$259-1)*1</f>
        <v>-9000</v>
      </c>
      <c r="F298" s="69" t="n">
        <f aca="false">-Inputs!$D$38*(1+Inputs!$D$39)^(F$259-1)*1</f>
        <v>-9000</v>
      </c>
      <c r="G298" s="69" t="n">
        <f aca="false">-Inputs!$D$38*(1+Inputs!$D$39)^(G$259-1)*1</f>
        <v>-9000</v>
      </c>
      <c r="H298" s="69" t="n">
        <f aca="false">-Inputs!$D$38*(1+Inputs!$D$39)^(H$259-1)*1</f>
        <v>-9000</v>
      </c>
      <c r="I298" s="69" t="n">
        <f aca="false">-Inputs!$D$38*(1+Inputs!$D$39)^(I$259-1)*1</f>
        <v>-9000</v>
      </c>
      <c r="J298" s="69" t="n">
        <f aca="false">-Inputs!$D$38*(1+Inputs!$D$39)^(J$259-1)*1</f>
        <v>-9000</v>
      </c>
      <c r="K298" s="69" t="n">
        <f aca="false">-Inputs!$D$38*(1+Inputs!$D$39)^(K$259-1)*1</f>
        <v>-9000</v>
      </c>
      <c r="L298" s="69" t="n">
        <f aca="false">-Inputs!$D$38*(1+Inputs!$D$39)^(L$259-1)*1</f>
        <v>-9000</v>
      </c>
      <c r="M298" s="69" t="n">
        <f aca="false">-Inputs!$D$38*(1+Inputs!$D$39)^(M$259-1)*1</f>
        <v>-9000</v>
      </c>
      <c r="N298" s="69" t="n">
        <f aca="false">-Inputs!$D$38*(1+Inputs!$D$39)^(N$259-1)*1</f>
        <v>-9000</v>
      </c>
      <c r="O298" s="69" t="n">
        <f aca="false">-Inputs!$D$38*(1+Inputs!$D$39)^(O$259-1)*1</f>
        <v>-9270</v>
      </c>
      <c r="P298" s="69" t="n">
        <f aca="false">-Inputs!$D$38*(1+Inputs!$D$39)^(P$259-1)*1</f>
        <v>-9270</v>
      </c>
      <c r="Q298" s="69" t="n">
        <f aca="false">-Inputs!$D$38*(1+Inputs!$D$39)^(Q$259-1)*1</f>
        <v>-9270</v>
      </c>
      <c r="R298" s="69" t="n">
        <f aca="false">-Inputs!$D$38*(1+Inputs!$D$39)^(R$259-1)*1</f>
        <v>-9270</v>
      </c>
      <c r="S298" s="69" t="n">
        <f aca="false">-Inputs!$D$38*(1+Inputs!$D$39)^(S$259-1)*1</f>
        <v>-9270</v>
      </c>
      <c r="T298" s="69" t="n">
        <f aca="false">-Inputs!$D$38*(1+Inputs!$D$39)^(T$259-1)*1</f>
        <v>-9270</v>
      </c>
      <c r="U298" s="69" t="n">
        <f aca="false">-Inputs!$D$38*(1+Inputs!$D$39)^(U$259-1)*1</f>
        <v>-9270</v>
      </c>
      <c r="V298" s="69" t="n">
        <f aca="false">-Inputs!$D$38*(1+Inputs!$D$39)^(V$259-1)*1</f>
        <v>-9270</v>
      </c>
      <c r="W298" s="69" t="n">
        <f aca="false">-Inputs!$D$38*(1+Inputs!$D$39)^(W$259-1)*1</f>
        <v>-9270</v>
      </c>
      <c r="X298" s="69" t="n">
        <f aca="false">-Inputs!$D$38*(1+Inputs!$D$39)^(X$259-1)*1</f>
        <v>-9270</v>
      </c>
      <c r="Y298" s="69" t="n">
        <f aca="false">-Inputs!$D$38*(1+Inputs!$D$39)^(Y$259-1)*1</f>
        <v>-9270</v>
      </c>
      <c r="Z298" s="69" t="n">
        <f aca="false">-Inputs!$D$38*(1+Inputs!$D$39)^(Z$259-1)*1</f>
        <v>-9270</v>
      </c>
      <c r="AA298" s="69" t="n">
        <f aca="false">-Inputs!$D$38*(1+Inputs!$D$39)^(AA$259-1)*1</f>
        <v>-9548.1</v>
      </c>
      <c r="AB298" s="69" t="n">
        <f aca="false">-Inputs!$D$38*(1+Inputs!$D$39)^(AB$259-1)*1</f>
        <v>-9548.1</v>
      </c>
      <c r="AC298" s="69" t="n">
        <f aca="false">-Inputs!$D$38*(1+Inputs!$D$39)^(AC$259-1)*1</f>
        <v>-9548.1</v>
      </c>
      <c r="AD298" s="69" t="n">
        <f aca="false">-Inputs!$D$38*(1+Inputs!$D$39)^(AD$259-1)*1</f>
        <v>-9548.1</v>
      </c>
      <c r="AE298" s="69" t="n">
        <f aca="false">-Inputs!$D$38*(1+Inputs!$D$39)^(AE$259-1)*1</f>
        <v>-9548.1</v>
      </c>
      <c r="AF298" s="69" t="n">
        <f aca="false">-Inputs!$D$38*(1+Inputs!$D$39)^(AF$259-1)*1</f>
        <v>-9548.1</v>
      </c>
      <c r="AG298" s="69" t="n">
        <f aca="false">-Inputs!$D$38*(1+Inputs!$D$39)^(AG$259-1)*1</f>
        <v>-9548.1</v>
      </c>
      <c r="AH298" s="69" t="n">
        <f aca="false">-Inputs!$D$38*(1+Inputs!$D$39)^(AH$259-1)*1</f>
        <v>-9548.1</v>
      </c>
      <c r="AI298" s="69" t="n">
        <f aca="false">-Inputs!$D$38*(1+Inputs!$D$39)^(AI$259-1)*1</f>
        <v>-9548.1</v>
      </c>
      <c r="AJ298" s="69" t="n">
        <f aca="false">-Inputs!$D$38*(1+Inputs!$D$39)^(AJ$259-1)*1</f>
        <v>-9548.1</v>
      </c>
      <c r="AK298" s="69" t="n">
        <f aca="false">-Inputs!$D$38*(1+Inputs!$D$39)^(AK$259-1)*1</f>
        <v>-9548.1</v>
      </c>
      <c r="AL298" s="69" t="n">
        <f aca="false">-Inputs!$D$38*(1+Inputs!$D$39)^(AL$259-1)*1</f>
        <v>-9548.1</v>
      </c>
      <c r="AM298" s="69" t="n">
        <f aca="false">-Inputs!$D$38*(1+Inputs!$D$39)^(AM$259-1)*1</f>
        <v>-9834.543</v>
      </c>
      <c r="AN298" s="69" t="n">
        <f aca="false">-Inputs!$D$38*(1+Inputs!$D$39)^(AN$259-1)*1</f>
        <v>-9834.543</v>
      </c>
      <c r="AO298" s="69" t="n">
        <f aca="false">-Inputs!$D$38*(1+Inputs!$D$39)^(AO$259-1)*1</f>
        <v>-9834.543</v>
      </c>
      <c r="AP298" s="69" t="n">
        <f aca="false">-Inputs!$D$38*(1+Inputs!$D$39)^(AP$259-1)*1</f>
        <v>-9834.543</v>
      </c>
      <c r="AQ298" s="69" t="n">
        <f aca="false">-Inputs!$D$38*(1+Inputs!$D$39)^(AQ$259-1)*1</f>
        <v>-9834.543</v>
      </c>
      <c r="AR298" s="69" t="n">
        <f aca="false">-Inputs!$D$38*(1+Inputs!$D$39)^(AR$259-1)*1</f>
        <v>-9834.543</v>
      </c>
      <c r="AS298" s="69" t="n">
        <f aca="false">-Inputs!$D$38*(1+Inputs!$D$39)^(AS$259-1)*1</f>
        <v>-9834.543</v>
      </c>
      <c r="AT298" s="69" t="n">
        <f aca="false">-Inputs!$D$38*(1+Inputs!$D$39)^(AT$259-1)*1</f>
        <v>-9834.543</v>
      </c>
      <c r="AU298" s="69" t="n">
        <f aca="false">-Inputs!$D$38*(1+Inputs!$D$39)^(AU$259-1)*1</f>
        <v>-9834.543</v>
      </c>
      <c r="AV298" s="69" t="n">
        <f aca="false">-Inputs!$D$38*(1+Inputs!$D$39)^(AV$259-1)*1</f>
        <v>-9834.543</v>
      </c>
      <c r="AW298" s="69" t="n">
        <f aca="false">-Inputs!$D$38*(1+Inputs!$D$39)^(AW$259-1)*1</f>
        <v>-9834.543</v>
      </c>
      <c r="AX298" s="69" t="n">
        <f aca="false">-Inputs!$D$38*(1+Inputs!$D$39)^(AX$259-1)*1</f>
        <v>-9834.543</v>
      </c>
      <c r="AY298" s="69" t="n">
        <f aca="false">-Inputs!$D$38*(1+Inputs!$D$39)^(AY$259-1)*1</f>
        <v>-10129.57929</v>
      </c>
      <c r="AZ298" s="69" t="n">
        <f aca="false">-Inputs!$D$38*(1+Inputs!$D$39)^(AZ$259-1)*1</f>
        <v>-10129.57929</v>
      </c>
      <c r="BA298" s="69" t="n">
        <f aca="false">-Inputs!$D$38*(1+Inputs!$D$39)^(BA$259-1)*1</f>
        <v>-10129.57929</v>
      </c>
      <c r="BB298" s="69" t="n">
        <f aca="false">-Inputs!$D$38*(1+Inputs!$D$39)^(BB$259-1)*1</f>
        <v>-10129.57929</v>
      </c>
      <c r="BC298" s="69" t="n">
        <f aca="false">-Inputs!$D$38*(1+Inputs!$D$39)^(BC$259-1)*1</f>
        <v>-10129.57929</v>
      </c>
      <c r="BD298" s="69" t="n">
        <f aca="false">-Inputs!$D$38*(1+Inputs!$D$39)^(BD$259-1)*1</f>
        <v>-10129.57929</v>
      </c>
      <c r="BE298" s="69" t="n">
        <f aca="false">-Inputs!$D$38*(1+Inputs!$D$39)^(BE$259-1)*1</f>
        <v>-10129.57929</v>
      </c>
      <c r="BF298" s="69" t="n">
        <f aca="false">-Inputs!$D$38*(1+Inputs!$D$39)^(BF$259-1)*1</f>
        <v>-10129.57929</v>
      </c>
      <c r="BG298" s="69" t="n">
        <f aca="false">-Inputs!$D$38*(1+Inputs!$D$39)^(BG$259-1)*1</f>
        <v>-10129.57929</v>
      </c>
      <c r="BH298" s="69" t="n">
        <f aca="false">-Inputs!$D$38*(1+Inputs!$D$39)^(BH$259-1)*1</f>
        <v>-10129.57929</v>
      </c>
      <c r="BI298" s="69" t="n">
        <f aca="false">-Inputs!$D$38*(1+Inputs!$D$39)^(BI$259-1)*1</f>
        <v>-10129.57929</v>
      </c>
      <c r="BJ298" s="69" t="n">
        <f aca="false">-Inputs!$D$38*(1+Inputs!$D$39)^(BJ$259-1)*1</f>
        <v>-10129.57929</v>
      </c>
    </row>
    <row r="299" customFormat="false" ht="15" hidden="false" customHeight="false" outlineLevel="0" collapsed="false">
      <c r="A299" s="6" t="s">
        <v>339</v>
      </c>
      <c r="C299" s="69" t="n">
        <f aca="false">-Inputs!$D$40*(1+Inputs!$D$45)^(C$259-1)*1</f>
        <v>-2500</v>
      </c>
      <c r="D299" s="69" t="n">
        <f aca="false">-Inputs!$D$40*(1+Inputs!$D$45)^(D$259-1)*1</f>
        <v>-2500</v>
      </c>
      <c r="E299" s="69" t="n">
        <f aca="false">-Inputs!$D$40*(1+Inputs!$D$45)^(E$259-1)*1</f>
        <v>-2500</v>
      </c>
      <c r="F299" s="69" t="n">
        <f aca="false">-Inputs!$D$40*(1+Inputs!$D$45)^(F$259-1)*1</f>
        <v>-2500</v>
      </c>
      <c r="G299" s="69" t="n">
        <f aca="false">-Inputs!$D$40*(1+Inputs!$D$45)^(G$259-1)*1</f>
        <v>-2500</v>
      </c>
      <c r="H299" s="69" t="n">
        <f aca="false">-Inputs!$D$40*(1+Inputs!$D$45)^(H$259-1)*1</f>
        <v>-2500</v>
      </c>
      <c r="I299" s="69" t="n">
        <f aca="false">-Inputs!$D$40*(1+Inputs!$D$45)^(I$259-1)*1</f>
        <v>-2500</v>
      </c>
      <c r="J299" s="69" t="n">
        <f aca="false">-Inputs!$D$40*(1+Inputs!$D$45)^(J$259-1)*1</f>
        <v>-2500</v>
      </c>
      <c r="K299" s="69" t="n">
        <f aca="false">-Inputs!$D$40*(1+Inputs!$D$45)^(K$259-1)*1</f>
        <v>-2500</v>
      </c>
      <c r="L299" s="69" t="n">
        <f aca="false">-Inputs!$D$40*(1+Inputs!$D$45)^(L$259-1)*1</f>
        <v>-2500</v>
      </c>
      <c r="M299" s="69" t="n">
        <f aca="false">-Inputs!$D$40*(1+Inputs!$D$45)^(M$259-1)*1</f>
        <v>-2500</v>
      </c>
      <c r="N299" s="69" t="n">
        <f aca="false">-Inputs!$D$40*(1+Inputs!$D$45)^(N$259-1)*1</f>
        <v>-2500</v>
      </c>
      <c r="O299" s="69" t="n">
        <f aca="false">-Inputs!$D$40*(1+Inputs!$D$45)^(O$259-1)*1</f>
        <v>-2562.5</v>
      </c>
      <c r="P299" s="69" t="n">
        <f aca="false">-Inputs!$D$40*(1+Inputs!$D$45)^(P$259-1)*1</f>
        <v>-2562.5</v>
      </c>
      <c r="Q299" s="69" t="n">
        <f aca="false">-Inputs!$D$40*(1+Inputs!$D$45)^(Q$259-1)*1</f>
        <v>-2562.5</v>
      </c>
      <c r="R299" s="69" t="n">
        <f aca="false">-Inputs!$D$40*(1+Inputs!$D$45)^(R$259-1)*1</f>
        <v>-2562.5</v>
      </c>
      <c r="S299" s="69" t="n">
        <f aca="false">-Inputs!$D$40*(1+Inputs!$D$45)^(S$259-1)*1</f>
        <v>-2562.5</v>
      </c>
      <c r="T299" s="69" t="n">
        <f aca="false">-Inputs!$D$40*(1+Inputs!$D$45)^(T$259-1)*1</f>
        <v>-2562.5</v>
      </c>
      <c r="U299" s="69" t="n">
        <f aca="false">-Inputs!$D$40*(1+Inputs!$D$45)^(U$259-1)*1</f>
        <v>-2562.5</v>
      </c>
      <c r="V299" s="69" t="n">
        <f aca="false">-Inputs!$D$40*(1+Inputs!$D$45)^(V$259-1)*1</f>
        <v>-2562.5</v>
      </c>
      <c r="W299" s="69" t="n">
        <f aca="false">-Inputs!$D$40*(1+Inputs!$D$45)^(W$259-1)*1</f>
        <v>-2562.5</v>
      </c>
      <c r="X299" s="69" t="n">
        <f aca="false">-Inputs!$D$40*(1+Inputs!$D$45)^(X$259-1)*1</f>
        <v>-2562.5</v>
      </c>
      <c r="Y299" s="69" t="n">
        <f aca="false">-Inputs!$D$40*(1+Inputs!$D$45)^(Y$259-1)*1</f>
        <v>-2562.5</v>
      </c>
      <c r="Z299" s="69" t="n">
        <f aca="false">-Inputs!$D$40*(1+Inputs!$D$45)^(Z$259-1)*1</f>
        <v>-2562.5</v>
      </c>
      <c r="AA299" s="69" t="n">
        <f aca="false">-Inputs!$D$40*(1+Inputs!$D$45)^(AA$259-1)*1</f>
        <v>-2626.5625</v>
      </c>
      <c r="AB299" s="69" t="n">
        <f aca="false">-Inputs!$D$40*(1+Inputs!$D$45)^(AB$259-1)*1</f>
        <v>-2626.5625</v>
      </c>
      <c r="AC299" s="69" t="n">
        <f aca="false">-Inputs!$D$40*(1+Inputs!$D$45)^(AC$259-1)*1</f>
        <v>-2626.5625</v>
      </c>
      <c r="AD299" s="69" t="n">
        <f aca="false">-Inputs!$D$40*(1+Inputs!$D$45)^(AD$259-1)*1</f>
        <v>-2626.5625</v>
      </c>
      <c r="AE299" s="69" t="n">
        <f aca="false">-Inputs!$D$40*(1+Inputs!$D$45)^(AE$259-1)*1</f>
        <v>-2626.5625</v>
      </c>
      <c r="AF299" s="69" t="n">
        <f aca="false">-Inputs!$D$40*(1+Inputs!$D$45)^(AF$259-1)*1</f>
        <v>-2626.5625</v>
      </c>
      <c r="AG299" s="69" t="n">
        <f aca="false">-Inputs!$D$40*(1+Inputs!$D$45)^(AG$259-1)*1</f>
        <v>-2626.5625</v>
      </c>
      <c r="AH299" s="69" t="n">
        <f aca="false">-Inputs!$D$40*(1+Inputs!$D$45)^(AH$259-1)*1</f>
        <v>-2626.5625</v>
      </c>
      <c r="AI299" s="69" t="n">
        <f aca="false">-Inputs!$D$40*(1+Inputs!$D$45)^(AI$259-1)*1</f>
        <v>-2626.5625</v>
      </c>
      <c r="AJ299" s="69" t="n">
        <f aca="false">-Inputs!$D$40*(1+Inputs!$D$45)^(AJ$259-1)*1</f>
        <v>-2626.5625</v>
      </c>
      <c r="AK299" s="69" t="n">
        <f aca="false">-Inputs!$D$40*(1+Inputs!$D$45)^(AK$259-1)*1</f>
        <v>-2626.5625</v>
      </c>
      <c r="AL299" s="69" t="n">
        <f aca="false">-Inputs!$D$40*(1+Inputs!$D$45)^(AL$259-1)*1</f>
        <v>-2626.5625</v>
      </c>
      <c r="AM299" s="69" t="n">
        <f aca="false">-Inputs!$D$40*(1+Inputs!$D$45)^(AM$259-1)*1</f>
        <v>-2692.2265625</v>
      </c>
      <c r="AN299" s="69" t="n">
        <f aca="false">-Inputs!$D$40*(1+Inputs!$D$45)^(AN$259-1)*1</f>
        <v>-2692.2265625</v>
      </c>
      <c r="AO299" s="69" t="n">
        <f aca="false">-Inputs!$D$40*(1+Inputs!$D$45)^(AO$259-1)*1</f>
        <v>-2692.2265625</v>
      </c>
      <c r="AP299" s="69" t="n">
        <f aca="false">-Inputs!$D$40*(1+Inputs!$D$45)^(AP$259-1)*1</f>
        <v>-2692.2265625</v>
      </c>
      <c r="AQ299" s="69" t="n">
        <f aca="false">-Inputs!$D$40*(1+Inputs!$D$45)^(AQ$259-1)*1</f>
        <v>-2692.2265625</v>
      </c>
      <c r="AR299" s="69" t="n">
        <f aca="false">-Inputs!$D$40*(1+Inputs!$D$45)^(AR$259-1)*1</f>
        <v>-2692.2265625</v>
      </c>
      <c r="AS299" s="69" t="n">
        <f aca="false">-Inputs!$D$40*(1+Inputs!$D$45)^(AS$259-1)*1</f>
        <v>-2692.2265625</v>
      </c>
      <c r="AT299" s="69" t="n">
        <f aca="false">-Inputs!$D$40*(1+Inputs!$D$45)^(AT$259-1)*1</f>
        <v>-2692.2265625</v>
      </c>
      <c r="AU299" s="69" t="n">
        <f aca="false">-Inputs!$D$40*(1+Inputs!$D$45)^(AU$259-1)*1</f>
        <v>-2692.2265625</v>
      </c>
      <c r="AV299" s="69" t="n">
        <f aca="false">-Inputs!$D$40*(1+Inputs!$D$45)^(AV$259-1)*1</f>
        <v>-2692.2265625</v>
      </c>
      <c r="AW299" s="69" t="n">
        <f aca="false">-Inputs!$D$40*(1+Inputs!$D$45)^(AW$259-1)*1</f>
        <v>-2692.2265625</v>
      </c>
      <c r="AX299" s="69" t="n">
        <f aca="false">-Inputs!$D$40*(1+Inputs!$D$45)^(AX$259-1)*1</f>
        <v>-2692.2265625</v>
      </c>
      <c r="AY299" s="69" t="n">
        <f aca="false">-Inputs!$D$40*(1+Inputs!$D$45)^(AY$259-1)*1</f>
        <v>-2759.5322265625</v>
      </c>
      <c r="AZ299" s="69" t="n">
        <f aca="false">-Inputs!$D$40*(1+Inputs!$D$45)^(AZ$259-1)*1</f>
        <v>-2759.5322265625</v>
      </c>
      <c r="BA299" s="69" t="n">
        <f aca="false">-Inputs!$D$40*(1+Inputs!$D$45)^(BA$259-1)*1</f>
        <v>-2759.5322265625</v>
      </c>
      <c r="BB299" s="69" t="n">
        <f aca="false">-Inputs!$D$40*(1+Inputs!$D$45)^(BB$259-1)*1</f>
        <v>-2759.5322265625</v>
      </c>
      <c r="BC299" s="69" t="n">
        <f aca="false">-Inputs!$D$40*(1+Inputs!$D$45)^(BC$259-1)*1</f>
        <v>-2759.5322265625</v>
      </c>
      <c r="BD299" s="69" t="n">
        <f aca="false">-Inputs!$D$40*(1+Inputs!$D$45)^(BD$259-1)*1</f>
        <v>-2759.5322265625</v>
      </c>
      <c r="BE299" s="69" t="n">
        <f aca="false">-Inputs!$D$40*(1+Inputs!$D$45)^(BE$259-1)*1</f>
        <v>-2759.5322265625</v>
      </c>
      <c r="BF299" s="69" t="n">
        <f aca="false">-Inputs!$D$40*(1+Inputs!$D$45)^(BF$259-1)*1</f>
        <v>-2759.5322265625</v>
      </c>
      <c r="BG299" s="69" t="n">
        <f aca="false">-Inputs!$D$40*(1+Inputs!$D$45)^(BG$259-1)*1</f>
        <v>-2759.5322265625</v>
      </c>
      <c r="BH299" s="69" t="n">
        <f aca="false">-Inputs!$D$40*(1+Inputs!$D$45)^(BH$259-1)*1</f>
        <v>-2759.5322265625</v>
      </c>
      <c r="BI299" s="69" t="n">
        <f aca="false">-Inputs!$D$40*(1+Inputs!$D$45)^(BI$259-1)*1</f>
        <v>-2759.5322265625</v>
      </c>
      <c r="BJ299" s="69" t="n">
        <f aca="false">-Inputs!$D$40*(1+Inputs!$D$45)^(BJ$259-1)*1</f>
        <v>-2759.5322265625</v>
      </c>
    </row>
    <row r="300" customFormat="false" ht="15" hidden="false" customHeight="false" outlineLevel="0" collapsed="false">
      <c r="A300" s="6" t="s">
        <v>340</v>
      </c>
      <c r="C300" s="69" t="n">
        <f aca="false">-Inputs!$D$41*(1+Inputs!$D$45)^(C$259-1)*1</f>
        <v>-4500</v>
      </c>
      <c r="D300" s="69" t="n">
        <f aca="false">-Inputs!$D$41*(1+Inputs!$D$45)^(D$259-1)*1</f>
        <v>-4500</v>
      </c>
      <c r="E300" s="69" t="n">
        <f aca="false">-Inputs!$D$41*(1+Inputs!$D$45)^(E$259-1)*1</f>
        <v>-4500</v>
      </c>
      <c r="F300" s="69" t="n">
        <f aca="false">-Inputs!$D$41*(1+Inputs!$D$45)^(F$259-1)*1</f>
        <v>-4500</v>
      </c>
      <c r="G300" s="69" t="n">
        <f aca="false">-Inputs!$D$41*(1+Inputs!$D$45)^(G$259-1)*1</f>
        <v>-4500</v>
      </c>
      <c r="H300" s="69" t="n">
        <f aca="false">-Inputs!$D$41*(1+Inputs!$D$45)^(H$259-1)*1</f>
        <v>-4500</v>
      </c>
      <c r="I300" s="69" t="n">
        <f aca="false">-Inputs!$D$41*(1+Inputs!$D$45)^(I$259-1)*1</f>
        <v>-4500</v>
      </c>
      <c r="J300" s="69" t="n">
        <f aca="false">-Inputs!$D$41*(1+Inputs!$D$45)^(J$259-1)*1</f>
        <v>-4500</v>
      </c>
      <c r="K300" s="69" t="n">
        <f aca="false">-Inputs!$D$41*(1+Inputs!$D$45)^(K$259-1)*1</f>
        <v>-4500</v>
      </c>
      <c r="L300" s="69" t="n">
        <f aca="false">-Inputs!$D$41*(1+Inputs!$D$45)^(L$259-1)*1</f>
        <v>-4500</v>
      </c>
      <c r="M300" s="69" t="n">
        <f aca="false">-Inputs!$D$41*(1+Inputs!$D$45)^(M$259-1)*1</f>
        <v>-4500</v>
      </c>
      <c r="N300" s="69" t="n">
        <f aca="false">-Inputs!$D$41*(1+Inputs!$D$45)^(N$259-1)*1</f>
        <v>-4500</v>
      </c>
      <c r="O300" s="69" t="n">
        <f aca="false">-Inputs!$D$41*(1+Inputs!$D$45)^(O$259-1)*1</f>
        <v>-4612.5</v>
      </c>
      <c r="P300" s="69" t="n">
        <f aca="false">-Inputs!$D$41*(1+Inputs!$D$45)^(P$259-1)*1</f>
        <v>-4612.5</v>
      </c>
      <c r="Q300" s="69" t="n">
        <f aca="false">-Inputs!$D$41*(1+Inputs!$D$45)^(Q$259-1)*1</f>
        <v>-4612.5</v>
      </c>
      <c r="R300" s="69" t="n">
        <f aca="false">-Inputs!$D$41*(1+Inputs!$D$45)^(R$259-1)*1</f>
        <v>-4612.5</v>
      </c>
      <c r="S300" s="69" t="n">
        <f aca="false">-Inputs!$D$41*(1+Inputs!$D$45)^(S$259-1)*1</f>
        <v>-4612.5</v>
      </c>
      <c r="T300" s="69" t="n">
        <f aca="false">-Inputs!$D$41*(1+Inputs!$D$45)^(T$259-1)*1</f>
        <v>-4612.5</v>
      </c>
      <c r="U300" s="69" t="n">
        <f aca="false">-Inputs!$D$41*(1+Inputs!$D$45)^(U$259-1)*1</f>
        <v>-4612.5</v>
      </c>
      <c r="V300" s="69" t="n">
        <f aca="false">-Inputs!$D$41*(1+Inputs!$D$45)^(V$259-1)*1</f>
        <v>-4612.5</v>
      </c>
      <c r="W300" s="69" t="n">
        <f aca="false">-Inputs!$D$41*(1+Inputs!$D$45)^(W$259-1)*1</f>
        <v>-4612.5</v>
      </c>
      <c r="X300" s="69" t="n">
        <f aca="false">-Inputs!$D$41*(1+Inputs!$D$45)^(X$259-1)*1</f>
        <v>-4612.5</v>
      </c>
      <c r="Y300" s="69" t="n">
        <f aca="false">-Inputs!$D$41*(1+Inputs!$D$45)^(Y$259-1)*1</f>
        <v>-4612.5</v>
      </c>
      <c r="Z300" s="69" t="n">
        <f aca="false">-Inputs!$D$41*(1+Inputs!$D$45)^(Z$259-1)*1</f>
        <v>-4612.5</v>
      </c>
      <c r="AA300" s="69" t="n">
        <f aca="false">-Inputs!$D$41*(1+Inputs!$D$45)^(AA$259-1)*1</f>
        <v>-4727.8125</v>
      </c>
      <c r="AB300" s="69" t="n">
        <f aca="false">-Inputs!$D$41*(1+Inputs!$D$45)^(AB$259-1)*1</f>
        <v>-4727.8125</v>
      </c>
      <c r="AC300" s="69" t="n">
        <f aca="false">-Inputs!$D$41*(1+Inputs!$D$45)^(AC$259-1)*1</f>
        <v>-4727.8125</v>
      </c>
      <c r="AD300" s="69" t="n">
        <f aca="false">-Inputs!$D$41*(1+Inputs!$D$45)^(AD$259-1)*1</f>
        <v>-4727.8125</v>
      </c>
      <c r="AE300" s="69" t="n">
        <f aca="false">-Inputs!$D$41*(1+Inputs!$D$45)^(AE$259-1)*1</f>
        <v>-4727.8125</v>
      </c>
      <c r="AF300" s="69" t="n">
        <f aca="false">-Inputs!$D$41*(1+Inputs!$D$45)^(AF$259-1)*1</f>
        <v>-4727.8125</v>
      </c>
      <c r="AG300" s="69" t="n">
        <f aca="false">-Inputs!$D$41*(1+Inputs!$D$45)^(AG$259-1)*1</f>
        <v>-4727.8125</v>
      </c>
      <c r="AH300" s="69" t="n">
        <f aca="false">-Inputs!$D$41*(1+Inputs!$D$45)^(AH$259-1)*1</f>
        <v>-4727.8125</v>
      </c>
      <c r="AI300" s="69" t="n">
        <f aca="false">-Inputs!$D$41*(1+Inputs!$D$45)^(AI$259-1)*1</f>
        <v>-4727.8125</v>
      </c>
      <c r="AJ300" s="69" t="n">
        <f aca="false">-Inputs!$D$41*(1+Inputs!$D$45)^(AJ$259-1)*1</f>
        <v>-4727.8125</v>
      </c>
      <c r="AK300" s="69" t="n">
        <f aca="false">-Inputs!$D$41*(1+Inputs!$D$45)^(AK$259-1)*1</f>
        <v>-4727.8125</v>
      </c>
      <c r="AL300" s="69" t="n">
        <f aca="false">-Inputs!$D$41*(1+Inputs!$D$45)^(AL$259-1)*1</f>
        <v>-4727.8125</v>
      </c>
      <c r="AM300" s="69" t="n">
        <f aca="false">-Inputs!$D$41*(1+Inputs!$D$45)^(AM$259-1)*1</f>
        <v>-4846.0078125</v>
      </c>
      <c r="AN300" s="69" t="n">
        <f aca="false">-Inputs!$D$41*(1+Inputs!$D$45)^(AN$259-1)*1</f>
        <v>-4846.0078125</v>
      </c>
      <c r="AO300" s="69" t="n">
        <f aca="false">-Inputs!$D$41*(1+Inputs!$D$45)^(AO$259-1)*1</f>
        <v>-4846.0078125</v>
      </c>
      <c r="AP300" s="69" t="n">
        <f aca="false">-Inputs!$D$41*(1+Inputs!$D$45)^(AP$259-1)*1</f>
        <v>-4846.0078125</v>
      </c>
      <c r="AQ300" s="69" t="n">
        <f aca="false">-Inputs!$D$41*(1+Inputs!$D$45)^(AQ$259-1)*1</f>
        <v>-4846.0078125</v>
      </c>
      <c r="AR300" s="69" t="n">
        <f aca="false">-Inputs!$D$41*(1+Inputs!$D$45)^(AR$259-1)*1</f>
        <v>-4846.0078125</v>
      </c>
      <c r="AS300" s="69" t="n">
        <f aca="false">-Inputs!$D$41*(1+Inputs!$D$45)^(AS$259-1)*1</f>
        <v>-4846.0078125</v>
      </c>
      <c r="AT300" s="69" t="n">
        <f aca="false">-Inputs!$D$41*(1+Inputs!$D$45)^(AT$259-1)*1</f>
        <v>-4846.0078125</v>
      </c>
      <c r="AU300" s="69" t="n">
        <f aca="false">-Inputs!$D$41*(1+Inputs!$D$45)^(AU$259-1)*1</f>
        <v>-4846.0078125</v>
      </c>
      <c r="AV300" s="69" t="n">
        <f aca="false">-Inputs!$D$41*(1+Inputs!$D$45)^(AV$259-1)*1</f>
        <v>-4846.0078125</v>
      </c>
      <c r="AW300" s="69" t="n">
        <f aca="false">-Inputs!$D$41*(1+Inputs!$D$45)^(AW$259-1)*1</f>
        <v>-4846.0078125</v>
      </c>
      <c r="AX300" s="69" t="n">
        <f aca="false">-Inputs!$D$41*(1+Inputs!$D$45)^(AX$259-1)*1</f>
        <v>-4846.0078125</v>
      </c>
      <c r="AY300" s="69" t="n">
        <f aca="false">-Inputs!$D$41*(1+Inputs!$D$45)^(AY$259-1)*1</f>
        <v>-4967.1580078125</v>
      </c>
      <c r="AZ300" s="69" t="n">
        <f aca="false">-Inputs!$D$41*(1+Inputs!$D$45)^(AZ$259-1)*1</f>
        <v>-4967.1580078125</v>
      </c>
      <c r="BA300" s="69" t="n">
        <f aca="false">-Inputs!$D$41*(1+Inputs!$D$45)^(BA$259-1)*1</f>
        <v>-4967.1580078125</v>
      </c>
      <c r="BB300" s="69" t="n">
        <f aca="false">-Inputs!$D$41*(1+Inputs!$D$45)^(BB$259-1)*1</f>
        <v>-4967.1580078125</v>
      </c>
      <c r="BC300" s="69" t="n">
        <f aca="false">-Inputs!$D$41*(1+Inputs!$D$45)^(BC$259-1)*1</f>
        <v>-4967.1580078125</v>
      </c>
      <c r="BD300" s="69" t="n">
        <f aca="false">-Inputs!$D$41*(1+Inputs!$D$45)^(BD$259-1)*1</f>
        <v>-4967.1580078125</v>
      </c>
      <c r="BE300" s="69" t="n">
        <f aca="false">-Inputs!$D$41*(1+Inputs!$D$45)^(BE$259-1)*1</f>
        <v>-4967.1580078125</v>
      </c>
      <c r="BF300" s="69" t="n">
        <f aca="false">-Inputs!$D$41*(1+Inputs!$D$45)^(BF$259-1)*1</f>
        <v>-4967.1580078125</v>
      </c>
      <c r="BG300" s="69" t="n">
        <f aca="false">-Inputs!$D$41*(1+Inputs!$D$45)^(BG$259-1)*1</f>
        <v>-4967.1580078125</v>
      </c>
      <c r="BH300" s="69" t="n">
        <f aca="false">-Inputs!$D$41*(1+Inputs!$D$45)^(BH$259-1)*1</f>
        <v>-4967.1580078125</v>
      </c>
      <c r="BI300" s="69" t="n">
        <f aca="false">-Inputs!$D$41*(1+Inputs!$D$45)^(BI$259-1)*1</f>
        <v>-4967.1580078125</v>
      </c>
      <c r="BJ300" s="69" t="n">
        <f aca="false">-Inputs!$D$41*(1+Inputs!$D$45)^(BJ$259-1)*1</f>
        <v>-4967.1580078125</v>
      </c>
    </row>
    <row r="301" customFormat="false" ht="15" hidden="false" customHeight="false" outlineLevel="0" collapsed="false">
      <c r="A301" s="6" t="s">
        <v>341</v>
      </c>
      <c r="C301" s="69" t="n">
        <f aca="false">-Inputs!$D$42*(1+Inputs!$D$43)^(C$259-1)*1</f>
        <v>-3500</v>
      </c>
      <c r="D301" s="69" t="n">
        <f aca="false">-Inputs!$D$42*(1+Inputs!$D$43)^(D$259-1)*1</f>
        <v>-3500</v>
      </c>
      <c r="E301" s="69" t="n">
        <f aca="false">-Inputs!$D$42*(1+Inputs!$D$43)^(E$259-1)*1</f>
        <v>-3500</v>
      </c>
      <c r="F301" s="69" t="n">
        <f aca="false">-Inputs!$D$42*(1+Inputs!$D$43)^(F$259-1)*1</f>
        <v>-3500</v>
      </c>
      <c r="G301" s="69" t="n">
        <f aca="false">-Inputs!$D$42*(1+Inputs!$D$43)^(G$259-1)*1</f>
        <v>-3500</v>
      </c>
      <c r="H301" s="69" t="n">
        <f aca="false">-Inputs!$D$42*(1+Inputs!$D$43)^(H$259-1)*1</f>
        <v>-3500</v>
      </c>
      <c r="I301" s="69" t="n">
        <f aca="false">-Inputs!$D$42*(1+Inputs!$D$43)^(I$259-1)*1</f>
        <v>-3500</v>
      </c>
      <c r="J301" s="69" t="n">
        <f aca="false">-Inputs!$D$42*(1+Inputs!$D$43)^(J$259-1)*1</f>
        <v>-3500</v>
      </c>
      <c r="K301" s="69" t="n">
        <f aca="false">-Inputs!$D$42*(1+Inputs!$D$43)^(K$259-1)*1</f>
        <v>-3500</v>
      </c>
      <c r="L301" s="69" t="n">
        <f aca="false">-Inputs!$D$42*(1+Inputs!$D$43)^(L$259-1)*1</f>
        <v>-3500</v>
      </c>
      <c r="M301" s="69" t="n">
        <f aca="false">-Inputs!$D$42*(1+Inputs!$D$43)^(M$259-1)*1</f>
        <v>-3500</v>
      </c>
      <c r="N301" s="69" t="n">
        <f aca="false">-Inputs!$D$42*(1+Inputs!$D$43)^(N$259-1)*1</f>
        <v>-3500</v>
      </c>
      <c r="O301" s="69" t="n">
        <f aca="false">-Inputs!$D$42*(1+Inputs!$D$43)^(O$259-1)*1</f>
        <v>-3150</v>
      </c>
      <c r="P301" s="69" t="n">
        <f aca="false">-Inputs!$D$42*(1+Inputs!$D$43)^(P$259-1)*1</f>
        <v>-3150</v>
      </c>
      <c r="Q301" s="69" t="n">
        <f aca="false">-Inputs!$D$42*(1+Inputs!$D$43)^(Q$259-1)*1</f>
        <v>-3150</v>
      </c>
      <c r="R301" s="69" t="n">
        <f aca="false">-Inputs!$D$42*(1+Inputs!$D$43)^(R$259-1)*1</f>
        <v>-3150</v>
      </c>
      <c r="S301" s="69" t="n">
        <f aca="false">-Inputs!$D$42*(1+Inputs!$D$43)^(S$259-1)*1</f>
        <v>-3150</v>
      </c>
      <c r="T301" s="69" t="n">
        <f aca="false">-Inputs!$D$42*(1+Inputs!$D$43)^(T$259-1)*1</f>
        <v>-3150</v>
      </c>
      <c r="U301" s="69" t="n">
        <f aca="false">-Inputs!$D$42*(1+Inputs!$D$43)^(U$259-1)*1</f>
        <v>-3150</v>
      </c>
      <c r="V301" s="69" t="n">
        <f aca="false">-Inputs!$D$42*(1+Inputs!$D$43)^(V$259-1)*1</f>
        <v>-3150</v>
      </c>
      <c r="W301" s="69" t="n">
        <f aca="false">-Inputs!$D$42*(1+Inputs!$D$43)^(W$259-1)*1</f>
        <v>-3150</v>
      </c>
      <c r="X301" s="69" t="n">
        <f aca="false">-Inputs!$D$42*(1+Inputs!$D$43)^(X$259-1)*1</f>
        <v>-3150</v>
      </c>
      <c r="Y301" s="69" t="n">
        <f aca="false">-Inputs!$D$42*(1+Inputs!$D$43)^(Y$259-1)*1</f>
        <v>-3150</v>
      </c>
      <c r="Z301" s="69" t="n">
        <f aca="false">-Inputs!$D$42*(1+Inputs!$D$43)^(Z$259-1)*1</f>
        <v>-3150</v>
      </c>
      <c r="AA301" s="69" t="n">
        <f aca="false">-Inputs!$D$42*(1+Inputs!$D$43)^(AA$259-1)*1</f>
        <v>-2835</v>
      </c>
      <c r="AB301" s="69" t="n">
        <f aca="false">-Inputs!$D$42*(1+Inputs!$D$43)^(AB$259-1)*1</f>
        <v>-2835</v>
      </c>
      <c r="AC301" s="69" t="n">
        <f aca="false">-Inputs!$D$42*(1+Inputs!$D$43)^(AC$259-1)*1</f>
        <v>-2835</v>
      </c>
      <c r="AD301" s="69" t="n">
        <f aca="false">-Inputs!$D$42*(1+Inputs!$D$43)^(AD$259-1)*1</f>
        <v>-2835</v>
      </c>
      <c r="AE301" s="69" t="n">
        <f aca="false">-Inputs!$D$42*(1+Inputs!$D$43)^(AE$259-1)*1</f>
        <v>-2835</v>
      </c>
      <c r="AF301" s="69" t="n">
        <f aca="false">-Inputs!$D$42*(1+Inputs!$D$43)^(AF$259-1)*1</f>
        <v>-2835</v>
      </c>
      <c r="AG301" s="69" t="n">
        <f aca="false">-Inputs!$D$42*(1+Inputs!$D$43)^(AG$259-1)*1</f>
        <v>-2835</v>
      </c>
      <c r="AH301" s="69" t="n">
        <f aca="false">-Inputs!$D$42*(1+Inputs!$D$43)^(AH$259-1)*1</f>
        <v>-2835</v>
      </c>
      <c r="AI301" s="69" t="n">
        <f aca="false">-Inputs!$D$42*(1+Inputs!$D$43)^(AI$259-1)*1</f>
        <v>-2835</v>
      </c>
      <c r="AJ301" s="69" t="n">
        <f aca="false">-Inputs!$D$42*(1+Inputs!$D$43)^(AJ$259-1)*1</f>
        <v>-2835</v>
      </c>
      <c r="AK301" s="69" t="n">
        <f aca="false">-Inputs!$D$42*(1+Inputs!$D$43)^(AK$259-1)*1</f>
        <v>-2835</v>
      </c>
      <c r="AL301" s="69" t="n">
        <f aca="false">-Inputs!$D$42*(1+Inputs!$D$43)^(AL$259-1)*1</f>
        <v>-2835</v>
      </c>
      <c r="AM301" s="69" t="n">
        <f aca="false">-Inputs!$D$42*(1+Inputs!$D$43)^(AM$259-1)*1</f>
        <v>-2551.5</v>
      </c>
      <c r="AN301" s="69" t="n">
        <f aca="false">-Inputs!$D$42*(1+Inputs!$D$43)^(AN$259-1)*1</f>
        <v>-2551.5</v>
      </c>
      <c r="AO301" s="69" t="n">
        <f aca="false">-Inputs!$D$42*(1+Inputs!$D$43)^(AO$259-1)*1</f>
        <v>-2551.5</v>
      </c>
      <c r="AP301" s="69" t="n">
        <f aca="false">-Inputs!$D$42*(1+Inputs!$D$43)^(AP$259-1)*1</f>
        <v>-2551.5</v>
      </c>
      <c r="AQ301" s="69" t="n">
        <f aca="false">-Inputs!$D$42*(1+Inputs!$D$43)^(AQ$259-1)*1</f>
        <v>-2551.5</v>
      </c>
      <c r="AR301" s="69" t="n">
        <f aca="false">-Inputs!$D$42*(1+Inputs!$D$43)^(AR$259-1)*1</f>
        <v>-2551.5</v>
      </c>
      <c r="AS301" s="69" t="n">
        <f aca="false">-Inputs!$D$42*(1+Inputs!$D$43)^(AS$259-1)*1</f>
        <v>-2551.5</v>
      </c>
      <c r="AT301" s="69" t="n">
        <f aca="false">-Inputs!$D$42*(1+Inputs!$D$43)^(AT$259-1)*1</f>
        <v>-2551.5</v>
      </c>
      <c r="AU301" s="69" t="n">
        <f aca="false">-Inputs!$D$42*(1+Inputs!$D$43)^(AU$259-1)*1</f>
        <v>-2551.5</v>
      </c>
      <c r="AV301" s="69" t="n">
        <f aca="false">-Inputs!$D$42*(1+Inputs!$D$43)^(AV$259-1)*1</f>
        <v>-2551.5</v>
      </c>
      <c r="AW301" s="69" t="n">
        <f aca="false">-Inputs!$D$42*(1+Inputs!$D$43)^(AW$259-1)*1</f>
        <v>-2551.5</v>
      </c>
      <c r="AX301" s="69" t="n">
        <f aca="false">-Inputs!$D$42*(1+Inputs!$D$43)^(AX$259-1)*1</f>
        <v>-2551.5</v>
      </c>
      <c r="AY301" s="69" t="n">
        <f aca="false">-Inputs!$D$42*(1+Inputs!$D$43)^(AY$259-1)*1</f>
        <v>-2296.35</v>
      </c>
      <c r="AZ301" s="69" t="n">
        <f aca="false">-Inputs!$D$42*(1+Inputs!$D$43)^(AZ$259-1)*1</f>
        <v>-2296.35</v>
      </c>
      <c r="BA301" s="69" t="n">
        <f aca="false">-Inputs!$D$42*(1+Inputs!$D$43)^(BA$259-1)*1</f>
        <v>-2296.35</v>
      </c>
      <c r="BB301" s="69" t="n">
        <f aca="false">-Inputs!$D$42*(1+Inputs!$D$43)^(BB$259-1)*1</f>
        <v>-2296.35</v>
      </c>
      <c r="BC301" s="69" t="n">
        <f aca="false">-Inputs!$D$42*(1+Inputs!$D$43)^(BC$259-1)*1</f>
        <v>-2296.35</v>
      </c>
      <c r="BD301" s="69" t="n">
        <f aca="false">-Inputs!$D$42*(1+Inputs!$D$43)^(BD$259-1)*1</f>
        <v>-2296.35</v>
      </c>
      <c r="BE301" s="69" t="n">
        <f aca="false">-Inputs!$D$42*(1+Inputs!$D$43)^(BE$259-1)*1</f>
        <v>-2296.35</v>
      </c>
      <c r="BF301" s="69" t="n">
        <f aca="false">-Inputs!$D$42*(1+Inputs!$D$43)^(BF$259-1)*1</f>
        <v>-2296.35</v>
      </c>
      <c r="BG301" s="69" t="n">
        <f aca="false">-Inputs!$D$42*(1+Inputs!$D$43)^(BG$259-1)*1</f>
        <v>-2296.35</v>
      </c>
      <c r="BH301" s="69" t="n">
        <f aca="false">-Inputs!$D$42*(1+Inputs!$D$43)^(BH$259-1)*1</f>
        <v>-2296.35</v>
      </c>
      <c r="BI301" s="69" t="n">
        <f aca="false">-Inputs!$D$42*(1+Inputs!$D$43)^(BI$259-1)*1</f>
        <v>-2296.35</v>
      </c>
      <c r="BJ301" s="69" t="n">
        <f aca="false">-Inputs!$D$42*(1+Inputs!$D$43)^(BJ$259-1)*1</f>
        <v>-2296.35</v>
      </c>
    </row>
    <row r="302" customFormat="false" ht="15" hidden="false" customHeight="false" outlineLevel="0" collapsed="false">
      <c r="A302" s="6" t="s">
        <v>342</v>
      </c>
      <c r="C302" s="69" t="n">
        <f aca="false">-C285*Inputs!$D$44</f>
        <v>-1118.9024</v>
      </c>
      <c r="D302" s="69" t="n">
        <f aca="false">-D285*Inputs!$D$44</f>
        <v>-1258.7652</v>
      </c>
      <c r="E302" s="69" t="n">
        <f aca="false">-E285*Inputs!$D$44</f>
        <v>-1398.628</v>
      </c>
      <c r="F302" s="69" t="n">
        <f aca="false">-F285*Inputs!$D$44</f>
        <v>-1538.4908</v>
      </c>
      <c r="G302" s="69" t="n">
        <f aca="false">-G285*Inputs!$D$44</f>
        <v>-1678.3536</v>
      </c>
      <c r="H302" s="69" t="n">
        <f aca="false">-H285*Inputs!$D$44</f>
        <v>-2154.334</v>
      </c>
      <c r="I302" s="69" t="n">
        <f aca="false">-I285*Inputs!$D$44</f>
        <v>-2320.052</v>
      </c>
      <c r="J302" s="69" t="n">
        <f aca="false">-J285*Inputs!$D$44</f>
        <v>-2485.77</v>
      </c>
      <c r="K302" s="69" t="n">
        <f aca="false">-K285*Inputs!$D$44</f>
        <v>-2237.8048</v>
      </c>
      <c r="L302" s="69" t="n">
        <f aca="false">-L285*Inputs!$D$44</f>
        <v>-2237.8048</v>
      </c>
      <c r="M302" s="69" t="n">
        <f aca="false">-M285*Inputs!$D$44</f>
        <v>-2237.8048</v>
      </c>
      <c r="N302" s="69" t="n">
        <f aca="false">-N285*Inputs!$D$44</f>
        <v>-2651.488</v>
      </c>
      <c r="O302" s="69" t="n">
        <f aca="false">-O285*Inputs!$D$44</f>
        <v>-2456.9172992</v>
      </c>
      <c r="P302" s="69" t="n">
        <f aca="false">-P285*Inputs!$D$44</f>
        <v>-2456.9172992</v>
      </c>
      <c r="Q302" s="69" t="n">
        <f aca="false">-Q285*Inputs!$D$44</f>
        <v>-2456.9172992</v>
      </c>
      <c r="R302" s="69" t="n">
        <f aca="false">-R285*Inputs!$D$44</f>
        <v>-2456.9172992</v>
      </c>
      <c r="S302" s="69" t="n">
        <f aca="false">-S285*Inputs!$D$44</f>
        <v>-2456.9172992</v>
      </c>
      <c r="T302" s="69" t="n">
        <f aca="false">-T285*Inputs!$D$44</f>
        <v>-2908.6593536</v>
      </c>
      <c r="U302" s="69" t="n">
        <f aca="false">-U285*Inputs!$D$44</f>
        <v>-2908.6593536</v>
      </c>
      <c r="V302" s="69" t="n">
        <f aca="false">-V285*Inputs!$D$44</f>
        <v>-2908.6593536</v>
      </c>
      <c r="W302" s="69" t="n">
        <f aca="false">-W285*Inputs!$D$44</f>
        <v>-2456.9172992</v>
      </c>
      <c r="X302" s="69" t="n">
        <f aca="false">-X285*Inputs!$D$44</f>
        <v>-2456.9172992</v>
      </c>
      <c r="Y302" s="69" t="n">
        <f aca="false">-Y285*Inputs!$D$44</f>
        <v>-2456.9172992</v>
      </c>
      <c r="Z302" s="69" t="n">
        <f aca="false">-Z285*Inputs!$D$44</f>
        <v>-2908.6593536</v>
      </c>
      <c r="AA302" s="69" t="n">
        <f aca="false">-AA285*Inputs!$D$44</f>
        <v>-2697.54335678464</v>
      </c>
      <c r="AB302" s="69" t="n">
        <f aca="false">-AB285*Inputs!$D$44</f>
        <v>-2697.54335678464</v>
      </c>
      <c r="AC302" s="69" t="n">
        <f aca="false">-AC285*Inputs!$D$44</f>
        <v>-2697.54335678464</v>
      </c>
      <c r="AD302" s="69" t="n">
        <f aca="false">-AD285*Inputs!$D$44</f>
        <v>-2697.54335678464</v>
      </c>
      <c r="AE302" s="69" t="n">
        <f aca="false">-AE285*Inputs!$D$44</f>
        <v>-2697.54335678464</v>
      </c>
      <c r="AF302" s="69" t="n">
        <f aca="false">-AF285*Inputs!$D$44</f>
        <v>-3190.84568018944</v>
      </c>
      <c r="AG302" s="69" t="n">
        <f aca="false">-AG285*Inputs!$D$44</f>
        <v>-3190.84568018944</v>
      </c>
      <c r="AH302" s="69" t="n">
        <f aca="false">-AH285*Inputs!$D$44</f>
        <v>-3190.84568018944</v>
      </c>
      <c r="AI302" s="69" t="n">
        <f aca="false">-AI285*Inputs!$D$44</f>
        <v>-2697.54335678464</v>
      </c>
      <c r="AJ302" s="69" t="n">
        <f aca="false">-AJ285*Inputs!$D$44</f>
        <v>-2697.54335678464</v>
      </c>
      <c r="AK302" s="69" t="n">
        <f aca="false">-AK285*Inputs!$D$44</f>
        <v>-2697.54335678464</v>
      </c>
      <c r="AL302" s="69" t="n">
        <f aca="false">-AL285*Inputs!$D$44</f>
        <v>-3190.84568018944</v>
      </c>
      <c r="AM302" s="69" t="n">
        <f aca="false">-AM285*Inputs!$D$44</f>
        <v>-2961.80099347143</v>
      </c>
      <c r="AN302" s="69" t="n">
        <f aca="false">-AN285*Inputs!$D$44</f>
        <v>-2961.80099347143</v>
      </c>
      <c r="AO302" s="69" t="n">
        <f aca="false">-AO285*Inputs!$D$44</f>
        <v>-2961.80099347143</v>
      </c>
      <c r="AP302" s="69" t="n">
        <f aca="false">-AP285*Inputs!$D$44</f>
        <v>-2961.80099347143</v>
      </c>
      <c r="AQ302" s="69" t="n">
        <f aca="false">-AQ285*Inputs!$D$44</f>
        <v>-2961.80099347143</v>
      </c>
      <c r="AR302" s="69" t="n">
        <f aca="false">-AR285*Inputs!$D$44</f>
        <v>-3428.338299676</v>
      </c>
      <c r="AS302" s="69" t="n">
        <f aca="false">-AS285*Inputs!$D$44</f>
        <v>-3428.338299676</v>
      </c>
      <c r="AT302" s="69" t="n">
        <f aca="false">-AT285*Inputs!$D$44</f>
        <v>-3428.338299676</v>
      </c>
      <c r="AU302" s="69" t="n">
        <f aca="false">-AU285*Inputs!$D$44</f>
        <v>-2961.80099347143</v>
      </c>
      <c r="AV302" s="69" t="n">
        <f aca="false">-AV285*Inputs!$D$44</f>
        <v>-2961.80099347143</v>
      </c>
      <c r="AW302" s="69" t="n">
        <f aca="false">-AW285*Inputs!$D$44</f>
        <v>-2961.80099347143</v>
      </c>
      <c r="AX302" s="69" t="n">
        <f aca="false">-AX285*Inputs!$D$44</f>
        <v>-3428.338299676</v>
      </c>
      <c r="AY302" s="69" t="n">
        <f aca="false">-AY285*Inputs!$D$44</f>
        <v>-3252.01729827454</v>
      </c>
      <c r="AZ302" s="69" t="n">
        <f aca="false">-AZ285*Inputs!$D$44</f>
        <v>-3252.01729827454</v>
      </c>
      <c r="BA302" s="69" t="n">
        <f aca="false">-BA285*Inputs!$D$44</f>
        <v>-3252.01729827454</v>
      </c>
      <c r="BB302" s="69" t="n">
        <f aca="false">-BB285*Inputs!$D$44</f>
        <v>-3252.01729827454</v>
      </c>
      <c r="BC302" s="69" t="n">
        <f aca="false">-BC285*Inputs!$D$44</f>
        <v>-3252.01729827454</v>
      </c>
      <c r="BD302" s="69" t="n">
        <f aca="false">-BD285*Inputs!$D$44</f>
        <v>-3671.85551208545</v>
      </c>
      <c r="BE302" s="69" t="n">
        <f aca="false">-BE285*Inputs!$D$44</f>
        <v>-3671.85551208545</v>
      </c>
      <c r="BF302" s="69" t="n">
        <f aca="false">-BF285*Inputs!$D$44</f>
        <v>-3671.85551208545</v>
      </c>
      <c r="BG302" s="69" t="n">
        <f aca="false">-BG285*Inputs!$D$44</f>
        <v>-3252.01729827454</v>
      </c>
      <c r="BH302" s="69" t="n">
        <f aca="false">-BH285*Inputs!$D$44</f>
        <v>-3252.01729827454</v>
      </c>
      <c r="BI302" s="69" t="n">
        <f aca="false">-BI285*Inputs!$D$44</f>
        <v>-3252.01729827454</v>
      </c>
      <c r="BJ302" s="69" t="n">
        <f aca="false">-BJ285*Inputs!$D$44</f>
        <v>-3671.85551208545</v>
      </c>
    </row>
    <row r="303" customFormat="false" ht="15" hidden="false" customHeight="false" outlineLevel="0" collapsed="false">
      <c r="A303" s="115" t="s">
        <v>77</v>
      </c>
      <c r="C303" s="70" t="n">
        <f aca="false">C297+C298+C299+C300+C301+C302</f>
        <v>-35856.4024</v>
      </c>
      <c r="D303" s="70" t="n">
        <f aca="false">D297+D298+D299+D300+D301+D302</f>
        <v>-35996.2652</v>
      </c>
      <c r="E303" s="70" t="n">
        <f aca="false">E297+E298+E299+E300+E301+E302</f>
        <v>-36136.128</v>
      </c>
      <c r="F303" s="70" t="n">
        <f aca="false">F297+F298+F299+F300+F301+F302</f>
        <v>-36275.9908</v>
      </c>
      <c r="G303" s="70" t="n">
        <f aca="false">G297+G298+G299+G300+G301+G302</f>
        <v>-36415.8536</v>
      </c>
      <c r="H303" s="70" t="n">
        <f aca="false">H297+H298+H299+H300+H301+H302</f>
        <v>-36891.834</v>
      </c>
      <c r="I303" s="70" t="n">
        <f aca="false">I297+I298+I299+I300+I301+I302</f>
        <v>-37057.552</v>
      </c>
      <c r="J303" s="70" t="n">
        <f aca="false">J297+J298+J299+J300+J301+J302</f>
        <v>-37223.27</v>
      </c>
      <c r="K303" s="70" t="n">
        <f aca="false">K297+K298+K299+K300+K301+K302</f>
        <v>-36975.3048</v>
      </c>
      <c r="L303" s="70" t="n">
        <f aca="false">L297+L298+L299+L300+L301+L302</f>
        <v>-36975.3048</v>
      </c>
      <c r="M303" s="70" t="n">
        <f aca="false">M297+M298+M299+M300+M301+M302</f>
        <v>-36975.3048</v>
      </c>
      <c r="N303" s="70" t="n">
        <f aca="false">N297+N298+N299+N300+N301+N302</f>
        <v>-37388.988</v>
      </c>
      <c r="O303" s="70" t="n">
        <f aca="false">O297+O298+O299+O300+O301+O302</f>
        <v>-37746.5422992</v>
      </c>
      <c r="P303" s="70" t="n">
        <f aca="false">P297+P298+P299+P300+P301+P302</f>
        <v>-37746.5422992</v>
      </c>
      <c r="Q303" s="70" t="n">
        <f aca="false">Q297+Q298+Q299+Q300+Q301+Q302</f>
        <v>-37746.5422992</v>
      </c>
      <c r="R303" s="70" t="n">
        <f aca="false">R297+R298+R299+R300+R301+R302</f>
        <v>-37746.5422992</v>
      </c>
      <c r="S303" s="70" t="n">
        <f aca="false">S297+S298+S299+S300+S301+S302</f>
        <v>-37746.5422992</v>
      </c>
      <c r="T303" s="70" t="n">
        <f aca="false">T297+T298+T299+T300+T301+T302</f>
        <v>-38198.2843536</v>
      </c>
      <c r="U303" s="70" t="n">
        <f aca="false">U297+U298+U299+U300+U301+U302</f>
        <v>-38198.2843536</v>
      </c>
      <c r="V303" s="70" t="n">
        <f aca="false">V297+V298+V299+V300+V301+V302</f>
        <v>-38198.2843536</v>
      </c>
      <c r="W303" s="70" t="n">
        <f aca="false">W297+W298+W299+W300+W301+W302</f>
        <v>-37746.5422992</v>
      </c>
      <c r="X303" s="70" t="n">
        <f aca="false">X297+X298+X299+X300+X301+X302</f>
        <v>-37746.5422992</v>
      </c>
      <c r="Y303" s="70" t="n">
        <f aca="false">Y297+Y298+Y299+Y300+Y301+Y302</f>
        <v>-37746.5422992</v>
      </c>
      <c r="Z303" s="70" t="n">
        <f aca="false">Z297+Z298+Z299+Z300+Z301+Z302</f>
        <v>-38198.2843536</v>
      </c>
      <c r="AA303" s="70" t="n">
        <f aca="false">AA297+AA298+AA299+AA300+AA301+AA302</f>
        <v>-38600.4821067846</v>
      </c>
      <c r="AB303" s="70" t="n">
        <f aca="false">AB297+AB298+AB299+AB300+AB301+AB302</f>
        <v>-38600.4821067846</v>
      </c>
      <c r="AC303" s="70" t="n">
        <f aca="false">AC297+AC298+AC299+AC300+AC301+AC302</f>
        <v>-38600.4821067846</v>
      </c>
      <c r="AD303" s="70" t="n">
        <f aca="false">AD297+AD298+AD299+AD300+AD301+AD302</f>
        <v>-38600.4821067846</v>
      </c>
      <c r="AE303" s="70" t="n">
        <f aca="false">AE297+AE298+AE299+AE300+AE301+AE302</f>
        <v>-38600.4821067846</v>
      </c>
      <c r="AF303" s="70" t="n">
        <f aca="false">AF297+AF298+AF299+AF300+AF301+AF302</f>
        <v>-39093.7844301894</v>
      </c>
      <c r="AG303" s="70" t="n">
        <f aca="false">AG297+AG298+AG299+AG300+AG301+AG302</f>
        <v>-39093.7844301894</v>
      </c>
      <c r="AH303" s="70" t="n">
        <f aca="false">AH297+AH298+AH299+AH300+AH301+AH302</f>
        <v>-39093.7844301894</v>
      </c>
      <c r="AI303" s="70" t="n">
        <f aca="false">AI297+AI298+AI299+AI300+AI301+AI302</f>
        <v>-38600.4821067846</v>
      </c>
      <c r="AJ303" s="70" t="n">
        <f aca="false">AJ297+AJ298+AJ299+AJ300+AJ301+AJ302</f>
        <v>-38600.4821067846</v>
      </c>
      <c r="AK303" s="70" t="n">
        <f aca="false">AK297+AK298+AK299+AK300+AK301+AK302</f>
        <v>-38600.4821067846</v>
      </c>
      <c r="AL303" s="70" t="n">
        <f aca="false">AL297+AL298+AL299+AL300+AL301+AL302</f>
        <v>-39093.7844301894</v>
      </c>
      <c r="AM303" s="70" t="n">
        <f aca="false">AM297+AM298+AM299+AM300+AM301+AM302</f>
        <v>-39536.5060309714</v>
      </c>
      <c r="AN303" s="70" t="n">
        <f aca="false">AN297+AN298+AN299+AN300+AN301+AN302</f>
        <v>-39536.5060309714</v>
      </c>
      <c r="AO303" s="70" t="n">
        <f aca="false">AO297+AO298+AO299+AO300+AO301+AO302</f>
        <v>-39536.5060309714</v>
      </c>
      <c r="AP303" s="70" t="n">
        <f aca="false">AP297+AP298+AP299+AP300+AP301+AP302</f>
        <v>-39536.5060309714</v>
      </c>
      <c r="AQ303" s="70" t="n">
        <f aca="false">AQ297+AQ298+AQ299+AQ300+AQ301+AQ302</f>
        <v>-39536.5060309714</v>
      </c>
      <c r="AR303" s="70" t="n">
        <f aca="false">AR297+AR298+AR299+AR300+AR301+AR302</f>
        <v>-40003.043337176</v>
      </c>
      <c r="AS303" s="70" t="n">
        <f aca="false">AS297+AS298+AS299+AS300+AS301+AS302</f>
        <v>-40003.043337176</v>
      </c>
      <c r="AT303" s="70" t="n">
        <f aca="false">AT297+AT298+AT299+AT300+AT301+AT302</f>
        <v>-40003.043337176</v>
      </c>
      <c r="AU303" s="70" t="n">
        <f aca="false">AU297+AU298+AU299+AU300+AU301+AU302</f>
        <v>-39536.5060309714</v>
      </c>
      <c r="AV303" s="70" t="n">
        <f aca="false">AV297+AV298+AV299+AV300+AV301+AV302</f>
        <v>-39536.5060309714</v>
      </c>
      <c r="AW303" s="70" t="n">
        <f aca="false">AW297+AW298+AW299+AW300+AW301+AW302</f>
        <v>-39536.5060309714</v>
      </c>
      <c r="AX303" s="70" t="n">
        <f aca="false">AX297+AX298+AX299+AX300+AX301+AX302</f>
        <v>-40003.043337176</v>
      </c>
      <c r="AY303" s="70" t="n">
        <f aca="false">AY297+AY298+AY299+AY300+AY301+AY302</f>
        <v>-40554.5773150245</v>
      </c>
      <c r="AZ303" s="70" t="n">
        <f aca="false">AZ297+AZ298+AZ299+AZ300+AZ301+AZ302</f>
        <v>-40554.5773150245</v>
      </c>
      <c r="BA303" s="70" t="n">
        <f aca="false">BA297+BA298+BA299+BA300+BA301+BA302</f>
        <v>-40554.5773150245</v>
      </c>
      <c r="BB303" s="70" t="n">
        <f aca="false">BB297+BB298+BB299+BB300+BB301+BB302</f>
        <v>-40554.5773150245</v>
      </c>
      <c r="BC303" s="70" t="n">
        <f aca="false">BC297+BC298+BC299+BC300+BC301+BC302</f>
        <v>-40554.5773150245</v>
      </c>
      <c r="BD303" s="70" t="n">
        <f aca="false">BD297+BD298+BD299+BD300+BD301+BD302</f>
        <v>-40974.4155288355</v>
      </c>
      <c r="BE303" s="70" t="n">
        <f aca="false">BE297+BE298+BE299+BE300+BE301+BE302</f>
        <v>-40974.4155288355</v>
      </c>
      <c r="BF303" s="70" t="n">
        <f aca="false">BF297+BF298+BF299+BF300+BF301+BF302</f>
        <v>-40974.4155288355</v>
      </c>
      <c r="BG303" s="70" t="n">
        <f aca="false">BG297+BG298+BG299+BG300+BG301+BG302</f>
        <v>-40554.5773150245</v>
      </c>
      <c r="BH303" s="70" t="n">
        <f aca="false">BH297+BH298+BH299+BH300+BH301+BH302</f>
        <v>-40554.5773150245</v>
      </c>
      <c r="BI303" s="70" t="n">
        <f aca="false">BI297+BI298+BI299+BI300+BI301+BI302</f>
        <v>-40554.5773150245</v>
      </c>
      <c r="BJ303" s="70" t="n">
        <f aca="false">BJ297+BJ298+BJ299+BJ300+BJ301+BJ302</f>
        <v>-40974.4155288355</v>
      </c>
    </row>
    <row r="304" customFormat="false" ht="15" hidden="false" customHeight="false" outlineLevel="0" collapsed="false">
      <c r="A304" s="115" t="s">
        <v>48</v>
      </c>
      <c r="C304" s="70" t="n">
        <f aca="false">C294+C303</f>
        <v>-10363.9957333333</v>
      </c>
      <c r="D304" s="70" t="n">
        <f aca="false">D294+D303</f>
        <v>-6838.14103333333</v>
      </c>
      <c r="E304" s="70" t="n">
        <f aca="false">E294+E303</f>
        <v>-3312.28633333333</v>
      </c>
      <c r="F304" s="70" t="n">
        <f aca="false">F294+F303</f>
        <v>213.568366666659</v>
      </c>
      <c r="G304" s="70" t="n">
        <f aca="false">G294+G303</f>
        <v>3739.42306666666</v>
      </c>
      <c r="H304" s="70" t="n">
        <f aca="false">H294+H303</f>
        <v>17832.9751666667</v>
      </c>
      <c r="I304" s="70" t="n">
        <f aca="false">I294+I303</f>
        <v>22171.7296666667</v>
      </c>
      <c r="J304" s="70" t="n">
        <f aca="false">J294+J303</f>
        <v>26510.4841666667</v>
      </c>
      <c r="K304" s="70" t="n">
        <f aca="false">K294+K303</f>
        <v>17842.8418666667</v>
      </c>
      <c r="L304" s="70" t="n">
        <f aca="false">L294+L303</f>
        <v>17842.8418666667</v>
      </c>
      <c r="M304" s="70" t="n">
        <f aca="false">M294+M303</f>
        <v>17842.8418666667</v>
      </c>
      <c r="N304" s="70" t="n">
        <f aca="false">N294+N303</f>
        <v>30849.2386666667</v>
      </c>
      <c r="O304" s="70" t="n">
        <f aca="false">O294+O303</f>
        <v>22718.0449714667</v>
      </c>
      <c r="P304" s="70" t="n">
        <f aca="false">P294+P303</f>
        <v>22718.0449714667</v>
      </c>
      <c r="Q304" s="70" t="n">
        <f aca="false">Q294+Q303</f>
        <v>22718.0449714667</v>
      </c>
      <c r="R304" s="70" t="n">
        <f aca="false">R294+R303</f>
        <v>22718.0449714667</v>
      </c>
      <c r="S304" s="70" t="n">
        <f aca="false">S294+S303</f>
        <v>22718.0449714667</v>
      </c>
      <c r="T304" s="70" t="n">
        <f aca="false">T294+T303</f>
        <v>36942.3608170667</v>
      </c>
      <c r="U304" s="70" t="n">
        <f aca="false">U294+U303</f>
        <v>36942.3608170667</v>
      </c>
      <c r="V304" s="70" t="n">
        <f aca="false">V294+V303</f>
        <v>36942.3608170667</v>
      </c>
      <c r="W304" s="70" t="n">
        <f aca="false">W294+W303</f>
        <v>22718.0449714667</v>
      </c>
      <c r="X304" s="70" t="n">
        <f aca="false">X294+X303</f>
        <v>22718.0449714667</v>
      </c>
      <c r="Y304" s="70" t="n">
        <f aca="false">Y294+Y303</f>
        <v>22718.0449714667</v>
      </c>
      <c r="Z304" s="70" t="n">
        <f aca="false">Z294+Z303</f>
        <v>36942.3608170667</v>
      </c>
      <c r="AA304" s="70" t="n">
        <f aca="false">AA294+AA303</f>
        <v>28073.1016388666</v>
      </c>
      <c r="AB304" s="70" t="n">
        <f aca="false">AB294+AB303</f>
        <v>28073.1016388666</v>
      </c>
      <c r="AC304" s="70" t="n">
        <f aca="false">AC294+AC303</f>
        <v>28073.1016388666</v>
      </c>
      <c r="AD304" s="70" t="n">
        <f aca="false">AD294+AD303</f>
        <v>28073.1016388666</v>
      </c>
      <c r="AE304" s="70" t="n">
        <f aca="false">AE294+AE303</f>
        <v>28073.1016388666</v>
      </c>
      <c r="AF304" s="70" t="n">
        <f aca="false">AF294+AF303</f>
        <v>43629.0115359368</v>
      </c>
      <c r="AG304" s="70" t="n">
        <f aca="false">AG294+AG303</f>
        <v>43629.0115359368</v>
      </c>
      <c r="AH304" s="70" t="n">
        <f aca="false">AH294+AH303</f>
        <v>43629.0115359368</v>
      </c>
      <c r="AI304" s="70" t="n">
        <f aca="false">AI294+AI303</f>
        <v>28073.1016388666</v>
      </c>
      <c r="AJ304" s="70" t="n">
        <f aca="false">AJ294+AJ303</f>
        <v>28073.1016388666</v>
      </c>
      <c r="AK304" s="70" t="n">
        <f aca="false">AK294+AK303</f>
        <v>28073.1016388666</v>
      </c>
      <c r="AL304" s="70" t="n">
        <f aca="false">AL294+AL303</f>
        <v>43629.0115359368</v>
      </c>
      <c r="AM304" s="70" t="n">
        <f aca="false">AM294+AM303</f>
        <v>33964.1665342408</v>
      </c>
      <c r="AN304" s="70" t="n">
        <f aca="false">AN294+AN303</f>
        <v>33964.1665342408</v>
      </c>
      <c r="AO304" s="70" t="n">
        <f aca="false">AO294+AO303</f>
        <v>33964.1665342408</v>
      </c>
      <c r="AP304" s="70" t="n">
        <f aca="false">AP294+AP303</f>
        <v>33964.1665342408</v>
      </c>
      <c r="AQ304" s="70" t="n">
        <f aca="false">AQ294+AQ303</f>
        <v>33964.1665342408</v>
      </c>
      <c r="AR304" s="70" t="n">
        <f aca="false">AR294+AR303</f>
        <v>48697.4604448995</v>
      </c>
      <c r="AS304" s="70" t="n">
        <f aca="false">AS294+AS303</f>
        <v>48697.4604448995</v>
      </c>
      <c r="AT304" s="70" t="n">
        <f aca="false">AT294+AT303</f>
        <v>48697.4604448995</v>
      </c>
      <c r="AU304" s="70" t="n">
        <f aca="false">AU294+AU303</f>
        <v>33964.1665342408</v>
      </c>
      <c r="AV304" s="70" t="n">
        <f aca="false">AV294+AV303</f>
        <v>33964.1665342408</v>
      </c>
      <c r="AW304" s="70" t="n">
        <f aca="false">AW294+AW303</f>
        <v>33964.1665342408</v>
      </c>
      <c r="AX304" s="70" t="n">
        <f aca="false">AX294+AX303</f>
        <v>48697.4604448995</v>
      </c>
      <c r="AY304" s="70" t="n">
        <f aca="false">AY294+AY303</f>
        <v>40452.2851056221</v>
      </c>
      <c r="AZ304" s="70" t="n">
        <f aca="false">AZ294+AZ303</f>
        <v>40452.2851056221</v>
      </c>
      <c r="BA304" s="70" t="n">
        <f aca="false">BA294+BA303</f>
        <v>40452.2851056221</v>
      </c>
      <c r="BB304" s="70" t="n">
        <f aca="false">BB294+BB303</f>
        <v>40452.2851056221</v>
      </c>
      <c r="BC304" s="70" t="n">
        <f aca="false">BC294+BC303</f>
        <v>40452.2851056221</v>
      </c>
      <c r="BD304" s="70" t="n">
        <f aca="false">BD294+BD303</f>
        <v>53729.7957265091</v>
      </c>
      <c r="BE304" s="70" t="n">
        <f aca="false">BE294+BE303</f>
        <v>53729.7957265091</v>
      </c>
      <c r="BF304" s="70" t="n">
        <f aca="false">BF294+BF303</f>
        <v>53729.7957265091</v>
      </c>
      <c r="BG304" s="70" t="n">
        <f aca="false">BG294+BG303</f>
        <v>40452.2851056221</v>
      </c>
      <c r="BH304" s="70" t="n">
        <f aca="false">BH294+BH303</f>
        <v>40452.2851056221</v>
      </c>
      <c r="BI304" s="70" t="n">
        <f aca="false">BI294+BI303</f>
        <v>40452.2851056221</v>
      </c>
      <c r="BJ304" s="70" t="n">
        <f aca="false">BJ294+BJ303</f>
        <v>53729.7957265091</v>
      </c>
    </row>
    <row r="306" customFormat="false" ht="15.75" hidden="false" customHeight="true" outlineLevel="0" collapsed="false">
      <c r="A306" s="7" t="s">
        <v>428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customFormat="false" ht="15" hidden="false" customHeight="false" outlineLevel="0" collapsed="false">
      <c r="A307" s="4" t="s">
        <v>79</v>
      </c>
      <c r="C307" s="75" t="n">
        <f aca="false">C304+C324</f>
        <v>-12332.7457333333</v>
      </c>
      <c r="D307" s="75" t="n">
        <f aca="false">D304+D324</f>
        <v>-8806.89103333333</v>
      </c>
      <c r="E307" s="75" t="n">
        <f aca="false">E304+E324</f>
        <v>-5281.03633333333</v>
      </c>
      <c r="F307" s="75" t="n">
        <f aca="false">F304+F324</f>
        <v>-1755.18163333334</v>
      </c>
      <c r="G307" s="75" t="n">
        <f aca="false">G304+G324</f>
        <v>1770.67306666666</v>
      </c>
      <c r="H307" s="75" t="n">
        <f aca="false">H304+H324</f>
        <v>15864.2251666667</v>
      </c>
      <c r="I307" s="75" t="n">
        <f aca="false">I304+I324</f>
        <v>20202.9796666667</v>
      </c>
      <c r="J307" s="75" t="n">
        <f aca="false">J304+J324</f>
        <v>24541.7341666667</v>
      </c>
      <c r="K307" s="75" t="n">
        <f aca="false">K304+K324</f>
        <v>15874.0918666667</v>
      </c>
      <c r="L307" s="75" t="n">
        <f aca="false">L304+L324</f>
        <v>15874.0918666667</v>
      </c>
      <c r="M307" s="75" t="n">
        <f aca="false">M304+M324</f>
        <v>15874.0918666667</v>
      </c>
      <c r="N307" s="75" t="n">
        <f aca="false">N304+N324</f>
        <v>28880.4886666667</v>
      </c>
      <c r="O307" s="75" t="n">
        <f aca="false">O304+O324</f>
        <v>20645.1283048</v>
      </c>
      <c r="P307" s="75" t="n">
        <f aca="false">P304+P324</f>
        <v>20645.1283048</v>
      </c>
      <c r="Q307" s="75" t="n">
        <f aca="false">Q304+Q324</f>
        <v>20645.1283048</v>
      </c>
      <c r="R307" s="75" t="n">
        <f aca="false">R304+R324</f>
        <v>20645.1283048</v>
      </c>
      <c r="S307" s="75" t="n">
        <f aca="false">S304+S324</f>
        <v>20645.1283048</v>
      </c>
      <c r="T307" s="75" t="n">
        <f aca="false">T304+T324</f>
        <v>34869.4441504</v>
      </c>
      <c r="U307" s="75" t="n">
        <f aca="false">U304+U324</f>
        <v>34869.4441504</v>
      </c>
      <c r="V307" s="75" t="n">
        <f aca="false">V304+V324</f>
        <v>34869.4441504</v>
      </c>
      <c r="W307" s="75" t="n">
        <f aca="false">W304+W324</f>
        <v>20645.1283048</v>
      </c>
      <c r="X307" s="75" t="n">
        <f aca="false">X304+X324</f>
        <v>20645.1283048</v>
      </c>
      <c r="Y307" s="75" t="n">
        <f aca="false">Y304+Y324</f>
        <v>20645.1283048</v>
      </c>
      <c r="Z307" s="75" t="n">
        <f aca="false">Z304+Z324</f>
        <v>34869.4441504</v>
      </c>
      <c r="AA307" s="75" t="n">
        <f aca="false">AA304+AA324</f>
        <v>25896.0183055333</v>
      </c>
      <c r="AB307" s="75" t="n">
        <f aca="false">AB304+AB324</f>
        <v>25896.0183055333</v>
      </c>
      <c r="AC307" s="75" t="n">
        <f aca="false">AC304+AC324</f>
        <v>25896.0183055333</v>
      </c>
      <c r="AD307" s="75" t="n">
        <f aca="false">AD304+AD324</f>
        <v>25896.0183055333</v>
      </c>
      <c r="AE307" s="75" t="n">
        <f aca="false">AE304+AE324</f>
        <v>25896.0183055333</v>
      </c>
      <c r="AF307" s="75" t="n">
        <f aca="false">AF304+AF324</f>
        <v>41451.9282026035</v>
      </c>
      <c r="AG307" s="75" t="n">
        <f aca="false">AG304+AG324</f>
        <v>41451.9282026035</v>
      </c>
      <c r="AH307" s="75" t="n">
        <f aca="false">AH304+AH324</f>
        <v>41451.9282026035</v>
      </c>
      <c r="AI307" s="75" t="n">
        <f aca="false">AI304+AI324</f>
        <v>25896.0183055333</v>
      </c>
      <c r="AJ307" s="75" t="n">
        <f aca="false">AJ304+AJ324</f>
        <v>25896.0183055333</v>
      </c>
      <c r="AK307" s="75" t="n">
        <f aca="false">AK304+AK324</f>
        <v>25896.0183055333</v>
      </c>
      <c r="AL307" s="75" t="n">
        <f aca="false">AL304+AL324</f>
        <v>41451.9282026035</v>
      </c>
      <c r="AM307" s="75" t="n">
        <f aca="false">AM304+AM324</f>
        <v>31682.9165342408</v>
      </c>
      <c r="AN307" s="75" t="n">
        <f aca="false">AN304+AN324</f>
        <v>31682.9165342408</v>
      </c>
      <c r="AO307" s="75" t="n">
        <f aca="false">AO304+AO324</f>
        <v>31682.9165342408</v>
      </c>
      <c r="AP307" s="75" t="n">
        <f aca="false">AP304+AP324</f>
        <v>31682.9165342408</v>
      </c>
      <c r="AQ307" s="75" t="n">
        <f aca="false">AQ304+AQ324</f>
        <v>31682.9165342408</v>
      </c>
      <c r="AR307" s="75" t="n">
        <f aca="false">AR304+AR324</f>
        <v>46416.2104448995</v>
      </c>
      <c r="AS307" s="75" t="n">
        <f aca="false">AS304+AS324</f>
        <v>46416.2104448995</v>
      </c>
      <c r="AT307" s="75" t="n">
        <f aca="false">AT304+AT324</f>
        <v>46416.2104448995</v>
      </c>
      <c r="AU307" s="75" t="n">
        <f aca="false">AU304+AU324</f>
        <v>31682.9165342408</v>
      </c>
      <c r="AV307" s="75" t="n">
        <f aca="false">AV304+AV324</f>
        <v>31682.9165342408</v>
      </c>
      <c r="AW307" s="75" t="n">
        <f aca="false">AW304+AW324</f>
        <v>31682.9165342408</v>
      </c>
      <c r="AX307" s="75" t="n">
        <f aca="false">AX304+AX324</f>
        <v>46416.2104448995</v>
      </c>
      <c r="AY307" s="75" t="n">
        <f aca="false">AY304+AY324</f>
        <v>38066.8684389554</v>
      </c>
      <c r="AZ307" s="75" t="n">
        <f aca="false">AZ304+AZ324</f>
        <v>38066.8684389554</v>
      </c>
      <c r="BA307" s="75" t="n">
        <f aca="false">BA304+BA324</f>
        <v>38066.8684389554</v>
      </c>
      <c r="BB307" s="75" t="n">
        <f aca="false">BB304+BB324</f>
        <v>38066.8684389554</v>
      </c>
      <c r="BC307" s="75" t="n">
        <f aca="false">BC304+BC324</f>
        <v>38066.8684389554</v>
      </c>
      <c r="BD307" s="75" t="n">
        <f aca="false">BD304+BD324</f>
        <v>51344.3790598425</v>
      </c>
      <c r="BE307" s="75" t="n">
        <f aca="false">BE304+BE324</f>
        <v>51344.3790598425</v>
      </c>
      <c r="BF307" s="75" t="n">
        <f aca="false">BF304+BF324</f>
        <v>51344.3790598425</v>
      </c>
      <c r="BG307" s="75" t="n">
        <f aca="false">BG304+BG324</f>
        <v>38066.8684389554</v>
      </c>
      <c r="BH307" s="75" t="n">
        <f aca="false">BH304+BH324</f>
        <v>38066.8684389554</v>
      </c>
      <c r="BI307" s="75" t="n">
        <f aca="false">BI304+BI324</f>
        <v>38066.8684389554</v>
      </c>
      <c r="BJ307" s="75" t="n">
        <f aca="false">BJ304+BJ324</f>
        <v>51344.3790598425</v>
      </c>
    </row>
    <row r="308" customFormat="false" ht="15" hidden="false" customHeight="false" outlineLevel="0" collapsed="false">
      <c r="A308" s="6" t="s">
        <v>429</v>
      </c>
      <c r="C308" s="69" t="n">
        <f aca="false">-(C329+C330+C332)/2*Inputs!$D$73/12</f>
        <v>-750</v>
      </c>
      <c r="D308" s="69" t="n">
        <f aca="false">-(D329+D330+D332)/2*Inputs!$D$73/12</f>
        <v>-743.75</v>
      </c>
      <c r="E308" s="69" t="n">
        <f aca="false">-(E329+E330+E332)/2*Inputs!$D$73/12</f>
        <v>-731.25</v>
      </c>
      <c r="F308" s="69" t="n">
        <f aca="false">-(F329+F330+F332)/2*Inputs!$D$73/12</f>
        <v>-718.75</v>
      </c>
      <c r="G308" s="69" t="n">
        <f aca="false">-(G329+G330+G332)/2*Inputs!$D$73/12</f>
        <v>-706.25</v>
      </c>
      <c r="H308" s="69" t="n">
        <f aca="false">-(H329+H330+H332)/2*Inputs!$D$73/12</f>
        <v>-693.75</v>
      </c>
      <c r="I308" s="69" t="n">
        <f aca="false">-(I329+I330+I332)/2*Inputs!$D$73/12</f>
        <v>-681.25</v>
      </c>
      <c r="J308" s="69" t="n">
        <f aca="false">-(J329+J330+J332)/2*Inputs!$D$73/12</f>
        <v>-668.75</v>
      </c>
      <c r="K308" s="69" t="n">
        <f aca="false">-(K329+K330+K332)/2*Inputs!$D$73/12</f>
        <v>-656.25</v>
      </c>
      <c r="L308" s="69" t="n">
        <f aca="false">-(L329+L330+L332)/2*Inputs!$D$73/12</f>
        <v>-643.75</v>
      </c>
      <c r="M308" s="69" t="n">
        <f aca="false">-(M329+M330+M332)/2*Inputs!$D$73/12</f>
        <v>-631.25</v>
      </c>
      <c r="N308" s="69" t="n">
        <f aca="false">-(N329+N330+N332)/2*Inputs!$D$73/12</f>
        <v>-618.75</v>
      </c>
      <c r="O308" s="69" t="n">
        <f aca="false">-(O329+O330+O332)/2*Inputs!$D$73/12</f>
        <v>-606.25</v>
      </c>
      <c r="P308" s="69" t="n">
        <f aca="false">-(P329+P330+P332)/2*Inputs!$D$73/12</f>
        <v>-593.749999999999</v>
      </c>
      <c r="Q308" s="69" t="n">
        <f aca="false">-(Q329+Q330+Q332)/2*Inputs!$D$73/12</f>
        <v>-581.25</v>
      </c>
      <c r="R308" s="69" t="n">
        <f aca="false">-(R329+R330+R332)/2*Inputs!$D$73/12</f>
        <v>-568.749999999999</v>
      </c>
      <c r="S308" s="69" t="n">
        <f aca="false">-(S329+S330+S332)/2*Inputs!$D$73/12</f>
        <v>-556.249999999999</v>
      </c>
      <c r="T308" s="69" t="n">
        <f aca="false">-(T329+T330+T332)/2*Inputs!$D$73/12</f>
        <v>-543.749999999999</v>
      </c>
      <c r="U308" s="69" t="n">
        <f aca="false">-(U329+U330+U332)/2*Inputs!$D$73/12</f>
        <v>-531.249999999999</v>
      </c>
      <c r="V308" s="69" t="n">
        <f aca="false">-(V329+V330+V332)/2*Inputs!$D$73/12</f>
        <v>-518.749999999999</v>
      </c>
      <c r="W308" s="69" t="n">
        <f aca="false">-(W329+W330+W332)/2*Inputs!$D$73/12</f>
        <v>-506.249999999999</v>
      </c>
      <c r="X308" s="69" t="n">
        <f aca="false">-(X329+X330+X332)/2*Inputs!$D$73/12</f>
        <v>-493.749999999999</v>
      </c>
      <c r="Y308" s="69" t="n">
        <f aca="false">-(Y329+Y330+Y332)/2*Inputs!$D$73/12</f>
        <v>-481.249999999999</v>
      </c>
      <c r="Z308" s="69" t="n">
        <f aca="false">-(Z329+Z330+Z332)/2*Inputs!$D$73/12</f>
        <v>-468.749999999999</v>
      </c>
      <c r="AA308" s="69" t="n">
        <f aca="false">-(AA329+AA330+AA332)/2*Inputs!$D$73/12</f>
        <v>-456.249999999999</v>
      </c>
      <c r="AB308" s="69" t="n">
        <f aca="false">-(AB329+AB330+AB332)/2*Inputs!$D$73/12</f>
        <v>-443.749999999999</v>
      </c>
      <c r="AC308" s="69" t="n">
        <f aca="false">-(AC329+AC330+AC332)/2*Inputs!$D$73/12</f>
        <v>-431.249999999999</v>
      </c>
      <c r="AD308" s="69" t="n">
        <f aca="false">-(AD329+AD330+AD332)/2*Inputs!$D$73/12</f>
        <v>-418.749999999999</v>
      </c>
      <c r="AE308" s="69" t="n">
        <f aca="false">-(AE329+AE330+AE332)/2*Inputs!$D$73/12</f>
        <v>-406.249999999999</v>
      </c>
      <c r="AF308" s="69" t="n">
        <f aca="false">-(AF329+AF330+AF332)/2*Inputs!$D$73/12</f>
        <v>-393.75</v>
      </c>
      <c r="AG308" s="69" t="n">
        <f aca="false">-(AG329+AG330+AG332)/2*Inputs!$D$73/12</f>
        <v>-381.249999999999</v>
      </c>
      <c r="AH308" s="69" t="n">
        <f aca="false">-(AH329+AH330+AH332)/2*Inputs!$D$73/12</f>
        <v>-368.75</v>
      </c>
      <c r="AI308" s="69" t="n">
        <f aca="false">-(AI329+AI330+AI332)/2*Inputs!$D$73/12</f>
        <v>-356.25</v>
      </c>
      <c r="AJ308" s="69" t="n">
        <f aca="false">-(AJ329+AJ330+AJ332)/2*Inputs!$D$73/12</f>
        <v>-343.75</v>
      </c>
      <c r="AK308" s="69" t="n">
        <f aca="false">-(AK329+AK330+AK332)/2*Inputs!$D$73/12</f>
        <v>-331.25</v>
      </c>
      <c r="AL308" s="69" t="n">
        <f aca="false">-(AL329+AL330+AL332)/2*Inputs!$D$73/12</f>
        <v>-318.75</v>
      </c>
      <c r="AM308" s="69" t="n">
        <f aca="false">-(AM329+AM330+AM332)/2*Inputs!$D$73/12</f>
        <v>-306.25</v>
      </c>
      <c r="AN308" s="69" t="n">
        <f aca="false">-(AN329+AN330+AN332)/2*Inputs!$D$73/12</f>
        <v>-293.75</v>
      </c>
      <c r="AO308" s="69" t="n">
        <f aca="false">-(AO329+AO330+AO332)/2*Inputs!$D$73/12</f>
        <v>-281.25</v>
      </c>
      <c r="AP308" s="69" t="n">
        <f aca="false">-(AP329+AP330+AP332)/2*Inputs!$D$73/12</f>
        <v>-268.75</v>
      </c>
      <c r="AQ308" s="69" t="n">
        <f aca="false">-(AQ329+AQ330+AQ332)/2*Inputs!$D$73/12</f>
        <v>-256.25</v>
      </c>
      <c r="AR308" s="69" t="n">
        <f aca="false">-(AR329+AR330+AR332)/2*Inputs!$D$73/12</f>
        <v>-243.75</v>
      </c>
      <c r="AS308" s="69" t="n">
        <f aca="false">-(AS329+AS330+AS332)/2*Inputs!$D$73/12</f>
        <v>-231.25</v>
      </c>
      <c r="AT308" s="69" t="n">
        <f aca="false">-(AT329+AT330+AT332)/2*Inputs!$D$73/12</f>
        <v>-218.75</v>
      </c>
      <c r="AU308" s="69" t="n">
        <f aca="false">-(AU329+AU330+AU332)/2*Inputs!$D$73/12</f>
        <v>-206.25</v>
      </c>
      <c r="AV308" s="69" t="n">
        <f aca="false">-(AV329+AV330+AV332)/2*Inputs!$D$73/12</f>
        <v>-193.75</v>
      </c>
      <c r="AW308" s="69" t="n">
        <f aca="false">-(AW329+AW330+AW332)/2*Inputs!$D$73/12</f>
        <v>-181.25</v>
      </c>
      <c r="AX308" s="69" t="n">
        <f aca="false">-(AX329+AX330+AX332)/2*Inputs!$D$73/12</f>
        <v>-168.75</v>
      </c>
      <c r="AY308" s="69" t="n">
        <f aca="false">-(AY329+AY330+AY332)/2*Inputs!$D$73/12</f>
        <v>-156.25</v>
      </c>
      <c r="AZ308" s="69" t="n">
        <f aca="false">-(AZ329+AZ330+AZ332)/2*Inputs!$D$73/12</f>
        <v>-143.75</v>
      </c>
      <c r="BA308" s="69" t="n">
        <f aca="false">-(BA329+BA330+BA332)/2*Inputs!$D$73/12</f>
        <v>-131.25</v>
      </c>
      <c r="BB308" s="69" t="n">
        <f aca="false">-(BB329+BB330+BB332)/2*Inputs!$D$73/12</f>
        <v>-118.75</v>
      </c>
      <c r="BC308" s="69" t="n">
        <f aca="false">-(BC329+BC330+BC332)/2*Inputs!$D$73/12</f>
        <v>-106.25</v>
      </c>
      <c r="BD308" s="69" t="n">
        <f aca="false">-(BD329+BD330+BD332)/2*Inputs!$D$73/12</f>
        <v>-93.7499999999996</v>
      </c>
      <c r="BE308" s="69" t="n">
        <f aca="false">-(BE329+BE330+BE332)/2*Inputs!$D$73/12</f>
        <v>-81.2499999999996</v>
      </c>
      <c r="BF308" s="69" t="n">
        <f aca="false">-(BF329+BF330+BF332)/2*Inputs!$D$73/12</f>
        <v>-68.7499999999996</v>
      </c>
      <c r="BG308" s="69" t="n">
        <f aca="false">-(BG329+BG330+BG332)/2*Inputs!$D$73/12</f>
        <v>-56.2499999999996</v>
      </c>
      <c r="BH308" s="69" t="n">
        <f aca="false">-(BH329+BH330+BH332)/2*Inputs!$D$73/12</f>
        <v>-43.7499999999996</v>
      </c>
      <c r="BI308" s="69" t="n">
        <f aca="false">-(BI329+BI330+BI332)/2*Inputs!$D$73/12</f>
        <v>-31.2499999999996</v>
      </c>
      <c r="BJ308" s="69" t="n">
        <f aca="false">-(BJ329+BJ330+BJ332)/2*Inputs!$D$73/12</f>
        <v>-18.7499999999996</v>
      </c>
    </row>
    <row r="309" customFormat="false" ht="15" hidden="false" customHeight="false" outlineLevel="0" collapsed="false">
      <c r="A309" s="115" t="s">
        <v>81</v>
      </c>
      <c r="C309" s="70" t="n">
        <f aca="false">C307+C308</f>
        <v>-13082.7457333333</v>
      </c>
      <c r="D309" s="70" t="n">
        <f aca="false">D307+D308</f>
        <v>-9550.64103333333</v>
      </c>
      <c r="E309" s="70" t="n">
        <f aca="false">E307+E308</f>
        <v>-6012.28633333333</v>
      </c>
      <c r="F309" s="70" t="n">
        <f aca="false">F307+F308</f>
        <v>-2473.93163333334</v>
      </c>
      <c r="G309" s="70" t="n">
        <f aca="false">G307+G308</f>
        <v>1064.42306666666</v>
      </c>
      <c r="H309" s="70" t="n">
        <f aca="false">H307+H308</f>
        <v>15170.4751666667</v>
      </c>
      <c r="I309" s="70" t="n">
        <f aca="false">I307+I308</f>
        <v>19521.7296666667</v>
      </c>
      <c r="J309" s="70" t="n">
        <f aca="false">J307+J308</f>
        <v>23872.9841666667</v>
      </c>
      <c r="K309" s="70" t="n">
        <f aca="false">K307+K308</f>
        <v>15217.8418666667</v>
      </c>
      <c r="L309" s="70" t="n">
        <f aca="false">L307+L308</f>
        <v>15230.3418666667</v>
      </c>
      <c r="M309" s="70" t="n">
        <f aca="false">M307+M308</f>
        <v>15242.8418666667</v>
      </c>
      <c r="N309" s="70" t="n">
        <f aca="false">N307+N308</f>
        <v>28261.7386666667</v>
      </c>
      <c r="O309" s="70" t="n">
        <f aca="false">O307+O308</f>
        <v>20038.8783048</v>
      </c>
      <c r="P309" s="70" t="n">
        <f aca="false">P307+P308</f>
        <v>20051.3783048</v>
      </c>
      <c r="Q309" s="70" t="n">
        <f aca="false">Q307+Q308</f>
        <v>20063.8783048</v>
      </c>
      <c r="R309" s="70" t="n">
        <f aca="false">R307+R308</f>
        <v>20076.3783048</v>
      </c>
      <c r="S309" s="70" t="n">
        <f aca="false">S307+S308</f>
        <v>20088.8783048</v>
      </c>
      <c r="T309" s="70" t="n">
        <f aca="false">T307+T308</f>
        <v>34325.6941504</v>
      </c>
      <c r="U309" s="70" t="n">
        <f aca="false">U307+U308</f>
        <v>34338.1941504</v>
      </c>
      <c r="V309" s="70" t="n">
        <f aca="false">V307+V308</f>
        <v>34350.6941504</v>
      </c>
      <c r="W309" s="70" t="n">
        <f aca="false">W307+W308</f>
        <v>20138.8783048</v>
      </c>
      <c r="X309" s="70" t="n">
        <f aca="false">X307+X308</f>
        <v>20151.3783048</v>
      </c>
      <c r="Y309" s="70" t="n">
        <f aca="false">Y307+Y308</f>
        <v>20163.8783048</v>
      </c>
      <c r="Z309" s="70" t="n">
        <f aca="false">Z307+Z308</f>
        <v>34400.6941504</v>
      </c>
      <c r="AA309" s="70" t="n">
        <f aca="false">AA307+AA308</f>
        <v>25439.7683055333</v>
      </c>
      <c r="AB309" s="70" t="n">
        <f aca="false">AB307+AB308</f>
        <v>25452.2683055333</v>
      </c>
      <c r="AC309" s="70" t="n">
        <f aca="false">AC307+AC308</f>
        <v>25464.7683055333</v>
      </c>
      <c r="AD309" s="70" t="n">
        <f aca="false">AD307+AD308</f>
        <v>25477.2683055333</v>
      </c>
      <c r="AE309" s="70" t="n">
        <f aca="false">AE307+AE308</f>
        <v>25489.7683055333</v>
      </c>
      <c r="AF309" s="70" t="n">
        <f aca="false">AF307+AF308</f>
        <v>41058.1782026035</v>
      </c>
      <c r="AG309" s="70" t="n">
        <f aca="false">AG307+AG308</f>
        <v>41070.6782026035</v>
      </c>
      <c r="AH309" s="70" t="n">
        <f aca="false">AH307+AH308</f>
        <v>41083.1782026035</v>
      </c>
      <c r="AI309" s="70" t="n">
        <f aca="false">AI307+AI308</f>
        <v>25539.7683055333</v>
      </c>
      <c r="AJ309" s="70" t="n">
        <f aca="false">AJ307+AJ308</f>
        <v>25552.2683055333</v>
      </c>
      <c r="AK309" s="70" t="n">
        <f aca="false">AK307+AK308</f>
        <v>25564.7683055333</v>
      </c>
      <c r="AL309" s="70" t="n">
        <f aca="false">AL307+AL308</f>
        <v>41133.1782026035</v>
      </c>
      <c r="AM309" s="70" t="n">
        <f aca="false">AM307+AM308</f>
        <v>31376.6665342408</v>
      </c>
      <c r="AN309" s="70" t="n">
        <f aca="false">AN307+AN308</f>
        <v>31389.1665342408</v>
      </c>
      <c r="AO309" s="70" t="n">
        <f aca="false">AO307+AO308</f>
        <v>31401.6665342408</v>
      </c>
      <c r="AP309" s="70" t="n">
        <f aca="false">AP307+AP308</f>
        <v>31414.1665342408</v>
      </c>
      <c r="AQ309" s="70" t="n">
        <f aca="false">AQ307+AQ308</f>
        <v>31426.6665342408</v>
      </c>
      <c r="AR309" s="70" t="n">
        <f aca="false">AR307+AR308</f>
        <v>46172.4604448995</v>
      </c>
      <c r="AS309" s="70" t="n">
        <f aca="false">AS307+AS308</f>
        <v>46184.9604448995</v>
      </c>
      <c r="AT309" s="70" t="n">
        <f aca="false">AT307+AT308</f>
        <v>46197.4604448995</v>
      </c>
      <c r="AU309" s="70" t="n">
        <f aca="false">AU307+AU308</f>
        <v>31476.6665342408</v>
      </c>
      <c r="AV309" s="70" t="n">
        <f aca="false">AV307+AV308</f>
        <v>31489.1665342408</v>
      </c>
      <c r="AW309" s="70" t="n">
        <f aca="false">AW307+AW308</f>
        <v>31501.6665342408</v>
      </c>
      <c r="AX309" s="70" t="n">
        <f aca="false">AX307+AX308</f>
        <v>46247.4604448995</v>
      </c>
      <c r="AY309" s="70" t="n">
        <f aca="false">AY307+AY308</f>
        <v>37910.6184389554</v>
      </c>
      <c r="AZ309" s="70" t="n">
        <f aca="false">AZ307+AZ308</f>
        <v>37923.1184389554</v>
      </c>
      <c r="BA309" s="70" t="n">
        <f aca="false">BA307+BA308</f>
        <v>37935.6184389554</v>
      </c>
      <c r="BB309" s="70" t="n">
        <f aca="false">BB307+BB308</f>
        <v>37948.1184389554</v>
      </c>
      <c r="BC309" s="70" t="n">
        <f aca="false">BC307+BC308</f>
        <v>37960.6184389554</v>
      </c>
      <c r="BD309" s="70" t="n">
        <f aca="false">BD307+BD308</f>
        <v>51250.6290598425</v>
      </c>
      <c r="BE309" s="70" t="n">
        <f aca="false">BE307+BE308</f>
        <v>51263.1290598425</v>
      </c>
      <c r="BF309" s="70" t="n">
        <f aca="false">BF307+BF308</f>
        <v>51275.6290598425</v>
      </c>
      <c r="BG309" s="70" t="n">
        <f aca="false">BG307+BG308</f>
        <v>38010.6184389554</v>
      </c>
      <c r="BH309" s="70" t="n">
        <f aca="false">BH307+BH308</f>
        <v>38023.1184389554</v>
      </c>
      <c r="BI309" s="70" t="n">
        <f aca="false">BI307+BI308</f>
        <v>38035.6184389554</v>
      </c>
      <c r="BJ309" s="70" t="n">
        <f aca="false">BJ307+BJ308</f>
        <v>51325.6290598425</v>
      </c>
    </row>
    <row r="310" customFormat="false" ht="15" hidden="false" customHeight="false" outlineLevel="0" collapsed="false">
      <c r="A310" s="118" t="s">
        <v>430</v>
      </c>
      <c r="C310" s="69" t="n">
        <f aca="false">C309</f>
        <v>-13082.7457333333</v>
      </c>
      <c r="D310" s="69" t="n">
        <f aca="false">C310+D309</f>
        <v>-22633.3867666667</v>
      </c>
      <c r="E310" s="69" t="n">
        <f aca="false">D310+E309</f>
        <v>-28645.6731</v>
      </c>
      <c r="F310" s="69" t="n">
        <f aca="false">E310+F309</f>
        <v>-31119.6047333333</v>
      </c>
      <c r="G310" s="69" t="n">
        <f aca="false">F310+G309</f>
        <v>-30055.1816666667</v>
      </c>
      <c r="H310" s="69" t="n">
        <f aca="false">G310+H309</f>
        <v>-14884.7065</v>
      </c>
      <c r="I310" s="69" t="n">
        <f aca="false">H310+I309</f>
        <v>4637.02316666666</v>
      </c>
      <c r="J310" s="69" t="n">
        <f aca="false">I310+J309</f>
        <v>28510.0073333333</v>
      </c>
      <c r="K310" s="69" t="n">
        <f aca="false">J310+K309</f>
        <v>43727.8492</v>
      </c>
      <c r="L310" s="69" t="n">
        <f aca="false">K310+L309</f>
        <v>58958.1910666667</v>
      </c>
      <c r="M310" s="69" t="n">
        <f aca="false">L310+M309</f>
        <v>74201.0329333333</v>
      </c>
      <c r="N310" s="69" t="n">
        <f aca="false">M310+N309</f>
        <v>102462.7716</v>
      </c>
      <c r="O310" s="69" t="n">
        <f aca="false">N310+O309</f>
        <v>122501.6499048</v>
      </c>
      <c r="P310" s="69" t="n">
        <f aca="false">O310+P309</f>
        <v>142553.0282096</v>
      </c>
      <c r="Q310" s="69" t="n">
        <f aca="false">P310+Q309</f>
        <v>162616.9065144</v>
      </c>
      <c r="R310" s="69" t="n">
        <f aca="false">Q310+R309</f>
        <v>182693.2848192</v>
      </c>
      <c r="S310" s="69" t="n">
        <f aca="false">R310+S309</f>
        <v>202782.163124</v>
      </c>
      <c r="T310" s="69" t="n">
        <f aca="false">S310+T309</f>
        <v>237107.8572744</v>
      </c>
      <c r="U310" s="69" t="n">
        <f aca="false">T310+U309</f>
        <v>271446.0514248</v>
      </c>
      <c r="V310" s="69" t="n">
        <f aca="false">U310+V309</f>
        <v>305796.7455752</v>
      </c>
      <c r="W310" s="69" t="n">
        <f aca="false">V310+W309</f>
        <v>325935.62388</v>
      </c>
      <c r="X310" s="69" t="n">
        <f aca="false">W310+X309</f>
        <v>346087.0021848</v>
      </c>
      <c r="Y310" s="69" t="n">
        <f aca="false">X310+Y309</f>
        <v>366250.8804896</v>
      </c>
      <c r="Z310" s="69" t="n">
        <f aca="false">Y310+Z309</f>
        <v>400651.57464</v>
      </c>
      <c r="AA310" s="69" t="n">
        <f aca="false">Z310+AA309</f>
        <v>426091.342945533</v>
      </c>
      <c r="AB310" s="69" t="n">
        <f aca="false">AA310+AB309</f>
        <v>451543.611251066</v>
      </c>
      <c r="AC310" s="69" t="n">
        <f aca="false">AB310+AC309</f>
        <v>477008.3795566</v>
      </c>
      <c r="AD310" s="69" t="n">
        <f aca="false">AC310+AD309</f>
        <v>502485.647862133</v>
      </c>
      <c r="AE310" s="69" t="n">
        <f aca="false">AD310+AE309</f>
        <v>527975.416167666</v>
      </c>
      <c r="AF310" s="69" t="n">
        <f aca="false">AE310+AF309</f>
        <v>569033.59437027</v>
      </c>
      <c r="AG310" s="69" t="n">
        <f aca="false">AF310+AG309</f>
        <v>610104.272572873</v>
      </c>
      <c r="AH310" s="69" t="n">
        <f aca="false">AG310+AH309</f>
        <v>651187.450775477</v>
      </c>
      <c r="AI310" s="69" t="n">
        <f aca="false">AH310+AI309</f>
        <v>676727.21908101</v>
      </c>
      <c r="AJ310" s="69" t="n">
        <f aca="false">AI310+AJ309</f>
        <v>702279.487386543</v>
      </c>
      <c r="AK310" s="69" t="n">
        <f aca="false">AJ310+AK309</f>
        <v>727844.255692077</v>
      </c>
      <c r="AL310" s="69" t="n">
        <f aca="false">AK310+AL309</f>
        <v>768977.43389468</v>
      </c>
      <c r="AM310" s="69" t="n">
        <f aca="false">AL310+AM309</f>
        <v>800354.100428921</v>
      </c>
      <c r="AN310" s="69" t="n">
        <f aca="false">AM310+AN309</f>
        <v>831743.266963162</v>
      </c>
      <c r="AO310" s="69" t="n">
        <f aca="false">AN310+AO309</f>
        <v>863144.933497403</v>
      </c>
      <c r="AP310" s="69" t="n">
        <f aca="false">AO310+AP309</f>
        <v>894559.100031643</v>
      </c>
      <c r="AQ310" s="69" t="n">
        <f aca="false">AP310+AQ309</f>
        <v>925985.766565884</v>
      </c>
      <c r="AR310" s="69" t="n">
        <f aca="false">AQ310+AR309</f>
        <v>972158.227010784</v>
      </c>
      <c r="AS310" s="69" t="n">
        <f aca="false">AR310+AS309</f>
        <v>1018343.18745568</v>
      </c>
      <c r="AT310" s="69" t="n">
        <f aca="false">AS310+AT309</f>
        <v>1064540.64790058</v>
      </c>
      <c r="AU310" s="69" t="n">
        <f aca="false">AT310+AU309</f>
        <v>1096017.31443482</v>
      </c>
      <c r="AV310" s="69" t="n">
        <f aca="false">AU310+AV309</f>
        <v>1127506.48096906</v>
      </c>
      <c r="AW310" s="69" t="n">
        <f aca="false">AV310+AW309</f>
        <v>1159008.14750331</v>
      </c>
      <c r="AX310" s="69" t="n">
        <f aca="false">AW310+AX309</f>
        <v>1205255.6079482</v>
      </c>
      <c r="AY310" s="69" t="n">
        <f aca="false">AX310+AY309</f>
        <v>1243166.22638716</v>
      </c>
      <c r="AZ310" s="69" t="n">
        <f aca="false">AY310+AZ309</f>
        <v>1281089.34482612</v>
      </c>
      <c r="BA310" s="69" t="n">
        <f aca="false">AZ310+BA309</f>
        <v>1319024.96326507</v>
      </c>
      <c r="BB310" s="69" t="n">
        <f aca="false">BA310+BB309</f>
        <v>1356973.08170403</v>
      </c>
      <c r="BC310" s="69" t="n">
        <f aca="false">BB310+BC309</f>
        <v>1394933.70014298</v>
      </c>
      <c r="BD310" s="69" t="n">
        <f aca="false">BC310+BD309</f>
        <v>1446184.32920282</v>
      </c>
      <c r="BE310" s="69" t="n">
        <f aca="false">BD310+BE309</f>
        <v>1497447.45826267</v>
      </c>
      <c r="BF310" s="69" t="n">
        <f aca="false">BE310+BF309</f>
        <v>1548723.08732251</v>
      </c>
      <c r="BG310" s="69" t="n">
        <f aca="false">BF310+BG309</f>
        <v>1586733.70576146</v>
      </c>
      <c r="BH310" s="69" t="n">
        <f aca="false">BG310+BH309</f>
        <v>1624756.82420042</v>
      </c>
      <c r="BI310" s="69" t="n">
        <f aca="false">BH310+BI309</f>
        <v>1662792.44263938</v>
      </c>
      <c r="BJ310" s="69" t="n">
        <f aca="false">BI310+BJ309</f>
        <v>1714118.07169922</v>
      </c>
    </row>
    <row r="311" customFormat="false" ht="15" hidden="false" customHeight="false" outlineLevel="0" collapsed="false">
      <c r="A311" s="118" t="s">
        <v>431</v>
      </c>
      <c r="C311" s="69" t="n">
        <f aca="false">MAX(0,C310)</f>
        <v>0</v>
      </c>
      <c r="D311" s="69" t="n">
        <f aca="false">MAX(C311,D310)</f>
        <v>0</v>
      </c>
      <c r="E311" s="69" t="n">
        <f aca="false">MAX(D311,E310)</f>
        <v>0</v>
      </c>
      <c r="F311" s="69" t="n">
        <f aca="false">MAX(E311,F310)</f>
        <v>0</v>
      </c>
      <c r="G311" s="69" t="n">
        <f aca="false">MAX(F311,G310)</f>
        <v>0</v>
      </c>
      <c r="H311" s="69" t="n">
        <f aca="false">MAX(G311,H310)</f>
        <v>0</v>
      </c>
      <c r="I311" s="69" t="n">
        <f aca="false">MAX(H311,I310)</f>
        <v>4637.02316666666</v>
      </c>
      <c r="J311" s="69" t="n">
        <f aca="false">MAX(I311,J310)</f>
        <v>28510.0073333333</v>
      </c>
      <c r="K311" s="69" t="n">
        <f aca="false">MAX(J311,K310)</f>
        <v>43727.8492</v>
      </c>
      <c r="L311" s="69" t="n">
        <f aca="false">MAX(K311,L310)</f>
        <v>58958.1910666667</v>
      </c>
      <c r="M311" s="69" t="n">
        <f aca="false">MAX(L311,M310)</f>
        <v>74201.0329333333</v>
      </c>
      <c r="N311" s="69" t="n">
        <f aca="false">MAX(M311,N310)</f>
        <v>102462.7716</v>
      </c>
      <c r="O311" s="69" t="n">
        <f aca="false">MAX(N311,O310)</f>
        <v>122501.6499048</v>
      </c>
      <c r="P311" s="69" t="n">
        <f aca="false">MAX(O311,P310)</f>
        <v>142553.0282096</v>
      </c>
      <c r="Q311" s="69" t="n">
        <f aca="false">MAX(P311,Q310)</f>
        <v>162616.9065144</v>
      </c>
      <c r="R311" s="69" t="n">
        <f aca="false">MAX(Q311,R310)</f>
        <v>182693.2848192</v>
      </c>
      <c r="S311" s="69" t="n">
        <f aca="false">MAX(R311,S310)</f>
        <v>202782.163124</v>
      </c>
      <c r="T311" s="69" t="n">
        <f aca="false">MAX(S311,T310)</f>
        <v>237107.8572744</v>
      </c>
      <c r="U311" s="69" t="n">
        <f aca="false">MAX(T311,U310)</f>
        <v>271446.0514248</v>
      </c>
      <c r="V311" s="69" t="n">
        <f aca="false">MAX(U311,V310)</f>
        <v>305796.7455752</v>
      </c>
      <c r="W311" s="69" t="n">
        <f aca="false">MAX(V311,W310)</f>
        <v>325935.62388</v>
      </c>
      <c r="X311" s="69" t="n">
        <f aca="false">MAX(W311,X310)</f>
        <v>346087.0021848</v>
      </c>
      <c r="Y311" s="69" t="n">
        <f aca="false">MAX(X311,Y310)</f>
        <v>366250.8804896</v>
      </c>
      <c r="Z311" s="69" t="n">
        <f aca="false">MAX(Y311,Z310)</f>
        <v>400651.57464</v>
      </c>
      <c r="AA311" s="69" t="n">
        <f aca="false">MAX(Z311,AA310)</f>
        <v>426091.342945533</v>
      </c>
      <c r="AB311" s="69" t="n">
        <f aca="false">MAX(AA311,AB310)</f>
        <v>451543.611251066</v>
      </c>
      <c r="AC311" s="69" t="n">
        <f aca="false">MAX(AB311,AC310)</f>
        <v>477008.3795566</v>
      </c>
      <c r="AD311" s="69" t="n">
        <f aca="false">MAX(AC311,AD310)</f>
        <v>502485.647862133</v>
      </c>
      <c r="AE311" s="69" t="n">
        <f aca="false">MAX(AD311,AE310)</f>
        <v>527975.416167666</v>
      </c>
      <c r="AF311" s="69" t="n">
        <f aca="false">MAX(AE311,AF310)</f>
        <v>569033.59437027</v>
      </c>
      <c r="AG311" s="69" t="n">
        <f aca="false">MAX(AF311,AG310)</f>
        <v>610104.272572873</v>
      </c>
      <c r="AH311" s="69" t="n">
        <f aca="false">MAX(AG311,AH310)</f>
        <v>651187.450775477</v>
      </c>
      <c r="AI311" s="69" t="n">
        <f aca="false">MAX(AH311,AI310)</f>
        <v>676727.21908101</v>
      </c>
      <c r="AJ311" s="69" t="n">
        <f aca="false">MAX(AI311,AJ310)</f>
        <v>702279.487386543</v>
      </c>
      <c r="AK311" s="69" t="n">
        <f aca="false">MAX(AJ311,AK310)</f>
        <v>727844.255692077</v>
      </c>
      <c r="AL311" s="69" t="n">
        <f aca="false">MAX(AK311,AL310)</f>
        <v>768977.43389468</v>
      </c>
      <c r="AM311" s="69" t="n">
        <f aca="false">MAX(AL311,AM310)</f>
        <v>800354.100428921</v>
      </c>
      <c r="AN311" s="69" t="n">
        <f aca="false">MAX(AM311,AN310)</f>
        <v>831743.266963162</v>
      </c>
      <c r="AO311" s="69" t="n">
        <f aca="false">MAX(AN311,AO310)</f>
        <v>863144.933497403</v>
      </c>
      <c r="AP311" s="69" t="n">
        <f aca="false">MAX(AO311,AP310)</f>
        <v>894559.100031643</v>
      </c>
      <c r="AQ311" s="69" t="n">
        <f aca="false">MAX(AP311,AQ310)</f>
        <v>925985.766565884</v>
      </c>
      <c r="AR311" s="69" t="n">
        <f aca="false">MAX(AQ311,AR310)</f>
        <v>972158.227010784</v>
      </c>
      <c r="AS311" s="69" t="n">
        <f aca="false">MAX(AR311,AS310)</f>
        <v>1018343.18745568</v>
      </c>
      <c r="AT311" s="69" t="n">
        <f aca="false">MAX(AS311,AT310)</f>
        <v>1064540.64790058</v>
      </c>
      <c r="AU311" s="69" t="n">
        <f aca="false">MAX(AT311,AU310)</f>
        <v>1096017.31443482</v>
      </c>
      <c r="AV311" s="69" t="n">
        <f aca="false">MAX(AU311,AV310)</f>
        <v>1127506.48096906</v>
      </c>
      <c r="AW311" s="69" t="n">
        <f aca="false">MAX(AV311,AW310)</f>
        <v>1159008.14750331</v>
      </c>
      <c r="AX311" s="69" t="n">
        <f aca="false">MAX(AW311,AX310)</f>
        <v>1205255.6079482</v>
      </c>
      <c r="AY311" s="69" t="n">
        <f aca="false">MAX(AX311,AY310)</f>
        <v>1243166.22638716</v>
      </c>
      <c r="AZ311" s="69" t="n">
        <f aca="false">MAX(AY311,AZ310)</f>
        <v>1281089.34482612</v>
      </c>
      <c r="BA311" s="69" t="n">
        <f aca="false">MAX(AZ311,BA310)</f>
        <v>1319024.96326507</v>
      </c>
      <c r="BB311" s="69" t="n">
        <f aca="false">MAX(BA311,BB310)</f>
        <v>1356973.08170403</v>
      </c>
      <c r="BC311" s="69" t="n">
        <f aca="false">MAX(BB311,BC310)</f>
        <v>1394933.70014298</v>
      </c>
      <c r="BD311" s="69" t="n">
        <f aca="false">MAX(BC311,BD310)</f>
        <v>1446184.32920282</v>
      </c>
      <c r="BE311" s="69" t="n">
        <f aca="false">MAX(BD311,BE310)</f>
        <v>1497447.45826267</v>
      </c>
      <c r="BF311" s="69" t="n">
        <f aca="false">MAX(BE311,BF310)</f>
        <v>1548723.08732251</v>
      </c>
      <c r="BG311" s="69" t="n">
        <f aca="false">MAX(BF311,BG310)</f>
        <v>1586733.70576146</v>
      </c>
      <c r="BH311" s="69" t="n">
        <f aca="false">MAX(BG311,BH310)</f>
        <v>1624756.82420042</v>
      </c>
      <c r="BI311" s="69" t="n">
        <f aca="false">MAX(BH311,BI310)</f>
        <v>1662792.44263938</v>
      </c>
      <c r="BJ311" s="69" t="n">
        <f aca="false">MAX(BI311,BJ310)</f>
        <v>1714118.07169922</v>
      </c>
    </row>
    <row r="312" customFormat="false" ht="15" hidden="false" customHeight="false" outlineLevel="0" collapsed="false">
      <c r="A312" s="6" t="s">
        <v>82</v>
      </c>
      <c r="C312" s="69" t="n">
        <f aca="false">-C311*Inputs!$D$83</f>
        <v>-0</v>
      </c>
      <c r="D312" s="69" t="n">
        <f aca="false">-(D311-C311)*Inputs!$D$83</f>
        <v>-0</v>
      </c>
      <c r="E312" s="69" t="n">
        <f aca="false">-(E311-D311)*Inputs!$D$83</f>
        <v>-0</v>
      </c>
      <c r="F312" s="69" t="n">
        <f aca="false">-(F311-E311)*Inputs!$D$83</f>
        <v>-0</v>
      </c>
      <c r="G312" s="69" t="n">
        <f aca="false">-(G311-F311)*Inputs!$D$83</f>
        <v>-0</v>
      </c>
      <c r="H312" s="69" t="n">
        <f aca="false">-(H311-G311)*Inputs!$D$83</f>
        <v>-0</v>
      </c>
      <c r="I312" s="69" t="n">
        <f aca="false">-(I311-H311)*Inputs!$D$83</f>
        <v>-973.774864999998</v>
      </c>
      <c r="J312" s="69" t="n">
        <f aca="false">-(J311-I311)*Inputs!$D$83</f>
        <v>-5013.326675</v>
      </c>
      <c r="K312" s="69" t="n">
        <f aca="false">-(K311-J311)*Inputs!$D$83</f>
        <v>-3195.746792</v>
      </c>
      <c r="L312" s="69" t="n">
        <f aca="false">-(L311-K311)*Inputs!$D$83</f>
        <v>-3198.371792</v>
      </c>
      <c r="M312" s="69" t="n">
        <f aca="false">-(M311-L311)*Inputs!$D$83</f>
        <v>-3200.996792</v>
      </c>
      <c r="N312" s="69" t="n">
        <f aca="false">-(N311-M311)*Inputs!$D$83</f>
        <v>-5934.96512</v>
      </c>
      <c r="O312" s="69" t="n">
        <f aca="false">-(O311-N311)*Inputs!$D$83</f>
        <v>-4208.164444008</v>
      </c>
      <c r="P312" s="69" t="n">
        <f aca="false">-(P311-O311)*Inputs!$D$83</f>
        <v>-4210.78944400799</v>
      </c>
      <c r="Q312" s="69" t="n">
        <f aca="false">-(Q311-P311)*Inputs!$D$83</f>
        <v>-4213.414444008</v>
      </c>
      <c r="R312" s="69" t="n">
        <f aca="false">-(R311-Q311)*Inputs!$D$83</f>
        <v>-4216.039444008</v>
      </c>
      <c r="S312" s="69" t="n">
        <f aca="false">-(S311-R311)*Inputs!$D$83</f>
        <v>-4218.664444008</v>
      </c>
      <c r="T312" s="69" t="n">
        <f aca="false">-(T311-S311)*Inputs!$D$83</f>
        <v>-7208.395771584</v>
      </c>
      <c r="U312" s="69" t="n">
        <f aca="false">-(U311-T311)*Inputs!$D$83</f>
        <v>-7211.02077158401</v>
      </c>
      <c r="V312" s="69" t="n">
        <f aca="false">-(V311-U311)*Inputs!$D$83</f>
        <v>-7213.645771584</v>
      </c>
      <c r="W312" s="69" t="n">
        <f aca="false">-(W311-V311)*Inputs!$D$83</f>
        <v>-4229.16444400799</v>
      </c>
      <c r="X312" s="69" t="n">
        <f aca="false">-(X311-W311)*Inputs!$D$83</f>
        <v>-4231.78944400799</v>
      </c>
      <c r="Y312" s="69" t="n">
        <f aca="false">-(Y311-X311)*Inputs!$D$83</f>
        <v>-4234.41444400799</v>
      </c>
      <c r="Z312" s="69" t="n">
        <f aca="false">-(Z311-Y311)*Inputs!$D$83</f>
        <v>-7224.145771584</v>
      </c>
      <c r="AA312" s="69" t="n">
        <f aca="false">-(AA311-Z311)*Inputs!$D$83</f>
        <v>-5342.35134416199</v>
      </c>
      <c r="AB312" s="69" t="n">
        <f aca="false">-(AB311-AA311)*Inputs!$D$83</f>
        <v>-5344.97634416199</v>
      </c>
      <c r="AC312" s="69" t="n">
        <f aca="false">-(AC311-AB311)*Inputs!$D$83</f>
        <v>-5347.60134416199</v>
      </c>
      <c r="AD312" s="69" t="n">
        <f aca="false">-(AD311-AC311)*Inputs!$D$83</f>
        <v>-5350.22634416199</v>
      </c>
      <c r="AE312" s="69" t="n">
        <f aca="false">-(AE311-AD311)*Inputs!$D$83</f>
        <v>-5352.85134416199</v>
      </c>
      <c r="AF312" s="69" t="n">
        <f aca="false">-(AF311-AE311)*Inputs!$D$83</f>
        <v>-8622.21742254673</v>
      </c>
      <c r="AG312" s="69" t="n">
        <f aca="false">-(AG311-AF311)*Inputs!$D$83</f>
        <v>-8624.84242254673</v>
      </c>
      <c r="AH312" s="69" t="n">
        <f aca="false">-(AH311-AG311)*Inputs!$D$83</f>
        <v>-8627.46742254673</v>
      </c>
      <c r="AI312" s="69" t="n">
        <f aca="false">-(AI311-AH311)*Inputs!$D$83</f>
        <v>-5363.351344162</v>
      </c>
      <c r="AJ312" s="69" t="n">
        <f aca="false">-(AJ311-AI311)*Inputs!$D$83</f>
        <v>-5365.976344162</v>
      </c>
      <c r="AK312" s="69" t="n">
        <f aca="false">-(AK311-AJ311)*Inputs!$D$83</f>
        <v>-5368.601344162</v>
      </c>
      <c r="AL312" s="69" t="n">
        <f aca="false">-(AL311-AK311)*Inputs!$D$83</f>
        <v>-8637.96742254673</v>
      </c>
      <c r="AM312" s="69" t="n">
        <f aca="false">-(AM311-AL311)*Inputs!$D$83</f>
        <v>-6589.09997219057</v>
      </c>
      <c r="AN312" s="69" t="n">
        <f aca="false">-(AN311-AM311)*Inputs!$D$83</f>
        <v>-6591.72497219057</v>
      </c>
      <c r="AO312" s="69" t="n">
        <f aca="false">-(AO311-AN311)*Inputs!$D$83</f>
        <v>-6594.34997219057</v>
      </c>
      <c r="AP312" s="69" t="n">
        <f aca="false">-(AP311-AO311)*Inputs!$D$83</f>
        <v>-6596.97497219057</v>
      </c>
      <c r="AQ312" s="69" t="n">
        <f aca="false">-(AQ311-AP311)*Inputs!$D$83</f>
        <v>-6599.59997219057</v>
      </c>
      <c r="AR312" s="69" t="n">
        <f aca="false">-(AR311-AQ311)*Inputs!$D$83</f>
        <v>-9696.2166934289</v>
      </c>
      <c r="AS312" s="69" t="n">
        <f aca="false">-(AS311-AR311)*Inputs!$D$83</f>
        <v>-9698.8416934289</v>
      </c>
      <c r="AT312" s="69" t="n">
        <f aca="false">-(AT311-AS311)*Inputs!$D$83</f>
        <v>-9701.4666934289</v>
      </c>
      <c r="AU312" s="69" t="n">
        <f aca="false">-(AU311-AT311)*Inputs!$D$83</f>
        <v>-6610.09997219057</v>
      </c>
      <c r="AV312" s="69" t="n">
        <f aca="false">-(AV311-AU311)*Inputs!$D$83</f>
        <v>-6612.72497219057</v>
      </c>
      <c r="AW312" s="69" t="n">
        <f aca="false">-(AW311-AV311)*Inputs!$D$83</f>
        <v>-6615.34997219057</v>
      </c>
      <c r="AX312" s="69" t="n">
        <f aca="false">-(AX311-AW311)*Inputs!$D$83</f>
        <v>-9711.9666934289</v>
      </c>
      <c r="AY312" s="69" t="n">
        <f aca="false">-(AY311-AX311)*Inputs!$D$83</f>
        <v>-7961.22987218063</v>
      </c>
      <c r="AZ312" s="69" t="n">
        <f aca="false">-(AZ311-AY311)*Inputs!$D$83</f>
        <v>-7963.85487218063</v>
      </c>
      <c r="BA312" s="69" t="n">
        <f aca="false">-(BA311-AZ311)*Inputs!$D$83</f>
        <v>-7966.47987218063</v>
      </c>
      <c r="BB312" s="69" t="n">
        <f aca="false">-(BB311-BA311)*Inputs!$D$83</f>
        <v>-7969.10487218063</v>
      </c>
      <c r="BC312" s="69" t="n">
        <f aca="false">-(BC311-BB311)*Inputs!$D$83</f>
        <v>-7971.72987218063</v>
      </c>
      <c r="BD312" s="69" t="n">
        <f aca="false">-(BD311-BC311)*Inputs!$D$83</f>
        <v>-10762.6321025669</v>
      </c>
      <c r="BE312" s="69" t="n">
        <f aca="false">-(BE311-BD311)*Inputs!$D$83</f>
        <v>-10765.2571025669</v>
      </c>
      <c r="BF312" s="69" t="n">
        <f aca="false">-(BF311-BE311)*Inputs!$D$83</f>
        <v>-10767.8821025669</v>
      </c>
      <c r="BG312" s="69" t="n">
        <f aca="false">-(BG311-BF311)*Inputs!$D$83</f>
        <v>-7982.22987218063</v>
      </c>
      <c r="BH312" s="69" t="n">
        <f aca="false">-(BH311-BG311)*Inputs!$D$83</f>
        <v>-7984.85487218063</v>
      </c>
      <c r="BI312" s="69" t="n">
        <f aca="false">-(BI311-BH311)*Inputs!$D$83</f>
        <v>-7987.47987218063</v>
      </c>
      <c r="BJ312" s="69" t="n">
        <f aca="false">-(BJ311-BI311)*Inputs!$D$83</f>
        <v>-10778.3821025669</v>
      </c>
    </row>
    <row r="313" customFormat="false" ht="15" hidden="false" customHeight="false" outlineLevel="0" collapsed="false">
      <c r="A313" s="115" t="s">
        <v>50</v>
      </c>
      <c r="C313" s="70" t="n">
        <f aca="false">C309+C312</f>
        <v>-13082.7457333333</v>
      </c>
      <c r="D313" s="70" t="n">
        <f aca="false">D309+D312</f>
        <v>-9550.64103333333</v>
      </c>
      <c r="E313" s="70" t="n">
        <f aca="false">E309+E312</f>
        <v>-6012.28633333333</v>
      </c>
      <c r="F313" s="70" t="n">
        <f aca="false">F309+F312</f>
        <v>-2473.93163333334</v>
      </c>
      <c r="G313" s="70" t="n">
        <f aca="false">G309+G312</f>
        <v>1064.42306666666</v>
      </c>
      <c r="H313" s="70" t="n">
        <f aca="false">H309+H312</f>
        <v>15170.4751666667</v>
      </c>
      <c r="I313" s="70" t="n">
        <f aca="false">I309+I312</f>
        <v>18547.9548016667</v>
      </c>
      <c r="J313" s="70" t="n">
        <f aca="false">J309+J312</f>
        <v>18859.6574916667</v>
      </c>
      <c r="K313" s="70" t="n">
        <f aca="false">K309+K312</f>
        <v>12022.0950746667</v>
      </c>
      <c r="L313" s="70" t="n">
        <f aca="false">L309+L312</f>
        <v>12031.9700746667</v>
      </c>
      <c r="M313" s="70" t="n">
        <f aca="false">M309+M312</f>
        <v>12041.8450746667</v>
      </c>
      <c r="N313" s="70" t="n">
        <f aca="false">N309+N312</f>
        <v>22326.7735466667</v>
      </c>
      <c r="O313" s="70" t="n">
        <f aca="false">O309+O312</f>
        <v>15830.713860792</v>
      </c>
      <c r="P313" s="70" t="n">
        <f aca="false">P309+P312</f>
        <v>15840.588860792</v>
      </c>
      <c r="Q313" s="70" t="n">
        <f aca="false">Q309+Q312</f>
        <v>15850.463860792</v>
      </c>
      <c r="R313" s="70" t="n">
        <f aca="false">R309+R312</f>
        <v>15860.338860792</v>
      </c>
      <c r="S313" s="70" t="n">
        <f aca="false">S309+S312</f>
        <v>15870.213860792</v>
      </c>
      <c r="T313" s="70" t="n">
        <f aca="false">T309+T312</f>
        <v>27117.298378816</v>
      </c>
      <c r="U313" s="70" t="n">
        <f aca="false">U309+U312</f>
        <v>27127.173378816</v>
      </c>
      <c r="V313" s="70" t="n">
        <f aca="false">V309+V312</f>
        <v>27137.048378816</v>
      </c>
      <c r="W313" s="70" t="n">
        <f aca="false">W309+W312</f>
        <v>15909.713860792</v>
      </c>
      <c r="X313" s="70" t="n">
        <f aca="false">X309+X312</f>
        <v>15919.588860792</v>
      </c>
      <c r="Y313" s="70" t="n">
        <f aca="false">Y309+Y312</f>
        <v>15929.463860792</v>
      </c>
      <c r="Z313" s="70" t="n">
        <f aca="false">Z309+Z312</f>
        <v>27176.548378816</v>
      </c>
      <c r="AA313" s="70" t="n">
        <f aca="false">AA309+AA312</f>
        <v>20097.4169613713</v>
      </c>
      <c r="AB313" s="70" t="n">
        <f aca="false">AB309+AB312</f>
        <v>20107.2919613713</v>
      </c>
      <c r="AC313" s="70" t="n">
        <f aca="false">AC309+AC312</f>
        <v>20117.1669613713</v>
      </c>
      <c r="AD313" s="70" t="n">
        <f aca="false">AD309+AD312</f>
        <v>20127.0419613713</v>
      </c>
      <c r="AE313" s="70" t="n">
        <f aca="false">AE309+AE312</f>
        <v>20136.9169613713</v>
      </c>
      <c r="AF313" s="70" t="n">
        <f aca="false">AF309+AF312</f>
        <v>32435.9607800568</v>
      </c>
      <c r="AG313" s="70" t="n">
        <f aca="false">AG309+AG312</f>
        <v>32445.8357800568</v>
      </c>
      <c r="AH313" s="70" t="n">
        <f aca="false">AH309+AH312</f>
        <v>32455.7107800568</v>
      </c>
      <c r="AI313" s="70" t="n">
        <f aca="false">AI309+AI312</f>
        <v>20176.4169613713</v>
      </c>
      <c r="AJ313" s="70" t="n">
        <f aca="false">AJ309+AJ312</f>
        <v>20186.2919613713</v>
      </c>
      <c r="AK313" s="70" t="n">
        <f aca="false">AK309+AK312</f>
        <v>20196.1669613713</v>
      </c>
      <c r="AL313" s="70" t="n">
        <f aca="false">AL309+AL312</f>
        <v>32495.2107800568</v>
      </c>
      <c r="AM313" s="70" t="n">
        <f aca="false">AM309+AM312</f>
        <v>24787.5665620502</v>
      </c>
      <c r="AN313" s="70" t="n">
        <f aca="false">AN309+AN312</f>
        <v>24797.4415620502</v>
      </c>
      <c r="AO313" s="70" t="n">
        <f aca="false">AO309+AO312</f>
        <v>24807.3165620502</v>
      </c>
      <c r="AP313" s="70" t="n">
        <f aca="false">AP309+AP312</f>
        <v>24817.1915620502</v>
      </c>
      <c r="AQ313" s="70" t="n">
        <f aca="false">AQ309+AQ312</f>
        <v>24827.0665620502</v>
      </c>
      <c r="AR313" s="70" t="n">
        <f aca="false">AR309+AR312</f>
        <v>36476.2437514706</v>
      </c>
      <c r="AS313" s="70" t="n">
        <f aca="false">AS309+AS312</f>
        <v>36486.1187514706</v>
      </c>
      <c r="AT313" s="70" t="n">
        <f aca="false">AT309+AT312</f>
        <v>36495.9937514706</v>
      </c>
      <c r="AU313" s="70" t="n">
        <f aca="false">AU309+AU312</f>
        <v>24866.5665620502</v>
      </c>
      <c r="AV313" s="70" t="n">
        <f aca="false">AV309+AV312</f>
        <v>24876.4415620502</v>
      </c>
      <c r="AW313" s="70" t="n">
        <f aca="false">AW309+AW312</f>
        <v>24886.3165620502</v>
      </c>
      <c r="AX313" s="70" t="n">
        <f aca="false">AX309+AX312</f>
        <v>36535.4937514706</v>
      </c>
      <c r="AY313" s="70" t="n">
        <f aca="false">AY309+AY312</f>
        <v>29949.3885667748</v>
      </c>
      <c r="AZ313" s="70" t="n">
        <f aca="false">AZ309+AZ312</f>
        <v>29959.2635667748</v>
      </c>
      <c r="BA313" s="70" t="n">
        <f aca="false">BA309+BA312</f>
        <v>29969.1385667748</v>
      </c>
      <c r="BB313" s="70" t="n">
        <f aca="false">BB309+BB312</f>
        <v>29979.0135667748</v>
      </c>
      <c r="BC313" s="70" t="n">
        <f aca="false">BC309+BC312</f>
        <v>29988.8885667748</v>
      </c>
      <c r="BD313" s="70" t="n">
        <f aca="false">BD309+BD312</f>
        <v>40487.9969572755</v>
      </c>
      <c r="BE313" s="70" t="n">
        <f aca="false">BE309+BE312</f>
        <v>40497.8719572755</v>
      </c>
      <c r="BF313" s="70" t="n">
        <f aca="false">BF309+BF312</f>
        <v>40507.7469572755</v>
      </c>
      <c r="BG313" s="70" t="n">
        <f aca="false">BG309+BG312</f>
        <v>30028.3885667748</v>
      </c>
      <c r="BH313" s="70" t="n">
        <f aca="false">BH309+BH312</f>
        <v>30038.2635667748</v>
      </c>
      <c r="BI313" s="70" t="n">
        <f aca="false">BI309+BI312</f>
        <v>30048.1385667748</v>
      </c>
      <c r="BJ313" s="70" t="n">
        <f aca="false">BJ309+BJ312</f>
        <v>40547.2469572755</v>
      </c>
    </row>
    <row r="315" customFormat="false" ht="15.75" hidden="false" customHeight="true" outlineLevel="0" collapsed="false">
      <c r="A315" s="7" t="s">
        <v>432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customFormat="false" ht="15" hidden="false" customHeight="false" outlineLevel="0" collapsed="false">
      <c r="A316" s="6" t="s">
        <v>433</v>
      </c>
      <c r="C316" s="69" t="n">
        <f aca="false">IF(C$258=1,Inputs!$D$14*Inputs!$D$48,0)</f>
        <v>24000</v>
      </c>
      <c r="D316" s="69" t="n">
        <f aca="false">IF(D$258=1,Inputs!$D$14*Inputs!$D$48,0)</f>
        <v>0</v>
      </c>
      <c r="E316" s="69" t="n">
        <f aca="false">IF(E$258=1,Inputs!$D$14*Inputs!$D$48,0)</f>
        <v>0</v>
      </c>
      <c r="F316" s="69" t="n">
        <f aca="false">IF(F$258=1,Inputs!$D$14*Inputs!$D$48,0)</f>
        <v>0</v>
      </c>
      <c r="G316" s="69" t="n">
        <f aca="false">IF(G$258=1,Inputs!$D$14*Inputs!$D$48,0)</f>
        <v>0</v>
      </c>
      <c r="H316" s="69" t="n">
        <f aca="false">IF(H$258=1,Inputs!$D$14*Inputs!$D$48,0)</f>
        <v>0</v>
      </c>
      <c r="I316" s="69" t="n">
        <f aca="false">IF(I$258=1,Inputs!$D$14*Inputs!$D$48,0)</f>
        <v>0</v>
      </c>
      <c r="J316" s="69" t="n">
        <f aca="false">IF(J$258=1,Inputs!$D$14*Inputs!$D$48,0)</f>
        <v>0</v>
      </c>
      <c r="K316" s="69" t="n">
        <f aca="false">IF(K$258=1,Inputs!$D$14*Inputs!$D$48,0)</f>
        <v>0</v>
      </c>
      <c r="L316" s="69" t="n">
        <f aca="false">IF(L$258=1,Inputs!$D$14*Inputs!$D$48,0)</f>
        <v>0</v>
      </c>
      <c r="M316" s="69" t="n">
        <f aca="false">IF(M$258=1,Inputs!$D$14*Inputs!$D$48,0)</f>
        <v>0</v>
      </c>
      <c r="N316" s="69" t="n">
        <f aca="false">IF(N$258=1,Inputs!$D$14*Inputs!$D$48,0)</f>
        <v>0</v>
      </c>
      <c r="O316" s="69" t="n">
        <f aca="false">IF(O$258=1,Inputs!$D$14*Inputs!$D$48,0)</f>
        <v>0</v>
      </c>
      <c r="P316" s="69" t="n">
        <f aca="false">IF(P$258=1,Inputs!$D$14*Inputs!$D$48,0)</f>
        <v>0</v>
      </c>
      <c r="Q316" s="69" t="n">
        <f aca="false">IF(Q$258=1,Inputs!$D$14*Inputs!$D$48,0)</f>
        <v>0</v>
      </c>
      <c r="R316" s="69" t="n">
        <f aca="false">IF(R$258=1,Inputs!$D$14*Inputs!$D$48,0)</f>
        <v>0</v>
      </c>
      <c r="S316" s="69" t="n">
        <f aca="false">IF(S$258=1,Inputs!$D$14*Inputs!$D$48,0)</f>
        <v>0</v>
      </c>
      <c r="T316" s="69" t="n">
        <f aca="false">IF(T$258=1,Inputs!$D$14*Inputs!$D$48,0)</f>
        <v>0</v>
      </c>
      <c r="U316" s="69" t="n">
        <f aca="false">IF(U$258=1,Inputs!$D$14*Inputs!$D$48,0)</f>
        <v>0</v>
      </c>
      <c r="V316" s="69" t="n">
        <f aca="false">IF(V$258=1,Inputs!$D$14*Inputs!$D$48,0)</f>
        <v>0</v>
      </c>
      <c r="W316" s="69" t="n">
        <f aca="false">IF(W$258=1,Inputs!$D$14*Inputs!$D$48,0)</f>
        <v>0</v>
      </c>
      <c r="X316" s="69" t="n">
        <f aca="false">IF(X$258=1,Inputs!$D$14*Inputs!$D$48,0)</f>
        <v>0</v>
      </c>
      <c r="Y316" s="69" t="n">
        <f aca="false">IF(Y$258=1,Inputs!$D$14*Inputs!$D$48,0)</f>
        <v>0</v>
      </c>
      <c r="Z316" s="69" t="n">
        <f aca="false">IF(Z$258=1,Inputs!$D$14*Inputs!$D$48,0)</f>
        <v>0</v>
      </c>
      <c r="AA316" s="69" t="n">
        <f aca="false">IF(AA$258=1,Inputs!$D$14*Inputs!$D$48,0)</f>
        <v>0</v>
      </c>
      <c r="AB316" s="69" t="n">
        <f aca="false">IF(AB$258=1,Inputs!$D$14*Inputs!$D$48,0)</f>
        <v>0</v>
      </c>
      <c r="AC316" s="69" t="n">
        <f aca="false">IF(AC$258=1,Inputs!$D$14*Inputs!$D$48,0)</f>
        <v>0</v>
      </c>
      <c r="AD316" s="69" t="n">
        <f aca="false">IF(AD$258=1,Inputs!$D$14*Inputs!$D$48,0)</f>
        <v>0</v>
      </c>
      <c r="AE316" s="69" t="n">
        <f aca="false">IF(AE$258=1,Inputs!$D$14*Inputs!$D$48,0)</f>
        <v>0</v>
      </c>
      <c r="AF316" s="69" t="n">
        <f aca="false">IF(AF$258=1,Inputs!$D$14*Inputs!$D$48,0)</f>
        <v>0</v>
      </c>
      <c r="AG316" s="69" t="n">
        <f aca="false">IF(AG$258=1,Inputs!$D$14*Inputs!$D$48,0)</f>
        <v>0</v>
      </c>
      <c r="AH316" s="69" t="n">
        <f aca="false">IF(AH$258=1,Inputs!$D$14*Inputs!$D$48,0)</f>
        <v>0</v>
      </c>
      <c r="AI316" s="69" t="n">
        <f aca="false">IF(AI$258=1,Inputs!$D$14*Inputs!$D$48,0)</f>
        <v>0</v>
      </c>
      <c r="AJ316" s="69" t="n">
        <f aca="false">IF(AJ$258=1,Inputs!$D$14*Inputs!$D$48,0)</f>
        <v>0</v>
      </c>
      <c r="AK316" s="69" t="n">
        <f aca="false">IF(AK$258=1,Inputs!$D$14*Inputs!$D$48,0)</f>
        <v>0</v>
      </c>
      <c r="AL316" s="69" t="n">
        <f aca="false">IF(AL$258=1,Inputs!$D$14*Inputs!$D$48,0)</f>
        <v>0</v>
      </c>
      <c r="AM316" s="69" t="n">
        <f aca="false">IF(AM$258=1,Inputs!$D$14*Inputs!$D$48,0)</f>
        <v>0</v>
      </c>
      <c r="AN316" s="69" t="n">
        <f aca="false">IF(AN$258=1,Inputs!$D$14*Inputs!$D$48,0)</f>
        <v>0</v>
      </c>
      <c r="AO316" s="69" t="n">
        <f aca="false">IF(AO$258=1,Inputs!$D$14*Inputs!$D$48,0)</f>
        <v>0</v>
      </c>
      <c r="AP316" s="69" t="n">
        <f aca="false">IF(AP$258=1,Inputs!$D$14*Inputs!$D$48,0)</f>
        <v>0</v>
      </c>
      <c r="AQ316" s="69" t="n">
        <f aca="false">IF(AQ$258=1,Inputs!$D$14*Inputs!$D$48,0)</f>
        <v>0</v>
      </c>
      <c r="AR316" s="69" t="n">
        <f aca="false">IF(AR$258=1,Inputs!$D$14*Inputs!$D$48,0)</f>
        <v>0</v>
      </c>
      <c r="AS316" s="69" t="n">
        <f aca="false">IF(AS$258=1,Inputs!$D$14*Inputs!$D$48,0)</f>
        <v>0</v>
      </c>
      <c r="AT316" s="69" t="n">
        <f aca="false">IF(AT$258=1,Inputs!$D$14*Inputs!$D$48,0)</f>
        <v>0</v>
      </c>
      <c r="AU316" s="69" t="n">
        <f aca="false">IF(AU$258=1,Inputs!$D$14*Inputs!$D$48,0)</f>
        <v>0</v>
      </c>
      <c r="AV316" s="69" t="n">
        <f aca="false">IF(AV$258=1,Inputs!$D$14*Inputs!$D$48,0)</f>
        <v>0</v>
      </c>
      <c r="AW316" s="69" t="n">
        <f aca="false">IF(AW$258=1,Inputs!$D$14*Inputs!$D$48,0)</f>
        <v>0</v>
      </c>
      <c r="AX316" s="69" t="n">
        <f aca="false">IF(AX$258=1,Inputs!$D$14*Inputs!$D$48,0)</f>
        <v>0</v>
      </c>
      <c r="AY316" s="69" t="n">
        <f aca="false">IF(AY$258=1,Inputs!$D$14*Inputs!$D$48,0)</f>
        <v>0</v>
      </c>
      <c r="AZ316" s="69" t="n">
        <f aca="false">IF(AZ$258=1,Inputs!$D$14*Inputs!$D$48,0)</f>
        <v>0</v>
      </c>
      <c r="BA316" s="69" t="n">
        <f aca="false">IF(BA$258=1,Inputs!$D$14*Inputs!$D$48,0)</f>
        <v>0</v>
      </c>
      <c r="BB316" s="69" t="n">
        <f aca="false">IF(BB$258=1,Inputs!$D$14*Inputs!$D$48,0)</f>
        <v>0</v>
      </c>
      <c r="BC316" s="69" t="n">
        <f aca="false">IF(BC$258=1,Inputs!$D$14*Inputs!$D$48,0)</f>
        <v>0</v>
      </c>
      <c r="BD316" s="69" t="n">
        <f aca="false">IF(BD$258=1,Inputs!$D$14*Inputs!$D$48,0)</f>
        <v>0</v>
      </c>
      <c r="BE316" s="69" t="n">
        <f aca="false">IF(BE$258=1,Inputs!$D$14*Inputs!$D$48,0)</f>
        <v>0</v>
      </c>
      <c r="BF316" s="69" t="n">
        <f aca="false">IF(BF$258=1,Inputs!$D$14*Inputs!$D$48,0)</f>
        <v>0</v>
      </c>
      <c r="BG316" s="69" t="n">
        <f aca="false">IF(BG$258=1,Inputs!$D$14*Inputs!$D$48,0)</f>
        <v>0</v>
      </c>
      <c r="BH316" s="69" t="n">
        <f aca="false">IF(BH$258=1,Inputs!$D$14*Inputs!$D$48,0)</f>
        <v>0</v>
      </c>
      <c r="BI316" s="69" t="n">
        <f aca="false">IF(BI$258=1,Inputs!$D$14*Inputs!$D$48,0)</f>
        <v>0</v>
      </c>
      <c r="BJ316" s="69" t="n">
        <f aca="false">IF(BJ$258=1,Inputs!$D$14*Inputs!$D$48,0)</f>
        <v>0</v>
      </c>
    </row>
    <row r="317" customFormat="false" ht="15" hidden="false" customHeight="false" outlineLevel="0" collapsed="false">
      <c r="A317" s="6" t="s">
        <v>434</v>
      </c>
      <c r="C317" s="69" t="n">
        <f aca="false">IF(C$258=1,Inputs!$D$25*Inputs!$D$49,0)</f>
        <v>75000</v>
      </c>
      <c r="D317" s="69" t="n">
        <f aca="false">IF(D$258=1,Inputs!$D$25*Inputs!$D$49,0)</f>
        <v>0</v>
      </c>
      <c r="E317" s="69" t="n">
        <f aca="false">IF(E$258=1,Inputs!$D$25*Inputs!$D$49,0)</f>
        <v>0</v>
      </c>
      <c r="F317" s="69" t="n">
        <f aca="false">IF(F$258=1,Inputs!$D$25*Inputs!$D$49,0)</f>
        <v>0</v>
      </c>
      <c r="G317" s="69" t="n">
        <f aca="false">IF(G$258=1,Inputs!$D$25*Inputs!$D$49,0)</f>
        <v>0</v>
      </c>
      <c r="H317" s="69" t="n">
        <f aca="false">IF(H$258=1,Inputs!$D$25*Inputs!$D$49,0)</f>
        <v>0</v>
      </c>
      <c r="I317" s="69" t="n">
        <f aca="false">IF(I$258=1,Inputs!$D$25*Inputs!$D$49,0)</f>
        <v>0</v>
      </c>
      <c r="J317" s="69" t="n">
        <f aca="false">IF(J$258=1,Inputs!$D$25*Inputs!$D$49,0)</f>
        <v>0</v>
      </c>
      <c r="K317" s="69" t="n">
        <f aca="false">IF(K$258=1,Inputs!$D$25*Inputs!$D$49,0)</f>
        <v>0</v>
      </c>
      <c r="L317" s="69" t="n">
        <f aca="false">IF(L$258=1,Inputs!$D$25*Inputs!$D$49,0)</f>
        <v>0</v>
      </c>
      <c r="M317" s="69" t="n">
        <f aca="false">IF(M$258=1,Inputs!$D$25*Inputs!$D$49,0)</f>
        <v>0</v>
      </c>
      <c r="N317" s="69" t="n">
        <f aca="false">IF(N$258=1,Inputs!$D$25*Inputs!$D$49,0)</f>
        <v>0</v>
      </c>
      <c r="O317" s="69" t="n">
        <f aca="false">IF(O$258=1,Inputs!$D$25*Inputs!$D$49,0)</f>
        <v>0</v>
      </c>
      <c r="P317" s="69" t="n">
        <f aca="false">IF(P$258=1,Inputs!$D$25*Inputs!$D$49,0)</f>
        <v>0</v>
      </c>
      <c r="Q317" s="69" t="n">
        <f aca="false">IF(Q$258=1,Inputs!$D$25*Inputs!$D$49,0)</f>
        <v>0</v>
      </c>
      <c r="R317" s="69" t="n">
        <f aca="false">IF(R$258=1,Inputs!$D$25*Inputs!$D$49,0)</f>
        <v>0</v>
      </c>
      <c r="S317" s="69" t="n">
        <f aca="false">IF(S$258=1,Inputs!$D$25*Inputs!$D$49,0)</f>
        <v>0</v>
      </c>
      <c r="T317" s="69" t="n">
        <f aca="false">IF(T$258=1,Inputs!$D$25*Inputs!$D$49,0)</f>
        <v>0</v>
      </c>
      <c r="U317" s="69" t="n">
        <f aca="false">IF(U$258=1,Inputs!$D$25*Inputs!$D$49,0)</f>
        <v>0</v>
      </c>
      <c r="V317" s="69" t="n">
        <f aca="false">IF(V$258=1,Inputs!$D$25*Inputs!$D$49,0)</f>
        <v>0</v>
      </c>
      <c r="W317" s="69" t="n">
        <f aca="false">IF(W$258=1,Inputs!$D$25*Inputs!$D$49,0)</f>
        <v>0</v>
      </c>
      <c r="X317" s="69" t="n">
        <f aca="false">IF(X$258=1,Inputs!$D$25*Inputs!$D$49,0)</f>
        <v>0</v>
      </c>
      <c r="Y317" s="69" t="n">
        <f aca="false">IF(Y$258=1,Inputs!$D$25*Inputs!$D$49,0)</f>
        <v>0</v>
      </c>
      <c r="Z317" s="69" t="n">
        <f aca="false">IF(Z$258=1,Inputs!$D$25*Inputs!$D$49,0)</f>
        <v>0</v>
      </c>
      <c r="AA317" s="69" t="n">
        <f aca="false">IF(AA$258=1,Inputs!$D$25*Inputs!$D$49,0)</f>
        <v>0</v>
      </c>
      <c r="AB317" s="69" t="n">
        <f aca="false">IF(AB$258=1,Inputs!$D$25*Inputs!$D$49,0)</f>
        <v>0</v>
      </c>
      <c r="AC317" s="69" t="n">
        <f aca="false">IF(AC$258=1,Inputs!$D$25*Inputs!$D$49,0)</f>
        <v>0</v>
      </c>
      <c r="AD317" s="69" t="n">
        <f aca="false">IF(AD$258=1,Inputs!$D$25*Inputs!$D$49,0)</f>
        <v>0</v>
      </c>
      <c r="AE317" s="69" t="n">
        <f aca="false">IF(AE$258=1,Inputs!$D$25*Inputs!$D$49,0)</f>
        <v>0</v>
      </c>
      <c r="AF317" s="69" t="n">
        <f aca="false">IF(AF$258=1,Inputs!$D$25*Inputs!$D$49,0)</f>
        <v>0</v>
      </c>
      <c r="AG317" s="69" t="n">
        <f aca="false">IF(AG$258=1,Inputs!$D$25*Inputs!$D$49,0)</f>
        <v>0</v>
      </c>
      <c r="AH317" s="69" t="n">
        <f aca="false">IF(AH$258=1,Inputs!$D$25*Inputs!$D$49,0)</f>
        <v>0</v>
      </c>
      <c r="AI317" s="69" t="n">
        <f aca="false">IF(AI$258=1,Inputs!$D$25*Inputs!$D$49,0)</f>
        <v>0</v>
      </c>
      <c r="AJ317" s="69" t="n">
        <f aca="false">IF(AJ$258=1,Inputs!$D$25*Inputs!$D$49,0)</f>
        <v>0</v>
      </c>
      <c r="AK317" s="69" t="n">
        <f aca="false">IF(AK$258=1,Inputs!$D$25*Inputs!$D$49,0)</f>
        <v>0</v>
      </c>
      <c r="AL317" s="69" t="n">
        <f aca="false">IF(AL$258=1,Inputs!$D$25*Inputs!$D$49,0)</f>
        <v>0</v>
      </c>
      <c r="AM317" s="69" t="n">
        <f aca="false">IF(AM$258=1,Inputs!$D$25*Inputs!$D$49,0)</f>
        <v>0</v>
      </c>
      <c r="AN317" s="69" t="n">
        <f aca="false">IF(AN$258=1,Inputs!$D$25*Inputs!$D$49,0)</f>
        <v>0</v>
      </c>
      <c r="AO317" s="69" t="n">
        <f aca="false">IF(AO$258=1,Inputs!$D$25*Inputs!$D$49,0)</f>
        <v>0</v>
      </c>
      <c r="AP317" s="69" t="n">
        <f aca="false">IF(AP$258=1,Inputs!$D$25*Inputs!$D$49,0)</f>
        <v>0</v>
      </c>
      <c r="AQ317" s="69" t="n">
        <f aca="false">IF(AQ$258=1,Inputs!$D$25*Inputs!$D$49,0)</f>
        <v>0</v>
      </c>
      <c r="AR317" s="69" t="n">
        <f aca="false">IF(AR$258=1,Inputs!$D$25*Inputs!$D$49,0)</f>
        <v>0</v>
      </c>
      <c r="AS317" s="69" t="n">
        <f aca="false">IF(AS$258=1,Inputs!$D$25*Inputs!$D$49,0)</f>
        <v>0</v>
      </c>
      <c r="AT317" s="69" t="n">
        <f aca="false">IF(AT$258=1,Inputs!$D$25*Inputs!$D$49,0)</f>
        <v>0</v>
      </c>
      <c r="AU317" s="69" t="n">
        <f aca="false">IF(AU$258=1,Inputs!$D$25*Inputs!$D$49,0)</f>
        <v>0</v>
      </c>
      <c r="AV317" s="69" t="n">
        <f aca="false">IF(AV$258=1,Inputs!$D$25*Inputs!$D$49,0)</f>
        <v>0</v>
      </c>
      <c r="AW317" s="69" t="n">
        <f aca="false">IF(AW$258=1,Inputs!$D$25*Inputs!$D$49,0)</f>
        <v>0</v>
      </c>
      <c r="AX317" s="69" t="n">
        <f aca="false">IF(AX$258=1,Inputs!$D$25*Inputs!$D$49,0)</f>
        <v>0</v>
      </c>
      <c r="AY317" s="69" t="n">
        <f aca="false">IF(AY$258=1,Inputs!$D$25*Inputs!$D$49,0)</f>
        <v>0</v>
      </c>
      <c r="AZ317" s="69" t="n">
        <f aca="false">IF(AZ$258=1,Inputs!$D$25*Inputs!$D$49,0)</f>
        <v>0</v>
      </c>
      <c r="BA317" s="69" t="n">
        <f aca="false">IF(BA$258=1,Inputs!$D$25*Inputs!$D$49,0)</f>
        <v>0</v>
      </c>
      <c r="BB317" s="69" t="n">
        <f aca="false">IF(BB$258=1,Inputs!$D$25*Inputs!$D$49,0)</f>
        <v>0</v>
      </c>
      <c r="BC317" s="69" t="n">
        <f aca="false">IF(BC$258=1,Inputs!$D$25*Inputs!$D$49,0)</f>
        <v>0</v>
      </c>
      <c r="BD317" s="69" t="n">
        <f aca="false">IF(BD$258=1,Inputs!$D$25*Inputs!$D$49,0)</f>
        <v>0</v>
      </c>
      <c r="BE317" s="69" t="n">
        <f aca="false">IF(BE$258=1,Inputs!$D$25*Inputs!$D$49,0)</f>
        <v>0</v>
      </c>
      <c r="BF317" s="69" t="n">
        <f aca="false">IF(BF$258=1,Inputs!$D$25*Inputs!$D$49,0)</f>
        <v>0</v>
      </c>
      <c r="BG317" s="69" t="n">
        <f aca="false">IF(BG$258=1,Inputs!$D$25*Inputs!$D$49,0)</f>
        <v>0</v>
      </c>
      <c r="BH317" s="69" t="n">
        <f aca="false">IF(BH$258=1,Inputs!$D$25*Inputs!$D$49,0)</f>
        <v>0</v>
      </c>
      <c r="BI317" s="69" t="n">
        <f aca="false">IF(BI$258=1,Inputs!$D$25*Inputs!$D$49,0)</f>
        <v>0</v>
      </c>
      <c r="BJ317" s="69" t="n">
        <f aca="false">IF(BJ$258=1,Inputs!$D$25*Inputs!$D$49,0)</f>
        <v>0</v>
      </c>
    </row>
    <row r="318" customFormat="false" ht="15" hidden="false" customHeight="false" outlineLevel="0" collapsed="false">
      <c r="A318" s="6" t="s">
        <v>435</v>
      </c>
      <c r="C318" s="69" t="n">
        <f aca="false">IF(C$258=1,Inputs!$D$50,0)</f>
        <v>90000</v>
      </c>
      <c r="D318" s="69" t="n">
        <f aca="false">IF(D$258=1,Inputs!$D$50,0)</f>
        <v>0</v>
      </c>
      <c r="E318" s="69" t="n">
        <f aca="false">IF(E$258=1,Inputs!$D$50,0)</f>
        <v>0</v>
      </c>
      <c r="F318" s="69" t="n">
        <f aca="false">IF(F$258=1,Inputs!$D$50,0)</f>
        <v>0</v>
      </c>
      <c r="G318" s="69" t="n">
        <f aca="false">IF(G$258=1,Inputs!$D$50,0)</f>
        <v>0</v>
      </c>
      <c r="H318" s="69" t="n">
        <f aca="false">IF(H$258=1,Inputs!$D$50,0)</f>
        <v>0</v>
      </c>
      <c r="I318" s="69" t="n">
        <f aca="false">IF(I$258=1,Inputs!$D$50,0)</f>
        <v>0</v>
      </c>
      <c r="J318" s="69" t="n">
        <f aca="false">IF(J$258=1,Inputs!$D$50,0)</f>
        <v>0</v>
      </c>
      <c r="K318" s="69" t="n">
        <f aca="false">IF(K$258=1,Inputs!$D$50,0)</f>
        <v>0</v>
      </c>
      <c r="L318" s="69" t="n">
        <f aca="false">IF(L$258=1,Inputs!$D$50,0)</f>
        <v>0</v>
      </c>
      <c r="M318" s="69" t="n">
        <f aca="false">IF(M$258=1,Inputs!$D$50,0)</f>
        <v>0</v>
      </c>
      <c r="N318" s="69" t="n">
        <f aca="false">IF(N$258=1,Inputs!$D$50,0)</f>
        <v>0</v>
      </c>
      <c r="O318" s="69" t="n">
        <f aca="false">IF(O$258=1,Inputs!$D$50,0)</f>
        <v>0</v>
      </c>
      <c r="P318" s="69" t="n">
        <f aca="false">IF(P$258=1,Inputs!$D$50,0)</f>
        <v>0</v>
      </c>
      <c r="Q318" s="69" t="n">
        <f aca="false">IF(Q$258=1,Inputs!$D$50,0)</f>
        <v>0</v>
      </c>
      <c r="R318" s="69" t="n">
        <f aca="false">IF(R$258=1,Inputs!$D$50,0)</f>
        <v>0</v>
      </c>
      <c r="S318" s="69" t="n">
        <f aca="false">IF(S$258=1,Inputs!$D$50,0)</f>
        <v>0</v>
      </c>
      <c r="T318" s="69" t="n">
        <f aca="false">IF(T$258=1,Inputs!$D$50,0)</f>
        <v>0</v>
      </c>
      <c r="U318" s="69" t="n">
        <f aca="false">IF(U$258=1,Inputs!$D$50,0)</f>
        <v>0</v>
      </c>
      <c r="V318" s="69" t="n">
        <f aca="false">IF(V$258=1,Inputs!$D$50,0)</f>
        <v>0</v>
      </c>
      <c r="W318" s="69" t="n">
        <f aca="false">IF(W$258=1,Inputs!$D$50,0)</f>
        <v>0</v>
      </c>
      <c r="X318" s="69" t="n">
        <f aca="false">IF(X$258=1,Inputs!$D$50,0)</f>
        <v>0</v>
      </c>
      <c r="Y318" s="69" t="n">
        <f aca="false">IF(Y$258=1,Inputs!$D$50,0)</f>
        <v>0</v>
      </c>
      <c r="Z318" s="69" t="n">
        <f aca="false">IF(Z$258=1,Inputs!$D$50,0)</f>
        <v>0</v>
      </c>
      <c r="AA318" s="69" t="n">
        <f aca="false">IF(AA$258=1,Inputs!$D$50,0)</f>
        <v>0</v>
      </c>
      <c r="AB318" s="69" t="n">
        <f aca="false">IF(AB$258=1,Inputs!$D$50,0)</f>
        <v>0</v>
      </c>
      <c r="AC318" s="69" t="n">
        <f aca="false">IF(AC$258=1,Inputs!$D$50,0)</f>
        <v>0</v>
      </c>
      <c r="AD318" s="69" t="n">
        <f aca="false">IF(AD$258=1,Inputs!$D$50,0)</f>
        <v>0</v>
      </c>
      <c r="AE318" s="69" t="n">
        <f aca="false">IF(AE$258=1,Inputs!$D$50,0)</f>
        <v>0</v>
      </c>
      <c r="AF318" s="69" t="n">
        <f aca="false">IF(AF$258=1,Inputs!$D$50,0)</f>
        <v>0</v>
      </c>
      <c r="AG318" s="69" t="n">
        <f aca="false">IF(AG$258=1,Inputs!$D$50,0)</f>
        <v>0</v>
      </c>
      <c r="AH318" s="69" t="n">
        <f aca="false">IF(AH$258=1,Inputs!$D$50,0)</f>
        <v>0</v>
      </c>
      <c r="AI318" s="69" t="n">
        <f aca="false">IF(AI$258=1,Inputs!$D$50,0)</f>
        <v>0</v>
      </c>
      <c r="AJ318" s="69" t="n">
        <f aca="false">IF(AJ$258=1,Inputs!$D$50,0)</f>
        <v>0</v>
      </c>
      <c r="AK318" s="69" t="n">
        <f aca="false">IF(AK$258=1,Inputs!$D$50,0)</f>
        <v>0</v>
      </c>
      <c r="AL318" s="69" t="n">
        <f aca="false">IF(AL$258=1,Inputs!$D$50,0)</f>
        <v>0</v>
      </c>
      <c r="AM318" s="69" t="n">
        <f aca="false">IF(AM$258=1,Inputs!$D$50,0)</f>
        <v>0</v>
      </c>
      <c r="AN318" s="69" t="n">
        <f aca="false">IF(AN$258=1,Inputs!$D$50,0)</f>
        <v>0</v>
      </c>
      <c r="AO318" s="69" t="n">
        <f aca="false">IF(AO$258=1,Inputs!$D$50,0)</f>
        <v>0</v>
      </c>
      <c r="AP318" s="69" t="n">
        <f aca="false">IF(AP$258=1,Inputs!$D$50,0)</f>
        <v>0</v>
      </c>
      <c r="AQ318" s="69" t="n">
        <f aca="false">IF(AQ$258=1,Inputs!$D$50,0)</f>
        <v>0</v>
      </c>
      <c r="AR318" s="69" t="n">
        <f aca="false">IF(AR$258=1,Inputs!$D$50,0)</f>
        <v>0</v>
      </c>
      <c r="AS318" s="69" t="n">
        <f aca="false">IF(AS$258=1,Inputs!$D$50,0)</f>
        <v>0</v>
      </c>
      <c r="AT318" s="69" t="n">
        <f aca="false">IF(AT$258=1,Inputs!$D$50,0)</f>
        <v>0</v>
      </c>
      <c r="AU318" s="69" t="n">
        <f aca="false">IF(AU$258=1,Inputs!$D$50,0)</f>
        <v>0</v>
      </c>
      <c r="AV318" s="69" t="n">
        <f aca="false">IF(AV$258=1,Inputs!$D$50,0)</f>
        <v>0</v>
      </c>
      <c r="AW318" s="69" t="n">
        <f aca="false">IF(AW$258=1,Inputs!$D$50,0)</f>
        <v>0</v>
      </c>
      <c r="AX318" s="69" t="n">
        <f aca="false">IF(AX$258=1,Inputs!$D$50,0)</f>
        <v>0</v>
      </c>
      <c r="AY318" s="69" t="n">
        <f aca="false">IF(AY$258=1,Inputs!$D$50,0)</f>
        <v>0</v>
      </c>
      <c r="AZ318" s="69" t="n">
        <f aca="false">IF(AZ$258=1,Inputs!$D$50,0)</f>
        <v>0</v>
      </c>
      <c r="BA318" s="69" t="n">
        <f aca="false">IF(BA$258=1,Inputs!$D$50,0)</f>
        <v>0</v>
      </c>
      <c r="BB318" s="69" t="n">
        <f aca="false">IF(BB$258=1,Inputs!$D$50,0)</f>
        <v>0</v>
      </c>
      <c r="BC318" s="69" t="n">
        <f aca="false">IF(BC$258=1,Inputs!$D$50,0)</f>
        <v>0</v>
      </c>
      <c r="BD318" s="69" t="n">
        <f aca="false">IF(BD$258=1,Inputs!$D$50,0)</f>
        <v>0</v>
      </c>
      <c r="BE318" s="69" t="n">
        <f aca="false">IF(BE$258=1,Inputs!$D$50,0)</f>
        <v>0</v>
      </c>
      <c r="BF318" s="69" t="n">
        <f aca="false">IF(BF$258=1,Inputs!$D$50,0)</f>
        <v>0</v>
      </c>
      <c r="BG318" s="69" t="n">
        <f aca="false">IF(BG$258=1,Inputs!$D$50,0)</f>
        <v>0</v>
      </c>
      <c r="BH318" s="69" t="n">
        <f aca="false">IF(BH$258=1,Inputs!$D$50,0)</f>
        <v>0</v>
      </c>
      <c r="BI318" s="69" t="n">
        <f aca="false">IF(BI$258=1,Inputs!$D$50,0)</f>
        <v>0</v>
      </c>
      <c r="BJ318" s="69" t="n">
        <f aca="false">IF(BJ$258=1,Inputs!$D$50,0)</f>
        <v>0</v>
      </c>
    </row>
    <row r="319" customFormat="false" ht="15" hidden="false" customHeight="false" outlineLevel="0" collapsed="false">
      <c r="A319" s="6" t="s">
        <v>436</v>
      </c>
      <c r="C319" s="69" t="n">
        <f aca="false">IF(C$258=1,Inputs!$D$51,0)</f>
        <v>0</v>
      </c>
      <c r="D319" s="69" t="n">
        <f aca="false">IF(D$258=1,Inputs!$D$51,0)</f>
        <v>0</v>
      </c>
      <c r="E319" s="69" t="n">
        <f aca="false">IF(E$258=1,Inputs!$D$51,0)</f>
        <v>0</v>
      </c>
      <c r="F319" s="69" t="n">
        <f aca="false">IF(F$258=1,Inputs!$D$51,0)</f>
        <v>0</v>
      </c>
      <c r="G319" s="69" t="n">
        <f aca="false">IF(G$258=1,Inputs!$D$51,0)</f>
        <v>0</v>
      </c>
      <c r="H319" s="69" t="n">
        <f aca="false">IF(H$258=1,Inputs!$D$51,0)</f>
        <v>0</v>
      </c>
      <c r="I319" s="69" t="n">
        <f aca="false">IF(I$258=1,Inputs!$D$51,0)</f>
        <v>0</v>
      </c>
      <c r="J319" s="69" t="n">
        <f aca="false">IF(J$258=1,Inputs!$D$51,0)</f>
        <v>0</v>
      </c>
      <c r="K319" s="69" t="n">
        <f aca="false">IF(K$258=1,Inputs!$D$51,0)</f>
        <v>0</v>
      </c>
      <c r="L319" s="69" t="n">
        <f aca="false">IF(L$258=1,Inputs!$D$51,0)</f>
        <v>0</v>
      </c>
      <c r="M319" s="69" t="n">
        <f aca="false">IF(M$258=1,Inputs!$D$51,0)</f>
        <v>0</v>
      </c>
      <c r="N319" s="69" t="n">
        <f aca="false">IF(N$258=1,Inputs!$D$51,0)</f>
        <v>0</v>
      </c>
      <c r="O319" s="69" t="n">
        <f aca="false">IF(O$258=1,Inputs!$D$51,0)</f>
        <v>0</v>
      </c>
      <c r="P319" s="69" t="n">
        <f aca="false">IF(P$258=1,Inputs!$D$51,0)</f>
        <v>0</v>
      </c>
      <c r="Q319" s="69" t="n">
        <f aca="false">IF(Q$258=1,Inputs!$D$51,0)</f>
        <v>0</v>
      </c>
      <c r="R319" s="69" t="n">
        <f aca="false">IF(R$258=1,Inputs!$D$51,0)</f>
        <v>0</v>
      </c>
      <c r="S319" s="69" t="n">
        <f aca="false">IF(S$258=1,Inputs!$D$51,0)</f>
        <v>0</v>
      </c>
      <c r="T319" s="69" t="n">
        <f aca="false">IF(T$258=1,Inputs!$D$51,0)</f>
        <v>0</v>
      </c>
      <c r="U319" s="69" t="n">
        <f aca="false">IF(U$258=1,Inputs!$D$51,0)</f>
        <v>0</v>
      </c>
      <c r="V319" s="69" t="n">
        <f aca="false">IF(V$258=1,Inputs!$D$51,0)</f>
        <v>0</v>
      </c>
      <c r="W319" s="69" t="n">
        <f aca="false">IF(W$258=1,Inputs!$D$51,0)</f>
        <v>0</v>
      </c>
      <c r="X319" s="69" t="n">
        <f aca="false">IF(X$258=1,Inputs!$D$51,0)</f>
        <v>0</v>
      </c>
      <c r="Y319" s="69" t="n">
        <f aca="false">IF(Y$258=1,Inputs!$D$51,0)</f>
        <v>0</v>
      </c>
      <c r="Z319" s="69" t="n">
        <f aca="false">IF(Z$258=1,Inputs!$D$51,0)</f>
        <v>0</v>
      </c>
      <c r="AA319" s="69" t="n">
        <f aca="false">IF(AA$258=1,Inputs!$D$51,0)</f>
        <v>0</v>
      </c>
      <c r="AB319" s="69" t="n">
        <f aca="false">IF(AB$258=1,Inputs!$D$51,0)</f>
        <v>0</v>
      </c>
      <c r="AC319" s="69" t="n">
        <f aca="false">IF(AC$258=1,Inputs!$D$51,0)</f>
        <v>0</v>
      </c>
      <c r="AD319" s="69" t="n">
        <f aca="false">IF(AD$258=1,Inputs!$D$51,0)</f>
        <v>0</v>
      </c>
      <c r="AE319" s="69" t="n">
        <f aca="false">IF(AE$258=1,Inputs!$D$51,0)</f>
        <v>0</v>
      </c>
      <c r="AF319" s="69" t="n">
        <f aca="false">IF(AF$258=1,Inputs!$D$51,0)</f>
        <v>0</v>
      </c>
      <c r="AG319" s="69" t="n">
        <f aca="false">IF(AG$258=1,Inputs!$D$51,0)</f>
        <v>0</v>
      </c>
      <c r="AH319" s="69" t="n">
        <f aca="false">IF(AH$258=1,Inputs!$D$51,0)</f>
        <v>0</v>
      </c>
      <c r="AI319" s="69" t="n">
        <f aca="false">IF(AI$258=1,Inputs!$D$51,0)</f>
        <v>0</v>
      </c>
      <c r="AJ319" s="69" t="n">
        <f aca="false">IF(AJ$258=1,Inputs!$D$51,0)</f>
        <v>0</v>
      </c>
      <c r="AK319" s="69" t="n">
        <f aca="false">IF(AK$258=1,Inputs!$D$51,0)</f>
        <v>0</v>
      </c>
      <c r="AL319" s="69" t="n">
        <f aca="false">IF(AL$258=1,Inputs!$D$51,0)</f>
        <v>0</v>
      </c>
      <c r="AM319" s="69" t="n">
        <f aca="false">IF(AM$258=1,Inputs!$D$51,0)</f>
        <v>0</v>
      </c>
      <c r="AN319" s="69" t="n">
        <f aca="false">IF(AN$258=1,Inputs!$D$51,0)</f>
        <v>0</v>
      </c>
      <c r="AO319" s="69" t="n">
        <f aca="false">IF(AO$258=1,Inputs!$D$51,0)</f>
        <v>0</v>
      </c>
      <c r="AP319" s="69" t="n">
        <f aca="false">IF(AP$258=1,Inputs!$D$51,0)</f>
        <v>0</v>
      </c>
      <c r="AQ319" s="69" t="n">
        <f aca="false">IF(AQ$258=1,Inputs!$D$51,0)</f>
        <v>0</v>
      </c>
      <c r="AR319" s="69" t="n">
        <f aca="false">IF(AR$258=1,Inputs!$D$51,0)</f>
        <v>0</v>
      </c>
      <c r="AS319" s="69" t="n">
        <f aca="false">IF(AS$258=1,Inputs!$D$51,0)</f>
        <v>0</v>
      </c>
      <c r="AT319" s="69" t="n">
        <f aca="false">IF(AT$258=1,Inputs!$D$51,0)</f>
        <v>0</v>
      </c>
      <c r="AU319" s="69" t="n">
        <f aca="false">IF(AU$258=1,Inputs!$D$51,0)</f>
        <v>0</v>
      </c>
      <c r="AV319" s="69" t="n">
        <f aca="false">IF(AV$258=1,Inputs!$D$51,0)</f>
        <v>0</v>
      </c>
      <c r="AW319" s="69" t="n">
        <f aca="false">IF(AW$258=1,Inputs!$D$51,0)</f>
        <v>0</v>
      </c>
      <c r="AX319" s="69" t="n">
        <f aca="false">IF(AX$258=1,Inputs!$D$51,0)</f>
        <v>0</v>
      </c>
      <c r="AY319" s="69" t="n">
        <f aca="false">IF(AY$258=1,Inputs!$D$51,0)</f>
        <v>0</v>
      </c>
      <c r="AZ319" s="69" t="n">
        <f aca="false">IF(AZ$258=1,Inputs!$D$51,0)</f>
        <v>0</v>
      </c>
      <c r="BA319" s="69" t="n">
        <f aca="false">IF(BA$258=1,Inputs!$D$51,0)</f>
        <v>0</v>
      </c>
      <c r="BB319" s="69" t="n">
        <f aca="false">IF(BB$258=1,Inputs!$D$51,0)</f>
        <v>0</v>
      </c>
      <c r="BC319" s="69" t="n">
        <f aca="false">IF(BC$258=1,Inputs!$D$51,0)</f>
        <v>0</v>
      </c>
      <c r="BD319" s="69" t="n">
        <f aca="false">IF(BD$258=1,Inputs!$D$51,0)</f>
        <v>0</v>
      </c>
      <c r="BE319" s="69" t="n">
        <f aca="false">IF(BE$258=1,Inputs!$D$51,0)</f>
        <v>0</v>
      </c>
      <c r="BF319" s="69" t="n">
        <f aca="false">IF(BF$258=1,Inputs!$D$51,0)</f>
        <v>0</v>
      </c>
      <c r="BG319" s="69" t="n">
        <f aca="false">IF(BG$258=1,Inputs!$D$51,0)</f>
        <v>0</v>
      </c>
      <c r="BH319" s="69" t="n">
        <f aca="false">IF(BH$258=1,Inputs!$D$51,0)</f>
        <v>0</v>
      </c>
      <c r="BI319" s="69" t="n">
        <f aca="false">IF(BI$258=1,Inputs!$D$51,0)</f>
        <v>0</v>
      </c>
      <c r="BJ319" s="69" t="n">
        <f aca="false">IF(BJ$258=1,Inputs!$D$51,0)</f>
        <v>0</v>
      </c>
    </row>
    <row r="320" customFormat="false" ht="15" hidden="false" customHeight="false" outlineLevel="0" collapsed="false">
      <c r="A320" s="6" t="s">
        <v>437</v>
      </c>
      <c r="C320" s="69" t="n">
        <f aca="false">IF(AND(C$259&gt;1,MOD(C$258-1,12)=0),Inputs!$D$52,0)</f>
        <v>0</v>
      </c>
      <c r="D320" s="69" t="n">
        <f aca="false">IF(AND(D$259&gt;1,MOD(D$258-1,12)=0),Inputs!$D$52,0)</f>
        <v>0</v>
      </c>
      <c r="E320" s="69" t="n">
        <f aca="false">IF(AND(E$259&gt;1,MOD(E$258-1,12)=0),Inputs!$D$52,0)</f>
        <v>0</v>
      </c>
      <c r="F320" s="69" t="n">
        <f aca="false">IF(AND(F$259&gt;1,MOD(F$258-1,12)=0),Inputs!$D$52,0)</f>
        <v>0</v>
      </c>
      <c r="G320" s="69" t="n">
        <f aca="false">IF(AND(G$259&gt;1,MOD(G$258-1,12)=0),Inputs!$D$52,0)</f>
        <v>0</v>
      </c>
      <c r="H320" s="69" t="n">
        <f aca="false">IF(AND(H$259&gt;1,MOD(H$258-1,12)=0),Inputs!$D$52,0)</f>
        <v>0</v>
      </c>
      <c r="I320" s="69" t="n">
        <f aca="false">IF(AND(I$259&gt;1,MOD(I$258-1,12)=0),Inputs!$D$52,0)</f>
        <v>0</v>
      </c>
      <c r="J320" s="69" t="n">
        <f aca="false">IF(AND(J$259&gt;1,MOD(J$258-1,12)=0),Inputs!$D$52,0)</f>
        <v>0</v>
      </c>
      <c r="K320" s="69" t="n">
        <f aca="false">IF(AND(K$259&gt;1,MOD(K$258-1,12)=0),Inputs!$D$52,0)</f>
        <v>0</v>
      </c>
      <c r="L320" s="69" t="n">
        <f aca="false">IF(AND(L$259&gt;1,MOD(L$258-1,12)=0),Inputs!$D$52,0)</f>
        <v>0</v>
      </c>
      <c r="M320" s="69" t="n">
        <f aca="false">IF(AND(M$259&gt;1,MOD(M$258-1,12)=0),Inputs!$D$52,0)</f>
        <v>0</v>
      </c>
      <c r="N320" s="69" t="n">
        <f aca="false">IF(AND(N$259&gt;1,MOD(N$258-1,12)=0),Inputs!$D$52,0)</f>
        <v>0</v>
      </c>
      <c r="O320" s="69" t="n">
        <f aca="false">IF(AND(O$259&gt;1,MOD(O$258-1,12)=0),Inputs!$D$52,0)</f>
        <v>10000</v>
      </c>
      <c r="P320" s="69" t="n">
        <f aca="false">IF(AND(P$259&gt;1,MOD(P$258-1,12)=0),Inputs!$D$52,0)</f>
        <v>0</v>
      </c>
      <c r="Q320" s="69" t="n">
        <f aca="false">IF(AND(Q$259&gt;1,MOD(Q$258-1,12)=0),Inputs!$D$52,0)</f>
        <v>0</v>
      </c>
      <c r="R320" s="69" t="n">
        <f aca="false">IF(AND(R$259&gt;1,MOD(R$258-1,12)=0),Inputs!$D$52,0)</f>
        <v>0</v>
      </c>
      <c r="S320" s="69" t="n">
        <f aca="false">IF(AND(S$259&gt;1,MOD(S$258-1,12)=0),Inputs!$D$52,0)</f>
        <v>0</v>
      </c>
      <c r="T320" s="69" t="n">
        <f aca="false">IF(AND(T$259&gt;1,MOD(T$258-1,12)=0),Inputs!$D$52,0)</f>
        <v>0</v>
      </c>
      <c r="U320" s="69" t="n">
        <f aca="false">IF(AND(U$259&gt;1,MOD(U$258-1,12)=0),Inputs!$D$52,0)</f>
        <v>0</v>
      </c>
      <c r="V320" s="69" t="n">
        <f aca="false">IF(AND(V$259&gt;1,MOD(V$258-1,12)=0),Inputs!$D$52,0)</f>
        <v>0</v>
      </c>
      <c r="W320" s="69" t="n">
        <f aca="false">IF(AND(W$259&gt;1,MOD(W$258-1,12)=0),Inputs!$D$52,0)</f>
        <v>0</v>
      </c>
      <c r="X320" s="69" t="n">
        <f aca="false">IF(AND(X$259&gt;1,MOD(X$258-1,12)=0),Inputs!$D$52,0)</f>
        <v>0</v>
      </c>
      <c r="Y320" s="69" t="n">
        <f aca="false">IF(AND(Y$259&gt;1,MOD(Y$258-1,12)=0),Inputs!$D$52,0)</f>
        <v>0</v>
      </c>
      <c r="Z320" s="69" t="n">
        <f aca="false">IF(AND(Z$259&gt;1,MOD(Z$258-1,12)=0),Inputs!$D$52,0)</f>
        <v>0</v>
      </c>
      <c r="AA320" s="69" t="n">
        <f aca="false">IF(AND(AA$259&gt;1,MOD(AA$258-1,12)=0),Inputs!$D$52,0)</f>
        <v>10000</v>
      </c>
      <c r="AB320" s="69" t="n">
        <f aca="false">IF(AND(AB$259&gt;1,MOD(AB$258-1,12)=0),Inputs!$D$52,0)</f>
        <v>0</v>
      </c>
      <c r="AC320" s="69" t="n">
        <f aca="false">IF(AND(AC$259&gt;1,MOD(AC$258-1,12)=0),Inputs!$D$52,0)</f>
        <v>0</v>
      </c>
      <c r="AD320" s="69" t="n">
        <f aca="false">IF(AND(AD$259&gt;1,MOD(AD$258-1,12)=0),Inputs!$D$52,0)</f>
        <v>0</v>
      </c>
      <c r="AE320" s="69" t="n">
        <f aca="false">IF(AND(AE$259&gt;1,MOD(AE$258-1,12)=0),Inputs!$D$52,0)</f>
        <v>0</v>
      </c>
      <c r="AF320" s="69" t="n">
        <f aca="false">IF(AND(AF$259&gt;1,MOD(AF$258-1,12)=0),Inputs!$D$52,0)</f>
        <v>0</v>
      </c>
      <c r="AG320" s="69" t="n">
        <f aca="false">IF(AND(AG$259&gt;1,MOD(AG$258-1,12)=0),Inputs!$D$52,0)</f>
        <v>0</v>
      </c>
      <c r="AH320" s="69" t="n">
        <f aca="false">IF(AND(AH$259&gt;1,MOD(AH$258-1,12)=0),Inputs!$D$52,0)</f>
        <v>0</v>
      </c>
      <c r="AI320" s="69" t="n">
        <f aca="false">IF(AND(AI$259&gt;1,MOD(AI$258-1,12)=0),Inputs!$D$52,0)</f>
        <v>0</v>
      </c>
      <c r="AJ320" s="69" t="n">
        <f aca="false">IF(AND(AJ$259&gt;1,MOD(AJ$258-1,12)=0),Inputs!$D$52,0)</f>
        <v>0</v>
      </c>
      <c r="AK320" s="69" t="n">
        <f aca="false">IF(AND(AK$259&gt;1,MOD(AK$258-1,12)=0),Inputs!$D$52,0)</f>
        <v>0</v>
      </c>
      <c r="AL320" s="69" t="n">
        <f aca="false">IF(AND(AL$259&gt;1,MOD(AL$258-1,12)=0),Inputs!$D$52,0)</f>
        <v>0</v>
      </c>
      <c r="AM320" s="69" t="n">
        <f aca="false">IF(AND(AM$259&gt;1,MOD(AM$258-1,12)=0),Inputs!$D$52,0)</f>
        <v>10000</v>
      </c>
      <c r="AN320" s="69" t="n">
        <f aca="false">IF(AND(AN$259&gt;1,MOD(AN$258-1,12)=0),Inputs!$D$52,0)</f>
        <v>0</v>
      </c>
      <c r="AO320" s="69" t="n">
        <f aca="false">IF(AND(AO$259&gt;1,MOD(AO$258-1,12)=0),Inputs!$D$52,0)</f>
        <v>0</v>
      </c>
      <c r="AP320" s="69" t="n">
        <f aca="false">IF(AND(AP$259&gt;1,MOD(AP$258-1,12)=0),Inputs!$D$52,0)</f>
        <v>0</v>
      </c>
      <c r="AQ320" s="69" t="n">
        <f aca="false">IF(AND(AQ$259&gt;1,MOD(AQ$258-1,12)=0),Inputs!$D$52,0)</f>
        <v>0</v>
      </c>
      <c r="AR320" s="69" t="n">
        <f aca="false">IF(AND(AR$259&gt;1,MOD(AR$258-1,12)=0),Inputs!$D$52,0)</f>
        <v>0</v>
      </c>
      <c r="AS320" s="69" t="n">
        <f aca="false">IF(AND(AS$259&gt;1,MOD(AS$258-1,12)=0),Inputs!$D$52,0)</f>
        <v>0</v>
      </c>
      <c r="AT320" s="69" t="n">
        <f aca="false">IF(AND(AT$259&gt;1,MOD(AT$258-1,12)=0),Inputs!$D$52,0)</f>
        <v>0</v>
      </c>
      <c r="AU320" s="69" t="n">
        <f aca="false">IF(AND(AU$259&gt;1,MOD(AU$258-1,12)=0),Inputs!$D$52,0)</f>
        <v>0</v>
      </c>
      <c r="AV320" s="69" t="n">
        <f aca="false">IF(AND(AV$259&gt;1,MOD(AV$258-1,12)=0),Inputs!$D$52,0)</f>
        <v>0</v>
      </c>
      <c r="AW320" s="69" t="n">
        <f aca="false">IF(AND(AW$259&gt;1,MOD(AW$258-1,12)=0),Inputs!$D$52,0)</f>
        <v>0</v>
      </c>
      <c r="AX320" s="69" t="n">
        <f aca="false">IF(AND(AX$259&gt;1,MOD(AX$258-1,12)=0),Inputs!$D$52,0)</f>
        <v>0</v>
      </c>
      <c r="AY320" s="69" t="n">
        <f aca="false">IF(AND(AY$259&gt;1,MOD(AY$258-1,12)=0),Inputs!$D$52,0)</f>
        <v>10000</v>
      </c>
      <c r="AZ320" s="69" t="n">
        <f aca="false">IF(AND(AZ$259&gt;1,MOD(AZ$258-1,12)=0),Inputs!$D$52,0)</f>
        <v>0</v>
      </c>
      <c r="BA320" s="69" t="n">
        <f aca="false">IF(AND(BA$259&gt;1,MOD(BA$258-1,12)=0),Inputs!$D$52,0)</f>
        <v>0</v>
      </c>
      <c r="BB320" s="69" t="n">
        <f aca="false">IF(AND(BB$259&gt;1,MOD(BB$258-1,12)=0),Inputs!$D$52,0)</f>
        <v>0</v>
      </c>
      <c r="BC320" s="69" t="n">
        <f aca="false">IF(AND(BC$259&gt;1,MOD(BC$258-1,12)=0),Inputs!$D$52,0)</f>
        <v>0</v>
      </c>
      <c r="BD320" s="69" t="n">
        <f aca="false">IF(AND(BD$259&gt;1,MOD(BD$258-1,12)=0),Inputs!$D$52,0)</f>
        <v>0</v>
      </c>
      <c r="BE320" s="69" t="n">
        <f aca="false">IF(AND(BE$259&gt;1,MOD(BE$258-1,12)=0),Inputs!$D$52,0)</f>
        <v>0</v>
      </c>
      <c r="BF320" s="69" t="n">
        <f aca="false">IF(AND(BF$259&gt;1,MOD(BF$258-1,12)=0),Inputs!$D$52,0)</f>
        <v>0</v>
      </c>
      <c r="BG320" s="69" t="n">
        <f aca="false">IF(AND(BG$259&gt;1,MOD(BG$258-1,12)=0),Inputs!$D$52,0)</f>
        <v>0</v>
      </c>
      <c r="BH320" s="69" t="n">
        <f aca="false">IF(AND(BH$259&gt;1,MOD(BH$258-1,12)=0),Inputs!$D$52,0)</f>
        <v>0</v>
      </c>
      <c r="BI320" s="69" t="n">
        <f aca="false">IF(AND(BI$259&gt;1,MOD(BI$258-1,12)=0),Inputs!$D$52,0)</f>
        <v>0</v>
      </c>
      <c r="BJ320" s="69" t="n">
        <f aca="false">IF(AND(BJ$259&gt;1,MOD(BJ$258-1,12)=0),Inputs!$D$52,0)</f>
        <v>0</v>
      </c>
    </row>
    <row r="321" customFormat="false" ht="15" hidden="false" customHeight="false" outlineLevel="0" collapsed="false">
      <c r="A321" s="4" t="s">
        <v>84</v>
      </c>
      <c r="C321" s="75" t="n">
        <f aca="false">C316+C317+C318+C319+C320</f>
        <v>189000</v>
      </c>
      <c r="D321" s="75" t="n">
        <f aca="false">D316+D317+D318+D319+D320</f>
        <v>0</v>
      </c>
      <c r="E321" s="75" t="n">
        <f aca="false">E316+E317+E318+E319+E320</f>
        <v>0</v>
      </c>
      <c r="F321" s="75" t="n">
        <f aca="false">F316+F317+F318+F319+F320</f>
        <v>0</v>
      </c>
      <c r="G321" s="75" t="n">
        <f aca="false">G316+G317+G318+G319+G320</f>
        <v>0</v>
      </c>
      <c r="H321" s="75" t="n">
        <f aca="false">H316+H317+H318+H319+H320</f>
        <v>0</v>
      </c>
      <c r="I321" s="75" t="n">
        <f aca="false">I316+I317+I318+I319+I320</f>
        <v>0</v>
      </c>
      <c r="J321" s="75" t="n">
        <f aca="false">J316+J317+J318+J319+J320</f>
        <v>0</v>
      </c>
      <c r="K321" s="75" t="n">
        <f aca="false">K316+K317+K318+K319+K320</f>
        <v>0</v>
      </c>
      <c r="L321" s="75" t="n">
        <f aca="false">L316+L317+L318+L319+L320</f>
        <v>0</v>
      </c>
      <c r="M321" s="75" t="n">
        <f aca="false">M316+M317+M318+M319+M320</f>
        <v>0</v>
      </c>
      <c r="N321" s="75" t="n">
        <f aca="false">N316+N317+N318+N319+N320</f>
        <v>0</v>
      </c>
      <c r="O321" s="75" t="n">
        <f aca="false">O316+O317+O318+O319+O320</f>
        <v>10000</v>
      </c>
      <c r="P321" s="75" t="n">
        <f aca="false">P316+P317+P318+P319+P320</f>
        <v>0</v>
      </c>
      <c r="Q321" s="75" t="n">
        <f aca="false">Q316+Q317+Q318+Q319+Q320</f>
        <v>0</v>
      </c>
      <c r="R321" s="75" t="n">
        <f aca="false">R316+R317+R318+R319+R320</f>
        <v>0</v>
      </c>
      <c r="S321" s="75" t="n">
        <f aca="false">S316+S317+S318+S319+S320</f>
        <v>0</v>
      </c>
      <c r="T321" s="75" t="n">
        <f aca="false">T316+T317+T318+T319+T320</f>
        <v>0</v>
      </c>
      <c r="U321" s="75" t="n">
        <f aca="false">U316+U317+U318+U319+U320</f>
        <v>0</v>
      </c>
      <c r="V321" s="75" t="n">
        <f aca="false">V316+V317+V318+V319+V320</f>
        <v>0</v>
      </c>
      <c r="W321" s="75" t="n">
        <f aca="false">W316+W317+W318+W319+W320</f>
        <v>0</v>
      </c>
      <c r="X321" s="75" t="n">
        <f aca="false">X316+X317+X318+X319+X320</f>
        <v>0</v>
      </c>
      <c r="Y321" s="75" t="n">
        <f aca="false">Y316+Y317+Y318+Y319+Y320</f>
        <v>0</v>
      </c>
      <c r="Z321" s="75" t="n">
        <f aca="false">Z316+Z317+Z318+Z319+Z320</f>
        <v>0</v>
      </c>
      <c r="AA321" s="75" t="n">
        <f aca="false">AA316+AA317+AA318+AA319+AA320</f>
        <v>10000</v>
      </c>
      <c r="AB321" s="75" t="n">
        <f aca="false">AB316+AB317+AB318+AB319+AB320</f>
        <v>0</v>
      </c>
      <c r="AC321" s="75" t="n">
        <f aca="false">AC316+AC317+AC318+AC319+AC320</f>
        <v>0</v>
      </c>
      <c r="AD321" s="75" t="n">
        <f aca="false">AD316+AD317+AD318+AD319+AD320</f>
        <v>0</v>
      </c>
      <c r="AE321" s="75" t="n">
        <f aca="false">AE316+AE317+AE318+AE319+AE320</f>
        <v>0</v>
      </c>
      <c r="AF321" s="75" t="n">
        <f aca="false">AF316+AF317+AF318+AF319+AF320</f>
        <v>0</v>
      </c>
      <c r="AG321" s="75" t="n">
        <f aca="false">AG316+AG317+AG318+AG319+AG320</f>
        <v>0</v>
      </c>
      <c r="AH321" s="75" t="n">
        <f aca="false">AH316+AH317+AH318+AH319+AH320</f>
        <v>0</v>
      </c>
      <c r="AI321" s="75" t="n">
        <f aca="false">AI316+AI317+AI318+AI319+AI320</f>
        <v>0</v>
      </c>
      <c r="AJ321" s="75" t="n">
        <f aca="false">AJ316+AJ317+AJ318+AJ319+AJ320</f>
        <v>0</v>
      </c>
      <c r="AK321" s="75" t="n">
        <f aca="false">AK316+AK317+AK318+AK319+AK320</f>
        <v>0</v>
      </c>
      <c r="AL321" s="75" t="n">
        <f aca="false">AL316+AL317+AL318+AL319+AL320</f>
        <v>0</v>
      </c>
      <c r="AM321" s="75" t="n">
        <f aca="false">AM316+AM317+AM318+AM319+AM320</f>
        <v>10000</v>
      </c>
      <c r="AN321" s="75" t="n">
        <f aca="false">AN316+AN317+AN318+AN319+AN320</f>
        <v>0</v>
      </c>
      <c r="AO321" s="75" t="n">
        <f aca="false">AO316+AO317+AO318+AO319+AO320</f>
        <v>0</v>
      </c>
      <c r="AP321" s="75" t="n">
        <f aca="false">AP316+AP317+AP318+AP319+AP320</f>
        <v>0</v>
      </c>
      <c r="AQ321" s="75" t="n">
        <f aca="false">AQ316+AQ317+AQ318+AQ319+AQ320</f>
        <v>0</v>
      </c>
      <c r="AR321" s="75" t="n">
        <f aca="false">AR316+AR317+AR318+AR319+AR320</f>
        <v>0</v>
      </c>
      <c r="AS321" s="75" t="n">
        <f aca="false">AS316+AS317+AS318+AS319+AS320</f>
        <v>0</v>
      </c>
      <c r="AT321" s="75" t="n">
        <f aca="false">AT316+AT317+AT318+AT319+AT320</f>
        <v>0</v>
      </c>
      <c r="AU321" s="75" t="n">
        <f aca="false">AU316+AU317+AU318+AU319+AU320</f>
        <v>0</v>
      </c>
      <c r="AV321" s="75" t="n">
        <f aca="false">AV316+AV317+AV318+AV319+AV320</f>
        <v>0</v>
      </c>
      <c r="AW321" s="75" t="n">
        <f aca="false">AW316+AW317+AW318+AW319+AW320</f>
        <v>0</v>
      </c>
      <c r="AX321" s="75" t="n">
        <f aca="false">AX316+AX317+AX318+AX319+AX320</f>
        <v>0</v>
      </c>
      <c r="AY321" s="75" t="n">
        <f aca="false">AY316+AY317+AY318+AY319+AY320</f>
        <v>10000</v>
      </c>
      <c r="AZ321" s="75" t="n">
        <f aca="false">AZ316+AZ317+AZ318+AZ319+AZ320</f>
        <v>0</v>
      </c>
      <c r="BA321" s="75" t="n">
        <f aca="false">BA316+BA317+BA318+BA319+BA320</f>
        <v>0</v>
      </c>
      <c r="BB321" s="75" t="n">
        <f aca="false">BB316+BB317+BB318+BB319+BB320</f>
        <v>0</v>
      </c>
      <c r="BC321" s="75" t="n">
        <f aca="false">BC316+BC317+BC318+BC319+BC320</f>
        <v>0</v>
      </c>
      <c r="BD321" s="75" t="n">
        <f aca="false">BD316+BD317+BD318+BD319+BD320</f>
        <v>0</v>
      </c>
      <c r="BE321" s="75" t="n">
        <f aca="false">BE316+BE317+BE318+BE319+BE320</f>
        <v>0</v>
      </c>
      <c r="BF321" s="75" t="n">
        <f aca="false">BF316+BF317+BF318+BF319+BF320</f>
        <v>0</v>
      </c>
      <c r="BG321" s="75" t="n">
        <f aca="false">BG316+BG317+BG318+BG319+BG320</f>
        <v>0</v>
      </c>
      <c r="BH321" s="75" t="n">
        <f aca="false">BH316+BH317+BH318+BH319+BH320</f>
        <v>0</v>
      </c>
      <c r="BI321" s="75" t="n">
        <f aca="false">BI316+BI317+BI318+BI319+BI320</f>
        <v>0</v>
      </c>
      <c r="BJ321" s="75" t="n">
        <f aca="false">BJ316+BJ317+BJ318+BJ319+BJ320</f>
        <v>0</v>
      </c>
    </row>
    <row r="322" customFormat="false" ht="15" hidden="false" customHeight="false" outlineLevel="0" collapsed="false">
      <c r="A322" s="6" t="s">
        <v>438</v>
      </c>
      <c r="C322" s="69" t="n">
        <f aca="false">C321</f>
        <v>189000</v>
      </c>
      <c r="D322" s="69" t="n">
        <f aca="false">C322+D321</f>
        <v>189000</v>
      </c>
      <c r="E322" s="69" t="n">
        <f aca="false">D322+E321</f>
        <v>189000</v>
      </c>
      <c r="F322" s="69" t="n">
        <f aca="false">E322+F321</f>
        <v>189000</v>
      </c>
      <c r="G322" s="69" t="n">
        <f aca="false">F322+G321</f>
        <v>189000</v>
      </c>
      <c r="H322" s="69" t="n">
        <f aca="false">G322+H321</f>
        <v>189000</v>
      </c>
      <c r="I322" s="69" t="n">
        <f aca="false">H322+I321</f>
        <v>189000</v>
      </c>
      <c r="J322" s="69" t="n">
        <f aca="false">I322+J321</f>
        <v>189000</v>
      </c>
      <c r="K322" s="69" t="n">
        <f aca="false">J322+K321</f>
        <v>189000</v>
      </c>
      <c r="L322" s="69" t="n">
        <f aca="false">K322+L321</f>
        <v>189000</v>
      </c>
      <c r="M322" s="69" t="n">
        <f aca="false">L322+M321</f>
        <v>189000</v>
      </c>
      <c r="N322" s="69" t="n">
        <f aca="false">M322+N321</f>
        <v>189000</v>
      </c>
      <c r="O322" s="69" t="n">
        <f aca="false">N322+O321</f>
        <v>199000</v>
      </c>
      <c r="P322" s="69" t="n">
        <f aca="false">O322+P321</f>
        <v>199000</v>
      </c>
      <c r="Q322" s="69" t="n">
        <f aca="false">P322+Q321</f>
        <v>199000</v>
      </c>
      <c r="R322" s="69" t="n">
        <f aca="false">Q322+R321</f>
        <v>199000</v>
      </c>
      <c r="S322" s="69" t="n">
        <f aca="false">R322+S321</f>
        <v>199000</v>
      </c>
      <c r="T322" s="69" t="n">
        <f aca="false">S322+T321</f>
        <v>199000</v>
      </c>
      <c r="U322" s="69" t="n">
        <f aca="false">T322+U321</f>
        <v>199000</v>
      </c>
      <c r="V322" s="69" t="n">
        <f aca="false">U322+V321</f>
        <v>199000</v>
      </c>
      <c r="W322" s="69" t="n">
        <f aca="false">V322+W321</f>
        <v>199000</v>
      </c>
      <c r="X322" s="69" t="n">
        <f aca="false">W322+X321</f>
        <v>199000</v>
      </c>
      <c r="Y322" s="69" t="n">
        <f aca="false">X322+Y321</f>
        <v>199000</v>
      </c>
      <c r="Z322" s="69" t="n">
        <f aca="false">Y322+Z321</f>
        <v>199000</v>
      </c>
      <c r="AA322" s="69" t="n">
        <f aca="false">Z322+AA321</f>
        <v>209000</v>
      </c>
      <c r="AB322" s="69" t="n">
        <f aca="false">AA322+AB321</f>
        <v>209000</v>
      </c>
      <c r="AC322" s="69" t="n">
        <f aca="false">AB322+AC321</f>
        <v>209000</v>
      </c>
      <c r="AD322" s="69" t="n">
        <f aca="false">AC322+AD321</f>
        <v>209000</v>
      </c>
      <c r="AE322" s="69" t="n">
        <f aca="false">AD322+AE321</f>
        <v>209000</v>
      </c>
      <c r="AF322" s="69" t="n">
        <f aca="false">AE322+AF321</f>
        <v>209000</v>
      </c>
      <c r="AG322" s="69" t="n">
        <f aca="false">AF322+AG321</f>
        <v>209000</v>
      </c>
      <c r="AH322" s="69" t="n">
        <f aca="false">AG322+AH321</f>
        <v>209000</v>
      </c>
      <c r="AI322" s="69" t="n">
        <f aca="false">AH322+AI321</f>
        <v>209000</v>
      </c>
      <c r="AJ322" s="69" t="n">
        <f aca="false">AI322+AJ321</f>
        <v>209000</v>
      </c>
      <c r="AK322" s="69" t="n">
        <f aca="false">AJ322+AK321</f>
        <v>209000</v>
      </c>
      <c r="AL322" s="69" t="n">
        <f aca="false">AK322+AL321</f>
        <v>209000</v>
      </c>
      <c r="AM322" s="69" t="n">
        <f aca="false">AL322+AM321</f>
        <v>219000</v>
      </c>
      <c r="AN322" s="69" t="n">
        <f aca="false">AM322+AN321</f>
        <v>219000</v>
      </c>
      <c r="AO322" s="69" t="n">
        <f aca="false">AN322+AO321</f>
        <v>219000</v>
      </c>
      <c r="AP322" s="69" t="n">
        <f aca="false">AO322+AP321</f>
        <v>219000</v>
      </c>
      <c r="AQ322" s="69" t="n">
        <f aca="false">AP322+AQ321</f>
        <v>219000</v>
      </c>
      <c r="AR322" s="69" t="n">
        <f aca="false">AQ322+AR321</f>
        <v>219000</v>
      </c>
      <c r="AS322" s="69" t="n">
        <f aca="false">AR322+AS321</f>
        <v>219000</v>
      </c>
      <c r="AT322" s="69" t="n">
        <f aca="false">AS322+AT321</f>
        <v>219000</v>
      </c>
      <c r="AU322" s="69" t="n">
        <f aca="false">AT322+AU321</f>
        <v>219000</v>
      </c>
      <c r="AV322" s="69" t="n">
        <f aca="false">AU322+AV321</f>
        <v>219000</v>
      </c>
      <c r="AW322" s="69" t="n">
        <f aca="false">AV322+AW321</f>
        <v>219000</v>
      </c>
      <c r="AX322" s="69" t="n">
        <f aca="false">AW322+AX321</f>
        <v>219000</v>
      </c>
      <c r="AY322" s="69" t="n">
        <f aca="false">AX322+AY321</f>
        <v>229000</v>
      </c>
      <c r="AZ322" s="69" t="n">
        <f aca="false">AY322+AZ321</f>
        <v>229000</v>
      </c>
      <c r="BA322" s="69" t="n">
        <f aca="false">AZ322+BA321</f>
        <v>229000</v>
      </c>
      <c r="BB322" s="69" t="n">
        <f aca="false">BA322+BB321</f>
        <v>229000</v>
      </c>
      <c r="BC322" s="69" t="n">
        <f aca="false">BB322+BC321</f>
        <v>229000</v>
      </c>
      <c r="BD322" s="69" t="n">
        <f aca="false">BC322+BD321</f>
        <v>229000</v>
      </c>
      <c r="BE322" s="69" t="n">
        <f aca="false">BD322+BE321</f>
        <v>229000</v>
      </c>
      <c r="BF322" s="69" t="n">
        <f aca="false">BE322+BF321</f>
        <v>229000</v>
      </c>
      <c r="BG322" s="69" t="n">
        <f aca="false">BF322+BG321</f>
        <v>229000</v>
      </c>
      <c r="BH322" s="69" t="n">
        <f aca="false">BG322+BH321</f>
        <v>229000</v>
      </c>
      <c r="BI322" s="69" t="n">
        <f aca="false">BH322+BI321</f>
        <v>229000</v>
      </c>
      <c r="BJ322" s="69" t="n">
        <f aca="false">BI322+BJ321</f>
        <v>229000</v>
      </c>
    </row>
    <row r="323" customFormat="false" ht="15" hidden="false" customHeight="false" outlineLevel="0" collapsed="false">
      <c r="A323" s="6" t="s">
        <v>439</v>
      </c>
      <c r="C323" s="69" t="n">
        <f aca="false">C319</f>
        <v>0</v>
      </c>
      <c r="D323" s="69" t="n">
        <f aca="false">C323+D319</f>
        <v>0</v>
      </c>
      <c r="E323" s="69" t="n">
        <f aca="false">D323+E319</f>
        <v>0</v>
      </c>
      <c r="F323" s="69" t="n">
        <f aca="false">E323+F319</f>
        <v>0</v>
      </c>
      <c r="G323" s="69" t="n">
        <f aca="false">F323+G319</f>
        <v>0</v>
      </c>
      <c r="H323" s="69" t="n">
        <f aca="false">G323+H319</f>
        <v>0</v>
      </c>
      <c r="I323" s="69" t="n">
        <f aca="false">H323+I319</f>
        <v>0</v>
      </c>
      <c r="J323" s="69" t="n">
        <f aca="false">I323+J319</f>
        <v>0</v>
      </c>
      <c r="K323" s="69" t="n">
        <f aca="false">J323+K319</f>
        <v>0</v>
      </c>
      <c r="L323" s="69" t="n">
        <f aca="false">K323+L319</f>
        <v>0</v>
      </c>
      <c r="M323" s="69" t="n">
        <f aca="false">L323+M319</f>
        <v>0</v>
      </c>
      <c r="N323" s="69" t="n">
        <f aca="false">M323+N319</f>
        <v>0</v>
      </c>
      <c r="O323" s="69" t="n">
        <f aca="false">N323+O319</f>
        <v>0</v>
      </c>
      <c r="P323" s="69" t="n">
        <f aca="false">O323+P319</f>
        <v>0</v>
      </c>
      <c r="Q323" s="69" t="n">
        <f aca="false">P323+Q319</f>
        <v>0</v>
      </c>
      <c r="R323" s="69" t="n">
        <f aca="false">Q323+R319</f>
        <v>0</v>
      </c>
      <c r="S323" s="69" t="n">
        <f aca="false">R323+S319</f>
        <v>0</v>
      </c>
      <c r="T323" s="69" t="n">
        <f aca="false">S323+T319</f>
        <v>0</v>
      </c>
      <c r="U323" s="69" t="n">
        <f aca="false">T323+U319</f>
        <v>0</v>
      </c>
      <c r="V323" s="69" t="n">
        <f aca="false">U323+V319</f>
        <v>0</v>
      </c>
      <c r="W323" s="69" t="n">
        <f aca="false">V323+W319</f>
        <v>0</v>
      </c>
      <c r="X323" s="69" t="n">
        <f aca="false">W323+X319</f>
        <v>0</v>
      </c>
      <c r="Y323" s="69" t="n">
        <f aca="false">X323+Y319</f>
        <v>0</v>
      </c>
      <c r="Z323" s="69" t="n">
        <f aca="false">Y323+Z319</f>
        <v>0</v>
      </c>
      <c r="AA323" s="69" t="n">
        <f aca="false">Z323+AA319</f>
        <v>0</v>
      </c>
      <c r="AB323" s="69" t="n">
        <f aca="false">AA323+AB319</f>
        <v>0</v>
      </c>
      <c r="AC323" s="69" t="n">
        <f aca="false">AB323+AC319</f>
        <v>0</v>
      </c>
      <c r="AD323" s="69" t="n">
        <f aca="false">AC323+AD319</f>
        <v>0</v>
      </c>
      <c r="AE323" s="69" t="n">
        <f aca="false">AD323+AE319</f>
        <v>0</v>
      </c>
      <c r="AF323" s="69" t="n">
        <f aca="false">AE323+AF319</f>
        <v>0</v>
      </c>
      <c r="AG323" s="69" t="n">
        <f aca="false">AF323+AG319</f>
        <v>0</v>
      </c>
      <c r="AH323" s="69" t="n">
        <f aca="false">AG323+AH319</f>
        <v>0</v>
      </c>
      <c r="AI323" s="69" t="n">
        <f aca="false">AH323+AI319</f>
        <v>0</v>
      </c>
      <c r="AJ323" s="69" t="n">
        <f aca="false">AI323+AJ319</f>
        <v>0</v>
      </c>
      <c r="AK323" s="69" t="n">
        <f aca="false">AJ323+AK319</f>
        <v>0</v>
      </c>
      <c r="AL323" s="69" t="n">
        <f aca="false">AK323+AL319</f>
        <v>0</v>
      </c>
      <c r="AM323" s="69" t="n">
        <f aca="false">AL323+AM319</f>
        <v>0</v>
      </c>
      <c r="AN323" s="69" t="n">
        <f aca="false">AM323+AN319</f>
        <v>0</v>
      </c>
      <c r="AO323" s="69" t="n">
        <f aca="false">AN323+AO319</f>
        <v>0</v>
      </c>
      <c r="AP323" s="69" t="n">
        <f aca="false">AO323+AP319</f>
        <v>0</v>
      </c>
      <c r="AQ323" s="69" t="n">
        <f aca="false">AP323+AQ319</f>
        <v>0</v>
      </c>
      <c r="AR323" s="69" t="n">
        <f aca="false">AQ323+AR319</f>
        <v>0</v>
      </c>
      <c r="AS323" s="69" t="n">
        <f aca="false">AR323+AS319</f>
        <v>0</v>
      </c>
      <c r="AT323" s="69" t="n">
        <f aca="false">AS323+AT319</f>
        <v>0</v>
      </c>
      <c r="AU323" s="69" t="n">
        <f aca="false">AT323+AU319</f>
        <v>0</v>
      </c>
      <c r="AV323" s="69" t="n">
        <f aca="false">AU323+AV319</f>
        <v>0</v>
      </c>
      <c r="AW323" s="69" t="n">
        <f aca="false">AV323+AW319</f>
        <v>0</v>
      </c>
      <c r="AX323" s="69" t="n">
        <f aca="false">AW323+AX319</f>
        <v>0</v>
      </c>
      <c r="AY323" s="69" t="n">
        <f aca="false">AX323+AY319</f>
        <v>0</v>
      </c>
      <c r="AZ323" s="69" t="n">
        <f aca="false">AY323+AZ319</f>
        <v>0</v>
      </c>
      <c r="BA323" s="69" t="n">
        <f aca="false">AZ323+BA319</f>
        <v>0</v>
      </c>
      <c r="BB323" s="69" t="n">
        <f aca="false">BA323+BB319</f>
        <v>0</v>
      </c>
      <c r="BC323" s="69" t="n">
        <f aca="false">BB323+BC319</f>
        <v>0</v>
      </c>
      <c r="BD323" s="69" t="n">
        <f aca="false">BC323+BD319</f>
        <v>0</v>
      </c>
      <c r="BE323" s="69" t="n">
        <f aca="false">BD323+BE319</f>
        <v>0</v>
      </c>
      <c r="BF323" s="69" t="n">
        <f aca="false">BE323+BF319</f>
        <v>0</v>
      </c>
      <c r="BG323" s="69" t="n">
        <f aca="false">BF323+BG319</f>
        <v>0</v>
      </c>
      <c r="BH323" s="69" t="n">
        <f aca="false">BG323+BH319</f>
        <v>0</v>
      </c>
      <c r="BI323" s="69" t="n">
        <f aca="false">BH323+BI319</f>
        <v>0</v>
      </c>
      <c r="BJ323" s="69" t="n">
        <f aca="false">BI323+BJ319</f>
        <v>0</v>
      </c>
    </row>
    <row r="324" customFormat="false" ht="15" hidden="false" customHeight="false" outlineLevel="0" collapsed="false">
      <c r="A324" s="6" t="s">
        <v>78</v>
      </c>
      <c r="C324" s="69" t="n">
        <f aca="false">-MIN((C322-C323)/MAX(1,Inputs!$D$82*12),C321-C323)</f>
        <v>-1968.75</v>
      </c>
      <c r="D324" s="69" t="n">
        <f aca="false">-MIN((D322-D323)/MAX(1,Inputs!$D$82*12),C326+D321-D323)</f>
        <v>-1968.75</v>
      </c>
      <c r="E324" s="69" t="n">
        <f aca="false">-MIN((E322-E323)/MAX(1,Inputs!$D$82*12),D326+E321-E323)</f>
        <v>-1968.75</v>
      </c>
      <c r="F324" s="69" t="n">
        <f aca="false">-MIN((F322-F323)/MAX(1,Inputs!$D$82*12),E326+F321-F323)</f>
        <v>-1968.75</v>
      </c>
      <c r="G324" s="69" t="n">
        <f aca="false">-MIN((G322-G323)/MAX(1,Inputs!$D$82*12),F326+G321-G323)</f>
        <v>-1968.75</v>
      </c>
      <c r="H324" s="69" t="n">
        <f aca="false">-MIN((H322-H323)/MAX(1,Inputs!$D$82*12),G326+H321-H323)</f>
        <v>-1968.75</v>
      </c>
      <c r="I324" s="69" t="n">
        <f aca="false">-MIN((I322-I323)/MAX(1,Inputs!$D$82*12),H326+I321-I323)</f>
        <v>-1968.75</v>
      </c>
      <c r="J324" s="69" t="n">
        <f aca="false">-MIN((J322-J323)/MAX(1,Inputs!$D$82*12),I326+J321-J323)</f>
        <v>-1968.75</v>
      </c>
      <c r="K324" s="69" t="n">
        <f aca="false">-MIN((K322-K323)/MAX(1,Inputs!$D$82*12),J326+K321-K323)</f>
        <v>-1968.75</v>
      </c>
      <c r="L324" s="69" t="n">
        <f aca="false">-MIN((L322-L323)/MAX(1,Inputs!$D$82*12),K326+L321-L323)</f>
        <v>-1968.75</v>
      </c>
      <c r="M324" s="69" t="n">
        <f aca="false">-MIN((M322-M323)/MAX(1,Inputs!$D$82*12),L326+M321-M323)</f>
        <v>-1968.75</v>
      </c>
      <c r="N324" s="69" t="n">
        <f aca="false">-MIN((N322-N323)/MAX(1,Inputs!$D$82*12),M326+N321-N323)</f>
        <v>-1968.75</v>
      </c>
      <c r="O324" s="69" t="n">
        <f aca="false">-MIN((O322-O323)/MAX(1,Inputs!$D$82*12),N326+O321-O323)</f>
        <v>-2072.91666666667</v>
      </c>
      <c r="P324" s="69" t="n">
        <f aca="false">-MIN((P322-P323)/MAX(1,Inputs!$D$82*12),O326+P321-P323)</f>
        <v>-2072.91666666667</v>
      </c>
      <c r="Q324" s="69" t="n">
        <f aca="false">-MIN((Q322-Q323)/MAX(1,Inputs!$D$82*12),P326+Q321-Q323)</f>
        <v>-2072.91666666667</v>
      </c>
      <c r="R324" s="69" t="n">
        <f aca="false">-MIN((R322-R323)/MAX(1,Inputs!$D$82*12),Q326+R321-R323)</f>
        <v>-2072.91666666667</v>
      </c>
      <c r="S324" s="69" t="n">
        <f aca="false">-MIN((S322-S323)/MAX(1,Inputs!$D$82*12),R326+S321-S323)</f>
        <v>-2072.91666666667</v>
      </c>
      <c r="T324" s="69" t="n">
        <f aca="false">-MIN((T322-T323)/MAX(1,Inputs!$D$82*12),S326+T321-T323)</f>
        <v>-2072.91666666667</v>
      </c>
      <c r="U324" s="69" t="n">
        <f aca="false">-MIN((U322-U323)/MAX(1,Inputs!$D$82*12),T326+U321-U323)</f>
        <v>-2072.91666666667</v>
      </c>
      <c r="V324" s="69" t="n">
        <f aca="false">-MIN((V322-V323)/MAX(1,Inputs!$D$82*12),U326+V321-V323)</f>
        <v>-2072.91666666667</v>
      </c>
      <c r="W324" s="69" t="n">
        <f aca="false">-MIN((W322-W323)/MAX(1,Inputs!$D$82*12),V326+W321-W323)</f>
        <v>-2072.91666666667</v>
      </c>
      <c r="X324" s="69" t="n">
        <f aca="false">-MIN((X322-X323)/MAX(1,Inputs!$D$82*12),W326+X321-X323)</f>
        <v>-2072.91666666667</v>
      </c>
      <c r="Y324" s="69" t="n">
        <f aca="false">-MIN((Y322-Y323)/MAX(1,Inputs!$D$82*12),X326+Y321-Y323)</f>
        <v>-2072.91666666667</v>
      </c>
      <c r="Z324" s="69" t="n">
        <f aca="false">-MIN((Z322-Z323)/MAX(1,Inputs!$D$82*12),Y326+Z321-Z323)</f>
        <v>-2072.91666666667</v>
      </c>
      <c r="AA324" s="69" t="n">
        <f aca="false">-MIN((AA322-AA323)/MAX(1,Inputs!$D$82*12),Z326+AA321-AA323)</f>
        <v>-2177.08333333333</v>
      </c>
      <c r="AB324" s="69" t="n">
        <f aca="false">-MIN((AB322-AB323)/MAX(1,Inputs!$D$82*12),AA326+AB321-AB323)</f>
        <v>-2177.08333333333</v>
      </c>
      <c r="AC324" s="69" t="n">
        <f aca="false">-MIN((AC322-AC323)/MAX(1,Inputs!$D$82*12),AB326+AC321-AC323)</f>
        <v>-2177.08333333333</v>
      </c>
      <c r="AD324" s="69" t="n">
        <f aca="false">-MIN((AD322-AD323)/MAX(1,Inputs!$D$82*12),AC326+AD321-AD323)</f>
        <v>-2177.08333333333</v>
      </c>
      <c r="AE324" s="69" t="n">
        <f aca="false">-MIN((AE322-AE323)/MAX(1,Inputs!$D$82*12),AD326+AE321-AE323)</f>
        <v>-2177.08333333333</v>
      </c>
      <c r="AF324" s="69" t="n">
        <f aca="false">-MIN((AF322-AF323)/MAX(1,Inputs!$D$82*12),AE326+AF321-AF323)</f>
        <v>-2177.08333333333</v>
      </c>
      <c r="AG324" s="69" t="n">
        <f aca="false">-MIN((AG322-AG323)/MAX(1,Inputs!$D$82*12),AF326+AG321-AG323)</f>
        <v>-2177.08333333333</v>
      </c>
      <c r="AH324" s="69" t="n">
        <f aca="false">-MIN((AH322-AH323)/MAX(1,Inputs!$D$82*12),AG326+AH321-AH323)</f>
        <v>-2177.08333333333</v>
      </c>
      <c r="AI324" s="69" t="n">
        <f aca="false">-MIN((AI322-AI323)/MAX(1,Inputs!$D$82*12),AH326+AI321-AI323)</f>
        <v>-2177.08333333333</v>
      </c>
      <c r="AJ324" s="69" t="n">
        <f aca="false">-MIN((AJ322-AJ323)/MAX(1,Inputs!$D$82*12),AI326+AJ321-AJ323)</f>
        <v>-2177.08333333333</v>
      </c>
      <c r="AK324" s="69" t="n">
        <f aca="false">-MIN((AK322-AK323)/MAX(1,Inputs!$D$82*12),AJ326+AK321-AK323)</f>
        <v>-2177.08333333333</v>
      </c>
      <c r="AL324" s="69" t="n">
        <f aca="false">-MIN((AL322-AL323)/MAX(1,Inputs!$D$82*12),AK326+AL321-AL323)</f>
        <v>-2177.08333333333</v>
      </c>
      <c r="AM324" s="69" t="n">
        <f aca="false">-MIN((AM322-AM323)/MAX(1,Inputs!$D$82*12),AL326+AM321-AM323)</f>
        <v>-2281.25</v>
      </c>
      <c r="AN324" s="69" t="n">
        <f aca="false">-MIN((AN322-AN323)/MAX(1,Inputs!$D$82*12),AM326+AN321-AN323)</f>
        <v>-2281.25</v>
      </c>
      <c r="AO324" s="69" t="n">
        <f aca="false">-MIN((AO322-AO323)/MAX(1,Inputs!$D$82*12),AN326+AO321-AO323)</f>
        <v>-2281.25</v>
      </c>
      <c r="AP324" s="69" t="n">
        <f aca="false">-MIN((AP322-AP323)/MAX(1,Inputs!$D$82*12),AO326+AP321-AP323)</f>
        <v>-2281.25</v>
      </c>
      <c r="AQ324" s="69" t="n">
        <f aca="false">-MIN((AQ322-AQ323)/MAX(1,Inputs!$D$82*12),AP326+AQ321-AQ323)</f>
        <v>-2281.25</v>
      </c>
      <c r="AR324" s="69" t="n">
        <f aca="false">-MIN((AR322-AR323)/MAX(1,Inputs!$D$82*12),AQ326+AR321-AR323)</f>
        <v>-2281.25</v>
      </c>
      <c r="AS324" s="69" t="n">
        <f aca="false">-MIN((AS322-AS323)/MAX(1,Inputs!$D$82*12),AR326+AS321-AS323)</f>
        <v>-2281.25</v>
      </c>
      <c r="AT324" s="69" t="n">
        <f aca="false">-MIN((AT322-AT323)/MAX(1,Inputs!$D$82*12),AS326+AT321-AT323)</f>
        <v>-2281.25</v>
      </c>
      <c r="AU324" s="69" t="n">
        <f aca="false">-MIN((AU322-AU323)/MAX(1,Inputs!$D$82*12),AT326+AU321-AU323)</f>
        <v>-2281.25</v>
      </c>
      <c r="AV324" s="69" t="n">
        <f aca="false">-MIN((AV322-AV323)/MAX(1,Inputs!$D$82*12),AU326+AV321-AV323)</f>
        <v>-2281.25</v>
      </c>
      <c r="AW324" s="69" t="n">
        <f aca="false">-MIN((AW322-AW323)/MAX(1,Inputs!$D$82*12),AV326+AW321-AW323)</f>
        <v>-2281.25</v>
      </c>
      <c r="AX324" s="69" t="n">
        <f aca="false">-MIN((AX322-AX323)/MAX(1,Inputs!$D$82*12),AW326+AX321-AX323)</f>
        <v>-2281.25</v>
      </c>
      <c r="AY324" s="69" t="n">
        <f aca="false">-MIN((AY322-AY323)/MAX(1,Inputs!$D$82*12),AX326+AY321-AY323)</f>
        <v>-2385.41666666667</v>
      </c>
      <c r="AZ324" s="69" t="n">
        <f aca="false">-MIN((AZ322-AZ323)/MAX(1,Inputs!$D$82*12),AY326+AZ321-AZ323)</f>
        <v>-2385.41666666667</v>
      </c>
      <c r="BA324" s="69" t="n">
        <f aca="false">-MIN((BA322-BA323)/MAX(1,Inputs!$D$82*12),AZ326+BA321-BA323)</f>
        <v>-2385.41666666667</v>
      </c>
      <c r="BB324" s="69" t="n">
        <f aca="false">-MIN((BB322-BB323)/MAX(1,Inputs!$D$82*12),BA326+BB321-BB323)</f>
        <v>-2385.41666666667</v>
      </c>
      <c r="BC324" s="69" t="n">
        <f aca="false">-MIN((BC322-BC323)/MAX(1,Inputs!$D$82*12),BB326+BC321-BC323)</f>
        <v>-2385.41666666667</v>
      </c>
      <c r="BD324" s="69" t="n">
        <f aca="false">-MIN((BD322-BD323)/MAX(1,Inputs!$D$82*12),BC326+BD321-BD323)</f>
        <v>-2385.41666666667</v>
      </c>
      <c r="BE324" s="69" t="n">
        <f aca="false">-MIN((BE322-BE323)/MAX(1,Inputs!$D$82*12),BD326+BE321-BE323)</f>
        <v>-2385.41666666667</v>
      </c>
      <c r="BF324" s="69" t="n">
        <f aca="false">-MIN((BF322-BF323)/MAX(1,Inputs!$D$82*12),BE326+BF321-BF323)</f>
        <v>-2385.41666666667</v>
      </c>
      <c r="BG324" s="69" t="n">
        <f aca="false">-MIN((BG322-BG323)/MAX(1,Inputs!$D$82*12),BF326+BG321-BG323)</f>
        <v>-2385.41666666667</v>
      </c>
      <c r="BH324" s="69" t="n">
        <f aca="false">-MIN((BH322-BH323)/MAX(1,Inputs!$D$82*12),BG326+BH321-BH323)</f>
        <v>-2385.41666666667</v>
      </c>
      <c r="BI324" s="69" t="n">
        <f aca="false">-MIN((BI322-BI323)/MAX(1,Inputs!$D$82*12),BH326+BI321-BI323)</f>
        <v>-2385.41666666667</v>
      </c>
      <c r="BJ324" s="69" t="n">
        <f aca="false">-MIN((BJ322-BJ323)/MAX(1,Inputs!$D$82*12),BI326+BJ321-BJ323)</f>
        <v>-2385.41666666667</v>
      </c>
    </row>
    <row r="325" customFormat="false" ht="15" hidden="false" customHeight="false" outlineLevel="0" collapsed="false">
      <c r="A325" s="6" t="s">
        <v>440</v>
      </c>
      <c r="C325" s="69" t="n">
        <f aca="false">C324</f>
        <v>-1968.75</v>
      </c>
      <c r="D325" s="69" t="n">
        <f aca="false">C325+D324</f>
        <v>-3937.5</v>
      </c>
      <c r="E325" s="69" t="n">
        <f aca="false">D325+E324</f>
        <v>-5906.25</v>
      </c>
      <c r="F325" s="69" t="n">
        <f aca="false">E325+F324</f>
        <v>-7875</v>
      </c>
      <c r="G325" s="69" t="n">
        <f aca="false">F325+G324</f>
        <v>-9843.75</v>
      </c>
      <c r="H325" s="69" t="n">
        <f aca="false">G325+H324</f>
        <v>-11812.5</v>
      </c>
      <c r="I325" s="69" t="n">
        <f aca="false">H325+I324</f>
        <v>-13781.25</v>
      </c>
      <c r="J325" s="69" t="n">
        <f aca="false">I325+J324</f>
        <v>-15750</v>
      </c>
      <c r="K325" s="69" t="n">
        <f aca="false">J325+K324</f>
        <v>-17718.75</v>
      </c>
      <c r="L325" s="69" t="n">
        <f aca="false">K325+L324</f>
        <v>-19687.5</v>
      </c>
      <c r="M325" s="69" t="n">
        <f aca="false">L325+M324</f>
        <v>-21656.25</v>
      </c>
      <c r="N325" s="69" t="n">
        <f aca="false">M325+N324</f>
        <v>-23625</v>
      </c>
      <c r="O325" s="69" t="n">
        <f aca="false">N325+O324</f>
        <v>-25697.9166666667</v>
      </c>
      <c r="P325" s="69" t="n">
        <f aca="false">O325+P324</f>
        <v>-27770.8333333333</v>
      </c>
      <c r="Q325" s="69" t="n">
        <f aca="false">P325+Q324</f>
        <v>-29843.75</v>
      </c>
      <c r="R325" s="69" t="n">
        <f aca="false">Q325+R324</f>
        <v>-31916.6666666667</v>
      </c>
      <c r="S325" s="69" t="n">
        <f aca="false">R325+S324</f>
        <v>-33989.5833333333</v>
      </c>
      <c r="T325" s="69" t="n">
        <f aca="false">S325+T324</f>
        <v>-36062.5</v>
      </c>
      <c r="U325" s="69" t="n">
        <f aca="false">T325+U324</f>
        <v>-38135.4166666667</v>
      </c>
      <c r="V325" s="69" t="n">
        <f aca="false">U325+V324</f>
        <v>-40208.3333333333</v>
      </c>
      <c r="W325" s="69" t="n">
        <f aca="false">V325+W324</f>
        <v>-42281.25</v>
      </c>
      <c r="X325" s="69" t="n">
        <f aca="false">W325+X324</f>
        <v>-44354.1666666667</v>
      </c>
      <c r="Y325" s="69" t="n">
        <f aca="false">X325+Y324</f>
        <v>-46427.0833333333</v>
      </c>
      <c r="Z325" s="69" t="n">
        <f aca="false">Y325+Z324</f>
        <v>-48500</v>
      </c>
      <c r="AA325" s="69" t="n">
        <f aca="false">Z325+AA324</f>
        <v>-50677.0833333333</v>
      </c>
      <c r="AB325" s="69" t="n">
        <f aca="false">AA325+AB324</f>
        <v>-52854.1666666667</v>
      </c>
      <c r="AC325" s="69" t="n">
        <f aca="false">AB325+AC324</f>
        <v>-55031.25</v>
      </c>
      <c r="AD325" s="69" t="n">
        <f aca="false">AC325+AD324</f>
        <v>-57208.3333333333</v>
      </c>
      <c r="AE325" s="69" t="n">
        <f aca="false">AD325+AE324</f>
        <v>-59385.4166666667</v>
      </c>
      <c r="AF325" s="69" t="n">
        <f aca="false">AE325+AF324</f>
        <v>-61562.5</v>
      </c>
      <c r="AG325" s="69" t="n">
        <f aca="false">AF325+AG324</f>
        <v>-63739.5833333333</v>
      </c>
      <c r="AH325" s="69" t="n">
        <f aca="false">AG325+AH324</f>
        <v>-65916.6666666667</v>
      </c>
      <c r="AI325" s="69" t="n">
        <f aca="false">AH325+AI324</f>
        <v>-68093.75</v>
      </c>
      <c r="AJ325" s="69" t="n">
        <f aca="false">AI325+AJ324</f>
        <v>-70270.8333333333</v>
      </c>
      <c r="AK325" s="69" t="n">
        <f aca="false">AJ325+AK324</f>
        <v>-72447.9166666667</v>
      </c>
      <c r="AL325" s="69" t="n">
        <f aca="false">AK325+AL324</f>
        <v>-74625</v>
      </c>
      <c r="AM325" s="69" t="n">
        <f aca="false">AL325+AM324</f>
        <v>-76906.25</v>
      </c>
      <c r="AN325" s="69" t="n">
        <f aca="false">AM325+AN324</f>
        <v>-79187.5</v>
      </c>
      <c r="AO325" s="69" t="n">
        <f aca="false">AN325+AO324</f>
        <v>-81468.75</v>
      </c>
      <c r="AP325" s="69" t="n">
        <f aca="false">AO325+AP324</f>
        <v>-83750</v>
      </c>
      <c r="AQ325" s="69" t="n">
        <f aca="false">AP325+AQ324</f>
        <v>-86031.25</v>
      </c>
      <c r="AR325" s="69" t="n">
        <f aca="false">AQ325+AR324</f>
        <v>-88312.5</v>
      </c>
      <c r="AS325" s="69" t="n">
        <f aca="false">AR325+AS324</f>
        <v>-90593.75</v>
      </c>
      <c r="AT325" s="69" t="n">
        <f aca="false">AS325+AT324</f>
        <v>-92875</v>
      </c>
      <c r="AU325" s="69" t="n">
        <f aca="false">AT325+AU324</f>
        <v>-95156.25</v>
      </c>
      <c r="AV325" s="69" t="n">
        <f aca="false">AU325+AV324</f>
        <v>-97437.5</v>
      </c>
      <c r="AW325" s="69" t="n">
        <f aca="false">AV325+AW324</f>
        <v>-99718.75</v>
      </c>
      <c r="AX325" s="69" t="n">
        <f aca="false">AW325+AX324</f>
        <v>-102000</v>
      </c>
      <c r="AY325" s="69" t="n">
        <f aca="false">AX325+AY324</f>
        <v>-104385.416666667</v>
      </c>
      <c r="AZ325" s="69" t="n">
        <f aca="false">AY325+AZ324</f>
        <v>-106770.833333333</v>
      </c>
      <c r="BA325" s="69" t="n">
        <f aca="false">AZ325+BA324</f>
        <v>-109156.25</v>
      </c>
      <c r="BB325" s="69" t="n">
        <f aca="false">BA325+BB324</f>
        <v>-111541.666666667</v>
      </c>
      <c r="BC325" s="69" t="n">
        <f aca="false">BB325+BC324</f>
        <v>-113927.083333333</v>
      </c>
      <c r="BD325" s="69" t="n">
        <f aca="false">BC325+BD324</f>
        <v>-116312.5</v>
      </c>
      <c r="BE325" s="69" t="n">
        <f aca="false">BD325+BE324</f>
        <v>-118697.916666667</v>
      </c>
      <c r="BF325" s="69" t="n">
        <f aca="false">BE325+BF324</f>
        <v>-121083.333333333</v>
      </c>
      <c r="BG325" s="69" t="n">
        <f aca="false">BF325+BG324</f>
        <v>-123468.75</v>
      </c>
      <c r="BH325" s="69" t="n">
        <f aca="false">BG325+BH324</f>
        <v>-125854.166666667</v>
      </c>
      <c r="BI325" s="69" t="n">
        <f aca="false">BH325+BI324</f>
        <v>-128239.583333333</v>
      </c>
      <c r="BJ325" s="69" t="n">
        <f aca="false">BI325+BJ324</f>
        <v>-130625</v>
      </c>
    </row>
    <row r="326" customFormat="false" ht="15" hidden="false" customHeight="false" outlineLevel="0" collapsed="false">
      <c r="A326" s="4" t="s">
        <v>92</v>
      </c>
      <c r="C326" s="75" t="n">
        <f aca="false">C322+C325</f>
        <v>187031.25</v>
      </c>
      <c r="D326" s="75" t="n">
        <f aca="false">D322+D325</f>
        <v>185062.5</v>
      </c>
      <c r="E326" s="75" t="n">
        <f aca="false">E322+E325</f>
        <v>183093.75</v>
      </c>
      <c r="F326" s="75" t="n">
        <f aca="false">F322+F325</f>
        <v>181125</v>
      </c>
      <c r="G326" s="75" t="n">
        <f aca="false">G322+G325</f>
        <v>179156.25</v>
      </c>
      <c r="H326" s="75" t="n">
        <f aca="false">H322+H325</f>
        <v>177187.5</v>
      </c>
      <c r="I326" s="75" t="n">
        <f aca="false">I322+I325</f>
        <v>175218.75</v>
      </c>
      <c r="J326" s="75" t="n">
        <f aca="false">J322+J325</f>
        <v>173250</v>
      </c>
      <c r="K326" s="75" t="n">
        <f aca="false">K322+K325</f>
        <v>171281.25</v>
      </c>
      <c r="L326" s="75" t="n">
        <f aca="false">L322+L325</f>
        <v>169312.5</v>
      </c>
      <c r="M326" s="75" t="n">
        <f aca="false">M322+M325</f>
        <v>167343.75</v>
      </c>
      <c r="N326" s="75" t="n">
        <f aca="false">N322+N325</f>
        <v>165375</v>
      </c>
      <c r="O326" s="75" t="n">
        <f aca="false">O322+O325</f>
        <v>173302.083333333</v>
      </c>
      <c r="P326" s="75" t="n">
        <f aca="false">P322+P325</f>
        <v>171229.166666667</v>
      </c>
      <c r="Q326" s="75" t="n">
        <f aca="false">Q322+Q325</f>
        <v>169156.25</v>
      </c>
      <c r="R326" s="75" t="n">
        <f aca="false">R322+R325</f>
        <v>167083.333333333</v>
      </c>
      <c r="S326" s="75" t="n">
        <f aca="false">S322+S325</f>
        <v>165010.416666667</v>
      </c>
      <c r="T326" s="75" t="n">
        <f aca="false">T322+T325</f>
        <v>162937.5</v>
      </c>
      <c r="U326" s="75" t="n">
        <f aca="false">U322+U325</f>
        <v>160864.583333333</v>
      </c>
      <c r="V326" s="75" t="n">
        <f aca="false">V322+V325</f>
        <v>158791.666666667</v>
      </c>
      <c r="W326" s="75" t="n">
        <f aca="false">W322+W325</f>
        <v>156718.75</v>
      </c>
      <c r="X326" s="75" t="n">
        <f aca="false">X322+X325</f>
        <v>154645.833333333</v>
      </c>
      <c r="Y326" s="75" t="n">
        <f aca="false">Y322+Y325</f>
        <v>152572.916666667</v>
      </c>
      <c r="Z326" s="75" t="n">
        <f aca="false">Z322+Z325</f>
        <v>150500</v>
      </c>
      <c r="AA326" s="75" t="n">
        <f aca="false">AA322+AA325</f>
        <v>158322.916666667</v>
      </c>
      <c r="AB326" s="75" t="n">
        <f aca="false">AB322+AB325</f>
        <v>156145.833333333</v>
      </c>
      <c r="AC326" s="75" t="n">
        <f aca="false">AC322+AC325</f>
        <v>153968.75</v>
      </c>
      <c r="AD326" s="75" t="n">
        <f aca="false">AD322+AD325</f>
        <v>151791.666666667</v>
      </c>
      <c r="AE326" s="75" t="n">
        <f aca="false">AE322+AE325</f>
        <v>149614.583333333</v>
      </c>
      <c r="AF326" s="75" t="n">
        <f aca="false">AF322+AF325</f>
        <v>147437.5</v>
      </c>
      <c r="AG326" s="75" t="n">
        <f aca="false">AG322+AG325</f>
        <v>145260.416666667</v>
      </c>
      <c r="AH326" s="75" t="n">
        <f aca="false">AH322+AH325</f>
        <v>143083.333333333</v>
      </c>
      <c r="AI326" s="75" t="n">
        <f aca="false">AI322+AI325</f>
        <v>140906.25</v>
      </c>
      <c r="AJ326" s="75" t="n">
        <f aca="false">AJ322+AJ325</f>
        <v>138729.166666667</v>
      </c>
      <c r="AK326" s="75" t="n">
        <f aca="false">AK322+AK325</f>
        <v>136552.083333333</v>
      </c>
      <c r="AL326" s="75" t="n">
        <f aca="false">AL322+AL325</f>
        <v>134375</v>
      </c>
      <c r="AM326" s="75" t="n">
        <f aca="false">AM322+AM325</f>
        <v>142093.75</v>
      </c>
      <c r="AN326" s="75" t="n">
        <f aca="false">AN322+AN325</f>
        <v>139812.5</v>
      </c>
      <c r="AO326" s="75" t="n">
        <f aca="false">AO322+AO325</f>
        <v>137531.25</v>
      </c>
      <c r="AP326" s="75" t="n">
        <f aca="false">AP322+AP325</f>
        <v>135250</v>
      </c>
      <c r="AQ326" s="75" t="n">
        <f aca="false">AQ322+AQ325</f>
        <v>132968.75</v>
      </c>
      <c r="AR326" s="75" t="n">
        <f aca="false">AR322+AR325</f>
        <v>130687.5</v>
      </c>
      <c r="AS326" s="75" t="n">
        <f aca="false">AS322+AS325</f>
        <v>128406.25</v>
      </c>
      <c r="AT326" s="75" t="n">
        <f aca="false">AT322+AT325</f>
        <v>126125</v>
      </c>
      <c r="AU326" s="75" t="n">
        <f aca="false">AU322+AU325</f>
        <v>123843.75</v>
      </c>
      <c r="AV326" s="75" t="n">
        <f aca="false">AV322+AV325</f>
        <v>121562.5</v>
      </c>
      <c r="AW326" s="75" t="n">
        <f aca="false">AW322+AW325</f>
        <v>119281.25</v>
      </c>
      <c r="AX326" s="75" t="n">
        <f aca="false">AX322+AX325</f>
        <v>117000</v>
      </c>
      <c r="AY326" s="75" t="n">
        <f aca="false">AY322+AY325</f>
        <v>124614.583333333</v>
      </c>
      <c r="AZ326" s="75" t="n">
        <f aca="false">AZ322+AZ325</f>
        <v>122229.166666667</v>
      </c>
      <c r="BA326" s="75" t="n">
        <f aca="false">BA322+BA325</f>
        <v>119843.75</v>
      </c>
      <c r="BB326" s="75" t="n">
        <f aca="false">BB322+BB325</f>
        <v>117458.333333333</v>
      </c>
      <c r="BC326" s="75" t="n">
        <f aca="false">BC322+BC325</f>
        <v>115072.916666667</v>
      </c>
      <c r="BD326" s="75" t="n">
        <f aca="false">BD322+BD325</f>
        <v>112687.5</v>
      </c>
      <c r="BE326" s="75" t="n">
        <f aca="false">BE322+BE325</f>
        <v>110302.083333333</v>
      </c>
      <c r="BF326" s="75" t="n">
        <f aca="false">BF322+BF325</f>
        <v>107916.666666667</v>
      </c>
      <c r="BG326" s="75" t="n">
        <f aca="false">BG322+BG325</f>
        <v>105531.25</v>
      </c>
      <c r="BH326" s="75" t="n">
        <f aca="false">BH322+BH325</f>
        <v>103145.833333333</v>
      </c>
      <c r="BI326" s="75" t="n">
        <f aca="false">BI322+BI325</f>
        <v>100760.416666667</v>
      </c>
      <c r="BJ326" s="75" t="n">
        <f aca="false">BJ322+BJ325</f>
        <v>98375</v>
      </c>
    </row>
    <row r="328" customFormat="false" ht="15.75" hidden="false" customHeight="true" outlineLevel="0" collapsed="false">
      <c r="A328" s="7" t="s">
        <v>441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442</v>
      </c>
      <c r="C329" s="69" t="n">
        <f aca="false">0</f>
        <v>0</v>
      </c>
      <c r="D329" s="69" t="n">
        <f aca="false">C332</f>
        <v>100000</v>
      </c>
      <c r="E329" s="69" t="n">
        <f aca="false">D332</f>
        <v>98333.3333333333</v>
      </c>
      <c r="F329" s="69" t="n">
        <f aca="false">E332</f>
        <v>96666.6666666667</v>
      </c>
      <c r="G329" s="69" t="n">
        <f aca="false">F332</f>
        <v>95000</v>
      </c>
      <c r="H329" s="69" t="n">
        <f aca="false">G332</f>
        <v>93333.3333333333</v>
      </c>
      <c r="I329" s="69" t="n">
        <f aca="false">H332</f>
        <v>91666.6666666666</v>
      </c>
      <c r="J329" s="69" t="n">
        <f aca="false">I332</f>
        <v>90000</v>
      </c>
      <c r="K329" s="69" t="n">
        <f aca="false">J332</f>
        <v>88333.3333333333</v>
      </c>
      <c r="L329" s="69" t="n">
        <f aca="false">K332</f>
        <v>86666.6666666666</v>
      </c>
      <c r="M329" s="69" t="n">
        <f aca="false">L332</f>
        <v>85000</v>
      </c>
      <c r="N329" s="69" t="n">
        <f aca="false">M332</f>
        <v>83333.3333333333</v>
      </c>
      <c r="O329" s="69" t="n">
        <f aca="false">N332</f>
        <v>81666.6666666666</v>
      </c>
      <c r="P329" s="69" t="n">
        <f aca="false">O332</f>
        <v>79999.9999999999</v>
      </c>
      <c r="Q329" s="69" t="n">
        <f aca="false">P332</f>
        <v>78333.3333333333</v>
      </c>
      <c r="R329" s="69" t="n">
        <f aca="false">Q332</f>
        <v>76666.6666666666</v>
      </c>
      <c r="S329" s="69" t="n">
        <f aca="false">R332</f>
        <v>74999.9999999999</v>
      </c>
      <c r="T329" s="69" t="n">
        <f aca="false">S332</f>
        <v>73333.3333333333</v>
      </c>
      <c r="U329" s="69" t="n">
        <f aca="false">T332</f>
        <v>71666.6666666666</v>
      </c>
      <c r="V329" s="69" t="n">
        <f aca="false">U332</f>
        <v>69999.9999999999</v>
      </c>
      <c r="W329" s="69" t="n">
        <f aca="false">V332</f>
        <v>68333.3333333332</v>
      </c>
      <c r="X329" s="69" t="n">
        <f aca="false">W332</f>
        <v>66666.6666666666</v>
      </c>
      <c r="Y329" s="69" t="n">
        <f aca="false">X332</f>
        <v>64999.9999999999</v>
      </c>
      <c r="Z329" s="69" t="n">
        <f aca="false">Y332</f>
        <v>63333.3333333332</v>
      </c>
      <c r="AA329" s="69" t="n">
        <f aca="false">Z332</f>
        <v>61666.6666666666</v>
      </c>
      <c r="AB329" s="69" t="n">
        <f aca="false">AA332</f>
        <v>59999.9999999999</v>
      </c>
      <c r="AC329" s="69" t="n">
        <f aca="false">AB332</f>
        <v>58333.3333333333</v>
      </c>
      <c r="AD329" s="69" t="n">
        <f aca="false">AC332</f>
        <v>56666.6666666666</v>
      </c>
      <c r="AE329" s="69" t="n">
        <f aca="false">AD332</f>
        <v>54999.9999999999</v>
      </c>
      <c r="AF329" s="69" t="n">
        <f aca="false">AE332</f>
        <v>53333.3333333333</v>
      </c>
      <c r="AG329" s="69" t="n">
        <f aca="false">AF332</f>
        <v>51666.6666666666</v>
      </c>
      <c r="AH329" s="69" t="n">
        <f aca="false">AG332</f>
        <v>49999.9999999999</v>
      </c>
      <c r="AI329" s="69" t="n">
        <f aca="false">AH332</f>
        <v>48333.3333333333</v>
      </c>
      <c r="AJ329" s="69" t="n">
        <f aca="false">AI332</f>
        <v>46666.6666666666</v>
      </c>
      <c r="AK329" s="69" t="n">
        <f aca="false">AJ332</f>
        <v>44999.9999999999</v>
      </c>
      <c r="AL329" s="69" t="n">
        <f aca="false">AK332</f>
        <v>43333.3333333333</v>
      </c>
      <c r="AM329" s="69" t="n">
        <f aca="false">AL332</f>
        <v>41666.6666666666</v>
      </c>
      <c r="AN329" s="69" t="n">
        <f aca="false">AM332</f>
        <v>39999.9999999999</v>
      </c>
      <c r="AO329" s="69" t="n">
        <f aca="false">AN332</f>
        <v>38333.3333333333</v>
      </c>
      <c r="AP329" s="69" t="n">
        <f aca="false">AO332</f>
        <v>36666.6666666666</v>
      </c>
      <c r="AQ329" s="69" t="n">
        <f aca="false">AP332</f>
        <v>35000</v>
      </c>
      <c r="AR329" s="69" t="n">
        <f aca="false">AQ332</f>
        <v>33333.3333333333</v>
      </c>
      <c r="AS329" s="69" t="n">
        <f aca="false">AR332</f>
        <v>31666.6666666666</v>
      </c>
      <c r="AT329" s="69" t="n">
        <f aca="false">AS332</f>
        <v>30000</v>
      </c>
      <c r="AU329" s="69" t="n">
        <f aca="false">AT332</f>
        <v>28333.3333333333</v>
      </c>
      <c r="AV329" s="69" t="n">
        <f aca="false">AU332</f>
        <v>26666.6666666666</v>
      </c>
      <c r="AW329" s="69" t="n">
        <f aca="false">AV332</f>
        <v>24999.9999999999</v>
      </c>
      <c r="AX329" s="69" t="n">
        <f aca="false">AW332</f>
        <v>23333.3333333333</v>
      </c>
      <c r="AY329" s="69" t="n">
        <f aca="false">AX332</f>
        <v>21666.6666666666</v>
      </c>
      <c r="AZ329" s="69" t="n">
        <f aca="false">AY332</f>
        <v>19999.9999999999</v>
      </c>
      <c r="BA329" s="69" t="n">
        <f aca="false">AZ332</f>
        <v>18333.3333333333</v>
      </c>
      <c r="BB329" s="69" t="n">
        <f aca="false">BA332</f>
        <v>16666.6666666666</v>
      </c>
      <c r="BC329" s="69" t="n">
        <f aca="false">BB332</f>
        <v>14999.9999999999</v>
      </c>
      <c r="BD329" s="69" t="n">
        <f aca="false">BC332</f>
        <v>13333.3333333333</v>
      </c>
      <c r="BE329" s="69" t="n">
        <f aca="false">BD332</f>
        <v>11666.6666666666</v>
      </c>
      <c r="BF329" s="69" t="n">
        <f aca="false">BE332</f>
        <v>9999.99999999994</v>
      </c>
      <c r="BG329" s="69" t="n">
        <f aca="false">BF332</f>
        <v>8333.33333333328</v>
      </c>
      <c r="BH329" s="69" t="n">
        <f aca="false">BG332</f>
        <v>6666.66666666661</v>
      </c>
      <c r="BI329" s="69" t="n">
        <f aca="false">BH332</f>
        <v>4999.99999999994</v>
      </c>
      <c r="BJ329" s="69" t="n">
        <f aca="false">BI332</f>
        <v>3333.33333333328</v>
      </c>
    </row>
    <row r="330" customFormat="false" ht="15" hidden="false" customHeight="false" outlineLevel="0" collapsed="false">
      <c r="A330" s="6" t="s">
        <v>85</v>
      </c>
      <c r="C330" s="69" t="n">
        <f aca="false">IF(C$258=1,Inputs!$D$72,0)</f>
        <v>100000</v>
      </c>
      <c r="D330" s="69" t="n">
        <f aca="false">IF(D$258=1,Inputs!$D$72,0)</f>
        <v>0</v>
      </c>
      <c r="E330" s="69" t="n">
        <f aca="false">IF(E$258=1,Inputs!$D$72,0)</f>
        <v>0</v>
      </c>
      <c r="F330" s="69" t="n">
        <f aca="false">IF(F$258=1,Inputs!$D$72,0)</f>
        <v>0</v>
      </c>
      <c r="G330" s="69" t="n">
        <f aca="false">IF(G$258=1,Inputs!$D$72,0)</f>
        <v>0</v>
      </c>
      <c r="H330" s="69" t="n">
        <f aca="false">IF(H$258=1,Inputs!$D$72,0)</f>
        <v>0</v>
      </c>
      <c r="I330" s="69" t="n">
        <f aca="false">IF(I$258=1,Inputs!$D$72,0)</f>
        <v>0</v>
      </c>
      <c r="J330" s="69" t="n">
        <f aca="false">IF(J$258=1,Inputs!$D$72,0)</f>
        <v>0</v>
      </c>
      <c r="K330" s="69" t="n">
        <f aca="false">IF(K$258=1,Inputs!$D$72,0)</f>
        <v>0</v>
      </c>
      <c r="L330" s="69" t="n">
        <f aca="false">IF(L$258=1,Inputs!$D$72,0)</f>
        <v>0</v>
      </c>
      <c r="M330" s="69" t="n">
        <f aca="false">IF(M$258=1,Inputs!$D$72,0)</f>
        <v>0</v>
      </c>
      <c r="N330" s="69" t="n">
        <f aca="false">IF(N$258=1,Inputs!$D$72,0)</f>
        <v>0</v>
      </c>
      <c r="O330" s="69" t="n">
        <f aca="false">IF(O$258=1,Inputs!$D$72,0)</f>
        <v>0</v>
      </c>
      <c r="P330" s="69" t="n">
        <f aca="false">IF(P$258=1,Inputs!$D$72,0)</f>
        <v>0</v>
      </c>
      <c r="Q330" s="69" t="n">
        <f aca="false">IF(Q$258=1,Inputs!$D$72,0)</f>
        <v>0</v>
      </c>
      <c r="R330" s="69" t="n">
        <f aca="false">IF(R$258=1,Inputs!$D$72,0)</f>
        <v>0</v>
      </c>
      <c r="S330" s="69" t="n">
        <f aca="false">IF(S$258=1,Inputs!$D$72,0)</f>
        <v>0</v>
      </c>
      <c r="T330" s="69" t="n">
        <f aca="false">IF(T$258=1,Inputs!$D$72,0)</f>
        <v>0</v>
      </c>
      <c r="U330" s="69" t="n">
        <f aca="false">IF(U$258=1,Inputs!$D$72,0)</f>
        <v>0</v>
      </c>
      <c r="V330" s="69" t="n">
        <f aca="false">IF(V$258=1,Inputs!$D$72,0)</f>
        <v>0</v>
      </c>
      <c r="W330" s="69" t="n">
        <f aca="false">IF(W$258=1,Inputs!$D$72,0)</f>
        <v>0</v>
      </c>
      <c r="X330" s="69" t="n">
        <f aca="false">IF(X$258=1,Inputs!$D$72,0)</f>
        <v>0</v>
      </c>
      <c r="Y330" s="69" t="n">
        <f aca="false">IF(Y$258=1,Inputs!$D$72,0)</f>
        <v>0</v>
      </c>
      <c r="Z330" s="69" t="n">
        <f aca="false">IF(Z$258=1,Inputs!$D$72,0)</f>
        <v>0</v>
      </c>
      <c r="AA330" s="69" t="n">
        <f aca="false">IF(AA$258=1,Inputs!$D$72,0)</f>
        <v>0</v>
      </c>
      <c r="AB330" s="69" t="n">
        <f aca="false">IF(AB$258=1,Inputs!$D$72,0)</f>
        <v>0</v>
      </c>
      <c r="AC330" s="69" t="n">
        <f aca="false">IF(AC$258=1,Inputs!$D$72,0)</f>
        <v>0</v>
      </c>
      <c r="AD330" s="69" t="n">
        <f aca="false">IF(AD$258=1,Inputs!$D$72,0)</f>
        <v>0</v>
      </c>
      <c r="AE330" s="69" t="n">
        <f aca="false">IF(AE$258=1,Inputs!$D$72,0)</f>
        <v>0</v>
      </c>
      <c r="AF330" s="69" t="n">
        <f aca="false">IF(AF$258=1,Inputs!$D$72,0)</f>
        <v>0</v>
      </c>
      <c r="AG330" s="69" t="n">
        <f aca="false">IF(AG$258=1,Inputs!$D$72,0)</f>
        <v>0</v>
      </c>
      <c r="AH330" s="69" t="n">
        <f aca="false">IF(AH$258=1,Inputs!$D$72,0)</f>
        <v>0</v>
      </c>
      <c r="AI330" s="69" t="n">
        <f aca="false">IF(AI$258=1,Inputs!$D$72,0)</f>
        <v>0</v>
      </c>
      <c r="AJ330" s="69" t="n">
        <f aca="false">IF(AJ$258=1,Inputs!$D$72,0)</f>
        <v>0</v>
      </c>
      <c r="AK330" s="69" t="n">
        <f aca="false">IF(AK$258=1,Inputs!$D$72,0)</f>
        <v>0</v>
      </c>
      <c r="AL330" s="69" t="n">
        <f aca="false">IF(AL$258=1,Inputs!$D$72,0)</f>
        <v>0</v>
      </c>
      <c r="AM330" s="69" t="n">
        <f aca="false">IF(AM$258=1,Inputs!$D$72,0)</f>
        <v>0</v>
      </c>
      <c r="AN330" s="69" t="n">
        <f aca="false">IF(AN$258=1,Inputs!$D$72,0)</f>
        <v>0</v>
      </c>
      <c r="AO330" s="69" t="n">
        <f aca="false">IF(AO$258=1,Inputs!$D$72,0)</f>
        <v>0</v>
      </c>
      <c r="AP330" s="69" t="n">
        <f aca="false">IF(AP$258=1,Inputs!$D$72,0)</f>
        <v>0</v>
      </c>
      <c r="AQ330" s="69" t="n">
        <f aca="false">IF(AQ$258=1,Inputs!$D$72,0)</f>
        <v>0</v>
      </c>
      <c r="AR330" s="69" t="n">
        <f aca="false">IF(AR$258=1,Inputs!$D$72,0)</f>
        <v>0</v>
      </c>
      <c r="AS330" s="69" t="n">
        <f aca="false">IF(AS$258=1,Inputs!$D$72,0)</f>
        <v>0</v>
      </c>
      <c r="AT330" s="69" t="n">
        <f aca="false">IF(AT$258=1,Inputs!$D$72,0)</f>
        <v>0</v>
      </c>
      <c r="AU330" s="69" t="n">
        <f aca="false">IF(AU$258=1,Inputs!$D$72,0)</f>
        <v>0</v>
      </c>
      <c r="AV330" s="69" t="n">
        <f aca="false">IF(AV$258=1,Inputs!$D$72,0)</f>
        <v>0</v>
      </c>
      <c r="AW330" s="69" t="n">
        <f aca="false">IF(AW$258=1,Inputs!$D$72,0)</f>
        <v>0</v>
      </c>
      <c r="AX330" s="69" t="n">
        <f aca="false">IF(AX$258=1,Inputs!$D$72,0)</f>
        <v>0</v>
      </c>
      <c r="AY330" s="69" t="n">
        <f aca="false">IF(AY$258=1,Inputs!$D$72,0)</f>
        <v>0</v>
      </c>
      <c r="AZ330" s="69" t="n">
        <f aca="false">IF(AZ$258=1,Inputs!$D$72,0)</f>
        <v>0</v>
      </c>
      <c r="BA330" s="69" t="n">
        <f aca="false">IF(BA$258=1,Inputs!$D$72,0)</f>
        <v>0</v>
      </c>
      <c r="BB330" s="69" t="n">
        <f aca="false">IF(BB$258=1,Inputs!$D$72,0)</f>
        <v>0</v>
      </c>
      <c r="BC330" s="69" t="n">
        <f aca="false">IF(BC$258=1,Inputs!$D$72,0)</f>
        <v>0</v>
      </c>
      <c r="BD330" s="69" t="n">
        <f aca="false">IF(BD$258=1,Inputs!$D$72,0)</f>
        <v>0</v>
      </c>
      <c r="BE330" s="69" t="n">
        <f aca="false">IF(BE$258=1,Inputs!$D$72,0)</f>
        <v>0</v>
      </c>
      <c r="BF330" s="69" t="n">
        <f aca="false">IF(BF$258=1,Inputs!$D$72,0)</f>
        <v>0</v>
      </c>
      <c r="BG330" s="69" t="n">
        <f aca="false">IF(BG$258=1,Inputs!$D$72,0)</f>
        <v>0</v>
      </c>
      <c r="BH330" s="69" t="n">
        <f aca="false">IF(BH$258=1,Inputs!$D$72,0)</f>
        <v>0</v>
      </c>
      <c r="BI330" s="69" t="n">
        <f aca="false">IF(BI$258=1,Inputs!$D$72,0)</f>
        <v>0</v>
      </c>
      <c r="BJ330" s="69" t="n">
        <f aca="false">IF(BJ$258=1,Inputs!$D$72,0)</f>
        <v>0</v>
      </c>
    </row>
    <row r="331" customFormat="false" ht="15" hidden="false" customHeight="false" outlineLevel="0" collapsed="false">
      <c r="A331" s="6" t="s">
        <v>86</v>
      </c>
      <c r="C331" s="69" t="n">
        <f aca="false">-MIN(C329,Inputs!$D$72/MAX(1,Inputs!$D$74*12))</f>
        <v>-0</v>
      </c>
      <c r="D331" s="69" t="n">
        <f aca="false">-MIN(D329,Inputs!$D$72/MAX(1,Inputs!$D$74*12))</f>
        <v>-1666.66666666667</v>
      </c>
      <c r="E331" s="69" t="n">
        <f aca="false">-MIN(E329,Inputs!$D$72/MAX(1,Inputs!$D$74*12))</f>
        <v>-1666.66666666667</v>
      </c>
      <c r="F331" s="69" t="n">
        <f aca="false">-MIN(F329,Inputs!$D$72/MAX(1,Inputs!$D$74*12))</f>
        <v>-1666.66666666667</v>
      </c>
      <c r="G331" s="69" t="n">
        <f aca="false">-MIN(G329,Inputs!$D$72/MAX(1,Inputs!$D$74*12))</f>
        <v>-1666.66666666667</v>
      </c>
      <c r="H331" s="69" t="n">
        <f aca="false">-MIN(H329,Inputs!$D$72/MAX(1,Inputs!$D$74*12))</f>
        <v>-1666.66666666667</v>
      </c>
      <c r="I331" s="69" t="n">
        <f aca="false">-MIN(I329,Inputs!$D$72/MAX(1,Inputs!$D$74*12))</f>
        <v>-1666.66666666667</v>
      </c>
      <c r="J331" s="69" t="n">
        <f aca="false">-MIN(J329,Inputs!$D$72/MAX(1,Inputs!$D$74*12))</f>
        <v>-1666.66666666667</v>
      </c>
      <c r="K331" s="69" t="n">
        <f aca="false">-MIN(K329,Inputs!$D$72/MAX(1,Inputs!$D$74*12))</f>
        <v>-1666.66666666667</v>
      </c>
      <c r="L331" s="69" t="n">
        <f aca="false">-MIN(L329,Inputs!$D$72/MAX(1,Inputs!$D$74*12))</f>
        <v>-1666.66666666667</v>
      </c>
      <c r="M331" s="69" t="n">
        <f aca="false">-MIN(M329,Inputs!$D$72/MAX(1,Inputs!$D$74*12))</f>
        <v>-1666.66666666667</v>
      </c>
      <c r="N331" s="69" t="n">
        <f aca="false">-MIN(N329,Inputs!$D$72/MAX(1,Inputs!$D$74*12))</f>
        <v>-1666.66666666667</v>
      </c>
      <c r="O331" s="69" t="n">
        <f aca="false">-MIN(O329,Inputs!$D$72/MAX(1,Inputs!$D$74*12))</f>
        <v>-1666.66666666667</v>
      </c>
      <c r="P331" s="69" t="n">
        <f aca="false">-MIN(P329,Inputs!$D$72/MAX(1,Inputs!$D$74*12))</f>
        <v>-1666.66666666667</v>
      </c>
      <c r="Q331" s="69" t="n">
        <f aca="false">-MIN(Q329,Inputs!$D$72/MAX(1,Inputs!$D$74*12))</f>
        <v>-1666.66666666667</v>
      </c>
      <c r="R331" s="69" t="n">
        <f aca="false">-MIN(R329,Inputs!$D$72/MAX(1,Inputs!$D$74*12))</f>
        <v>-1666.66666666667</v>
      </c>
      <c r="S331" s="69" t="n">
        <f aca="false">-MIN(S329,Inputs!$D$72/MAX(1,Inputs!$D$74*12))</f>
        <v>-1666.66666666667</v>
      </c>
      <c r="T331" s="69" t="n">
        <f aca="false">-MIN(T329,Inputs!$D$72/MAX(1,Inputs!$D$74*12))</f>
        <v>-1666.66666666667</v>
      </c>
      <c r="U331" s="69" t="n">
        <f aca="false">-MIN(U329,Inputs!$D$72/MAX(1,Inputs!$D$74*12))</f>
        <v>-1666.66666666667</v>
      </c>
      <c r="V331" s="69" t="n">
        <f aca="false">-MIN(V329,Inputs!$D$72/MAX(1,Inputs!$D$74*12))</f>
        <v>-1666.66666666667</v>
      </c>
      <c r="W331" s="69" t="n">
        <f aca="false">-MIN(W329,Inputs!$D$72/MAX(1,Inputs!$D$74*12))</f>
        <v>-1666.66666666667</v>
      </c>
      <c r="X331" s="69" t="n">
        <f aca="false">-MIN(X329,Inputs!$D$72/MAX(1,Inputs!$D$74*12))</f>
        <v>-1666.66666666667</v>
      </c>
      <c r="Y331" s="69" t="n">
        <f aca="false">-MIN(Y329,Inputs!$D$72/MAX(1,Inputs!$D$74*12))</f>
        <v>-1666.66666666667</v>
      </c>
      <c r="Z331" s="69" t="n">
        <f aca="false">-MIN(Z329,Inputs!$D$72/MAX(1,Inputs!$D$74*12))</f>
        <v>-1666.66666666667</v>
      </c>
      <c r="AA331" s="69" t="n">
        <f aca="false">-MIN(AA329,Inputs!$D$72/MAX(1,Inputs!$D$74*12))</f>
        <v>-1666.66666666667</v>
      </c>
      <c r="AB331" s="69" t="n">
        <f aca="false">-MIN(AB329,Inputs!$D$72/MAX(1,Inputs!$D$74*12))</f>
        <v>-1666.66666666667</v>
      </c>
      <c r="AC331" s="69" t="n">
        <f aca="false">-MIN(AC329,Inputs!$D$72/MAX(1,Inputs!$D$74*12))</f>
        <v>-1666.66666666667</v>
      </c>
      <c r="AD331" s="69" t="n">
        <f aca="false">-MIN(AD329,Inputs!$D$72/MAX(1,Inputs!$D$74*12))</f>
        <v>-1666.66666666667</v>
      </c>
      <c r="AE331" s="69" t="n">
        <f aca="false">-MIN(AE329,Inputs!$D$72/MAX(1,Inputs!$D$74*12))</f>
        <v>-1666.66666666667</v>
      </c>
      <c r="AF331" s="69" t="n">
        <f aca="false">-MIN(AF329,Inputs!$D$72/MAX(1,Inputs!$D$74*12))</f>
        <v>-1666.66666666667</v>
      </c>
      <c r="AG331" s="69" t="n">
        <f aca="false">-MIN(AG329,Inputs!$D$72/MAX(1,Inputs!$D$74*12))</f>
        <v>-1666.66666666667</v>
      </c>
      <c r="AH331" s="69" t="n">
        <f aca="false">-MIN(AH329,Inputs!$D$72/MAX(1,Inputs!$D$74*12))</f>
        <v>-1666.66666666667</v>
      </c>
      <c r="AI331" s="69" t="n">
        <f aca="false">-MIN(AI329,Inputs!$D$72/MAX(1,Inputs!$D$74*12))</f>
        <v>-1666.66666666667</v>
      </c>
      <c r="AJ331" s="69" t="n">
        <f aca="false">-MIN(AJ329,Inputs!$D$72/MAX(1,Inputs!$D$74*12))</f>
        <v>-1666.66666666667</v>
      </c>
      <c r="AK331" s="69" t="n">
        <f aca="false">-MIN(AK329,Inputs!$D$72/MAX(1,Inputs!$D$74*12))</f>
        <v>-1666.66666666667</v>
      </c>
      <c r="AL331" s="69" t="n">
        <f aca="false">-MIN(AL329,Inputs!$D$72/MAX(1,Inputs!$D$74*12))</f>
        <v>-1666.66666666667</v>
      </c>
      <c r="AM331" s="69" t="n">
        <f aca="false">-MIN(AM329,Inputs!$D$72/MAX(1,Inputs!$D$74*12))</f>
        <v>-1666.66666666667</v>
      </c>
      <c r="AN331" s="69" t="n">
        <f aca="false">-MIN(AN329,Inputs!$D$72/MAX(1,Inputs!$D$74*12))</f>
        <v>-1666.66666666667</v>
      </c>
      <c r="AO331" s="69" t="n">
        <f aca="false">-MIN(AO329,Inputs!$D$72/MAX(1,Inputs!$D$74*12))</f>
        <v>-1666.66666666667</v>
      </c>
      <c r="AP331" s="69" t="n">
        <f aca="false">-MIN(AP329,Inputs!$D$72/MAX(1,Inputs!$D$74*12))</f>
        <v>-1666.66666666667</v>
      </c>
      <c r="AQ331" s="69" t="n">
        <f aca="false">-MIN(AQ329,Inputs!$D$72/MAX(1,Inputs!$D$74*12))</f>
        <v>-1666.66666666667</v>
      </c>
      <c r="AR331" s="69" t="n">
        <f aca="false">-MIN(AR329,Inputs!$D$72/MAX(1,Inputs!$D$74*12))</f>
        <v>-1666.66666666667</v>
      </c>
      <c r="AS331" s="69" t="n">
        <f aca="false">-MIN(AS329,Inputs!$D$72/MAX(1,Inputs!$D$74*12))</f>
        <v>-1666.66666666667</v>
      </c>
      <c r="AT331" s="69" t="n">
        <f aca="false">-MIN(AT329,Inputs!$D$72/MAX(1,Inputs!$D$74*12))</f>
        <v>-1666.66666666667</v>
      </c>
      <c r="AU331" s="69" t="n">
        <f aca="false">-MIN(AU329,Inputs!$D$72/MAX(1,Inputs!$D$74*12))</f>
        <v>-1666.66666666667</v>
      </c>
      <c r="AV331" s="69" t="n">
        <f aca="false">-MIN(AV329,Inputs!$D$72/MAX(1,Inputs!$D$74*12))</f>
        <v>-1666.66666666667</v>
      </c>
      <c r="AW331" s="69" t="n">
        <f aca="false">-MIN(AW329,Inputs!$D$72/MAX(1,Inputs!$D$74*12))</f>
        <v>-1666.66666666667</v>
      </c>
      <c r="AX331" s="69" t="n">
        <f aca="false">-MIN(AX329,Inputs!$D$72/MAX(1,Inputs!$D$74*12))</f>
        <v>-1666.66666666667</v>
      </c>
      <c r="AY331" s="69" t="n">
        <f aca="false">-MIN(AY329,Inputs!$D$72/MAX(1,Inputs!$D$74*12))</f>
        <v>-1666.66666666667</v>
      </c>
      <c r="AZ331" s="69" t="n">
        <f aca="false">-MIN(AZ329,Inputs!$D$72/MAX(1,Inputs!$D$74*12))</f>
        <v>-1666.66666666667</v>
      </c>
      <c r="BA331" s="69" t="n">
        <f aca="false">-MIN(BA329,Inputs!$D$72/MAX(1,Inputs!$D$74*12))</f>
        <v>-1666.66666666667</v>
      </c>
      <c r="BB331" s="69" t="n">
        <f aca="false">-MIN(BB329,Inputs!$D$72/MAX(1,Inputs!$D$74*12))</f>
        <v>-1666.66666666667</v>
      </c>
      <c r="BC331" s="69" t="n">
        <f aca="false">-MIN(BC329,Inputs!$D$72/MAX(1,Inputs!$D$74*12))</f>
        <v>-1666.66666666667</v>
      </c>
      <c r="BD331" s="69" t="n">
        <f aca="false">-MIN(BD329,Inputs!$D$72/MAX(1,Inputs!$D$74*12))</f>
        <v>-1666.66666666667</v>
      </c>
      <c r="BE331" s="69" t="n">
        <f aca="false">-MIN(BE329,Inputs!$D$72/MAX(1,Inputs!$D$74*12))</f>
        <v>-1666.66666666667</v>
      </c>
      <c r="BF331" s="69" t="n">
        <f aca="false">-MIN(BF329,Inputs!$D$72/MAX(1,Inputs!$D$74*12))</f>
        <v>-1666.66666666667</v>
      </c>
      <c r="BG331" s="69" t="n">
        <f aca="false">-MIN(BG329,Inputs!$D$72/MAX(1,Inputs!$D$74*12))</f>
        <v>-1666.66666666667</v>
      </c>
      <c r="BH331" s="69" t="n">
        <f aca="false">-MIN(BH329,Inputs!$D$72/MAX(1,Inputs!$D$74*12))</f>
        <v>-1666.66666666667</v>
      </c>
      <c r="BI331" s="69" t="n">
        <f aca="false">-MIN(BI329,Inputs!$D$72/MAX(1,Inputs!$D$74*12))</f>
        <v>-1666.66666666667</v>
      </c>
      <c r="BJ331" s="69" t="n">
        <f aca="false">-MIN(BJ329,Inputs!$D$72/MAX(1,Inputs!$D$74*12))</f>
        <v>-1666.66666666667</v>
      </c>
    </row>
    <row r="332" customFormat="false" ht="15" hidden="false" customHeight="false" outlineLevel="0" collapsed="false">
      <c r="A332" s="4" t="s">
        <v>443</v>
      </c>
      <c r="C332" s="75" t="n">
        <f aca="false">C329+C330+C331</f>
        <v>100000</v>
      </c>
      <c r="D332" s="75" t="n">
        <f aca="false">D329+D330+D331</f>
        <v>98333.3333333333</v>
      </c>
      <c r="E332" s="75" t="n">
        <f aca="false">E329+E330+E331</f>
        <v>96666.6666666667</v>
      </c>
      <c r="F332" s="75" t="n">
        <f aca="false">F329+F330+F331</f>
        <v>95000</v>
      </c>
      <c r="G332" s="75" t="n">
        <f aca="false">G329+G330+G331</f>
        <v>93333.3333333333</v>
      </c>
      <c r="H332" s="75" t="n">
        <f aca="false">H329+H330+H331</f>
        <v>91666.6666666666</v>
      </c>
      <c r="I332" s="75" t="n">
        <f aca="false">I329+I330+I331</f>
        <v>90000</v>
      </c>
      <c r="J332" s="75" t="n">
        <f aca="false">J329+J330+J331</f>
        <v>88333.3333333333</v>
      </c>
      <c r="K332" s="75" t="n">
        <f aca="false">K329+K330+K331</f>
        <v>86666.6666666666</v>
      </c>
      <c r="L332" s="75" t="n">
        <f aca="false">L329+L330+L331</f>
        <v>85000</v>
      </c>
      <c r="M332" s="75" t="n">
        <f aca="false">M329+M330+M331</f>
        <v>83333.3333333333</v>
      </c>
      <c r="N332" s="75" t="n">
        <f aca="false">N329+N330+N331</f>
        <v>81666.6666666666</v>
      </c>
      <c r="O332" s="75" t="n">
        <f aca="false">O329+O330+O331</f>
        <v>79999.9999999999</v>
      </c>
      <c r="P332" s="75" t="n">
        <f aca="false">P329+P330+P331</f>
        <v>78333.3333333333</v>
      </c>
      <c r="Q332" s="75" t="n">
        <f aca="false">Q329+Q330+Q331</f>
        <v>76666.6666666666</v>
      </c>
      <c r="R332" s="75" t="n">
        <f aca="false">R329+R330+R331</f>
        <v>74999.9999999999</v>
      </c>
      <c r="S332" s="75" t="n">
        <f aca="false">S329+S330+S331</f>
        <v>73333.3333333333</v>
      </c>
      <c r="T332" s="75" t="n">
        <f aca="false">T329+T330+T331</f>
        <v>71666.6666666666</v>
      </c>
      <c r="U332" s="75" t="n">
        <f aca="false">U329+U330+U331</f>
        <v>69999.9999999999</v>
      </c>
      <c r="V332" s="75" t="n">
        <f aca="false">V329+V330+V331</f>
        <v>68333.3333333332</v>
      </c>
      <c r="W332" s="75" t="n">
        <f aca="false">W329+W330+W331</f>
        <v>66666.6666666666</v>
      </c>
      <c r="X332" s="75" t="n">
        <f aca="false">X329+X330+X331</f>
        <v>64999.9999999999</v>
      </c>
      <c r="Y332" s="75" t="n">
        <f aca="false">Y329+Y330+Y331</f>
        <v>63333.3333333332</v>
      </c>
      <c r="Z332" s="75" t="n">
        <f aca="false">Z329+Z330+Z331</f>
        <v>61666.6666666666</v>
      </c>
      <c r="AA332" s="75" t="n">
        <f aca="false">AA329+AA330+AA331</f>
        <v>59999.9999999999</v>
      </c>
      <c r="AB332" s="75" t="n">
        <f aca="false">AB329+AB330+AB331</f>
        <v>58333.3333333333</v>
      </c>
      <c r="AC332" s="75" t="n">
        <f aca="false">AC329+AC330+AC331</f>
        <v>56666.6666666666</v>
      </c>
      <c r="AD332" s="75" t="n">
        <f aca="false">AD329+AD330+AD331</f>
        <v>54999.9999999999</v>
      </c>
      <c r="AE332" s="75" t="n">
        <f aca="false">AE329+AE330+AE331</f>
        <v>53333.3333333333</v>
      </c>
      <c r="AF332" s="75" t="n">
        <f aca="false">AF329+AF330+AF331</f>
        <v>51666.6666666666</v>
      </c>
      <c r="AG332" s="75" t="n">
        <f aca="false">AG329+AG330+AG331</f>
        <v>49999.9999999999</v>
      </c>
      <c r="AH332" s="75" t="n">
        <f aca="false">AH329+AH330+AH331</f>
        <v>48333.3333333333</v>
      </c>
      <c r="AI332" s="75" t="n">
        <f aca="false">AI329+AI330+AI331</f>
        <v>46666.6666666666</v>
      </c>
      <c r="AJ332" s="75" t="n">
        <f aca="false">AJ329+AJ330+AJ331</f>
        <v>44999.9999999999</v>
      </c>
      <c r="AK332" s="75" t="n">
        <f aca="false">AK329+AK330+AK331</f>
        <v>43333.3333333333</v>
      </c>
      <c r="AL332" s="75" t="n">
        <f aca="false">AL329+AL330+AL331</f>
        <v>41666.6666666666</v>
      </c>
      <c r="AM332" s="75" t="n">
        <f aca="false">AM329+AM330+AM331</f>
        <v>39999.9999999999</v>
      </c>
      <c r="AN332" s="75" t="n">
        <f aca="false">AN329+AN330+AN331</f>
        <v>38333.3333333333</v>
      </c>
      <c r="AO332" s="75" t="n">
        <f aca="false">AO329+AO330+AO331</f>
        <v>36666.6666666666</v>
      </c>
      <c r="AP332" s="75" t="n">
        <f aca="false">AP329+AP330+AP331</f>
        <v>35000</v>
      </c>
      <c r="AQ332" s="75" t="n">
        <f aca="false">AQ329+AQ330+AQ331</f>
        <v>33333.3333333333</v>
      </c>
      <c r="AR332" s="75" t="n">
        <f aca="false">AR329+AR330+AR331</f>
        <v>31666.6666666666</v>
      </c>
      <c r="AS332" s="75" t="n">
        <f aca="false">AS329+AS330+AS331</f>
        <v>30000</v>
      </c>
      <c r="AT332" s="75" t="n">
        <f aca="false">AT329+AT330+AT331</f>
        <v>28333.3333333333</v>
      </c>
      <c r="AU332" s="75" t="n">
        <f aca="false">AU329+AU330+AU331</f>
        <v>26666.6666666666</v>
      </c>
      <c r="AV332" s="75" t="n">
        <f aca="false">AV329+AV330+AV331</f>
        <v>24999.9999999999</v>
      </c>
      <c r="AW332" s="75" t="n">
        <f aca="false">AW329+AW330+AW331</f>
        <v>23333.3333333333</v>
      </c>
      <c r="AX332" s="75" t="n">
        <f aca="false">AX329+AX330+AX331</f>
        <v>21666.6666666666</v>
      </c>
      <c r="AY332" s="75" t="n">
        <f aca="false">AY329+AY330+AY331</f>
        <v>19999.9999999999</v>
      </c>
      <c r="AZ332" s="75" t="n">
        <f aca="false">AZ329+AZ330+AZ331</f>
        <v>18333.3333333333</v>
      </c>
      <c r="BA332" s="75" t="n">
        <f aca="false">BA329+BA330+BA331</f>
        <v>16666.6666666666</v>
      </c>
      <c r="BB332" s="75" t="n">
        <f aca="false">BB329+BB330+BB331</f>
        <v>14999.9999999999</v>
      </c>
      <c r="BC332" s="75" t="n">
        <f aca="false">BC329+BC330+BC331</f>
        <v>13333.3333333333</v>
      </c>
      <c r="BD332" s="75" t="n">
        <f aca="false">BD329+BD330+BD331</f>
        <v>11666.6666666666</v>
      </c>
      <c r="BE332" s="75" t="n">
        <f aca="false">BE329+BE330+BE331</f>
        <v>9999.99999999994</v>
      </c>
      <c r="BF332" s="75" t="n">
        <f aca="false">BF329+BF330+BF331</f>
        <v>8333.33333333328</v>
      </c>
      <c r="BG332" s="75" t="n">
        <f aca="false">BG329+BG330+BG331</f>
        <v>6666.66666666661</v>
      </c>
      <c r="BH332" s="75" t="n">
        <f aca="false">BH329+BH330+BH331</f>
        <v>4999.99999999994</v>
      </c>
      <c r="BI332" s="75" t="n">
        <f aca="false">BI329+BI330+BI331</f>
        <v>3333.33333333328</v>
      </c>
      <c r="BJ332" s="75" t="n">
        <f aca="false">BJ329+BJ330+BJ331</f>
        <v>1666.66666666661</v>
      </c>
    </row>
    <row r="334" customFormat="false" ht="15.75" hidden="false" customHeight="true" outlineLevel="0" collapsed="false">
      <c r="A334" s="7" t="s">
        <v>321</v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customFormat="false" ht="15" hidden="false" customHeight="false" outlineLevel="0" collapsed="false">
      <c r="A335" s="6" t="s">
        <v>90</v>
      </c>
      <c r="C335" s="69" t="n">
        <f aca="false">C285*Inputs!$D$77/30</f>
        <v>2664.05333333333</v>
      </c>
      <c r="D335" s="69" t="n">
        <f aca="false">D285*Inputs!$D$77/30</f>
        <v>2997.06</v>
      </c>
      <c r="E335" s="69" t="n">
        <f aca="false">E285*Inputs!$D$77/30</f>
        <v>3330.06666666667</v>
      </c>
      <c r="F335" s="69" t="n">
        <f aca="false">F285*Inputs!$D$77/30</f>
        <v>3663.07333333333</v>
      </c>
      <c r="G335" s="69" t="n">
        <f aca="false">G285*Inputs!$D$77/30</f>
        <v>3996.08</v>
      </c>
      <c r="H335" s="69" t="n">
        <f aca="false">H285*Inputs!$D$77/30</f>
        <v>5129.36666666667</v>
      </c>
      <c r="I335" s="69" t="n">
        <f aca="false">I285*Inputs!$D$77/30</f>
        <v>5523.93333333333</v>
      </c>
      <c r="J335" s="69" t="n">
        <f aca="false">J285*Inputs!$D$77/30</f>
        <v>5918.5</v>
      </c>
      <c r="K335" s="69" t="n">
        <f aca="false">K285*Inputs!$D$77/30</f>
        <v>5328.10666666667</v>
      </c>
      <c r="L335" s="69" t="n">
        <f aca="false">L285*Inputs!$D$77/30</f>
        <v>5328.10666666667</v>
      </c>
      <c r="M335" s="69" t="n">
        <f aca="false">M285*Inputs!$D$77/30</f>
        <v>5328.10666666667</v>
      </c>
      <c r="N335" s="69" t="n">
        <f aca="false">N285*Inputs!$D$77/30</f>
        <v>6313.06666666667</v>
      </c>
      <c r="O335" s="69" t="n">
        <f aca="false">O285*Inputs!$D$77/30</f>
        <v>5849.80309333333</v>
      </c>
      <c r="P335" s="69" t="n">
        <f aca="false">P285*Inputs!$D$77/30</f>
        <v>5849.80309333333</v>
      </c>
      <c r="Q335" s="69" t="n">
        <f aca="false">Q285*Inputs!$D$77/30</f>
        <v>5849.80309333333</v>
      </c>
      <c r="R335" s="69" t="n">
        <f aca="false">R285*Inputs!$D$77/30</f>
        <v>5849.80309333333</v>
      </c>
      <c r="S335" s="69" t="n">
        <f aca="false">S285*Inputs!$D$77/30</f>
        <v>5849.80309333333</v>
      </c>
      <c r="T335" s="69" t="n">
        <f aca="false">T285*Inputs!$D$77/30</f>
        <v>6925.37941333333</v>
      </c>
      <c r="U335" s="69" t="n">
        <f aca="false">U285*Inputs!$D$77/30</f>
        <v>6925.37941333333</v>
      </c>
      <c r="V335" s="69" t="n">
        <f aca="false">V285*Inputs!$D$77/30</f>
        <v>6925.37941333333</v>
      </c>
      <c r="W335" s="69" t="n">
        <f aca="false">W285*Inputs!$D$77/30</f>
        <v>5849.80309333333</v>
      </c>
      <c r="X335" s="69" t="n">
        <f aca="false">X285*Inputs!$D$77/30</f>
        <v>5849.80309333333</v>
      </c>
      <c r="Y335" s="69" t="n">
        <f aca="false">Y285*Inputs!$D$77/30</f>
        <v>5849.80309333333</v>
      </c>
      <c r="Z335" s="69" t="n">
        <f aca="false">Z285*Inputs!$D$77/30</f>
        <v>6925.37941333333</v>
      </c>
      <c r="AA335" s="69" t="n">
        <f aca="false">AA285*Inputs!$D$77/30</f>
        <v>6422.72227805867</v>
      </c>
      <c r="AB335" s="69" t="n">
        <f aca="false">AB285*Inputs!$D$77/30</f>
        <v>6422.72227805867</v>
      </c>
      <c r="AC335" s="69" t="n">
        <f aca="false">AC285*Inputs!$D$77/30</f>
        <v>6422.72227805867</v>
      </c>
      <c r="AD335" s="69" t="n">
        <f aca="false">AD285*Inputs!$D$77/30</f>
        <v>6422.72227805867</v>
      </c>
      <c r="AE335" s="69" t="n">
        <f aca="false">AE285*Inputs!$D$77/30</f>
        <v>6422.72227805867</v>
      </c>
      <c r="AF335" s="69" t="n">
        <f aca="false">AF285*Inputs!$D$77/30</f>
        <v>7597.25161949867</v>
      </c>
      <c r="AG335" s="69" t="n">
        <f aca="false">AG285*Inputs!$D$77/30</f>
        <v>7597.25161949867</v>
      </c>
      <c r="AH335" s="69" t="n">
        <f aca="false">AH285*Inputs!$D$77/30</f>
        <v>7597.25161949867</v>
      </c>
      <c r="AI335" s="69" t="n">
        <f aca="false">AI285*Inputs!$D$77/30</f>
        <v>6422.72227805867</v>
      </c>
      <c r="AJ335" s="69" t="n">
        <f aca="false">AJ285*Inputs!$D$77/30</f>
        <v>6422.72227805867</v>
      </c>
      <c r="AK335" s="69" t="n">
        <f aca="false">AK285*Inputs!$D$77/30</f>
        <v>6422.72227805867</v>
      </c>
      <c r="AL335" s="69" t="n">
        <f aca="false">AL285*Inputs!$D$77/30</f>
        <v>7597.25161949867</v>
      </c>
      <c r="AM335" s="69" t="n">
        <f aca="false">AM285*Inputs!$D$77/30</f>
        <v>7051.90712731293</v>
      </c>
      <c r="AN335" s="69" t="n">
        <f aca="false">AN285*Inputs!$D$77/30</f>
        <v>7051.90712731293</v>
      </c>
      <c r="AO335" s="69" t="n">
        <f aca="false">AO285*Inputs!$D$77/30</f>
        <v>7051.90712731293</v>
      </c>
      <c r="AP335" s="69" t="n">
        <f aca="false">AP285*Inputs!$D$77/30</f>
        <v>7051.90712731293</v>
      </c>
      <c r="AQ335" s="69" t="n">
        <f aca="false">AQ285*Inputs!$D$77/30</f>
        <v>7051.90712731293</v>
      </c>
      <c r="AR335" s="69" t="n">
        <f aca="false">AR285*Inputs!$D$77/30</f>
        <v>8162.71023732381</v>
      </c>
      <c r="AS335" s="69" t="n">
        <f aca="false">AS285*Inputs!$D$77/30</f>
        <v>8162.71023732381</v>
      </c>
      <c r="AT335" s="69" t="n">
        <f aca="false">AT285*Inputs!$D$77/30</f>
        <v>8162.71023732381</v>
      </c>
      <c r="AU335" s="69" t="n">
        <f aca="false">AU285*Inputs!$D$77/30</f>
        <v>7051.90712731293</v>
      </c>
      <c r="AV335" s="69" t="n">
        <f aca="false">AV285*Inputs!$D$77/30</f>
        <v>7051.90712731293</v>
      </c>
      <c r="AW335" s="69" t="n">
        <f aca="false">AW285*Inputs!$D$77/30</f>
        <v>7051.90712731293</v>
      </c>
      <c r="AX335" s="69" t="n">
        <f aca="false">AX285*Inputs!$D$77/30</f>
        <v>8162.71023732381</v>
      </c>
      <c r="AY335" s="69" t="n">
        <f aca="false">AY285*Inputs!$D$77/30</f>
        <v>7742.89832922509</v>
      </c>
      <c r="AZ335" s="69" t="n">
        <f aca="false">AZ285*Inputs!$D$77/30</f>
        <v>7742.89832922509</v>
      </c>
      <c r="BA335" s="69" t="n">
        <f aca="false">BA285*Inputs!$D$77/30</f>
        <v>7742.89832922509</v>
      </c>
      <c r="BB335" s="69" t="n">
        <f aca="false">BB285*Inputs!$D$77/30</f>
        <v>7742.89832922509</v>
      </c>
      <c r="BC335" s="69" t="n">
        <f aca="false">BC285*Inputs!$D$77/30</f>
        <v>7742.89832922509</v>
      </c>
      <c r="BD335" s="69" t="n">
        <f aca="false">BD285*Inputs!$D$77/30</f>
        <v>8742.51312401297</v>
      </c>
      <c r="BE335" s="69" t="n">
        <f aca="false">BE285*Inputs!$D$77/30</f>
        <v>8742.51312401297</v>
      </c>
      <c r="BF335" s="69" t="n">
        <f aca="false">BF285*Inputs!$D$77/30</f>
        <v>8742.51312401297</v>
      </c>
      <c r="BG335" s="69" t="n">
        <f aca="false">BG285*Inputs!$D$77/30</f>
        <v>7742.89832922509</v>
      </c>
      <c r="BH335" s="69" t="n">
        <f aca="false">BH285*Inputs!$D$77/30</f>
        <v>7742.89832922509</v>
      </c>
      <c r="BI335" s="69" t="n">
        <f aca="false">BI285*Inputs!$D$77/30</f>
        <v>7742.89832922509</v>
      </c>
      <c r="BJ335" s="69" t="n">
        <f aca="false">BJ285*Inputs!$D$77/30</f>
        <v>8742.51312401297</v>
      </c>
    </row>
    <row r="336" customFormat="false" ht="15" hidden="false" customHeight="false" outlineLevel="0" collapsed="false">
      <c r="A336" s="6" t="s">
        <v>91</v>
      </c>
      <c r="C336" s="69" t="n">
        <f aca="false">-C293*Inputs!$D$78/30</f>
        <v>2893.67866666667</v>
      </c>
      <c r="D336" s="69" t="n">
        <f aca="false">-D293*Inputs!$D$78/30</f>
        <v>3159.55516666667</v>
      </c>
      <c r="E336" s="69" t="n">
        <f aca="false">-E293*Inputs!$D$78/30</f>
        <v>3425.43166666667</v>
      </c>
      <c r="F336" s="69" t="n">
        <f aca="false">-F293*Inputs!$D$78/30</f>
        <v>3691.30816666667</v>
      </c>
      <c r="G336" s="69" t="n">
        <f aca="false">-G293*Inputs!$D$78/30</f>
        <v>3957.18466666667</v>
      </c>
      <c r="H336" s="69" t="n">
        <f aca="false">-H293*Inputs!$D$78/30</f>
        <v>4443.13816666667</v>
      </c>
      <c r="I336" s="69" t="n">
        <f aca="false">-I293*Inputs!$D$78/30</f>
        <v>4725.94366666667</v>
      </c>
      <c r="J336" s="69" t="n">
        <f aca="false">-J293*Inputs!$D$78/30</f>
        <v>5008.74916666667</v>
      </c>
      <c r="K336" s="69" t="n">
        <f aca="false">-K293*Inputs!$D$78/30</f>
        <v>5020.69066666667</v>
      </c>
      <c r="L336" s="69" t="n">
        <f aca="false">-L293*Inputs!$D$78/30</f>
        <v>5020.69066666667</v>
      </c>
      <c r="M336" s="69" t="n">
        <f aca="false">-M293*Inputs!$D$78/30</f>
        <v>5020.69066666667</v>
      </c>
      <c r="N336" s="69" t="n">
        <f aca="false">-N293*Inputs!$D$78/30</f>
        <v>5291.55466666667</v>
      </c>
      <c r="O336" s="69" t="n">
        <f aca="false">-O293*Inputs!$D$78/30</f>
        <v>5456.49182586667</v>
      </c>
      <c r="P336" s="69" t="n">
        <f aca="false">-P293*Inputs!$D$78/30</f>
        <v>5456.49182586667</v>
      </c>
      <c r="Q336" s="69" t="n">
        <f aca="false">-Q293*Inputs!$D$78/30</f>
        <v>5456.49182586667</v>
      </c>
      <c r="R336" s="69" t="n">
        <f aca="false">-R293*Inputs!$D$78/30</f>
        <v>5456.49182586667</v>
      </c>
      <c r="S336" s="69" t="n">
        <f aca="false">-S293*Inputs!$D$78/30</f>
        <v>5456.49182586667</v>
      </c>
      <c r="T336" s="69" t="n">
        <f aca="false">-T293*Inputs!$D$78/30</f>
        <v>5748.00920586667</v>
      </c>
      <c r="U336" s="69" t="n">
        <f aca="false">-U293*Inputs!$D$78/30</f>
        <v>5748.00920586667</v>
      </c>
      <c r="V336" s="69" t="n">
        <f aca="false">-V293*Inputs!$D$78/30</f>
        <v>5748.00920586667</v>
      </c>
      <c r="W336" s="69" t="n">
        <f aca="false">-W293*Inputs!$D$78/30</f>
        <v>5456.49182586667</v>
      </c>
      <c r="X336" s="69" t="n">
        <f aca="false">-X293*Inputs!$D$78/30</f>
        <v>5456.49182586667</v>
      </c>
      <c r="Y336" s="69" t="n">
        <f aca="false">-Y293*Inputs!$D$78/30</f>
        <v>5456.49182586667</v>
      </c>
      <c r="Z336" s="69" t="n">
        <f aca="false">-Z293*Inputs!$D$78/30</f>
        <v>5748.00920586667</v>
      </c>
      <c r="AA336" s="69" t="n">
        <f aca="false">-AA293*Inputs!$D$78/30</f>
        <v>5933.45008504575</v>
      </c>
      <c r="AB336" s="69" t="n">
        <f aca="false">-AB293*Inputs!$D$78/30</f>
        <v>5933.45008504575</v>
      </c>
      <c r="AC336" s="69" t="n">
        <f aca="false">-AC293*Inputs!$D$78/30</f>
        <v>5933.45008504575</v>
      </c>
      <c r="AD336" s="69" t="n">
        <f aca="false">-AD293*Inputs!$D$78/30</f>
        <v>5933.45008504575</v>
      </c>
      <c r="AE336" s="69" t="n">
        <f aca="false">-AE293*Inputs!$D$78/30</f>
        <v>5933.45008504575</v>
      </c>
      <c r="AF336" s="69" t="n">
        <f aca="false">-AF293*Inputs!$D$78/30</f>
        <v>6247.19566527075</v>
      </c>
      <c r="AG336" s="69" t="n">
        <f aca="false">-AG293*Inputs!$D$78/30</f>
        <v>6247.19566527075</v>
      </c>
      <c r="AH336" s="69" t="n">
        <f aca="false">-AH293*Inputs!$D$78/30</f>
        <v>6247.19566527075</v>
      </c>
      <c r="AI336" s="69" t="n">
        <f aca="false">-AI293*Inputs!$D$78/30</f>
        <v>5933.45008504575</v>
      </c>
      <c r="AJ336" s="69" t="n">
        <f aca="false">-AJ293*Inputs!$D$78/30</f>
        <v>5933.45008504575</v>
      </c>
      <c r="AK336" s="69" t="n">
        <f aca="false">-AK293*Inputs!$D$78/30</f>
        <v>5933.45008504575</v>
      </c>
      <c r="AL336" s="69" t="n">
        <f aca="false">-AL293*Inputs!$D$78/30</f>
        <v>6247.19566527075</v>
      </c>
      <c r="AM336" s="69" t="n">
        <f aca="false">-AM293*Inputs!$D$78/30</f>
        <v>6455.58686889636</v>
      </c>
      <c r="AN336" s="69" t="n">
        <f aca="false">-AN293*Inputs!$D$78/30</f>
        <v>6455.58686889636</v>
      </c>
      <c r="AO336" s="69" t="n">
        <f aca="false">-AO293*Inputs!$D$78/30</f>
        <v>6455.58686889636</v>
      </c>
      <c r="AP336" s="69" t="n">
        <f aca="false">-AP293*Inputs!$D$78/30</f>
        <v>6455.58686889636</v>
      </c>
      <c r="AQ336" s="69" t="n">
        <f aca="false">-AQ293*Inputs!$D$78/30</f>
        <v>6455.58686889636</v>
      </c>
      <c r="AR336" s="69" t="n">
        <f aca="false">-AR293*Inputs!$D$78/30</f>
        <v>6748.02995555632</v>
      </c>
      <c r="AS336" s="69" t="n">
        <f aca="false">-AS293*Inputs!$D$78/30</f>
        <v>6748.02995555632</v>
      </c>
      <c r="AT336" s="69" t="n">
        <f aca="false">-AT293*Inputs!$D$78/30</f>
        <v>6748.02995555632</v>
      </c>
      <c r="AU336" s="69" t="n">
        <f aca="false">-AU293*Inputs!$D$78/30</f>
        <v>6455.58686889636</v>
      </c>
      <c r="AV336" s="69" t="n">
        <f aca="false">-AV293*Inputs!$D$78/30</f>
        <v>6455.58686889636</v>
      </c>
      <c r="AW336" s="69" t="n">
        <f aca="false">-AW293*Inputs!$D$78/30</f>
        <v>6455.58686889636</v>
      </c>
      <c r="AX336" s="69" t="n">
        <f aca="false">-AX293*Inputs!$D$78/30</f>
        <v>6748.02995555632</v>
      </c>
      <c r="AY336" s="69" t="n">
        <f aca="false">-AY293*Inputs!$D$78/30</f>
        <v>7027.32250354595</v>
      </c>
      <c r="AZ336" s="69" t="n">
        <f aca="false">-AZ293*Inputs!$D$78/30</f>
        <v>7027.32250354595</v>
      </c>
      <c r="BA336" s="69" t="n">
        <f aca="false">-BA293*Inputs!$D$78/30</f>
        <v>7027.32250354595</v>
      </c>
      <c r="BB336" s="69" t="n">
        <f aca="false">-BB293*Inputs!$D$78/30</f>
        <v>7027.32250354595</v>
      </c>
      <c r="BC336" s="69" t="n">
        <f aca="false">-BC293*Inputs!$D$78/30</f>
        <v>7027.32250354595</v>
      </c>
      <c r="BD336" s="69" t="n">
        <f aca="false">-BD293*Inputs!$D$78/30</f>
        <v>7286.69712096999</v>
      </c>
      <c r="BE336" s="69" t="n">
        <f aca="false">-BE293*Inputs!$D$78/30</f>
        <v>7286.69712096999</v>
      </c>
      <c r="BF336" s="69" t="n">
        <f aca="false">-BF293*Inputs!$D$78/30</f>
        <v>7286.69712096999</v>
      </c>
      <c r="BG336" s="69" t="n">
        <f aca="false">-BG293*Inputs!$D$78/30</f>
        <v>7027.32250354595</v>
      </c>
      <c r="BH336" s="69" t="n">
        <f aca="false">-BH293*Inputs!$D$78/30</f>
        <v>7027.32250354595</v>
      </c>
      <c r="BI336" s="69" t="n">
        <f aca="false">-BI293*Inputs!$D$78/30</f>
        <v>7027.32250354595</v>
      </c>
      <c r="BJ336" s="69" t="n">
        <f aca="false">-BJ293*Inputs!$D$78/30</f>
        <v>7286.69712096999</v>
      </c>
    </row>
    <row r="337" customFormat="false" ht="15" hidden="false" customHeight="false" outlineLevel="0" collapsed="false">
      <c r="A337" s="6" t="s">
        <v>94</v>
      </c>
      <c r="C337" s="69" t="n">
        <f aca="false">-C293*Inputs!$D$79/30</f>
        <v>12056.9944444444</v>
      </c>
      <c r="D337" s="69" t="n">
        <f aca="false">-D293*Inputs!$D$79/30</f>
        <v>13164.8131944444</v>
      </c>
      <c r="E337" s="69" t="n">
        <f aca="false">-E293*Inputs!$D$79/30</f>
        <v>14272.6319444444</v>
      </c>
      <c r="F337" s="69" t="n">
        <f aca="false">-F293*Inputs!$D$79/30</f>
        <v>15380.4506944444</v>
      </c>
      <c r="G337" s="69" t="n">
        <f aca="false">-G293*Inputs!$D$79/30</f>
        <v>16488.2694444444</v>
      </c>
      <c r="H337" s="69" t="n">
        <f aca="false">-H293*Inputs!$D$79/30</f>
        <v>18513.0756944444</v>
      </c>
      <c r="I337" s="69" t="n">
        <f aca="false">-I293*Inputs!$D$79/30</f>
        <v>19691.4319444444</v>
      </c>
      <c r="J337" s="69" t="n">
        <f aca="false">-J293*Inputs!$D$79/30</f>
        <v>20869.7881944444</v>
      </c>
      <c r="K337" s="69" t="n">
        <f aca="false">-K293*Inputs!$D$79/30</f>
        <v>20919.5444444445</v>
      </c>
      <c r="L337" s="69" t="n">
        <f aca="false">-L293*Inputs!$D$79/30</f>
        <v>20919.5444444445</v>
      </c>
      <c r="M337" s="69" t="n">
        <f aca="false">-M293*Inputs!$D$79/30</f>
        <v>20919.5444444445</v>
      </c>
      <c r="N337" s="69" t="n">
        <f aca="false">-N293*Inputs!$D$79/30</f>
        <v>22048.1444444445</v>
      </c>
      <c r="O337" s="69" t="n">
        <f aca="false">-O293*Inputs!$D$79/30</f>
        <v>22735.3826077778</v>
      </c>
      <c r="P337" s="69" t="n">
        <f aca="false">-P293*Inputs!$D$79/30</f>
        <v>22735.3826077778</v>
      </c>
      <c r="Q337" s="69" t="n">
        <f aca="false">-Q293*Inputs!$D$79/30</f>
        <v>22735.3826077778</v>
      </c>
      <c r="R337" s="69" t="n">
        <f aca="false">-R293*Inputs!$D$79/30</f>
        <v>22735.3826077778</v>
      </c>
      <c r="S337" s="69" t="n">
        <f aca="false">-S293*Inputs!$D$79/30</f>
        <v>22735.3826077778</v>
      </c>
      <c r="T337" s="69" t="n">
        <f aca="false">-T293*Inputs!$D$79/30</f>
        <v>23950.0383577778</v>
      </c>
      <c r="U337" s="69" t="n">
        <f aca="false">-U293*Inputs!$D$79/30</f>
        <v>23950.0383577778</v>
      </c>
      <c r="V337" s="69" t="n">
        <f aca="false">-V293*Inputs!$D$79/30</f>
        <v>23950.0383577778</v>
      </c>
      <c r="W337" s="69" t="n">
        <f aca="false">-W293*Inputs!$D$79/30</f>
        <v>22735.3826077778</v>
      </c>
      <c r="X337" s="69" t="n">
        <f aca="false">-X293*Inputs!$D$79/30</f>
        <v>22735.3826077778</v>
      </c>
      <c r="Y337" s="69" t="n">
        <f aca="false">-Y293*Inputs!$D$79/30</f>
        <v>22735.3826077778</v>
      </c>
      <c r="Z337" s="69" t="n">
        <f aca="false">-Z293*Inputs!$D$79/30</f>
        <v>23950.0383577778</v>
      </c>
      <c r="AA337" s="69" t="n">
        <f aca="false">-AA293*Inputs!$D$79/30</f>
        <v>24722.7086876906</v>
      </c>
      <c r="AB337" s="69" t="n">
        <f aca="false">-AB293*Inputs!$D$79/30</f>
        <v>24722.7086876906</v>
      </c>
      <c r="AC337" s="69" t="n">
        <f aca="false">-AC293*Inputs!$D$79/30</f>
        <v>24722.7086876906</v>
      </c>
      <c r="AD337" s="69" t="n">
        <f aca="false">-AD293*Inputs!$D$79/30</f>
        <v>24722.7086876906</v>
      </c>
      <c r="AE337" s="69" t="n">
        <f aca="false">-AE293*Inputs!$D$79/30</f>
        <v>24722.7086876906</v>
      </c>
      <c r="AF337" s="69" t="n">
        <f aca="false">-AF293*Inputs!$D$79/30</f>
        <v>26029.9819386281</v>
      </c>
      <c r="AG337" s="69" t="n">
        <f aca="false">-AG293*Inputs!$D$79/30</f>
        <v>26029.9819386281</v>
      </c>
      <c r="AH337" s="69" t="n">
        <f aca="false">-AH293*Inputs!$D$79/30</f>
        <v>26029.9819386281</v>
      </c>
      <c r="AI337" s="69" t="n">
        <f aca="false">-AI293*Inputs!$D$79/30</f>
        <v>24722.7086876906</v>
      </c>
      <c r="AJ337" s="69" t="n">
        <f aca="false">-AJ293*Inputs!$D$79/30</f>
        <v>24722.7086876906</v>
      </c>
      <c r="AK337" s="69" t="n">
        <f aca="false">-AK293*Inputs!$D$79/30</f>
        <v>24722.7086876906</v>
      </c>
      <c r="AL337" s="69" t="n">
        <f aca="false">-AL293*Inputs!$D$79/30</f>
        <v>26029.9819386281</v>
      </c>
      <c r="AM337" s="69" t="n">
        <f aca="false">-AM293*Inputs!$D$79/30</f>
        <v>26898.2786204015</v>
      </c>
      <c r="AN337" s="69" t="n">
        <f aca="false">-AN293*Inputs!$D$79/30</f>
        <v>26898.2786204015</v>
      </c>
      <c r="AO337" s="69" t="n">
        <f aca="false">-AO293*Inputs!$D$79/30</f>
        <v>26898.2786204015</v>
      </c>
      <c r="AP337" s="69" t="n">
        <f aca="false">-AP293*Inputs!$D$79/30</f>
        <v>26898.2786204015</v>
      </c>
      <c r="AQ337" s="69" t="n">
        <f aca="false">-AQ293*Inputs!$D$79/30</f>
        <v>26898.2786204015</v>
      </c>
      <c r="AR337" s="69" t="n">
        <f aca="false">-AR293*Inputs!$D$79/30</f>
        <v>28116.7914814847</v>
      </c>
      <c r="AS337" s="69" t="n">
        <f aca="false">-AS293*Inputs!$D$79/30</f>
        <v>28116.7914814847</v>
      </c>
      <c r="AT337" s="69" t="n">
        <f aca="false">-AT293*Inputs!$D$79/30</f>
        <v>28116.7914814847</v>
      </c>
      <c r="AU337" s="69" t="n">
        <f aca="false">-AU293*Inputs!$D$79/30</f>
        <v>26898.2786204015</v>
      </c>
      <c r="AV337" s="69" t="n">
        <f aca="false">-AV293*Inputs!$D$79/30</f>
        <v>26898.2786204015</v>
      </c>
      <c r="AW337" s="69" t="n">
        <f aca="false">-AW293*Inputs!$D$79/30</f>
        <v>26898.2786204015</v>
      </c>
      <c r="AX337" s="69" t="n">
        <f aca="false">-AX293*Inputs!$D$79/30</f>
        <v>28116.7914814847</v>
      </c>
      <c r="AY337" s="69" t="n">
        <f aca="false">-AY293*Inputs!$D$79/30</f>
        <v>29280.5104314415</v>
      </c>
      <c r="AZ337" s="69" t="n">
        <f aca="false">-AZ293*Inputs!$D$79/30</f>
        <v>29280.5104314415</v>
      </c>
      <c r="BA337" s="69" t="n">
        <f aca="false">-BA293*Inputs!$D$79/30</f>
        <v>29280.5104314415</v>
      </c>
      <c r="BB337" s="69" t="n">
        <f aca="false">-BB293*Inputs!$D$79/30</f>
        <v>29280.5104314415</v>
      </c>
      <c r="BC337" s="69" t="n">
        <f aca="false">-BC293*Inputs!$D$79/30</f>
        <v>29280.5104314415</v>
      </c>
      <c r="BD337" s="69" t="n">
        <f aca="false">-BD293*Inputs!$D$79/30</f>
        <v>30361.2380040416</v>
      </c>
      <c r="BE337" s="69" t="n">
        <f aca="false">-BE293*Inputs!$D$79/30</f>
        <v>30361.2380040416</v>
      </c>
      <c r="BF337" s="69" t="n">
        <f aca="false">-BF293*Inputs!$D$79/30</f>
        <v>30361.2380040416</v>
      </c>
      <c r="BG337" s="69" t="n">
        <f aca="false">-BG293*Inputs!$D$79/30</f>
        <v>29280.5104314415</v>
      </c>
      <c r="BH337" s="69" t="n">
        <f aca="false">-BH293*Inputs!$D$79/30</f>
        <v>29280.5104314415</v>
      </c>
      <c r="BI337" s="69" t="n">
        <f aca="false">-BI293*Inputs!$D$79/30</f>
        <v>29280.5104314415</v>
      </c>
      <c r="BJ337" s="69" t="n">
        <f aca="false">-BJ293*Inputs!$D$79/30</f>
        <v>30361.2380040416</v>
      </c>
    </row>
    <row r="338" customFormat="false" ht="15" hidden="false" customHeight="false" outlineLevel="0" collapsed="false">
      <c r="A338" s="6" t="s">
        <v>344</v>
      </c>
      <c r="C338" s="69" t="n">
        <f aca="false">-C335</f>
        <v>-2664.05333333333</v>
      </c>
      <c r="D338" s="69" t="n">
        <f aca="false">C335-D335</f>
        <v>-333.006666666666</v>
      </c>
      <c r="E338" s="69" t="n">
        <f aca="false">D335-E335</f>
        <v>-333.006666666667</v>
      </c>
      <c r="F338" s="69" t="n">
        <f aca="false">E335-F335</f>
        <v>-333.006666666667</v>
      </c>
      <c r="G338" s="69" t="n">
        <f aca="false">F335-G335</f>
        <v>-333.006666666667</v>
      </c>
      <c r="H338" s="69" t="n">
        <f aca="false">G335-H335</f>
        <v>-1133.28666666667</v>
      </c>
      <c r="I338" s="69" t="n">
        <f aca="false">H335-I335</f>
        <v>-394.566666666667</v>
      </c>
      <c r="J338" s="69" t="n">
        <f aca="false">I335-J335</f>
        <v>-394.566666666667</v>
      </c>
      <c r="K338" s="69" t="n">
        <f aca="false">J335-K335</f>
        <v>590.393333333333</v>
      </c>
      <c r="L338" s="69" t="n">
        <f aca="false">K335-L335</f>
        <v>0</v>
      </c>
      <c r="M338" s="69" t="n">
        <f aca="false">L335-M335</f>
        <v>0</v>
      </c>
      <c r="N338" s="69" t="n">
        <f aca="false">M335-N335</f>
        <v>-984.959999999999</v>
      </c>
      <c r="O338" s="69" t="n">
        <f aca="false">N335-O335</f>
        <v>463.263573333334</v>
      </c>
      <c r="P338" s="69" t="n">
        <f aca="false">O335-P335</f>
        <v>0</v>
      </c>
      <c r="Q338" s="69" t="n">
        <f aca="false">P335-Q335</f>
        <v>0</v>
      </c>
      <c r="R338" s="69" t="n">
        <f aca="false">Q335-R335</f>
        <v>0</v>
      </c>
      <c r="S338" s="69" t="n">
        <f aca="false">R335-S335</f>
        <v>0</v>
      </c>
      <c r="T338" s="69" t="n">
        <f aca="false">S335-T335</f>
        <v>-1075.57632</v>
      </c>
      <c r="U338" s="69" t="n">
        <f aca="false">T335-U335</f>
        <v>0</v>
      </c>
      <c r="V338" s="69" t="n">
        <f aca="false">U335-V335</f>
        <v>0</v>
      </c>
      <c r="W338" s="69" t="n">
        <f aca="false">V335-W335</f>
        <v>1075.57632</v>
      </c>
      <c r="X338" s="69" t="n">
        <f aca="false">W335-X335</f>
        <v>0</v>
      </c>
      <c r="Y338" s="69" t="n">
        <f aca="false">X335-Y335</f>
        <v>0</v>
      </c>
      <c r="Z338" s="69" t="n">
        <f aca="false">Y335-Z335</f>
        <v>-1075.57632</v>
      </c>
      <c r="AA338" s="69" t="n">
        <f aca="false">Z335-AA335</f>
        <v>502.657135274667</v>
      </c>
      <c r="AB338" s="69" t="n">
        <f aca="false">AA335-AB335</f>
        <v>0</v>
      </c>
      <c r="AC338" s="69" t="n">
        <f aca="false">AB335-AC335</f>
        <v>0</v>
      </c>
      <c r="AD338" s="69" t="n">
        <f aca="false">AC335-AD335</f>
        <v>0</v>
      </c>
      <c r="AE338" s="69" t="n">
        <f aca="false">AD335-AE335</f>
        <v>0</v>
      </c>
      <c r="AF338" s="69" t="n">
        <f aca="false">AE335-AF335</f>
        <v>-1174.52934144</v>
      </c>
      <c r="AG338" s="69" t="n">
        <f aca="false">AF335-AG335</f>
        <v>0</v>
      </c>
      <c r="AH338" s="69" t="n">
        <f aca="false">AG335-AH335</f>
        <v>0</v>
      </c>
      <c r="AI338" s="69" t="n">
        <f aca="false">AH335-AI335</f>
        <v>1174.52934144</v>
      </c>
      <c r="AJ338" s="69" t="n">
        <f aca="false">AI335-AJ335</f>
        <v>0</v>
      </c>
      <c r="AK338" s="69" t="n">
        <f aca="false">AJ335-AK335</f>
        <v>0</v>
      </c>
      <c r="AL338" s="69" t="n">
        <f aca="false">AK335-AL335</f>
        <v>-1174.52934144</v>
      </c>
      <c r="AM338" s="69" t="n">
        <f aca="false">AL335-AM335</f>
        <v>545.344492185736</v>
      </c>
      <c r="AN338" s="69" t="n">
        <f aca="false">AM335-AN335</f>
        <v>0</v>
      </c>
      <c r="AO338" s="69" t="n">
        <f aca="false">AN335-AO335</f>
        <v>0</v>
      </c>
      <c r="AP338" s="69" t="n">
        <f aca="false">AO335-AP335</f>
        <v>0</v>
      </c>
      <c r="AQ338" s="69" t="n">
        <f aca="false">AP335-AQ335</f>
        <v>0</v>
      </c>
      <c r="AR338" s="69" t="n">
        <f aca="false">AQ335-AR335</f>
        <v>-1110.80311001088</v>
      </c>
      <c r="AS338" s="69" t="n">
        <f aca="false">AR335-AS335</f>
        <v>0</v>
      </c>
      <c r="AT338" s="69" t="n">
        <f aca="false">AS335-AT335</f>
        <v>0</v>
      </c>
      <c r="AU338" s="69" t="n">
        <f aca="false">AT335-AU335</f>
        <v>1110.80311001088</v>
      </c>
      <c r="AV338" s="69" t="n">
        <f aca="false">AU335-AV335</f>
        <v>0</v>
      </c>
      <c r="AW338" s="69" t="n">
        <f aca="false">AV335-AW335</f>
        <v>0</v>
      </c>
      <c r="AX338" s="69" t="n">
        <f aca="false">AW335-AX335</f>
        <v>-1110.80311001088</v>
      </c>
      <c r="AY338" s="69" t="n">
        <f aca="false">AX335-AY335</f>
        <v>419.811908098721</v>
      </c>
      <c r="AZ338" s="69" t="n">
        <f aca="false">AY335-AZ335</f>
        <v>0</v>
      </c>
      <c r="BA338" s="69" t="n">
        <f aca="false">AZ335-BA335</f>
        <v>0</v>
      </c>
      <c r="BB338" s="69" t="n">
        <f aca="false">BA335-BB335</f>
        <v>0</v>
      </c>
      <c r="BC338" s="69" t="n">
        <f aca="false">BB335-BC335</f>
        <v>0</v>
      </c>
      <c r="BD338" s="69" t="n">
        <f aca="false">BC335-BD335</f>
        <v>-999.61479478788</v>
      </c>
      <c r="BE338" s="69" t="n">
        <f aca="false">BD335-BE335</f>
        <v>0</v>
      </c>
      <c r="BF338" s="69" t="n">
        <f aca="false">BE335-BF335</f>
        <v>0</v>
      </c>
      <c r="BG338" s="69" t="n">
        <f aca="false">BF335-BG335</f>
        <v>999.61479478788</v>
      </c>
      <c r="BH338" s="69" t="n">
        <f aca="false">BG335-BH335</f>
        <v>0</v>
      </c>
      <c r="BI338" s="69" t="n">
        <f aca="false">BH335-BI335</f>
        <v>0</v>
      </c>
      <c r="BJ338" s="69" t="n">
        <f aca="false">BI335-BJ335</f>
        <v>-999.61479478788</v>
      </c>
    </row>
    <row r="339" customFormat="false" ht="15" hidden="false" customHeight="false" outlineLevel="0" collapsed="false">
      <c r="A339" s="6" t="s">
        <v>345</v>
      </c>
      <c r="C339" s="69" t="n">
        <f aca="false">-C336</f>
        <v>-2893.67866666667</v>
      </c>
      <c r="D339" s="69" t="n">
        <f aca="false">C336-D336</f>
        <v>-265.876499999999</v>
      </c>
      <c r="E339" s="69" t="n">
        <f aca="false">D336-E336</f>
        <v>-265.8765</v>
      </c>
      <c r="F339" s="69" t="n">
        <f aca="false">E336-F336</f>
        <v>-265.876500000001</v>
      </c>
      <c r="G339" s="69" t="n">
        <f aca="false">F336-G336</f>
        <v>-265.876499999999</v>
      </c>
      <c r="H339" s="69" t="n">
        <f aca="false">G336-H336</f>
        <v>-485.953500000001</v>
      </c>
      <c r="I339" s="69" t="n">
        <f aca="false">H336-I336</f>
        <v>-282.8055</v>
      </c>
      <c r="J339" s="69" t="n">
        <f aca="false">I336-J336</f>
        <v>-282.8055</v>
      </c>
      <c r="K339" s="69" t="n">
        <f aca="false">J336-K336</f>
        <v>-11.9415000000008</v>
      </c>
      <c r="L339" s="69" t="n">
        <f aca="false">K336-L336</f>
        <v>0</v>
      </c>
      <c r="M339" s="69" t="n">
        <f aca="false">L336-M336</f>
        <v>0</v>
      </c>
      <c r="N339" s="69" t="n">
        <f aca="false">M336-N336</f>
        <v>-270.864</v>
      </c>
      <c r="O339" s="69" t="n">
        <f aca="false">N336-O336</f>
        <v>-164.937159200001</v>
      </c>
      <c r="P339" s="69" t="n">
        <f aca="false">O336-P336</f>
        <v>0</v>
      </c>
      <c r="Q339" s="69" t="n">
        <f aca="false">P336-Q336</f>
        <v>0</v>
      </c>
      <c r="R339" s="69" t="n">
        <f aca="false">Q336-R336</f>
        <v>0</v>
      </c>
      <c r="S339" s="69" t="n">
        <f aca="false">R336-S336</f>
        <v>0</v>
      </c>
      <c r="T339" s="69" t="n">
        <f aca="false">S336-T336</f>
        <v>-291.517379999998</v>
      </c>
      <c r="U339" s="69" t="n">
        <f aca="false">T336-U336</f>
        <v>0</v>
      </c>
      <c r="V339" s="69" t="n">
        <f aca="false">U336-V336</f>
        <v>0</v>
      </c>
      <c r="W339" s="69" t="n">
        <f aca="false">V336-W336</f>
        <v>291.517379999998</v>
      </c>
      <c r="X339" s="69" t="n">
        <f aca="false">W336-X336</f>
        <v>0</v>
      </c>
      <c r="Y339" s="69" t="n">
        <f aca="false">X336-Y336</f>
        <v>0</v>
      </c>
      <c r="Z339" s="69" t="n">
        <f aca="false">Y336-Z336</f>
        <v>-291.517379999998</v>
      </c>
      <c r="AA339" s="69" t="n">
        <f aca="false">Z336-AA336</f>
        <v>-185.44087917908</v>
      </c>
      <c r="AB339" s="69" t="n">
        <f aca="false">AA336-AB336</f>
        <v>0</v>
      </c>
      <c r="AC339" s="69" t="n">
        <f aca="false">AB336-AC336</f>
        <v>0</v>
      </c>
      <c r="AD339" s="69" t="n">
        <f aca="false">AC336-AD336</f>
        <v>0</v>
      </c>
      <c r="AE339" s="69" t="n">
        <f aca="false">AD336-AE336</f>
        <v>0</v>
      </c>
      <c r="AF339" s="69" t="n">
        <f aca="false">AE336-AF336</f>
        <v>-313.745580225</v>
      </c>
      <c r="AG339" s="69" t="n">
        <f aca="false">AF336-AG336</f>
        <v>0</v>
      </c>
      <c r="AH339" s="69" t="n">
        <f aca="false">AG336-AH336</f>
        <v>0</v>
      </c>
      <c r="AI339" s="69" t="n">
        <f aca="false">AH336-AI336</f>
        <v>313.745580225</v>
      </c>
      <c r="AJ339" s="69" t="n">
        <f aca="false">AI336-AJ336</f>
        <v>0</v>
      </c>
      <c r="AK339" s="69" t="n">
        <f aca="false">AJ336-AK336</f>
        <v>0</v>
      </c>
      <c r="AL339" s="69" t="n">
        <f aca="false">AK336-AL336</f>
        <v>-313.745580225</v>
      </c>
      <c r="AM339" s="69" t="n">
        <f aca="false">AL336-AM336</f>
        <v>-208.391203625609</v>
      </c>
      <c r="AN339" s="69" t="n">
        <f aca="false">AM336-AN336</f>
        <v>0</v>
      </c>
      <c r="AO339" s="69" t="n">
        <f aca="false">AN336-AO336</f>
        <v>0</v>
      </c>
      <c r="AP339" s="69" t="n">
        <f aca="false">AO336-AP336</f>
        <v>0</v>
      </c>
      <c r="AQ339" s="69" t="n">
        <f aca="false">AP336-AQ336</f>
        <v>0</v>
      </c>
      <c r="AR339" s="69" t="n">
        <f aca="false">AQ336-AR336</f>
        <v>-292.443086659969</v>
      </c>
      <c r="AS339" s="69" t="n">
        <f aca="false">AR336-AS336</f>
        <v>0</v>
      </c>
      <c r="AT339" s="69" t="n">
        <f aca="false">AS336-AT336</f>
        <v>0</v>
      </c>
      <c r="AU339" s="69" t="n">
        <f aca="false">AT336-AU336</f>
        <v>292.443086659969</v>
      </c>
      <c r="AV339" s="69" t="n">
        <f aca="false">AU336-AV336</f>
        <v>0</v>
      </c>
      <c r="AW339" s="69" t="n">
        <f aca="false">AV336-AW336</f>
        <v>0</v>
      </c>
      <c r="AX339" s="69" t="n">
        <f aca="false">AW336-AX336</f>
        <v>-292.443086659969</v>
      </c>
      <c r="AY339" s="69" t="n">
        <f aca="false">AX336-AY336</f>
        <v>-279.292547989629</v>
      </c>
      <c r="AZ339" s="69" t="n">
        <f aca="false">AY336-AZ336</f>
        <v>0</v>
      </c>
      <c r="BA339" s="69" t="n">
        <f aca="false">AZ336-BA336</f>
        <v>0</v>
      </c>
      <c r="BB339" s="69" t="n">
        <f aca="false">BA336-BB336</f>
        <v>0</v>
      </c>
      <c r="BC339" s="69" t="n">
        <f aca="false">BB336-BC336</f>
        <v>0</v>
      </c>
      <c r="BD339" s="69" t="n">
        <f aca="false">BC336-BD336</f>
        <v>-259.374617424041</v>
      </c>
      <c r="BE339" s="69" t="n">
        <f aca="false">BD336-BE336</f>
        <v>0</v>
      </c>
      <c r="BF339" s="69" t="n">
        <f aca="false">BE336-BF336</f>
        <v>0</v>
      </c>
      <c r="BG339" s="69" t="n">
        <f aca="false">BF336-BG336</f>
        <v>259.374617424041</v>
      </c>
      <c r="BH339" s="69" t="n">
        <f aca="false">BG336-BH336</f>
        <v>0</v>
      </c>
      <c r="BI339" s="69" t="n">
        <f aca="false">BH336-BI336</f>
        <v>0</v>
      </c>
      <c r="BJ339" s="69" t="n">
        <f aca="false">BI336-BJ336</f>
        <v>-259.374617424041</v>
      </c>
    </row>
    <row r="340" customFormat="false" ht="15" hidden="false" customHeight="false" outlineLevel="0" collapsed="false">
      <c r="A340" s="6" t="s">
        <v>346</v>
      </c>
      <c r="C340" s="69" t="n">
        <f aca="false">C337</f>
        <v>12056.9944444444</v>
      </c>
      <c r="D340" s="69" t="n">
        <f aca="false">D337-C337</f>
        <v>1107.81875</v>
      </c>
      <c r="E340" s="69" t="n">
        <f aca="false">E337-D337</f>
        <v>1107.81875</v>
      </c>
      <c r="F340" s="69" t="n">
        <f aca="false">F337-E337</f>
        <v>1107.81875</v>
      </c>
      <c r="G340" s="69" t="n">
        <f aca="false">G337-F337</f>
        <v>1107.81875</v>
      </c>
      <c r="H340" s="69" t="n">
        <f aca="false">H337-G337</f>
        <v>2024.80625000001</v>
      </c>
      <c r="I340" s="69" t="n">
        <f aca="false">I337-H337</f>
        <v>1178.35624999999</v>
      </c>
      <c r="J340" s="69" t="n">
        <f aca="false">J337-I337</f>
        <v>1178.35625</v>
      </c>
      <c r="K340" s="69" t="n">
        <f aca="false">K337-J337</f>
        <v>49.7562500000058</v>
      </c>
      <c r="L340" s="69" t="n">
        <f aca="false">L337-K337</f>
        <v>0</v>
      </c>
      <c r="M340" s="69" t="n">
        <f aca="false">M337-L337</f>
        <v>0</v>
      </c>
      <c r="N340" s="69" t="n">
        <f aca="false">N337-M337</f>
        <v>1128.6</v>
      </c>
      <c r="O340" s="69" t="n">
        <f aca="false">O337-N337</f>
        <v>687.238163333332</v>
      </c>
      <c r="P340" s="69" t="n">
        <f aca="false">P337-O337</f>
        <v>0</v>
      </c>
      <c r="Q340" s="69" t="n">
        <f aca="false">Q337-P337</f>
        <v>0</v>
      </c>
      <c r="R340" s="69" t="n">
        <f aca="false">R337-Q337</f>
        <v>0</v>
      </c>
      <c r="S340" s="69" t="n">
        <f aca="false">S337-R337</f>
        <v>0</v>
      </c>
      <c r="T340" s="69" t="n">
        <f aca="false">T337-S337</f>
        <v>1214.65574999999</v>
      </c>
      <c r="U340" s="69" t="n">
        <f aca="false">U337-T337</f>
        <v>0</v>
      </c>
      <c r="V340" s="69" t="n">
        <f aca="false">V337-U337</f>
        <v>0</v>
      </c>
      <c r="W340" s="69" t="n">
        <f aca="false">W337-V337</f>
        <v>-1214.65574999999</v>
      </c>
      <c r="X340" s="69" t="n">
        <f aca="false">X337-W337</f>
        <v>0</v>
      </c>
      <c r="Y340" s="69" t="n">
        <f aca="false">Y337-X337</f>
        <v>0</v>
      </c>
      <c r="Z340" s="69" t="n">
        <f aca="false">Z337-Y337</f>
        <v>1214.65574999999</v>
      </c>
      <c r="AA340" s="69" t="n">
        <f aca="false">AA337-Z337</f>
        <v>772.670329912835</v>
      </c>
      <c r="AB340" s="69" t="n">
        <f aca="false">AB337-AA337</f>
        <v>0</v>
      </c>
      <c r="AC340" s="69" t="n">
        <f aca="false">AC337-AB337</f>
        <v>0</v>
      </c>
      <c r="AD340" s="69" t="n">
        <f aca="false">AD337-AC337</f>
        <v>0</v>
      </c>
      <c r="AE340" s="69" t="n">
        <f aca="false">AE337-AD337</f>
        <v>0</v>
      </c>
      <c r="AF340" s="69" t="n">
        <f aca="false">AF337-AE337</f>
        <v>1307.2732509375</v>
      </c>
      <c r="AG340" s="69" t="n">
        <f aca="false">AG337-AF337</f>
        <v>0</v>
      </c>
      <c r="AH340" s="69" t="n">
        <f aca="false">AH337-AG337</f>
        <v>0</v>
      </c>
      <c r="AI340" s="69" t="n">
        <f aca="false">AI337-AH337</f>
        <v>-1307.2732509375</v>
      </c>
      <c r="AJ340" s="69" t="n">
        <f aca="false">AJ337-AI337</f>
        <v>0</v>
      </c>
      <c r="AK340" s="69" t="n">
        <f aca="false">AK337-AJ337</f>
        <v>0</v>
      </c>
      <c r="AL340" s="69" t="n">
        <f aca="false">AL337-AK337</f>
        <v>1307.2732509375</v>
      </c>
      <c r="AM340" s="69" t="n">
        <f aca="false">AM337-AL337</f>
        <v>868.296681773361</v>
      </c>
      <c r="AN340" s="69" t="n">
        <f aca="false">AN337-AM337</f>
        <v>0</v>
      </c>
      <c r="AO340" s="69" t="n">
        <f aca="false">AO337-AN337</f>
        <v>0</v>
      </c>
      <c r="AP340" s="69" t="n">
        <f aca="false">AP337-AO337</f>
        <v>0</v>
      </c>
      <c r="AQ340" s="69" t="n">
        <f aca="false">AQ337-AP337</f>
        <v>0</v>
      </c>
      <c r="AR340" s="69" t="n">
        <f aca="false">AR337-AQ337</f>
        <v>1218.51286108321</v>
      </c>
      <c r="AS340" s="69" t="n">
        <f aca="false">AS337-AR337</f>
        <v>0</v>
      </c>
      <c r="AT340" s="69" t="n">
        <f aca="false">AT337-AS337</f>
        <v>0</v>
      </c>
      <c r="AU340" s="69" t="n">
        <f aca="false">AU337-AT337</f>
        <v>-1218.51286108321</v>
      </c>
      <c r="AV340" s="69" t="n">
        <f aca="false">AV337-AU337</f>
        <v>0</v>
      </c>
      <c r="AW340" s="69" t="n">
        <f aca="false">AW337-AV337</f>
        <v>0</v>
      </c>
      <c r="AX340" s="69" t="n">
        <f aca="false">AX337-AW337</f>
        <v>1218.51286108321</v>
      </c>
      <c r="AY340" s="69" t="n">
        <f aca="false">AY337-AX337</f>
        <v>1163.71894995679</v>
      </c>
      <c r="AZ340" s="69" t="n">
        <f aca="false">AZ337-AY337</f>
        <v>0</v>
      </c>
      <c r="BA340" s="69" t="n">
        <f aca="false">BA337-AZ337</f>
        <v>0</v>
      </c>
      <c r="BB340" s="69" t="n">
        <f aca="false">BB337-BA337</f>
        <v>0</v>
      </c>
      <c r="BC340" s="69" t="n">
        <f aca="false">BC337-BB337</f>
        <v>0</v>
      </c>
      <c r="BD340" s="69" t="n">
        <f aca="false">BD337-BC337</f>
        <v>1080.72757260017</v>
      </c>
      <c r="BE340" s="69" t="n">
        <f aca="false">BE337-BD337</f>
        <v>0</v>
      </c>
      <c r="BF340" s="69" t="n">
        <f aca="false">BF337-BE337</f>
        <v>0</v>
      </c>
      <c r="BG340" s="69" t="n">
        <f aca="false">BG337-BF337</f>
        <v>-1080.72757260017</v>
      </c>
      <c r="BH340" s="69" t="n">
        <f aca="false">BH337-BG337</f>
        <v>0</v>
      </c>
      <c r="BI340" s="69" t="n">
        <f aca="false">BI337-BH337</f>
        <v>0</v>
      </c>
      <c r="BJ340" s="69" t="n">
        <f aca="false">BJ337-BI337</f>
        <v>1080.72757260017</v>
      </c>
    </row>
    <row r="342" customFormat="false" ht="15.75" hidden="false" customHeight="true" outlineLevel="0" collapsed="false">
      <c r="A342" s="7" t="s">
        <v>444</v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customFormat="false" ht="15" hidden="false" customHeight="false" outlineLevel="0" collapsed="false">
      <c r="A343" s="4" t="s">
        <v>52</v>
      </c>
      <c r="C343" s="75" t="n">
        <f aca="false">C313-C324+C338+C339+C340</f>
        <v>-4614.73328888888</v>
      </c>
      <c r="D343" s="75" t="n">
        <f aca="false">D313-D324+D338+D339+D340</f>
        <v>-7072.95545</v>
      </c>
      <c r="E343" s="75" t="n">
        <f aca="false">E313-E324+E338+E339+E340</f>
        <v>-3534.60075</v>
      </c>
      <c r="F343" s="75" t="n">
        <f aca="false">F313-F324+F338+F339+F340</f>
        <v>3.75394999999526</v>
      </c>
      <c r="G343" s="75" t="n">
        <f aca="false">G313-G324+G338+G339+G340</f>
        <v>3542.10864999999</v>
      </c>
      <c r="H343" s="75" t="n">
        <f aca="false">H313-H324+H338+H339+H340</f>
        <v>17544.79125</v>
      </c>
      <c r="I343" s="75" t="n">
        <f aca="false">I313-I324+I338+I339+I340</f>
        <v>21017.688885</v>
      </c>
      <c r="J343" s="75" t="n">
        <f aca="false">J313-J324+J338+J339+J340</f>
        <v>21329.391575</v>
      </c>
      <c r="K343" s="75" t="n">
        <f aca="false">K313-K324+K338+K339+K340</f>
        <v>14619.053158</v>
      </c>
      <c r="L343" s="75" t="n">
        <f aca="false">L313-L324+L338+L339+L340</f>
        <v>14000.7200746667</v>
      </c>
      <c r="M343" s="75" t="n">
        <f aca="false">M313-M324+M338+M339+M340</f>
        <v>14010.5950746667</v>
      </c>
      <c r="N343" s="75" t="n">
        <f aca="false">N313-N324+N338+N339+N340</f>
        <v>24168.2995466667</v>
      </c>
      <c r="O343" s="75" t="n">
        <f aca="false">O313-O324+O338+O339+O340</f>
        <v>18889.1951049253</v>
      </c>
      <c r="P343" s="75" t="n">
        <f aca="false">P313-P324+P338+P339+P340</f>
        <v>17913.5055274587</v>
      </c>
      <c r="Q343" s="75" t="n">
        <f aca="false">Q313-Q324+Q338+Q339+Q340</f>
        <v>17923.3805274587</v>
      </c>
      <c r="R343" s="75" t="n">
        <f aca="false">R313-R324+R338+R339+R340</f>
        <v>17933.2555274587</v>
      </c>
      <c r="S343" s="75" t="n">
        <f aca="false">S313-S324+S338+S339+S340</f>
        <v>17943.1305274587</v>
      </c>
      <c r="T343" s="75" t="n">
        <f aca="false">T313-T324+T338+T339+T340</f>
        <v>29037.7770954827</v>
      </c>
      <c r="U343" s="75" t="n">
        <f aca="false">U313-U324+U338+U339+U340</f>
        <v>29200.0900454827</v>
      </c>
      <c r="V343" s="75" t="n">
        <f aca="false">V313-V324+V338+V339+V340</f>
        <v>29209.9650454827</v>
      </c>
      <c r="W343" s="75" t="n">
        <f aca="false">W313-W324+W338+W339+W340</f>
        <v>18135.0684774587</v>
      </c>
      <c r="X343" s="75" t="n">
        <f aca="false">X313-X324+X338+X339+X340</f>
        <v>17992.5055274587</v>
      </c>
      <c r="Y343" s="75" t="n">
        <f aca="false">Y313-Y324+Y338+Y339+Y340</f>
        <v>18002.3805274587</v>
      </c>
      <c r="Z343" s="75" t="n">
        <f aca="false">Z313-Z324+Z338+Z339+Z340</f>
        <v>29097.0270954827</v>
      </c>
      <c r="AA343" s="75" t="n">
        <f aca="false">AA313-AA324+AA338+AA339+AA340</f>
        <v>23364.3868807131</v>
      </c>
      <c r="AB343" s="75" t="n">
        <f aca="false">AB313-AB324+AB338+AB339+AB340</f>
        <v>22284.3752947046</v>
      </c>
      <c r="AC343" s="75" t="n">
        <f aca="false">AC313-AC324+AC338+AC339+AC340</f>
        <v>22294.2502947046</v>
      </c>
      <c r="AD343" s="75" t="n">
        <f aca="false">AD313-AD324+AD338+AD339+AD340</f>
        <v>22304.1252947046</v>
      </c>
      <c r="AE343" s="75" t="n">
        <f aca="false">AE313-AE324+AE338+AE339+AE340</f>
        <v>22314.0002947046</v>
      </c>
      <c r="AF343" s="75" t="n">
        <f aca="false">AF313-AF324+AF338+AF339+AF340</f>
        <v>34432.0424426626</v>
      </c>
      <c r="AG343" s="75" t="n">
        <f aca="false">AG313-AG324+AG338+AG339+AG340</f>
        <v>34622.9191133901</v>
      </c>
      <c r="AH343" s="75" t="n">
        <f aca="false">AH313-AH324+AH338+AH339+AH340</f>
        <v>34632.7941133901</v>
      </c>
      <c r="AI343" s="75" t="n">
        <f aca="false">AI313-AI324+AI338+AI339+AI340</f>
        <v>22534.5019654321</v>
      </c>
      <c r="AJ343" s="75" t="n">
        <f aca="false">AJ313-AJ324+AJ338+AJ339+AJ340</f>
        <v>22363.3752947046</v>
      </c>
      <c r="AK343" s="75" t="n">
        <f aca="false">AK313-AK324+AK338+AK339+AK340</f>
        <v>22373.2502947046</v>
      </c>
      <c r="AL343" s="75" t="n">
        <f aca="false">AL313-AL324+AL338+AL339+AL340</f>
        <v>34491.2924426626</v>
      </c>
      <c r="AM343" s="75" t="n">
        <f aca="false">AM313-AM324+AM338+AM339+AM340</f>
        <v>28274.0665323837</v>
      </c>
      <c r="AN343" s="75" t="n">
        <f aca="false">AN313-AN324+AN338+AN339+AN340</f>
        <v>27078.6915620502</v>
      </c>
      <c r="AO343" s="75" t="n">
        <f aca="false">AO313-AO324+AO338+AO339+AO340</f>
        <v>27088.5665620502</v>
      </c>
      <c r="AP343" s="75" t="n">
        <f aca="false">AP313-AP324+AP338+AP339+AP340</f>
        <v>27098.4415620502</v>
      </c>
      <c r="AQ343" s="75" t="n">
        <f aca="false">AQ313-AQ324+AQ338+AQ339+AQ340</f>
        <v>27108.3165620502</v>
      </c>
      <c r="AR343" s="75" t="n">
        <f aca="false">AR313-AR324+AR338+AR339+AR340</f>
        <v>38572.760415883</v>
      </c>
      <c r="AS343" s="75" t="n">
        <f aca="false">AS313-AS324+AS338+AS339+AS340</f>
        <v>38767.3687514706</v>
      </c>
      <c r="AT343" s="75" t="n">
        <f aca="false">AT313-AT324+AT338+AT339+AT340</f>
        <v>38777.2437514706</v>
      </c>
      <c r="AU343" s="75" t="n">
        <f aca="false">AU313-AU324+AU338+AU339+AU340</f>
        <v>27332.5498976378</v>
      </c>
      <c r="AV343" s="75" t="n">
        <f aca="false">AV313-AV324+AV338+AV339+AV340</f>
        <v>27157.6915620502</v>
      </c>
      <c r="AW343" s="75" t="n">
        <f aca="false">AW313-AW324+AW338+AW339+AW340</f>
        <v>27167.5665620502</v>
      </c>
      <c r="AX343" s="75" t="n">
        <f aca="false">AX313-AX324+AX338+AX339+AX340</f>
        <v>38632.010415883</v>
      </c>
      <c r="AY343" s="75" t="n">
        <f aca="false">AY313-AY324+AY338+AY339+AY340</f>
        <v>33639.0435435073</v>
      </c>
      <c r="AZ343" s="75" t="n">
        <f aca="false">AZ313-AZ324+AZ338+AZ339+AZ340</f>
        <v>32344.6802334414</v>
      </c>
      <c r="BA343" s="75" t="n">
        <f aca="false">BA313-BA324+BA338+BA339+BA340</f>
        <v>32354.5552334414</v>
      </c>
      <c r="BB343" s="75" t="n">
        <f aca="false">BB313-BB324+BB338+BB339+BB340</f>
        <v>32364.4302334414</v>
      </c>
      <c r="BC343" s="75" t="n">
        <f aca="false">BC313-BC324+BC338+BC339+BC340</f>
        <v>32374.3052334414</v>
      </c>
      <c r="BD343" s="75" t="n">
        <f aca="false">BD313-BD324+BD338+BD339+BD340</f>
        <v>42695.1517843305</v>
      </c>
      <c r="BE343" s="75" t="n">
        <f aca="false">BE313-BE324+BE338+BE339+BE340</f>
        <v>42883.2886239422</v>
      </c>
      <c r="BF343" s="75" t="n">
        <f aca="false">BF313-BF324+BF338+BF339+BF340</f>
        <v>42893.1636239422</v>
      </c>
      <c r="BG343" s="75" t="n">
        <f aca="false">BG313-BG324+BG338+BG339+BG340</f>
        <v>32592.0670730532</v>
      </c>
      <c r="BH343" s="75" t="n">
        <f aca="false">BH313-BH324+BH338+BH339+BH340</f>
        <v>32423.6802334414</v>
      </c>
      <c r="BI343" s="75" t="n">
        <f aca="false">BI313-BI324+BI338+BI339+BI340</f>
        <v>32433.5552334414</v>
      </c>
      <c r="BJ343" s="75" t="n">
        <f aca="false">BJ313-BJ324+BJ338+BJ339+BJ340</f>
        <v>42754.4017843305</v>
      </c>
    </row>
    <row r="344" customFormat="false" ht="15" hidden="false" customHeight="false" outlineLevel="0" collapsed="false">
      <c r="A344" s="6" t="s">
        <v>445</v>
      </c>
      <c r="C344" s="69" t="n">
        <f aca="false">-C321</f>
        <v>-189000</v>
      </c>
      <c r="D344" s="69" t="n">
        <f aca="false">-D321</f>
        <v>-0</v>
      </c>
      <c r="E344" s="69" t="n">
        <f aca="false">-E321</f>
        <v>-0</v>
      </c>
      <c r="F344" s="69" t="n">
        <f aca="false">-F321</f>
        <v>-0</v>
      </c>
      <c r="G344" s="69" t="n">
        <f aca="false">-G321</f>
        <v>-0</v>
      </c>
      <c r="H344" s="69" t="n">
        <f aca="false">-H321</f>
        <v>-0</v>
      </c>
      <c r="I344" s="69" t="n">
        <f aca="false">-I321</f>
        <v>-0</v>
      </c>
      <c r="J344" s="69" t="n">
        <f aca="false">-J321</f>
        <v>-0</v>
      </c>
      <c r="K344" s="69" t="n">
        <f aca="false">-K321</f>
        <v>-0</v>
      </c>
      <c r="L344" s="69" t="n">
        <f aca="false">-L321</f>
        <v>-0</v>
      </c>
      <c r="M344" s="69" t="n">
        <f aca="false">-M321</f>
        <v>-0</v>
      </c>
      <c r="N344" s="69" t="n">
        <f aca="false">-N321</f>
        <v>-0</v>
      </c>
      <c r="O344" s="69" t="n">
        <f aca="false">-O321</f>
        <v>-10000</v>
      </c>
      <c r="P344" s="69" t="n">
        <f aca="false">-P321</f>
        <v>-0</v>
      </c>
      <c r="Q344" s="69" t="n">
        <f aca="false">-Q321</f>
        <v>-0</v>
      </c>
      <c r="R344" s="69" t="n">
        <f aca="false">-R321</f>
        <v>-0</v>
      </c>
      <c r="S344" s="69" t="n">
        <f aca="false">-S321</f>
        <v>-0</v>
      </c>
      <c r="T344" s="69" t="n">
        <f aca="false">-T321</f>
        <v>-0</v>
      </c>
      <c r="U344" s="69" t="n">
        <f aca="false">-U321</f>
        <v>-0</v>
      </c>
      <c r="V344" s="69" t="n">
        <f aca="false">-V321</f>
        <v>-0</v>
      </c>
      <c r="W344" s="69" t="n">
        <f aca="false">-W321</f>
        <v>-0</v>
      </c>
      <c r="X344" s="69" t="n">
        <f aca="false">-X321</f>
        <v>-0</v>
      </c>
      <c r="Y344" s="69" t="n">
        <f aca="false">-Y321</f>
        <v>-0</v>
      </c>
      <c r="Z344" s="69" t="n">
        <f aca="false">-Z321</f>
        <v>-0</v>
      </c>
      <c r="AA344" s="69" t="n">
        <f aca="false">-AA321</f>
        <v>-10000</v>
      </c>
      <c r="AB344" s="69" t="n">
        <f aca="false">-AB321</f>
        <v>-0</v>
      </c>
      <c r="AC344" s="69" t="n">
        <f aca="false">-AC321</f>
        <v>-0</v>
      </c>
      <c r="AD344" s="69" t="n">
        <f aca="false">-AD321</f>
        <v>-0</v>
      </c>
      <c r="AE344" s="69" t="n">
        <f aca="false">-AE321</f>
        <v>-0</v>
      </c>
      <c r="AF344" s="69" t="n">
        <f aca="false">-AF321</f>
        <v>-0</v>
      </c>
      <c r="AG344" s="69" t="n">
        <f aca="false">-AG321</f>
        <v>-0</v>
      </c>
      <c r="AH344" s="69" t="n">
        <f aca="false">-AH321</f>
        <v>-0</v>
      </c>
      <c r="AI344" s="69" t="n">
        <f aca="false">-AI321</f>
        <v>-0</v>
      </c>
      <c r="AJ344" s="69" t="n">
        <f aca="false">-AJ321</f>
        <v>-0</v>
      </c>
      <c r="AK344" s="69" t="n">
        <f aca="false">-AK321</f>
        <v>-0</v>
      </c>
      <c r="AL344" s="69" t="n">
        <f aca="false">-AL321</f>
        <v>-0</v>
      </c>
      <c r="AM344" s="69" t="n">
        <f aca="false">-AM321</f>
        <v>-10000</v>
      </c>
      <c r="AN344" s="69" t="n">
        <f aca="false">-AN321</f>
        <v>-0</v>
      </c>
      <c r="AO344" s="69" t="n">
        <f aca="false">-AO321</f>
        <v>-0</v>
      </c>
      <c r="AP344" s="69" t="n">
        <f aca="false">-AP321</f>
        <v>-0</v>
      </c>
      <c r="AQ344" s="69" t="n">
        <f aca="false">-AQ321</f>
        <v>-0</v>
      </c>
      <c r="AR344" s="69" t="n">
        <f aca="false">-AR321</f>
        <v>-0</v>
      </c>
      <c r="AS344" s="69" t="n">
        <f aca="false">-AS321</f>
        <v>-0</v>
      </c>
      <c r="AT344" s="69" t="n">
        <f aca="false">-AT321</f>
        <v>-0</v>
      </c>
      <c r="AU344" s="69" t="n">
        <f aca="false">-AU321</f>
        <v>-0</v>
      </c>
      <c r="AV344" s="69" t="n">
        <f aca="false">-AV321</f>
        <v>-0</v>
      </c>
      <c r="AW344" s="69" t="n">
        <f aca="false">-AW321</f>
        <v>-0</v>
      </c>
      <c r="AX344" s="69" t="n">
        <f aca="false">-AX321</f>
        <v>-0</v>
      </c>
      <c r="AY344" s="69" t="n">
        <f aca="false">-AY321</f>
        <v>-10000</v>
      </c>
      <c r="AZ344" s="69" t="n">
        <f aca="false">-AZ321</f>
        <v>-0</v>
      </c>
      <c r="BA344" s="69" t="n">
        <f aca="false">-BA321</f>
        <v>-0</v>
      </c>
      <c r="BB344" s="69" t="n">
        <f aca="false">-BB321</f>
        <v>-0</v>
      </c>
      <c r="BC344" s="69" t="n">
        <f aca="false">-BC321</f>
        <v>-0</v>
      </c>
      <c r="BD344" s="69" t="n">
        <f aca="false">-BD321</f>
        <v>-0</v>
      </c>
      <c r="BE344" s="69" t="n">
        <f aca="false">-BE321</f>
        <v>-0</v>
      </c>
      <c r="BF344" s="69" t="n">
        <f aca="false">-BF321</f>
        <v>-0</v>
      </c>
      <c r="BG344" s="69" t="n">
        <f aca="false">-BG321</f>
        <v>-0</v>
      </c>
      <c r="BH344" s="69" t="n">
        <f aca="false">-BH321</f>
        <v>-0</v>
      </c>
      <c r="BI344" s="69" t="n">
        <f aca="false">-BI321</f>
        <v>-0</v>
      </c>
      <c r="BJ344" s="69" t="n">
        <f aca="false">-BJ321</f>
        <v>-0</v>
      </c>
    </row>
    <row r="345" customFormat="false" ht="15" hidden="false" customHeight="false" outlineLevel="0" collapsed="false">
      <c r="A345" s="6" t="s">
        <v>64</v>
      </c>
      <c r="C345" s="69" t="n">
        <f aca="false">IF(C$258=1,Inputs!$D$71,0)</f>
        <v>330000</v>
      </c>
      <c r="D345" s="69" t="n">
        <f aca="false">IF(D$258=1,Inputs!$D$71,0)</f>
        <v>0</v>
      </c>
      <c r="E345" s="69" t="n">
        <f aca="false">IF(E$258=1,Inputs!$D$71,0)</f>
        <v>0</v>
      </c>
      <c r="F345" s="69" t="n">
        <f aca="false">IF(F$258=1,Inputs!$D$71,0)</f>
        <v>0</v>
      </c>
      <c r="G345" s="69" t="n">
        <f aca="false">IF(G$258=1,Inputs!$D$71,0)</f>
        <v>0</v>
      </c>
      <c r="H345" s="69" t="n">
        <f aca="false">IF(H$258=1,Inputs!$D$71,0)</f>
        <v>0</v>
      </c>
      <c r="I345" s="69" t="n">
        <f aca="false">IF(I$258=1,Inputs!$D$71,0)</f>
        <v>0</v>
      </c>
      <c r="J345" s="69" t="n">
        <f aca="false">IF(J$258=1,Inputs!$D$71,0)</f>
        <v>0</v>
      </c>
      <c r="K345" s="69" t="n">
        <f aca="false">IF(K$258=1,Inputs!$D$71,0)</f>
        <v>0</v>
      </c>
      <c r="L345" s="69" t="n">
        <f aca="false">IF(L$258=1,Inputs!$D$71,0)</f>
        <v>0</v>
      </c>
      <c r="M345" s="69" t="n">
        <f aca="false">IF(M$258=1,Inputs!$D$71,0)</f>
        <v>0</v>
      </c>
      <c r="N345" s="69" t="n">
        <f aca="false">IF(N$258=1,Inputs!$D$71,0)</f>
        <v>0</v>
      </c>
      <c r="O345" s="69" t="n">
        <f aca="false">IF(O$258=1,Inputs!$D$71,0)</f>
        <v>0</v>
      </c>
      <c r="P345" s="69" t="n">
        <f aca="false">IF(P$258=1,Inputs!$D$71,0)</f>
        <v>0</v>
      </c>
      <c r="Q345" s="69" t="n">
        <f aca="false">IF(Q$258=1,Inputs!$D$71,0)</f>
        <v>0</v>
      </c>
      <c r="R345" s="69" t="n">
        <f aca="false">IF(R$258=1,Inputs!$D$71,0)</f>
        <v>0</v>
      </c>
      <c r="S345" s="69" t="n">
        <f aca="false">IF(S$258=1,Inputs!$D$71,0)</f>
        <v>0</v>
      </c>
      <c r="T345" s="69" t="n">
        <f aca="false">IF(T$258=1,Inputs!$D$71,0)</f>
        <v>0</v>
      </c>
      <c r="U345" s="69" t="n">
        <f aca="false">IF(U$258=1,Inputs!$D$71,0)</f>
        <v>0</v>
      </c>
      <c r="V345" s="69" t="n">
        <f aca="false">IF(V$258=1,Inputs!$D$71,0)</f>
        <v>0</v>
      </c>
      <c r="W345" s="69" t="n">
        <f aca="false">IF(W$258=1,Inputs!$D$71,0)</f>
        <v>0</v>
      </c>
      <c r="X345" s="69" t="n">
        <f aca="false">IF(X$258=1,Inputs!$D$71,0)</f>
        <v>0</v>
      </c>
      <c r="Y345" s="69" t="n">
        <f aca="false">IF(Y$258=1,Inputs!$D$71,0)</f>
        <v>0</v>
      </c>
      <c r="Z345" s="69" t="n">
        <f aca="false">IF(Z$258=1,Inputs!$D$71,0)</f>
        <v>0</v>
      </c>
      <c r="AA345" s="69" t="n">
        <f aca="false">IF(AA$258=1,Inputs!$D$71,0)</f>
        <v>0</v>
      </c>
      <c r="AB345" s="69" t="n">
        <f aca="false">IF(AB$258=1,Inputs!$D$71,0)</f>
        <v>0</v>
      </c>
      <c r="AC345" s="69" t="n">
        <f aca="false">IF(AC$258=1,Inputs!$D$71,0)</f>
        <v>0</v>
      </c>
      <c r="AD345" s="69" t="n">
        <f aca="false">IF(AD$258=1,Inputs!$D$71,0)</f>
        <v>0</v>
      </c>
      <c r="AE345" s="69" t="n">
        <f aca="false">IF(AE$258=1,Inputs!$D$71,0)</f>
        <v>0</v>
      </c>
      <c r="AF345" s="69" t="n">
        <f aca="false">IF(AF$258=1,Inputs!$D$71,0)</f>
        <v>0</v>
      </c>
      <c r="AG345" s="69" t="n">
        <f aca="false">IF(AG$258=1,Inputs!$D$71,0)</f>
        <v>0</v>
      </c>
      <c r="AH345" s="69" t="n">
        <f aca="false">IF(AH$258=1,Inputs!$D$71,0)</f>
        <v>0</v>
      </c>
      <c r="AI345" s="69" t="n">
        <f aca="false">IF(AI$258=1,Inputs!$D$71,0)</f>
        <v>0</v>
      </c>
      <c r="AJ345" s="69" t="n">
        <f aca="false">IF(AJ$258=1,Inputs!$D$71,0)</f>
        <v>0</v>
      </c>
      <c r="AK345" s="69" t="n">
        <f aca="false">IF(AK$258=1,Inputs!$D$71,0)</f>
        <v>0</v>
      </c>
      <c r="AL345" s="69" t="n">
        <f aca="false">IF(AL$258=1,Inputs!$D$71,0)</f>
        <v>0</v>
      </c>
      <c r="AM345" s="69" t="n">
        <f aca="false">IF(AM$258=1,Inputs!$D$71,0)</f>
        <v>0</v>
      </c>
      <c r="AN345" s="69" t="n">
        <f aca="false">IF(AN$258=1,Inputs!$D$71,0)</f>
        <v>0</v>
      </c>
      <c r="AO345" s="69" t="n">
        <f aca="false">IF(AO$258=1,Inputs!$D$71,0)</f>
        <v>0</v>
      </c>
      <c r="AP345" s="69" t="n">
        <f aca="false">IF(AP$258=1,Inputs!$D$71,0)</f>
        <v>0</v>
      </c>
      <c r="AQ345" s="69" t="n">
        <f aca="false">IF(AQ$258=1,Inputs!$D$71,0)</f>
        <v>0</v>
      </c>
      <c r="AR345" s="69" t="n">
        <f aca="false">IF(AR$258=1,Inputs!$D$71,0)</f>
        <v>0</v>
      </c>
      <c r="AS345" s="69" t="n">
        <f aca="false">IF(AS$258=1,Inputs!$D$71,0)</f>
        <v>0</v>
      </c>
      <c r="AT345" s="69" t="n">
        <f aca="false">IF(AT$258=1,Inputs!$D$71,0)</f>
        <v>0</v>
      </c>
      <c r="AU345" s="69" t="n">
        <f aca="false">IF(AU$258=1,Inputs!$D$71,0)</f>
        <v>0</v>
      </c>
      <c r="AV345" s="69" t="n">
        <f aca="false">IF(AV$258=1,Inputs!$D$71,0)</f>
        <v>0</v>
      </c>
      <c r="AW345" s="69" t="n">
        <f aca="false">IF(AW$258=1,Inputs!$D$71,0)</f>
        <v>0</v>
      </c>
      <c r="AX345" s="69" t="n">
        <f aca="false">IF(AX$258=1,Inputs!$D$71,0)</f>
        <v>0</v>
      </c>
      <c r="AY345" s="69" t="n">
        <f aca="false">IF(AY$258=1,Inputs!$D$71,0)</f>
        <v>0</v>
      </c>
      <c r="AZ345" s="69" t="n">
        <f aca="false">IF(AZ$258=1,Inputs!$D$71,0)</f>
        <v>0</v>
      </c>
      <c r="BA345" s="69" t="n">
        <f aca="false">IF(BA$258=1,Inputs!$D$71,0)</f>
        <v>0</v>
      </c>
      <c r="BB345" s="69" t="n">
        <f aca="false">IF(BB$258=1,Inputs!$D$71,0)</f>
        <v>0</v>
      </c>
      <c r="BC345" s="69" t="n">
        <f aca="false">IF(BC$258=1,Inputs!$D$71,0)</f>
        <v>0</v>
      </c>
      <c r="BD345" s="69" t="n">
        <f aca="false">IF(BD$258=1,Inputs!$D$71,0)</f>
        <v>0</v>
      </c>
      <c r="BE345" s="69" t="n">
        <f aca="false">IF(BE$258=1,Inputs!$D$71,0)</f>
        <v>0</v>
      </c>
      <c r="BF345" s="69" t="n">
        <f aca="false">IF(BF$258=1,Inputs!$D$71,0)</f>
        <v>0</v>
      </c>
      <c r="BG345" s="69" t="n">
        <f aca="false">IF(BG$258=1,Inputs!$D$71,0)</f>
        <v>0</v>
      </c>
      <c r="BH345" s="69" t="n">
        <f aca="false">IF(BH$258=1,Inputs!$D$71,0)</f>
        <v>0</v>
      </c>
      <c r="BI345" s="69" t="n">
        <f aca="false">IF(BI$258=1,Inputs!$D$71,0)</f>
        <v>0</v>
      </c>
      <c r="BJ345" s="69" t="n">
        <f aca="false">IF(BJ$258=1,Inputs!$D$71,0)</f>
        <v>0</v>
      </c>
    </row>
    <row r="346" customFormat="false" ht="15" hidden="false" customHeight="false" outlineLevel="0" collapsed="false">
      <c r="A346" s="6" t="s">
        <v>54</v>
      </c>
      <c r="C346" s="69" t="n">
        <f aca="false">C345+C330+C331</f>
        <v>430000</v>
      </c>
      <c r="D346" s="69" t="n">
        <f aca="false">D345+D330+D331</f>
        <v>-1666.66666666667</v>
      </c>
      <c r="E346" s="69" t="n">
        <f aca="false">E345+E330+E331</f>
        <v>-1666.66666666667</v>
      </c>
      <c r="F346" s="69" t="n">
        <f aca="false">F345+F330+F331</f>
        <v>-1666.66666666667</v>
      </c>
      <c r="G346" s="69" t="n">
        <f aca="false">G345+G330+G331</f>
        <v>-1666.66666666667</v>
      </c>
      <c r="H346" s="69" t="n">
        <f aca="false">H345+H330+H331</f>
        <v>-1666.66666666667</v>
      </c>
      <c r="I346" s="69" t="n">
        <f aca="false">I345+I330+I331</f>
        <v>-1666.66666666667</v>
      </c>
      <c r="J346" s="69" t="n">
        <f aca="false">J345+J330+J331</f>
        <v>-1666.66666666667</v>
      </c>
      <c r="K346" s="69" t="n">
        <f aca="false">K345+K330+K331</f>
        <v>-1666.66666666667</v>
      </c>
      <c r="L346" s="69" t="n">
        <f aca="false">L345+L330+L331</f>
        <v>-1666.66666666667</v>
      </c>
      <c r="M346" s="69" t="n">
        <f aca="false">M345+M330+M331</f>
        <v>-1666.66666666667</v>
      </c>
      <c r="N346" s="69" t="n">
        <f aca="false">N345+N330+N331</f>
        <v>-1666.66666666667</v>
      </c>
      <c r="O346" s="69" t="n">
        <f aca="false">O345+O330+O331</f>
        <v>-1666.66666666667</v>
      </c>
      <c r="P346" s="69" t="n">
        <f aca="false">P345+P330+P331</f>
        <v>-1666.66666666667</v>
      </c>
      <c r="Q346" s="69" t="n">
        <f aca="false">Q345+Q330+Q331</f>
        <v>-1666.66666666667</v>
      </c>
      <c r="R346" s="69" t="n">
        <f aca="false">R345+R330+R331</f>
        <v>-1666.66666666667</v>
      </c>
      <c r="S346" s="69" t="n">
        <f aca="false">S345+S330+S331</f>
        <v>-1666.66666666667</v>
      </c>
      <c r="T346" s="69" t="n">
        <f aca="false">T345+T330+T331</f>
        <v>-1666.66666666667</v>
      </c>
      <c r="U346" s="69" t="n">
        <f aca="false">U345+U330+U331</f>
        <v>-1666.66666666667</v>
      </c>
      <c r="V346" s="69" t="n">
        <f aca="false">V345+V330+V331</f>
        <v>-1666.66666666667</v>
      </c>
      <c r="W346" s="69" t="n">
        <f aca="false">W345+W330+W331</f>
        <v>-1666.66666666667</v>
      </c>
      <c r="X346" s="69" t="n">
        <f aca="false">X345+X330+X331</f>
        <v>-1666.66666666667</v>
      </c>
      <c r="Y346" s="69" t="n">
        <f aca="false">Y345+Y330+Y331</f>
        <v>-1666.66666666667</v>
      </c>
      <c r="Z346" s="69" t="n">
        <f aca="false">Z345+Z330+Z331</f>
        <v>-1666.66666666667</v>
      </c>
      <c r="AA346" s="69" t="n">
        <f aca="false">AA345+AA330+AA331</f>
        <v>-1666.66666666667</v>
      </c>
      <c r="AB346" s="69" t="n">
        <f aca="false">AB345+AB330+AB331</f>
        <v>-1666.66666666667</v>
      </c>
      <c r="AC346" s="69" t="n">
        <f aca="false">AC345+AC330+AC331</f>
        <v>-1666.66666666667</v>
      </c>
      <c r="AD346" s="69" t="n">
        <f aca="false">AD345+AD330+AD331</f>
        <v>-1666.66666666667</v>
      </c>
      <c r="AE346" s="69" t="n">
        <f aca="false">AE345+AE330+AE331</f>
        <v>-1666.66666666667</v>
      </c>
      <c r="AF346" s="69" t="n">
        <f aca="false">AF345+AF330+AF331</f>
        <v>-1666.66666666667</v>
      </c>
      <c r="AG346" s="69" t="n">
        <f aca="false">AG345+AG330+AG331</f>
        <v>-1666.66666666667</v>
      </c>
      <c r="AH346" s="69" t="n">
        <f aca="false">AH345+AH330+AH331</f>
        <v>-1666.66666666667</v>
      </c>
      <c r="AI346" s="69" t="n">
        <f aca="false">AI345+AI330+AI331</f>
        <v>-1666.66666666667</v>
      </c>
      <c r="AJ346" s="69" t="n">
        <f aca="false">AJ345+AJ330+AJ331</f>
        <v>-1666.66666666667</v>
      </c>
      <c r="AK346" s="69" t="n">
        <f aca="false">AK345+AK330+AK331</f>
        <v>-1666.66666666667</v>
      </c>
      <c r="AL346" s="69" t="n">
        <f aca="false">AL345+AL330+AL331</f>
        <v>-1666.66666666667</v>
      </c>
      <c r="AM346" s="69" t="n">
        <f aca="false">AM345+AM330+AM331</f>
        <v>-1666.66666666667</v>
      </c>
      <c r="AN346" s="69" t="n">
        <f aca="false">AN345+AN330+AN331</f>
        <v>-1666.66666666667</v>
      </c>
      <c r="AO346" s="69" t="n">
        <f aca="false">AO345+AO330+AO331</f>
        <v>-1666.66666666667</v>
      </c>
      <c r="AP346" s="69" t="n">
        <f aca="false">AP345+AP330+AP331</f>
        <v>-1666.66666666667</v>
      </c>
      <c r="AQ346" s="69" t="n">
        <f aca="false">AQ345+AQ330+AQ331</f>
        <v>-1666.66666666667</v>
      </c>
      <c r="AR346" s="69" t="n">
        <f aca="false">AR345+AR330+AR331</f>
        <v>-1666.66666666667</v>
      </c>
      <c r="AS346" s="69" t="n">
        <f aca="false">AS345+AS330+AS331</f>
        <v>-1666.66666666667</v>
      </c>
      <c r="AT346" s="69" t="n">
        <f aca="false">AT345+AT330+AT331</f>
        <v>-1666.66666666667</v>
      </c>
      <c r="AU346" s="69" t="n">
        <f aca="false">AU345+AU330+AU331</f>
        <v>-1666.66666666667</v>
      </c>
      <c r="AV346" s="69" t="n">
        <f aca="false">AV345+AV330+AV331</f>
        <v>-1666.66666666667</v>
      </c>
      <c r="AW346" s="69" t="n">
        <f aca="false">AW345+AW330+AW331</f>
        <v>-1666.66666666667</v>
      </c>
      <c r="AX346" s="69" t="n">
        <f aca="false">AX345+AX330+AX331</f>
        <v>-1666.66666666667</v>
      </c>
      <c r="AY346" s="69" t="n">
        <f aca="false">AY345+AY330+AY331</f>
        <v>-1666.66666666667</v>
      </c>
      <c r="AZ346" s="69" t="n">
        <f aca="false">AZ345+AZ330+AZ331</f>
        <v>-1666.66666666667</v>
      </c>
      <c r="BA346" s="69" t="n">
        <f aca="false">BA345+BA330+BA331</f>
        <v>-1666.66666666667</v>
      </c>
      <c r="BB346" s="69" t="n">
        <f aca="false">BB345+BB330+BB331</f>
        <v>-1666.66666666667</v>
      </c>
      <c r="BC346" s="69" t="n">
        <f aca="false">BC345+BC330+BC331</f>
        <v>-1666.66666666667</v>
      </c>
      <c r="BD346" s="69" t="n">
        <f aca="false">BD345+BD330+BD331</f>
        <v>-1666.66666666667</v>
      </c>
      <c r="BE346" s="69" t="n">
        <f aca="false">BE345+BE330+BE331</f>
        <v>-1666.66666666667</v>
      </c>
      <c r="BF346" s="69" t="n">
        <f aca="false">BF345+BF330+BF331</f>
        <v>-1666.66666666667</v>
      </c>
      <c r="BG346" s="69" t="n">
        <f aca="false">BG345+BG330+BG331</f>
        <v>-1666.66666666667</v>
      </c>
      <c r="BH346" s="69" t="n">
        <f aca="false">BH345+BH330+BH331</f>
        <v>-1666.66666666667</v>
      </c>
      <c r="BI346" s="69" t="n">
        <f aca="false">BI345+BI330+BI331</f>
        <v>-1666.66666666667</v>
      </c>
      <c r="BJ346" s="69" t="n">
        <f aca="false">BJ345+BJ330+BJ331</f>
        <v>-1666.66666666667</v>
      </c>
    </row>
    <row r="347" customFormat="false" ht="15" hidden="false" customHeight="false" outlineLevel="0" collapsed="false">
      <c r="A347" s="115" t="s">
        <v>446</v>
      </c>
      <c r="C347" s="70" t="n">
        <f aca="false">C343+C344+C346</f>
        <v>236385.266711111</v>
      </c>
      <c r="D347" s="70" t="n">
        <f aca="false">D343+D344+D346</f>
        <v>-8739.62211666667</v>
      </c>
      <c r="E347" s="70" t="n">
        <f aca="false">E343+E344+E346</f>
        <v>-5201.26741666666</v>
      </c>
      <c r="F347" s="70" t="n">
        <f aca="false">F343+F344+F346</f>
        <v>-1662.91271666667</v>
      </c>
      <c r="G347" s="70" t="n">
        <f aca="false">G343+G344+G346</f>
        <v>1875.44198333333</v>
      </c>
      <c r="H347" s="70" t="n">
        <f aca="false">H343+H344+H346</f>
        <v>15878.1245833333</v>
      </c>
      <c r="I347" s="70" t="n">
        <f aca="false">I343+I344+I346</f>
        <v>19351.0222183333</v>
      </c>
      <c r="J347" s="70" t="n">
        <f aca="false">J343+J344+J346</f>
        <v>19662.7249083333</v>
      </c>
      <c r="K347" s="70" t="n">
        <f aca="false">K343+K344+K346</f>
        <v>12952.3864913333</v>
      </c>
      <c r="L347" s="70" t="n">
        <f aca="false">L343+L344+L346</f>
        <v>12334.053408</v>
      </c>
      <c r="M347" s="70" t="n">
        <f aca="false">M343+M344+M346</f>
        <v>12343.928408</v>
      </c>
      <c r="N347" s="70" t="n">
        <f aca="false">N343+N344+N346</f>
        <v>22501.63288</v>
      </c>
      <c r="O347" s="70" t="n">
        <f aca="false">O343+O344+O346</f>
        <v>7222.52843825866</v>
      </c>
      <c r="P347" s="70" t="n">
        <f aca="false">P343+P344+P346</f>
        <v>16246.838860792</v>
      </c>
      <c r="Q347" s="70" t="n">
        <f aca="false">Q343+Q344+Q346</f>
        <v>16256.713860792</v>
      </c>
      <c r="R347" s="70" t="n">
        <f aca="false">R343+R344+R346</f>
        <v>16266.588860792</v>
      </c>
      <c r="S347" s="70" t="n">
        <f aca="false">S343+S344+S346</f>
        <v>16276.463860792</v>
      </c>
      <c r="T347" s="70" t="n">
        <f aca="false">T343+T344+T346</f>
        <v>27371.110428816</v>
      </c>
      <c r="U347" s="70" t="n">
        <f aca="false">U343+U344+U346</f>
        <v>27533.423378816</v>
      </c>
      <c r="V347" s="70" t="n">
        <f aca="false">V343+V344+V346</f>
        <v>27543.298378816</v>
      </c>
      <c r="W347" s="70" t="n">
        <f aca="false">W343+W344+W346</f>
        <v>16468.401810792</v>
      </c>
      <c r="X347" s="70" t="n">
        <f aca="false">X343+X344+X346</f>
        <v>16325.838860792</v>
      </c>
      <c r="Y347" s="70" t="n">
        <f aca="false">Y343+Y344+Y346</f>
        <v>16335.713860792</v>
      </c>
      <c r="Z347" s="70" t="n">
        <f aca="false">Z343+Z344+Z346</f>
        <v>27430.360428816</v>
      </c>
      <c r="AA347" s="70" t="n">
        <f aca="false">AA343+AA344+AA346</f>
        <v>11697.7202140464</v>
      </c>
      <c r="AB347" s="70" t="n">
        <f aca="false">AB343+AB344+AB346</f>
        <v>20617.708628038</v>
      </c>
      <c r="AC347" s="70" t="n">
        <f aca="false">AC343+AC344+AC346</f>
        <v>20627.583628038</v>
      </c>
      <c r="AD347" s="70" t="n">
        <f aca="false">AD343+AD344+AD346</f>
        <v>20637.458628038</v>
      </c>
      <c r="AE347" s="70" t="n">
        <f aca="false">AE343+AE344+AE346</f>
        <v>20647.333628038</v>
      </c>
      <c r="AF347" s="70" t="n">
        <f aca="false">AF343+AF344+AF346</f>
        <v>32765.3757759959</v>
      </c>
      <c r="AG347" s="70" t="n">
        <f aca="false">AG343+AG344+AG346</f>
        <v>32956.2524467235</v>
      </c>
      <c r="AH347" s="70" t="n">
        <f aca="false">AH343+AH344+AH346</f>
        <v>32966.1274467235</v>
      </c>
      <c r="AI347" s="70" t="n">
        <f aca="false">AI343+AI344+AI346</f>
        <v>20867.8352987655</v>
      </c>
      <c r="AJ347" s="70" t="n">
        <f aca="false">AJ343+AJ344+AJ346</f>
        <v>20696.708628038</v>
      </c>
      <c r="AK347" s="70" t="n">
        <f aca="false">AK343+AK344+AK346</f>
        <v>20706.583628038</v>
      </c>
      <c r="AL347" s="70" t="n">
        <f aca="false">AL343+AL344+AL346</f>
        <v>32824.625775996</v>
      </c>
      <c r="AM347" s="70" t="n">
        <f aca="false">AM343+AM344+AM346</f>
        <v>16607.399865717</v>
      </c>
      <c r="AN347" s="70" t="n">
        <f aca="false">AN343+AN344+AN346</f>
        <v>25412.0248953835</v>
      </c>
      <c r="AO347" s="70" t="n">
        <f aca="false">AO343+AO344+AO346</f>
        <v>25421.8998953835</v>
      </c>
      <c r="AP347" s="70" t="n">
        <f aca="false">AP343+AP344+AP346</f>
        <v>25431.7748953835</v>
      </c>
      <c r="AQ347" s="70" t="n">
        <f aca="false">AQ343+AQ344+AQ346</f>
        <v>25441.6498953835</v>
      </c>
      <c r="AR347" s="70" t="n">
        <f aca="false">AR343+AR344+AR346</f>
        <v>36906.0937492163</v>
      </c>
      <c r="AS347" s="70" t="n">
        <f aca="false">AS343+AS344+AS346</f>
        <v>37100.702084804</v>
      </c>
      <c r="AT347" s="70" t="n">
        <f aca="false">AT343+AT344+AT346</f>
        <v>37110.577084804</v>
      </c>
      <c r="AU347" s="70" t="n">
        <f aca="false">AU343+AU344+AU346</f>
        <v>25665.8832309712</v>
      </c>
      <c r="AV347" s="70" t="n">
        <f aca="false">AV343+AV344+AV346</f>
        <v>25491.0248953835</v>
      </c>
      <c r="AW347" s="70" t="n">
        <f aca="false">AW343+AW344+AW346</f>
        <v>25500.8998953835</v>
      </c>
      <c r="AX347" s="70" t="n">
        <f aca="false">AX343+AX344+AX346</f>
        <v>36965.3437492163</v>
      </c>
      <c r="AY347" s="70" t="n">
        <f aca="false">AY343+AY344+AY346</f>
        <v>21972.3768768406</v>
      </c>
      <c r="AZ347" s="70" t="n">
        <f aca="false">AZ343+AZ344+AZ346</f>
        <v>30678.0135667748</v>
      </c>
      <c r="BA347" s="70" t="n">
        <f aca="false">BA343+BA344+BA346</f>
        <v>30687.8885667748</v>
      </c>
      <c r="BB347" s="70" t="n">
        <f aca="false">BB343+BB344+BB346</f>
        <v>30697.7635667748</v>
      </c>
      <c r="BC347" s="70" t="n">
        <f aca="false">BC343+BC344+BC346</f>
        <v>30707.6385667748</v>
      </c>
      <c r="BD347" s="70" t="n">
        <f aca="false">BD343+BD344+BD346</f>
        <v>41028.4851176638</v>
      </c>
      <c r="BE347" s="70" t="n">
        <f aca="false">BE343+BE344+BE346</f>
        <v>41216.6219572755</v>
      </c>
      <c r="BF347" s="70" t="n">
        <f aca="false">BF343+BF344+BF346</f>
        <v>41226.4969572755</v>
      </c>
      <c r="BG347" s="70" t="n">
        <f aca="false">BG343+BG344+BG346</f>
        <v>30925.4004063865</v>
      </c>
      <c r="BH347" s="70" t="n">
        <f aca="false">BH343+BH344+BH346</f>
        <v>30757.0135667748</v>
      </c>
      <c r="BI347" s="70" t="n">
        <f aca="false">BI343+BI344+BI346</f>
        <v>30766.8885667748</v>
      </c>
      <c r="BJ347" s="70" t="n">
        <f aca="false">BJ343+BJ344+BJ346</f>
        <v>41087.7351176638</v>
      </c>
    </row>
    <row r="348" customFormat="false" ht="15" hidden="false" customHeight="false" outlineLevel="0" collapsed="false">
      <c r="A348" s="6" t="s">
        <v>347</v>
      </c>
      <c r="C348" s="69" t="n">
        <f aca="false">0</f>
        <v>0</v>
      </c>
      <c r="D348" s="69" t="n">
        <f aca="false">C349</f>
        <v>236385.266711111</v>
      </c>
      <c r="E348" s="69" t="n">
        <f aca="false">D349</f>
        <v>227645.644594444</v>
      </c>
      <c r="F348" s="69" t="n">
        <f aca="false">E349</f>
        <v>222444.377177778</v>
      </c>
      <c r="G348" s="69" t="n">
        <f aca="false">F349</f>
        <v>220781.464461111</v>
      </c>
      <c r="H348" s="69" t="n">
        <f aca="false">G349</f>
        <v>222656.906444444</v>
      </c>
      <c r="I348" s="69" t="n">
        <f aca="false">H349</f>
        <v>238535.031027778</v>
      </c>
      <c r="J348" s="69" t="n">
        <f aca="false">I349</f>
        <v>257886.053246111</v>
      </c>
      <c r="K348" s="69" t="n">
        <f aca="false">J349</f>
        <v>277548.778154444</v>
      </c>
      <c r="L348" s="69" t="n">
        <f aca="false">K349</f>
        <v>290501.164645778</v>
      </c>
      <c r="M348" s="69" t="n">
        <f aca="false">L349</f>
        <v>302835.218053778</v>
      </c>
      <c r="N348" s="69" t="n">
        <f aca="false">M349</f>
        <v>315179.146461778</v>
      </c>
      <c r="O348" s="69" t="n">
        <f aca="false">N349</f>
        <v>337680.779341778</v>
      </c>
      <c r="P348" s="69" t="n">
        <f aca="false">O349</f>
        <v>344903.307780036</v>
      </c>
      <c r="Q348" s="69" t="n">
        <f aca="false">P349</f>
        <v>361150.146640828</v>
      </c>
      <c r="R348" s="69" t="n">
        <f aca="false">Q349</f>
        <v>377406.86050162</v>
      </c>
      <c r="S348" s="69" t="n">
        <f aca="false">R349</f>
        <v>393673.449362412</v>
      </c>
      <c r="T348" s="69" t="n">
        <f aca="false">S349</f>
        <v>409949.913223204</v>
      </c>
      <c r="U348" s="69" t="n">
        <f aca="false">T349</f>
        <v>437321.02365202</v>
      </c>
      <c r="V348" s="69" t="n">
        <f aca="false">U349</f>
        <v>464854.447030836</v>
      </c>
      <c r="W348" s="69" t="n">
        <f aca="false">V349</f>
        <v>492397.745409652</v>
      </c>
      <c r="X348" s="69" t="n">
        <f aca="false">W349</f>
        <v>508866.147220444</v>
      </c>
      <c r="Y348" s="69" t="n">
        <f aca="false">X349</f>
        <v>525191.986081236</v>
      </c>
      <c r="Z348" s="69" t="n">
        <f aca="false">Y349</f>
        <v>541527.699942028</v>
      </c>
      <c r="AA348" s="69" t="n">
        <f aca="false">Z349</f>
        <v>568958.060370844</v>
      </c>
      <c r="AB348" s="69" t="n">
        <f aca="false">AA349</f>
        <v>580655.780584891</v>
      </c>
      <c r="AC348" s="69" t="n">
        <f aca="false">AB349</f>
        <v>601273.489212929</v>
      </c>
      <c r="AD348" s="69" t="n">
        <f aca="false">AC349</f>
        <v>621901.072840967</v>
      </c>
      <c r="AE348" s="69" t="n">
        <f aca="false">AD349</f>
        <v>642538.531469005</v>
      </c>
      <c r="AF348" s="69" t="n">
        <f aca="false">AE349</f>
        <v>663185.865097043</v>
      </c>
      <c r="AG348" s="69" t="n">
        <f aca="false">AF349</f>
        <v>695951.240873039</v>
      </c>
      <c r="AH348" s="69" t="n">
        <f aca="false">AG349</f>
        <v>728907.493319762</v>
      </c>
      <c r="AI348" s="69" t="n">
        <f aca="false">AH349</f>
        <v>761873.620766485</v>
      </c>
      <c r="AJ348" s="69" t="n">
        <f aca="false">AI349</f>
        <v>782741.456065251</v>
      </c>
      <c r="AK348" s="69" t="n">
        <f aca="false">AJ349</f>
        <v>803438.164693289</v>
      </c>
      <c r="AL348" s="69" t="n">
        <f aca="false">AK349</f>
        <v>824144.748321327</v>
      </c>
      <c r="AM348" s="69" t="n">
        <f aca="false">AL349</f>
        <v>856969.374097323</v>
      </c>
      <c r="AN348" s="69" t="n">
        <f aca="false">AM349</f>
        <v>873576.77396304</v>
      </c>
      <c r="AO348" s="69" t="n">
        <f aca="false">AN349</f>
        <v>898988.798858423</v>
      </c>
      <c r="AP348" s="69" t="n">
        <f aca="false">AO349</f>
        <v>924410.698753807</v>
      </c>
      <c r="AQ348" s="69" t="n">
        <f aca="false">AP349</f>
        <v>949842.47364919</v>
      </c>
      <c r="AR348" s="69" t="n">
        <f aca="false">AQ349</f>
        <v>975284.123544574</v>
      </c>
      <c r="AS348" s="69" t="n">
        <f aca="false">AR349</f>
        <v>1012190.21729379</v>
      </c>
      <c r="AT348" s="69" t="n">
        <f aca="false">AS349</f>
        <v>1049290.91937859</v>
      </c>
      <c r="AU348" s="69" t="n">
        <f aca="false">AT349</f>
        <v>1086401.4964634</v>
      </c>
      <c r="AV348" s="69" t="n">
        <f aca="false">AU349</f>
        <v>1112067.37969437</v>
      </c>
      <c r="AW348" s="69" t="n">
        <f aca="false">AV349</f>
        <v>1137558.40458975</v>
      </c>
      <c r="AX348" s="69" t="n">
        <f aca="false">AW349</f>
        <v>1163059.30448514</v>
      </c>
      <c r="AY348" s="69" t="n">
        <f aca="false">AX349</f>
        <v>1200024.64823435</v>
      </c>
      <c r="AZ348" s="69" t="n">
        <f aca="false">AY349</f>
        <v>1221997.02511119</v>
      </c>
      <c r="BA348" s="69" t="n">
        <f aca="false">AZ349</f>
        <v>1252675.03867797</v>
      </c>
      <c r="BB348" s="69" t="n">
        <f aca="false">BA349</f>
        <v>1283362.92724474</v>
      </c>
      <c r="BC348" s="69" t="n">
        <f aca="false">BB349</f>
        <v>1314060.69081152</v>
      </c>
      <c r="BD348" s="69" t="n">
        <f aca="false">BC349</f>
        <v>1344768.32937829</v>
      </c>
      <c r="BE348" s="69" t="n">
        <f aca="false">BD349</f>
        <v>1385796.81449596</v>
      </c>
      <c r="BF348" s="69" t="n">
        <f aca="false">BE349</f>
        <v>1427013.43645323</v>
      </c>
      <c r="BG348" s="69" t="n">
        <f aca="false">BF349</f>
        <v>1468239.93341051</v>
      </c>
      <c r="BH348" s="69" t="n">
        <f aca="false">BG349</f>
        <v>1499165.33381689</v>
      </c>
      <c r="BI348" s="69" t="n">
        <f aca="false">BH349</f>
        <v>1529922.34738367</v>
      </c>
      <c r="BJ348" s="69" t="n">
        <f aca="false">BI349</f>
        <v>1560689.23595044</v>
      </c>
    </row>
    <row r="349" customFormat="false" ht="15" hidden="false" customHeight="false" outlineLevel="0" collapsed="false">
      <c r="A349" s="115" t="s">
        <v>87</v>
      </c>
      <c r="C349" s="70" t="n">
        <f aca="false">C348+C347</f>
        <v>236385.266711111</v>
      </c>
      <c r="D349" s="70" t="n">
        <f aca="false">D348+D347</f>
        <v>227645.644594444</v>
      </c>
      <c r="E349" s="70" t="n">
        <f aca="false">E348+E347</f>
        <v>222444.377177778</v>
      </c>
      <c r="F349" s="70" t="n">
        <f aca="false">F348+F347</f>
        <v>220781.464461111</v>
      </c>
      <c r="G349" s="70" t="n">
        <f aca="false">G348+G347</f>
        <v>222656.906444444</v>
      </c>
      <c r="H349" s="70" t="n">
        <f aca="false">H348+H347</f>
        <v>238535.031027778</v>
      </c>
      <c r="I349" s="70" t="n">
        <f aca="false">I348+I347</f>
        <v>257886.053246111</v>
      </c>
      <c r="J349" s="70" t="n">
        <f aca="false">J348+J347</f>
        <v>277548.778154444</v>
      </c>
      <c r="K349" s="70" t="n">
        <f aca="false">K348+K347</f>
        <v>290501.164645778</v>
      </c>
      <c r="L349" s="70" t="n">
        <f aca="false">L348+L347</f>
        <v>302835.218053778</v>
      </c>
      <c r="M349" s="70" t="n">
        <f aca="false">M348+M347</f>
        <v>315179.146461778</v>
      </c>
      <c r="N349" s="70" t="n">
        <f aca="false">N348+N347</f>
        <v>337680.779341778</v>
      </c>
      <c r="O349" s="70" t="n">
        <f aca="false">O348+O347</f>
        <v>344903.307780036</v>
      </c>
      <c r="P349" s="70" t="n">
        <f aca="false">P348+P347</f>
        <v>361150.146640828</v>
      </c>
      <c r="Q349" s="70" t="n">
        <f aca="false">Q348+Q347</f>
        <v>377406.86050162</v>
      </c>
      <c r="R349" s="70" t="n">
        <f aca="false">R348+R347</f>
        <v>393673.449362412</v>
      </c>
      <c r="S349" s="70" t="n">
        <f aca="false">S348+S347</f>
        <v>409949.913223204</v>
      </c>
      <c r="T349" s="70" t="n">
        <f aca="false">T348+T347</f>
        <v>437321.02365202</v>
      </c>
      <c r="U349" s="70" t="n">
        <f aca="false">U348+U347</f>
        <v>464854.447030836</v>
      </c>
      <c r="V349" s="70" t="n">
        <f aca="false">V348+V347</f>
        <v>492397.745409652</v>
      </c>
      <c r="W349" s="70" t="n">
        <f aca="false">W348+W347</f>
        <v>508866.147220444</v>
      </c>
      <c r="X349" s="70" t="n">
        <f aca="false">X348+X347</f>
        <v>525191.986081236</v>
      </c>
      <c r="Y349" s="70" t="n">
        <f aca="false">Y348+Y347</f>
        <v>541527.699942028</v>
      </c>
      <c r="Z349" s="70" t="n">
        <f aca="false">Z348+Z347</f>
        <v>568958.060370844</v>
      </c>
      <c r="AA349" s="70" t="n">
        <f aca="false">AA348+AA347</f>
        <v>580655.780584891</v>
      </c>
      <c r="AB349" s="70" t="n">
        <f aca="false">AB348+AB347</f>
        <v>601273.489212929</v>
      </c>
      <c r="AC349" s="70" t="n">
        <f aca="false">AC348+AC347</f>
        <v>621901.072840967</v>
      </c>
      <c r="AD349" s="70" t="n">
        <f aca="false">AD348+AD347</f>
        <v>642538.531469005</v>
      </c>
      <c r="AE349" s="70" t="n">
        <f aca="false">AE348+AE347</f>
        <v>663185.865097043</v>
      </c>
      <c r="AF349" s="70" t="n">
        <f aca="false">AF348+AF347</f>
        <v>695951.240873039</v>
      </c>
      <c r="AG349" s="70" t="n">
        <f aca="false">AG348+AG347</f>
        <v>728907.493319762</v>
      </c>
      <c r="AH349" s="70" t="n">
        <f aca="false">AH348+AH347</f>
        <v>761873.620766485</v>
      </c>
      <c r="AI349" s="70" t="n">
        <f aca="false">AI348+AI347</f>
        <v>782741.456065251</v>
      </c>
      <c r="AJ349" s="70" t="n">
        <f aca="false">AJ348+AJ347</f>
        <v>803438.164693289</v>
      </c>
      <c r="AK349" s="70" t="n">
        <f aca="false">AK348+AK347</f>
        <v>824144.748321327</v>
      </c>
      <c r="AL349" s="70" t="n">
        <f aca="false">AL348+AL347</f>
        <v>856969.374097323</v>
      </c>
      <c r="AM349" s="70" t="n">
        <f aca="false">AM348+AM347</f>
        <v>873576.77396304</v>
      </c>
      <c r="AN349" s="70" t="n">
        <f aca="false">AN348+AN347</f>
        <v>898988.798858423</v>
      </c>
      <c r="AO349" s="70" t="n">
        <f aca="false">AO348+AO347</f>
        <v>924410.698753807</v>
      </c>
      <c r="AP349" s="70" t="n">
        <f aca="false">AP348+AP347</f>
        <v>949842.47364919</v>
      </c>
      <c r="AQ349" s="70" t="n">
        <f aca="false">AQ348+AQ347</f>
        <v>975284.123544574</v>
      </c>
      <c r="AR349" s="70" t="n">
        <f aca="false">AR348+AR347</f>
        <v>1012190.21729379</v>
      </c>
      <c r="AS349" s="70" t="n">
        <f aca="false">AS348+AS347</f>
        <v>1049290.91937859</v>
      </c>
      <c r="AT349" s="70" t="n">
        <f aca="false">AT348+AT347</f>
        <v>1086401.4964634</v>
      </c>
      <c r="AU349" s="70" t="n">
        <f aca="false">AU348+AU347</f>
        <v>1112067.37969437</v>
      </c>
      <c r="AV349" s="70" t="n">
        <f aca="false">AV348+AV347</f>
        <v>1137558.40458975</v>
      </c>
      <c r="AW349" s="70" t="n">
        <f aca="false">AW348+AW347</f>
        <v>1163059.30448514</v>
      </c>
      <c r="AX349" s="70" t="n">
        <f aca="false">AX348+AX347</f>
        <v>1200024.64823435</v>
      </c>
      <c r="AY349" s="70" t="n">
        <f aca="false">AY348+AY347</f>
        <v>1221997.02511119</v>
      </c>
      <c r="AZ349" s="70" t="n">
        <f aca="false">AZ348+AZ347</f>
        <v>1252675.03867797</v>
      </c>
      <c r="BA349" s="70" t="n">
        <f aca="false">BA348+BA347</f>
        <v>1283362.92724474</v>
      </c>
      <c r="BB349" s="70" t="n">
        <f aca="false">BB348+BB347</f>
        <v>1314060.69081152</v>
      </c>
      <c r="BC349" s="70" t="n">
        <f aca="false">BC348+BC347</f>
        <v>1344768.32937829</v>
      </c>
      <c r="BD349" s="70" t="n">
        <f aca="false">BD348+BD347</f>
        <v>1385796.81449596</v>
      </c>
      <c r="BE349" s="70" t="n">
        <f aca="false">BE348+BE347</f>
        <v>1427013.43645323</v>
      </c>
      <c r="BF349" s="70" t="n">
        <f aca="false">BF348+BF347</f>
        <v>1468239.93341051</v>
      </c>
      <c r="BG349" s="70" t="n">
        <f aca="false">BG348+BG347</f>
        <v>1499165.33381689</v>
      </c>
      <c r="BH349" s="70" t="n">
        <f aca="false">BH348+BH347</f>
        <v>1529922.34738367</v>
      </c>
      <c r="BI349" s="70" t="n">
        <f aca="false">BI348+BI347</f>
        <v>1560689.23595044</v>
      </c>
      <c r="BJ349" s="70" t="n">
        <f aca="false">BJ348+BJ347</f>
        <v>1601776.97106811</v>
      </c>
    </row>
    <row r="350" customFormat="false" ht="15" hidden="false" customHeight="false" outlineLevel="0" collapsed="false">
      <c r="A350" s="118" t="s">
        <v>447</v>
      </c>
      <c r="C350" s="120" t="n">
        <f aca="false">IF(C304&gt;0,1,0)</f>
        <v>0</v>
      </c>
      <c r="D350" s="120" t="n">
        <f aca="false">IF(D304&gt;0,1,0)</f>
        <v>0</v>
      </c>
      <c r="E350" s="120" t="n">
        <f aca="false">IF(E304&gt;0,1,0)</f>
        <v>0</v>
      </c>
      <c r="F350" s="120" t="n">
        <f aca="false">IF(F304&gt;0,1,0)</f>
        <v>1</v>
      </c>
      <c r="G350" s="120" t="n">
        <f aca="false">IF(G304&gt;0,1,0)</f>
        <v>1</v>
      </c>
      <c r="H350" s="120" t="n">
        <f aca="false">IF(H304&gt;0,1,0)</f>
        <v>1</v>
      </c>
      <c r="I350" s="120" t="n">
        <f aca="false">IF(I304&gt;0,1,0)</f>
        <v>1</v>
      </c>
      <c r="J350" s="120" t="n">
        <f aca="false">IF(J304&gt;0,1,0)</f>
        <v>1</v>
      </c>
      <c r="K350" s="120" t="n">
        <f aca="false">IF(K304&gt;0,1,0)</f>
        <v>1</v>
      </c>
      <c r="L350" s="120" t="n">
        <f aca="false">IF(L304&gt;0,1,0)</f>
        <v>1</v>
      </c>
      <c r="M350" s="120" t="n">
        <f aca="false">IF(M304&gt;0,1,0)</f>
        <v>1</v>
      </c>
      <c r="N350" s="120" t="n">
        <f aca="false">IF(N304&gt;0,1,0)</f>
        <v>1</v>
      </c>
      <c r="O350" s="120" t="n">
        <f aca="false">IF(O304&gt;0,1,0)</f>
        <v>1</v>
      </c>
      <c r="P350" s="120" t="n">
        <f aca="false">IF(P304&gt;0,1,0)</f>
        <v>1</v>
      </c>
      <c r="Q350" s="120" t="n">
        <f aca="false">IF(Q304&gt;0,1,0)</f>
        <v>1</v>
      </c>
      <c r="R350" s="120" t="n">
        <f aca="false">IF(R304&gt;0,1,0)</f>
        <v>1</v>
      </c>
      <c r="S350" s="120" t="n">
        <f aca="false">IF(S304&gt;0,1,0)</f>
        <v>1</v>
      </c>
      <c r="T350" s="120" t="n">
        <f aca="false">IF(T304&gt;0,1,0)</f>
        <v>1</v>
      </c>
      <c r="U350" s="120" t="n">
        <f aca="false">IF(U304&gt;0,1,0)</f>
        <v>1</v>
      </c>
      <c r="V350" s="120" t="n">
        <f aca="false">IF(V304&gt;0,1,0)</f>
        <v>1</v>
      </c>
      <c r="W350" s="120" t="n">
        <f aca="false">IF(W304&gt;0,1,0)</f>
        <v>1</v>
      </c>
      <c r="X350" s="120" t="n">
        <f aca="false">IF(X304&gt;0,1,0)</f>
        <v>1</v>
      </c>
      <c r="Y350" s="120" t="n">
        <f aca="false">IF(Y304&gt;0,1,0)</f>
        <v>1</v>
      </c>
      <c r="Z350" s="120" t="n">
        <f aca="false">IF(Z304&gt;0,1,0)</f>
        <v>1</v>
      </c>
      <c r="AA350" s="120" t="n">
        <f aca="false">IF(AA304&gt;0,1,0)</f>
        <v>1</v>
      </c>
      <c r="AB350" s="120" t="n">
        <f aca="false">IF(AB304&gt;0,1,0)</f>
        <v>1</v>
      </c>
      <c r="AC350" s="120" t="n">
        <f aca="false">IF(AC304&gt;0,1,0)</f>
        <v>1</v>
      </c>
      <c r="AD350" s="120" t="n">
        <f aca="false">IF(AD304&gt;0,1,0)</f>
        <v>1</v>
      </c>
      <c r="AE350" s="120" t="n">
        <f aca="false">IF(AE304&gt;0,1,0)</f>
        <v>1</v>
      </c>
      <c r="AF350" s="120" t="n">
        <f aca="false">IF(AF304&gt;0,1,0)</f>
        <v>1</v>
      </c>
      <c r="AG350" s="120" t="n">
        <f aca="false">IF(AG304&gt;0,1,0)</f>
        <v>1</v>
      </c>
      <c r="AH350" s="120" t="n">
        <f aca="false">IF(AH304&gt;0,1,0)</f>
        <v>1</v>
      </c>
      <c r="AI350" s="120" t="n">
        <f aca="false">IF(AI304&gt;0,1,0)</f>
        <v>1</v>
      </c>
      <c r="AJ350" s="120" t="n">
        <f aca="false">IF(AJ304&gt;0,1,0)</f>
        <v>1</v>
      </c>
      <c r="AK350" s="120" t="n">
        <f aca="false">IF(AK304&gt;0,1,0)</f>
        <v>1</v>
      </c>
      <c r="AL350" s="120" t="n">
        <f aca="false">IF(AL304&gt;0,1,0)</f>
        <v>1</v>
      </c>
      <c r="AM350" s="120" t="n">
        <f aca="false">IF(AM304&gt;0,1,0)</f>
        <v>1</v>
      </c>
      <c r="AN350" s="120" t="n">
        <f aca="false">IF(AN304&gt;0,1,0)</f>
        <v>1</v>
      </c>
      <c r="AO350" s="120" t="n">
        <f aca="false">IF(AO304&gt;0,1,0)</f>
        <v>1</v>
      </c>
      <c r="AP350" s="120" t="n">
        <f aca="false">IF(AP304&gt;0,1,0)</f>
        <v>1</v>
      </c>
      <c r="AQ350" s="120" t="n">
        <f aca="false">IF(AQ304&gt;0,1,0)</f>
        <v>1</v>
      </c>
      <c r="AR350" s="120" t="n">
        <f aca="false">IF(AR304&gt;0,1,0)</f>
        <v>1</v>
      </c>
      <c r="AS350" s="120" t="n">
        <f aca="false">IF(AS304&gt;0,1,0)</f>
        <v>1</v>
      </c>
      <c r="AT350" s="120" t="n">
        <f aca="false">IF(AT304&gt;0,1,0)</f>
        <v>1</v>
      </c>
      <c r="AU350" s="120" t="n">
        <f aca="false">IF(AU304&gt;0,1,0)</f>
        <v>1</v>
      </c>
      <c r="AV350" s="120" t="n">
        <f aca="false">IF(AV304&gt;0,1,0)</f>
        <v>1</v>
      </c>
      <c r="AW350" s="120" t="n">
        <f aca="false">IF(AW304&gt;0,1,0)</f>
        <v>1</v>
      </c>
      <c r="AX350" s="120" t="n">
        <f aca="false">IF(AX304&gt;0,1,0)</f>
        <v>1</v>
      </c>
      <c r="AY350" s="120" t="n">
        <f aca="false">IF(AY304&gt;0,1,0)</f>
        <v>1</v>
      </c>
      <c r="AZ350" s="120" t="n">
        <f aca="false">IF(AZ304&gt;0,1,0)</f>
        <v>1</v>
      </c>
      <c r="BA350" s="120" t="n">
        <f aca="false">IF(BA304&gt;0,1,0)</f>
        <v>1</v>
      </c>
      <c r="BB350" s="120" t="n">
        <f aca="false">IF(BB304&gt;0,1,0)</f>
        <v>1</v>
      </c>
      <c r="BC350" s="120" t="n">
        <f aca="false">IF(BC304&gt;0,1,0)</f>
        <v>1</v>
      </c>
      <c r="BD350" s="120" t="n">
        <f aca="false">IF(BD304&gt;0,1,0)</f>
        <v>1</v>
      </c>
      <c r="BE350" s="120" t="n">
        <f aca="false">IF(BE304&gt;0,1,0)</f>
        <v>1</v>
      </c>
      <c r="BF350" s="120" t="n">
        <f aca="false">IF(BF304&gt;0,1,0)</f>
        <v>1</v>
      </c>
      <c r="BG350" s="120" t="n">
        <f aca="false">IF(BG304&gt;0,1,0)</f>
        <v>1</v>
      </c>
      <c r="BH350" s="120" t="n">
        <f aca="false">IF(BH304&gt;0,1,0)</f>
        <v>1</v>
      </c>
      <c r="BI350" s="120" t="n">
        <f aca="false">IF(BI304&gt;0,1,0)</f>
        <v>1</v>
      </c>
      <c r="BJ350" s="120" t="n">
        <f aca="false">IF(BJ304&gt;0,1,0)</f>
        <v>1</v>
      </c>
    </row>
    <row r="352" customFormat="false" ht="15.75" hidden="false" customHeight="true" outlineLevel="0" collapsed="false">
      <c r="A352" s="7" t="s">
        <v>448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customFormat="false" ht="15" hidden="false" customHeight="false" outlineLevel="0" collapsed="false">
      <c r="A353" s="118" t="s">
        <v>449</v>
      </c>
      <c r="C353" s="120" t="n">
        <f aca="false">IF(C313&gt;0,1,0)</f>
        <v>0</v>
      </c>
      <c r="D353" s="120" t="n">
        <f aca="false">IF(D313&gt;0,1,0)</f>
        <v>0</v>
      </c>
      <c r="E353" s="120" t="n">
        <f aca="false">IF(E313&gt;0,1,0)</f>
        <v>0</v>
      </c>
      <c r="F353" s="120" t="n">
        <f aca="false">IF(F313&gt;0,1,0)</f>
        <v>0</v>
      </c>
      <c r="G353" s="120" t="n">
        <f aca="false">IF(G313&gt;0,1,0)</f>
        <v>1</v>
      </c>
      <c r="H353" s="120" t="n">
        <f aca="false">IF(H313&gt;0,1,0)</f>
        <v>1</v>
      </c>
      <c r="I353" s="120" t="n">
        <f aca="false">IF(I313&gt;0,1,0)</f>
        <v>1</v>
      </c>
      <c r="J353" s="120" t="n">
        <f aca="false">IF(J313&gt;0,1,0)</f>
        <v>1</v>
      </c>
      <c r="K353" s="120" t="n">
        <f aca="false">IF(K313&gt;0,1,0)</f>
        <v>1</v>
      </c>
      <c r="L353" s="120" t="n">
        <f aca="false">IF(L313&gt;0,1,0)</f>
        <v>1</v>
      </c>
      <c r="M353" s="120" t="n">
        <f aca="false">IF(M313&gt;0,1,0)</f>
        <v>1</v>
      </c>
      <c r="N353" s="120" t="n">
        <f aca="false">IF(N313&gt;0,1,0)</f>
        <v>1</v>
      </c>
      <c r="O353" s="120" t="n">
        <f aca="false">IF(O313&gt;0,1,0)</f>
        <v>1</v>
      </c>
      <c r="P353" s="120" t="n">
        <f aca="false">IF(P313&gt;0,1,0)</f>
        <v>1</v>
      </c>
      <c r="Q353" s="120" t="n">
        <f aca="false">IF(Q313&gt;0,1,0)</f>
        <v>1</v>
      </c>
      <c r="R353" s="120" t="n">
        <f aca="false">IF(R313&gt;0,1,0)</f>
        <v>1</v>
      </c>
      <c r="S353" s="120" t="n">
        <f aca="false">IF(S313&gt;0,1,0)</f>
        <v>1</v>
      </c>
      <c r="T353" s="120" t="n">
        <f aca="false">IF(T313&gt;0,1,0)</f>
        <v>1</v>
      </c>
      <c r="U353" s="120" t="n">
        <f aca="false">IF(U313&gt;0,1,0)</f>
        <v>1</v>
      </c>
      <c r="V353" s="120" t="n">
        <f aca="false">IF(V313&gt;0,1,0)</f>
        <v>1</v>
      </c>
      <c r="W353" s="120" t="n">
        <f aca="false">IF(W313&gt;0,1,0)</f>
        <v>1</v>
      </c>
      <c r="X353" s="120" t="n">
        <f aca="false">IF(X313&gt;0,1,0)</f>
        <v>1</v>
      </c>
      <c r="Y353" s="120" t="n">
        <f aca="false">IF(Y313&gt;0,1,0)</f>
        <v>1</v>
      </c>
      <c r="Z353" s="120" t="n">
        <f aca="false">IF(Z313&gt;0,1,0)</f>
        <v>1</v>
      </c>
      <c r="AA353" s="120" t="n">
        <f aca="false">IF(AA313&gt;0,1,0)</f>
        <v>1</v>
      </c>
      <c r="AB353" s="120" t="n">
        <f aca="false">IF(AB313&gt;0,1,0)</f>
        <v>1</v>
      </c>
      <c r="AC353" s="120" t="n">
        <f aca="false">IF(AC313&gt;0,1,0)</f>
        <v>1</v>
      </c>
      <c r="AD353" s="120" t="n">
        <f aca="false">IF(AD313&gt;0,1,0)</f>
        <v>1</v>
      </c>
      <c r="AE353" s="120" t="n">
        <f aca="false">IF(AE313&gt;0,1,0)</f>
        <v>1</v>
      </c>
      <c r="AF353" s="120" t="n">
        <f aca="false">IF(AF313&gt;0,1,0)</f>
        <v>1</v>
      </c>
      <c r="AG353" s="120" t="n">
        <f aca="false">IF(AG313&gt;0,1,0)</f>
        <v>1</v>
      </c>
      <c r="AH353" s="120" t="n">
        <f aca="false">IF(AH313&gt;0,1,0)</f>
        <v>1</v>
      </c>
      <c r="AI353" s="120" t="n">
        <f aca="false">IF(AI313&gt;0,1,0)</f>
        <v>1</v>
      </c>
      <c r="AJ353" s="120" t="n">
        <f aca="false">IF(AJ313&gt;0,1,0)</f>
        <v>1</v>
      </c>
      <c r="AK353" s="120" t="n">
        <f aca="false">IF(AK313&gt;0,1,0)</f>
        <v>1</v>
      </c>
      <c r="AL353" s="120" t="n">
        <f aca="false">IF(AL313&gt;0,1,0)</f>
        <v>1</v>
      </c>
      <c r="AM353" s="120" t="n">
        <f aca="false">IF(AM313&gt;0,1,0)</f>
        <v>1</v>
      </c>
      <c r="AN353" s="120" t="n">
        <f aca="false">IF(AN313&gt;0,1,0)</f>
        <v>1</v>
      </c>
      <c r="AO353" s="120" t="n">
        <f aca="false">IF(AO313&gt;0,1,0)</f>
        <v>1</v>
      </c>
      <c r="AP353" s="120" t="n">
        <f aca="false">IF(AP313&gt;0,1,0)</f>
        <v>1</v>
      </c>
      <c r="AQ353" s="120" t="n">
        <f aca="false">IF(AQ313&gt;0,1,0)</f>
        <v>1</v>
      </c>
      <c r="AR353" s="120" t="n">
        <f aca="false">IF(AR313&gt;0,1,0)</f>
        <v>1</v>
      </c>
      <c r="AS353" s="120" t="n">
        <f aca="false">IF(AS313&gt;0,1,0)</f>
        <v>1</v>
      </c>
      <c r="AT353" s="120" t="n">
        <f aca="false">IF(AT313&gt;0,1,0)</f>
        <v>1</v>
      </c>
      <c r="AU353" s="120" t="n">
        <f aca="false">IF(AU313&gt;0,1,0)</f>
        <v>1</v>
      </c>
      <c r="AV353" s="120" t="n">
        <f aca="false">IF(AV313&gt;0,1,0)</f>
        <v>1</v>
      </c>
      <c r="AW353" s="120" t="n">
        <f aca="false">IF(AW313&gt;0,1,0)</f>
        <v>1</v>
      </c>
      <c r="AX353" s="120" t="n">
        <f aca="false">IF(AX313&gt;0,1,0)</f>
        <v>1</v>
      </c>
      <c r="AY353" s="120" t="n">
        <f aca="false">IF(AY313&gt;0,1,0)</f>
        <v>1</v>
      </c>
      <c r="AZ353" s="120" t="n">
        <f aca="false">IF(AZ313&gt;0,1,0)</f>
        <v>1</v>
      </c>
      <c r="BA353" s="120" t="n">
        <f aca="false">IF(BA313&gt;0,1,0)</f>
        <v>1</v>
      </c>
      <c r="BB353" s="120" t="n">
        <f aca="false">IF(BB313&gt;0,1,0)</f>
        <v>1</v>
      </c>
      <c r="BC353" s="120" t="n">
        <f aca="false">IF(BC313&gt;0,1,0)</f>
        <v>1</v>
      </c>
      <c r="BD353" s="120" t="n">
        <f aca="false">IF(BD313&gt;0,1,0)</f>
        <v>1</v>
      </c>
      <c r="BE353" s="120" t="n">
        <f aca="false">IF(BE313&gt;0,1,0)</f>
        <v>1</v>
      </c>
      <c r="BF353" s="120" t="n">
        <f aca="false">IF(BF313&gt;0,1,0)</f>
        <v>1</v>
      </c>
      <c r="BG353" s="120" t="n">
        <f aca="false">IF(BG313&gt;0,1,0)</f>
        <v>1</v>
      </c>
      <c r="BH353" s="120" t="n">
        <f aca="false">IF(BH313&gt;0,1,0)</f>
        <v>1</v>
      </c>
      <c r="BI353" s="120" t="n">
        <f aca="false">IF(BI313&gt;0,1,0)</f>
        <v>1</v>
      </c>
      <c r="BJ353" s="120" t="n">
        <f aca="false">IF(BJ313&gt;0,1,0)</f>
        <v>1</v>
      </c>
    </row>
    <row r="354" customFormat="false" ht="15" hidden="false" customHeight="false" outlineLevel="0" collapsed="false">
      <c r="A354" s="6" t="s">
        <v>450</v>
      </c>
      <c r="C354" s="69" t="n">
        <f aca="false">C343+C344</f>
        <v>-193614.733288889</v>
      </c>
      <c r="D354" s="69" t="n">
        <f aca="false">D343+D344</f>
        <v>-7072.95545</v>
      </c>
      <c r="E354" s="69" t="n">
        <f aca="false">E343+E344</f>
        <v>-3534.60075</v>
      </c>
      <c r="F354" s="69" t="n">
        <f aca="false">F343+F344</f>
        <v>3.75394999999526</v>
      </c>
      <c r="G354" s="69" t="n">
        <f aca="false">G343+G344</f>
        <v>3542.10864999999</v>
      </c>
      <c r="H354" s="69" t="n">
        <f aca="false">H343+H344</f>
        <v>17544.79125</v>
      </c>
      <c r="I354" s="69" t="n">
        <f aca="false">I343+I344</f>
        <v>21017.688885</v>
      </c>
      <c r="J354" s="69" t="n">
        <f aca="false">J343+J344</f>
        <v>21329.391575</v>
      </c>
      <c r="K354" s="69" t="n">
        <f aca="false">K343+K344</f>
        <v>14619.053158</v>
      </c>
      <c r="L354" s="69" t="n">
        <f aca="false">L343+L344</f>
        <v>14000.7200746667</v>
      </c>
      <c r="M354" s="69" t="n">
        <f aca="false">M343+M344</f>
        <v>14010.5950746667</v>
      </c>
      <c r="N354" s="69" t="n">
        <f aca="false">N343+N344</f>
        <v>24168.2995466667</v>
      </c>
      <c r="O354" s="69" t="n">
        <f aca="false">O343+O344</f>
        <v>8889.19510492532</v>
      </c>
      <c r="P354" s="69" t="n">
        <f aca="false">P343+P344</f>
        <v>17913.5055274587</v>
      </c>
      <c r="Q354" s="69" t="n">
        <f aca="false">Q343+Q344</f>
        <v>17923.3805274587</v>
      </c>
      <c r="R354" s="69" t="n">
        <f aca="false">R343+R344</f>
        <v>17933.2555274587</v>
      </c>
      <c r="S354" s="69" t="n">
        <f aca="false">S343+S344</f>
        <v>17943.1305274587</v>
      </c>
      <c r="T354" s="69" t="n">
        <f aca="false">T343+T344</f>
        <v>29037.7770954827</v>
      </c>
      <c r="U354" s="69" t="n">
        <f aca="false">U343+U344</f>
        <v>29200.0900454827</v>
      </c>
      <c r="V354" s="69" t="n">
        <f aca="false">V343+V344</f>
        <v>29209.9650454827</v>
      </c>
      <c r="W354" s="69" t="n">
        <f aca="false">W343+W344</f>
        <v>18135.0684774587</v>
      </c>
      <c r="X354" s="69" t="n">
        <f aca="false">X343+X344</f>
        <v>17992.5055274587</v>
      </c>
      <c r="Y354" s="69" t="n">
        <f aca="false">Y343+Y344</f>
        <v>18002.3805274587</v>
      </c>
      <c r="Z354" s="69" t="n">
        <f aca="false">Z343+Z344</f>
        <v>29097.0270954827</v>
      </c>
      <c r="AA354" s="69" t="n">
        <f aca="false">AA343+AA344</f>
        <v>13364.3868807131</v>
      </c>
      <c r="AB354" s="69" t="n">
        <f aca="false">AB343+AB344</f>
        <v>22284.3752947046</v>
      </c>
      <c r="AC354" s="69" t="n">
        <f aca="false">AC343+AC344</f>
        <v>22294.2502947046</v>
      </c>
      <c r="AD354" s="69" t="n">
        <f aca="false">AD343+AD344</f>
        <v>22304.1252947046</v>
      </c>
      <c r="AE354" s="69" t="n">
        <f aca="false">AE343+AE344</f>
        <v>22314.0002947046</v>
      </c>
      <c r="AF354" s="69" t="n">
        <f aca="false">AF343+AF344</f>
        <v>34432.0424426626</v>
      </c>
      <c r="AG354" s="69" t="n">
        <f aca="false">AG343+AG344</f>
        <v>34622.9191133901</v>
      </c>
      <c r="AH354" s="69" t="n">
        <f aca="false">AH343+AH344</f>
        <v>34632.7941133901</v>
      </c>
      <c r="AI354" s="69" t="n">
        <f aca="false">AI343+AI344</f>
        <v>22534.5019654321</v>
      </c>
      <c r="AJ354" s="69" t="n">
        <f aca="false">AJ343+AJ344</f>
        <v>22363.3752947046</v>
      </c>
      <c r="AK354" s="69" t="n">
        <f aca="false">AK343+AK344</f>
        <v>22373.2502947046</v>
      </c>
      <c r="AL354" s="69" t="n">
        <f aca="false">AL343+AL344</f>
        <v>34491.2924426626</v>
      </c>
      <c r="AM354" s="69" t="n">
        <f aca="false">AM343+AM344</f>
        <v>18274.0665323837</v>
      </c>
      <c r="AN354" s="69" t="n">
        <f aca="false">AN343+AN344</f>
        <v>27078.6915620502</v>
      </c>
      <c r="AO354" s="69" t="n">
        <f aca="false">AO343+AO344</f>
        <v>27088.5665620502</v>
      </c>
      <c r="AP354" s="69" t="n">
        <f aca="false">AP343+AP344</f>
        <v>27098.4415620502</v>
      </c>
      <c r="AQ354" s="69" t="n">
        <f aca="false">AQ343+AQ344</f>
        <v>27108.3165620502</v>
      </c>
      <c r="AR354" s="69" t="n">
        <f aca="false">AR343+AR344</f>
        <v>38572.760415883</v>
      </c>
      <c r="AS354" s="69" t="n">
        <f aca="false">AS343+AS344</f>
        <v>38767.3687514706</v>
      </c>
      <c r="AT354" s="69" t="n">
        <f aca="false">AT343+AT344</f>
        <v>38777.2437514706</v>
      </c>
      <c r="AU354" s="69" t="n">
        <f aca="false">AU343+AU344</f>
        <v>27332.5498976378</v>
      </c>
      <c r="AV354" s="69" t="n">
        <f aca="false">AV343+AV344</f>
        <v>27157.6915620502</v>
      </c>
      <c r="AW354" s="69" t="n">
        <f aca="false">AW343+AW344</f>
        <v>27167.5665620502</v>
      </c>
      <c r="AX354" s="69" t="n">
        <f aca="false">AX343+AX344</f>
        <v>38632.010415883</v>
      </c>
      <c r="AY354" s="69" t="n">
        <f aca="false">AY343+AY344</f>
        <v>23639.0435435073</v>
      </c>
      <c r="AZ354" s="69" t="n">
        <f aca="false">AZ343+AZ344</f>
        <v>32344.6802334414</v>
      </c>
      <c r="BA354" s="69" t="n">
        <f aca="false">BA343+BA344</f>
        <v>32354.5552334414</v>
      </c>
      <c r="BB354" s="69" t="n">
        <f aca="false">BB343+BB344</f>
        <v>32364.4302334414</v>
      </c>
      <c r="BC354" s="69" t="n">
        <f aca="false">BC343+BC344</f>
        <v>32374.3052334414</v>
      </c>
      <c r="BD354" s="69" t="n">
        <f aca="false">BD343+BD344</f>
        <v>42695.1517843305</v>
      </c>
      <c r="BE354" s="69" t="n">
        <f aca="false">BE343+BE344</f>
        <v>42883.2886239422</v>
      </c>
      <c r="BF354" s="69" t="n">
        <f aca="false">BF343+BF344</f>
        <v>42893.1636239422</v>
      </c>
      <c r="BG354" s="69" t="n">
        <f aca="false">BG343+BG344</f>
        <v>32592.0670730532</v>
      </c>
      <c r="BH354" s="69" t="n">
        <f aca="false">BH343+BH344</f>
        <v>32423.6802334414</v>
      </c>
      <c r="BI354" s="69" t="n">
        <f aca="false">BI343+BI344</f>
        <v>32433.5552334414</v>
      </c>
      <c r="BJ354" s="69" t="n">
        <f aca="false">BJ343+BJ344</f>
        <v>42754.4017843305</v>
      </c>
    </row>
    <row r="355" customFormat="false" ht="15" hidden="false" customHeight="false" outlineLevel="0" collapsed="false">
      <c r="A355" s="6" t="s">
        <v>451</v>
      </c>
      <c r="C355" s="69" t="n">
        <f aca="false">C354</f>
        <v>-193614.733288889</v>
      </c>
      <c r="D355" s="69" t="n">
        <f aca="false">C355+D354</f>
        <v>-200687.688738889</v>
      </c>
      <c r="E355" s="69" t="n">
        <f aca="false">D355+E354</f>
        <v>-204222.289488889</v>
      </c>
      <c r="F355" s="69" t="n">
        <f aca="false">E355+F354</f>
        <v>-204218.535538889</v>
      </c>
      <c r="G355" s="69" t="n">
        <f aca="false">F355+G354</f>
        <v>-200676.426888889</v>
      </c>
      <c r="H355" s="69" t="n">
        <f aca="false">G355+H354</f>
        <v>-183131.635638889</v>
      </c>
      <c r="I355" s="69" t="n">
        <f aca="false">H355+I354</f>
        <v>-162113.946753889</v>
      </c>
      <c r="J355" s="69" t="n">
        <f aca="false">I355+J354</f>
        <v>-140784.555178889</v>
      </c>
      <c r="K355" s="69" t="n">
        <f aca="false">J355+K354</f>
        <v>-126165.502020889</v>
      </c>
      <c r="L355" s="69" t="n">
        <f aca="false">K355+L354</f>
        <v>-112164.781946222</v>
      </c>
      <c r="M355" s="69" t="n">
        <f aca="false">L355+M354</f>
        <v>-98154.1868715556</v>
      </c>
      <c r="N355" s="69" t="n">
        <f aca="false">M355+N354</f>
        <v>-73985.8873248889</v>
      </c>
      <c r="O355" s="69" t="n">
        <f aca="false">N355+O354</f>
        <v>-65096.6922199636</v>
      </c>
      <c r="P355" s="69" t="n">
        <f aca="false">O355+P354</f>
        <v>-47183.1866925049</v>
      </c>
      <c r="Q355" s="69" t="n">
        <f aca="false">P355+Q354</f>
        <v>-29259.8061650463</v>
      </c>
      <c r="R355" s="69" t="n">
        <f aca="false">Q355+R354</f>
        <v>-11326.5506375876</v>
      </c>
      <c r="S355" s="69" t="n">
        <f aca="false">R355+S354</f>
        <v>6616.57988987106</v>
      </c>
      <c r="T355" s="69" t="n">
        <f aca="false">S355+T354</f>
        <v>35654.3569853537</v>
      </c>
      <c r="U355" s="69" t="n">
        <f aca="false">T355+U354</f>
        <v>64854.4470308364</v>
      </c>
      <c r="V355" s="69" t="n">
        <f aca="false">U355+V354</f>
        <v>94064.4120763191</v>
      </c>
      <c r="W355" s="69" t="n">
        <f aca="false">V355+W354</f>
        <v>112199.480553778</v>
      </c>
      <c r="X355" s="69" t="n">
        <f aca="false">W355+X354</f>
        <v>130191.986081236</v>
      </c>
      <c r="Y355" s="69" t="n">
        <f aca="false">X355+Y354</f>
        <v>148194.366608695</v>
      </c>
      <c r="Z355" s="69" t="n">
        <f aca="false">Y355+Z354</f>
        <v>177291.393704178</v>
      </c>
      <c r="AA355" s="69" t="n">
        <f aca="false">Z355+AA354</f>
        <v>190655.780584891</v>
      </c>
      <c r="AB355" s="69" t="n">
        <f aca="false">AA355+AB354</f>
        <v>212940.155879595</v>
      </c>
      <c r="AC355" s="69" t="n">
        <f aca="false">AB355+AC354</f>
        <v>235234.4061743</v>
      </c>
      <c r="AD355" s="69" t="n">
        <f aca="false">AC355+AD354</f>
        <v>257538.531469005</v>
      </c>
      <c r="AE355" s="69" t="n">
        <f aca="false">AD355+AE354</f>
        <v>279852.531763709</v>
      </c>
      <c r="AF355" s="69" t="n">
        <f aca="false">AE355+AF354</f>
        <v>314284.574206372</v>
      </c>
      <c r="AG355" s="69" t="n">
        <f aca="false">AF355+AG354</f>
        <v>348907.493319762</v>
      </c>
      <c r="AH355" s="69" t="n">
        <f aca="false">AG355+AH354</f>
        <v>383540.287433152</v>
      </c>
      <c r="AI355" s="69" t="n">
        <f aca="false">AH355+AI354</f>
        <v>406074.789398584</v>
      </c>
      <c r="AJ355" s="69" t="n">
        <f aca="false">AI355+AJ354</f>
        <v>428438.164693289</v>
      </c>
      <c r="AK355" s="69" t="n">
        <f aca="false">AJ355+AK354</f>
        <v>450811.414987994</v>
      </c>
      <c r="AL355" s="69" t="n">
        <f aca="false">AK355+AL354</f>
        <v>485302.707430656</v>
      </c>
      <c r="AM355" s="69" t="n">
        <f aca="false">AL355+AM354</f>
        <v>503576.77396304</v>
      </c>
      <c r="AN355" s="69" t="n">
        <f aca="false">AM355+AN354</f>
        <v>530655.46552509</v>
      </c>
      <c r="AO355" s="69" t="n">
        <f aca="false">AN355+AO354</f>
        <v>557744.03208714</v>
      </c>
      <c r="AP355" s="69" t="n">
        <f aca="false">AO355+AP354</f>
        <v>584842.473649191</v>
      </c>
      <c r="AQ355" s="69" t="n">
        <f aca="false">AP355+AQ354</f>
        <v>611950.790211241</v>
      </c>
      <c r="AR355" s="69" t="n">
        <f aca="false">AQ355+AR354</f>
        <v>650523.550627124</v>
      </c>
      <c r="AS355" s="69" t="n">
        <f aca="false">AR355+AS354</f>
        <v>689290.919378595</v>
      </c>
      <c r="AT355" s="69" t="n">
        <f aca="false">AS355+AT354</f>
        <v>728068.163130065</v>
      </c>
      <c r="AU355" s="69" t="n">
        <f aca="false">AT355+AU354</f>
        <v>755400.713027703</v>
      </c>
      <c r="AV355" s="69" t="n">
        <f aca="false">AU355+AV354</f>
        <v>782558.404589753</v>
      </c>
      <c r="AW355" s="69" t="n">
        <f aca="false">AV355+AW354</f>
        <v>809725.971151804</v>
      </c>
      <c r="AX355" s="69" t="n">
        <f aca="false">AW355+AX354</f>
        <v>848357.981567687</v>
      </c>
      <c r="AY355" s="69" t="n">
        <f aca="false">AX355+AY354</f>
        <v>871997.025111194</v>
      </c>
      <c r="AZ355" s="69" t="n">
        <f aca="false">AY355+AZ354</f>
        <v>904341.705344635</v>
      </c>
      <c r="BA355" s="69" t="n">
        <f aca="false">AZ355+BA354</f>
        <v>936696.260578077</v>
      </c>
      <c r="BB355" s="69" t="n">
        <f aca="false">BA355+BB354</f>
        <v>969060.690811518</v>
      </c>
      <c r="BC355" s="69" t="n">
        <f aca="false">BB355+BC354</f>
        <v>1001434.99604496</v>
      </c>
      <c r="BD355" s="69" t="n">
        <f aca="false">BC355+BD354</f>
        <v>1044130.14782929</v>
      </c>
      <c r="BE355" s="69" t="n">
        <f aca="false">BD355+BE354</f>
        <v>1087013.43645323</v>
      </c>
      <c r="BF355" s="69" t="n">
        <f aca="false">BE355+BF354</f>
        <v>1129906.60007717</v>
      </c>
      <c r="BG355" s="69" t="n">
        <f aca="false">BF355+BG354</f>
        <v>1162498.66715023</v>
      </c>
      <c r="BH355" s="69" t="n">
        <f aca="false">BG355+BH354</f>
        <v>1194922.34738367</v>
      </c>
      <c r="BI355" s="69" t="n">
        <f aca="false">BH355+BI354</f>
        <v>1227355.90261711</v>
      </c>
      <c r="BJ355" s="69" t="n">
        <f aca="false">BI355+BJ354</f>
        <v>1270110.30440144</v>
      </c>
    </row>
    <row r="356" customFormat="false" ht="15" hidden="false" customHeight="false" outlineLevel="0" collapsed="false">
      <c r="A356" s="118" t="s">
        <v>452</v>
      </c>
      <c r="C356" s="69" t="n">
        <f aca="false">C355</f>
        <v>-193614.733288889</v>
      </c>
      <c r="D356" s="69" t="n">
        <f aca="false">MIN(C356,D355)</f>
        <v>-200687.688738889</v>
      </c>
      <c r="E356" s="69" t="n">
        <f aca="false">MIN(D356,E355)</f>
        <v>-204222.289488889</v>
      </c>
      <c r="F356" s="69" t="n">
        <f aca="false">MIN(E356,F355)</f>
        <v>-204222.289488889</v>
      </c>
      <c r="G356" s="69" t="n">
        <f aca="false">MIN(F356,G355)</f>
        <v>-204222.289488889</v>
      </c>
      <c r="H356" s="69" t="n">
        <f aca="false">MIN(G356,H355)</f>
        <v>-204222.289488889</v>
      </c>
      <c r="I356" s="69" t="n">
        <f aca="false">MIN(H356,I355)</f>
        <v>-204222.289488889</v>
      </c>
      <c r="J356" s="69" t="n">
        <f aca="false">MIN(I356,J355)</f>
        <v>-204222.289488889</v>
      </c>
      <c r="K356" s="69" t="n">
        <f aca="false">MIN(J356,K355)</f>
        <v>-204222.289488889</v>
      </c>
      <c r="L356" s="69" t="n">
        <f aca="false">MIN(K356,L355)</f>
        <v>-204222.289488889</v>
      </c>
      <c r="M356" s="69" t="n">
        <f aca="false">MIN(L356,M355)</f>
        <v>-204222.289488889</v>
      </c>
      <c r="N356" s="69" t="n">
        <f aca="false">MIN(M356,N355)</f>
        <v>-204222.289488889</v>
      </c>
      <c r="O356" s="69" t="n">
        <f aca="false">MIN(N356,O355)</f>
        <v>-204222.289488889</v>
      </c>
      <c r="P356" s="69" t="n">
        <f aca="false">MIN(O356,P355)</f>
        <v>-204222.289488889</v>
      </c>
      <c r="Q356" s="69" t="n">
        <f aca="false">MIN(P356,Q355)</f>
        <v>-204222.289488889</v>
      </c>
      <c r="R356" s="69" t="n">
        <f aca="false">MIN(Q356,R355)</f>
        <v>-204222.289488889</v>
      </c>
      <c r="S356" s="69" t="n">
        <f aca="false">MIN(R356,S355)</f>
        <v>-204222.289488889</v>
      </c>
      <c r="T356" s="69" t="n">
        <f aca="false">MIN(S356,T355)</f>
        <v>-204222.289488889</v>
      </c>
      <c r="U356" s="69" t="n">
        <f aca="false">MIN(T356,U355)</f>
        <v>-204222.289488889</v>
      </c>
      <c r="V356" s="69" t="n">
        <f aca="false">MIN(U356,V355)</f>
        <v>-204222.289488889</v>
      </c>
      <c r="W356" s="69" t="n">
        <f aca="false">MIN(V356,W355)</f>
        <v>-204222.289488889</v>
      </c>
      <c r="X356" s="69" t="n">
        <f aca="false">MIN(W356,X355)</f>
        <v>-204222.289488889</v>
      </c>
      <c r="Y356" s="69" t="n">
        <f aca="false">MIN(X356,Y355)</f>
        <v>-204222.289488889</v>
      </c>
      <c r="Z356" s="69" t="n">
        <f aca="false">MIN(Y356,Z355)</f>
        <v>-204222.289488889</v>
      </c>
      <c r="AA356" s="69" t="n">
        <f aca="false">MIN(Z356,AA355)</f>
        <v>-204222.289488889</v>
      </c>
      <c r="AB356" s="69" t="n">
        <f aca="false">MIN(AA356,AB355)</f>
        <v>-204222.289488889</v>
      </c>
      <c r="AC356" s="69" t="n">
        <f aca="false">MIN(AB356,AC355)</f>
        <v>-204222.289488889</v>
      </c>
      <c r="AD356" s="69" t="n">
        <f aca="false">MIN(AC356,AD355)</f>
        <v>-204222.289488889</v>
      </c>
      <c r="AE356" s="69" t="n">
        <f aca="false">MIN(AD356,AE355)</f>
        <v>-204222.289488889</v>
      </c>
      <c r="AF356" s="69" t="n">
        <f aca="false">MIN(AE356,AF355)</f>
        <v>-204222.289488889</v>
      </c>
      <c r="AG356" s="69" t="n">
        <f aca="false">MIN(AF356,AG355)</f>
        <v>-204222.289488889</v>
      </c>
      <c r="AH356" s="69" t="n">
        <f aca="false">MIN(AG356,AH355)</f>
        <v>-204222.289488889</v>
      </c>
      <c r="AI356" s="69" t="n">
        <f aca="false">MIN(AH356,AI355)</f>
        <v>-204222.289488889</v>
      </c>
      <c r="AJ356" s="69" t="n">
        <f aca="false">MIN(AI356,AJ355)</f>
        <v>-204222.289488889</v>
      </c>
      <c r="AK356" s="69" t="n">
        <f aca="false">MIN(AJ356,AK355)</f>
        <v>-204222.289488889</v>
      </c>
      <c r="AL356" s="69" t="n">
        <f aca="false">MIN(AK356,AL355)</f>
        <v>-204222.289488889</v>
      </c>
      <c r="AM356" s="69" t="n">
        <f aca="false">MIN(AL356,AM355)</f>
        <v>-204222.289488889</v>
      </c>
      <c r="AN356" s="69" t="n">
        <f aca="false">MIN(AM356,AN355)</f>
        <v>-204222.289488889</v>
      </c>
      <c r="AO356" s="69" t="n">
        <f aca="false">MIN(AN356,AO355)</f>
        <v>-204222.289488889</v>
      </c>
      <c r="AP356" s="69" t="n">
        <f aca="false">MIN(AO356,AP355)</f>
        <v>-204222.289488889</v>
      </c>
      <c r="AQ356" s="69" t="n">
        <f aca="false">MIN(AP356,AQ355)</f>
        <v>-204222.289488889</v>
      </c>
      <c r="AR356" s="69" t="n">
        <f aca="false">MIN(AQ356,AR355)</f>
        <v>-204222.289488889</v>
      </c>
      <c r="AS356" s="69" t="n">
        <f aca="false">MIN(AR356,AS355)</f>
        <v>-204222.289488889</v>
      </c>
      <c r="AT356" s="69" t="n">
        <f aca="false">MIN(AS356,AT355)</f>
        <v>-204222.289488889</v>
      </c>
      <c r="AU356" s="69" t="n">
        <f aca="false">MIN(AT356,AU355)</f>
        <v>-204222.289488889</v>
      </c>
      <c r="AV356" s="69" t="n">
        <f aca="false">MIN(AU356,AV355)</f>
        <v>-204222.289488889</v>
      </c>
      <c r="AW356" s="69" t="n">
        <f aca="false">MIN(AV356,AW355)</f>
        <v>-204222.289488889</v>
      </c>
      <c r="AX356" s="69" t="n">
        <f aca="false">MIN(AW356,AX355)</f>
        <v>-204222.289488889</v>
      </c>
      <c r="AY356" s="69" t="n">
        <f aca="false">MIN(AX356,AY355)</f>
        <v>-204222.289488889</v>
      </c>
      <c r="AZ356" s="69" t="n">
        <f aca="false">MIN(AY356,AZ355)</f>
        <v>-204222.289488889</v>
      </c>
      <c r="BA356" s="69" t="n">
        <f aca="false">MIN(AZ356,BA355)</f>
        <v>-204222.289488889</v>
      </c>
      <c r="BB356" s="69" t="n">
        <f aca="false">MIN(BA356,BB355)</f>
        <v>-204222.289488889</v>
      </c>
      <c r="BC356" s="69" t="n">
        <f aca="false">MIN(BB356,BC355)</f>
        <v>-204222.289488889</v>
      </c>
      <c r="BD356" s="69" t="n">
        <f aca="false">MIN(BC356,BD355)</f>
        <v>-204222.289488889</v>
      </c>
      <c r="BE356" s="69" t="n">
        <f aca="false">MIN(BD356,BE355)</f>
        <v>-204222.289488889</v>
      </c>
      <c r="BF356" s="69" t="n">
        <f aca="false">MIN(BE356,BF355)</f>
        <v>-204222.289488889</v>
      </c>
      <c r="BG356" s="69" t="n">
        <f aca="false">MIN(BF356,BG355)</f>
        <v>-204222.289488889</v>
      </c>
      <c r="BH356" s="69" t="n">
        <f aca="false">MIN(BG356,BH355)</f>
        <v>-204222.289488889</v>
      </c>
      <c r="BI356" s="69" t="n">
        <f aca="false">MIN(BH356,BI355)</f>
        <v>-204222.289488889</v>
      </c>
      <c r="BJ356" s="69" t="n">
        <f aca="false">MIN(BI356,BJ355)</f>
        <v>-204222.289488889</v>
      </c>
    </row>
    <row r="357" customFormat="false" ht="15" hidden="false" customHeight="false" outlineLevel="0" collapsed="false">
      <c r="A357" s="118" t="s">
        <v>453</v>
      </c>
      <c r="C357" s="120" t="n">
        <f aca="false">IF(AND(C355&gt;=0,C356&lt;0),1,0)</f>
        <v>0</v>
      </c>
      <c r="D357" s="120" t="n">
        <f aca="false">IF(AND(D355&gt;=0,D356&lt;0),1,0)</f>
        <v>0</v>
      </c>
      <c r="E357" s="120" t="n">
        <f aca="false">IF(AND(E355&gt;=0,E356&lt;0),1,0)</f>
        <v>0</v>
      </c>
      <c r="F357" s="120" t="n">
        <f aca="false">IF(AND(F355&gt;=0,F356&lt;0),1,0)</f>
        <v>0</v>
      </c>
      <c r="G357" s="120" t="n">
        <f aca="false">IF(AND(G355&gt;=0,G356&lt;0),1,0)</f>
        <v>0</v>
      </c>
      <c r="H357" s="120" t="n">
        <f aca="false">IF(AND(H355&gt;=0,H356&lt;0),1,0)</f>
        <v>0</v>
      </c>
      <c r="I357" s="120" t="n">
        <f aca="false">IF(AND(I355&gt;=0,I356&lt;0),1,0)</f>
        <v>0</v>
      </c>
      <c r="J357" s="120" t="n">
        <f aca="false">IF(AND(J355&gt;=0,J356&lt;0),1,0)</f>
        <v>0</v>
      </c>
      <c r="K357" s="120" t="n">
        <f aca="false">IF(AND(K355&gt;=0,K356&lt;0),1,0)</f>
        <v>0</v>
      </c>
      <c r="L357" s="120" t="n">
        <f aca="false">IF(AND(L355&gt;=0,L356&lt;0),1,0)</f>
        <v>0</v>
      </c>
      <c r="M357" s="120" t="n">
        <f aca="false">IF(AND(M355&gt;=0,M356&lt;0),1,0)</f>
        <v>0</v>
      </c>
      <c r="N357" s="120" t="n">
        <f aca="false">IF(AND(N355&gt;=0,N356&lt;0),1,0)</f>
        <v>0</v>
      </c>
      <c r="O357" s="120" t="n">
        <f aca="false">IF(AND(O355&gt;=0,O356&lt;0),1,0)</f>
        <v>0</v>
      </c>
      <c r="P357" s="120" t="n">
        <f aca="false">IF(AND(P355&gt;=0,P356&lt;0),1,0)</f>
        <v>0</v>
      </c>
      <c r="Q357" s="120" t="n">
        <f aca="false">IF(AND(Q355&gt;=0,Q356&lt;0),1,0)</f>
        <v>0</v>
      </c>
      <c r="R357" s="120" t="n">
        <f aca="false">IF(AND(R355&gt;=0,R356&lt;0),1,0)</f>
        <v>0</v>
      </c>
      <c r="S357" s="120" t="n">
        <f aca="false">IF(AND(S355&gt;=0,S356&lt;0),1,0)</f>
        <v>1</v>
      </c>
      <c r="T357" s="120" t="n">
        <f aca="false">IF(AND(T355&gt;=0,T356&lt;0),1,0)</f>
        <v>1</v>
      </c>
      <c r="U357" s="120" t="n">
        <f aca="false">IF(AND(U355&gt;=0,U356&lt;0),1,0)</f>
        <v>1</v>
      </c>
      <c r="V357" s="120" t="n">
        <f aca="false">IF(AND(V355&gt;=0,V356&lt;0),1,0)</f>
        <v>1</v>
      </c>
      <c r="W357" s="120" t="n">
        <f aca="false">IF(AND(W355&gt;=0,W356&lt;0),1,0)</f>
        <v>1</v>
      </c>
      <c r="X357" s="120" t="n">
        <f aca="false">IF(AND(X355&gt;=0,X356&lt;0),1,0)</f>
        <v>1</v>
      </c>
      <c r="Y357" s="120" t="n">
        <f aca="false">IF(AND(Y355&gt;=0,Y356&lt;0),1,0)</f>
        <v>1</v>
      </c>
      <c r="Z357" s="120" t="n">
        <f aca="false">IF(AND(Z355&gt;=0,Z356&lt;0),1,0)</f>
        <v>1</v>
      </c>
      <c r="AA357" s="120" t="n">
        <f aca="false">IF(AND(AA355&gt;=0,AA356&lt;0),1,0)</f>
        <v>1</v>
      </c>
      <c r="AB357" s="120" t="n">
        <f aca="false">IF(AND(AB355&gt;=0,AB356&lt;0),1,0)</f>
        <v>1</v>
      </c>
      <c r="AC357" s="120" t="n">
        <f aca="false">IF(AND(AC355&gt;=0,AC356&lt;0),1,0)</f>
        <v>1</v>
      </c>
      <c r="AD357" s="120" t="n">
        <f aca="false">IF(AND(AD355&gt;=0,AD356&lt;0),1,0)</f>
        <v>1</v>
      </c>
      <c r="AE357" s="120" t="n">
        <f aca="false">IF(AND(AE355&gt;=0,AE356&lt;0),1,0)</f>
        <v>1</v>
      </c>
      <c r="AF357" s="120" t="n">
        <f aca="false">IF(AND(AF355&gt;=0,AF356&lt;0),1,0)</f>
        <v>1</v>
      </c>
      <c r="AG357" s="120" t="n">
        <f aca="false">IF(AND(AG355&gt;=0,AG356&lt;0),1,0)</f>
        <v>1</v>
      </c>
      <c r="AH357" s="120" t="n">
        <f aca="false">IF(AND(AH355&gt;=0,AH356&lt;0),1,0)</f>
        <v>1</v>
      </c>
      <c r="AI357" s="120" t="n">
        <f aca="false">IF(AND(AI355&gt;=0,AI356&lt;0),1,0)</f>
        <v>1</v>
      </c>
      <c r="AJ357" s="120" t="n">
        <f aca="false">IF(AND(AJ355&gt;=0,AJ356&lt;0),1,0)</f>
        <v>1</v>
      </c>
      <c r="AK357" s="120" t="n">
        <f aca="false">IF(AND(AK355&gt;=0,AK356&lt;0),1,0)</f>
        <v>1</v>
      </c>
      <c r="AL357" s="120" t="n">
        <f aca="false">IF(AND(AL355&gt;=0,AL356&lt;0),1,0)</f>
        <v>1</v>
      </c>
      <c r="AM357" s="120" t="n">
        <f aca="false">IF(AND(AM355&gt;=0,AM356&lt;0),1,0)</f>
        <v>1</v>
      </c>
      <c r="AN357" s="120" t="n">
        <f aca="false">IF(AND(AN355&gt;=0,AN356&lt;0),1,0)</f>
        <v>1</v>
      </c>
      <c r="AO357" s="120" t="n">
        <f aca="false">IF(AND(AO355&gt;=0,AO356&lt;0),1,0)</f>
        <v>1</v>
      </c>
      <c r="AP357" s="120" t="n">
        <f aca="false">IF(AND(AP355&gt;=0,AP356&lt;0),1,0)</f>
        <v>1</v>
      </c>
      <c r="AQ357" s="120" t="n">
        <f aca="false">IF(AND(AQ355&gt;=0,AQ356&lt;0),1,0)</f>
        <v>1</v>
      </c>
      <c r="AR357" s="120" t="n">
        <f aca="false">IF(AND(AR355&gt;=0,AR356&lt;0),1,0)</f>
        <v>1</v>
      </c>
      <c r="AS357" s="120" t="n">
        <f aca="false">IF(AND(AS355&gt;=0,AS356&lt;0),1,0)</f>
        <v>1</v>
      </c>
      <c r="AT357" s="120" t="n">
        <f aca="false">IF(AND(AT355&gt;=0,AT356&lt;0),1,0)</f>
        <v>1</v>
      </c>
      <c r="AU357" s="120" t="n">
        <f aca="false">IF(AND(AU355&gt;=0,AU356&lt;0),1,0)</f>
        <v>1</v>
      </c>
      <c r="AV357" s="120" t="n">
        <f aca="false">IF(AND(AV355&gt;=0,AV356&lt;0),1,0)</f>
        <v>1</v>
      </c>
      <c r="AW357" s="120" t="n">
        <f aca="false">IF(AND(AW355&gt;=0,AW356&lt;0),1,0)</f>
        <v>1</v>
      </c>
      <c r="AX357" s="120" t="n">
        <f aca="false">IF(AND(AX355&gt;=0,AX356&lt;0),1,0)</f>
        <v>1</v>
      </c>
      <c r="AY357" s="120" t="n">
        <f aca="false">IF(AND(AY355&gt;=0,AY356&lt;0),1,0)</f>
        <v>1</v>
      </c>
      <c r="AZ357" s="120" t="n">
        <f aca="false">IF(AND(AZ355&gt;=0,AZ356&lt;0),1,0)</f>
        <v>1</v>
      </c>
      <c r="BA357" s="120" t="n">
        <f aca="false">IF(AND(BA355&gt;=0,BA356&lt;0),1,0)</f>
        <v>1</v>
      </c>
      <c r="BB357" s="120" t="n">
        <f aca="false">IF(AND(BB355&gt;=0,BB356&lt;0),1,0)</f>
        <v>1</v>
      </c>
      <c r="BC357" s="120" t="n">
        <f aca="false">IF(AND(BC355&gt;=0,BC356&lt;0),1,0)</f>
        <v>1</v>
      </c>
      <c r="BD357" s="120" t="n">
        <f aca="false">IF(AND(BD355&gt;=0,BD356&lt;0),1,0)</f>
        <v>1</v>
      </c>
      <c r="BE357" s="120" t="n">
        <f aca="false">IF(AND(BE355&gt;=0,BE356&lt;0),1,0)</f>
        <v>1</v>
      </c>
      <c r="BF357" s="120" t="n">
        <f aca="false">IF(AND(BF355&gt;=0,BF356&lt;0),1,0)</f>
        <v>1</v>
      </c>
      <c r="BG357" s="120" t="n">
        <f aca="false">IF(AND(BG355&gt;=0,BG356&lt;0),1,0)</f>
        <v>1</v>
      </c>
      <c r="BH357" s="120" t="n">
        <f aca="false">IF(AND(BH355&gt;=0,BH356&lt;0),1,0)</f>
        <v>1</v>
      </c>
      <c r="BI357" s="120" t="n">
        <f aca="false">IF(AND(BI355&gt;=0,BI356&lt;0),1,0)</f>
        <v>1</v>
      </c>
      <c r="BJ357" s="120" t="n">
        <f aca="false">IF(AND(BJ355&gt;=0,BJ356&lt;0),1,0)</f>
        <v>1</v>
      </c>
    </row>
    <row r="358" customFormat="false" ht="15" hidden="false" customHeight="false" outlineLevel="0" collapsed="false">
      <c r="A358" s="6" t="s">
        <v>454</v>
      </c>
      <c r="C358" s="69" t="n">
        <f aca="false">C343-C308*(1-Inputs!$D$83)+C344</f>
        <v>-193022.233288889</v>
      </c>
      <c r="D358" s="69" t="n">
        <f aca="false">D343-D308*(1-Inputs!$D$83)+D344</f>
        <v>-6485.39295</v>
      </c>
      <c r="E358" s="69" t="n">
        <f aca="false">E343-E308*(1-Inputs!$D$83)+E344</f>
        <v>-2956.91325</v>
      </c>
      <c r="F358" s="69" t="n">
        <f aca="false">F343-F308*(1-Inputs!$D$83)+F344</f>
        <v>571.566449999995</v>
      </c>
      <c r="G358" s="69" t="n">
        <f aca="false">G343-G308*(1-Inputs!$D$83)+G344</f>
        <v>4100.04614999999</v>
      </c>
      <c r="H358" s="69" t="n">
        <f aca="false">H343-H308*(1-Inputs!$D$83)+H344</f>
        <v>18092.85375</v>
      </c>
      <c r="I358" s="69" t="n">
        <f aca="false">I343-I308*(1-Inputs!$D$83)+I344</f>
        <v>21555.876385</v>
      </c>
      <c r="J358" s="69" t="n">
        <f aca="false">J343-J308*(1-Inputs!$D$83)+J344</f>
        <v>21857.704075</v>
      </c>
      <c r="K358" s="69" t="n">
        <f aca="false">K343-K308*(1-Inputs!$D$83)+K344</f>
        <v>15137.490658</v>
      </c>
      <c r="L358" s="69" t="n">
        <f aca="false">L343-L308*(1-Inputs!$D$83)+L344</f>
        <v>14509.2825746667</v>
      </c>
      <c r="M358" s="69" t="n">
        <f aca="false">M343-M308*(1-Inputs!$D$83)+M344</f>
        <v>14509.2825746667</v>
      </c>
      <c r="N358" s="69" t="n">
        <f aca="false">N343-N308*(1-Inputs!$D$83)+N344</f>
        <v>24657.1120466667</v>
      </c>
      <c r="O358" s="69" t="n">
        <f aca="false">O343-O308*(1-Inputs!$D$83)+O344</f>
        <v>9368.13260492532</v>
      </c>
      <c r="P358" s="69" t="n">
        <f aca="false">P343-P308*(1-Inputs!$D$83)+P344</f>
        <v>18382.5680274587</v>
      </c>
      <c r="Q358" s="69" t="n">
        <f aca="false">Q343-Q308*(1-Inputs!$D$83)+Q344</f>
        <v>18382.5680274587</v>
      </c>
      <c r="R358" s="69" t="n">
        <f aca="false">R343-R308*(1-Inputs!$D$83)+R344</f>
        <v>18382.5680274587</v>
      </c>
      <c r="S358" s="69" t="n">
        <f aca="false">S343-S308*(1-Inputs!$D$83)+S344</f>
        <v>18382.5680274587</v>
      </c>
      <c r="T358" s="69" t="n">
        <f aca="false">T343-T308*(1-Inputs!$D$83)+T344</f>
        <v>29467.3395954827</v>
      </c>
      <c r="U358" s="69" t="n">
        <f aca="false">U343-U308*(1-Inputs!$D$83)+U344</f>
        <v>29619.7775454827</v>
      </c>
      <c r="V358" s="69" t="n">
        <f aca="false">V343-V308*(1-Inputs!$D$83)+V344</f>
        <v>29619.7775454827</v>
      </c>
      <c r="W358" s="69" t="n">
        <f aca="false">W343-W308*(1-Inputs!$D$83)+W344</f>
        <v>18535.0059774587</v>
      </c>
      <c r="X358" s="69" t="n">
        <f aca="false">X343-X308*(1-Inputs!$D$83)+X344</f>
        <v>18382.5680274587</v>
      </c>
      <c r="Y358" s="69" t="n">
        <f aca="false">Y343-Y308*(1-Inputs!$D$83)+Y344</f>
        <v>18382.5680274587</v>
      </c>
      <c r="Z358" s="69" t="n">
        <f aca="false">Z343-Z308*(1-Inputs!$D$83)+Z344</f>
        <v>29467.3395954827</v>
      </c>
      <c r="AA358" s="69" t="n">
        <f aca="false">AA343-AA308*(1-Inputs!$D$83)+AA344</f>
        <v>13724.8243807131</v>
      </c>
      <c r="AB358" s="69" t="n">
        <f aca="false">AB343-AB308*(1-Inputs!$D$83)+AB344</f>
        <v>22634.9377947046</v>
      </c>
      <c r="AC358" s="69" t="n">
        <f aca="false">AC343-AC308*(1-Inputs!$D$83)+AC344</f>
        <v>22634.9377947046</v>
      </c>
      <c r="AD358" s="69" t="n">
        <f aca="false">AD343-AD308*(1-Inputs!$D$83)+AD344</f>
        <v>22634.9377947046</v>
      </c>
      <c r="AE358" s="69" t="n">
        <f aca="false">AE343-AE308*(1-Inputs!$D$83)+AE344</f>
        <v>22634.9377947046</v>
      </c>
      <c r="AF358" s="69" t="n">
        <f aca="false">AF343-AF308*(1-Inputs!$D$83)+AF344</f>
        <v>34743.1049426626</v>
      </c>
      <c r="AG358" s="69" t="n">
        <f aca="false">AG343-AG308*(1-Inputs!$D$83)+AG344</f>
        <v>34924.1066133901</v>
      </c>
      <c r="AH358" s="69" t="n">
        <f aca="false">AH343-AH308*(1-Inputs!$D$83)+AH344</f>
        <v>34924.1066133901</v>
      </c>
      <c r="AI358" s="69" t="n">
        <f aca="false">AI343-AI308*(1-Inputs!$D$83)+AI344</f>
        <v>22815.9394654321</v>
      </c>
      <c r="AJ358" s="69" t="n">
        <f aca="false">AJ343-AJ308*(1-Inputs!$D$83)+AJ344</f>
        <v>22634.9377947046</v>
      </c>
      <c r="AK358" s="69" t="n">
        <f aca="false">AK343-AK308*(1-Inputs!$D$83)+AK344</f>
        <v>22634.9377947046</v>
      </c>
      <c r="AL358" s="69" t="n">
        <f aca="false">AL343-AL308*(1-Inputs!$D$83)+AL344</f>
        <v>34743.1049426626</v>
      </c>
      <c r="AM358" s="69" t="n">
        <f aca="false">AM343-AM308*(1-Inputs!$D$83)+AM344</f>
        <v>18516.0040323837</v>
      </c>
      <c r="AN358" s="69" t="n">
        <f aca="false">AN343-AN308*(1-Inputs!$D$83)+AN344</f>
        <v>27310.7540620502</v>
      </c>
      <c r="AO358" s="69" t="n">
        <f aca="false">AO343-AO308*(1-Inputs!$D$83)+AO344</f>
        <v>27310.7540620502</v>
      </c>
      <c r="AP358" s="69" t="n">
        <f aca="false">AP343-AP308*(1-Inputs!$D$83)+AP344</f>
        <v>27310.7540620502</v>
      </c>
      <c r="AQ358" s="69" t="n">
        <f aca="false">AQ343-AQ308*(1-Inputs!$D$83)+AQ344</f>
        <v>27310.7540620502</v>
      </c>
      <c r="AR358" s="69" t="n">
        <f aca="false">AR343-AR308*(1-Inputs!$D$83)+AR344</f>
        <v>38765.322915883</v>
      </c>
      <c r="AS358" s="69" t="n">
        <f aca="false">AS343-AS308*(1-Inputs!$D$83)+AS344</f>
        <v>38950.0562514706</v>
      </c>
      <c r="AT358" s="69" t="n">
        <f aca="false">AT343-AT308*(1-Inputs!$D$83)+AT344</f>
        <v>38950.0562514706</v>
      </c>
      <c r="AU358" s="69" t="n">
        <f aca="false">AU343-AU308*(1-Inputs!$D$83)+AU344</f>
        <v>27495.4873976378</v>
      </c>
      <c r="AV358" s="69" t="n">
        <f aca="false">AV343-AV308*(1-Inputs!$D$83)+AV344</f>
        <v>27310.7540620502</v>
      </c>
      <c r="AW358" s="69" t="n">
        <f aca="false">AW343-AW308*(1-Inputs!$D$83)+AW344</f>
        <v>27310.7540620502</v>
      </c>
      <c r="AX358" s="69" t="n">
        <f aca="false">AX343-AX308*(1-Inputs!$D$83)+AX344</f>
        <v>38765.322915883</v>
      </c>
      <c r="AY358" s="69" t="n">
        <f aca="false">AY343-AY308*(1-Inputs!$D$83)+AY344</f>
        <v>23762.4810435073</v>
      </c>
      <c r="AZ358" s="69" t="n">
        <f aca="false">AZ343-AZ308*(1-Inputs!$D$83)+AZ344</f>
        <v>32458.2427334414</v>
      </c>
      <c r="BA358" s="69" t="n">
        <f aca="false">BA343-BA308*(1-Inputs!$D$83)+BA344</f>
        <v>32458.2427334414</v>
      </c>
      <c r="BB358" s="69" t="n">
        <f aca="false">BB343-BB308*(1-Inputs!$D$83)+BB344</f>
        <v>32458.2427334414</v>
      </c>
      <c r="BC358" s="69" t="n">
        <f aca="false">BC343-BC308*(1-Inputs!$D$83)+BC344</f>
        <v>32458.2427334414</v>
      </c>
      <c r="BD358" s="69" t="n">
        <f aca="false">BD343-BD308*(1-Inputs!$D$83)+BD344</f>
        <v>42769.2142843305</v>
      </c>
      <c r="BE358" s="69" t="n">
        <f aca="false">BE343-BE308*(1-Inputs!$D$83)+BE344</f>
        <v>42947.4761239422</v>
      </c>
      <c r="BF358" s="69" t="n">
        <f aca="false">BF343-BF308*(1-Inputs!$D$83)+BF344</f>
        <v>42947.4761239422</v>
      </c>
      <c r="BG358" s="69" t="n">
        <f aca="false">BG343-BG308*(1-Inputs!$D$83)+BG344</f>
        <v>32636.5045730532</v>
      </c>
      <c r="BH358" s="69" t="n">
        <f aca="false">BH343-BH308*(1-Inputs!$D$83)+BH344</f>
        <v>32458.2427334414</v>
      </c>
      <c r="BI358" s="69" t="n">
        <f aca="false">BI343-BI308*(1-Inputs!$D$83)+BI344</f>
        <v>32458.2427334414</v>
      </c>
      <c r="BJ358" s="69" t="n">
        <f aca="false">BJ343-BJ308*(1-Inputs!$D$83)+BJ344</f>
        <v>42769.2142843305</v>
      </c>
    </row>
    <row r="360" customFormat="false" ht="15.75" hidden="false" customHeight="true" outlineLevel="0" collapsed="false">
      <c r="A360" s="7" t="s">
        <v>455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customFormat="false" ht="15" hidden="false" customHeight="false" outlineLevel="0" collapsed="false">
      <c r="A361" s="6" t="s">
        <v>97</v>
      </c>
      <c r="C361" s="69" t="n">
        <f aca="false">C345</f>
        <v>330000</v>
      </c>
      <c r="D361" s="69" t="n">
        <f aca="false">C361+D345</f>
        <v>330000</v>
      </c>
      <c r="E361" s="69" t="n">
        <f aca="false">D361+E345</f>
        <v>330000</v>
      </c>
      <c r="F361" s="69" t="n">
        <f aca="false">E361+F345</f>
        <v>330000</v>
      </c>
      <c r="G361" s="69" t="n">
        <f aca="false">F361+G345</f>
        <v>330000</v>
      </c>
      <c r="H361" s="69" t="n">
        <f aca="false">G361+H345</f>
        <v>330000</v>
      </c>
      <c r="I361" s="69" t="n">
        <f aca="false">H361+I345</f>
        <v>330000</v>
      </c>
      <c r="J361" s="69" t="n">
        <f aca="false">I361+J345</f>
        <v>330000</v>
      </c>
      <c r="K361" s="69" t="n">
        <f aca="false">J361+K345</f>
        <v>330000</v>
      </c>
      <c r="L361" s="69" t="n">
        <f aca="false">K361+L345</f>
        <v>330000</v>
      </c>
      <c r="M361" s="69" t="n">
        <f aca="false">L361+M345</f>
        <v>330000</v>
      </c>
      <c r="N361" s="69" t="n">
        <f aca="false">M361+N345</f>
        <v>330000</v>
      </c>
      <c r="O361" s="69" t="n">
        <f aca="false">N361+O345</f>
        <v>330000</v>
      </c>
      <c r="P361" s="69" t="n">
        <f aca="false">O361+P345</f>
        <v>330000</v>
      </c>
      <c r="Q361" s="69" t="n">
        <f aca="false">P361+Q345</f>
        <v>330000</v>
      </c>
      <c r="R361" s="69" t="n">
        <f aca="false">Q361+R345</f>
        <v>330000</v>
      </c>
      <c r="S361" s="69" t="n">
        <f aca="false">R361+S345</f>
        <v>330000</v>
      </c>
      <c r="T361" s="69" t="n">
        <f aca="false">S361+T345</f>
        <v>330000</v>
      </c>
      <c r="U361" s="69" t="n">
        <f aca="false">T361+U345</f>
        <v>330000</v>
      </c>
      <c r="V361" s="69" t="n">
        <f aca="false">U361+V345</f>
        <v>330000</v>
      </c>
      <c r="W361" s="69" t="n">
        <f aca="false">V361+W345</f>
        <v>330000</v>
      </c>
      <c r="X361" s="69" t="n">
        <f aca="false">W361+X345</f>
        <v>330000</v>
      </c>
      <c r="Y361" s="69" t="n">
        <f aca="false">X361+Y345</f>
        <v>330000</v>
      </c>
      <c r="Z361" s="69" t="n">
        <f aca="false">Y361+Z345</f>
        <v>330000</v>
      </c>
      <c r="AA361" s="69" t="n">
        <f aca="false">Z361+AA345</f>
        <v>330000</v>
      </c>
      <c r="AB361" s="69" t="n">
        <f aca="false">AA361+AB345</f>
        <v>330000</v>
      </c>
      <c r="AC361" s="69" t="n">
        <f aca="false">AB361+AC345</f>
        <v>330000</v>
      </c>
      <c r="AD361" s="69" t="n">
        <f aca="false">AC361+AD345</f>
        <v>330000</v>
      </c>
      <c r="AE361" s="69" t="n">
        <f aca="false">AD361+AE345</f>
        <v>330000</v>
      </c>
      <c r="AF361" s="69" t="n">
        <f aca="false">AE361+AF345</f>
        <v>330000</v>
      </c>
      <c r="AG361" s="69" t="n">
        <f aca="false">AF361+AG345</f>
        <v>330000</v>
      </c>
      <c r="AH361" s="69" t="n">
        <f aca="false">AG361+AH345</f>
        <v>330000</v>
      </c>
      <c r="AI361" s="69" t="n">
        <f aca="false">AH361+AI345</f>
        <v>330000</v>
      </c>
      <c r="AJ361" s="69" t="n">
        <f aca="false">AI361+AJ345</f>
        <v>330000</v>
      </c>
      <c r="AK361" s="69" t="n">
        <f aca="false">AJ361+AK345</f>
        <v>330000</v>
      </c>
      <c r="AL361" s="69" t="n">
        <f aca="false">AK361+AL345</f>
        <v>330000</v>
      </c>
      <c r="AM361" s="69" t="n">
        <f aca="false">AL361+AM345</f>
        <v>330000</v>
      </c>
      <c r="AN361" s="69" t="n">
        <f aca="false">AM361+AN345</f>
        <v>330000</v>
      </c>
      <c r="AO361" s="69" t="n">
        <f aca="false">AN361+AO345</f>
        <v>330000</v>
      </c>
      <c r="AP361" s="69" t="n">
        <f aca="false">AO361+AP345</f>
        <v>330000</v>
      </c>
      <c r="AQ361" s="69" t="n">
        <f aca="false">AP361+AQ345</f>
        <v>330000</v>
      </c>
      <c r="AR361" s="69" t="n">
        <f aca="false">AQ361+AR345</f>
        <v>330000</v>
      </c>
      <c r="AS361" s="69" t="n">
        <f aca="false">AR361+AS345</f>
        <v>330000</v>
      </c>
      <c r="AT361" s="69" t="n">
        <f aca="false">AS361+AT345</f>
        <v>330000</v>
      </c>
      <c r="AU361" s="69" t="n">
        <f aca="false">AT361+AU345</f>
        <v>330000</v>
      </c>
      <c r="AV361" s="69" t="n">
        <f aca="false">AU361+AV345</f>
        <v>330000</v>
      </c>
      <c r="AW361" s="69" t="n">
        <f aca="false">AV361+AW345</f>
        <v>330000</v>
      </c>
      <c r="AX361" s="69" t="n">
        <f aca="false">AW361+AX345</f>
        <v>330000</v>
      </c>
      <c r="AY361" s="69" t="n">
        <f aca="false">AX361+AY345</f>
        <v>330000</v>
      </c>
      <c r="AZ361" s="69" t="n">
        <f aca="false">AY361+AZ345</f>
        <v>330000</v>
      </c>
      <c r="BA361" s="69" t="n">
        <f aca="false">AZ361+BA345</f>
        <v>330000</v>
      </c>
      <c r="BB361" s="69" t="n">
        <f aca="false">BA361+BB345</f>
        <v>330000</v>
      </c>
      <c r="BC361" s="69" t="n">
        <f aca="false">BB361+BC345</f>
        <v>330000</v>
      </c>
      <c r="BD361" s="69" t="n">
        <f aca="false">BC361+BD345</f>
        <v>330000</v>
      </c>
      <c r="BE361" s="69" t="n">
        <f aca="false">BD361+BE345</f>
        <v>330000</v>
      </c>
      <c r="BF361" s="69" t="n">
        <f aca="false">BE361+BF345</f>
        <v>330000</v>
      </c>
      <c r="BG361" s="69" t="n">
        <f aca="false">BF361+BG345</f>
        <v>330000</v>
      </c>
      <c r="BH361" s="69" t="n">
        <f aca="false">BG361+BH345</f>
        <v>330000</v>
      </c>
      <c r="BI361" s="69" t="n">
        <f aca="false">BH361+BI345</f>
        <v>330000</v>
      </c>
      <c r="BJ361" s="69" t="n">
        <f aca="false">BI361+BJ345</f>
        <v>330000</v>
      </c>
    </row>
    <row r="362" customFormat="false" ht="15" hidden="false" customHeight="false" outlineLevel="0" collapsed="false">
      <c r="A362" s="6" t="s">
        <v>98</v>
      </c>
      <c r="C362" s="69" t="n">
        <f aca="false">C313</f>
        <v>-13082.7457333333</v>
      </c>
      <c r="D362" s="69" t="n">
        <f aca="false">C362+D313</f>
        <v>-22633.3867666667</v>
      </c>
      <c r="E362" s="69" t="n">
        <f aca="false">D362+E313</f>
        <v>-28645.6731</v>
      </c>
      <c r="F362" s="69" t="n">
        <f aca="false">E362+F313</f>
        <v>-31119.6047333333</v>
      </c>
      <c r="G362" s="69" t="n">
        <f aca="false">F362+G313</f>
        <v>-30055.1816666667</v>
      </c>
      <c r="H362" s="69" t="n">
        <f aca="false">G362+H313</f>
        <v>-14884.7065</v>
      </c>
      <c r="I362" s="69" t="n">
        <f aca="false">H362+I313</f>
        <v>3663.24830166666</v>
      </c>
      <c r="J362" s="69" t="n">
        <f aca="false">I362+J313</f>
        <v>22522.9057933333</v>
      </c>
      <c r="K362" s="69" t="n">
        <f aca="false">J362+K313</f>
        <v>34545.000868</v>
      </c>
      <c r="L362" s="69" t="n">
        <f aca="false">K362+L313</f>
        <v>46576.9709426667</v>
      </c>
      <c r="M362" s="69" t="n">
        <f aca="false">L362+M313</f>
        <v>58618.8160173333</v>
      </c>
      <c r="N362" s="69" t="n">
        <f aca="false">M362+N313</f>
        <v>80945.589564</v>
      </c>
      <c r="O362" s="69" t="n">
        <f aca="false">N362+O313</f>
        <v>96776.303424792</v>
      </c>
      <c r="P362" s="69" t="n">
        <f aca="false">O362+P313</f>
        <v>112616.892285584</v>
      </c>
      <c r="Q362" s="69" t="n">
        <f aca="false">P362+Q313</f>
        <v>128467.356146376</v>
      </c>
      <c r="R362" s="69" t="n">
        <f aca="false">Q362+R313</f>
        <v>144327.695007168</v>
      </c>
      <c r="S362" s="69" t="n">
        <f aca="false">R362+S313</f>
        <v>160197.90886796</v>
      </c>
      <c r="T362" s="69" t="n">
        <f aca="false">S362+T313</f>
        <v>187315.207246776</v>
      </c>
      <c r="U362" s="69" t="n">
        <f aca="false">T362+U313</f>
        <v>214442.380625592</v>
      </c>
      <c r="V362" s="69" t="n">
        <f aca="false">U362+V313</f>
        <v>241579.429004408</v>
      </c>
      <c r="W362" s="69" t="n">
        <f aca="false">V362+W313</f>
        <v>257489.1428652</v>
      </c>
      <c r="X362" s="69" t="n">
        <f aca="false">W362+X313</f>
        <v>273408.731725992</v>
      </c>
      <c r="Y362" s="69" t="n">
        <f aca="false">X362+Y313</f>
        <v>289338.195586784</v>
      </c>
      <c r="Z362" s="69" t="n">
        <f aca="false">Y362+Z313</f>
        <v>316514.7439656</v>
      </c>
      <c r="AA362" s="69" t="n">
        <f aca="false">Z362+AA313</f>
        <v>336612.160926971</v>
      </c>
      <c r="AB362" s="69" t="n">
        <f aca="false">AA362+AB313</f>
        <v>356719.452888343</v>
      </c>
      <c r="AC362" s="69" t="n">
        <f aca="false">AB362+AC313</f>
        <v>376836.619849714</v>
      </c>
      <c r="AD362" s="69" t="n">
        <f aca="false">AC362+AD313</f>
        <v>396963.661811085</v>
      </c>
      <c r="AE362" s="69" t="n">
        <f aca="false">AD362+AE313</f>
        <v>417100.578772457</v>
      </c>
      <c r="AF362" s="69" t="n">
        <f aca="false">AE362+AF313</f>
        <v>449536.539552513</v>
      </c>
      <c r="AG362" s="69" t="n">
        <f aca="false">AF362+AG313</f>
        <v>481982.37533257</v>
      </c>
      <c r="AH362" s="69" t="n">
        <f aca="false">AG362+AH313</f>
        <v>514438.086112627</v>
      </c>
      <c r="AI362" s="69" t="n">
        <f aca="false">AH362+AI313</f>
        <v>534614.503073998</v>
      </c>
      <c r="AJ362" s="69" t="n">
        <f aca="false">AI362+AJ313</f>
        <v>554800.79503537</v>
      </c>
      <c r="AK362" s="69" t="n">
        <f aca="false">AJ362+AK313</f>
        <v>574996.961996741</v>
      </c>
      <c r="AL362" s="69" t="n">
        <f aca="false">AK362+AL313</f>
        <v>607492.172776798</v>
      </c>
      <c r="AM362" s="69" t="n">
        <f aca="false">AL362+AM313</f>
        <v>632279.739338848</v>
      </c>
      <c r="AN362" s="69" t="n">
        <f aca="false">AM362+AN313</f>
        <v>657077.180900898</v>
      </c>
      <c r="AO362" s="69" t="n">
        <f aca="false">AN362+AO313</f>
        <v>681884.497462948</v>
      </c>
      <c r="AP362" s="69" t="n">
        <f aca="false">AO362+AP313</f>
        <v>706701.689024999</v>
      </c>
      <c r="AQ362" s="69" t="n">
        <f aca="false">AP362+AQ313</f>
        <v>731528.755587049</v>
      </c>
      <c r="AR362" s="69" t="n">
        <f aca="false">AQ362+AR313</f>
        <v>768004.99933852</v>
      </c>
      <c r="AS362" s="69" t="n">
        <f aca="false">AR362+AS313</f>
        <v>804491.11808999</v>
      </c>
      <c r="AT362" s="69" t="n">
        <f aca="false">AS362+AT313</f>
        <v>840987.111841461</v>
      </c>
      <c r="AU362" s="69" t="n">
        <f aca="false">AT362+AU313</f>
        <v>865853.678403511</v>
      </c>
      <c r="AV362" s="69" t="n">
        <f aca="false">AU362+AV313</f>
        <v>890730.119965561</v>
      </c>
      <c r="AW362" s="69" t="n">
        <f aca="false">AV362+AW313</f>
        <v>915616.436527612</v>
      </c>
      <c r="AX362" s="69" t="n">
        <f aca="false">AW362+AX313</f>
        <v>952151.930279082</v>
      </c>
      <c r="AY362" s="69" t="n">
        <f aca="false">AX362+AY313</f>
        <v>982101.318845857</v>
      </c>
      <c r="AZ362" s="69" t="n">
        <f aca="false">AY362+AZ313</f>
        <v>1012060.58241263</v>
      </c>
      <c r="BA362" s="69" t="n">
        <f aca="false">AZ362+BA313</f>
        <v>1042029.72097941</v>
      </c>
      <c r="BB362" s="69" t="n">
        <f aca="false">BA362+BB313</f>
        <v>1072008.73454618</v>
      </c>
      <c r="BC362" s="69" t="n">
        <f aca="false">BB362+BC313</f>
        <v>1101997.62311296</v>
      </c>
      <c r="BD362" s="69" t="n">
        <f aca="false">BC362+BD313</f>
        <v>1142485.62007023</v>
      </c>
      <c r="BE362" s="69" t="n">
        <f aca="false">BD362+BE313</f>
        <v>1182983.49202751</v>
      </c>
      <c r="BF362" s="69" t="n">
        <f aca="false">BE362+BF313</f>
        <v>1223491.23898478</v>
      </c>
      <c r="BG362" s="69" t="n">
        <f aca="false">BF362+BG313</f>
        <v>1253519.62755156</v>
      </c>
      <c r="BH362" s="69" t="n">
        <f aca="false">BG362+BH313</f>
        <v>1283557.89111833</v>
      </c>
      <c r="BI362" s="69" t="n">
        <f aca="false">BH362+BI313</f>
        <v>1313606.02968511</v>
      </c>
      <c r="BJ362" s="69" t="n">
        <f aca="false">BI362+BJ313</f>
        <v>1354153.27664238</v>
      </c>
    </row>
    <row r="363" customFormat="false" ht="15" hidden="false" customHeight="false" outlineLevel="0" collapsed="false">
      <c r="A363" s="4" t="s">
        <v>93</v>
      </c>
      <c r="C363" s="75" t="n">
        <f aca="false">C349+C335+C336+C326</f>
        <v>428974.248711111</v>
      </c>
      <c r="D363" s="75" t="n">
        <f aca="false">D349+D335+D336+D326</f>
        <v>418864.759761111</v>
      </c>
      <c r="E363" s="75" t="n">
        <f aca="false">E349+E335+E336+E326</f>
        <v>412293.625511111</v>
      </c>
      <c r="F363" s="75" t="n">
        <f aca="false">F349+F335+F336+F326</f>
        <v>409260.845961111</v>
      </c>
      <c r="G363" s="75" t="n">
        <f aca="false">G349+G335+G336+G326</f>
        <v>409766.421111111</v>
      </c>
      <c r="H363" s="75" t="n">
        <f aca="false">H349+H335+H336+H326</f>
        <v>425295.035861111</v>
      </c>
      <c r="I363" s="75" t="n">
        <f aca="false">I349+I335+I336+I326</f>
        <v>443354.680246111</v>
      </c>
      <c r="J363" s="75" t="n">
        <f aca="false">J349+J335+J336+J326</f>
        <v>461726.027321111</v>
      </c>
      <c r="K363" s="75" t="n">
        <f aca="false">K349+K335+K336+K326</f>
        <v>472131.211979111</v>
      </c>
      <c r="L363" s="75" t="n">
        <f aca="false">L349+L335+L336+L326</f>
        <v>482496.515387111</v>
      </c>
      <c r="M363" s="75" t="n">
        <f aca="false">M349+M335+M336+M326</f>
        <v>492871.693795111</v>
      </c>
      <c r="N363" s="75" t="n">
        <f aca="false">N349+N335+N336+N326</f>
        <v>514660.400675111</v>
      </c>
      <c r="O363" s="75" t="n">
        <f aca="false">O349+O335+O336+O326</f>
        <v>529511.68603257</v>
      </c>
      <c r="P363" s="75" t="n">
        <f aca="false">P349+P335+P336+P326</f>
        <v>543685.608226695</v>
      </c>
      <c r="Q363" s="75" t="n">
        <f aca="false">Q349+Q335+Q336+Q326</f>
        <v>557869.405420821</v>
      </c>
      <c r="R363" s="75" t="n">
        <f aca="false">R349+R335+R336+R326</f>
        <v>572063.077614946</v>
      </c>
      <c r="S363" s="75" t="n">
        <f aca="false">S349+S335+S336+S326</f>
        <v>586266.624809071</v>
      </c>
      <c r="T363" s="75" t="n">
        <f aca="false">T349+T335+T336+T326</f>
        <v>612931.91227122</v>
      </c>
      <c r="U363" s="75" t="n">
        <f aca="false">U349+U335+U336+U326</f>
        <v>638392.41898337</v>
      </c>
      <c r="V363" s="75" t="n">
        <f aca="false">V349+V335+V336+V326</f>
        <v>663862.800695519</v>
      </c>
      <c r="W363" s="75" t="n">
        <f aca="false">W349+W335+W336+W326</f>
        <v>676891.192139644</v>
      </c>
      <c r="X363" s="75" t="n">
        <f aca="false">X349+X335+X336+X326</f>
        <v>691144.11433377</v>
      </c>
      <c r="Y363" s="75" t="n">
        <f aca="false">Y349+Y335+Y336+Y326</f>
        <v>705406.911527895</v>
      </c>
      <c r="Z363" s="75" t="n">
        <f aca="false">Z349+Z335+Z336+Z326</f>
        <v>732131.448990045</v>
      </c>
      <c r="AA363" s="75" t="n">
        <f aca="false">AA349+AA335+AA336+AA326</f>
        <v>751334.869614662</v>
      </c>
      <c r="AB363" s="75" t="n">
        <f aca="false">AB349+AB335+AB336+AB326</f>
        <v>769775.494909367</v>
      </c>
      <c r="AC363" s="75" t="n">
        <f aca="false">AC349+AC335+AC336+AC326</f>
        <v>788225.995204071</v>
      </c>
      <c r="AD363" s="75" t="n">
        <f aca="false">AD349+AD335+AD336+AD326</f>
        <v>806686.370498776</v>
      </c>
      <c r="AE363" s="75" t="n">
        <f aca="false">AE349+AE335+AE336+AE326</f>
        <v>825156.62079348</v>
      </c>
      <c r="AF363" s="75" t="n">
        <f aca="false">AF349+AF335+AF336+AF326</f>
        <v>857233.188157808</v>
      </c>
      <c r="AG363" s="75" t="n">
        <f aca="false">AG349+AG335+AG336+AG326</f>
        <v>888012.357271198</v>
      </c>
      <c r="AH363" s="75" t="n">
        <f aca="false">AH349+AH335+AH336+AH326</f>
        <v>918801.401384588</v>
      </c>
      <c r="AI363" s="75" t="n">
        <f aca="false">AI349+AI335+AI336+AI326</f>
        <v>936003.878428355</v>
      </c>
      <c r="AJ363" s="75" t="n">
        <f aca="false">AJ349+AJ335+AJ336+AJ326</f>
        <v>954523.50372306</v>
      </c>
      <c r="AK363" s="75" t="n">
        <f aca="false">AK349+AK335+AK336+AK326</f>
        <v>973053.004017765</v>
      </c>
      <c r="AL363" s="75" t="n">
        <f aca="false">AL349+AL335+AL336+AL326</f>
        <v>1005188.82138209</v>
      </c>
      <c r="AM363" s="75" t="n">
        <f aca="false">AM349+AM335+AM336+AM326</f>
        <v>1029178.01795925</v>
      </c>
      <c r="AN363" s="75" t="n">
        <f aca="false">AN349+AN335+AN336+AN326</f>
        <v>1052308.79285463</v>
      </c>
      <c r="AO363" s="75" t="n">
        <f aca="false">AO349+AO335+AO336+AO326</f>
        <v>1075449.44275002</v>
      </c>
      <c r="AP363" s="75" t="n">
        <f aca="false">AP349+AP335+AP336+AP326</f>
        <v>1098599.9676454</v>
      </c>
      <c r="AQ363" s="75" t="n">
        <f aca="false">AQ349+AQ335+AQ336+AQ326</f>
        <v>1121760.36754078</v>
      </c>
      <c r="AR363" s="75" t="n">
        <f aca="false">AR349+AR335+AR336+AR326</f>
        <v>1157788.45748667</v>
      </c>
      <c r="AS363" s="75" t="n">
        <f aca="false">AS349+AS335+AS336+AS326</f>
        <v>1192607.90957147</v>
      </c>
      <c r="AT363" s="75" t="n">
        <f aca="false">AT349+AT335+AT336+AT326</f>
        <v>1227437.23665628</v>
      </c>
      <c r="AU363" s="75" t="n">
        <f aca="false">AU349+AU335+AU336+AU326</f>
        <v>1249418.62369058</v>
      </c>
      <c r="AV363" s="75" t="n">
        <f aca="false">AV349+AV335+AV336+AV326</f>
        <v>1272628.39858596</v>
      </c>
      <c r="AW363" s="75" t="n">
        <f aca="false">AW349+AW335+AW336+AW326</f>
        <v>1295848.04848135</v>
      </c>
      <c r="AX363" s="75" t="n">
        <f aca="false">AX349+AX335+AX336+AX326</f>
        <v>1331935.38842723</v>
      </c>
      <c r="AY363" s="75" t="n">
        <f aca="false">AY349+AY335+AY336+AY326</f>
        <v>1361381.8292773</v>
      </c>
      <c r="AZ363" s="75" t="n">
        <f aca="false">AZ349+AZ335+AZ336+AZ326</f>
        <v>1389674.42617741</v>
      </c>
      <c r="BA363" s="75" t="n">
        <f aca="false">BA349+BA335+BA336+BA326</f>
        <v>1417976.89807751</v>
      </c>
      <c r="BB363" s="75" t="n">
        <f aca="false">BB349+BB335+BB336+BB326</f>
        <v>1446289.24497762</v>
      </c>
      <c r="BC363" s="75" t="n">
        <f aca="false">BC349+BC335+BC336+BC326</f>
        <v>1474611.46687773</v>
      </c>
      <c r="BD363" s="75" t="n">
        <f aca="false">BD349+BD335+BD336+BD326</f>
        <v>1514513.52474094</v>
      </c>
      <c r="BE363" s="75" t="n">
        <f aca="false">BE349+BE335+BE336+BE326</f>
        <v>1553344.73003155</v>
      </c>
      <c r="BF363" s="75" t="n">
        <f aca="false">BF349+BF335+BF336+BF326</f>
        <v>1592185.81032216</v>
      </c>
      <c r="BG363" s="75" t="n">
        <f aca="false">BG349+BG335+BG336+BG326</f>
        <v>1619466.80464966</v>
      </c>
      <c r="BH363" s="75" t="n">
        <f aca="false">BH349+BH335+BH336+BH326</f>
        <v>1647838.40154977</v>
      </c>
      <c r="BI363" s="75" t="n">
        <f aca="false">BI349+BI335+BI336+BI326</f>
        <v>1676219.87344988</v>
      </c>
      <c r="BJ363" s="75" t="n">
        <f aca="false">BJ349+BJ335+BJ336+BJ326</f>
        <v>1716181.18131309</v>
      </c>
    </row>
    <row r="364" customFormat="false" ht="15" hidden="false" customHeight="false" outlineLevel="0" collapsed="false">
      <c r="A364" s="6" t="s">
        <v>96</v>
      </c>
      <c r="C364" s="69" t="n">
        <f aca="false">C337+C332</f>
        <v>112056.994444444</v>
      </c>
      <c r="D364" s="69" t="n">
        <f aca="false">D337+D332</f>
        <v>111498.146527778</v>
      </c>
      <c r="E364" s="69" t="n">
        <f aca="false">E337+E332</f>
        <v>110939.298611111</v>
      </c>
      <c r="F364" s="69" t="n">
        <f aca="false">F337+F332</f>
        <v>110380.450694444</v>
      </c>
      <c r="G364" s="69" t="n">
        <f aca="false">G337+G332</f>
        <v>109821.602777778</v>
      </c>
      <c r="H364" s="69" t="n">
        <f aca="false">H337+H332</f>
        <v>110179.742361111</v>
      </c>
      <c r="I364" s="69" t="n">
        <f aca="false">I337+I332</f>
        <v>109691.431944444</v>
      </c>
      <c r="J364" s="69" t="n">
        <f aca="false">J337+J332</f>
        <v>109203.121527778</v>
      </c>
      <c r="K364" s="69" t="n">
        <f aca="false">K337+K332</f>
        <v>107586.211111111</v>
      </c>
      <c r="L364" s="69" t="n">
        <f aca="false">L337+L332</f>
        <v>105919.544444444</v>
      </c>
      <c r="M364" s="69" t="n">
        <f aca="false">M337+M332</f>
        <v>104252.877777778</v>
      </c>
      <c r="N364" s="69" t="n">
        <f aca="false">N337+N332</f>
        <v>103714.811111111</v>
      </c>
      <c r="O364" s="69" t="n">
        <f aca="false">O337+O332</f>
        <v>102735.382607778</v>
      </c>
      <c r="P364" s="69" t="n">
        <f aca="false">P337+P332</f>
        <v>101068.715941111</v>
      </c>
      <c r="Q364" s="69" t="n">
        <f aca="false">Q337+Q332</f>
        <v>99402.0492744444</v>
      </c>
      <c r="R364" s="69" t="n">
        <f aca="false">R337+R332</f>
        <v>97735.3826077777</v>
      </c>
      <c r="S364" s="69" t="n">
        <f aca="false">S337+S332</f>
        <v>96068.715941111</v>
      </c>
      <c r="T364" s="69" t="n">
        <f aca="false">T337+T332</f>
        <v>95616.7050244444</v>
      </c>
      <c r="U364" s="69" t="n">
        <f aca="false">U337+U332</f>
        <v>93950.0383577777</v>
      </c>
      <c r="V364" s="69" t="n">
        <f aca="false">V337+V332</f>
        <v>92283.371691111</v>
      </c>
      <c r="W364" s="69" t="n">
        <f aca="false">W337+W332</f>
        <v>89402.0492744444</v>
      </c>
      <c r="X364" s="69" t="n">
        <f aca="false">X337+X332</f>
        <v>87735.3826077777</v>
      </c>
      <c r="Y364" s="69" t="n">
        <f aca="false">Y337+Y332</f>
        <v>86068.715941111</v>
      </c>
      <c r="Z364" s="69" t="n">
        <f aca="false">Z337+Z332</f>
        <v>85616.7050244444</v>
      </c>
      <c r="AA364" s="69" t="n">
        <f aca="false">AA337+AA332</f>
        <v>84722.7086876905</v>
      </c>
      <c r="AB364" s="69" t="n">
        <f aca="false">AB337+AB332</f>
        <v>83056.0420210239</v>
      </c>
      <c r="AC364" s="69" t="n">
        <f aca="false">AC337+AC332</f>
        <v>81389.3753543572</v>
      </c>
      <c r="AD364" s="69" t="n">
        <f aca="false">AD337+AD332</f>
        <v>79722.7086876905</v>
      </c>
      <c r="AE364" s="69" t="n">
        <f aca="false">AE337+AE332</f>
        <v>78056.0420210239</v>
      </c>
      <c r="AF364" s="69" t="n">
        <f aca="false">AF337+AF332</f>
        <v>77696.6486052947</v>
      </c>
      <c r="AG364" s="69" t="n">
        <f aca="false">AG337+AG332</f>
        <v>76029.981938628</v>
      </c>
      <c r="AH364" s="69" t="n">
        <f aca="false">AH337+AH332</f>
        <v>74363.3152719614</v>
      </c>
      <c r="AI364" s="69" t="n">
        <f aca="false">AI337+AI332</f>
        <v>71389.3753543572</v>
      </c>
      <c r="AJ364" s="69" t="n">
        <f aca="false">AJ337+AJ332</f>
        <v>69722.7086876906</v>
      </c>
      <c r="AK364" s="69" t="n">
        <f aca="false">AK337+AK332</f>
        <v>68056.0420210239</v>
      </c>
      <c r="AL364" s="69" t="n">
        <f aca="false">AL337+AL332</f>
        <v>67696.6486052947</v>
      </c>
      <c r="AM364" s="69" t="n">
        <f aca="false">AM337+AM332</f>
        <v>66898.2786204014</v>
      </c>
      <c r="AN364" s="69" t="n">
        <f aca="false">AN337+AN332</f>
        <v>65231.6119537348</v>
      </c>
      <c r="AO364" s="69" t="n">
        <f aca="false">AO337+AO332</f>
        <v>63564.9452870681</v>
      </c>
      <c r="AP364" s="69" t="n">
        <f aca="false">AP337+AP332</f>
        <v>61898.2786204014</v>
      </c>
      <c r="AQ364" s="69" t="n">
        <f aca="false">AQ337+AQ332</f>
        <v>60231.6119537348</v>
      </c>
      <c r="AR364" s="69" t="n">
        <f aca="false">AR337+AR332</f>
        <v>59783.4581481513</v>
      </c>
      <c r="AS364" s="69" t="n">
        <f aca="false">AS337+AS332</f>
        <v>58116.7914814846</v>
      </c>
      <c r="AT364" s="69" t="n">
        <f aca="false">AT337+AT332</f>
        <v>56450.124814818</v>
      </c>
      <c r="AU364" s="69" t="n">
        <f aca="false">AU337+AU332</f>
        <v>53564.9452870681</v>
      </c>
      <c r="AV364" s="69" t="n">
        <f aca="false">AV337+AV332</f>
        <v>51898.2786204014</v>
      </c>
      <c r="AW364" s="69" t="n">
        <f aca="false">AW337+AW332</f>
        <v>50231.6119537348</v>
      </c>
      <c r="AX364" s="69" t="n">
        <f aca="false">AX337+AX332</f>
        <v>49783.4581481513</v>
      </c>
      <c r="AY364" s="69" t="n">
        <f aca="false">AY337+AY332</f>
        <v>49280.5104314414</v>
      </c>
      <c r="AZ364" s="69" t="n">
        <f aca="false">AZ337+AZ332</f>
        <v>47613.8437647747</v>
      </c>
      <c r="BA364" s="69" t="n">
        <f aca="false">BA337+BA332</f>
        <v>45947.1770981081</v>
      </c>
      <c r="BB364" s="69" t="n">
        <f aca="false">BB337+BB332</f>
        <v>44280.5104314414</v>
      </c>
      <c r="BC364" s="69" t="n">
        <f aca="false">BC337+BC332</f>
        <v>42613.8437647747</v>
      </c>
      <c r="BD364" s="69" t="n">
        <f aca="false">BD337+BD332</f>
        <v>42027.9046707082</v>
      </c>
      <c r="BE364" s="69" t="n">
        <f aca="false">BE337+BE332</f>
        <v>40361.2380040416</v>
      </c>
      <c r="BF364" s="69" t="n">
        <f aca="false">BF337+BF332</f>
        <v>38694.5713373749</v>
      </c>
      <c r="BG364" s="69" t="n">
        <f aca="false">BG337+BG332</f>
        <v>35947.1770981081</v>
      </c>
      <c r="BH364" s="69" t="n">
        <f aca="false">BH337+BH332</f>
        <v>34280.5104314414</v>
      </c>
      <c r="BI364" s="69" t="n">
        <f aca="false">BI337+BI332</f>
        <v>32613.8437647747</v>
      </c>
      <c r="BJ364" s="69" t="n">
        <f aca="false">BJ337+BJ332</f>
        <v>32027.9046707083</v>
      </c>
    </row>
    <row r="365" customFormat="false" ht="15" hidden="false" customHeight="false" outlineLevel="0" collapsed="false">
      <c r="A365" s="6" t="s">
        <v>99</v>
      </c>
      <c r="C365" s="69" t="n">
        <f aca="false">C361+C362</f>
        <v>316917.254266667</v>
      </c>
      <c r="D365" s="69" t="n">
        <f aca="false">D361+D362</f>
        <v>307366.613233333</v>
      </c>
      <c r="E365" s="69" t="n">
        <f aca="false">E361+E362</f>
        <v>301354.3269</v>
      </c>
      <c r="F365" s="69" t="n">
        <f aca="false">F361+F362</f>
        <v>298880.395266667</v>
      </c>
      <c r="G365" s="69" t="n">
        <f aca="false">G361+G362</f>
        <v>299944.818333333</v>
      </c>
      <c r="H365" s="69" t="n">
        <f aca="false">H361+H362</f>
        <v>315115.2935</v>
      </c>
      <c r="I365" s="69" t="n">
        <f aca="false">I361+I362</f>
        <v>333663.248301667</v>
      </c>
      <c r="J365" s="69" t="n">
        <f aca="false">J361+J362</f>
        <v>352522.905793333</v>
      </c>
      <c r="K365" s="69" t="n">
        <f aca="false">K361+K362</f>
        <v>364545.000868</v>
      </c>
      <c r="L365" s="69" t="n">
        <f aca="false">L361+L362</f>
        <v>376576.970942667</v>
      </c>
      <c r="M365" s="69" t="n">
        <f aca="false">M361+M362</f>
        <v>388618.816017333</v>
      </c>
      <c r="N365" s="69" t="n">
        <f aca="false">N361+N362</f>
        <v>410945.589564</v>
      </c>
      <c r="O365" s="69" t="n">
        <f aca="false">O361+O362</f>
        <v>426776.303424792</v>
      </c>
      <c r="P365" s="69" t="n">
        <f aca="false">P361+P362</f>
        <v>442616.892285584</v>
      </c>
      <c r="Q365" s="69" t="n">
        <f aca="false">Q361+Q362</f>
        <v>458467.356146376</v>
      </c>
      <c r="R365" s="69" t="n">
        <f aca="false">R361+R362</f>
        <v>474327.695007168</v>
      </c>
      <c r="S365" s="69" t="n">
        <f aca="false">S361+S362</f>
        <v>490197.90886796</v>
      </c>
      <c r="T365" s="69" t="n">
        <f aca="false">T361+T362</f>
        <v>517315.207246776</v>
      </c>
      <c r="U365" s="69" t="n">
        <f aca="false">U361+U362</f>
        <v>544442.380625592</v>
      </c>
      <c r="V365" s="69" t="n">
        <f aca="false">V361+V362</f>
        <v>571579.429004408</v>
      </c>
      <c r="W365" s="69" t="n">
        <f aca="false">W361+W362</f>
        <v>587489.1428652</v>
      </c>
      <c r="X365" s="69" t="n">
        <f aca="false">X361+X362</f>
        <v>603408.731725992</v>
      </c>
      <c r="Y365" s="69" t="n">
        <f aca="false">Y361+Y362</f>
        <v>619338.195586784</v>
      </c>
      <c r="Z365" s="69" t="n">
        <f aca="false">Z361+Z362</f>
        <v>646514.7439656</v>
      </c>
      <c r="AA365" s="69" t="n">
        <f aca="false">AA361+AA362</f>
        <v>666612.160926971</v>
      </c>
      <c r="AB365" s="69" t="n">
        <f aca="false">AB361+AB362</f>
        <v>686719.452888343</v>
      </c>
      <c r="AC365" s="69" t="n">
        <f aca="false">AC361+AC362</f>
        <v>706836.619849714</v>
      </c>
      <c r="AD365" s="69" t="n">
        <f aca="false">AD361+AD362</f>
        <v>726963.661811085</v>
      </c>
      <c r="AE365" s="69" t="n">
        <f aca="false">AE361+AE362</f>
        <v>747100.578772457</v>
      </c>
      <c r="AF365" s="69" t="n">
        <f aca="false">AF361+AF362</f>
        <v>779536.539552513</v>
      </c>
      <c r="AG365" s="69" t="n">
        <f aca="false">AG361+AG362</f>
        <v>811982.37533257</v>
      </c>
      <c r="AH365" s="69" t="n">
        <f aca="false">AH361+AH362</f>
        <v>844438.086112627</v>
      </c>
      <c r="AI365" s="69" t="n">
        <f aca="false">AI361+AI362</f>
        <v>864614.503073998</v>
      </c>
      <c r="AJ365" s="69" t="n">
        <f aca="false">AJ361+AJ362</f>
        <v>884800.79503537</v>
      </c>
      <c r="AK365" s="69" t="n">
        <f aca="false">AK361+AK362</f>
        <v>904996.961996741</v>
      </c>
      <c r="AL365" s="69" t="n">
        <f aca="false">AL361+AL362</f>
        <v>937492.172776798</v>
      </c>
      <c r="AM365" s="69" t="n">
        <f aca="false">AM361+AM362</f>
        <v>962279.739338848</v>
      </c>
      <c r="AN365" s="69" t="n">
        <f aca="false">AN361+AN362</f>
        <v>987077.180900898</v>
      </c>
      <c r="AO365" s="69" t="n">
        <f aca="false">AO361+AO362</f>
        <v>1011884.49746295</v>
      </c>
      <c r="AP365" s="69" t="n">
        <f aca="false">AP361+AP362</f>
        <v>1036701.689025</v>
      </c>
      <c r="AQ365" s="69" t="n">
        <f aca="false">AQ361+AQ362</f>
        <v>1061528.75558705</v>
      </c>
      <c r="AR365" s="69" t="n">
        <f aca="false">AR361+AR362</f>
        <v>1098004.99933852</v>
      </c>
      <c r="AS365" s="69" t="n">
        <f aca="false">AS361+AS362</f>
        <v>1134491.11808999</v>
      </c>
      <c r="AT365" s="69" t="n">
        <f aca="false">AT361+AT362</f>
        <v>1170987.11184146</v>
      </c>
      <c r="AU365" s="69" t="n">
        <f aca="false">AU361+AU362</f>
        <v>1195853.67840351</v>
      </c>
      <c r="AV365" s="69" t="n">
        <f aca="false">AV361+AV362</f>
        <v>1220730.11996556</v>
      </c>
      <c r="AW365" s="69" t="n">
        <f aca="false">AW361+AW362</f>
        <v>1245616.43652761</v>
      </c>
      <c r="AX365" s="69" t="n">
        <f aca="false">AX361+AX362</f>
        <v>1282151.93027908</v>
      </c>
      <c r="AY365" s="69" t="n">
        <f aca="false">AY361+AY362</f>
        <v>1312101.31884586</v>
      </c>
      <c r="AZ365" s="69" t="n">
        <f aca="false">AZ361+AZ362</f>
        <v>1342060.58241263</v>
      </c>
      <c r="BA365" s="69" t="n">
        <f aca="false">BA361+BA362</f>
        <v>1372029.72097941</v>
      </c>
      <c r="BB365" s="69" t="n">
        <f aca="false">BB361+BB362</f>
        <v>1402008.73454618</v>
      </c>
      <c r="BC365" s="69" t="n">
        <f aca="false">BC361+BC362</f>
        <v>1431997.62311296</v>
      </c>
      <c r="BD365" s="69" t="n">
        <f aca="false">BD361+BD362</f>
        <v>1472485.62007023</v>
      </c>
      <c r="BE365" s="69" t="n">
        <f aca="false">BE361+BE362</f>
        <v>1512983.49202751</v>
      </c>
      <c r="BF365" s="69" t="n">
        <f aca="false">BF361+BF362</f>
        <v>1553491.23898478</v>
      </c>
      <c r="BG365" s="69" t="n">
        <f aca="false">BG361+BG362</f>
        <v>1583519.62755156</v>
      </c>
      <c r="BH365" s="69" t="n">
        <f aca="false">BH361+BH362</f>
        <v>1613557.89111833</v>
      </c>
      <c r="BI365" s="69" t="n">
        <f aca="false">BI361+BI362</f>
        <v>1643606.02968511</v>
      </c>
      <c r="BJ365" s="69" t="n">
        <f aca="false">BJ361+BJ362</f>
        <v>1684153.27664238</v>
      </c>
    </row>
    <row r="366" customFormat="false" ht="15" hidden="false" customHeight="false" outlineLevel="0" collapsed="false">
      <c r="A366" s="4" t="s">
        <v>100</v>
      </c>
      <c r="C366" s="75" t="n">
        <f aca="false">C364+C365</f>
        <v>428974.248711111</v>
      </c>
      <c r="D366" s="75" t="n">
        <f aca="false">D364+D365</f>
        <v>418864.759761111</v>
      </c>
      <c r="E366" s="75" t="n">
        <f aca="false">E364+E365</f>
        <v>412293.625511111</v>
      </c>
      <c r="F366" s="75" t="n">
        <f aca="false">F364+F365</f>
        <v>409260.845961111</v>
      </c>
      <c r="G366" s="75" t="n">
        <f aca="false">G364+G365</f>
        <v>409766.421111111</v>
      </c>
      <c r="H366" s="75" t="n">
        <f aca="false">H364+H365</f>
        <v>425295.035861111</v>
      </c>
      <c r="I366" s="75" t="n">
        <f aca="false">I364+I365</f>
        <v>443354.680246111</v>
      </c>
      <c r="J366" s="75" t="n">
        <f aca="false">J364+J365</f>
        <v>461726.027321111</v>
      </c>
      <c r="K366" s="75" t="n">
        <f aca="false">K364+K365</f>
        <v>472131.211979111</v>
      </c>
      <c r="L366" s="75" t="n">
        <f aca="false">L364+L365</f>
        <v>482496.515387111</v>
      </c>
      <c r="M366" s="75" t="n">
        <f aca="false">M364+M365</f>
        <v>492871.693795111</v>
      </c>
      <c r="N366" s="75" t="n">
        <f aca="false">N364+N365</f>
        <v>514660.400675111</v>
      </c>
      <c r="O366" s="75" t="n">
        <f aca="false">O364+O365</f>
        <v>529511.68603257</v>
      </c>
      <c r="P366" s="75" t="n">
        <f aca="false">P364+P365</f>
        <v>543685.608226695</v>
      </c>
      <c r="Q366" s="75" t="n">
        <f aca="false">Q364+Q365</f>
        <v>557869.40542082</v>
      </c>
      <c r="R366" s="75" t="n">
        <f aca="false">R364+R365</f>
        <v>572063.077614946</v>
      </c>
      <c r="S366" s="75" t="n">
        <f aca="false">S364+S365</f>
        <v>586266.624809071</v>
      </c>
      <c r="T366" s="75" t="n">
        <f aca="false">T364+T365</f>
        <v>612931.91227122</v>
      </c>
      <c r="U366" s="75" t="n">
        <f aca="false">U364+U365</f>
        <v>638392.41898337</v>
      </c>
      <c r="V366" s="75" t="n">
        <f aca="false">V364+V365</f>
        <v>663862.800695519</v>
      </c>
      <c r="W366" s="75" t="n">
        <f aca="false">W364+W365</f>
        <v>676891.192139644</v>
      </c>
      <c r="X366" s="75" t="n">
        <f aca="false">X364+X365</f>
        <v>691144.11433377</v>
      </c>
      <c r="Y366" s="75" t="n">
        <f aca="false">Y364+Y365</f>
        <v>705406.911527895</v>
      </c>
      <c r="Z366" s="75" t="n">
        <f aca="false">Z364+Z365</f>
        <v>732131.448990044</v>
      </c>
      <c r="AA366" s="75" t="n">
        <f aca="false">AA364+AA365</f>
        <v>751334.869614662</v>
      </c>
      <c r="AB366" s="75" t="n">
        <f aca="false">AB364+AB365</f>
        <v>769775.494909366</v>
      </c>
      <c r="AC366" s="75" t="n">
        <f aca="false">AC364+AC365</f>
        <v>788225.995204071</v>
      </c>
      <c r="AD366" s="75" t="n">
        <f aca="false">AD364+AD365</f>
        <v>806686.370498776</v>
      </c>
      <c r="AE366" s="75" t="n">
        <f aca="false">AE364+AE365</f>
        <v>825156.62079348</v>
      </c>
      <c r="AF366" s="75" t="n">
        <f aca="false">AF364+AF365</f>
        <v>857233.188157808</v>
      </c>
      <c r="AG366" s="75" t="n">
        <f aca="false">AG364+AG365</f>
        <v>888012.357271198</v>
      </c>
      <c r="AH366" s="75" t="n">
        <f aca="false">AH364+AH365</f>
        <v>918801.401384588</v>
      </c>
      <c r="AI366" s="75" t="n">
        <f aca="false">AI364+AI365</f>
        <v>936003.878428355</v>
      </c>
      <c r="AJ366" s="75" t="n">
        <f aca="false">AJ364+AJ365</f>
        <v>954523.50372306</v>
      </c>
      <c r="AK366" s="75" t="n">
        <f aca="false">AK364+AK365</f>
        <v>973053.004017765</v>
      </c>
      <c r="AL366" s="75" t="n">
        <f aca="false">AL364+AL365</f>
        <v>1005188.82138209</v>
      </c>
      <c r="AM366" s="75" t="n">
        <f aca="false">AM364+AM365</f>
        <v>1029178.01795925</v>
      </c>
      <c r="AN366" s="75" t="n">
        <f aca="false">AN364+AN365</f>
        <v>1052308.79285463</v>
      </c>
      <c r="AO366" s="75" t="n">
        <f aca="false">AO364+AO365</f>
        <v>1075449.44275002</v>
      </c>
      <c r="AP366" s="75" t="n">
        <f aca="false">AP364+AP365</f>
        <v>1098599.9676454</v>
      </c>
      <c r="AQ366" s="75" t="n">
        <f aca="false">AQ364+AQ365</f>
        <v>1121760.36754078</v>
      </c>
      <c r="AR366" s="75" t="n">
        <f aca="false">AR364+AR365</f>
        <v>1157788.45748667</v>
      </c>
      <c r="AS366" s="75" t="n">
        <f aca="false">AS364+AS365</f>
        <v>1192607.90957148</v>
      </c>
      <c r="AT366" s="75" t="n">
        <f aca="false">AT364+AT365</f>
        <v>1227437.23665628</v>
      </c>
      <c r="AU366" s="75" t="n">
        <f aca="false">AU364+AU365</f>
        <v>1249418.62369058</v>
      </c>
      <c r="AV366" s="75" t="n">
        <f aca="false">AV364+AV365</f>
        <v>1272628.39858596</v>
      </c>
      <c r="AW366" s="75" t="n">
        <f aca="false">AW364+AW365</f>
        <v>1295848.04848135</v>
      </c>
      <c r="AX366" s="75" t="n">
        <f aca="false">AX364+AX365</f>
        <v>1331935.38842723</v>
      </c>
      <c r="AY366" s="75" t="n">
        <f aca="false">AY364+AY365</f>
        <v>1361381.8292773</v>
      </c>
      <c r="AZ366" s="75" t="n">
        <f aca="false">AZ364+AZ365</f>
        <v>1389674.42617741</v>
      </c>
      <c r="BA366" s="75" t="n">
        <f aca="false">BA364+BA365</f>
        <v>1417976.89807751</v>
      </c>
      <c r="BB366" s="75" t="n">
        <f aca="false">BB364+BB365</f>
        <v>1446289.24497762</v>
      </c>
      <c r="BC366" s="75" t="n">
        <f aca="false">BC364+BC365</f>
        <v>1474611.46687773</v>
      </c>
      <c r="BD366" s="75" t="n">
        <f aca="false">BD364+BD365</f>
        <v>1514513.52474094</v>
      </c>
      <c r="BE366" s="75" t="n">
        <f aca="false">BE364+BE365</f>
        <v>1553344.73003155</v>
      </c>
      <c r="BF366" s="75" t="n">
        <f aca="false">BF364+BF365</f>
        <v>1592185.81032216</v>
      </c>
      <c r="BG366" s="75" t="n">
        <f aca="false">BG364+BG365</f>
        <v>1619466.80464967</v>
      </c>
      <c r="BH366" s="75" t="n">
        <f aca="false">BH364+BH365</f>
        <v>1647838.40154977</v>
      </c>
      <c r="BI366" s="75" t="n">
        <f aca="false">BI364+BI365</f>
        <v>1676219.87344988</v>
      </c>
      <c r="BJ366" s="75" t="n">
        <f aca="false">BJ364+BJ365</f>
        <v>1716181.18131309</v>
      </c>
    </row>
    <row r="367" customFormat="false" ht="15" hidden="false" customHeight="false" outlineLevel="0" collapsed="false">
      <c r="A367" s="6" t="s">
        <v>456</v>
      </c>
      <c r="C367" s="69" t="n">
        <f aca="false">C363-C366</f>
        <v>0</v>
      </c>
      <c r="D367" s="69" t="n">
        <f aca="false">D363-D366</f>
        <v>0</v>
      </c>
      <c r="E367" s="69" t="n">
        <f aca="false">E363-E366</f>
        <v>0</v>
      </c>
      <c r="F367" s="69" t="n">
        <f aca="false">F363-F366</f>
        <v>0</v>
      </c>
      <c r="G367" s="69" t="n">
        <f aca="false">G363-G366</f>
        <v>0</v>
      </c>
      <c r="H367" s="69" t="n">
        <f aca="false">H363-H366</f>
        <v>0</v>
      </c>
      <c r="I367" s="69" t="n">
        <f aca="false">I363-I366</f>
        <v>0</v>
      </c>
      <c r="J367" s="69" t="n">
        <f aca="false">J363-J366</f>
        <v>0</v>
      </c>
      <c r="K367" s="69" t="n">
        <f aca="false">K363-K366</f>
        <v>0</v>
      </c>
      <c r="L367" s="69" t="n">
        <f aca="false">L363-L366</f>
        <v>0</v>
      </c>
      <c r="M367" s="69" t="n">
        <f aca="false">M363-M366</f>
        <v>0</v>
      </c>
      <c r="N367" s="69" t="n">
        <f aca="false">N363-N366</f>
        <v>0</v>
      </c>
      <c r="O367" s="69" t="n">
        <f aca="false">O363-O366</f>
        <v>0</v>
      </c>
      <c r="P367" s="69" t="n">
        <f aca="false">P363-P366</f>
        <v>0</v>
      </c>
      <c r="Q367" s="69" t="n">
        <f aca="false">Q363-Q366</f>
        <v>0</v>
      </c>
      <c r="R367" s="69" t="n">
        <f aca="false">R363-R366</f>
        <v>0</v>
      </c>
      <c r="S367" s="69" t="n">
        <f aca="false">S363-S366</f>
        <v>0</v>
      </c>
      <c r="T367" s="69" t="n">
        <f aca="false">T363-T366</f>
        <v>0</v>
      </c>
      <c r="U367" s="69" t="n">
        <f aca="false">U363-U366</f>
        <v>0</v>
      </c>
      <c r="V367" s="69" t="n">
        <f aca="false">V363-V366</f>
        <v>0</v>
      </c>
      <c r="W367" s="69" t="n">
        <f aca="false">W363-W366</f>
        <v>0</v>
      </c>
      <c r="X367" s="69" t="n">
        <f aca="false">X363-X366</f>
        <v>0</v>
      </c>
      <c r="Y367" s="69" t="n">
        <f aca="false">Y363-Y366</f>
        <v>0</v>
      </c>
      <c r="Z367" s="69" t="n">
        <f aca="false">Z363-Z366</f>
        <v>0</v>
      </c>
      <c r="AA367" s="69" t="n">
        <f aca="false">AA363-AA366</f>
        <v>0</v>
      </c>
      <c r="AB367" s="69" t="n">
        <f aca="false">AB363-AB366</f>
        <v>0</v>
      </c>
      <c r="AC367" s="69" t="n">
        <f aca="false">AC363-AC366</f>
        <v>0</v>
      </c>
      <c r="AD367" s="69" t="n">
        <f aca="false">AD363-AD366</f>
        <v>0</v>
      </c>
      <c r="AE367" s="69" t="n">
        <f aca="false">AE363-AE366</f>
        <v>0</v>
      </c>
      <c r="AF367" s="69" t="n">
        <f aca="false">AF363-AF366</f>
        <v>0</v>
      </c>
      <c r="AG367" s="69" t="n">
        <f aca="false">AG363-AG366</f>
        <v>0</v>
      </c>
      <c r="AH367" s="69" t="n">
        <f aca="false">AH363-AH366</f>
        <v>0</v>
      </c>
      <c r="AI367" s="69" t="n">
        <f aca="false">AI363-AI366</f>
        <v>0</v>
      </c>
      <c r="AJ367" s="69" t="n">
        <f aca="false">AJ363-AJ366</f>
        <v>0</v>
      </c>
      <c r="AK367" s="69" t="n">
        <f aca="false">AK363-AK366</f>
        <v>0</v>
      </c>
      <c r="AL367" s="69" t="n">
        <f aca="false">AL363-AL366</f>
        <v>0</v>
      </c>
      <c r="AM367" s="69" t="n">
        <f aca="false">AM363-AM366</f>
        <v>0</v>
      </c>
      <c r="AN367" s="69" t="n">
        <f aca="false">AN363-AN366</f>
        <v>0</v>
      </c>
      <c r="AO367" s="69" t="n">
        <f aca="false">AO363-AO366</f>
        <v>0</v>
      </c>
      <c r="AP367" s="69" t="n">
        <f aca="false">AP363-AP366</f>
        <v>0</v>
      </c>
      <c r="AQ367" s="69" t="n">
        <f aca="false">AQ363-AQ366</f>
        <v>0</v>
      </c>
      <c r="AR367" s="69" t="n">
        <f aca="false">AR363-AR366</f>
        <v>0</v>
      </c>
      <c r="AS367" s="69" t="n">
        <f aca="false">AS363-AS366</f>
        <v>0</v>
      </c>
      <c r="AT367" s="69" t="n">
        <f aca="false">AT363-AT366</f>
        <v>0</v>
      </c>
      <c r="AU367" s="69" t="n">
        <f aca="false">AU363-AU366</f>
        <v>0</v>
      </c>
      <c r="AV367" s="69" t="n">
        <f aca="false">AV363-AV366</f>
        <v>0</v>
      </c>
      <c r="AW367" s="69" t="n">
        <f aca="false">AW363-AW366</f>
        <v>0</v>
      </c>
      <c r="AX367" s="69" t="n">
        <f aca="false">AX363-AX366</f>
        <v>0</v>
      </c>
      <c r="AY367" s="69" t="n">
        <f aca="false">AY363-AY366</f>
        <v>0</v>
      </c>
      <c r="AZ367" s="69" t="n">
        <f aca="false">AZ363-AZ366</f>
        <v>0</v>
      </c>
      <c r="BA367" s="69" t="n">
        <f aca="false">BA363-BA366</f>
        <v>0</v>
      </c>
      <c r="BB367" s="69" t="n">
        <f aca="false">BB363-BB366</f>
        <v>0</v>
      </c>
      <c r="BC367" s="69" t="n">
        <f aca="false">BC363-BC366</f>
        <v>0</v>
      </c>
      <c r="BD367" s="69" t="n">
        <f aca="false">BD363-BD366</f>
        <v>0</v>
      </c>
      <c r="BE367" s="69" t="n">
        <f aca="false">BE363-BE366</f>
        <v>0</v>
      </c>
      <c r="BF367" s="69" t="n">
        <f aca="false">BF363-BF366</f>
        <v>0</v>
      </c>
      <c r="BG367" s="69" t="n">
        <f aca="false">BG363-BG366</f>
        <v>0</v>
      </c>
      <c r="BH367" s="69" t="n">
        <f aca="false">BH363-BH366</f>
        <v>0</v>
      </c>
      <c r="BI367" s="69" t="n">
        <f aca="false">BI363-BI366</f>
        <v>0</v>
      </c>
      <c r="BJ367" s="69" t="n">
        <f aca="false">BJ363-BJ366</f>
        <v>0</v>
      </c>
    </row>
    <row r="369" customFormat="false" ht="15.75" hidden="false" customHeight="true" outlineLevel="0" collapsed="false">
      <c r="A369" s="7" t="s">
        <v>458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customFormat="false" ht="15" hidden="false" customHeight="false" outlineLevel="0" collapsed="false">
      <c r="A370" s="6" t="s">
        <v>459</v>
      </c>
      <c r="C370" s="119" t="n">
        <f aca="false">Inputs!$D$55*(1+Inputs!$D$57)^(C$259-1)*MAX(0,MIN(1,C$258*1-Inputs!$D$58+1))/1</f>
        <v>4</v>
      </c>
      <c r="D370" s="119" t="n">
        <f aca="false">Inputs!$D$55*(1+Inputs!$D$57)^(D$259-1)*MAX(0,MIN(1,D$258*1-Inputs!$D$58+1))/1</f>
        <v>4</v>
      </c>
      <c r="E370" s="119" t="n">
        <f aca="false">Inputs!$D$55*(1+Inputs!$D$57)^(E$259-1)*MAX(0,MIN(1,E$258*1-Inputs!$D$58+1))/1</f>
        <v>4</v>
      </c>
      <c r="F370" s="119" t="n">
        <f aca="false">Inputs!$D$55*(1+Inputs!$D$57)^(F$259-1)*MAX(0,MIN(1,F$258*1-Inputs!$D$58+1))/1</f>
        <v>4</v>
      </c>
      <c r="G370" s="119" t="n">
        <f aca="false">Inputs!$D$55*(1+Inputs!$D$57)^(G$259-1)*MAX(0,MIN(1,G$258*1-Inputs!$D$58+1))/1</f>
        <v>4</v>
      </c>
      <c r="H370" s="119" t="n">
        <f aca="false">Inputs!$D$55*(1+Inputs!$D$57)^(H$259-1)*MAX(0,MIN(1,H$258*1-Inputs!$D$58+1))/1</f>
        <v>4</v>
      </c>
      <c r="I370" s="119" t="n">
        <f aca="false">Inputs!$D$55*(1+Inputs!$D$57)^(I$259-1)*MAX(0,MIN(1,I$258*1-Inputs!$D$58+1))/1</f>
        <v>4</v>
      </c>
      <c r="J370" s="119" t="n">
        <f aca="false">Inputs!$D$55*(1+Inputs!$D$57)^(J$259-1)*MAX(0,MIN(1,J$258*1-Inputs!$D$58+1))/1</f>
        <v>4</v>
      </c>
      <c r="K370" s="119" t="n">
        <f aca="false">Inputs!$D$55*(1+Inputs!$D$57)^(K$259-1)*MAX(0,MIN(1,K$258*1-Inputs!$D$58+1))/1</f>
        <v>4</v>
      </c>
      <c r="L370" s="119" t="n">
        <f aca="false">Inputs!$D$55*(1+Inputs!$D$57)^(L$259-1)*MAX(0,MIN(1,L$258*1-Inputs!$D$58+1))/1</f>
        <v>4</v>
      </c>
      <c r="M370" s="119" t="n">
        <f aca="false">Inputs!$D$55*(1+Inputs!$D$57)^(M$259-1)*MAX(0,MIN(1,M$258*1-Inputs!$D$58+1))/1</f>
        <v>4</v>
      </c>
      <c r="N370" s="119" t="n">
        <f aca="false">Inputs!$D$55*(1+Inputs!$D$57)^(N$259-1)*MAX(0,MIN(1,N$258*1-Inputs!$D$58+1))/1</f>
        <v>4</v>
      </c>
      <c r="O370" s="119" t="n">
        <f aca="false">Inputs!$D$55*(1+Inputs!$D$57)^(O$259-1)*MAX(0,MIN(1,O$258*1-Inputs!$D$58+1))/1</f>
        <v>4</v>
      </c>
      <c r="P370" s="119" t="n">
        <f aca="false">Inputs!$D$55*(1+Inputs!$D$57)^(P$259-1)*MAX(0,MIN(1,P$258*1-Inputs!$D$58+1))/1</f>
        <v>4</v>
      </c>
      <c r="Q370" s="119" t="n">
        <f aca="false">Inputs!$D$55*(1+Inputs!$D$57)^(Q$259-1)*MAX(0,MIN(1,Q$258*1-Inputs!$D$58+1))/1</f>
        <v>4</v>
      </c>
      <c r="R370" s="119" t="n">
        <f aca="false">Inputs!$D$55*(1+Inputs!$D$57)^(R$259-1)*MAX(0,MIN(1,R$258*1-Inputs!$D$58+1))/1</f>
        <v>4</v>
      </c>
      <c r="S370" s="119" t="n">
        <f aca="false">Inputs!$D$55*(1+Inputs!$D$57)^(S$259-1)*MAX(0,MIN(1,S$258*1-Inputs!$D$58+1))/1</f>
        <v>4</v>
      </c>
      <c r="T370" s="119" t="n">
        <f aca="false">Inputs!$D$55*(1+Inputs!$D$57)^(T$259-1)*MAX(0,MIN(1,T$258*1-Inputs!$D$58+1))/1</f>
        <v>4</v>
      </c>
      <c r="U370" s="119" t="n">
        <f aca="false">Inputs!$D$55*(1+Inputs!$D$57)^(U$259-1)*MAX(0,MIN(1,U$258*1-Inputs!$D$58+1))/1</f>
        <v>4</v>
      </c>
      <c r="V370" s="119" t="n">
        <f aca="false">Inputs!$D$55*(1+Inputs!$D$57)^(V$259-1)*MAX(0,MIN(1,V$258*1-Inputs!$D$58+1))/1</f>
        <v>4</v>
      </c>
      <c r="W370" s="119" t="n">
        <f aca="false">Inputs!$D$55*(1+Inputs!$D$57)^(W$259-1)*MAX(0,MIN(1,W$258*1-Inputs!$D$58+1))/1</f>
        <v>4</v>
      </c>
      <c r="X370" s="119" t="n">
        <f aca="false">Inputs!$D$55*(1+Inputs!$D$57)^(X$259-1)*MAX(0,MIN(1,X$258*1-Inputs!$D$58+1))/1</f>
        <v>4</v>
      </c>
      <c r="Y370" s="119" t="n">
        <f aca="false">Inputs!$D$55*(1+Inputs!$D$57)^(Y$259-1)*MAX(0,MIN(1,Y$258*1-Inputs!$D$58+1))/1</f>
        <v>4</v>
      </c>
      <c r="Z370" s="119" t="n">
        <f aca="false">Inputs!$D$55*(1+Inputs!$D$57)^(Z$259-1)*MAX(0,MIN(1,Z$258*1-Inputs!$D$58+1))/1</f>
        <v>4</v>
      </c>
      <c r="AA370" s="119" t="n">
        <f aca="false">Inputs!$D$55*(1+Inputs!$D$57)^(AA$259-1)*MAX(0,MIN(1,AA$258*1-Inputs!$D$58+1))/1</f>
        <v>4</v>
      </c>
      <c r="AB370" s="119" t="n">
        <f aca="false">Inputs!$D$55*(1+Inputs!$D$57)^(AB$259-1)*MAX(0,MIN(1,AB$258*1-Inputs!$D$58+1))/1</f>
        <v>4</v>
      </c>
      <c r="AC370" s="119" t="n">
        <f aca="false">Inputs!$D$55*(1+Inputs!$D$57)^(AC$259-1)*MAX(0,MIN(1,AC$258*1-Inputs!$D$58+1))/1</f>
        <v>4</v>
      </c>
      <c r="AD370" s="119" t="n">
        <f aca="false">Inputs!$D$55*(1+Inputs!$D$57)^(AD$259-1)*MAX(0,MIN(1,AD$258*1-Inputs!$D$58+1))/1</f>
        <v>4</v>
      </c>
      <c r="AE370" s="119" t="n">
        <f aca="false">Inputs!$D$55*(1+Inputs!$D$57)^(AE$259-1)*MAX(0,MIN(1,AE$258*1-Inputs!$D$58+1))/1</f>
        <v>4</v>
      </c>
      <c r="AF370" s="119" t="n">
        <f aca="false">Inputs!$D$55*(1+Inputs!$D$57)^(AF$259-1)*MAX(0,MIN(1,AF$258*1-Inputs!$D$58+1))/1</f>
        <v>4</v>
      </c>
      <c r="AG370" s="119" t="n">
        <f aca="false">Inputs!$D$55*(1+Inputs!$D$57)^(AG$259-1)*MAX(0,MIN(1,AG$258*1-Inputs!$D$58+1))/1</f>
        <v>4</v>
      </c>
      <c r="AH370" s="119" t="n">
        <f aca="false">Inputs!$D$55*(1+Inputs!$D$57)^(AH$259-1)*MAX(0,MIN(1,AH$258*1-Inputs!$D$58+1))/1</f>
        <v>4</v>
      </c>
      <c r="AI370" s="119" t="n">
        <f aca="false">Inputs!$D$55*(1+Inputs!$D$57)^(AI$259-1)*MAX(0,MIN(1,AI$258*1-Inputs!$D$58+1))/1</f>
        <v>4</v>
      </c>
      <c r="AJ370" s="119" t="n">
        <f aca="false">Inputs!$D$55*(1+Inputs!$D$57)^(AJ$259-1)*MAX(0,MIN(1,AJ$258*1-Inputs!$D$58+1))/1</f>
        <v>4</v>
      </c>
      <c r="AK370" s="119" t="n">
        <f aca="false">Inputs!$D$55*(1+Inputs!$D$57)^(AK$259-1)*MAX(0,MIN(1,AK$258*1-Inputs!$D$58+1))/1</f>
        <v>4</v>
      </c>
      <c r="AL370" s="119" t="n">
        <f aca="false">Inputs!$D$55*(1+Inputs!$D$57)^(AL$259-1)*MAX(0,MIN(1,AL$258*1-Inputs!$D$58+1))/1</f>
        <v>4</v>
      </c>
      <c r="AM370" s="119" t="n">
        <f aca="false">Inputs!$D$55*(1+Inputs!$D$57)^(AM$259-1)*MAX(0,MIN(1,AM$258*1-Inputs!$D$58+1))/1</f>
        <v>4</v>
      </c>
      <c r="AN370" s="119" t="n">
        <f aca="false">Inputs!$D$55*(1+Inputs!$D$57)^(AN$259-1)*MAX(0,MIN(1,AN$258*1-Inputs!$D$58+1))/1</f>
        <v>4</v>
      </c>
      <c r="AO370" s="119" t="n">
        <f aca="false">Inputs!$D$55*(1+Inputs!$D$57)^(AO$259-1)*MAX(0,MIN(1,AO$258*1-Inputs!$D$58+1))/1</f>
        <v>4</v>
      </c>
      <c r="AP370" s="119" t="n">
        <f aca="false">Inputs!$D$55*(1+Inputs!$D$57)^(AP$259-1)*MAX(0,MIN(1,AP$258*1-Inputs!$D$58+1))/1</f>
        <v>4</v>
      </c>
      <c r="AQ370" s="119" t="n">
        <f aca="false">Inputs!$D$55*(1+Inputs!$D$57)^(AQ$259-1)*MAX(0,MIN(1,AQ$258*1-Inputs!$D$58+1))/1</f>
        <v>4</v>
      </c>
      <c r="AR370" s="119" t="n">
        <f aca="false">Inputs!$D$55*(1+Inputs!$D$57)^(AR$259-1)*MAX(0,MIN(1,AR$258*1-Inputs!$D$58+1))/1</f>
        <v>4</v>
      </c>
      <c r="AS370" s="119" t="n">
        <f aca="false">Inputs!$D$55*(1+Inputs!$D$57)^(AS$259-1)*MAX(0,MIN(1,AS$258*1-Inputs!$D$58+1))/1</f>
        <v>4</v>
      </c>
      <c r="AT370" s="119" t="n">
        <f aca="false">Inputs!$D$55*(1+Inputs!$D$57)^(AT$259-1)*MAX(0,MIN(1,AT$258*1-Inputs!$D$58+1))/1</f>
        <v>4</v>
      </c>
      <c r="AU370" s="119" t="n">
        <f aca="false">Inputs!$D$55*(1+Inputs!$D$57)^(AU$259-1)*MAX(0,MIN(1,AU$258*1-Inputs!$D$58+1))/1</f>
        <v>4</v>
      </c>
      <c r="AV370" s="119" t="n">
        <f aca="false">Inputs!$D$55*(1+Inputs!$D$57)^(AV$259-1)*MAX(0,MIN(1,AV$258*1-Inputs!$D$58+1))/1</f>
        <v>4</v>
      </c>
      <c r="AW370" s="119" t="n">
        <f aca="false">Inputs!$D$55*(1+Inputs!$D$57)^(AW$259-1)*MAX(0,MIN(1,AW$258*1-Inputs!$D$58+1))/1</f>
        <v>4</v>
      </c>
      <c r="AX370" s="119" t="n">
        <f aca="false">Inputs!$D$55*(1+Inputs!$D$57)^(AX$259-1)*MAX(0,MIN(1,AX$258*1-Inputs!$D$58+1))/1</f>
        <v>4</v>
      </c>
      <c r="AY370" s="119" t="n">
        <f aca="false">Inputs!$D$55*(1+Inputs!$D$57)^(AY$259-1)*MAX(0,MIN(1,AY$258*1-Inputs!$D$58+1))/1</f>
        <v>4</v>
      </c>
      <c r="AZ370" s="119" t="n">
        <f aca="false">Inputs!$D$55*(1+Inputs!$D$57)^(AZ$259-1)*MAX(0,MIN(1,AZ$258*1-Inputs!$D$58+1))/1</f>
        <v>4</v>
      </c>
      <c r="BA370" s="119" t="n">
        <f aca="false">Inputs!$D$55*(1+Inputs!$D$57)^(BA$259-1)*MAX(0,MIN(1,BA$258*1-Inputs!$D$58+1))/1</f>
        <v>4</v>
      </c>
      <c r="BB370" s="119" t="n">
        <f aca="false">Inputs!$D$55*(1+Inputs!$D$57)^(BB$259-1)*MAX(0,MIN(1,BB$258*1-Inputs!$D$58+1))/1</f>
        <v>4</v>
      </c>
      <c r="BC370" s="119" t="n">
        <f aca="false">Inputs!$D$55*(1+Inputs!$D$57)^(BC$259-1)*MAX(0,MIN(1,BC$258*1-Inputs!$D$58+1))/1</f>
        <v>4</v>
      </c>
      <c r="BD370" s="119" t="n">
        <f aca="false">Inputs!$D$55*(1+Inputs!$D$57)^(BD$259-1)*MAX(0,MIN(1,BD$258*1-Inputs!$D$58+1))/1</f>
        <v>4</v>
      </c>
      <c r="BE370" s="119" t="n">
        <f aca="false">Inputs!$D$55*(1+Inputs!$D$57)^(BE$259-1)*MAX(0,MIN(1,BE$258*1-Inputs!$D$58+1))/1</f>
        <v>4</v>
      </c>
      <c r="BF370" s="119" t="n">
        <f aca="false">Inputs!$D$55*(1+Inputs!$D$57)^(BF$259-1)*MAX(0,MIN(1,BF$258*1-Inputs!$D$58+1))/1</f>
        <v>4</v>
      </c>
      <c r="BG370" s="119" t="n">
        <f aca="false">Inputs!$D$55*(1+Inputs!$D$57)^(BG$259-1)*MAX(0,MIN(1,BG$258*1-Inputs!$D$58+1))/1</f>
        <v>4</v>
      </c>
      <c r="BH370" s="119" t="n">
        <f aca="false">Inputs!$D$55*(1+Inputs!$D$57)^(BH$259-1)*MAX(0,MIN(1,BH$258*1-Inputs!$D$58+1))/1</f>
        <v>4</v>
      </c>
      <c r="BI370" s="119" t="n">
        <f aca="false">Inputs!$D$55*(1+Inputs!$D$57)^(BI$259-1)*MAX(0,MIN(1,BI$258*1-Inputs!$D$58+1))/1</f>
        <v>4</v>
      </c>
      <c r="BJ370" s="119" t="n">
        <f aca="false">Inputs!$D$55*(1+Inputs!$D$57)^(BJ$259-1)*MAX(0,MIN(1,BJ$258*1-Inputs!$D$58+1))/1</f>
        <v>4</v>
      </c>
    </row>
    <row r="371" customFormat="false" ht="15" hidden="false" customHeight="false" outlineLevel="0" collapsed="false">
      <c r="A371" s="6" t="s">
        <v>460</v>
      </c>
      <c r="C371" s="119" t="n">
        <f aca="false">Inputs!$D$59*(1+Inputs!$D$61)^(C$259-1)*MAX(0,MIN(1,C$258*1-Inputs!$D$62+1))/1</f>
        <v>3</v>
      </c>
      <c r="D371" s="119" t="n">
        <f aca="false">Inputs!$D$59*(1+Inputs!$D$61)^(D$259-1)*MAX(0,MIN(1,D$258*1-Inputs!$D$62+1))/1</f>
        <v>3</v>
      </c>
      <c r="E371" s="119" t="n">
        <f aca="false">Inputs!$D$59*(1+Inputs!$D$61)^(E$259-1)*MAX(0,MIN(1,E$258*1-Inputs!$D$62+1))/1</f>
        <v>3</v>
      </c>
      <c r="F371" s="119" t="n">
        <f aca="false">Inputs!$D$59*(1+Inputs!$D$61)^(F$259-1)*MAX(0,MIN(1,F$258*1-Inputs!$D$62+1))/1</f>
        <v>3</v>
      </c>
      <c r="G371" s="119" t="n">
        <f aca="false">Inputs!$D$59*(1+Inputs!$D$61)^(G$259-1)*MAX(0,MIN(1,G$258*1-Inputs!$D$62+1))/1</f>
        <v>3</v>
      </c>
      <c r="H371" s="119" t="n">
        <f aca="false">Inputs!$D$59*(1+Inputs!$D$61)^(H$259-1)*MAX(0,MIN(1,H$258*1-Inputs!$D$62+1))/1</f>
        <v>3</v>
      </c>
      <c r="I371" s="119" t="n">
        <f aca="false">Inputs!$D$59*(1+Inputs!$D$61)^(I$259-1)*MAX(0,MIN(1,I$258*1-Inputs!$D$62+1))/1</f>
        <v>3</v>
      </c>
      <c r="J371" s="119" t="n">
        <f aca="false">Inputs!$D$59*(1+Inputs!$D$61)^(J$259-1)*MAX(0,MIN(1,J$258*1-Inputs!$D$62+1))/1</f>
        <v>3</v>
      </c>
      <c r="K371" s="119" t="n">
        <f aca="false">Inputs!$D$59*(1+Inputs!$D$61)^(K$259-1)*MAX(0,MIN(1,K$258*1-Inputs!$D$62+1))/1</f>
        <v>3</v>
      </c>
      <c r="L371" s="119" t="n">
        <f aca="false">Inputs!$D$59*(1+Inputs!$D$61)^(L$259-1)*MAX(0,MIN(1,L$258*1-Inputs!$D$62+1))/1</f>
        <v>3</v>
      </c>
      <c r="M371" s="119" t="n">
        <f aca="false">Inputs!$D$59*(1+Inputs!$D$61)^(M$259-1)*MAX(0,MIN(1,M$258*1-Inputs!$D$62+1))/1</f>
        <v>3</v>
      </c>
      <c r="N371" s="119" t="n">
        <f aca="false">Inputs!$D$59*(1+Inputs!$D$61)^(N$259-1)*MAX(0,MIN(1,N$258*1-Inputs!$D$62+1))/1</f>
        <v>3</v>
      </c>
      <c r="O371" s="119" t="n">
        <f aca="false">Inputs!$D$59*(1+Inputs!$D$61)^(O$259-1)*MAX(0,MIN(1,O$258*1-Inputs!$D$62+1))/1</f>
        <v>3</v>
      </c>
      <c r="P371" s="119" t="n">
        <f aca="false">Inputs!$D$59*(1+Inputs!$D$61)^(P$259-1)*MAX(0,MIN(1,P$258*1-Inputs!$D$62+1))/1</f>
        <v>3</v>
      </c>
      <c r="Q371" s="119" t="n">
        <f aca="false">Inputs!$D$59*(1+Inputs!$D$61)^(Q$259-1)*MAX(0,MIN(1,Q$258*1-Inputs!$D$62+1))/1</f>
        <v>3</v>
      </c>
      <c r="R371" s="119" t="n">
        <f aca="false">Inputs!$D$59*(1+Inputs!$D$61)^(R$259-1)*MAX(0,MIN(1,R$258*1-Inputs!$D$62+1))/1</f>
        <v>3</v>
      </c>
      <c r="S371" s="119" t="n">
        <f aca="false">Inputs!$D$59*(1+Inputs!$D$61)^(S$259-1)*MAX(0,MIN(1,S$258*1-Inputs!$D$62+1))/1</f>
        <v>3</v>
      </c>
      <c r="T371" s="119" t="n">
        <f aca="false">Inputs!$D$59*(1+Inputs!$D$61)^(T$259-1)*MAX(0,MIN(1,T$258*1-Inputs!$D$62+1))/1</f>
        <v>3</v>
      </c>
      <c r="U371" s="119" t="n">
        <f aca="false">Inputs!$D$59*(1+Inputs!$D$61)^(U$259-1)*MAX(0,MIN(1,U$258*1-Inputs!$D$62+1))/1</f>
        <v>3</v>
      </c>
      <c r="V371" s="119" t="n">
        <f aca="false">Inputs!$D$59*(1+Inputs!$D$61)^(V$259-1)*MAX(0,MIN(1,V$258*1-Inputs!$D$62+1))/1</f>
        <v>3</v>
      </c>
      <c r="W371" s="119" t="n">
        <f aca="false">Inputs!$D$59*(1+Inputs!$D$61)^(W$259-1)*MAX(0,MIN(1,W$258*1-Inputs!$D$62+1))/1</f>
        <v>3</v>
      </c>
      <c r="X371" s="119" t="n">
        <f aca="false">Inputs!$D$59*(1+Inputs!$D$61)^(X$259-1)*MAX(0,MIN(1,X$258*1-Inputs!$D$62+1))/1</f>
        <v>3</v>
      </c>
      <c r="Y371" s="119" t="n">
        <f aca="false">Inputs!$D$59*(1+Inputs!$D$61)^(Y$259-1)*MAX(0,MIN(1,Y$258*1-Inputs!$D$62+1))/1</f>
        <v>3</v>
      </c>
      <c r="Z371" s="119" t="n">
        <f aca="false">Inputs!$D$59*(1+Inputs!$D$61)^(Z$259-1)*MAX(0,MIN(1,Z$258*1-Inputs!$D$62+1))/1</f>
        <v>3</v>
      </c>
      <c r="AA371" s="119" t="n">
        <f aca="false">Inputs!$D$59*(1+Inputs!$D$61)^(AA$259-1)*MAX(0,MIN(1,AA$258*1-Inputs!$D$62+1))/1</f>
        <v>3</v>
      </c>
      <c r="AB371" s="119" t="n">
        <f aca="false">Inputs!$D$59*(1+Inputs!$D$61)^(AB$259-1)*MAX(0,MIN(1,AB$258*1-Inputs!$D$62+1))/1</f>
        <v>3</v>
      </c>
      <c r="AC371" s="119" t="n">
        <f aca="false">Inputs!$D$59*(1+Inputs!$D$61)^(AC$259-1)*MAX(0,MIN(1,AC$258*1-Inputs!$D$62+1))/1</f>
        <v>3</v>
      </c>
      <c r="AD371" s="119" t="n">
        <f aca="false">Inputs!$D$59*(1+Inputs!$D$61)^(AD$259-1)*MAX(0,MIN(1,AD$258*1-Inputs!$D$62+1))/1</f>
        <v>3</v>
      </c>
      <c r="AE371" s="119" t="n">
        <f aca="false">Inputs!$D$59*(1+Inputs!$D$61)^(AE$259-1)*MAX(0,MIN(1,AE$258*1-Inputs!$D$62+1))/1</f>
        <v>3</v>
      </c>
      <c r="AF371" s="119" t="n">
        <f aca="false">Inputs!$D$59*(1+Inputs!$D$61)^(AF$259-1)*MAX(0,MIN(1,AF$258*1-Inputs!$D$62+1))/1</f>
        <v>3</v>
      </c>
      <c r="AG371" s="119" t="n">
        <f aca="false">Inputs!$D$59*(1+Inputs!$D$61)^(AG$259-1)*MAX(0,MIN(1,AG$258*1-Inputs!$D$62+1))/1</f>
        <v>3</v>
      </c>
      <c r="AH371" s="119" t="n">
        <f aca="false">Inputs!$D$59*(1+Inputs!$D$61)^(AH$259-1)*MAX(0,MIN(1,AH$258*1-Inputs!$D$62+1))/1</f>
        <v>3</v>
      </c>
      <c r="AI371" s="119" t="n">
        <f aca="false">Inputs!$D$59*(1+Inputs!$D$61)^(AI$259-1)*MAX(0,MIN(1,AI$258*1-Inputs!$D$62+1))/1</f>
        <v>3</v>
      </c>
      <c r="AJ371" s="119" t="n">
        <f aca="false">Inputs!$D$59*(1+Inputs!$D$61)^(AJ$259-1)*MAX(0,MIN(1,AJ$258*1-Inputs!$D$62+1))/1</f>
        <v>3</v>
      </c>
      <c r="AK371" s="119" t="n">
        <f aca="false">Inputs!$D$59*(1+Inputs!$D$61)^(AK$259-1)*MAX(0,MIN(1,AK$258*1-Inputs!$D$62+1))/1</f>
        <v>3</v>
      </c>
      <c r="AL371" s="119" t="n">
        <f aca="false">Inputs!$D$59*(1+Inputs!$D$61)^(AL$259-1)*MAX(0,MIN(1,AL$258*1-Inputs!$D$62+1))/1</f>
        <v>3</v>
      </c>
      <c r="AM371" s="119" t="n">
        <f aca="false">Inputs!$D$59*(1+Inputs!$D$61)^(AM$259-1)*MAX(0,MIN(1,AM$258*1-Inputs!$D$62+1))/1</f>
        <v>3</v>
      </c>
      <c r="AN371" s="119" t="n">
        <f aca="false">Inputs!$D$59*(1+Inputs!$D$61)^(AN$259-1)*MAX(0,MIN(1,AN$258*1-Inputs!$D$62+1))/1</f>
        <v>3</v>
      </c>
      <c r="AO371" s="119" t="n">
        <f aca="false">Inputs!$D$59*(1+Inputs!$D$61)^(AO$259-1)*MAX(0,MIN(1,AO$258*1-Inputs!$D$62+1))/1</f>
        <v>3</v>
      </c>
      <c r="AP371" s="119" t="n">
        <f aca="false">Inputs!$D$59*(1+Inputs!$D$61)^(AP$259-1)*MAX(0,MIN(1,AP$258*1-Inputs!$D$62+1))/1</f>
        <v>3</v>
      </c>
      <c r="AQ371" s="119" t="n">
        <f aca="false">Inputs!$D$59*(1+Inputs!$D$61)^(AQ$259-1)*MAX(0,MIN(1,AQ$258*1-Inputs!$D$62+1))/1</f>
        <v>3</v>
      </c>
      <c r="AR371" s="119" t="n">
        <f aca="false">Inputs!$D$59*(1+Inputs!$D$61)^(AR$259-1)*MAX(0,MIN(1,AR$258*1-Inputs!$D$62+1))/1</f>
        <v>3</v>
      </c>
      <c r="AS371" s="119" t="n">
        <f aca="false">Inputs!$D$59*(1+Inputs!$D$61)^(AS$259-1)*MAX(0,MIN(1,AS$258*1-Inputs!$D$62+1))/1</f>
        <v>3</v>
      </c>
      <c r="AT371" s="119" t="n">
        <f aca="false">Inputs!$D$59*(1+Inputs!$D$61)^(AT$259-1)*MAX(0,MIN(1,AT$258*1-Inputs!$D$62+1))/1</f>
        <v>3</v>
      </c>
      <c r="AU371" s="119" t="n">
        <f aca="false">Inputs!$D$59*(1+Inputs!$D$61)^(AU$259-1)*MAX(0,MIN(1,AU$258*1-Inputs!$D$62+1))/1</f>
        <v>3</v>
      </c>
      <c r="AV371" s="119" t="n">
        <f aca="false">Inputs!$D$59*(1+Inputs!$D$61)^(AV$259-1)*MAX(0,MIN(1,AV$258*1-Inputs!$D$62+1))/1</f>
        <v>3</v>
      </c>
      <c r="AW371" s="119" t="n">
        <f aca="false">Inputs!$D$59*(1+Inputs!$D$61)^(AW$259-1)*MAX(0,MIN(1,AW$258*1-Inputs!$D$62+1))/1</f>
        <v>3</v>
      </c>
      <c r="AX371" s="119" t="n">
        <f aca="false">Inputs!$D$59*(1+Inputs!$D$61)^(AX$259-1)*MAX(0,MIN(1,AX$258*1-Inputs!$D$62+1))/1</f>
        <v>3</v>
      </c>
      <c r="AY371" s="119" t="n">
        <f aca="false">Inputs!$D$59*(1+Inputs!$D$61)^(AY$259-1)*MAX(0,MIN(1,AY$258*1-Inputs!$D$62+1))/1</f>
        <v>3</v>
      </c>
      <c r="AZ371" s="119" t="n">
        <f aca="false">Inputs!$D$59*(1+Inputs!$D$61)^(AZ$259-1)*MAX(0,MIN(1,AZ$258*1-Inputs!$D$62+1))/1</f>
        <v>3</v>
      </c>
      <c r="BA371" s="119" t="n">
        <f aca="false">Inputs!$D$59*(1+Inputs!$D$61)^(BA$259-1)*MAX(0,MIN(1,BA$258*1-Inputs!$D$62+1))/1</f>
        <v>3</v>
      </c>
      <c r="BB371" s="119" t="n">
        <f aca="false">Inputs!$D$59*(1+Inputs!$D$61)^(BB$259-1)*MAX(0,MIN(1,BB$258*1-Inputs!$D$62+1))/1</f>
        <v>3</v>
      </c>
      <c r="BC371" s="119" t="n">
        <f aca="false">Inputs!$D$59*(1+Inputs!$D$61)^(BC$259-1)*MAX(0,MIN(1,BC$258*1-Inputs!$D$62+1))/1</f>
        <v>3</v>
      </c>
      <c r="BD371" s="119" t="n">
        <f aca="false">Inputs!$D$59*(1+Inputs!$D$61)^(BD$259-1)*MAX(0,MIN(1,BD$258*1-Inputs!$D$62+1))/1</f>
        <v>3</v>
      </c>
      <c r="BE371" s="119" t="n">
        <f aca="false">Inputs!$D$59*(1+Inputs!$D$61)^(BE$259-1)*MAX(0,MIN(1,BE$258*1-Inputs!$D$62+1))/1</f>
        <v>3</v>
      </c>
      <c r="BF371" s="119" t="n">
        <f aca="false">Inputs!$D$59*(1+Inputs!$D$61)^(BF$259-1)*MAX(0,MIN(1,BF$258*1-Inputs!$D$62+1))/1</f>
        <v>3</v>
      </c>
      <c r="BG371" s="119" t="n">
        <f aca="false">Inputs!$D$59*(1+Inputs!$D$61)^(BG$259-1)*MAX(0,MIN(1,BG$258*1-Inputs!$D$62+1))/1</f>
        <v>3</v>
      </c>
      <c r="BH371" s="119" t="n">
        <f aca="false">Inputs!$D$59*(1+Inputs!$D$61)^(BH$259-1)*MAX(0,MIN(1,BH$258*1-Inputs!$D$62+1))/1</f>
        <v>3</v>
      </c>
      <c r="BI371" s="119" t="n">
        <f aca="false">Inputs!$D$59*(1+Inputs!$D$61)^(BI$259-1)*MAX(0,MIN(1,BI$258*1-Inputs!$D$62+1))/1</f>
        <v>3</v>
      </c>
      <c r="BJ371" s="119" t="n">
        <f aca="false">Inputs!$D$59*(1+Inputs!$D$61)^(BJ$259-1)*MAX(0,MIN(1,BJ$258*1-Inputs!$D$62+1))/1</f>
        <v>3</v>
      </c>
    </row>
    <row r="372" customFormat="false" ht="15" hidden="false" customHeight="false" outlineLevel="0" collapsed="false">
      <c r="A372" s="6" t="s">
        <v>461</v>
      </c>
      <c r="C372" s="119" t="n">
        <f aca="false">Inputs!$D$63*(1+Inputs!$D$65)^(C$259-1)*MAX(0,MIN(1,C$258*1-Inputs!$D$66+1))/1</f>
        <v>1</v>
      </c>
      <c r="D372" s="119" t="n">
        <f aca="false">Inputs!$D$63*(1+Inputs!$D$65)^(D$259-1)*MAX(0,MIN(1,D$258*1-Inputs!$D$66+1))/1</f>
        <v>1</v>
      </c>
      <c r="E372" s="119" t="n">
        <f aca="false">Inputs!$D$63*(1+Inputs!$D$65)^(E$259-1)*MAX(0,MIN(1,E$258*1-Inputs!$D$66+1))/1</f>
        <v>1</v>
      </c>
      <c r="F372" s="119" t="n">
        <f aca="false">Inputs!$D$63*(1+Inputs!$D$65)^(F$259-1)*MAX(0,MIN(1,F$258*1-Inputs!$D$66+1))/1</f>
        <v>1</v>
      </c>
      <c r="G372" s="119" t="n">
        <f aca="false">Inputs!$D$63*(1+Inputs!$D$65)^(G$259-1)*MAX(0,MIN(1,G$258*1-Inputs!$D$66+1))/1</f>
        <v>1</v>
      </c>
      <c r="H372" s="119" t="n">
        <f aca="false">Inputs!$D$63*(1+Inputs!$D$65)^(H$259-1)*MAX(0,MIN(1,H$258*1-Inputs!$D$66+1))/1</f>
        <v>1</v>
      </c>
      <c r="I372" s="119" t="n">
        <f aca="false">Inputs!$D$63*(1+Inputs!$D$65)^(I$259-1)*MAX(0,MIN(1,I$258*1-Inputs!$D$66+1))/1</f>
        <v>1</v>
      </c>
      <c r="J372" s="119" t="n">
        <f aca="false">Inputs!$D$63*(1+Inputs!$D$65)^(J$259-1)*MAX(0,MIN(1,J$258*1-Inputs!$D$66+1))/1</f>
        <v>1</v>
      </c>
      <c r="K372" s="119" t="n">
        <f aca="false">Inputs!$D$63*(1+Inputs!$D$65)^(K$259-1)*MAX(0,MIN(1,K$258*1-Inputs!$D$66+1))/1</f>
        <v>1</v>
      </c>
      <c r="L372" s="119" t="n">
        <f aca="false">Inputs!$D$63*(1+Inputs!$D$65)^(L$259-1)*MAX(0,MIN(1,L$258*1-Inputs!$D$66+1))/1</f>
        <v>1</v>
      </c>
      <c r="M372" s="119" t="n">
        <f aca="false">Inputs!$D$63*(1+Inputs!$D$65)^(M$259-1)*MAX(0,MIN(1,M$258*1-Inputs!$D$66+1))/1</f>
        <v>1</v>
      </c>
      <c r="N372" s="119" t="n">
        <f aca="false">Inputs!$D$63*(1+Inputs!$D$65)^(N$259-1)*MAX(0,MIN(1,N$258*1-Inputs!$D$66+1))/1</f>
        <v>1</v>
      </c>
      <c r="O372" s="119" t="n">
        <f aca="false">Inputs!$D$63*(1+Inputs!$D$65)^(O$259-1)*MAX(0,MIN(1,O$258*1-Inputs!$D$66+1))/1</f>
        <v>1</v>
      </c>
      <c r="P372" s="119" t="n">
        <f aca="false">Inputs!$D$63*(1+Inputs!$D$65)^(P$259-1)*MAX(0,MIN(1,P$258*1-Inputs!$D$66+1))/1</f>
        <v>1</v>
      </c>
      <c r="Q372" s="119" t="n">
        <f aca="false">Inputs!$D$63*(1+Inputs!$D$65)^(Q$259-1)*MAX(0,MIN(1,Q$258*1-Inputs!$D$66+1))/1</f>
        <v>1</v>
      </c>
      <c r="R372" s="119" t="n">
        <f aca="false">Inputs!$D$63*(1+Inputs!$D$65)^(R$259-1)*MAX(0,MIN(1,R$258*1-Inputs!$D$66+1))/1</f>
        <v>1</v>
      </c>
      <c r="S372" s="119" t="n">
        <f aca="false">Inputs!$D$63*(1+Inputs!$D$65)^(S$259-1)*MAX(0,MIN(1,S$258*1-Inputs!$D$66+1))/1</f>
        <v>1</v>
      </c>
      <c r="T372" s="119" t="n">
        <f aca="false">Inputs!$D$63*(1+Inputs!$D$65)^(T$259-1)*MAX(0,MIN(1,T$258*1-Inputs!$D$66+1))/1</f>
        <v>1</v>
      </c>
      <c r="U372" s="119" t="n">
        <f aca="false">Inputs!$D$63*(1+Inputs!$D$65)^(U$259-1)*MAX(0,MIN(1,U$258*1-Inputs!$D$66+1))/1</f>
        <v>1</v>
      </c>
      <c r="V372" s="119" t="n">
        <f aca="false">Inputs!$D$63*(1+Inputs!$D$65)^(V$259-1)*MAX(0,MIN(1,V$258*1-Inputs!$D$66+1))/1</f>
        <v>1</v>
      </c>
      <c r="W372" s="119" t="n">
        <f aca="false">Inputs!$D$63*(1+Inputs!$D$65)^(W$259-1)*MAX(0,MIN(1,W$258*1-Inputs!$D$66+1))/1</f>
        <v>1</v>
      </c>
      <c r="X372" s="119" t="n">
        <f aca="false">Inputs!$D$63*(1+Inputs!$D$65)^(X$259-1)*MAX(0,MIN(1,X$258*1-Inputs!$D$66+1))/1</f>
        <v>1</v>
      </c>
      <c r="Y372" s="119" t="n">
        <f aca="false">Inputs!$D$63*(1+Inputs!$D$65)^(Y$259-1)*MAX(0,MIN(1,Y$258*1-Inputs!$D$66+1))/1</f>
        <v>1</v>
      </c>
      <c r="Z372" s="119" t="n">
        <f aca="false">Inputs!$D$63*(1+Inputs!$D$65)^(Z$259-1)*MAX(0,MIN(1,Z$258*1-Inputs!$D$66+1))/1</f>
        <v>1</v>
      </c>
      <c r="AA372" s="119" t="n">
        <f aca="false">Inputs!$D$63*(1+Inputs!$D$65)^(AA$259-1)*MAX(0,MIN(1,AA$258*1-Inputs!$D$66+1))/1</f>
        <v>1</v>
      </c>
      <c r="AB372" s="119" t="n">
        <f aca="false">Inputs!$D$63*(1+Inputs!$D$65)^(AB$259-1)*MAX(0,MIN(1,AB$258*1-Inputs!$D$66+1))/1</f>
        <v>1</v>
      </c>
      <c r="AC372" s="119" t="n">
        <f aca="false">Inputs!$D$63*(1+Inputs!$D$65)^(AC$259-1)*MAX(0,MIN(1,AC$258*1-Inputs!$D$66+1))/1</f>
        <v>1</v>
      </c>
      <c r="AD372" s="119" t="n">
        <f aca="false">Inputs!$D$63*(1+Inputs!$D$65)^(AD$259-1)*MAX(0,MIN(1,AD$258*1-Inputs!$D$66+1))/1</f>
        <v>1</v>
      </c>
      <c r="AE372" s="119" t="n">
        <f aca="false">Inputs!$D$63*(1+Inputs!$D$65)^(AE$259-1)*MAX(0,MIN(1,AE$258*1-Inputs!$D$66+1))/1</f>
        <v>1</v>
      </c>
      <c r="AF372" s="119" t="n">
        <f aca="false">Inputs!$D$63*(1+Inputs!$D$65)^(AF$259-1)*MAX(0,MIN(1,AF$258*1-Inputs!$D$66+1))/1</f>
        <v>1</v>
      </c>
      <c r="AG372" s="119" t="n">
        <f aca="false">Inputs!$D$63*(1+Inputs!$D$65)^(AG$259-1)*MAX(0,MIN(1,AG$258*1-Inputs!$D$66+1))/1</f>
        <v>1</v>
      </c>
      <c r="AH372" s="119" t="n">
        <f aca="false">Inputs!$D$63*(1+Inputs!$D$65)^(AH$259-1)*MAX(0,MIN(1,AH$258*1-Inputs!$D$66+1))/1</f>
        <v>1</v>
      </c>
      <c r="AI372" s="119" t="n">
        <f aca="false">Inputs!$D$63*(1+Inputs!$D$65)^(AI$259-1)*MAX(0,MIN(1,AI$258*1-Inputs!$D$66+1))/1</f>
        <v>1</v>
      </c>
      <c r="AJ372" s="119" t="n">
        <f aca="false">Inputs!$D$63*(1+Inputs!$D$65)^(AJ$259-1)*MAX(0,MIN(1,AJ$258*1-Inputs!$D$66+1))/1</f>
        <v>1</v>
      </c>
      <c r="AK372" s="119" t="n">
        <f aca="false">Inputs!$D$63*(1+Inputs!$D$65)^(AK$259-1)*MAX(0,MIN(1,AK$258*1-Inputs!$D$66+1))/1</f>
        <v>1</v>
      </c>
      <c r="AL372" s="119" t="n">
        <f aca="false">Inputs!$D$63*(1+Inputs!$D$65)^(AL$259-1)*MAX(0,MIN(1,AL$258*1-Inputs!$D$66+1))/1</f>
        <v>1</v>
      </c>
      <c r="AM372" s="119" t="n">
        <f aca="false">Inputs!$D$63*(1+Inputs!$D$65)^(AM$259-1)*MAX(0,MIN(1,AM$258*1-Inputs!$D$66+1))/1</f>
        <v>1</v>
      </c>
      <c r="AN372" s="119" t="n">
        <f aca="false">Inputs!$D$63*(1+Inputs!$D$65)^(AN$259-1)*MAX(0,MIN(1,AN$258*1-Inputs!$D$66+1))/1</f>
        <v>1</v>
      </c>
      <c r="AO372" s="119" t="n">
        <f aca="false">Inputs!$D$63*(1+Inputs!$D$65)^(AO$259-1)*MAX(0,MIN(1,AO$258*1-Inputs!$D$66+1))/1</f>
        <v>1</v>
      </c>
      <c r="AP372" s="119" t="n">
        <f aca="false">Inputs!$D$63*(1+Inputs!$D$65)^(AP$259-1)*MAX(0,MIN(1,AP$258*1-Inputs!$D$66+1))/1</f>
        <v>1</v>
      </c>
      <c r="AQ372" s="119" t="n">
        <f aca="false">Inputs!$D$63*(1+Inputs!$D$65)^(AQ$259-1)*MAX(0,MIN(1,AQ$258*1-Inputs!$D$66+1))/1</f>
        <v>1</v>
      </c>
      <c r="AR372" s="119" t="n">
        <f aca="false">Inputs!$D$63*(1+Inputs!$D$65)^(AR$259-1)*MAX(0,MIN(1,AR$258*1-Inputs!$D$66+1))/1</f>
        <v>1</v>
      </c>
      <c r="AS372" s="119" t="n">
        <f aca="false">Inputs!$D$63*(1+Inputs!$D$65)^(AS$259-1)*MAX(0,MIN(1,AS$258*1-Inputs!$D$66+1))/1</f>
        <v>1</v>
      </c>
      <c r="AT372" s="119" t="n">
        <f aca="false">Inputs!$D$63*(1+Inputs!$D$65)^(AT$259-1)*MAX(0,MIN(1,AT$258*1-Inputs!$D$66+1))/1</f>
        <v>1</v>
      </c>
      <c r="AU372" s="119" t="n">
        <f aca="false">Inputs!$D$63*(1+Inputs!$D$65)^(AU$259-1)*MAX(0,MIN(1,AU$258*1-Inputs!$D$66+1))/1</f>
        <v>1</v>
      </c>
      <c r="AV372" s="119" t="n">
        <f aca="false">Inputs!$D$63*(1+Inputs!$D$65)^(AV$259-1)*MAX(0,MIN(1,AV$258*1-Inputs!$D$66+1))/1</f>
        <v>1</v>
      </c>
      <c r="AW372" s="119" t="n">
        <f aca="false">Inputs!$D$63*(1+Inputs!$D$65)^(AW$259-1)*MAX(0,MIN(1,AW$258*1-Inputs!$D$66+1))/1</f>
        <v>1</v>
      </c>
      <c r="AX372" s="119" t="n">
        <f aca="false">Inputs!$D$63*(1+Inputs!$D$65)^(AX$259-1)*MAX(0,MIN(1,AX$258*1-Inputs!$D$66+1))/1</f>
        <v>1</v>
      </c>
      <c r="AY372" s="119" t="n">
        <f aca="false">Inputs!$D$63*(1+Inputs!$D$65)^(AY$259-1)*MAX(0,MIN(1,AY$258*1-Inputs!$D$66+1))/1</f>
        <v>1</v>
      </c>
      <c r="AZ372" s="119" t="n">
        <f aca="false">Inputs!$D$63*(1+Inputs!$D$65)^(AZ$259-1)*MAX(0,MIN(1,AZ$258*1-Inputs!$D$66+1))/1</f>
        <v>1</v>
      </c>
      <c r="BA372" s="119" t="n">
        <f aca="false">Inputs!$D$63*(1+Inputs!$D$65)^(BA$259-1)*MAX(0,MIN(1,BA$258*1-Inputs!$D$66+1))/1</f>
        <v>1</v>
      </c>
      <c r="BB372" s="119" t="n">
        <f aca="false">Inputs!$D$63*(1+Inputs!$D$65)^(BB$259-1)*MAX(0,MIN(1,BB$258*1-Inputs!$D$66+1))/1</f>
        <v>1</v>
      </c>
      <c r="BC372" s="119" t="n">
        <f aca="false">Inputs!$D$63*(1+Inputs!$D$65)^(BC$259-1)*MAX(0,MIN(1,BC$258*1-Inputs!$D$66+1))/1</f>
        <v>1</v>
      </c>
      <c r="BD372" s="119" t="n">
        <f aca="false">Inputs!$D$63*(1+Inputs!$D$65)^(BD$259-1)*MAX(0,MIN(1,BD$258*1-Inputs!$D$66+1))/1</f>
        <v>1</v>
      </c>
      <c r="BE372" s="119" t="n">
        <f aca="false">Inputs!$D$63*(1+Inputs!$D$65)^(BE$259-1)*MAX(0,MIN(1,BE$258*1-Inputs!$D$66+1))/1</f>
        <v>1</v>
      </c>
      <c r="BF372" s="119" t="n">
        <f aca="false">Inputs!$D$63*(1+Inputs!$D$65)^(BF$259-1)*MAX(0,MIN(1,BF$258*1-Inputs!$D$66+1))/1</f>
        <v>1</v>
      </c>
      <c r="BG372" s="119" t="n">
        <f aca="false">Inputs!$D$63*(1+Inputs!$D$65)^(BG$259-1)*MAX(0,MIN(1,BG$258*1-Inputs!$D$66+1))/1</f>
        <v>1</v>
      </c>
      <c r="BH372" s="119" t="n">
        <f aca="false">Inputs!$D$63*(1+Inputs!$D$65)^(BH$259-1)*MAX(0,MIN(1,BH$258*1-Inputs!$D$66+1))/1</f>
        <v>1</v>
      </c>
      <c r="BI372" s="119" t="n">
        <f aca="false">Inputs!$D$63*(1+Inputs!$D$65)^(BI$259-1)*MAX(0,MIN(1,BI$258*1-Inputs!$D$66+1))/1</f>
        <v>1</v>
      </c>
      <c r="BJ372" s="119" t="n">
        <f aca="false">Inputs!$D$63*(1+Inputs!$D$65)^(BJ$259-1)*MAX(0,MIN(1,BJ$258*1-Inputs!$D$66+1))/1</f>
        <v>1</v>
      </c>
    </row>
    <row r="373" customFormat="false" ht="15" hidden="false" customHeight="false" outlineLevel="0" collapsed="false">
      <c r="A373" s="115" t="s">
        <v>462</v>
      </c>
      <c r="C373" s="124" t="n">
        <f aca="false">C370+C371+C372</f>
        <v>8</v>
      </c>
      <c r="D373" s="124" t="n">
        <f aca="false">D370+D371+D372</f>
        <v>8</v>
      </c>
      <c r="E373" s="124" t="n">
        <f aca="false">E370+E371+E372</f>
        <v>8</v>
      </c>
      <c r="F373" s="124" t="n">
        <f aca="false">F370+F371+F372</f>
        <v>8</v>
      </c>
      <c r="G373" s="124" t="n">
        <f aca="false">G370+G371+G372</f>
        <v>8</v>
      </c>
      <c r="H373" s="124" t="n">
        <f aca="false">H370+H371+H372</f>
        <v>8</v>
      </c>
      <c r="I373" s="124" t="n">
        <f aca="false">I370+I371+I372</f>
        <v>8</v>
      </c>
      <c r="J373" s="124" t="n">
        <f aca="false">J370+J371+J372</f>
        <v>8</v>
      </c>
      <c r="K373" s="124" t="n">
        <f aca="false">K370+K371+K372</f>
        <v>8</v>
      </c>
      <c r="L373" s="124" t="n">
        <f aca="false">L370+L371+L372</f>
        <v>8</v>
      </c>
      <c r="M373" s="124" t="n">
        <f aca="false">M370+M371+M372</f>
        <v>8</v>
      </c>
      <c r="N373" s="124" t="n">
        <f aca="false">N370+N371+N372</f>
        <v>8</v>
      </c>
      <c r="O373" s="124" t="n">
        <f aca="false">O370+O371+O372</f>
        <v>8</v>
      </c>
      <c r="P373" s="124" t="n">
        <f aca="false">P370+P371+P372</f>
        <v>8</v>
      </c>
      <c r="Q373" s="124" t="n">
        <f aca="false">Q370+Q371+Q372</f>
        <v>8</v>
      </c>
      <c r="R373" s="124" t="n">
        <f aca="false">R370+R371+R372</f>
        <v>8</v>
      </c>
      <c r="S373" s="124" t="n">
        <f aca="false">S370+S371+S372</f>
        <v>8</v>
      </c>
      <c r="T373" s="124" t="n">
        <f aca="false">T370+T371+T372</f>
        <v>8</v>
      </c>
      <c r="U373" s="124" t="n">
        <f aca="false">U370+U371+U372</f>
        <v>8</v>
      </c>
      <c r="V373" s="124" t="n">
        <f aca="false">V370+V371+V372</f>
        <v>8</v>
      </c>
      <c r="W373" s="124" t="n">
        <f aca="false">W370+W371+W372</f>
        <v>8</v>
      </c>
      <c r="X373" s="124" t="n">
        <f aca="false">X370+X371+X372</f>
        <v>8</v>
      </c>
      <c r="Y373" s="124" t="n">
        <f aca="false">Y370+Y371+Y372</f>
        <v>8</v>
      </c>
      <c r="Z373" s="124" t="n">
        <f aca="false">Z370+Z371+Z372</f>
        <v>8</v>
      </c>
      <c r="AA373" s="124" t="n">
        <f aca="false">AA370+AA371+AA372</f>
        <v>8</v>
      </c>
      <c r="AB373" s="124" t="n">
        <f aca="false">AB370+AB371+AB372</f>
        <v>8</v>
      </c>
      <c r="AC373" s="124" t="n">
        <f aca="false">AC370+AC371+AC372</f>
        <v>8</v>
      </c>
      <c r="AD373" s="124" t="n">
        <f aca="false">AD370+AD371+AD372</f>
        <v>8</v>
      </c>
      <c r="AE373" s="124" t="n">
        <f aca="false">AE370+AE371+AE372</f>
        <v>8</v>
      </c>
      <c r="AF373" s="124" t="n">
        <f aca="false">AF370+AF371+AF372</f>
        <v>8</v>
      </c>
      <c r="AG373" s="124" t="n">
        <f aca="false">AG370+AG371+AG372</f>
        <v>8</v>
      </c>
      <c r="AH373" s="124" t="n">
        <f aca="false">AH370+AH371+AH372</f>
        <v>8</v>
      </c>
      <c r="AI373" s="124" t="n">
        <f aca="false">AI370+AI371+AI372</f>
        <v>8</v>
      </c>
      <c r="AJ373" s="124" t="n">
        <f aca="false">AJ370+AJ371+AJ372</f>
        <v>8</v>
      </c>
      <c r="AK373" s="124" t="n">
        <f aca="false">AK370+AK371+AK372</f>
        <v>8</v>
      </c>
      <c r="AL373" s="124" t="n">
        <f aca="false">AL370+AL371+AL372</f>
        <v>8</v>
      </c>
      <c r="AM373" s="124" t="n">
        <f aca="false">AM370+AM371+AM372</f>
        <v>8</v>
      </c>
      <c r="AN373" s="124" t="n">
        <f aca="false">AN370+AN371+AN372</f>
        <v>8</v>
      </c>
      <c r="AO373" s="124" t="n">
        <f aca="false">AO370+AO371+AO372</f>
        <v>8</v>
      </c>
      <c r="AP373" s="124" t="n">
        <f aca="false">AP370+AP371+AP372</f>
        <v>8</v>
      </c>
      <c r="AQ373" s="124" t="n">
        <f aca="false">AQ370+AQ371+AQ372</f>
        <v>8</v>
      </c>
      <c r="AR373" s="124" t="n">
        <f aca="false">AR370+AR371+AR372</f>
        <v>8</v>
      </c>
      <c r="AS373" s="124" t="n">
        <f aca="false">AS370+AS371+AS372</f>
        <v>8</v>
      </c>
      <c r="AT373" s="124" t="n">
        <f aca="false">AT370+AT371+AT372</f>
        <v>8</v>
      </c>
      <c r="AU373" s="124" t="n">
        <f aca="false">AU370+AU371+AU372</f>
        <v>8</v>
      </c>
      <c r="AV373" s="124" t="n">
        <f aca="false">AV370+AV371+AV372</f>
        <v>8</v>
      </c>
      <c r="AW373" s="124" t="n">
        <f aca="false">AW370+AW371+AW372</f>
        <v>8</v>
      </c>
      <c r="AX373" s="124" t="n">
        <f aca="false">AX370+AX371+AX372</f>
        <v>8</v>
      </c>
      <c r="AY373" s="124" t="n">
        <f aca="false">AY370+AY371+AY372</f>
        <v>8</v>
      </c>
      <c r="AZ373" s="124" t="n">
        <f aca="false">AZ370+AZ371+AZ372</f>
        <v>8</v>
      </c>
      <c r="BA373" s="124" t="n">
        <f aca="false">BA370+BA371+BA372</f>
        <v>8</v>
      </c>
      <c r="BB373" s="124" t="n">
        <f aca="false">BB370+BB371+BB372</f>
        <v>8</v>
      </c>
      <c r="BC373" s="124" t="n">
        <f aca="false">BC370+BC371+BC372</f>
        <v>8</v>
      </c>
      <c r="BD373" s="124" t="n">
        <f aca="false">BD370+BD371+BD372</f>
        <v>8</v>
      </c>
      <c r="BE373" s="124" t="n">
        <f aca="false">BE370+BE371+BE372</f>
        <v>8</v>
      </c>
      <c r="BF373" s="124" t="n">
        <f aca="false">BF370+BF371+BF372</f>
        <v>8</v>
      </c>
      <c r="BG373" s="124" t="n">
        <f aca="false">BG370+BG371+BG372</f>
        <v>8</v>
      </c>
      <c r="BH373" s="124" t="n">
        <f aca="false">BH370+BH371+BH372</f>
        <v>8</v>
      </c>
      <c r="BI373" s="124" t="n">
        <f aca="false">BI370+BI371+BI372</f>
        <v>8</v>
      </c>
      <c r="BJ373" s="124" t="n">
        <f aca="false">BJ370+BJ371+BJ372</f>
        <v>8</v>
      </c>
    </row>
    <row r="375" customFormat="false" ht="15.75" hidden="false" customHeight="true" outlineLevel="0" collapsed="false">
      <c r="A375" s="7" t="s">
        <v>463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customFormat="false" ht="15" hidden="false" customHeight="false" outlineLevel="0" collapsed="false">
      <c r="A376" s="6" t="s">
        <v>464</v>
      </c>
      <c r="C376" s="69" t="n">
        <f aca="false">-C370*Inputs!$D$56/12*1*(1+Inputs!$D$67)*(1+Inputs!$D$68)^(C$259-1)</f>
        <v>-3833.33333333333</v>
      </c>
      <c r="D376" s="69" t="n">
        <f aca="false">-D370*Inputs!$D$56/12*1*(1+Inputs!$D$67)*(1+Inputs!$D$68)^(D$259-1)</f>
        <v>-3833.33333333333</v>
      </c>
      <c r="E376" s="69" t="n">
        <f aca="false">-E370*Inputs!$D$56/12*1*(1+Inputs!$D$67)*(1+Inputs!$D$68)^(E$259-1)</f>
        <v>-3833.33333333333</v>
      </c>
      <c r="F376" s="69" t="n">
        <f aca="false">-F370*Inputs!$D$56/12*1*(1+Inputs!$D$67)*(1+Inputs!$D$68)^(F$259-1)</f>
        <v>-3833.33333333333</v>
      </c>
      <c r="G376" s="69" t="n">
        <f aca="false">-G370*Inputs!$D$56/12*1*(1+Inputs!$D$67)*(1+Inputs!$D$68)^(G$259-1)</f>
        <v>-3833.33333333333</v>
      </c>
      <c r="H376" s="69" t="n">
        <f aca="false">-H370*Inputs!$D$56/12*1*(1+Inputs!$D$67)*(1+Inputs!$D$68)^(H$259-1)</f>
        <v>-3833.33333333333</v>
      </c>
      <c r="I376" s="69" t="n">
        <f aca="false">-I370*Inputs!$D$56/12*1*(1+Inputs!$D$67)*(1+Inputs!$D$68)^(I$259-1)</f>
        <v>-3833.33333333333</v>
      </c>
      <c r="J376" s="69" t="n">
        <f aca="false">-J370*Inputs!$D$56/12*1*(1+Inputs!$D$67)*(1+Inputs!$D$68)^(J$259-1)</f>
        <v>-3833.33333333333</v>
      </c>
      <c r="K376" s="69" t="n">
        <f aca="false">-K370*Inputs!$D$56/12*1*(1+Inputs!$D$67)*(1+Inputs!$D$68)^(K$259-1)</f>
        <v>-3833.33333333333</v>
      </c>
      <c r="L376" s="69" t="n">
        <f aca="false">-L370*Inputs!$D$56/12*1*(1+Inputs!$D$67)*(1+Inputs!$D$68)^(L$259-1)</f>
        <v>-3833.33333333333</v>
      </c>
      <c r="M376" s="69" t="n">
        <f aca="false">-M370*Inputs!$D$56/12*1*(1+Inputs!$D$67)*(1+Inputs!$D$68)^(M$259-1)</f>
        <v>-3833.33333333333</v>
      </c>
      <c r="N376" s="69" t="n">
        <f aca="false">-N370*Inputs!$D$56/12*1*(1+Inputs!$D$67)*(1+Inputs!$D$68)^(N$259-1)</f>
        <v>-3833.33333333333</v>
      </c>
      <c r="O376" s="69" t="n">
        <f aca="false">-O370*Inputs!$D$56/12*1*(1+Inputs!$D$67)*(1+Inputs!$D$68)^(O$259-1)</f>
        <v>-3948.33333333333</v>
      </c>
      <c r="P376" s="69" t="n">
        <f aca="false">-P370*Inputs!$D$56/12*1*(1+Inputs!$D$67)*(1+Inputs!$D$68)^(P$259-1)</f>
        <v>-3948.33333333333</v>
      </c>
      <c r="Q376" s="69" t="n">
        <f aca="false">-Q370*Inputs!$D$56/12*1*(1+Inputs!$D$67)*(1+Inputs!$D$68)^(Q$259-1)</f>
        <v>-3948.33333333333</v>
      </c>
      <c r="R376" s="69" t="n">
        <f aca="false">-R370*Inputs!$D$56/12*1*(1+Inputs!$D$67)*(1+Inputs!$D$68)^(R$259-1)</f>
        <v>-3948.33333333333</v>
      </c>
      <c r="S376" s="69" t="n">
        <f aca="false">-S370*Inputs!$D$56/12*1*(1+Inputs!$D$67)*(1+Inputs!$D$68)^(S$259-1)</f>
        <v>-3948.33333333333</v>
      </c>
      <c r="T376" s="69" t="n">
        <f aca="false">-T370*Inputs!$D$56/12*1*(1+Inputs!$D$67)*(1+Inputs!$D$68)^(T$259-1)</f>
        <v>-3948.33333333333</v>
      </c>
      <c r="U376" s="69" t="n">
        <f aca="false">-U370*Inputs!$D$56/12*1*(1+Inputs!$D$67)*(1+Inputs!$D$68)^(U$259-1)</f>
        <v>-3948.33333333333</v>
      </c>
      <c r="V376" s="69" t="n">
        <f aca="false">-V370*Inputs!$D$56/12*1*(1+Inputs!$D$67)*(1+Inputs!$D$68)^(V$259-1)</f>
        <v>-3948.33333333333</v>
      </c>
      <c r="W376" s="69" t="n">
        <f aca="false">-W370*Inputs!$D$56/12*1*(1+Inputs!$D$67)*(1+Inputs!$D$68)^(W$259-1)</f>
        <v>-3948.33333333333</v>
      </c>
      <c r="X376" s="69" t="n">
        <f aca="false">-X370*Inputs!$D$56/12*1*(1+Inputs!$D$67)*(1+Inputs!$D$68)^(X$259-1)</f>
        <v>-3948.33333333333</v>
      </c>
      <c r="Y376" s="69" t="n">
        <f aca="false">-Y370*Inputs!$D$56/12*1*(1+Inputs!$D$67)*(1+Inputs!$D$68)^(Y$259-1)</f>
        <v>-3948.33333333333</v>
      </c>
      <c r="Z376" s="69" t="n">
        <f aca="false">-Z370*Inputs!$D$56/12*1*(1+Inputs!$D$67)*(1+Inputs!$D$68)^(Z$259-1)</f>
        <v>-3948.33333333333</v>
      </c>
      <c r="AA376" s="69" t="n">
        <f aca="false">-AA370*Inputs!$D$56/12*1*(1+Inputs!$D$67)*(1+Inputs!$D$68)^(AA$259-1)</f>
        <v>-4066.78333333333</v>
      </c>
      <c r="AB376" s="69" t="n">
        <f aca="false">-AB370*Inputs!$D$56/12*1*(1+Inputs!$D$67)*(1+Inputs!$D$68)^(AB$259-1)</f>
        <v>-4066.78333333333</v>
      </c>
      <c r="AC376" s="69" t="n">
        <f aca="false">-AC370*Inputs!$D$56/12*1*(1+Inputs!$D$67)*(1+Inputs!$D$68)^(AC$259-1)</f>
        <v>-4066.78333333333</v>
      </c>
      <c r="AD376" s="69" t="n">
        <f aca="false">-AD370*Inputs!$D$56/12*1*(1+Inputs!$D$67)*(1+Inputs!$D$68)^(AD$259-1)</f>
        <v>-4066.78333333333</v>
      </c>
      <c r="AE376" s="69" t="n">
        <f aca="false">-AE370*Inputs!$D$56/12*1*(1+Inputs!$D$67)*(1+Inputs!$D$68)^(AE$259-1)</f>
        <v>-4066.78333333333</v>
      </c>
      <c r="AF376" s="69" t="n">
        <f aca="false">-AF370*Inputs!$D$56/12*1*(1+Inputs!$D$67)*(1+Inputs!$D$68)^(AF$259-1)</f>
        <v>-4066.78333333333</v>
      </c>
      <c r="AG376" s="69" t="n">
        <f aca="false">-AG370*Inputs!$D$56/12*1*(1+Inputs!$D$67)*(1+Inputs!$D$68)^(AG$259-1)</f>
        <v>-4066.78333333333</v>
      </c>
      <c r="AH376" s="69" t="n">
        <f aca="false">-AH370*Inputs!$D$56/12*1*(1+Inputs!$D$67)*(1+Inputs!$D$68)^(AH$259-1)</f>
        <v>-4066.78333333333</v>
      </c>
      <c r="AI376" s="69" t="n">
        <f aca="false">-AI370*Inputs!$D$56/12*1*(1+Inputs!$D$67)*(1+Inputs!$D$68)^(AI$259-1)</f>
        <v>-4066.78333333333</v>
      </c>
      <c r="AJ376" s="69" t="n">
        <f aca="false">-AJ370*Inputs!$D$56/12*1*(1+Inputs!$D$67)*(1+Inputs!$D$68)^(AJ$259-1)</f>
        <v>-4066.78333333333</v>
      </c>
      <c r="AK376" s="69" t="n">
        <f aca="false">-AK370*Inputs!$D$56/12*1*(1+Inputs!$D$67)*(1+Inputs!$D$68)^(AK$259-1)</f>
        <v>-4066.78333333333</v>
      </c>
      <c r="AL376" s="69" t="n">
        <f aca="false">-AL370*Inputs!$D$56/12*1*(1+Inputs!$D$67)*(1+Inputs!$D$68)^(AL$259-1)</f>
        <v>-4066.78333333333</v>
      </c>
      <c r="AM376" s="69" t="n">
        <f aca="false">-AM370*Inputs!$D$56/12*1*(1+Inputs!$D$67)*(1+Inputs!$D$68)^(AM$259-1)</f>
        <v>-4188.78683333333</v>
      </c>
      <c r="AN376" s="69" t="n">
        <f aca="false">-AN370*Inputs!$D$56/12*1*(1+Inputs!$D$67)*(1+Inputs!$D$68)^(AN$259-1)</f>
        <v>-4188.78683333333</v>
      </c>
      <c r="AO376" s="69" t="n">
        <f aca="false">-AO370*Inputs!$D$56/12*1*(1+Inputs!$D$67)*(1+Inputs!$D$68)^(AO$259-1)</f>
        <v>-4188.78683333333</v>
      </c>
      <c r="AP376" s="69" t="n">
        <f aca="false">-AP370*Inputs!$D$56/12*1*(1+Inputs!$D$67)*(1+Inputs!$D$68)^(AP$259-1)</f>
        <v>-4188.78683333333</v>
      </c>
      <c r="AQ376" s="69" t="n">
        <f aca="false">-AQ370*Inputs!$D$56/12*1*(1+Inputs!$D$67)*(1+Inputs!$D$68)^(AQ$259-1)</f>
        <v>-4188.78683333333</v>
      </c>
      <c r="AR376" s="69" t="n">
        <f aca="false">-AR370*Inputs!$D$56/12*1*(1+Inputs!$D$67)*(1+Inputs!$D$68)^(AR$259-1)</f>
        <v>-4188.78683333333</v>
      </c>
      <c r="AS376" s="69" t="n">
        <f aca="false">-AS370*Inputs!$D$56/12*1*(1+Inputs!$D$67)*(1+Inputs!$D$68)^(AS$259-1)</f>
        <v>-4188.78683333333</v>
      </c>
      <c r="AT376" s="69" t="n">
        <f aca="false">-AT370*Inputs!$D$56/12*1*(1+Inputs!$D$67)*(1+Inputs!$D$68)^(AT$259-1)</f>
        <v>-4188.78683333333</v>
      </c>
      <c r="AU376" s="69" t="n">
        <f aca="false">-AU370*Inputs!$D$56/12*1*(1+Inputs!$D$67)*(1+Inputs!$D$68)^(AU$259-1)</f>
        <v>-4188.78683333333</v>
      </c>
      <c r="AV376" s="69" t="n">
        <f aca="false">-AV370*Inputs!$D$56/12*1*(1+Inputs!$D$67)*(1+Inputs!$D$68)^(AV$259-1)</f>
        <v>-4188.78683333333</v>
      </c>
      <c r="AW376" s="69" t="n">
        <f aca="false">-AW370*Inputs!$D$56/12*1*(1+Inputs!$D$67)*(1+Inputs!$D$68)^(AW$259-1)</f>
        <v>-4188.78683333333</v>
      </c>
      <c r="AX376" s="69" t="n">
        <f aca="false">-AX370*Inputs!$D$56/12*1*(1+Inputs!$D$67)*(1+Inputs!$D$68)^(AX$259-1)</f>
        <v>-4188.78683333333</v>
      </c>
      <c r="AY376" s="69" t="n">
        <f aca="false">-AY370*Inputs!$D$56/12*1*(1+Inputs!$D$67)*(1+Inputs!$D$68)^(AY$259-1)</f>
        <v>-4314.45043833333</v>
      </c>
      <c r="AZ376" s="69" t="n">
        <f aca="false">-AZ370*Inputs!$D$56/12*1*(1+Inputs!$D$67)*(1+Inputs!$D$68)^(AZ$259-1)</f>
        <v>-4314.45043833333</v>
      </c>
      <c r="BA376" s="69" t="n">
        <f aca="false">-BA370*Inputs!$D$56/12*1*(1+Inputs!$D$67)*(1+Inputs!$D$68)^(BA$259-1)</f>
        <v>-4314.45043833333</v>
      </c>
      <c r="BB376" s="69" t="n">
        <f aca="false">-BB370*Inputs!$D$56/12*1*(1+Inputs!$D$67)*(1+Inputs!$D$68)^(BB$259-1)</f>
        <v>-4314.45043833333</v>
      </c>
      <c r="BC376" s="69" t="n">
        <f aca="false">-BC370*Inputs!$D$56/12*1*(1+Inputs!$D$67)*(1+Inputs!$D$68)^(BC$259-1)</f>
        <v>-4314.45043833333</v>
      </c>
      <c r="BD376" s="69" t="n">
        <f aca="false">-BD370*Inputs!$D$56/12*1*(1+Inputs!$D$67)*(1+Inputs!$D$68)^(BD$259-1)</f>
        <v>-4314.45043833333</v>
      </c>
      <c r="BE376" s="69" t="n">
        <f aca="false">-BE370*Inputs!$D$56/12*1*(1+Inputs!$D$67)*(1+Inputs!$D$68)^(BE$259-1)</f>
        <v>-4314.45043833333</v>
      </c>
      <c r="BF376" s="69" t="n">
        <f aca="false">-BF370*Inputs!$D$56/12*1*(1+Inputs!$D$67)*(1+Inputs!$D$68)^(BF$259-1)</f>
        <v>-4314.45043833333</v>
      </c>
      <c r="BG376" s="69" t="n">
        <f aca="false">-BG370*Inputs!$D$56/12*1*(1+Inputs!$D$67)*(1+Inputs!$D$68)^(BG$259-1)</f>
        <v>-4314.45043833333</v>
      </c>
      <c r="BH376" s="69" t="n">
        <f aca="false">-BH370*Inputs!$D$56/12*1*(1+Inputs!$D$67)*(1+Inputs!$D$68)^(BH$259-1)</f>
        <v>-4314.45043833333</v>
      </c>
      <c r="BI376" s="69" t="n">
        <f aca="false">-BI370*Inputs!$D$56/12*1*(1+Inputs!$D$67)*(1+Inputs!$D$68)^(BI$259-1)</f>
        <v>-4314.45043833333</v>
      </c>
      <c r="BJ376" s="69" t="n">
        <f aca="false">-BJ370*Inputs!$D$56/12*1*(1+Inputs!$D$67)*(1+Inputs!$D$68)^(BJ$259-1)</f>
        <v>-4314.45043833333</v>
      </c>
    </row>
    <row r="377" customFormat="false" ht="15" hidden="false" customHeight="false" outlineLevel="0" collapsed="false">
      <c r="A377" s="6" t="s">
        <v>465</v>
      </c>
      <c r="C377" s="69" t="n">
        <f aca="false">-C371*Inputs!$D$60/12*1*(1+Inputs!$D$67)*(1+Inputs!$D$68)^(C$259-1)</f>
        <v>-9487.5</v>
      </c>
      <c r="D377" s="69" t="n">
        <f aca="false">-D371*Inputs!$D$60/12*1*(1+Inputs!$D$67)*(1+Inputs!$D$68)^(D$259-1)</f>
        <v>-9487.5</v>
      </c>
      <c r="E377" s="69" t="n">
        <f aca="false">-E371*Inputs!$D$60/12*1*(1+Inputs!$D$67)*(1+Inputs!$D$68)^(E$259-1)</f>
        <v>-9487.5</v>
      </c>
      <c r="F377" s="69" t="n">
        <f aca="false">-F371*Inputs!$D$60/12*1*(1+Inputs!$D$67)*(1+Inputs!$D$68)^(F$259-1)</f>
        <v>-9487.5</v>
      </c>
      <c r="G377" s="69" t="n">
        <f aca="false">-G371*Inputs!$D$60/12*1*(1+Inputs!$D$67)*(1+Inputs!$D$68)^(G$259-1)</f>
        <v>-9487.5</v>
      </c>
      <c r="H377" s="69" t="n">
        <f aca="false">-H371*Inputs!$D$60/12*1*(1+Inputs!$D$67)*(1+Inputs!$D$68)^(H$259-1)</f>
        <v>-9487.5</v>
      </c>
      <c r="I377" s="69" t="n">
        <f aca="false">-I371*Inputs!$D$60/12*1*(1+Inputs!$D$67)*(1+Inputs!$D$68)^(I$259-1)</f>
        <v>-9487.5</v>
      </c>
      <c r="J377" s="69" t="n">
        <f aca="false">-J371*Inputs!$D$60/12*1*(1+Inputs!$D$67)*(1+Inputs!$D$68)^(J$259-1)</f>
        <v>-9487.5</v>
      </c>
      <c r="K377" s="69" t="n">
        <f aca="false">-K371*Inputs!$D$60/12*1*(1+Inputs!$D$67)*(1+Inputs!$D$68)^(K$259-1)</f>
        <v>-9487.5</v>
      </c>
      <c r="L377" s="69" t="n">
        <f aca="false">-L371*Inputs!$D$60/12*1*(1+Inputs!$D$67)*(1+Inputs!$D$68)^(L$259-1)</f>
        <v>-9487.5</v>
      </c>
      <c r="M377" s="69" t="n">
        <f aca="false">-M371*Inputs!$D$60/12*1*(1+Inputs!$D$67)*(1+Inputs!$D$68)^(M$259-1)</f>
        <v>-9487.5</v>
      </c>
      <c r="N377" s="69" t="n">
        <f aca="false">-N371*Inputs!$D$60/12*1*(1+Inputs!$D$67)*(1+Inputs!$D$68)^(N$259-1)</f>
        <v>-9487.5</v>
      </c>
      <c r="O377" s="69" t="n">
        <f aca="false">-O371*Inputs!$D$60/12*1*(1+Inputs!$D$67)*(1+Inputs!$D$68)^(O$259-1)</f>
        <v>-9772.125</v>
      </c>
      <c r="P377" s="69" t="n">
        <f aca="false">-P371*Inputs!$D$60/12*1*(1+Inputs!$D$67)*(1+Inputs!$D$68)^(P$259-1)</f>
        <v>-9772.125</v>
      </c>
      <c r="Q377" s="69" t="n">
        <f aca="false">-Q371*Inputs!$D$60/12*1*(1+Inputs!$D$67)*(1+Inputs!$D$68)^(Q$259-1)</f>
        <v>-9772.125</v>
      </c>
      <c r="R377" s="69" t="n">
        <f aca="false">-R371*Inputs!$D$60/12*1*(1+Inputs!$D$67)*(1+Inputs!$D$68)^(R$259-1)</f>
        <v>-9772.125</v>
      </c>
      <c r="S377" s="69" t="n">
        <f aca="false">-S371*Inputs!$D$60/12*1*(1+Inputs!$D$67)*(1+Inputs!$D$68)^(S$259-1)</f>
        <v>-9772.125</v>
      </c>
      <c r="T377" s="69" t="n">
        <f aca="false">-T371*Inputs!$D$60/12*1*(1+Inputs!$D$67)*(1+Inputs!$D$68)^(T$259-1)</f>
        <v>-9772.125</v>
      </c>
      <c r="U377" s="69" t="n">
        <f aca="false">-U371*Inputs!$D$60/12*1*(1+Inputs!$D$67)*(1+Inputs!$D$68)^(U$259-1)</f>
        <v>-9772.125</v>
      </c>
      <c r="V377" s="69" t="n">
        <f aca="false">-V371*Inputs!$D$60/12*1*(1+Inputs!$D$67)*(1+Inputs!$D$68)^(V$259-1)</f>
        <v>-9772.125</v>
      </c>
      <c r="W377" s="69" t="n">
        <f aca="false">-W371*Inputs!$D$60/12*1*(1+Inputs!$D$67)*(1+Inputs!$D$68)^(W$259-1)</f>
        <v>-9772.125</v>
      </c>
      <c r="X377" s="69" t="n">
        <f aca="false">-X371*Inputs!$D$60/12*1*(1+Inputs!$D$67)*(1+Inputs!$D$68)^(X$259-1)</f>
        <v>-9772.125</v>
      </c>
      <c r="Y377" s="69" t="n">
        <f aca="false">-Y371*Inputs!$D$60/12*1*(1+Inputs!$D$67)*(1+Inputs!$D$68)^(Y$259-1)</f>
        <v>-9772.125</v>
      </c>
      <c r="Z377" s="69" t="n">
        <f aca="false">-Z371*Inputs!$D$60/12*1*(1+Inputs!$D$67)*(1+Inputs!$D$68)^(Z$259-1)</f>
        <v>-9772.125</v>
      </c>
      <c r="AA377" s="69" t="n">
        <f aca="false">-AA371*Inputs!$D$60/12*1*(1+Inputs!$D$67)*(1+Inputs!$D$68)^(AA$259-1)</f>
        <v>-10065.28875</v>
      </c>
      <c r="AB377" s="69" t="n">
        <f aca="false">-AB371*Inputs!$D$60/12*1*(1+Inputs!$D$67)*(1+Inputs!$D$68)^(AB$259-1)</f>
        <v>-10065.28875</v>
      </c>
      <c r="AC377" s="69" t="n">
        <f aca="false">-AC371*Inputs!$D$60/12*1*(1+Inputs!$D$67)*(1+Inputs!$D$68)^(AC$259-1)</f>
        <v>-10065.28875</v>
      </c>
      <c r="AD377" s="69" t="n">
        <f aca="false">-AD371*Inputs!$D$60/12*1*(1+Inputs!$D$67)*(1+Inputs!$D$68)^(AD$259-1)</f>
        <v>-10065.28875</v>
      </c>
      <c r="AE377" s="69" t="n">
        <f aca="false">-AE371*Inputs!$D$60/12*1*(1+Inputs!$D$67)*(1+Inputs!$D$68)^(AE$259-1)</f>
        <v>-10065.28875</v>
      </c>
      <c r="AF377" s="69" t="n">
        <f aca="false">-AF371*Inputs!$D$60/12*1*(1+Inputs!$D$67)*(1+Inputs!$D$68)^(AF$259-1)</f>
        <v>-10065.28875</v>
      </c>
      <c r="AG377" s="69" t="n">
        <f aca="false">-AG371*Inputs!$D$60/12*1*(1+Inputs!$D$67)*(1+Inputs!$D$68)^(AG$259-1)</f>
        <v>-10065.28875</v>
      </c>
      <c r="AH377" s="69" t="n">
        <f aca="false">-AH371*Inputs!$D$60/12*1*(1+Inputs!$D$67)*(1+Inputs!$D$68)^(AH$259-1)</f>
        <v>-10065.28875</v>
      </c>
      <c r="AI377" s="69" t="n">
        <f aca="false">-AI371*Inputs!$D$60/12*1*(1+Inputs!$D$67)*(1+Inputs!$D$68)^(AI$259-1)</f>
        <v>-10065.28875</v>
      </c>
      <c r="AJ377" s="69" t="n">
        <f aca="false">-AJ371*Inputs!$D$60/12*1*(1+Inputs!$D$67)*(1+Inputs!$D$68)^(AJ$259-1)</f>
        <v>-10065.28875</v>
      </c>
      <c r="AK377" s="69" t="n">
        <f aca="false">-AK371*Inputs!$D$60/12*1*(1+Inputs!$D$67)*(1+Inputs!$D$68)^(AK$259-1)</f>
        <v>-10065.28875</v>
      </c>
      <c r="AL377" s="69" t="n">
        <f aca="false">-AL371*Inputs!$D$60/12*1*(1+Inputs!$D$67)*(1+Inputs!$D$68)^(AL$259-1)</f>
        <v>-10065.28875</v>
      </c>
      <c r="AM377" s="69" t="n">
        <f aca="false">-AM371*Inputs!$D$60/12*1*(1+Inputs!$D$67)*(1+Inputs!$D$68)^(AM$259-1)</f>
        <v>-10367.2474125</v>
      </c>
      <c r="AN377" s="69" t="n">
        <f aca="false">-AN371*Inputs!$D$60/12*1*(1+Inputs!$D$67)*(1+Inputs!$D$68)^(AN$259-1)</f>
        <v>-10367.2474125</v>
      </c>
      <c r="AO377" s="69" t="n">
        <f aca="false">-AO371*Inputs!$D$60/12*1*(1+Inputs!$D$67)*(1+Inputs!$D$68)^(AO$259-1)</f>
        <v>-10367.2474125</v>
      </c>
      <c r="AP377" s="69" t="n">
        <f aca="false">-AP371*Inputs!$D$60/12*1*(1+Inputs!$D$67)*(1+Inputs!$D$68)^(AP$259-1)</f>
        <v>-10367.2474125</v>
      </c>
      <c r="AQ377" s="69" t="n">
        <f aca="false">-AQ371*Inputs!$D$60/12*1*(1+Inputs!$D$67)*(1+Inputs!$D$68)^(AQ$259-1)</f>
        <v>-10367.2474125</v>
      </c>
      <c r="AR377" s="69" t="n">
        <f aca="false">-AR371*Inputs!$D$60/12*1*(1+Inputs!$D$67)*(1+Inputs!$D$68)^(AR$259-1)</f>
        <v>-10367.2474125</v>
      </c>
      <c r="AS377" s="69" t="n">
        <f aca="false">-AS371*Inputs!$D$60/12*1*(1+Inputs!$D$67)*(1+Inputs!$D$68)^(AS$259-1)</f>
        <v>-10367.2474125</v>
      </c>
      <c r="AT377" s="69" t="n">
        <f aca="false">-AT371*Inputs!$D$60/12*1*(1+Inputs!$D$67)*(1+Inputs!$D$68)^(AT$259-1)</f>
        <v>-10367.2474125</v>
      </c>
      <c r="AU377" s="69" t="n">
        <f aca="false">-AU371*Inputs!$D$60/12*1*(1+Inputs!$D$67)*(1+Inputs!$D$68)^(AU$259-1)</f>
        <v>-10367.2474125</v>
      </c>
      <c r="AV377" s="69" t="n">
        <f aca="false">-AV371*Inputs!$D$60/12*1*(1+Inputs!$D$67)*(1+Inputs!$D$68)^(AV$259-1)</f>
        <v>-10367.2474125</v>
      </c>
      <c r="AW377" s="69" t="n">
        <f aca="false">-AW371*Inputs!$D$60/12*1*(1+Inputs!$D$67)*(1+Inputs!$D$68)^(AW$259-1)</f>
        <v>-10367.2474125</v>
      </c>
      <c r="AX377" s="69" t="n">
        <f aca="false">-AX371*Inputs!$D$60/12*1*(1+Inputs!$D$67)*(1+Inputs!$D$68)^(AX$259-1)</f>
        <v>-10367.2474125</v>
      </c>
      <c r="AY377" s="69" t="n">
        <f aca="false">-AY371*Inputs!$D$60/12*1*(1+Inputs!$D$67)*(1+Inputs!$D$68)^(AY$259-1)</f>
        <v>-10678.264834875</v>
      </c>
      <c r="AZ377" s="69" t="n">
        <f aca="false">-AZ371*Inputs!$D$60/12*1*(1+Inputs!$D$67)*(1+Inputs!$D$68)^(AZ$259-1)</f>
        <v>-10678.264834875</v>
      </c>
      <c r="BA377" s="69" t="n">
        <f aca="false">-BA371*Inputs!$D$60/12*1*(1+Inputs!$D$67)*(1+Inputs!$D$68)^(BA$259-1)</f>
        <v>-10678.264834875</v>
      </c>
      <c r="BB377" s="69" t="n">
        <f aca="false">-BB371*Inputs!$D$60/12*1*(1+Inputs!$D$67)*(1+Inputs!$D$68)^(BB$259-1)</f>
        <v>-10678.264834875</v>
      </c>
      <c r="BC377" s="69" t="n">
        <f aca="false">-BC371*Inputs!$D$60/12*1*(1+Inputs!$D$67)*(1+Inputs!$D$68)^(BC$259-1)</f>
        <v>-10678.264834875</v>
      </c>
      <c r="BD377" s="69" t="n">
        <f aca="false">-BD371*Inputs!$D$60/12*1*(1+Inputs!$D$67)*(1+Inputs!$D$68)^(BD$259-1)</f>
        <v>-10678.264834875</v>
      </c>
      <c r="BE377" s="69" t="n">
        <f aca="false">-BE371*Inputs!$D$60/12*1*(1+Inputs!$D$67)*(1+Inputs!$D$68)^(BE$259-1)</f>
        <v>-10678.264834875</v>
      </c>
      <c r="BF377" s="69" t="n">
        <f aca="false">-BF371*Inputs!$D$60/12*1*(1+Inputs!$D$67)*(1+Inputs!$D$68)^(BF$259-1)</f>
        <v>-10678.264834875</v>
      </c>
      <c r="BG377" s="69" t="n">
        <f aca="false">-BG371*Inputs!$D$60/12*1*(1+Inputs!$D$67)*(1+Inputs!$D$68)^(BG$259-1)</f>
        <v>-10678.264834875</v>
      </c>
      <c r="BH377" s="69" t="n">
        <f aca="false">-BH371*Inputs!$D$60/12*1*(1+Inputs!$D$67)*(1+Inputs!$D$68)^(BH$259-1)</f>
        <v>-10678.264834875</v>
      </c>
      <c r="BI377" s="69" t="n">
        <f aca="false">-BI371*Inputs!$D$60/12*1*(1+Inputs!$D$67)*(1+Inputs!$D$68)^(BI$259-1)</f>
        <v>-10678.264834875</v>
      </c>
      <c r="BJ377" s="69" t="n">
        <f aca="false">-BJ371*Inputs!$D$60/12*1*(1+Inputs!$D$67)*(1+Inputs!$D$68)^(BJ$259-1)</f>
        <v>-10678.264834875</v>
      </c>
    </row>
    <row r="378" customFormat="false" ht="15" hidden="false" customHeight="false" outlineLevel="0" collapsed="false">
      <c r="A378" s="6" t="s">
        <v>466</v>
      </c>
      <c r="C378" s="69" t="n">
        <f aca="false">-C372*Inputs!$D$64/12*1*(1+Inputs!$D$67)*(1+Inputs!$D$68)^(C$259-1)</f>
        <v>-5750</v>
      </c>
      <c r="D378" s="69" t="n">
        <f aca="false">-D372*Inputs!$D$64/12*1*(1+Inputs!$D$67)*(1+Inputs!$D$68)^(D$259-1)</f>
        <v>-5750</v>
      </c>
      <c r="E378" s="69" t="n">
        <f aca="false">-E372*Inputs!$D$64/12*1*(1+Inputs!$D$67)*(1+Inputs!$D$68)^(E$259-1)</f>
        <v>-5750</v>
      </c>
      <c r="F378" s="69" t="n">
        <f aca="false">-F372*Inputs!$D$64/12*1*(1+Inputs!$D$67)*(1+Inputs!$D$68)^(F$259-1)</f>
        <v>-5750</v>
      </c>
      <c r="G378" s="69" t="n">
        <f aca="false">-G372*Inputs!$D$64/12*1*(1+Inputs!$D$67)*(1+Inputs!$D$68)^(G$259-1)</f>
        <v>-5750</v>
      </c>
      <c r="H378" s="69" t="n">
        <f aca="false">-H372*Inputs!$D$64/12*1*(1+Inputs!$D$67)*(1+Inputs!$D$68)^(H$259-1)</f>
        <v>-5750</v>
      </c>
      <c r="I378" s="69" t="n">
        <f aca="false">-I372*Inputs!$D$64/12*1*(1+Inputs!$D$67)*(1+Inputs!$D$68)^(I$259-1)</f>
        <v>-5750</v>
      </c>
      <c r="J378" s="69" t="n">
        <f aca="false">-J372*Inputs!$D$64/12*1*(1+Inputs!$D$67)*(1+Inputs!$D$68)^(J$259-1)</f>
        <v>-5750</v>
      </c>
      <c r="K378" s="69" t="n">
        <f aca="false">-K372*Inputs!$D$64/12*1*(1+Inputs!$D$67)*(1+Inputs!$D$68)^(K$259-1)</f>
        <v>-5750</v>
      </c>
      <c r="L378" s="69" t="n">
        <f aca="false">-L372*Inputs!$D$64/12*1*(1+Inputs!$D$67)*(1+Inputs!$D$68)^(L$259-1)</f>
        <v>-5750</v>
      </c>
      <c r="M378" s="69" t="n">
        <f aca="false">-M372*Inputs!$D$64/12*1*(1+Inputs!$D$67)*(1+Inputs!$D$68)^(M$259-1)</f>
        <v>-5750</v>
      </c>
      <c r="N378" s="69" t="n">
        <f aca="false">-N372*Inputs!$D$64/12*1*(1+Inputs!$D$67)*(1+Inputs!$D$68)^(N$259-1)</f>
        <v>-5750</v>
      </c>
      <c r="O378" s="69" t="n">
        <f aca="false">-O372*Inputs!$D$64/12*1*(1+Inputs!$D$67)*(1+Inputs!$D$68)^(O$259-1)</f>
        <v>-5922.5</v>
      </c>
      <c r="P378" s="69" t="n">
        <f aca="false">-P372*Inputs!$D$64/12*1*(1+Inputs!$D$67)*(1+Inputs!$D$68)^(P$259-1)</f>
        <v>-5922.5</v>
      </c>
      <c r="Q378" s="69" t="n">
        <f aca="false">-Q372*Inputs!$D$64/12*1*(1+Inputs!$D$67)*(1+Inputs!$D$68)^(Q$259-1)</f>
        <v>-5922.5</v>
      </c>
      <c r="R378" s="69" t="n">
        <f aca="false">-R372*Inputs!$D$64/12*1*(1+Inputs!$D$67)*(1+Inputs!$D$68)^(R$259-1)</f>
        <v>-5922.5</v>
      </c>
      <c r="S378" s="69" t="n">
        <f aca="false">-S372*Inputs!$D$64/12*1*(1+Inputs!$D$67)*(1+Inputs!$D$68)^(S$259-1)</f>
        <v>-5922.5</v>
      </c>
      <c r="T378" s="69" t="n">
        <f aca="false">-T372*Inputs!$D$64/12*1*(1+Inputs!$D$67)*(1+Inputs!$D$68)^(T$259-1)</f>
        <v>-5922.5</v>
      </c>
      <c r="U378" s="69" t="n">
        <f aca="false">-U372*Inputs!$D$64/12*1*(1+Inputs!$D$67)*(1+Inputs!$D$68)^(U$259-1)</f>
        <v>-5922.5</v>
      </c>
      <c r="V378" s="69" t="n">
        <f aca="false">-V372*Inputs!$D$64/12*1*(1+Inputs!$D$67)*(1+Inputs!$D$68)^(V$259-1)</f>
        <v>-5922.5</v>
      </c>
      <c r="W378" s="69" t="n">
        <f aca="false">-W372*Inputs!$D$64/12*1*(1+Inputs!$D$67)*(1+Inputs!$D$68)^(W$259-1)</f>
        <v>-5922.5</v>
      </c>
      <c r="X378" s="69" t="n">
        <f aca="false">-X372*Inputs!$D$64/12*1*(1+Inputs!$D$67)*(1+Inputs!$D$68)^(X$259-1)</f>
        <v>-5922.5</v>
      </c>
      <c r="Y378" s="69" t="n">
        <f aca="false">-Y372*Inputs!$D$64/12*1*(1+Inputs!$D$67)*(1+Inputs!$D$68)^(Y$259-1)</f>
        <v>-5922.5</v>
      </c>
      <c r="Z378" s="69" t="n">
        <f aca="false">-Z372*Inputs!$D$64/12*1*(1+Inputs!$D$67)*(1+Inputs!$D$68)^(Z$259-1)</f>
        <v>-5922.5</v>
      </c>
      <c r="AA378" s="69" t="n">
        <f aca="false">-AA372*Inputs!$D$64/12*1*(1+Inputs!$D$67)*(1+Inputs!$D$68)^(AA$259-1)</f>
        <v>-6100.175</v>
      </c>
      <c r="AB378" s="69" t="n">
        <f aca="false">-AB372*Inputs!$D$64/12*1*(1+Inputs!$D$67)*(1+Inputs!$D$68)^(AB$259-1)</f>
        <v>-6100.175</v>
      </c>
      <c r="AC378" s="69" t="n">
        <f aca="false">-AC372*Inputs!$D$64/12*1*(1+Inputs!$D$67)*(1+Inputs!$D$68)^(AC$259-1)</f>
        <v>-6100.175</v>
      </c>
      <c r="AD378" s="69" t="n">
        <f aca="false">-AD372*Inputs!$D$64/12*1*(1+Inputs!$D$67)*(1+Inputs!$D$68)^(AD$259-1)</f>
        <v>-6100.175</v>
      </c>
      <c r="AE378" s="69" t="n">
        <f aca="false">-AE372*Inputs!$D$64/12*1*(1+Inputs!$D$67)*(1+Inputs!$D$68)^(AE$259-1)</f>
        <v>-6100.175</v>
      </c>
      <c r="AF378" s="69" t="n">
        <f aca="false">-AF372*Inputs!$D$64/12*1*(1+Inputs!$D$67)*(1+Inputs!$D$68)^(AF$259-1)</f>
        <v>-6100.175</v>
      </c>
      <c r="AG378" s="69" t="n">
        <f aca="false">-AG372*Inputs!$D$64/12*1*(1+Inputs!$D$67)*(1+Inputs!$D$68)^(AG$259-1)</f>
        <v>-6100.175</v>
      </c>
      <c r="AH378" s="69" t="n">
        <f aca="false">-AH372*Inputs!$D$64/12*1*(1+Inputs!$D$67)*(1+Inputs!$D$68)^(AH$259-1)</f>
        <v>-6100.175</v>
      </c>
      <c r="AI378" s="69" t="n">
        <f aca="false">-AI372*Inputs!$D$64/12*1*(1+Inputs!$D$67)*(1+Inputs!$D$68)^(AI$259-1)</f>
        <v>-6100.175</v>
      </c>
      <c r="AJ378" s="69" t="n">
        <f aca="false">-AJ372*Inputs!$D$64/12*1*(1+Inputs!$D$67)*(1+Inputs!$D$68)^(AJ$259-1)</f>
        <v>-6100.175</v>
      </c>
      <c r="AK378" s="69" t="n">
        <f aca="false">-AK372*Inputs!$D$64/12*1*(1+Inputs!$D$67)*(1+Inputs!$D$68)^(AK$259-1)</f>
        <v>-6100.175</v>
      </c>
      <c r="AL378" s="69" t="n">
        <f aca="false">-AL372*Inputs!$D$64/12*1*(1+Inputs!$D$67)*(1+Inputs!$D$68)^(AL$259-1)</f>
        <v>-6100.175</v>
      </c>
      <c r="AM378" s="69" t="n">
        <f aca="false">-AM372*Inputs!$D$64/12*1*(1+Inputs!$D$67)*(1+Inputs!$D$68)^(AM$259-1)</f>
        <v>-6283.18025</v>
      </c>
      <c r="AN378" s="69" t="n">
        <f aca="false">-AN372*Inputs!$D$64/12*1*(1+Inputs!$D$67)*(1+Inputs!$D$68)^(AN$259-1)</f>
        <v>-6283.18025</v>
      </c>
      <c r="AO378" s="69" t="n">
        <f aca="false">-AO372*Inputs!$D$64/12*1*(1+Inputs!$D$67)*(1+Inputs!$D$68)^(AO$259-1)</f>
        <v>-6283.18025</v>
      </c>
      <c r="AP378" s="69" t="n">
        <f aca="false">-AP372*Inputs!$D$64/12*1*(1+Inputs!$D$67)*(1+Inputs!$D$68)^(AP$259-1)</f>
        <v>-6283.18025</v>
      </c>
      <c r="AQ378" s="69" t="n">
        <f aca="false">-AQ372*Inputs!$D$64/12*1*(1+Inputs!$D$67)*(1+Inputs!$D$68)^(AQ$259-1)</f>
        <v>-6283.18025</v>
      </c>
      <c r="AR378" s="69" t="n">
        <f aca="false">-AR372*Inputs!$D$64/12*1*(1+Inputs!$D$67)*(1+Inputs!$D$68)^(AR$259-1)</f>
        <v>-6283.18025</v>
      </c>
      <c r="AS378" s="69" t="n">
        <f aca="false">-AS372*Inputs!$D$64/12*1*(1+Inputs!$D$67)*(1+Inputs!$D$68)^(AS$259-1)</f>
        <v>-6283.18025</v>
      </c>
      <c r="AT378" s="69" t="n">
        <f aca="false">-AT372*Inputs!$D$64/12*1*(1+Inputs!$D$67)*(1+Inputs!$D$68)^(AT$259-1)</f>
        <v>-6283.18025</v>
      </c>
      <c r="AU378" s="69" t="n">
        <f aca="false">-AU372*Inputs!$D$64/12*1*(1+Inputs!$D$67)*(1+Inputs!$D$68)^(AU$259-1)</f>
        <v>-6283.18025</v>
      </c>
      <c r="AV378" s="69" t="n">
        <f aca="false">-AV372*Inputs!$D$64/12*1*(1+Inputs!$D$67)*(1+Inputs!$D$68)^(AV$259-1)</f>
        <v>-6283.18025</v>
      </c>
      <c r="AW378" s="69" t="n">
        <f aca="false">-AW372*Inputs!$D$64/12*1*(1+Inputs!$D$67)*(1+Inputs!$D$68)^(AW$259-1)</f>
        <v>-6283.18025</v>
      </c>
      <c r="AX378" s="69" t="n">
        <f aca="false">-AX372*Inputs!$D$64/12*1*(1+Inputs!$D$67)*(1+Inputs!$D$68)^(AX$259-1)</f>
        <v>-6283.18025</v>
      </c>
      <c r="AY378" s="69" t="n">
        <f aca="false">-AY372*Inputs!$D$64/12*1*(1+Inputs!$D$67)*(1+Inputs!$D$68)^(AY$259-1)</f>
        <v>-6471.6756575</v>
      </c>
      <c r="AZ378" s="69" t="n">
        <f aca="false">-AZ372*Inputs!$D$64/12*1*(1+Inputs!$D$67)*(1+Inputs!$D$68)^(AZ$259-1)</f>
        <v>-6471.6756575</v>
      </c>
      <c r="BA378" s="69" t="n">
        <f aca="false">-BA372*Inputs!$D$64/12*1*(1+Inputs!$D$67)*(1+Inputs!$D$68)^(BA$259-1)</f>
        <v>-6471.6756575</v>
      </c>
      <c r="BB378" s="69" t="n">
        <f aca="false">-BB372*Inputs!$D$64/12*1*(1+Inputs!$D$67)*(1+Inputs!$D$68)^(BB$259-1)</f>
        <v>-6471.6756575</v>
      </c>
      <c r="BC378" s="69" t="n">
        <f aca="false">-BC372*Inputs!$D$64/12*1*(1+Inputs!$D$67)*(1+Inputs!$D$68)^(BC$259-1)</f>
        <v>-6471.6756575</v>
      </c>
      <c r="BD378" s="69" t="n">
        <f aca="false">-BD372*Inputs!$D$64/12*1*(1+Inputs!$D$67)*(1+Inputs!$D$68)^(BD$259-1)</f>
        <v>-6471.6756575</v>
      </c>
      <c r="BE378" s="69" t="n">
        <f aca="false">-BE372*Inputs!$D$64/12*1*(1+Inputs!$D$67)*(1+Inputs!$D$68)^(BE$259-1)</f>
        <v>-6471.6756575</v>
      </c>
      <c r="BF378" s="69" t="n">
        <f aca="false">-BF372*Inputs!$D$64/12*1*(1+Inputs!$D$67)*(1+Inputs!$D$68)^(BF$259-1)</f>
        <v>-6471.6756575</v>
      </c>
      <c r="BG378" s="69" t="n">
        <f aca="false">-BG372*Inputs!$D$64/12*1*(1+Inputs!$D$67)*(1+Inputs!$D$68)^(BG$259-1)</f>
        <v>-6471.6756575</v>
      </c>
      <c r="BH378" s="69" t="n">
        <f aca="false">-BH372*Inputs!$D$64/12*1*(1+Inputs!$D$67)*(1+Inputs!$D$68)^(BH$259-1)</f>
        <v>-6471.6756575</v>
      </c>
      <c r="BI378" s="69" t="n">
        <f aca="false">-BI372*Inputs!$D$64/12*1*(1+Inputs!$D$67)*(1+Inputs!$D$68)^(BI$259-1)</f>
        <v>-6471.6756575</v>
      </c>
      <c r="BJ378" s="69" t="n">
        <f aca="false">-BJ372*Inputs!$D$64/12*1*(1+Inputs!$D$67)*(1+Inputs!$D$68)^(BJ$259-1)</f>
        <v>-6471.6756575</v>
      </c>
    </row>
    <row r="379" customFormat="false" ht="15" hidden="false" customHeight="false" outlineLevel="0" collapsed="false">
      <c r="A379" s="115" t="s">
        <v>467</v>
      </c>
      <c r="C379" s="70" t="n">
        <f aca="false">C376+C377+C378</f>
        <v>-19070.8333333333</v>
      </c>
      <c r="D379" s="70" t="n">
        <f aca="false">D376+D377+D378</f>
        <v>-19070.8333333333</v>
      </c>
      <c r="E379" s="70" t="n">
        <f aca="false">E376+E377+E378</f>
        <v>-19070.8333333333</v>
      </c>
      <c r="F379" s="70" t="n">
        <f aca="false">F376+F377+F378</f>
        <v>-19070.8333333333</v>
      </c>
      <c r="G379" s="70" t="n">
        <f aca="false">G376+G377+G378</f>
        <v>-19070.8333333333</v>
      </c>
      <c r="H379" s="70" t="n">
        <f aca="false">H376+H377+H378</f>
        <v>-19070.8333333333</v>
      </c>
      <c r="I379" s="70" t="n">
        <f aca="false">I376+I377+I378</f>
        <v>-19070.8333333333</v>
      </c>
      <c r="J379" s="70" t="n">
        <f aca="false">J376+J377+J378</f>
        <v>-19070.8333333333</v>
      </c>
      <c r="K379" s="70" t="n">
        <f aca="false">K376+K377+K378</f>
        <v>-19070.8333333333</v>
      </c>
      <c r="L379" s="70" t="n">
        <f aca="false">L376+L377+L378</f>
        <v>-19070.8333333333</v>
      </c>
      <c r="M379" s="70" t="n">
        <f aca="false">M376+M377+M378</f>
        <v>-19070.8333333333</v>
      </c>
      <c r="N379" s="70" t="n">
        <f aca="false">N376+N377+N378</f>
        <v>-19070.8333333333</v>
      </c>
      <c r="O379" s="70" t="n">
        <f aca="false">O376+O377+O378</f>
        <v>-19642.9583333333</v>
      </c>
      <c r="P379" s="70" t="n">
        <f aca="false">P376+P377+P378</f>
        <v>-19642.9583333333</v>
      </c>
      <c r="Q379" s="70" t="n">
        <f aca="false">Q376+Q377+Q378</f>
        <v>-19642.9583333333</v>
      </c>
      <c r="R379" s="70" t="n">
        <f aca="false">R376+R377+R378</f>
        <v>-19642.9583333333</v>
      </c>
      <c r="S379" s="70" t="n">
        <f aca="false">S376+S377+S378</f>
        <v>-19642.9583333333</v>
      </c>
      <c r="T379" s="70" t="n">
        <f aca="false">T376+T377+T378</f>
        <v>-19642.9583333333</v>
      </c>
      <c r="U379" s="70" t="n">
        <f aca="false">U376+U377+U378</f>
        <v>-19642.9583333333</v>
      </c>
      <c r="V379" s="70" t="n">
        <f aca="false">V376+V377+V378</f>
        <v>-19642.9583333333</v>
      </c>
      <c r="W379" s="70" t="n">
        <f aca="false">W376+W377+W378</f>
        <v>-19642.9583333333</v>
      </c>
      <c r="X379" s="70" t="n">
        <f aca="false">X376+X377+X378</f>
        <v>-19642.9583333333</v>
      </c>
      <c r="Y379" s="70" t="n">
        <f aca="false">Y376+Y377+Y378</f>
        <v>-19642.9583333333</v>
      </c>
      <c r="Z379" s="70" t="n">
        <f aca="false">Z376+Z377+Z378</f>
        <v>-19642.9583333333</v>
      </c>
      <c r="AA379" s="70" t="n">
        <f aca="false">AA376+AA377+AA378</f>
        <v>-20232.2470833333</v>
      </c>
      <c r="AB379" s="70" t="n">
        <f aca="false">AB376+AB377+AB378</f>
        <v>-20232.2470833333</v>
      </c>
      <c r="AC379" s="70" t="n">
        <f aca="false">AC376+AC377+AC378</f>
        <v>-20232.2470833333</v>
      </c>
      <c r="AD379" s="70" t="n">
        <f aca="false">AD376+AD377+AD378</f>
        <v>-20232.2470833333</v>
      </c>
      <c r="AE379" s="70" t="n">
        <f aca="false">AE376+AE377+AE378</f>
        <v>-20232.2470833333</v>
      </c>
      <c r="AF379" s="70" t="n">
        <f aca="false">AF376+AF377+AF378</f>
        <v>-20232.2470833333</v>
      </c>
      <c r="AG379" s="70" t="n">
        <f aca="false">AG376+AG377+AG378</f>
        <v>-20232.2470833333</v>
      </c>
      <c r="AH379" s="70" t="n">
        <f aca="false">AH376+AH377+AH378</f>
        <v>-20232.2470833333</v>
      </c>
      <c r="AI379" s="70" t="n">
        <f aca="false">AI376+AI377+AI378</f>
        <v>-20232.2470833333</v>
      </c>
      <c r="AJ379" s="70" t="n">
        <f aca="false">AJ376+AJ377+AJ378</f>
        <v>-20232.2470833333</v>
      </c>
      <c r="AK379" s="70" t="n">
        <f aca="false">AK376+AK377+AK378</f>
        <v>-20232.2470833333</v>
      </c>
      <c r="AL379" s="70" t="n">
        <f aca="false">AL376+AL377+AL378</f>
        <v>-20232.2470833333</v>
      </c>
      <c r="AM379" s="70" t="n">
        <f aca="false">AM376+AM377+AM378</f>
        <v>-20839.2144958333</v>
      </c>
      <c r="AN379" s="70" t="n">
        <f aca="false">AN376+AN377+AN378</f>
        <v>-20839.2144958333</v>
      </c>
      <c r="AO379" s="70" t="n">
        <f aca="false">AO376+AO377+AO378</f>
        <v>-20839.2144958333</v>
      </c>
      <c r="AP379" s="70" t="n">
        <f aca="false">AP376+AP377+AP378</f>
        <v>-20839.2144958333</v>
      </c>
      <c r="AQ379" s="70" t="n">
        <f aca="false">AQ376+AQ377+AQ378</f>
        <v>-20839.2144958333</v>
      </c>
      <c r="AR379" s="70" t="n">
        <f aca="false">AR376+AR377+AR378</f>
        <v>-20839.2144958333</v>
      </c>
      <c r="AS379" s="70" t="n">
        <f aca="false">AS376+AS377+AS378</f>
        <v>-20839.2144958333</v>
      </c>
      <c r="AT379" s="70" t="n">
        <f aca="false">AT376+AT377+AT378</f>
        <v>-20839.2144958333</v>
      </c>
      <c r="AU379" s="70" t="n">
        <f aca="false">AU376+AU377+AU378</f>
        <v>-20839.2144958333</v>
      </c>
      <c r="AV379" s="70" t="n">
        <f aca="false">AV376+AV377+AV378</f>
        <v>-20839.2144958333</v>
      </c>
      <c r="AW379" s="70" t="n">
        <f aca="false">AW376+AW377+AW378</f>
        <v>-20839.2144958333</v>
      </c>
      <c r="AX379" s="70" t="n">
        <f aca="false">AX376+AX377+AX378</f>
        <v>-20839.2144958333</v>
      </c>
      <c r="AY379" s="70" t="n">
        <f aca="false">AY376+AY377+AY378</f>
        <v>-21464.3909307083</v>
      </c>
      <c r="AZ379" s="70" t="n">
        <f aca="false">AZ376+AZ377+AZ378</f>
        <v>-21464.3909307083</v>
      </c>
      <c r="BA379" s="70" t="n">
        <f aca="false">BA376+BA377+BA378</f>
        <v>-21464.3909307083</v>
      </c>
      <c r="BB379" s="70" t="n">
        <f aca="false">BB376+BB377+BB378</f>
        <v>-21464.3909307083</v>
      </c>
      <c r="BC379" s="70" t="n">
        <f aca="false">BC376+BC377+BC378</f>
        <v>-21464.3909307083</v>
      </c>
      <c r="BD379" s="70" t="n">
        <f aca="false">BD376+BD377+BD378</f>
        <v>-21464.3909307083</v>
      </c>
      <c r="BE379" s="70" t="n">
        <f aca="false">BE376+BE377+BE378</f>
        <v>-21464.3909307083</v>
      </c>
      <c r="BF379" s="70" t="n">
        <f aca="false">BF376+BF377+BF378</f>
        <v>-21464.3909307083</v>
      </c>
      <c r="BG379" s="70" t="n">
        <f aca="false">BG376+BG377+BG378</f>
        <v>-21464.3909307083</v>
      </c>
      <c r="BH379" s="70" t="n">
        <f aca="false">BH376+BH377+BH378</f>
        <v>-21464.3909307083</v>
      </c>
      <c r="BI379" s="70" t="n">
        <f aca="false">BI376+BI377+BI378</f>
        <v>-21464.3909307083</v>
      </c>
      <c r="BJ379" s="70" t="n">
        <f aca="false">BJ376+BJ377+BJ378</f>
        <v>-21464.3909307083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473</v>
      </c>
    </row>
    <row r="3" customFormat="false" ht="15" hidden="false" customHeight="false" outlineLevel="0" collapsed="false">
      <c r="A3" s="33" t="s">
        <v>474</v>
      </c>
      <c r="B3" s="33" t="s">
        <v>475</v>
      </c>
      <c r="C3" s="33" t="s">
        <v>476</v>
      </c>
    </row>
    <row r="4" customFormat="false" ht="15" hidden="false" customHeight="false" outlineLevel="0" collapsed="false">
      <c r="A4" s="6" t="s">
        <v>477</v>
      </c>
      <c r="B4" s="4" t="str">
        <f aca="false">IF(ABS(SUM('P&amp;L'!$B$5:$F$5)-SUM(Monthly!$C$31:$BJ$31))&lt;0.5,"PASS","FAIL")</f>
        <v>PASS</v>
      </c>
      <c r="C4" s="18" t="s">
        <v>478</v>
      </c>
    </row>
    <row r="5" customFormat="false" ht="15" hidden="false" customHeight="false" outlineLevel="0" collapsed="false">
      <c r="A5" s="6" t="s">
        <v>479</v>
      </c>
      <c r="B5" s="4" t="str">
        <f aca="false">IF(ABS(SUM('P&amp;L'!$B$23:$F$23)-SUM(Monthly!$C$59:$BJ$59))&lt;0.5,"PASS","FAIL")</f>
        <v>PASS</v>
      </c>
      <c r="C5" s="18" t="s">
        <v>480</v>
      </c>
    </row>
    <row r="6" customFormat="false" ht="15" hidden="false" customHeight="false" outlineLevel="0" collapsed="false">
      <c r="A6" s="6" t="s">
        <v>481</v>
      </c>
      <c r="B6" s="4" t="str">
        <f aca="false">IF(ABS(SUM(Monthly!$C$50:$BJ$50)-SUM(Monthly!$C$40:$BJ$40)-SUM(Monthly!$C$49:$BJ$49))&lt;0.5,"PASS","FAIL")</f>
        <v>PASS</v>
      </c>
      <c r="C6" s="18" t="s">
        <v>482</v>
      </c>
    </row>
    <row r="7" customFormat="false" ht="15" hidden="false" customHeight="false" outlineLevel="0" collapsed="false">
      <c r="A7" s="6" t="s">
        <v>483</v>
      </c>
      <c r="B7" s="4" t="str">
        <f aca="false">IF(ABS(INDEX(Monthly!$C$95:$BJ$95,60)-SUM(Monthly!$C$93:$BJ$93))&lt;0.5,"PASS","FAIL")</f>
        <v>PASS</v>
      </c>
      <c r="C7" s="18" t="s">
        <v>484</v>
      </c>
    </row>
    <row r="8" customFormat="false" ht="15" hidden="false" customHeight="false" outlineLevel="0" collapsed="false">
      <c r="A8" s="6" t="s">
        <v>485</v>
      </c>
      <c r="B8" s="4" t="str">
        <f aca="false">IF(AND(ISNUMBER(Dashboard!B4),Dashboard!B4&gt;=1,Dashboard!B4&lt;=3,INT(Dashboard!B4)=Dashboard!B4),"PASS","FAIL")</f>
        <v>PASS</v>
      </c>
      <c r="C8" s="18" t="s">
        <v>486</v>
      </c>
    </row>
    <row r="9" customFormat="false" ht="15" hidden="false" customHeight="false" outlineLevel="0" collapsed="false">
      <c r="A9" s="6" t="s">
        <v>487</v>
      </c>
      <c r="B9" s="4" t="str">
        <f aca="false">IF(AND(Inputs!$B$7&lt;=Inputs!$C$7,Inputs!$C$7&lt;=Inputs!$D$7,Inputs!$B$8&lt;=Inputs!$C$8,Inputs!$C$8&lt;=Inputs!$D$8,Inputs!$B$10&gt;=Inputs!$C$10,Inputs!$C$10&gt;=Inputs!$D$10,Inputs!$B$11&lt;=Inputs!$C$11,Inputs!$C$11&lt;=Inputs!$D$11,Inputs!$B$15&lt;=Inputs!$C$15,Inputs!$C$15&lt;=Inputs!$D$15,Inputs!$B$16&lt;=Inputs!$C$16,Inputs!$C$16&lt;=Inputs!$D$16,Inputs!$B$19&lt;=Inputs!$C$19,Inputs!$C$19&lt;=Inputs!$D$19,Inputs!$B$20&lt;=Inputs!$C$20,Inputs!$C$20&lt;=Inputs!$D$20,Inputs!$B$21&lt;=Inputs!$C$21,Inputs!$C$21&lt;=Inputs!$D$21,Inputs!$B$22&lt;=Inputs!$C$22,Inputs!$C$22&lt;=Inputs!$D$22,Inputs!$B$26&lt;=Inputs!$C$26,Inputs!$C$26&lt;=Inputs!$D$26,Inputs!$B$27&lt;=Inputs!$C$27,Inputs!$C$27&lt;=Inputs!$D$27,Inputs!$B$30&lt;=Inputs!$C$30,Inputs!$C$30&lt;=Inputs!$D$30,Inputs!$B$33&gt;=Inputs!$C$33,Inputs!$C$33&gt;=Inputs!$D$33,Inputs!$B$34&gt;=Inputs!$C$34,Inputs!$C$34&gt;=Inputs!$D$34,Inputs!$B$35&gt;=Inputs!$C$35,Inputs!$C$35&gt;=Inputs!$D$35,Inputs!$B$43&lt;=Inputs!$C$43,Inputs!$C$43&lt;=Inputs!$D$43,Inputs!$B$44&gt;=Inputs!$C$44,Inputs!$C$44&gt;=Inputs!$D$44,Inputs!$B$45&gt;=Inputs!$C$45,Inputs!$C$45&gt;=Inputs!$D$45,Inputs!$B$55&lt;=Inputs!$C$55,Inputs!$C$55&lt;=Inputs!$D$55,Inputs!$B$57&lt;=Inputs!$C$57,Inputs!$C$57&lt;=Inputs!$D$57,Inputs!$B$59&lt;=Inputs!$C$59,Inputs!$C$59&lt;=Inputs!$D$59,Inputs!$B$61&lt;=Inputs!$C$61,Inputs!$C$61&lt;=Inputs!$D$61,Inputs!$B$63&lt;=Inputs!$C$63,Inputs!$C$63&lt;=Inputs!$D$63,Inputs!$B$65&lt;=Inputs!$C$65,Inputs!$C$65&lt;=Inputs!$D$65,Inputs!$B$89&gt;=Inputs!$C$89,Inputs!$C$89&gt;=Inputs!$D$89,Inputs!$B$90&lt;=Inputs!$C$90,Inputs!$C$90&lt;=Inputs!$D$90,Inputs!$B$91&lt;=Inputs!$C$91,Inputs!$C$91&lt;=Inputs!$D$91),"PASS","FAIL")</f>
        <v>PASS</v>
      </c>
      <c r="C9" s="18" t="s">
        <v>488</v>
      </c>
    </row>
    <row r="10" customFormat="false" ht="15" hidden="false" customHeight="false" outlineLevel="0" collapsed="false">
      <c r="A10" s="6" t="s">
        <v>489</v>
      </c>
      <c r="B10" s="4" t="str">
        <f aca="false">IF(AND(MIN('P&amp;L'!$B$8:$F$8)&gt;=0,MAX('P&amp;L'!$B$8:$F$8)&lt;=1),"PASS","FAIL")</f>
        <v>PASS</v>
      </c>
      <c r="C10" s="18" t="s">
        <v>490</v>
      </c>
    </row>
    <row r="11" customFormat="false" ht="15" hidden="false" customHeight="false" outlineLevel="0" collapsed="false">
      <c r="A11" s="6" t="s">
        <v>491</v>
      </c>
      <c r="B11" s="4" t="str">
        <f aca="false">IF(MIN(Monthly!$C$78:$BJ$78)&gt;=-0.5,"PASS","FAIL")</f>
        <v>PASS</v>
      </c>
      <c r="C11" s="18" t="s">
        <v>492</v>
      </c>
    </row>
    <row r="12" customFormat="false" ht="15" hidden="false" customHeight="false" outlineLevel="0" collapsed="false">
      <c r="A12" s="6" t="s">
        <v>493</v>
      </c>
      <c r="B12" s="4" t="str">
        <f aca="false">IF(ABS('Break-even'!B18-('Break-even'!B16-'Break-even'!B10))&lt;0.5,"PASS","FAIL")</f>
        <v>PASS</v>
      </c>
      <c r="C12" s="18" t="s">
        <v>494</v>
      </c>
    </row>
    <row r="13" customFormat="false" ht="15" hidden="false" customHeight="false" outlineLevel="0" collapsed="false">
      <c r="A13" s="6" t="s">
        <v>495</v>
      </c>
      <c r="B13" s="4" t="str">
        <f aca="false">IF(ABS(Valuation!B23-NPV(Valuation!B6,Valuation!$B$17:$F$17))&lt;0.5,"PASS","FAIL")</f>
        <v>PASS</v>
      </c>
      <c r="C13" s="18" t="s">
        <v>496</v>
      </c>
    </row>
    <row r="14" customFormat="false" ht="15" hidden="false" customHeight="false" outlineLevel="0" collapsed="false">
      <c r="A14" s="6" t="s">
        <v>497</v>
      </c>
      <c r="B14" s="4" t="str">
        <f aca="false">IF(Valuation!B6&gt;Valuation!B7,"PASS","FAIL")</f>
        <v>PASS</v>
      </c>
      <c r="C14" s="18" t="s">
        <v>498</v>
      </c>
    </row>
    <row r="15" customFormat="false" ht="15" hidden="false" customHeight="false" outlineLevel="0" collapsed="false">
      <c r="A15" s="6" t="s">
        <v>499</v>
      </c>
      <c r="B15" s="4" t="str">
        <f aca="false">IF(ABS(Valuation!D36-Valuation!B27)&lt;0.5,"PASS","FAIL")</f>
        <v>PASS</v>
      </c>
      <c r="C15" s="18" t="s">
        <v>500</v>
      </c>
    </row>
    <row r="16" customFormat="false" ht="15" hidden="false" customHeight="false" outlineLevel="0" collapsed="false">
      <c r="A16" s="6" t="s">
        <v>501</v>
      </c>
      <c r="B16" s="4" t="str">
        <f aca="false">IF(Valuation!$F$17&gt;0,"PASS","WARN")</f>
        <v>PASS</v>
      </c>
      <c r="C16" s="18" t="s">
        <v>502</v>
      </c>
    </row>
    <row r="17" customFormat="false" ht="15" hidden="false" customHeight="false" outlineLevel="0" collapsed="false">
      <c r="A17" s="6" t="s">
        <v>503</v>
      </c>
      <c r="B17" s="4" t="str">
        <f aca="false">IF(ABS('Sources &amp; Uses'!B21-'Sources &amp; Uses'!B28)&lt;0.5,"PASS","FAIL")</f>
        <v>PASS</v>
      </c>
      <c r="C17" s="18" t="s">
        <v>504</v>
      </c>
    </row>
    <row r="18" customFormat="false" ht="15" hidden="false" customHeight="false" outlineLevel="0" collapsed="false">
      <c r="A18" s="6" t="s">
        <v>505</v>
      </c>
      <c r="B18" s="4" t="str">
        <f aca="false">IF(SUMPRODUCT(--ISERROR(Monthly!$C$4:$BJ$113))+SUMPRODUCT(--ISERROR(Headcount!$C$4:$BJ$17))+SUMPRODUCT(--ISERROR('P&amp;L'!$B$3:$F$24))+SUMPRODUCT(--ISERROR('Cash Flow'!$B$3:$F$18))+SUMPRODUCT(--ISERROR('Balance Sheet'!$B$3:$F$17))+SUMPRODUCT(--ISERROR(KPIs!$B$27:$F$48))+SUMPRODUCT(--ISERROR('Break-even'!$B$26:$F$33))+SUMPRODUCT(--ISERROR(Valuation!$B$14:$F$19))+SUMPRODUCT(--ISERROR('Break-even'!$B$3:$F$35))+SUMPRODUCT(--ISERROR(Valuation!$A$3:$F$40))+SUMPRODUCT(--ISERROR('Sources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Uses'!$B$3:$C$30))+SUMPRODUCT(--ISERROR(Dashboard!$A$6:$W$44))+SUMPRODUCT(--ISERROR(Summary!$A$5:$S$52))+SUMPRODUCT(--ISERROR(KPIs!$A$4:$G$48))+SUMPRODUCT(--ISERROR('Scenario calc'!$C$6:$BJ$127))+SUMPRODUCT(--ISERROR('Scenario calc'!$C$132:$BJ$253))+SUMPRODUCT(--ISERROR('Scenario calc'!$C$258:$BJ$379))+SUMPRODUCT(--ISERROR(Scenarios!$B$5:$F$50))=0,"PASS","FAIL")</f>
        <v>PASS</v>
      </c>
      <c r="C18" s="18" t="s">
        <v>506</v>
      </c>
    </row>
    <row r="19" customFormat="false" ht="15" hidden="false" customHeight="false" outlineLevel="0" collapsed="false">
      <c r="A19" s="6" t="s">
        <v>507</v>
      </c>
      <c r="B19" s="4" t="str">
        <f aca="false">IF(IFERROR(AND(SUMPRODUCT(--(ABS(Summary!$B$7:$F$7-'P&amp;L'!$B$5:$F$5)&gt;0.5))=0,SUMPRODUCT(--(ABS(Summary!$B$19:$F$19-'P&amp;L'!$B$23:$F$23)&gt;0.5))=0,SUMPRODUCT(--(ABS(Summary!$B$31:$F$31-'Cash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508</v>
      </c>
    </row>
    <row r="20" customFormat="false" ht="15" hidden="false" customHeight="false" outlineLevel="0" collapsed="false">
      <c r="A20" s="6" t="s">
        <v>509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510</v>
      </c>
    </row>
    <row r="21" customFormat="false" ht="15" hidden="false" customHeight="false" outlineLevel="0" collapsed="false">
      <c r="A21" s="6" t="s">
        <v>511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512</v>
      </c>
    </row>
    <row r="22" customFormat="false" ht="15" hidden="false" customHeight="false" outlineLevel="0" collapsed="false">
      <c r="A22" s="6" t="s">
        <v>513</v>
      </c>
      <c r="B22" s="4" t="str">
        <f aca="false">IF(SUMPRODUCT(--(ABS(Monthly!$C$113:$BJ$113)&gt;0.5))=0,"PASS","FAIL")</f>
        <v>PASS</v>
      </c>
      <c r="C22" s="18" t="s">
        <v>514</v>
      </c>
    </row>
    <row r="23" customFormat="false" ht="15" hidden="false" customHeight="false" outlineLevel="0" collapsed="false">
      <c r="A23" s="6" t="s">
        <v>515</v>
      </c>
      <c r="B23" s="4" t="str">
        <f aca="false">IF(MIN(Monthly!$C$95:$BJ$95)&gt;=0,"PASS","WARN")</f>
        <v>PASS</v>
      </c>
      <c r="C23" s="18" t="s">
        <v>516</v>
      </c>
    </row>
    <row r="25" customFormat="false" ht="15" hidden="false" customHeight="false" outlineLevel="0" collapsed="false">
      <c r="A25" s="72" t="s">
        <v>517</v>
      </c>
      <c r="B25" s="72" t="str">
        <f aca="false">IF(COUNTIF(B4:B23,"FAIL")&gt;0,"FAIL",IF(COUNTIF(B4:B23,"WARN")&gt;0,"PASS WITH WARNINGS","PASS"))</f>
        <v>PASS</v>
      </c>
      <c r="C25" s="125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2026-10-22T05:36:32Z</dcterms:created>
  <dc:creator/>
  <dc:description/>
  <dc:language>en-US</dc:language>
  <cp:lastModifiedBy/>
  <dcterms:modified xsi:type="dcterms:W3CDTF">2026-10-22T05:36:33Z</dcterms:modified>
  <cp:revision>0</cp:revision>
  <dc:subject/>
  <dc:title>Pet grooming &amp; boarding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