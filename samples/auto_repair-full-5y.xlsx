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<sst xmlns="http://schemas.openxmlformats.org/spreadsheetml/2006/main" count="1339" uniqueCount="515">
  <si>
    <t xml:space="preserve">Auto repair shop financial model (planning)</t>
  </si>
  <si>
    <t xml:space="preserve">5-year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</si>
  <si>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</si>
  <si>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</si>
  <si>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</si>
  <si>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</si>
  <si>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</si>
  <si>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22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</si>
  <si>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</si>
  <si>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</si>
  <si>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</si>
  <si>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</si>
  <si>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</si>
  <si>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</si>
  <si>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</si>
  <si>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</si>
  <si>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</si>
  <si>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</si>
  <si>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</si>
  <si>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</si>
  <si>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</si>
  <si>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</si>
  <si>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</si>
  <si>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</si>
  <si>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</si>
  <si>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</si>
  <si>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</si>
  <si>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</si>
  <si>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</si>
  <si>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</si>
  <si>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</si>
  <si>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</si>
  <si>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</si>
  <si>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</si>
  <si>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</si>
  <si>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</si>
  <si>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5</t>
  </si>
  <si>
    <t xml:space="preserve">EBITDA MARGIN · YEAR 5</t>
  </si>
  <si>
    <t xml:space="preserve">NET INCOME · YEAR 5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</si>
  <si>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</si>
  <si>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</si>
  <si>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</si>
  <si>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</si>
  <si>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</si>
  <si>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</si>
  <si>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</si>
  <si>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</si>
  <si>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</si>
  <si>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</si>
  <si>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</si>
  <si>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</si>
  <si>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</si>
  <si>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</si>
  <si>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</si>
  <si>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</si>
  <si>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</si>
  <si>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</si>
  <si>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Auto repair metrics</t>
  </si>
  <si>
    <t xml:space="preserve">Billed labor hours</t>
  </si>
  <si>
    <t xml:space="preserve">Shop capacity used</t>
  </si>
  <si>
    <t xml:space="preserve">Revenue per repair order</t>
  </si>
  <si>
    <t xml:space="preserve">Revenue per billed hour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</si>
  <si>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</si>
  <si>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</si>
  <si>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</si>
  <si>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</si>
  <si>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</si>
  <si>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</si>
  <si>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</si>
  <si>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</si>
  <si>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</si>
  <si>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</si>
  <si>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</si>
  <si>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</si>
  <si>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</si>
  <si>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</si>
  <si>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</si>
  <si>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</si>
  <si>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</si>
  <si>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</si>
  <si>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</si>
  <si>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</si>
  <si>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</si>
  <si>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</si>
  <si>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</si>
  <si>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</si>
  <si>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</si>
  <si>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</si>
  <si>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</si>
  <si>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</si>
  <si>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</si>
  <si>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</si>
  <si>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</si>
  <si>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</si>
  <si>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</si>
  <si>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</si>
  <si>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</si>
  <si>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</si>
  <si>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</si>
  <si>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</si>
  <si>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</si>
  <si>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</si>
  <si>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</si>
  <si>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</si>
  <si>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</si>
  <si>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</si>
  <si>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</si>
  <si>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</si>
  <si>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</si>
  <si>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Repair orders per operating day at maturity (year 1) (orders)</t>
  </si>
  <si>
    <t xml:space="preserve">Effective labor rate per billed hour (year 1) ($)</t>
  </si>
  <si>
    <t xml:space="preserve">Service bays (lifts) (bays)</t>
  </si>
  <si>
    <t xml:space="preserve">Parts gross margin, % of parts sales (%)</t>
  </si>
  <si>
    <t xml:space="preserve">Shop rent or land cost per month ($)</t>
  </si>
  <si>
    <t xml:space="preserve">Lift &amp; bay equipment per bay (month 1) ($)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</si>
  <si>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</si>
  <si>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</si>
  <si>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</si>
  <si>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</si>
  <si>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</si>
  <si>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</si>
  <si>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</si>
  <si>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</si>
  <si>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</si>
  <si>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</si>
  <si>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</si>
  <si>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</si>
  <si>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</si>
  <si>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</si>
  <si>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</si>
  <si>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</si>
  <si>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</si>
  <si>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</si>
  <si>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</si>
  <si>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</si>
  <si>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</si>
  <si>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</si>
  <si>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</si>
  <si>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</si>
  <si>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</si>
  <si>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</si>
  <si>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</si>
  <si>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</si>
  <si>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</si>
  <si>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</si>
  <si>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</si>
  <si>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</si>
  <si>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</si>
  <si>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</si>
  <si>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</si>
  <si>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</si>
  <si>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</si>
  <si>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</si>
  <si>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</si>
  <si>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</si>
  <si>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</si>
  <si>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</si>
  <si>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</si>
  <si>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</si>
  <si>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</si>
  <si>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</si>
  <si>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</si>
  <si>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</si>
  <si>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</si>
  <si>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</si>
  <si>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</si>
  <si>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</si>
  <si>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</si>
  <si>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</si>
  <si>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</si>
  <si>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</si>
  <si>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</si>
  <si>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</si>
  <si>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</si>
  <si>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</si>
  <si>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</si>
  <si>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</si>
  <si>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</si>
  <si>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</si>
  <si>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</si>
  <si>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</si>
  <si>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</si>
  <si>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</si>
  <si>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5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</si>
  <si>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</si>
  <si>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</si>
  <si>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</si>
  <si>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</si>
  <si>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</si>
  <si>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</si>
  <si>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</si>
  <si>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</si>
  <si>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</si>
  <si>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</si>
  <si>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</si>
  <si>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</si>
  <si>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</si>
  <si>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</si>
  <si>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</si>
  <si>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</si>
  <si>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</si>
  <si>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</si>
  <si>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</si>
  <si>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60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</si>
  <si>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</si>
  <si>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</si>
  <si>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</si>
  <si>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</si>
  <si>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</si>
  <si>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</si>
  <si>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</si>
  <si>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</si>
  <si>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</si>
  <si>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</si>
  <si>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</si>
  <si>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</si>
  <si>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Auto repair shop financial model (planning)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</si>
  <si>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</si>
  <si>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</si>
  <si>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</si>
  <si>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</si>
  <si>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</si>
  <si>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</si>
  <si>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</si>
  <si>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</si>
  <si>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</si>
  <si>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</si>
  <si>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</si>
  <si>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</si>
  <si>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</si>
  <si>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</si>
  <si>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</si>
  <si>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Auto repair metrics ($'000; per-unit rows in $)</t>
  </si>
  <si>
    <t xml:space="preserve">Technicians (FTE, year end)</t>
  </si>
  <si>
    <t xml:space="preserve">Repair orders completed</t>
  </si>
  <si>
    <t xml:space="preserve">Billed-hour capacity (lower of bays and technicians)</t>
  </si>
  <si>
    <t xml:space="preserve">Bay capacity used (billed hours ÷ bay limit)</t>
  </si>
  <si>
    <t xml:space="preserve">Billed hours lost to the capacity limit</t>
  </si>
  <si>
    <t xml:space="preserve">Labor revenue</t>
  </si>
  <si>
    <t xml:space="preserve">Parts revenue</t>
  </si>
  <si>
    <t xml:space="preserve">Parts share of revenue</t>
  </si>
  <si>
    <t xml:space="preserve">Revenue per repair order ($)</t>
  </si>
  <si>
    <t xml:space="preserve">Revenue per billed hour ($)</t>
  </si>
  <si>
    <t xml:space="preserve">Revenue per technician (year-end FTE)</t>
  </si>
  <si>
    <t xml:space="preserve">Parts cost</t>
  </si>
  <si>
    <t xml:space="preserve">Parts gross margin</t>
  </si>
  <si>
    <t xml:space="preserve">Inputs — Low / Base / High</t>
  </si>
  <si>
    <t xml:space="preserve">Illustrative assumptions - replace them with your own numbers.</t>
  </si>
  <si>
    <t xml:space="preserve">Unit</t>
  </si>
  <si>
    <t xml:space="preserve">Source / comment</t>
  </si>
  <si>
    <t xml:space="preserve">Repair orders</t>
  </si>
  <si>
    <t xml:space="preserve">Repair orders per operating day at maturity (year 1)</t>
  </si>
  <si>
    <t xml:space="preserve">orders</t>
  </si>
  <si>
    <t xml:space="preserve">Low ≤ Base ≤ High</t>
  </si>
  <si>
    <t xml:space="preserve">Repair orders growth per year</t>
  </si>
  <si>
    <t xml:space="preserve">%</t>
  </si>
  <si>
    <t xml:space="preserve">Billed labor hours per repair order</t>
  </si>
  <si>
    <t xml:space="preserve">hours</t>
  </si>
  <si>
    <t xml:space="preserve">Operating days per month</t>
  </si>
  <si>
    <t xml:space="preserve">days</t>
  </si>
  <si>
    <t xml:space="preserve">Months to reach mature order volume (0 = already mature)</t>
  </si>
  <si>
    <t xml:space="preserve">months</t>
  </si>
  <si>
    <t xml:space="preserve">Low ≥ Base ≥ High (lower is better)</t>
  </si>
  <si>
    <t xml:space="preserve">Order volume in month 1, % of mature</t>
  </si>
  <si>
    <t xml:space="preserve">Shop capacity</t>
  </si>
  <si>
    <t xml:space="preserve">Service bays (lifts)</t>
  </si>
  <si>
    <t xml:space="preserve">bays</t>
  </si>
  <si>
    <t xml:space="preserve">Billed hours one bay can carry per operating day</t>
  </si>
  <si>
    <t xml:space="preserve">Paid hours per technician per operating day</t>
  </si>
  <si>
    <t xml:space="preserve">Technician efficiency (billed hours per paid hour)</t>
  </si>
  <si>
    <t xml:space="preserve">Labor prices</t>
  </si>
  <si>
    <t xml:space="preserve">Effective labor rate per billed hour (year 1)</t>
  </si>
  <si>
    <t xml:space="preserve">$</t>
  </si>
  <si>
    <t xml:space="preserve">Price increase per year</t>
  </si>
  <si>
    <t xml:space="preserve">Shop supplies fee, % of labor revenue</t>
  </si>
  <si>
    <t xml:space="preserve">Parts &amp; supplies</t>
  </si>
  <si>
    <t xml:space="preserve">Parts sales per billed labor hour (year 1)</t>
  </si>
  <si>
    <t xml:space="preserve">Parts gross margin, % of parts sales</t>
  </si>
  <si>
    <t xml:space="preserve">Shop supplies &amp; waste disposal cost, % of labor revenue</t>
  </si>
  <si>
    <t xml:space="preserve">Comebacks &amp; warranty rework, % of labor revenue</t>
  </si>
  <si>
    <t xml:space="preserve">Card processing fees, % of revenue</t>
  </si>
  <si>
    <t xml:space="preserve">Cost increase per year (insurance, software &amp; other)</t>
  </si>
  <si>
    <t xml:space="preserve">Shop costs</t>
  </si>
  <si>
    <t xml:space="preserve">Shop rent or land cost per month</t>
  </si>
  <si>
    <t xml:space="preserve">Rent increase per year</t>
  </si>
  <si>
    <t xml:space="preserve">Insurance (garage liability, property) per month</t>
  </si>
  <si>
    <t xml:space="preserve">Shop software, diagnostic subscriptions, utilities &amp; other G&amp;A per month</t>
  </si>
  <si>
    <t xml:space="preserve">Marketing budget per month (year 1)</t>
  </si>
  <si>
    <t xml:space="preserve">Marketing budget growth per year</t>
  </si>
  <si>
    <t xml:space="preserve">Lift &amp; bay equipment per bay (month 1)</t>
  </si>
  <si>
    <t xml:space="preserve">Diagnostic tools &amp; scan equipment (month 1)</t>
  </si>
  <si>
    <t xml:space="preserve">Leasehold improvements &amp; signage (month 1)</t>
  </si>
  <si>
    <t xml:space="preserve">Land or building purchase (month 1; never depreciated, 0 = leased shop)</t>
  </si>
  <si>
    <t xml:space="preserve">Equipment &amp; tool refresh per year (from year 2)</t>
  </si>
  <si>
    <t xml:space="preserve">Headcount</t>
  </si>
  <si>
    <t xml:space="preserve">Technicians: headcount (FTE)</t>
  </si>
  <si>
    <t xml:space="preserve">FTE</t>
  </si>
  <si>
    <t xml:space="preserve">Technicians: salary per FTE per year</t>
  </si>
  <si>
    <t xml:space="preserve">Technicians: headcount growth per year</t>
  </si>
  <si>
    <t xml:space="preserve">Technicians: first month on payroll</t>
  </si>
  <si>
    <t xml:space="preserve">month #</t>
  </si>
  <si>
    <t xml:space="preserve">Service advisors &amp; front desk: headcount (FTE)</t>
  </si>
  <si>
    <t xml:space="preserve">Service advisors &amp; front desk: salary per FTE per year</t>
  </si>
  <si>
    <t xml:space="preserve">Service advisors &amp; front desk: headcount growth per year</t>
  </si>
  <si>
    <t xml:space="preserve">Service advisors &amp; front desk: first month on payroll</t>
  </si>
  <si>
    <t xml:space="preserve">Shop manager: headcount (FTE)</t>
  </si>
  <si>
    <t xml:space="preserve">Shop manager: salary per FTE per year</t>
  </si>
  <si>
    <t xml:space="preserve">Shop manager: headcount growth per year</t>
  </si>
  <si>
    <t xml:space="preserve">Shop manager: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</si>
  <si>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</si>
  <si>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</si>
  <si>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</si>
  <si>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</si>
  <si>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</si>
  <si>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</si>
  <si>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</si>
  <si>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</si>
  <si>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</si>
  <si>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</si>
  <si>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</si>
  <si>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</si>
  <si>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</si>
  <si>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</si>
  <si>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</si>
  <si>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</si>
  <si>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</si>
  <si>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</si>
  <si>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</si>
  <si>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</si>
  <si>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</si>
  <si>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</si>
  <si>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</si>
  <si>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</si>
  <si>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Advisors, manager &amp; other payroll</t>
  </si>
  <si>
    <t xml:space="preserve">Shop rent or land cost</t>
  </si>
  <si>
    <t xml:space="preserve">Insurance</t>
  </si>
  <si>
    <t xml:space="preserve">Software, utilities &amp; other G&amp;A</t>
  </si>
  <si>
    <t xml:space="preserve">Marketing</t>
  </si>
  <si>
    <t xml:space="preserve">Card processing fees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</si>
  <si>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</si>
  <si>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</si>
  <si>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</si>
  <si>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</si>
  <si>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</si>
  <si>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</si>
  <si>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</si>
  <si>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</si>
  <si>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</si>
  <si>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</si>
  <si>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</si>
  <si>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</si>
  <si>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</si>
  <si>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</si>
  <si>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</si>
  <si>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</si>
  <si>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</si>
  <si>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</si>
  <si>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</si>
  <si>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</si>
  <si>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</si>
  <si>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</si>
  <si>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</si>
  <si>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</si>
  <si>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</si>
  <si>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</si>
  <si>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</si>
  <si>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</si>
  <si>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</si>
  <si>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</si>
  <si>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</si>
  <si>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</si>
  <si>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</si>
  <si>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</si>
  <si>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</si>
  <si>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</si>
  <si>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</si>
  <si>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</si>
  <si>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</si>
  <si>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</si>
  <si>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</si>
  <si>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</si>
  <si>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</si>
  <si>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</si>
  <si>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</si>
  <si>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</si>
  <si>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</si>
  <si>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</si>
  <si>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</si>
  <si>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</si>
  <si>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</si>
  <si>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</si>
  <si>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</si>
  <si>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</si>
  <si>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</si>
  <si>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</si>
  <si>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</si>
  <si>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</si>
  <si>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</si>
  <si>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</si>
  <si>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</si>
  <si>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</si>
  <si>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</si>
  <si>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</si>
  <si>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</si>
  <si>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</si>
  <si>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</si>
  <si>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</si>
  <si>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</si>
  <si>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Period #</t>
  </si>
  <si>
    <t xml:space="preserve">Demand</t>
  </si>
  <si>
    <t xml:space="preserve">Helper: months of the period still on the ramp-up</t>
  </si>
  <si>
    <t xml:space="preserve">Ramp-up factor (share of mature order volume)</t>
  </si>
  <si>
    <t xml:space="preserve">Repair orders demanded</t>
  </si>
  <si>
    <t xml:space="preserve">Billed hours demanded</t>
  </si>
  <si>
    <t xml:space="preserve">Capacity</t>
  </si>
  <si>
    <t xml:space="preserve">Technicians (FTE)</t>
  </si>
  <si>
    <t xml:space="preserve">Bay capacity (bays × billed hours per bay-day × operating days)</t>
  </si>
  <si>
    <t xml:space="preserve">Technician capacity (FTE × paid hours × efficiency × operating days)</t>
  </si>
  <si>
    <t xml:space="preserve">Billed labor hours (demand capped by capacity)</t>
  </si>
  <si>
    <t xml:space="preserve">Share of demand the shop can serve</t>
  </si>
  <si>
    <t xml:space="preserve">Effective labor rate per billed hour</t>
  </si>
  <si>
    <t xml:space="preserve">Shop supplies fee</t>
  </si>
  <si>
    <t xml:space="preserve">Technician payroll</t>
  </si>
  <si>
    <t xml:space="preserve">Shop supplies &amp; waste disposal</t>
  </si>
  <si>
    <t xml:space="preserve">Comebacks &amp; warranty rework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</si>
  <si>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</si>
  <si>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</si>
  <si>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</si>
  <si>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</si>
  <si>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</si>
  <si>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Lifts &amp; bay equipment</t>
  </si>
  <si>
    <t xml:space="preserve">Diagnostic tools &amp; scan equipment</t>
  </si>
  <si>
    <t xml:space="preserve">Leasehold improvements &amp; signage</t>
  </si>
  <si>
    <t xml:space="preserve">Land or building (not depreciated)</t>
  </si>
  <si>
    <t xml:space="preserve">Equipment &amp; tool refresh (first period of each year from year 2)</t>
  </si>
  <si>
    <t xml:space="preserve">Fixed assets at cost</t>
  </si>
  <si>
    <t xml:space="preserve">Land at cost (not depreciated)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</si>
  <si>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</si>
  <si>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</si>
  <si>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</si>
  <si>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</si>
  <si>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</si>
  <si>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</si>
  <si>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</si>
  <si>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</si>
  <si>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</si>
  <si>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</si>
  <si>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</si>
  <si>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</si>
  <si>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</si>
  <si>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</si>
  <si>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</si>
  <si>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</si>
  <si>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</si>
  <si>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</si>
  <si>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</si>
  <si>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Technicians — FTE</t>
  </si>
  <si>
    <t xml:space="preserve">Service advisors &amp; front desk — FTE</t>
  </si>
  <si>
    <t xml:space="preserve">Shop manager — FTE</t>
  </si>
  <si>
    <t xml:space="preserve">Total FTE</t>
  </si>
  <si>
    <t xml:space="preserve">Payroll cost (salary + taxes &amp; benefits)</t>
  </si>
  <si>
    <t xml:space="preserve">Technicians — payroll cost</t>
  </si>
  <si>
    <t xml:space="preserve">Service advisors &amp; front desk — payroll cost</t>
  </si>
  <si>
    <t xml:space="preserve">Shop manager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</si>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</sst>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\$#,##0.00;&quot;($&quot;#,##0.00\);\-"/>
    <numFmt numFmtId="177" formatCode="#,##0.0;\(#,##0.0\);\-"/>
    <numFmt numFmtId="178" formatCode="&quot;Month &quot;0"/>
    <numFmt numFmtId="179" formatCode="\$#,##0.0,,\M"/>
    <numFmt numFmtId="180" formatCode="0%"/>
    <numFmt numFmtId="181" formatCode="\M0"/>
    <numFmt numFmtId="182" formatCode="\$#,##0,\K"/>
    <numFmt numFmtId="183" formatCode="#,##0.0;\(#,##0.0\);\-"/>
    <numFmt numFmtId="184" formatCode="\$#,##0.00;&quot;($&quot;#,##0.00\);\-"/>
    <numFmt numFmtId="185" formatCode="#,##0;\(#,##0\);\-"/>
    <numFmt numFmtId="186" formatCode="0.0%;\(0.0%\);\-"/>
    <numFmt numFmtId="187" formatCode="\$#,##0;&quot;($&quot;#,##0\);\-"/>
    <numFmt numFmtId="188" formatCode="0"/>
    <numFmt numFmtId="189" formatCode="0.0\x"/>
    <numFmt numFmtId="190" formatCode="0.000"/>
    <numFmt numFmtId="191" formatCode="0.0\x;\(0.0&quot;x)&quot;;\-"/>
    <numFmt numFmtId="192" formatCode="[&gt;=1000000]\$#,##0.0,,\M;[&gt;=1000]\$#,##0,\k;\$#,##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Dashboard!$B$12:$F$12</c:f>
              <c:numCache>
                <c:formatCode>\$#,##0,;"($"#,##0,\);\-</c:formatCode>
                <c:ptCount val="5"/>
                <c:pt idx="0">
                  <c:v>1264359.375</c:v>
                </c:pt>
                <c:pt idx="1">
                  <c:v>1987198.3125</c:v>
                </c:pt>
                <c:pt idx="2">
                  <c:v>2108218.68973125</c:v>
                </c:pt>
                <c:pt idx="3">
                  <c:v>2236609.20793588</c:v>
                </c:pt>
                <c:pt idx="4">
                  <c:v>2372818.70869918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Dashboard!$B$16:$F$16</c:f>
              <c:numCache>
                <c:formatCode>\$#,##0,;"($"#,##0,\);\-</c:formatCode>
                <c:ptCount val="5"/>
                <c:pt idx="0">
                  <c:v>-231022.34375</c:v>
                </c:pt>
                <c:pt idx="1">
                  <c:v>264690.011875</c:v>
                </c:pt>
                <c:pt idx="2">
                  <c:v>331418.323348187</c:v>
                </c:pt>
                <c:pt idx="3">
                  <c:v>399696.179282592</c:v>
                </c:pt>
                <c:pt idx="4">
                  <c:v>470349.014724677</c:v>
                </c:pt>
              </c:numCache>
            </c:numRef>
          </c:val>
        </c:ser>
        <c:gapWidth val="60"/>
        <c:overlap val="0"/>
        <c:axId val="61846841"/>
        <c:axId val="17812972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Dashboard!$B$17:$F$17</c:f>
              <c:numCache>
                <c:formatCode>0.0%;\(0.0%\);\-</c:formatCode>
                <c:ptCount val="5"/>
                <c:pt idx="0">
                  <c:v>-0.182718891731238</c:v>
                </c:pt>
                <c:pt idx="1">
                  <c:v>0.133197582853221</c:v>
                </c:pt>
                <c:pt idx="2">
                  <c:v>0.157203009802762</c:v>
                </c:pt>
                <c:pt idx="3">
                  <c:v>0.178706310366782</c:v>
                </c:pt>
                <c:pt idx="4">
                  <c:v>0.198223746719584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5417584"/>
        <c:axId val="79191694"/>
      </c:lineChart>
      <c:catAx>
        <c:axId val="6184684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7812972"/>
        <c:crosses val="autoZero"/>
        <c:auto val="1"/>
        <c:lblAlgn val="ctr"/>
        <c:lblOffset val="100"/>
        <c:noMultiLvlLbl val="0"/>
      </c:catAx>
      <c:valAx>
        <c:axId val="1781297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1846841"/>
        <c:crosses val="autoZero"/>
        <c:crossBetween val="between"/>
      </c:valAx>
      <c:catAx>
        <c:axId val="85417584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9191694"/>
        <c:crosses val="autoZero"/>
        <c:auto val="1"/>
        <c:lblAlgn val="ctr"/>
        <c:lblOffset val="100"/>
        <c:noMultiLvlLbl val="0"/>
      </c:catAx>
      <c:valAx>
        <c:axId val="7919169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41758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Dashboard!$B$20:$F$20</c:f>
              <c:numCache>
                <c:formatCode>\$#,##0,;"($"#,##0,\);\-</c:formatCode>
                <c:ptCount val="5"/>
                <c:pt idx="0">
                  <c:v>-223610.340029762</c:v>
                </c:pt>
                <c:pt idx="1">
                  <c:v>248240.755272321</c:v>
                </c:pt>
                <c:pt idx="2">
                  <c:v>284136.035806134</c:v>
                </c:pt>
                <c:pt idx="3">
                  <c:v>319470.09097774</c:v>
                </c:pt>
                <c:pt idx="4">
                  <c:v>378402.776982823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Dashboard!$B$21:$F$21</c:f>
              <c:numCache>
                <c:formatCode>\$#,##0,;"($"#,##0,\);\-</c:formatCode>
                <c:ptCount val="5"/>
                <c:pt idx="0">
                  <c:v>-382000</c:v>
                </c:pt>
                <c:pt idx="1">
                  <c:v>-20000</c:v>
                </c:pt>
                <c:pt idx="2">
                  <c:v>-20000</c:v>
                </c:pt>
                <c:pt idx="3">
                  <c:v>-20000</c:v>
                </c:pt>
                <c:pt idx="4">
                  <c:v>-20000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Dashboard!$B$22:$F$22</c:f>
              <c:numCache>
                <c:formatCode>\$#,##0,;"($"#,##0,\);\-</c:formatCode>
                <c:ptCount val="5"/>
                <c:pt idx="0">
                  <c:v>697261.904761905</c:v>
                </c:pt>
                <c:pt idx="1">
                  <c:v>-35714.2857142857</c:v>
                </c:pt>
                <c:pt idx="2">
                  <c:v>-35714.2857142857</c:v>
                </c:pt>
                <c:pt idx="3">
                  <c:v>-35714.2857142857</c:v>
                </c:pt>
                <c:pt idx="4">
                  <c:v>-35714.2857142857</c:v>
                </c:pt>
              </c:numCache>
            </c:numRef>
          </c:val>
        </c:ser>
        <c:gapWidth val="60"/>
        <c:overlap val="0"/>
        <c:axId val="64750195"/>
        <c:axId val="55978683"/>
      </c:barChart>
      <c:catAx>
        <c:axId val="6475019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5978683"/>
        <c:crosses val="autoZero"/>
        <c:auto val="1"/>
        <c:lblAlgn val="ctr"/>
        <c:lblOffset val="100"/>
        <c:noMultiLvlLbl val="0"/>
      </c:catAx>
      <c:valAx>
        <c:axId val="5597868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7501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Dashboard!$B$24:$F$24</c:f>
              <c:numCache>
                <c:formatCode>\$#,##0,;"($"#,##0,\);\-</c:formatCode>
                <c:ptCount val="5"/>
                <c:pt idx="0">
                  <c:v>91651.5647321428</c:v>
                </c:pt>
                <c:pt idx="1">
                  <c:v>284178.034290178</c:v>
                </c:pt>
                <c:pt idx="2">
                  <c:v>512599.784382027</c:v>
                </c:pt>
                <c:pt idx="3">
                  <c:v>776355.589645481</c:v>
                </c:pt>
                <c:pt idx="4">
                  <c:v>1099044.08091402</c:v>
                </c:pt>
              </c:numCache>
            </c:numRef>
          </c:val>
        </c:ser>
        <c:gapWidth val="60"/>
        <c:overlap val="0"/>
        <c:axId val="45155759"/>
        <c:axId val="68191531"/>
      </c:barChart>
      <c:catAx>
        <c:axId val="4515575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8191531"/>
        <c:crosses val="autoZero"/>
        <c:auto val="1"/>
        <c:lblAlgn val="ctr"/>
        <c:lblOffset val="100"/>
        <c:noMultiLvlLbl val="0"/>
      </c:catAx>
      <c:valAx>
        <c:axId val="6819153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51557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Billed hours &amp; shop capacity used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Billed labor hours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Dashboard!$B$28:$F$28</c:f>
              <c:numCache>
                <c:formatCode>#,##0;\(#,##0\);\-</c:formatCode>
                <c:ptCount val="5"/>
                <c:pt idx="0">
                  <c:v>5467.5</c:v>
                </c:pt>
                <c:pt idx="1">
                  <c:v>8343</c:v>
                </c:pt>
                <c:pt idx="2">
                  <c:v>8593.29</c:v>
                </c:pt>
                <c:pt idx="3">
                  <c:v>8851.0887</c:v>
                </c:pt>
                <c:pt idx="4">
                  <c:v>9116.621361</c:v>
                </c:pt>
              </c:numCache>
            </c:numRef>
          </c:val>
        </c:ser>
        <c:gapWidth val="60"/>
        <c:overlap val="0"/>
        <c:axId val="92246408"/>
        <c:axId val="71914639"/>
      </c:barChart>
      <c:lineChart>
        <c:grouping val="standard"/>
        <c:varyColors val="0"/>
        <c:ser>
          <c:idx val="1"/>
          <c:order val="1"/>
          <c:tx>
            <c:strRef>
              <c:f>Dashboard!$A$29</c:f>
              <c:strCache>
                <c:ptCount val="1"/>
                <c:pt idx="0">
                  <c:v>Shop capacity used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Dashboard!$B$29:$F$29</c:f>
              <c:numCache>
                <c:formatCode>0.0%;\(0.0%\);\-</c:formatCode>
                <c:ptCount val="5"/>
                <c:pt idx="0">
                  <c:v>0.517755681818182</c:v>
                </c:pt>
                <c:pt idx="1">
                  <c:v>0.790056818181818</c:v>
                </c:pt>
                <c:pt idx="2">
                  <c:v>0.813758522727272</c:v>
                </c:pt>
                <c:pt idx="3">
                  <c:v>0.838171278409091</c:v>
                </c:pt>
                <c:pt idx="4">
                  <c:v>0.863316416761364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4888476"/>
        <c:axId val="96253435"/>
      </c:lineChart>
      <c:catAx>
        <c:axId val="9224640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1914639"/>
        <c:crosses val="autoZero"/>
        <c:auto val="1"/>
        <c:lblAlgn val="ctr"/>
        <c:lblOffset val="100"/>
        <c:noMultiLvlLbl val="0"/>
      </c:catAx>
      <c:valAx>
        <c:axId val="7191463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2246408"/>
        <c:crosses val="autoZero"/>
        <c:crossBetween val="between"/>
      </c:valAx>
      <c:catAx>
        <c:axId val="84888476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6253435"/>
        <c:crosses val="autoZero"/>
        <c:auto val="1"/>
        <c:lblAlgn val="ctr"/>
        <c:lblOffset val="100"/>
        <c:noMultiLvlLbl val="0"/>
      </c:catAx>
      <c:valAx>
        <c:axId val="96253435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488847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62437.5</c:v>
                </c:pt>
                <c:pt idx="1">
                  <c:v>70242.1875</c:v>
                </c:pt>
                <c:pt idx="2">
                  <c:v>78046.875</c:v>
                </c:pt>
                <c:pt idx="3">
                  <c:v>85851.5625</c:v>
                </c:pt>
                <c:pt idx="4">
                  <c:v>93656.25</c:v>
                </c:pt>
                <c:pt idx="5">
                  <c:v>101460.9375</c:v>
                </c:pt>
                <c:pt idx="6">
                  <c:v>109265.625</c:v>
                </c:pt>
                <c:pt idx="7">
                  <c:v>117070.3125</c:v>
                </c:pt>
                <c:pt idx="8">
                  <c:v>124875</c:v>
                </c:pt>
                <c:pt idx="9">
                  <c:v>132679.6875</c:v>
                </c:pt>
                <c:pt idx="10">
                  <c:v>140484.375</c:v>
                </c:pt>
                <c:pt idx="11">
                  <c:v>148289.0625</c:v>
                </c:pt>
              </c:numCache>
            </c:numRef>
          </c:val>
        </c:ser>
        <c:gapWidth val="60"/>
        <c:overlap val="0"/>
        <c:axId val="31768497"/>
        <c:axId val="57346029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-49543.5416666667</c:v>
                </c:pt>
                <c:pt idx="1">
                  <c:v>-44035.9635416667</c:v>
                </c:pt>
                <c:pt idx="2">
                  <c:v>-38528.3854166667</c:v>
                </c:pt>
                <c:pt idx="3">
                  <c:v>-33020.8072916667</c:v>
                </c:pt>
                <c:pt idx="4">
                  <c:v>-27513.2291666667</c:v>
                </c:pt>
                <c:pt idx="5">
                  <c:v>-22005.6510416667</c:v>
                </c:pt>
                <c:pt idx="6">
                  <c:v>-16498.0729166667</c:v>
                </c:pt>
                <c:pt idx="7">
                  <c:v>-10990.4947916667</c:v>
                </c:pt>
                <c:pt idx="8">
                  <c:v>-5482.91666666667</c:v>
                </c:pt>
                <c:pt idx="9">
                  <c:v>24.661458333343</c:v>
                </c:pt>
                <c:pt idx="10">
                  <c:v>5532.2395833333</c:v>
                </c:pt>
                <c:pt idx="11">
                  <c:v>11039.8177083333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-55397.7083333334</c:v>
                </c:pt>
                <c:pt idx="1">
                  <c:v>-49878.9694940476</c:v>
                </c:pt>
                <c:pt idx="2">
                  <c:v>-44349.0699404762</c:v>
                </c:pt>
                <c:pt idx="3">
                  <c:v>-38819.1703869048</c:v>
                </c:pt>
                <c:pt idx="4">
                  <c:v>-33289.2708333333</c:v>
                </c:pt>
                <c:pt idx="5">
                  <c:v>-27759.3712797619</c:v>
                </c:pt>
                <c:pt idx="6">
                  <c:v>-22229.4717261905</c:v>
                </c:pt>
                <c:pt idx="7">
                  <c:v>-16699.5721726191</c:v>
                </c:pt>
                <c:pt idx="8">
                  <c:v>-11169.6726190476</c:v>
                </c:pt>
                <c:pt idx="9">
                  <c:v>-5639.77306547618</c:v>
                </c:pt>
                <c:pt idx="10">
                  <c:v>-109.873511904796</c:v>
                </c:pt>
                <c:pt idx="11">
                  <c:v>5420.02604166666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1768497"/>
        <c:axId val="57346029"/>
      </c:lineChart>
      <c:catAx>
        <c:axId val="31768497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346029"/>
        <c:crosses val="autoZero"/>
        <c:auto val="1"/>
        <c:lblAlgn val="ctr"/>
        <c:lblOffset val="100"/>
        <c:noMultiLvlLbl val="0"/>
      </c:catAx>
      <c:valAx>
        <c:axId val="5734602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17684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-27131</c:v>
                </c:pt>
                <c:pt idx="1">
                  <c:v>-45511.255952381</c:v>
                </c:pt>
                <c:pt idx="2">
                  <c:v>-39981.3563988095</c:v>
                </c:pt>
                <c:pt idx="3">
                  <c:v>-34451.4568452381</c:v>
                </c:pt>
                <c:pt idx="4">
                  <c:v>-28921.5572916667</c:v>
                </c:pt>
                <c:pt idx="5">
                  <c:v>-23391.6577380953</c:v>
                </c:pt>
                <c:pt idx="6">
                  <c:v>-17861.7581845238</c:v>
                </c:pt>
                <c:pt idx="7">
                  <c:v>-12331.8586309524</c:v>
                </c:pt>
                <c:pt idx="8">
                  <c:v>-6801.95907738096</c:v>
                </c:pt>
                <c:pt idx="9">
                  <c:v>-1272.05952380951</c:v>
                </c:pt>
                <c:pt idx="10">
                  <c:v>4257.84002976187</c:v>
                </c:pt>
                <c:pt idx="11">
                  <c:v>9787.73958333333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-382000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730000</c:v>
                </c:pt>
                <c:pt idx="1">
                  <c:v>-2976.19047619048</c:v>
                </c:pt>
                <c:pt idx="2">
                  <c:v>-2976.19047619048</c:v>
                </c:pt>
                <c:pt idx="3">
                  <c:v>-2976.19047619048</c:v>
                </c:pt>
                <c:pt idx="4">
                  <c:v>-2976.19047619048</c:v>
                </c:pt>
                <c:pt idx="5">
                  <c:v>-2976.19047619048</c:v>
                </c:pt>
                <c:pt idx="6">
                  <c:v>-2976.19047619048</c:v>
                </c:pt>
                <c:pt idx="7">
                  <c:v>-2976.19047619048</c:v>
                </c:pt>
                <c:pt idx="8">
                  <c:v>-2976.19047619048</c:v>
                </c:pt>
                <c:pt idx="9">
                  <c:v>-2976.19047619048</c:v>
                </c:pt>
                <c:pt idx="10">
                  <c:v>-2976.19047619048</c:v>
                </c:pt>
                <c:pt idx="11">
                  <c:v>-2976.19047619048</c:v>
                </c:pt>
              </c:numCache>
            </c:numRef>
          </c:val>
        </c:ser>
        <c:gapWidth val="60"/>
        <c:overlap val="0"/>
        <c:axId val="73825902"/>
        <c:axId val="58962820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320869</c:v>
                </c:pt>
                <c:pt idx="1">
                  <c:v>272381.553571429</c:v>
                </c:pt>
                <c:pt idx="2">
                  <c:v>229424.006696429</c:v>
                </c:pt>
                <c:pt idx="3">
                  <c:v>191996.359375</c:v>
                </c:pt>
                <c:pt idx="4">
                  <c:v>160098.611607143</c:v>
                </c:pt>
                <c:pt idx="5">
                  <c:v>133730.763392857</c:v>
                </c:pt>
                <c:pt idx="6">
                  <c:v>112892.814732143</c:v>
                </c:pt>
                <c:pt idx="7">
                  <c:v>97584.765625</c:v>
                </c:pt>
                <c:pt idx="8">
                  <c:v>87806.6160714286</c:v>
                </c:pt>
                <c:pt idx="9">
                  <c:v>83558.3660714286</c:v>
                </c:pt>
                <c:pt idx="10">
                  <c:v>84840.015625</c:v>
                </c:pt>
                <c:pt idx="11">
                  <c:v>91651.5647321428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0259204"/>
        <c:axId val="51723399"/>
      </c:lineChart>
      <c:catAx>
        <c:axId val="73825902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8962820"/>
        <c:crosses val="autoZero"/>
        <c:auto val="1"/>
        <c:lblAlgn val="ctr"/>
        <c:lblOffset val="100"/>
        <c:noMultiLvlLbl val="0"/>
      </c:catAx>
      <c:valAx>
        <c:axId val="5896282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3825902"/>
        <c:crosses val="autoZero"/>
        <c:crossBetween val="between"/>
      </c:valAx>
      <c:catAx>
        <c:axId val="10259204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1723399"/>
        <c:crosses val="autoZero"/>
        <c:auto val="1"/>
        <c:lblAlgn val="ctr"/>
        <c:lblOffset val="100"/>
        <c:noMultiLvlLbl val="0"/>
      </c:catAx>
      <c:valAx>
        <c:axId val="51723399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025920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320869</c:v>
                </c:pt>
                <c:pt idx="1">
                  <c:v>272381.553571429</c:v>
                </c:pt>
                <c:pt idx="2">
                  <c:v>229424.006696429</c:v>
                </c:pt>
                <c:pt idx="3">
                  <c:v>191996.359375</c:v>
                </c:pt>
                <c:pt idx="4">
                  <c:v>160098.611607143</c:v>
                </c:pt>
                <c:pt idx="5">
                  <c:v>133730.763392857</c:v>
                </c:pt>
                <c:pt idx="6">
                  <c:v>112892.814732143</c:v>
                </c:pt>
                <c:pt idx="7">
                  <c:v>97584.765625</c:v>
                </c:pt>
                <c:pt idx="8">
                  <c:v>87806.6160714286</c:v>
                </c:pt>
                <c:pt idx="9">
                  <c:v>83558.3660714286</c:v>
                </c:pt>
                <c:pt idx="10">
                  <c:v>84840.015625</c:v>
                </c:pt>
                <c:pt idx="11">
                  <c:v>91651.5647321428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6243.75</c:v>
                </c:pt>
                <c:pt idx="1">
                  <c:v>7024.21875</c:v>
                </c:pt>
                <c:pt idx="2">
                  <c:v>7804.6875</c:v>
                </c:pt>
                <c:pt idx="3">
                  <c:v>8585.15625</c:v>
                </c:pt>
                <c:pt idx="4">
                  <c:v>9365.625</c:v>
                </c:pt>
                <c:pt idx="5">
                  <c:v>10146.09375</c:v>
                </c:pt>
                <c:pt idx="6">
                  <c:v>10926.5625</c:v>
                </c:pt>
                <c:pt idx="7">
                  <c:v>11707.03125</c:v>
                </c:pt>
                <c:pt idx="8">
                  <c:v>12487.5</c:v>
                </c:pt>
                <c:pt idx="9">
                  <c:v>13267.96875</c:v>
                </c:pt>
                <c:pt idx="10">
                  <c:v>14048.4375</c:v>
                </c:pt>
                <c:pt idx="11">
                  <c:v>14828.90625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378020.833333333</c:v>
                </c:pt>
                <c:pt idx="1">
                  <c:v>374041.666666667</c:v>
                </c:pt>
                <c:pt idx="2">
                  <c:v>370062.5</c:v>
                </c:pt>
                <c:pt idx="3">
                  <c:v>366083.333333333</c:v>
                </c:pt>
                <c:pt idx="4">
                  <c:v>362104.166666667</c:v>
                </c:pt>
                <c:pt idx="5">
                  <c:v>358125</c:v>
                </c:pt>
                <c:pt idx="6">
                  <c:v>354145.833333333</c:v>
                </c:pt>
                <c:pt idx="7">
                  <c:v>350166.666666667</c:v>
                </c:pt>
                <c:pt idx="8">
                  <c:v>346187.5</c:v>
                </c:pt>
                <c:pt idx="9">
                  <c:v>342208.333333333</c:v>
                </c:pt>
                <c:pt idx="10">
                  <c:v>338229.166666667</c:v>
                </c:pt>
                <c:pt idx="11">
                  <c:v>334250</c:v>
                </c:pt>
              </c:numCache>
            </c:numRef>
          </c:val>
        </c:ser>
        <c:gapWidth val="60"/>
        <c:overlap val="100"/>
        <c:axId val="44494117"/>
        <c:axId val="98837076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424602.291666667</c:v>
                </c:pt>
                <c:pt idx="1">
                  <c:v>374723.322172619</c:v>
                </c:pt>
                <c:pt idx="2">
                  <c:v>330374.252232143</c:v>
                </c:pt>
                <c:pt idx="3">
                  <c:v>291555.081845238</c:v>
                </c:pt>
                <c:pt idx="4">
                  <c:v>258265.811011905</c:v>
                </c:pt>
                <c:pt idx="5">
                  <c:v>230506.439732143</c:v>
                </c:pt>
                <c:pt idx="6">
                  <c:v>208276.968005952</c:v>
                </c:pt>
                <c:pt idx="7">
                  <c:v>191577.395833333</c:v>
                </c:pt>
                <c:pt idx="8">
                  <c:v>180407.723214286</c:v>
                </c:pt>
                <c:pt idx="9">
                  <c:v>174767.95014881</c:v>
                </c:pt>
                <c:pt idx="10">
                  <c:v>174658.076636905</c:v>
                </c:pt>
                <c:pt idx="11">
                  <c:v>180078.102678571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494117"/>
        <c:axId val="98837076"/>
      </c:lineChart>
      <c:catAx>
        <c:axId val="44494117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837076"/>
        <c:crosses val="autoZero"/>
        <c:auto val="1"/>
        <c:lblAlgn val="ctr"/>
        <c:lblOffset val="100"/>
        <c:noMultiLvlLbl val="0"/>
      </c:catAx>
      <c:valAx>
        <c:axId val="9883707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44941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Scenarios!$B$30:$F$30</c:f>
              <c:numCache>
                <c:formatCode>\$#,##0,;"($"#,##0,\);\-</c:formatCode>
                <c:ptCount val="5"/>
                <c:pt idx="0">
                  <c:v>766147.8</c:v>
                </c:pt>
                <c:pt idx="1">
                  <c:v>1379139.85</c:v>
                </c:pt>
                <c:pt idx="2">
                  <c:v>1445636.7552</c:v>
                </c:pt>
                <c:pt idx="3">
                  <c:v>1460093.122752</c:v>
                </c:pt>
                <c:pt idx="4">
                  <c:v>1474694.05397952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Scenarios!$B$31:$F$31</c:f>
              <c:numCache>
                <c:formatCode>\$#,##0,;"($"#,##0,\);\-</c:formatCode>
                <c:ptCount val="5"/>
                <c:pt idx="0">
                  <c:v>1264359.375</c:v>
                </c:pt>
                <c:pt idx="1">
                  <c:v>1987198.3125</c:v>
                </c:pt>
                <c:pt idx="2">
                  <c:v>2108218.68973125</c:v>
                </c:pt>
                <c:pt idx="3">
                  <c:v>2236609.20793588</c:v>
                </c:pt>
                <c:pt idx="4">
                  <c:v>2372818.70869918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Scenarios!$B$32:$F$32</c:f>
              <c:numCache>
                <c:formatCode>\$#,##0,;"($"#,##0,\);\-</c:formatCode>
                <c:ptCount val="5"/>
                <c:pt idx="0">
                  <c:v>1874160</c:v>
                </c:pt>
                <c:pt idx="1">
                  <c:v>2609777.664</c:v>
                </c:pt>
                <c:pt idx="2">
                  <c:v>2877018.8967936</c:v>
                </c:pt>
                <c:pt idx="3">
                  <c:v>3162262.67136</c:v>
                </c:pt>
                <c:pt idx="4">
                  <c:v>3288753.1782144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7854895"/>
        <c:axId val="66993294"/>
      </c:lineChart>
      <c:catAx>
        <c:axId val="8785489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6993294"/>
        <c:crosses val="autoZero"/>
        <c:auto val="1"/>
        <c:lblAlgn val="ctr"/>
        <c:lblOffset val="100"/>
        <c:noMultiLvlLbl val="0"/>
      </c:catAx>
      <c:valAx>
        <c:axId val="6699329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78548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Scenarios!$B$36:$F$36</c:f>
              <c:numCache>
                <c:formatCode>\$#,##0,;"($"#,##0,\);\-</c:formatCode>
                <c:ptCount val="5"/>
                <c:pt idx="0">
                  <c:v>-599131.8296</c:v>
                </c:pt>
                <c:pt idx="1">
                  <c:v>-193996.8002</c:v>
                </c:pt>
                <c:pt idx="2">
                  <c:v>-171788.1745664</c:v>
                </c:pt>
                <c:pt idx="3">
                  <c:v>-192042.360312064</c:v>
                </c:pt>
                <c:pt idx="4">
                  <c:v>-217532.973195185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Scenarios!$B$37:$F$37</c:f>
              <c:numCache>
                <c:formatCode>\$#,##0,;"($"#,##0,\);\-</c:formatCode>
                <c:ptCount val="5"/>
                <c:pt idx="0">
                  <c:v>-231022.34375</c:v>
                </c:pt>
                <c:pt idx="1">
                  <c:v>264690.011875</c:v>
                </c:pt>
                <c:pt idx="2">
                  <c:v>331418.323348187</c:v>
                </c:pt>
                <c:pt idx="3">
                  <c:v>399696.179282592</c:v>
                </c:pt>
                <c:pt idx="4">
                  <c:v>470349.014724677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Scenarios!$B$38:$F$38</c:f>
              <c:numCache>
                <c:formatCode>\$#,##0,;"($"#,##0,\);\-</c:formatCode>
                <c:ptCount val="5"/>
                <c:pt idx="0">
                  <c:v>232857.52</c:v>
                </c:pt>
                <c:pt idx="1">
                  <c:v>743169.359008</c:v>
                </c:pt>
                <c:pt idx="2">
                  <c:v>912841.89837042</c:v>
                </c:pt>
                <c:pt idx="3">
                  <c:v>1093867.75206592</c:v>
                </c:pt>
                <c:pt idx="4">
                  <c:v>1158398.29397481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7164014"/>
        <c:axId val="69707614"/>
      </c:lineChart>
      <c:catAx>
        <c:axId val="7716401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9707614"/>
        <c:crosses val="autoZero"/>
        <c:auto val="1"/>
        <c:lblAlgn val="ctr"/>
        <c:lblOffset val="100"/>
        <c:noMultiLvlLbl val="0"/>
      </c:catAx>
      <c:valAx>
        <c:axId val="6970761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71640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Scenarios!$B$42:$F$42</c:f>
              <c:numCache>
                <c:formatCode>\$#,##0,;"($"#,##0,\);\-</c:formatCode>
                <c:ptCount val="5"/>
                <c:pt idx="0">
                  <c:v>-668031.383171429</c:v>
                </c:pt>
                <c:pt idx="1">
                  <c:v>-262193.228771429</c:v>
                </c:pt>
                <c:pt idx="2">
                  <c:v>-239270.317423543</c:v>
                </c:pt>
                <c:pt idx="3">
                  <c:v>-258810.217454921</c:v>
                </c:pt>
                <c:pt idx="4">
                  <c:v>-283586.544623756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Scenarios!$B$43:$F$43</c:f>
              <c:numCache>
                <c:formatCode>\$#,##0,;"($"#,##0,\);\-</c:formatCode>
                <c:ptCount val="5"/>
                <c:pt idx="0">
                  <c:v>-299921.897321429</c:v>
                </c:pt>
                <c:pt idx="1">
                  <c:v>196493.583303571</c:v>
                </c:pt>
                <c:pt idx="2">
                  <c:v>230229.528531675</c:v>
                </c:pt>
                <c:pt idx="3">
                  <c:v>263013.374490391</c:v>
                </c:pt>
                <c:pt idx="4">
                  <c:v>319393.400203924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Scenarios!$B$44:$F$44</c:f>
              <c:numCache>
                <c:formatCode>\$#,##0,;"($"#,##0,\);\-</c:formatCode>
                <c:ptCount val="5"/>
                <c:pt idx="0">
                  <c:v>129526.793478571</c:v>
                </c:pt>
                <c:pt idx="1">
                  <c:v>533228.615044891</c:v>
                </c:pt>
                <c:pt idx="2">
                  <c:v>667834.206855489</c:v>
                </c:pt>
                <c:pt idx="3">
                  <c:v>811408.91698922</c:v>
                </c:pt>
                <c:pt idx="4">
                  <c:v>862952.330811526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272862"/>
        <c:axId val="37708492"/>
      </c:lineChart>
      <c:catAx>
        <c:axId val="6027286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7708492"/>
        <c:crosses val="autoZero"/>
        <c:auto val="1"/>
        <c:lblAlgn val="ctr"/>
        <c:lblOffset val="100"/>
        <c:noMultiLvlLbl val="0"/>
      </c:catAx>
      <c:valAx>
        <c:axId val="3770849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02728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Scenarios!$B$48:$F$48</c:f>
              <c:numCache>
                <c:formatCode>\$#,##0,;"($"#,##0,\);\-</c:formatCode>
                <c:ptCount val="5"/>
                <c:pt idx="0">
                  <c:v>-278223.436742857</c:v>
                </c:pt>
                <c:pt idx="1">
                  <c:v>-543389.163561905</c:v>
                </c:pt>
                <c:pt idx="2">
                  <c:v>-784670.0984064</c:v>
                </c:pt>
                <c:pt idx="3">
                  <c:v>-1042954.96499934</c:v>
                </c:pt>
                <c:pt idx="4">
                  <c:v>-1323478.77353135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Scenarios!$B$49:$F$49</c:f>
              <c:numCache>
                <c:formatCode>\$#,##0,;"($"#,##0,\);\-</c:formatCode>
                <c:ptCount val="5"/>
                <c:pt idx="0">
                  <c:v>91651.5647321428</c:v>
                </c:pt>
                <c:pt idx="1">
                  <c:v>284178.034290178</c:v>
                </c:pt>
                <c:pt idx="2">
                  <c:v>512599.784382027</c:v>
                </c:pt>
                <c:pt idx="3">
                  <c:v>776355.589645481</c:v>
                </c:pt>
                <c:pt idx="4">
                  <c:v>1099044.08091402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Scenarios!$B$50:$F$50</c:f>
              <c:numCache>
                <c:formatCode>\$#,##0,;"($"#,##0,\);\-</c:formatCode>
                <c:ptCount val="5"/>
                <c:pt idx="0">
                  <c:v>521761.064907143</c:v>
                </c:pt>
                <c:pt idx="1">
                  <c:v>1050984.39291775</c:v>
                </c:pt>
                <c:pt idx="2">
                  <c:v>1717416.71305378</c:v>
                </c:pt>
                <c:pt idx="3">
                  <c:v>2530004.54076459</c:v>
                </c:pt>
                <c:pt idx="4">
                  <c:v>3396116.63382038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9372146"/>
        <c:axId val="485367"/>
      </c:lineChart>
      <c:catAx>
        <c:axId val="8937214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85367"/>
        <c:crosses val="autoZero"/>
        <c:auto val="1"/>
        <c:lblAlgn val="ctr"/>
        <c:lblOffset val="100"/>
        <c:noMultiLvlLbl val="0"/>
      </c:catAx>
      <c:valAx>
        <c:axId val="48536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93721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480000</c:v>
                </c:pt>
                <c:pt idx="1">
                  <c:v>250000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223610.340029762</c:v>
                </c:pt>
                <c:pt idx="1">
                  <c:v>382000</c:v>
                </c:pt>
                <c:pt idx="2">
                  <c:v>32738.0952380952</c:v>
                </c:pt>
                <c:pt idx="3">
                  <c:v>91651.5647321428</c:v>
                </c:pt>
              </c:numCache>
            </c:numRef>
          </c:val>
        </c:ser>
        <c:gapWidth val="60"/>
        <c:overlap val="0"/>
        <c:axId val="22777619"/>
        <c:axId val="91581719"/>
      </c:barChart>
      <c:catAx>
        <c:axId val="2277761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581719"/>
        <c:crosses val="autoZero"/>
        <c:auto val="1"/>
        <c:lblAlgn val="ctr"/>
        <c:lblOffset val="100"/>
        <c:noMultiLvlLbl val="0"/>
      </c:catAx>
      <c:valAx>
        <c:axId val="9158171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2777619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KPIs!$B$7:$F$7</c:f>
              <c:numCache>
                <c:formatCode>0.0%;\(0.0%\);\-</c:formatCode>
                <c:ptCount val="5"/>
                <c:pt idx="0">
                  <c:v>0.380950580209839</c:v>
                </c:pt>
                <c:pt idx="1">
                  <c:v>0.503210200491754</c:v>
                </c:pt>
                <c:pt idx="2">
                  <c:v>0.509981039574781</c:v>
                </c:pt>
                <c:pt idx="3">
                  <c:v>0.516554669752477</c:v>
                </c:pt>
                <c:pt idx="4">
                  <c:v>0.522936834973541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KPIs!$B$8:$F$8</c:f>
              <c:numCache>
                <c:formatCode>0.0%;\(0.0%\);\-</c:formatCode>
                <c:ptCount val="5"/>
                <c:pt idx="0">
                  <c:v>-0.182718891731238</c:v>
                </c:pt>
                <c:pt idx="1">
                  <c:v>0.133197582853221</c:v>
                </c:pt>
                <c:pt idx="2">
                  <c:v>0.157203009802762</c:v>
                </c:pt>
                <c:pt idx="3">
                  <c:v>0.178706310366782</c:v>
                </c:pt>
                <c:pt idx="4">
                  <c:v>0.198223746719584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KPIs!$B$9:$F$9</c:f>
              <c:numCache>
                <c:formatCode>0.0%;\(0.0%\);\-</c:formatCode>
                <c:ptCount val="5"/>
                <c:pt idx="0">
                  <c:v>-0.237212538817477</c:v>
                </c:pt>
                <c:pt idx="1">
                  <c:v>0.0988797051947836</c:v>
                </c:pt>
                <c:pt idx="2">
                  <c:v>0.109205714593596</c:v>
                </c:pt>
                <c:pt idx="3">
                  <c:v>0.117594693591162</c:v>
                </c:pt>
                <c:pt idx="4">
                  <c:v>0.13460505812474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8556482"/>
        <c:axId val="70204390"/>
      </c:lineChart>
      <c:catAx>
        <c:axId val="1855648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0204390"/>
        <c:crosses val="autoZero"/>
        <c:auto val="1"/>
        <c:lblAlgn val="ctr"/>
        <c:lblOffset val="100"/>
        <c:noMultiLvlLbl val="0"/>
      </c:catAx>
      <c:valAx>
        <c:axId val="7020439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55648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KPIs!$B$15:$F$15</c:f>
              <c:numCache>
                <c:formatCode>0.0%;\(0.0%\);\-</c:formatCode>
                <c:ptCount val="5"/>
                <c:pt idx="0">
                  <c:v>-0.650378866495378</c:v>
                </c:pt>
                <c:pt idx="1">
                  <c:v>0.313548800847884</c:v>
                </c:pt>
                <c:pt idx="2">
                  <c:v>0.279277560498723</c:v>
                </c:pt>
                <c:pt idx="3">
                  <c:v>0.24929648226124</c:v>
                </c:pt>
                <c:pt idx="4">
                  <c:v>0.237958560362773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KPIs!$B$16:$F$16</c:f>
              <c:numCache>
                <c:formatCode>0.0%;\(0.0%\);\-</c:formatCode>
                <c:ptCount val="5"/>
                <c:pt idx="0">
                  <c:v>-1.66551009178929</c:v>
                </c:pt>
                <c:pt idx="1">
                  <c:v>0.521795957099359</c:v>
                </c:pt>
                <c:pt idx="2">
                  <c:v>0.379415075357323</c:v>
                </c:pt>
                <c:pt idx="3">
                  <c:v>0.302378665310152</c:v>
                </c:pt>
                <c:pt idx="4">
                  <c:v>0.268576567852189</c:v>
                </c:pt>
              </c:numCache>
            </c:numRef>
          </c:val>
        </c:ser>
        <c:gapWidth val="60"/>
        <c:overlap val="0"/>
        <c:axId val="91671225"/>
        <c:axId val="56607595"/>
      </c:barChart>
      <c:catAx>
        <c:axId val="9167122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6607595"/>
        <c:crosses val="autoZero"/>
        <c:auto val="1"/>
        <c:lblAlgn val="ctr"/>
        <c:lblOffset val="100"/>
        <c:noMultiLvlLbl val="0"/>
      </c:catAx>
      <c:valAx>
        <c:axId val="5660759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6712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Billed hours and shop capacity used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KPIs!$A$31</c:f>
              <c:strCache>
                <c:ptCount val="1"/>
                <c:pt idx="0">
                  <c:v>Billed labor hours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KPIs!$B$31:$F$31</c:f>
              <c:numCache>
                <c:formatCode>#,##0;\(#,##0\);\-</c:formatCode>
                <c:ptCount val="5"/>
                <c:pt idx="0">
                  <c:v>5467.5</c:v>
                </c:pt>
                <c:pt idx="1">
                  <c:v>8343</c:v>
                </c:pt>
                <c:pt idx="2">
                  <c:v>8593.29</c:v>
                </c:pt>
                <c:pt idx="3">
                  <c:v>8851.0887</c:v>
                </c:pt>
                <c:pt idx="4">
                  <c:v>9116.621361</c:v>
                </c:pt>
              </c:numCache>
            </c:numRef>
          </c:val>
        </c:ser>
        <c:gapWidth val="60"/>
        <c:overlap val="0"/>
        <c:axId val="784776"/>
        <c:axId val="57289788"/>
      </c:barChart>
      <c:lineChart>
        <c:grouping val="standard"/>
        <c:varyColors val="0"/>
        <c:ser>
          <c:idx val="1"/>
          <c:order val="1"/>
          <c:tx>
            <c:strRef>
              <c:f>KPIs!$A$33</c:f>
              <c:strCache>
                <c:ptCount val="1"/>
                <c:pt idx="0">
                  <c:v>Shop capacity used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KPIs!$B$33:$F$33</c:f>
              <c:numCache>
                <c:formatCode>0.0%;\(0.0%\);\-</c:formatCode>
                <c:ptCount val="5"/>
                <c:pt idx="0">
                  <c:v>0.517755681818182</c:v>
                </c:pt>
                <c:pt idx="1">
                  <c:v>0.790056818181818</c:v>
                </c:pt>
                <c:pt idx="2">
                  <c:v>0.813758522727272</c:v>
                </c:pt>
                <c:pt idx="3">
                  <c:v>0.838171278409091</c:v>
                </c:pt>
                <c:pt idx="4">
                  <c:v>0.863316416761364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6186423"/>
        <c:axId val="92575730"/>
      </c:lineChart>
      <c:catAx>
        <c:axId val="78477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289788"/>
        <c:crosses val="autoZero"/>
        <c:auto val="1"/>
        <c:lblAlgn val="ctr"/>
        <c:lblOffset val="100"/>
        <c:noMultiLvlLbl val="0"/>
      </c:catAx>
      <c:valAx>
        <c:axId val="5728978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84776"/>
        <c:crosses val="autoZero"/>
        <c:crossBetween val="between"/>
      </c:valAx>
      <c:catAx>
        <c:axId val="66186423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2575730"/>
        <c:crosses val="autoZero"/>
        <c:auto val="1"/>
        <c:lblAlgn val="ctr"/>
        <c:lblOffset val="100"/>
        <c:noMultiLvlLbl val="0"/>
      </c:catAx>
      <c:valAx>
        <c:axId val="9257573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618642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Labor and parts revenue, EBITDA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KPIs!$A$37</c:f>
              <c:strCache>
                <c:ptCount val="1"/>
                <c:pt idx="0">
                  <c:v>Labor 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KPIs!$B$37:$F$37</c:f>
              <c:numCache>
                <c:formatCode>\$#,##0,;"($"#,##0,\);\-</c:formatCode>
                <c:ptCount val="5"/>
                <c:pt idx="0">
                  <c:v>683437.5</c:v>
                </c:pt>
                <c:pt idx="1">
                  <c:v>1074161.25</c:v>
                </c:pt>
                <c:pt idx="2">
                  <c:v>1139577.670125</c:v>
                </c:pt>
                <c:pt idx="3">
                  <c:v>1208977.95023561</c:v>
                </c:pt>
                <c:pt idx="4">
                  <c:v>1282604.70740496</c:v>
                </c:pt>
              </c:numCache>
            </c:numRef>
          </c:val>
        </c:ser>
        <c:ser>
          <c:idx val="1"/>
          <c:order val="1"/>
          <c:tx>
            <c:strRef>
              <c:f>KPIs!$A$38</c:f>
              <c:strCache>
                <c:ptCount val="1"/>
                <c:pt idx="0">
                  <c:v>Parts revenue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KPIs!$B$38:$F$38</c:f>
              <c:numCache>
                <c:formatCode>\$#,##0,;"($"#,##0,\);\-</c:formatCode>
                <c:ptCount val="5"/>
                <c:pt idx="0">
                  <c:v>546750</c:v>
                </c:pt>
                <c:pt idx="1">
                  <c:v>859329</c:v>
                </c:pt>
                <c:pt idx="2">
                  <c:v>911662.1361</c:v>
                </c:pt>
                <c:pt idx="3">
                  <c:v>967182.36018849</c:v>
                </c:pt>
                <c:pt idx="4">
                  <c:v>1026083.76592397</c:v>
                </c:pt>
              </c:numCache>
            </c:numRef>
          </c:val>
        </c:ser>
        <c:gapWidth val="60"/>
        <c:overlap val="100"/>
        <c:axId val="13788545"/>
        <c:axId val="63136577"/>
      </c:barChart>
      <c:lineChart>
        <c:grouping val="stacked"/>
        <c:varyColors val="0"/>
        <c:ser>
          <c:idx val="2"/>
          <c:order val="2"/>
          <c:tx>
            <c:strRef>
              <c:f>KPIs!$A$48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KPIs!$B$48:$F$48</c:f>
              <c:numCache>
                <c:formatCode>0.0%;\(0.0%\);\-</c:formatCode>
                <c:ptCount val="5"/>
                <c:pt idx="0">
                  <c:v>-0.182718891731238</c:v>
                </c:pt>
                <c:pt idx="1">
                  <c:v>0.133197582853221</c:v>
                </c:pt>
                <c:pt idx="2">
                  <c:v>0.157203009802762</c:v>
                </c:pt>
                <c:pt idx="3">
                  <c:v>0.178706310366782</c:v>
                </c:pt>
                <c:pt idx="4">
                  <c:v>0.198223746719584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197012"/>
        <c:axId val="35446174"/>
      </c:lineChart>
      <c:catAx>
        <c:axId val="1378854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3136577"/>
        <c:crosses val="autoZero"/>
        <c:auto val="1"/>
        <c:lblAlgn val="ctr"/>
        <c:lblOffset val="100"/>
        <c:noMultiLvlLbl val="0"/>
      </c:catAx>
      <c:valAx>
        <c:axId val="6313657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3788545"/>
        <c:crosses val="autoZero"/>
        <c:crossBetween val="between"/>
      </c:valAx>
      <c:catAx>
        <c:axId val="25197012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5446174"/>
        <c:crosses val="autoZero"/>
        <c:auto val="1"/>
        <c:lblAlgn val="ctr"/>
        <c:lblOffset val="100"/>
        <c:noMultiLvlLbl val="0"/>
      </c:catAx>
      <c:valAx>
        <c:axId val="35446174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519701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1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2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36720</xdr:colOff>
      <xdr:row>18</xdr:row>
      <xdr:rowOff>111240</xdr:rowOff>
    </xdr:to>
    <xdr:graphicFrame>
      <xdr:nvGraphicFramePr>
        <xdr:cNvPr id="13" name="Chart 1"/>
        <xdr:cNvGraphicFramePr/>
      </xdr:nvGraphicFramePr>
      <xdr:xfrm>
        <a:off x="82486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</xdr:row>
      <xdr:rowOff>0</xdr:rowOff>
    </xdr:from>
    <xdr:to>
      <xdr:col>24</xdr:col>
      <xdr:colOff>36720</xdr:colOff>
      <xdr:row>18</xdr:row>
      <xdr:rowOff>111240</xdr:rowOff>
    </xdr:to>
    <xdr:graphicFrame>
      <xdr:nvGraphicFramePr>
        <xdr:cNvPr id="14" name="Chart 2"/>
        <xdr:cNvGraphicFramePr/>
      </xdr:nvGraphicFramePr>
      <xdr:xfrm>
        <a:off x="133236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36720</xdr:colOff>
      <xdr:row>35</xdr:row>
      <xdr:rowOff>120600</xdr:rowOff>
    </xdr:to>
    <xdr:graphicFrame>
      <xdr:nvGraphicFramePr>
        <xdr:cNvPr id="15" name="Chart 3"/>
        <xdr:cNvGraphicFramePr/>
      </xdr:nvGraphicFramePr>
      <xdr:xfrm>
        <a:off x="82486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20</xdr:row>
      <xdr:rowOff>0</xdr:rowOff>
    </xdr:from>
    <xdr:to>
      <xdr:col>24</xdr:col>
      <xdr:colOff>36720</xdr:colOff>
      <xdr:row>35</xdr:row>
      <xdr:rowOff>120600</xdr:rowOff>
    </xdr:to>
    <xdr:graphicFrame>
      <xdr:nvGraphicFramePr>
        <xdr:cNvPr id="16" name="Chart 4"/>
        <xdr:cNvGraphicFramePr/>
      </xdr:nvGraphicFramePr>
      <xdr:xfrm>
        <a:off x="133236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F12</f>
        <v>2372818.70869918</v>
      </c>
      <c r="B7" s="25"/>
      <c r="C7" s="26" t="n">
        <f aca="false">F17</f>
        <v>0.198223746719584</v>
      </c>
      <c r="D7" s="26"/>
      <c r="E7" s="26"/>
      <c r="F7" s="26"/>
      <c r="H7" s="25" t="n">
        <f aca="false">F18</f>
        <v>319393.400203924</v>
      </c>
      <c r="I7" s="25"/>
      <c r="J7" s="25"/>
      <c r="K7" s="25"/>
      <c r="L7" s="25" t="n">
        <f aca="false">F39</f>
        <v>83558.3660714286</v>
      </c>
      <c r="M7" s="25"/>
      <c r="N7" s="25"/>
      <c r="O7" s="25"/>
      <c r="P7" s="25" t="n">
        <f aca="false">F37</f>
        <v>824441.633928572</v>
      </c>
      <c r="Q7" s="25"/>
      <c r="R7" s="25"/>
      <c r="S7" s="25"/>
      <c r="T7" s="25" t="n">
        <f aca="false">F44</f>
        <v>644631.28890957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IF(AND(B12&gt;0,F12&gt;=0),(F12/B12)^(1/4)-1,"CAGR n/a")</f>
        <v>0.170438250217789</v>
      </c>
      <c r="B8" s="27"/>
      <c r="C8" s="28" t="n">
        <f aca="false">F16</f>
        <v>470349.014724677</v>
      </c>
      <c r="D8" s="28"/>
      <c r="E8" s="28"/>
      <c r="F8" s="28"/>
      <c r="H8" s="29" t="n">
        <f aca="false">F19</f>
        <v>0.13460505812474</v>
      </c>
      <c r="I8" s="29"/>
      <c r="J8" s="29"/>
      <c r="K8" s="29"/>
      <c r="L8" s="30" t="n">
        <f aca="false">'Break-even'!B6</f>
        <v>10</v>
      </c>
      <c r="M8" s="30"/>
      <c r="N8" s="30"/>
      <c r="O8" s="30"/>
      <c r="P8" s="31" t="n">
        <f aca="false">IF(F38&gt;=0,"Covered by funding raised",-F38)</f>
        <v>94441.6339285715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4" t="n">
        <v>4</v>
      </c>
      <c r="F11" s="34" t="n">
        <v>5</v>
      </c>
    </row>
    <row r="12" customFormat="false" ht="15" hidden="false" customHeight="false" outlineLevel="0" collapsed="false">
      <c r="A12" s="6" t="s">
        <v>44</v>
      </c>
      <c r="B12" s="35" t="n">
        <f aca="false">SUMIF(Monthly!$C$5:$BJ$5,B$11,Monthly!$C$28:$BJ$28)</f>
        <v>1264359.375</v>
      </c>
      <c r="C12" s="35" t="n">
        <f aca="false">SUMIF(Monthly!$C$5:$BJ$5,C$11,Monthly!$C$28:$BJ$28)</f>
        <v>1987198.3125</v>
      </c>
      <c r="D12" s="35" t="n">
        <f aca="false">SUMIF(Monthly!$C$5:$BJ$5,D$11,Monthly!$C$28:$BJ$28)</f>
        <v>2108218.68973125</v>
      </c>
      <c r="E12" s="35" t="n">
        <f aca="false">SUMIF(Monthly!$C$5:$BJ$5,E$11,Monthly!$C$28:$BJ$28)</f>
        <v>2236609.20793588</v>
      </c>
      <c r="F12" s="35" t="n">
        <f aca="false">SUMIF(Monthly!$C$5:$BJ$5,F$11,Monthly!$C$28:$BJ$28)</f>
        <v>2372818.70869918</v>
      </c>
    </row>
    <row r="13" customFormat="false" ht="15" hidden="false" customHeight="false" outlineLevel="0" collapsed="false">
      <c r="A13" s="36" t="s">
        <v>45</v>
      </c>
      <c r="B13" s="37" t="n">
        <f aca="false">SUMIF(Monthly!$C$5:$BJ$5,B$11,Monthly!$C$36:$BJ$36)</f>
        <v>481658.4375</v>
      </c>
      <c r="C13" s="37" t="n">
        <f aca="false">SUMIF(Monthly!$C$5:$BJ$5,C$11,Monthly!$C$36:$BJ$36)</f>
        <v>999978.46125</v>
      </c>
      <c r="D13" s="37" t="n">
        <f aca="false">SUMIF(Monthly!$C$5:$BJ$5,D$11,Monthly!$C$36:$BJ$36)</f>
        <v>1075151.55904012</v>
      </c>
      <c r="E13" s="37" t="n">
        <f aca="false">SUMIF(Monthly!$C$5:$BJ$5,E$11,Monthly!$C$36:$BJ$36)</f>
        <v>1155330.93077067</v>
      </c>
      <c r="F13" s="37" t="n">
        <f aca="false">SUMIF(Monthly!$C$5:$BJ$5,F$11,Monthly!$C$36:$BJ$36)</f>
        <v>1240834.30549315</v>
      </c>
    </row>
    <row r="14" customFormat="false" ht="15" hidden="false" customHeight="false" outlineLevel="0" collapsed="false">
      <c r="A14" s="38" t="s">
        <v>46</v>
      </c>
      <c r="B14" s="39" t="n">
        <f aca="false">IF(B12=0,0,B13/B12)</f>
        <v>0.380950580209839</v>
      </c>
      <c r="C14" s="39" t="n">
        <f aca="false">IF(C12=0,0,C13/C12)</f>
        <v>0.503210200491754</v>
      </c>
      <c r="D14" s="39" t="n">
        <f aca="false">IF(D12=0,0,D13/D12)</f>
        <v>0.509981039574781</v>
      </c>
      <c r="E14" s="39" t="n">
        <f aca="false">IF(E12=0,0,E13/E12)</f>
        <v>0.516554669752477</v>
      </c>
      <c r="F14" s="39" t="n">
        <f aca="false">IF(F12=0,0,F13/F12)</f>
        <v>0.522936834973541</v>
      </c>
    </row>
    <row r="15" customFormat="false" ht="15" hidden="false" customHeight="false" outlineLevel="0" collapsed="false">
      <c r="A15" s="6" t="s">
        <v>47</v>
      </c>
      <c r="B15" s="35" t="n">
        <f aca="false">SUMIF(Monthly!$C$5:$BJ$5,B$11,Monthly!$C$45:$BJ$45)</f>
        <v>-712680.78125</v>
      </c>
      <c r="C15" s="35" t="n">
        <f aca="false">SUMIF(Monthly!$C$5:$BJ$5,C$11,Monthly!$C$45:$BJ$45)</f>
        <v>-735288.449375</v>
      </c>
      <c r="D15" s="35" t="n">
        <f aca="false">SUMIF(Monthly!$C$5:$BJ$5,D$11,Monthly!$C$45:$BJ$45)</f>
        <v>-743733.235691938</v>
      </c>
      <c r="E15" s="35" t="n">
        <f aca="false">SUMIF(Monthly!$C$5:$BJ$5,E$11,Monthly!$C$45:$BJ$45)</f>
        <v>-755634.751488077</v>
      </c>
      <c r="F15" s="35" t="n">
        <f aca="false">SUMIF(Monthly!$C$5:$BJ$5,F$11,Monthly!$C$45:$BJ$45)</f>
        <v>-770485.290768476</v>
      </c>
    </row>
    <row r="16" customFormat="false" ht="15" hidden="false" customHeight="false" outlineLevel="0" collapsed="false">
      <c r="A16" s="36" t="s">
        <v>48</v>
      </c>
      <c r="B16" s="37" t="n">
        <f aca="false">SUMIF(Monthly!$C$5:$BJ$5,B$11,Monthly!$C$46:$BJ$46)</f>
        <v>-231022.34375</v>
      </c>
      <c r="C16" s="37" t="n">
        <f aca="false">SUMIF(Monthly!$C$5:$BJ$5,C$11,Monthly!$C$46:$BJ$46)</f>
        <v>264690.011875</v>
      </c>
      <c r="D16" s="37" t="n">
        <f aca="false">SUMIF(Monthly!$C$5:$BJ$5,D$11,Monthly!$C$46:$BJ$46)</f>
        <v>331418.323348187</v>
      </c>
      <c r="E16" s="37" t="n">
        <f aca="false">SUMIF(Monthly!$C$5:$BJ$5,E$11,Monthly!$C$46:$BJ$46)</f>
        <v>399696.179282592</v>
      </c>
      <c r="F16" s="37" t="n">
        <f aca="false">SUMIF(Monthly!$C$5:$BJ$5,F$11,Monthly!$C$46:$BJ$46)</f>
        <v>470349.014724677</v>
      </c>
    </row>
    <row r="17" customFormat="false" ht="15" hidden="false" customHeight="false" outlineLevel="0" collapsed="false">
      <c r="A17" s="38" t="s">
        <v>49</v>
      </c>
      <c r="B17" s="39" t="n">
        <f aca="false">IF(B12=0,0,B16/B12)</f>
        <v>-0.182718891731238</v>
      </c>
      <c r="C17" s="39" t="n">
        <f aca="false">IF(C12=0,0,C16/C12)</f>
        <v>0.133197582853221</v>
      </c>
      <c r="D17" s="39" t="n">
        <f aca="false">IF(D12=0,0,D16/D12)</f>
        <v>0.157203009802762</v>
      </c>
      <c r="E17" s="39" t="n">
        <f aca="false">IF(E12=0,0,E16/E12)</f>
        <v>0.178706310366782</v>
      </c>
      <c r="F17" s="39" t="n">
        <f aca="false">IF(F12=0,0,F16/F12)</f>
        <v>0.198223746719584</v>
      </c>
    </row>
    <row r="18" customFormat="false" ht="15" hidden="false" customHeight="false" outlineLevel="0" collapsed="false">
      <c r="A18" s="40" t="s">
        <v>50</v>
      </c>
      <c r="B18" s="41" t="n">
        <f aca="false">SUMIF(Monthly!$C$5:$BJ$5,B$11,Monthly!$C$55:$BJ$55)</f>
        <v>-299921.897321429</v>
      </c>
      <c r="C18" s="41" t="n">
        <f aca="false">SUMIF(Monthly!$C$5:$BJ$5,C$11,Monthly!$C$55:$BJ$55)</f>
        <v>196493.583303571</v>
      </c>
      <c r="D18" s="41" t="n">
        <f aca="false">SUMIF(Monthly!$C$5:$BJ$5,D$11,Monthly!$C$55:$BJ$55)</f>
        <v>230229.528531675</v>
      </c>
      <c r="E18" s="41" t="n">
        <f aca="false">SUMIF(Monthly!$C$5:$BJ$5,E$11,Monthly!$C$55:$BJ$55)</f>
        <v>263013.374490391</v>
      </c>
      <c r="F18" s="41" t="n">
        <f aca="false">SUMIF(Monthly!$C$5:$BJ$5,F$11,Monthly!$C$55:$BJ$55)</f>
        <v>319393.400203924</v>
      </c>
    </row>
    <row r="19" customFormat="false" ht="15" hidden="false" customHeight="false" outlineLevel="0" collapsed="false">
      <c r="A19" s="38" t="s">
        <v>51</v>
      </c>
      <c r="B19" s="39" t="n">
        <f aca="false">IF(B12=0,0,B18/B12)</f>
        <v>-0.237212538817477</v>
      </c>
      <c r="C19" s="39" t="n">
        <f aca="false">IF(C12=0,0,C18/C12)</f>
        <v>0.0988797051947836</v>
      </c>
      <c r="D19" s="39" t="n">
        <f aca="false">IF(D12=0,0,D18/D12)</f>
        <v>0.109205714593596</v>
      </c>
      <c r="E19" s="39" t="n">
        <f aca="false">IF(E12=0,0,E18/E12)</f>
        <v>0.117594693591162</v>
      </c>
      <c r="F19" s="39" t="n">
        <f aca="false">IF(F12=0,0,F18/F12)</f>
        <v>0.13460505812474</v>
      </c>
    </row>
    <row r="20" customFormat="false" ht="15" hidden="false" customHeight="false" outlineLevel="0" collapsed="false">
      <c r="A20" s="6" t="s">
        <v>52</v>
      </c>
      <c r="B20" s="35" t="n">
        <f aca="false">SUMIF(Monthly!$C$5:$BJ$5,B$11,Monthly!$C$85:$BJ$85)</f>
        <v>-223610.340029762</v>
      </c>
      <c r="C20" s="35" t="n">
        <f aca="false">SUMIF(Monthly!$C$5:$BJ$5,C$11,Monthly!$C$85:$BJ$85)</f>
        <v>248240.755272321</v>
      </c>
      <c r="D20" s="35" t="n">
        <f aca="false">SUMIF(Monthly!$C$5:$BJ$5,D$11,Monthly!$C$85:$BJ$85)</f>
        <v>284136.035806134</v>
      </c>
      <c r="E20" s="35" t="n">
        <f aca="false">SUMIF(Monthly!$C$5:$BJ$5,E$11,Monthly!$C$85:$BJ$85)</f>
        <v>319470.09097774</v>
      </c>
      <c r="F20" s="35" t="n">
        <f aca="false">SUMIF(Monthly!$C$5:$BJ$5,F$11,Monthly!$C$85:$BJ$85)</f>
        <v>378402.776982823</v>
      </c>
    </row>
    <row r="21" customFormat="false" ht="15" hidden="false" customHeight="false" outlineLevel="0" collapsed="false">
      <c r="A21" s="6" t="s">
        <v>53</v>
      </c>
      <c r="B21" s="35" t="n">
        <f aca="false">SUMIF(Monthly!$C$5:$BJ$5,B$11,Monthly!$C$86:$BJ$86)</f>
        <v>-382000</v>
      </c>
      <c r="C21" s="35" t="n">
        <f aca="false">SUMIF(Monthly!$C$5:$BJ$5,C$11,Monthly!$C$86:$BJ$86)</f>
        <v>-20000</v>
      </c>
      <c r="D21" s="35" t="n">
        <f aca="false">SUMIF(Monthly!$C$5:$BJ$5,D$11,Monthly!$C$86:$BJ$86)</f>
        <v>-20000</v>
      </c>
      <c r="E21" s="35" t="n">
        <f aca="false">SUMIF(Monthly!$C$5:$BJ$5,E$11,Monthly!$C$86:$BJ$86)</f>
        <v>-20000</v>
      </c>
      <c r="F21" s="35" t="n">
        <f aca="false">SUMIF(Monthly!$C$5:$BJ$5,F$11,Monthly!$C$86:$BJ$86)</f>
        <v>-20000</v>
      </c>
    </row>
    <row r="22" customFormat="false" ht="15" hidden="false" customHeight="false" outlineLevel="0" collapsed="false">
      <c r="A22" s="6" t="s">
        <v>54</v>
      </c>
      <c r="B22" s="35" t="n">
        <f aca="false">SUMIF(Monthly!$C$5:$BJ$5,B$11,Monthly!$C$88:$BJ$88)</f>
        <v>697261.904761905</v>
      </c>
      <c r="C22" s="35" t="n">
        <f aca="false">SUMIF(Monthly!$C$5:$BJ$5,C$11,Monthly!$C$88:$BJ$88)</f>
        <v>-35714.2857142857</v>
      </c>
      <c r="D22" s="35" t="n">
        <f aca="false">SUMIF(Monthly!$C$5:$BJ$5,D$11,Monthly!$C$88:$BJ$88)</f>
        <v>-35714.2857142857</v>
      </c>
      <c r="E22" s="35" t="n">
        <f aca="false">SUMIF(Monthly!$C$5:$BJ$5,E$11,Monthly!$C$88:$BJ$88)</f>
        <v>-35714.2857142857</v>
      </c>
      <c r="F22" s="35" t="n">
        <f aca="false">SUMIF(Monthly!$C$5:$BJ$5,F$11,Monthly!$C$88:$BJ$88)</f>
        <v>-35714.2857142857</v>
      </c>
    </row>
    <row r="23" customFormat="false" ht="15" hidden="false" customHeight="false" outlineLevel="0" collapsed="false">
      <c r="A23" s="36" t="s">
        <v>55</v>
      </c>
      <c r="B23" s="37" t="n">
        <f aca="false">SUMIF(Monthly!$C$5:$BJ$5,B$11,Monthly!$C$89:$BJ$89)</f>
        <v>91651.5647321428</v>
      </c>
      <c r="C23" s="37" t="n">
        <f aca="false">SUMIF(Monthly!$C$5:$BJ$5,C$11,Monthly!$C$89:$BJ$89)</f>
        <v>192526.469558036</v>
      </c>
      <c r="D23" s="37" t="n">
        <f aca="false">SUMIF(Monthly!$C$5:$BJ$5,D$11,Monthly!$C$89:$BJ$89)</f>
        <v>228421.750091849</v>
      </c>
      <c r="E23" s="37" t="n">
        <f aca="false">SUMIF(Monthly!$C$5:$BJ$5,E$11,Monthly!$C$89:$BJ$89)</f>
        <v>263755.805263454</v>
      </c>
      <c r="F23" s="37" t="n">
        <f aca="false">SUMIF(Monthly!$C$5:$BJ$5,F$11,Monthly!$C$89:$BJ$89)</f>
        <v>322688.491268538</v>
      </c>
    </row>
    <row r="24" customFormat="false" ht="15" hidden="false" customHeight="false" outlineLevel="0" collapsed="false">
      <c r="A24" s="40" t="s">
        <v>56</v>
      </c>
      <c r="B24" s="41" t="n">
        <f aca="false">INDEX(Monthly!$C$91:$BJ$91,B$11*12)</f>
        <v>91651.5647321428</v>
      </c>
      <c r="C24" s="41" t="n">
        <f aca="false">INDEX(Monthly!$C$91:$BJ$91,C$11*12)</f>
        <v>284178.034290178</v>
      </c>
      <c r="D24" s="41" t="n">
        <f aca="false">INDEX(Monthly!$C$91:$BJ$91,D$11*12)</f>
        <v>512599.784382027</v>
      </c>
      <c r="E24" s="41" t="n">
        <f aca="false">INDEX(Monthly!$C$91:$BJ$91,E$11*12)</f>
        <v>776355.589645481</v>
      </c>
      <c r="F24" s="41" t="n">
        <f aca="false">INDEX(Monthly!$C$91:$BJ$91,F$11*12)</f>
        <v>1099044.08091402</v>
      </c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4" t="n">
        <v>4</v>
      </c>
      <c r="F27" s="34" t="n">
        <v>5</v>
      </c>
    </row>
    <row r="28" customFormat="false" ht="15" hidden="false" customHeight="false" outlineLevel="0" collapsed="false">
      <c r="A28" s="6" t="s">
        <v>58</v>
      </c>
      <c r="B28" s="42" t="n">
        <f aca="false">KPIs!B31</f>
        <v>5467.5</v>
      </c>
      <c r="C28" s="42" t="n">
        <f aca="false">KPIs!C31</f>
        <v>8343</v>
      </c>
      <c r="D28" s="42" t="n">
        <f aca="false">KPIs!D31</f>
        <v>8593.29</v>
      </c>
      <c r="E28" s="42" t="n">
        <f aca="false">KPIs!E31</f>
        <v>8851.0887</v>
      </c>
      <c r="F28" s="42" t="n">
        <f aca="false">KPIs!F31</f>
        <v>9116.621361</v>
      </c>
    </row>
    <row r="29" customFormat="false" ht="15" hidden="false" customHeight="false" outlineLevel="0" collapsed="false">
      <c r="A29" s="6" t="s">
        <v>59</v>
      </c>
      <c r="B29" s="43" t="n">
        <f aca="false">KPIs!B33</f>
        <v>0.517755681818182</v>
      </c>
      <c r="C29" s="43" t="n">
        <f aca="false">KPIs!C33</f>
        <v>0.790056818181818</v>
      </c>
      <c r="D29" s="43" t="n">
        <f aca="false">KPIs!D33</f>
        <v>0.813758522727272</v>
      </c>
      <c r="E29" s="43" t="n">
        <f aca="false">KPIs!E33</f>
        <v>0.838171278409091</v>
      </c>
      <c r="F29" s="43" t="n">
        <f aca="false">KPIs!F33</f>
        <v>0.863316416761364</v>
      </c>
    </row>
    <row r="30" customFormat="false" ht="15" hidden="false" customHeight="false" outlineLevel="0" collapsed="false">
      <c r="A30" s="6" t="s">
        <v>60</v>
      </c>
      <c r="B30" s="44" t="n">
        <f aca="false">KPIs!B40</f>
        <v>462.5</v>
      </c>
      <c r="C30" s="44" t="n">
        <f aca="false">KPIs!C40</f>
        <v>476.375</v>
      </c>
      <c r="D30" s="44" t="n">
        <f aca="false">KPIs!D40</f>
        <v>490.66625</v>
      </c>
      <c r="E30" s="44" t="n">
        <f aca="false">KPIs!E40</f>
        <v>505.3862375</v>
      </c>
      <c r="F30" s="44" t="n">
        <f aca="false">KPIs!F40</f>
        <v>520.547824625</v>
      </c>
    </row>
    <row r="31" customFormat="false" ht="15" hidden="false" customHeight="false" outlineLevel="0" collapsed="false">
      <c r="A31" s="6" t="s">
        <v>61</v>
      </c>
      <c r="B31" s="44" t="n">
        <f aca="false">KPIs!B41</f>
        <v>231.25</v>
      </c>
      <c r="C31" s="44" t="n">
        <f aca="false">KPIs!C41</f>
        <v>238.1875</v>
      </c>
      <c r="D31" s="44" t="n">
        <f aca="false">KPIs!D41</f>
        <v>245.333125</v>
      </c>
      <c r="E31" s="44" t="n">
        <f aca="false">KPIs!E41</f>
        <v>252.69311875</v>
      </c>
      <c r="F31" s="44" t="n">
        <f aca="false">KPIs!F41</f>
        <v>260.2739123125</v>
      </c>
    </row>
    <row r="32" customFormat="false" ht="15" hidden="false" customHeight="false" outlineLevel="0" collapsed="false">
      <c r="A32" s="6" t="s">
        <v>62</v>
      </c>
      <c r="B32" s="45" t="n">
        <f aca="false">INDEX(Headcount!$C$11:$BJ$11,B$27*12)</f>
        <v>8</v>
      </c>
      <c r="C32" s="45" t="n">
        <f aca="false">INDEX(Headcount!$C$11:$BJ$11,C$27*12)</f>
        <v>8</v>
      </c>
      <c r="D32" s="45" t="n">
        <f aca="false">INDEX(Headcount!$C$11:$BJ$11,D$27*12)</f>
        <v>8</v>
      </c>
      <c r="E32" s="45" t="n">
        <f aca="false">INDEX(Headcount!$C$11:$BJ$11,E$27*12)</f>
        <v>8</v>
      </c>
      <c r="F32" s="45" t="n">
        <f aca="false">INDEX(Headcount!$C$11:$BJ$11,F$27*12)</f>
        <v>8</v>
      </c>
    </row>
    <row r="34" customFormat="false" ht="15.75" hidden="false" customHeight="true" outlineLevel="0" collapsed="false">
      <c r="A34" s="7" t="s">
        <v>63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6" t="s">
        <v>64</v>
      </c>
      <c r="B35" s="46"/>
      <c r="C35" s="46"/>
      <c r="D35" s="46"/>
      <c r="E35" s="46"/>
      <c r="F35" s="47" t="n">
        <f aca="false">Inputs!$E$67</f>
        <v>480000</v>
      </c>
    </row>
    <row r="36" customFormat="false" ht="15" hidden="false" customHeight="false" outlineLevel="0" collapsed="false">
      <c r="A36" s="6" t="s">
        <v>65</v>
      </c>
      <c r="B36" s="46"/>
      <c r="C36" s="46"/>
      <c r="D36" s="46"/>
      <c r="E36" s="46"/>
      <c r="F36" s="47" t="n">
        <f aca="false">Inputs!$E$68</f>
        <v>250000</v>
      </c>
    </row>
    <row r="37" customFormat="false" ht="15" hidden="false" customHeight="false" outlineLevel="0" collapsed="false">
      <c r="A37" s="6" t="s">
        <v>66</v>
      </c>
      <c r="B37" s="46"/>
      <c r="C37" s="46"/>
      <c r="D37" s="46"/>
      <c r="E37" s="46"/>
      <c r="F37" s="47" t="n">
        <f aca="false">'Break-even'!B12</f>
        <v>824441.633928572</v>
      </c>
    </row>
    <row r="38" customFormat="false" ht="15" hidden="false" customHeight="false" outlineLevel="0" collapsed="false">
      <c r="A38" s="36" t="s">
        <v>67</v>
      </c>
      <c r="B38" s="36"/>
      <c r="C38" s="36"/>
      <c r="D38" s="36"/>
      <c r="E38" s="36"/>
      <c r="F38" s="37" t="n">
        <f aca="false">'Break-even'!B17</f>
        <v>-94441.6339285715</v>
      </c>
    </row>
    <row r="39" customFormat="false" ht="15" hidden="false" customHeight="false" outlineLevel="0" collapsed="false">
      <c r="A39" s="6" t="str">
        <f aca="false">"Lowest cash balance (month "&amp;'Break-even'!B6&amp;")"</f>
        <v>Lowest cash balance (month 10)</v>
      </c>
      <c r="B39" s="46"/>
      <c r="C39" s="46"/>
      <c r="D39" s="46"/>
      <c r="E39" s="46"/>
      <c r="F39" s="47" t="n">
        <f aca="false">'Break-even'!B18</f>
        <v>83558.3660714286</v>
      </c>
    </row>
    <row r="40" customFormat="false" ht="15" hidden="false" customHeight="false" outlineLevel="0" collapsed="false">
      <c r="A40" s="6" t="s">
        <v>68</v>
      </c>
      <c r="B40" s="46"/>
      <c r="C40" s="46"/>
      <c r="D40" s="46"/>
      <c r="E40" s="46"/>
      <c r="F40" s="48" t="n">
        <f aca="false">'Break-even'!B21</f>
        <v>10</v>
      </c>
    </row>
    <row r="41" customFormat="false" ht="15" hidden="false" customHeight="false" outlineLevel="0" collapsed="false">
      <c r="A41" s="6" t="s">
        <v>69</v>
      </c>
      <c r="B41" s="46"/>
      <c r="C41" s="46"/>
      <c r="D41" s="46"/>
      <c r="E41" s="46"/>
      <c r="F41" s="48" t="n">
        <f aca="false">'Break-even'!B23</f>
        <v>41</v>
      </c>
    </row>
    <row r="42" customFormat="false" ht="15" hidden="false" customHeight="false" outlineLevel="0" collapsed="false">
      <c r="A42" s="6" t="s">
        <v>70</v>
      </c>
      <c r="B42" s="46"/>
      <c r="C42" s="46"/>
      <c r="D42" s="46"/>
      <c r="E42" s="46"/>
      <c r="F42" s="47" t="n">
        <f aca="false">Valuation!B27</f>
        <v>601563.278472638</v>
      </c>
    </row>
    <row r="43" customFormat="false" ht="15" hidden="false" customHeight="false" outlineLevel="0" collapsed="false">
      <c r="A43" s="6" t="s">
        <v>71</v>
      </c>
      <c r="B43" s="46"/>
      <c r="C43" s="46"/>
      <c r="D43" s="46"/>
      <c r="E43" s="46"/>
      <c r="F43" s="47" t="n">
        <f aca="false">Valuation!C27</f>
        <v>687699.299346502</v>
      </c>
    </row>
    <row r="44" customFormat="false" ht="15" hidden="false" customHeight="false" outlineLevel="0" collapsed="false">
      <c r="A44" s="40" t="s">
        <v>72</v>
      </c>
      <c r="B44" s="40"/>
      <c r="C44" s="40"/>
      <c r="D44" s="40"/>
      <c r="E44" s="40"/>
      <c r="F44" s="41" t="n">
        <f aca="false">Valuation!B30</f>
        <v>644631.28890957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73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74</v>
      </c>
      <c r="R2" s="49" t="n">
        <v>1</v>
      </c>
      <c r="S2" s="49"/>
    </row>
    <row r="5" customFormat="false" ht="15.75" hidden="false" customHeight="true" outlineLevel="0" collapsed="false">
      <c r="A5" s="7" t="s">
        <v>75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4" t="n">
        <v>4</v>
      </c>
      <c r="F6" s="34" t="n">
        <v>5</v>
      </c>
      <c r="H6" s="50" t="n">
        <f aca="false">INDEX(Monthly!$C$4:$BJ$4,($R$2-1)*12+1)</f>
        <v>1</v>
      </c>
      <c r="I6" s="50" t="n">
        <f aca="false">INDEX(Monthly!$C$4:$BJ$4,($R$2-1)*12+2)</f>
        <v>2</v>
      </c>
      <c r="J6" s="50" t="n">
        <f aca="false">INDEX(Monthly!$C$4:$BJ$4,($R$2-1)*12+3)</f>
        <v>3</v>
      </c>
      <c r="K6" s="50" t="n">
        <f aca="false">INDEX(Monthly!$C$4:$BJ$4,($R$2-1)*12+4)</f>
        <v>4</v>
      </c>
      <c r="L6" s="50" t="n">
        <f aca="false">INDEX(Monthly!$C$4:$BJ$4,($R$2-1)*12+5)</f>
        <v>5</v>
      </c>
      <c r="M6" s="50" t="n">
        <f aca="false">INDEX(Monthly!$C$4:$BJ$4,($R$2-1)*12+6)</f>
        <v>6</v>
      </c>
      <c r="N6" s="50" t="n">
        <f aca="false">INDEX(Monthly!$C$4:$BJ$4,($R$2-1)*12+7)</f>
        <v>7</v>
      </c>
      <c r="O6" s="50" t="n">
        <f aca="false">INDEX(Monthly!$C$4:$BJ$4,($R$2-1)*12+8)</f>
        <v>8</v>
      </c>
      <c r="P6" s="50" t="n">
        <f aca="false">INDEX(Monthly!$C$4:$BJ$4,($R$2-1)*12+9)</f>
        <v>9</v>
      </c>
      <c r="Q6" s="50" t="n">
        <f aca="false">INDEX(Monthly!$C$4:$BJ$4,($R$2-1)*12+10)</f>
        <v>10</v>
      </c>
      <c r="R6" s="50" t="n">
        <f aca="false">INDEX(Monthly!$C$4:$BJ$4,($R$2-1)*12+11)</f>
        <v>11</v>
      </c>
      <c r="S6" s="50" t="n">
        <f aca="false">INDEX(Monthly!$C$4:$BJ$4,($R$2-1)*12+12)</f>
        <v>12</v>
      </c>
    </row>
    <row r="7" customFormat="false" ht="15" hidden="false" customHeight="false" outlineLevel="0" collapsed="false">
      <c r="A7" s="51" t="s">
        <v>44</v>
      </c>
      <c r="B7" s="35" t="n">
        <f aca="false">'P&amp;L'!B5</f>
        <v>1264359.375</v>
      </c>
      <c r="C7" s="35" t="n">
        <f aca="false">'P&amp;L'!C5</f>
        <v>1987198.3125</v>
      </c>
      <c r="D7" s="35" t="n">
        <f aca="false">'P&amp;L'!D5</f>
        <v>2108218.68973125</v>
      </c>
      <c r="E7" s="35" t="n">
        <f aca="false">'P&amp;L'!E5</f>
        <v>2236609.20793588</v>
      </c>
      <c r="F7" s="35" t="n">
        <f aca="false">'P&amp;L'!F5</f>
        <v>2372818.70869918</v>
      </c>
      <c r="H7" s="35" t="n">
        <f aca="false">INDEX(Monthly!$C$28:$BJ$28,($R$2-1)*12+1)</f>
        <v>62437.5</v>
      </c>
      <c r="I7" s="35" t="n">
        <f aca="false">INDEX(Monthly!$C$28:$BJ$28,($R$2-1)*12+2)</f>
        <v>70242.1875</v>
      </c>
      <c r="J7" s="35" t="n">
        <f aca="false">INDEX(Monthly!$C$28:$BJ$28,($R$2-1)*12+3)</f>
        <v>78046.875</v>
      </c>
      <c r="K7" s="35" t="n">
        <f aca="false">INDEX(Monthly!$C$28:$BJ$28,($R$2-1)*12+4)</f>
        <v>85851.5625</v>
      </c>
      <c r="L7" s="35" t="n">
        <f aca="false">INDEX(Monthly!$C$28:$BJ$28,($R$2-1)*12+5)</f>
        <v>93656.25</v>
      </c>
      <c r="M7" s="35" t="n">
        <f aca="false">INDEX(Monthly!$C$28:$BJ$28,($R$2-1)*12+6)</f>
        <v>101460.9375</v>
      </c>
      <c r="N7" s="35" t="n">
        <f aca="false">INDEX(Monthly!$C$28:$BJ$28,($R$2-1)*12+7)</f>
        <v>109265.625</v>
      </c>
      <c r="O7" s="35" t="n">
        <f aca="false">INDEX(Monthly!$C$28:$BJ$28,($R$2-1)*12+8)</f>
        <v>117070.3125</v>
      </c>
      <c r="P7" s="35" t="n">
        <f aca="false">INDEX(Monthly!$C$28:$BJ$28,($R$2-1)*12+9)</f>
        <v>124875</v>
      </c>
      <c r="Q7" s="35" t="n">
        <f aca="false">INDEX(Monthly!$C$28:$BJ$28,($R$2-1)*12+10)</f>
        <v>132679.6875</v>
      </c>
      <c r="R7" s="35" t="n">
        <f aca="false">INDEX(Monthly!$C$28:$BJ$28,($R$2-1)*12+11)</f>
        <v>140484.375</v>
      </c>
      <c r="S7" s="35" t="n">
        <f aca="false">INDEX(Monthly!$C$28:$BJ$28,($R$2-1)*12+12)</f>
        <v>148289.0625</v>
      </c>
    </row>
    <row r="8" customFormat="false" ht="15" hidden="false" customHeight="false" outlineLevel="0" collapsed="false">
      <c r="A8" s="51" t="s">
        <v>76</v>
      </c>
      <c r="B8" s="35" t="n">
        <f aca="false">'P&amp;L'!B6</f>
        <v>-782700.9375</v>
      </c>
      <c r="C8" s="35" t="n">
        <f aca="false">'P&amp;L'!C6</f>
        <v>-987219.85125</v>
      </c>
      <c r="D8" s="35" t="n">
        <f aca="false">'P&amp;L'!D6</f>
        <v>-1033067.13069113</v>
      </c>
      <c r="E8" s="35" t="n">
        <f aca="false">'P&amp;L'!E6</f>
        <v>-1081278.27716521</v>
      </c>
      <c r="F8" s="35" t="n">
        <f aca="false">'P&amp;L'!F6</f>
        <v>-1131984.40320603</v>
      </c>
      <c r="H8" s="35" t="n">
        <f aca="false">INDEX(Monthly!$C$35:$BJ$35,($R$2-1)*12+1)</f>
        <v>-53878.75</v>
      </c>
      <c r="I8" s="35" t="n">
        <f aca="false">INDEX(Monthly!$C$35:$BJ$35,($R$2-1)*12+2)</f>
        <v>-55941.71875</v>
      </c>
      <c r="J8" s="35" t="n">
        <f aca="false">INDEX(Monthly!$C$35:$BJ$35,($R$2-1)*12+3)</f>
        <v>-58004.6875</v>
      </c>
      <c r="K8" s="35" t="n">
        <f aca="false">INDEX(Monthly!$C$35:$BJ$35,($R$2-1)*12+4)</f>
        <v>-60067.65625</v>
      </c>
      <c r="L8" s="35" t="n">
        <f aca="false">INDEX(Monthly!$C$35:$BJ$35,($R$2-1)*12+5)</f>
        <v>-62130.625</v>
      </c>
      <c r="M8" s="35" t="n">
        <f aca="false">INDEX(Monthly!$C$35:$BJ$35,($R$2-1)*12+6)</f>
        <v>-64193.59375</v>
      </c>
      <c r="N8" s="35" t="n">
        <f aca="false">INDEX(Monthly!$C$35:$BJ$35,($R$2-1)*12+7)</f>
        <v>-66256.5625</v>
      </c>
      <c r="O8" s="35" t="n">
        <f aca="false">INDEX(Monthly!$C$35:$BJ$35,($R$2-1)*12+8)</f>
        <v>-68319.53125</v>
      </c>
      <c r="P8" s="35" t="n">
        <f aca="false">INDEX(Monthly!$C$35:$BJ$35,($R$2-1)*12+9)</f>
        <v>-70382.5</v>
      </c>
      <c r="Q8" s="35" t="n">
        <f aca="false">INDEX(Monthly!$C$35:$BJ$35,($R$2-1)*12+10)</f>
        <v>-72445.46875</v>
      </c>
      <c r="R8" s="35" t="n">
        <f aca="false">INDEX(Monthly!$C$35:$BJ$35,($R$2-1)*12+11)</f>
        <v>-74508.4375</v>
      </c>
      <c r="S8" s="35" t="n">
        <f aca="false">INDEX(Monthly!$C$35:$BJ$35,($R$2-1)*12+12)</f>
        <v>-76571.40625</v>
      </c>
    </row>
    <row r="9" customFormat="false" ht="15" hidden="false" customHeight="false" outlineLevel="0" collapsed="false">
      <c r="A9" s="36" t="s">
        <v>45</v>
      </c>
      <c r="B9" s="37" t="n">
        <f aca="false">'P&amp;L'!B7</f>
        <v>481658.4375</v>
      </c>
      <c r="C9" s="37" t="n">
        <f aca="false">'P&amp;L'!C7</f>
        <v>999978.46125</v>
      </c>
      <c r="D9" s="37" t="n">
        <f aca="false">'P&amp;L'!D7</f>
        <v>1075151.55904012</v>
      </c>
      <c r="E9" s="37" t="n">
        <f aca="false">'P&amp;L'!E7</f>
        <v>1155330.93077067</v>
      </c>
      <c r="F9" s="37" t="n">
        <f aca="false">'P&amp;L'!F7</f>
        <v>1240834.30549315</v>
      </c>
      <c r="H9" s="37" t="n">
        <f aca="false">INDEX(Monthly!$C$36:$BJ$36,($R$2-1)*12+1)</f>
        <v>8558.74999999999</v>
      </c>
      <c r="I9" s="37" t="n">
        <f aca="false">INDEX(Monthly!$C$36:$BJ$36,($R$2-1)*12+2)</f>
        <v>14300.46875</v>
      </c>
      <c r="J9" s="37" t="n">
        <f aca="false">INDEX(Monthly!$C$36:$BJ$36,($R$2-1)*12+3)</f>
        <v>20042.1875</v>
      </c>
      <c r="K9" s="37" t="n">
        <f aca="false">INDEX(Monthly!$C$36:$BJ$36,($R$2-1)*12+4)</f>
        <v>25783.90625</v>
      </c>
      <c r="L9" s="37" t="n">
        <f aca="false">INDEX(Monthly!$C$36:$BJ$36,($R$2-1)*12+5)</f>
        <v>31525.625</v>
      </c>
      <c r="M9" s="37" t="n">
        <f aca="false">INDEX(Monthly!$C$36:$BJ$36,($R$2-1)*12+6)</f>
        <v>37267.34375</v>
      </c>
      <c r="N9" s="37" t="n">
        <f aca="false">INDEX(Monthly!$C$36:$BJ$36,($R$2-1)*12+7)</f>
        <v>43009.0625</v>
      </c>
      <c r="O9" s="37" t="n">
        <f aca="false">INDEX(Monthly!$C$36:$BJ$36,($R$2-1)*12+8)</f>
        <v>48750.78125</v>
      </c>
      <c r="P9" s="37" t="n">
        <f aca="false">INDEX(Monthly!$C$36:$BJ$36,($R$2-1)*12+9)</f>
        <v>54492.5</v>
      </c>
      <c r="Q9" s="37" t="n">
        <f aca="false">INDEX(Monthly!$C$36:$BJ$36,($R$2-1)*12+10)</f>
        <v>60234.21875</v>
      </c>
      <c r="R9" s="37" t="n">
        <f aca="false">INDEX(Monthly!$C$36:$BJ$36,($R$2-1)*12+11)</f>
        <v>65975.9375</v>
      </c>
      <c r="S9" s="37" t="n">
        <f aca="false">INDEX(Monthly!$C$36:$BJ$36,($R$2-1)*12+12)</f>
        <v>71717.65625</v>
      </c>
    </row>
    <row r="10" customFormat="false" ht="15" hidden="false" customHeight="false" outlineLevel="0" collapsed="false">
      <c r="A10" s="38" t="s">
        <v>46</v>
      </c>
      <c r="B10" s="39" t="n">
        <f aca="false">'P&amp;L'!B8</f>
        <v>0.380950580209839</v>
      </c>
      <c r="C10" s="39" t="n">
        <f aca="false">'P&amp;L'!C8</f>
        <v>0.503210200491754</v>
      </c>
      <c r="D10" s="39" t="n">
        <f aca="false">'P&amp;L'!D8</f>
        <v>0.509981039574781</v>
      </c>
      <c r="E10" s="39" t="n">
        <f aca="false">'P&amp;L'!E8</f>
        <v>0.516554669752477</v>
      </c>
      <c r="F10" s="39" t="n">
        <f aca="false">'P&amp;L'!F8</f>
        <v>0.522936834973541</v>
      </c>
      <c r="H10" s="39" t="n">
        <f aca="false">IF(H7=0,0,H9/H7)</f>
        <v>0.137077077077077</v>
      </c>
      <c r="I10" s="39" t="n">
        <f aca="false">IF(I7=0,0,I9/I7)</f>
        <v>0.203588032476921</v>
      </c>
      <c r="J10" s="39" t="n">
        <f aca="false">IF(J7=0,0,J9/J7)</f>
        <v>0.256796796796797</v>
      </c>
      <c r="K10" s="39" t="n">
        <f aca="false">IF(K7=0,0,K9/K7)</f>
        <v>0.30033124033124</v>
      </c>
      <c r="L10" s="39" t="n">
        <f aca="false">IF(L7=0,0,L9/L7)</f>
        <v>0.33660994327661</v>
      </c>
      <c r="M10" s="39" t="n">
        <f aca="false">IF(M7=0,0,M9/M7)</f>
        <v>0.367307307307307</v>
      </c>
      <c r="N10" s="39" t="n">
        <f aca="false">IF(N7=0,0,N9/N7)</f>
        <v>0.393619333619334</v>
      </c>
      <c r="O10" s="39" t="n">
        <f aca="false">IF(O7=0,0,O9/O7)</f>
        <v>0.416423089756423</v>
      </c>
      <c r="P10" s="39" t="n">
        <f aca="false">IF(P7=0,0,P9/P7)</f>
        <v>0.436376376376376</v>
      </c>
      <c r="Q10" s="39" t="n">
        <f aca="false">IF(Q7=0,0,Q9/Q7)</f>
        <v>0.453982217511629</v>
      </c>
      <c r="R10" s="39" t="n">
        <f aca="false">IF(R7=0,0,R9/R7)</f>
        <v>0.469631854076298</v>
      </c>
      <c r="S10" s="39" t="n">
        <f aca="false">IF(S7=0,0,S9/S7)</f>
        <v>0.483634160476266</v>
      </c>
    </row>
    <row r="11" customFormat="false" ht="15" hidden="false" customHeight="false" outlineLevel="0" collapsed="false">
      <c r="A11" s="51" t="s">
        <v>77</v>
      </c>
      <c r="B11" s="35" t="n">
        <f aca="false">'P&amp;L'!B15</f>
        <v>-712680.78125</v>
      </c>
      <c r="C11" s="35" t="n">
        <f aca="false">'P&amp;L'!C15</f>
        <v>-735288.449375</v>
      </c>
      <c r="D11" s="35" t="n">
        <f aca="false">'P&amp;L'!D15</f>
        <v>-743733.235691938</v>
      </c>
      <c r="E11" s="35" t="n">
        <f aca="false">'P&amp;L'!E15</f>
        <v>-755634.751488077</v>
      </c>
      <c r="F11" s="35" t="n">
        <f aca="false">'P&amp;L'!F15</f>
        <v>-770485.290768476</v>
      </c>
      <c r="H11" s="35" t="n">
        <f aca="false">INDEX(Monthly!$C$45:$BJ$45,($R$2-1)*12+1)</f>
        <v>-58102.2916666667</v>
      </c>
      <c r="I11" s="35" t="n">
        <f aca="false">INDEX(Monthly!$C$45:$BJ$45,($R$2-1)*12+2)</f>
        <v>-58336.4322916667</v>
      </c>
      <c r="J11" s="35" t="n">
        <f aca="false">INDEX(Monthly!$C$45:$BJ$45,($R$2-1)*12+3)</f>
        <v>-58570.5729166667</v>
      </c>
      <c r="K11" s="35" t="n">
        <f aca="false">INDEX(Monthly!$C$45:$BJ$45,($R$2-1)*12+4)</f>
        <v>-58804.7135416667</v>
      </c>
      <c r="L11" s="35" t="n">
        <f aca="false">INDEX(Monthly!$C$45:$BJ$45,($R$2-1)*12+5)</f>
        <v>-59038.8541666667</v>
      </c>
      <c r="M11" s="35" t="n">
        <f aca="false">INDEX(Monthly!$C$45:$BJ$45,($R$2-1)*12+6)</f>
        <v>-59272.9947916667</v>
      </c>
      <c r="N11" s="35" t="n">
        <f aca="false">INDEX(Monthly!$C$45:$BJ$45,($R$2-1)*12+7)</f>
        <v>-59507.1354166667</v>
      </c>
      <c r="O11" s="35" t="n">
        <f aca="false">INDEX(Monthly!$C$45:$BJ$45,($R$2-1)*12+8)</f>
        <v>-59741.2760416667</v>
      </c>
      <c r="P11" s="35" t="n">
        <f aca="false">INDEX(Monthly!$C$45:$BJ$45,($R$2-1)*12+9)</f>
        <v>-59975.4166666667</v>
      </c>
      <c r="Q11" s="35" t="n">
        <f aca="false">INDEX(Monthly!$C$45:$BJ$45,($R$2-1)*12+10)</f>
        <v>-60209.5572916667</v>
      </c>
      <c r="R11" s="35" t="n">
        <f aca="false">INDEX(Monthly!$C$45:$BJ$45,($R$2-1)*12+11)</f>
        <v>-60443.6979166667</v>
      </c>
      <c r="S11" s="35" t="n">
        <f aca="false">INDEX(Monthly!$C$45:$BJ$45,($R$2-1)*12+12)</f>
        <v>-60677.8385416667</v>
      </c>
    </row>
    <row r="12" customFormat="false" ht="15" hidden="false" customHeight="false" outlineLevel="0" collapsed="false">
      <c r="A12" s="36" t="s">
        <v>48</v>
      </c>
      <c r="B12" s="37" t="n">
        <f aca="false">'P&amp;L'!B16</f>
        <v>-231022.34375</v>
      </c>
      <c r="C12" s="37" t="n">
        <f aca="false">'P&amp;L'!C16</f>
        <v>264690.011875</v>
      </c>
      <c r="D12" s="37" t="n">
        <f aca="false">'P&amp;L'!D16</f>
        <v>331418.323348187</v>
      </c>
      <c r="E12" s="37" t="n">
        <f aca="false">'P&amp;L'!E16</f>
        <v>399696.179282592</v>
      </c>
      <c r="F12" s="37" t="n">
        <f aca="false">'P&amp;L'!F16</f>
        <v>470349.014724677</v>
      </c>
      <c r="H12" s="37" t="n">
        <f aca="false">INDEX(Monthly!$C$46:$BJ$46,($R$2-1)*12+1)</f>
        <v>-49543.5416666667</v>
      </c>
      <c r="I12" s="37" t="n">
        <f aca="false">INDEX(Monthly!$C$46:$BJ$46,($R$2-1)*12+2)</f>
        <v>-44035.9635416667</v>
      </c>
      <c r="J12" s="37" t="n">
        <f aca="false">INDEX(Monthly!$C$46:$BJ$46,($R$2-1)*12+3)</f>
        <v>-38528.3854166667</v>
      </c>
      <c r="K12" s="37" t="n">
        <f aca="false">INDEX(Monthly!$C$46:$BJ$46,($R$2-1)*12+4)</f>
        <v>-33020.8072916667</v>
      </c>
      <c r="L12" s="37" t="n">
        <f aca="false">INDEX(Monthly!$C$46:$BJ$46,($R$2-1)*12+5)</f>
        <v>-27513.2291666667</v>
      </c>
      <c r="M12" s="37" t="n">
        <f aca="false">INDEX(Monthly!$C$46:$BJ$46,($R$2-1)*12+6)</f>
        <v>-22005.6510416667</v>
      </c>
      <c r="N12" s="37" t="n">
        <f aca="false">INDEX(Monthly!$C$46:$BJ$46,($R$2-1)*12+7)</f>
        <v>-16498.0729166667</v>
      </c>
      <c r="O12" s="37" t="n">
        <f aca="false">INDEX(Monthly!$C$46:$BJ$46,($R$2-1)*12+8)</f>
        <v>-10990.4947916667</v>
      </c>
      <c r="P12" s="37" t="n">
        <f aca="false">INDEX(Monthly!$C$46:$BJ$46,($R$2-1)*12+9)</f>
        <v>-5482.91666666667</v>
      </c>
      <c r="Q12" s="37" t="n">
        <f aca="false">INDEX(Monthly!$C$46:$BJ$46,($R$2-1)*12+10)</f>
        <v>24.661458333343</v>
      </c>
      <c r="R12" s="37" t="n">
        <f aca="false">INDEX(Monthly!$C$46:$BJ$46,($R$2-1)*12+11)</f>
        <v>5532.2395833333</v>
      </c>
      <c r="S12" s="37" t="n">
        <f aca="false">INDEX(Monthly!$C$46:$BJ$46,($R$2-1)*12+12)</f>
        <v>11039.8177083333</v>
      </c>
    </row>
    <row r="13" customFormat="false" ht="15" hidden="false" customHeight="false" outlineLevel="0" collapsed="false">
      <c r="A13" s="38" t="s">
        <v>49</v>
      </c>
      <c r="B13" s="39" t="n">
        <f aca="false">'P&amp;L'!B17</f>
        <v>-0.182718891731238</v>
      </c>
      <c r="C13" s="39" t="n">
        <f aca="false">'P&amp;L'!C17</f>
        <v>0.133197582853221</v>
      </c>
      <c r="D13" s="39" t="n">
        <f aca="false">'P&amp;L'!D17</f>
        <v>0.157203009802762</v>
      </c>
      <c r="E13" s="39" t="n">
        <f aca="false">'P&amp;L'!E17</f>
        <v>0.178706310366782</v>
      </c>
      <c r="F13" s="39" t="n">
        <f aca="false">'P&amp;L'!F17</f>
        <v>0.198223746719584</v>
      </c>
      <c r="H13" s="39" t="n">
        <f aca="false">IF(H7=0,0,H12/H7)</f>
        <v>-0.793490156823491</v>
      </c>
      <c r="I13" s="39" t="n">
        <f aca="false">IF(I7=0,0,I12/I7)</f>
        <v>-0.626916175434694</v>
      </c>
      <c r="J13" s="39" t="n">
        <f aca="false">IF(J7=0,0,J12/J7)</f>
        <v>-0.493656990323657</v>
      </c>
      <c r="K13" s="39" t="n">
        <f aca="false">IF(K7=0,0,K12/K7)</f>
        <v>-0.384626747960081</v>
      </c>
      <c r="L13" s="39" t="n">
        <f aca="false">IF(L7=0,0,L12/L7)</f>
        <v>-0.293768212657101</v>
      </c>
      <c r="M13" s="39" t="n">
        <f aca="false">IF(M7=0,0,M12/M7)</f>
        <v>-0.21688791355458</v>
      </c>
      <c r="N13" s="39" t="n">
        <f aca="false">IF(N7=0,0,N12/N7)</f>
        <v>-0.150990514323848</v>
      </c>
      <c r="O13" s="39" t="n">
        <f aca="false">IF(O7=0,0,O12/O7)</f>
        <v>-0.0938794349905461</v>
      </c>
      <c r="P13" s="39" t="n">
        <f aca="false">IF(P7=0,0,P12/P7)</f>
        <v>-0.0439072405739073</v>
      </c>
      <c r="Q13" s="39" t="n">
        <f aca="false">IF(Q7=0,0,Q12/Q7)</f>
        <v>0.000185872146656533</v>
      </c>
      <c r="R13" s="39" t="n">
        <f aca="false">IF(R7=0,0,R12/R7)</f>
        <v>0.0393797501204906</v>
      </c>
      <c r="S13" s="39" t="n">
        <f aca="false">IF(S7=0,0,S12/S7)</f>
        <v>0.0744479567286585</v>
      </c>
    </row>
    <row r="14" customFormat="false" ht="15" hidden="false" customHeight="false" outlineLevel="0" collapsed="false">
      <c r="A14" s="51" t="s">
        <v>78</v>
      </c>
      <c r="B14" s="35" t="n">
        <f aca="false">'P&amp;L'!B18</f>
        <v>-47750</v>
      </c>
      <c r="C14" s="35" t="n">
        <f aca="false">'P&amp;L'!C18</f>
        <v>-50250</v>
      </c>
      <c r="D14" s="35" t="n">
        <f aca="false">'P&amp;L'!D18</f>
        <v>-52750</v>
      </c>
      <c r="E14" s="35" t="n">
        <f aca="false">'P&amp;L'!E18</f>
        <v>-55250</v>
      </c>
      <c r="F14" s="35" t="n">
        <f aca="false">'P&amp;L'!F18</f>
        <v>-57750</v>
      </c>
      <c r="H14" s="35" t="n">
        <f aca="false">INDEX(Monthly!$C$66:$BJ$66,($R$2-1)*12+1)</f>
        <v>-3979.16666666667</v>
      </c>
      <c r="I14" s="35" t="n">
        <f aca="false">INDEX(Monthly!$C$66:$BJ$66,($R$2-1)*12+2)</f>
        <v>-3979.16666666667</v>
      </c>
      <c r="J14" s="35" t="n">
        <f aca="false">INDEX(Monthly!$C$66:$BJ$66,($R$2-1)*12+3)</f>
        <v>-3979.16666666667</v>
      </c>
      <c r="K14" s="35" t="n">
        <f aca="false">INDEX(Monthly!$C$66:$BJ$66,($R$2-1)*12+4)</f>
        <v>-3979.16666666667</v>
      </c>
      <c r="L14" s="35" t="n">
        <f aca="false">INDEX(Monthly!$C$66:$BJ$66,($R$2-1)*12+5)</f>
        <v>-3979.16666666667</v>
      </c>
      <c r="M14" s="35" t="n">
        <f aca="false">INDEX(Monthly!$C$66:$BJ$66,($R$2-1)*12+6)</f>
        <v>-3979.16666666667</v>
      </c>
      <c r="N14" s="35" t="n">
        <f aca="false">INDEX(Monthly!$C$66:$BJ$66,($R$2-1)*12+7)</f>
        <v>-3979.16666666667</v>
      </c>
      <c r="O14" s="35" t="n">
        <f aca="false">INDEX(Monthly!$C$66:$BJ$66,($R$2-1)*12+8)</f>
        <v>-3979.16666666667</v>
      </c>
      <c r="P14" s="35" t="n">
        <f aca="false">INDEX(Monthly!$C$66:$BJ$66,($R$2-1)*12+9)</f>
        <v>-3979.16666666667</v>
      </c>
      <c r="Q14" s="35" t="n">
        <f aca="false">INDEX(Monthly!$C$66:$BJ$66,($R$2-1)*12+10)</f>
        <v>-3979.16666666667</v>
      </c>
      <c r="R14" s="35" t="n">
        <f aca="false">INDEX(Monthly!$C$66:$BJ$66,($R$2-1)*12+11)</f>
        <v>-3979.16666666667</v>
      </c>
      <c r="S14" s="35" t="n">
        <f aca="false">INDEX(Monthly!$C$66:$BJ$66,($R$2-1)*12+12)</f>
        <v>-3979.16666666667</v>
      </c>
    </row>
    <row r="15" customFormat="false" ht="15" hidden="false" customHeight="false" outlineLevel="0" collapsed="false">
      <c r="A15" s="36" t="s">
        <v>79</v>
      </c>
      <c r="B15" s="37" t="n">
        <f aca="false">'P&amp;L'!B19</f>
        <v>-278772.34375</v>
      </c>
      <c r="C15" s="37" t="n">
        <f aca="false">'P&amp;L'!C19</f>
        <v>214440.011875</v>
      </c>
      <c r="D15" s="37" t="n">
        <f aca="false">'P&amp;L'!D19</f>
        <v>278668.323348187</v>
      </c>
      <c r="E15" s="37" t="n">
        <f aca="false">'P&amp;L'!E19</f>
        <v>344446.179282592</v>
      </c>
      <c r="F15" s="37" t="n">
        <f aca="false">'P&amp;L'!F19</f>
        <v>412599.014724677</v>
      </c>
      <c r="H15" s="37" t="n">
        <f aca="false">INDEX(Monthly!$C$49:$BJ$49,($R$2-1)*12+1)</f>
        <v>-53522.7083333334</v>
      </c>
      <c r="I15" s="37" t="n">
        <f aca="false">INDEX(Monthly!$C$49:$BJ$49,($R$2-1)*12+2)</f>
        <v>-48015.1302083334</v>
      </c>
      <c r="J15" s="37" t="n">
        <f aca="false">INDEX(Monthly!$C$49:$BJ$49,($R$2-1)*12+3)</f>
        <v>-42507.5520833333</v>
      </c>
      <c r="K15" s="37" t="n">
        <f aca="false">INDEX(Monthly!$C$49:$BJ$49,($R$2-1)*12+4)</f>
        <v>-36999.9739583333</v>
      </c>
      <c r="L15" s="37" t="n">
        <f aca="false">INDEX(Monthly!$C$49:$BJ$49,($R$2-1)*12+5)</f>
        <v>-31492.3958333333</v>
      </c>
      <c r="M15" s="37" t="n">
        <f aca="false">INDEX(Monthly!$C$49:$BJ$49,($R$2-1)*12+6)</f>
        <v>-25984.8177083334</v>
      </c>
      <c r="N15" s="37" t="n">
        <f aca="false">INDEX(Monthly!$C$49:$BJ$49,($R$2-1)*12+7)</f>
        <v>-20477.2395833334</v>
      </c>
      <c r="O15" s="37" t="n">
        <f aca="false">INDEX(Monthly!$C$49:$BJ$49,($R$2-1)*12+8)</f>
        <v>-14969.6614583333</v>
      </c>
      <c r="P15" s="37" t="n">
        <f aca="false">INDEX(Monthly!$C$49:$BJ$49,($R$2-1)*12+9)</f>
        <v>-9462.08333333334</v>
      </c>
      <c r="Q15" s="37" t="n">
        <f aca="false">INDEX(Monthly!$C$49:$BJ$49,($R$2-1)*12+10)</f>
        <v>-3954.50520833332</v>
      </c>
      <c r="R15" s="37" t="n">
        <f aca="false">INDEX(Monthly!$C$49:$BJ$49,($R$2-1)*12+11)</f>
        <v>1553.07291666663</v>
      </c>
      <c r="S15" s="37" t="n">
        <f aca="false">INDEX(Monthly!$C$49:$BJ$49,($R$2-1)*12+12)</f>
        <v>7060.65104166666</v>
      </c>
    </row>
    <row r="16" customFormat="false" ht="15" hidden="false" customHeight="false" outlineLevel="0" collapsed="false">
      <c r="A16" s="51" t="s">
        <v>80</v>
      </c>
      <c r="B16" s="35" t="n">
        <f aca="false">'P&amp;L'!B20</f>
        <v>-21149.5535714286</v>
      </c>
      <c r="C16" s="35" t="n">
        <f aca="false">'P&amp;L'!C20</f>
        <v>-17946.4285714286</v>
      </c>
      <c r="D16" s="35" t="n">
        <f aca="false">'P&amp;L'!D20</f>
        <v>-14732.1428571429</v>
      </c>
      <c r="E16" s="35" t="n">
        <f aca="false">'P&amp;L'!E20</f>
        <v>-11517.8571428572</v>
      </c>
      <c r="F16" s="35" t="n">
        <f aca="false">'P&amp;L'!F20</f>
        <v>-8303.57142857144</v>
      </c>
      <c r="H16" s="35" t="n">
        <f aca="false">INDEX(Monthly!$C$50:$BJ$50,($R$2-1)*12+1)</f>
        <v>-1875</v>
      </c>
      <c r="I16" s="35" t="n">
        <f aca="false">INDEX(Monthly!$C$50:$BJ$50,($R$2-1)*12+2)</f>
        <v>-1863.83928571429</v>
      </c>
      <c r="J16" s="35" t="n">
        <f aca="false">INDEX(Monthly!$C$50:$BJ$50,($R$2-1)*12+3)</f>
        <v>-1841.51785714286</v>
      </c>
      <c r="K16" s="35" t="n">
        <f aca="false">INDEX(Monthly!$C$50:$BJ$50,($R$2-1)*12+4)</f>
        <v>-1819.19642857143</v>
      </c>
      <c r="L16" s="35" t="n">
        <f aca="false">INDEX(Monthly!$C$50:$BJ$50,($R$2-1)*12+5)</f>
        <v>-1796.875</v>
      </c>
      <c r="M16" s="35" t="n">
        <f aca="false">INDEX(Monthly!$C$50:$BJ$50,($R$2-1)*12+6)</f>
        <v>-1774.55357142857</v>
      </c>
      <c r="N16" s="35" t="n">
        <f aca="false">INDEX(Monthly!$C$50:$BJ$50,($R$2-1)*12+7)</f>
        <v>-1752.23214285714</v>
      </c>
      <c r="O16" s="35" t="n">
        <f aca="false">INDEX(Monthly!$C$50:$BJ$50,($R$2-1)*12+8)</f>
        <v>-1729.91071428571</v>
      </c>
      <c r="P16" s="35" t="n">
        <f aca="false">INDEX(Monthly!$C$50:$BJ$50,($R$2-1)*12+9)</f>
        <v>-1707.58928571429</v>
      </c>
      <c r="Q16" s="35" t="n">
        <f aca="false">INDEX(Monthly!$C$50:$BJ$50,($R$2-1)*12+10)</f>
        <v>-1685.26785714286</v>
      </c>
      <c r="R16" s="35" t="n">
        <f aca="false">INDEX(Monthly!$C$50:$BJ$50,($R$2-1)*12+11)</f>
        <v>-1662.94642857143</v>
      </c>
      <c r="S16" s="35" t="n">
        <f aca="false">INDEX(Monthly!$C$50:$BJ$50,($R$2-1)*12+12)</f>
        <v>-1640.625</v>
      </c>
    </row>
    <row r="17" customFormat="false" ht="15" hidden="false" customHeight="false" outlineLevel="0" collapsed="false">
      <c r="A17" s="51" t="s">
        <v>81</v>
      </c>
      <c r="B17" s="35" t="n">
        <f aca="false">'P&amp;L'!B21</f>
        <v>-299921.897321429</v>
      </c>
      <c r="C17" s="35" t="n">
        <f aca="false">'P&amp;L'!C21</f>
        <v>196493.583303571</v>
      </c>
      <c r="D17" s="35" t="n">
        <f aca="false">'P&amp;L'!D21</f>
        <v>263936.180491044</v>
      </c>
      <c r="E17" s="35" t="n">
        <f aca="false">'P&amp;L'!E21</f>
        <v>332928.322139735</v>
      </c>
      <c r="F17" s="35" t="n">
        <f aca="false">'P&amp;L'!F21</f>
        <v>404295.443296106</v>
      </c>
      <c r="H17" s="35" t="n">
        <f aca="false">INDEX(Monthly!$C$51:$BJ$51,($R$2-1)*12+1)</f>
        <v>-55397.7083333334</v>
      </c>
      <c r="I17" s="35" t="n">
        <f aca="false">INDEX(Monthly!$C$51:$BJ$51,($R$2-1)*12+2)</f>
        <v>-49878.9694940476</v>
      </c>
      <c r="J17" s="35" t="n">
        <f aca="false">INDEX(Monthly!$C$51:$BJ$51,($R$2-1)*12+3)</f>
        <v>-44349.0699404762</v>
      </c>
      <c r="K17" s="35" t="n">
        <f aca="false">INDEX(Monthly!$C$51:$BJ$51,($R$2-1)*12+4)</f>
        <v>-38819.1703869048</v>
      </c>
      <c r="L17" s="35" t="n">
        <f aca="false">INDEX(Monthly!$C$51:$BJ$51,($R$2-1)*12+5)</f>
        <v>-33289.2708333333</v>
      </c>
      <c r="M17" s="35" t="n">
        <f aca="false">INDEX(Monthly!$C$51:$BJ$51,($R$2-1)*12+6)</f>
        <v>-27759.3712797619</v>
      </c>
      <c r="N17" s="35" t="n">
        <f aca="false">INDEX(Monthly!$C$51:$BJ$51,($R$2-1)*12+7)</f>
        <v>-22229.4717261905</v>
      </c>
      <c r="O17" s="35" t="n">
        <f aca="false">INDEX(Monthly!$C$51:$BJ$51,($R$2-1)*12+8)</f>
        <v>-16699.5721726191</v>
      </c>
      <c r="P17" s="35" t="n">
        <f aca="false">INDEX(Monthly!$C$51:$BJ$51,($R$2-1)*12+9)</f>
        <v>-11169.6726190476</v>
      </c>
      <c r="Q17" s="35" t="n">
        <f aca="false">INDEX(Monthly!$C$51:$BJ$51,($R$2-1)*12+10)</f>
        <v>-5639.77306547618</v>
      </c>
      <c r="R17" s="35" t="n">
        <f aca="false">INDEX(Monthly!$C$51:$BJ$51,($R$2-1)*12+11)</f>
        <v>-109.873511904796</v>
      </c>
      <c r="S17" s="35" t="n">
        <f aca="false">INDEX(Monthly!$C$51:$BJ$51,($R$2-1)*12+12)</f>
        <v>5420.02604166666</v>
      </c>
    </row>
    <row r="18" customFormat="false" ht="15" hidden="false" customHeight="false" outlineLevel="0" collapsed="false">
      <c r="A18" s="51" t="s">
        <v>82</v>
      </c>
      <c r="B18" s="35" t="n">
        <f aca="false">'P&amp;L'!B22</f>
        <v>0</v>
      </c>
      <c r="C18" s="35" t="n">
        <f aca="false">'P&amp;L'!C22</f>
        <v>0</v>
      </c>
      <c r="D18" s="35" t="n">
        <f aca="false">'P&amp;L'!D22</f>
        <v>-33706.6519593693</v>
      </c>
      <c r="E18" s="35" t="n">
        <f aca="false">'P&amp;L'!E22</f>
        <v>-69914.9476493444</v>
      </c>
      <c r="F18" s="35" t="n">
        <f aca="false">'P&amp;L'!F22</f>
        <v>-84902.0430921822</v>
      </c>
      <c r="H18" s="35" t="n">
        <f aca="false">INDEX(Monthly!$C$54:$BJ$54,($R$2-1)*12+1)</f>
        <v>-0</v>
      </c>
      <c r="I18" s="35" t="n">
        <f aca="false">INDEX(Monthly!$C$54:$BJ$54,($R$2-1)*12+2)</f>
        <v>-0</v>
      </c>
      <c r="J18" s="35" t="n">
        <f aca="false">INDEX(Monthly!$C$54:$BJ$54,($R$2-1)*12+3)</f>
        <v>-0</v>
      </c>
      <c r="K18" s="35" t="n">
        <f aca="false">INDEX(Monthly!$C$54:$BJ$54,($R$2-1)*12+4)</f>
        <v>-0</v>
      </c>
      <c r="L18" s="35" t="n">
        <f aca="false">INDEX(Monthly!$C$54:$BJ$54,($R$2-1)*12+5)</f>
        <v>-0</v>
      </c>
      <c r="M18" s="35" t="n">
        <f aca="false">INDEX(Monthly!$C$54:$BJ$54,($R$2-1)*12+6)</f>
        <v>-0</v>
      </c>
      <c r="N18" s="35" t="n">
        <f aca="false">INDEX(Monthly!$C$54:$BJ$54,($R$2-1)*12+7)</f>
        <v>-0</v>
      </c>
      <c r="O18" s="35" t="n">
        <f aca="false">INDEX(Monthly!$C$54:$BJ$54,($R$2-1)*12+8)</f>
        <v>-0</v>
      </c>
      <c r="P18" s="35" t="n">
        <f aca="false">INDEX(Monthly!$C$54:$BJ$54,($R$2-1)*12+9)</f>
        <v>-0</v>
      </c>
      <c r="Q18" s="35" t="n">
        <f aca="false">INDEX(Monthly!$C$54:$BJ$54,($R$2-1)*12+10)</f>
        <v>-0</v>
      </c>
      <c r="R18" s="35" t="n">
        <f aca="false">INDEX(Monthly!$C$54:$BJ$54,($R$2-1)*12+11)</f>
        <v>-0</v>
      </c>
      <c r="S18" s="35" t="n">
        <f aca="false">INDEX(Monthly!$C$54:$BJ$54,($R$2-1)*12+12)</f>
        <v>-0</v>
      </c>
    </row>
    <row r="19" customFormat="false" ht="15" hidden="false" customHeight="false" outlineLevel="0" collapsed="false">
      <c r="A19" s="40" t="s">
        <v>50</v>
      </c>
      <c r="B19" s="41" t="n">
        <f aca="false">'P&amp;L'!B23</f>
        <v>-299921.897321429</v>
      </c>
      <c r="C19" s="41" t="n">
        <f aca="false">'P&amp;L'!C23</f>
        <v>196493.583303571</v>
      </c>
      <c r="D19" s="41" t="n">
        <f aca="false">'P&amp;L'!D23</f>
        <v>230229.528531675</v>
      </c>
      <c r="E19" s="41" t="n">
        <f aca="false">'P&amp;L'!E23</f>
        <v>263013.374490391</v>
      </c>
      <c r="F19" s="41" t="n">
        <f aca="false">'P&amp;L'!F23</f>
        <v>319393.400203924</v>
      </c>
      <c r="H19" s="41" t="n">
        <f aca="false">INDEX(Monthly!$C$55:$BJ$55,($R$2-1)*12+1)</f>
        <v>-55397.7083333334</v>
      </c>
      <c r="I19" s="41" t="n">
        <f aca="false">INDEX(Monthly!$C$55:$BJ$55,($R$2-1)*12+2)</f>
        <v>-49878.9694940476</v>
      </c>
      <c r="J19" s="41" t="n">
        <f aca="false">INDEX(Monthly!$C$55:$BJ$55,($R$2-1)*12+3)</f>
        <v>-44349.0699404762</v>
      </c>
      <c r="K19" s="41" t="n">
        <f aca="false">INDEX(Monthly!$C$55:$BJ$55,($R$2-1)*12+4)</f>
        <v>-38819.1703869048</v>
      </c>
      <c r="L19" s="41" t="n">
        <f aca="false">INDEX(Monthly!$C$55:$BJ$55,($R$2-1)*12+5)</f>
        <v>-33289.2708333333</v>
      </c>
      <c r="M19" s="41" t="n">
        <f aca="false">INDEX(Monthly!$C$55:$BJ$55,($R$2-1)*12+6)</f>
        <v>-27759.3712797619</v>
      </c>
      <c r="N19" s="41" t="n">
        <f aca="false">INDEX(Monthly!$C$55:$BJ$55,($R$2-1)*12+7)</f>
        <v>-22229.4717261905</v>
      </c>
      <c r="O19" s="41" t="n">
        <f aca="false">INDEX(Monthly!$C$55:$BJ$55,($R$2-1)*12+8)</f>
        <v>-16699.5721726191</v>
      </c>
      <c r="P19" s="41" t="n">
        <f aca="false">INDEX(Monthly!$C$55:$BJ$55,($R$2-1)*12+9)</f>
        <v>-11169.6726190476</v>
      </c>
      <c r="Q19" s="41" t="n">
        <f aca="false">INDEX(Monthly!$C$55:$BJ$55,($R$2-1)*12+10)</f>
        <v>-5639.77306547618</v>
      </c>
      <c r="R19" s="41" t="n">
        <f aca="false">INDEX(Monthly!$C$55:$BJ$55,($R$2-1)*12+11)</f>
        <v>-109.873511904796</v>
      </c>
      <c r="S19" s="41" t="n">
        <f aca="false">INDEX(Monthly!$C$55:$BJ$55,($R$2-1)*12+12)</f>
        <v>5420.02604166666</v>
      </c>
    </row>
    <row r="20" customFormat="false" ht="15" hidden="false" customHeight="false" outlineLevel="0" collapsed="false">
      <c r="A20" s="38" t="s">
        <v>51</v>
      </c>
      <c r="B20" s="39" t="n">
        <f aca="false">'P&amp;L'!B24</f>
        <v>-0.237212538817477</v>
      </c>
      <c r="C20" s="39" t="n">
        <f aca="false">'P&amp;L'!C24</f>
        <v>0.0988797051947836</v>
      </c>
      <c r="D20" s="39" t="n">
        <f aca="false">'P&amp;L'!D24</f>
        <v>0.109205714593596</v>
      </c>
      <c r="E20" s="39" t="n">
        <f aca="false">'P&amp;L'!E24</f>
        <v>0.117594693591162</v>
      </c>
      <c r="F20" s="39" t="n">
        <f aca="false">'P&amp;L'!F24</f>
        <v>0.13460505812474</v>
      </c>
      <c r="H20" s="39" t="n">
        <f aca="false">IF(H7=0,0,H19/H7)</f>
        <v>-0.887250583917251</v>
      </c>
      <c r="I20" s="39" t="n">
        <f aca="false">IF(I7=0,0,I19/I7)</f>
        <v>-0.710099888248037</v>
      </c>
      <c r="J20" s="39" t="n">
        <f aca="false">IF(J7=0,0,J19/J7)</f>
        <v>-0.568236331569665</v>
      </c>
      <c r="K20" s="39" t="n">
        <f aca="false">IF(K7=0,0,K19/K7)</f>
        <v>-0.452166148832815</v>
      </c>
      <c r="L20" s="39" t="n">
        <f aca="false">IF(L7=0,0,L19/L7)</f>
        <v>-0.355440996552108</v>
      </c>
      <c r="M20" s="39" t="n">
        <f aca="false">IF(M7=0,0,M19/M7)</f>
        <v>-0.273596636929971</v>
      </c>
      <c r="N20" s="39" t="n">
        <f aca="false">IF(N7=0,0,N19/N7)</f>
        <v>-0.203444328682424</v>
      </c>
      <c r="O20" s="39" t="n">
        <f aca="false">IF(O7=0,0,O19/O7)</f>
        <v>-0.14264566153455</v>
      </c>
      <c r="P20" s="39" t="n">
        <f aca="false">IF(P7=0,0,P19/P7)</f>
        <v>-0.0894468277801612</v>
      </c>
      <c r="Q20" s="39" t="n">
        <f aca="false">IF(Q7=0,0,Q19/Q7)</f>
        <v>-0.0425066803498175</v>
      </c>
      <c r="R20" s="39" t="n">
        <f aca="false">IF(R7=0,0,R19/R7)</f>
        <v>-0.000782104856179172</v>
      </c>
      <c r="S20" s="39" t="n">
        <f aca="false">IF(S7=0,0,S19/S7)</f>
        <v>0.036550410059182</v>
      </c>
    </row>
    <row r="22" customFormat="false" ht="15.75" hidden="false" customHeight="true" outlineLevel="0" collapsed="false">
      <c r="A22" s="7" t="s">
        <v>83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4" t="n">
        <v>4</v>
      </c>
      <c r="F23" s="34" t="n">
        <v>5</v>
      </c>
      <c r="H23" s="50" t="n">
        <f aca="false">INDEX(Monthly!$C$4:$BJ$4,($R$2-1)*12+1)</f>
        <v>1</v>
      </c>
      <c r="I23" s="50" t="n">
        <f aca="false">INDEX(Monthly!$C$4:$BJ$4,($R$2-1)*12+2)</f>
        <v>2</v>
      </c>
      <c r="J23" s="50" t="n">
        <f aca="false">INDEX(Monthly!$C$4:$BJ$4,($R$2-1)*12+3)</f>
        <v>3</v>
      </c>
      <c r="K23" s="50" t="n">
        <f aca="false">INDEX(Monthly!$C$4:$BJ$4,($R$2-1)*12+4)</f>
        <v>4</v>
      </c>
      <c r="L23" s="50" t="n">
        <f aca="false">INDEX(Monthly!$C$4:$BJ$4,($R$2-1)*12+5)</f>
        <v>5</v>
      </c>
      <c r="M23" s="50" t="n">
        <f aca="false">INDEX(Monthly!$C$4:$BJ$4,($R$2-1)*12+6)</f>
        <v>6</v>
      </c>
      <c r="N23" s="50" t="n">
        <f aca="false">INDEX(Monthly!$C$4:$BJ$4,($R$2-1)*12+7)</f>
        <v>7</v>
      </c>
      <c r="O23" s="50" t="n">
        <f aca="false">INDEX(Monthly!$C$4:$BJ$4,($R$2-1)*12+8)</f>
        <v>8</v>
      </c>
      <c r="P23" s="50" t="n">
        <f aca="false">INDEX(Monthly!$C$4:$BJ$4,($R$2-1)*12+9)</f>
        <v>9</v>
      </c>
      <c r="Q23" s="50" t="n">
        <f aca="false">INDEX(Monthly!$C$4:$BJ$4,($R$2-1)*12+10)</f>
        <v>10</v>
      </c>
      <c r="R23" s="50" t="n">
        <f aca="false">INDEX(Monthly!$C$4:$BJ$4,($R$2-1)*12+11)</f>
        <v>11</v>
      </c>
      <c r="S23" s="50" t="n">
        <f aca="false">INDEX(Monthly!$C$4:$BJ$4,($R$2-1)*12+12)</f>
        <v>12</v>
      </c>
    </row>
    <row r="24" customFormat="false" ht="15" hidden="false" customHeight="false" outlineLevel="0" collapsed="false">
      <c r="A24" s="36" t="s">
        <v>52</v>
      </c>
      <c r="B24" s="37" t="n">
        <f aca="false">'Cash Flow'!B10</f>
        <v>-223610.340029762</v>
      </c>
      <c r="C24" s="37" t="n">
        <f aca="false">'Cash Flow'!C10</f>
        <v>248240.755272321</v>
      </c>
      <c r="D24" s="37" t="n">
        <f aca="false">'Cash Flow'!D10</f>
        <v>284136.035806134</v>
      </c>
      <c r="E24" s="37" t="n">
        <f aca="false">'Cash Flow'!E10</f>
        <v>319470.09097774</v>
      </c>
      <c r="F24" s="37" t="n">
        <f aca="false">'Cash Flow'!F10</f>
        <v>378402.776982823</v>
      </c>
      <c r="H24" s="37" t="n">
        <f aca="false">INDEX(Monthly!$C$85:$BJ$85,($R$2-1)*12+1)</f>
        <v>-27131</v>
      </c>
      <c r="I24" s="37" t="n">
        <f aca="false">INDEX(Monthly!$C$85:$BJ$85,($R$2-1)*12+2)</f>
        <v>-45511.255952381</v>
      </c>
      <c r="J24" s="37" t="n">
        <f aca="false">INDEX(Monthly!$C$85:$BJ$85,($R$2-1)*12+3)</f>
        <v>-39981.3563988095</v>
      </c>
      <c r="K24" s="37" t="n">
        <f aca="false">INDEX(Monthly!$C$85:$BJ$85,($R$2-1)*12+4)</f>
        <v>-34451.4568452381</v>
      </c>
      <c r="L24" s="37" t="n">
        <f aca="false">INDEX(Monthly!$C$85:$BJ$85,($R$2-1)*12+5)</f>
        <v>-28921.5572916667</v>
      </c>
      <c r="M24" s="37" t="n">
        <f aca="false">INDEX(Monthly!$C$85:$BJ$85,($R$2-1)*12+6)</f>
        <v>-23391.6577380953</v>
      </c>
      <c r="N24" s="37" t="n">
        <f aca="false">INDEX(Monthly!$C$85:$BJ$85,($R$2-1)*12+7)</f>
        <v>-17861.7581845238</v>
      </c>
      <c r="O24" s="37" t="n">
        <f aca="false">INDEX(Monthly!$C$85:$BJ$85,($R$2-1)*12+8)</f>
        <v>-12331.8586309524</v>
      </c>
      <c r="P24" s="37" t="n">
        <f aca="false">INDEX(Monthly!$C$85:$BJ$85,($R$2-1)*12+9)</f>
        <v>-6801.95907738096</v>
      </c>
      <c r="Q24" s="37" t="n">
        <f aca="false">INDEX(Monthly!$C$85:$BJ$85,($R$2-1)*12+10)</f>
        <v>-1272.05952380951</v>
      </c>
      <c r="R24" s="37" t="n">
        <f aca="false">INDEX(Monthly!$C$85:$BJ$85,($R$2-1)*12+11)</f>
        <v>4257.84002976187</v>
      </c>
      <c r="S24" s="37" t="n">
        <f aca="false">INDEX(Monthly!$C$85:$BJ$85,($R$2-1)*12+12)</f>
        <v>9787.73958333333</v>
      </c>
    </row>
    <row r="25" customFormat="false" ht="15" hidden="false" customHeight="false" outlineLevel="0" collapsed="false">
      <c r="A25" s="51" t="s">
        <v>84</v>
      </c>
      <c r="B25" s="35" t="n">
        <f aca="false">'Cash Flow'!B11</f>
        <v>-382000</v>
      </c>
      <c r="C25" s="35" t="n">
        <f aca="false">'Cash Flow'!C11</f>
        <v>-20000</v>
      </c>
      <c r="D25" s="35" t="n">
        <f aca="false">'Cash Flow'!D11</f>
        <v>-20000</v>
      </c>
      <c r="E25" s="35" t="n">
        <f aca="false">'Cash Flow'!E11</f>
        <v>-20000</v>
      </c>
      <c r="F25" s="35" t="n">
        <f aca="false">'Cash Flow'!F11</f>
        <v>-20000</v>
      </c>
      <c r="H25" s="35" t="n">
        <f aca="false">INDEX(Monthly!$C$86:$BJ$86,($R$2-1)*12+1)</f>
        <v>-382000</v>
      </c>
      <c r="I25" s="35" t="n">
        <f aca="false">INDEX(Monthly!$C$86:$BJ$86,($R$2-1)*12+2)</f>
        <v>-0</v>
      </c>
      <c r="J25" s="35" t="n">
        <f aca="false">INDEX(Monthly!$C$86:$BJ$86,($R$2-1)*12+3)</f>
        <v>-0</v>
      </c>
      <c r="K25" s="35" t="n">
        <f aca="false">INDEX(Monthly!$C$86:$BJ$86,($R$2-1)*12+4)</f>
        <v>-0</v>
      </c>
      <c r="L25" s="35" t="n">
        <f aca="false">INDEX(Monthly!$C$86:$BJ$86,($R$2-1)*12+5)</f>
        <v>-0</v>
      </c>
      <c r="M25" s="35" t="n">
        <f aca="false">INDEX(Monthly!$C$86:$BJ$86,($R$2-1)*12+6)</f>
        <v>-0</v>
      </c>
      <c r="N25" s="35" t="n">
        <f aca="false">INDEX(Monthly!$C$86:$BJ$86,($R$2-1)*12+7)</f>
        <v>-0</v>
      </c>
      <c r="O25" s="35" t="n">
        <f aca="false">INDEX(Monthly!$C$86:$BJ$86,($R$2-1)*12+8)</f>
        <v>-0</v>
      </c>
      <c r="P25" s="35" t="n">
        <f aca="false">INDEX(Monthly!$C$86:$BJ$86,($R$2-1)*12+9)</f>
        <v>-0</v>
      </c>
      <c r="Q25" s="35" t="n">
        <f aca="false">INDEX(Monthly!$C$86:$BJ$86,($R$2-1)*12+10)</f>
        <v>-0</v>
      </c>
      <c r="R25" s="35" t="n">
        <f aca="false">INDEX(Monthly!$C$86:$BJ$86,($R$2-1)*12+11)</f>
        <v>-0</v>
      </c>
      <c r="S25" s="35" t="n">
        <f aca="false">INDEX(Monthly!$C$86:$BJ$86,($R$2-1)*12+12)</f>
        <v>-0</v>
      </c>
    </row>
    <row r="26" customFormat="false" ht="15" hidden="false" customHeight="false" outlineLevel="0" collapsed="false">
      <c r="A26" s="51" t="s">
        <v>64</v>
      </c>
      <c r="B26" s="35" t="n">
        <f aca="false">'Cash Flow'!B12</f>
        <v>480000</v>
      </c>
      <c r="C26" s="35" t="n">
        <f aca="false">'Cash Flow'!C12</f>
        <v>0</v>
      </c>
      <c r="D26" s="35" t="n">
        <f aca="false">'Cash Flow'!D12</f>
        <v>0</v>
      </c>
      <c r="E26" s="35" t="n">
        <f aca="false">'Cash Flow'!E12</f>
        <v>0</v>
      </c>
      <c r="F26" s="35" t="n">
        <f aca="false">'Cash Flow'!F12</f>
        <v>0</v>
      </c>
      <c r="H26" s="35" t="n">
        <f aca="false">INDEX(Monthly!$C$87:$BJ$87,($R$2-1)*12+1)</f>
        <v>480000</v>
      </c>
      <c r="I26" s="35" t="n">
        <f aca="false">INDEX(Monthly!$C$87:$BJ$87,($R$2-1)*12+2)</f>
        <v>0</v>
      </c>
      <c r="J26" s="35" t="n">
        <f aca="false">INDEX(Monthly!$C$87:$BJ$87,($R$2-1)*12+3)</f>
        <v>0</v>
      </c>
      <c r="K26" s="35" t="n">
        <f aca="false">INDEX(Monthly!$C$87:$BJ$87,($R$2-1)*12+4)</f>
        <v>0</v>
      </c>
      <c r="L26" s="35" t="n">
        <f aca="false">INDEX(Monthly!$C$87:$BJ$87,($R$2-1)*12+5)</f>
        <v>0</v>
      </c>
      <c r="M26" s="35" t="n">
        <f aca="false">INDEX(Monthly!$C$87:$BJ$87,($R$2-1)*12+6)</f>
        <v>0</v>
      </c>
      <c r="N26" s="35" t="n">
        <f aca="false">INDEX(Monthly!$C$87:$BJ$87,($R$2-1)*12+7)</f>
        <v>0</v>
      </c>
      <c r="O26" s="35" t="n">
        <f aca="false">INDEX(Monthly!$C$87:$BJ$87,($R$2-1)*12+8)</f>
        <v>0</v>
      </c>
      <c r="P26" s="35" t="n">
        <f aca="false">INDEX(Monthly!$C$87:$BJ$87,($R$2-1)*12+9)</f>
        <v>0</v>
      </c>
      <c r="Q26" s="35" t="n">
        <f aca="false">INDEX(Monthly!$C$87:$BJ$87,($R$2-1)*12+10)</f>
        <v>0</v>
      </c>
      <c r="R26" s="35" t="n">
        <f aca="false">INDEX(Monthly!$C$87:$BJ$87,($R$2-1)*12+11)</f>
        <v>0</v>
      </c>
      <c r="S26" s="35" t="n">
        <f aca="false">INDEX(Monthly!$C$87:$BJ$87,($R$2-1)*12+12)</f>
        <v>0</v>
      </c>
    </row>
    <row r="27" customFormat="false" ht="15" hidden="false" customHeight="false" outlineLevel="0" collapsed="false">
      <c r="A27" s="51" t="s">
        <v>85</v>
      </c>
      <c r="B27" s="35" t="n">
        <f aca="false">'Cash Flow'!B13</f>
        <v>250000</v>
      </c>
      <c r="C27" s="35" t="n">
        <f aca="false">'Cash Flow'!C13</f>
        <v>0</v>
      </c>
      <c r="D27" s="35" t="n">
        <f aca="false">'Cash Flow'!D13</f>
        <v>0</v>
      </c>
      <c r="E27" s="35" t="n">
        <f aca="false">'Cash Flow'!E13</f>
        <v>0</v>
      </c>
      <c r="F27" s="35" t="n">
        <f aca="false">'Cash Flow'!F13</f>
        <v>0</v>
      </c>
      <c r="H27" s="35" t="n">
        <f aca="false">INDEX(Monthly!$C$72:$BJ$72,($R$2-1)*12+1)</f>
        <v>250000</v>
      </c>
      <c r="I27" s="35" t="n">
        <f aca="false">INDEX(Monthly!$C$72:$BJ$72,($R$2-1)*12+2)</f>
        <v>0</v>
      </c>
      <c r="J27" s="35" t="n">
        <f aca="false">INDEX(Monthly!$C$72:$BJ$72,($R$2-1)*12+3)</f>
        <v>0</v>
      </c>
      <c r="K27" s="35" t="n">
        <f aca="false">INDEX(Monthly!$C$72:$BJ$72,($R$2-1)*12+4)</f>
        <v>0</v>
      </c>
      <c r="L27" s="35" t="n">
        <f aca="false">INDEX(Monthly!$C$72:$BJ$72,($R$2-1)*12+5)</f>
        <v>0</v>
      </c>
      <c r="M27" s="35" t="n">
        <f aca="false">INDEX(Monthly!$C$72:$BJ$72,($R$2-1)*12+6)</f>
        <v>0</v>
      </c>
      <c r="N27" s="35" t="n">
        <f aca="false">INDEX(Monthly!$C$72:$BJ$72,($R$2-1)*12+7)</f>
        <v>0</v>
      </c>
      <c r="O27" s="35" t="n">
        <f aca="false">INDEX(Monthly!$C$72:$BJ$72,($R$2-1)*12+8)</f>
        <v>0</v>
      </c>
      <c r="P27" s="35" t="n">
        <f aca="false">INDEX(Monthly!$C$72:$BJ$72,($R$2-1)*12+9)</f>
        <v>0</v>
      </c>
      <c r="Q27" s="35" t="n">
        <f aca="false">INDEX(Monthly!$C$72:$BJ$72,($R$2-1)*12+10)</f>
        <v>0</v>
      </c>
      <c r="R27" s="35" t="n">
        <f aca="false">INDEX(Monthly!$C$72:$BJ$72,($R$2-1)*12+11)</f>
        <v>0</v>
      </c>
      <c r="S27" s="35" t="n">
        <f aca="false">INDEX(Monthly!$C$72:$BJ$72,($R$2-1)*12+12)</f>
        <v>0</v>
      </c>
    </row>
    <row r="28" customFormat="false" ht="15" hidden="false" customHeight="false" outlineLevel="0" collapsed="false">
      <c r="A28" s="51" t="s">
        <v>86</v>
      </c>
      <c r="B28" s="35" t="n">
        <f aca="false">'Cash Flow'!B14</f>
        <v>-32738.0952380952</v>
      </c>
      <c r="C28" s="35" t="n">
        <f aca="false">'Cash Flow'!C14</f>
        <v>-35714.2857142857</v>
      </c>
      <c r="D28" s="35" t="n">
        <f aca="false">'Cash Flow'!D14</f>
        <v>-35714.2857142857</v>
      </c>
      <c r="E28" s="35" t="n">
        <f aca="false">'Cash Flow'!E14</f>
        <v>-35714.2857142857</v>
      </c>
      <c r="F28" s="35" t="n">
        <f aca="false">'Cash Flow'!F14</f>
        <v>-35714.2857142857</v>
      </c>
      <c r="H28" s="35" t="n">
        <f aca="false">INDEX(Monthly!$C$73:$BJ$73,($R$2-1)*12+1)</f>
        <v>-0</v>
      </c>
      <c r="I28" s="35" t="n">
        <f aca="false">INDEX(Monthly!$C$73:$BJ$73,($R$2-1)*12+2)</f>
        <v>-2976.19047619048</v>
      </c>
      <c r="J28" s="35" t="n">
        <f aca="false">INDEX(Monthly!$C$73:$BJ$73,($R$2-1)*12+3)</f>
        <v>-2976.19047619048</v>
      </c>
      <c r="K28" s="35" t="n">
        <f aca="false">INDEX(Monthly!$C$73:$BJ$73,($R$2-1)*12+4)</f>
        <v>-2976.19047619048</v>
      </c>
      <c r="L28" s="35" t="n">
        <f aca="false">INDEX(Monthly!$C$73:$BJ$73,($R$2-1)*12+5)</f>
        <v>-2976.19047619048</v>
      </c>
      <c r="M28" s="35" t="n">
        <f aca="false">INDEX(Monthly!$C$73:$BJ$73,($R$2-1)*12+6)</f>
        <v>-2976.19047619048</v>
      </c>
      <c r="N28" s="35" t="n">
        <f aca="false">INDEX(Monthly!$C$73:$BJ$73,($R$2-1)*12+7)</f>
        <v>-2976.19047619048</v>
      </c>
      <c r="O28" s="35" t="n">
        <f aca="false">INDEX(Monthly!$C$73:$BJ$73,($R$2-1)*12+8)</f>
        <v>-2976.19047619048</v>
      </c>
      <c r="P28" s="35" t="n">
        <f aca="false">INDEX(Monthly!$C$73:$BJ$73,($R$2-1)*12+9)</f>
        <v>-2976.19047619048</v>
      </c>
      <c r="Q28" s="35" t="n">
        <f aca="false">INDEX(Monthly!$C$73:$BJ$73,($R$2-1)*12+10)</f>
        <v>-2976.19047619048</v>
      </c>
      <c r="R28" s="35" t="n">
        <f aca="false">INDEX(Monthly!$C$73:$BJ$73,($R$2-1)*12+11)</f>
        <v>-2976.19047619048</v>
      </c>
      <c r="S28" s="35" t="n">
        <f aca="false">INDEX(Monthly!$C$73:$BJ$73,($R$2-1)*12+12)</f>
        <v>-2976.19047619048</v>
      </c>
    </row>
    <row r="29" customFormat="false" ht="15" hidden="false" customHeight="false" outlineLevel="0" collapsed="false">
      <c r="A29" s="36" t="s">
        <v>54</v>
      </c>
      <c r="B29" s="37" t="n">
        <f aca="false">'Cash Flow'!B15</f>
        <v>697261.904761905</v>
      </c>
      <c r="C29" s="37" t="n">
        <f aca="false">'Cash Flow'!C15</f>
        <v>-35714.2857142857</v>
      </c>
      <c r="D29" s="37" t="n">
        <f aca="false">'Cash Flow'!D15</f>
        <v>-35714.2857142857</v>
      </c>
      <c r="E29" s="37" t="n">
        <f aca="false">'Cash Flow'!E15</f>
        <v>-35714.2857142857</v>
      </c>
      <c r="F29" s="37" t="n">
        <f aca="false">'Cash Flow'!F15</f>
        <v>-35714.2857142857</v>
      </c>
      <c r="H29" s="37" t="n">
        <f aca="false">INDEX(Monthly!$C$88:$BJ$88,($R$2-1)*12+1)</f>
        <v>730000</v>
      </c>
      <c r="I29" s="37" t="n">
        <f aca="false">INDEX(Monthly!$C$88:$BJ$88,($R$2-1)*12+2)</f>
        <v>-2976.19047619048</v>
      </c>
      <c r="J29" s="37" t="n">
        <f aca="false">INDEX(Monthly!$C$88:$BJ$88,($R$2-1)*12+3)</f>
        <v>-2976.19047619048</v>
      </c>
      <c r="K29" s="37" t="n">
        <f aca="false">INDEX(Monthly!$C$88:$BJ$88,($R$2-1)*12+4)</f>
        <v>-2976.19047619048</v>
      </c>
      <c r="L29" s="37" t="n">
        <f aca="false">INDEX(Monthly!$C$88:$BJ$88,($R$2-1)*12+5)</f>
        <v>-2976.19047619048</v>
      </c>
      <c r="M29" s="37" t="n">
        <f aca="false">INDEX(Monthly!$C$88:$BJ$88,($R$2-1)*12+6)</f>
        <v>-2976.19047619048</v>
      </c>
      <c r="N29" s="37" t="n">
        <f aca="false">INDEX(Monthly!$C$88:$BJ$88,($R$2-1)*12+7)</f>
        <v>-2976.19047619048</v>
      </c>
      <c r="O29" s="37" t="n">
        <f aca="false">INDEX(Monthly!$C$88:$BJ$88,($R$2-1)*12+8)</f>
        <v>-2976.19047619048</v>
      </c>
      <c r="P29" s="37" t="n">
        <f aca="false">INDEX(Monthly!$C$88:$BJ$88,($R$2-1)*12+9)</f>
        <v>-2976.19047619048</v>
      </c>
      <c r="Q29" s="37" t="n">
        <f aca="false">INDEX(Monthly!$C$88:$BJ$88,($R$2-1)*12+10)</f>
        <v>-2976.19047619048</v>
      </c>
      <c r="R29" s="37" t="n">
        <f aca="false">INDEX(Monthly!$C$88:$BJ$88,($R$2-1)*12+11)</f>
        <v>-2976.19047619048</v>
      </c>
      <c r="S29" s="37" t="n">
        <f aca="false">INDEX(Monthly!$C$88:$BJ$88,($R$2-1)*12+12)</f>
        <v>-2976.19047619048</v>
      </c>
    </row>
    <row r="30" customFormat="false" ht="15" hidden="false" customHeight="false" outlineLevel="0" collapsed="false">
      <c r="A30" s="36" t="s">
        <v>55</v>
      </c>
      <c r="B30" s="37" t="n">
        <f aca="false">'Cash Flow'!B16</f>
        <v>91651.5647321428</v>
      </c>
      <c r="C30" s="37" t="n">
        <f aca="false">'Cash Flow'!C16</f>
        <v>192526.469558036</v>
      </c>
      <c r="D30" s="37" t="n">
        <f aca="false">'Cash Flow'!D16</f>
        <v>228421.750091849</v>
      </c>
      <c r="E30" s="37" t="n">
        <f aca="false">'Cash Flow'!E16</f>
        <v>263755.805263454</v>
      </c>
      <c r="F30" s="37" t="n">
        <f aca="false">'Cash Flow'!F16</f>
        <v>322688.491268538</v>
      </c>
      <c r="H30" s="37" t="n">
        <f aca="false">INDEX(Monthly!$C$89:$BJ$89,($R$2-1)*12+1)</f>
        <v>320869</v>
      </c>
      <c r="I30" s="37" t="n">
        <f aca="false">INDEX(Monthly!$C$89:$BJ$89,($R$2-1)*12+2)</f>
        <v>-48487.4464285714</v>
      </c>
      <c r="J30" s="37" t="n">
        <f aca="false">INDEX(Monthly!$C$89:$BJ$89,($R$2-1)*12+3)</f>
        <v>-42957.546875</v>
      </c>
      <c r="K30" s="37" t="n">
        <f aca="false">INDEX(Monthly!$C$89:$BJ$89,($R$2-1)*12+4)</f>
        <v>-37427.6473214286</v>
      </c>
      <c r="L30" s="37" t="n">
        <f aca="false">INDEX(Monthly!$C$89:$BJ$89,($R$2-1)*12+5)</f>
        <v>-31897.7477678571</v>
      </c>
      <c r="M30" s="37" t="n">
        <f aca="false">INDEX(Monthly!$C$89:$BJ$89,($R$2-1)*12+6)</f>
        <v>-26367.8482142857</v>
      </c>
      <c r="N30" s="37" t="n">
        <f aca="false">INDEX(Monthly!$C$89:$BJ$89,($R$2-1)*12+7)</f>
        <v>-20837.9486607143</v>
      </c>
      <c r="O30" s="37" t="n">
        <f aca="false">INDEX(Monthly!$C$89:$BJ$89,($R$2-1)*12+8)</f>
        <v>-15308.0491071429</v>
      </c>
      <c r="P30" s="37" t="n">
        <f aca="false">INDEX(Monthly!$C$89:$BJ$89,($R$2-1)*12+9)</f>
        <v>-9778.14955357144</v>
      </c>
      <c r="Q30" s="37" t="n">
        <f aca="false">INDEX(Monthly!$C$89:$BJ$89,($R$2-1)*12+10)</f>
        <v>-4248.24999999998</v>
      </c>
      <c r="R30" s="37" t="n">
        <f aca="false">INDEX(Monthly!$C$89:$BJ$89,($R$2-1)*12+11)</f>
        <v>1281.64955357139</v>
      </c>
      <c r="S30" s="37" t="n">
        <f aca="false">INDEX(Monthly!$C$89:$BJ$89,($R$2-1)*12+12)</f>
        <v>6811.54910714285</v>
      </c>
    </row>
    <row r="31" customFormat="false" ht="15" hidden="false" customHeight="false" outlineLevel="0" collapsed="false">
      <c r="A31" s="40" t="s">
        <v>87</v>
      </c>
      <c r="B31" s="41" t="n">
        <f aca="false">'Cash Flow'!B18</f>
        <v>91651.5647321428</v>
      </c>
      <c r="C31" s="41" t="n">
        <f aca="false">'Cash Flow'!C18</f>
        <v>284178.034290178</v>
      </c>
      <c r="D31" s="41" t="n">
        <f aca="false">'Cash Flow'!D18</f>
        <v>512599.784382027</v>
      </c>
      <c r="E31" s="41" t="n">
        <f aca="false">'Cash Flow'!E18</f>
        <v>776355.589645481</v>
      </c>
      <c r="F31" s="41" t="n">
        <f aca="false">'Cash Flow'!F18</f>
        <v>1099044.08091402</v>
      </c>
      <c r="H31" s="41" t="n">
        <f aca="false">INDEX(Monthly!$C$91:$BJ$91,($R$2-1)*12+1)</f>
        <v>320869</v>
      </c>
      <c r="I31" s="41" t="n">
        <f aca="false">INDEX(Monthly!$C$91:$BJ$91,($R$2-1)*12+2)</f>
        <v>272381.553571429</v>
      </c>
      <c r="J31" s="41" t="n">
        <f aca="false">INDEX(Monthly!$C$91:$BJ$91,($R$2-1)*12+3)</f>
        <v>229424.006696429</v>
      </c>
      <c r="K31" s="41" t="n">
        <f aca="false">INDEX(Monthly!$C$91:$BJ$91,($R$2-1)*12+4)</f>
        <v>191996.359375</v>
      </c>
      <c r="L31" s="41" t="n">
        <f aca="false">INDEX(Monthly!$C$91:$BJ$91,($R$2-1)*12+5)</f>
        <v>160098.611607143</v>
      </c>
      <c r="M31" s="41" t="n">
        <f aca="false">INDEX(Monthly!$C$91:$BJ$91,($R$2-1)*12+6)</f>
        <v>133730.763392857</v>
      </c>
      <c r="N31" s="41" t="n">
        <f aca="false">INDEX(Monthly!$C$91:$BJ$91,($R$2-1)*12+7)</f>
        <v>112892.814732143</v>
      </c>
      <c r="O31" s="41" t="n">
        <f aca="false">INDEX(Monthly!$C$91:$BJ$91,($R$2-1)*12+8)</f>
        <v>97584.765625</v>
      </c>
      <c r="P31" s="41" t="n">
        <f aca="false">INDEX(Monthly!$C$91:$BJ$91,($R$2-1)*12+9)</f>
        <v>87806.6160714286</v>
      </c>
      <c r="Q31" s="41" t="n">
        <f aca="false">INDEX(Monthly!$C$91:$BJ$91,($R$2-1)*12+10)</f>
        <v>83558.3660714286</v>
      </c>
      <c r="R31" s="41" t="n">
        <f aca="false">INDEX(Monthly!$C$91:$BJ$91,($R$2-1)*12+11)</f>
        <v>84840.015625</v>
      </c>
      <c r="S31" s="41" t="n">
        <f aca="false">INDEX(Monthly!$C$91:$BJ$91,($R$2-1)*12+12)</f>
        <v>91651.5647321428</v>
      </c>
    </row>
    <row r="39" customFormat="false" ht="15.75" hidden="false" customHeight="true" outlineLevel="0" collapsed="false">
      <c r="A39" s="7" t="s">
        <v>88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4" t="n">
        <v>4</v>
      </c>
      <c r="F40" s="34" t="n">
        <v>5</v>
      </c>
      <c r="H40" s="50" t="n">
        <f aca="false">INDEX(Monthly!$C$4:$BJ$4,($R$2-1)*12+1)</f>
        <v>1</v>
      </c>
      <c r="I40" s="50" t="n">
        <f aca="false">INDEX(Monthly!$C$4:$BJ$4,($R$2-1)*12+2)</f>
        <v>2</v>
      </c>
      <c r="J40" s="50" t="n">
        <f aca="false">INDEX(Monthly!$C$4:$BJ$4,($R$2-1)*12+3)</f>
        <v>3</v>
      </c>
      <c r="K40" s="50" t="n">
        <f aca="false">INDEX(Monthly!$C$4:$BJ$4,($R$2-1)*12+4)</f>
        <v>4</v>
      </c>
      <c r="L40" s="50" t="n">
        <f aca="false">INDEX(Monthly!$C$4:$BJ$4,($R$2-1)*12+5)</f>
        <v>5</v>
      </c>
      <c r="M40" s="50" t="n">
        <f aca="false">INDEX(Monthly!$C$4:$BJ$4,($R$2-1)*12+6)</f>
        <v>6</v>
      </c>
      <c r="N40" s="50" t="n">
        <f aca="false">INDEX(Monthly!$C$4:$BJ$4,($R$2-1)*12+7)</f>
        <v>7</v>
      </c>
      <c r="O40" s="50" t="n">
        <f aca="false">INDEX(Monthly!$C$4:$BJ$4,($R$2-1)*12+8)</f>
        <v>8</v>
      </c>
      <c r="P40" s="50" t="n">
        <f aca="false">INDEX(Monthly!$C$4:$BJ$4,($R$2-1)*12+9)</f>
        <v>9</v>
      </c>
      <c r="Q40" s="50" t="n">
        <f aca="false">INDEX(Monthly!$C$4:$BJ$4,($R$2-1)*12+10)</f>
        <v>10</v>
      </c>
      <c r="R40" s="50" t="n">
        <f aca="false">INDEX(Monthly!$C$4:$BJ$4,($R$2-1)*12+11)</f>
        <v>11</v>
      </c>
      <c r="S40" s="50" t="n">
        <f aca="false">INDEX(Monthly!$C$4:$BJ$4,($R$2-1)*12+12)</f>
        <v>12</v>
      </c>
    </row>
    <row r="41" customFormat="false" ht="15" hidden="false" customHeight="false" outlineLevel="0" collapsed="false">
      <c r="A41" s="51" t="s">
        <v>89</v>
      </c>
      <c r="B41" s="35" t="n">
        <f aca="false">'Balance Sheet'!B5</f>
        <v>91651.5647321428</v>
      </c>
      <c r="C41" s="35" t="n">
        <f aca="false">'Balance Sheet'!C5</f>
        <v>284178.034290178</v>
      </c>
      <c r="D41" s="35" t="n">
        <f aca="false">'Balance Sheet'!D5</f>
        <v>512599.784382027</v>
      </c>
      <c r="E41" s="35" t="n">
        <f aca="false">'Balance Sheet'!E5</f>
        <v>776355.589645481</v>
      </c>
      <c r="F41" s="35" t="n">
        <f aca="false">'Balance Sheet'!F5</f>
        <v>1099044.08091402</v>
      </c>
      <c r="H41" s="35" t="n">
        <f aca="false">INDEX(Monthly!$C$91:$BJ$91,($R$2-1)*12+1)</f>
        <v>320869</v>
      </c>
      <c r="I41" s="35" t="n">
        <f aca="false">INDEX(Monthly!$C$91:$BJ$91,($R$2-1)*12+2)</f>
        <v>272381.553571429</v>
      </c>
      <c r="J41" s="35" t="n">
        <f aca="false">INDEX(Monthly!$C$91:$BJ$91,($R$2-1)*12+3)</f>
        <v>229424.006696429</v>
      </c>
      <c r="K41" s="35" t="n">
        <f aca="false">INDEX(Monthly!$C$91:$BJ$91,($R$2-1)*12+4)</f>
        <v>191996.359375</v>
      </c>
      <c r="L41" s="35" t="n">
        <f aca="false">INDEX(Monthly!$C$91:$BJ$91,($R$2-1)*12+5)</f>
        <v>160098.611607143</v>
      </c>
      <c r="M41" s="35" t="n">
        <f aca="false">INDEX(Monthly!$C$91:$BJ$91,($R$2-1)*12+6)</f>
        <v>133730.763392857</v>
      </c>
      <c r="N41" s="35" t="n">
        <f aca="false">INDEX(Monthly!$C$91:$BJ$91,($R$2-1)*12+7)</f>
        <v>112892.814732143</v>
      </c>
      <c r="O41" s="35" t="n">
        <f aca="false">INDEX(Monthly!$C$91:$BJ$91,($R$2-1)*12+8)</f>
        <v>97584.765625</v>
      </c>
      <c r="P41" s="35" t="n">
        <f aca="false">INDEX(Monthly!$C$91:$BJ$91,($R$2-1)*12+9)</f>
        <v>87806.6160714286</v>
      </c>
      <c r="Q41" s="35" t="n">
        <f aca="false">INDEX(Monthly!$C$91:$BJ$91,($R$2-1)*12+10)</f>
        <v>83558.3660714286</v>
      </c>
      <c r="R41" s="35" t="n">
        <f aca="false">INDEX(Monthly!$C$91:$BJ$91,($R$2-1)*12+11)</f>
        <v>84840.015625</v>
      </c>
      <c r="S41" s="35" t="n">
        <f aca="false">INDEX(Monthly!$C$91:$BJ$91,($R$2-1)*12+12)</f>
        <v>91651.5647321428</v>
      </c>
    </row>
    <row r="42" customFormat="false" ht="15" hidden="false" customHeight="false" outlineLevel="0" collapsed="false">
      <c r="A42" s="51" t="s">
        <v>90</v>
      </c>
      <c r="B42" s="35" t="n">
        <f aca="false">'Balance Sheet'!B6</f>
        <v>14828.90625</v>
      </c>
      <c r="C42" s="35" t="n">
        <f aca="false">'Balance Sheet'!C6</f>
        <v>16559.9859375</v>
      </c>
      <c r="D42" s="35" t="n">
        <f aca="false">'Balance Sheet'!D6</f>
        <v>17568.4890810937</v>
      </c>
      <c r="E42" s="35" t="n">
        <f aca="false">'Balance Sheet'!E6</f>
        <v>18638.4100661324</v>
      </c>
      <c r="F42" s="35" t="n">
        <f aca="false">'Balance Sheet'!F6</f>
        <v>19773.4892391598</v>
      </c>
      <c r="H42" s="35" t="n">
        <f aca="false">INDEX(Monthly!$C$77:$BJ$77,($R$2-1)*12+1)</f>
        <v>6243.75</v>
      </c>
      <c r="I42" s="35" t="n">
        <f aca="false">INDEX(Monthly!$C$77:$BJ$77,($R$2-1)*12+2)</f>
        <v>7024.21875</v>
      </c>
      <c r="J42" s="35" t="n">
        <f aca="false">INDEX(Monthly!$C$77:$BJ$77,($R$2-1)*12+3)</f>
        <v>7804.6875</v>
      </c>
      <c r="K42" s="35" t="n">
        <f aca="false">INDEX(Monthly!$C$77:$BJ$77,($R$2-1)*12+4)</f>
        <v>8585.15625</v>
      </c>
      <c r="L42" s="35" t="n">
        <f aca="false">INDEX(Monthly!$C$77:$BJ$77,($R$2-1)*12+5)</f>
        <v>9365.625</v>
      </c>
      <c r="M42" s="35" t="n">
        <f aca="false">INDEX(Monthly!$C$77:$BJ$77,($R$2-1)*12+6)</f>
        <v>10146.09375</v>
      </c>
      <c r="N42" s="35" t="n">
        <f aca="false">INDEX(Monthly!$C$77:$BJ$77,($R$2-1)*12+7)</f>
        <v>10926.5625</v>
      </c>
      <c r="O42" s="35" t="n">
        <f aca="false">INDEX(Monthly!$C$77:$BJ$77,($R$2-1)*12+8)</f>
        <v>11707.03125</v>
      </c>
      <c r="P42" s="35" t="n">
        <f aca="false">INDEX(Monthly!$C$77:$BJ$77,($R$2-1)*12+9)</f>
        <v>12487.5</v>
      </c>
      <c r="Q42" s="35" t="n">
        <f aca="false">INDEX(Monthly!$C$77:$BJ$77,($R$2-1)*12+10)</f>
        <v>13267.96875</v>
      </c>
      <c r="R42" s="35" t="n">
        <f aca="false">INDEX(Monthly!$C$77:$BJ$77,($R$2-1)*12+11)</f>
        <v>14048.4375</v>
      </c>
      <c r="S42" s="35" t="n">
        <f aca="false">INDEX(Monthly!$C$77:$BJ$77,($R$2-1)*12+12)</f>
        <v>14828.90625</v>
      </c>
    </row>
    <row r="43" customFormat="false" ht="15" hidden="false" customHeight="false" outlineLevel="0" collapsed="false">
      <c r="A43" s="51" t="s">
        <v>91</v>
      </c>
      <c r="B43" s="35" t="n">
        <f aca="false">'Balance Sheet'!B7</f>
        <v>20419.0416666667</v>
      </c>
      <c r="C43" s="35" t="n">
        <f aca="false">'Balance Sheet'!C7</f>
        <v>21938.2189166667</v>
      </c>
      <c r="D43" s="35" t="n">
        <f aca="false">'Balance Sheet'!D7</f>
        <v>22957.0473486917</v>
      </c>
      <c r="E43" s="35" t="n">
        <f aca="false">'Balance Sheet'!E7</f>
        <v>24028.406159227</v>
      </c>
      <c r="F43" s="35" t="n">
        <f aca="false">'Balance Sheet'!F7</f>
        <v>25155.2089601339</v>
      </c>
      <c r="H43" s="35" t="n">
        <f aca="false">INDEX(Monthly!$C$78:$BJ$78,($R$2-1)*12+1)</f>
        <v>14367.6666666667</v>
      </c>
      <c r="I43" s="35" t="n">
        <f aca="false">INDEX(Monthly!$C$78:$BJ$78,($R$2-1)*12+2)</f>
        <v>14917.7916666667</v>
      </c>
      <c r="J43" s="35" t="n">
        <f aca="false">INDEX(Monthly!$C$78:$BJ$78,($R$2-1)*12+3)</f>
        <v>15467.9166666667</v>
      </c>
      <c r="K43" s="35" t="n">
        <f aca="false">INDEX(Monthly!$C$78:$BJ$78,($R$2-1)*12+4)</f>
        <v>16018.0416666667</v>
      </c>
      <c r="L43" s="35" t="n">
        <f aca="false">INDEX(Monthly!$C$78:$BJ$78,($R$2-1)*12+5)</f>
        <v>16568.1666666667</v>
      </c>
      <c r="M43" s="35" t="n">
        <f aca="false">INDEX(Monthly!$C$78:$BJ$78,($R$2-1)*12+6)</f>
        <v>17118.2916666667</v>
      </c>
      <c r="N43" s="35" t="n">
        <f aca="false">INDEX(Monthly!$C$78:$BJ$78,($R$2-1)*12+7)</f>
        <v>17668.4166666667</v>
      </c>
      <c r="O43" s="35" t="n">
        <f aca="false">INDEX(Monthly!$C$78:$BJ$78,($R$2-1)*12+8)</f>
        <v>18218.5416666667</v>
      </c>
      <c r="P43" s="35" t="n">
        <f aca="false">INDEX(Monthly!$C$78:$BJ$78,($R$2-1)*12+9)</f>
        <v>18768.6666666667</v>
      </c>
      <c r="Q43" s="35" t="n">
        <f aca="false">INDEX(Monthly!$C$78:$BJ$78,($R$2-1)*12+10)</f>
        <v>19318.7916666667</v>
      </c>
      <c r="R43" s="35" t="n">
        <f aca="false">INDEX(Monthly!$C$78:$BJ$78,($R$2-1)*12+11)</f>
        <v>19868.9166666667</v>
      </c>
      <c r="S43" s="35" t="n">
        <f aca="false">INDEX(Monthly!$C$78:$BJ$78,($R$2-1)*12+12)</f>
        <v>20419.0416666667</v>
      </c>
    </row>
    <row r="44" customFormat="false" ht="15" hidden="false" customHeight="false" outlineLevel="0" collapsed="false">
      <c r="A44" s="51" t="s">
        <v>92</v>
      </c>
      <c r="B44" s="35" t="n">
        <f aca="false">'Balance Sheet'!B8</f>
        <v>334250</v>
      </c>
      <c r="C44" s="35" t="n">
        <f aca="false">'Balance Sheet'!C8</f>
        <v>304000</v>
      </c>
      <c r="D44" s="35" t="n">
        <f aca="false">'Balance Sheet'!D8</f>
        <v>271250</v>
      </c>
      <c r="E44" s="35" t="n">
        <f aca="false">'Balance Sheet'!E8</f>
        <v>236000</v>
      </c>
      <c r="F44" s="35" t="n">
        <f aca="false">'Balance Sheet'!F8</f>
        <v>198250</v>
      </c>
      <c r="H44" s="35" t="n">
        <f aca="false">INDEX(Monthly!$C$68:$BJ$68,($R$2-1)*12+1)</f>
        <v>378020.833333333</v>
      </c>
      <c r="I44" s="35" t="n">
        <f aca="false">INDEX(Monthly!$C$68:$BJ$68,($R$2-1)*12+2)</f>
        <v>374041.666666667</v>
      </c>
      <c r="J44" s="35" t="n">
        <f aca="false">INDEX(Monthly!$C$68:$BJ$68,($R$2-1)*12+3)</f>
        <v>370062.5</v>
      </c>
      <c r="K44" s="35" t="n">
        <f aca="false">INDEX(Monthly!$C$68:$BJ$68,($R$2-1)*12+4)</f>
        <v>366083.333333333</v>
      </c>
      <c r="L44" s="35" t="n">
        <f aca="false">INDEX(Monthly!$C$68:$BJ$68,($R$2-1)*12+5)</f>
        <v>362104.166666667</v>
      </c>
      <c r="M44" s="35" t="n">
        <f aca="false">INDEX(Monthly!$C$68:$BJ$68,($R$2-1)*12+6)</f>
        <v>358125</v>
      </c>
      <c r="N44" s="35" t="n">
        <f aca="false">INDEX(Monthly!$C$68:$BJ$68,($R$2-1)*12+7)</f>
        <v>354145.833333333</v>
      </c>
      <c r="O44" s="35" t="n">
        <f aca="false">INDEX(Monthly!$C$68:$BJ$68,($R$2-1)*12+8)</f>
        <v>350166.666666667</v>
      </c>
      <c r="P44" s="35" t="n">
        <f aca="false">INDEX(Monthly!$C$68:$BJ$68,($R$2-1)*12+9)</f>
        <v>346187.5</v>
      </c>
      <c r="Q44" s="35" t="n">
        <f aca="false">INDEX(Monthly!$C$68:$BJ$68,($R$2-1)*12+10)</f>
        <v>342208.333333333</v>
      </c>
      <c r="R44" s="35" t="n">
        <f aca="false">INDEX(Monthly!$C$68:$BJ$68,($R$2-1)*12+11)</f>
        <v>338229.166666667</v>
      </c>
      <c r="S44" s="35" t="n">
        <f aca="false">INDEX(Monthly!$C$68:$BJ$68,($R$2-1)*12+12)</f>
        <v>334250</v>
      </c>
    </row>
    <row r="45" customFormat="false" ht="15" hidden="false" customHeight="false" outlineLevel="0" collapsed="false">
      <c r="A45" s="36" t="s">
        <v>93</v>
      </c>
      <c r="B45" s="37" t="n">
        <f aca="false">'Balance Sheet'!B9</f>
        <v>461149.512648809</v>
      </c>
      <c r="C45" s="37" t="n">
        <f aca="false">'Balance Sheet'!C9</f>
        <v>626676.239144345</v>
      </c>
      <c r="D45" s="37" t="n">
        <f aca="false">'Balance Sheet'!D9</f>
        <v>824375.320811812</v>
      </c>
      <c r="E45" s="37" t="n">
        <f aca="false">'Balance Sheet'!E9</f>
        <v>1055022.40587084</v>
      </c>
      <c r="F45" s="37" t="n">
        <f aca="false">'Balance Sheet'!F9</f>
        <v>1342222.77911331</v>
      </c>
      <c r="H45" s="37" t="n">
        <f aca="false">INDEX(Monthly!$C$105:$BJ$105,($R$2-1)*12+1)</f>
        <v>719501.25</v>
      </c>
      <c r="I45" s="37" t="n">
        <f aca="false">INDEX(Monthly!$C$105:$BJ$105,($R$2-1)*12+2)</f>
        <v>668365.230654762</v>
      </c>
      <c r="J45" s="37" t="n">
        <f aca="false">INDEX(Monthly!$C$105:$BJ$105,($R$2-1)*12+3)</f>
        <v>622759.110863095</v>
      </c>
      <c r="K45" s="37" t="n">
        <f aca="false">INDEX(Monthly!$C$105:$BJ$105,($R$2-1)*12+4)</f>
        <v>582682.890625</v>
      </c>
      <c r="L45" s="37" t="n">
        <f aca="false">INDEX(Monthly!$C$105:$BJ$105,($R$2-1)*12+5)</f>
        <v>548136.569940476</v>
      </c>
      <c r="M45" s="37" t="n">
        <f aca="false">INDEX(Monthly!$C$105:$BJ$105,($R$2-1)*12+6)</f>
        <v>519120.148809524</v>
      </c>
      <c r="N45" s="37" t="n">
        <f aca="false">INDEX(Monthly!$C$105:$BJ$105,($R$2-1)*12+7)</f>
        <v>495633.627232143</v>
      </c>
      <c r="O45" s="37" t="n">
        <f aca="false">INDEX(Monthly!$C$105:$BJ$105,($R$2-1)*12+8)</f>
        <v>477677.005208333</v>
      </c>
      <c r="P45" s="37" t="n">
        <f aca="false">INDEX(Monthly!$C$105:$BJ$105,($R$2-1)*12+9)</f>
        <v>465250.282738095</v>
      </c>
      <c r="Q45" s="37" t="n">
        <f aca="false">INDEX(Monthly!$C$105:$BJ$105,($R$2-1)*12+10)</f>
        <v>458353.459821429</v>
      </c>
      <c r="R45" s="37" t="n">
        <f aca="false">INDEX(Monthly!$C$105:$BJ$105,($R$2-1)*12+11)</f>
        <v>456986.536458333</v>
      </c>
      <c r="S45" s="37" t="n">
        <f aca="false">INDEX(Monthly!$C$105:$BJ$105,($R$2-1)*12+12)</f>
        <v>461149.512648809</v>
      </c>
    </row>
    <row r="46" customFormat="false" ht="15" hidden="false" customHeight="false" outlineLevel="0" collapsed="false">
      <c r="A46" s="51" t="s">
        <v>94</v>
      </c>
      <c r="B46" s="35" t="n">
        <f aca="false">'Balance Sheet'!B10</f>
        <v>63809.5052083333</v>
      </c>
      <c r="C46" s="35" t="n">
        <f aca="false">'Balance Sheet'!C10</f>
        <v>68556.9341145833</v>
      </c>
      <c r="D46" s="35" t="n">
        <f aca="false">'Balance Sheet'!D10</f>
        <v>71740.7729646615</v>
      </c>
      <c r="E46" s="35" t="n">
        <f aca="false">'Balance Sheet'!E10</f>
        <v>75088.7692475844</v>
      </c>
      <c r="F46" s="35" t="n">
        <f aca="false">'Balance Sheet'!F10</f>
        <v>78610.0280004185</v>
      </c>
      <c r="H46" s="35" t="n">
        <f aca="false">INDEX(Monthly!$C$79:$BJ$79,($R$2-1)*12+1)</f>
        <v>44898.9583333333</v>
      </c>
      <c r="I46" s="35" t="n">
        <f aca="false">INDEX(Monthly!$C$79:$BJ$79,($R$2-1)*12+2)</f>
        <v>46618.0989583333</v>
      </c>
      <c r="J46" s="35" t="n">
        <f aca="false">INDEX(Monthly!$C$79:$BJ$79,($R$2-1)*12+3)</f>
        <v>48337.2395833333</v>
      </c>
      <c r="K46" s="35" t="n">
        <f aca="false">INDEX(Monthly!$C$79:$BJ$79,($R$2-1)*12+4)</f>
        <v>50056.3802083333</v>
      </c>
      <c r="L46" s="35" t="n">
        <f aca="false">INDEX(Monthly!$C$79:$BJ$79,($R$2-1)*12+5)</f>
        <v>51775.5208333333</v>
      </c>
      <c r="M46" s="35" t="n">
        <f aca="false">INDEX(Monthly!$C$79:$BJ$79,($R$2-1)*12+6)</f>
        <v>53494.6614583333</v>
      </c>
      <c r="N46" s="35" t="n">
        <f aca="false">INDEX(Monthly!$C$79:$BJ$79,($R$2-1)*12+7)</f>
        <v>55213.8020833333</v>
      </c>
      <c r="O46" s="35" t="n">
        <f aca="false">INDEX(Monthly!$C$79:$BJ$79,($R$2-1)*12+8)</f>
        <v>56932.9427083333</v>
      </c>
      <c r="P46" s="35" t="n">
        <f aca="false">INDEX(Monthly!$C$79:$BJ$79,($R$2-1)*12+9)</f>
        <v>58652.0833333333</v>
      </c>
      <c r="Q46" s="35" t="n">
        <f aca="false">INDEX(Monthly!$C$79:$BJ$79,($R$2-1)*12+10)</f>
        <v>60371.2239583334</v>
      </c>
      <c r="R46" s="35" t="n">
        <f aca="false">INDEX(Monthly!$C$79:$BJ$79,($R$2-1)*12+11)</f>
        <v>62090.3645833333</v>
      </c>
      <c r="S46" s="35" t="n">
        <f aca="false">INDEX(Monthly!$C$79:$BJ$79,($R$2-1)*12+12)</f>
        <v>63809.5052083333</v>
      </c>
    </row>
    <row r="47" customFormat="false" ht="15" hidden="false" customHeight="false" outlineLevel="0" collapsed="false">
      <c r="A47" s="51" t="s">
        <v>95</v>
      </c>
      <c r="B47" s="35" t="n">
        <f aca="false">'Balance Sheet'!B11</f>
        <v>217261.904761905</v>
      </c>
      <c r="C47" s="35" t="n">
        <f aca="false">'Balance Sheet'!C11</f>
        <v>181547.619047619</v>
      </c>
      <c r="D47" s="35" t="n">
        <f aca="false">'Balance Sheet'!D11</f>
        <v>145833.333333333</v>
      </c>
      <c r="E47" s="35" t="n">
        <f aca="false">'Balance Sheet'!E11</f>
        <v>110119.047619048</v>
      </c>
      <c r="F47" s="35" t="n">
        <f aca="false">'Balance Sheet'!F11</f>
        <v>74404.7619047621</v>
      </c>
      <c r="H47" s="35" t="n">
        <f aca="false">INDEX(Monthly!$C$74:$BJ$74,($R$2-1)*12+1)</f>
        <v>250000</v>
      </c>
      <c r="I47" s="35" t="n">
        <f aca="false">INDEX(Monthly!$C$74:$BJ$74,($R$2-1)*12+2)</f>
        <v>247023.80952381</v>
      </c>
      <c r="J47" s="35" t="n">
        <f aca="false">INDEX(Monthly!$C$74:$BJ$74,($R$2-1)*12+3)</f>
        <v>244047.619047619</v>
      </c>
      <c r="K47" s="35" t="n">
        <f aca="false">INDEX(Monthly!$C$74:$BJ$74,($R$2-1)*12+4)</f>
        <v>241071.428571429</v>
      </c>
      <c r="L47" s="35" t="n">
        <f aca="false">INDEX(Monthly!$C$74:$BJ$74,($R$2-1)*12+5)</f>
        <v>238095.238095238</v>
      </c>
      <c r="M47" s="35" t="n">
        <f aca="false">INDEX(Monthly!$C$74:$BJ$74,($R$2-1)*12+6)</f>
        <v>235119.047619048</v>
      </c>
      <c r="N47" s="35" t="n">
        <f aca="false">INDEX(Monthly!$C$74:$BJ$74,($R$2-1)*12+7)</f>
        <v>232142.857142857</v>
      </c>
      <c r="O47" s="35" t="n">
        <f aca="false">INDEX(Monthly!$C$74:$BJ$74,($R$2-1)*12+8)</f>
        <v>229166.666666667</v>
      </c>
      <c r="P47" s="35" t="n">
        <f aca="false">INDEX(Monthly!$C$74:$BJ$74,($R$2-1)*12+9)</f>
        <v>226190.476190476</v>
      </c>
      <c r="Q47" s="35" t="n">
        <f aca="false">INDEX(Monthly!$C$74:$BJ$74,($R$2-1)*12+10)</f>
        <v>223214.285714286</v>
      </c>
      <c r="R47" s="35" t="n">
        <f aca="false">INDEX(Monthly!$C$74:$BJ$74,($R$2-1)*12+11)</f>
        <v>220238.095238095</v>
      </c>
      <c r="S47" s="35" t="n">
        <f aca="false">INDEX(Monthly!$C$74:$BJ$74,($R$2-1)*12+12)</f>
        <v>217261.904761905</v>
      </c>
    </row>
    <row r="48" customFormat="false" ht="15" hidden="false" customHeight="false" outlineLevel="0" collapsed="false">
      <c r="A48" s="36" t="s">
        <v>96</v>
      </c>
      <c r="B48" s="37" t="n">
        <f aca="false">'Balance Sheet'!B12</f>
        <v>281071.409970238</v>
      </c>
      <c r="C48" s="37" t="n">
        <f aca="false">'Balance Sheet'!C12</f>
        <v>250104.553162202</v>
      </c>
      <c r="D48" s="37" t="n">
        <f aca="false">'Balance Sheet'!D12</f>
        <v>217574.106297995</v>
      </c>
      <c r="E48" s="37" t="n">
        <f aca="false">'Balance Sheet'!E12</f>
        <v>185207.816866632</v>
      </c>
      <c r="F48" s="37" t="n">
        <f aca="false">'Balance Sheet'!F12</f>
        <v>153014.789905181</v>
      </c>
      <c r="H48" s="37" t="n">
        <f aca="false">INDEX(Monthly!$C$106:$BJ$106,($R$2-1)*12+1)</f>
        <v>294898.958333333</v>
      </c>
      <c r="I48" s="37" t="n">
        <f aca="false">INDEX(Monthly!$C$106:$BJ$106,($R$2-1)*12+2)</f>
        <v>293641.908482143</v>
      </c>
      <c r="J48" s="37" t="n">
        <f aca="false">INDEX(Monthly!$C$106:$BJ$106,($R$2-1)*12+3)</f>
        <v>292384.858630952</v>
      </c>
      <c r="K48" s="37" t="n">
        <f aca="false">INDEX(Monthly!$C$106:$BJ$106,($R$2-1)*12+4)</f>
        <v>291127.808779762</v>
      </c>
      <c r="L48" s="37" t="n">
        <f aca="false">INDEX(Monthly!$C$106:$BJ$106,($R$2-1)*12+5)</f>
        <v>289870.758928571</v>
      </c>
      <c r="M48" s="37" t="n">
        <f aca="false">INDEX(Monthly!$C$106:$BJ$106,($R$2-1)*12+6)</f>
        <v>288613.709077381</v>
      </c>
      <c r="N48" s="37" t="n">
        <f aca="false">INDEX(Monthly!$C$106:$BJ$106,($R$2-1)*12+7)</f>
        <v>287356.659226191</v>
      </c>
      <c r="O48" s="37" t="n">
        <f aca="false">INDEX(Monthly!$C$106:$BJ$106,($R$2-1)*12+8)</f>
        <v>286099.609375</v>
      </c>
      <c r="P48" s="37" t="n">
        <f aca="false">INDEX(Monthly!$C$106:$BJ$106,($R$2-1)*12+9)</f>
        <v>284842.55952381</v>
      </c>
      <c r="Q48" s="37" t="n">
        <f aca="false">INDEX(Monthly!$C$106:$BJ$106,($R$2-1)*12+10)</f>
        <v>283585.509672619</v>
      </c>
      <c r="R48" s="37" t="n">
        <f aca="false">INDEX(Monthly!$C$106:$BJ$106,($R$2-1)*12+11)</f>
        <v>282328.459821429</v>
      </c>
      <c r="S48" s="37" t="n">
        <f aca="false">INDEX(Monthly!$C$106:$BJ$106,($R$2-1)*12+12)</f>
        <v>281071.409970238</v>
      </c>
    </row>
    <row r="49" customFormat="false" ht="15" hidden="false" customHeight="false" outlineLevel="0" collapsed="false">
      <c r="A49" s="51" t="s">
        <v>97</v>
      </c>
      <c r="B49" s="35" t="n">
        <f aca="false">'Balance Sheet'!B13</f>
        <v>480000</v>
      </c>
      <c r="C49" s="35" t="n">
        <f aca="false">'Balance Sheet'!C13</f>
        <v>480000</v>
      </c>
      <c r="D49" s="35" t="n">
        <f aca="false">'Balance Sheet'!D13</f>
        <v>480000</v>
      </c>
      <c r="E49" s="35" t="n">
        <f aca="false">'Balance Sheet'!E13</f>
        <v>480000</v>
      </c>
      <c r="F49" s="35" t="n">
        <f aca="false">'Balance Sheet'!F13</f>
        <v>480000</v>
      </c>
      <c r="H49" s="35" t="n">
        <f aca="false">INDEX(Monthly!$C$103:$BJ$103,($R$2-1)*12+1)</f>
        <v>480000</v>
      </c>
      <c r="I49" s="35" t="n">
        <f aca="false">INDEX(Monthly!$C$103:$BJ$103,($R$2-1)*12+2)</f>
        <v>480000</v>
      </c>
      <c r="J49" s="35" t="n">
        <f aca="false">INDEX(Monthly!$C$103:$BJ$103,($R$2-1)*12+3)</f>
        <v>480000</v>
      </c>
      <c r="K49" s="35" t="n">
        <f aca="false">INDEX(Monthly!$C$103:$BJ$103,($R$2-1)*12+4)</f>
        <v>480000</v>
      </c>
      <c r="L49" s="35" t="n">
        <f aca="false">INDEX(Monthly!$C$103:$BJ$103,($R$2-1)*12+5)</f>
        <v>480000</v>
      </c>
      <c r="M49" s="35" t="n">
        <f aca="false">INDEX(Monthly!$C$103:$BJ$103,($R$2-1)*12+6)</f>
        <v>480000</v>
      </c>
      <c r="N49" s="35" t="n">
        <f aca="false">INDEX(Monthly!$C$103:$BJ$103,($R$2-1)*12+7)</f>
        <v>480000</v>
      </c>
      <c r="O49" s="35" t="n">
        <f aca="false">INDEX(Monthly!$C$103:$BJ$103,($R$2-1)*12+8)</f>
        <v>480000</v>
      </c>
      <c r="P49" s="35" t="n">
        <f aca="false">INDEX(Monthly!$C$103:$BJ$103,($R$2-1)*12+9)</f>
        <v>480000</v>
      </c>
      <c r="Q49" s="35" t="n">
        <f aca="false">INDEX(Monthly!$C$103:$BJ$103,($R$2-1)*12+10)</f>
        <v>480000</v>
      </c>
      <c r="R49" s="35" t="n">
        <f aca="false">INDEX(Monthly!$C$103:$BJ$103,($R$2-1)*12+11)</f>
        <v>480000</v>
      </c>
      <c r="S49" s="35" t="n">
        <f aca="false">INDEX(Monthly!$C$103:$BJ$103,($R$2-1)*12+12)</f>
        <v>480000</v>
      </c>
    </row>
    <row r="50" customFormat="false" ht="15" hidden="false" customHeight="false" outlineLevel="0" collapsed="false">
      <c r="A50" s="51" t="s">
        <v>98</v>
      </c>
      <c r="B50" s="35" t="n">
        <f aca="false">'Balance Sheet'!B14</f>
        <v>-299921.897321429</v>
      </c>
      <c r="C50" s="35" t="n">
        <f aca="false">'Balance Sheet'!C14</f>
        <v>-103428.314017857</v>
      </c>
      <c r="D50" s="35" t="n">
        <f aca="false">'Balance Sheet'!D14</f>
        <v>126801.214513818</v>
      </c>
      <c r="E50" s="35" t="n">
        <f aca="false">'Balance Sheet'!E14</f>
        <v>389814.589004208</v>
      </c>
      <c r="F50" s="35" t="n">
        <f aca="false">'Balance Sheet'!F14</f>
        <v>709207.989208132</v>
      </c>
      <c r="H50" s="35" t="n">
        <f aca="false">INDEX(Monthly!$C$104:$BJ$104,($R$2-1)*12+1)</f>
        <v>-55397.7083333334</v>
      </c>
      <c r="I50" s="35" t="n">
        <f aca="false">INDEX(Monthly!$C$104:$BJ$104,($R$2-1)*12+2)</f>
        <v>-105276.677827381</v>
      </c>
      <c r="J50" s="35" t="n">
        <f aca="false">INDEX(Monthly!$C$104:$BJ$104,($R$2-1)*12+3)</f>
        <v>-149625.747767857</v>
      </c>
      <c r="K50" s="35" t="n">
        <f aca="false">INDEX(Monthly!$C$104:$BJ$104,($R$2-1)*12+4)</f>
        <v>-188444.918154762</v>
      </c>
      <c r="L50" s="35" t="n">
        <f aca="false">INDEX(Monthly!$C$104:$BJ$104,($R$2-1)*12+5)</f>
        <v>-221734.188988095</v>
      </c>
      <c r="M50" s="35" t="n">
        <f aca="false">INDEX(Monthly!$C$104:$BJ$104,($R$2-1)*12+6)</f>
        <v>-249493.560267857</v>
      </c>
      <c r="N50" s="35" t="n">
        <f aca="false">INDEX(Monthly!$C$104:$BJ$104,($R$2-1)*12+7)</f>
        <v>-271723.031994048</v>
      </c>
      <c r="O50" s="35" t="n">
        <f aca="false">INDEX(Monthly!$C$104:$BJ$104,($R$2-1)*12+8)</f>
        <v>-288422.604166667</v>
      </c>
      <c r="P50" s="35" t="n">
        <f aca="false">INDEX(Monthly!$C$104:$BJ$104,($R$2-1)*12+9)</f>
        <v>-299592.276785714</v>
      </c>
      <c r="Q50" s="35" t="n">
        <f aca="false">INDEX(Monthly!$C$104:$BJ$104,($R$2-1)*12+10)</f>
        <v>-305232.049851191</v>
      </c>
      <c r="R50" s="35" t="n">
        <f aca="false">INDEX(Monthly!$C$104:$BJ$104,($R$2-1)*12+11)</f>
        <v>-305341.923363095</v>
      </c>
      <c r="S50" s="35" t="n">
        <f aca="false">INDEX(Monthly!$C$104:$BJ$104,($R$2-1)*12+12)</f>
        <v>-299921.897321429</v>
      </c>
    </row>
    <row r="51" customFormat="false" ht="15" hidden="false" customHeight="false" outlineLevel="0" collapsed="false">
      <c r="A51" s="36" t="s">
        <v>99</v>
      </c>
      <c r="B51" s="37" t="n">
        <f aca="false">'Balance Sheet'!B15</f>
        <v>180078.102678571</v>
      </c>
      <c r="C51" s="37" t="n">
        <f aca="false">'Balance Sheet'!C15</f>
        <v>376571.685982143</v>
      </c>
      <c r="D51" s="37" t="n">
        <f aca="false">'Balance Sheet'!D15</f>
        <v>606801.214513818</v>
      </c>
      <c r="E51" s="37" t="n">
        <f aca="false">'Balance Sheet'!E15</f>
        <v>869814.589004209</v>
      </c>
      <c r="F51" s="37" t="n">
        <f aca="false">'Balance Sheet'!F15</f>
        <v>1189207.98920813</v>
      </c>
      <c r="H51" s="37" t="n">
        <f aca="false">INDEX(Monthly!$C$107:$BJ$107,($R$2-1)*12+1)</f>
        <v>424602.291666667</v>
      </c>
      <c r="I51" s="37" t="n">
        <f aca="false">INDEX(Monthly!$C$107:$BJ$107,($R$2-1)*12+2)</f>
        <v>374723.322172619</v>
      </c>
      <c r="J51" s="37" t="n">
        <f aca="false">INDEX(Monthly!$C$107:$BJ$107,($R$2-1)*12+3)</f>
        <v>330374.252232143</v>
      </c>
      <c r="K51" s="37" t="n">
        <f aca="false">INDEX(Monthly!$C$107:$BJ$107,($R$2-1)*12+4)</f>
        <v>291555.081845238</v>
      </c>
      <c r="L51" s="37" t="n">
        <f aca="false">INDEX(Monthly!$C$107:$BJ$107,($R$2-1)*12+5)</f>
        <v>258265.811011905</v>
      </c>
      <c r="M51" s="37" t="n">
        <f aca="false">INDEX(Monthly!$C$107:$BJ$107,($R$2-1)*12+6)</f>
        <v>230506.439732143</v>
      </c>
      <c r="N51" s="37" t="n">
        <f aca="false">INDEX(Monthly!$C$107:$BJ$107,($R$2-1)*12+7)</f>
        <v>208276.968005952</v>
      </c>
      <c r="O51" s="37" t="n">
        <f aca="false">INDEX(Monthly!$C$107:$BJ$107,($R$2-1)*12+8)</f>
        <v>191577.395833333</v>
      </c>
      <c r="P51" s="37" t="n">
        <f aca="false">INDEX(Monthly!$C$107:$BJ$107,($R$2-1)*12+9)</f>
        <v>180407.723214286</v>
      </c>
      <c r="Q51" s="37" t="n">
        <f aca="false">INDEX(Monthly!$C$107:$BJ$107,($R$2-1)*12+10)</f>
        <v>174767.95014881</v>
      </c>
      <c r="R51" s="37" t="n">
        <f aca="false">INDEX(Monthly!$C$107:$BJ$107,($R$2-1)*12+11)</f>
        <v>174658.076636905</v>
      </c>
      <c r="S51" s="37" t="n">
        <f aca="false">INDEX(Monthly!$C$107:$BJ$107,($R$2-1)*12+12)</f>
        <v>180078.102678571</v>
      </c>
    </row>
    <row r="52" customFormat="false" ht="15" hidden="false" customHeight="false" outlineLevel="0" collapsed="false">
      <c r="A52" s="40" t="s">
        <v>100</v>
      </c>
      <c r="B52" s="41" t="n">
        <f aca="false">'Balance Sheet'!B16</f>
        <v>461149.51264881</v>
      </c>
      <c r="C52" s="41" t="n">
        <f aca="false">'Balance Sheet'!C16</f>
        <v>626676.239144345</v>
      </c>
      <c r="D52" s="41" t="n">
        <f aca="false">'Balance Sheet'!D16</f>
        <v>824375.320811813</v>
      </c>
      <c r="E52" s="41" t="n">
        <f aca="false">'Balance Sheet'!E16</f>
        <v>1055022.40587084</v>
      </c>
      <c r="F52" s="41" t="n">
        <f aca="false">'Balance Sheet'!F16</f>
        <v>1342222.77911331</v>
      </c>
      <c r="H52" s="41" t="n">
        <f aca="false">INDEX(Monthly!$C$108:$BJ$108,($R$2-1)*12+1)</f>
        <v>719501.25</v>
      </c>
      <c r="I52" s="41" t="n">
        <f aca="false">INDEX(Monthly!$C$108:$BJ$108,($R$2-1)*12+2)</f>
        <v>668365.230654762</v>
      </c>
      <c r="J52" s="41" t="n">
        <f aca="false">INDEX(Monthly!$C$108:$BJ$108,($R$2-1)*12+3)</f>
        <v>622759.110863095</v>
      </c>
      <c r="K52" s="41" t="n">
        <f aca="false">INDEX(Monthly!$C$108:$BJ$108,($R$2-1)*12+4)</f>
        <v>582682.890625</v>
      </c>
      <c r="L52" s="41" t="n">
        <f aca="false">INDEX(Monthly!$C$108:$BJ$108,($R$2-1)*12+5)</f>
        <v>548136.569940476</v>
      </c>
      <c r="M52" s="41" t="n">
        <f aca="false">INDEX(Monthly!$C$108:$BJ$108,($R$2-1)*12+6)</f>
        <v>519120.148809524</v>
      </c>
      <c r="N52" s="41" t="n">
        <f aca="false">INDEX(Monthly!$C$108:$BJ$108,($R$2-1)*12+7)</f>
        <v>495633.627232143</v>
      </c>
      <c r="O52" s="41" t="n">
        <f aca="false">INDEX(Monthly!$C$108:$BJ$108,($R$2-1)*12+8)</f>
        <v>477677.005208333</v>
      </c>
      <c r="P52" s="41" t="n">
        <f aca="false">INDEX(Monthly!$C$108:$BJ$108,($R$2-1)*12+9)</f>
        <v>465250.282738095</v>
      </c>
      <c r="Q52" s="41" t="n">
        <f aca="false">INDEX(Monthly!$C$108:$BJ$108,($R$2-1)*12+10)</f>
        <v>458353.459821429</v>
      </c>
      <c r="R52" s="41" t="n">
        <f aca="false">INDEX(Monthly!$C$108:$BJ$108,($R$2-1)*12+11)</f>
        <v>456986.536458333</v>
      </c>
      <c r="S52" s="41" t="n">
        <f aca="false">INDEX(Monthly!$C$108:$BJ$108,($R$2-1)*12+12)</f>
        <v>461149.51264881</v>
      </c>
    </row>
  </sheetData>
  <mergeCells count="1">
    <mergeCell ref="R2:S2"/>
  </mergeCells>
  <dataValidations count="1">
    <dataValidation allowBlank="false" error="Enter a year from 1 to 5" errorStyle="stop" errorTitle="Detailed year" operator="between" prompt="Pick the year shown month by month on the right" promptTitle="Detailed year" showDropDown="false" showErrorMessage="true" showInputMessage="true" sqref="R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102</v>
      </c>
    </row>
    <row r="5" customFormat="false" ht="15.75" hidden="false" customHeight="true" outlineLevel="0" collapsed="false">
      <c r="A5" s="7" t="s">
        <v>103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3" t="s">
        <v>104</v>
      </c>
      <c r="B6" s="52" t="s">
        <v>105</v>
      </c>
      <c r="C6" s="52" t="s">
        <v>106</v>
      </c>
      <c r="D6" s="52" t="s">
        <v>107</v>
      </c>
      <c r="E6" s="52" t="s">
        <v>108</v>
      </c>
    </row>
    <row r="7" customFormat="false" ht="15" hidden="false" customHeight="false" outlineLevel="0" collapsed="false">
      <c r="A7" s="6" t="s">
        <v>109</v>
      </c>
      <c r="B7" s="53" t="n">
        <f aca="false">Inputs!$B$7</f>
        <v>11</v>
      </c>
      <c r="C7" s="53" t="n">
        <f aca="false">Inputs!$C$7</f>
        <v>13.5</v>
      </c>
      <c r="D7" s="53" t="n">
        <f aca="false">Inputs!$D$7</f>
        <v>16</v>
      </c>
      <c r="E7" s="54" t="n">
        <f aca="false">Inputs!$E$7</f>
        <v>13.5</v>
      </c>
    </row>
    <row r="8" customFormat="false" ht="15" hidden="false" customHeight="false" outlineLevel="0" collapsed="false">
      <c r="A8" s="6" t="s">
        <v>110</v>
      </c>
      <c r="B8" s="55" t="n">
        <f aca="false">Inputs!$B$21</f>
        <v>118</v>
      </c>
      <c r="C8" s="55" t="n">
        <f aca="false">Inputs!$C$21</f>
        <v>125</v>
      </c>
      <c r="D8" s="55" t="n">
        <f aca="false">Inputs!$D$21</f>
        <v>132</v>
      </c>
      <c r="E8" s="56" t="n">
        <f aca="false">Inputs!$E$21</f>
        <v>125</v>
      </c>
    </row>
    <row r="9" customFormat="false" ht="15" hidden="false" customHeight="false" outlineLevel="0" collapsed="false">
      <c r="A9" s="6" t="s">
        <v>111</v>
      </c>
      <c r="B9" s="57" t="n">
        <f aca="false">Inputs!$B$15</f>
        <v>6</v>
      </c>
      <c r="C9" s="57" t="n">
        <f aca="false">Inputs!$C$15</f>
        <v>6</v>
      </c>
      <c r="D9" s="57" t="n">
        <f aca="false">Inputs!$D$15</f>
        <v>6</v>
      </c>
      <c r="E9" s="58" t="n">
        <f aca="false">Inputs!$E$15</f>
        <v>6</v>
      </c>
    </row>
    <row r="10" customFormat="false" ht="15" hidden="false" customHeight="false" outlineLevel="0" collapsed="false">
      <c r="A10" s="6" t="s">
        <v>112</v>
      </c>
      <c r="B10" s="59" t="n">
        <f aca="false">Inputs!$B$27</f>
        <v>0.44</v>
      </c>
      <c r="C10" s="59" t="n">
        <f aca="false">Inputs!$C$27</f>
        <v>0.47</v>
      </c>
      <c r="D10" s="59" t="n">
        <f aca="false">Inputs!$D$27</f>
        <v>0.5</v>
      </c>
      <c r="E10" s="60" t="n">
        <f aca="false">Inputs!$E$27</f>
        <v>0.47</v>
      </c>
    </row>
    <row r="11" customFormat="false" ht="15" hidden="false" customHeight="false" outlineLevel="0" collapsed="false">
      <c r="A11" s="6" t="s">
        <v>113</v>
      </c>
      <c r="B11" s="61" t="n">
        <f aca="false">Inputs!$B$36</f>
        <v>18000</v>
      </c>
      <c r="C11" s="61" t="n">
        <f aca="false">Inputs!$C$36</f>
        <v>18000</v>
      </c>
      <c r="D11" s="61" t="n">
        <f aca="false">Inputs!$D$36</f>
        <v>18000</v>
      </c>
      <c r="E11" s="62" t="n">
        <f aca="false">Inputs!$E$36</f>
        <v>18000</v>
      </c>
    </row>
    <row r="12" customFormat="false" ht="15" hidden="false" customHeight="false" outlineLevel="0" collapsed="false">
      <c r="A12" s="6" t="s">
        <v>114</v>
      </c>
      <c r="B12" s="61" t="n">
        <f aca="false">Inputs!$B$44</f>
        <v>22000</v>
      </c>
      <c r="C12" s="61" t="n">
        <f aca="false">Inputs!$C$44</f>
        <v>22000</v>
      </c>
      <c r="D12" s="61" t="n">
        <f aca="false">Inputs!$D$44</f>
        <v>22000</v>
      </c>
      <c r="E12" s="62" t="n">
        <f aca="false">Inputs!$E$44</f>
        <v>22000</v>
      </c>
    </row>
    <row r="13" customFormat="false" ht="15" hidden="false" customHeight="false" outlineLevel="0" collapsed="false">
      <c r="A13" s="6" t="s">
        <v>115</v>
      </c>
      <c r="B13" s="61" t="n">
        <f aca="false">Inputs!$B$67</f>
        <v>480000</v>
      </c>
      <c r="C13" s="61" t="n">
        <f aca="false">Inputs!$C$67</f>
        <v>480000</v>
      </c>
      <c r="D13" s="61" t="n">
        <f aca="false">Inputs!$D$67</f>
        <v>480000</v>
      </c>
      <c r="E13" s="62" t="n">
        <f aca="false">Inputs!$E$67</f>
        <v>480000</v>
      </c>
    </row>
    <row r="15" customFormat="false" ht="15.75" hidden="false" customHeight="true" outlineLevel="0" collapsed="false">
      <c r="A15" s="7" t="s">
        <v>116</v>
      </c>
      <c r="B15" s="7"/>
      <c r="C15" s="7"/>
      <c r="D15" s="7"/>
      <c r="E15" s="7"/>
      <c r="F15" s="7"/>
    </row>
    <row r="16" customFormat="false" ht="15" hidden="false" customHeight="false" outlineLevel="0" collapsed="false">
      <c r="A16" s="33" t="s">
        <v>117</v>
      </c>
      <c r="B16" s="52" t="s">
        <v>105</v>
      </c>
      <c r="C16" s="52" t="s">
        <v>106</v>
      </c>
      <c r="D16" s="52" t="s">
        <v>107</v>
      </c>
      <c r="E16" s="52" t="s">
        <v>108</v>
      </c>
    </row>
    <row r="17" customFormat="false" ht="15" hidden="false" customHeight="false" outlineLevel="0" collapsed="false">
      <c r="A17" s="6" t="s">
        <v>118</v>
      </c>
      <c r="B17" s="63" t="n">
        <f aca="false">F30</f>
        <v>1474694.05397952</v>
      </c>
      <c r="C17" s="63" t="n">
        <f aca="false">F31</f>
        <v>2372818.70869918</v>
      </c>
      <c r="D17" s="63" t="n">
        <f aca="false">F32</f>
        <v>3288753.1782144</v>
      </c>
      <c r="E17" s="64" t="n">
        <f aca="false">'P&amp;L'!F5</f>
        <v>2372818.70869918</v>
      </c>
    </row>
    <row r="18" customFormat="false" ht="15" hidden="false" customHeight="false" outlineLevel="0" collapsed="false">
      <c r="A18" s="6" t="s">
        <v>119</v>
      </c>
      <c r="B18" s="63" t="n">
        <f aca="false">SUM(B30:F30)</f>
        <v>6525711.58193152</v>
      </c>
      <c r="C18" s="63" t="n">
        <f aca="false">SUM(B31:F31)</f>
        <v>9969204.29386631</v>
      </c>
      <c r="D18" s="63" t="n">
        <f aca="false">SUM(B32:F32)</f>
        <v>13811972.410368</v>
      </c>
      <c r="E18" s="64" t="n">
        <f aca="false">SUM('P&amp;L'!$B$5:$F$5)</f>
        <v>9969204.29386631</v>
      </c>
    </row>
    <row r="19" customFormat="false" ht="15" hidden="false" customHeight="false" outlineLevel="0" collapsed="false">
      <c r="A19" s="6" t="s">
        <v>120</v>
      </c>
      <c r="B19" s="63" t="n">
        <f aca="false">F36</f>
        <v>-217532.973195185</v>
      </c>
      <c r="C19" s="63" t="n">
        <f aca="false">F37</f>
        <v>470349.014724677</v>
      </c>
      <c r="D19" s="63" t="n">
        <f aca="false">F38</f>
        <v>1158398.29397481</v>
      </c>
      <c r="E19" s="64" t="n">
        <f aca="false">'P&amp;L'!F16</f>
        <v>470349.014724677</v>
      </c>
    </row>
    <row r="20" customFormat="false" ht="15" hidden="false" customHeight="false" outlineLevel="0" collapsed="false">
      <c r="A20" s="6" t="s">
        <v>121</v>
      </c>
      <c r="B20" s="65" t="n">
        <f aca="false">IF(B17=0,0,B19/B17)</f>
        <v>-0.147510578623521</v>
      </c>
      <c r="C20" s="65" t="n">
        <f aca="false">IF(C17=0,0,C19/C17)</f>
        <v>0.198223746719584</v>
      </c>
      <c r="D20" s="65" t="n">
        <f aca="false">IF(D17=0,0,D19/D17)</f>
        <v>0.352230231702505</v>
      </c>
      <c r="E20" s="66" t="n">
        <f aca="false">IF(E17=0,0,E19/E17)</f>
        <v>0.198223746719584</v>
      </c>
    </row>
    <row r="21" customFormat="false" ht="15" hidden="false" customHeight="false" outlineLevel="0" collapsed="false">
      <c r="A21" s="6" t="s">
        <v>122</v>
      </c>
      <c r="B21" s="63" t="n">
        <f aca="false">F42</f>
        <v>-283586.544623756</v>
      </c>
      <c r="C21" s="63" t="n">
        <f aca="false">F43</f>
        <v>319393.400203924</v>
      </c>
      <c r="D21" s="63" t="n">
        <f aca="false">F44</f>
        <v>862952.330811526</v>
      </c>
      <c r="E21" s="64" t="n">
        <f aca="false">'P&amp;L'!F23</f>
        <v>319393.400203924</v>
      </c>
    </row>
    <row r="22" customFormat="false" ht="15" hidden="false" customHeight="false" outlineLevel="0" collapsed="false">
      <c r="A22" s="6" t="s">
        <v>123</v>
      </c>
      <c r="B22" s="63" t="n">
        <f aca="false">SUM(B42:F42)</f>
        <v>-1711891.69144508</v>
      </c>
      <c r="C22" s="63" t="n">
        <f aca="false">SUM(B43:F43)</f>
        <v>709207.989208132</v>
      </c>
      <c r="D22" s="63" t="n">
        <f aca="false">SUM(B44:F44)</f>
        <v>3004950.8631797</v>
      </c>
      <c r="E22" s="64" t="n">
        <f aca="false">SUM('P&amp;L'!$B$23:$F$23)</f>
        <v>709207.989208132</v>
      </c>
    </row>
    <row r="23" customFormat="false" ht="15" hidden="false" customHeight="false" outlineLevel="0" collapsed="false">
      <c r="A23" s="6" t="s">
        <v>124</v>
      </c>
      <c r="B23" s="63" t="n">
        <f aca="false">F48</f>
        <v>-1323478.77353135</v>
      </c>
      <c r="C23" s="63" t="n">
        <f aca="false">F49</f>
        <v>1099044.08091402</v>
      </c>
      <c r="D23" s="63" t="n">
        <f aca="false">F50</f>
        <v>3396116.63382038</v>
      </c>
      <c r="E23" s="64" t="n">
        <f aca="false">'Balance Sheet'!F5</f>
        <v>1099044.08091402</v>
      </c>
    </row>
    <row r="24" customFormat="false" ht="15" hidden="false" customHeight="false" outlineLevel="0" collapsed="false">
      <c r="A24" s="6" t="s">
        <v>125</v>
      </c>
      <c r="B24" s="63" t="n">
        <f aca="false">MIN('Scenario calc'!$C$93:$BJ$93)</f>
        <v>-1323478.77353135</v>
      </c>
      <c r="C24" s="63" t="n">
        <f aca="false">MIN('Scenario calc'!$C$215:$BJ$215)</f>
        <v>83558.3660714286</v>
      </c>
      <c r="D24" s="63" t="n">
        <f aca="false">MIN('Scenario calc'!$C$337:$BJ$337)</f>
        <v>316875.548333333</v>
      </c>
      <c r="E24" s="64" t="n">
        <f aca="false">'Break-even'!B18</f>
        <v>83558.3660714286</v>
      </c>
    </row>
    <row r="25" customFormat="false" ht="15" hidden="false" customHeight="false" outlineLevel="0" collapsed="false">
      <c r="A25" s="6" t="s">
        <v>126</v>
      </c>
      <c r="B25" s="67" t="n">
        <f aca="false">MATCH(MIN('Scenario calc'!$C$93:$BJ$93),'Scenario calc'!$C$93:$BJ$93,0)</f>
        <v>60</v>
      </c>
      <c r="C25" s="67" t="n">
        <f aca="false">MATCH(MIN('Scenario calc'!$C$215:$BJ$215),'Scenario calc'!$C$215:$BJ$215,0)</f>
        <v>10</v>
      </c>
      <c r="D25" s="67" t="n">
        <f aca="false">MATCH(MIN('Scenario calc'!$C$337:$BJ$337),'Scenario calc'!$C$337:$BJ$337,0)</f>
        <v>4</v>
      </c>
      <c r="E25" s="68" t="n">
        <f aca="false">'Break-even'!B6</f>
        <v>10</v>
      </c>
    </row>
    <row r="26" customFormat="false" ht="15" hidden="false" customHeight="false" outlineLevel="0" collapsed="false">
      <c r="A26" s="4" t="s">
        <v>66</v>
      </c>
      <c r="B26" s="63" t="n">
        <f aca="false">SUMPRODUCT(--('Scenario calc'!$C$6:$BJ$6&lt;=B25),'Scenario calc'!$C$65:$BJ$65)-SUMPRODUCT(--('Scenario calc'!$C$6:$BJ$6&lt;=B25),'Scenario calc'!$C$87:$BJ$87)-SUMPRODUCT(--('Scenario calc'!$C$6:$BJ$6&lt;=B25),'Scenario calc'!$C$75:$BJ$75)+Inputs!$B$82</f>
        <v>2231478.77353135</v>
      </c>
      <c r="C26" s="63" t="n">
        <f aca="false">SUMPRODUCT(--('Scenario calc'!$C$128:$BJ$128&lt;=C25),'Scenario calc'!$C$187:$BJ$187)-SUMPRODUCT(--('Scenario calc'!$C$128:$BJ$128&lt;=C25),'Scenario calc'!$C$209:$BJ$209)-SUMPRODUCT(--('Scenario calc'!$C$128:$BJ$128&lt;=C25),'Scenario calc'!$C$197:$BJ$197)+Inputs!$C$82</f>
        <v>824441.633928572</v>
      </c>
      <c r="D26" s="63" t="n">
        <f aca="false">SUMPRODUCT(--('Scenario calc'!$C$250:$BJ$250&lt;=D25),'Scenario calc'!$C$309:$BJ$309)-SUMPRODUCT(--('Scenario calc'!$C$250:$BJ$250&lt;=D25),'Scenario calc'!$C$331:$BJ$331)-SUMPRODUCT(--('Scenario calc'!$C$250:$BJ$250&lt;=D25),'Scenario calc'!$C$319:$BJ$319)+Inputs!$D$82</f>
        <v>591124.451666667</v>
      </c>
      <c r="E26" s="64" t="n">
        <f aca="false">'Break-even'!B12</f>
        <v>824441.633928572</v>
      </c>
    </row>
    <row r="28" customFormat="false" ht="15.75" hidden="false" customHeight="true" outlineLevel="0" collapsed="false">
      <c r="A28" s="7" t="s">
        <v>127</v>
      </c>
      <c r="B28" s="7"/>
      <c r="C28" s="7"/>
      <c r="D28" s="7"/>
      <c r="E28" s="7"/>
      <c r="F28" s="7"/>
    </row>
    <row r="29" customFormat="false" ht="15" hidden="false" customHeight="false" outlineLevel="0" collapsed="false">
      <c r="A29" s="33" t="s">
        <v>128</v>
      </c>
      <c r="B29" s="34" t="n">
        <v>1</v>
      </c>
      <c r="C29" s="34" t="n">
        <v>2</v>
      </c>
      <c r="D29" s="34" t="n">
        <v>3</v>
      </c>
      <c r="E29" s="34" t="n">
        <v>4</v>
      </c>
      <c r="F29" s="34" t="n">
        <v>5</v>
      </c>
    </row>
    <row r="30" customFormat="false" ht="15" hidden="false" customHeight="false" outlineLevel="0" collapsed="false">
      <c r="A30" s="6" t="s">
        <v>105</v>
      </c>
      <c r="B30" s="63" t="n">
        <f aca="false">SUMIF('Scenario calc'!$C$7:$BJ$7,B$29,'Scenario calc'!$C$30:$BJ$30)</f>
        <v>766147.8</v>
      </c>
      <c r="C30" s="63" t="n">
        <f aca="false">SUMIF('Scenario calc'!$C$7:$BJ$7,C$29,'Scenario calc'!$C$30:$BJ$30)</f>
        <v>1379139.85</v>
      </c>
      <c r="D30" s="63" t="n">
        <f aca="false">SUMIF('Scenario calc'!$C$7:$BJ$7,D$29,'Scenario calc'!$C$30:$BJ$30)</f>
        <v>1445636.7552</v>
      </c>
      <c r="E30" s="63" t="n">
        <f aca="false">SUMIF('Scenario calc'!$C$7:$BJ$7,E$29,'Scenario calc'!$C$30:$BJ$30)</f>
        <v>1460093.122752</v>
      </c>
      <c r="F30" s="63" t="n">
        <f aca="false">SUMIF('Scenario calc'!$C$7:$BJ$7,F$29,'Scenario calc'!$C$30:$BJ$30)</f>
        <v>1474694.05397952</v>
      </c>
    </row>
    <row r="31" customFormat="false" ht="15" hidden="false" customHeight="false" outlineLevel="0" collapsed="false">
      <c r="A31" s="6" t="s">
        <v>106</v>
      </c>
      <c r="B31" s="63" t="n">
        <f aca="false">SUMIF('Scenario calc'!$C$129:$BJ$129,B$29,'Scenario calc'!$C$152:$BJ$152)</f>
        <v>1264359.375</v>
      </c>
      <c r="C31" s="63" t="n">
        <f aca="false">SUMIF('Scenario calc'!$C$129:$BJ$129,C$29,'Scenario calc'!$C$152:$BJ$152)</f>
        <v>1987198.3125</v>
      </c>
      <c r="D31" s="63" t="n">
        <f aca="false">SUMIF('Scenario calc'!$C$129:$BJ$129,D$29,'Scenario calc'!$C$152:$BJ$152)</f>
        <v>2108218.68973125</v>
      </c>
      <c r="E31" s="63" t="n">
        <f aca="false">SUMIF('Scenario calc'!$C$129:$BJ$129,E$29,'Scenario calc'!$C$152:$BJ$152)</f>
        <v>2236609.20793588</v>
      </c>
      <c r="F31" s="63" t="n">
        <f aca="false">SUMIF('Scenario calc'!$C$129:$BJ$129,F$29,'Scenario calc'!$C$152:$BJ$152)</f>
        <v>2372818.70869918</v>
      </c>
    </row>
    <row r="32" customFormat="false" ht="15" hidden="false" customHeight="false" outlineLevel="0" collapsed="false">
      <c r="A32" s="6" t="s">
        <v>107</v>
      </c>
      <c r="B32" s="63" t="n">
        <f aca="false">SUMIF('Scenario calc'!$C$251:$BJ$251,B$29,'Scenario calc'!$C$274:$BJ$274)</f>
        <v>1874160</v>
      </c>
      <c r="C32" s="63" t="n">
        <f aca="false">SUMIF('Scenario calc'!$C$251:$BJ$251,C$29,'Scenario calc'!$C$274:$BJ$274)</f>
        <v>2609777.664</v>
      </c>
      <c r="D32" s="63" t="n">
        <f aca="false">SUMIF('Scenario calc'!$C$251:$BJ$251,D$29,'Scenario calc'!$C$274:$BJ$274)</f>
        <v>2877018.8967936</v>
      </c>
      <c r="E32" s="63" t="n">
        <f aca="false">SUMIF('Scenario calc'!$C$251:$BJ$251,E$29,'Scenario calc'!$C$274:$BJ$274)</f>
        <v>3162262.67136</v>
      </c>
      <c r="F32" s="63" t="n">
        <f aca="false">SUMIF('Scenario calc'!$C$251:$BJ$251,F$29,'Scenario calc'!$C$274:$BJ$274)</f>
        <v>3288753.1782144</v>
      </c>
    </row>
    <row r="34" customFormat="false" ht="15.75" hidden="false" customHeight="true" outlineLevel="0" collapsed="false">
      <c r="A34" s="7" t="s">
        <v>129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33" t="s">
        <v>128</v>
      </c>
      <c r="B35" s="34" t="n">
        <v>1</v>
      </c>
      <c r="C35" s="34" t="n">
        <v>2</v>
      </c>
      <c r="D35" s="34" t="n">
        <v>3</v>
      </c>
      <c r="E35" s="34" t="n">
        <v>4</v>
      </c>
      <c r="F35" s="34" t="n">
        <v>5</v>
      </c>
    </row>
    <row r="36" customFormat="false" ht="15" hidden="false" customHeight="false" outlineLevel="0" collapsed="false">
      <c r="A36" s="6" t="s">
        <v>105</v>
      </c>
      <c r="B36" s="63" t="n">
        <f aca="false">SUMIF('Scenario calc'!$C$7:$BJ$7,B$35,'Scenario calc'!$C$48:$BJ$48)</f>
        <v>-599131.8296</v>
      </c>
      <c r="C36" s="63" t="n">
        <f aca="false">SUMIF('Scenario calc'!$C$7:$BJ$7,C$35,'Scenario calc'!$C$48:$BJ$48)</f>
        <v>-193996.8002</v>
      </c>
      <c r="D36" s="63" t="n">
        <f aca="false">SUMIF('Scenario calc'!$C$7:$BJ$7,D$35,'Scenario calc'!$C$48:$BJ$48)</f>
        <v>-171788.1745664</v>
      </c>
      <c r="E36" s="63" t="n">
        <f aca="false">SUMIF('Scenario calc'!$C$7:$BJ$7,E$35,'Scenario calc'!$C$48:$BJ$48)</f>
        <v>-192042.360312064</v>
      </c>
      <c r="F36" s="63" t="n">
        <f aca="false">SUMIF('Scenario calc'!$C$7:$BJ$7,F$35,'Scenario calc'!$C$48:$BJ$48)</f>
        <v>-217532.973195185</v>
      </c>
    </row>
    <row r="37" customFormat="false" ht="15" hidden="false" customHeight="false" outlineLevel="0" collapsed="false">
      <c r="A37" s="6" t="s">
        <v>106</v>
      </c>
      <c r="B37" s="63" t="n">
        <f aca="false">SUMIF('Scenario calc'!$C$129:$BJ$129,B$35,'Scenario calc'!$C$170:$BJ$170)</f>
        <v>-231022.34375</v>
      </c>
      <c r="C37" s="63" t="n">
        <f aca="false">SUMIF('Scenario calc'!$C$129:$BJ$129,C$35,'Scenario calc'!$C$170:$BJ$170)</f>
        <v>264690.011875</v>
      </c>
      <c r="D37" s="63" t="n">
        <f aca="false">SUMIF('Scenario calc'!$C$129:$BJ$129,D$35,'Scenario calc'!$C$170:$BJ$170)</f>
        <v>331418.323348187</v>
      </c>
      <c r="E37" s="63" t="n">
        <f aca="false">SUMIF('Scenario calc'!$C$129:$BJ$129,E$35,'Scenario calc'!$C$170:$BJ$170)</f>
        <v>399696.179282592</v>
      </c>
      <c r="F37" s="63" t="n">
        <f aca="false">SUMIF('Scenario calc'!$C$129:$BJ$129,F$35,'Scenario calc'!$C$170:$BJ$170)</f>
        <v>470349.014724677</v>
      </c>
    </row>
    <row r="38" customFormat="false" ht="15" hidden="false" customHeight="false" outlineLevel="0" collapsed="false">
      <c r="A38" s="6" t="s">
        <v>107</v>
      </c>
      <c r="B38" s="63" t="n">
        <f aca="false">SUMIF('Scenario calc'!$C$251:$BJ$251,B$35,'Scenario calc'!$C$292:$BJ$292)</f>
        <v>232857.52</v>
      </c>
      <c r="C38" s="63" t="n">
        <f aca="false">SUMIF('Scenario calc'!$C$251:$BJ$251,C$35,'Scenario calc'!$C$292:$BJ$292)</f>
        <v>743169.359008</v>
      </c>
      <c r="D38" s="63" t="n">
        <f aca="false">SUMIF('Scenario calc'!$C$251:$BJ$251,D$35,'Scenario calc'!$C$292:$BJ$292)</f>
        <v>912841.89837042</v>
      </c>
      <c r="E38" s="63" t="n">
        <f aca="false">SUMIF('Scenario calc'!$C$251:$BJ$251,E$35,'Scenario calc'!$C$292:$BJ$292)</f>
        <v>1093867.75206592</v>
      </c>
      <c r="F38" s="63" t="n">
        <f aca="false">SUMIF('Scenario calc'!$C$251:$BJ$251,F$35,'Scenario calc'!$C$292:$BJ$292)</f>
        <v>1158398.29397481</v>
      </c>
    </row>
    <row r="40" customFormat="false" ht="15.75" hidden="false" customHeight="true" outlineLevel="0" collapsed="false">
      <c r="A40" s="7" t="s">
        <v>130</v>
      </c>
      <c r="B40" s="7"/>
      <c r="C40" s="7"/>
      <c r="D40" s="7"/>
      <c r="E40" s="7"/>
      <c r="F40" s="7"/>
    </row>
    <row r="41" customFormat="false" ht="15" hidden="false" customHeight="false" outlineLevel="0" collapsed="false">
      <c r="A41" s="33" t="s">
        <v>128</v>
      </c>
      <c r="B41" s="34" t="n">
        <v>1</v>
      </c>
      <c r="C41" s="34" t="n">
        <v>2</v>
      </c>
      <c r="D41" s="34" t="n">
        <v>3</v>
      </c>
      <c r="E41" s="34" t="n">
        <v>4</v>
      </c>
      <c r="F41" s="34" t="n">
        <v>5</v>
      </c>
    </row>
    <row r="42" customFormat="false" ht="15" hidden="false" customHeight="false" outlineLevel="0" collapsed="false">
      <c r="A42" s="6" t="s">
        <v>105</v>
      </c>
      <c r="B42" s="63" t="n">
        <f aca="false">SUMIF('Scenario calc'!$C$7:$BJ$7,B$41,'Scenario calc'!$C$57:$BJ$57)</f>
        <v>-668031.383171429</v>
      </c>
      <c r="C42" s="63" t="n">
        <f aca="false">SUMIF('Scenario calc'!$C$7:$BJ$7,C$41,'Scenario calc'!$C$57:$BJ$57)</f>
        <v>-262193.228771429</v>
      </c>
      <c r="D42" s="63" t="n">
        <f aca="false">SUMIF('Scenario calc'!$C$7:$BJ$7,D$41,'Scenario calc'!$C$57:$BJ$57)</f>
        <v>-239270.317423543</v>
      </c>
      <c r="E42" s="63" t="n">
        <f aca="false">SUMIF('Scenario calc'!$C$7:$BJ$7,E$41,'Scenario calc'!$C$57:$BJ$57)</f>
        <v>-258810.217454921</v>
      </c>
      <c r="F42" s="63" t="n">
        <f aca="false">SUMIF('Scenario calc'!$C$7:$BJ$7,F$41,'Scenario calc'!$C$57:$BJ$57)</f>
        <v>-283586.544623756</v>
      </c>
    </row>
    <row r="43" customFormat="false" ht="15" hidden="false" customHeight="false" outlineLevel="0" collapsed="false">
      <c r="A43" s="6" t="s">
        <v>106</v>
      </c>
      <c r="B43" s="63" t="n">
        <f aca="false">SUMIF('Scenario calc'!$C$129:$BJ$129,B$41,'Scenario calc'!$C$179:$BJ$179)</f>
        <v>-299921.897321429</v>
      </c>
      <c r="C43" s="63" t="n">
        <f aca="false">SUMIF('Scenario calc'!$C$129:$BJ$129,C$41,'Scenario calc'!$C$179:$BJ$179)</f>
        <v>196493.583303571</v>
      </c>
      <c r="D43" s="63" t="n">
        <f aca="false">SUMIF('Scenario calc'!$C$129:$BJ$129,D$41,'Scenario calc'!$C$179:$BJ$179)</f>
        <v>230229.528531675</v>
      </c>
      <c r="E43" s="63" t="n">
        <f aca="false">SUMIF('Scenario calc'!$C$129:$BJ$129,E$41,'Scenario calc'!$C$179:$BJ$179)</f>
        <v>263013.374490391</v>
      </c>
      <c r="F43" s="63" t="n">
        <f aca="false">SUMIF('Scenario calc'!$C$129:$BJ$129,F$41,'Scenario calc'!$C$179:$BJ$179)</f>
        <v>319393.400203924</v>
      </c>
    </row>
    <row r="44" customFormat="false" ht="15" hidden="false" customHeight="false" outlineLevel="0" collapsed="false">
      <c r="A44" s="6" t="s">
        <v>107</v>
      </c>
      <c r="B44" s="63" t="n">
        <f aca="false">SUMIF('Scenario calc'!$C$251:$BJ$251,B$41,'Scenario calc'!$C$301:$BJ$301)</f>
        <v>129526.793478571</v>
      </c>
      <c r="C44" s="63" t="n">
        <f aca="false">SUMIF('Scenario calc'!$C$251:$BJ$251,C$41,'Scenario calc'!$C$301:$BJ$301)</f>
        <v>533228.615044891</v>
      </c>
      <c r="D44" s="63" t="n">
        <f aca="false">SUMIF('Scenario calc'!$C$251:$BJ$251,D$41,'Scenario calc'!$C$301:$BJ$301)</f>
        <v>667834.206855489</v>
      </c>
      <c r="E44" s="63" t="n">
        <f aca="false">SUMIF('Scenario calc'!$C$251:$BJ$251,E$41,'Scenario calc'!$C$301:$BJ$301)</f>
        <v>811408.91698922</v>
      </c>
      <c r="F44" s="63" t="n">
        <f aca="false">SUMIF('Scenario calc'!$C$251:$BJ$251,F$41,'Scenario calc'!$C$301:$BJ$301)</f>
        <v>862952.330811526</v>
      </c>
    </row>
    <row r="46" customFormat="false" ht="15.75" hidden="false" customHeight="true" outlineLevel="0" collapsed="false">
      <c r="A46" s="7" t="s">
        <v>131</v>
      </c>
      <c r="B46" s="7"/>
      <c r="C46" s="7"/>
      <c r="D46" s="7"/>
      <c r="E46" s="7"/>
      <c r="F46" s="7"/>
    </row>
    <row r="47" customFormat="false" ht="15" hidden="false" customHeight="false" outlineLevel="0" collapsed="false">
      <c r="A47" s="33" t="s">
        <v>128</v>
      </c>
      <c r="B47" s="34" t="n">
        <v>1</v>
      </c>
      <c r="C47" s="34" t="n">
        <v>2</v>
      </c>
      <c r="D47" s="34" t="n">
        <v>3</v>
      </c>
      <c r="E47" s="34" t="n">
        <v>4</v>
      </c>
      <c r="F47" s="34" t="n">
        <v>5</v>
      </c>
    </row>
    <row r="48" customFormat="false" ht="15" hidden="false" customHeight="false" outlineLevel="0" collapsed="false">
      <c r="A48" s="6" t="s">
        <v>105</v>
      </c>
      <c r="B48" s="63" t="n">
        <f aca="false">INDEX('Scenario calc'!$C$93:$BJ$93,B$47*12)</f>
        <v>-278223.436742857</v>
      </c>
      <c r="C48" s="63" t="n">
        <f aca="false">INDEX('Scenario calc'!$C$93:$BJ$93,C$47*12)</f>
        <v>-543389.163561905</v>
      </c>
      <c r="D48" s="63" t="n">
        <f aca="false">INDEX('Scenario calc'!$C$93:$BJ$93,D$47*12)</f>
        <v>-784670.0984064</v>
      </c>
      <c r="E48" s="63" t="n">
        <f aca="false">INDEX('Scenario calc'!$C$93:$BJ$93,E$47*12)</f>
        <v>-1042954.96499934</v>
      </c>
      <c r="F48" s="63" t="n">
        <f aca="false">INDEX('Scenario calc'!$C$93:$BJ$93,F$47*12)</f>
        <v>-1323478.77353135</v>
      </c>
    </row>
    <row r="49" customFormat="false" ht="15" hidden="false" customHeight="false" outlineLevel="0" collapsed="false">
      <c r="A49" s="6" t="s">
        <v>106</v>
      </c>
      <c r="B49" s="63" t="n">
        <f aca="false">INDEX('Scenario calc'!$C$215:$BJ$215,B$47*12)</f>
        <v>91651.5647321428</v>
      </c>
      <c r="C49" s="63" t="n">
        <f aca="false">INDEX('Scenario calc'!$C$215:$BJ$215,C$47*12)</f>
        <v>284178.034290178</v>
      </c>
      <c r="D49" s="63" t="n">
        <f aca="false">INDEX('Scenario calc'!$C$215:$BJ$215,D$47*12)</f>
        <v>512599.784382027</v>
      </c>
      <c r="E49" s="63" t="n">
        <f aca="false">INDEX('Scenario calc'!$C$215:$BJ$215,E$47*12)</f>
        <v>776355.589645481</v>
      </c>
      <c r="F49" s="63" t="n">
        <f aca="false">INDEX('Scenario calc'!$C$215:$BJ$215,F$47*12)</f>
        <v>1099044.08091402</v>
      </c>
    </row>
    <row r="50" customFormat="false" ht="15" hidden="false" customHeight="false" outlineLevel="0" collapsed="false">
      <c r="A50" s="6" t="s">
        <v>107</v>
      </c>
      <c r="B50" s="63" t="n">
        <f aca="false">INDEX('Scenario calc'!$C$337:$BJ$337,B$47*12)</f>
        <v>521761.064907143</v>
      </c>
      <c r="C50" s="63" t="n">
        <f aca="false">INDEX('Scenario calc'!$C$337:$BJ$337,C$47*12)</f>
        <v>1050984.39291775</v>
      </c>
      <c r="D50" s="63" t="n">
        <f aca="false">INDEX('Scenario calc'!$C$337:$BJ$337,D$47*12)</f>
        <v>1717416.71305378</v>
      </c>
      <c r="E50" s="63" t="n">
        <f aca="false">INDEX('Scenario calc'!$C$337:$BJ$337,E$47*12)</f>
        <v>2530004.54076459</v>
      </c>
      <c r="F50" s="63" t="n">
        <f aca="false">INDEX('Scenario calc'!$C$337:$BJ$337,F$47*12)</f>
        <v>3396116.63382038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132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133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135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6" t="s">
        <v>126</v>
      </c>
      <c r="B6" s="67" t="n">
        <f aca="false">MATCH(MIN(Monthly!$C$91:$BJ$91),Monthly!$C$91:$BJ$91,0)</f>
        <v>10</v>
      </c>
    </row>
    <row r="7" customFormat="false" ht="15" hidden="false" customHeight="false" outlineLevel="0" collapsed="false">
      <c r="A7" s="6" t="s">
        <v>136</v>
      </c>
      <c r="B7" s="69" t="n">
        <f aca="false">SUMPRODUCT(--(Monthly!$C$4:$BJ$4&lt;=$B$6),Monthly!$C$63:$BJ$63)</f>
        <v>382000</v>
      </c>
    </row>
    <row r="8" customFormat="false" ht="15" hidden="false" customHeight="false" outlineLevel="0" collapsed="false">
      <c r="A8" s="6" t="s">
        <v>137</v>
      </c>
      <c r="B8" s="69" t="n">
        <f aca="false">-SUMPRODUCT(--(Monthly!$C$4:$BJ$4&lt;=$B$6),Monthly!$C$85:$BJ$85)</f>
        <v>237655.919642857</v>
      </c>
      <c r="D8" s="18" t="s">
        <v>138</v>
      </c>
    </row>
    <row r="9" customFormat="false" ht="15" hidden="false" customHeight="false" outlineLevel="0" collapsed="false">
      <c r="A9" s="6" t="s">
        <v>139</v>
      </c>
      <c r="B9" s="69" t="n">
        <f aca="false">-SUMPRODUCT(--(Monthly!$C$4:$BJ$4&lt;=$B$6),Monthly!$C$73:$BJ$73)</f>
        <v>26785.7142857143</v>
      </c>
    </row>
    <row r="10" customFormat="false" ht="15" hidden="false" customHeight="false" outlineLevel="0" collapsed="false">
      <c r="A10" s="4" t="s">
        <v>140</v>
      </c>
      <c r="B10" s="70" t="n">
        <f aca="false">B7+B8+B9</f>
        <v>646441.633928572</v>
      </c>
    </row>
    <row r="11" customFormat="false" ht="15" hidden="false" customHeight="false" outlineLevel="0" collapsed="false">
      <c r="A11" s="6" t="s">
        <v>141</v>
      </c>
      <c r="B11" s="71" t="n">
        <f aca="false">Inputs!$E$82</f>
        <v>178000</v>
      </c>
      <c r="D11" s="18" t="s">
        <v>142</v>
      </c>
    </row>
    <row r="12" customFormat="false" ht="15" hidden="false" customHeight="false" outlineLevel="0" collapsed="false">
      <c r="A12" s="4" t="s">
        <v>143</v>
      </c>
      <c r="B12" s="70" t="n">
        <f aca="false">B10+B11</f>
        <v>824441.633928572</v>
      </c>
    </row>
    <row r="14" customFormat="false" ht="15" hidden="false" customHeight="false" outlineLevel="0" collapsed="false">
      <c r="A14" s="6" t="s">
        <v>64</v>
      </c>
      <c r="B14" s="71" t="n">
        <f aca="false">Inputs!$E$67</f>
        <v>480000</v>
      </c>
    </row>
    <row r="15" customFormat="false" ht="15" hidden="false" customHeight="false" outlineLevel="0" collapsed="false">
      <c r="A15" s="6" t="s">
        <v>65</v>
      </c>
      <c r="B15" s="71" t="n">
        <f aca="false">Inputs!$E$68</f>
        <v>250000</v>
      </c>
    </row>
    <row r="16" customFormat="false" ht="15" hidden="false" customHeight="false" outlineLevel="0" collapsed="false">
      <c r="A16" s="4" t="s">
        <v>144</v>
      </c>
      <c r="B16" s="70" t="n">
        <f aca="false">B14+B15</f>
        <v>730000</v>
      </c>
    </row>
    <row r="17" customFormat="false" ht="15" hidden="false" customHeight="false" outlineLevel="0" collapsed="false">
      <c r="A17" s="72" t="s">
        <v>67</v>
      </c>
      <c r="B17" s="73" t="n">
        <f aca="false">B16-B12</f>
        <v>-94441.6339285715</v>
      </c>
      <c r="D17" s="18" t="s">
        <v>145</v>
      </c>
    </row>
    <row r="18" customFormat="false" ht="15" hidden="false" customHeight="false" outlineLevel="0" collapsed="false">
      <c r="A18" s="6" t="s">
        <v>146</v>
      </c>
      <c r="B18" s="69" t="n">
        <f aca="false">MIN(Monthly!$C$91:$BJ$91)</f>
        <v>83558.3660714286</v>
      </c>
      <c r="D18" s="18" t="s">
        <v>147</v>
      </c>
    </row>
    <row r="20" customFormat="false" ht="15.75" hidden="false" customHeight="true" outlineLevel="0" collapsed="false">
      <c r="A20" s="7" t="s">
        <v>148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6" t="s">
        <v>149</v>
      </c>
      <c r="B21" s="67" t="n">
        <f aca="false">IFERROR(MATCH(1,Monthly!$C$92:$BJ$92,0),"Not within horizon")</f>
        <v>10</v>
      </c>
    </row>
    <row r="22" customFormat="false" ht="15" hidden="false" customHeight="false" outlineLevel="0" collapsed="false">
      <c r="A22" s="6" t="s">
        <v>150</v>
      </c>
      <c r="B22" s="67" t="n">
        <f aca="false">IFERROR(MATCH(1,Monthly!$C$95:$BJ$95,0),"Not within horizon")</f>
        <v>12</v>
      </c>
    </row>
    <row r="23" customFormat="false" ht="15" hidden="false" customHeight="false" outlineLevel="0" collapsed="false">
      <c r="A23" s="6" t="s">
        <v>151</v>
      </c>
      <c r="B23" s="67" t="n">
        <f aca="false">IF(MIN(Monthly!$C$97:$BJ$97)&gt;=0,"No investment to pay back",IFERROR(MATCH(1,Monthly!$C$99:$BJ$99,0),"Not within horizon"))</f>
        <v>41</v>
      </c>
      <c r="D23" s="18" t="s">
        <v>152</v>
      </c>
    </row>
    <row r="25" customFormat="false" ht="15.75" hidden="false" customHeight="true" outlineLevel="0" collapsed="false">
      <c r="A25" s="7" t="s">
        <v>153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74" t="s">
        <v>154</v>
      </c>
      <c r="B26" s="74" t="n">
        <v>1</v>
      </c>
      <c r="C26" s="74" t="n">
        <v>2</v>
      </c>
      <c r="D26" s="74" t="n">
        <v>3</v>
      </c>
      <c r="E26" s="74" t="n">
        <v>4</v>
      </c>
      <c r="F26" s="74" t="n">
        <v>5</v>
      </c>
    </row>
    <row r="27" customFormat="false" ht="15" hidden="false" customHeight="false" outlineLevel="0" collapsed="false">
      <c r="A27" s="33"/>
      <c r="B27" s="52" t="s">
        <v>155</v>
      </c>
      <c r="C27" s="52" t="s">
        <v>156</v>
      </c>
      <c r="D27" s="52" t="s">
        <v>157</v>
      </c>
      <c r="E27" s="52" t="s">
        <v>158</v>
      </c>
      <c r="F27" s="52" t="s">
        <v>159</v>
      </c>
    </row>
    <row r="28" customFormat="false" ht="15" hidden="false" customHeight="false" outlineLevel="0" collapsed="false">
      <c r="A28" s="4" t="s">
        <v>44</v>
      </c>
      <c r="B28" s="75" t="n">
        <f aca="false">SUMIF(Monthly!$C$5:$BJ$5,B$26,Monthly!$C$28:$BJ$28)</f>
        <v>1264359.375</v>
      </c>
      <c r="C28" s="75" t="n">
        <f aca="false">SUMIF(Monthly!$C$5:$BJ$5,C$26,Monthly!$C$28:$BJ$28)</f>
        <v>1987198.3125</v>
      </c>
      <c r="D28" s="75" t="n">
        <f aca="false">SUMIF(Monthly!$C$5:$BJ$5,D$26,Monthly!$C$28:$BJ$28)</f>
        <v>2108218.68973125</v>
      </c>
      <c r="E28" s="75" t="n">
        <f aca="false">SUMIF(Monthly!$C$5:$BJ$5,E$26,Monthly!$C$28:$BJ$28)</f>
        <v>2236609.20793588</v>
      </c>
      <c r="F28" s="75" t="n">
        <f aca="false">SUMIF(Monthly!$C$5:$BJ$5,F$26,Monthly!$C$28:$BJ$28)</f>
        <v>2372818.70869918</v>
      </c>
    </row>
    <row r="29" customFormat="false" ht="15" hidden="false" customHeight="false" outlineLevel="0" collapsed="false">
      <c r="A29" s="6" t="s">
        <v>45</v>
      </c>
      <c r="B29" s="69" t="n">
        <f aca="false">SUMIF(Monthly!$C$5:$BJ$5,B$26,Monthly!$C$36:$BJ$36)</f>
        <v>481658.4375</v>
      </c>
      <c r="C29" s="69" t="n">
        <f aca="false">SUMIF(Monthly!$C$5:$BJ$5,C$26,Monthly!$C$36:$BJ$36)</f>
        <v>999978.46125</v>
      </c>
      <c r="D29" s="69" t="n">
        <f aca="false">SUMIF(Monthly!$C$5:$BJ$5,D$26,Monthly!$C$36:$BJ$36)</f>
        <v>1075151.55904012</v>
      </c>
      <c r="E29" s="69" t="n">
        <f aca="false">SUMIF(Monthly!$C$5:$BJ$5,E$26,Monthly!$C$36:$BJ$36)</f>
        <v>1155330.93077067</v>
      </c>
      <c r="F29" s="69" t="n">
        <f aca="false">SUMIF(Monthly!$C$5:$BJ$5,F$26,Monthly!$C$36:$BJ$36)</f>
        <v>1240834.30549315</v>
      </c>
    </row>
    <row r="30" customFormat="false" ht="15" hidden="false" customHeight="false" outlineLevel="0" collapsed="false">
      <c r="A30" s="38" t="s">
        <v>160</v>
      </c>
      <c r="B30" s="76" t="n">
        <f aca="false">IF(B28=0,0,B29/B28)</f>
        <v>0.380950580209839</v>
      </c>
      <c r="C30" s="76" t="n">
        <f aca="false">IF(C28=0,0,C29/C28)</f>
        <v>0.503210200491754</v>
      </c>
      <c r="D30" s="76" t="n">
        <f aca="false">IF(D28=0,0,D29/D28)</f>
        <v>0.509981039574781</v>
      </c>
      <c r="E30" s="76" t="n">
        <f aca="false">IF(E28=0,0,E29/E28)</f>
        <v>0.516554669752477</v>
      </c>
      <c r="F30" s="76" t="n">
        <f aca="false">IF(F28=0,0,F29/F28)</f>
        <v>0.522936834973541</v>
      </c>
    </row>
    <row r="31" customFormat="false" ht="15" hidden="false" customHeight="false" outlineLevel="0" collapsed="false">
      <c r="A31" s="6" t="s">
        <v>161</v>
      </c>
      <c r="B31" s="69" t="n">
        <f aca="false">-SUMIF(Monthly!$C$5:$BJ$5,B$26,Monthly!$C$45:$BJ$45)</f>
        <v>712680.78125</v>
      </c>
      <c r="C31" s="69" t="n">
        <f aca="false">-SUMIF(Monthly!$C$5:$BJ$5,C$26,Monthly!$C$45:$BJ$45)</f>
        <v>735288.449375</v>
      </c>
      <c r="D31" s="69" t="n">
        <f aca="false">-SUMIF(Monthly!$C$5:$BJ$5,D$26,Monthly!$C$45:$BJ$45)</f>
        <v>743733.235691938</v>
      </c>
      <c r="E31" s="69" t="n">
        <f aca="false">-SUMIF(Monthly!$C$5:$BJ$5,E$26,Monthly!$C$45:$BJ$45)</f>
        <v>755634.751488077</v>
      </c>
      <c r="F31" s="69" t="n">
        <f aca="false">-SUMIF(Monthly!$C$5:$BJ$5,F$26,Monthly!$C$45:$BJ$45)</f>
        <v>770485.290768476</v>
      </c>
    </row>
    <row r="32" customFormat="false" ht="15" hidden="false" customHeight="false" outlineLevel="0" collapsed="false">
      <c r="A32" s="4" t="s">
        <v>162</v>
      </c>
      <c r="B32" s="75" t="n">
        <f aca="false">IF(B30&gt;0,B31/B30,"n/a")</f>
        <v>1870795.89393835</v>
      </c>
      <c r="C32" s="75" t="n">
        <f aca="false">IF(C30&gt;0,C31/C30,"n/a")</f>
        <v>1461195.43812198</v>
      </c>
      <c r="D32" s="75" t="n">
        <f aca="false">IF(D30&gt;0,D31/D30,"n/a")</f>
        <v>1458354.67983684</v>
      </c>
      <c r="E32" s="75" t="n">
        <f aca="false">IF(E30&gt;0,E31/E30,"n/a")</f>
        <v>1462835.97019878</v>
      </c>
      <c r="F32" s="75" t="n">
        <f aca="false">IF(F30&gt;0,F31/F30,"n/a")</f>
        <v>1473381.17959784</v>
      </c>
    </row>
    <row r="33" customFormat="false" ht="15" hidden="false" customHeight="false" outlineLevel="0" collapsed="false">
      <c r="A33" s="38" t="s">
        <v>163</v>
      </c>
      <c r="B33" s="76" t="n">
        <f aca="false">IF(AND(ISNUMBER(B32),B28&gt;0),(B28-B32)/B28,"n/a")</f>
        <v>-0.479639358025364</v>
      </c>
      <c r="C33" s="76" t="n">
        <f aca="false">IF(AND(ISNUMBER(C32),C28&gt;0),(C28-C32)/C28,"n/a")</f>
        <v>0.26469571308979</v>
      </c>
      <c r="D33" s="76" t="n">
        <f aca="false">IF(AND(ISNUMBER(D32),D28&gt;0),(D28-D32)/D28,"n/a")</f>
        <v>0.308252655694488</v>
      </c>
      <c r="E33" s="76" t="n">
        <f aca="false">IF(AND(ISNUMBER(E32),E28&gt;0),(E28-E32)/E28,"n/a")</f>
        <v>0.345958174093005</v>
      </c>
      <c r="F33" s="76" t="n">
        <f aca="false">IF(AND(ISNUMBER(F32),F28&gt;0),(F28-F32)/F28,"n/a")</f>
        <v>0.379058680633224</v>
      </c>
    </row>
    <row r="35" customFormat="false" ht="15" hidden="false" customHeight="false" outlineLevel="0" collapsed="false">
      <c r="A35" s="38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165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166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167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8" t="s">
        <v>168</v>
      </c>
      <c r="B6" s="77" t="n">
        <f aca="false">Inputs!$E$85</f>
        <v>0.25</v>
      </c>
    </row>
    <row r="7" customFormat="false" ht="15" hidden="false" customHeight="false" outlineLevel="0" collapsed="false">
      <c r="A7" s="38" t="s">
        <v>169</v>
      </c>
      <c r="B7" s="77" t="n">
        <f aca="false">Inputs!$E$86</f>
        <v>0.02</v>
      </c>
    </row>
    <row r="8" customFormat="false" ht="15" hidden="false" customHeight="false" outlineLevel="0" collapsed="false">
      <c r="A8" s="6" t="s">
        <v>170</v>
      </c>
      <c r="B8" s="78" t="n">
        <f aca="false">Inputs!$E$87</f>
        <v>4</v>
      </c>
    </row>
    <row r="9" customFormat="false" ht="15" hidden="false" customHeight="false" outlineLevel="0" collapsed="false">
      <c r="A9" s="38" t="s">
        <v>171</v>
      </c>
      <c r="B9" s="77" t="n">
        <f aca="false">Inputs!$E$79</f>
        <v>0.21</v>
      </c>
    </row>
    <row r="10" customFormat="false" ht="15" hidden="false" customHeight="false" outlineLevel="0" collapsed="false">
      <c r="A10" s="38" t="s">
        <v>172</v>
      </c>
      <c r="B10" s="77" t="n">
        <f aca="false">Inputs!$E$88</f>
        <v>0.01</v>
      </c>
    </row>
    <row r="11" customFormat="false" ht="15" hidden="false" customHeight="false" outlineLevel="0" collapsed="false">
      <c r="A11" s="38" t="s">
        <v>173</v>
      </c>
      <c r="B11" s="77" t="n">
        <f aca="false">Inputs!$E$89</f>
        <v>0.005</v>
      </c>
    </row>
    <row r="13" customFormat="false" ht="15.75" hidden="false" customHeight="true" outlineLevel="0" collapsed="false">
      <c r="A13" s="7" t="s">
        <v>174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74" t="s">
        <v>154</v>
      </c>
      <c r="B14" s="74" t="n">
        <v>1</v>
      </c>
      <c r="C14" s="74" t="n">
        <v>2</v>
      </c>
      <c r="D14" s="74" t="n">
        <v>3</v>
      </c>
      <c r="E14" s="74" t="n">
        <v>4</v>
      </c>
      <c r="F14" s="74" t="n">
        <v>5</v>
      </c>
    </row>
    <row r="15" customFormat="false" ht="15" hidden="false" customHeight="false" outlineLevel="0" collapsed="false">
      <c r="A15" s="33"/>
      <c r="B15" s="52" t="s">
        <v>155</v>
      </c>
      <c r="C15" s="52" t="s">
        <v>156</v>
      </c>
      <c r="D15" s="52" t="s">
        <v>157</v>
      </c>
      <c r="E15" s="52" t="s">
        <v>158</v>
      </c>
      <c r="F15" s="52" t="s">
        <v>159</v>
      </c>
    </row>
    <row r="16" customFormat="false" ht="15" hidden="false" customHeight="false" outlineLevel="0" collapsed="false">
      <c r="A16" s="6" t="s">
        <v>48</v>
      </c>
      <c r="B16" s="69" t="n">
        <f aca="false">SUMIF(Monthly!$C$5:$BJ$5,B$14,Monthly!$C$46:$BJ$46)</f>
        <v>-231022.34375</v>
      </c>
      <c r="C16" s="69" t="n">
        <f aca="false">SUMIF(Monthly!$C$5:$BJ$5,C$14,Monthly!$C$46:$BJ$46)</f>
        <v>264690.011875</v>
      </c>
      <c r="D16" s="69" t="n">
        <f aca="false">SUMIF(Monthly!$C$5:$BJ$5,D$14,Monthly!$C$46:$BJ$46)</f>
        <v>331418.323348187</v>
      </c>
      <c r="E16" s="69" t="n">
        <f aca="false">SUMIF(Monthly!$C$5:$BJ$5,E$14,Monthly!$C$46:$BJ$46)</f>
        <v>399696.179282592</v>
      </c>
      <c r="F16" s="69" t="n">
        <f aca="false">SUMIF(Monthly!$C$5:$BJ$5,F$14,Monthly!$C$46:$BJ$46)</f>
        <v>470349.014724677</v>
      </c>
    </row>
    <row r="17" customFormat="false" ht="15" hidden="false" customHeight="false" outlineLevel="0" collapsed="false">
      <c r="A17" s="4" t="s">
        <v>175</v>
      </c>
      <c r="B17" s="75" t="n">
        <f aca="false">SUMIF(Monthly!$C$5:$BJ$5,B$14,Monthly!$C$100:$BJ$100)</f>
        <v>-588902.192708333</v>
      </c>
      <c r="C17" s="75" t="n">
        <f aca="false">SUMIF(Monthly!$C$5:$BJ$5,C$14,Monthly!$C$100:$BJ$100)</f>
        <v>242418.43384375</v>
      </c>
      <c r="D17" s="75" t="n">
        <f aca="false">SUMIF(Monthly!$C$5:$BJ$5,D$14,Monthly!$C$100:$BJ$100)</f>
        <v>275774.428663277</v>
      </c>
      <c r="E17" s="75" t="n">
        <f aca="false">SUMIF(Monthly!$C$5:$BJ$5,E$14,Monthly!$C$100:$BJ$100)</f>
        <v>308569.198120597</v>
      </c>
      <c r="F17" s="75" t="n">
        <f aca="false">SUMIF(Monthly!$C$5:$BJ$5,F$14,Monthly!$C$100:$BJ$100)</f>
        <v>364962.598411395</v>
      </c>
    </row>
    <row r="18" customFormat="false" ht="15" hidden="false" customHeight="false" outlineLevel="0" collapsed="false">
      <c r="A18" s="6" t="s">
        <v>176</v>
      </c>
      <c r="B18" s="79" t="n">
        <f aca="false">1/(1+Inputs!$E$85)^B$14</f>
        <v>0.8</v>
      </c>
      <c r="C18" s="79" t="n">
        <f aca="false">1/(1+Inputs!$E$85)^C$14</f>
        <v>0.64</v>
      </c>
      <c r="D18" s="79" t="n">
        <f aca="false">1/(1+Inputs!$E$85)^D$14</f>
        <v>0.512</v>
      </c>
      <c r="E18" s="79" t="n">
        <f aca="false">1/(1+Inputs!$E$85)^E$14</f>
        <v>0.4096</v>
      </c>
      <c r="F18" s="79" t="n">
        <f aca="false">1/(1+Inputs!$E$85)^F$14</f>
        <v>0.32768</v>
      </c>
    </row>
    <row r="19" customFormat="false" ht="15" hidden="false" customHeight="false" outlineLevel="0" collapsed="false">
      <c r="A19" s="6" t="s">
        <v>177</v>
      </c>
      <c r="B19" s="69" t="n">
        <f aca="false">B17*B18</f>
        <v>-471121.754166667</v>
      </c>
      <c r="C19" s="69" t="n">
        <f aca="false">C17*C18</f>
        <v>155147.79766</v>
      </c>
      <c r="D19" s="69" t="n">
        <f aca="false">D17*D18</f>
        <v>141196.507475598</v>
      </c>
      <c r="E19" s="69" t="n">
        <f aca="false">E17*E18</f>
        <v>126389.943550196</v>
      </c>
      <c r="F19" s="69" t="n">
        <f aca="false">F17*F18</f>
        <v>119590.944247446</v>
      </c>
    </row>
    <row r="21" customFormat="false" ht="15.75" hidden="false" customHeight="true" outlineLevel="0" collapsed="false">
      <c r="A21" s="7" t="s">
        <v>178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52" t="s">
        <v>179</v>
      </c>
      <c r="C22" s="52" t="s">
        <v>180</v>
      </c>
    </row>
    <row r="23" customFormat="false" ht="15" hidden="false" customHeight="false" outlineLevel="0" collapsed="false">
      <c r="A23" s="6" t="s">
        <v>181</v>
      </c>
      <c r="B23" s="69" t="n">
        <f aca="false">SUM($B$19:$F$19)</f>
        <v>71203.4387665735</v>
      </c>
      <c r="C23" s="69" t="n">
        <f aca="false">B23</f>
        <v>71203.4387665735</v>
      </c>
    </row>
    <row r="24" customFormat="false" ht="15" hidden="false" customHeight="false" outlineLevel="0" collapsed="false">
      <c r="A24" s="6" t="s">
        <v>182</v>
      </c>
      <c r="B24" s="69" t="n">
        <f aca="false">$F$17</f>
        <v>364962.598411395</v>
      </c>
      <c r="C24" s="69" t="n">
        <f aca="false">$F$16</f>
        <v>470349.014724677</v>
      </c>
    </row>
    <row r="25" customFormat="false" ht="15" hidden="false" customHeight="false" outlineLevel="0" collapsed="false">
      <c r="A25" s="6" t="s">
        <v>183</v>
      </c>
      <c r="B25" s="69" t="n">
        <f aca="false">IF($B$6&gt;$B$7,B24*(1+$B$7)/($B$6-$B$7),0)</f>
        <v>1618529.78425923</v>
      </c>
      <c r="C25" s="69" t="n">
        <f aca="false">C24*$B$8</f>
        <v>1881396.05889871</v>
      </c>
    </row>
    <row r="26" customFormat="false" ht="15" hidden="false" customHeight="false" outlineLevel="0" collapsed="false">
      <c r="A26" s="6" t="s">
        <v>184</v>
      </c>
      <c r="B26" s="69" t="n">
        <f aca="false">B25/(1+$B$6)^$F$14</f>
        <v>530359.839706064</v>
      </c>
      <c r="C26" s="69" t="n">
        <f aca="false">C25/(1+$B$6)^$F$14</f>
        <v>616495.860579929</v>
      </c>
    </row>
    <row r="27" customFormat="false" ht="15" hidden="false" customHeight="false" outlineLevel="0" collapsed="false">
      <c r="A27" s="4" t="s">
        <v>178</v>
      </c>
      <c r="B27" s="70" t="n">
        <f aca="false">B23+B26</f>
        <v>601563.278472638</v>
      </c>
      <c r="C27" s="70" t="n">
        <f aca="false">C23+C26</f>
        <v>687699.299346502</v>
      </c>
    </row>
    <row r="28" customFormat="false" ht="15" hidden="false" customHeight="false" outlineLevel="0" collapsed="false">
      <c r="A28" s="38" t="s">
        <v>185</v>
      </c>
      <c r="B28" s="76" t="n">
        <f aca="false">IF(B27&lt;&gt;0,B26/B27,0)</f>
        <v>0.881635995223382</v>
      </c>
      <c r="C28" s="76" t="n">
        <f aca="false">IF(C27&lt;&gt;0,C26/C27,0)</f>
        <v>0.89646137660132</v>
      </c>
    </row>
    <row r="29" customFormat="false" ht="15" hidden="false" customHeight="false" outlineLevel="0" collapsed="false">
      <c r="A29" s="6" t="s">
        <v>186</v>
      </c>
      <c r="B29" s="80" t="n">
        <f aca="false">IF(C24&gt;0,B25/C24,"n/a")</f>
        <v>3.44112506583361</v>
      </c>
      <c r="C29" s="76" t="n">
        <f aca="false">IF(C25+B24&lt;&gt;0,(C25*$B$6-B24)/(C25+B24),"n/a")</f>
        <v>0.0469143322106351</v>
      </c>
    </row>
    <row r="30" customFormat="false" ht="15" hidden="false" customHeight="false" outlineLevel="0" collapsed="false">
      <c r="A30" s="72" t="s">
        <v>187</v>
      </c>
      <c r="B30" s="73" t="n">
        <f aca="false">AVERAGE(B27,C27)</f>
        <v>644631.28890957</v>
      </c>
    </row>
    <row r="32" customFormat="false" ht="15.75" hidden="false" customHeight="true" outlineLevel="0" collapsed="false">
      <c r="A32" s="7" t="s">
        <v>188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189</v>
      </c>
      <c r="B33" s="81" t="n">
        <f aca="false">$B$7+(-2)*$B$11</f>
        <v>0.01</v>
      </c>
      <c r="C33" s="81" t="n">
        <f aca="false">$B$7+(-1)*$B$11</f>
        <v>0.015</v>
      </c>
      <c r="D33" s="81" t="n">
        <f aca="false">$B$7+(0)*$B$11</f>
        <v>0.02</v>
      </c>
      <c r="E33" s="81" t="n">
        <f aca="false">$B$7+(1)*$B$11</f>
        <v>0.025</v>
      </c>
      <c r="F33" s="81" t="n">
        <f aca="false">$B$7+(2)*$B$11</f>
        <v>0.03</v>
      </c>
    </row>
    <row r="34" customFormat="false" ht="15" hidden="false" customHeight="false" outlineLevel="0" collapsed="false">
      <c r="A34" s="76" t="n">
        <f aca="false">$B$6+(-2)*$B$10</f>
        <v>0.23</v>
      </c>
      <c r="B34" s="69" t="n">
        <f aca="false">IF($A34&gt;B$33,SUMPRODUCT($B$17:$F$17/(1+$A34)^$B$14:$F$14)+$F$17*(1+B$33)/($A34-B$33)/(1+$A34)^$F$14,"n/a")</f>
        <v>689240.242365231</v>
      </c>
      <c r="C34" s="69" t="n">
        <f aca="false">IF($A34&gt;C$33,SUMPRODUCT($B$17:$F$17/(1+$A34)^$B$14:$F$14)+$F$17*(1+C$33)/($A34-C$33)/(1+$A34)^$F$14,"n/a")</f>
        <v>706095.553662075</v>
      </c>
      <c r="D34" s="69" t="n">
        <f aca="false">IF($A34&gt;D$33,SUMPRODUCT($B$17:$F$17/(1+$A34)^$B$14:$F$14)+$F$17*(1+D$33)/($A34-D$33)/(1+$A34)^$F$14,"n/a")</f>
        <v>723753.498830198</v>
      </c>
      <c r="E34" s="69" t="n">
        <f aca="false">IF($A34&gt;E$33,SUMPRODUCT($B$17:$F$17/(1+$A34)^$B$14:$F$14)+$F$17*(1+E$33)/($A34-E$33)/(1+$A34)^$F$14,"n/a")</f>
        <v>742272.807177254</v>
      </c>
      <c r="F34" s="69" t="n">
        <f aca="false">IF($A34&gt;F$33,SUMPRODUCT($B$17:$F$17/(1+$A34)^$B$14:$F$14)+$F$17*(1+F$33)/($A34-F$33)/(1+$A34)^$F$14,"n/a")</f>
        <v>761718.080941663</v>
      </c>
    </row>
    <row r="35" customFormat="false" ht="15" hidden="false" customHeight="false" outlineLevel="0" collapsed="false">
      <c r="A35" s="76" t="n">
        <f aca="false">$B$6+(-1)*$B$10</f>
        <v>0.24</v>
      </c>
      <c r="B35" s="69" t="n">
        <f aca="false">IF($A35&gt;B$33,SUMPRODUCT($B$17:$F$17/(1+$A35)^$B$14:$F$14)+$F$17*(1+B$33)/($A35-B$33)/(1+$A35)^$F$14,"n/a")</f>
        <v>629067.874728627</v>
      </c>
      <c r="C35" s="69" t="n">
        <f aca="false">IF($A35&gt;C$33,SUMPRODUCT($B$17:$F$17/(1+$A35)^$B$14:$F$14)+$F$17*(1+C$33)/($A35-C$33)/(1+$A35)^$F$14,"n/a")</f>
        <v>643982.806449113</v>
      </c>
      <c r="D35" s="69" t="n">
        <f aca="false">IF($A35&gt;D$33,SUMPRODUCT($B$17:$F$17/(1+$A35)^$B$14:$F$14)+$F$17*(1+D$33)/($A35-D$33)/(1+$A35)^$F$14,"n/a")</f>
        <v>659575.689611439</v>
      </c>
      <c r="E35" s="69" t="n">
        <f aca="false">IF($A35&gt;E$33,SUMPRODUCT($B$17:$F$17/(1+$A35)^$B$14:$F$14)+$F$17*(1+E$33)/($A35-E$33)/(1+$A35)^$F$14,"n/a")</f>
        <v>675893.823153408</v>
      </c>
      <c r="F35" s="69" t="n">
        <f aca="false">IF($A35&gt;F$33,SUMPRODUCT($B$17:$F$17/(1+$A35)^$B$14:$F$14)+$F$17*(1+F$33)/($A35-F$33)/(1+$A35)^$F$14,"n/a")</f>
        <v>692989.010673567</v>
      </c>
    </row>
    <row r="36" customFormat="false" ht="15" hidden="false" customHeight="false" outlineLevel="0" collapsed="false">
      <c r="A36" s="76" t="n">
        <f aca="false">$B$6+(0)*$B$10</f>
        <v>0.25</v>
      </c>
      <c r="B36" s="69" t="n">
        <f aca="false">IF($A36&gt;B$33,SUMPRODUCT($B$17:$F$17/(1+$A36)^$B$14:$F$14)+$F$17*(1+B$33)/($A36-B$33)/(1+$A36)^$F$14,"n/a")</f>
        <v>574481.995807908</v>
      </c>
      <c r="C36" s="69" t="n">
        <f aca="false">IF($A36&gt;C$33,SUMPRODUCT($B$17:$F$17/(1+$A36)^$B$14:$F$14)+$F$17*(1+C$33)/($A36-C$33)/(1+$A36)^$F$14,"n/a")</f>
        <v>587734.53838852</v>
      </c>
      <c r="D36" s="69" t="n">
        <f aca="false">IF($A36&gt;D$33,SUMPRODUCT($B$17:$F$17/(1+$A36)^$B$14:$F$14)+$F$17*(1+D$33)/($A36-D$33)/(1+$A36)^$F$14,"n/a")</f>
        <v>601563.278472638</v>
      </c>
      <c r="E36" s="69" t="n">
        <f aca="false">IF($A36&gt;E$33,SUMPRODUCT($B$17:$F$17/(1+$A36)^$B$14:$F$14)+$F$17*(1+E$33)/($A36-E$33)/(1+$A36)^$F$14,"n/a")</f>
        <v>616006.62922716</v>
      </c>
      <c r="F36" s="69" t="n">
        <f aca="false">IF($A36&gt;F$33,SUMPRODUCT($B$17:$F$17/(1+$A36)^$B$14:$F$14)+$F$17*(1+F$33)/($A36-F$33)/(1+$A36)^$F$14,"n/a")</f>
        <v>631106.49592507</v>
      </c>
    </row>
    <row r="37" customFormat="false" ht="15" hidden="false" customHeight="false" outlineLevel="0" collapsed="false">
      <c r="A37" s="76" t="n">
        <f aca="false">$B$6+(1)*$B$10</f>
        <v>0.26</v>
      </c>
      <c r="B37" s="69" t="n">
        <f aca="false">IF($A37&gt;B$33,SUMPRODUCT($B$17:$F$17/(1+$A37)^$B$14:$F$14)+$F$17*(1+B$33)/($A37-B$33)/(1+$A37)^$F$14,"n/a")</f>
        <v>524795.411800327</v>
      </c>
      <c r="C37" s="69" t="n">
        <f aca="false">IF($A37&gt;C$33,SUMPRODUCT($B$17:$F$17/(1+$A37)^$B$14:$F$14)+$F$17*(1+C$33)/($A37-C$33)/(1+$A37)^$F$14,"n/a")</f>
        <v>536615.755121989</v>
      </c>
      <c r="D37" s="69" t="n">
        <f aca="false">IF($A37&gt;D$33,SUMPRODUCT($B$17:$F$17/(1+$A37)^$B$14:$F$14)+$F$17*(1+D$33)/($A37-D$33)/(1+$A37)^$F$14,"n/a")</f>
        <v>548928.61274872</v>
      </c>
      <c r="E37" s="69" t="n">
        <f aca="false">IF($A37&gt;E$33,SUMPRODUCT($B$17:$F$17/(1+$A37)^$B$14:$F$14)+$F$17*(1+E$33)/($A37-E$33)/(1+$A37)^$F$14,"n/a")</f>
        <v>561765.421763823</v>
      </c>
      <c r="F37" s="69" t="n">
        <f aca="false">IF($A37&gt;F$33,SUMPRODUCT($B$17:$F$17/(1+$A37)^$B$14:$F$14)+$F$17*(1+F$33)/($A37-F$33)/(1+$A37)^$F$14,"n/a")</f>
        <v>575160.352910017</v>
      </c>
    </row>
    <row r="38" customFormat="false" ht="15" hidden="false" customHeight="false" outlineLevel="0" collapsed="false">
      <c r="A38" s="76" t="n">
        <f aca="false">$B$6+(2)*$B$10</f>
        <v>0.27</v>
      </c>
      <c r="B38" s="69" t="n">
        <f aca="false">IF($A38&gt;B$33,SUMPRODUCT($B$17:$F$17/(1+$A38)^$B$14:$F$14)+$F$17*(1+B$33)/($A38-B$33)/(1+$A38)^$F$14,"n/a")</f>
        <v>479427.31822231</v>
      </c>
      <c r="C38" s="69" t="n">
        <f aca="false">IF($A38&gt;C$33,SUMPRODUCT($B$17:$F$17/(1+$A38)^$B$14:$F$14)+$F$17*(1+C$33)/($A38-C$33)/(1+$A38)^$F$14,"n/a")</f>
        <v>490007.42259618</v>
      </c>
      <c r="D38" s="69" t="n">
        <f aca="false">IF($A38&gt;D$33,SUMPRODUCT($B$17:$F$17/(1+$A38)^$B$14:$F$14)+$F$17*(1+D$33)/($A38-D$33)/(1+$A38)^$F$14,"n/a")</f>
        <v>501010.731145005</v>
      </c>
      <c r="E38" s="69" t="n">
        <f aca="false">IF($A38&gt;E$33,SUMPRODUCT($B$17:$F$17/(1+$A38)^$B$14:$F$14)+$F$17*(1+E$33)/($A38-E$33)/(1+$A38)^$F$14,"n/a")</f>
        <v>512463.154328475</v>
      </c>
      <c r="F38" s="69" t="n">
        <f aca="false">IF($A38&gt;F$33,SUMPRODUCT($B$17:$F$17/(1+$A38)^$B$14:$F$14)+$F$17*(1+F$33)/($A38-F$33)/(1+$A38)^$F$14,"n/a")</f>
        <v>524392.761811257</v>
      </c>
    </row>
    <row r="40" customFormat="false" ht="15" hidden="false" customHeight="false" outlineLevel="0" collapsed="false">
      <c r="A40" s="38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191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192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193</v>
      </c>
      <c r="B5" s="7"/>
      <c r="C5" s="7"/>
    </row>
    <row r="6" customFormat="false" ht="15" hidden="false" customHeight="false" outlineLevel="0" collapsed="false">
      <c r="B6" s="52" t="s">
        <v>194</v>
      </c>
      <c r="C6" s="52" t="s">
        <v>195</v>
      </c>
    </row>
    <row r="7" customFormat="false" ht="15" hidden="false" customHeight="false" outlineLevel="0" collapsed="false">
      <c r="A7" s="6" t="s">
        <v>196</v>
      </c>
      <c r="B7" s="82" t="n">
        <f aca="false">Inputs!$E$67</f>
        <v>480000</v>
      </c>
      <c r="C7" s="76" t="n">
        <f aca="false">IF($B$9=0,0,B7/$B$9)</f>
        <v>0.657534246575342</v>
      </c>
    </row>
    <row r="8" customFormat="false" ht="15" hidden="false" customHeight="false" outlineLevel="0" collapsed="false">
      <c r="A8" s="6" t="s">
        <v>197</v>
      </c>
      <c r="B8" s="82" t="n">
        <f aca="false">Inputs!$E$68</f>
        <v>250000</v>
      </c>
      <c r="C8" s="76" t="n">
        <f aca="false">IF($B$9=0,0,B8/$B$9)</f>
        <v>0.342465753424658</v>
      </c>
    </row>
    <row r="9" customFormat="false" ht="15" hidden="false" customHeight="false" outlineLevel="0" collapsed="false">
      <c r="A9" s="4" t="s">
        <v>198</v>
      </c>
      <c r="B9" s="83" t="n">
        <f aca="false">B7+B8</f>
        <v>730000</v>
      </c>
      <c r="C9" s="84" t="n">
        <f aca="false">IF(B9=0,0,1)</f>
        <v>1</v>
      </c>
    </row>
    <row r="10" customFormat="false" ht="15" hidden="false" customHeight="false" outlineLevel="0" collapsed="false">
      <c r="A10" s="6" t="s">
        <v>199</v>
      </c>
      <c r="B10" s="80" t="n">
        <f aca="false">IF(B7&lt;=0,IF(B8&gt;0,"n/a",0),B8/B7)</f>
        <v>0.520833333333333</v>
      </c>
      <c r="D10" s="18" t="s">
        <v>200</v>
      </c>
    </row>
    <row r="11" customFormat="false" ht="15" hidden="false" customHeight="false" outlineLevel="0" collapsed="false">
      <c r="A11" s="6" t="s">
        <v>201</v>
      </c>
      <c r="B11" s="82" t="n">
        <f aca="false">'Break-even'!B12</f>
        <v>824441.633928572</v>
      </c>
    </row>
    <row r="12" customFormat="false" ht="15" hidden="false" customHeight="false" outlineLevel="0" collapsed="false">
      <c r="A12" s="72" t="s">
        <v>67</v>
      </c>
      <c r="B12" s="85" t="n">
        <f aca="false">'Break-even'!B17</f>
        <v>-94441.6339285715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202</v>
      </c>
      <c r="B15" s="86" t="n">
        <v>12</v>
      </c>
      <c r="D15" s="18" t="s">
        <v>203</v>
      </c>
    </row>
    <row r="16" customFormat="false" ht="15" hidden="false" customHeight="false" outlineLevel="0" collapsed="false">
      <c r="A16" s="6" t="s">
        <v>204</v>
      </c>
      <c r="B16" s="67" t="n">
        <f aca="false">MIN(60,MAX(1,ROUND(B15,0)))</f>
        <v>12</v>
      </c>
    </row>
    <row r="17" customFormat="false" ht="15" hidden="false" customHeight="false" outlineLevel="0" collapsed="false">
      <c r="A17" s="33" t="s">
        <v>205</v>
      </c>
      <c r="B17" s="52" t="s">
        <v>194</v>
      </c>
      <c r="C17" s="52" t="s">
        <v>195</v>
      </c>
    </row>
    <row r="18" customFormat="false" ht="15" hidden="false" customHeight="false" outlineLevel="0" collapsed="false">
      <c r="A18" s="6" t="s">
        <v>64</v>
      </c>
      <c r="B18" s="63" t="n">
        <f aca="false">SUMPRODUCT(--(Monthly!$C$4:$BJ$4&lt;=$B$16),Monthly!$C$87:$BJ$87)</f>
        <v>480000</v>
      </c>
      <c r="C18" s="76" t="n">
        <f aca="false">IF($B$21=0,0,B18/$B$21)</f>
        <v>0.657534246575342</v>
      </c>
    </row>
    <row r="19" customFormat="false" ht="15" hidden="false" customHeight="false" outlineLevel="0" collapsed="false">
      <c r="A19" s="6" t="s">
        <v>206</v>
      </c>
      <c r="B19" s="63" t="n">
        <f aca="false">SUMPRODUCT(--(Monthly!$C$4:$BJ$4&lt;=$B$16),Monthly!$C$72:$BJ$72)</f>
        <v>250000</v>
      </c>
      <c r="C19" s="76" t="n">
        <f aca="false">IF($B$21=0,0,B19/$B$21)</f>
        <v>0.342465753424658</v>
      </c>
    </row>
    <row r="20" customFormat="false" ht="15" hidden="false" customHeight="false" outlineLevel="0" collapsed="false">
      <c r="A20" s="6" t="s">
        <v>207</v>
      </c>
      <c r="B20" s="63" t="n">
        <f aca="false">MAX(0,SUMPRODUCT(--(Monthly!$C$4:$BJ$4&lt;=$B$16),Monthly!$C$85:$BJ$85))</f>
        <v>0</v>
      </c>
      <c r="C20" s="76" t="n">
        <f aca="false">IF($B$21=0,0,B20/$B$21)</f>
        <v>0</v>
      </c>
    </row>
    <row r="21" customFormat="false" ht="15" hidden="false" customHeight="false" outlineLevel="0" collapsed="false">
      <c r="A21" s="4" t="s">
        <v>208</v>
      </c>
      <c r="B21" s="83" t="n">
        <f aca="false">SUM(B18:B20)</f>
        <v>730000</v>
      </c>
      <c r="C21" s="84" t="n">
        <f aca="false">IF(B21=0,0,1)</f>
        <v>1</v>
      </c>
    </row>
    <row r="23" customFormat="false" ht="15" hidden="false" customHeight="false" outlineLevel="0" collapsed="false">
      <c r="A23" s="33" t="s">
        <v>209</v>
      </c>
      <c r="B23" s="52" t="s">
        <v>194</v>
      </c>
      <c r="C23" s="52" t="s">
        <v>195</v>
      </c>
    </row>
    <row r="24" customFormat="false" ht="15" hidden="false" customHeight="false" outlineLevel="0" collapsed="false">
      <c r="A24" s="6" t="s">
        <v>210</v>
      </c>
      <c r="B24" s="63" t="n">
        <f aca="false">MAX(0,-SUMPRODUCT(--(Monthly!$C$4:$BJ$4&lt;=$B$16),Monthly!$C$85:$BJ$85))</f>
        <v>223610.340029762</v>
      </c>
      <c r="C24" s="76" t="n">
        <f aca="false">IF($B$28=0,0,B24/$B$28)</f>
        <v>0.306315534287345</v>
      </c>
    </row>
    <row r="25" customFormat="false" ht="15" hidden="false" customHeight="false" outlineLevel="0" collapsed="false">
      <c r="A25" s="6" t="s">
        <v>84</v>
      </c>
      <c r="B25" s="63" t="n">
        <f aca="false">-SUMPRODUCT(--(Monthly!$C$4:$BJ$4&lt;=$B$16),Monthly!$C$86:$BJ$86)</f>
        <v>382000</v>
      </c>
      <c r="C25" s="76" t="n">
        <f aca="false">IF($B$28=0,0,B25/$B$28)</f>
        <v>0.523287671232877</v>
      </c>
    </row>
    <row r="26" customFormat="false" ht="15" hidden="false" customHeight="false" outlineLevel="0" collapsed="false">
      <c r="A26" s="6" t="s">
        <v>211</v>
      </c>
      <c r="B26" s="63" t="n">
        <f aca="false">-SUMPRODUCT(--(Monthly!$C$4:$BJ$4&lt;=$B$16),Monthly!$C$73:$BJ$73)</f>
        <v>32738.0952380952</v>
      </c>
      <c r="C26" s="76" t="n">
        <f aca="false">IF($B$28=0,0,B26/$B$28)</f>
        <v>0.0448467058056099</v>
      </c>
    </row>
    <row r="27" customFormat="false" ht="15" hidden="false" customHeight="false" outlineLevel="0" collapsed="false">
      <c r="A27" s="6" t="s">
        <v>212</v>
      </c>
      <c r="B27" s="63" t="n">
        <f aca="false">INDEX(Monthly!$C$91:$BJ$91,$B$16)</f>
        <v>91651.5647321428</v>
      </c>
      <c r="C27" s="76" t="n">
        <f aca="false">IF($B$28=0,0,B27/$B$28)</f>
        <v>0.125550088674168</v>
      </c>
    </row>
    <row r="28" customFormat="false" ht="15" hidden="false" customHeight="false" outlineLevel="0" collapsed="false">
      <c r="A28" s="4" t="s">
        <v>213</v>
      </c>
      <c r="B28" s="83" t="n">
        <f aca="false">SUM(B24:B27)</f>
        <v>730000</v>
      </c>
      <c r="C28" s="84" t="n">
        <f aca="false">IF(B28=0,0,1)</f>
        <v>1</v>
      </c>
    </row>
    <row r="29" customFormat="false" ht="15" hidden="false" customHeight="false" outlineLevel="0" collapsed="false">
      <c r="A29" s="6" t="s">
        <v>214</v>
      </c>
      <c r="B29" s="63" t="n">
        <f aca="false">B21-B28</f>
        <v>0</v>
      </c>
    </row>
  </sheetData>
  <dataValidations count="1">
    <dataValidation allowBlank="false" errorStyle="stop" operator="between" prompt="A whole number from 1 to 60" promptTitle="Period" showDropDown="false" showErrorMessage="false" showInputMessage="true" sqref="B15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1.5"/>
    <col collapsed="false" customWidth="true" hidden="false" outlineLevel="0" max="8" min="8" style="0" width="2"/>
    <col collapsed="false" customWidth="true" hidden="false" outlineLevel="0" max="24" min="9" style="0" width="9"/>
  </cols>
  <sheetData>
    <row r="1" customFormat="false" ht="21.75" hidden="false" customHeight="true" outlineLevel="0" collapsed="false">
      <c r="A1" s="16" t="s">
        <v>215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216</v>
      </c>
    </row>
    <row r="4" customFormat="false" ht="15.75" hidden="false" customHeight="true" outlineLevel="0" collapsed="false">
      <c r="A4" s="7" t="s">
        <v>217</v>
      </c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4" t="n">
        <v>4</v>
      </c>
      <c r="F5" s="34" t="n">
        <v>5</v>
      </c>
      <c r="G5" s="52" t="s">
        <v>218</v>
      </c>
    </row>
    <row r="6" customFormat="false" ht="15" hidden="false" customHeight="false" outlineLevel="0" collapsed="false">
      <c r="A6" s="38" t="s">
        <v>219</v>
      </c>
      <c r="B6" s="39" t="str">
        <f aca="false">IF(N('P&amp;L'!A5)&lt;=0,"n/a",'P&amp;L'!B5/'P&amp;L'!A5-1)</f>
        <v>n/a</v>
      </c>
      <c r="C6" s="39" t="n">
        <f aca="false">IF(N('P&amp;L'!B5)&lt;=0,"n/a",'P&amp;L'!C5/'P&amp;L'!B5-1)</f>
        <v>0.571703703703704</v>
      </c>
      <c r="D6" s="39" t="n">
        <f aca="false">IF(N('P&amp;L'!C5)&lt;=0,"n/a",'P&amp;L'!D5/'P&amp;L'!C5-1)</f>
        <v>0.0608999999999997</v>
      </c>
      <c r="E6" s="39" t="n">
        <f aca="false">IF(N('P&amp;L'!D5)&lt;=0,"n/a",'P&amp;L'!E5/'P&amp;L'!D5-1)</f>
        <v>0.0609000000000002</v>
      </c>
      <c r="F6" s="39" t="n">
        <f aca="false">IF(N('P&amp;L'!E5)&lt;=0,"n/a",'P&amp;L'!F5/'P&amp;L'!E5-1)</f>
        <v>0.0609000000000002</v>
      </c>
      <c r="G6" s="87"/>
    </row>
    <row r="7" customFormat="false" ht="15" hidden="false" customHeight="false" outlineLevel="0" collapsed="false">
      <c r="A7" s="38" t="s">
        <v>46</v>
      </c>
      <c r="B7" s="39" t="n">
        <f aca="false">IF('P&amp;L'!B5&lt;=0,"n/a",'P&amp;L'!B7/'P&amp;L'!B5)</f>
        <v>0.380950580209839</v>
      </c>
      <c r="C7" s="39" t="n">
        <f aca="false">IF('P&amp;L'!C5&lt;=0,"n/a",'P&amp;L'!C7/'P&amp;L'!C5)</f>
        <v>0.503210200491754</v>
      </c>
      <c r="D7" s="39" t="n">
        <f aca="false">IF('P&amp;L'!D5&lt;=0,"n/a",'P&amp;L'!D7/'P&amp;L'!D5)</f>
        <v>0.509981039574781</v>
      </c>
      <c r="E7" s="39" t="n">
        <f aca="false">IF('P&amp;L'!E5&lt;=0,"n/a",'P&amp;L'!E7/'P&amp;L'!E5)</f>
        <v>0.516554669752477</v>
      </c>
      <c r="F7" s="39" t="n">
        <f aca="false">IF('P&amp;L'!F5&lt;=0,"n/a",'P&amp;L'!F7/'P&amp;L'!F5)</f>
        <v>0.522936834973541</v>
      </c>
      <c r="G7" s="87"/>
    </row>
    <row r="8" customFormat="false" ht="15" hidden="false" customHeight="false" outlineLevel="0" collapsed="false">
      <c r="A8" s="38" t="s">
        <v>49</v>
      </c>
      <c r="B8" s="39" t="n">
        <f aca="false">IF('P&amp;L'!B5&lt;=0,"n/a",'P&amp;L'!B16/'P&amp;L'!B5)</f>
        <v>-0.182718891731238</v>
      </c>
      <c r="C8" s="39" t="n">
        <f aca="false">IF('P&amp;L'!C5&lt;=0,"n/a",'P&amp;L'!C16/'P&amp;L'!C5)</f>
        <v>0.133197582853221</v>
      </c>
      <c r="D8" s="39" t="n">
        <f aca="false">IF('P&amp;L'!D5&lt;=0,"n/a",'P&amp;L'!D16/'P&amp;L'!D5)</f>
        <v>0.157203009802762</v>
      </c>
      <c r="E8" s="39" t="n">
        <f aca="false">IF('P&amp;L'!E5&lt;=0,"n/a",'P&amp;L'!E16/'P&amp;L'!E5)</f>
        <v>0.178706310366782</v>
      </c>
      <c r="F8" s="39" t="n">
        <f aca="false">IF('P&amp;L'!F5&lt;=0,"n/a",'P&amp;L'!F16/'P&amp;L'!F5)</f>
        <v>0.198223746719584</v>
      </c>
      <c r="G8" s="87"/>
    </row>
    <row r="9" customFormat="false" ht="15" hidden="false" customHeight="false" outlineLevel="0" collapsed="false">
      <c r="A9" s="38" t="s">
        <v>51</v>
      </c>
      <c r="B9" s="39" t="n">
        <f aca="false">IF('P&amp;L'!B5&lt;=0,"n/a",'P&amp;L'!B23/'P&amp;L'!B5)</f>
        <v>-0.237212538817477</v>
      </c>
      <c r="C9" s="39" t="n">
        <f aca="false">IF('P&amp;L'!C5&lt;=0,"n/a",'P&amp;L'!C23/'P&amp;L'!C5)</f>
        <v>0.0988797051947836</v>
      </c>
      <c r="D9" s="39" t="n">
        <f aca="false">IF('P&amp;L'!D5&lt;=0,"n/a",'P&amp;L'!D23/'P&amp;L'!D5)</f>
        <v>0.109205714593596</v>
      </c>
      <c r="E9" s="39" t="n">
        <f aca="false">IF('P&amp;L'!E5&lt;=0,"n/a",'P&amp;L'!E23/'P&amp;L'!E5)</f>
        <v>0.117594693591162</v>
      </c>
      <c r="F9" s="39" t="n">
        <f aca="false">IF('P&amp;L'!F5&lt;=0,"n/a",'P&amp;L'!F23/'P&amp;L'!F5)</f>
        <v>0.13460505812474</v>
      </c>
      <c r="G9" s="87"/>
    </row>
    <row r="10" customFormat="false" ht="15" hidden="false" customHeight="false" outlineLevel="0" collapsed="false">
      <c r="A10" s="38" t="s">
        <v>220</v>
      </c>
      <c r="B10" s="39" t="n">
        <f aca="false">IF('P&amp;L'!B5&lt;=0,"n/a",-SUMIF(Headcount!$C$5:$BJ$5,B$5,Headcount!$C$17:$BJ$17)/'P&amp;L'!B5)</f>
        <v>0.5229921279304</v>
      </c>
      <c r="C10" s="39" t="n">
        <f aca="false">IF('P&amp;L'!C5&lt;=0,"n/a",-SUMIF(Headcount!$C$5:$BJ$5,C$5,Headcount!$C$17:$BJ$17)/'P&amp;L'!C5)</f>
        <v>0.342737559566039</v>
      </c>
      <c r="D10" s="39" t="n">
        <f aca="false">IF('P&amp;L'!D5&lt;=0,"n/a",-SUMIF(Headcount!$C$5:$BJ$5,D$5,Headcount!$C$17:$BJ$17)/'P&amp;L'!D5)</f>
        <v>0.332754912200038</v>
      </c>
      <c r="E10" s="39" t="n">
        <f aca="false">IF('P&amp;L'!E5&lt;=0,"n/a",-SUMIF(Headcount!$C$5:$BJ$5,E$5,Headcount!$C$17:$BJ$17)/'P&amp;L'!E5)</f>
        <v>0.323063021553434</v>
      </c>
      <c r="F10" s="39" t="n">
        <f aca="false">IF('P&amp;L'!F5&lt;=0,"n/a",-SUMIF(Headcount!$C$5:$BJ$5,F$5,Headcount!$C$17:$BJ$17)/'P&amp;L'!F5)</f>
        <v>0.313653418983917</v>
      </c>
      <c r="G10" s="87"/>
    </row>
    <row r="11" customFormat="false" ht="15" hidden="false" customHeight="false" outlineLevel="0" collapsed="false">
      <c r="A11" s="38" t="s">
        <v>221</v>
      </c>
      <c r="B11" s="39" t="n">
        <f aca="false">IF('P&amp;L'!B5&lt;=0,"n/a",-'P&amp;L'!B13/'P&amp;L'!B5)</f>
        <v>0.0664368071775479</v>
      </c>
      <c r="C11" s="39" t="n">
        <f aca="false">IF('P&amp;L'!C5&lt;=0,"n/a",-'P&amp;L'!C13/'P&amp;L'!C5)</f>
        <v>0.0338164538371909</v>
      </c>
      <c r="D11" s="39" t="n">
        <f aca="false">IF('P&amp;L'!D5&lt;=0,"n/a",-'P&amp;L'!D13/'P&amp;L'!D5)</f>
        <v>0.0255002008386773</v>
      </c>
      <c r="E11" s="39" t="n">
        <f aca="false">IF('P&amp;L'!E5&lt;=0,"n/a",-'P&amp;L'!E13/'P&amp;L'!E5)</f>
        <v>0.0192291079941011</v>
      </c>
      <c r="F11" s="39" t="n">
        <f aca="false">IF('P&amp;L'!F5&lt;=0,"n/a",-'P&amp;L'!F13/'P&amp;L'!F5)</f>
        <v>0.0145002228252247</v>
      </c>
      <c r="G11" s="87"/>
    </row>
    <row r="12" customFormat="false" ht="15" hidden="false" customHeight="false" outlineLevel="0" collapsed="false">
      <c r="A12" s="38" t="s">
        <v>222</v>
      </c>
      <c r="B12" s="39" t="n">
        <f aca="false">IF('P&amp;L'!B5&lt;=0,"n/a",-'P&amp;L'!B15/'P&amp;L'!B5)</f>
        <v>0.563669471941077</v>
      </c>
      <c r="C12" s="39" t="n">
        <f aca="false">IF('P&amp;L'!C5&lt;=0,"n/a",-'P&amp;L'!C15/'P&amp;L'!C5)</f>
        <v>0.370012617638533</v>
      </c>
      <c r="D12" s="39" t="n">
        <f aca="false">IF('P&amp;L'!D5&lt;=0,"n/a",-'P&amp;L'!D15/'P&amp;L'!D5)</f>
        <v>0.352778029772019</v>
      </c>
      <c r="E12" s="39" t="n">
        <f aca="false">IF('P&amp;L'!E5&lt;=0,"n/a",-'P&amp;L'!E15/'P&amp;L'!E5)</f>
        <v>0.337848359385695</v>
      </c>
      <c r="F12" s="39" t="n">
        <f aca="false">IF('P&amp;L'!F5&lt;=0,"n/a",-'P&amp;L'!F15/'P&amp;L'!F5)</f>
        <v>0.324713088253956</v>
      </c>
      <c r="G12" s="87"/>
    </row>
    <row r="13" customFormat="false" ht="15" hidden="false" customHeight="false" outlineLevel="0" collapsed="false">
      <c r="A13" s="6" t="s">
        <v>223</v>
      </c>
      <c r="B13" s="88" t="n">
        <f aca="false">IF(('Balance Sheet'!B12-'Balance Sheet'!B11)&lt;=0,"n/a",('Balance Sheet'!B5+'Balance Sheet'!B6+'Balance Sheet'!B7)/('Balance Sheet'!B12-'Balance Sheet'!B11))</f>
        <v>1.98872428542569</v>
      </c>
      <c r="C13" s="88" t="n">
        <f aca="false">IF(('Balance Sheet'!C12-'Balance Sheet'!C11)&lt;=0,"n/a",('Balance Sheet'!C5+'Balance Sheet'!C6+'Balance Sheet'!C7)/('Balance Sheet'!C12-'Balance Sheet'!C11))</f>
        <v>4.70669004254241</v>
      </c>
      <c r="D13" s="88" t="n">
        <f aca="false">IF(('Balance Sheet'!D12-'Balance Sheet'!D11)&lt;=0,"n/a",('Balance Sheet'!D5+'Balance Sheet'!D6+'Balance Sheet'!D7)/('Balance Sheet'!D12-'Balance Sheet'!D11))</f>
        <v>7.71005521621957</v>
      </c>
      <c r="E13" s="88" t="n">
        <f aca="false">IF(('Balance Sheet'!E12-'Balance Sheet'!E11)&lt;=0,"n/a",('Balance Sheet'!E5+'Balance Sheet'!E6+'Balance Sheet'!E7)/('Balance Sheet'!E12-'Balance Sheet'!E11))</f>
        <v>10.9073888689045</v>
      </c>
      <c r="F13" s="88" t="n">
        <f aca="false">IF(('Balance Sheet'!F12-'Balance Sheet'!F11)&lt;=0,"n/a",('Balance Sheet'!F5+'Balance Sheet'!F6+'Balance Sheet'!F7)/('Balance Sheet'!F12-'Balance Sheet'!F11))</f>
        <v>14.5525044095802</v>
      </c>
      <c r="G13" s="89"/>
    </row>
    <row r="14" customFormat="false" ht="15" hidden="false" customHeight="false" outlineLevel="0" collapsed="false">
      <c r="A14" s="6" t="s">
        <v>224</v>
      </c>
      <c r="B14" s="88" t="n">
        <f aca="false">IF('Balance Sheet'!B15&lt;=0,"n/a",'Balance Sheet'!B11/'Balance Sheet'!B15)</f>
        <v>1.20648708271713</v>
      </c>
      <c r="C14" s="88" t="n">
        <f aca="false">IF('Balance Sheet'!C15&lt;=0,"n/a",'Balance Sheet'!C11/'Balance Sheet'!C15)</f>
        <v>0.482106397814063</v>
      </c>
      <c r="D14" s="88" t="n">
        <f aca="false">IF('Balance Sheet'!D15&lt;=0,"n/a",'Balance Sheet'!D11/'Balance Sheet'!D15)</f>
        <v>0.240331314185286</v>
      </c>
      <c r="E14" s="88" t="n">
        <f aca="false">IF('Balance Sheet'!E15&lt;=0,"n/a",'Balance Sheet'!E11/'Balance Sheet'!E15)</f>
        <v>0.126600598577124</v>
      </c>
      <c r="F14" s="88" t="n">
        <f aca="false">IF('Balance Sheet'!F15&lt;=0,"n/a",'Balance Sheet'!F11/'Balance Sheet'!F15)</f>
        <v>0.0625666515697617</v>
      </c>
      <c r="G14" s="89"/>
    </row>
    <row r="15" customFormat="false" ht="15" hidden="false" customHeight="false" outlineLevel="0" collapsed="false">
      <c r="A15" s="38" t="s">
        <v>225</v>
      </c>
      <c r="B15" s="39" t="n">
        <f aca="false">IF('Balance Sheet'!B9&lt;=0,"n/a",'P&amp;L'!B23/'Balance Sheet'!B9)</f>
        <v>-0.650378866495378</v>
      </c>
      <c r="C15" s="39" t="n">
        <f aca="false">IF('Balance Sheet'!C9&lt;=0,"n/a",'P&amp;L'!C23/'Balance Sheet'!C9)</f>
        <v>0.313548800847884</v>
      </c>
      <c r="D15" s="39" t="n">
        <f aca="false">IF('Balance Sheet'!D9&lt;=0,"n/a",'P&amp;L'!D23/'Balance Sheet'!D9)</f>
        <v>0.279277560498723</v>
      </c>
      <c r="E15" s="39" t="n">
        <f aca="false">IF('Balance Sheet'!E9&lt;=0,"n/a",'P&amp;L'!E23/'Balance Sheet'!E9)</f>
        <v>0.24929648226124</v>
      </c>
      <c r="F15" s="39" t="n">
        <f aca="false">IF('Balance Sheet'!F9&lt;=0,"n/a",'P&amp;L'!F23/'Balance Sheet'!F9)</f>
        <v>0.237958560362773</v>
      </c>
      <c r="G15" s="87"/>
    </row>
    <row r="16" customFormat="false" ht="15" hidden="false" customHeight="false" outlineLevel="0" collapsed="false">
      <c r="A16" s="38" t="s">
        <v>226</v>
      </c>
      <c r="B16" s="39" t="n">
        <f aca="false">IF('Balance Sheet'!B15&lt;=0,"n/a",'P&amp;L'!B23/'Balance Sheet'!B15)</f>
        <v>-1.66551009178929</v>
      </c>
      <c r="C16" s="39" t="n">
        <f aca="false">IF('Balance Sheet'!C15&lt;=0,"n/a",'P&amp;L'!C23/'Balance Sheet'!C15)</f>
        <v>0.521795957099359</v>
      </c>
      <c r="D16" s="39" t="n">
        <f aca="false">IF('Balance Sheet'!D15&lt;=0,"n/a",'P&amp;L'!D23/'Balance Sheet'!D15)</f>
        <v>0.379415075357323</v>
      </c>
      <c r="E16" s="39" t="n">
        <f aca="false">IF('Balance Sheet'!E15&lt;=0,"n/a",'P&amp;L'!E23/'Balance Sheet'!E15)</f>
        <v>0.302378665310152</v>
      </c>
      <c r="F16" s="39" t="n">
        <f aca="false">IF('Balance Sheet'!F15&lt;=0,"n/a",'P&amp;L'!F23/'Balance Sheet'!F15)</f>
        <v>0.268576567852189</v>
      </c>
      <c r="G16" s="87"/>
    </row>
    <row r="18" customFormat="false" ht="15.75" hidden="false" customHeight="true" outlineLevel="0" collapsed="false">
      <c r="A18" s="7" t="s">
        <v>227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  <c r="E19" s="34" t="n">
        <v>4</v>
      </c>
      <c r="F19" s="34" t="n">
        <v>5</v>
      </c>
    </row>
    <row r="20" customFormat="false" ht="15" hidden="false" customHeight="false" outlineLevel="0" collapsed="false">
      <c r="A20" s="51" t="s">
        <v>51</v>
      </c>
      <c r="B20" s="39" t="n">
        <f aca="false">IF('P&amp;L'!B5&lt;=0,"n/a",'P&amp;L'!B23/'P&amp;L'!B5)</f>
        <v>-0.237212538817477</v>
      </c>
      <c r="C20" s="39" t="n">
        <f aca="false">IF('P&amp;L'!C5&lt;=0,"n/a",'P&amp;L'!C23/'P&amp;L'!C5)</f>
        <v>0.0988797051947836</v>
      </c>
      <c r="D20" s="39" t="n">
        <f aca="false">IF('P&amp;L'!D5&lt;=0,"n/a",'P&amp;L'!D23/'P&amp;L'!D5)</f>
        <v>0.109205714593596</v>
      </c>
      <c r="E20" s="39" t="n">
        <f aca="false">IF('P&amp;L'!E5&lt;=0,"n/a",'P&amp;L'!E23/'P&amp;L'!E5)</f>
        <v>0.117594693591162</v>
      </c>
      <c r="F20" s="39" t="n">
        <f aca="false">IF('P&amp;L'!F5&lt;=0,"n/a",'P&amp;L'!F23/'P&amp;L'!F5)</f>
        <v>0.13460505812474</v>
      </c>
    </row>
    <row r="21" customFormat="false" ht="15" hidden="false" customHeight="false" outlineLevel="0" collapsed="false">
      <c r="A21" s="51" t="s">
        <v>228</v>
      </c>
      <c r="B21" s="88" t="n">
        <f aca="false">IF('Balance Sheet'!B9&lt;=0,"n/a",'P&amp;L'!B5/'Balance Sheet'!B9)</f>
        <v>2.74175585210448</v>
      </c>
      <c r="C21" s="88" t="n">
        <f aca="false">IF('Balance Sheet'!C9&lt;=0,"n/a",'P&amp;L'!C5/'Balance Sheet'!C9)</f>
        <v>3.1710126990187</v>
      </c>
      <c r="D21" s="88" t="n">
        <f aca="false">IF('Balance Sheet'!D9&lt;=0,"n/a",'P&amp;L'!D5/'Balance Sheet'!D9)</f>
        <v>2.55735298778129</v>
      </c>
      <c r="E21" s="88" t="n">
        <f aca="false">IF('Balance Sheet'!E9&lt;=0,"n/a",'P&amp;L'!E5/'Balance Sheet'!E9)</f>
        <v>2.11996370455254</v>
      </c>
      <c r="F21" s="88" t="n">
        <f aca="false">IF('Balance Sheet'!F9&lt;=0,"n/a",'P&amp;L'!F5/'Balance Sheet'!F9)</f>
        <v>1.76782777466099</v>
      </c>
    </row>
    <row r="22" customFormat="false" ht="15" hidden="false" customHeight="false" outlineLevel="0" collapsed="false">
      <c r="A22" s="51" t="s">
        <v>229</v>
      </c>
      <c r="B22" s="88" t="n">
        <f aca="false">IF('Balance Sheet'!B15&lt;=0,"n/a",'Balance Sheet'!B9/'Balance Sheet'!B15)</f>
        <v>2.56083058289399</v>
      </c>
      <c r="C22" s="88" t="n">
        <f aca="false">IF('Balance Sheet'!C15&lt;=0,"n/a",'Balance Sheet'!C9/'Balance Sheet'!C15)</f>
        <v>1.6641618647188</v>
      </c>
      <c r="D22" s="88" t="n">
        <f aca="false">IF('Balance Sheet'!D15&lt;=0,"n/a",'Balance Sheet'!D9/'Balance Sheet'!D15)</f>
        <v>1.35855911473796</v>
      </c>
      <c r="E22" s="88" t="n">
        <f aca="false">IF('Balance Sheet'!E15&lt;=0,"n/a",'Balance Sheet'!E9/'Balance Sheet'!E15)</f>
        <v>1.2129279264891</v>
      </c>
      <c r="F22" s="88" t="n">
        <f aca="false">IF('Balance Sheet'!F15&lt;=0,"n/a",'Balance Sheet'!F9/'Balance Sheet'!F15)</f>
        <v>1.12866949372504</v>
      </c>
    </row>
    <row r="23" customFormat="false" ht="15" hidden="false" customHeight="false" outlineLevel="0" collapsed="false">
      <c r="A23" s="40" t="s">
        <v>230</v>
      </c>
      <c r="B23" s="90" t="n">
        <f aca="false">IF(AND(ISNUMBER(B20),ISNUMBER(B21),ISNUMBER(B22)),B20*B21*B22,"n/a")</f>
        <v>-1.66551009178929</v>
      </c>
      <c r="C23" s="90" t="n">
        <f aca="false">IF(AND(ISNUMBER(C20),ISNUMBER(C21),ISNUMBER(C22)),C20*C21*C22,"n/a")</f>
        <v>0.521795957099359</v>
      </c>
      <c r="D23" s="90" t="n">
        <f aca="false">IF(AND(ISNUMBER(D20),ISNUMBER(D21),ISNUMBER(D22)),D20*D21*D22,"n/a")</f>
        <v>0.379415075357323</v>
      </c>
      <c r="E23" s="90" t="n">
        <f aca="false">IF(AND(ISNUMBER(E20),ISNUMBER(E21),ISNUMBER(E22)),E20*E21*E22,"n/a")</f>
        <v>0.302378665310152</v>
      </c>
      <c r="F23" s="90" t="n">
        <f aca="false">IF(AND(ISNUMBER(F20),ISNUMBER(F21),ISNUMBER(F22)),F20*F21*F22,"n/a")</f>
        <v>0.268576567852189</v>
      </c>
    </row>
    <row r="24" customFormat="false" ht="15" hidden="false" customHeight="false" outlineLevel="0" collapsed="false">
      <c r="A24" s="21" t="s">
        <v>231</v>
      </c>
      <c r="B24" s="39" t="n">
        <f aca="false">IF(AND(ISNUMBER(B23),ISNUMBER(B16)),B23-B16,IF(ISNUMBER(B23),1,IF(AND(ISNUMBER(B16),ISNUMBER(B20),ISNUMBER(B21)),1,0)))</f>
        <v>0</v>
      </c>
      <c r="C24" s="39" t="n">
        <f aca="false">IF(AND(ISNUMBER(C23),ISNUMBER(C16)),C23-C16,IF(ISNUMBER(C23),1,IF(AND(ISNUMBER(C16),ISNUMBER(C20),ISNUMBER(C21)),1,0)))</f>
        <v>0</v>
      </c>
      <c r="D24" s="39" t="n">
        <f aca="false">IF(AND(ISNUMBER(D23),ISNUMBER(D16)),D23-D16,IF(ISNUMBER(D23),1,IF(AND(ISNUMBER(D16),ISNUMBER(D20),ISNUMBER(D21)),1,0)))</f>
        <v>0</v>
      </c>
      <c r="E24" s="39" t="n">
        <f aca="false">IF(AND(ISNUMBER(E23),ISNUMBER(E16)),E23-E16,IF(ISNUMBER(E23),1,IF(AND(ISNUMBER(E16),ISNUMBER(E20),ISNUMBER(E21)),1,0)))</f>
        <v>0</v>
      </c>
      <c r="F24" s="39" t="n">
        <f aca="false">IF(AND(ISNUMBER(F23),ISNUMBER(F16)),F23-F16,IF(ISNUMBER(F23),1,IF(AND(ISNUMBER(F16),ISNUMBER(F20),ISNUMBER(F21)),1,0)))</f>
        <v>0</v>
      </c>
    </row>
    <row r="26" customFormat="false" ht="15.75" hidden="false" customHeight="true" outlineLevel="0" collapsed="false">
      <c r="A26" s="7" t="s">
        <v>232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74" t="s">
        <v>154</v>
      </c>
      <c r="B27" s="74" t="n">
        <v>1</v>
      </c>
      <c r="C27" s="74" t="n">
        <v>2</v>
      </c>
      <c r="D27" s="74" t="n">
        <v>3</v>
      </c>
      <c r="E27" s="74" t="n">
        <v>4</v>
      </c>
      <c r="F27" s="74" t="n">
        <v>5</v>
      </c>
    </row>
    <row r="28" customFormat="false" ht="15" hidden="false" customHeight="false" outlineLevel="0" collapsed="false">
      <c r="A28" s="33"/>
      <c r="B28" s="52" t="s">
        <v>155</v>
      </c>
      <c r="C28" s="52" t="s">
        <v>156</v>
      </c>
      <c r="D28" s="52" t="s">
        <v>157</v>
      </c>
      <c r="E28" s="52" t="s">
        <v>158</v>
      </c>
      <c r="F28" s="52" t="s">
        <v>159</v>
      </c>
      <c r="G28" s="52" t="s">
        <v>218</v>
      </c>
    </row>
    <row r="29" customFormat="false" ht="15" hidden="false" customHeight="false" outlineLevel="0" collapsed="false">
      <c r="A29" s="4" t="s">
        <v>233</v>
      </c>
      <c r="B29" s="91" t="n">
        <f aca="false">INDEX(Monthly!$C$14:$BJ$14,B$27*12)</f>
        <v>5</v>
      </c>
      <c r="C29" s="91" t="n">
        <f aca="false">INDEX(Monthly!$C$14:$BJ$14,C$27*12)</f>
        <v>5</v>
      </c>
      <c r="D29" s="91" t="n">
        <f aca="false">INDEX(Monthly!$C$14:$BJ$14,D$27*12)</f>
        <v>5</v>
      </c>
      <c r="E29" s="91" t="n">
        <f aca="false">INDEX(Monthly!$C$14:$BJ$14,E$27*12)</f>
        <v>5</v>
      </c>
      <c r="F29" s="91" t="n">
        <f aca="false">INDEX(Monthly!$C$14:$BJ$14,F$27*12)</f>
        <v>5</v>
      </c>
      <c r="G29" s="92"/>
    </row>
    <row r="30" customFormat="false" ht="15" hidden="false" customHeight="false" outlineLevel="0" collapsed="false">
      <c r="A30" s="4" t="s">
        <v>234</v>
      </c>
      <c r="B30" s="93" t="n">
        <f aca="false">SUMIF(Monthly!$C$5:$BJ$5,B$27,Monthly!$C$21:$BJ$21)</f>
        <v>2733.75</v>
      </c>
      <c r="C30" s="93" t="n">
        <f aca="false">SUMIF(Monthly!$C$5:$BJ$5,C$27,Monthly!$C$21:$BJ$21)</f>
        <v>4171.5</v>
      </c>
      <c r="D30" s="93" t="n">
        <f aca="false">SUMIF(Monthly!$C$5:$BJ$5,D$27,Monthly!$C$21:$BJ$21)</f>
        <v>4296.645</v>
      </c>
      <c r="E30" s="93" t="n">
        <f aca="false">SUMIF(Monthly!$C$5:$BJ$5,E$27,Monthly!$C$21:$BJ$21)</f>
        <v>4425.54435</v>
      </c>
      <c r="F30" s="93" t="n">
        <f aca="false">SUMIF(Monthly!$C$5:$BJ$5,F$27,Monthly!$C$21:$BJ$21)</f>
        <v>4558.3106805</v>
      </c>
      <c r="G30" s="94"/>
    </row>
    <row r="31" customFormat="false" ht="15" hidden="false" customHeight="false" outlineLevel="0" collapsed="false">
      <c r="A31" s="4" t="s">
        <v>58</v>
      </c>
      <c r="B31" s="93" t="n">
        <f aca="false">SUMIF(Monthly!$C$5:$BJ$5,B$27,Monthly!$C$18:$BJ$18)</f>
        <v>5467.5</v>
      </c>
      <c r="C31" s="93" t="n">
        <f aca="false">SUMIF(Monthly!$C$5:$BJ$5,C$27,Monthly!$C$18:$BJ$18)</f>
        <v>8343</v>
      </c>
      <c r="D31" s="93" t="n">
        <f aca="false">SUMIF(Monthly!$C$5:$BJ$5,D$27,Monthly!$C$18:$BJ$18)</f>
        <v>8593.29</v>
      </c>
      <c r="E31" s="93" t="n">
        <f aca="false">SUMIF(Monthly!$C$5:$BJ$5,E$27,Monthly!$C$18:$BJ$18)</f>
        <v>8851.0887</v>
      </c>
      <c r="F31" s="93" t="n">
        <f aca="false">SUMIF(Monthly!$C$5:$BJ$5,F$27,Monthly!$C$18:$BJ$18)</f>
        <v>9116.621361</v>
      </c>
      <c r="G31" s="94"/>
    </row>
    <row r="32" customFormat="false" ht="15" hidden="false" customHeight="false" outlineLevel="0" collapsed="false">
      <c r="A32" s="6" t="s">
        <v>235</v>
      </c>
      <c r="B32" s="95" t="n">
        <f aca="false">SUMIF(Monthly!$C$5:$BJ$5,B$27,Monthly!$C$17:$BJ$17)</f>
        <v>10560</v>
      </c>
      <c r="C32" s="95" t="n">
        <f aca="false">SUMIF(Monthly!$C$5:$BJ$5,C$27,Monthly!$C$17:$BJ$17)</f>
        <v>10560</v>
      </c>
      <c r="D32" s="95" t="n">
        <f aca="false">SUMIF(Monthly!$C$5:$BJ$5,D$27,Monthly!$C$17:$BJ$17)</f>
        <v>10560</v>
      </c>
      <c r="E32" s="95" t="n">
        <f aca="false">SUMIF(Monthly!$C$5:$BJ$5,E$27,Monthly!$C$17:$BJ$17)</f>
        <v>10560</v>
      </c>
      <c r="F32" s="95" t="n">
        <f aca="false">SUMIF(Monthly!$C$5:$BJ$5,F$27,Monthly!$C$17:$BJ$17)</f>
        <v>10560</v>
      </c>
      <c r="G32" s="94"/>
    </row>
    <row r="33" customFormat="false" ht="15" hidden="false" customHeight="false" outlineLevel="0" collapsed="false">
      <c r="A33" s="38" t="s">
        <v>59</v>
      </c>
      <c r="B33" s="96" t="n">
        <f aca="false">IF(B32=0,0,B31/B32)</f>
        <v>0.517755681818182</v>
      </c>
      <c r="C33" s="96" t="n">
        <f aca="false">IF(C32=0,0,C31/C32)</f>
        <v>0.790056818181818</v>
      </c>
      <c r="D33" s="96" t="n">
        <f aca="false">IF(D32=0,0,D31/D32)</f>
        <v>0.813758522727272</v>
      </c>
      <c r="E33" s="96" t="n">
        <f aca="false">IF(E32=0,0,E31/E32)</f>
        <v>0.838171278409091</v>
      </c>
      <c r="F33" s="96" t="n">
        <f aca="false">IF(F32=0,0,F31/F32)</f>
        <v>0.863316416761364</v>
      </c>
      <c r="G33" s="97"/>
    </row>
    <row r="34" customFormat="false" ht="15" hidden="false" customHeight="false" outlineLevel="0" collapsed="false">
      <c r="A34" s="38" t="s">
        <v>236</v>
      </c>
      <c r="B34" s="96" t="n">
        <f aca="false">IF(Inputs!$E$15*Inputs!$E$16*Inputs!$E$10=0,0,B31/(Inputs!$E$15*Inputs!$E$16*Inputs!$E$10*12))</f>
        <v>0.467307692307692</v>
      </c>
      <c r="C34" s="96" t="n">
        <f aca="false">IF(Inputs!$E$15*Inputs!$E$16*Inputs!$E$10=0,0,C31/(Inputs!$E$15*Inputs!$E$16*Inputs!$E$10*12))</f>
        <v>0.713076923076923</v>
      </c>
      <c r="D34" s="96" t="n">
        <f aca="false">IF(Inputs!$E$15*Inputs!$E$16*Inputs!$E$10=0,0,D31/(Inputs!$E$15*Inputs!$E$16*Inputs!$E$10*12))</f>
        <v>0.734469230769231</v>
      </c>
      <c r="E34" s="96" t="n">
        <f aca="false">IF(Inputs!$E$15*Inputs!$E$16*Inputs!$E$10=0,0,E31/(Inputs!$E$15*Inputs!$E$16*Inputs!$E$10*12))</f>
        <v>0.756503307692308</v>
      </c>
      <c r="F34" s="96" t="n">
        <f aca="false">IF(Inputs!$E$15*Inputs!$E$16*Inputs!$E$10=0,0,F31/(Inputs!$E$15*Inputs!$E$16*Inputs!$E$10*12))</f>
        <v>0.779198406923077</v>
      </c>
      <c r="G34" s="97"/>
    </row>
    <row r="35" customFormat="false" ht="15" hidden="false" customHeight="false" outlineLevel="0" collapsed="false">
      <c r="A35" s="6" t="s">
        <v>237</v>
      </c>
      <c r="B35" s="95" t="n">
        <f aca="false">SUMIF(Monthly!$C$5:$BJ$5,B$27,Monthly!$C$19:$BJ$19)</f>
        <v>0</v>
      </c>
      <c r="C35" s="95" t="n">
        <f aca="false">SUMIF(Monthly!$C$5:$BJ$5,C$27,Monthly!$C$19:$BJ$19)</f>
        <v>0</v>
      </c>
      <c r="D35" s="95" t="n">
        <f aca="false">SUMIF(Monthly!$C$5:$BJ$5,D$27,Monthly!$C$19:$BJ$19)</f>
        <v>0</v>
      </c>
      <c r="E35" s="95" t="n">
        <f aca="false">SUMIF(Monthly!$C$5:$BJ$5,E$27,Monthly!$C$19:$BJ$19)</f>
        <v>0</v>
      </c>
      <c r="F35" s="95" t="n">
        <f aca="false">SUMIF(Monthly!$C$5:$BJ$5,F$27,Monthly!$C$19:$BJ$19)</f>
        <v>0</v>
      </c>
      <c r="G35" s="94"/>
    </row>
    <row r="36" customFormat="false" ht="15" hidden="false" customHeight="false" outlineLevel="0" collapsed="false">
      <c r="A36" s="4" t="s">
        <v>44</v>
      </c>
      <c r="B36" s="98" t="n">
        <f aca="false">SUMIF(Monthly!$C$5:$BJ$5,B$27,Monthly!$C$28:$BJ$28)</f>
        <v>1264359.375</v>
      </c>
      <c r="C36" s="98" t="n">
        <f aca="false">SUMIF(Monthly!$C$5:$BJ$5,C$27,Monthly!$C$28:$BJ$28)</f>
        <v>1987198.3125</v>
      </c>
      <c r="D36" s="98" t="n">
        <f aca="false">SUMIF(Monthly!$C$5:$BJ$5,D$27,Monthly!$C$28:$BJ$28)</f>
        <v>2108218.68973125</v>
      </c>
      <c r="E36" s="98" t="n">
        <f aca="false">SUMIF(Monthly!$C$5:$BJ$5,E$27,Monthly!$C$28:$BJ$28)</f>
        <v>2236609.20793588</v>
      </c>
      <c r="F36" s="98" t="n">
        <f aca="false">SUMIF(Monthly!$C$5:$BJ$5,F$27,Monthly!$C$28:$BJ$28)</f>
        <v>2372818.70869918</v>
      </c>
      <c r="G36" s="99"/>
    </row>
    <row r="37" customFormat="false" ht="15" hidden="false" customHeight="false" outlineLevel="0" collapsed="false">
      <c r="A37" s="6" t="s">
        <v>238</v>
      </c>
      <c r="B37" s="35" t="n">
        <f aca="false">SUMIF(Monthly!$C$5:$BJ$5,B$27,Monthly!$C$25:$BJ$25)</f>
        <v>683437.5</v>
      </c>
      <c r="C37" s="35" t="n">
        <f aca="false">SUMIF(Monthly!$C$5:$BJ$5,C$27,Monthly!$C$25:$BJ$25)</f>
        <v>1074161.25</v>
      </c>
      <c r="D37" s="35" t="n">
        <f aca="false">SUMIF(Monthly!$C$5:$BJ$5,D$27,Monthly!$C$25:$BJ$25)</f>
        <v>1139577.670125</v>
      </c>
      <c r="E37" s="35" t="n">
        <f aca="false">SUMIF(Monthly!$C$5:$BJ$5,E$27,Monthly!$C$25:$BJ$25)</f>
        <v>1208977.95023561</v>
      </c>
      <c r="F37" s="35" t="n">
        <f aca="false">SUMIF(Monthly!$C$5:$BJ$5,F$27,Monthly!$C$25:$BJ$25)</f>
        <v>1282604.70740496</v>
      </c>
      <c r="G37" s="99"/>
    </row>
    <row r="38" customFormat="false" ht="15" hidden="false" customHeight="false" outlineLevel="0" collapsed="false">
      <c r="A38" s="6" t="s">
        <v>239</v>
      </c>
      <c r="B38" s="35" t="n">
        <f aca="false">SUMIF(Monthly!$C$5:$BJ$5,B$27,Monthly!$C$26:$BJ$26)</f>
        <v>546750</v>
      </c>
      <c r="C38" s="35" t="n">
        <f aca="false">SUMIF(Monthly!$C$5:$BJ$5,C$27,Monthly!$C$26:$BJ$26)</f>
        <v>859329</v>
      </c>
      <c r="D38" s="35" t="n">
        <f aca="false">SUMIF(Monthly!$C$5:$BJ$5,D$27,Monthly!$C$26:$BJ$26)</f>
        <v>911662.1361</v>
      </c>
      <c r="E38" s="35" t="n">
        <f aca="false">SUMIF(Monthly!$C$5:$BJ$5,E$27,Monthly!$C$26:$BJ$26)</f>
        <v>967182.36018849</v>
      </c>
      <c r="F38" s="35" t="n">
        <f aca="false">SUMIF(Monthly!$C$5:$BJ$5,F$27,Monthly!$C$26:$BJ$26)</f>
        <v>1026083.76592397</v>
      </c>
      <c r="G38" s="99"/>
    </row>
    <row r="39" customFormat="false" ht="15" hidden="false" customHeight="false" outlineLevel="0" collapsed="false">
      <c r="A39" s="38" t="s">
        <v>240</v>
      </c>
      <c r="B39" s="96" t="n">
        <f aca="false">IF(B36=0,0,B38/B36)</f>
        <v>0.432432432432432</v>
      </c>
      <c r="C39" s="96" t="n">
        <f aca="false">IF(C36=0,0,C38/C36)</f>
        <v>0.432432432432432</v>
      </c>
      <c r="D39" s="96" t="n">
        <f aca="false">IF(D36=0,0,D38/D36)</f>
        <v>0.432432432432433</v>
      </c>
      <c r="E39" s="96" t="n">
        <f aca="false">IF(E36=0,0,E38/E36)</f>
        <v>0.432432432432432</v>
      </c>
      <c r="F39" s="96" t="n">
        <f aca="false">IF(F36=0,0,F38/F36)</f>
        <v>0.432432432432433</v>
      </c>
      <c r="G39" s="97"/>
    </row>
    <row r="40" customFormat="false" ht="15" hidden="false" customHeight="false" outlineLevel="0" collapsed="false">
      <c r="A40" s="6" t="s">
        <v>241</v>
      </c>
      <c r="B40" s="100" t="n">
        <f aca="false">IF(B30=0,0,B36/B30)</f>
        <v>462.5</v>
      </c>
      <c r="C40" s="100" t="n">
        <f aca="false">IF(C30=0,0,C36/C30)</f>
        <v>476.375</v>
      </c>
      <c r="D40" s="100" t="n">
        <f aca="false">IF(D30=0,0,D36/D30)</f>
        <v>490.66625</v>
      </c>
      <c r="E40" s="100" t="n">
        <f aca="false">IF(E30=0,0,E36/E30)</f>
        <v>505.3862375</v>
      </c>
      <c r="F40" s="100" t="n">
        <f aca="false">IF(F30=0,0,F36/F30)</f>
        <v>520.547824625</v>
      </c>
      <c r="G40" s="101"/>
    </row>
    <row r="41" customFormat="false" ht="15" hidden="false" customHeight="false" outlineLevel="0" collapsed="false">
      <c r="A41" s="6" t="s">
        <v>242</v>
      </c>
      <c r="B41" s="100" t="n">
        <f aca="false">IF(B31=0,0,B36/B31)</f>
        <v>231.25</v>
      </c>
      <c r="C41" s="100" t="n">
        <f aca="false">IF(C31=0,0,C36/C31)</f>
        <v>238.1875</v>
      </c>
      <c r="D41" s="100" t="n">
        <f aca="false">IF(D31=0,0,D36/D31)</f>
        <v>245.333125</v>
      </c>
      <c r="E41" s="100" t="n">
        <f aca="false">IF(E31=0,0,E36/E31)</f>
        <v>252.69311875</v>
      </c>
      <c r="F41" s="100" t="n">
        <f aca="false">IF(F31=0,0,F36/F31)</f>
        <v>260.2739123125</v>
      </c>
      <c r="G41" s="101"/>
    </row>
    <row r="42" customFormat="false" ht="15" hidden="false" customHeight="false" outlineLevel="0" collapsed="false">
      <c r="A42" s="6" t="s">
        <v>243</v>
      </c>
      <c r="B42" s="35" t="n">
        <f aca="false">IF(B29=0,0,B36/B29)</f>
        <v>252871.875</v>
      </c>
      <c r="C42" s="35" t="n">
        <f aca="false">IF(C29=0,0,C36/C29)</f>
        <v>397439.6625</v>
      </c>
      <c r="D42" s="35" t="n">
        <f aca="false">IF(D29=0,0,D36/D29)</f>
        <v>421643.73794625</v>
      </c>
      <c r="E42" s="35" t="n">
        <f aca="false">IF(E29=0,0,E36/E29)</f>
        <v>447321.841587177</v>
      </c>
      <c r="F42" s="35" t="n">
        <f aca="false">IF(F29=0,0,F36/F29)</f>
        <v>474563.741739836</v>
      </c>
      <c r="G42" s="99"/>
    </row>
    <row r="43" customFormat="false" ht="15" hidden="false" customHeight="false" outlineLevel="0" collapsed="false">
      <c r="A43" s="6" t="s">
        <v>244</v>
      </c>
      <c r="B43" s="35" t="n">
        <f aca="false">SUMIF(Monthly!$C$5:$BJ$5,B$27,Monthly!$C$32:$BJ$32)</f>
        <v>-289777.5</v>
      </c>
      <c r="C43" s="35" t="n">
        <f aca="false">SUMIF(Monthly!$C$5:$BJ$5,C$27,Monthly!$C$32:$BJ$32)</f>
        <v>-455444.37</v>
      </c>
      <c r="D43" s="35" t="n">
        <f aca="false">SUMIF(Monthly!$C$5:$BJ$5,D$27,Monthly!$C$32:$BJ$32)</f>
        <v>-483180.932133</v>
      </c>
      <c r="E43" s="35" t="n">
        <f aca="false">SUMIF(Monthly!$C$5:$BJ$5,E$27,Monthly!$C$32:$BJ$32)</f>
        <v>-512606.6508999</v>
      </c>
      <c r="F43" s="35" t="n">
        <f aca="false">SUMIF(Monthly!$C$5:$BJ$5,F$27,Monthly!$C$32:$BJ$32)</f>
        <v>-543824.395939704</v>
      </c>
      <c r="G43" s="99"/>
    </row>
    <row r="44" customFormat="false" ht="15" hidden="false" customHeight="false" outlineLevel="0" collapsed="false">
      <c r="A44" s="38" t="s">
        <v>245</v>
      </c>
      <c r="B44" s="96" t="n">
        <f aca="false">IF(B38=0,0,(B38+B43)/B38)</f>
        <v>0.47</v>
      </c>
      <c r="C44" s="96" t="n">
        <f aca="false">IF(C38=0,0,(C38+C43)/C38)</f>
        <v>0.47</v>
      </c>
      <c r="D44" s="96" t="n">
        <f aca="false">IF(D38=0,0,(D38+D43)/D38)</f>
        <v>0.47</v>
      </c>
      <c r="E44" s="96" t="n">
        <f aca="false">IF(E38=0,0,(E38+E43)/E38)</f>
        <v>0.47</v>
      </c>
      <c r="F44" s="96" t="n">
        <f aca="false">IF(F38=0,0,(F38+F43)/F38)</f>
        <v>0.47</v>
      </c>
      <c r="G44" s="97"/>
    </row>
    <row r="45" customFormat="false" ht="15" hidden="false" customHeight="false" outlineLevel="0" collapsed="false">
      <c r="A45" s="6" t="s">
        <v>45</v>
      </c>
      <c r="B45" s="35" t="n">
        <f aca="false">SUMIF(Monthly!$C$5:$BJ$5,B$27,Monthly!$C$36:$BJ$36)</f>
        <v>481658.4375</v>
      </c>
      <c r="C45" s="35" t="n">
        <f aca="false">SUMIF(Monthly!$C$5:$BJ$5,C$27,Monthly!$C$36:$BJ$36)</f>
        <v>999978.46125</v>
      </c>
      <c r="D45" s="35" t="n">
        <f aca="false">SUMIF(Monthly!$C$5:$BJ$5,D$27,Monthly!$C$36:$BJ$36)</f>
        <v>1075151.55904012</v>
      </c>
      <c r="E45" s="35" t="n">
        <f aca="false">SUMIF(Monthly!$C$5:$BJ$5,E$27,Monthly!$C$36:$BJ$36)</f>
        <v>1155330.93077067</v>
      </c>
      <c r="F45" s="35" t="n">
        <f aca="false">SUMIF(Monthly!$C$5:$BJ$5,F$27,Monthly!$C$36:$BJ$36)</f>
        <v>1240834.30549315</v>
      </c>
      <c r="G45" s="99"/>
    </row>
    <row r="46" customFormat="false" ht="15" hidden="false" customHeight="false" outlineLevel="0" collapsed="false">
      <c r="A46" s="38" t="s">
        <v>46</v>
      </c>
      <c r="B46" s="96" t="n">
        <f aca="false">IF(B36=0,0,B45/B36)</f>
        <v>0.380950580209839</v>
      </c>
      <c r="C46" s="96" t="n">
        <f aca="false">IF(C36=0,0,C45/C36)</f>
        <v>0.503210200491754</v>
      </c>
      <c r="D46" s="96" t="n">
        <f aca="false">IF(D36=0,0,D45/D36)</f>
        <v>0.509981039574781</v>
      </c>
      <c r="E46" s="96" t="n">
        <f aca="false">IF(E36=0,0,E45/E36)</f>
        <v>0.516554669752477</v>
      </c>
      <c r="F46" s="96" t="n">
        <f aca="false">IF(F36=0,0,F45/F36)</f>
        <v>0.522936834973541</v>
      </c>
      <c r="G46" s="97"/>
    </row>
    <row r="47" customFormat="false" ht="15" hidden="false" customHeight="false" outlineLevel="0" collapsed="false">
      <c r="A47" s="6" t="s">
        <v>48</v>
      </c>
      <c r="B47" s="35" t="n">
        <f aca="false">SUMIF(Monthly!$C$5:$BJ$5,B$27,Monthly!$C$46:$BJ$46)</f>
        <v>-231022.34375</v>
      </c>
      <c r="C47" s="35" t="n">
        <f aca="false">SUMIF(Monthly!$C$5:$BJ$5,C$27,Monthly!$C$46:$BJ$46)</f>
        <v>264690.011875</v>
      </c>
      <c r="D47" s="35" t="n">
        <f aca="false">SUMIF(Monthly!$C$5:$BJ$5,D$27,Monthly!$C$46:$BJ$46)</f>
        <v>331418.323348187</v>
      </c>
      <c r="E47" s="35" t="n">
        <f aca="false">SUMIF(Monthly!$C$5:$BJ$5,E$27,Monthly!$C$46:$BJ$46)</f>
        <v>399696.179282592</v>
      </c>
      <c r="F47" s="35" t="n">
        <f aca="false">SUMIF(Monthly!$C$5:$BJ$5,F$27,Monthly!$C$46:$BJ$46)</f>
        <v>470349.014724677</v>
      </c>
      <c r="G47" s="99"/>
    </row>
    <row r="48" customFormat="false" ht="15" hidden="false" customHeight="false" outlineLevel="0" collapsed="false">
      <c r="A48" s="38" t="s">
        <v>49</v>
      </c>
      <c r="B48" s="96" t="n">
        <f aca="false">IF(B36=0,0,B47/B36)</f>
        <v>-0.182718891731238</v>
      </c>
      <c r="C48" s="96" t="n">
        <f aca="false">IF(C36=0,0,C47/C36)</f>
        <v>0.133197582853221</v>
      </c>
      <c r="D48" s="96" t="n">
        <f aca="false">IF(D36=0,0,D47/D36)</f>
        <v>0.157203009802762</v>
      </c>
      <c r="E48" s="96" t="n">
        <f aca="false">IF(E36=0,0,E47/E36)</f>
        <v>0.178706310366782</v>
      </c>
      <c r="F48" s="96" t="n">
        <f aca="false">IF(F36=0,0,F47/F36)</f>
        <v>0.198223746719584</v>
      </c>
      <c r="G48" s="97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246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247</v>
      </c>
    </row>
    <row r="5" customFormat="false" ht="15" hidden="false" customHeight="false" outlineLevel="0" collapsed="false">
      <c r="A5" s="33" t="s">
        <v>104</v>
      </c>
      <c r="B5" s="52" t="s">
        <v>105</v>
      </c>
      <c r="C5" s="52" t="s">
        <v>106</v>
      </c>
      <c r="D5" s="52" t="s">
        <v>107</v>
      </c>
      <c r="E5" s="52" t="s">
        <v>108</v>
      </c>
      <c r="F5" s="33" t="s">
        <v>248</v>
      </c>
      <c r="G5" s="33" t="s">
        <v>249</v>
      </c>
    </row>
    <row r="6" customFormat="false" ht="15.75" hidden="false" customHeight="true" outlineLevel="0" collapsed="false">
      <c r="A6" s="7" t="s">
        <v>250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251</v>
      </c>
      <c r="B7" s="102" t="n">
        <v>11</v>
      </c>
      <c r="C7" s="102" t="n">
        <v>13.5</v>
      </c>
      <c r="D7" s="102" t="n">
        <v>16</v>
      </c>
      <c r="E7" s="103" t="n">
        <f aca="false">CHOOSE(Dashboard!$B$4,B7,C7,D7)</f>
        <v>13.5</v>
      </c>
      <c r="F7" s="38" t="s">
        <v>252</v>
      </c>
      <c r="G7" s="104" t="s">
        <v>253</v>
      </c>
    </row>
    <row r="8" customFormat="false" ht="15" hidden="false" customHeight="false" outlineLevel="0" collapsed="false">
      <c r="A8" s="6" t="s">
        <v>254</v>
      </c>
      <c r="B8" s="105" t="n">
        <v>0</v>
      </c>
      <c r="C8" s="105" t="n">
        <v>0.03</v>
      </c>
      <c r="D8" s="105" t="n">
        <v>0.06</v>
      </c>
      <c r="E8" s="106" t="n">
        <f aca="false">CHOOSE(Dashboard!$B$4,B8,C8,D8)</f>
        <v>0.03</v>
      </c>
      <c r="F8" s="38" t="s">
        <v>255</v>
      </c>
      <c r="G8" s="104" t="s">
        <v>253</v>
      </c>
    </row>
    <row r="9" customFormat="false" ht="15" hidden="false" customHeight="false" outlineLevel="0" collapsed="false">
      <c r="A9" s="6" t="s">
        <v>256</v>
      </c>
      <c r="B9" s="102" t="n">
        <v>2</v>
      </c>
      <c r="C9" s="102" t="n">
        <v>2</v>
      </c>
      <c r="D9" s="102" t="n">
        <v>2</v>
      </c>
      <c r="E9" s="103" t="n">
        <f aca="false">CHOOSE(Dashboard!$B$4,B9,C9,D9)</f>
        <v>2</v>
      </c>
      <c r="F9" s="38" t="s">
        <v>257</v>
      </c>
      <c r="G9" s="104" t="s">
        <v>253</v>
      </c>
    </row>
    <row r="10" customFormat="false" ht="15" hidden="false" customHeight="false" outlineLevel="0" collapsed="false">
      <c r="A10" s="6" t="s">
        <v>258</v>
      </c>
      <c r="B10" s="102" t="n">
        <v>25</v>
      </c>
      <c r="C10" s="102" t="n">
        <v>25</v>
      </c>
      <c r="D10" s="102" t="n">
        <v>25</v>
      </c>
      <c r="E10" s="103" t="n">
        <f aca="false">CHOOSE(Dashboard!$B$4,B10,C10,D10)</f>
        <v>25</v>
      </c>
      <c r="F10" s="38" t="s">
        <v>259</v>
      </c>
      <c r="G10" s="104"/>
    </row>
    <row r="11" customFormat="false" ht="15" hidden="false" customHeight="false" outlineLevel="0" collapsed="false">
      <c r="A11" s="6" t="s">
        <v>260</v>
      </c>
      <c r="B11" s="107" t="n">
        <v>16</v>
      </c>
      <c r="C11" s="107" t="n">
        <v>12</v>
      </c>
      <c r="D11" s="107" t="n">
        <v>9</v>
      </c>
      <c r="E11" s="108" t="n">
        <f aca="false">CHOOSE(Dashboard!$B$4,B11,C11,D11)</f>
        <v>12</v>
      </c>
      <c r="F11" s="38" t="s">
        <v>261</v>
      </c>
      <c r="G11" s="104" t="s">
        <v>262</v>
      </c>
    </row>
    <row r="12" customFormat="false" ht="15" hidden="false" customHeight="false" outlineLevel="0" collapsed="false">
      <c r="A12" s="6" t="s">
        <v>263</v>
      </c>
      <c r="B12" s="105" t="n">
        <v>0.3</v>
      </c>
      <c r="C12" s="105" t="n">
        <v>0.4</v>
      </c>
      <c r="D12" s="105" t="n">
        <v>0.5</v>
      </c>
      <c r="E12" s="106" t="n">
        <f aca="false">CHOOSE(Dashboard!$B$4,B12,C12,D12)</f>
        <v>0.4</v>
      </c>
      <c r="F12" s="38" t="s">
        <v>255</v>
      </c>
      <c r="G12" s="104" t="s">
        <v>253</v>
      </c>
    </row>
    <row r="14" customFormat="false" ht="15.75" hidden="false" customHeight="true" outlineLevel="0" collapsed="false">
      <c r="A14" s="7" t="s">
        <v>264</v>
      </c>
      <c r="B14" s="7"/>
      <c r="C14" s="7"/>
      <c r="D14" s="7"/>
      <c r="E14" s="7"/>
      <c r="F14" s="7"/>
      <c r="G14" s="7"/>
    </row>
    <row r="15" customFormat="false" ht="15" hidden="false" customHeight="false" outlineLevel="0" collapsed="false">
      <c r="A15" s="6" t="s">
        <v>265</v>
      </c>
      <c r="B15" s="107" t="n">
        <v>6</v>
      </c>
      <c r="C15" s="107" t="n">
        <v>6</v>
      </c>
      <c r="D15" s="107" t="n">
        <v>6</v>
      </c>
      <c r="E15" s="108" t="n">
        <f aca="false">CHOOSE(Dashboard!$B$4,B15,C15,D15)</f>
        <v>6</v>
      </c>
      <c r="F15" s="38" t="s">
        <v>266</v>
      </c>
      <c r="G15" s="104"/>
    </row>
    <row r="16" customFormat="false" ht="15" hidden="false" customHeight="false" outlineLevel="0" collapsed="false">
      <c r="A16" s="6" t="s">
        <v>267</v>
      </c>
      <c r="B16" s="102" t="n">
        <v>6</v>
      </c>
      <c r="C16" s="102" t="n">
        <v>6.5</v>
      </c>
      <c r="D16" s="102" t="n">
        <v>7</v>
      </c>
      <c r="E16" s="103" t="n">
        <f aca="false">CHOOSE(Dashboard!$B$4,B16,C16,D16)</f>
        <v>6.5</v>
      </c>
      <c r="F16" s="38" t="s">
        <v>257</v>
      </c>
      <c r="G16" s="104" t="s">
        <v>253</v>
      </c>
    </row>
    <row r="17" customFormat="false" ht="15" hidden="false" customHeight="false" outlineLevel="0" collapsed="false">
      <c r="A17" s="6" t="s">
        <v>268</v>
      </c>
      <c r="B17" s="102" t="n">
        <v>8</v>
      </c>
      <c r="C17" s="102" t="n">
        <v>8</v>
      </c>
      <c r="D17" s="102" t="n">
        <v>8</v>
      </c>
      <c r="E17" s="103" t="n">
        <f aca="false">CHOOSE(Dashboard!$B$4,B17,C17,D17)</f>
        <v>8</v>
      </c>
      <c r="F17" s="38" t="s">
        <v>257</v>
      </c>
      <c r="G17" s="104"/>
    </row>
    <row r="18" customFormat="false" ht="15" hidden="false" customHeight="false" outlineLevel="0" collapsed="false">
      <c r="A18" s="6" t="s">
        <v>269</v>
      </c>
      <c r="B18" s="105" t="n">
        <v>0.82</v>
      </c>
      <c r="C18" s="105" t="n">
        <v>0.88</v>
      </c>
      <c r="D18" s="105" t="n">
        <v>0.95</v>
      </c>
      <c r="E18" s="106" t="n">
        <f aca="false">CHOOSE(Dashboard!$B$4,B18,C18,D18)</f>
        <v>0.88</v>
      </c>
      <c r="F18" s="38" t="s">
        <v>255</v>
      </c>
      <c r="G18" s="104" t="s">
        <v>253</v>
      </c>
    </row>
    <row r="20" customFormat="false" ht="15.75" hidden="false" customHeight="true" outlineLevel="0" collapsed="false">
      <c r="A20" s="7" t="s">
        <v>270</v>
      </c>
      <c r="B20" s="7"/>
      <c r="C20" s="7"/>
      <c r="D20" s="7"/>
      <c r="E20" s="7"/>
      <c r="F20" s="7"/>
      <c r="G20" s="7"/>
    </row>
    <row r="21" customFormat="false" ht="15" hidden="false" customHeight="false" outlineLevel="0" collapsed="false">
      <c r="A21" s="6" t="s">
        <v>271</v>
      </c>
      <c r="B21" s="109" t="n">
        <v>118</v>
      </c>
      <c r="C21" s="109" t="n">
        <v>125</v>
      </c>
      <c r="D21" s="109" t="n">
        <v>132</v>
      </c>
      <c r="E21" s="110" t="n">
        <f aca="false">CHOOSE(Dashboard!$B$4,B21,C21,D21)</f>
        <v>125</v>
      </c>
      <c r="F21" s="38" t="s">
        <v>272</v>
      </c>
      <c r="G21" s="104" t="s">
        <v>253</v>
      </c>
    </row>
    <row r="22" customFormat="false" ht="15" hidden="false" customHeight="false" outlineLevel="0" collapsed="false">
      <c r="A22" s="6" t="s">
        <v>273</v>
      </c>
      <c r="B22" s="105" t="n">
        <v>0.01</v>
      </c>
      <c r="C22" s="105" t="n">
        <v>0.03</v>
      </c>
      <c r="D22" s="105" t="n">
        <v>0.04</v>
      </c>
      <c r="E22" s="106" t="n">
        <f aca="false">CHOOSE(Dashboard!$B$4,B22,C22,D22)</f>
        <v>0.03</v>
      </c>
      <c r="F22" s="38" t="s">
        <v>255</v>
      </c>
      <c r="G22" s="104" t="s">
        <v>253</v>
      </c>
    </row>
    <row r="23" customFormat="false" ht="15" hidden="false" customHeight="false" outlineLevel="0" collapsed="false">
      <c r="A23" s="6" t="s">
        <v>274</v>
      </c>
      <c r="B23" s="105" t="n">
        <v>0.04</v>
      </c>
      <c r="C23" s="105" t="n">
        <v>0.05</v>
      </c>
      <c r="D23" s="105" t="n">
        <v>0.05</v>
      </c>
      <c r="E23" s="106" t="n">
        <f aca="false">CHOOSE(Dashboard!$B$4,B23,C23,D23)</f>
        <v>0.05</v>
      </c>
      <c r="F23" s="38" t="s">
        <v>255</v>
      </c>
      <c r="G23" s="104" t="s">
        <v>253</v>
      </c>
    </row>
    <row r="25" customFormat="false" ht="15.75" hidden="false" customHeight="true" outlineLevel="0" collapsed="false">
      <c r="A25" s="7" t="s">
        <v>275</v>
      </c>
      <c r="B25" s="7"/>
      <c r="C25" s="7"/>
      <c r="D25" s="7"/>
      <c r="E25" s="7"/>
      <c r="F25" s="7"/>
      <c r="G25" s="7"/>
    </row>
    <row r="26" customFormat="false" ht="15" hidden="false" customHeight="false" outlineLevel="0" collapsed="false">
      <c r="A26" s="6" t="s">
        <v>276</v>
      </c>
      <c r="B26" s="109" t="n">
        <v>92</v>
      </c>
      <c r="C26" s="109" t="n">
        <v>100</v>
      </c>
      <c r="D26" s="109" t="n">
        <v>108</v>
      </c>
      <c r="E26" s="110" t="n">
        <f aca="false">CHOOSE(Dashboard!$B$4,B26,C26,D26)</f>
        <v>100</v>
      </c>
      <c r="F26" s="38" t="s">
        <v>272</v>
      </c>
      <c r="G26" s="104" t="s">
        <v>253</v>
      </c>
    </row>
    <row r="27" customFormat="false" ht="15" hidden="false" customHeight="false" outlineLevel="0" collapsed="false">
      <c r="A27" s="6" t="s">
        <v>277</v>
      </c>
      <c r="B27" s="105" t="n">
        <v>0.44</v>
      </c>
      <c r="C27" s="105" t="n">
        <v>0.47</v>
      </c>
      <c r="D27" s="105" t="n">
        <v>0.5</v>
      </c>
      <c r="E27" s="106" t="n">
        <f aca="false">CHOOSE(Dashboard!$B$4,B27,C27,D27)</f>
        <v>0.47</v>
      </c>
      <c r="F27" s="38" t="s">
        <v>255</v>
      </c>
      <c r="G27" s="104" t="s">
        <v>253</v>
      </c>
    </row>
    <row r="29" customFormat="false" ht="15.75" hidden="false" customHeight="true" outlineLevel="0" collapsed="false">
      <c r="A29" s="7" t="s">
        <v>76</v>
      </c>
      <c r="B29" s="7"/>
      <c r="C29" s="7"/>
      <c r="D29" s="7"/>
      <c r="E29" s="7"/>
      <c r="F29" s="7"/>
      <c r="G29" s="7"/>
    </row>
    <row r="30" customFormat="false" ht="15" hidden="false" customHeight="false" outlineLevel="0" collapsed="false">
      <c r="A30" s="6" t="s">
        <v>278</v>
      </c>
      <c r="B30" s="105" t="n">
        <v>0.04</v>
      </c>
      <c r="C30" s="105" t="n">
        <v>0.035</v>
      </c>
      <c r="D30" s="105" t="n">
        <v>0.03</v>
      </c>
      <c r="E30" s="106" t="n">
        <f aca="false">CHOOSE(Dashboard!$B$4,B30,C30,D30)</f>
        <v>0.035</v>
      </c>
      <c r="F30" s="38" t="s">
        <v>255</v>
      </c>
      <c r="G30" s="104" t="s">
        <v>262</v>
      </c>
    </row>
    <row r="31" customFormat="false" ht="15" hidden="false" customHeight="false" outlineLevel="0" collapsed="false">
      <c r="A31" s="6" t="s">
        <v>279</v>
      </c>
      <c r="B31" s="105" t="n">
        <v>0.04</v>
      </c>
      <c r="C31" s="105" t="n">
        <v>0.03</v>
      </c>
      <c r="D31" s="105" t="n">
        <v>0.025</v>
      </c>
      <c r="E31" s="106" t="n">
        <f aca="false">CHOOSE(Dashboard!$B$4,B31,C31,D31)</f>
        <v>0.03</v>
      </c>
      <c r="F31" s="38" t="s">
        <v>255</v>
      </c>
      <c r="G31" s="104" t="s">
        <v>262</v>
      </c>
    </row>
    <row r="32" customFormat="false" ht="15" hidden="false" customHeight="false" outlineLevel="0" collapsed="false">
      <c r="A32" s="6" t="s">
        <v>280</v>
      </c>
      <c r="B32" s="105" t="n">
        <v>0.032</v>
      </c>
      <c r="C32" s="105" t="n">
        <v>0.03</v>
      </c>
      <c r="D32" s="105" t="n">
        <v>0.028</v>
      </c>
      <c r="E32" s="106" t="n">
        <f aca="false">CHOOSE(Dashboard!$B$4,B32,C32,D32)</f>
        <v>0.03</v>
      </c>
      <c r="F32" s="38" t="s">
        <v>255</v>
      </c>
      <c r="G32" s="104" t="s">
        <v>262</v>
      </c>
    </row>
    <row r="33" customFormat="false" ht="15" hidden="false" customHeight="false" outlineLevel="0" collapsed="false">
      <c r="A33" s="6" t="s">
        <v>281</v>
      </c>
      <c r="B33" s="105" t="n">
        <v>0.04</v>
      </c>
      <c r="C33" s="105" t="n">
        <v>0.03</v>
      </c>
      <c r="D33" s="105" t="n">
        <v>0.025</v>
      </c>
      <c r="E33" s="106" t="n">
        <f aca="false">CHOOSE(Dashboard!$B$4,B33,C33,D33)</f>
        <v>0.03</v>
      </c>
      <c r="F33" s="38" t="s">
        <v>255</v>
      </c>
      <c r="G33" s="104" t="s">
        <v>262</v>
      </c>
    </row>
    <row r="35" customFormat="false" ht="15.75" hidden="false" customHeight="true" outlineLevel="0" collapsed="false">
      <c r="A35" s="7" t="s">
        <v>282</v>
      </c>
      <c r="B35" s="7"/>
      <c r="C35" s="7"/>
      <c r="D35" s="7"/>
      <c r="E35" s="7"/>
      <c r="F35" s="7"/>
      <c r="G35" s="7"/>
    </row>
    <row r="36" customFormat="false" ht="15" hidden="false" customHeight="false" outlineLevel="0" collapsed="false">
      <c r="A36" s="6" t="s">
        <v>283</v>
      </c>
      <c r="B36" s="111" t="n">
        <v>18000</v>
      </c>
      <c r="C36" s="111" t="n">
        <v>18000</v>
      </c>
      <c r="D36" s="111" t="n">
        <v>18000</v>
      </c>
      <c r="E36" s="112" t="n">
        <f aca="false">CHOOSE(Dashboard!$B$4,B36,C36,D36)</f>
        <v>18000</v>
      </c>
      <c r="F36" s="38" t="s">
        <v>272</v>
      </c>
      <c r="G36" s="104"/>
    </row>
    <row r="37" customFormat="false" ht="15" hidden="false" customHeight="false" outlineLevel="0" collapsed="false">
      <c r="A37" s="6" t="s">
        <v>284</v>
      </c>
      <c r="B37" s="105" t="n">
        <v>0.03</v>
      </c>
      <c r="C37" s="105" t="n">
        <v>0.03</v>
      </c>
      <c r="D37" s="105" t="n">
        <v>0.03</v>
      </c>
      <c r="E37" s="106" t="n">
        <f aca="false">CHOOSE(Dashboard!$B$4,B37,C37,D37)</f>
        <v>0.03</v>
      </c>
      <c r="F37" s="38" t="s">
        <v>255</v>
      </c>
      <c r="G37" s="104"/>
    </row>
    <row r="38" customFormat="false" ht="15" hidden="false" customHeight="false" outlineLevel="0" collapsed="false">
      <c r="A38" s="6" t="s">
        <v>285</v>
      </c>
      <c r="B38" s="111" t="n">
        <v>4500</v>
      </c>
      <c r="C38" s="111" t="n">
        <v>4500</v>
      </c>
      <c r="D38" s="111" t="n">
        <v>4500</v>
      </c>
      <c r="E38" s="112" t="n">
        <f aca="false">CHOOSE(Dashboard!$B$4,B38,C38,D38)</f>
        <v>4500</v>
      </c>
      <c r="F38" s="38" t="s">
        <v>272</v>
      </c>
      <c r="G38" s="104"/>
    </row>
    <row r="39" customFormat="false" ht="15" hidden="false" customHeight="false" outlineLevel="0" collapsed="false">
      <c r="A39" s="6" t="s">
        <v>286</v>
      </c>
      <c r="B39" s="111" t="n">
        <v>9000</v>
      </c>
      <c r="C39" s="111" t="n">
        <v>9000</v>
      </c>
      <c r="D39" s="111" t="n">
        <v>9000</v>
      </c>
      <c r="E39" s="112" t="n">
        <f aca="false">CHOOSE(Dashboard!$B$4,B39,C39,D39)</f>
        <v>9000</v>
      </c>
      <c r="F39" s="38" t="s">
        <v>272</v>
      </c>
      <c r="G39" s="104"/>
    </row>
    <row r="40" customFormat="false" ht="15" hidden="false" customHeight="false" outlineLevel="0" collapsed="false">
      <c r="A40" s="6" t="s">
        <v>287</v>
      </c>
      <c r="B40" s="111" t="n">
        <v>7000</v>
      </c>
      <c r="C40" s="111" t="n">
        <v>7000</v>
      </c>
      <c r="D40" s="111" t="n">
        <v>7000</v>
      </c>
      <c r="E40" s="112" t="n">
        <f aca="false">CHOOSE(Dashboard!$B$4,B40,C40,D40)</f>
        <v>7000</v>
      </c>
      <c r="F40" s="38" t="s">
        <v>272</v>
      </c>
      <c r="G40" s="104"/>
    </row>
    <row r="41" customFormat="false" ht="15" hidden="false" customHeight="false" outlineLevel="0" collapsed="false">
      <c r="A41" s="6" t="s">
        <v>288</v>
      </c>
      <c r="B41" s="105" t="n">
        <v>-0.3</v>
      </c>
      <c r="C41" s="105" t="n">
        <v>-0.2</v>
      </c>
      <c r="D41" s="105" t="n">
        <v>-0.1</v>
      </c>
      <c r="E41" s="106" t="n">
        <f aca="false">CHOOSE(Dashboard!$B$4,B41,C41,D41)</f>
        <v>-0.2</v>
      </c>
      <c r="F41" s="38" t="s">
        <v>255</v>
      </c>
      <c r="G41" s="104" t="s">
        <v>253</v>
      </c>
    </row>
    <row r="43" customFormat="false" ht="15.75" hidden="false" customHeight="true" outlineLevel="0" collapsed="false">
      <c r="A43" s="7" t="s">
        <v>84</v>
      </c>
      <c r="B43" s="7"/>
      <c r="C43" s="7"/>
      <c r="D43" s="7"/>
      <c r="E43" s="7"/>
      <c r="F43" s="7"/>
      <c r="G43" s="7"/>
    </row>
    <row r="44" customFormat="false" ht="15" hidden="false" customHeight="false" outlineLevel="0" collapsed="false">
      <c r="A44" s="6" t="s">
        <v>289</v>
      </c>
      <c r="B44" s="111" t="n">
        <v>22000</v>
      </c>
      <c r="C44" s="111" t="n">
        <v>22000</v>
      </c>
      <c r="D44" s="111" t="n">
        <v>22000</v>
      </c>
      <c r="E44" s="112" t="n">
        <f aca="false">CHOOSE(Dashboard!$B$4,B44,C44,D44)</f>
        <v>22000</v>
      </c>
      <c r="F44" s="38" t="s">
        <v>272</v>
      </c>
      <c r="G44" s="104"/>
    </row>
    <row r="45" customFormat="false" ht="15" hidden="false" customHeight="false" outlineLevel="0" collapsed="false">
      <c r="A45" s="6" t="s">
        <v>290</v>
      </c>
      <c r="B45" s="111" t="n">
        <v>70000</v>
      </c>
      <c r="C45" s="111" t="n">
        <v>70000</v>
      </c>
      <c r="D45" s="111" t="n">
        <v>70000</v>
      </c>
      <c r="E45" s="112" t="n">
        <f aca="false">CHOOSE(Dashboard!$B$4,B45,C45,D45)</f>
        <v>70000</v>
      </c>
      <c r="F45" s="38" t="s">
        <v>272</v>
      </c>
      <c r="G45" s="104"/>
    </row>
    <row r="46" customFormat="false" ht="15" hidden="false" customHeight="false" outlineLevel="0" collapsed="false">
      <c r="A46" s="6" t="s">
        <v>291</v>
      </c>
      <c r="B46" s="111" t="n">
        <v>180000</v>
      </c>
      <c r="C46" s="111" t="n">
        <v>180000</v>
      </c>
      <c r="D46" s="111" t="n">
        <v>180000</v>
      </c>
      <c r="E46" s="112" t="n">
        <f aca="false">CHOOSE(Dashboard!$B$4,B46,C46,D46)</f>
        <v>180000</v>
      </c>
      <c r="F46" s="38" t="s">
        <v>272</v>
      </c>
      <c r="G46" s="104"/>
    </row>
    <row r="47" customFormat="false" ht="15" hidden="false" customHeight="false" outlineLevel="0" collapsed="false">
      <c r="A47" s="6" t="s">
        <v>292</v>
      </c>
      <c r="B47" s="111" t="n">
        <v>0</v>
      </c>
      <c r="C47" s="111" t="n">
        <v>0</v>
      </c>
      <c r="D47" s="111" t="n">
        <v>0</v>
      </c>
      <c r="E47" s="112" t="n">
        <f aca="false">CHOOSE(Dashboard!$B$4,B47,C47,D47)</f>
        <v>0</v>
      </c>
      <c r="F47" s="38" t="s">
        <v>272</v>
      </c>
      <c r="G47" s="104"/>
    </row>
    <row r="48" customFormat="false" ht="15" hidden="false" customHeight="false" outlineLevel="0" collapsed="false">
      <c r="A48" s="6" t="s">
        <v>293</v>
      </c>
      <c r="B48" s="111" t="n">
        <v>20000</v>
      </c>
      <c r="C48" s="111" t="n">
        <v>20000</v>
      </c>
      <c r="D48" s="111" t="n">
        <v>20000</v>
      </c>
      <c r="E48" s="112" t="n">
        <f aca="false">CHOOSE(Dashboard!$B$4,B48,C48,D48)</f>
        <v>20000</v>
      </c>
      <c r="F48" s="38" t="s">
        <v>272</v>
      </c>
      <c r="G48" s="104"/>
    </row>
    <row r="50" customFormat="false" ht="15.75" hidden="false" customHeight="true" outlineLevel="0" collapsed="false">
      <c r="A50" s="7" t="s">
        <v>294</v>
      </c>
      <c r="B50" s="7"/>
      <c r="C50" s="7"/>
      <c r="D50" s="7"/>
      <c r="E50" s="7"/>
      <c r="F50" s="7"/>
      <c r="G50" s="7"/>
    </row>
    <row r="51" customFormat="false" ht="15" hidden="false" customHeight="false" outlineLevel="0" collapsed="false">
      <c r="A51" s="6" t="s">
        <v>295</v>
      </c>
      <c r="B51" s="102" t="n">
        <v>5</v>
      </c>
      <c r="C51" s="102" t="n">
        <v>5</v>
      </c>
      <c r="D51" s="102" t="n">
        <v>5</v>
      </c>
      <c r="E51" s="103" t="n">
        <f aca="false">CHOOSE(Dashboard!$B$4,B51,C51,D51)</f>
        <v>5</v>
      </c>
      <c r="F51" s="38" t="s">
        <v>296</v>
      </c>
      <c r="G51" s="104" t="s">
        <v>253</v>
      </c>
    </row>
    <row r="52" customFormat="false" ht="15" hidden="false" customHeight="false" outlineLevel="0" collapsed="false">
      <c r="A52" s="6" t="s">
        <v>297</v>
      </c>
      <c r="B52" s="111" t="n">
        <v>78000</v>
      </c>
      <c r="C52" s="111" t="n">
        <v>78000</v>
      </c>
      <c r="D52" s="111" t="n">
        <v>78000</v>
      </c>
      <c r="E52" s="112" t="n">
        <f aca="false">CHOOSE(Dashboard!$B$4,B52,C52,D52)</f>
        <v>78000</v>
      </c>
      <c r="F52" s="38" t="s">
        <v>272</v>
      </c>
      <c r="G52" s="104"/>
    </row>
    <row r="53" customFormat="false" ht="15" hidden="false" customHeight="false" outlineLevel="0" collapsed="false">
      <c r="A53" s="6" t="s">
        <v>298</v>
      </c>
      <c r="B53" s="105" t="n">
        <v>0</v>
      </c>
      <c r="C53" s="105" t="n">
        <v>0</v>
      </c>
      <c r="D53" s="105" t="n">
        <v>0</v>
      </c>
      <c r="E53" s="106" t="n">
        <f aca="false">CHOOSE(Dashboard!$B$4,B53,C53,D53)</f>
        <v>0</v>
      </c>
      <c r="F53" s="38" t="s">
        <v>255</v>
      </c>
      <c r="G53" s="104" t="s">
        <v>253</v>
      </c>
    </row>
    <row r="54" customFormat="false" ht="15" hidden="false" customHeight="false" outlineLevel="0" collapsed="false">
      <c r="A54" s="6" t="s">
        <v>299</v>
      </c>
      <c r="B54" s="107" t="n">
        <v>1</v>
      </c>
      <c r="C54" s="107" t="n">
        <v>1</v>
      </c>
      <c r="D54" s="107" t="n">
        <v>1</v>
      </c>
      <c r="E54" s="108" t="n">
        <f aca="false">CHOOSE(Dashboard!$B$4,B54,C54,D54)</f>
        <v>1</v>
      </c>
      <c r="F54" s="38" t="s">
        <v>300</v>
      </c>
      <c r="G54" s="104"/>
    </row>
    <row r="55" customFormat="false" ht="15" hidden="false" customHeight="false" outlineLevel="0" collapsed="false">
      <c r="A55" s="6" t="s">
        <v>301</v>
      </c>
      <c r="B55" s="102" t="n">
        <v>2</v>
      </c>
      <c r="C55" s="102" t="n">
        <v>2</v>
      </c>
      <c r="D55" s="102" t="n">
        <v>2</v>
      </c>
      <c r="E55" s="103" t="n">
        <f aca="false">CHOOSE(Dashboard!$B$4,B55,C55,D55)</f>
        <v>2</v>
      </c>
      <c r="F55" s="38" t="s">
        <v>296</v>
      </c>
      <c r="G55" s="104" t="s">
        <v>253</v>
      </c>
    </row>
    <row r="56" customFormat="false" ht="15" hidden="false" customHeight="false" outlineLevel="0" collapsed="false">
      <c r="A56" s="6" t="s">
        <v>302</v>
      </c>
      <c r="B56" s="111" t="n">
        <v>50000</v>
      </c>
      <c r="C56" s="111" t="n">
        <v>50000</v>
      </c>
      <c r="D56" s="111" t="n">
        <v>50000</v>
      </c>
      <c r="E56" s="112" t="n">
        <f aca="false">CHOOSE(Dashboard!$B$4,B56,C56,D56)</f>
        <v>50000</v>
      </c>
      <c r="F56" s="38" t="s">
        <v>272</v>
      </c>
      <c r="G56" s="104"/>
    </row>
    <row r="57" customFormat="false" ht="15" hidden="false" customHeight="false" outlineLevel="0" collapsed="false">
      <c r="A57" s="6" t="s">
        <v>303</v>
      </c>
      <c r="B57" s="105" t="n">
        <v>0</v>
      </c>
      <c r="C57" s="105" t="n">
        <v>0</v>
      </c>
      <c r="D57" s="105" t="n">
        <v>0</v>
      </c>
      <c r="E57" s="106" t="n">
        <f aca="false">CHOOSE(Dashboard!$B$4,B57,C57,D57)</f>
        <v>0</v>
      </c>
      <c r="F57" s="38" t="s">
        <v>255</v>
      </c>
      <c r="G57" s="104" t="s">
        <v>253</v>
      </c>
    </row>
    <row r="58" customFormat="false" ht="15" hidden="false" customHeight="false" outlineLevel="0" collapsed="false">
      <c r="A58" s="6" t="s">
        <v>304</v>
      </c>
      <c r="B58" s="107" t="n">
        <v>1</v>
      </c>
      <c r="C58" s="107" t="n">
        <v>1</v>
      </c>
      <c r="D58" s="107" t="n">
        <v>1</v>
      </c>
      <c r="E58" s="108" t="n">
        <f aca="false">CHOOSE(Dashboard!$B$4,B58,C58,D58)</f>
        <v>1</v>
      </c>
      <c r="F58" s="38" t="s">
        <v>300</v>
      </c>
      <c r="G58" s="104"/>
    </row>
    <row r="59" customFormat="false" ht="15" hidden="false" customHeight="false" outlineLevel="0" collapsed="false">
      <c r="A59" s="6" t="s">
        <v>305</v>
      </c>
      <c r="B59" s="102" t="n">
        <v>1</v>
      </c>
      <c r="C59" s="102" t="n">
        <v>1</v>
      </c>
      <c r="D59" s="102" t="n">
        <v>1</v>
      </c>
      <c r="E59" s="103" t="n">
        <f aca="false">CHOOSE(Dashboard!$B$4,B59,C59,D59)</f>
        <v>1</v>
      </c>
      <c r="F59" s="38" t="s">
        <v>296</v>
      </c>
      <c r="G59" s="104" t="s">
        <v>253</v>
      </c>
    </row>
    <row r="60" customFormat="false" ht="15" hidden="false" customHeight="false" outlineLevel="0" collapsed="false">
      <c r="A60" s="6" t="s">
        <v>306</v>
      </c>
      <c r="B60" s="111" t="n">
        <v>85000</v>
      </c>
      <c r="C60" s="111" t="n">
        <v>85000</v>
      </c>
      <c r="D60" s="111" t="n">
        <v>85000</v>
      </c>
      <c r="E60" s="112" t="n">
        <f aca="false">CHOOSE(Dashboard!$B$4,B60,C60,D60)</f>
        <v>85000</v>
      </c>
      <c r="F60" s="38" t="s">
        <v>272</v>
      </c>
      <c r="G60" s="104"/>
    </row>
    <row r="61" customFormat="false" ht="15" hidden="false" customHeight="false" outlineLevel="0" collapsed="false">
      <c r="A61" s="6" t="s">
        <v>307</v>
      </c>
      <c r="B61" s="105" t="n">
        <v>0</v>
      </c>
      <c r="C61" s="105" t="n">
        <v>0</v>
      </c>
      <c r="D61" s="105" t="n">
        <v>0</v>
      </c>
      <c r="E61" s="106" t="n">
        <f aca="false">CHOOSE(Dashboard!$B$4,B61,C61,D61)</f>
        <v>0</v>
      </c>
      <c r="F61" s="38" t="s">
        <v>255</v>
      </c>
      <c r="G61" s="104" t="s">
        <v>253</v>
      </c>
    </row>
    <row r="62" customFormat="false" ht="15" hidden="false" customHeight="false" outlineLevel="0" collapsed="false">
      <c r="A62" s="6" t="s">
        <v>308</v>
      </c>
      <c r="B62" s="107" t="n">
        <v>1</v>
      </c>
      <c r="C62" s="107" t="n">
        <v>1</v>
      </c>
      <c r="D62" s="107" t="n">
        <v>1</v>
      </c>
      <c r="E62" s="108" t="n">
        <f aca="false">CHOOSE(Dashboard!$B$4,B62,C62,D62)</f>
        <v>1</v>
      </c>
      <c r="F62" s="38" t="s">
        <v>300</v>
      </c>
      <c r="G62" s="104"/>
    </row>
    <row r="63" customFormat="false" ht="15" hidden="false" customHeight="false" outlineLevel="0" collapsed="false">
      <c r="A63" s="6" t="s">
        <v>309</v>
      </c>
      <c r="B63" s="105" t="n">
        <v>0.15</v>
      </c>
      <c r="C63" s="105" t="n">
        <v>0.15</v>
      </c>
      <c r="D63" s="105" t="n">
        <v>0.15</v>
      </c>
      <c r="E63" s="106" t="n">
        <f aca="false">CHOOSE(Dashboard!$B$4,B63,C63,D63)</f>
        <v>0.15</v>
      </c>
      <c r="F63" s="38" t="s">
        <v>255</v>
      </c>
      <c r="G63" s="104"/>
    </row>
    <row r="64" customFormat="false" ht="15" hidden="false" customHeight="false" outlineLevel="0" collapsed="false">
      <c r="A64" s="6" t="s">
        <v>310</v>
      </c>
      <c r="B64" s="105" t="n">
        <v>0.04</v>
      </c>
      <c r="C64" s="105" t="n">
        <v>0.03</v>
      </c>
      <c r="D64" s="105" t="n">
        <v>0.03</v>
      </c>
      <c r="E64" s="106" t="n">
        <f aca="false">CHOOSE(Dashboard!$B$4,B64,C64,D64)</f>
        <v>0.03</v>
      </c>
      <c r="F64" s="38" t="s">
        <v>255</v>
      </c>
      <c r="G64" s="104"/>
    </row>
    <row r="66" customFormat="false" ht="15.75" hidden="false" customHeight="true" outlineLevel="0" collapsed="false">
      <c r="A66" s="7" t="s">
        <v>311</v>
      </c>
      <c r="B66" s="7"/>
      <c r="C66" s="7"/>
      <c r="D66" s="7"/>
      <c r="E66" s="7"/>
      <c r="F66" s="7"/>
      <c r="G66" s="7"/>
    </row>
    <row r="67" customFormat="false" ht="15" hidden="false" customHeight="false" outlineLevel="0" collapsed="false">
      <c r="A67" s="6" t="s">
        <v>312</v>
      </c>
      <c r="B67" s="111" t="n">
        <v>480000</v>
      </c>
      <c r="C67" s="111" t="n">
        <v>480000</v>
      </c>
      <c r="D67" s="111" t="n">
        <v>480000</v>
      </c>
      <c r="E67" s="112" t="n">
        <f aca="false">CHOOSE(Dashboard!$B$4,B67,C67,D67)</f>
        <v>480000</v>
      </c>
      <c r="F67" s="38" t="s">
        <v>272</v>
      </c>
      <c r="G67" s="104"/>
    </row>
    <row r="68" customFormat="false" ht="15" hidden="false" customHeight="false" outlineLevel="0" collapsed="false">
      <c r="A68" s="6" t="s">
        <v>313</v>
      </c>
      <c r="B68" s="111" t="n">
        <v>250000</v>
      </c>
      <c r="C68" s="111" t="n">
        <v>250000</v>
      </c>
      <c r="D68" s="111" t="n">
        <v>250000</v>
      </c>
      <c r="E68" s="112" t="n">
        <f aca="false">CHOOSE(Dashboard!$B$4,B68,C68,D68)</f>
        <v>250000</v>
      </c>
      <c r="F68" s="38" t="s">
        <v>272</v>
      </c>
      <c r="G68" s="104"/>
    </row>
    <row r="69" customFormat="false" ht="15" hidden="false" customHeight="false" outlineLevel="0" collapsed="false">
      <c r="A69" s="6" t="s">
        <v>314</v>
      </c>
      <c r="B69" s="105" t="n">
        <v>0.09</v>
      </c>
      <c r="C69" s="105" t="n">
        <v>0.09</v>
      </c>
      <c r="D69" s="105" t="n">
        <v>0.09</v>
      </c>
      <c r="E69" s="106" t="n">
        <f aca="false">CHOOSE(Dashboard!$B$4,B69,C69,D69)</f>
        <v>0.09</v>
      </c>
      <c r="F69" s="38" t="s">
        <v>255</v>
      </c>
      <c r="G69" s="104"/>
    </row>
    <row r="70" customFormat="false" ht="15" hidden="false" customHeight="false" outlineLevel="0" collapsed="false">
      <c r="A70" s="6" t="s">
        <v>315</v>
      </c>
      <c r="B70" s="107" t="n">
        <v>7</v>
      </c>
      <c r="C70" s="107" t="n">
        <v>7</v>
      </c>
      <c r="D70" s="107" t="n">
        <v>7</v>
      </c>
      <c r="E70" s="108" t="n">
        <f aca="false">CHOOSE(Dashboard!$B$4,B70,C70,D70)</f>
        <v>7</v>
      </c>
      <c r="F70" s="38" t="s">
        <v>316</v>
      </c>
      <c r="G70" s="104"/>
    </row>
    <row r="72" customFormat="false" ht="15.75" hidden="false" customHeight="true" outlineLevel="0" collapsed="false">
      <c r="A72" s="7" t="s">
        <v>317</v>
      </c>
      <c r="B72" s="7"/>
      <c r="C72" s="7"/>
      <c r="D72" s="7"/>
      <c r="E72" s="7"/>
      <c r="F72" s="7"/>
      <c r="G72" s="7"/>
    </row>
    <row r="73" customFormat="false" ht="15" hidden="false" customHeight="false" outlineLevel="0" collapsed="false">
      <c r="A73" s="6" t="s">
        <v>318</v>
      </c>
      <c r="B73" s="107" t="n">
        <v>3</v>
      </c>
      <c r="C73" s="107" t="n">
        <v>3</v>
      </c>
      <c r="D73" s="107" t="n">
        <v>3</v>
      </c>
      <c r="E73" s="108" t="n">
        <f aca="false">CHOOSE(Dashboard!$B$4,B73,C73,D73)</f>
        <v>3</v>
      </c>
      <c r="F73" s="38" t="s">
        <v>259</v>
      </c>
      <c r="G73" s="104"/>
    </row>
    <row r="74" customFormat="false" ht="15" hidden="false" customHeight="false" outlineLevel="0" collapsed="false">
      <c r="A74" s="6" t="s">
        <v>319</v>
      </c>
      <c r="B74" s="107" t="n">
        <v>8</v>
      </c>
      <c r="C74" s="107" t="n">
        <v>8</v>
      </c>
      <c r="D74" s="107" t="n">
        <v>8</v>
      </c>
      <c r="E74" s="108" t="n">
        <f aca="false">CHOOSE(Dashboard!$B$4,B74,C74,D74)</f>
        <v>8</v>
      </c>
      <c r="F74" s="38" t="s">
        <v>259</v>
      </c>
      <c r="G74" s="104"/>
    </row>
    <row r="75" customFormat="false" ht="15" hidden="false" customHeight="false" outlineLevel="0" collapsed="false">
      <c r="A75" s="6" t="s">
        <v>320</v>
      </c>
      <c r="B75" s="107" t="n">
        <v>25</v>
      </c>
      <c r="C75" s="107" t="n">
        <v>25</v>
      </c>
      <c r="D75" s="107" t="n">
        <v>25</v>
      </c>
      <c r="E75" s="108" t="n">
        <f aca="false">CHOOSE(Dashboard!$B$4,B75,C75,D75)</f>
        <v>25</v>
      </c>
      <c r="F75" s="38" t="s">
        <v>259</v>
      </c>
      <c r="G75" s="104"/>
    </row>
    <row r="77" customFormat="false" ht="15.75" hidden="false" customHeight="true" outlineLevel="0" collapsed="false">
      <c r="A77" s="7" t="s">
        <v>321</v>
      </c>
      <c r="B77" s="7"/>
      <c r="C77" s="7"/>
      <c r="D77" s="7"/>
      <c r="E77" s="7"/>
      <c r="F77" s="7"/>
      <c r="G77" s="7"/>
    </row>
    <row r="78" customFormat="false" ht="15" hidden="false" customHeight="false" outlineLevel="0" collapsed="false">
      <c r="A78" s="6" t="s">
        <v>322</v>
      </c>
      <c r="B78" s="107" t="n">
        <v>8</v>
      </c>
      <c r="C78" s="107" t="n">
        <v>8</v>
      </c>
      <c r="D78" s="107" t="n">
        <v>8</v>
      </c>
      <c r="E78" s="108" t="n">
        <f aca="false">CHOOSE(Dashboard!$B$4,B78,C78,D78)</f>
        <v>8</v>
      </c>
      <c r="F78" s="38" t="s">
        <v>316</v>
      </c>
      <c r="G78" s="104"/>
    </row>
    <row r="79" customFormat="false" ht="15" hidden="false" customHeight="false" outlineLevel="0" collapsed="false">
      <c r="A79" s="6" t="s">
        <v>323</v>
      </c>
      <c r="B79" s="105" t="n">
        <v>0.21</v>
      </c>
      <c r="C79" s="105" t="n">
        <v>0.21</v>
      </c>
      <c r="D79" s="105" t="n">
        <v>0.21</v>
      </c>
      <c r="E79" s="106" t="n">
        <f aca="false">CHOOSE(Dashboard!$B$4,B79,C79,D79)</f>
        <v>0.21</v>
      </c>
      <c r="F79" s="38" t="s">
        <v>255</v>
      </c>
      <c r="G79" s="104"/>
    </row>
    <row r="81" customFormat="false" ht="15.75" hidden="false" customHeight="true" outlineLevel="0" collapsed="false">
      <c r="A81" s="7" t="s">
        <v>324</v>
      </c>
      <c r="B81" s="7"/>
      <c r="C81" s="7"/>
      <c r="D81" s="7"/>
      <c r="E81" s="7"/>
      <c r="F81" s="7"/>
      <c r="G81" s="7"/>
    </row>
    <row r="82" customFormat="false" ht="15" hidden="false" customHeight="false" outlineLevel="0" collapsed="false">
      <c r="A82" s="6" t="s">
        <v>141</v>
      </c>
      <c r="B82" s="111" t="n">
        <v>178000</v>
      </c>
      <c r="C82" s="111" t="n">
        <v>178000</v>
      </c>
      <c r="D82" s="111" t="n">
        <v>178000</v>
      </c>
      <c r="E82" s="112" t="n">
        <f aca="false">CHOOSE(Dashboard!$B$4,B82,C82,D82)</f>
        <v>178000</v>
      </c>
      <c r="F82" s="38" t="s">
        <v>272</v>
      </c>
      <c r="G82" s="104" t="s">
        <v>325</v>
      </c>
    </row>
    <row r="84" customFormat="false" ht="15.75" hidden="false" customHeight="true" outlineLevel="0" collapsed="false">
      <c r="A84" s="7" t="s">
        <v>326</v>
      </c>
      <c r="B84" s="7"/>
      <c r="C84" s="7"/>
      <c r="D84" s="7"/>
      <c r="E84" s="7"/>
      <c r="F84" s="7"/>
      <c r="G84" s="7"/>
    </row>
    <row r="85" customFormat="false" ht="15" hidden="false" customHeight="false" outlineLevel="0" collapsed="false">
      <c r="A85" s="6" t="s">
        <v>168</v>
      </c>
      <c r="B85" s="105" t="n">
        <v>0.3</v>
      </c>
      <c r="C85" s="105" t="n">
        <v>0.25</v>
      </c>
      <c r="D85" s="105" t="n">
        <v>0.2</v>
      </c>
      <c r="E85" s="106" t="n">
        <f aca="false">CHOOSE(Dashboard!$B$4,B85,C85,D85)</f>
        <v>0.25</v>
      </c>
      <c r="F85" s="38" t="s">
        <v>255</v>
      </c>
      <c r="G85" s="104" t="s">
        <v>262</v>
      </c>
    </row>
    <row r="86" customFormat="false" ht="15" hidden="false" customHeight="false" outlineLevel="0" collapsed="false">
      <c r="A86" s="6" t="s">
        <v>327</v>
      </c>
      <c r="B86" s="105" t="n">
        <v>0.01</v>
      </c>
      <c r="C86" s="105" t="n">
        <v>0.02</v>
      </c>
      <c r="D86" s="105" t="n">
        <v>0.03</v>
      </c>
      <c r="E86" s="106" t="n">
        <f aca="false">CHOOSE(Dashboard!$B$4,B86,C86,D86)</f>
        <v>0.02</v>
      </c>
      <c r="F86" s="38" t="s">
        <v>255</v>
      </c>
      <c r="G86" s="104" t="s">
        <v>253</v>
      </c>
    </row>
    <row r="87" customFormat="false" ht="15" hidden="false" customHeight="false" outlineLevel="0" collapsed="false">
      <c r="A87" s="6" t="s">
        <v>170</v>
      </c>
      <c r="B87" s="113" t="n">
        <v>3</v>
      </c>
      <c r="C87" s="113" t="n">
        <v>4</v>
      </c>
      <c r="D87" s="113" t="n">
        <v>5</v>
      </c>
      <c r="E87" s="114" t="n">
        <f aca="false">CHOOSE(Dashboard!$B$4,B87,C87,D87)</f>
        <v>4</v>
      </c>
      <c r="F87" s="38" t="s">
        <v>328</v>
      </c>
      <c r="G87" s="104" t="s">
        <v>253</v>
      </c>
    </row>
    <row r="88" customFormat="false" ht="15" hidden="false" customHeight="false" outlineLevel="0" collapsed="false">
      <c r="A88" s="6" t="s">
        <v>329</v>
      </c>
      <c r="B88" s="105" t="n">
        <v>0.01</v>
      </c>
      <c r="C88" s="105" t="n">
        <v>0.01</v>
      </c>
      <c r="D88" s="105" t="n">
        <v>0.01</v>
      </c>
      <c r="E88" s="106" t="n">
        <f aca="false">CHOOSE(Dashboard!$B$4,B88,C88,D88)</f>
        <v>0.01</v>
      </c>
      <c r="F88" s="38" t="s">
        <v>255</v>
      </c>
      <c r="G88" s="104"/>
    </row>
    <row r="89" customFormat="false" ht="15" hidden="false" customHeight="false" outlineLevel="0" collapsed="false">
      <c r="A89" s="6" t="s">
        <v>330</v>
      </c>
      <c r="B89" s="105" t="n">
        <v>0.005</v>
      </c>
      <c r="C89" s="105" t="n">
        <v>0.005</v>
      </c>
      <c r="D89" s="105" t="n">
        <v>0.005</v>
      </c>
      <c r="E89" s="106" t="n">
        <f aca="false">CHOOSE(Dashboard!$B$4,B89,C89,D89)</f>
        <v>0.005</v>
      </c>
      <c r="F89" s="38" t="s">
        <v>255</v>
      </c>
      <c r="G89" s="104"/>
    </row>
    <row r="91" customFormat="false" ht="15" hidden="false" customHeight="false" outlineLevel="0" collapsed="false">
      <c r="A91" s="21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332</v>
      </c>
    </row>
    <row r="3" customFormat="false" ht="15" hidden="false" customHeight="false" outlineLevel="0" collapsed="false">
      <c r="A3" s="74" t="s">
        <v>154</v>
      </c>
      <c r="B3" s="74" t="n">
        <v>1</v>
      </c>
      <c r="C3" s="74" t="n">
        <v>2</v>
      </c>
      <c r="D3" s="74" t="n">
        <v>3</v>
      </c>
      <c r="E3" s="74" t="n">
        <v>4</v>
      </c>
      <c r="F3" s="74" t="n">
        <v>5</v>
      </c>
    </row>
    <row r="4" customFormat="false" ht="15" hidden="false" customHeight="false" outlineLevel="0" collapsed="false">
      <c r="A4" s="33"/>
      <c r="B4" s="52" t="s">
        <v>155</v>
      </c>
      <c r="C4" s="52" t="s">
        <v>156</v>
      </c>
      <c r="D4" s="52" t="s">
        <v>157</v>
      </c>
      <c r="E4" s="52" t="s">
        <v>158</v>
      </c>
      <c r="F4" s="52" t="s">
        <v>159</v>
      </c>
    </row>
    <row r="5" customFormat="false" ht="15" hidden="false" customHeight="false" outlineLevel="0" collapsed="false">
      <c r="A5" s="4" t="s">
        <v>44</v>
      </c>
      <c r="B5" s="75" t="n">
        <f aca="false">SUMIF(Monthly!$C$5:$BJ$5,B$3,Monthly!$C$28:$BJ$28)</f>
        <v>1264359.375</v>
      </c>
      <c r="C5" s="75" t="n">
        <f aca="false">SUMIF(Monthly!$C$5:$BJ$5,C$3,Monthly!$C$28:$BJ$28)</f>
        <v>1987198.3125</v>
      </c>
      <c r="D5" s="75" t="n">
        <f aca="false">SUMIF(Monthly!$C$5:$BJ$5,D$3,Monthly!$C$28:$BJ$28)</f>
        <v>2108218.68973125</v>
      </c>
      <c r="E5" s="75" t="n">
        <f aca="false">SUMIF(Monthly!$C$5:$BJ$5,E$3,Monthly!$C$28:$BJ$28)</f>
        <v>2236609.20793588</v>
      </c>
      <c r="F5" s="75" t="n">
        <f aca="false">SUMIF(Monthly!$C$5:$BJ$5,F$3,Monthly!$C$28:$BJ$28)</f>
        <v>2372818.70869918</v>
      </c>
    </row>
    <row r="6" customFormat="false" ht="15" hidden="false" customHeight="false" outlineLevel="0" collapsed="false">
      <c r="A6" s="6" t="s">
        <v>76</v>
      </c>
      <c r="B6" s="69" t="n">
        <f aca="false">SUMIF(Monthly!$C$5:$BJ$5,B$3,Monthly!$C$35:$BJ$35)</f>
        <v>-782700.9375</v>
      </c>
      <c r="C6" s="69" t="n">
        <f aca="false">SUMIF(Monthly!$C$5:$BJ$5,C$3,Monthly!$C$35:$BJ$35)</f>
        <v>-987219.85125</v>
      </c>
      <c r="D6" s="69" t="n">
        <f aca="false">SUMIF(Monthly!$C$5:$BJ$5,D$3,Monthly!$C$35:$BJ$35)</f>
        <v>-1033067.13069113</v>
      </c>
      <c r="E6" s="69" t="n">
        <f aca="false">SUMIF(Monthly!$C$5:$BJ$5,E$3,Monthly!$C$35:$BJ$35)</f>
        <v>-1081278.27716521</v>
      </c>
      <c r="F6" s="69" t="n">
        <f aca="false">SUMIF(Monthly!$C$5:$BJ$5,F$3,Monthly!$C$35:$BJ$35)</f>
        <v>-1131984.40320603</v>
      </c>
    </row>
    <row r="7" customFormat="false" ht="15" hidden="false" customHeight="false" outlineLevel="0" collapsed="false">
      <c r="A7" s="115" t="s">
        <v>45</v>
      </c>
      <c r="B7" s="70" t="n">
        <f aca="false">SUMIF(Monthly!$C$5:$BJ$5,B$3,Monthly!$C$36:$BJ$36)</f>
        <v>481658.4375</v>
      </c>
      <c r="C7" s="70" t="n">
        <f aca="false">SUMIF(Monthly!$C$5:$BJ$5,C$3,Monthly!$C$36:$BJ$36)</f>
        <v>999978.46125</v>
      </c>
      <c r="D7" s="70" t="n">
        <f aca="false">SUMIF(Monthly!$C$5:$BJ$5,D$3,Monthly!$C$36:$BJ$36)</f>
        <v>1075151.55904012</v>
      </c>
      <c r="E7" s="70" t="n">
        <f aca="false">SUMIF(Monthly!$C$5:$BJ$5,E$3,Monthly!$C$36:$BJ$36)</f>
        <v>1155330.93077067</v>
      </c>
      <c r="F7" s="70" t="n">
        <f aca="false">SUMIF(Monthly!$C$5:$BJ$5,F$3,Monthly!$C$36:$BJ$36)</f>
        <v>1240834.30549315</v>
      </c>
    </row>
    <row r="8" customFormat="false" ht="15" hidden="false" customHeight="false" outlineLevel="0" collapsed="false">
      <c r="A8" s="38" t="s">
        <v>46</v>
      </c>
      <c r="B8" s="76" t="n">
        <f aca="false">IF(B5=0,0,B7/B5)</f>
        <v>0.380950580209839</v>
      </c>
      <c r="C8" s="76" t="n">
        <f aca="false">IF(C5=0,0,C7/C5)</f>
        <v>0.503210200491754</v>
      </c>
      <c r="D8" s="76" t="n">
        <f aca="false">IF(D5=0,0,D7/D5)</f>
        <v>0.509981039574781</v>
      </c>
      <c r="E8" s="76" t="n">
        <f aca="false">IF(E5=0,0,E7/E5)</f>
        <v>0.516554669752477</v>
      </c>
      <c r="F8" s="76" t="n">
        <f aca="false">IF(F5=0,0,F7/F5)</f>
        <v>0.522936834973541</v>
      </c>
    </row>
    <row r="9" customFormat="false" ht="15" hidden="false" customHeight="false" outlineLevel="0" collapsed="false">
      <c r="A9" s="6" t="s">
        <v>333</v>
      </c>
      <c r="B9" s="69" t="n">
        <f aca="false">SUMIF(Monthly!$C$5:$BJ$5,B$3,Monthly!$C$39:$BJ$39)</f>
        <v>-212750</v>
      </c>
      <c r="C9" s="69" t="n">
        <f aca="false">SUMIF(Monthly!$C$5:$BJ$5,C$3,Monthly!$C$39:$BJ$39)</f>
        <v>-219132.5</v>
      </c>
      <c r="D9" s="69" t="n">
        <f aca="false">SUMIF(Monthly!$C$5:$BJ$5,D$3,Monthly!$C$39:$BJ$39)</f>
        <v>-225706.475</v>
      </c>
      <c r="E9" s="69" t="n">
        <f aca="false">SUMIF(Monthly!$C$5:$BJ$5,E$3,Monthly!$C$39:$BJ$39)</f>
        <v>-232477.66925</v>
      </c>
      <c r="F9" s="69" t="n">
        <f aca="false">SUMIF(Monthly!$C$5:$BJ$5,F$3,Monthly!$C$39:$BJ$39)</f>
        <v>-239451.9993275</v>
      </c>
    </row>
    <row r="10" customFormat="false" ht="15" hidden="false" customHeight="false" outlineLevel="0" collapsed="false">
      <c r="A10" s="6" t="s">
        <v>334</v>
      </c>
      <c r="B10" s="69" t="n">
        <f aca="false">SUMIF(Monthly!$C$5:$BJ$5,B$3,Monthly!$C$40:$BJ$40)</f>
        <v>-216000</v>
      </c>
      <c r="C10" s="69" t="n">
        <f aca="false">SUMIF(Monthly!$C$5:$BJ$5,C$3,Monthly!$C$40:$BJ$40)</f>
        <v>-222480</v>
      </c>
      <c r="D10" s="69" t="n">
        <f aca="false">SUMIF(Monthly!$C$5:$BJ$5,D$3,Monthly!$C$40:$BJ$40)</f>
        <v>-229154.4</v>
      </c>
      <c r="E10" s="69" t="n">
        <f aca="false">SUMIF(Monthly!$C$5:$BJ$5,E$3,Monthly!$C$40:$BJ$40)</f>
        <v>-236029.032</v>
      </c>
      <c r="F10" s="69" t="n">
        <f aca="false">SUMIF(Monthly!$C$5:$BJ$5,F$3,Monthly!$C$40:$BJ$40)</f>
        <v>-243109.90296</v>
      </c>
    </row>
    <row r="11" customFormat="false" ht="15" hidden="false" customHeight="false" outlineLevel="0" collapsed="false">
      <c r="A11" s="6" t="s">
        <v>335</v>
      </c>
      <c r="B11" s="69" t="n">
        <f aca="false">SUMIF(Monthly!$C$5:$BJ$5,B$3,Monthly!$C$41:$BJ$41)</f>
        <v>-54000</v>
      </c>
      <c r="C11" s="69" t="n">
        <f aca="false">SUMIF(Monthly!$C$5:$BJ$5,C$3,Monthly!$C$41:$BJ$41)</f>
        <v>-55620</v>
      </c>
      <c r="D11" s="69" t="n">
        <f aca="false">SUMIF(Monthly!$C$5:$BJ$5,D$3,Monthly!$C$41:$BJ$41)</f>
        <v>-57288.6</v>
      </c>
      <c r="E11" s="69" t="n">
        <f aca="false">SUMIF(Monthly!$C$5:$BJ$5,E$3,Monthly!$C$41:$BJ$41)</f>
        <v>-59007.258</v>
      </c>
      <c r="F11" s="69" t="n">
        <f aca="false">SUMIF(Monthly!$C$5:$BJ$5,F$3,Monthly!$C$41:$BJ$41)</f>
        <v>-60777.47574</v>
      </c>
    </row>
    <row r="12" customFormat="false" ht="15" hidden="false" customHeight="false" outlineLevel="0" collapsed="false">
      <c r="A12" s="6" t="s">
        <v>336</v>
      </c>
      <c r="B12" s="69" t="n">
        <f aca="false">SUMIF(Monthly!$C$5:$BJ$5,B$3,Monthly!$C$42:$BJ$42)</f>
        <v>-108000</v>
      </c>
      <c r="C12" s="69" t="n">
        <f aca="false">SUMIF(Monthly!$C$5:$BJ$5,C$3,Monthly!$C$42:$BJ$42)</f>
        <v>-111240</v>
      </c>
      <c r="D12" s="69" t="n">
        <f aca="false">SUMIF(Monthly!$C$5:$BJ$5,D$3,Monthly!$C$42:$BJ$42)</f>
        <v>-114577.2</v>
      </c>
      <c r="E12" s="69" t="n">
        <f aca="false">SUMIF(Monthly!$C$5:$BJ$5,E$3,Monthly!$C$42:$BJ$42)</f>
        <v>-118014.516</v>
      </c>
      <c r="F12" s="69" t="n">
        <f aca="false">SUMIF(Monthly!$C$5:$BJ$5,F$3,Monthly!$C$42:$BJ$42)</f>
        <v>-121554.95148</v>
      </c>
    </row>
    <row r="13" customFormat="false" ht="15" hidden="false" customHeight="false" outlineLevel="0" collapsed="false">
      <c r="A13" s="6" t="s">
        <v>337</v>
      </c>
      <c r="B13" s="69" t="n">
        <f aca="false">SUMIF(Monthly!$C$5:$BJ$5,B$3,Monthly!$C$43:$BJ$43)</f>
        <v>-84000</v>
      </c>
      <c r="C13" s="69" t="n">
        <f aca="false">SUMIF(Monthly!$C$5:$BJ$5,C$3,Monthly!$C$43:$BJ$43)</f>
        <v>-67200</v>
      </c>
      <c r="D13" s="69" t="n">
        <f aca="false">SUMIF(Monthly!$C$5:$BJ$5,D$3,Monthly!$C$43:$BJ$43)</f>
        <v>-53760</v>
      </c>
      <c r="E13" s="69" t="n">
        <f aca="false">SUMIF(Monthly!$C$5:$BJ$5,E$3,Monthly!$C$43:$BJ$43)</f>
        <v>-43008</v>
      </c>
      <c r="F13" s="69" t="n">
        <f aca="false">SUMIF(Monthly!$C$5:$BJ$5,F$3,Monthly!$C$43:$BJ$43)</f>
        <v>-34406.4</v>
      </c>
    </row>
    <row r="14" customFormat="false" ht="15" hidden="false" customHeight="false" outlineLevel="0" collapsed="false">
      <c r="A14" s="6" t="s">
        <v>338</v>
      </c>
      <c r="B14" s="69" t="n">
        <f aca="false">SUMIF(Monthly!$C$5:$BJ$5,B$3,Monthly!$C$44:$BJ$44)</f>
        <v>-37930.78125</v>
      </c>
      <c r="C14" s="69" t="n">
        <f aca="false">SUMIF(Monthly!$C$5:$BJ$5,C$3,Monthly!$C$44:$BJ$44)</f>
        <v>-59615.949375</v>
      </c>
      <c r="D14" s="69" t="n">
        <f aca="false">SUMIF(Monthly!$C$5:$BJ$5,D$3,Monthly!$C$44:$BJ$44)</f>
        <v>-63246.5606919375</v>
      </c>
      <c r="E14" s="69" t="n">
        <f aca="false">SUMIF(Monthly!$C$5:$BJ$5,E$3,Monthly!$C$44:$BJ$44)</f>
        <v>-67098.2762380765</v>
      </c>
      <c r="F14" s="69" t="n">
        <f aca="false">SUMIF(Monthly!$C$5:$BJ$5,F$3,Monthly!$C$44:$BJ$44)</f>
        <v>-71184.5612609754</v>
      </c>
    </row>
    <row r="15" customFormat="false" ht="15" hidden="false" customHeight="false" outlineLevel="0" collapsed="false">
      <c r="A15" s="115" t="s">
        <v>77</v>
      </c>
      <c r="B15" s="70" t="n">
        <f aca="false">SUMIF(Monthly!$C$5:$BJ$5,B$3,Monthly!$C$45:$BJ$45)</f>
        <v>-712680.78125</v>
      </c>
      <c r="C15" s="70" t="n">
        <f aca="false">SUMIF(Monthly!$C$5:$BJ$5,C$3,Monthly!$C$45:$BJ$45)</f>
        <v>-735288.449375</v>
      </c>
      <c r="D15" s="70" t="n">
        <f aca="false">SUMIF(Monthly!$C$5:$BJ$5,D$3,Monthly!$C$45:$BJ$45)</f>
        <v>-743733.235691938</v>
      </c>
      <c r="E15" s="70" t="n">
        <f aca="false">SUMIF(Monthly!$C$5:$BJ$5,E$3,Monthly!$C$45:$BJ$45)</f>
        <v>-755634.751488077</v>
      </c>
      <c r="F15" s="70" t="n">
        <f aca="false">SUMIF(Monthly!$C$5:$BJ$5,F$3,Monthly!$C$45:$BJ$45)</f>
        <v>-770485.290768476</v>
      </c>
    </row>
    <row r="16" customFormat="false" ht="15" hidden="false" customHeight="false" outlineLevel="0" collapsed="false">
      <c r="A16" s="115" t="s">
        <v>48</v>
      </c>
      <c r="B16" s="70" t="n">
        <f aca="false">SUMIF(Monthly!$C$5:$BJ$5,B$3,Monthly!$C$46:$BJ$46)</f>
        <v>-231022.34375</v>
      </c>
      <c r="C16" s="70" t="n">
        <f aca="false">SUMIF(Monthly!$C$5:$BJ$5,C$3,Monthly!$C$46:$BJ$46)</f>
        <v>264690.011875</v>
      </c>
      <c r="D16" s="70" t="n">
        <f aca="false">SUMIF(Monthly!$C$5:$BJ$5,D$3,Monthly!$C$46:$BJ$46)</f>
        <v>331418.323348187</v>
      </c>
      <c r="E16" s="70" t="n">
        <f aca="false">SUMIF(Monthly!$C$5:$BJ$5,E$3,Monthly!$C$46:$BJ$46)</f>
        <v>399696.179282592</v>
      </c>
      <c r="F16" s="70" t="n">
        <f aca="false">SUMIF(Monthly!$C$5:$BJ$5,F$3,Monthly!$C$46:$BJ$46)</f>
        <v>470349.014724677</v>
      </c>
    </row>
    <row r="17" customFormat="false" ht="15" hidden="false" customHeight="false" outlineLevel="0" collapsed="false">
      <c r="A17" s="38" t="s">
        <v>49</v>
      </c>
      <c r="B17" s="76" t="n">
        <f aca="false">IF(B5=0,0,B16/B5)</f>
        <v>-0.182718891731238</v>
      </c>
      <c r="C17" s="76" t="n">
        <f aca="false">IF(C5=0,0,C16/C5)</f>
        <v>0.133197582853221</v>
      </c>
      <c r="D17" s="76" t="n">
        <f aca="false">IF(D5=0,0,D16/D5)</f>
        <v>0.157203009802762</v>
      </c>
      <c r="E17" s="76" t="n">
        <f aca="false">IF(E5=0,0,E16/E5)</f>
        <v>0.178706310366782</v>
      </c>
      <c r="F17" s="76" t="n">
        <f aca="false">IF(F5=0,0,F16/F5)</f>
        <v>0.198223746719584</v>
      </c>
    </row>
    <row r="18" customFormat="false" ht="15" hidden="false" customHeight="false" outlineLevel="0" collapsed="false">
      <c r="A18" s="6" t="s">
        <v>78</v>
      </c>
      <c r="B18" s="69" t="n">
        <f aca="false">SUMIF(Monthly!$C$5:$BJ$5,B$3,Monthly!$C$66:$BJ$66)</f>
        <v>-47750</v>
      </c>
      <c r="C18" s="69" t="n">
        <f aca="false">SUMIF(Monthly!$C$5:$BJ$5,C$3,Monthly!$C$66:$BJ$66)</f>
        <v>-50250</v>
      </c>
      <c r="D18" s="69" t="n">
        <f aca="false">SUMIF(Monthly!$C$5:$BJ$5,D$3,Monthly!$C$66:$BJ$66)</f>
        <v>-52750</v>
      </c>
      <c r="E18" s="69" t="n">
        <f aca="false">SUMIF(Monthly!$C$5:$BJ$5,E$3,Monthly!$C$66:$BJ$66)</f>
        <v>-55250</v>
      </c>
      <c r="F18" s="69" t="n">
        <f aca="false">SUMIF(Monthly!$C$5:$BJ$5,F$3,Monthly!$C$66:$BJ$66)</f>
        <v>-57750</v>
      </c>
    </row>
    <row r="19" customFormat="false" ht="15" hidden="false" customHeight="false" outlineLevel="0" collapsed="false">
      <c r="A19" s="4" t="s">
        <v>79</v>
      </c>
      <c r="B19" s="75" t="n">
        <f aca="false">SUMIF(Monthly!$C$5:$BJ$5,B$3,Monthly!$C$49:$BJ$49)</f>
        <v>-278772.34375</v>
      </c>
      <c r="C19" s="75" t="n">
        <f aca="false">SUMIF(Monthly!$C$5:$BJ$5,C$3,Monthly!$C$49:$BJ$49)</f>
        <v>214440.011875</v>
      </c>
      <c r="D19" s="75" t="n">
        <f aca="false">SUMIF(Monthly!$C$5:$BJ$5,D$3,Monthly!$C$49:$BJ$49)</f>
        <v>278668.323348187</v>
      </c>
      <c r="E19" s="75" t="n">
        <f aca="false">SUMIF(Monthly!$C$5:$BJ$5,E$3,Monthly!$C$49:$BJ$49)</f>
        <v>344446.179282592</v>
      </c>
      <c r="F19" s="75" t="n">
        <f aca="false">SUMIF(Monthly!$C$5:$BJ$5,F$3,Monthly!$C$49:$BJ$49)</f>
        <v>412599.014724677</v>
      </c>
    </row>
    <row r="20" customFormat="false" ht="15" hidden="false" customHeight="false" outlineLevel="0" collapsed="false">
      <c r="A20" s="6" t="s">
        <v>80</v>
      </c>
      <c r="B20" s="69" t="n">
        <f aca="false">SUMIF(Monthly!$C$5:$BJ$5,B$3,Monthly!$C$50:$BJ$50)</f>
        <v>-21149.5535714286</v>
      </c>
      <c r="C20" s="69" t="n">
        <f aca="false">SUMIF(Monthly!$C$5:$BJ$5,C$3,Monthly!$C$50:$BJ$50)</f>
        <v>-17946.4285714286</v>
      </c>
      <c r="D20" s="69" t="n">
        <f aca="false">SUMIF(Monthly!$C$5:$BJ$5,D$3,Monthly!$C$50:$BJ$50)</f>
        <v>-14732.1428571429</v>
      </c>
      <c r="E20" s="69" t="n">
        <f aca="false">SUMIF(Monthly!$C$5:$BJ$5,E$3,Monthly!$C$50:$BJ$50)</f>
        <v>-11517.8571428572</v>
      </c>
      <c r="F20" s="69" t="n">
        <f aca="false">SUMIF(Monthly!$C$5:$BJ$5,F$3,Monthly!$C$50:$BJ$50)</f>
        <v>-8303.57142857144</v>
      </c>
    </row>
    <row r="21" customFormat="false" ht="15" hidden="false" customHeight="false" outlineLevel="0" collapsed="false">
      <c r="A21" s="116" t="s">
        <v>81</v>
      </c>
      <c r="B21" s="117" t="n">
        <f aca="false">SUMIF(Monthly!$C$5:$BJ$5,B$3,Monthly!$C$51:$BJ$51)</f>
        <v>-299921.897321429</v>
      </c>
      <c r="C21" s="117" t="n">
        <f aca="false">SUMIF(Monthly!$C$5:$BJ$5,C$3,Monthly!$C$51:$BJ$51)</f>
        <v>196493.583303571</v>
      </c>
      <c r="D21" s="117" t="n">
        <f aca="false">SUMIF(Monthly!$C$5:$BJ$5,D$3,Monthly!$C$51:$BJ$51)</f>
        <v>263936.180491044</v>
      </c>
      <c r="E21" s="117" t="n">
        <f aca="false">SUMIF(Monthly!$C$5:$BJ$5,E$3,Monthly!$C$51:$BJ$51)</f>
        <v>332928.322139735</v>
      </c>
      <c r="F21" s="117" t="n">
        <f aca="false">SUMIF(Monthly!$C$5:$BJ$5,F$3,Monthly!$C$51:$BJ$51)</f>
        <v>404295.443296106</v>
      </c>
    </row>
    <row r="22" customFormat="false" ht="15" hidden="false" customHeight="false" outlineLevel="0" collapsed="false">
      <c r="A22" s="6" t="s">
        <v>82</v>
      </c>
      <c r="B22" s="69" t="n">
        <f aca="false">SUMIF(Monthly!$C$5:$BJ$5,B$3,Monthly!$C$54:$BJ$54)</f>
        <v>0</v>
      </c>
      <c r="C22" s="69" t="n">
        <f aca="false">SUMIF(Monthly!$C$5:$BJ$5,C$3,Monthly!$C$54:$BJ$54)</f>
        <v>0</v>
      </c>
      <c r="D22" s="69" t="n">
        <f aca="false">SUMIF(Monthly!$C$5:$BJ$5,D$3,Monthly!$C$54:$BJ$54)</f>
        <v>-33706.6519593693</v>
      </c>
      <c r="E22" s="69" t="n">
        <f aca="false">SUMIF(Monthly!$C$5:$BJ$5,E$3,Monthly!$C$54:$BJ$54)</f>
        <v>-69914.9476493444</v>
      </c>
      <c r="F22" s="69" t="n">
        <f aca="false">SUMIF(Monthly!$C$5:$BJ$5,F$3,Monthly!$C$54:$BJ$54)</f>
        <v>-84902.0430921822</v>
      </c>
    </row>
    <row r="23" customFormat="false" ht="15" hidden="false" customHeight="false" outlineLevel="0" collapsed="false">
      <c r="A23" s="72" t="s">
        <v>50</v>
      </c>
      <c r="B23" s="73" t="n">
        <f aca="false">SUMIF(Monthly!$C$5:$BJ$5,B$3,Monthly!$C$55:$BJ$55)</f>
        <v>-299921.897321429</v>
      </c>
      <c r="C23" s="73" t="n">
        <f aca="false">SUMIF(Monthly!$C$5:$BJ$5,C$3,Monthly!$C$55:$BJ$55)</f>
        <v>196493.583303571</v>
      </c>
      <c r="D23" s="73" t="n">
        <f aca="false">SUMIF(Monthly!$C$5:$BJ$5,D$3,Monthly!$C$55:$BJ$55)</f>
        <v>230229.528531675</v>
      </c>
      <c r="E23" s="73" t="n">
        <f aca="false">SUMIF(Monthly!$C$5:$BJ$5,E$3,Monthly!$C$55:$BJ$55)</f>
        <v>263013.374490391</v>
      </c>
      <c r="F23" s="73" t="n">
        <f aca="false">SUMIF(Monthly!$C$5:$BJ$5,F$3,Monthly!$C$55:$BJ$55)</f>
        <v>319393.400203924</v>
      </c>
    </row>
    <row r="24" customFormat="false" ht="15" hidden="false" customHeight="false" outlineLevel="0" collapsed="false">
      <c r="A24" s="38" t="s">
        <v>51</v>
      </c>
      <c r="B24" s="76" t="n">
        <f aca="false">IF(B5=0,0,B23/B5)</f>
        <v>-0.237212538817477</v>
      </c>
      <c r="C24" s="76" t="n">
        <f aca="false">IF(C5=0,0,C23/C5)</f>
        <v>0.0988797051947836</v>
      </c>
      <c r="D24" s="76" t="n">
        <f aca="false">IF(D5=0,0,D23/D5)</f>
        <v>0.109205714593596</v>
      </c>
      <c r="E24" s="76" t="n">
        <f aca="false">IF(E5=0,0,E23/E5)</f>
        <v>0.117594693591162</v>
      </c>
      <c r="F24" s="76" t="n">
        <f aca="false">IF(F5=0,0,F23/F5)</f>
        <v>0.13460505812474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332</v>
      </c>
    </row>
    <row r="3" customFormat="false" ht="15" hidden="false" customHeight="false" outlineLevel="0" collapsed="false">
      <c r="A3" s="74" t="s">
        <v>154</v>
      </c>
      <c r="B3" s="74" t="n">
        <v>1</v>
      </c>
      <c r="C3" s="74" t="n">
        <v>2</v>
      </c>
      <c r="D3" s="74" t="n">
        <v>3</v>
      </c>
      <c r="E3" s="74" t="n">
        <v>4</v>
      </c>
      <c r="F3" s="74" t="n">
        <v>5</v>
      </c>
    </row>
    <row r="4" customFormat="false" ht="15" hidden="false" customHeight="false" outlineLevel="0" collapsed="false">
      <c r="A4" s="33"/>
      <c r="B4" s="52" t="s">
        <v>155</v>
      </c>
      <c r="C4" s="52" t="s">
        <v>156</v>
      </c>
      <c r="D4" s="52" t="s">
        <v>157</v>
      </c>
      <c r="E4" s="52" t="s">
        <v>158</v>
      </c>
      <c r="F4" s="52" t="s">
        <v>159</v>
      </c>
    </row>
    <row r="5" customFormat="false" ht="15" hidden="false" customHeight="false" outlineLevel="0" collapsed="false">
      <c r="A5" s="6" t="s">
        <v>50</v>
      </c>
      <c r="B5" s="69" t="n">
        <f aca="false">SUMIF(Monthly!$C$5:$BJ$5,B$3,Monthly!$C$55:$BJ$55)</f>
        <v>-299921.897321429</v>
      </c>
      <c r="C5" s="69" t="n">
        <f aca="false">SUMIF(Monthly!$C$5:$BJ$5,C$3,Monthly!$C$55:$BJ$55)</f>
        <v>196493.583303571</v>
      </c>
      <c r="D5" s="69" t="n">
        <f aca="false">SUMIF(Monthly!$C$5:$BJ$5,D$3,Monthly!$C$55:$BJ$55)</f>
        <v>230229.528531675</v>
      </c>
      <c r="E5" s="69" t="n">
        <f aca="false">SUMIF(Monthly!$C$5:$BJ$5,E$3,Monthly!$C$55:$BJ$55)</f>
        <v>263013.374490391</v>
      </c>
      <c r="F5" s="69" t="n">
        <f aca="false">SUMIF(Monthly!$C$5:$BJ$5,F$3,Monthly!$C$55:$BJ$55)</f>
        <v>319393.400203924</v>
      </c>
    </row>
    <row r="6" customFormat="false" ht="15" hidden="false" customHeight="false" outlineLevel="0" collapsed="false">
      <c r="A6" s="6" t="s">
        <v>339</v>
      </c>
      <c r="B6" s="69" t="n">
        <f aca="false">-SUMIF(Monthly!$C$5:$BJ$5,B$3,Monthly!$C$66:$BJ$66)</f>
        <v>47750</v>
      </c>
      <c r="C6" s="69" t="n">
        <f aca="false">-SUMIF(Monthly!$C$5:$BJ$5,C$3,Monthly!$C$66:$BJ$66)</f>
        <v>50250</v>
      </c>
      <c r="D6" s="69" t="n">
        <f aca="false">-SUMIF(Monthly!$C$5:$BJ$5,D$3,Monthly!$C$66:$BJ$66)</f>
        <v>52750</v>
      </c>
      <c r="E6" s="69" t="n">
        <f aca="false">-SUMIF(Monthly!$C$5:$BJ$5,E$3,Monthly!$C$66:$BJ$66)</f>
        <v>55250</v>
      </c>
      <c r="F6" s="69" t="n">
        <f aca="false">-SUMIF(Monthly!$C$5:$BJ$5,F$3,Monthly!$C$66:$BJ$66)</f>
        <v>57750</v>
      </c>
    </row>
    <row r="7" customFormat="false" ht="15" hidden="false" customHeight="false" outlineLevel="0" collapsed="false">
      <c r="A7" s="6" t="s">
        <v>340</v>
      </c>
      <c r="B7" s="69" t="n">
        <f aca="false">SUMIF(Monthly!$C$5:$BJ$5,B$3,Monthly!$C$80:$BJ$80)</f>
        <v>-14828.90625</v>
      </c>
      <c r="C7" s="69" t="n">
        <f aca="false">SUMIF(Monthly!$C$5:$BJ$5,C$3,Monthly!$C$80:$BJ$80)</f>
        <v>-1731.0796875</v>
      </c>
      <c r="D7" s="69" t="n">
        <f aca="false">SUMIF(Monthly!$C$5:$BJ$5,D$3,Monthly!$C$80:$BJ$80)</f>
        <v>-1008.50314359375</v>
      </c>
      <c r="E7" s="69" t="n">
        <f aca="false">SUMIF(Monthly!$C$5:$BJ$5,E$3,Monthly!$C$80:$BJ$80)</f>
        <v>-1069.92098503861</v>
      </c>
      <c r="F7" s="69" t="n">
        <f aca="false">SUMIF(Monthly!$C$5:$BJ$5,F$3,Monthly!$C$80:$BJ$80)</f>
        <v>-1135.07917302746</v>
      </c>
    </row>
    <row r="8" customFormat="false" ht="15" hidden="false" customHeight="false" outlineLevel="0" collapsed="false">
      <c r="A8" s="6" t="s">
        <v>341</v>
      </c>
      <c r="B8" s="69" t="n">
        <f aca="false">SUMIF(Monthly!$C$5:$BJ$5,B$3,Monthly!$C$81:$BJ$81)</f>
        <v>-20419.0416666667</v>
      </c>
      <c r="C8" s="69" t="n">
        <f aca="false">SUMIF(Monthly!$C$5:$BJ$5,C$3,Monthly!$C$81:$BJ$81)</f>
        <v>-1519.17725</v>
      </c>
      <c r="D8" s="69" t="n">
        <f aca="false">SUMIF(Monthly!$C$5:$BJ$5,D$3,Monthly!$C$81:$BJ$81)</f>
        <v>-1018.828432025</v>
      </c>
      <c r="E8" s="69" t="n">
        <f aca="false">SUMIF(Monthly!$C$5:$BJ$5,E$3,Monthly!$C$81:$BJ$81)</f>
        <v>-1071.35881053533</v>
      </c>
      <c r="F8" s="69" t="n">
        <f aca="false">SUMIF(Monthly!$C$5:$BJ$5,F$3,Monthly!$C$81:$BJ$81)</f>
        <v>-1126.80280090692</v>
      </c>
    </row>
    <row r="9" customFormat="false" ht="15" hidden="false" customHeight="false" outlineLevel="0" collapsed="false">
      <c r="A9" s="6" t="s">
        <v>342</v>
      </c>
      <c r="B9" s="69" t="n">
        <f aca="false">SUMIF(Monthly!$C$5:$BJ$5,B$3,Monthly!$C$82:$BJ$82)</f>
        <v>63809.5052083333</v>
      </c>
      <c r="C9" s="69" t="n">
        <f aca="false">SUMIF(Monthly!$C$5:$BJ$5,C$3,Monthly!$C$82:$BJ$82)</f>
        <v>4747.42890625</v>
      </c>
      <c r="D9" s="69" t="n">
        <f aca="false">SUMIF(Monthly!$C$5:$BJ$5,D$3,Monthly!$C$82:$BJ$82)</f>
        <v>3183.83885007813</v>
      </c>
      <c r="E9" s="69" t="n">
        <f aca="false">SUMIF(Monthly!$C$5:$BJ$5,E$3,Monthly!$C$82:$BJ$82)</f>
        <v>3347.99628292289</v>
      </c>
      <c r="F9" s="69" t="n">
        <f aca="false">SUMIF(Monthly!$C$5:$BJ$5,F$3,Monthly!$C$82:$BJ$82)</f>
        <v>3521.25875283415</v>
      </c>
    </row>
    <row r="10" customFormat="false" ht="15" hidden="false" customHeight="false" outlineLevel="0" collapsed="false">
      <c r="A10" s="115" t="s">
        <v>52</v>
      </c>
      <c r="B10" s="70" t="n">
        <f aca="false">SUMIF(Monthly!$C$5:$BJ$5,B$3,Monthly!$C$85:$BJ$85)</f>
        <v>-223610.340029762</v>
      </c>
      <c r="C10" s="70" t="n">
        <f aca="false">SUMIF(Monthly!$C$5:$BJ$5,C$3,Monthly!$C$85:$BJ$85)</f>
        <v>248240.755272321</v>
      </c>
      <c r="D10" s="70" t="n">
        <f aca="false">SUMIF(Monthly!$C$5:$BJ$5,D$3,Monthly!$C$85:$BJ$85)</f>
        <v>284136.035806134</v>
      </c>
      <c r="E10" s="70" t="n">
        <f aca="false">SUMIF(Monthly!$C$5:$BJ$5,E$3,Monthly!$C$85:$BJ$85)</f>
        <v>319470.09097774</v>
      </c>
      <c r="F10" s="70" t="n">
        <f aca="false">SUMIF(Monthly!$C$5:$BJ$5,F$3,Monthly!$C$85:$BJ$85)</f>
        <v>378402.776982823</v>
      </c>
    </row>
    <row r="11" customFormat="false" ht="15" hidden="false" customHeight="false" outlineLevel="0" collapsed="false">
      <c r="A11" s="6" t="s">
        <v>84</v>
      </c>
      <c r="B11" s="69" t="n">
        <f aca="false">SUMIF(Monthly!$C$5:$BJ$5,B$3,Monthly!$C$86:$BJ$86)</f>
        <v>-382000</v>
      </c>
      <c r="C11" s="69" t="n">
        <f aca="false">SUMIF(Monthly!$C$5:$BJ$5,C$3,Monthly!$C$86:$BJ$86)</f>
        <v>-20000</v>
      </c>
      <c r="D11" s="69" t="n">
        <f aca="false">SUMIF(Monthly!$C$5:$BJ$5,D$3,Monthly!$C$86:$BJ$86)</f>
        <v>-20000</v>
      </c>
      <c r="E11" s="69" t="n">
        <f aca="false">SUMIF(Monthly!$C$5:$BJ$5,E$3,Monthly!$C$86:$BJ$86)</f>
        <v>-20000</v>
      </c>
      <c r="F11" s="69" t="n">
        <f aca="false">SUMIF(Monthly!$C$5:$BJ$5,F$3,Monthly!$C$86:$BJ$86)</f>
        <v>-20000</v>
      </c>
    </row>
    <row r="12" customFormat="false" ht="15" hidden="false" customHeight="false" outlineLevel="0" collapsed="false">
      <c r="A12" s="6" t="s">
        <v>64</v>
      </c>
      <c r="B12" s="69" t="n">
        <f aca="false">SUMIF(Monthly!$C$5:$BJ$5,B$3,Monthly!$C$87:$BJ$87)</f>
        <v>480000</v>
      </c>
      <c r="C12" s="69" t="n">
        <f aca="false">SUMIF(Monthly!$C$5:$BJ$5,C$3,Monthly!$C$87:$BJ$87)</f>
        <v>0</v>
      </c>
      <c r="D12" s="69" t="n">
        <f aca="false">SUMIF(Monthly!$C$5:$BJ$5,D$3,Monthly!$C$87:$BJ$87)</f>
        <v>0</v>
      </c>
      <c r="E12" s="69" t="n">
        <f aca="false">SUMIF(Monthly!$C$5:$BJ$5,E$3,Monthly!$C$87:$BJ$87)</f>
        <v>0</v>
      </c>
      <c r="F12" s="69" t="n">
        <f aca="false">SUMIF(Monthly!$C$5:$BJ$5,F$3,Monthly!$C$87:$BJ$87)</f>
        <v>0</v>
      </c>
    </row>
    <row r="13" customFormat="false" ht="15" hidden="false" customHeight="false" outlineLevel="0" collapsed="false">
      <c r="A13" s="6" t="s">
        <v>85</v>
      </c>
      <c r="B13" s="69" t="n">
        <f aca="false">SUMIF(Monthly!$C$5:$BJ$5,B$3,Monthly!$C$72:$BJ$72)</f>
        <v>250000</v>
      </c>
      <c r="C13" s="69" t="n">
        <f aca="false">SUMIF(Monthly!$C$5:$BJ$5,C$3,Monthly!$C$72:$BJ$72)</f>
        <v>0</v>
      </c>
      <c r="D13" s="69" t="n">
        <f aca="false">SUMIF(Monthly!$C$5:$BJ$5,D$3,Monthly!$C$72:$BJ$72)</f>
        <v>0</v>
      </c>
      <c r="E13" s="69" t="n">
        <f aca="false">SUMIF(Monthly!$C$5:$BJ$5,E$3,Monthly!$C$72:$BJ$72)</f>
        <v>0</v>
      </c>
      <c r="F13" s="69" t="n">
        <f aca="false">SUMIF(Monthly!$C$5:$BJ$5,F$3,Monthly!$C$72:$BJ$72)</f>
        <v>0</v>
      </c>
    </row>
    <row r="14" customFormat="false" ht="15" hidden="false" customHeight="false" outlineLevel="0" collapsed="false">
      <c r="A14" s="6" t="s">
        <v>86</v>
      </c>
      <c r="B14" s="69" t="n">
        <f aca="false">SUMIF(Monthly!$C$5:$BJ$5,B$3,Monthly!$C$73:$BJ$73)</f>
        <v>-32738.0952380952</v>
      </c>
      <c r="C14" s="69" t="n">
        <f aca="false">SUMIF(Monthly!$C$5:$BJ$5,C$3,Monthly!$C$73:$BJ$73)</f>
        <v>-35714.2857142857</v>
      </c>
      <c r="D14" s="69" t="n">
        <f aca="false">SUMIF(Monthly!$C$5:$BJ$5,D$3,Monthly!$C$73:$BJ$73)</f>
        <v>-35714.2857142857</v>
      </c>
      <c r="E14" s="69" t="n">
        <f aca="false">SUMIF(Monthly!$C$5:$BJ$5,E$3,Monthly!$C$73:$BJ$73)</f>
        <v>-35714.2857142857</v>
      </c>
      <c r="F14" s="69" t="n">
        <f aca="false">SUMIF(Monthly!$C$5:$BJ$5,F$3,Monthly!$C$73:$BJ$73)</f>
        <v>-35714.2857142857</v>
      </c>
    </row>
    <row r="15" customFormat="false" ht="15" hidden="false" customHeight="false" outlineLevel="0" collapsed="false">
      <c r="A15" s="115" t="s">
        <v>54</v>
      </c>
      <c r="B15" s="70" t="n">
        <f aca="false">SUMIF(Monthly!$C$5:$BJ$5,B$3,Monthly!$C$88:$BJ$88)</f>
        <v>697261.904761905</v>
      </c>
      <c r="C15" s="70" t="n">
        <f aca="false">SUMIF(Monthly!$C$5:$BJ$5,C$3,Monthly!$C$88:$BJ$88)</f>
        <v>-35714.2857142857</v>
      </c>
      <c r="D15" s="70" t="n">
        <f aca="false">SUMIF(Monthly!$C$5:$BJ$5,D$3,Monthly!$C$88:$BJ$88)</f>
        <v>-35714.2857142857</v>
      </c>
      <c r="E15" s="70" t="n">
        <f aca="false">SUMIF(Monthly!$C$5:$BJ$5,E$3,Monthly!$C$88:$BJ$88)</f>
        <v>-35714.2857142857</v>
      </c>
      <c r="F15" s="70" t="n">
        <f aca="false">SUMIF(Monthly!$C$5:$BJ$5,F$3,Monthly!$C$88:$BJ$88)</f>
        <v>-35714.2857142857</v>
      </c>
    </row>
    <row r="16" customFormat="false" ht="15" hidden="false" customHeight="false" outlineLevel="0" collapsed="false">
      <c r="A16" s="4" t="s">
        <v>55</v>
      </c>
      <c r="B16" s="75" t="n">
        <f aca="false">SUMIF(Monthly!$C$5:$BJ$5,B$3,Monthly!$C$89:$BJ$89)</f>
        <v>91651.5647321428</v>
      </c>
      <c r="C16" s="75" t="n">
        <f aca="false">SUMIF(Monthly!$C$5:$BJ$5,C$3,Monthly!$C$89:$BJ$89)</f>
        <v>192526.469558036</v>
      </c>
      <c r="D16" s="75" t="n">
        <f aca="false">SUMIF(Monthly!$C$5:$BJ$5,D$3,Monthly!$C$89:$BJ$89)</f>
        <v>228421.750091849</v>
      </c>
      <c r="E16" s="75" t="n">
        <f aca="false">SUMIF(Monthly!$C$5:$BJ$5,E$3,Monthly!$C$89:$BJ$89)</f>
        <v>263755.805263454</v>
      </c>
      <c r="F16" s="75" t="n">
        <f aca="false">SUMIF(Monthly!$C$5:$BJ$5,F$3,Monthly!$C$89:$BJ$89)</f>
        <v>322688.491268538</v>
      </c>
    </row>
    <row r="17" customFormat="false" ht="15" hidden="false" customHeight="false" outlineLevel="0" collapsed="false">
      <c r="A17" s="6" t="s">
        <v>343</v>
      </c>
      <c r="B17" s="69" t="n">
        <f aca="false">INDEX(Monthly!$C$90:$BJ$90,(B$3-1)*12+1)</f>
        <v>0</v>
      </c>
      <c r="C17" s="69" t="n">
        <f aca="false">INDEX(Monthly!$C$90:$BJ$90,(C$3-1)*12+1)</f>
        <v>91651.5647321428</v>
      </c>
      <c r="D17" s="69" t="n">
        <f aca="false">INDEX(Monthly!$C$90:$BJ$90,(D$3-1)*12+1)</f>
        <v>284178.034290178</v>
      </c>
      <c r="E17" s="69" t="n">
        <f aca="false">INDEX(Monthly!$C$90:$BJ$90,(E$3-1)*12+1)</f>
        <v>512599.784382027</v>
      </c>
      <c r="F17" s="69" t="n">
        <f aca="false">INDEX(Monthly!$C$90:$BJ$90,(F$3-1)*12+1)</f>
        <v>776355.589645481</v>
      </c>
    </row>
    <row r="18" customFormat="false" ht="15" hidden="false" customHeight="false" outlineLevel="0" collapsed="false">
      <c r="A18" s="72" t="s">
        <v>87</v>
      </c>
      <c r="B18" s="73" t="n">
        <f aca="false">INDEX(Monthly!$C$91:$BJ$91,B$3*12)</f>
        <v>91651.5647321428</v>
      </c>
      <c r="C18" s="73" t="n">
        <f aca="false">INDEX(Monthly!$C$91:$BJ$91,C$3*12)</f>
        <v>284178.034290178</v>
      </c>
      <c r="D18" s="73" t="n">
        <f aca="false">INDEX(Monthly!$C$91:$BJ$91,D$3*12)</f>
        <v>512599.784382027</v>
      </c>
      <c r="E18" s="73" t="n">
        <f aca="false">INDEX(Monthly!$C$91:$BJ$91,E$3*12)</f>
        <v>776355.589645481</v>
      </c>
      <c r="F18" s="73" t="n">
        <f aca="false">INDEX(Monthly!$C$91:$BJ$91,F$3*12)</f>
        <v>1099044.08091402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332</v>
      </c>
    </row>
    <row r="3" customFormat="false" ht="15" hidden="false" customHeight="false" outlineLevel="0" collapsed="false">
      <c r="A3" s="74" t="s">
        <v>154</v>
      </c>
      <c r="B3" s="74" t="n">
        <v>1</v>
      </c>
      <c r="C3" s="74" t="n">
        <v>2</v>
      </c>
      <c r="D3" s="74" t="n">
        <v>3</v>
      </c>
      <c r="E3" s="74" t="n">
        <v>4</v>
      </c>
      <c r="F3" s="74" t="n">
        <v>5</v>
      </c>
    </row>
    <row r="4" customFormat="false" ht="15" hidden="false" customHeight="false" outlineLevel="0" collapsed="false">
      <c r="A4" s="33"/>
      <c r="B4" s="52" t="s">
        <v>155</v>
      </c>
      <c r="C4" s="52" t="s">
        <v>156</v>
      </c>
      <c r="D4" s="52" t="s">
        <v>157</v>
      </c>
      <c r="E4" s="52" t="s">
        <v>158</v>
      </c>
      <c r="F4" s="52" t="s">
        <v>159</v>
      </c>
    </row>
    <row r="5" customFormat="false" ht="15" hidden="false" customHeight="false" outlineLevel="0" collapsed="false">
      <c r="A5" s="6" t="s">
        <v>89</v>
      </c>
      <c r="B5" s="69" t="n">
        <f aca="false">INDEX(Monthly!$C$91:$BJ$91,B$3*12)</f>
        <v>91651.5647321428</v>
      </c>
      <c r="C5" s="69" t="n">
        <f aca="false">INDEX(Monthly!$C$91:$BJ$91,C$3*12)</f>
        <v>284178.034290178</v>
      </c>
      <c r="D5" s="69" t="n">
        <f aca="false">INDEX(Monthly!$C$91:$BJ$91,D$3*12)</f>
        <v>512599.784382027</v>
      </c>
      <c r="E5" s="69" t="n">
        <f aca="false">INDEX(Monthly!$C$91:$BJ$91,E$3*12)</f>
        <v>776355.589645481</v>
      </c>
      <c r="F5" s="69" t="n">
        <f aca="false">INDEX(Monthly!$C$91:$BJ$91,F$3*12)</f>
        <v>1099044.08091402</v>
      </c>
    </row>
    <row r="6" customFormat="false" ht="15" hidden="false" customHeight="false" outlineLevel="0" collapsed="false">
      <c r="A6" s="6" t="s">
        <v>90</v>
      </c>
      <c r="B6" s="69" t="n">
        <f aca="false">INDEX(Monthly!$C$77:$BJ$77,B$3*12)</f>
        <v>14828.90625</v>
      </c>
      <c r="C6" s="69" t="n">
        <f aca="false">INDEX(Monthly!$C$77:$BJ$77,C$3*12)</f>
        <v>16559.9859375</v>
      </c>
      <c r="D6" s="69" t="n">
        <f aca="false">INDEX(Monthly!$C$77:$BJ$77,D$3*12)</f>
        <v>17568.4890810937</v>
      </c>
      <c r="E6" s="69" t="n">
        <f aca="false">INDEX(Monthly!$C$77:$BJ$77,E$3*12)</f>
        <v>18638.4100661324</v>
      </c>
      <c r="F6" s="69" t="n">
        <f aca="false">INDEX(Monthly!$C$77:$BJ$77,F$3*12)</f>
        <v>19773.4892391598</v>
      </c>
    </row>
    <row r="7" customFormat="false" ht="15" hidden="false" customHeight="false" outlineLevel="0" collapsed="false">
      <c r="A7" s="6" t="s">
        <v>91</v>
      </c>
      <c r="B7" s="69" t="n">
        <f aca="false">INDEX(Monthly!$C$78:$BJ$78,B$3*12)</f>
        <v>20419.0416666667</v>
      </c>
      <c r="C7" s="69" t="n">
        <f aca="false">INDEX(Monthly!$C$78:$BJ$78,C$3*12)</f>
        <v>21938.2189166667</v>
      </c>
      <c r="D7" s="69" t="n">
        <f aca="false">INDEX(Monthly!$C$78:$BJ$78,D$3*12)</f>
        <v>22957.0473486917</v>
      </c>
      <c r="E7" s="69" t="n">
        <f aca="false">INDEX(Monthly!$C$78:$BJ$78,E$3*12)</f>
        <v>24028.406159227</v>
      </c>
      <c r="F7" s="69" t="n">
        <f aca="false">INDEX(Monthly!$C$78:$BJ$78,F$3*12)</f>
        <v>25155.2089601339</v>
      </c>
    </row>
    <row r="8" customFormat="false" ht="15" hidden="false" customHeight="false" outlineLevel="0" collapsed="false">
      <c r="A8" s="6" t="s">
        <v>92</v>
      </c>
      <c r="B8" s="69" t="n">
        <f aca="false">INDEX(Monthly!$C$68:$BJ$68,B$3*12)</f>
        <v>334250</v>
      </c>
      <c r="C8" s="69" t="n">
        <f aca="false">INDEX(Monthly!$C$68:$BJ$68,C$3*12)</f>
        <v>304000</v>
      </c>
      <c r="D8" s="69" t="n">
        <f aca="false">INDEX(Monthly!$C$68:$BJ$68,D$3*12)</f>
        <v>271250</v>
      </c>
      <c r="E8" s="69" t="n">
        <f aca="false">INDEX(Monthly!$C$68:$BJ$68,E$3*12)</f>
        <v>236000</v>
      </c>
      <c r="F8" s="69" t="n">
        <f aca="false">INDEX(Monthly!$C$68:$BJ$68,F$3*12)</f>
        <v>198250</v>
      </c>
    </row>
    <row r="9" customFormat="false" ht="15" hidden="false" customHeight="false" outlineLevel="0" collapsed="false">
      <c r="A9" s="115" t="s">
        <v>93</v>
      </c>
      <c r="B9" s="70" t="n">
        <f aca="false">INDEX(Monthly!$C$105:$BJ$105,B$3*12)</f>
        <v>461149.512648809</v>
      </c>
      <c r="C9" s="70" t="n">
        <f aca="false">INDEX(Monthly!$C$105:$BJ$105,C$3*12)</f>
        <v>626676.239144345</v>
      </c>
      <c r="D9" s="70" t="n">
        <f aca="false">INDEX(Monthly!$C$105:$BJ$105,D$3*12)</f>
        <v>824375.320811812</v>
      </c>
      <c r="E9" s="70" t="n">
        <f aca="false">INDEX(Monthly!$C$105:$BJ$105,E$3*12)</f>
        <v>1055022.40587084</v>
      </c>
      <c r="F9" s="70" t="n">
        <f aca="false">INDEX(Monthly!$C$105:$BJ$105,F$3*12)</f>
        <v>1342222.77911331</v>
      </c>
    </row>
    <row r="10" customFormat="false" ht="15" hidden="false" customHeight="false" outlineLevel="0" collapsed="false">
      <c r="A10" s="6" t="s">
        <v>94</v>
      </c>
      <c r="B10" s="69" t="n">
        <f aca="false">INDEX(Monthly!$C$79:$BJ$79,B$3*12)</f>
        <v>63809.5052083333</v>
      </c>
      <c r="C10" s="69" t="n">
        <f aca="false">INDEX(Monthly!$C$79:$BJ$79,C$3*12)</f>
        <v>68556.9341145833</v>
      </c>
      <c r="D10" s="69" t="n">
        <f aca="false">INDEX(Monthly!$C$79:$BJ$79,D$3*12)</f>
        <v>71740.7729646615</v>
      </c>
      <c r="E10" s="69" t="n">
        <f aca="false">INDEX(Monthly!$C$79:$BJ$79,E$3*12)</f>
        <v>75088.7692475844</v>
      </c>
      <c r="F10" s="69" t="n">
        <f aca="false">INDEX(Monthly!$C$79:$BJ$79,F$3*12)</f>
        <v>78610.0280004185</v>
      </c>
    </row>
    <row r="11" customFormat="false" ht="15" hidden="false" customHeight="false" outlineLevel="0" collapsed="false">
      <c r="A11" s="6" t="s">
        <v>95</v>
      </c>
      <c r="B11" s="69" t="n">
        <f aca="false">INDEX(Monthly!$C$74:$BJ$74,B$3*12)</f>
        <v>217261.904761905</v>
      </c>
      <c r="C11" s="69" t="n">
        <f aca="false">INDEX(Monthly!$C$74:$BJ$74,C$3*12)</f>
        <v>181547.619047619</v>
      </c>
      <c r="D11" s="69" t="n">
        <f aca="false">INDEX(Monthly!$C$74:$BJ$74,D$3*12)</f>
        <v>145833.333333333</v>
      </c>
      <c r="E11" s="69" t="n">
        <f aca="false">INDEX(Monthly!$C$74:$BJ$74,E$3*12)</f>
        <v>110119.047619048</v>
      </c>
      <c r="F11" s="69" t="n">
        <f aca="false">INDEX(Monthly!$C$74:$BJ$74,F$3*12)</f>
        <v>74404.7619047621</v>
      </c>
    </row>
    <row r="12" customFormat="false" ht="15" hidden="false" customHeight="false" outlineLevel="0" collapsed="false">
      <c r="A12" s="116" t="s">
        <v>96</v>
      </c>
      <c r="B12" s="117" t="n">
        <f aca="false">INDEX(Monthly!$C$106:$BJ$106,B$3*12)</f>
        <v>281071.409970238</v>
      </c>
      <c r="C12" s="117" t="n">
        <f aca="false">INDEX(Monthly!$C$106:$BJ$106,C$3*12)</f>
        <v>250104.553162202</v>
      </c>
      <c r="D12" s="117" t="n">
        <f aca="false">INDEX(Monthly!$C$106:$BJ$106,D$3*12)</f>
        <v>217574.106297995</v>
      </c>
      <c r="E12" s="117" t="n">
        <f aca="false">INDEX(Monthly!$C$106:$BJ$106,E$3*12)</f>
        <v>185207.816866632</v>
      </c>
      <c r="F12" s="117" t="n">
        <f aca="false">INDEX(Monthly!$C$106:$BJ$106,F$3*12)</f>
        <v>153014.789905181</v>
      </c>
    </row>
    <row r="13" customFormat="false" ht="15" hidden="false" customHeight="false" outlineLevel="0" collapsed="false">
      <c r="A13" s="6" t="s">
        <v>97</v>
      </c>
      <c r="B13" s="69" t="n">
        <f aca="false">INDEX(Monthly!$C$103:$BJ$103,B$3*12)</f>
        <v>480000</v>
      </c>
      <c r="C13" s="69" t="n">
        <f aca="false">INDEX(Monthly!$C$103:$BJ$103,C$3*12)</f>
        <v>480000</v>
      </c>
      <c r="D13" s="69" t="n">
        <f aca="false">INDEX(Monthly!$C$103:$BJ$103,D$3*12)</f>
        <v>480000</v>
      </c>
      <c r="E13" s="69" t="n">
        <f aca="false">INDEX(Monthly!$C$103:$BJ$103,E$3*12)</f>
        <v>480000</v>
      </c>
      <c r="F13" s="69" t="n">
        <f aca="false">INDEX(Monthly!$C$103:$BJ$103,F$3*12)</f>
        <v>480000</v>
      </c>
    </row>
    <row r="14" customFormat="false" ht="15" hidden="false" customHeight="false" outlineLevel="0" collapsed="false">
      <c r="A14" s="6" t="s">
        <v>98</v>
      </c>
      <c r="B14" s="69" t="n">
        <f aca="false">INDEX(Monthly!$C$104:$BJ$104,B$3*12)</f>
        <v>-299921.897321429</v>
      </c>
      <c r="C14" s="69" t="n">
        <f aca="false">INDEX(Monthly!$C$104:$BJ$104,C$3*12)</f>
        <v>-103428.314017857</v>
      </c>
      <c r="D14" s="69" t="n">
        <f aca="false">INDEX(Monthly!$C$104:$BJ$104,D$3*12)</f>
        <v>126801.214513818</v>
      </c>
      <c r="E14" s="69" t="n">
        <f aca="false">INDEX(Monthly!$C$104:$BJ$104,E$3*12)</f>
        <v>389814.589004208</v>
      </c>
      <c r="F14" s="69" t="n">
        <f aca="false">INDEX(Monthly!$C$104:$BJ$104,F$3*12)</f>
        <v>709207.989208132</v>
      </c>
    </row>
    <row r="15" customFormat="false" ht="15" hidden="false" customHeight="false" outlineLevel="0" collapsed="false">
      <c r="A15" s="116" t="s">
        <v>99</v>
      </c>
      <c r="B15" s="117" t="n">
        <f aca="false">INDEX(Monthly!$C$107:$BJ$107,B$3*12)</f>
        <v>180078.102678571</v>
      </c>
      <c r="C15" s="117" t="n">
        <f aca="false">INDEX(Monthly!$C$107:$BJ$107,C$3*12)</f>
        <v>376571.685982143</v>
      </c>
      <c r="D15" s="117" t="n">
        <f aca="false">INDEX(Monthly!$C$107:$BJ$107,D$3*12)</f>
        <v>606801.214513818</v>
      </c>
      <c r="E15" s="117" t="n">
        <f aca="false">INDEX(Monthly!$C$107:$BJ$107,E$3*12)</f>
        <v>869814.589004209</v>
      </c>
      <c r="F15" s="117" t="n">
        <f aca="false">INDEX(Monthly!$C$107:$BJ$107,F$3*12)</f>
        <v>1189207.98920813</v>
      </c>
    </row>
    <row r="16" customFormat="false" ht="15" hidden="false" customHeight="false" outlineLevel="0" collapsed="false">
      <c r="A16" s="72" t="s">
        <v>100</v>
      </c>
      <c r="B16" s="73" t="n">
        <f aca="false">INDEX(Monthly!$C$108:$BJ$108,B$3*12)</f>
        <v>461149.51264881</v>
      </c>
      <c r="C16" s="73" t="n">
        <f aca="false">INDEX(Monthly!$C$108:$BJ$108,C$3*12)</f>
        <v>626676.239144345</v>
      </c>
      <c r="D16" s="73" t="n">
        <f aca="false">INDEX(Monthly!$C$108:$BJ$108,D$3*12)</f>
        <v>824375.320811813</v>
      </c>
      <c r="E16" s="73" t="n">
        <f aca="false">INDEX(Monthly!$C$108:$BJ$108,E$3*12)</f>
        <v>1055022.40587084</v>
      </c>
      <c r="F16" s="73" t="n">
        <f aca="false">INDEX(Monthly!$C$108:$BJ$108,F$3*12)</f>
        <v>1342222.77911331</v>
      </c>
    </row>
    <row r="17" customFormat="false" ht="15" hidden="false" customHeight="false" outlineLevel="0" collapsed="false">
      <c r="A17" s="6" t="s">
        <v>344</v>
      </c>
      <c r="B17" s="69" t="n">
        <f aca="false">INDEX(Monthly!$C$109:$BJ$109,B$3*12)</f>
        <v>0</v>
      </c>
      <c r="C17" s="69" t="n">
        <f aca="false">INDEX(Monthly!$C$109:$BJ$109,C$3*12)</f>
        <v>0</v>
      </c>
      <c r="D17" s="69" t="n">
        <f aca="false">INDEX(Monthly!$C$109:$BJ$109,D$3*12)</f>
        <v>0</v>
      </c>
      <c r="E17" s="69" t="n">
        <f aca="false">INDEX(Monthly!$C$109:$BJ$109,E$3*12)</f>
        <v>0</v>
      </c>
      <c r="F17" s="69" t="n">
        <f aca="false">INDEX(Monthly!$C$109:$BJ$109,F$3*12)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0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345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346</v>
      </c>
    </row>
    <row r="3" customFormat="false" ht="15" hidden="false" customHeight="false" outlineLevel="0" collapsed="false">
      <c r="A3" s="33" t="s">
        <v>347</v>
      </c>
      <c r="C3" s="52" t="s">
        <v>348</v>
      </c>
      <c r="D3" s="52" t="s">
        <v>349</v>
      </c>
      <c r="E3" s="52" t="s">
        <v>350</v>
      </c>
      <c r="F3" s="52" t="s">
        <v>351</v>
      </c>
      <c r="G3" s="52" t="s">
        <v>352</v>
      </c>
      <c r="H3" s="52" t="s">
        <v>353</v>
      </c>
      <c r="I3" s="52" t="s">
        <v>354</v>
      </c>
      <c r="J3" s="52" t="s">
        <v>355</v>
      </c>
      <c r="K3" s="52" t="s">
        <v>356</v>
      </c>
      <c r="L3" s="52" t="s">
        <v>357</v>
      </c>
      <c r="M3" s="52" t="s">
        <v>358</v>
      </c>
      <c r="N3" s="52" t="s">
        <v>359</v>
      </c>
      <c r="O3" s="52" t="s">
        <v>360</v>
      </c>
      <c r="P3" s="52" t="s">
        <v>361</v>
      </c>
      <c r="Q3" s="52" t="s">
        <v>362</v>
      </c>
      <c r="R3" s="52" t="s">
        <v>363</v>
      </c>
      <c r="S3" s="52" t="s">
        <v>364</v>
      </c>
      <c r="T3" s="52" t="s">
        <v>365</v>
      </c>
      <c r="U3" s="52" t="s">
        <v>366</v>
      </c>
      <c r="V3" s="52" t="s">
        <v>367</v>
      </c>
      <c r="W3" s="52" t="s">
        <v>368</v>
      </c>
      <c r="X3" s="52" t="s">
        <v>369</v>
      </c>
      <c r="Y3" s="52" t="s">
        <v>370</v>
      </c>
      <c r="Z3" s="52" t="s">
        <v>371</v>
      </c>
      <c r="AA3" s="52" t="s">
        <v>372</v>
      </c>
      <c r="AB3" s="52" t="s">
        <v>373</v>
      </c>
      <c r="AC3" s="52" t="s">
        <v>374</v>
      </c>
      <c r="AD3" s="52" t="s">
        <v>375</v>
      </c>
      <c r="AE3" s="52" t="s">
        <v>376</v>
      </c>
      <c r="AF3" s="52" t="s">
        <v>377</v>
      </c>
      <c r="AG3" s="52" t="s">
        <v>378</v>
      </c>
      <c r="AH3" s="52" t="s">
        <v>379</v>
      </c>
      <c r="AI3" s="52" t="s">
        <v>380</v>
      </c>
      <c r="AJ3" s="52" t="s">
        <v>381</v>
      </c>
      <c r="AK3" s="52" t="s">
        <v>382</v>
      </c>
      <c r="AL3" s="52" t="s">
        <v>383</v>
      </c>
      <c r="AM3" s="52" t="s">
        <v>384</v>
      </c>
      <c r="AN3" s="52" t="s">
        <v>385</v>
      </c>
      <c r="AO3" s="52" t="s">
        <v>386</v>
      </c>
      <c r="AP3" s="52" t="s">
        <v>387</v>
      </c>
      <c r="AQ3" s="52" t="s">
        <v>388</v>
      </c>
      <c r="AR3" s="52" t="s">
        <v>389</v>
      </c>
      <c r="AS3" s="52" t="s">
        <v>390</v>
      </c>
      <c r="AT3" s="52" t="s">
        <v>391</v>
      </c>
      <c r="AU3" s="52" t="s">
        <v>392</v>
      </c>
      <c r="AV3" s="52" t="s">
        <v>393</v>
      </c>
      <c r="AW3" s="52" t="s">
        <v>394</v>
      </c>
      <c r="AX3" s="52" t="s">
        <v>395</v>
      </c>
      <c r="AY3" s="52" t="s">
        <v>396</v>
      </c>
      <c r="AZ3" s="52" t="s">
        <v>397</v>
      </c>
      <c r="BA3" s="52" t="s">
        <v>398</v>
      </c>
      <c r="BB3" s="52" t="s">
        <v>399</v>
      </c>
      <c r="BC3" s="52" t="s">
        <v>400</v>
      </c>
      <c r="BD3" s="52" t="s">
        <v>401</v>
      </c>
      <c r="BE3" s="52" t="s">
        <v>402</v>
      </c>
      <c r="BF3" s="52" t="s">
        <v>403</v>
      </c>
      <c r="BG3" s="52" t="s">
        <v>404</v>
      </c>
      <c r="BH3" s="52" t="s">
        <v>405</v>
      </c>
      <c r="BI3" s="52" t="s">
        <v>406</v>
      </c>
      <c r="BJ3" s="52" t="s">
        <v>407</v>
      </c>
    </row>
    <row r="4" customFormat="false" ht="15" hidden="false" customHeight="false" outlineLevel="0" collapsed="false">
      <c r="A4" s="74" t="s">
        <v>408</v>
      </c>
      <c r="C4" s="74" t="n">
        <v>1</v>
      </c>
      <c r="D4" s="74" t="n">
        <v>2</v>
      </c>
      <c r="E4" s="74" t="n">
        <v>3</v>
      </c>
      <c r="F4" s="74" t="n">
        <v>4</v>
      </c>
      <c r="G4" s="74" t="n">
        <v>5</v>
      </c>
      <c r="H4" s="74" t="n">
        <v>6</v>
      </c>
      <c r="I4" s="74" t="n">
        <v>7</v>
      </c>
      <c r="J4" s="74" t="n">
        <v>8</v>
      </c>
      <c r="K4" s="74" t="n">
        <v>9</v>
      </c>
      <c r="L4" s="74" t="n">
        <v>10</v>
      </c>
      <c r="M4" s="74" t="n">
        <v>11</v>
      </c>
      <c r="N4" s="74" t="n">
        <v>12</v>
      </c>
      <c r="O4" s="74" t="n">
        <v>13</v>
      </c>
      <c r="P4" s="74" t="n">
        <v>14</v>
      </c>
      <c r="Q4" s="74" t="n">
        <v>15</v>
      </c>
      <c r="R4" s="74" t="n">
        <v>16</v>
      </c>
      <c r="S4" s="74" t="n">
        <v>17</v>
      </c>
      <c r="T4" s="74" t="n">
        <v>18</v>
      </c>
      <c r="U4" s="74" t="n">
        <v>19</v>
      </c>
      <c r="V4" s="74" t="n">
        <v>20</v>
      </c>
      <c r="W4" s="74" t="n">
        <v>21</v>
      </c>
      <c r="X4" s="74" t="n">
        <v>22</v>
      </c>
      <c r="Y4" s="74" t="n">
        <v>23</v>
      </c>
      <c r="Z4" s="74" t="n">
        <v>24</v>
      </c>
      <c r="AA4" s="74" t="n">
        <v>25</v>
      </c>
      <c r="AB4" s="74" t="n">
        <v>26</v>
      </c>
      <c r="AC4" s="74" t="n">
        <v>27</v>
      </c>
      <c r="AD4" s="74" t="n">
        <v>28</v>
      </c>
      <c r="AE4" s="74" t="n">
        <v>29</v>
      </c>
      <c r="AF4" s="74" t="n">
        <v>30</v>
      </c>
      <c r="AG4" s="74" t="n">
        <v>31</v>
      </c>
      <c r="AH4" s="74" t="n">
        <v>32</v>
      </c>
      <c r="AI4" s="74" t="n">
        <v>33</v>
      </c>
      <c r="AJ4" s="74" t="n">
        <v>34</v>
      </c>
      <c r="AK4" s="74" t="n">
        <v>35</v>
      </c>
      <c r="AL4" s="74" t="n">
        <v>36</v>
      </c>
      <c r="AM4" s="74" t="n">
        <v>37</v>
      </c>
      <c r="AN4" s="74" t="n">
        <v>38</v>
      </c>
      <c r="AO4" s="74" t="n">
        <v>39</v>
      </c>
      <c r="AP4" s="74" t="n">
        <v>40</v>
      </c>
      <c r="AQ4" s="74" t="n">
        <v>41</v>
      </c>
      <c r="AR4" s="74" t="n">
        <v>42</v>
      </c>
      <c r="AS4" s="74" t="n">
        <v>43</v>
      </c>
      <c r="AT4" s="74" t="n">
        <v>44</v>
      </c>
      <c r="AU4" s="74" t="n">
        <v>45</v>
      </c>
      <c r="AV4" s="74" t="n">
        <v>46</v>
      </c>
      <c r="AW4" s="74" t="n">
        <v>47</v>
      </c>
      <c r="AX4" s="74" t="n">
        <v>48</v>
      </c>
      <c r="AY4" s="74" t="n">
        <v>49</v>
      </c>
      <c r="AZ4" s="74" t="n">
        <v>50</v>
      </c>
      <c r="BA4" s="74" t="n">
        <v>51</v>
      </c>
      <c r="BB4" s="74" t="n">
        <v>52</v>
      </c>
      <c r="BC4" s="74" t="n">
        <v>53</v>
      </c>
      <c r="BD4" s="74" t="n">
        <v>54</v>
      </c>
      <c r="BE4" s="74" t="n">
        <v>55</v>
      </c>
      <c r="BF4" s="74" t="n">
        <v>56</v>
      </c>
      <c r="BG4" s="74" t="n">
        <v>57</v>
      </c>
      <c r="BH4" s="74" t="n">
        <v>58</v>
      </c>
      <c r="BI4" s="74" t="n">
        <v>59</v>
      </c>
      <c r="BJ4" s="74" t="n">
        <v>60</v>
      </c>
    </row>
    <row r="5" customFormat="false" ht="15" hidden="false" customHeight="false" outlineLevel="0" collapsed="false">
      <c r="A5" s="74" t="s">
        <v>154</v>
      </c>
      <c r="C5" s="74" t="n">
        <f aca="false">ROUNDUP(C4*1/12,0)</f>
        <v>1</v>
      </c>
      <c r="D5" s="74" t="n">
        <f aca="false">ROUNDUP(D4*1/12,0)</f>
        <v>1</v>
      </c>
      <c r="E5" s="74" t="n">
        <f aca="false">ROUNDUP(E4*1/12,0)</f>
        <v>1</v>
      </c>
      <c r="F5" s="74" t="n">
        <f aca="false">ROUNDUP(F4*1/12,0)</f>
        <v>1</v>
      </c>
      <c r="G5" s="74" t="n">
        <f aca="false">ROUNDUP(G4*1/12,0)</f>
        <v>1</v>
      </c>
      <c r="H5" s="74" t="n">
        <f aca="false">ROUNDUP(H4*1/12,0)</f>
        <v>1</v>
      </c>
      <c r="I5" s="74" t="n">
        <f aca="false">ROUNDUP(I4*1/12,0)</f>
        <v>1</v>
      </c>
      <c r="J5" s="74" t="n">
        <f aca="false">ROUNDUP(J4*1/12,0)</f>
        <v>1</v>
      </c>
      <c r="K5" s="74" t="n">
        <f aca="false">ROUNDUP(K4*1/12,0)</f>
        <v>1</v>
      </c>
      <c r="L5" s="74" t="n">
        <f aca="false">ROUNDUP(L4*1/12,0)</f>
        <v>1</v>
      </c>
      <c r="M5" s="74" t="n">
        <f aca="false">ROUNDUP(M4*1/12,0)</f>
        <v>1</v>
      </c>
      <c r="N5" s="74" t="n">
        <f aca="false">ROUNDUP(N4*1/12,0)</f>
        <v>1</v>
      </c>
      <c r="O5" s="74" t="n">
        <f aca="false">ROUNDUP(O4*1/12,0)</f>
        <v>2</v>
      </c>
      <c r="P5" s="74" t="n">
        <f aca="false">ROUNDUP(P4*1/12,0)</f>
        <v>2</v>
      </c>
      <c r="Q5" s="74" t="n">
        <f aca="false">ROUNDUP(Q4*1/12,0)</f>
        <v>2</v>
      </c>
      <c r="R5" s="74" t="n">
        <f aca="false">ROUNDUP(R4*1/12,0)</f>
        <v>2</v>
      </c>
      <c r="S5" s="74" t="n">
        <f aca="false">ROUNDUP(S4*1/12,0)</f>
        <v>2</v>
      </c>
      <c r="T5" s="74" t="n">
        <f aca="false">ROUNDUP(T4*1/12,0)</f>
        <v>2</v>
      </c>
      <c r="U5" s="74" t="n">
        <f aca="false">ROUNDUP(U4*1/12,0)</f>
        <v>2</v>
      </c>
      <c r="V5" s="74" t="n">
        <f aca="false">ROUNDUP(V4*1/12,0)</f>
        <v>2</v>
      </c>
      <c r="W5" s="74" t="n">
        <f aca="false">ROUNDUP(W4*1/12,0)</f>
        <v>2</v>
      </c>
      <c r="X5" s="74" t="n">
        <f aca="false">ROUNDUP(X4*1/12,0)</f>
        <v>2</v>
      </c>
      <c r="Y5" s="74" t="n">
        <f aca="false">ROUNDUP(Y4*1/12,0)</f>
        <v>2</v>
      </c>
      <c r="Z5" s="74" t="n">
        <f aca="false">ROUNDUP(Z4*1/12,0)</f>
        <v>2</v>
      </c>
      <c r="AA5" s="74" t="n">
        <f aca="false">ROUNDUP(AA4*1/12,0)</f>
        <v>3</v>
      </c>
      <c r="AB5" s="74" t="n">
        <f aca="false">ROUNDUP(AB4*1/12,0)</f>
        <v>3</v>
      </c>
      <c r="AC5" s="74" t="n">
        <f aca="false">ROUNDUP(AC4*1/12,0)</f>
        <v>3</v>
      </c>
      <c r="AD5" s="74" t="n">
        <f aca="false">ROUNDUP(AD4*1/12,0)</f>
        <v>3</v>
      </c>
      <c r="AE5" s="74" t="n">
        <f aca="false">ROUNDUP(AE4*1/12,0)</f>
        <v>3</v>
      </c>
      <c r="AF5" s="74" t="n">
        <f aca="false">ROUNDUP(AF4*1/12,0)</f>
        <v>3</v>
      </c>
      <c r="AG5" s="74" t="n">
        <f aca="false">ROUNDUP(AG4*1/12,0)</f>
        <v>3</v>
      </c>
      <c r="AH5" s="74" t="n">
        <f aca="false">ROUNDUP(AH4*1/12,0)</f>
        <v>3</v>
      </c>
      <c r="AI5" s="74" t="n">
        <f aca="false">ROUNDUP(AI4*1/12,0)</f>
        <v>3</v>
      </c>
      <c r="AJ5" s="74" t="n">
        <f aca="false">ROUNDUP(AJ4*1/12,0)</f>
        <v>3</v>
      </c>
      <c r="AK5" s="74" t="n">
        <f aca="false">ROUNDUP(AK4*1/12,0)</f>
        <v>3</v>
      </c>
      <c r="AL5" s="74" t="n">
        <f aca="false">ROUNDUP(AL4*1/12,0)</f>
        <v>3</v>
      </c>
      <c r="AM5" s="74" t="n">
        <f aca="false">ROUNDUP(AM4*1/12,0)</f>
        <v>4</v>
      </c>
      <c r="AN5" s="74" t="n">
        <f aca="false">ROUNDUP(AN4*1/12,0)</f>
        <v>4</v>
      </c>
      <c r="AO5" s="74" t="n">
        <f aca="false">ROUNDUP(AO4*1/12,0)</f>
        <v>4</v>
      </c>
      <c r="AP5" s="74" t="n">
        <f aca="false">ROUNDUP(AP4*1/12,0)</f>
        <v>4</v>
      </c>
      <c r="AQ5" s="74" t="n">
        <f aca="false">ROUNDUP(AQ4*1/12,0)</f>
        <v>4</v>
      </c>
      <c r="AR5" s="74" t="n">
        <f aca="false">ROUNDUP(AR4*1/12,0)</f>
        <v>4</v>
      </c>
      <c r="AS5" s="74" t="n">
        <f aca="false">ROUNDUP(AS4*1/12,0)</f>
        <v>4</v>
      </c>
      <c r="AT5" s="74" t="n">
        <f aca="false">ROUNDUP(AT4*1/12,0)</f>
        <v>4</v>
      </c>
      <c r="AU5" s="74" t="n">
        <f aca="false">ROUNDUP(AU4*1/12,0)</f>
        <v>4</v>
      </c>
      <c r="AV5" s="74" t="n">
        <f aca="false">ROUNDUP(AV4*1/12,0)</f>
        <v>4</v>
      </c>
      <c r="AW5" s="74" t="n">
        <f aca="false">ROUNDUP(AW4*1/12,0)</f>
        <v>4</v>
      </c>
      <c r="AX5" s="74" t="n">
        <f aca="false">ROUNDUP(AX4*1/12,0)</f>
        <v>4</v>
      </c>
      <c r="AY5" s="74" t="n">
        <f aca="false">ROUNDUP(AY4*1/12,0)</f>
        <v>5</v>
      </c>
      <c r="AZ5" s="74" t="n">
        <f aca="false">ROUNDUP(AZ4*1/12,0)</f>
        <v>5</v>
      </c>
      <c r="BA5" s="74" t="n">
        <f aca="false">ROUNDUP(BA4*1/12,0)</f>
        <v>5</v>
      </c>
      <c r="BB5" s="74" t="n">
        <f aca="false">ROUNDUP(BB4*1/12,0)</f>
        <v>5</v>
      </c>
      <c r="BC5" s="74" t="n">
        <f aca="false">ROUNDUP(BC4*1/12,0)</f>
        <v>5</v>
      </c>
      <c r="BD5" s="74" t="n">
        <f aca="false">ROUNDUP(BD4*1/12,0)</f>
        <v>5</v>
      </c>
      <c r="BE5" s="74" t="n">
        <f aca="false">ROUNDUP(BE4*1/12,0)</f>
        <v>5</v>
      </c>
      <c r="BF5" s="74" t="n">
        <f aca="false">ROUNDUP(BF4*1/12,0)</f>
        <v>5</v>
      </c>
      <c r="BG5" s="74" t="n">
        <f aca="false">ROUNDUP(BG4*1/12,0)</f>
        <v>5</v>
      </c>
      <c r="BH5" s="74" t="n">
        <f aca="false">ROUNDUP(BH4*1/12,0)</f>
        <v>5</v>
      </c>
      <c r="BI5" s="74" t="n">
        <f aca="false">ROUNDUP(BI4*1/12,0)</f>
        <v>5</v>
      </c>
      <c r="BJ5" s="74" t="n">
        <f aca="false">ROUNDUP(BJ4*1/12,0)</f>
        <v>5</v>
      </c>
    </row>
    <row r="7" customFormat="false" ht="15.75" hidden="false" customHeight="true" outlineLevel="0" collapsed="false">
      <c r="A7" s="7" t="s">
        <v>409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118" t="s">
        <v>410</v>
      </c>
      <c r="C8" s="119" t="n">
        <f aca="false">MAX(0,MIN(1,Inputs!$E$11-(C$4-1)*1))</f>
        <v>1</v>
      </c>
      <c r="D8" s="119" t="n">
        <f aca="false">MAX(0,MIN(1,Inputs!$E$11-(D$4-1)*1))</f>
        <v>1</v>
      </c>
      <c r="E8" s="119" t="n">
        <f aca="false">MAX(0,MIN(1,Inputs!$E$11-(E$4-1)*1))</f>
        <v>1</v>
      </c>
      <c r="F8" s="119" t="n">
        <f aca="false">MAX(0,MIN(1,Inputs!$E$11-(F$4-1)*1))</f>
        <v>1</v>
      </c>
      <c r="G8" s="119" t="n">
        <f aca="false">MAX(0,MIN(1,Inputs!$E$11-(G$4-1)*1))</f>
        <v>1</v>
      </c>
      <c r="H8" s="119" t="n">
        <f aca="false">MAX(0,MIN(1,Inputs!$E$11-(H$4-1)*1))</f>
        <v>1</v>
      </c>
      <c r="I8" s="119" t="n">
        <f aca="false">MAX(0,MIN(1,Inputs!$E$11-(I$4-1)*1))</f>
        <v>1</v>
      </c>
      <c r="J8" s="119" t="n">
        <f aca="false">MAX(0,MIN(1,Inputs!$E$11-(J$4-1)*1))</f>
        <v>1</v>
      </c>
      <c r="K8" s="119" t="n">
        <f aca="false">MAX(0,MIN(1,Inputs!$E$11-(K$4-1)*1))</f>
        <v>1</v>
      </c>
      <c r="L8" s="119" t="n">
        <f aca="false">MAX(0,MIN(1,Inputs!$E$11-(L$4-1)*1))</f>
        <v>1</v>
      </c>
      <c r="M8" s="119" t="n">
        <f aca="false">MAX(0,MIN(1,Inputs!$E$11-(M$4-1)*1))</f>
        <v>1</v>
      </c>
      <c r="N8" s="119" t="n">
        <f aca="false">MAX(0,MIN(1,Inputs!$E$11-(N$4-1)*1))</f>
        <v>1</v>
      </c>
      <c r="O8" s="119" t="n">
        <f aca="false">MAX(0,MIN(1,Inputs!$E$11-(O$4-1)*1))</f>
        <v>0</v>
      </c>
      <c r="P8" s="119" t="n">
        <f aca="false">MAX(0,MIN(1,Inputs!$E$11-(P$4-1)*1))</f>
        <v>0</v>
      </c>
      <c r="Q8" s="119" t="n">
        <f aca="false">MAX(0,MIN(1,Inputs!$E$11-(Q$4-1)*1))</f>
        <v>0</v>
      </c>
      <c r="R8" s="119" t="n">
        <f aca="false">MAX(0,MIN(1,Inputs!$E$11-(R$4-1)*1))</f>
        <v>0</v>
      </c>
      <c r="S8" s="119" t="n">
        <f aca="false">MAX(0,MIN(1,Inputs!$E$11-(S$4-1)*1))</f>
        <v>0</v>
      </c>
      <c r="T8" s="119" t="n">
        <f aca="false">MAX(0,MIN(1,Inputs!$E$11-(T$4-1)*1))</f>
        <v>0</v>
      </c>
      <c r="U8" s="119" t="n">
        <f aca="false">MAX(0,MIN(1,Inputs!$E$11-(U$4-1)*1))</f>
        <v>0</v>
      </c>
      <c r="V8" s="119" t="n">
        <f aca="false">MAX(0,MIN(1,Inputs!$E$11-(V$4-1)*1))</f>
        <v>0</v>
      </c>
      <c r="W8" s="119" t="n">
        <f aca="false">MAX(0,MIN(1,Inputs!$E$11-(W$4-1)*1))</f>
        <v>0</v>
      </c>
      <c r="X8" s="119" t="n">
        <f aca="false">MAX(0,MIN(1,Inputs!$E$11-(X$4-1)*1))</f>
        <v>0</v>
      </c>
      <c r="Y8" s="119" t="n">
        <f aca="false">MAX(0,MIN(1,Inputs!$E$11-(Y$4-1)*1))</f>
        <v>0</v>
      </c>
      <c r="Z8" s="119" t="n">
        <f aca="false">MAX(0,MIN(1,Inputs!$E$11-(Z$4-1)*1))</f>
        <v>0</v>
      </c>
      <c r="AA8" s="119" t="n">
        <f aca="false">MAX(0,MIN(1,Inputs!$E$11-(AA$4-1)*1))</f>
        <v>0</v>
      </c>
      <c r="AB8" s="119" t="n">
        <f aca="false">MAX(0,MIN(1,Inputs!$E$11-(AB$4-1)*1))</f>
        <v>0</v>
      </c>
      <c r="AC8" s="119" t="n">
        <f aca="false">MAX(0,MIN(1,Inputs!$E$11-(AC$4-1)*1))</f>
        <v>0</v>
      </c>
      <c r="AD8" s="119" t="n">
        <f aca="false">MAX(0,MIN(1,Inputs!$E$11-(AD$4-1)*1))</f>
        <v>0</v>
      </c>
      <c r="AE8" s="119" t="n">
        <f aca="false">MAX(0,MIN(1,Inputs!$E$11-(AE$4-1)*1))</f>
        <v>0</v>
      </c>
      <c r="AF8" s="119" t="n">
        <f aca="false">MAX(0,MIN(1,Inputs!$E$11-(AF$4-1)*1))</f>
        <v>0</v>
      </c>
      <c r="AG8" s="119" t="n">
        <f aca="false">MAX(0,MIN(1,Inputs!$E$11-(AG$4-1)*1))</f>
        <v>0</v>
      </c>
      <c r="AH8" s="119" t="n">
        <f aca="false">MAX(0,MIN(1,Inputs!$E$11-(AH$4-1)*1))</f>
        <v>0</v>
      </c>
      <c r="AI8" s="119" t="n">
        <f aca="false">MAX(0,MIN(1,Inputs!$E$11-(AI$4-1)*1))</f>
        <v>0</v>
      </c>
      <c r="AJ8" s="119" t="n">
        <f aca="false">MAX(0,MIN(1,Inputs!$E$11-(AJ$4-1)*1))</f>
        <v>0</v>
      </c>
      <c r="AK8" s="119" t="n">
        <f aca="false">MAX(0,MIN(1,Inputs!$E$11-(AK$4-1)*1))</f>
        <v>0</v>
      </c>
      <c r="AL8" s="119" t="n">
        <f aca="false">MAX(0,MIN(1,Inputs!$E$11-(AL$4-1)*1))</f>
        <v>0</v>
      </c>
      <c r="AM8" s="119" t="n">
        <f aca="false">MAX(0,MIN(1,Inputs!$E$11-(AM$4-1)*1))</f>
        <v>0</v>
      </c>
      <c r="AN8" s="119" t="n">
        <f aca="false">MAX(0,MIN(1,Inputs!$E$11-(AN$4-1)*1))</f>
        <v>0</v>
      </c>
      <c r="AO8" s="119" t="n">
        <f aca="false">MAX(0,MIN(1,Inputs!$E$11-(AO$4-1)*1))</f>
        <v>0</v>
      </c>
      <c r="AP8" s="119" t="n">
        <f aca="false">MAX(0,MIN(1,Inputs!$E$11-(AP$4-1)*1))</f>
        <v>0</v>
      </c>
      <c r="AQ8" s="119" t="n">
        <f aca="false">MAX(0,MIN(1,Inputs!$E$11-(AQ$4-1)*1))</f>
        <v>0</v>
      </c>
      <c r="AR8" s="119" t="n">
        <f aca="false">MAX(0,MIN(1,Inputs!$E$11-(AR$4-1)*1))</f>
        <v>0</v>
      </c>
      <c r="AS8" s="119" t="n">
        <f aca="false">MAX(0,MIN(1,Inputs!$E$11-(AS$4-1)*1))</f>
        <v>0</v>
      </c>
      <c r="AT8" s="119" t="n">
        <f aca="false">MAX(0,MIN(1,Inputs!$E$11-(AT$4-1)*1))</f>
        <v>0</v>
      </c>
      <c r="AU8" s="119" t="n">
        <f aca="false">MAX(0,MIN(1,Inputs!$E$11-(AU$4-1)*1))</f>
        <v>0</v>
      </c>
      <c r="AV8" s="119" t="n">
        <f aca="false">MAX(0,MIN(1,Inputs!$E$11-(AV$4-1)*1))</f>
        <v>0</v>
      </c>
      <c r="AW8" s="119" t="n">
        <f aca="false">MAX(0,MIN(1,Inputs!$E$11-(AW$4-1)*1))</f>
        <v>0</v>
      </c>
      <c r="AX8" s="119" t="n">
        <f aca="false">MAX(0,MIN(1,Inputs!$E$11-(AX$4-1)*1))</f>
        <v>0</v>
      </c>
      <c r="AY8" s="119" t="n">
        <f aca="false">MAX(0,MIN(1,Inputs!$E$11-(AY$4-1)*1))</f>
        <v>0</v>
      </c>
      <c r="AZ8" s="119" t="n">
        <f aca="false">MAX(0,MIN(1,Inputs!$E$11-(AZ$4-1)*1))</f>
        <v>0</v>
      </c>
      <c r="BA8" s="119" t="n">
        <f aca="false">MAX(0,MIN(1,Inputs!$E$11-(BA$4-1)*1))</f>
        <v>0</v>
      </c>
      <c r="BB8" s="119" t="n">
        <f aca="false">MAX(0,MIN(1,Inputs!$E$11-(BB$4-1)*1))</f>
        <v>0</v>
      </c>
      <c r="BC8" s="119" t="n">
        <f aca="false">MAX(0,MIN(1,Inputs!$E$11-(BC$4-1)*1))</f>
        <v>0</v>
      </c>
      <c r="BD8" s="119" t="n">
        <f aca="false">MAX(0,MIN(1,Inputs!$E$11-(BD$4-1)*1))</f>
        <v>0</v>
      </c>
      <c r="BE8" s="119" t="n">
        <f aca="false">MAX(0,MIN(1,Inputs!$E$11-(BE$4-1)*1))</f>
        <v>0</v>
      </c>
      <c r="BF8" s="119" t="n">
        <f aca="false">MAX(0,MIN(1,Inputs!$E$11-(BF$4-1)*1))</f>
        <v>0</v>
      </c>
      <c r="BG8" s="119" t="n">
        <f aca="false">MAX(0,MIN(1,Inputs!$E$11-(BG$4-1)*1))</f>
        <v>0</v>
      </c>
      <c r="BH8" s="119" t="n">
        <f aca="false">MAX(0,MIN(1,Inputs!$E$11-(BH$4-1)*1))</f>
        <v>0</v>
      </c>
      <c r="BI8" s="119" t="n">
        <f aca="false">MAX(0,MIN(1,Inputs!$E$11-(BI$4-1)*1))</f>
        <v>0</v>
      </c>
      <c r="BJ8" s="119" t="n">
        <f aca="false">MAX(0,MIN(1,Inputs!$E$11-(BJ$4-1)*1))</f>
        <v>0</v>
      </c>
    </row>
    <row r="9" customFormat="false" ht="15" hidden="false" customHeight="false" outlineLevel="0" collapsed="false">
      <c r="A9" s="38" t="s">
        <v>411</v>
      </c>
      <c r="C9" s="76" t="n">
        <f aca="false">IF(Inputs!$E$11&lt;=0,1,(C8*Inputs!$E$12+(1-Inputs!$E$12)/MAX(1,Inputs!$E$11)*(C8*(C$4-1)*1+C8*(C8-1)/2)+1-C8)/1)</f>
        <v>0.4</v>
      </c>
      <c r="D9" s="76" t="n">
        <f aca="false">IF(Inputs!$E$11&lt;=0,1,(D8*Inputs!$E$12+(1-Inputs!$E$12)/MAX(1,Inputs!$E$11)*(D8*(D$4-1)*1+D8*(D8-1)/2)+1-D8)/1)</f>
        <v>0.45</v>
      </c>
      <c r="E9" s="76" t="n">
        <f aca="false">IF(Inputs!$E$11&lt;=0,1,(E8*Inputs!$E$12+(1-Inputs!$E$12)/MAX(1,Inputs!$E$11)*(E8*(E$4-1)*1+E8*(E8-1)/2)+1-E8)/1)</f>
        <v>0.5</v>
      </c>
      <c r="F9" s="76" t="n">
        <f aca="false">IF(Inputs!$E$11&lt;=0,1,(F8*Inputs!$E$12+(1-Inputs!$E$12)/MAX(1,Inputs!$E$11)*(F8*(F$4-1)*1+F8*(F8-1)/2)+1-F8)/1)</f>
        <v>0.55</v>
      </c>
      <c r="G9" s="76" t="n">
        <f aca="false">IF(Inputs!$E$11&lt;=0,1,(G8*Inputs!$E$12+(1-Inputs!$E$12)/MAX(1,Inputs!$E$11)*(G8*(G$4-1)*1+G8*(G8-1)/2)+1-G8)/1)</f>
        <v>0.6</v>
      </c>
      <c r="H9" s="76" t="n">
        <f aca="false">IF(Inputs!$E$11&lt;=0,1,(H8*Inputs!$E$12+(1-Inputs!$E$12)/MAX(1,Inputs!$E$11)*(H8*(H$4-1)*1+H8*(H8-1)/2)+1-H8)/1)</f>
        <v>0.65</v>
      </c>
      <c r="I9" s="76" t="n">
        <f aca="false">IF(Inputs!$E$11&lt;=0,1,(I8*Inputs!$E$12+(1-Inputs!$E$12)/MAX(1,Inputs!$E$11)*(I8*(I$4-1)*1+I8*(I8-1)/2)+1-I8)/1)</f>
        <v>0.7</v>
      </c>
      <c r="J9" s="76" t="n">
        <f aca="false">IF(Inputs!$E$11&lt;=0,1,(J8*Inputs!$E$12+(1-Inputs!$E$12)/MAX(1,Inputs!$E$11)*(J8*(J$4-1)*1+J8*(J8-1)/2)+1-J8)/1)</f>
        <v>0.75</v>
      </c>
      <c r="K9" s="76" t="n">
        <f aca="false">IF(Inputs!$E$11&lt;=0,1,(K8*Inputs!$E$12+(1-Inputs!$E$12)/MAX(1,Inputs!$E$11)*(K8*(K$4-1)*1+K8*(K8-1)/2)+1-K8)/1)</f>
        <v>0.8</v>
      </c>
      <c r="L9" s="76" t="n">
        <f aca="false">IF(Inputs!$E$11&lt;=0,1,(L8*Inputs!$E$12+(1-Inputs!$E$12)/MAX(1,Inputs!$E$11)*(L8*(L$4-1)*1+L8*(L8-1)/2)+1-L8)/1)</f>
        <v>0.85</v>
      </c>
      <c r="M9" s="76" t="n">
        <f aca="false">IF(Inputs!$E$11&lt;=0,1,(M8*Inputs!$E$12+(1-Inputs!$E$12)/MAX(1,Inputs!$E$11)*(M8*(M$4-1)*1+M8*(M8-1)/2)+1-M8)/1)</f>
        <v>0.9</v>
      </c>
      <c r="N9" s="76" t="n">
        <f aca="false">IF(Inputs!$E$11&lt;=0,1,(N8*Inputs!$E$12+(1-Inputs!$E$12)/MAX(1,Inputs!$E$11)*(N8*(N$4-1)*1+N8*(N8-1)/2)+1-N8)/1)</f>
        <v>0.95</v>
      </c>
      <c r="O9" s="76" t="n">
        <f aca="false">IF(Inputs!$E$11&lt;=0,1,(O8*Inputs!$E$12+(1-Inputs!$E$12)/MAX(1,Inputs!$E$11)*(O8*(O$4-1)*1+O8*(O8-1)/2)+1-O8)/1)</f>
        <v>1</v>
      </c>
      <c r="P9" s="76" t="n">
        <f aca="false">IF(Inputs!$E$11&lt;=0,1,(P8*Inputs!$E$12+(1-Inputs!$E$12)/MAX(1,Inputs!$E$11)*(P8*(P$4-1)*1+P8*(P8-1)/2)+1-P8)/1)</f>
        <v>1</v>
      </c>
      <c r="Q9" s="76" t="n">
        <f aca="false">IF(Inputs!$E$11&lt;=0,1,(Q8*Inputs!$E$12+(1-Inputs!$E$12)/MAX(1,Inputs!$E$11)*(Q8*(Q$4-1)*1+Q8*(Q8-1)/2)+1-Q8)/1)</f>
        <v>1</v>
      </c>
      <c r="R9" s="76" t="n">
        <f aca="false">IF(Inputs!$E$11&lt;=0,1,(R8*Inputs!$E$12+(1-Inputs!$E$12)/MAX(1,Inputs!$E$11)*(R8*(R$4-1)*1+R8*(R8-1)/2)+1-R8)/1)</f>
        <v>1</v>
      </c>
      <c r="S9" s="76" t="n">
        <f aca="false">IF(Inputs!$E$11&lt;=0,1,(S8*Inputs!$E$12+(1-Inputs!$E$12)/MAX(1,Inputs!$E$11)*(S8*(S$4-1)*1+S8*(S8-1)/2)+1-S8)/1)</f>
        <v>1</v>
      </c>
      <c r="T9" s="76" t="n">
        <f aca="false">IF(Inputs!$E$11&lt;=0,1,(T8*Inputs!$E$12+(1-Inputs!$E$12)/MAX(1,Inputs!$E$11)*(T8*(T$4-1)*1+T8*(T8-1)/2)+1-T8)/1)</f>
        <v>1</v>
      </c>
      <c r="U9" s="76" t="n">
        <f aca="false">IF(Inputs!$E$11&lt;=0,1,(U8*Inputs!$E$12+(1-Inputs!$E$12)/MAX(1,Inputs!$E$11)*(U8*(U$4-1)*1+U8*(U8-1)/2)+1-U8)/1)</f>
        <v>1</v>
      </c>
      <c r="V9" s="76" t="n">
        <f aca="false">IF(Inputs!$E$11&lt;=0,1,(V8*Inputs!$E$12+(1-Inputs!$E$12)/MAX(1,Inputs!$E$11)*(V8*(V$4-1)*1+V8*(V8-1)/2)+1-V8)/1)</f>
        <v>1</v>
      </c>
      <c r="W9" s="76" t="n">
        <f aca="false">IF(Inputs!$E$11&lt;=0,1,(W8*Inputs!$E$12+(1-Inputs!$E$12)/MAX(1,Inputs!$E$11)*(W8*(W$4-1)*1+W8*(W8-1)/2)+1-W8)/1)</f>
        <v>1</v>
      </c>
      <c r="X9" s="76" t="n">
        <f aca="false">IF(Inputs!$E$11&lt;=0,1,(X8*Inputs!$E$12+(1-Inputs!$E$12)/MAX(1,Inputs!$E$11)*(X8*(X$4-1)*1+X8*(X8-1)/2)+1-X8)/1)</f>
        <v>1</v>
      </c>
      <c r="Y9" s="76" t="n">
        <f aca="false">IF(Inputs!$E$11&lt;=0,1,(Y8*Inputs!$E$12+(1-Inputs!$E$12)/MAX(1,Inputs!$E$11)*(Y8*(Y$4-1)*1+Y8*(Y8-1)/2)+1-Y8)/1)</f>
        <v>1</v>
      </c>
      <c r="Z9" s="76" t="n">
        <f aca="false">IF(Inputs!$E$11&lt;=0,1,(Z8*Inputs!$E$12+(1-Inputs!$E$12)/MAX(1,Inputs!$E$11)*(Z8*(Z$4-1)*1+Z8*(Z8-1)/2)+1-Z8)/1)</f>
        <v>1</v>
      </c>
      <c r="AA9" s="76" t="n">
        <f aca="false">IF(Inputs!$E$11&lt;=0,1,(AA8*Inputs!$E$12+(1-Inputs!$E$12)/MAX(1,Inputs!$E$11)*(AA8*(AA$4-1)*1+AA8*(AA8-1)/2)+1-AA8)/1)</f>
        <v>1</v>
      </c>
      <c r="AB9" s="76" t="n">
        <f aca="false">IF(Inputs!$E$11&lt;=0,1,(AB8*Inputs!$E$12+(1-Inputs!$E$12)/MAX(1,Inputs!$E$11)*(AB8*(AB$4-1)*1+AB8*(AB8-1)/2)+1-AB8)/1)</f>
        <v>1</v>
      </c>
      <c r="AC9" s="76" t="n">
        <f aca="false">IF(Inputs!$E$11&lt;=0,1,(AC8*Inputs!$E$12+(1-Inputs!$E$12)/MAX(1,Inputs!$E$11)*(AC8*(AC$4-1)*1+AC8*(AC8-1)/2)+1-AC8)/1)</f>
        <v>1</v>
      </c>
      <c r="AD9" s="76" t="n">
        <f aca="false">IF(Inputs!$E$11&lt;=0,1,(AD8*Inputs!$E$12+(1-Inputs!$E$12)/MAX(1,Inputs!$E$11)*(AD8*(AD$4-1)*1+AD8*(AD8-1)/2)+1-AD8)/1)</f>
        <v>1</v>
      </c>
      <c r="AE9" s="76" t="n">
        <f aca="false">IF(Inputs!$E$11&lt;=0,1,(AE8*Inputs!$E$12+(1-Inputs!$E$12)/MAX(1,Inputs!$E$11)*(AE8*(AE$4-1)*1+AE8*(AE8-1)/2)+1-AE8)/1)</f>
        <v>1</v>
      </c>
      <c r="AF9" s="76" t="n">
        <f aca="false">IF(Inputs!$E$11&lt;=0,1,(AF8*Inputs!$E$12+(1-Inputs!$E$12)/MAX(1,Inputs!$E$11)*(AF8*(AF$4-1)*1+AF8*(AF8-1)/2)+1-AF8)/1)</f>
        <v>1</v>
      </c>
      <c r="AG9" s="76" t="n">
        <f aca="false">IF(Inputs!$E$11&lt;=0,1,(AG8*Inputs!$E$12+(1-Inputs!$E$12)/MAX(1,Inputs!$E$11)*(AG8*(AG$4-1)*1+AG8*(AG8-1)/2)+1-AG8)/1)</f>
        <v>1</v>
      </c>
      <c r="AH9" s="76" t="n">
        <f aca="false">IF(Inputs!$E$11&lt;=0,1,(AH8*Inputs!$E$12+(1-Inputs!$E$12)/MAX(1,Inputs!$E$11)*(AH8*(AH$4-1)*1+AH8*(AH8-1)/2)+1-AH8)/1)</f>
        <v>1</v>
      </c>
      <c r="AI9" s="76" t="n">
        <f aca="false">IF(Inputs!$E$11&lt;=0,1,(AI8*Inputs!$E$12+(1-Inputs!$E$12)/MAX(1,Inputs!$E$11)*(AI8*(AI$4-1)*1+AI8*(AI8-1)/2)+1-AI8)/1)</f>
        <v>1</v>
      </c>
      <c r="AJ9" s="76" t="n">
        <f aca="false">IF(Inputs!$E$11&lt;=0,1,(AJ8*Inputs!$E$12+(1-Inputs!$E$12)/MAX(1,Inputs!$E$11)*(AJ8*(AJ$4-1)*1+AJ8*(AJ8-1)/2)+1-AJ8)/1)</f>
        <v>1</v>
      </c>
      <c r="AK9" s="76" t="n">
        <f aca="false">IF(Inputs!$E$11&lt;=0,1,(AK8*Inputs!$E$12+(1-Inputs!$E$12)/MAX(1,Inputs!$E$11)*(AK8*(AK$4-1)*1+AK8*(AK8-1)/2)+1-AK8)/1)</f>
        <v>1</v>
      </c>
      <c r="AL9" s="76" t="n">
        <f aca="false">IF(Inputs!$E$11&lt;=0,1,(AL8*Inputs!$E$12+(1-Inputs!$E$12)/MAX(1,Inputs!$E$11)*(AL8*(AL$4-1)*1+AL8*(AL8-1)/2)+1-AL8)/1)</f>
        <v>1</v>
      </c>
      <c r="AM9" s="76" t="n">
        <f aca="false">IF(Inputs!$E$11&lt;=0,1,(AM8*Inputs!$E$12+(1-Inputs!$E$12)/MAX(1,Inputs!$E$11)*(AM8*(AM$4-1)*1+AM8*(AM8-1)/2)+1-AM8)/1)</f>
        <v>1</v>
      </c>
      <c r="AN9" s="76" t="n">
        <f aca="false">IF(Inputs!$E$11&lt;=0,1,(AN8*Inputs!$E$12+(1-Inputs!$E$12)/MAX(1,Inputs!$E$11)*(AN8*(AN$4-1)*1+AN8*(AN8-1)/2)+1-AN8)/1)</f>
        <v>1</v>
      </c>
      <c r="AO9" s="76" t="n">
        <f aca="false">IF(Inputs!$E$11&lt;=0,1,(AO8*Inputs!$E$12+(1-Inputs!$E$12)/MAX(1,Inputs!$E$11)*(AO8*(AO$4-1)*1+AO8*(AO8-1)/2)+1-AO8)/1)</f>
        <v>1</v>
      </c>
      <c r="AP9" s="76" t="n">
        <f aca="false">IF(Inputs!$E$11&lt;=0,1,(AP8*Inputs!$E$12+(1-Inputs!$E$12)/MAX(1,Inputs!$E$11)*(AP8*(AP$4-1)*1+AP8*(AP8-1)/2)+1-AP8)/1)</f>
        <v>1</v>
      </c>
      <c r="AQ9" s="76" t="n">
        <f aca="false">IF(Inputs!$E$11&lt;=0,1,(AQ8*Inputs!$E$12+(1-Inputs!$E$12)/MAX(1,Inputs!$E$11)*(AQ8*(AQ$4-1)*1+AQ8*(AQ8-1)/2)+1-AQ8)/1)</f>
        <v>1</v>
      </c>
      <c r="AR9" s="76" t="n">
        <f aca="false">IF(Inputs!$E$11&lt;=0,1,(AR8*Inputs!$E$12+(1-Inputs!$E$12)/MAX(1,Inputs!$E$11)*(AR8*(AR$4-1)*1+AR8*(AR8-1)/2)+1-AR8)/1)</f>
        <v>1</v>
      </c>
      <c r="AS9" s="76" t="n">
        <f aca="false">IF(Inputs!$E$11&lt;=0,1,(AS8*Inputs!$E$12+(1-Inputs!$E$12)/MAX(1,Inputs!$E$11)*(AS8*(AS$4-1)*1+AS8*(AS8-1)/2)+1-AS8)/1)</f>
        <v>1</v>
      </c>
      <c r="AT9" s="76" t="n">
        <f aca="false">IF(Inputs!$E$11&lt;=0,1,(AT8*Inputs!$E$12+(1-Inputs!$E$12)/MAX(1,Inputs!$E$11)*(AT8*(AT$4-1)*1+AT8*(AT8-1)/2)+1-AT8)/1)</f>
        <v>1</v>
      </c>
      <c r="AU9" s="76" t="n">
        <f aca="false">IF(Inputs!$E$11&lt;=0,1,(AU8*Inputs!$E$12+(1-Inputs!$E$12)/MAX(1,Inputs!$E$11)*(AU8*(AU$4-1)*1+AU8*(AU8-1)/2)+1-AU8)/1)</f>
        <v>1</v>
      </c>
      <c r="AV9" s="76" t="n">
        <f aca="false">IF(Inputs!$E$11&lt;=0,1,(AV8*Inputs!$E$12+(1-Inputs!$E$12)/MAX(1,Inputs!$E$11)*(AV8*(AV$4-1)*1+AV8*(AV8-1)/2)+1-AV8)/1)</f>
        <v>1</v>
      </c>
      <c r="AW9" s="76" t="n">
        <f aca="false">IF(Inputs!$E$11&lt;=0,1,(AW8*Inputs!$E$12+(1-Inputs!$E$12)/MAX(1,Inputs!$E$11)*(AW8*(AW$4-1)*1+AW8*(AW8-1)/2)+1-AW8)/1)</f>
        <v>1</v>
      </c>
      <c r="AX9" s="76" t="n">
        <f aca="false">IF(Inputs!$E$11&lt;=0,1,(AX8*Inputs!$E$12+(1-Inputs!$E$12)/MAX(1,Inputs!$E$11)*(AX8*(AX$4-1)*1+AX8*(AX8-1)/2)+1-AX8)/1)</f>
        <v>1</v>
      </c>
      <c r="AY9" s="76" t="n">
        <f aca="false">IF(Inputs!$E$11&lt;=0,1,(AY8*Inputs!$E$12+(1-Inputs!$E$12)/MAX(1,Inputs!$E$11)*(AY8*(AY$4-1)*1+AY8*(AY8-1)/2)+1-AY8)/1)</f>
        <v>1</v>
      </c>
      <c r="AZ9" s="76" t="n">
        <f aca="false">IF(Inputs!$E$11&lt;=0,1,(AZ8*Inputs!$E$12+(1-Inputs!$E$12)/MAX(1,Inputs!$E$11)*(AZ8*(AZ$4-1)*1+AZ8*(AZ8-1)/2)+1-AZ8)/1)</f>
        <v>1</v>
      </c>
      <c r="BA9" s="76" t="n">
        <f aca="false">IF(Inputs!$E$11&lt;=0,1,(BA8*Inputs!$E$12+(1-Inputs!$E$12)/MAX(1,Inputs!$E$11)*(BA8*(BA$4-1)*1+BA8*(BA8-1)/2)+1-BA8)/1)</f>
        <v>1</v>
      </c>
      <c r="BB9" s="76" t="n">
        <f aca="false">IF(Inputs!$E$11&lt;=0,1,(BB8*Inputs!$E$12+(1-Inputs!$E$12)/MAX(1,Inputs!$E$11)*(BB8*(BB$4-1)*1+BB8*(BB8-1)/2)+1-BB8)/1)</f>
        <v>1</v>
      </c>
      <c r="BC9" s="76" t="n">
        <f aca="false">IF(Inputs!$E$11&lt;=0,1,(BC8*Inputs!$E$12+(1-Inputs!$E$12)/MAX(1,Inputs!$E$11)*(BC8*(BC$4-1)*1+BC8*(BC8-1)/2)+1-BC8)/1)</f>
        <v>1</v>
      </c>
      <c r="BD9" s="76" t="n">
        <f aca="false">IF(Inputs!$E$11&lt;=0,1,(BD8*Inputs!$E$12+(1-Inputs!$E$12)/MAX(1,Inputs!$E$11)*(BD8*(BD$4-1)*1+BD8*(BD8-1)/2)+1-BD8)/1)</f>
        <v>1</v>
      </c>
      <c r="BE9" s="76" t="n">
        <f aca="false">IF(Inputs!$E$11&lt;=0,1,(BE8*Inputs!$E$12+(1-Inputs!$E$12)/MAX(1,Inputs!$E$11)*(BE8*(BE$4-1)*1+BE8*(BE8-1)/2)+1-BE8)/1)</f>
        <v>1</v>
      </c>
      <c r="BF9" s="76" t="n">
        <f aca="false">IF(Inputs!$E$11&lt;=0,1,(BF8*Inputs!$E$12+(1-Inputs!$E$12)/MAX(1,Inputs!$E$11)*(BF8*(BF$4-1)*1+BF8*(BF8-1)/2)+1-BF8)/1)</f>
        <v>1</v>
      </c>
      <c r="BG9" s="76" t="n">
        <f aca="false">IF(Inputs!$E$11&lt;=0,1,(BG8*Inputs!$E$12+(1-Inputs!$E$12)/MAX(1,Inputs!$E$11)*(BG8*(BG$4-1)*1+BG8*(BG8-1)/2)+1-BG8)/1)</f>
        <v>1</v>
      </c>
      <c r="BH9" s="76" t="n">
        <f aca="false">IF(Inputs!$E$11&lt;=0,1,(BH8*Inputs!$E$12+(1-Inputs!$E$12)/MAX(1,Inputs!$E$11)*(BH8*(BH$4-1)*1+BH8*(BH8-1)/2)+1-BH8)/1)</f>
        <v>1</v>
      </c>
      <c r="BI9" s="76" t="n">
        <f aca="false">IF(Inputs!$E$11&lt;=0,1,(BI8*Inputs!$E$12+(1-Inputs!$E$12)/MAX(1,Inputs!$E$11)*(BI8*(BI$4-1)*1+BI8*(BI8-1)/2)+1-BI8)/1)</f>
        <v>1</v>
      </c>
      <c r="BJ9" s="76" t="n">
        <f aca="false">IF(Inputs!$E$11&lt;=0,1,(BJ8*Inputs!$E$12+(1-Inputs!$E$12)/MAX(1,Inputs!$E$11)*(BJ8*(BJ$4-1)*1+BJ8*(BJ8-1)/2)+1-BJ8)/1)</f>
        <v>1</v>
      </c>
    </row>
    <row r="10" customFormat="false" ht="15" hidden="false" customHeight="false" outlineLevel="0" collapsed="false">
      <c r="A10" s="6" t="s">
        <v>412</v>
      </c>
      <c r="C10" s="120" t="n">
        <f aca="false">Inputs!$E$7*(1+Inputs!$E$8)^(C$5-1)*Inputs!$E$10*1*C9</f>
        <v>135</v>
      </c>
      <c r="D10" s="120" t="n">
        <f aca="false">Inputs!$E$7*(1+Inputs!$E$8)^(D$5-1)*Inputs!$E$10*1*D9</f>
        <v>151.875</v>
      </c>
      <c r="E10" s="120" t="n">
        <f aca="false">Inputs!$E$7*(1+Inputs!$E$8)^(E$5-1)*Inputs!$E$10*1*E9</f>
        <v>168.75</v>
      </c>
      <c r="F10" s="120" t="n">
        <f aca="false">Inputs!$E$7*(1+Inputs!$E$8)^(F$5-1)*Inputs!$E$10*1*F9</f>
        <v>185.625</v>
      </c>
      <c r="G10" s="120" t="n">
        <f aca="false">Inputs!$E$7*(1+Inputs!$E$8)^(G$5-1)*Inputs!$E$10*1*G9</f>
        <v>202.5</v>
      </c>
      <c r="H10" s="120" t="n">
        <f aca="false">Inputs!$E$7*(1+Inputs!$E$8)^(H$5-1)*Inputs!$E$10*1*H9</f>
        <v>219.375</v>
      </c>
      <c r="I10" s="120" t="n">
        <f aca="false">Inputs!$E$7*(1+Inputs!$E$8)^(I$5-1)*Inputs!$E$10*1*I9</f>
        <v>236.25</v>
      </c>
      <c r="J10" s="120" t="n">
        <f aca="false">Inputs!$E$7*(1+Inputs!$E$8)^(J$5-1)*Inputs!$E$10*1*J9</f>
        <v>253.125</v>
      </c>
      <c r="K10" s="120" t="n">
        <f aca="false">Inputs!$E$7*(1+Inputs!$E$8)^(K$5-1)*Inputs!$E$10*1*K9</f>
        <v>270</v>
      </c>
      <c r="L10" s="120" t="n">
        <f aca="false">Inputs!$E$7*(1+Inputs!$E$8)^(L$5-1)*Inputs!$E$10*1*L9</f>
        <v>286.875</v>
      </c>
      <c r="M10" s="120" t="n">
        <f aca="false">Inputs!$E$7*(1+Inputs!$E$8)^(M$5-1)*Inputs!$E$10*1*M9</f>
        <v>303.75</v>
      </c>
      <c r="N10" s="120" t="n">
        <f aca="false">Inputs!$E$7*(1+Inputs!$E$8)^(N$5-1)*Inputs!$E$10*1*N9</f>
        <v>320.625</v>
      </c>
      <c r="O10" s="120" t="n">
        <f aca="false">Inputs!$E$7*(1+Inputs!$E$8)^(O$5-1)*Inputs!$E$10*1*O9</f>
        <v>347.625</v>
      </c>
      <c r="P10" s="120" t="n">
        <f aca="false">Inputs!$E$7*(1+Inputs!$E$8)^(P$5-1)*Inputs!$E$10*1*P9</f>
        <v>347.625</v>
      </c>
      <c r="Q10" s="120" t="n">
        <f aca="false">Inputs!$E$7*(1+Inputs!$E$8)^(Q$5-1)*Inputs!$E$10*1*Q9</f>
        <v>347.625</v>
      </c>
      <c r="R10" s="120" t="n">
        <f aca="false">Inputs!$E$7*(1+Inputs!$E$8)^(R$5-1)*Inputs!$E$10*1*R9</f>
        <v>347.625</v>
      </c>
      <c r="S10" s="120" t="n">
        <f aca="false">Inputs!$E$7*(1+Inputs!$E$8)^(S$5-1)*Inputs!$E$10*1*S9</f>
        <v>347.625</v>
      </c>
      <c r="T10" s="120" t="n">
        <f aca="false">Inputs!$E$7*(1+Inputs!$E$8)^(T$5-1)*Inputs!$E$10*1*T9</f>
        <v>347.625</v>
      </c>
      <c r="U10" s="120" t="n">
        <f aca="false">Inputs!$E$7*(1+Inputs!$E$8)^(U$5-1)*Inputs!$E$10*1*U9</f>
        <v>347.625</v>
      </c>
      <c r="V10" s="120" t="n">
        <f aca="false">Inputs!$E$7*(1+Inputs!$E$8)^(V$5-1)*Inputs!$E$10*1*V9</f>
        <v>347.625</v>
      </c>
      <c r="W10" s="120" t="n">
        <f aca="false">Inputs!$E$7*(1+Inputs!$E$8)^(W$5-1)*Inputs!$E$10*1*W9</f>
        <v>347.625</v>
      </c>
      <c r="X10" s="120" t="n">
        <f aca="false">Inputs!$E$7*(1+Inputs!$E$8)^(X$5-1)*Inputs!$E$10*1*X9</f>
        <v>347.625</v>
      </c>
      <c r="Y10" s="120" t="n">
        <f aca="false">Inputs!$E$7*(1+Inputs!$E$8)^(Y$5-1)*Inputs!$E$10*1*Y9</f>
        <v>347.625</v>
      </c>
      <c r="Z10" s="120" t="n">
        <f aca="false">Inputs!$E$7*(1+Inputs!$E$8)^(Z$5-1)*Inputs!$E$10*1*Z9</f>
        <v>347.625</v>
      </c>
      <c r="AA10" s="120" t="n">
        <f aca="false">Inputs!$E$7*(1+Inputs!$E$8)^(AA$5-1)*Inputs!$E$10*1*AA9</f>
        <v>358.05375</v>
      </c>
      <c r="AB10" s="120" t="n">
        <f aca="false">Inputs!$E$7*(1+Inputs!$E$8)^(AB$5-1)*Inputs!$E$10*1*AB9</f>
        <v>358.05375</v>
      </c>
      <c r="AC10" s="120" t="n">
        <f aca="false">Inputs!$E$7*(1+Inputs!$E$8)^(AC$5-1)*Inputs!$E$10*1*AC9</f>
        <v>358.05375</v>
      </c>
      <c r="AD10" s="120" t="n">
        <f aca="false">Inputs!$E$7*(1+Inputs!$E$8)^(AD$5-1)*Inputs!$E$10*1*AD9</f>
        <v>358.05375</v>
      </c>
      <c r="AE10" s="120" t="n">
        <f aca="false">Inputs!$E$7*(1+Inputs!$E$8)^(AE$5-1)*Inputs!$E$10*1*AE9</f>
        <v>358.05375</v>
      </c>
      <c r="AF10" s="120" t="n">
        <f aca="false">Inputs!$E$7*(1+Inputs!$E$8)^(AF$5-1)*Inputs!$E$10*1*AF9</f>
        <v>358.05375</v>
      </c>
      <c r="AG10" s="120" t="n">
        <f aca="false">Inputs!$E$7*(1+Inputs!$E$8)^(AG$5-1)*Inputs!$E$10*1*AG9</f>
        <v>358.05375</v>
      </c>
      <c r="AH10" s="120" t="n">
        <f aca="false">Inputs!$E$7*(1+Inputs!$E$8)^(AH$5-1)*Inputs!$E$10*1*AH9</f>
        <v>358.05375</v>
      </c>
      <c r="AI10" s="120" t="n">
        <f aca="false">Inputs!$E$7*(1+Inputs!$E$8)^(AI$5-1)*Inputs!$E$10*1*AI9</f>
        <v>358.05375</v>
      </c>
      <c r="AJ10" s="120" t="n">
        <f aca="false">Inputs!$E$7*(1+Inputs!$E$8)^(AJ$5-1)*Inputs!$E$10*1*AJ9</f>
        <v>358.05375</v>
      </c>
      <c r="AK10" s="120" t="n">
        <f aca="false">Inputs!$E$7*(1+Inputs!$E$8)^(AK$5-1)*Inputs!$E$10*1*AK9</f>
        <v>358.05375</v>
      </c>
      <c r="AL10" s="120" t="n">
        <f aca="false">Inputs!$E$7*(1+Inputs!$E$8)^(AL$5-1)*Inputs!$E$10*1*AL9</f>
        <v>358.05375</v>
      </c>
      <c r="AM10" s="120" t="n">
        <f aca="false">Inputs!$E$7*(1+Inputs!$E$8)^(AM$5-1)*Inputs!$E$10*1*AM9</f>
        <v>368.7953625</v>
      </c>
      <c r="AN10" s="120" t="n">
        <f aca="false">Inputs!$E$7*(1+Inputs!$E$8)^(AN$5-1)*Inputs!$E$10*1*AN9</f>
        <v>368.7953625</v>
      </c>
      <c r="AO10" s="120" t="n">
        <f aca="false">Inputs!$E$7*(1+Inputs!$E$8)^(AO$5-1)*Inputs!$E$10*1*AO9</f>
        <v>368.7953625</v>
      </c>
      <c r="AP10" s="120" t="n">
        <f aca="false">Inputs!$E$7*(1+Inputs!$E$8)^(AP$5-1)*Inputs!$E$10*1*AP9</f>
        <v>368.7953625</v>
      </c>
      <c r="AQ10" s="120" t="n">
        <f aca="false">Inputs!$E$7*(1+Inputs!$E$8)^(AQ$5-1)*Inputs!$E$10*1*AQ9</f>
        <v>368.7953625</v>
      </c>
      <c r="AR10" s="120" t="n">
        <f aca="false">Inputs!$E$7*(1+Inputs!$E$8)^(AR$5-1)*Inputs!$E$10*1*AR9</f>
        <v>368.7953625</v>
      </c>
      <c r="AS10" s="120" t="n">
        <f aca="false">Inputs!$E$7*(1+Inputs!$E$8)^(AS$5-1)*Inputs!$E$10*1*AS9</f>
        <v>368.7953625</v>
      </c>
      <c r="AT10" s="120" t="n">
        <f aca="false">Inputs!$E$7*(1+Inputs!$E$8)^(AT$5-1)*Inputs!$E$10*1*AT9</f>
        <v>368.7953625</v>
      </c>
      <c r="AU10" s="120" t="n">
        <f aca="false">Inputs!$E$7*(1+Inputs!$E$8)^(AU$5-1)*Inputs!$E$10*1*AU9</f>
        <v>368.7953625</v>
      </c>
      <c r="AV10" s="120" t="n">
        <f aca="false">Inputs!$E$7*(1+Inputs!$E$8)^(AV$5-1)*Inputs!$E$10*1*AV9</f>
        <v>368.7953625</v>
      </c>
      <c r="AW10" s="120" t="n">
        <f aca="false">Inputs!$E$7*(1+Inputs!$E$8)^(AW$5-1)*Inputs!$E$10*1*AW9</f>
        <v>368.7953625</v>
      </c>
      <c r="AX10" s="120" t="n">
        <f aca="false">Inputs!$E$7*(1+Inputs!$E$8)^(AX$5-1)*Inputs!$E$10*1*AX9</f>
        <v>368.7953625</v>
      </c>
      <c r="AY10" s="120" t="n">
        <f aca="false">Inputs!$E$7*(1+Inputs!$E$8)^(AY$5-1)*Inputs!$E$10*1*AY9</f>
        <v>379.859223375</v>
      </c>
      <c r="AZ10" s="120" t="n">
        <f aca="false">Inputs!$E$7*(1+Inputs!$E$8)^(AZ$5-1)*Inputs!$E$10*1*AZ9</f>
        <v>379.859223375</v>
      </c>
      <c r="BA10" s="120" t="n">
        <f aca="false">Inputs!$E$7*(1+Inputs!$E$8)^(BA$5-1)*Inputs!$E$10*1*BA9</f>
        <v>379.859223375</v>
      </c>
      <c r="BB10" s="120" t="n">
        <f aca="false">Inputs!$E$7*(1+Inputs!$E$8)^(BB$5-1)*Inputs!$E$10*1*BB9</f>
        <v>379.859223375</v>
      </c>
      <c r="BC10" s="120" t="n">
        <f aca="false">Inputs!$E$7*(1+Inputs!$E$8)^(BC$5-1)*Inputs!$E$10*1*BC9</f>
        <v>379.859223375</v>
      </c>
      <c r="BD10" s="120" t="n">
        <f aca="false">Inputs!$E$7*(1+Inputs!$E$8)^(BD$5-1)*Inputs!$E$10*1*BD9</f>
        <v>379.859223375</v>
      </c>
      <c r="BE10" s="120" t="n">
        <f aca="false">Inputs!$E$7*(1+Inputs!$E$8)^(BE$5-1)*Inputs!$E$10*1*BE9</f>
        <v>379.859223375</v>
      </c>
      <c r="BF10" s="120" t="n">
        <f aca="false">Inputs!$E$7*(1+Inputs!$E$8)^(BF$5-1)*Inputs!$E$10*1*BF9</f>
        <v>379.859223375</v>
      </c>
      <c r="BG10" s="120" t="n">
        <f aca="false">Inputs!$E$7*(1+Inputs!$E$8)^(BG$5-1)*Inputs!$E$10*1*BG9</f>
        <v>379.859223375</v>
      </c>
      <c r="BH10" s="120" t="n">
        <f aca="false">Inputs!$E$7*(1+Inputs!$E$8)^(BH$5-1)*Inputs!$E$10*1*BH9</f>
        <v>379.859223375</v>
      </c>
      <c r="BI10" s="120" t="n">
        <f aca="false">Inputs!$E$7*(1+Inputs!$E$8)^(BI$5-1)*Inputs!$E$10*1*BI9</f>
        <v>379.859223375</v>
      </c>
      <c r="BJ10" s="120" t="n">
        <f aca="false">Inputs!$E$7*(1+Inputs!$E$8)^(BJ$5-1)*Inputs!$E$10*1*BJ9</f>
        <v>379.859223375</v>
      </c>
    </row>
    <row r="11" customFormat="false" ht="15" hidden="false" customHeight="false" outlineLevel="0" collapsed="false">
      <c r="A11" s="6" t="s">
        <v>413</v>
      </c>
      <c r="C11" s="120" t="n">
        <f aca="false">C10*Inputs!$E$9</f>
        <v>270</v>
      </c>
      <c r="D11" s="120" t="n">
        <f aca="false">D10*Inputs!$E$9</f>
        <v>303.75</v>
      </c>
      <c r="E11" s="120" t="n">
        <f aca="false">E10*Inputs!$E$9</f>
        <v>337.5</v>
      </c>
      <c r="F11" s="120" t="n">
        <f aca="false">F10*Inputs!$E$9</f>
        <v>371.25</v>
      </c>
      <c r="G11" s="120" t="n">
        <f aca="false">G10*Inputs!$E$9</f>
        <v>405</v>
      </c>
      <c r="H11" s="120" t="n">
        <f aca="false">H10*Inputs!$E$9</f>
        <v>438.75</v>
      </c>
      <c r="I11" s="120" t="n">
        <f aca="false">I10*Inputs!$E$9</f>
        <v>472.5</v>
      </c>
      <c r="J11" s="120" t="n">
        <f aca="false">J10*Inputs!$E$9</f>
        <v>506.25</v>
      </c>
      <c r="K11" s="120" t="n">
        <f aca="false">K10*Inputs!$E$9</f>
        <v>540</v>
      </c>
      <c r="L11" s="120" t="n">
        <f aca="false">L10*Inputs!$E$9</f>
        <v>573.75</v>
      </c>
      <c r="M11" s="120" t="n">
        <f aca="false">M10*Inputs!$E$9</f>
        <v>607.5</v>
      </c>
      <c r="N11" s="120" t="n">
        <f aca="false">N10*Inputs!$E$9</f>
        <v>641.25</v>
      </c>
      <c r="O11" s="120" t="n">
        <f aca="false">O10*Inputs!$E$9</f>
        <v>695.25</v>
      </c>
      <c r="P11" s="120" t="n">
        <f aca="false">P10*Inputs!$E$9</f>
        <v>695.25</v>
      </c>
      <c r="Q11" s="120" t="n">
        <f aca="false">Q10*Inputs!$E$9</f>
        <v>695.25</v>
      </c>
      <c r="R11" s="120" t="n">
        <f aca="false">R10*Inputs!$E$9</f>
        <v>695.25</v>
      </c>
      <c r="S11" s="120" t="n">
        <f aca="false">S10*Inputs!$E$9</f>
        <v>695.25</v>
      </c>
      <c r="T11" s="120" t="n">
        <f aca="false">T10*Inputs!$E$9</f>
        <v>695.25</v>
      </c>
      <c r="U11" s="120" t="n">
        <f aca="false">U10*Inputs!$E$9</f>
        <v>695.25</v>
      </c>
      <c r="V11" s="120" t="n">
        <f aca="false">V10*Inputs!$E$9</f>
        <v>695.25</v>
      </c>
      <c r="W11" s="120" t="n">
        <f aca="false">W10*Inputs!$E$9</f>
        <v>695.25</v>
      </c>
      <c r="X11" s="120" t="n">
        <f aca="false">X10*Inputs!$E$9</f>
        <v>695.25</v>
      </c>
      <c r="Y11" s="120" t="n">
        <f aca="false">Y10*Inputs!$E$9</f>
        <v>695.25</v>
      </c>
      <c r="Z11" s="120" t="n">
        <f aca="false">Z10*Inputs!$E$9</f>
        <v>695.25</v>
      </c>
      <c r="AA11" s="120" t="n">
        <f aca="false">AA10*Inputs!$E$9</f>
        <v>716.1075</v>
      </c>
      <c r="AB11" s="120" t="n">
        <f aca="false">AB10*Inputs!$E$9</f>
        <v>716.1075</v>
      </c>
      <c r="AC11" s="120" t="n">
        <f aca="false">AC10*Inputs!$E$9</f>
        <v>716.1075</v>
      </c>
      <c r="AD11" s="120" t="n">
        <f aca="false">AD10*Inputs!$E$9</f>
        <v>716.1075</v>
      </c>
      <c r="AE11" s="120" t="n">
        <f aca="false">AE10*Inputs!$E$9</f>
        <v>716.1075</v>
      </c>
      <c r="AF11" s="120" t="n">
        <f aca="false">AF10*Inputs!$E$9</f>
        <v>716.1075</v>
      </c>
      <c r="AG11" s="120" t="n">
        <f aca="false">AG10*Inputs!$E$9</f>
        <v>716.1075</v>
      </c>
      <c r="AH11" s="120" t="n">
        <f aca="false">AH10*Inputs!$E$9</f>
        <v>716.1075</v>
      </c>
      <c r="AI11" s="120" t="n">
        <f aca="false">AI10*Inputs!$E$9</f>
        <v>716.1075</v>
      </c>
      <c r="AJ11" s="120" t="n">
        <f aca="false">AJ10*Inputs!$E$9</f>
        <v>716.1075</v>
      </c>
      <c r="AK11" s="120" t="n">
        <f aca="false">AK10*Inputs!$E$9</f>
        <v>716.1075</v>
      </c>
      <c r="AL11" s="120" t="n">
        <f aca="false">AL10*Inputs!$E$9</f>
        <v>716.1075</v>
      </c>
      <c r="AM11" s="120" t="n">
        <f aca="false">AM10*Inputs!$E$9</f>
        <v>737.590725</v>
      </c>
      <c r="AN11" s="120" t="n">
        <f aca="false">AN10*Inputs!$E$9</f>
        <v>737.590725</v>
      </c>
      <c r="AO11" s="120" t="n">
        <f aca="false">AO10*Inputs!$E$9</f>
        <v>737.590725</v>
      </c>
      <c r="AP11" s="120" t="n">
        <f aca="false">AP10*Inputs!$E$9</f>
        <v>737.590725</v>
      </c>
      <c r="AQ11" s="120" t="n">
        <f aca="false">AQ10*Inputs!$E$9</f>
        <v>737.590725</v>
      </c>
      <c r="AR11" s="120" t="n">
        <f aca="false">AR10*Inputs!$E$9</f>
        <v>737.590725</v>
      </c>
      <c r="AS11" s="120" t="n">
        <f aca="false">AS10*Inputs!$E$9</f>
        <v>737.590725</v>
      </c>
      <c r="AT11" s="120" t="n">
        <f aca="false">AT10*Inputs!$E$9</f>
        <v>737.590725</v>
      </c>
      <c r="AU11" s="120" t="n">
        <f aca="false">AU10*Inputs!$E$9</f>
        <v>737.590725</v>
      </c>
      <c r="AV11" s="120" t="n">
        <f aca="false">AV10*Inputs!$E$9</f>
        <v>737.590725</v>
      </c>
      <c r="AW11" s="120" t="n">
        <f aca="false">AW10*Inputs!$E$9</f>
        <v>737.590725</v>
      </c>
      <c r="AX11" s="120" t="n">
        <f aca="false">AX10*Inputs!$E$9</f>
        <v>737.590725</v>
      </c>
      <c r="AY11" s="120" t="n">
        <f aca="false">AY10*Inputs!$E$9</f>
        <v>759.71844675</v>
      </c>
      <c r="AZ11" s="120" t="n">
        <f aca="false">AZ10*Inputs!$E$9</f>
        <v>759.71844675</v>
      </c>
      <c r="BA11" s="120" t="n">
        <f aca="false">BA10*Inputs!$E$9</f>
        <v>759.71844675</v>
      </c>
      <c r="BB11" s="120" t="n">
        <f aca="false">BB10*Inputs!$E$9</f>
        <v>759.71844675</v>
      </c>
      <c r="BC11" s="120" t="n">
        <f aca="false">BC10*Inputs!$E$9</f>
        <v>759.71844675</v>
      </c>
      <c r="BD11" s="120" t="n">
        <f aca="false">BD10*Inputs!$E$9</f>
        <v>759.71844675</v>
      </c>
      <c r="BE11" s="120" t="n">
        <f aca="false">BE10*Inputs!$E$9</f>
        <v>759.71844675</v>
      </c>
      <c r="BF11" s="120" t="n">
        <f aca="false">BF10*Inputs!$E$9</f>
        <v>759.71844675</v>
      </c>
      <c r="BG11" s="120" t="n">
        <f aca="false">BG10*Inputs!$E$9</f>
        <v>759.71844675</v>
      </c>
      <c r="BH11" s="120" t="n">
        <f aca="false">BH10*Inputs!$E$9</f>
        <v>759.71844675</v>
      </c>
      <c r="BI11" s="120" t="n">
        <f aca="false">BI10*Inputs!$E$9</f>
        <v>759.71844675</v>
      </c>
      <c r="BJ11" s="120" t="n">
        <f aca="false">BJ10*Inputs!$E$9</f>
        <v>759.71844675</v>
      </c>
    </row>
    <row r="13" customFormat="false" ht="15.75" hidden="false" customHeight="true" outlineLevel="0" collapsed="false">
      <c r="A13" s="7" t="s">
        <v>414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6" t="s">
        <v>415</v>
      </c>
      <c r="C14" s="121" t="n">
        <f aca="false">Headcount!C8</f>
        <v>5</v>
      </c>
      <c r="D14" s="121" t="n">
        <f aca="false">Headcount!D8</f>
        <v>5</v>
      </c>
      <c r="E14" s="121" t="n">
        <f aca="false">Headcount!E8</f>
        <v>5</v>
      </c>
      <c r="F14" s="121" t="n">
        <f aca="false">Headcount!F8</f>
        <v>5</v>
      </c>
      <c r="G14" s="121" t="n">
        <f aca="false">Headcount!G8</f>
        <v>5</v>
      </c>
      <c r="H14" s="121" t="n">
        <f aca="false">Headcount!H8</f>
        <v>5</v>
      </c>
      <c r="I14" s="121" t="n">
        <f aca="false">Headcount!I8</f>
        <v>5</v>
      </c>
      <c r="J14" s="121" t="n">
        <f aca="false">Headcount!J8</f>
        <v>5</v>
      </c>
      <c r="K14" s="121" t="n">
        <f aca="false">Headcount!K8</f>
        <v>5</v>
      </c>
      <c r="L14" s="121" t="n">
        <f aca="false">Headcount!L8</f>
        <v>5</v>
      </c>
      <c r="M14" s="121" t="n">
        <f aca="false">Headcount!M8</f>
        <v>5</v>
      </c>
      <c r="N14" s="121" t="n">
        <f aca="false">Headcount!N8</f>
        <v>5</v>
      </c>
      <c r="O14" s="121" t="n">
        <f aca="false">Headcount!O8</f>
        <v>5</v>
      </c>
      <c r="P14" s="121" t="n">
        <f aca="false">Headcount!P8</f>
        <v>5</v>
      </c>
      <c r="Q14" s="121" t="n">
        <f aca="false">Headcount!Q8</f>
        <v>5</v>
      </c>
      <c r="R14" s="121" t="n">
        <f aca="false">Headcount!R8</f>
        <v>5</v>
      </c>
      <c r="S14" s="121" t="n">
        <f aca="false">Headcount!S8</f>
        <v>5</v>
      </c>
      <c r="T14" s="121" t="n">
        <f aca="false">Headcount!T8</f>
        <v>5</v>
      </c>
      <c r="U14" s="121" t="n">
        <f aca="false">Headcount!U8</f>
        <v>5</v>
      </c>
      <c r="V14" s="121" t="n">
        <f aca="false">Headcount!V8</f>
        <v>5</v>
      </c>
      <c r="W14" s="121" t="n">
        <f aca="false">Headcount!W8</f>
        <v>5</v>
      </c>
      <c r="X14" s="121" t="n">
        <f aca="false">Headcount!X8</f>
        <v>5</v>
      </c>
      <c r="Y14" s="121" t="n">
        <f aca="false">Headcount!Y8</f>
        <v>5</v>
      </c>
      <c r="Z14" s="121" t="n">
        <f aca="false">Headcount!Z8</f>
        <v>5</v>
      </c>
      <c r="AA14" s="121" t="n">
        <f aca="false">Headcount!AA8</f>
        <v>5</v>
      </c>
      <c r="AB14" s="121" t="n">
        <f aca="false">Headcount!AB8</f>
        <v>5</v>
      </c>
      <c r="AC14" s="121" t="n">
        <f aca="false">Headcount!AC8</f>
        <v>5</v>
      </c>
      <c r="AD14" s="121" t="n">
        <f aca="false">Headcount!AD8</f>
        <v>5</v>
      </c>
      <c r="AE14" s="121" t="n">
        <f aca="false">Headcount!AE8</f>
        <v>5</v>
      </c>
      <c r="AF14" s="121" t="n">
        <f aca="false">Headcount!AF8</f>
        <v>5</v>
      </c>
      <c r="AG14" s="121" t="n">
        <f aca="false">Headcount!AG8</f>
        <v>5</v>
      </c>
      <c r="AH14" s="121" t="n">
        <f aca="false">Headcount!AH8</f>
        <v>5</v>
      </c>
      <c r="AI14" s="121" t="n">
        <f aca="false">Headcount!AI8</f>
        <v>5</v>
      </c>
      <c r="AJ14" s="121" t="n">
        <f aca="false">Headcount!AJ8</f>
        <v>5</v>
      </c>
      <c r="AK14" s="121" t="n">
        <f aca="false">Headcount!AK8</f>
        <v>5</v>
      </c>
      <c r="AL14" s="121" t="n">
        <f aca="false">Headcount!AL8</f>
        <v>5</v>
      </c>
      <c r="AM14" s="121" t="n">
        <f aca="false">Headcount!AM8</f>
        <v>5</v>
      </c>
      <c r="AN14" s="121" t="n">
        <f aca="false">Headcount!AN8</f>
        <v>5</v>
      </c>
      <c r="AO14" s="121" t="n">
        <f aca="false">Headcount!AO8</f>
        <v>5</v>
      </c>
      <c r="AP14" s="121" t="n">
        <f aca="false">Headcount!AP8</f>
        <v>5</v>
      </c>
      <c r="AQ14" s="121" t="n">
        <f aca="false">Headcount!AQ8</f>
        <v>5</v>
      </c>
      <c r="AR14" s="121" t="n">
        <f aca="false">Headcount!AR8</f>
        <v>5</v>
      </c>
      <c r="AS14" s="121" t="n">
        <f aca="false">Headcount!AS8</f>
        <v>5</v>
      </c>
      <c r="AT14" s="121" t="n">
        <f aca="false">Headcount!AT8</f>
        <v>5</v>
      </c>
      <c r="AU14" s="121" t="n">
        <f aca="false">Headcount!AU8</f>
        <v>5</v>
      </c>
      <c r="AV14" s="121" t="n">
        <f aca="false">Headcount!AV8</f>
        <v>5</v>
      </c>
      <c r="AW14" s="121" t="n">
        <f aca="false">Headcount!AW8</f>
        <v>5</v>
      </c>
      <c r="AX14" s="121" t="n">
        <f aca="false">Headcount!AX8</f>
        <v>5</v>
      </c>
      <c r="AY14" s="121" t="n">
        <f aca="false">Headcount!AY8</f>
        <v>5</v>
      </c>
      <c r="AZ14" s="121" t="n">
        <f aca="false">Headcount!AZ8</f>
        <v>5</v>
      </c>
      <c r="BA14" s="121" t="n">
        <f aca="false">Headcount!BA8</f>
        <v>5</v>
      </c>
      <c r="BB14" s="121" t="n">
        <f aca="false">Headcount!BB8</f>
        <v>5</v>
      </c>
      <c r="BC14" s="121" t="n">
        <f aca="false">Headcount!BC8</f>
        <v>5</v>
      </c>
      <c r="BD14" s="121" t="n">
        <f aca="false">Headcount!BD8</f>
        <v>5</v>
      </c>
      <c r="BE14" s="121" t="n">
        <f aca="false">Headcount!BE8</f>
        <v>5</v>
      </c>
      <c r="BF14" s="121" t="n">
        <f aca="false">Headcount!BF8</f>
        <v>5</v>
      </c>
      <c r="BG14" s="121" t="n">
        <f aca="false">Headcount!BG8</f>
        <v>5</v>
      </c>
      <c r="BH14" s="121" t="n">
        <f aca="false">Headcount!BH8</f>
        <v>5</v>
      </c>
      <c r="BI14" s="121" t="n">
        <f aca="false">Headcount!BI8</f>
        <v>5</v>
      </c>
      <c r="BJ14" s="121" t="n">
        <f aca="false">Headcount!BJ8</f>
        <v>5</v>
      </c>
    </row>
    <row r="15" customFormat="false" ht="15" hidden="false" customHeight="false" outlineLevel="0" collapsed="false">
      <c r="A15" s="6" t="s">
        <v>416</v>
      </c>
      <c r="C15" s="120" t="n">
        <f aca="false">Inputs!$E$15*Inputs!$E$16*Inputs!$E$10*1</f>
        <v>975</v>
      </c>
      <c r="D15" s="120" t="n">
        <f aca="false">Inputs!$E$15*Inputs!$E$16*Inputs!$E$10*1</f>
        <v>975</v>
      </c>
      <c r="E15" s="120" t="n">
        <f aca="false">Inputs!$E$15*Inputs!$E$16*Inputs!$E$10*1</f>
        <v>975</v>
      </c>
      <c r="F15" s="120" t="n">
        <f aca="false">Inputs!$E$15*Inputs!$E$16*Inputs!$E$10*1</f>
        <v>975</v>
      </c>
      <c r="G15" s="120" t="n">
        <f aca="false">Inputs!$E$15*Inputs!$E$16*Inputs!$E$10*1</f>
        <v>975</v>
      </c>
      <c r="H15" s="120" t="n">
        <f aca="false">Inputs!$E$15*Inputs!$E$16*Inputs!$E$10*1</f>
        <v>975</v>
      </c>
      <c r="I15" s="120" t="n">
        <f aca="false">Inputs!$E$15*Inputs!$E$16*Inputs!$E$10*1</f>
        <v>975</v>
      </c>
      <c r="J15" s="120" t="n">
        <f aca="false">Inputs!$E$15*Inputs!$E$16*Inputs!$E$10*1</f>
        <v>975</v>
      </c>
      <c r="K15" s="120" t="n">
        <f aca="false">Inputs!$E$15*Inputs!$E$16*Inputs!$E$10*1</f>
        <v>975</v>
      </c>
      <c r="L15" s="120" t="n">
        <f aca="false">Inputs!$E$15*Inputs!$E$16*Inputs!$E$10*1</f>
        <v>975</v>
      </c>
      <c r="M15" s="120" t="n">
        <f aca="false">Inputs!$E$15*Inputs!$E$16*Inputs!$E$10*1</f>
        <v>975</v>
      </c>
      <c r="N15" s="120" t="n">
        <f aca="false">Inputs!$E$15*Inputs!$E$16*Inputs!$E$10*1</f>
        <v>975</v>
      </c>
      <c r="O15" s="120" t="n">
        <f aca="false">Inputs!$E$15*Inputs!$E$16*Inputs!$E$10*1</f>
        <v>975</v>
      </c>
      <c r="P15" s="120" t="n">
        <f aca="false">Inputs!$E$15*Inputs!$E$16*Inputs!$E$10*1</f>
        <v>975</v>
      </c>
      <c r="Q15" s="120" t="n">
        <f aca="false">Inputs!$E$15*Inputs!$E$16*Inputs!$E$10*1</f>
        <v>975</v>
      </c>
      <c r="R15" s="120" t="n">
        <f aca="false">Inputs!$E$15*Inputs!$E$16*Inputs!$E$10*1</f>
        <v>975</v>
      </c>
      <c r="S15" s="120" t="n">
        <f aca="false">Inputs!$E$15*Inputs!$E$16*Inputs!$E$10*1</f>
        <v>975</v>
      </c>
      <c r="T15" s="120" t="n">
        <f aca="false">Inputs!$E$15*Inputs!$E$16*Inputs!$E$10*1</f>
        <v>975</v>
      </c>
      <c r="U15" s="120" t="n">
        <f aca="false">Inputs!$E$15*Inputs!$E$16*Inputs!$E$10*1</f>
        <v>975</v>
      </c>
      <c r="V15" s="120" t="n">
        <f aca="false">Inputs!$E$15*Inputs!$E$16*Inputs!$E$10*1</f>
        <v>975</v>
      </c>
      <c r="W15" s="120" t="n">
        <f aca="false">Inputs!$E$15*Inputs!$E$16*Inputs!$E$10*1</f>
        <v>975</v>
      </c>
      <c r="X15" s="120" t="n">
        <f aca="false">Inputs!$E$15*Inputs!$E$16*Inputs!$E$10*1</f>
        <v>975</v>
      </c>
      <c r="Y15" s="120" t="n">
        <f aca="false">Inputs!$E$15*Inputs!$E$16*Inputs!$E$10*1</f>
        <v>975</v>
      </c>
      <c r="Z15" s="120" t="n">
        <f aca="false">Inputs!$E$15*Inputs!$E$16*Inputs!$E$10*1</f>
        <v>975</v>
      </c>
      <c r="AA15" s="120" t="n">
        <f aca="false">Inputs!$E$15*Inputs!$E$16*Inputs!$E$10*1</f>
        <v>975</v>
      </c>
      <c r="AB15" s="120" t="n">
        <f aca="false">Inputs!$E$15*Inputs!$E$16*Inputs!$E$10*1</f>
        <v>975</v>
      </c>
      <c r="AC15" s="120" t="n">
        <f aca="false">Inputs!$E$15*Inputs!$E$16*Inputs!$E$10*1</f>
        <v>975</v>
      </c>
      <c r="AD15" s="120" t="n">
        <f aca="false">Inputs!$E$15*Inputs!$E$16*Inputs!$E$10*1</f>
        <v>975</v>
      </c>
      <c r="AE15" s="120" t="n">
        <f aca="false">Inputs!$E$15*Inputs!$E$16*Inputs!$E$10*1</f>
        <v>975</v>
      </c>
      <c r="AF15" s="120" t="n">
        <f aca="false">Inputs!$E$15*Inputs!$E$16*Inputs!$E$10*1</f>
        <v>975</v>
      </c>
      <c r="AG15" s="120" t="n">
        <f aca="false">Inputs!$E$15*Inputs!$E$16*Inputs!$E$10*1</f>
        <v>975</v>
      </c>
      <c r="AH15" s="120" t="n">
        <f aca="false">Inputs!$E$15*Inputs!$E$16*Inputs!$E$10*1</f>
        <v>975</v>
      </c>
      <c r="AI15" s="120" t="n">
        <f aca="false">Inputs!$E$15*Inputs!$E$16*Inputs!$E$10*1</f>
        <v>975</v>
      </c>
      <c r="AJ15" s="120" t="n">
        <f aca="false">Inputs!$E$15*Inputs!$E$16*Inputs!$E$10*1</f>
        <v>975</v>
      </c>
      <c r="AK15" s="120" t="n">
        <f aca="false">Inputs!$E$15*Inputs!$E$16*Inputs!$E$10*1</f>
        <v>975</v>
      </c>
      <c r="AL15" s="120" t="n">
        <f aca="false">Inputs!$E$15*Inputs!$E$16*Inputs!$E$10*1</f>
        <v>975</v>
      </c>
      <c r="AM15" s="120" t="n">
        <f aca="false">Inputs!$E$15*Inputs!$E$16*Inputs!$E$10*1</f>
        <v>975</v>
      </c>
      <c r="AN15" s="120" t="n">
        <f aca="false">Inputs!$E$15*Inputs!$E$16*Inputs!$E$10*1</f>
        <v>975</v>
      </c>
      <c r="AO15" s="120" t="n">
        <f aca="false">Inputs!$E$15*Inputs!$E$16*Inputs!$E$10*1</f>
        <v>975</v>
      </c>
      <c r="AP15" s="120" t="n">
        <f aca="false">Inputs!$E$15*Inputs!$E$16*Inputs!$E$10*1</f>
        <v>975</v>
      </c>
      <c r="AQ15" s="120" t="n">
        <f aca="false">Inputs!$E$15*Inputs!$E$16*Inputs!$E$10*1</f>
        <v>975</v>
      </c>
      <c r="AR15" s="120" t="n">
        <f aca="false">Inputs!$E$15*Inputs!$E$16*Inputs!$E$10*1</f>
        <v>975</v>
      </c>
      <c r="AS15" s="120" t="n">
        <f aca="false">Inputs!$E$15*Inputs!$E$16*Inputs!$E$10*1</f>
        <v>975</v>
      </c>
      <c r="AT15" s="120" t="n">
        <f aca="false">Inputs!$E$15*Inputs!$E$16*Inputs!$E$10*1</f>
        <v>975</v>
      </c>
      <c r="AU15" s="120" t="n">
        <f aca="false">Inputs!$E$15*Inputs!$E$16*Inputs!$E$10*1</f>
        <v>975</v>
      </c>
      <c r="AV15" s="120" t="n">
        <f aca="false">Inputs!$E$15*Inputs!$E$16*Inputs!$E$10*1</f>
        <v>975</v>
      </c>
      <c r="AW15" s="120" t="n">
        <f aca="false">Inputs!$E$15*Inputs!$E$16*Inputs!$E$10*1</f>
        <v>975</v>
      </c>
      <c r="AX15" s="120" t="n">
        <f aca="false">Inputs!$E$15*Inputs!$E$16*Inputs!$E$10*1</f>
        <v>975</v>
      </c>
      <c r="AY15" s="120" t="n">
        <f aca="false">Inputs!$E$15*Inputs!$E$16*Inputs!$E$10*1</f>
        <v>975</v>
      </c>
      <c r="AZ15" s="120" t="n">
        <f aca="false">Inputs!$E$15*Inputs!$E$16*Inputs!$E$10*1</f>
        <v>975</v>
      </c>
      <c r="BA15" s="120" t="n">
        <f aca="false">Inputs!$E$15*Inputs!$E$16*Inputs!$E$10*1</f>
        <v>975</v>
      </c>
      <c r="BB15" s="120" t="n">
        <f aca="false">Inputs!$E$15*Inputs!$E$16*Inputs!$E$10*1</f>
        <v>975</v>
      </c>
      <c r="BC15" s="120" t="n">
        <f aca="false">Inputs!$E$15*Inputs!$E$16*Inputs!$E$10*1</f>
        <v>975</v>
      </c>
      <c r="BD15" s="120" t="n">
        <f aca="false">Inputs!$E$15*Inputs!$E$16*Inputs!$E$10*1</f>
        <v>975</v>
      </c>
      <c r="BE15" s="120" t="n">
        <f aca="false">Inputs!$E$15*Inputs!$E$16*Inputs!$E$10*1</f>
        <v>975</v>
      </c>
      <c r="BF15" s="120" t="n">
        <f aca="false">Inputs!$E$15*Inputs!$E$16*Inputs!$E$10*1</f>
        <v>975</v>
      </c>
      <c r="BG15" s="120" t="n">
        <f aca="false">Inputs!$E$15*Inputs!$E$16*Inputs!$E$10*1</f>
        <v>975</v>
      </c>
      <c r="BH15" s="120" t="n">
        <f aca="false">Inputs!$E$15*Inputs!$E$16*Inputs!$E$10*1</f>
        <v>975</v>
      </c>
      <c r="BI15" s="120" t="n">
        <f aca="false">Inputs!$E$15*Inputs!$E$16*Inputs!$E$10*1</f>
        <v>975</v>
      </c>
      <c r="BJ15" s="120" t="n">
        <f aca="false">Inputs!$E$15*Inputs!$E$16*Inputs!$E$10*1</f>
        <v>975</v>
      </c>
    </row>
    <row r="16" customFormat="false" ht="15" hidden="false" customHeight="false" outlineLevel="0" collapsed="false">
      <c r="A16" s="6" t="s">
        <v>417</v>
      </c>
      <c r="C16" s="120" t="n">
        <f aca="false">C14*Inputs!$E$17*Inputs!$E$18*Inputs!$E$10*1</f>
        <v>880</v>
      </c>
      <c r="D16" s="120" t="n">
        <f aca="false">D14*Inputs!$E$17*Inputs!$E$18*Inputs!$E$10*1</f>
        <v>880</v>
      </c>
      <c r="E16" s="120" t="n">
        <f aca="false">E14*Inputs!$E$17*Inputs!$E$18*Inputs!$E$10*1</f>
        <v>880</v>
      </c>
      <c r="F16" s="120" t="n">
        <f aca="false">F14*Inputs!$E$17*Inputs!$E$18*Inputs!$E$10*1</f>
        <v>880</v>
      </c>
      <c r="G16" s="120" t="n">
        <f aca="false">G14*Inputs!$E$17*Inputs!$E$18*Inputs!$E$10*1</f>
        <v>880</v>
      </c>
      <c r="H16" s="120" t="n">
        <f aca="false">H14*Inputs!$E$17*Inputs!$E$18*Inputs!$E$10*1</f>
        <v>880</v>
      </c>
      <c r="I16" s="120" t="n">
        <f aca="false">I14*Inputs!$E$17*Inputs!$E$18*Inputs!$E$10*1</f>
        <v>880</v>
      </c>
      <c r="J16" s="120" t="n">
        <f aca="false">J14*Inputs!$E$17*Inputs!$E$18*Inputs!$E$10*1</f>
        <v>880</v>
      </c>
      <c r="K16" s="120" t="n">
        <f aca="false">K14*Inputs!$E$17*Inputs!$E$18*Inputs!$E$10*1</f>
        <v>880</v>
      </c>
      <c r="L16" s="120" t="n">
        <f aca="false">L14*Inputs!$E$17*Inputs!$E$18*Inputs!$E$10*1</f>
        <v>880</v>
      </c>
      <c r="M16" s="120" t="n">
        <f aca="false">M14*Inputs!$E$17*Inputs!$E$18*Inputs!$E$10*1</f>
        <v>880</v>
      </c>
      <c r="N16" s="120" t="n">
        <f aca="false">N14*Inputs!$E$17*Inputs!$E$18*Inputs!$E$10*1</f>
        <v>880</v>
      </c>
      <c r="O16" s="120" t="n">
        <f aca="false">O14*Inputs!$E$17*Inputs!$E$18*Inputs!$E$10*1</f>
        <v>880</v>
      </c>
      <c r="P16" s="120" t="n">
        <f aca="false">P14*Inputs!$E$17*Inputs!$E$18*Inputs!$E$10*1</f>
        <v>880</v>
      </c>
      <c r="Q16" s="120" t="n">
        <f aca="false">Q14*Inputs!$E$17*Inputs!$E$18*Inputs!$E$10*1</f>
        <v>880</v>
      </c>
      <c r="R16" s="120" t="n">
        <f aca="false">R14*Inputs!$E$17*Inputs!$E$18*Inputs!$E$10*1</f>
        <v>880</v>
      </c>
      <c r="S16" s="120" t="n">
        <f aca="false">S14*Inputs!$E$17*Inputs!$E$18*Inputs!$E$10*1</f>
        <v>880</v>
      </c>
      <c r="T16" s="120" t="n">
        <f aca="false">T14*Inputs!$E$17*Inputs!$E$18*Inputs!$E$10*1</f>
        <v>880</v>
      </c>
      <c r="U16" s="120" t="n">
        <f aca="false">U14*Inputs!$E$17*Inputs!$E$18*Inputs!$E$10*1</f>
        <v>880</v>
      </c>
      <c r="V16" s="120" t="n">
        <f aca="false">V14*Inputs!$E$17*Inputs!$E$18*Inputs!$E$10*1</f>
        <v>880</v>
      </c>
      <c r="W16" s="120" t="n">
        <f aca="false">W14*Inputs!$E$17*Inputs!$E$18*Inputs!$E$10*1</f>
        <v>880</v>
      </c>
      <c r="X16" s="120" t="n">
        <f aca="false">X14*Inputs!$E$17*Inputs!$E$18*Inputs!$E$10*1</f>
        <v>880</v>
      </c>
      <c r="Y16" s="120" t="n">
        <f aca="false">Y14*Inputs!$E$17*Inputs!$E$18*Inputs!$E$10*1</f>
        <v>880</v>
      </c>
      <c r="Z16" s="120" t="n">
        <f aca="false">Z14*Inputs!$E$17*Inputs!$E$18*Inputs!$E$10*1</f>
        <v>880</v>
      </c>
      <c r="AA16" s="120" t="n">
        <f aca="false">AA14*Inputs!$E$17*Inputs!$E$18*Inputs!$E$10*1</f>
        <v>880</v>
      </c>
      <c r="AB16" s="120" t="n">
        <f aca="false">AB14*Inputs!$E$17*Inputs!$E$18*Inputs!$E$10*1</f>
        <v>880</v>
      </c>
      <c r="AC16" s="120" t="n">
        <f aca="false">AC14*Inputs!$E$17*Inputs!$E$18*Inputs!$E$10*1</f>
        <v>880</v>
      </c>
      <c r="AD16" s="120" t="n">
        <f aca="false">AD14*Inputs!$E$17*Inputs!$E$18*Inputs!$E$10*1</f>
        <v>880</v>
      </c>
      <c r="AE16" s="120" t="n">
        <f aca="false">AE14*Inputs!$E$17*Inputs!$E$18*Inputs!$E$10*1</f>
        <v>880</v>
      </c>
      <c r="AF16" s="120" t="n">
        <f aca="false">AF14*Inputs!$E$17*Inputs!$E$18*Inputs!$E$10*1</f>
        <v>880</v>
      </c>
      <c r="AG16" s="120" t="n">
        <f aca="false">AG14*Inputs!$E$17*Inputs!$E$18*Inputs!$E$10*1</f>
        <v>880</v>
      </c>
      <c r="AH16" s="120" t="n">
        <f aca="false">AH14*Inputs!$E$17*Inputs!$E$18*Inputs!$E$10*1</f>
        <v>880</v>
      </c>
      <c r="AI16" s="120" t="n">
        <f aca="false">AI14*Inputs!$E$17*Inputs!$E$18*Inputs!$E$10*1</f>
        <v>880</v>
      </c>
      <c r="AJ16" s="120" t="n">
        <f aca="false">AJ14*Inputs!$E$17*Inputs!$E$18*Inputs!$E$10*1</f>
        <v>880</v>
      </c>
      <c r="AK16" s="120" t="n">
        <f aca="false">AK14*Inputs!$E$17*Inputs!$E$18*Inputs!$E$10*1</f>
        <v>880</v>
      </c>
      <c r="AL16" s="120" t="n">
        <f aca="false">AL14*Inputs!$E$17*Inputs!$E$18*Inputs!$E$10*1</f>
        <v>880</v>
      </c>
      <c r="AM16" s="120" t="n">
        <f aca="false">AM14*Inputs!$E$17*Inputs!$E$18*Inputs!$E$10*1</f>
        <v>880</v>
      </c>
      <c r="AN16" s="120" t="n">
        <f aca="false">AN14*Inputs!$E$17*Inputs!$E$18*Inputs!$E$10*1</f>
        <v>880</v>
      </c>
      <c r="AO16" s="120" t="n">
        <f aca="false">AO14*Inputs!$E$17*Inputs!$E$18*Inputs!$E$10*1</f>
        <v>880</v>
      </c>
      <c r="AP16" s="120" t="n">
        <f aca="false">AP14*Inputs!$E$17*Inputs!$E$18*Inputs!$E$10*1</f>
        <v>880</v>
      </c>
      <c r="AQ16" s="120" t="n">
        <f aca="false">AQ14*Inputs!$E$17*Inputs!$E$18*Inputs!$E$10*1</f>
        <v>880</v>
      </c>
      <c r="AR16" s="120" t="n">
        <f aca="false">AR14*Inputs!$E$17*Inputs!$E$18*Inputs!$E$10*1</f>
        <v>880</v>
      </c>
      <c r="AS16" s="120" t="n">
        <f aca="false">AS14*Inputs!$E$17*Inputs!$E$18*Inputs!$E$10*1</f>
        <v>880</v>
      </c>
      <c r="AT16" s="120" t="n">
        <f aca="false">AT14*Inputs!$E$17*Inputs!$E$18*Inputs!$E$10*1</f>
        <v>880</v>
      </c>
      <c r="AU16" s="120" t="n">
        <f aca="false">AU14*Inputs!$E$17*Inputs!$E$18*Inputs!$E$10*1</f>
        <v>880</v>
      </c>
      <c r="AV16" s="120" t="n">
        <f aca="false">AV14*Inputs!$E$17*Inputs!$E$18*Inputs!$E$10*1</f>
        <v>880</v>
      </c>
      <c r="AW16" s="120" t="n">
        <f aca="false">AW14*Inputs!$E$17*Inputs!$E$18*Inputs!$E$10*1</f>
        <v>880</v>
      </c>
      <c r="AX16" s="120" t="n">
        <f aca="false">AX14*Inputs!$E$17*Inputs!$E$18*Inputs!$E$10*1</f>
        <v>880</v>
      </c>
      <c r="AY16" s="120" t="n">
        <f aca="false">AY14*Inputs!$E$17*Inputs!$E$18*Inputs!$E$10*1</f>
        <v>880</v>
      </c>
      <c r="AZ16" s="120" t="n">
        <f aca="false">AZ14*Inputs!$E$17*Inputs!$E$18*Inputs!$E$10*1</f>
        <v>880</v>
      </c>
      <c r="BA16" s="120" t="n">
        <f aca="false">BA14*Inputs!$E$17*Inputs!$E$18*Inputs!$E$10*1</f>
        <v>880</v>
      </c>
      <c r="BB16" s="120" t="n">
        <f aca="false">BB14*Inputs!$E$17*Inputs!$E$18*Inputs!$E$10*1</f>
        <v>880</v>
      </c>
      <c r="BC16" s="120" t="n">
        <f aca="false">BC14*Inputs!$E$17*Inputs!$E$18*Inputs!$E$10*1</f>
        <v>880</v>
      </c>
      <c r="BD16" s="120" t="n">
        <f aca="false">BD14*Inputs!$E$17*Inputs!$E$18*Inputs!$E$10*1</f>
        <v>880</v>
      </c>
      <c r="BE16" s="120" t="n">
        <f aca="false">BE14*Inputs!$E$17*Inputs!$E$18*Inputs!$E$10*1</f>
        <v>880</v>
      </c>
      <c r="BF16" s="120" t="n">
        <f aca="false">BF14*Inputs!$E$17*Inputs!$E$18*Inputs!$E$10*1</f>
        <v>880</v>
      </c>
      <c r="BG16" s="120" t="n">
        <f aca="false">BG14*Inputs!$E$17*Inputs!$E$18*Inputs!$E$10*1</f>
        <v>880</v>
      </c>
      <c r="BH16" s="120" t="n">
        <f aca="false">BH14*Inputs!$E$17*Inputs!$E$18*Inputs!$E$10*1</f>
        <v>880</v>
      </c>
      <c r="BI16" s="120" t="n">
        <f aca="false">BI14*Inputs!$E$17*Inputs!$E$18*Inputs!$E$10*1</f>
        <v>880</v>
      </c>
      <c r="BJ16" s="120" t="n">
        <f aca="false">BJ14*Inputs!$E$17*Inputs!$E$18*Inputs!$E$10*1</f>
        <v>880</v>
      </c>
    </row>
    <row r="17" customFormat="false" ht="15" hidden="false" customHeight="false" outlineLevel="0" collapsed="false">
      <c r="A17" s="6" t="s">
        <v>235</v>
      </c>
      <c r="C17" s="120" t="n">
        <f aca="false">MIN(C15,C16)</f>
        <v>880</v>
      </c>
      <c r="D17" s="120" t="n">
        <f aca="false">MIN(D15,D16)</f>
        <v>880</v>
      </c>
      <c r="E17" s="120" t="n">
        <f aca="false">MIN(E15,E16)</f>
        <v>880</v>
      </c>
      <c r="F17" s="120" t="n">
        <f aca="false">MIN(F15,F16)</f>
        <v>880</v>
      </c>
      <c r="G17" s="120" t="n">
        <f aca="false">MIN(G15,G16)</f>
        <v>880</v>
      </c>
      <c r="H17" s="120" t="n">
        <f aca="false">MIN(H15,H16)</f>
        <v>880</v>
      </c>
      <c r="I17" s="120" t="n">
        <f aca="false">MIN(I15,I16)</f>
        <v>880</v>
      </c>
      <c r="J17" s="120" t="n">
        <f aca="false">MIN(J15,J16)</f>
        <v>880</v>
      </c>
      <c r="K17" s="120" t="n">
        <f aca="false">MIN(K15,K16)</f>
        <v>880</v>
      </c>
      <c r="L17" s="120" t="n">
        <f aca="false">MIN(L15,L16)</f>
        <v>880</v>
      </c>
      <c r="M17" s="120" t="n">
        <f aca="false">MIN(M15,M16)</f>
        <v>880</v>
      </c>
      <c r="N17" s="120" t="n">
        <f aca="false">MIN(N15,N16)</f>
        <v>880</v>
      </c>
      <c r="O17" s="120" t="n">
        <f aca="false">MIN(O15,O16)</f>
        <v>880</v>
      </c>
      <c r="P17" s="120" t="n">
        <f aca="false">MIN(P15,P16)</f>
        <v>880</v>
      </c>
      <c r="Q17" s="120" t="n">
        <f aca="false">MIN(Q15,Q16)</f>
        <v>880</v>
      </c>
      <c r="R17" s="120" t="n">
        <f aca="false">MIN(R15,R16)</f>
        <v>880</v>
      </c>
      <c r="S17" s="120" t="n">
        <f aca="false">MIN(S15,S16)</f>
        <v>880</v>
      </c>
      <c r="T17" s="120" t="n">
        <f aca="false">MIN(T15,T16)</f>
        <v>880</v>
      </c>
      <c r="U17" s="120" t="n">
        <f aca="false">MIN(U15,U16)</f>
        <v>880</v>
      </c>
      <c r="V17" s="120" t="n">
        <f aca="false">MIN(V15,V16)</f>
        <v>880</v>
      </c>
      <c r="W17" s="120" t="n">
        <f aca="false">MIN(W15,W16)</f>
        <v>880</v>
      </c>
      <c r="X17" s="120" t="n">
        <f aca="false">MIN(X15,X16)</f>
        <v>880</v>
      </c>
      <c r="Y17" s="120" t="n">
        <f aca="false">MIN(Y15,Y16)</f>
        <v>880</v>
      </c>
      <c r="Z17" s="120" t="n">
        <f aca="false">MIN(Z15,Z16)</f>
        <v>880</v>
      </c>
      <c r="AA17" s="120" t="n">
        <f aca="false">MIN(AA15,AA16)</f>
        <v>880</v>
      </c>
      <c r="AB17" s="120" t="n">
        <f aca="false">MIN(AB15,AB16)</f>
        <v>880</v>
      </c>
      <c r="AC17" s="120" t="n">
        <f aca="false">MIN(AC15,AC16)</f>
        <v>880</v>
      </c>
      <c r="AD17" s="120" t="n">
        <f aca="false">MIN(AD15,AD16)</f>
        <v>880</v>
      </c>
      <c r="AE17" s="120" t="n">
        <f aca="false">MIN(AE15,AE16)</f>
        <v>880</v>
      </c>
      <c r="AF17" s="120" t="n">
        <f aca="false">MIN(AF15,AF16)</f>
        <v>880</v>
      </c>
      <c r="AG17" s="120" t="n">
        <f aca="false">MIN(AG15,AG16)</f>
        <v>880</v>
      </c>
      <c r="AH17" s="120" t="n">
        <f aca="false">MIN(AH15,AH16)</f>
        <v>880</v>
      </c>
      <c r="AI17" s="120" t="n">
        <f aca="false">MIN(AI15,AI16)</f>
        <v>880</v>
      </c>
      <c r="AJ17" s="120" t="n">
        <f aca="false">MIN(AJ15,AJ16)</f>
        <v>880</v>
      </c>
      <c r="AK17" s="120" t="n">
        <f aca="false">MIN(AK15,AK16)</f>
        <v>880</v>
      </c>
      <c r="AL17" s="120" t="n">
        <f aca="false">MIN(AL15,AL16)</f>
        <v>880</v>
      </c>
      <c r="AM17" s="120" t="n">
        <f aca="false">MIN(AM15,AM16)</f>
        <v>880</v>
      </c>
      <c r="AN17" s="120" t="n">
        <f aca="false">MIN(AN15,AN16)</f>
        <v>880</v>
      </c>
      <c r="AO17" s="120" t="n">
        <f aca="false">MIN(AO15,AO16)</f>
        <v>880</v>
      </c>
      <c r="AP17" s="120" t="n">
        <f aca="false">MIN(AP15,AP16)</f>
        <v>880</v>
      </c>
      <c r="AQ17" s="120" t="n">
        <f aca="false">MIN(AQ15,AQ16)</f>
        <v>880</v>
      </c>
      <c r="AR17" s="120" t="n">
        <f aca="false">MIN(AR15,AR16)</f>
        <v>880</v>
      </c>
      <c r="AS17" s="120" t="n">
        <f aca="false">MIN(AS15,AS16)</f>
        <v>880</v>
      </c>
      <c r="AT17" s="120" t="n">
        <f aca="false">MIN(AT15,AT16)</f>
        <v>880</v>
      </c>
      <c r="AU17" s="120" t="n">
        <f aca="false">MIN(AU15,AU16)</f>
        <v>880</v>
      </c>
      <c r="AV17" s="120" t="n">
        <f aca="false">MIN(AV15,AV16)</f>
        <v>880</v>
      </c>
      <c r="AW17" s="120" t="n">
        <f aca="false">MIN(AW15,AW16)</f>
        <v>880</v>
      </c>
      <c r="AX17" s="120" t="n">
        <f aca="false">MIN(AX15,AX16)</f>
        <v>880</v>
      </c>
      <c r="AY17" s="120" t="n">
        <f aca="false">MIN(AY15,AY16)</f>
        <v>880</v>
      </c>
      <c r="AZ17" s="120" t="n">
        <f aca="false">MIN(AZ15,AZ16)</f>
        <v>880</v>
      </c>
      <c r="BA17" s="120" t="n">
        <f aca="false">MIN(BA15,BA16)</f>
        <v>880</v>
      </c>
      <c r="BB17" s="120" t="n">
        <f aca="false">MIN(BB15,BB16)</f>
        <v>880</v>
      </c>
      <c r="BC17" s="120" t="n">
        <f aca="false">MIN(BC15,BC16)</f>
        <v>880</v>
      </c>
      <c r="BD17" s="120" t="n">
        <f aca="false">MIN(BD15,BD16)</f>
        <v>880</v>
      </c>
      <c r="BE17" s="120" t="n">
        <f aca="false">MIN(BE15,BE16)</f>
        <v>880</v>
      </c>
      <c r="BF17" s="120" t="n">
        <f aca="false">MIN(BF15,BF16)</f>
        <v>880</v>
      </c>
      <c r="BG17" s="120" t="n">
        <f aca="false">MIN(BG15,BG16)</f>
        <v>880</v>
      </c>
      <c r="BH17" s="120" t="n">
        <f aca="false">MIN(BH15,BH16)</f>
        <v>880</v>
      </c>
      <c r="BI17" s="120" t="n">
        <f aca="false">MIN(BI15,BI16)</f>
        <v>880</v>
      </c>
      <c r="BJ17" s="120" t="n">
        <f aca="false">MIN(BJ15,BJ16)</f>
        <v>880</v>
      </c>
    </row>
    <row r="18" customFormat="false" ht="15" hidden="false" customHeight="false" outlineLevel="0" collapsed="false">
      <c r="A18" s="4" t="s">
        <v>418</v>
      </c>
      <c r="C18" s="122" t="n">
        <f aca="false">MIN(C11,C17)</f>
        <v>270</v>
      </c>
      <c r="D18" s="122" t="n">
        <f aca="false">MIN(D11,D17)</f>
        <v>303.75</v>
      </c>
      <c r="E18" s="122" t="n">
        <f aca="false">MIN(E11,E17)</f>
        <v>337.5</v>
      </c>
      <c r="F18" s="122" t="n">
        <f aca="false">MIN(F11,F17)</f>
        <v>371.25</v>
      </c>
      <c r="G18" s="122" t="n">
        <f aca="false">MIN(G11,G17)</f>
        <v>405</v>
      </c>
      <c r="H18" s="122" t="n">
        <f aca="false">MIN(H11,H17)</f>
        <v>438.75</v>
      </c>
      <c r="I18" s="122" t="n">
        <f aca="false">MIN(I11,I17)</f>
        <v>472.5</v>
      </c>
      <c r="J18" s="122" t="n">
        <f aca="false">MIN(J11,J17)</f>
        <v>506.25</v>
      </c>
      <c r="K18" s="122" t="n">
        <f aca="false">MIN(K11,K17)</f>
        <v>540</v>
      </c>
      <c r="L18" s="122" t="n">
        <f aca="false">MIN(L11,L17)</f>
        <v>573.75</v>
      </c>
      <c r="M18" s="122" t="n">
        <f aca="false">MIN(M11,M17)</f>
        <v>607.5</v>
      </c>
      <c r="N18" s="122" t="n">
        <f aca="false">MIN(N11,N17)</f>
        <v>641.25</v>
      </c>
      <c r="O18" s="122" t="n">
        <f aca="false">MIN(O11,O17)</f>
        <v>695.25</v>
      </c>
      <c r="P18" s="122" t="n">
        <f aca="false">MIN(P11,P17)</f>
        <v>695.25</v>
      </c>
      <c r="Q18" s="122" t="n">
        <f aca="false">MIN(Q11,Q17)</f>
        <v>695.25</v>
      </c>
      <c r="R18" s="122" t="n">
        <f aca="false">MIN(R11,R17)</f>
        <v>695.25</v>
      </c>
      <c r="S18" s="122" t="n">
        <f aca="false">MIN(S11,S17)</f>
        <v>695.25</v>
      </c>
      <c r="T18" s="122" t="n">
        <f aca="false">MIN(T11,T17)</f>
        <v>695.25</v>
      </c>
      <c r="U18" s="122" t="n">
        <f aca="false">MIN(U11,U17)</f>
        <v>695.25</v>
      </c>
      <c r="V18" s="122" t="n">
        <f aca="false">MIN(V11,V17)</f>
        <v>695.25</v>
      </c>
      <c r="W18" s="122" t="n">
        <f aca="false">MIN(W11,W17)</f>
        <v>695.25</v>
      </c>
      <c r="X18" s="122" t="n">
        <f aca="false">MIN(X11,X17)</f>
        <v>695.25</v>
      </c>
      <c r="Y18" s="122" t="n">
        <f aca="false">MIN(Y11,Y17)</f>
        <v>695.25</v>
      </c>
      <c r="Z18" s="122" t="n">
        <f aca="false">MIN(Z11,Z17)</f>
        <v>695.25</v>
      </c>
      <c r="AA18" s="122" t="n">
        <f aca="false">MIN(AA11,AA17)</f>
        <v>716.1075</v>
      </c>
      <c r="AB18" s="122" t="n">
        <f aca="false">MIN(AB11,AB17)</f>
        <v>716.1075</v>
      </c>
      <c r="AC18" s="122" t="n">
        <f aca="false">MIN(AC11,AC17)</f>
        <v>716.1075</v>
      </c>
      <c r="AD18" s="122" t="n">
        <f aca="false">MIN(AD11,AD17)</f>
        <v>716.1075</v>
      </c>
      <c r="AE18" s="122" t="n">
        <f aca="false">MIN(AE11,AE17)</f>
        <v>716.1075</v>
      </c>
      <c r="AF18" s="122" t="n">
        <f aca="false">MIN(AF11,AF17)</f>
        <v>716.1075</v>
      </c>
      <c r="AG18" s="122" t="n">
        <f aca="false">MIN(AG11,AG17)</f>
        <v>716.1075</v>
      </c>
      <c r="AH18" s="122" t="n">
        <f aca="false">MIN(AH11,AH17)</f>
        <v>716.1075</v>
      </c>
      <c r="AI18" s="122" t="n">
        <f aca="false">MIN(AI11,AI17)</f>
        <v>716.1075</v>
      </c>
      <c r="AJ18" s="122" t="n">
        <f aca="false">MIN(AJ11,AJ17)</f>
        <v>716.1075</v>
      </c>
      <c r="AK18" s="122" t="n">
        <f aca="false">MIN(AK11,AK17)</f>
        <v>716.1075</v>
      </c>
      <c r="AL18" s="122" t="n">
        <f aca="false">MIN(AL11,AL17)</f>
        <v>716.1075</v>
      </c>
      <c r="AM18" s="122" t="n">
        <f aca="false">MIN(AM11,AM17)</f>
        <v>737.590725</v>
      </c>
      <c r="AN18" s="122" t="n">
        <f aca="false">MIN(AN11,AN17)</f>
        <v>737.590725</v>
      </c>
      <c r="AO18" s="122" t="n">
        <f aca="false">MIN(AO11,AO17)</f>
        <v>737.590725</v>
      </c>
      <c r="AP18" s="122" t="n">
        <f aca="false">MIN(AP11,AP17)</f>
        <v>737.590725</v>
      </c>
      <c r="AQ18" s="122" t="n">
        <f aca="false">MIN(AQ11,AQ17)</f>
        <v>737.590725</v>
      </c>
      <c r="AR18" s="122" t="n">
        <f aca="false">MIN(AR11,AR17)</f>
        <v>737.590725</v>
      </c>
      <c r="AS18" s="122" t="n">
        <f aca="false">MIN(AS11,AS17)</f>
        <v>737.590725</v>
      </c>
      <c r="AT18" s="122" t="n">
        <f aca="false">MIN(AT11,AT17)</f>
        <v>737.590725</v>
      </c>
      <c r="AU18" s="122" t="n">
        <f aca="false">MIN(AU11,AU17)</f>
        <v>737.590725</v>
      </c>
      <c r="AV18" s="122" t="n">
        <f aca="false">MIN(AV11,AV17)</f>
        <v>737.590725</v>
      </c>
      <c r="AW18" s="122" t="n">
        <f aca="false">MIN(AW11,AW17)</f>
        <v>737.590725</v>
      </c>
      <c r="AX18" s="122" t="n">
        <f aca="false">MIN(AX11,AX17)</f>
        <v>737.590725</v>
      </c>
      <c r="AY18" s="122" t="n">
        <f aca="false">MIN(AY11,AY17)</f>
        <v>759.71844675</v>
      </c>
      <c r="AZ18" s="122" t="n">
        <f aca="false">MIN(AZ11,AZ17)</f>
        <v>759.71844675</v>
      </c>
      <c r="BA18" s="122" t="n">
        <f aca="false">MIN(BA11,BA17)</f>
        <v>759.71844675</v>
      </c>
      <c r="BB18" s="122" t="n">
        <f aca="false">MIN(BB11,BB17)</f>
        <v>759.71844675</v>
      </c>
      <c r="BC18" s="122" t="n">
        <f aca="false">MIN(BC11,BC17)</f>
        <v>759.71844675</v>
      </c>
      <c r="BD18" s="122" t="n">
        <f aca="false">MIN(BD11,BD17)</f>
        <v>759.71844675</v>
      </c>
      <c r="BE18" s="122" t="n">
        <f aca="false">MIN(BE11,BE17)</f>
        <v>759.71844675</v>
      </c>
      <c r="BF18" s="122" t="n">
        <f aca="false">MIN(BF11,BF17)</f>
        <v>759.71844675</v>
      </c>
      <c r="BG18" s="122" t="n">
        <f aca="false">MIN(BG11,BG17)</f>
        <v>759.71844675</v>
      </c>
      <c r="BH18" s="122" t="n">
        <f aca="false">MIN(BH11,BH17)</f>
        <v>759.71844675</v>
      </c>
      <c r="BI18" s="122" t="n">
        <f aca="false">MIN(BI11,BI17)</f>
        <v>759.71844675</v>
      </c>
      <c r="BJ18" s="122" t="n">
        <f aca="false">MIN(BJ11,BJ17)</f>
        <v>759.71844675</v>
      </c>
    </row>
    <row r="19" customFormat="false" ht="15" hidden="false" customHeight="false" outlineLevel="0" collapsed="false">
      <c r="A19" s="6" t="s">
        <v>237</v>
      </c>
      <c r="C19" s="120" t="n">
        <f aca="false">C11-C18</f>
        <v>0</v>
      </c>
      <c r="D19" s="120" t="n">
        <f aca="false">D11-D18</f>
        <v>0</v>
      </c>
      <c r="E19" s="120" t="n">
        <f aca="false">E11-E18</f>
        <v>0</v>
      </c>
      <c r="F19" s="120" t="n">
        <f aca="false">F11-F18</f>
        <v>0</v>
      </c>
      <c r="G19" s="120" t="n">
        <f aca="false">G11-G18</f>
        <v>0</v>
      </c>
      <c r="H19" s="120" t="n">
        <f aca="false">H11-H18</f>
        <v>0</v>
      </c>
      <c r="I19" s="120" t="n">
        <f aca="false">I11-I18</f>
        <v>0</v>
      </c>
      <c r="J19" s="120" t="n">
        <f aca="false">J11-J18</f>
        <v>0</v>
      </c>
      <c r="K19" s="120" t="n">
        <f aca="false">K11-K18</f>
        <v>0</v>
      </c>
      <c r="L19" s="120" t="n">
        <f aca="false">L11-L18</f>
        <v>0</v>
      </c>
      <c r="M19" s="120" t="n">
        <f aca="false">M11-M18</f>
        <v>0</v>
      </c>
      <c r="N19" s="120" t="n">
        <f aca="false">N11-N18</f>
        <v>0</v>
      </c>
      <c r="O19" s="120" t="n">
        <f aca="false">O11-O18</f>
        <v>0</v>
      </c>
      <c r="P19" s="120" t="n">
        <f aca="false">P11-P18</f>
        <v>0</v>
      </c>
      <c r="Q19" s="120" t="n">
        <f aca="false">Q11-Q18</f>
        <v>0</v>
      </c>
      <c r="R19" s="120" t="n">
        <f aca="false">R11-R18</f>
        <v>0</v>
      </c>
      <c r="S19" s="120" t="n">
        <f aca="false">S11-S18</f>
        <v>0</v>
      </c>
      <c r="T19" s="120" t="n">
        <f aca="false">T11-T18</f>
        <v>0</v>
      </c>
      <c r="U19" s="120" t="n">
        <f aca="false">U11-U18</f>
        <v>0</v>
      </c>
      <c r="V19" s="120" t="n">
        <f aca="false">V11-V18</f>
        <v>0</v>
      </c>
      <c r="W19" s="120" t="n">
        <f aca="false">W11-W18</f>
        <v>0</v>
      </c>
      <c r="X19" s="120" t="n">
        <f aca="false">X11-X18</f>
        <v>0</v>
      </c>
      <c r="Y19" s="120" t="n">
        <f aca="false">Y11-Y18</f>
        <v>0</v>
      </c>
      <c r="Z19" s="120" t="n">
        <f aca="false">Z11-Z18</f>
        <v>0</v>
      </c>
      <c r="AA19" s="120" t="n">
        <f aca="false">AA11-AA18</f>
        <v>0</v>
      </c>
      <c r="AB19" s="120" t="n">
        <f aca="false">AB11-AB18</f>
        <v>0</v>
      </c>
      <c r="AC19" s="120" t="n">
        <f aca="false">AC11-AC18</f>
        <v>0</v>
      </c>
      <c r="AD19" s="120" t="n">
        <f aca="false">AD11-AD18</f>
        <v>0</v>
      </c>
      <c r="AE19" s="120" t="n">
        <f aca="false">AE11-AE18</f>
        <v>0</v>
      </c>
      <c r="AF19" s="120" t="n">
        <f aca="false">AF11-AF18</f>
        <v>0</v>
      </c>
      <c r="AG19" s="120" t="n">
        <f aca="false">AG11-AG18</f>
        <v>0</v>
      </c>
      <c r="AH19" s="120" t="n">
        <f aca="false">AH11-AH18</f>
        <v>0</v>
      </c>
      <c r="AI19" s="120" t="n">
        <f aca="false">AI11-AI18</f>
        <v>0</v>
      </c>
      <c r="AJ19" s="120" t="n">
        <f aca="false">AJ11-AJ18</f>
        <v>0</v>
      </c>
      <c r="AK19" s="120" t="n">
        <f aca="false">AK11-AK18</f>
        <v>0</v>
      </c>
      <c r="AL19" s="120" t="n">
        <f aca="false">AL11-AL18</f>
        <v>0</v>
      </c>
      <c r="AM19" s="120" t="n">
        <f aca="false">AM11-AM18</f>
        <v>0</v>
      </c>
      <c r="AN19" s="120" t="n">
        <f aca="false">AN11-AN18</f>
        <v>0</v>
      </c>
      <c r="AO19" s="120" t="n">
        <f aca="false">AO11-AO18</f>
        <v>0</v>
      </c>
      <c r="AP19" s="120" t="n">
        <f aca="false">AP11-AP18</f>
        <v>0</v>
      </c>
      <c r="AQ19" s="120" t="n">
        <f aca="false">AQ11-AQ18</f>
        <v>0</v>
      </c>
      <c r="AR19" s="120" t="n">
        <f aca="false">AR11-AR18</f>
        <v>0</v>
      </c>
      <c r="AS19" s="120" t="n">
        <f aca="false">AS11-AS18</f>
        <v>0</v>
      </c>
      <c r="AT19" s="120" t="n">
        <f aca="false">AT11-AT18</f>
        <v>0</v>
      </c>
      <c r="AU19" s="120" t="n">
        <f aca="false">AU11-AU18</f>
        <v>0</v>
      </c>
      <c r="AV19" s="120" t="n">
        <f aca="false">AV11-AV18</f>
        <v>0</v>
      </c>
      <c r="AW19" s="120" t="n">
        <f aca="false">AW11-AW18</f>
        <v>0</v>
      </c>
      <c r="AX19" s="120" t="n">
        <f aca="false">AX11-AX18</f>
        <v>0</v>
      </c>
      <c r="AY19" s="120" t="n">
        <f aca="false">AY11-AY18</f>
        <v>0</v>
      </c>
      <c r="AZ19" s="120" t="n">
        <f aca="false">AZ11-AZ18</f>
        <v>0</v>
      </c>
      <c r="BA19" s="120" t="n">
        <f aca="false">BA11-BA18</f>
        <v>0</v>
      </c>
      <c r="BB19" s="120" t="n">
        <f aca="false">BB11-BB18</f>
        <v>0</v>
      </c>
      <c r="BC19" s="120" t="n">
        <f aca="false">BC11-BC18</f>
        <v>0</v>
      </c>
      <c r="BD19" s="120" t="n">
        <f aca="false">BD11-BD18</f>
        <v>0</v>
      </c>
      <c r="BE19" s="120" t="n">
        <f aca="false">BE11-BE18</f>
        <v>0</v>
      </c>
      <c r="BF19" s="120" t="n">
        <f aca="false">BF11-BF18</f>
        <v>0</v>
      </c>
      <c r="BG19" s="120" t="n">
        <f aca="false">BG11-BG18</f>
        <v>0</v>
      </c>
      <c r="BH19" s="120" t="n">
        <f aca="false">BH11-BH18</f>
        <v>0</v>
      </c>
      <c r="BI19" s="120" t="n">
        <f aca="false">BI11-BI18</f>
        <v>0</v>
      </c>
      <c r="BJ19" s="120" t="n">
        <f aca="false">BJ11-BJ18</f>
        <v>0</v>
      </c>
    </row>
    <row r="20" customFormat="false" ht="15" hidden="false" customHeight="false" outlineLevel="0" collapsed="false">
      <c r="A20" s="38" t="s">
        <v>419</v>
      </c>
      <c r="C20" s="76" t="n">
        <f aca="false">MIN(1,C18/MAX(1,C11))</f>
        <v>1</v>
      </c>
      <c r="D20" s="76" t="n">
        <f aca="false">MIN(1,D18/MAX(1,D11))</f>
        <v>1</v>
      </c>
      <c r="E20" s="76" t="n">
        <f aca="false">MIN(1,E18/MAX(1,E11))</f>
        <v>1</v>
      </c>
      <c r="F20" s="76" t="n">
        <f aca="false">MIN(1,F18/MAX(1,F11))</f>
        <v>1</v>
      </c>
      <c r="G20" s="76" t="n">
        <f aca="false">MIN(1,G18/MAX(1,G11))</f>
        <v>1</v>
      </c>
      <c r="H20" s="76" t="n">
        <f aca="false">MIN(1,H18/MAX(1,H11))</f>
        <v>1</v>
      </c>
      <c r="I20" s="76" t="n">
        <f aca="false">MIN(1,I18/MAX(1,I11))</f>
        <v>1</v>
      </c>
      <c r="J20" s="76" t="n">
        <f aca="false">MIN(1,J18/MAX(1,J11))</f>
        <v>1</v>
      </c>
      <c r="K20" s="76" t="n">
        <f aca="false">MIN(1,K18/MAX(1,K11))</f>
        <v>1</v>
      </c>
      <c r="L20" s="76" t="n">
        <f aca="false">MIN(1,L18/MAX(1,L11))</f>
        <v>1</v>
      </c>
      <c r="M20" s="76" t="n">
        <f aca="false">MIN(1,M18/MAX(1,M11))</f>
        <v>1</v>
      </c>
      <c r="N20" s="76" t="n">
        <f aca="false">MIN(1,N18/MAX(1,N11))</f>
        <v>1</v>
      </c>
      <c r="O20" s="76" t="n">
        <f aca="false">MIN(1,O18/MAX(1,O11))</f>
        <v>1</v>
      </c>
      <c r="P20" s="76" t="n">
        <f aca="false">MIN(1,P18/MAX(1,P11))</f>
        <v>1</v>
      </c>
      <c r="Q20" s="76" t="n">
        <f aca="false">MIN(1,Q18/MAX(1,Q11))</f>
        <v>1</v>
      </c>
      <c r="R20" s="76" t="n">
        <f aca="false">MIN(1,R18/MAX(1,R11))</f>
        <v>1</v>
      </c>
      <c r="S20" s="76" t="n">
        <f aca="false">MIN(1,S18/MAX(1,S11))</f>
        <v>1</v>
      </c>
      <c r="T20" s="76" t="n">
        <f aca="false">MIN(1,T18/MAX(1,T11))</f>
        <v>1</v>
      </c>
      <c r="U20" s="76" t="n">
        <f aca="false">MIN(1,U18/MAX(1,U11))</f>
        <v>1</v>
      </c>
      <c r="V20" s="76" t="n">
        <f aca="false">MIN(1,V18/MAX(1,V11))</f>
        <v>1</v>
      </c>
      <c r="W20" s="76" t="n">
        <f aca="false">MIN(1,W18/MAX(1,W11))</f>
        <v>1</v>
      </c>
      <c r="X20" s="76" t="n">
        <f aca="false">MIN(1,X18/MAX(1,X11))</f>
        <v>1</v>
      </c>
      <c r="Y20" s="76" t="n">
        <f aca="false">MIN(1,Y18/MAX(1,Y11))</f>
        <v>1</v>
      </c>
      <c r="Z20" s="76" t="n">
        <f aca="false">MIN(1,Z18/MAX(1,Z11))</f>
        <v>1</v>
      </c>
      <c r="AA20" s="76" t="n">
        <f aca="false">MIN(1,AA18/MAX(1,AA11))</f>
        <v>1</v>
      </c>
      <c r="AB20" s="76" t="n">
        <f aca="false">MIN(1,AB18/MAX(1,AB11))</f>
        <v>1</v>
      </c>
      <c r="AC20" s="76" t="n">
        <f aca="false">MIN(1,AC18/MAX(1,AC11))</f>
        <v>1</v>
      </c>
      <c r="AD20" s="76" t="n">
        <f aca="false">MIN(1,AD18/MAX(1,AD11))</f>
        <v>1</v>
      </c>
      <c r="AE20" s="76" t="n">
        <f aca="false">MIN(1,AE18/MAX(1,AE11))</f>
        <v>1</v>
      </c>
      <c r="AF20" s="76" t="n">
        <f aca="false">MIN(1,AF18/MAX(1,AF11))</f>
        <v>1</v>
      </c>
      <c r="AG20" s="76" t="n">
        <f aca="false">MIN(1,AG18/MAX(1,AG11))</f>
        <v>1</v>
      </c>
      <c r="AH20" s="76" t="n">
        <f aca="false">MIN(1,AH18/MAX(1,AH11))</f>
        <v>1</v>
      </c>
      <c r="AI20" s="76" t="n">
        <f aca="false">MIN(1,AI18/MAX(1,AI11))</f>
        <v>1</v>
      </c>
      <c r="AJ20" s="76" t="n">
        <f aca="false">MIN(1,AJ18/MAX(1,AJ11))</f>
        <v>1</v>
      </c>
      <c r="AK20" s="76" t="n">
        <f aca="false">MIN(1,AK18/MAX(1,AK11))</f>
        <v>1</v>
      </c>
      <c r="AL20" s="76" t="n">
        <f aca="false">MIN(1,AL18/MAX(1,AL11))</f>
        <v>1</v>
      </c>
      <c r="AM20" s="76" t="n">
        <f aca="false">MIN(1,AM18/MAX(1,AM11))</f>
        <v>1</v>
      </c>
      <c r="AN20" s="76" t="n">
        <f aca="false">MIN(1,AN18/MAX(1,AN11))</f>
        <v>1</v>
      </c>
      <c r="AO20" s="76" t="n">
        <f aca="false">MIN(1,AO18/MAX(1,AO11))</f>
        <v>1</v>
      </c>
      <c r="AP20" s="76" t="n">
        <f aca="false">MIN(1,AP18/MAX(1,AP11))</f>
        <v>1</v>
      </c>
      <c r="AQ20" s="76" t="n">
        <f aca="false">MIN(1,AQ18/MAX(1,AQ11))</f>
        <v>1</v>
      </c>
      <c r="AR20" s="76" t="n">
        <f aca="false">MIN(1,AR18/MAX(1,AR11))</f>
        <v>1</v>
      </c>
      <c r="AS20" s="76" t="n">
        <f aca="false">MIN(1,AS18/MAX(1,AS11))</f>
        <v>1</v>
      </c>
      <c r="AT20" s="76" t="n">
        <f aca="false">MIN(1,AT18/MAX(1,AT11))</f>
        <v>1</v>
      </c>
      <c r="AU20" s="76" t="n">
        <f aca="false">MIN(1,AU18/MAX(1,AU11))</f>
        <v>1</v>
      </c>
      <c r="AV20" s="76" t="n">
        <f aca="false">MIN(1,AV18/MAX(1,AV11))</f>
        <v>1</v>
      </c>
      <c r="AW20" s="76" t="n">
        <f aca="false">MIN(1,AW18/MAX(1,AW11))</f>
        <v>1</v>
      </c>
      <c r="AX20" s="76" t="n">
        <f aca="false">MIN(1,AX18/MAX(1,AX11))</f>
        <v>1</v>
      </c>
      <c r="AY20" s="76" t="n">
        <f aca="false">MIN(1,AY18/MAX(1,AY11))</f>
        <v>1</v>
      </c>
      <c r="AZ20" s="76" t="n">
        <f aca="false">MIN(1,AZ18/MAX(1,AZ11))</f>
        <v>1</v>
      </c>
      <c r="BA20" s="76" t="n">
        <f aca="false">MIN(1,BA18/MAX(1,BA11))</f>
        <v>1</v>
      </c>
      <c r="BB20" s="76" t="n">
        <f aca="false">MIN(1,BB18/MAX(1,BB11))</f>
        <v>1</v>
      </c>
      <c r="BC20" s="76" t="n">
        <f aca="false">MIN(1,BC18/MAX(1,BC11))</f>
        <v>1</v>
      </c>
      <c r="BD20" s="76" t="n">
        <f aca="false">MIN(1,BD18/MAX(1,BD11))</f>
        <v>1</v>
      </c>
      <c r="BE20" s="76" t="n">
        <f aca="false">MIN(1,BE18/MAX(1,BE11))</f>
        <v>1</v>
      </c>
      <c r="BF20" s="76" t="n">
        <f aca="false">MIN(1,BF18/MAX(1,BF11))</f>
        <v>1</v>
      </c>
      <c r="BG20" s="76" t="n">
        <f aca="false">MIN(1,BG18/MAX(1,BG11))</f>
        <v>1</v>
      </c>
      <c r="BH20" s="76" t="n">
        <f aca="false">MIN(1,BH18/MAX(1,BH11))</f>
        <v>1</v>
      </c>
      <c r="BI20" s="76" t="n">
        <f aca="false">MIN(1,BI18/MAX(1,BI11))</f>
        <v>1</v>
      </c>
      <c r="BJ20" s="76" t="n">
        <f aca="false">MIN(1,BJ18/MAX(1,BJ11))</f>
        <v>1</v>
      </c>
    </row>
    <row r="21" customFormat="false" ht="15" hidden="false" customHeight="false" outlineLevel="0" collapsed="false">
      <c r="A21" s="6" t="s">
        <v>234</v>
      </c>
      <c r="C21" s="120" t="n">
        <f aca="false">C10*C20</f>
        <v>135</v>
      </c>
      <c r="D21" s="120" t="n">
        <f aca="false">D10*D20</f>
        <v>151.875</v>
      </c>
      <c r="E21" s="120" t="n">
        <f aca="false">E10*E20</f>
        <v>168.75</v>
      </c>
      <c r="F21" s="120" t="n">
        <f aca="false">F10*F20</f>
        <v>185.625</v>
      </c>
      <c r="G21" s="120" t="n">
        <f aca="false">G10*G20</f>
        <v>202.5</v>
      </c>
      <c r="H21" s="120" t="n">
        <f aca="false">H10*H20</f>
        <v>219.375</v>
      </c>
      <c r="I21" s="120" t="n">
        <f aca="false">I10*I20</f>
        <v>236.25</v>
      </c>
      <c r="J21" s="120" t="n">
        <f aca="false">J10*J20</f>
        <v>253.125</v>
      </c>
      <c r="K21" s="120" t="n">
        <f aca="false">K10*K20</f>
        <v>270</v>
      </c>
      <c r="L21" s="120" t="n">
        <f aca="false">L10*L20</f>
        <v>286.875</v>
      </c>
      <c r="M21" s="120" t="n">
        <f aca="false">M10*M20</f>
        <v>303.75</v>
      </c>
      <c r="N21" s="120" t="n">
        <f aca="false">N10*N20</f>
        <v>320.625</v>
      </c>
      <c r="O21" s="120" t="n">
        <f aca="false">O10*O20</f>
        <v>347.625</v>
      </c>
      <c r="P21" s="120" t="n">
        <f aca="false">P10*P20</f>
        <v>347.625</v>
      </c>
      <c r="Q21" s="120" t="n">
        <f aca="false">Q10*Q20</f>
        <v>347.625</v>
      </c>
      <c r="R21" s="120" t="n">
        <f aca="false">R10*R20</f>
        <v>347.625</v>
      </c>
      <c r="S21" s="120" t="n">
        <f aca="false">S10*S20</f>
        <v>347.625</v>
      </c>
      <c r="T21" s="120" t="n">
        <f aca="false">T10*T20</f>
        <v>347.625</v>
      </c>
      <c r="U21" s="120" t="n">
        <f aca="false">U10*U20</f>
        <v>347.625</v>
      </c>
      <c r="V21" s="120" t="n">
        <f aca="false">V10*V20</f>
        <v>347.625</v>
      </c>
      <c r="W21" s="120" t="n">
        <f aca="false">W10*W20</f>
        <v>347.625</v>
      </c>
      <c r="X21" s="120" t="n">
        <f aca="false">X10*X20</f>
        <v>347.625</v>
      </c>
      <c r="Y21" s="120" t="n">
        <f aca="false">Y10*Y20</f>
        <v>347.625</v>
      </c>
      <c r="Z21" s="120" t="n">
        <f aca="false">Z10*Z20</f>
        <v>347.625</v>
      </c>
      <c r="AA21" s="120" t="n">
        <f aca="false">AA10*AA20</f>
        <v>358.05375</v>
      </c>
      <c r="AB21" s="120" t="n">
        <f aca="false">AB10*AB20</f>
        <v>358.05375</v>
      </c>
      <c r="AC21" s="120" t="n">
        <f aca="false">AC10*AC20</f>
        <v>358.05375</v>
      </c>
      <c r="AD21" s="120" t="n">
        <f aca="false">AD10*AD20</f>
        <v>358.05375</v>
      </c>
      <c r="AE21" s="120" t="n">
        <f aca="false">AE10*AE20</f>
        <v>358.05375</v>
      </c>
      <c r="AF21" s="120" t="n">
        <f aca="false">AF10*AF20</f>
        <v>358.05375</v>
      </c>
      <c r="AG21" s="120" t="n">
        <f aca="false">AG10*AG20</f>
        <v>358.05375</v>
      </c>
      <c r="AH21" s="120" t="n">
        <f aca="false">AH10*AH20</f>
        <v>358.05375</v>
      </c>
      <c r="AI21" s="120" t="n">
        <f aca="false">AI10*AI20</f>
        <v>358.05375</v>
      </c>
      <c r="AJ21" s="120" t="n">
        <f aca="false">AJ10*AJ20</f>
        <v>358.05375</v>
      </c>
      <c r="AK21" s="120" t="n">
        <f aca="false">AK10*AK20</f>
        <v>358.05375</v>
      </c>
      <c r="AL21" s="120" t="n">
        <f aca="false">AL10*AL20</f>
        <v>358.05375</v>
      </c>
      <c r="AM21" s="120" t="n">
        <f aca="false">AM10*AM20</f>
        <v>368.7953625</v>
      </c>
      <c r="AN21" s="120" t="n">
        <f aca="false">AN10*AN20</f>
        <v>368.7953625</v>
      </c>
      <c r="AO21" s="120" t="n">
        <f aca="false">AO10*AO20</f>
        <v>368.7953625</v>
      </c>
      <c r="AP21" s="120" t="n">
        <f aca="false">AP10*AP20</f>
        <v>368.7953625</v>
      </c>
      <c r="AQ21" s="120" t="n">
        <f aca="false">AQ10*AQ20</f>
        <v>368.7953625</v>
      </c>
      <c r="AR21" s="120" t="n">
        <f aca="false">AR10*AR20</f>
        <v>368.7953625</v>
      </c>
      <c r="AS21" s="120" t="n">
        <f aca="false">AS10*AS20</f>
        <v>368.7953625</v>
      </c>
      <c r="AT21" s="120" t="n">
        <f aca="false">AT10*AT20</f>
        <v>368.7953625</v>
      </c>
      <c r="AU21" s="120" t="n">
        <f aca="false">AU10*AU20</f>
        <v>368.7953625</v>
      </c>
      <c r="AV21" s="120" t="n">
        <f aca="false">AV10*AV20</f>
        <v>368.7953625</v>
      </c>
      <c r="AW21" s="120" t="n">
        <f aca="false">AW10*AW20</f>
        <v>368.7953625</v>
      </c>
      <c r="AX21" s="120" t="n">
        <f aca="false">AX10*AX20</f>
        <v>368.7953625</v>
      </c>
      <c r="AY21" s="120" t="n">
        <f aca="false">AY10*AY20</f>
        <v>379.859223375</v>
      </c>
      <c r="AZ21" s="120" t="n">
        <f aca="false">AZ10*AZ20</f>
        <v>379.859223375</v>
      </c>
      <c r="BA21" s="120" t="n">
        <f aca="false">BA10*BA20</f>
        <v>379.859223375</v>
      </c>
      <c r="BB21" s="120" t="n">
        <f aca="false">BB10*BB20</f>
        <v>379.859223375</v>
      </c>
      <c r="BC21" s="120" t="n">
        <f aca="false">BC10*BC20</f>
        <v>379.859223375</v>
      </c>
      <c r="BD21" s="120" t="n">
        <f aca="false">BD10*BD20</f>
        <v>379.859223375</v>
      </c>
      <c r="BE21" s="120" t="n">
        <f aca="false">BE10*BE20</f>
        <v>379.859223375</v>
      </c>
      <c r="BF21" s="120" t="n">
        <f aca="false">BF10*BF20</f>
        <v>379.859223375</v>
      </c>
      <c r="BG21" s="120" t="n">
        <f aca="false">BG10*BG20</f>
        <v>379.859223375</v>
      </c>
      <c r="BH21" s="120" t="n">
        <f aca="false">BH10*BH20</f>
        <v>379.859223375</v>
      </c>
      <c r="BI21" s="120" t="n">
        <f aca="false">BI10*BI20</f>
        <v>379.859223375</v>
      </c>
      <c r="BJ21" s="120" t="n">
        <f aca="false">BJ10*BJ20</f>
        <v>379.859223375</v>
      </c>
    </row>
    <row r="23" customFormat="false" ht="15.75" hidden="false" customHeight="true" outlineLevel="0" collapsed="false">
      <c r="A23" s="7" t="s">
        <v>44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customFormat="false" ht="15" hidden="false" customHeight="false" outlineLevel="0" collapsed="false">
      <c r="A24" s="6" t="s">
        <v>420</v>
      </c>
      <c r="C24" s="123" t="n">
        <f aca="false">Inputs!$E$21*(1+Inputs!$E$22)^(C$5-1)</f>
        <v>125</v>
      </c>
      <c r="D24" s="123" t="n">
        <f aca="false">Inputs!$E$21*(1+Inputs!$E$22)^(D$5-1)</f>
        <v>125</v>
      </c>
      <c r="E24" s="123" t="n">
        <f aca="false">Inputs!$E$21*(1+Inputs!$E$22)^(E$5-1)</f>
        <v>125</v>
      </c>
      <c r="F24" s="123" t="n">
        <f aca="false">Inputs!$E$21*(1+Inputs!$E$22)^(F$5-1)</f>
        <v>125</v>
      </c>
      <c r="G24" s="123" t="n">
        <f aca="false">Inputs!$E$21*(1+Inputs!$E$22)^(G$5-1)</f>
        <v>125</v>
      </c>
      <c r="H24" s="123" t="n">
        <f aca="false">Inputs!$E$21*(1+Inputs!$E$22)^(H$5-1)</f>
        <v>125</v>
      </c>
      <c r="I24" s="123" t="n">
        <f aca="false">Inputs!$E$21*(1+Inputs!$E$22)^(I$5-1)</f>
        <v>125</v>
      </c>
      <c r="J24" s="123" t="n">
        <f aca="false">Inputs!$E$21*(1+Inputs!$E$22)^(J$5-1)</f>
        <v>125</v>
      </c>
      <c r="K24" s="123" t="n">
        <f aca="false">Inputs!$E$21*(1+Inputs!$E$22)^(K$5-1)</f>
        <v>125</v>
      </c>
      <c r="L24" s="123" t="n">
        <f aca="false">Inputs!$E$21*(1+Inputs!$E$22)^(L$5-1)</f>
        <v>125</v>
      </c>
      <c r="M24" s="123" t="n">
        <f aca="false">Inputs!$E$21*(1+Inputs!$E$22)^(M$5-1)</f>
        <v>125</v>
      </c>
      <c r="N24" s="123" t="n">
        <f aca="false">Inputs!$E$21*(1+Inputs!$E$22)^(N$5-1)</f>
        <v>125</v>
      </c>
      <c r="O24" s="123" t="n">
        <f aca="false">Inputs!$E$21*(1+Inputs!$E$22)^(O$5-1)</f>
        <v>128.75</v>
      </c>
      <c r="P24" s="123" t="n">
        <f aca="false">Inputs!$E$21*(1+Inputs!$E$22)^(P$5-1)</f>
        <v>128.75</v>
      </c>
      <c r="Q24" s="123" t="n">
        <f aca="false">Inputs!$E$21*(1+Inputs!$E$22)^(Q$5-1)</f>
        <v>128.75</v>
      </c>
      <c r="R24" s="123" t="n">
        <f aca="false">Inputs!$E$21*(1+Inputs!$E$22)^(R$5-1)</f>
        <v>128.75</v>
      </c>
      <c r="S24" s="123" t="n">
        <f aca="false">Inputs!$E$21*(1+Inputs!$E$22)^(S$5-1)</f>
        <v>128.75</v>
      </c>
      <c r="T24" s="123" t="n">
        <f aca="false">Inputs!$E$21*(1+Inputs!$E$22)^(T$5-1)</f>
        <v>128.75</v>
      </c>
      <c r="U24" s="123" t="n">
        <f aca="false">Inputs!$E$21*(1+Inputs!$E$22)^(U$5-1)</f>
        <v>128.75</v>
      </c>
      <c r="V24" s="123" t="n">
        <f aca="false">Inputs!$E$21*(1+Inputs!$E$22)^(V$5-1)</f>
        <v>128.75</v>
      </c>
      <c r="W24" s="123" t="n">
        <f aca="false">Inputs!$E$21*(1+Inputs!$E$22)^(W$5-1)</f>
        <v>128.75</v>
      </c>
      <c r="X24" s="123" t="n">
        <f aca="false">Inputs!$E$21*(1+Inputs!$E$22)^(X$5-1)</f>
        <v>128.75</v>
      </c>
      <c r="Y24" s="123" t="n">
        <f aca="false">Inputs!$E$21*(1+Inputs!$E$22)^(Y$5-1)</f>
        <v>128.75</v>
      </c>
      <c r="Z24" s="123" t="n">
        <f aca="false">Inputs!$E$21*(1+Inputs!$E$22)^(Z$5-1)</f>
        <v>128.75</v>
      </c>
      <c r="AA24" s="123" t="n">
        <f aca="false">Inputs!$E$21*(1+Inputs!$E$22)^(AA$5-1)</f>
        <v>132.6125</v>
      </c>
      <c r="AB24" s="123" t="n">
        <f aca="false">Inputs!$E$21*(1+Inputs!$E$22)^(AB$5-1)</f>
        <v>132.6125</v>
      </c>
      <c r="AC24" s="123" t="n">
        <f aca="false">Inputs!$E$21*(1+Inputs!$E$22)^(AC$5-1)</f>
        <v>132.6125</v>
      </c>
      <c r="AD24" s="123" t="n">
        <f aca="false">Inputs!$E$21*(1+Inputs!$E$22)^(AD$5-1)</f>
        <v>132.6125</v>
      </c>
      <c r="AE24" s="123" t="n">
        <f aca="false">Inputs!$E$21*(1+Inputs!$E$22)^(AE$5-1)</f>
        <v>132.6125</v>
      </c>
      <c r="AF24" s="123" t="n">
        <f aca="false">Inputs!$E$21*(1+Inputs!$E$22)^(AF$5-1)</f>
        <v>132.6125</v>
      </c>
      <c r="AG24" s="123" t="n">
        <f aca="false">Inputs!$E$21*(1+Inputs!$E$22)^(AG$5-1)</f>
        <v>132.6125</v>
      </c>
      <c r="AH24" s="123" t="n">
        <f aca="false">Inputs!$E$21*(1+Inputs!$E$22)^(AH$5-1)</f>
        <v>132.6125</v>
      </c>
      <c r="AI24" s="123" t="n">
        <f aca="false">Inputs!$E$21*(1+Inputs!$E$22)^(AI$5-1)</f>
        <v>132.6125</v>
      </c>
      <c r="AJ24" s="123" t="n">
        <f aca="false">Inputs!$E$21*(1+Inputs!$E$22)^(AJ$5-1)</f>
        <v>132.6125</v>
      </c>
      <c r="AK24" s="123" t="n">
        <f aca="false">Inputs!$E$21*(1+Inputs!$E$22)^(AK$5-1)</f>
        <v>132.6125</v>
      </c>
      <c r="AL24" s="123" t="n">
        <f aca="false">Inputs!$E$21*(1+Inputs!$E$22)^(AL$5-1)</f>
        <v>132.6125</v>
      </c>
      <c r="AM24" s="123" t="n">
        <f aca="false">Inputs!$E$21*(1+Inputs!$E$22)^(AM$5-1)</f>
        <v>136.590875</v>
      </c>
      <c r="AN24" s="123" t="n">
        <f aca="false">Inputs!$E$21*(1+Inputs!$E$22)^(AN$5-1)</f>
        <v>136.590875</v>
      </c>
      <c r="AO24" s="123" t="n">
        <f aca="false">Inputs!$E$21*(1+Inputs!$E$22)^(AO$5-1)</f>
        <v>136.590875</v>
      </c>
      <c r="AP24" s="123" t="n">
        <f aca="false">Inputs!$E$21*(1+Inputs!$E$22)^(AP$5-1)</f>
        <v>136.590875</v>
      </c>
      <c r="AQ24" s="123" t="n">
        <f aca="false">Inputs!$E$21*(1+Inputs!$E$22)^(AQ$5-1)</f>
        <v>136.590875</v>
      </c>
      <c r="AR24" s="123" t="n">
        <f aca="false">Inputs!$E$21*(1+Inputs!$E$22)^(AR$5-1)</f>
        <v>136.590875</v>
      </c>
      <c r="AS24" s="123" t="n">
        <f aca="false">Inputs!$E$21*(1+Inputs!$E$22)^(AS$5-1)</f>
        <v>136.590875</v>
      </c>
      <c r="AT24" s="123" t="n">
        <f aca="false">Inputs!$E$21*(1+Inputs!$E$22)^(AT$5-1)</f>
        <v>136.590875</v>
      </c>
      <c r="AU24" s="123" t="n">
        <f aca="false">Inputs!$E$21*(1+Inputs!$E$22)^(AU$5-1)</f>
        <v>136.590875</v>
      </c>
      <c r="AV24" s="123" t="n">
        <f aca="false">Inputs!$E$21*(1+Inputs!$E$22)^(AV$5-1)</f>
        <v>136.590875</v>
      </c>
      <c r="AW24" s="123" t="n">
        <f aca="false">Inputs!$E$21*(1+Inputs!$E$22)^(AW$5-1)</f>
        <v>136.590875</v>
      </c>
      <c r="AX24" s="123" t="n">
        <f aca="false">Inputs!$E$21*(1+Inputs!$E$22)^(AX$5-1)</f>
        <v>136.590875</v>
      </c>
      <c r="AY24" s="123" t="n">
        <f aca="false">Inputs!$E$21*(1+Inputs!$E$22)^(AY$5-1)</f>
        <v>140.68860125</v>
      </c>
      <c r="AZ24" s="123" t="n">
        <f aca="false">Inputs!$E$21*(1+Inputs!$E$22)^(AZ$5-1)</f>
        <v>140.68860125</v>
      </c>
      <c r="BA24" s="123" t="n">
        <f aca="false">Inputs!$E$21*(1+Inputs!$E$22)^(BA$5-1)</f>
        <v>140.68860125</v>
      </c>
      <c r="BB24" s="123" t="n">
        <f aca="false">Inputs!$E$21*(1+Inputs!$E$22)^(BB$5-1)</f>
        <v>140.68860125</v>
      </c>
      <c r="BC24" s="123" t="n">
        <f aca="false">Inputs!$E$21*(1+Inputs!$E$22)^(BC$5-1)</f>
        <v>140.68860125</v>
      </c>
      <c r="BD24" s="123" t="n">
        <f aca="false">Inputs!$E$21*(1+Inputs!$E$22)^(BD$5-1)</f>
        <v>140.68860125</v>
      </c>
      <c r="BE24" s="123" t="n">
        <f aca="false">Inputs!$E$21*(1+Inputs!$E$22)^(BE$5-1)</f>
        <v>140.68860125</v>
      </c>
      <c r="BF24" s="123" t="n">
        <f aca="false">Inputs!$E$21*(1+Inputs!$E$22)^(BF$5-1)</f>
        <v>140.68860125</v>
      </c>
      <c r="BG24" s="123" t="n">
        <f aca="false">Inputs!$E$21*(1+Inputs!$E$22)^(BG$5-1)</f>
        <v>140.68860125</v>
      </c>
      <c r="BH24" s="123" t="n">
        <f aca="false">Inputs!$E$21*(1+Inputs!$E$22)^(BH$5-1)</f>
        <v>140.68860125</v>
      </c>
      <c r="BI24" s="123" t="n">
        <f aca="false">Inputs!$E$21*(1+Inputs!$E$22)^(BI$5-1)</f>
        <v>140.68860125</v>
      </c>
      <c r="BJ24" s="123" t="n">
        <f aca="false">Inputs!$E$21*(1+Inputs!$E$22)^(BJ$5-1)</f>
        <v>140.68860125</v>
      </c>
    </row>
    <row r="25" customFormat="false" ht="15" hidden="false" customHeight="false" outlineLevel="0" collapsed="false">
      <c r="A25" s="6" t="s">
        <v>238</v>
      </c>
      <c r="C25" s="69" t="n">
        <f aca="false">C18*C24</f>
        <v>33750</v>
      </c>
      <c r="D25" s="69" t="n">
        <f aca="false">D18*D24</f>
        <v>37968.75</v>
      </c>
      <c r="E25" s="69" t="n">
        <f aca="false">E18*E24</f>
        <v>42187.5</v>
      </c>
      <c r="F25" s="69" t="n">
        <f aca="false">F18*F24</f>
        <v>46406.25</v>
      </c>
      <c r="G25" s="69" t="n">
        <f aca="false">G18*G24</f>
        <v>50625</v>
      </c>
      <c r="H25" s="69" t="n">
        <f aca="false">H18*H24</f>
        <v>54843.75</v>
      </c>
      <c r="I25" s="69" t="n">
        <f aca="false">I18*I24</f>
        <v>59062.5</v>
      </c>
      <c r="J25" s="69" t="n">
        <f aca="false">J18*J24</f>
        <v>63281.25</v>
      </c>
      <c r="K25" s="69" t="n">
        <f aca="false">K18*K24</f>
        <v>67500</v>
      </c>
      <c r="L25" s="69" t="n">
        <f aca="false">L18*L24</f>
        <v>71718.75</v>
      </c>
      <c r="M25" s="69" t="n">
        <f aca="false">M18*M24</f>
        <v>75937.5</v>
      </c>
      <c r="N25" s="69" t="n">
        <f aca="false">N18*N24</f>
        <v>80156.25</v>
      </c>
      <c r="O25" s="69" t="n">
        <f aca="false">O18*O24</f>
        <v>89513.4375</v>
      </c>
      <c r="P25" s="69" t="n">
        <f aca="false">P18*P24</f>
        <v>89513.4375</v>
      </c>
      <c r="Q25" s="69" t="n">
        <f aca="false">Q18*Q24</f>
        <v>89513.4375</v>
      </c>
      <c r="R25" s="69" t="n">
        <f aca="false">R18*R24</f>
        <v>89513.4375</v>
      </c>
      <c r="S25" s="69" t="n">
        <f aca="false">S18*S24</f>
        <v>89513.4375</v>
      </c>
      <c r="T25" s="69" t="n">
        <f aca="false">T18*T24</f>
        <v>89513.4375</v>
      </c>
      <c r="U25" s="69" t="n">
        <f aca="false">U18*U24</f>
        <v>89513.4375</v>
      </c>
      <c r="V25" s="69" t="n">
        <f aca="false">V18*V24</f>
        <v>89513.4375</v>
      </c>
      <c r="W25" s="69" t="n">
        <f aca="false">W18*W24</f>
        <v>89513.4375</v>
      </c>
      <c r="X25" s="69" t="n">
        <f aca="false">X18*X24</f>
        <v>89513.4375</v>
      </c>
      <c r="Y25" s="69" t="n">
        <f aca="false">Y18*Y24</f>
        <v>89513.4375</v>
      </c>
      <c r="Z25" s="69" t="n">
        <f aca="false">Z18*Z24</f>
        <v>89513.4375</v>
      </c>
      <c r="AA25" s="69" t="n">
        <f aca="false">AA18*AA24</f>
        <v>94964.80584375</v>
      </c>
      <c r="AB25" s="69" t="n">
        <f aca="false">AB18*AB24</f>
        <v>94964.80584375</v>
      </c>
      <c r="AC25" s="69" t="n">
        <f aca="false">AC18*AC24</f>
        <v>94964.80584375</v>
      </c>
      <c r="AD25" s="69" t="n">
        <f aca="false">AD18*AD24</f>
        <v>94964.80584375</v>
      </c>
      <c r="AE25" s="69" t="n">
        <f aca="false">AE18*AE24</f>
        <v>94964.80584375</v>
      </c>
      <c r="AF25" s="69" t="n">
        <f aca="false">AF18*AF24</f>
        <v>94964.80584375</v>
      </c>
      <c r="AG25" s="69" t="n">
        <f aca="false">AG18*AG24</f>
        <v>94964.80584375</v>
      </c>
      <c r="AH25" s="69" t="n">
        <f aca="false">AH18*AH24</f>
        <v>94964.80584375</v>
      </c>
      <c r="AI25" s="69" t="n">
        <f aca="false">AI18*AI24</f>
        <v>94964.80584375</v>
      </c>
      <c r="AJ25" s="69" t="n">
        <f aca="false">AJ18*AJ24</f>
        <v>94964.80584375</v>
      </c>
      <c r="AK25" s="69" t="n">
        <f aca="false">AK18*AK24</f>
        <v>94964.80584375</v>
      </c>
      <c r="AL25" s="69" t="n">
        <f aca="false">AL18*AL24</f>
        <v>94964.80584375</v>
      </c>
      <c r="AM25" s="69" t="n">
        <f aca="false">AM18*AM24</f>
        <v>100748.162519634</v>
      </c>
      <c r="AN25" s="69" t="n">
        <f aca="false">AN18*AN24</f>
        <v>100748.162519634</v>
      </c>
      <c r="AO25" s="69" t="n">
        <f aca="false">AO18*AO24</f>
        <v>100748.162519634</v>
      </c>
      <c r="AP25" s="69" t="n">
        <f aca="false">AP18*AP24</f>
        <v>100748.162519634</v>
      </c>
      <c r="AQ25" s="69" t="n">
        <f aca="false">AQ18*AQ24</f>
        <v>100748.162519634</v>
      </c>
      <c r="AR25" s="69" t="n">
        <f aca="false">AR18*AR24</f>
        <v>100748.162519634</v>
      </c>
      <c r="AS25" s="69" t="n">
        <f aca="false">AS18*AS24</f>
        <v>100748.162519634</v>
      </c>
      <c r="AT25" s="69" t="n">
        <f aca="false">AT18*AT24</f>
        <v>100748.162519634</v>
      </c>
      <c r="AU25" s="69" t="n">
        <f aca="false">AU18*AU24</f>
        <v>100748.162519634</v>
      </c>
      <c r="AV25" s="69" t="n">
        <f aca="false">AV18*AV24</f>
        <v>100748.162519634</v>
      </c>
      <c r="AW25" s="69" t="n">
        <f aca="false">AW18*AW24</f>
        <v>100748.162519634</v>
      </c>
      <c r="AX25" s="69" t="n">
        <f aca="false">AX18*AX24</f>
        <v>100748.162519634</v>
      </c>
      <c r="AY25" s="69" t="n">
        <f aca="false">AY18*AY24</f>
        <v>106883.72561708</v>
      </c>
      <c r="AZ25" s="69" t="n">
        <f aca="false">AZ18*AZ24</f>
        <v>106883.72561708</v>
      </c>
      <c r="BA25" s="69" t="n">
        <f aca="false">BA18*BA24</f>
        <v>106883.72561708</v>
      </c>
      <c r="BB25" s="69" t="n">
        <f aca="false">BB18*BB24</f>
        <v>106883.72561708</v>
      </c>
      <c r="BC25" s="69" t="n">
        <f aca="false">BC18*BC24</f>
        <v>106883.72561708</v>
      </c>
      <c r="BD25" s="69" t="n">
        <f aca="false">BD18*BD24</f>
        <v>106883.72561708</v>
      </c>
      <c r="BE25" s="69" t="n">
        <f aca="false">BE18*BE24</f>
        <v>106883.72561708</v>
      </c>
      <c r="BF25" s="69" t="n">
        <f aca="false">BF18*BF24</f>
        <v>106883.72561708</v>
      </c>
      <c r="BG25" s="69" t="n">
        <f aca="false">BG18*BG24</f>
        <v>106883.72561708</v>
      </c>
      <c r="BH25" s="69" t="n">
        <f aca="false">BH18*BH24</f>
        <v>106883.72561708</v>
      </c>
      <c r="BI25" s="69" t="n">
        <f aca="false">BI18*BI24</f>
        <v>106883.72561708</v>
      </c>
      <c r="BJ25" s="69" t="n">
        <f aca="false">BJ18*BJ24</f>
        <v>106883.72561708</v>
      </c>
    </row>
    <row r="26" customFormat="false" ht="15" hidden="false" customHeight="false" outlineLevel="0" collapsed="false">
      <c r="A26" s="6" t="s">
        <v>239</v>
      </c>
      <c r="C26" s="69" t="n">
        <f aca="false">C18*Inputs!$E$26*(1+Inputs!$E$22)^(C$5-1)</f>
        <v>27000</v>
      </c>
      <c r="D26" s="69" t="n">
        <f aca="false">D18*Inputs!$E$26*(1+Inputs!$E$22)^(D$5-1)</f>
        <v>30375</v>
      </c>
      <c r="E26" s="69" t="n">
        <f aca="false">E18*Inputs!$E$26*(1+Inputs!$E$22)^(E$5-1)</f>
        <v>33750</v>
      </c>
      <c r="F26" s="69" t="n">
        <f aca="false">F18*Inputs!$E$26*(1+Inputs!$E$22)^(F$5-1)</f>
        <v>37125</v>
      </c>
      <c r="G26" s="69" t="n">
        <f aca="false">G18*Inputs!$E$26*(1+Inputs!$E$22)^(G$5-1)</f>
        <v>40500</v>
      </c>
      <c r="H26" s="69" t="n">
        <f aca="false">H18*Inputs!$E$26*(1+Inputs!$E$22)^(H$5-1)</f>
        <v>43875</v>
      </c>
      <c r="I26" s="69" t="n">
        <f aca="false">I18*Inputs!$E$26*(1+Inputs!$E$22)^(I$5-1)</f>
        <v>47250</v>
      </c>
      <c r="J26" s="69" t="n">
        <f aca="false">J18*Inputs!$E$26*(1+Inputs!$E$22)^(J$5-1)</f>
        <v>50625</v>
      </c>
      <c r="K26" s="69" t="n">
        <f aca="false">K18*Inputs!$E$26*(1+Inputs!$E$22)^(K$5-1)</f>
        <v>54000</v>
      </c>
      <c r="L26" s="69" t="n">
        <f aca="false">L18*Inputs!$E$26*(1+Inputs!$E$22)^(L$5-1)</f>
        <v>57375</v>
      </c>
      <c r="M26" s="69" t="n">
        <f aca="false">M18*Inputs!$E$26*(1+Inputs!$E$22)^(M$5-1)</f>
        <v>60750</v>
      </c>
      <c r="N26" s="69" t="n">
        <f aca="false">N18*Inputs!$E$26*(1+Inputs!$E$22)^(N$5-1)</f>
        <v>64125</v>
      </c>
      <c r="O26" s="69" t="n">
        <f aca="false">O18*Inputs!$E$26*(1+Inputs!$E$22)^(O$5-1)</f>
        <v>71610.75</v>
      </c>
      <c r="P26" s="69" t="n">
        <f aca="false">P18*Inputs!$E$26*(1+Inputs!$E$22)^(P$5-1)</f>
        <v>71610.75</v>
      </c>
      <c r="Q26" s="69" t="n">
        <f aca="false">Q18*Inputs!$E$26*(1+Inputs!$E$22)^(Q$5-1)</f>
        <v>71610.75</v>
      </c>
      <c r="R26" s="69" t="n">
        <f aca="false">R18*Inputs!$E$26*(1+Inputs!$E$22)^(R$5-1)</f>
        <v>71610.75</v>
      </c>
      <c r="S26" s="69" t="n">
        <f aca="false">S18*Inputs!$E$26*(1+Inputs!$E$22)^(S$5-1)</f>
        <v>71610.75</v>
      </c>
      <c r="T26" s="69" t="n">
        <f aca="false">T18*Inputs!$E$26*(1+Inputs!$E$22)^(T$5-1)</f>
        <v>71610.75</v>
      </c>
      <c r="U26" s="69" t="n">
        <f aca="false">U18*Inputs!$E$26*(1+Inputs!$E$22)^(U$5-1)</f>
        <v>71610.75</v>
      </c>
      <c r="V26" s="69" t="n">
        <f aca="false">V18*Inputs!$E$26*(1+Inputs!$E$22)^(V$5-1)</f>
        <v>71610.75</v>
      </c>
      <c r="W26" s="69" t="n">
        <f aca="false">W18*Inputs!$E$26*(1+Inputs!$E$22)^(W$5-1)</f>
        <v>71610.75</v>
      </c>
      <c r="X26" s="69" t="n">
        <f aca="false">X18*Inputs!$E$26*(1+Inputs!$E$22)^(X$5-1)</f>
        <v>71610.75</v>
      </c>
      <c r="Y26" s="69" t="n">
        <f aca="false">Y18*Inputs!$E$26*(1+Inputs!$E$22)^(Y$5-1)</f>
        <v>71610.75</v>
      </c>
      <c r="Z26" s="69" t="n">
        <f aca="false">Z18*Inputs!$E$26*(1+Inputs!$E$22)^(Z$5-1)</f>
        <v>71610.75</v>
      </c>
      <c r="AA26" s="69" t="n">
        <f aca="false">AA18*Inputs!$E$26*(1+Inputs!$E$22)^(AA$5-1)</f>
        <v>75971.844675</v>
      </c>
      <c r="AB26" s="69" t="n">
        <f aca="false">AB18*Inputs!$E$26*(1+Inputs!$E$22)^(AB$5-1)</f>
        <v>75971.844675</v>
      </c>
      <c r="AC26" s="69" t="n">
        <f aca="false">AC18*Inputs!$E$26*(1+Inputs!$E$22)^(AC$5-1)</f>
        <v>75971.844675</v>
      </c>
      <c r="AD26" s="69" t="n">
        <f aca="false">AD18*Inputs!$E$26*(1+Inputs!$E$22)^(AD$5-1)</f>
        <v>75971.844675</v>
      </c>
      <c r="AE26" s="69" t="n">
        <f aca="false">AE18*Inputs!$E$26*(1+Inputs!$E$22)^(AE$5-1)</f>
        <v>75971.844675</v>
      </c>
      <c r="AF26" s="69" t="n">
        <f aca="false">AF18*Inputs!$E$26*(1+Inputs!$E$22)^(AF$5-1)</f>
        <v>75971.844675</v>
      </c>
      <c r="AG26" s="69" t="n">
        <f aca="false">AG18*Inputs!$E$26*(1+Inputs!$E$22)^(AG$5-1)</f>
        <v>75971.844675</v>
      </c>
      <c r="AH26" s="69" t="n">
        <f aca="false">AH18*Inputs!$E$26*(1+Inputs!$E$22)^(AH$5-1)</f>
        <v>75971.844675</v>
      </c>
      <c r="AI26" s="69" t="n">
        <f aca="false">AI18*Inputs!$E$26*(1+Inputs!$E$22)^(AI$5-1)</f>
        <v>75971.844675</v>
      </c>
      <c r="AJ26" s="69" t="n">
        <f aca="false">AJ18*Inputs!$E$26*(1+Inputs!$E$22)^(AJ$5-1)</f>
        <v>75971.844675</v>
      </c>
      <c r="AK26" s="69" t="n">
        <f aca="false">AK18*Inputs!$E$26*(1+Inputs!$E$22)^(AK$5-1)</f>
        <v>75971.844675</v>
      </c>
      <c r="AL26" s="69" t="n">
        <f aca="false">AL18*Inputs!$E$26*(1+Inputs!$E$22)^(AL$5-1)</f>
        <v>75971.844675</v>
      </c>
      <c r="AM26" s="69" t="n">
        <f aca="false">AM18*Inputs!$E$26*(1+Inputs!$E$22)^(AM$5-1)</f>
        <v>80598.5300157075</v>
      </c>
      <c r="AN26" s="69" t="n">
        <f aca="false">AN18*Inputs!$E$26*(1+Inputs!$E$22)^(AN$5-1)</f>
        <v>80598.5300157075</v>
      </c>
      <c r="AO26" s="69" t="n">
        <f aca="false">AO18*Inputs!$E$26*(1+Inputs!$E$22)^(AO$5-1)</f>
        <v>80598.5300157075</v>
      </c>
      <c r="AP26" s="69" t="n">
        <f aca="false">AP18*Inputs!$E$26*(1+Inputs!$E$22)^(AP$5-1)</f>
        <v>80598.5300157075</v>
      </c>
      <c r="AQ26" s="69" t="n">
        <f aca="false">AQ18*Inputs!$E$26*(1+Inputs!$E$22)^(AQ$5-1)</f>
        <v>80598.5300157075</v>
      </c>
      <c r="AR26" s="69" t="n">
        <f aca="false">AR18*Inputs!$E$26*(1+Inputs!$E$22)^(AR$5-1)</f>
        <v>80598.5300157075</v>
      </c>
      <c r="AS26" s="69" t="n">
        <f aca="false">AS18*Inputs!$E$26*(1+Inputs!$E$22)^(AS$5-1)</f>
        <v>80598.5300157075</v>
      </c>
      <c r="AT26" s="69" t="n">
        <f aca="false">AT18*Inputs!$E$26*(1+Inputs!$E$22)^(AT$5-1)</f>
        <v>80598.5300157075</v>
      </c>
      <c r="AU26" s="69" t="n">
        <f aca="false">AU18*Inputs!$E$26*(1+Inputs!$E$22)^(AU$5-1)</f>
        <v>80598.5300157075</v>
      </c>
      <c r="AV26" s="69" t="n">
        <f aca="false">AV18*Inputs!$E$26*(1+Inputs!$E$22)^(AV$5-1)</f>
        <v>80598.5300157075</v>
      </c>
      <c r="AW26" s="69" t="n">
        <f aca="false">AW18*Inputs!$E$26*(1+Inputs!$E$22)^(AW$5-1)</f>
        <v>80598.5300157075</v>
      </c>
      <c r="AX26" s="69" t="n">
        <f aca="false">AX18*Inputs!$E$26*(1+Inputs!$E$22)^(AX$5-1)</f>
        <v>80598.5300157075</v>
      </c>
      <c r="AY26" s="69" t="n">
        <f aca="false">AY18*Inputs!$E$26*(1+Inputs!$E$22)^(AY$5-1)</f>
        <v>85506.9804936641</v>
      </c>
      <c r="AZ26" s="69" t="n">
        <f aca="false">AZ18*Inputs!$E$26*(1+Inputs!$E$22)^(AZ$5-1)</f>
        <v>85506.9804936641</v>
      </c>
      <c r="BA26" s="69" t="n">
        <f aca="false">BA18*Inputs!$E$26*(1+Inputs!$E$22)^(BA$5-1)</f>
        <v>85506.9804936641</v>
      </c>
      <c r="BB26" s="69" t="n">
        <f aca="false">BB18*Inputs!$E$26*(1+Inputs!$E$22)^(BB$5-1)</f>
        <v>85506.9804936641</v>
      </c>
      <c r="BC26" s="69" t="n">
        <f aca="false">BC18*Inputs!$E$26*(1+Inputs!$E$22)^(BC$5-1)</f>
        <v>85506.9804936641</v>
      </c>
      <c r="BD26" s="69" t="n">
        <f aca="false">BD18*Inputs!$E$26*(1+Inputs!$E$22)^(BD$5-1)</f>
        <v>85506.9804936641</v>
      </c>
      <c r="BE26" s="69" t="n">
        <f aca="false">BE18*Inputs!$E$26*(1+Inputs!$E$22)^(BE$5-1)</f>
        <v>85506.9804936641</v>
      </c>
      <c r="BF26" s="69" t="n">
        <f aca="false">BF18*Inputs!$E$26*(1+Inputs!$E$22)^(BF$5-1)</f>
        <v>85506.9804936641</v>
      </c>
      <c r="BG26" s="69" t="n">
        <f aca="false">BG18*Inputs!$E$26*(1+Inputs!$E$22)^(BG$5-1)</f>
        <v>85506.9804936641</v>
      </c>
      <c r="BH26" s="69" t="n">
        <f aca="false">BH18*Inputs!$E$26*(1+Inputs!$E$22)^(BH$5-1)</f>
        <v>85506.9804936641</v>
      </c>
      <c r="BI26" s="69" t="n">
        <f aca="false">BI18*Inputs!$E$26*(1+Inputs!$E$22)^(BI$5-1)</f>
        <v>85506.9804936641</v>
      </c>
      <c r="BJ26" s="69" t="n">
        <f aca="false">BJ18*Inputs!$E$26*(1+Inputs!$E$22)^(BJ$5-1)</f>
        <v>85506.9804936641</v>
      </c>
    </row>
    <row r="27" customFormat="false" ht="15" hidden="false" customHeight="false" outlineLevel="0" collapsed="false">
      <c r="A27" s="6" t="s">
        <v>421</v>
      </c>
      <c r="C27" s="69" t="n">
        <f aca="false">C25*Inputs!$E$23</f>
        <v>1687.5</v>
      </c>
      <c r="D27" s="69" t="n">
        <f aca="false">D25*Inputs!$E$23</f>
        <v>1898.4375</v>
      </c>
      <c r="E27" s="69" t="n">
        <f aca="false">E25*Inputs!$E$23</f>
        <v>2109.375</v>
      </c>
      <c r="F27" s="69" t="n">
        <f aca="false">F25*Inputs!$E$23</f>
        <v>2320.3125</v>
      </c>
      <c r="G27" s="69" t="n">
        <f aca="false">G25*Inputs!$E$23</f>
        <v>2531.25</v>
      </c>
      <c r="H27" s="69" t="n">
        <f aca="false">H25*Inputs!$E$23</f>
        <v>2742.1875</v>
      </c>
      <c r="I27" s="69" t="n">
        <f aca="false">I25*Inputs!$E$23</f>
        <v>2953.125</v>
      </c>
      <c r="J27" s="69" t="n">
        <f aca="false">J25*Inputs!$E$23</f>
        <v>3164.0625</v>
      </c>
      <c r="K27" s="69" t="n">
        <f aca="false">K25*Inputs!$E$23</f>
        <v>3375</v>
      </c>
      <c r="L27" s="69" t="n">
        <f aca="false">L25*Inputs!$E$23</f>
        <v>3585.9375</v>
      </c>
      <c r="M27" s="69" t="n">
        <f aca="false">M25*Inputs!$E$23</f>
        <v>3796.875</v>
      </c>
      <c r="N27" s="69" t="n">
        <f aca="false">N25*Inputs!$E$23</f>
        <v>4007.8125</v>
      </c>
      <c r="O27" s="69" t="n">
        <f aca="false">O25*Inputs!$E$23</f>
        <v>4475.671875</v>
      </c>
      <c r="P27" s="69" t="n">
        <f aca="false">P25*Inputs!$E$23</f>
        <v>4475.671875</v>
      </c>
      <c r="Q27" s="69" t="n">
        <f aca="false">Q25*Inputs!$E$23</f>
        <v>4475.671875</v>
      </c>
      <c r="R27" s="69" t="n">
        <f aca="false">R25*Inputs!$E$23</f>
        <v>4475.671875</v>
      </c>
      <c r="S27" s="69" t="n">
        <f aca="false">S25*Inputs!$E$23</f>
        <v>4475.671875</v>
      </c>
      <c r="T27" s="69" t="n">
        <f aca="false">T25*Inputs!$E$23</f>
        <v>4475.671875</v>
      </c>
      <c r="U27" s="69" t="n">
        <f aca="false">U25*Inputs!$E$23</f>
        <v>4475.671875</v>
      </c>
      <c r="V27" s="69" t="n">
        <f aca="false">V25*Inputs!$E$23</f>
        <v>4475.671875</v>
      </c>
      <c r="W27" s="69" t="n">
        <f aca="false">W25*Inputs!$E$23</f>
        <v>4475.671875</v>
      </c>
      <c r="X27" s="69" t="n">
        <f aca="false">X25*Inputs!$E$23</f>
        <v>4475.671875</v>
      </c>
      <c r="Y27" s="69" t="n">
        <f aca="false">Y25*Inputs!$E$23</f>
        <v>4475.671875</v>
      </c>
      <c r="Z27" s="69" t="n">
        <f aca="false">Z25*Inputs!$E$23</f>
        <v>4475.671875</v>
      </c>
      <c r="AA27" s="69" t="n">
        <f aca="false">AA25*Inputs!$E$23</f>
        <v>4748.2402921875</v>
      </c>
      <c r="AB27" s="69" t="n">
        <f aca="false">AB25*Inputs!$E$23</f>
        <v>4748.2402921875</v>
      </c>
      <c r="AC27" s="69" t="n">
        <f aca="false">AC25*Inputs!$E$23</f>
        <v>4748.2402921875</v>
      </c>
      <c r="AD27" s="69" t="n">
        <f aca="false">AD25*Inputs!$E$23</f>
        <v>4748.2402921875</v>
      </c>
      <c r="AE27" s="69" t="n">
        <f aca="false">AE25*Inputs!$E$23</f>
        <v>4748.2402921875</v>
      </c>
      <c r="AF27" s="69" t="n">
        <f aca="false">AF25*Inputs!$E$23</f>
        <v>4748.2402921875</v>
      </c>
      <c r="AG27" s="69" t="n">
        <f aca="false">AG25*Inputs!$E$23</f>
        <v>4748.2402921875</v>
      </c>
      <c r="AH27" s="69" t="n">
        <f aca="false">AH25*Inputs!$E$23</f>
        <v>4748.2402921875</v>
      </c>
      <c r="AI27" s="69" t="n">
        <f aca="false">AI25*Inputs!$E$23</f>
        <v>4748.2402921875</v>
      </c>
      <c r="AJ27" s="69" t="n">
        <f aca="false">AJ25*Inputs!$E$23</f>
        <v>4748.2402921875</v>
      </c>
      <c r="AK27" s="69" t="n">
        <f aca="false">AK25*Inputs!$E$23</f>
        <v>4748.2402921875</v>
      </c>
      <c r="AL27" s="69" t="n">
        <f aca="false">AL25*Inputs!$E$23</f>
        <v>4748.2402921875</v>
      </c>
      <c r="AM27" s="69" t="n">
        <f aca="false">AM25*Inputs!$E$23</f>
        <v>5037.40812598172</v>
      </c>
      <c r="AN27" s="69" t="n">
        <f aca="false">AN25*Inputs!$E$23</f>
        <v>5037.40812598172</v>
      </c>
      <c r="AO27" s="69" t="n">
        <f aca="false">AO25*Inputs!$E$23</f>
        <v>5037.40812598172</v>
      </c>
      <c r="AP27" s="69" t="n">
        <f aca="false">AP25*Inputs!$E$23</f>
        <v>5037.40812598172</v>
      </c>
      <c r="AQ27" s="69" t="n">
        <f aca="false">AQ25*Inputs!$E$23</f>
        <v>5037.40812598172</v>
      </c>
      <c r="AR27" s="69" t="n">
        <f aca="false">AR25*Inputs!$E$23</f>
        <v>5037.40812598172</v>
      </c>
      <c r="AS27" s="69" t="n">
        <f aca="false">AS25*Inputs!$E$23</f>
        <v>5037.40812598172</v>
      </c>
      <c r="AT27" s="69" t="n">
        <f aca="false">AT25*Inputs!$E$23</f>
        <v>5037.40812598172</v>
      </c>
      <c r="AU27" s="69" t="n">
        <f aca="false">AU25*Inputs!$E$23</f>
        <v>5037.40812598172</v>
      </c>
      <c r="AV27" s="69" t="n">
        <f aca="false">AV25*Inputs!$E$23</f>
        <v>5037.40812598172</v>
      </c>
      <c r="AW27" s="69" t="n">
        <f aca="false">AW25*Inputs!$E$23</f>
        <v>5037.40812598172</v>
      </c>
      <c r="AX27" s="69" t="n">
        <f aca="false">AX25*Inputs!$E$23</f>
        <v>5037.40812598172</v>
      </c>
      <c r="AY27" s="69" t="n">
        <f aca="false">AY25*Inputs!$E$23</f>
        <v>5344.18628085401</v>
      </c>
      <c r="AZ27" s="69" t="n">
        <f aca="false">AZ25*Inputs!$E$23</f>
        <v>5344.18628085401</v>
      </c>
      <c r="BA27" s="69" t="n">
        <f aca="false">BA25*Inputs!$E$23</f>
        <v>5344.18628085401</v>
      </c>
      <c r="BB27" s="69" t="n">
        <f aca="false">BB25*Inputs!$E$23</f>
        <v>5344.18628085401</v>
      </c>
      <c r="BC27" s="69" t="n">
        <f aca="false">BC25*Inputs!$E$23</f>
        <v>5344.18628085401</v>
      </c>
      <c r="BD27" s="69" t="n">
        <f aca="false">BD25*Inputs!$E$23</f>
        <v>5344.18628085401</v>
      </c>
      <c r="BE27" s="69" t="n">
        <f aca="false">BE25*Inputs!$E$23</f>
        <v>5344.18628085401</v>
      </c>
      <c r="BF27" s="69" t="n">
        <f aca="false">BF25*Inputs!$E$23</f>
        <v>5344.18628085401</v>
      </c>
      <c r="BG27" s="69" t="n">
        <f aca="false">BG25*Inputs!$E$23</f>
        <v>5344.18628085401</v>
      </c>
      <c r="BH27" s="69" t="n">
        <f aca="false">BH25*Inputs!$E$23</f>
        <v>5344.18628085401</v>
      </c>
      <c r="BI27" s="69" t="n">
        <f aca="false">BI25*Inputs!$E$23</f>
        <v>5344.18628085401</v>
      </c>
      <c r="BJ27" s="69" t="n">
        <f aca="false">BJ25*Inputs!$E$23</f>
        <v>5344.18628085401</v>
      </c>
    </row>
    <row r="28" customFormat="false" ht="15" hidden="false" customHeight="false" outlineLevel="0" collapsed="false">
      <c r="A28" s="115" t="s">
        <v>44</v>
      </c>
      <c r="C28" s="70" t="n">
        <f aca="false">C25+C26+C27</f>
        <v>62437.5</v>
      </c>
      <c r="D28" s="70" t="n">
        <f aca="false">D25+D26+D27</f>
        <v>70242.1875</v>
      </c>
      <c r="E28" s="70" t="n">
        <f aca="false">E25+E26+E27</f>
        <v>78046.875</v>
      </c>
      <c r="F28" s="70" t="n">
        <f aca="false">F25+F26+F27</f>
        <v>85851.5625</v>
      </c>
      <c r="G28" s="70" t="n">
        <f aca="false">G25+G26+G27</f>
        <v>93656.25</v>
      </c>
      <c r="H28" s="70" t="n">
        <f aca="false">H25+H26+H27</f>
        <v>101460.9375</v>
      </c>
      <c r="I28" s="70" t="n">
        <f aca="false">I25+I26+I27</f>
        <v>109265.625</v>
      </c>
      <c r="J28" s="70" t="n">
        <f aca="false">J25+J26+J27</f>
        <v>117070.3125</v>
      </c>
      <c r="K28" s="70" t="n">
        <f aca="false">K25+K26+K27</f>
        <v>124875</v>
      </c>
      <c r="L28" s="70" t="n">
        <f aca="false">L25+L26+L27</f>
        <v>132679.6875</v>
      </c>
      <c r="M28" s="70" t="n">
        <f aca="false">M25+M26+M27</f>
        <v>140484.375</v>
      </c>
      <c r="N28" s="70" t="n">
        <f aca="false">N25+N26+N27</f>
        <v>148289.0625</v>
      </c>
      <c r="O28" s="70" t="n">
        <f aca="false">O25+O26+O27</f>
        <v>165599.859375</v>
      </c>
      <c r="P28" s="70" t="n">
        <f aca="false">P25+P26+P27</f>
        <v>165599.859375</v>
      </c>
      <c r="Q28" s="70" t="n">
        <f aca="false">Q25+Q26+Q27</f>
        <v>165599.859375</v>
      </c>
      <c r="R28" s="70" t="n">
        <f aca="false">R25+R26+R27</f>
        <v>165599.859375</v>
      </c>
      <c r="S28" s="70" t="n">
        <f aca="false">S25+S26+S27</f>
        <v>165599.859375</v>
      </c>
      <c r="T28" s="70" t="n">
        <f aca="false">T25+T26+T27</f>
        <v>165599.859375</v>
      </c>
      <c r="U28" s="70" t="n">
        <f aca="false">U25+U26+U27</f>
        <v>165599.859375</v>
      </c>
      <c r="V28" s="70" t="n">
        <f aca="false">V25+V26+V27</f>
        <v>165599.859375</v>
      </c>
      <c r="W28" s="70" t="n">
        <f aca="false">W25+W26+W27</f>
        <v>165599.859375</v>
      </c>
      <c r="X28" s="70" t="n">
        <f aca="false">X25+X26+X27</f>
        <v>165599.859375</v>
      </c>
      <c r="Y28" s="70" t="n">
        <f aca="false">Y25+Y26+Y27</f>
        <v>165599.859375</v>
      </c>
      <c r="Z28" s="70" t="n">
        <f aca="false">Z25+Z26+Z27</f>
        <v>165599.859375</v>
      </c>
      <c r="AA28" s="70" t="n">
        <f aca="false">AA25+AA26+AA27</f>
        <v>175684.890810937</v>
      </c>
      <c r="AB28" s="70" t="n">
        <f aca="false">AB25+AB26+AB27</f>
        <v>175684.890810937</v>
      </c>
      <c r="AC28" s="70" t="n">
        <f aca="false">AC25+AC26+AC27</f>
        <v>175684.890810937</v>
      </c>
      <c r="AD28" s="70" t="n">
        <f aca="false">AD25+AD26+AD27</f>
        <v>175684.890810937</v>
      </c>
      <c r="AE28" s="70" t="n">
        <f aca="false">AE25+AE26+AE27</f>
        <v>175684.890810937</v>
      </c>
      <c r="AF28" s="70" t="n">
        <f aca="false">AF25+AF26+AF27</f>
        <v>175684.890810937</v>
      </c>
      <c r="AG28" s="70" t="n">
        <f aca="false">AG25+AG26+AG27</f>
        <v>175684.890810937</v>
      </c>
      <c r="AH28" s="70" t="n">
        <f aca="false">AH25+AH26+AH27</f>
        <v>175684.890810937</v>
      </c>
      <c r="AI28" s="70" t="n">
        <f aca="false">AI25+AI26+AI27</f>
        <v>175684.890810937</v>
      </c>
      <c r="AJ28" s="70" t="n">
        <f aca="false">AJ25+AJ26+AJ27</f>
        <v>175684.890810937</v>
      </c>
      <c r="AK28" s="70" t="n">
        <f aca="false">AK25+AK26+AK27</f>
        <v>175684.890810937</v>
      </c>
      <c r="AL28" s="70" t="n">
        <f aca="false">AL25+AL26+AL27</f>
        <v>175684.890810937</v>
      </c>
      <c r="AM28" s="70" t="n">
        <f aca="false">AM25+AM26+AM27</f>
        <v>186384.100661324</v>
      </c>
      <c r="AN28" s="70" t="n">
        <f aca="false">AN25+AN26+AN27</f>
        <v>186384.100661324</v>
      </c>
      <c r="AO28" s="70" t="n">
        <f aca="false">AO25+AO26+AO27</f>
        <v>186384.100661324</v>
      </c>
      <c r="AP28" s="70" t="n">
        <f aca="false">AP25+AP26+AP27</f>
        <v>186384.100661324</v>
      </c>
      <c r="AQ28" s="70" t="n">
        <f aca="false">AQ25+AQ26+AQ27</f>
        <v>186384.100661324</v>
      </c>
      <c r="AR28" s="70" t="n">
        <f aca="false">AR25+AR26+AR27</f>
        <v>186384.100661324</v>
      </c>
      <c r="AS28" s="70" t="n">
        <f aca="false">AS25+AS26+AS27</f>
        <v>186384.100661324</v>
      </c>
      <c r="AT28" s="70" t="n">
        <f aca="false">AT25+AT26+AT27</f>
        <v>186384.100661324</v>
      </c>
      <c r="AU28" s="70" t="n">
        <f aca="false">AU25+AU26+AU27</f>
        <v>186384.100661324</v>
      </c>
      <c r="AV28" s="70" t="n">
        <f aca="false">AV25+AV26+AV27</f>
        <v>186384.100661324</v>
      </c>
      <c r="AW28" s="70" t="n">
        <f aca="false">AW25+AW26+AW27</f>
        <v>186384.100661324</v>
      </c>
      <c r="AX28" s="70" t="n">
        <f aca="false">AX25+AX26+AX27</f>
        <v>186384.100661324</v>
      </c>
      <c r="AY28" s="70" t="n">
        <f aca="false">AY25+AY26+AY27</f>
        <v>197734.892391598</v>
      </c>
      <c r="AZ28" s="70" t="n">
        <f aca="false">AZ25+AZ26+AZ27</f>
        <v>197734.892391598</v>
      </c>
      <c r="BA28" s="70" t="n">
        <f aca="false">BA25+BA26+BA27</f>
        <v>197734.892391598</v>
      </c>
      <c r="BB28" s="70" t="n">
        <f aca="false">BB25+BB26+BB27</f>
        <v>197734.892391598</v>
      </c>
      <c r="BC28" s="70" t="n">
        <f aca="false">BC25+BC26+BC27</f>
        <v>197734.892391598</v>
      </c>
      <c r="BD28" s="70" t="n">
        <f aca="false">BD25+BD26+BD27</f>
        <v>197734.892391598</v>
      </c>
      <c r="BE28" s="70" t="n">
        <f aca="false">BE25+BE26+BE27</f>
        <v>197734.892391598</v>
      </c>
      <c r="BF28" s="70" t="n">
        <f aca="false">BF25+BF26+BF27</f>
        <v>197734.892391598</v>
      </c>
      <c r="BG28" s="70" t="n">
        <f aca="false">BG25+BG26+BG27</f>
        <v>197734.892391598</v>
      </c>
      <c r="BH28" s="70" t="n">
        <f aca="false">BH25+BH26+BH27</f>
        <v>197734.892391598</v>
      </c>
      <c r="BI28" s="70" t="n">
        <f aca="false">BI25+BI26+BI27</f>
        <v>197734.892391598</v>
      </c>
      <c r="BJ28" s="70" t="n">
        <f aca="false">BJ25+BJ26+BJ27</f>
        <v>197734.892391598</v>
      </c>
    </row>
    <row r="30" customFormat="false" ht="15.75" hidden="false" customHeight="true" outlineLevel="0" collapsed="false">
      <c r="A30" s="7" t="s">
        <v>76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customFormat="false" ht="15" hidden="false" customHeight="false" outlineLevel="0" collapsed="false">
      <c r="A31" s="6" t="s">
        <v>422</v>
      </c>
      <c r="C31" s="71" t="n">
        <f aca="false">Headcount!C14</f>
        <v>-37375</v>
      </c>
      <c r="D31" s="71" t="n">
        <f aca="false">Headcount!D14</f>
        <v>-37375</v>
      </c>
      <c r="E31" s="71" t="n">
        <f aca="false">Headcount!E14</f>
        <v>-37375</v>
      </c>
      <c r="F31" s="71" t="n">
        <f aca="false">Headcount!F14</f>
        <v>-37375</v>
      </c>
      <c r="G31" s="71" t="n">
        <f aca="false">Headcount!G14</f>
        <v>-37375</v>
      </c>
      <c r="H31" s="71" t="n">
        <f aca="false">Headcount!H14</f>
        <v>-37375</v>
      </c>
      <c r="I31" s="71" t="n">
        <f aca="false">Headcount!I14</f>
        <v>-37375</v>
      </c>
      <c r="J31" s="71" t="n">
        <f aca="false">Headcount!J14</f>
        <v>-37375</v>
      </c>
      <c r="K31" s="71" t="n">
        <f aca="false">Headcount!K14</f>
        <v>-37375</v>
      </c>
      <c r="L31" s="71" t="n">
        <f aca="false">Headcount!L14</f>
        <v>-37375</v>
      </c>
      <c r="M31" s="71" t="n">
        <f aca="false">Headcount!M14</f>
        <v>-37375</v>
      </c>
      <c r="N31" s="71" t="n">
        <f aca="false">Headcount!N14</f>
        <v>-37375</v>
      </c>
      <c r="O31" s="71" t="n">
        <f aca="false">Headcount!O14</f>
        <v>-38496.25</v>
      </c>
      <c r="P31" s="71" t="n">
        <f aca="false">Headcount!P14</f>
        <v>-38496.25</v>
      </c>
      <c r="Q31" s="71" t="n">
        <f aca="false">Headcount!Q14</f>
        <v>-38496.25</v>
      </c>
      <c r="R31" s="71" t="n">
        <f aca="false">Headcount!R14</f>
        <v>-38496.25</v>
      </c>
      <c r="S31" s="71" t="n">
        <f aca="false">Headcount!S14</f>
        <v>-38496.25</v>
      </c>
      <c r="T31" s="71" t="n">
        <f aca="false">Headcount!T14</f>
        <v>-38496.25</v>
      </c>
      <c r="U31" s="71" t="n">
        <f aca="false">Headcount!U14</f>
        <v>-38496.25</v>
      </c>
      <c r="V31" s="71" t="n">
        <f aca="false">Headcount!V14</f>
        <v>-38496.25</v>
      </c>
      <c r="W31" s="71" t="n">
        <f aca="false">Headcount!W14</f>
        <v>-38496.25</v>
      </c>
      <c r="X31" s="71" t="n">
        <f aca="false">Headcount!X14</f>
        <v>-38496.25</v>
      </c>
      <c r="Y31" s="71" t="n">
        <f aca="false">Headcount!Y14</f>
        <v>-38496.25</v>
      </c>
      <c r="Z31" s="71" t="n">
        <f aca="false">Headcount!Z14</f>
        <v>-38496.25</v>
      </c>
      <c r="AA31" s="71" t="n">
        <f aca="false">Headcount!AA14</f>
        <v>-39651.1375</v>
      </c>
      <c r="AB31" s="71" t="n">
        <f aca="false">Headcount!AB14</f>
        <v>-39651.1375</v>
      </c>
      <c r="AC31" s="71" t="n">
        <f aca="false">Headcount!AC14</f>
        <v>-39651.1375</v>
      </c>
      <c r="AD31" s="71" t="n">
        <f aca="false">Headcount!AD14</f>
        <v>-39651.1375</v>
      </c>
      <c r="AE31" s="71" t="n">
        <f aca="false">Headcount!AE14</f>
        <v>-39651.1375</v>
      </c>
      <c r="AF31" s="71" t="n">
        <f aca="false">Headcount!AF14</f>
        <v>-39651.1375</v>
      </c>
      <c r="AG31" s="71" t="n">
        <f aca="false">Headcount!AG14</f>
        <v>-39651.1375</v>
      </c>
      <c r="AH31" s="71" t="n">
        <f aca="false">Headcount!AH14</f>
        <v>-39651.1375</v>
      </c>
      <c r="AI31" s="71" t="n">
        <f aca="false">Headcount!AI14</f>
        <v>-39651.1375</v>
      </c>
      <c r="AJ31" s="71" t="n">
        <f aca="false">Headcount!AJ14</f>
        <v>-39651.1375</v>
      </c>
      <c r="AK31" s="71" t="n">
        <f aca="false">Headcount!AK14</f>
        <v>-39651.1375</v>
      </c>
      <c r="AL31" s="71" t="n">
        <f aca="false">Headcount!AL14</f>
        <v>-39651.1375</v>
      </c>
      <c r="AM31" s="71" t="n">
        <f aca="false">Headcount!AM14</f>
        <v>-40840.671625</v>
      </c>
      <c r="AN31" s="71" t="n">
        <f aca="false">Headcount!AN14</f>
        <v>-40840.671625</v>
      </c>
      <c r="AO31" s="71" t="n">
        <f aca="false">Headcount!AO14</f>
        <v>-40840.671625</v>
      </c>
      <c r="AP31" s="71" t="n">
        <f aca="false">Headcount!AP14</f>
        <v>-40840.671625</v>
      </c>
      <c r="AQ31" s="71" t="n">
        <f aca="false">Headcount!AQ14</f>
        <v>-40840.671625</v>
      </c>
      <c r="AR31" s="71" t="n">
        <f aca="false">Headcount!AR14</f>
        <v>-40840.671625</v>
      </c>
      <c r="AS31" s="71" t="n">
        <f aca="false">Headcount!AS14</f>
        <v>-40840.671625</v>
      </c>
      <c r="AT31" s="71" t="n">
        <f aca="false">Headcount!AT14</f>
        <v>-40840.671625</v>
      </c>
      <c r="AU31" s="71" t="n">
        <f aca="false">Headcount!AU14</f>
        <v>-40840.671625</v>
      </c>
      <c r="AV31" s="71" t="n">
        <f aca="false">Headcount!AV14</f>
        <v>-40840.671625</v>
      </c>
      <c r="AW31" s="71" t="n">
        <f aca="false">Headcount!AW14</f>
        <v>-40840.671625</v>
      </c>
      <c r="AX31" s="71" t="n">
        <f aca="false">Headcount!AX14</f>
        <v>-40840.671625</v>
      </c>
      <c r="AY31" s="71" t="n">
        <f aca="false">Headcount!AY14</f>
        <v>-42065.89177375</v>
      </c>
      <c r="AZ31" s="71" t="n">
        <f aca="false">Headcount!AZ14</f>
        <v>-42065.89177375</v>
      </c>
      <c r="BA31" s="71" t="n">
        <f aca="false">Headcount!BA14</f>
        <v>-42065.89177375</v>
      </c>
      <c r="BB31" s="71" t="n">
        <f aca="false">Headcount!BB14</f>
        <v>-42065.89177375</v>
      </c>
      <c r="BC31" s="71" t="n">
        <f aca="false">Headcount!BC14</f>
        <v>-42065.89177375</v>
      </c>
      <c r="BD31" s="71" t="n">
        <f aca="false">Headcount!BD14</f>
        <v>-42065.89177375</v>
      </c>
      <c r="BE31" s="71" t="n">
        <f aca="false">Headcount!BE14</f>
        <v>-42065.89177375</v>
      </c>
      <c r="BF31" s="71" t="n">
        <f aca="false">Headcount!BF14</f>
        <v>-42065.89177375</v>
      </c>
      <c r="BG31" s="71" t="n">
        <f aca="false">Headcount!BG14</f>
        <v>-42065.89177375</v>
      </c>
      <c r="BH31" s="71" t="n">
        <f aca="false">Headcount!BH14</f>
        <v>-42065.89177375</v>
      </c>
      <c r="BI31" s="71" t="n">
        <f aca="false">Headcount!BI14</f>
        <v>-42065.89177375</v>
      </c>
      <c r="BJ31" s="71" t="n">
        <f aca="false">Headcount!BJ14</f>
        <v>-42065.89177375</v>
      </c>
    </row>
    <row r="32" customFormat="false" ht="15" hidden="false" customHeight="false" outlineLevel="0" collapsed="false">
      <c r="A32" s="6" t="s">
        <v>244</v>
      </c>
      <c r="C32" s="69" t="n">
        <f aca="false">-C26*(1-Inputs!$E$27)</f>
        <v>-14310</v>
      </c>
      <c r="D32" s="69" t="n">
        <f aca="false">-D26*(1-Inputs!$E$27)</f>
        <v>-16098.75</v>
      </c>
      <c r="E32" s="69" t="n">
        <f aca="false">-E26*(1-Inputs!$E$27)</f>
        <v>-17887.5</v>
      </c>
      <c r="F32" s="69" t="n">
        <f aca="false">-F26*(1-Inputs!$E$27)</f>
        <v>-19676.25</v>
      </c>
      <c r="G32" s="69" t="n">
        <f aca="false">-G26*(1-Inputs!$E$27)</f>
        <v>-21465</v>
      </c>
      <c r="H32" s="69" t="n">
        <f aca="false">-H26*(1-Inputs!$E$27)</f>
        <v>-23253.75</v>
      </c>
      <c r="I32" s="69" t="n">
        <f aca="false">-I26*(1-Inputs!$E$27)</f>
        <v>-25042.5</v>
      </c>
      <c r="J32" s="69" t="n">
        <f aca="false">-J26*(1-Inputs!$E$27)</f>
        <v>-26831.25</v>
      </c>
      <c r="K32" s="69" t="n">
        <f aca="false">-K26*(1-Inputs!$E$27)</f>
        <v>-28620</v>
      </c>
      <c r="L32" s="69" t="n">
        <f aca="false">-L26*(1-Inputs!$E$27)</f>
        <v>-30408.75</v>
      </c>
      <c r="M32" s="69" t="n">
        <f aca="false">-M26*(1-Inputs!$E$27)</f>
        <v>-32197.5</v>
      </c>
      <c r="N32" s="69" t="n">
        <f aca="false">-N26*(1-Inputs!$E$27)</f>
        <v>-33986.25</v>
      </c>
      <c r="O32" s="69" t="n">
        <f aca="false">-O26*(1-Inputs!$E$27)</f>
        <v>-37953.6975</v>
      </c>
      <c r="P32" s="69" t="n">
        <f aca="false">-P26*(1-Inputs!$E$27)</f>
        <v>-37953.6975</v>
      </c>
      <c r="Q32" s="69" t="n">
        <f aca="false">-Q26*(1-Inputs!$E$27)</f>
        <v>-37953.6975</v>
      </c>
      <c r="R32" s="69" t="n">
        <f aca="false">-R26*(1-Inputs!$E$27)</f>
        <v>-37953.6975</v>
      </c>
      <c r="S32" s="69" t="n">
        <f aca="false">-S26*(1-Inputs!$E$27)</f>
        <v>-37953.6975</v>
      </c>
      <c r="T32" s="69" t="n">
        <f aca="false">-T26*(1-Inputs!$E$27)</f>
        <v>-37953.6975</v>
      </c>
      <c r="U32" s="69" t="n">
        <f aca="false">-U26*(1-Inputs!$E$27)</f>
        <v>-37953.6975</v>
      </c>
      <c r="V32" s="69" t="n">
        <f aca="false">-V26*(1-Inputs!$E$27)</f>
        <v>-37953.6975</v>
      </c>
      <c r="W32" s="69" t="n">
        <f aca="false">-W26*(1-Inputs!$E$27)</f>
        <v>-37953.6975</v>
      </c>
      <c r="X32" s="69" t="n">
        <f aca="false">-X26*(1-Inputs!$E$27)</f>
        <v>-37953.6975</v>
      </c>
      <c r="Y32" s="69" t="n">
        <f aca="false">-Y26*(1-Inputs!$E$27)</f>
        <v>-37953.6975</v>
      </c>
      <c r="Z32" s="69" t="n">
        <f aca="false">-Z26*(1-Inputs!$E$27)</f>
        <v>-37953.6975</v>
      </c>
      <c r="AA32" s="69" t="n">
        <f aca="false">-AA26*(1-Inputs!$E$27)</f>
        <v>-40265.07767775</v>
      </c>
      <c r="AB32" s="69" t="n">
        <f aca="false">-AB26*(1-Inputs!$E$27)</f>
        <v>-40265.07767775</v>
      </c>
      <c r="AC32" s="69" t="n">
        <f aca="false">-AC26*(1-Inputs!$E$27)</f>
        <v>-40265.07767775</v>
      </c>
      <c r="AD32" s="69" t="n">
        <f aca="false">-AD26*(1-Inputs!$E$27)</f>
        <v>-40265.07767775</v>
      </c>
      <c r="AE32" s="69" t="n">
        <f aca="false">-AE26*(1-Inputs!$E$27)</f>
        <v>-40265.07767775</v>
      </c>
      <c r="AF32" s="69" t="n">
        <f aca="false">-AF26*(1-Inputs!$E$27)</f>
        <v>-40265.07767775</v>
      </c>
      <c r="AG32" s="69" t="n">
        <f aca="false">-AG26*(1-Inputs!$E$27)</f>
        <v>-40265.07767775</v>
      </c>
      <c r="AH32" s="69" t="n">
        <f aca="false">-AH26*(1-Inputs!$E$27)</f>
        <v>-40265.07767775</v>
      </c>
      <c r="AI32" s="69" t="n">
        <f aca="false">-AI26*(1-Inputs!$E$27)</f>
        <v>-40265.07767775</v>
      </c>
      <c r="AJ32" s="69" t="n">
        <f aca="false">-AJ26*(1-Inputs!$E$27)</f>
        <v>-40265.07767775</v>
      </c>
      <c r="AK32" s="69" t="n">
        <f aca="false">-AK26*(1-Inputs!$E$27)</f>
        <v>-40265.07767775</v>
      </c>
      <c r="AL32" s="69" t="n">
        <f aca="false">-AL26*(1-Inputs!$E$27)</f>
        <v>-40265.07767775</v>
      </c>
      <c r="AM32" s="69" t="n">
        <f aca="false">-AM26*(1-Inputs!$E$27)</f>
        <v>-42717.220908325</v>
      </c>
      <c r="AN32" s="69" t="n">
        <f aca="false">-AN26*(1-Inputs!$E$27)</f>
        <v>-42717.220908325</v>
      </c>
      <c r="AO32" s="69" t="n">
        <f aca="false">-AO26*(1-Inputs!$E$27)</f>
        <v>-42717.220908325</v>
      </c>
      <c r="AP32" s="69" t="n">
        <f aca="false">-AP26*(1-Inputs!$E$27)</f>
        <v>-42717.220908325</v>
      </c>
      <c r="AQ32" s="69" t="n">
        <f aca="false">-AQ26*(1-Inputs!$E$27)</f>
        <v>-42717.220908325</v>
      </c>
      <c r="AR32" s="69" t="n">
        <f aca="false">-AR26*(1-Inputs!$E$27)</f>
        <v>-42717.220908325</v>
      </c>
      <c r="AS32" s="69" t="n">
        <f aca="false">-AS26*(1-Inputs!$E$27)</f>
        <v>-42717.220908325</v>
      </c>
      <c r="AT32" s="69" t="n">
        <f aca="false">-AT26*(1-Inputs!$E$27)</f>
        <v>-42717.220908325</v>
      </c>
      <c r="AU32" s="69" t="n">
        <f aca="false">-AU26*(1-Inputs!$E$27)</f>
        <v>-42717.220908325</v>
      </c>
      <c r="AV32" s="69" t="n">
        <f aca="false">-AV26*(1-Inputs!$E$27)</f>
        <v>-42717.220908325</v>
      </c>
      <c r="AW32" s="69" t="n">
        <f aca="false">-AW26*(1-Inputs!$E$27)</f>
        <v>-42717.220908325</v>
      </c>
      <c r="AX32" s="69" t="n">
        <f aca="false">-AX26*(1-Inputs!$E$27)</f>
        <v>-42717.220908325</v>
      </c>
      <c r="AY32" s="69" t="n">
        <f aca="false">-AY26*(1-Inputs!$E$27)</f>
        <v>-45318.699661642</v>
      </c>
      <c r="AZ32" s="69" t="n">
        <f aca="false">-AZ26*(1-Inputs!$E$27)</f>
        <v>-45318.699661642</v>
      </c>
      <c r="BA32" s="69" t="n">
        <f aca="false">-BA26*(1-Inputs!$E$27)</f>
        <v>-45318.699661642</v>
      </c>
      <c r="BB32" s="69" t="n">
        <f aca="false">-BB26*(1-Inputs!$E$27)</f>
        <v>-45318.699661642</v>
      </c>
      <c r="BC32" s="69" t="n">
        <f aca="false">-BC26*(1-Inputs!$E$27)</f>
        <v>-45318.699661642</v>
      </c>
      <c r="BD32" s="69" t="n">
        <f aca="false">-BD26*(1-Inputs!$E$27)</f>
        <v>-45318.699661642</v>
      </c>
      <c r="BE32" s="69" t="n">
        <f aca="false">-BE26*(1-Inputs!$E$27)</f>
        <v>-45318.699661642</v>
      </c>
      <c r="BF32" s="69" t="n">
        <f aca="false">-BF26*(1-Inputs!$E$27)</f>
        <v>-45318.699661642</v>
      </c>
      <c r="BG32" s="69" t="n">
        <f aca="false">-BG26*(1-Inputs!$E$27)</f>
        <v>-45318.699661642</v>
      </c>
      <c r="BH32" s="69" t="n">
        <f aca="false">-BH26*(1-Inputs!$E$27)</f>
        <v>-45318.699661642</v>
      </c>
      <c r="BI32" s="69" t="n">
        <f aca="false">-BI26*(1-Inputs!$E$27)</f>
        <v>-45318.699661642</v>
      </c>
      <c r="BJ32" s="69" t="n">
        <f aca="false">-BJ26*(1-Inputs!$E$27)</f>
        <v>-45318.699661642</v>
      </c>
    </row>
    <row r="33" customFormat="false" ht="15" hidden="false" customHeight="false" outlineLevel="0" collapsed="false">
      <c r="A33" s="6" t="s">
        <v>423</v>
      </c>
      <c r="C33" s="69" t="n">
        <f aca="false">-C25*Inputs!$E$30</f>
        <v>-1181.25</v>
      </c>
      <c r="D33" s="69" t="n">
        <f aca="false">-D25*Inputs!$E$30</f>
        <v>-1328.90625</v>
      </c>
      <c r="E33" s="69" t="n">
        <f aca="false">-E25*Inputs!$E$30</f>
        <v>-1476.5625</v>
      </c>
      <c r="F33" s="69" t="n">
        <f aca="false">-F25*Inputs!$E$30</f>
        <v>-1624.21875</v>
      </c>
      <c r="G33" s="69" t="n">
        <f aca="false">-G25*Inputs!$E$30</f>
        <v>-1771.875</v>
      </c>
      <c r="H33" s="69" t="n">
        <f aca="false">-H25*Inputs!$E$30</f>
        <v>-1919.53125</v>
      </c>
      <c r="I33" s="69" t="n">
        <f aca="false">-I25*Inputs!$E$30</f>
        <v>-2067.1875</v>
      </c>
      <c r="J33" s="69" t="n">
        <f aca="false">-J25*Inputs!$E$30</f>
        <v>-2214.84375</v>
      </c>
      <c r="K33" s="69" t="n">
        <f aca="false">-K25*Inputs!$E$30</f>
        <v>-2362.5</v>
      </c>
      <c r="L33" s="69" t="n">
        <f aca="false">-L25*Inputs!$E$30</f>
        <v>-2510.15625</v>
      </c>
      <c r="M33" s="69" t="n">
        <f aca="false">-M25*Inputs!$E$30</f>
        <v>-2657.8125</v>
      </c>
      <c r="N33" s="69" t="n">
        <f aca="false">-N25*Inputs!$E$30</f>
        <v>-2805.46875</v>
      </c>
      <c r="O33" s="69" t="n">
        <f aca="false">-O25*Inputs!$E$30</f>
        <v>-3132.9703125</v>
      </c>
      <c r="P33" s="69" t="n">
        <f aca="false">-P25*Inputs!$E$30</f>
        <v>-3132.9703125</v>
      </c>
      <c r="Q33" s="69" t="n">
        <f aca="false">-Q25*Inputs!$E$30</f>
        <v>-3132.9703125</v>
      </c>
      <c r="R33" s="69" t="n">
        <f aca="false">-R25*Inputs!$E$30</f>
        <v>-3132.9703125</v>
      </c>
      <c r="S33" s="69" t="n">
        <f aca="false">-S25*Inputs!$E$30</f>
        <v>-3132.9703125</v>
      </c>
      <c r="T33" s="69" t="n">
        <f aca="false">-T25*Inputs!$E$30</f>
        <v>-3132.9703125</v>
      </c>
      <c r="U33" s="69" t="n">
        <f aca="false">-U25*Inputs!$E$30</f>
        <v>-3132.9703125</v>
      </c>
      <c r="V33" s="69" t="n">
        <f aca="false">-V25*Inputs!$E$30</f>
        <v>-3132.9703125</v>
      </c>
      <c r="W33" s="69" t="n">
        <f aca="false">-W25*Inputs!$E$30</f>
        <v>-3132.9703125</v>
      </c>
      <c r="X33" s="69" t="n">
        <f aca="false">-X25*Inputs!$E$30</f>
        <v>-3132.9703125</v>
      </c>
      <c r="Y33" s="69" t="n">
        <f aca="false">-Y25*Inputs!$E$30</f>
        <v>-3132.9703125</v>
      </c>
      <c r="Z33" s="69" t="n">
        <f aca="false">-Z25*Inputs!$E$30</f>
        <v>-3132.9703125</v>
      </c>
      <c r="AA33" s="69" t="n">
        <f aca="false">-AA25*Inputs!$E$30</f>
        <v>-3323.76820453125</v>
      </c>
      <c r="AB33" s="69" t="n">
        <f aca="false">-AB25*Inputs!$E$30</f>
        <v>-3323.76820453125</v>
      </c>
      <c r="AC33" s="69" t="n">
        <f aca="false">-AC25*Inputs!$E$30</f>
        <v>-3323.76820453125</v>
      </c>
      <c r="AD33" s="69" t="n">
        <f aca="false">-AD25*Inputs!$E$30</f>
        <v>-3323.76820453125</v>
      </c>
      <c r="AE33" s="69" t="n">
        <f aca="false">-AE25*Inputs!$E$30</f>
        <v>-3323.76820453125</v>
      </c>
      <c r="AF33" s="69" t="n">
        <f aca="false">-AF25*Inputs!$E$30</f>
        <v>-3323.76820453125</v>
      </c>
      <c r="AG33" s="69" t="n">
        <f aca="false">-AG25*Inputs!$E$30</f>
        <v>-3323.76820453125</v>
      </c>
      <c r="AH33" s="69" t="n">
        <f aca="false">-AH25*Inputs!$E$30</f>
        <v>-3323.76820453125</v>
      </c>
      <c r="AI33" s="69" t="n">
        <f aca="false">-AI25*Inputs!$E$30</f>
        <v>-3323.76820453125</v>
      </c>
      <c r="AJ33" s="69" t="n">
        <f aca="false">-AJ25*Inputs!$E$30</f>
        <v>-3323.76820453125</v>
      </c>
      <c r="AK33" s="69" t="n">
        <f aca="false">-AK25*Inputs!$E$30</f>
        <v>-3323.76820453125</v>
      </c>
      <c r="AL33" s="69" t="n">
        <f aca="false">-AL25*Inputs!$E$30</f>
        <v>-3323.76820453125</v>
      </c>
      <c r="AM33" s="69" t="n">
        <f aca="false">-AM25*Inputs!$E$30</f>
        <v>-3526.1856881872</v>
      </c>
      <c r="AN33" s="69" t="n">
        <f aca="false">-AN25*Inputs!$E$30</f>
        <v>-3526.1856881872</v>
      </c>
      <c r="AO33" s="69" t="n">
        <f aca="false">-AO25*Inputs!$E$30</f>
        <v>-3526.1856881872</v>
      </c>
      <c r="AP33" s="69" t="n">
        <f aca="false">-AP25*Inputs!$E$30</f>
        <v>-3526.1856881872</v>
      </c>
      <c r="AQ33" s="69" t="n">
        <f aca="false">-AQ25*Inputs!$E$30</f>
        <v>-3526.1856881872</v>
      </c>
      <c r="AR33" s="69" t="n">
        <f aca="false">-AR25*Inputs!$E$30</f>
        <v>-3526.1856881872</v>
      </c>
      <c r="AS33" s="69" t="n">
        <f aca="false">-AS25*Inputs!$E$30</f>
        <v>-3526.1856881872</v>
      </c>
      <c r="AT33" s="69" t="n">
        <f aca="false">-AT25*Inputs!$E$30</f>
        <v>-3526.1856881872</v>
      </c>
      <c r="AU33" s="69" t="n">
        <f aca="false">-AU25*Inputs!$E$30</f>
        <v>-3526.1856881872</v>
      </c>
      <c r="AV33" s="69" t="n">
        <f aca="false">-AV25*Inputs!$E$30</f>
        <v>-3526.1856881872</v>
      </c>
      <c r="AW33" s="69" t="n">
        <f aca="false">-AW25*Inputs!$E$30</f>
        <v>-3526.1856881872</v>
      </c>
      <c r="AX33" s="69" t="n">
        <f aca="false">-AX25*Inputs!$E$30</f>
        <v>-3526.1856881872</v>
      </c>
      <c r="AY33" s="69" t="n">
        <f aca="false">-AY25*Inputs!$E$30</f>
        <v>-3740.9303965978</v>
      </c>
      <c r="AZ33" s="69" t="n">
        <f aca="false">-AZ25*Inputs!$E$30</f>
        <v>-3740.9303965978</v>
      </c>
      <c r="BA33" s="69" t="n">
        <f aca="false">-BA25*Inputs!$E$30</f>
        <v>-3740.9303965978</v>
      </c>
      <c r="BB33" s="69" t="n">
        <f aca="false">-BB25*Inputs!$E$30</f>
        <v>-3740.9303965978</v>
      </c>
      <c r="BC33" s="69" t="n">
        <f aca="false">-BC25*Inputs!$E$30</f>
        <v>-3740.9303965978</v>
      </c>
      <c r="BD33" s="69" t="n">
        <f aca="false">-BD25*Inputs!$E$30</f>
        <v>-3740.9303965978</v>
      </c>
      <c r="BE33" s="69" t="n">
        <f aca="false">-BE25*Inputs!$E$30</f>
        <v>-3740.9303965978</v>
      </c>
      <c r="BF33" s="69" t="n">
        <f aca="false">-BF25*Inputs!$E$30</f>
        <v>-3740.9303965978</v>
      </c>
      <c r="BG33" s="69" t="n">
        <f aca="false">-BG25*Inputs!$E$30</f>
        <v>-3740.9303965978</v>
      </c>
      <c r="BH33" s="69" t="n">
        <f aca="false">-BH25*Inputs!$E$30</f>
        <v>-3740.9303965978</v>
      </c>
      <c r="BI33" s="69" t="n">
        <f aca="false">-BI25*Inputs!$E$30</f>
        <v>-3740.9303965978</v>
      </c>
      <c r="BJ33" s="69" t="n">
        <f aca="false">-BJ25*Inputs!$E$30</f>
        <v>-3740.9303965978</v>
      </c>
    </row>
    <row r="34" customFormat="false" ht="15" hidden="false" customHeight="false" outlineLevel="0" collapsed="false">
      <c r="A34" s="6" t="s">
        <v>424</v>
      </c>
      <c r="C34" s="69" t="n">
        <f aca="false">-C25*Inputs!$E$31</f>
        <v>-1012.5</v>
      </c>
      <c r="D34" s="69" t="n">
        <f aca="false">-D25*Inputs!$E$31</f>
        <v>-1139.0625</v>
      </c>
      <c r="E34" s="69" t="n">
        <f aca="false">-E25*Inputs!$E$31</f>
        <v>-1265.625</v>
      </c>
      <c r="F34" s="69" t="n">
        <f aca="false">-F25*Inputs!$E$31</f>
        <v>-1392.1875</v>
      </c>
      <c r="G34" s="69" t="n">
        <f aca="false">-G25*Inputs!$E$31</f>
        <v>-1518.75</v>
      </c>
      <c r="H34" s="69" t="n">
        <f aca="false">-H25*Inputs!$E$31</f>
        <v>-1645.3125</v>
      </c>
      <c r="I34" s="69" t="n">
        <f aca="false">-I25*Inputs!$E$31</f>
        <v>-1771.875</v>
      </c>
      <c r="J34" s="69" t="n">
        <f aca="false">-J25*Inputs!$E$31</f>
        <v>-1898.4375</v>
      </c>
      <c r="K34" s="69" t="n">
        <f aca="false">-K25*Inputs!$E$31</f>
        <v>-2025</v>
      </c>
      <c r="L34" s="69" t="n">
        <f aca="false">-L25*Inputs!$E$31</f>
        <v>-2151.5625</v>
      </c>
      <c r="M34" s="69" t="n">
        <f aca="false">-M25*Inputs!$E$31</f>
        <v>-2278.125</v>
      </c>
      <c r="N34" s="69" t="n">
        <f aca="false">-N25*Inputs!$E$31</f>
        <v>-2404.6875</v>
      </c>
      <c r="O34" s="69" t="n">
        <f aca="false">-O25*Inputs!$E$31</f>
        <v>-2685.403125</v>
      </c>
      <c r="P34" s="69" t="n">
        <f aca="false">-P25*Inputs!$E$31</f>
        <v>-2685.403125</v>
      </c>
      <c r="Q34" s="69" t="n">
        <f aca="false">-Q25*Inputs!$E$31</f>
        <v>-2685.403125</v>
      </c>
      <c r="R34" s="69" t="n">
        <f aca="false">-R25*Inputs!$E$31</f>
        <v>-2685.403125</v>
      </c>
      <c r="S34" s="69" t="n">
        <f aca="false">-S25*Inputs!$E$31</f>
        <v>-2685.403125</v>
      </c>
      <c r="T34" s="69" t="n">
        <f aca="false">-T25*Inputs!$E$31</f>
        <v>-2685.403125</v>
      </c>
      <c r="U34" s="69" t="n">
        <f aca="false">-U25*Inputs!$E$31</f>
        <v>-2685.403125</v>
      </c>
      <c r="V34" s="69" t="n">
        <f aca="false">-V25*Inputs!$E$31</f>
        <v>-2685.403125</v>
      </c>
      <c r="W34" s="69" t="n">
        <f aca="false">-W25*Inputs!$E$31</f>
        <v>-2685.403125</v>
      </c>
      <c r="X34" s="69" t="n">
        <f aca="false">-X25*Inputs!$E$31</f>
        <v>-2685.403125</v>
      </c>
      <c r="Y34" s="69" t="n">
        <f aca="false">-Y25*Inputs!$E$31</f>
        <v>-2685.403125</v>
      </c>
      <c r="Z34" s="69" t="n">
        <f aca="false">-Z25*Inputs!$E$31</f>
        <v>-2685.403125</v>
      </c>
      <c r="AA34" s="69" t="n">
        <f aca="false">-AA25*Inputs!$E$31</f>
        <v>-2848.9441753125</v>
      </c>
      <c r="AB34" s="69" t="n">
        <f aca="false">-AB25*Inputs!$E$31</f>
        <v>-2848.9441753125</v>
      </c>
      <c r="AC34" s="69" t="n">
        <f aca="false">-AC25*Inputs!$E$31</f>
        <v>-2848.9441753125</v>
      </c>
      <c r="AD34" s="69" t="n">
        <f aca="false">-AD25*Inputs!$E$31</f>
        <v>-2848.9441753125</v>
      </c>
      <c r="AE34" s="69" t="n">
        <f aca="false">-AE25*Inputs!$E$31</f>
        <v>-2848.9441753125</v>
      </c>
      <c r="AF34" s="69" t="n">
        <f aca="false">-AF25*Inputs!$E$31</f>
        <v>-2848.9441753125</v>
      </c>
      <c r="AG34" s="69" t="n">
        <f aca="false">-AG25*Inputs!$E$31</f>
        <v>-2848.9441753125</v>
      </c>
      <c r="AH34" s="69" t="n">
        <f aca="false">-AH25*Inputs!$E$31</f>
        <v>-2848.9441753125</v>
      </c>
      <c r="AI34" s="69" t="n">
        <f aca="false">-AI25*Inputs!$E$31</f>
        <v>-2848.9441753125</v>
      </c>
      <c r="AJ34" s="69" t="n">
        <f aca="false">-AJ25*Inputs!$E$31</f>
        <v>-2848.9441753125</v>
      </c>
      <c r="AK34" s="69" t="n">
        <f aca="false">-AK25*Inputs!$E$31</f>
        <v>-2848.9441753125</v>
      </c>
      <c r="AL34" s="69" t="n">
        <f aca="false">-AL25*Inputs!$E$31</f>
        <v>-2848.9441753125</v>
      </c>
      <c r="AM34" s="69" t="n">
        <f aca="false">-AM25*Inputs!$E$31</f>
        <v>-3022.44487558903</v>
      </c>
      <c r="AN34" s="69" t="n">
        <f aca="false">-AN25*Inputs!$E$31</f>
        <v>-3022.44487558903</v>
      </c>
      <c r="AO34" s="69" t="n">
        <f aca="false">-AO25*Inputs!$E$31</f>
        <v>-3022.44487558903</v>
      </c>
      <c r="AP34" s="69" t="n">
        <f aca="false">-AP25*Inputs!$E$31</f>
        <v>-3022.44487558903</v>
      </c>
      <c r="AQ34" s="69" t="n">
        <f aca="false">-AQ25*Inputs!$E$31</f>
        <v>-3022.44487558903</v>
      </c>
      <c r="AR34" s="69" t="n">
        <f aca="false">-AR25*Inputs!$E$31</f>
        <v>-3022.44487558903</v>
      </c>
      <c r="AS34" s="69" t="n">
        <f aca="false">-AS25*Inputs!$E$31</f>
        <v>-3022.44487558903</v>
      </c>
      <c r="AT34" s="69" t="n">
        <f aca="false">-AT25*Inputs!$E$31</f>
        <v>-3022.44487558903</v>
      </c>
      <c r="AU34" s="69" t="n">
        <f aca="false">-AU25*Inputs!$E$31</f>
        <v>-3022.44487558903</v>
      </c>
      <c r="AV34" s="69" t="n">
        <f aca="false">-AV25*Inputs!$E$31</f>
        <v>-3022.44487558903</v>
      </c>
      <c r="AW34" s="69" t="n">
        <f aca="false">-AW25*Inputs!$E$31</f>
        <v>-3022.44487558903</v>
      </c>
      <c r="AX34" s="69" t="n">
        <f aca="false">-AX25*Inputs!$E$31</f>
        <v>-3022.44487558903</v>
      </c>
      <c r="AY34" s="69" t="n">
        <f aca="false">-AY25*Inputs!$E$31</f>
        <v>-3206.5117685124</v>
      </c>
      <c r="AZ34" s="69" t="n">
        <f aca="false">-AZ25*Inputs!$E$31</f>
        <v>-3206.5117685124</v>
      </c>
      <c r="BA34" s="69" t="n">
        <f aca="false">-BA25*Inputs!$E$31</f>
        <v>-3206.5117685124</v>
      </c>
      <c r="BB34" s="69" t="n">
        <f aca="false">-BB25*Inputs!$E$31</f>
        <v>-3206.5117685124</v>
      </c>
      <c r="BC34" s="69" t="n">
        <f aca="false">-BC25*Inputs!$E$31</f>
        <v>-3206.5117685124</v>
      </c>
      <c r="BD34" s="69" t="n">
        <f aca="false">-BD25*Inputs!$E$31</f>
        <v>-3206.5117685124</v>
      </c>
      <c r="BE34" s="69" t="n">
        <f aca="false">-BE25*Inputs!$E$31</f>
        <v>-3206.5117685124</v>
      </c>
      <c r="BF34" s="69" t="n">
        <f aca="false">-BF25*Inputs!$E$31</f>
        <v>-3206.5117685124</v>
      </c>
      <c r="BG34" s="69" t="n">
        <f aca="false">-BG25*Inputs!$E$31</f>
        <v>-3206.5117685124</v>
      </c>
      <c r="BH34" s="69" t="n">
        <f aca="false">-BH25*Inputs!$E$31</f>
        <v>-3206.5117685124</v>
      </c>
      <c r="BI34" s="69" t="n">
        <f aca="false">-BI25*Inputs!$E$31</f>
        <v>-3206.5117685124</v>
      </c>
      <c r="BJ34" s="69" t="n">
        <f aca="false">-BJ25*Inputs!$E$31</f>
        <v>-3206.5117685124</v>
      </c>
    </row>
    <row r="35" customFormat="false" ht="15" hidden="false" customHeight="false" outlineLevel="0" collapsed="false">
      <c r="A35" s="4" t="s">
        <v>76</v>
      </c>
      <c r="C35" s="75" t="n">
        <f aca="false">C31+C32+C33+C34</f>
        <v>-53878.75</v>
      </c>
      <c r="D35" s="75" t="n">
        <f aca="false">D31+D32+D33+D34</f>
        <v>-55941.71875</v>
      </c>
      <c r="E35" s="75" t="n">
        <f aca="false">E31+E32+E33+E34</f>
        <v>-58004.6875</v>
      </c>
      <c r="F35" s="75" t="n">
        <f aca="false">F31+F32+F33+F34</f>
        <v>-60067.65625</v>
      </c>
      <c r="G35" s="75" t="n">
        <f aca="false">G31+G32+G33+G34</f>
        <v>-62130.625</v>
      </c>
      <c r="H35" s="75" t="n">
        <f aca="false">H31+H32+H33+H34</f>
        <v>-64193.59375</v>
      </c>
      <c r="I35" s="75" t="n">
        <f aca="false">I31+I32+I33+I34</f>
        <v>-66256.5625</v>
      </c>
      <c r="J35" s="75" t="n">
        <f aca="false">J31+J32+J33+J34</f>
        <v>-68319.53125</v>
      </c>
      <c r="K35" s="75" t="n">
        <f aca="false">K31+K32+K33+K34</f>
        <v>-70382.5</v>
      </c>
      <c r="L35" s="75" t="n">
        <f aca="false">L31+L32+L33+L34</f>
        <v>-72445.46875</v>
      </c>
      <c r="M35" s="75" t="n">
        <f aca="false">M31+M32+M33+M34</f>
        <v>-74508.4375</v>
      </c>
      <c r="N35" s="75" t="n">
        <f aca="false">N31+N32+N33+N34</f>
        <v>-76571.40625</v>
      </c>
      <c r="O35" s="75" t="n">
        <f aca="false">O31+O32+O33+O34</f>
        <v>-82268.3209375</v>
      </c>
      <c r="P35" s="75" t="n">
        <f aca="false">P31+P32+P33+P34</f>
        <v>-82268.3209375</v>
      </c>
      <c r="Q35" s="75" t="n">
        <f aca="false">Q31+Q32+Q33+Q34</f>
        <v>-82268.3209375</v>
      </c>
      <c r="R35" s="75" t="n">
        <f aca="false">R31+R32+R33+R34</f>
        <v>-82268.3209375</v>
      </c>
      <c r="S35" s="75" t="n">
        <f aca="false">S31+S32+S33+S34</f>
        <v>-82268.3209375</v>
      </c>
      <c r="T35" s="75" t="n">
        <f aca="false">T31+T32+T33+T34</f>
        <v>-82268.3209375</v>
      </c>
      <c r="U35" s="75" t="n">
        <f aca="false">U31+U32+U33+U34</f>
        <v>-82268.3209375</v>
      </c>
      <c r="V35" s="75" t="n">
        <f aca="false">V31+V32+V33+V34</f>
        <v>-82268.3209375</v>
      </c>
      <c r="W35" s="75" t="n">
        <f aca="false">W31+W32+W33+W34</f>
        <v>-82268.3209375</v>
      </c>
      <c r="X35" s="75" t="n">
        <f aca="false">X31+X32+X33+X34</f>
        <v>-82268.3209375</v>
      </c>
      <c r="Y35" s="75" t="n">
        <f aca="false">Y31+Y32+Y33+Y34</f>
        <v>-82268.3209375</v>
      </c>
      <c r="Z35" s="75" t="n">
        <f aca="false">Z31+Z32+Z33+Z34</f>
        <v>-82268.3209375</v>
      </c>
      <c r="AA35" s="75" t="n">
        <f aca="false">AA31+AA32+AA33+AA34</f>
        <v>-86088.9275575938</v>
      </c>
      <c r="AB35" s="75" t="n">
        <f aca="false">AB31+AB32+AB33+AB34</f>
        <v>-86088.9275575938</v>
      </c>
      <c r="AC35" s="75" t="n">
        <f aca="false">AC31+AC32+AC33+AC34</f>
        <v>-86088.9275575938</v>
      </c>
      <c r="AD35" s="75" t="n">
        <f aca="false">AD31+AD32+AD33+AD34</f>
        <v>-86088.9275575938</v>
      </c>
      <c r="AE35" s="75" t="n">
        <f aca="false">AE31+AE32+AE33+AE34</f>
        <v>-86088.9275575938</v>
      </c>
      <c r="AF35" s="75" t="n">
        <f aca="false">AF31+AF32+AF33+AF34</f>
        <v>-86088.9275575938</v>
      </c>
      <c r="AG35" s="75" t="n">
        <f aca="false">AG31+AG32+AG33+AG34</f>
        <v>-86088.9275575938</v>
      </c>
      <c r="AH35" s="75" t="n">
        <f aca="false">AH31+AH32+AH33+AH34</f>
        <v>-86088.9275575938</v>
      </c>
      <c r="AI35" s="75" t="n">
        <f aca="false">AI31+AI32+AI33+AI34</f>
        <v>-86088.9275575938</v>
      </c>
      <c r="AJ35" s="75" t="n">
        <f aca="false">AJ31+AJ32+AJ33+AJ34</f>
        <v>-86088.9275575938</v>
      </c>
      <c r="AK35" s="75" t="n">
        <f aca="false">AK31+AK32+AK33+AK34</f>
        <v>-86088.9275575938</v>
      </c>
      <c r="AL35" s="75" t="n">
        <f aca="false">AL31+AL32+AL33+AL34</f>
        <v>-86088.9275575938</v>
      </c>
      <c r="AM35" s="75" t="n">
        <f aca="false">AM31+AM32+AM33+AM34</f>
        <v>-90106.5230971012</v>
      </c>
      <c r="AN35" s="75" t="n">
        <f aca="false">AN31+AN32+AN33+AN34</f>
        <v>-90106.5230971012</v>
      </c>
      <c r="AO35" s="75" t="n">
        <f aca="false">AO31+AO32+AO33+AO34</f>
        <v>-90106.5230971012</v>
      </c>
      <c r="AP35" s="75" t="n">
        <f aca="false">AP31+AP32+AP33+AP34</f>
        <v>-90106.5230971012</v>
      </c>
      <c r="AQ35" s="75" t="n">
        <f aca="false">AQ31+AQ32+AQ33+AQ34</f>
        <v>-90106.5230971012</v>
      </c>
      <c r="AR35" s="75" t="n">
        <f aca="false">AR31+AR32+AR33+AR34</f>
        <v>-90106.5230971012</v>
      </c>
      <c r="AS35" s="75" t="n">
        <f aca="false">AS31+AS32+AS33+AS34</f>
        <v>-90106.5230971012</v>
      </c>
      <c r="AT35" s="75" t="n">
        <f aca="false">AT31+AT32+AT33+AT34</f>
        <v>-90106.5230971012</v>
      </c>
      <c r="AU35" s="75" t="n">
        <f aca="false">AU31+AU32+AU33+AU34</f>
        <v>-90106.5230971012</v>
      </c>
      <c r="AV35" s="75" t="n">
        <f aca="false">AV31+AV32+AV33+AV34</f>
        <v>-90106.5230971012</v>
      </c>
      <c r="AW35" s="75" t="n">
        <f aca="false">AW31+AW32+AW33+AW34</f>
        <v>-90106.5230971012</v>
      </c>
      <c r="AX35" s="75" t="n">
        <f aca="false">AX31+AX32+AX33+AX34</f>
        <v>-90106.5230971012</v>
      </c>
      <c r="AY35" s="75" t="n">
        <f aca="false">AY31+AY32+AY33+AY34</f>
        <v>-94332.0336005022</v>
      </c>
      <c r="AZ35" s="75" t="n">
        <f aca="false">AZ31+AZ32+AZ33+AZ34</f>
        <v>-94332.0336005022</v>
      </c>
      <c r="BA35" s="75" t="n">
        <f aca="false">BA31+BA32+BA33+BA34</f>
        <v>-94332.0336005022</v>
      </c>
      <c r="BB35" s="75" t="n">
        <f aca="false">BB31+BB32+BB33+BB34</f>
        <v>-94332.0336005022</v>
      </c>
      <c r="BC35" s="75" t="n">
        <f aca="false">BC31+BC32+BC33+BC34</f>
        <v>-94332.0336005022</v>
      </c>
      <c r="BD35" s="75" t="n">
        <f aca="false">BD31+BD32+BD33+BD34</f>
        <v>-94332.0336005022</v>
      </c>
      <c r="BE35" s="75" t="n">
        <f aca="false">BE31+BE32+BE33+BE34</f>
        <v>-94332.0336005022</v>
      </c>
      <c r="BF35" s="75" t="n">
        <f aca="false">BF31+BF32+BF33+BF34</f>
        <v>-94332.0336005022</v>
      </c>
      <c r="BG35" s="75" t="n">
        <f aca="false">BG31+BG32+BG33+BG34</f>
        <v>-94332.0336005022</v>
      </c>
      <c r="BH35" s="75" t="n">
        <f aca="false">BH31+BH32+BH33+BH34</f>
        <v>-94332.0336005022</v>
      </c>
      <c r="BI35" s="75" t="n">
        <f aca="false">BI31+BI32+BI33+BI34</f>
        <v>-94332.0336005022</v>
      </c>
      <c r="BJ35" s="75" t="n">
        <f aca="false">BJ31+BJ32+BJ33+BJ34</f>
        <v>-94332.0336005022</v>
      </c>
    </row>
    <row r="36" customFormat="false" ht="15" hidden="false" customHeight="false" outlineLevel="0" collapsed="false">
      <c r="A36" s="115" t="s">
        <v>45</v>
      </c>
      <c r="C36" s="70" t="n">
        <f aca="false">C28+C35</f>
        <v>8558.74999999999</v>
      </c>
      <c r="D36" s="70" t="n">
        <f aca="false">D28+D35</f>
        <v>14300.46875</v>
      </c>
      <c r="E36" s="70" t="n">
        <f aca="false">E28+E35</f>
        <v>20042.1875</v>
      </c>
      <c r="F36" s="70" t="n">
        <f aca="false">F28+F35</f>
        <v>25783.90625</v>
      </c>
      <c r="G36" s="70" t="n">
        <f aca="false">G28+G35</f>
        <v>31525.625</v>
      </c>
      <c r="H36" s="70" t="n">
        <f aca="false">H28+H35</f>
        <v>37267.34375</v>
      </c>
      <c r="I36" s="70" t="n">
        <f aca="false">I28+I35</f>
        <v>43009.0625</v>
      </c>
      <c r="J36" s="70" t="n">
        <f aca="false">J28+J35</f>
        <v>48750.78125</v>
      </c>
      <c r="K36" s="70" t="n">
        <f aca="false">K28+K35</f>
        <v>54492.5</v>
      </c>
      <c r="L36" s="70" t="n">
        <f aca="false">L28+L35</f>
        <v>60234.21875</v>
      </c>
      <c r="M36" s="70" t="n">
        <f aca="false">M28+M35</f>
        <v>65975.9375</v>
      </c>
      <c r="N36" s="70" t="n">
        <f aca="false">N28+N35</f>
        <v>71717.65625</v>
      </c>
      <c r="O36" s="70" t="n">
        <f aca="false">O28+O35</f>
        <v>83331.5384375</v>
      </c>
      <c r="P36" s="70" t="n">
        <f aca="false">P28+P35</f>
        <v>83331.5384375</v>
      </c>
      <c r="Q36" s="70" t="n">
        <f aca="false">Q28+Q35</f>
        <v>83331.5384375</v>
      </c>
      <c r="R36" s="70" t="n">
        <f aca="false">R28+R35</f>
        <v>83331.5384375</v>
      </c>
      <c r="S36" s="70" t="n">
        <f aca="false">S28+S35</f>
        <v>83331.5384375</v>
      </c>
      <c r="T36" s="70" t="n">
        <f aca="false">T28+T35</f>
        <v>83331.5384375</v>
      </c>
      <c r="U36" s="70" t="n">
        <f aca="false">U28+U35</f>
        <v>83331.5384375</v>
      </c>
      <c r="V36" s="70" t="n">
        <f aca="false">V28+V35</f>
        <v>83331.5384375</v>
      </c>
      <c r="W36" s="70" t="n">
        <f aca="false">W28+W35</f>
        <v>83331.5384375</v>
      </c>
      <c r="X36" s="70" t="n">
        <f aca="false">X28+X35</f>
        <v>83331.5384375</v>
      </c>
      <c r="Y36" s="70" t="n">
        <f aca="false">Y28+Y35</f>
        <v>83331.5384375</v>
      </c>
      <c r="Z36" s="70" t="n">
        <f aca="false">Z28+Z35</f>
        <v>83331.5384375</v>
      </c>
      <c r="AA36" s="70" t="n">
        <f aca="false">AA28+AA35</f>
        <v>89595.9632533437</v>
      </c>
      <c r="AB36" s="70" t="n">
        <f aca="false">AB28+AB35</f>
        <v>89595.9632533437</v>
      </c>
      <c r="AC36" s="70" t="n">
        <f aca="false">AC28+AC35</f>
        <v>89595.9632533437</v>
      </c>
      <c r="AD36" s="70" t="n">
        <f aca="false">AD28+AD35</f>
        <v>89595.9632533437</v>
      </c>
      <c r="AE36" s="70" t="n">
        <f aca="false">AE28+AE35</f>
        <v>89595.9632533437</v>
      </c>
      <c r="AF36" s="70" t="n">
        <f aca="false">AF28+AF35</f>
        <v>89595.9632533437</v>
      </c>
      <c r="AG36" s="70" t="n">
        <f aca="false">AG28+AG35</f>
        <v>89595.9632533437</v>
      </c>
      <c r="AH36" s="70" t="n">
        <f aca="false">AH28+AH35</f>
        <v>89595.9632533437</v>
      </c>
      <c r="AI36" s="70" t="n">
        <f aca="false">AI28+AI35</f>
        <v>89595.9632533437</v>
      </c>
      <c r="AJ36" s="70" t="n">
        <f aca="false">AJ28+AJ35</f>
        <v>89595.9632533437</v>
      </c>
      <c r="AK36" s="70" t="n">
        <f aca="false">AK28+AK35</f>
        <v>89595.9632533437</v>
      </c>
      <c r="AL36" s="70" t="n">
        <f aca="false">AL28+AL35</f>
        <v>89595.9632533437</v>
      </c>
      <c r="AM36" s="70" t="n">
        <f aca="false">AM28+AM35</f>
        <v>96277.5775642224</v>
      </c>
      <c r="AN36" s="70" t="n">
        <f aca="false">AN28+AN35</f>
        <v>96277.5775642224</v>
      </c>
      <c r="AO36" s="70" t="n">
        <f aca="false">AO28+AO35</f>
        <v>96277.5775642224</v>
      </c>
      <c r="AP36" s="70" t="n">
        <f aca="false">AP28+AP35</f>
        <v>96277.5775642224</v>
      </c>
      <c r="AQ36" s="70" t="n">
        <f aca="false">AQ28+AQ35</f>
        <v>96277.5775642224</v>
      </c>
      <c r="AR36" s="70" t="n">
        <f aca="false">AR28+AR35</f>
        <v>96277.5775642224</v>
      </c>
      <c r="AS36" s="70" t="n">
        <f aca="false">AS28+AS35</f>
        <v>96277.5775642224</v>
      </c>
      <c r="AT36" s="70" t="n">
        <f aca="false">AT28+AT35</f>
        <v>96277.5775642224</v>
      </c>
      <c r="AU36" s="70" t="n">
        <f aca="false">AU28+AU35</f>
        <v>96277.5775642224</v>
      </c>
      <c r="AV36" s="70" t="n">
        <f aca="false">AV28+AV35</f>
        <v>96277.5775642224</v>
      </c>
      <c r="AW36" s="70" t="n">
        <f aca="false">AW28+AW35</f>
        <v>96277.5775642224</v>
      </c>
      <c r="AX36" s="70" t="n">
        <f aca="false">AX28+AX35</f>
        <v>96277.5775642224</v>
      </c>
      <c r="AY36" s="70" t="n">
        <f aca="false">AY28+AY35</f>
        <v>103402.858791096</v>
      </c>
      <c r="AZ36" s="70" t="n">
        <f aca="false">AZ28+AZ35</f>
        <v>103402.858791096</v>
      </c>
      <c r="BA36" s="70" t="n">
        <f aca="false">BA28+BA35</f>
        <v>103402.858791096</v>
      </c>
      <c r="BB36" s="70" t="n">
        <f aca="false">BB28+BB35</f>
        <v>103402.858791096</v>
      </c>
      <c r="BC36" s="70" t="n">
        <f aca="false">BC28+BC35</f>
        <v>103402.858791096</v>
      </c>
      <c r="BD36" s="70" t="n">
        <f aca="false">BD28+BD35</f>
        <v>103402.858791096</v>
      </c>
      <c r="BE36" s="70" t="n">
        <f aca="false">BE28+BE35</f>
        <v>103402.858791096</v>
      </c>
      <c r="BF36" s="70" t="n">
        <f aca="false">BF28+BF35</f>
        <v>103402.858791096</v>
      </c>
      <c r="BG36" s="70" t="n">
        <f aca="false">BG28+BG35</f>
        <v>103402.858791096</v>
      </c>
      <c r="BH36" s="70" t="n">
        <f aca="false">BH28+BH35</f>
        <v>103402.858791096</v>
      </c>
      <c r="BI36" s="70" t="n">
        <f aca="false">BI28+BI35</f>
        <v>103402.858791096</v>
      </c>
      <c r="BJ36" s="70" t="n">
        <f aca="false">BJ28+BJ35</f>
        <v>103402.858791096</v>
      </c>
    </row>
    <row r="38" customFormat="false" ht="15.75" hidden="false" customHeight="true" outlineLevel="0" collapsed="false">
      <c r="A38" s="7" t="s">
        <v>47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customFormat="false" ht="15" hidden="false" customHeight="false" outlineLevel="0" collapsed="false">
      <c r="A39" s="6" t="s">
        <v>333</v>
      </c>
      <c r="C39" s="69" t="n">
        <f aca="false">Headcount!C17-Headcount!C14</f>
        <v>-17729.1666666667</v>
      </c>
      <c r="D39" s="69" t="n">
        <f aca="false">Headcount!D17-Headcount!D14</f>
        <v>-17729.1666666667</v>
      </c>
      <c r="E39" s="69" t="n">
        <f aca="false">Headcount!E17-Headcount!E14</f>
        <v>-17729.1666666667</v>
      </c>
      <c r="F39" s="69" t="n">
        <f aca="false">Headcount!F17-Headcount!F14</f>
        <v>-17729.1666666667</v>
      </c>
      <c r="G39" s="69" t="n">
        <f aca="false">Headcount!G17-Headcount!G14</f>
        <v>-17729.1666666667</v>
      </c>
      <c r="H39" s="69" t="n">
        <f aca="false">Headcount!H17-Headcount!H14</f>
        <v>-17729.1666666667</v>
      </c>
      <c r="I39" s="69" t="n">
        <f aca="false">Headcount!I17-Headcount!I14</f>
        <v>-17729.1666666667</v>
      </c>
      <c r="J39" s="69" t="n">
        <f aca="false">Headcount!J17-Headcount!J14</f>
        <v>-17729.1666666667</v>
      </c>
      <c r="K39" s="69" t="n">
        <f aca="false">Headcount!K17-Headcount!K14</f>
        <v>-17729.1666666667</v>
      </c>
      <c r="L39" s="69" t="n">
        <f aca="false">Headcount!L17-Headcount!L14</f>
        <v>-17729.1666666667</v>
      </c>
      <c r="M39" s="69" t="n">
        <f aca="false">Headcount!M17-Headcount!M14</f>
        <v>-17729.1666666667</v>
      </c>
      <c r="N39" s="69" t="n">
        <f aca="false">Headcount!N17-Headcount!N14</f>
        <v>-17729.1666666667</v>
      </c>
      <c r="O39" s="69" t="n">
        <f aca="false">Headcount!O17-Headcount!O14</f>
        <v>-18261.0416666667</v>
      </c>
      <c r="P39" s="69" t="n">
        <f aca="false">Headcount!P17-Headcount!P14</f>
        <v>-18261.0416666667</v>
      </c>
      <c r="Q39" s="69" t="n">
        <f aca="false">Headcount!Q17-Headcount!Q14</f>
        <v>-18261.0416666667</v>
      </c>
      <c r="R39" s="69" t="n">
        <f aca="false">Headcount!R17-Headcount!R14</f>
        <v>-18261.0416666667</v>
      </c>
      <c r="S39" s="69" t="n">
        <f aca="false">Headcount!S17-Headcount!S14</f>
        <v>-18261.0416666667</v>
      </c>
      <c r="T39" s="69" t="n">
        <f aca="false">Headcount!T17-Headcount!T14</f>
        <v>-18261.0416666667</v>
      </c>
      <c r="U39" s="69" t="n">
        <f aca="false">Headcount!U17-Headcount!U14</f>
        <v>-18261.0416666667</v>
      </c>
      <c r="V39" s="69" t="n">
        <f aca="false">Headcount!V17-Headcount!V14</f>
        <v>-18261.0416666667</v>
      </c>
      <c r="W39" s="69" t="n">
        <f aca="false">Headcount!W17-Headcount!W14</f>
        <v>-18261.0416666667</v>
      </c>
      <c r="X39" s="69" t="n">
        <f aca="false">Headcount!X17-Headcount!X14</f>
        <v>-18261.0416666667</v>
      </c>
      <c r="Y39" s="69" t="n">
        <f aca="false">Headcount!Y17-Headcount!Y14</f>
        <v>-18261.0416666667</v>
      </c>
      <c r="Z39" s="69" t="n">
        <f aca="false">Headcount!Z17-Headcount!Z14</f>
        <v>-18261.0416666667</v>
      </c>
      <c r="AA39" s="69" t="n">
        <f aca="false">Headcount!AA17-Headcount!AA14</f>
        <v>-18808.8729166667</v>
      </c>
      <c r="AB39" s="69" t="n">
        <f aca="false">Headcount!AB17-Headcount!AB14</f>
        <v>-18808.8729166667</v>
      </c>
      <c r="AC39" s="69" t="n">
        <f aca="false">Headcount!AC17-Headcount!AC14</f>
        <v>-18808.8729166667</v>
      </c>
      <c r="AD39" s="69" t="n">
        <f aca="false">Headcount!AD17-Headcount!AD14</f>
        <v>-18808.8729166667</v>
      </c>
      <c r="AE39" s="69" t="n">
        <f aca="false">Headcount!AE17-Headcount!AE14</f>
        <v>-18808.8729166667</v>
      </c>
      <c r="AF39" s="69" t="n">
        <f aca="false">Headcount!AF17-Headcount!AF14</f>
        <v>-18808.8729166667</v>
      </c>
      <c r="AG39" s="69" t="n">
        <f aca="false">Headcount!AG17-Headcount!AG14</f>
        <v>-18808.8729166667</v>
      </c>
      <c r="AH39" s="69" t="n">
        <f aca="false">Headcount!AH17-Headcount!AH14</f>
        <v>-18808.8729166667</v>
      </c>
      <c r="AI39" s="69" t="n">
        <f aca="false">Headcount!AI17-Headcount!AI14</f>
        <v>-18808.8729166667</v>
      </c>
      <c r="AJ39" s="69" t="n">
        <f aca="false">Headcount!AJ17-Headcount!AJ14</f>
        <v>-18808.8729166667</v>
      </c>
      <c r="AK39" s="69" t="n">
        <f aca="false">Headcount!AK17-Headcount!AK14</f>
        <v>-18808.8729166667</v>
      </c>
      <c r="AL39" s="69" t="n">
        <f aca="false">Headcount!AL17-Headcount!AL14</f>
        <v>-18808.8729166667</v>
      </c>
      <c r="AM39" s="69" t="n">
        <f aca="false">Headcount!AM17-Headcount!AM14</f>
        <v>-19373.1391041667</v>
      </c>
      <c r="AN39" s="69" t="n">
        <f aca="false">Headcount!AN17-Headcount!AN14</f>
        <v>-19373.1391041667</v>
      </c>
      <c r="AO39" s="69" t="n">
        <f aca="false">Headcount!AO17-Headcount!AO14</f>
        <v>-19373.1391041667</v>
      </c>
      <c r="AP39" s="69" t="n">
        <f aca="false">Headcount!AP17-Headcount!AP14</f>
        <v>-19373.1391041667</v>
      </c>
      <c r="AQ39" s="69" t="n">
        <f aca="false">Headcount!AQ17-Headcount!AQ14</f>
        <v>-19373.1391041667</v>
      </c>
      <c r="AR39" s="69" t="n">
        <f aca="false">Headcount!AR17-Headcount!AR14</f>
        <v>-19373.1391041667</v>
      </c>
      <c r="AS39" s="69" t="n">
        <f aca="false">Headcount!AS17-Headcount!AS14</f>
        <v>-19373.1391041667</v>
      </c>
      <c r="AT39" s="69" t="n">
        <f aca="false">Headcount!AT17-Headcount!AT14</f>
        <v>-19373.1391041667</v>
      </c>
      <c r="AU39" s="69" t="n">
        <f aca="false">Headcount!AU17-Headcount!AU14</f>
        <v>-19373.1391041667</v>
      </c>
      <c r="AV39" s="69" t="n">
        <f aca="false">Headcount!AV17-Headcount!AV14</f>
        <v>-19373.1391041667</v>
      </c>
      <c r="AW39" s="69" t="n">
        <f aca="false">Headcount!AW17-Headcount!AW14</f>
        <v>-19373.1391041667</v>
      </c>
      <c r="AX39" s="69" t="n">
        <f aca="false">Headcount!AX17-Headcount!AX14</f>
        <v>-19373.1391041667</v>
      </c>
      <c r="AY39" s="69" t="n">
        <f aca="false">Headcount!AY17-Headcount!AY14</f>
        <v>-19954.3332772917</v>
      </c>
      <c r="AZ39" s="69" t="n">
        <f aca="false">Headcount!AZ17-Headcount!AZ14</f>
        <v>-19954.3332772917</v>
      </c>
      <c r="BA39" s="69" t="n">
        <f aca="false">Headcount!BA17-Headcount!BA14</f>
        <v>-19954.3332772917</v>
      </c>
      <c r="BB39" s="69" t="n">
        <f aca="false">Headcount!BB17-Headcount!BB14</f>
        <v>-19954.3332772917</v>
      </c>
      <c r="BC39" s="69" t="n">
        <f aca="false">Headcount!BC17-Headcount!BC14</f>
        <v>-19954.3332772917</v>
      </c>
      <c r="BD39" s="69" t="n">
        <f aca="false">Headcount!BD17-Headcount!BD14</f>
        <v>-19954.3332772917</v>
      </c>
      <c r="BE39" s="69" t="n">
        <f aca="false">Headcount!BE17-Headcount!BE14</f>
        <v>-19954.3332772917</v>
      </c>
      <c r="BF39" s="69" t="n">
        <f aca="false">Headcount!BF17-Headcount!BF14</f>
        <v>-19954.3332772917</v>
      </c>
      <c r="BG39" s="69" t="n">
        <f aca="false">Headcount!BG17-Headcount!BG14</f>
        <v>-19954.3332772917</v>
      </c>
      <c r="BH39" s="69" t="n">
        <f aca="false">Headcount!BH17-Headcount!BH14</f>
        <v>-19954.3332772917</v>
      </c>
      <c r="BI39" s="69" t="n">
        <f aca="false">Headcount!BI17-Headcount!BI14</f>
        <v>-19954.3332772917</v>
      </c>
      <c r="BJ39" s="69" t="n">
        <f aca="false">Headcount!BJ17-Headcount!BJ14</f>
        <v>-19954.3332772917</v>
      </c>
    </row>
    <row r="40" customFormat="false" ht="15" hidden="false" customHeight="false" outlineLevel="0" collapsed="false">
      <c r="A40" s="6" t="s">
        <v>334</v>
      </c>
      <c r="C40" s="69" t="n">
        <f aca="false">-Inputs!$E$36*(1+Inputs!$E$37)^(C$5-1)*1</f>
        <v>-18000</v>
      </c>
      <c r="D40" s="69" t="n">
        <f aca="false">-Inputs!$E$36*(1+Inputs!$E$37)^(D$5-1)*1</f>
        <v>-18000</v>
      </c>
      <c r="E40" s="69" t="n">
        <f aca="false">-Inputs!$E$36*(1+Inputs!$E$37)^(E$5-1)*1</f>
        <v>-18000</v>
      </c>
      <c r="F40" s="69" t="n">
        <f aca="false">-Inputs!$E$36*(1+Inputs!$E$37)^(F$5-1)*1</f>
        <v>-18000</v>
      </c>
      <c r="G40" s="69" t="n">
        <f aca="false">-Inputs!$E$36*(1+Inputs!$E$37)^(G$5-1)*1</f>
        <v>-18000</v>
      </c>
      <c r="H40" s="69" t="n">
        <f aca="false">-Inputs!$E$36*(1+Inputs!$E$37)^(H$5-1)*1</f>
        <v>-18000</v>
      </c>
      <c r="I40" s="69" t="n">
        <f aca="false">-Inputs!$E$36*(1+Inputs!$E$37)^(I$5-1)*1</f>
        <v>-18000</v>
      </c>
      <c r="J40" s="69" t="n">
        <f aca="false">-Inputs!$E$36*(1+Inputs!$E$37)^(J$5-1)*1</f>
        <v>-18000</v>
      </c>
      <c r="K40" s="69" t="n">
        <f aca="false">-Inputs!$E$36*(1+Inputs!$E$37)^(K$5-1)*1</f>
        <v>-18000</v>
      </c>
      <c r="L40" s="69" t="n">
        <f aca="false">-Inputs!$E$36*(1+Inputs!$E$37)^(L$5-1)*1</f>
        <v>-18000</v>
      </c>
      <c r="M40" s="69" t="n">
        <f aca="false">-Inputs!$E$36*(1+Inputs!$E$37)^(M$5-1)*1</f>
        <v>-18000</v>
      </c>
      <c r="N40" s="69" t="n">
        <f aca="false">-Inputs!$E$36*(1+Inputs!$E$37)^(N$5-1)*1</f>
        <v>-18000</v>
      </c>
      <c r="O40" s="69" t="n">
        <f aca="false">-Inputs!$E$36*(1+Inputs!$E$37)^(O$5-1)*1</f>
        <v>-18540</v>
      </c>
      <c r="P40" s="69" t="n">
        <f aca="false">-Inputs!$E$36*(1+Inputs!$E$37)^(P$5-1)*1</f>
        <v>-18540</v>
      </c>
      <c r="Q40" s="69" t="n">
        <f aca="false">-Inputs!$E$36*(1+Inputs!$E$37)^(Q$5-1)*1</f>
        <v>-18540</v>
      </c>
      <c r="R40" s="69" t="n">
        <f aca="false">-Inputs!$E$36*(1+Inputs!$E$37)^(R$5-1)*1</f>
        <v>-18540</v>
      </c>
      <c r="S40" s="69" t="n">
        <f aca="false">-Inputs!$E$36*(1+Inputs!$E$37)^(S$5-1)*1</f>
        <v>-18540</v>
      </c>
      <c r="T40" s="69" t="n">
        <f aca="false">-Inputs!$E$36*(1+Inputs!$E$37)^(T$5-1)*1</f>
        <v>-18540</v>
      </c>
      <c r="U40" s="69" t="n">
        <f aca="false">-Inputs!$E$36*(1+Inputs!$E$37)^(U$5-1)*1</f>
        <v>-18540</v>
      </c>
      <c r="V40" s="69" t="n">
        <f aca="false">-Inputs!$E$36*(1+Inputs!$E$37)^(V$5-1)*1</f>
        <v>-18540</v>
      </c>
      <c r="W40" s="69" t="n">
        <f aca="false">-Inputs!$E$36*(1+Inputs!$E$37)^(W$5-1)*1</f>
        <v>-18540</v>
      </c>
      <c r="X40" s="69" t="n">
        <f aca="false">-Inputs!$E$36*(1+Inputs!$E$37)^(X$5-1)*1</f>
        <v>-18540</v>
      </c>
      <c r="Y40" s="69" t="n">
        <f aca="false">-Inputs!$E$36*(1+Inputs!$E$37)^(Y$5-1)*1</f>
        <v>-18540</v>
      </c>
      <c r="Z40" s="69" t="n">
        <f aca="false">-Inputs!$E$36*(1+Inputs!$E$37)^(Z$5-1)*1</f>
        <v>-18540</v>
      </c>
      <c r="AA40" s="69" t="n">
        <f aca="false">-Inputs!$E$36*(1+Inputs!$E$37)^(AA$5-1)*1</f>
        <v>-19096.2</v>
      </c>
      <c r="AB40" s="69" t="n">
        <f aca="false">-Inputs!$E$36*(1+Inputs!$E$37)^(AB$5-1)*1</f>
        <v>-19096.2</v>
      </c>
      <c r="AC40" s="69" t="n">
        <f aca="false">-Inputs!$E$36*(1+Inputs!$E$37)^(AC$5-1)*1</f>
        <v>-19096.2</v>
      </c>
      <c r="AD40" s="69" t="n">
        <f aca="false">-Inputs!$E$36*(1+Inputs!$E$37)^(AD$5-1)*1</f>
        <v>-19096.2</v>
      </c>
      <c r="AE40" s="69" t="n">
        <f aca="false">-Inputs!$E$36*(1+Inputs!$E$37)^(AE$5-1)*1</f>
        <v>-19096.2</v>
      </c>
      <c r="AF40" s="69" t="n">
        <f aca="false">-Inputs!$E$36*(1+Inputs!$E$37)^(AF$5-1)*1</f>
        <v>-19096.2</v>
      </c>
      <c r="AG40" s="69" t="n">
        <f aca="false">-Inputs!$E$36*(1+Inputs!$E$37)^(AG$5-1)*1</f>
        <v>-19096.2</v>
      </c>
      <c r="AH40" s="69" t="n">
        <f aca="false">-Inputs!$E$36*(1+Inputs!$E$37)^(AH$5-1)*1</f>
        <v>-19096.2</v>
      </c>
      <c r="AI40" s="69" t="n">
        <f aca="false">-Inputs!$E$36*(1+Inputs!$E$37)^(AI$5-1)*1</f>
        <v>-19096.2</v>
      </c>
      <c r="AJ40" s="69" t="n">
        <f aca="false">-Inputs!$E$36*(1+Inputs!$E$37)^(AJ$5-1)*1</f>
        <v>-19096.2</v>
      </c>
      <c r="AK40" s="69" t="n">
        <f aca="false">-Inputs!$E$36*(1+Inputs!$E$37)^(AK$5-1)*1</f>
        <v>-19096.2</v>
      </c>
      <c r="AL40" s="69" t="n">
        <f aca="false">-Inputs!$E$36*(1+Inputs!$E$37)^(AL$5-1)*1</f>
        <v>-19096.2</v>
      </c>
      <c r="AM40" s="69" t="n">
        <f aca="false">-Inputs!$E$36*(1+Inputs!$E$37)^(AM$5-1)*1</f>
        <v>-19669.086</v>
      </c>
      <c r="AN40" s="69" t="n">
        <f aca="false">-Inputs!$E$36*(1+Inputs!$E$37)^(AN$5-1)*1</f>
        <v>-19669.086</v>
      </c>
      <c r="AO40" s="69" t="n">
        <f aca="false">-Inputs!$E$36*(1+Inputs!$E$37)^(AO$5-1)*1</f>
        <v>-19669.086</v>
      </c>
      <c r="AP40" s="69" t="n">
        <f aca="false">-Inputs!$E$36*(1+Inputs!$E$37)^(AP$5-1)*1</f>
        <v>-19669.086</v>
      </c>
      <c r="AQ40" s="69" t="n">
        <f aca="false">-Inputs!$E$36*(1+Inputs!$E$37)^(AQ$5-1)*1</f>
        <v>-19669.086</v>
      </c>
      <c r="AR40" s="69" t="n">
        <f aca="false">-Inputs!$E$36*(1+Inputs!$E$37)^(AR$5-1)*1</f>
        <v>-19669.086</v>
      </c>
      <c r="AS40" s="69" t="n">
        <f aca="false">-Inputs!$E$36*(1+Inputs!$E$37)^(AS$5-1)*1</f>
        <v>-19669.086</v>
      </c>
      <c r="AT40" s="69" t="n">
        <f aca="false">-Inputs!$E$36*(1+Inputs!$E$37)^(AT$5-1)*1</f>
        <v>-19669.086</v>
      </c>
      <c r="AU40" s="69" t="n">
        <f aca="false">-Inputs!$E$36*(1+Inputs!$E$37)^(AU$5-1)*1</f>
        <v>-19669.086</v>
      </c>
      <c r="AV40" s="69" t="n">
        <f aca="false">-Inputs!$E$36*(1+Inputs!$E$37)^(AV$5-1)*1</f>
        <v>-19669.086</v>
      </c>
      <c r="AW40" s="69" t="n">
        <f aca="false">-Inputs!$E$36*(1+Inputs!$E$37)^(AW$5-1)*1</f>
        <v>-19669.086</v>
      </c>
      <c r="AX40" s="69" t="n">
        <f aca="false">-Inputs!$E$36*(1+Inputs!$E$37)^(AX$5-1)*1</f>
        <v>-19669.086</v>
      </c>
      <c r="AY40" s="69" t="n">
        <f aca="false">-Inputs!$E$36*(1+Inputs!$E$37)^(AY$5-1)*1</f>
        <v>-20259.15858</v>
      </c>
      <c r="AZ40" s="69" t="n">
        <f aca="false">-Inputs!$E$36*(1+Inputs!$E$37)^(AZ$5-1)*1</f>
        <v>-20259.15858</v>
      </c>
      <c r="BA40" s="69" t="n">
        <f aca="false">-Inputs!$E$36*(1+Inputs!$E$37)^(BA$5-1)*1</f>
        <v>-20259.15858</v>
      </c>
      <c r="BB40" s="69" t="n">
        <f aca="false">-Inputs!$E$36*(1+Inputs!$E$37)^(BB$5-1)*1</f>
        <v>-20259.15858</v>
      </c>
      <c r="BC40" s="69" t="n">
        <f aca="false">-Inputs!$E$36*(1+Inputs!$E$37)^(BC$5-1)*1</f>
        <v>-20259.15858</v>
      </c>
      <c r="BD40" s="69" t="n">
        <f aca="false">-Inputs!$E$36*(1+Inputs!$E$37)^(BD$5-1)*1</f>
        <v>-20259.15858</v>
      </c>
      <c r="BE40" s="69" t="n">
        <f aca="false">-Inputs!$E$36*(1+Inputs!$E$37)^(BE$5-1)*1</f>
        <v>-20259.15858</v>
      </c>
      <c r="BF40" s="69" t="n">
        <f aca="false">-Inputs!$E$36*(1+Inputs!$E$37)^(BF$5-1)*1</f>
        <v>-20259.15858</v>
      </c>
      <c r="BG40" s="69" t="n">
        <f aca="false">-Inputs!$E$36*(1+Inputs!$E$37)^(BG$5-1)*1</f>
        <v>-20259.15858</v>
      </c>
      <c r="BH40" s="69" t="n">
        <f aca="false">-Inputs!$E$36*(1+Inputs!$E$37)^(BH$5-1)*1</f>
        <v>-20259.15858</v>
      </c>
      <c r="BI40" s="69" t="n">
        <f aca="false">-Inputs!$E$36*(1+Inputs!$E$37)^(BI$5-1)*1</f>
        <v>-20259.15858</v>
      </c>
      <c r="BJ40" s="69" t="n">
        <f aca="false">-Inputs!$E$36*(1+Inputs!$E$37)^(BJ$5-1)*1</f>
        <v>-20259.15858</v>
      </c>
    </row>
    <row r="41" customFormat="false" ht="15" hidden="false" customHeight="false" outlineLevel="0" collapsed="false">
      <c r="A41" s="6" t="s">
        <v>335</v>
      </c>
      <c r="C41" s="69" t="n">
        <f aca="false">-Inputs!$E$38*(1+Inputs!$E$33)^(C$5-1)*1</f>
        <v>-4500</v>
      </c>
      <c r="D41" s="69" t="n">
        <f aca="false">-Inputs!$E$38*(1+Inputs!$E$33)^(D$5-1)*1</f>
        <v>-4500</v>
      </c>
      <c r="E41" s="69" t="n">
        <f aca="false">-Inputs!$E$38*(1+Inputs!$E$33)^(E$5-1)*1</f>
        <v>-4500</v>
      </c>
      <c r="F41" s="69" t="n">
        <f aca="false">-Inputs!$E$38*(1+Inputs!$E$33)^(F$5-1)*1</f>
        <v>-4500</v>
      </c>
      <c r="G41" s="69" t="n">
        <f aca="false">-Inputs!$E$38*(1+Inputs!$E$33)^(G$5-1)*1</f>
        <v>-4500</v>
      </c>
      <c r="H41" s="69" t="n">
        <f aca="false">-Inputs!$E$38*(1+Inputs!$E$33)^(H$5-1)*1</f>
        <v>-4500</v>
      </c>
      <c r="I41" s="69" t="n">
        <f aca="false">-Inputs!$E$38*(1+Inputs!$E$33)^(I$5-1)*1</f>
        <v>-4500</v>
      </c>
      <c r="J41" s="69" t="n">
        <f aca="false">-Inputs!$E$38*(1+Inputs!$E$33)^(J$5-1)*1</f>
        <v>-4500</v>
      </c>
      <c r="K41" s="69" t="n">
        <f aca="false">-Inputs!$E$38*(1+Inputs!$E$33)^(K$5-1)*1</f>
        <v>-4500</v>
      </c>
      <c r="L41" s="69" t="n">
        <f aca="false">-Inputs!$E$38*(1+Inputs!$E$33)^(L$5-1)*1</f>
        <v>-4500</v>
      </c>
      <c r="M41" s="69" t="n">
        <f aca="false">-Inputs!$E$38*(1+Inputs!$E$33)^(M$5-1)*1</f>
        <v>-4500</v>
      </c>
      <c r="N41" s="69" t="n">
        <f aca="false">-Inputs!$E$38*(1+Inputs!$E$33)^(N$5-1)*1</f>
        <v>-4500</v>
      </c>
      <c r="O41" s="69" t="n">
        <f aca="false">-Inputs!$E$38*(1+Inputs!$E$33)^(O$5-1)*1</f>
        <v>-4635</v>
      </c>
      <c r="P41" s="69" t="n">
        <f aca="false">-Inputs!$E$38*(1+Inputs!$E$33)^(P$5-1)*1</f>
        <v>-4635</v>
      </c>
      <c r="Q41" s="69" t="n">
        <f aca="false">-Inputs!$E$38*(1+Inputs!$E$33)^(Q$5-1)*1</f>
        <v>-4635</v>
      </c>
      <c r="R41" s="69" t="n">
        <f aca="false">-Inputs!$E$38*(1+Inputs!$E$33)^(R$5-1)*1</f>
        <v>-4635</v>
      </c>
      <c r="S41" s="69" t="n">
        <f aca="false">-Inputs!$E$38*(1+Inputs!$E$33)^(S$5-1)*1</f>
        <v>-4635</v>
      </c>
      <c r="T41" s="69" t="n">
        <f aca="false">-Inputs!$E$38*(1+Inputs!$E$33)^(T$5-1)*1</f>
        <v>-4635</v>
      </c>
      <c r="U41" s="69" t="n">
        <f aca="false">-Inputs!$E$38*(1+Inputs!$E$33)^(U$5-1)*1</f>
        <v>-4635</v>
      </c>
      <c r="V41" s="69" t="n">
        <f aca="false">-Inputs!$E$38*(1+Inputs!$E$33)^(V$5-1)*1</f>
        <v>-4635</v>
      </c>
      <c r="W41" s="69" t="n">
        <f aca="false">-Inputs!$E$38*(1+Inputs!$E$33)^(W$5-1)*1</f>
        <v>-4635</v>
      </c>
      <c r="X41" s="69" t="n">
        <f aca="false">-Inputs!$E$38*(1+Inputs!$E$33)^(X$5-1)*1</f>
        <v>-4635</v>
      </c>
      <c r="Y41" s="69" t="n">
        <f aca="false">-Inputs!$E$38*(1+Inputs!$E$33)^(Y$5-1)*1</f>
        <v>-4635</v>
      </c>
      <c r="Z41" s="69" t="n">
        <f aca="false">-Inputs!$E$38*(1+Inputs!$E$33)^(Z$5-1)*1</f>
        <v>-4635</v>
      </c>
      <c r="AA41" s="69" t="n">
        <f aca="false">-Inputs!$E$38*(1+Inputs!$E$33)^(AA$5-1)*1</f>
        <v>-4774.05</v>
      </c>
      <c r="AB41" s="69" t="n">
        <f aca="false">-Inputs!$E$38*(1+Inputs!$E$33)^(AB$5-1)*1</f>
        <v>-4774.05</v>
      </c>
      <c r="AC41" s="69" t="n">
        <f aca="false">-Inputs!$E$38*(1+Inputs!$E$33)^(AC$5-1)*1</f>
        <v>-4774.05</v>
      </c>
      <c r="AD41" s="69" t="n">
        <f aca="false">-Inputs!$E$38*(1+Inputs!$E$33)^(AD$5-1)*1</f>
        <v>-4774.05</v>
      </c>
      <c r="AE41" s="69" t="n">
        <f aca="false">-Inputs!$E$38*(1+Inputs!$E$33)^(AE$5-1)*1</f>
        <v>-4774.05</v>
      </c>
      <c r="AF41" s="69" t="n">
        <f aca="false">-Inputs!$E$38*(1+Inputs!$E$33)^(AF$5-1)*1</f>
        <v>-4774.05</v>
      </c>
      <c r="AG41" s="69" t="n">
        <f aca="false">-Inputs!$E$38*(1+Inputs!$E$33)^(AG$5-1)*1</f>
        <v>-4774.05</v>
      </c>
      <c r="AH41" s="69" t="n">
        <f aca="false">-Inputs!$E$38*(1+Inputs!$E$33)^(AH$5-1)*1</f>
        <v>-4774.05</v>
      </c>
      <c r="AI41" s="69" t="n">
        <f aca="false">-Inputs!$E$38*(1+Inputs!$E$33)^(AI$5-1)*1</f>
        <v>-4774.05</v>
      </c>
      <c r="AJ41" s="69" t="n">
        <f aca="false">-Inputs!$E$38*(1+Inputs!$E$33)^(AJ$5-1)*1</f>
        <v>-4774.05</v>
      </c>
      <c r="AK41" s="69" t="n">
        <f aca="false">-Inputs!$E$38*(1+Inputs!$E$33)^(AK$5-1)*1</f>
        <v>-4774.05</v>
      </c>
      <c r="AL41" s="69" t="n">
        <f aca="false">-Inputs!$E$38*(1+Inputs!$E$33)^(AL$5-1)*1</f>
        <v>-4774.05</v>
      </c>
      <c r="AM41" s="69" t="n">
        <f aca="false">-Inputs!$E$38*(1+Inputs!$E$33)^(AM$5-1)*1</f>
        <v>-4917.2715</v>
      </c>
      <c r="AN41" s="69" t="n">
        <f aca="false">-Inputs!$E$38*(1+Inputs!$E$33)^(AN$5-1)*1</f>
        <v>-4917.2715</v>
      </c>
      <c r="AO41" s="69" t="n">
        <f aca="false">-Inputs!$E$38*(1+Inputs!$E$33)^(AO$5-1)*1</f>
        <v>-4917.2715</v>
      </c>
      <c r="AP41" s="69" t="n">
        <f aca="false">-Inputs!$E$38*(1+Inputs!$E$33)^(AP$5-1)*1</f>
        <v>-4917.2715</v>
      </c>
      <c r="AQ41" s="69" t="n">
        <f aca="false">-Inputs!$E$38*(1+Inputs!$E$33)^(AQ$5-1)*1</f>
        <v>-4917.2715</v>
      </c>
      <c r="AR41" s="69" t="n">
        <f aca="false">-Inputs!$E$38*(1+Inputs!$E$33)^(AR$5-1)*1</f>
        <v>-4917.2715</v>
      </c>
      <c r="AS41" s="69" t="n">
        <f aca="false">-Inputs!$E$38*(1+Inputs!$E$33)^(AS$5-1)*1</f>
        <v>-4917.2715</v>
      </c>
      <c r="AT41" s="69" t="n">
        <f aca="false">-Inputs!$E$38*(1+Inputs!$E$33)^(AT$5-1)*1</f>
        <v>-4917.2715</v>
      </c>
      <c r="AU41" s="69" t="n">
        <f aca="false">-Inputs!$E$38*(1+Inputs!$E$33)^(AU$5-1)*1</f>
        <v>-4917.2715</v>
      </c>
      <c r="AV41" s="69" t="n">
        <f aca="false">-Inputs!$E$38*(1+Inputs!$E$33)^(AV$5-1)*1</f>
        <v>-4917.2715</v>
      </c>
      <c r="AW41" s="69" t="n">
        <f aca="false">-Inputs!$E$38*(1+Inputs!$E$33)^(AW$5-1)*1</f>
        <v>-4917.2715</v>
      </c>
      <c r="AX41" s="69" t="n">
        <f aca="false">-Inputs!$E$38*(1+Inputs!$E$33)^(AX$5-1)*1</f>
        <v>-4917.2715</v>
      </c>
      <c r="AY41" s="69" t="n">
        <f aca="false">-Inputs!$E$38*(1+Inputs!$E$33)^(AY$5-1)*1</f>
        <v>-5064.789645</v>
      </c>
      <c r="AZ41" s="69" t="n">
        <f aca="false">-Inputs!$E$38*(1+Inputs!$E$33)^(AZ$5-1)*1</f>
        <v>-5064.789645</v>
      </c>
      <c r="BA41" s="69" t="n">
        <f aca="false">-Inputs!$E$38*(1+Inputs!$E$33)^(BA$5-1)*1</f>
        <v>-5064.789645</v>
      </c>
      <c r="BB41" s="69" t="n">
        <f aca="false">-Inputs!$E$38*(1+Inputs!$E$33)^(BB$5-1)*1</f>
        <v>-5064.789645</v>
      </c>
      <c r="BC41" s="69" t="n">
        <f aca="false">-Inputs!$E$38*(1+Inputs!$E$33)^(BC$5-1)*1</f>
        <v>-5064.789645</v>
      </c>
      <c r="BD41" s="69" t="n">
        <f aca="false">-Inputs!$E$38*(1+Inputs!$E$33)^(BD$5-1)*1</f>
        <v>-5064.789645</v>
      </c>
      <c r="BE41" s="69" t="n">
        <f aca="false">-Inputs!$E$38*(1+Inputs!$E$33)^(BE$5-1)*1</f>
        <v>-5064.789645</v>
      </c>
      <c r="BF41" s="69" t="n">
        <f aca="false">-Inputs!$E$38*(1+Inputs!$E$33)^(BF$5-1)*1</f>
        <v>-5064.789645</v>
      </c>
      <c r="BG41" s="69" t="n">
        <f aca="false">-Inputs!$E$38*(1+Inputs!$E$33)^(BG$5-1)*1</f>
        <v>-5064.789645</v>
      </c>
      <c r="BH41" s="69" t="n">
        <f aca="false">-Inputs!$E$38*(1+Inputs!$E$33)^(BH$5-1)*1</f>
        <v>-5064.789645</v>
      </c>
      <c r="BI41" s="69" t="n">
        <f aca="false">-Inputs!$E$38*(1+Inputs!$E$33)^(BI$5-1)*1</f>
        <v>-5064.789645</v>
      </c>
      <c r="BJ41" s="69" t="n">
        <f aca="false">-Inputs!$E$38*(1+Inputs!$E$33)^(BJ$5-1)*1</f>
        <v>-5064.789645</v>
      </c>
    </row>
    <row r="42" customFormat="false" ht="15" hidden="false" customHeight="false" outlineLevel="0" collapsed="false">
      <c r="A42" s="6" t="s">
        <v>336</v>
      </c>
      <c r="C42" s="69" t="n">
        <f aca="false">-Inputs!$E$39*(1+Inputs!$E$33)^(C$5-1)*1</f>
        <v>-9000</v>
      </c>
      <c r="D42" s="69" t="n">
        <f aca="false">-Inputs!$E$39*(1+Inputs!$E$33)^(D$5-1)*1</f>
        <v>-9000</v>
      </c>
      <c r="E42" s="69" t="n">
        <f aca="false">-Inputs!$E$39*(1+Inputs!$E$33)^(E$5-1)*1</f>
        <v>-9000</v>
      </c>
      <c r="F42" s="69" t="n">
        <f aca="false">-Inputs!$E$39*(1+Inputs!$E$33)^(F$5-1)*1</f>
        <v>-9000</v>
      </c>
      <c r="G42" s="69" t="n">
        <f aca="false">-Inputs!$E$39*(1+Inputs!$E$33)^(G$5-1)*1</f>
        <v>-9000</v>
      </c>
      <c r="H42" s="69" t="n">
        <f aca="false">-Inputs!$E$39*(1+Inputs!$E$33)^(H$5-1)*1</f>
        <v>-9000</v>
      </c>
      <c r="I42" s="69" t="n">
        <f aca="false">-Inputs!$E$39*(1+Inputs!$E$33)^(I$5-1)*1</f>
        <v>-9000</v>
      </c>
      <c r="J42" s="69" t="n">
        <f aca="false">-Inputs!$E$39*(1+Inputs!$E$33)^(J$5-1)*1</f>
        <v>-9000</v>
      </c>
      <c r="K42" s="69" t="n">
        <f aca="false">-Inputs!$E$39*(1+Inputs!$E$33)^(K$5-1)*1</f>
        <v>-9000</v>
      </c>
      <c r="L42" s="69" t="n">
        <f aca="false">-Inputs!$E$39*(1+Inputs!$E$33)^(L$5-1)*1</f>
        <v>-9000</v>
      </c>
      <c r="M42" s="69" t="n">
        <f aca="false">-Inputs!$E$39*(1+Inputs!$E$33)^(M$5-1)*1</f>
        <v>-9000</v>
      </c>
      <c r="N42" s="69" t="n">
        <f aca="false">-Inputs!$E$39*(1+Inputs!$E$33)^(N$5-1)*1</f>
        <v>-9000</v>
      </c>
      <c r="O42" s="69" t="n">
        <f aca="false">-Inputs!$E$39*(1+Inputs!$E$33)^(O$5-1)*1</f>
        <v>-9270</v>
      </c>
      <c r="P42" s="69" t="n">
        <f aca="false">-Inputs!$E$39*(1+Inputs!$E$33)^(P$5-1)*1</f>
        <v>-9270</v>
      </c>
      <c r="Q42" s="69" t="n">
        <f aca="false">-Inputs!$E$39*(1+Inputs!$E$33)^(Q$5-1)*1</f>
        <v>-9270</v>
      </c>
      <c r="R42" s="69" t="n">
        <f aca="false">-Inputs!$E$39*(1+Inputs!$E$33)^(R$5-1)*1</f>
        <v>-9270</v>
      </c>
      <c r="S42" s="69" t="n">
        <f aca="false">-Inputs!$E$39*(1+Inputs!$E$33)^(S$5-1)*1</f>
        <v>-9270</v>
      </c>
      <c r="T42" s="69" t="n">
        <f aca="false">-Inputs!$E$39*(1+Inputs!$E$33)^(T$5-1)*1</f>
        <v>-9270</v>
      </c>
      <c r="U42" s="69" t="n">
        <f aca="false">-Inputs!$E$39*(1+Inputs!$E$33)^(U$5-1)*1</f>
        <v>-9270</v>
      </c>
      <c r="V42" s="69" t="n">
        <f aca="false">-Inputs!$E$39*(1+Inputs!$E$33)^(V$5-1)*1</f>
        <v>-9270</v>
      </c>
      <c r="W42" s="69" t="n">
        <f aca="false">-Inputs!$E$39*(1+Inputs!$E$33)^(W$5-1)*1</f>
        <v>-9270</v>
      </c>
      <c r="X42" s="69" t="n">
        <f aca="false">-Inputs!$E$39*(1+Inputs!$E$33)^(X$5-1)*1</f>
        <v>-9270</v>
      </c>
      <c r="Y42" s="69" t="n">
        <f aca="false">-Inputs!$E$39*(1+Inputs!$E$33)^(Y$5-1)*1</f>
        <v>-9270</v>
      </c>
      <c r="Z42" s="69" t="n">
        <f aca="false">-Inputs!$E$39*(1+Inputs!$E$33)^(Z$5-1)*1</f>
        <v>-9270</v>
      </c>
      <c r="AA42" s="69" t="n">
        <f aca="false">-Inputs!$E$39*(1+Inputs!$E$33)^(AA$5-1)*1</f>
        <v>-9548.1</v>
      </c>
      <c r="AB42" s="69" t="n">
        <f aca="false">-Inputs!$E$39*(1+Inputs!$E$33)^(AB$5-1)*1</f>
        <v>-9548.1</v>
      </c>
      <c r="AC42" s="69" t="n">
        <f aca="false">-Inputs!$E$39*(1+Inputs!$E$33)^(AC$5-1)*1</f>
        <v>-9548.1</v>
      </c>
      <c r="AD42" s="69" t="n">
        <f aca="false">-Inputs!$E$39*(1+Inputs!$E$33)^(AD$5-1)*1</f>
        <v>-9548.1</v>
      </c>
      <c r="AE42" s="69" t="n">
        <f aca="false">-Inputs!$E$39*(1+Inputs!$E$33)^(AE$5-1)*1</f>
        <v>-9548.1</v>
      </c>
      <c r="AF42" s="69" t="n">
        <f aca="false">-Inputs!$E$39*(1+Inputs!$E$33)^(AF$5-1)*1</f>
        <v>-9548.1</v>
      </c>
      <c r="AG42" s="69" t="n">
        <f aca="false">-Inputs!$E$39*(1+Inputs!$E$33)^(AG$5-1)*1</f>
        <v>-9548.1</v>
      </c>
      <c r="AH42" s="69" t="n">
        <f aca="false">-Inputs!$E$39*(1+Inputs!$E$33)^(AH$5-1)*1</f>
        <v>-9548.1</v>
      </c>
      <c r="AI42" s="69" t="n">
        <f aca="false">-Inputs!$E$39*(1+Inputs!$E$33)^(AI$5-1)*1</f>
        <v>-9548.1</v>
      </c>
      <c r="AJ42" s="69" t="n">
        <f aca="false">-Inputs!$E$39*(1+Inputs!$E$33)^(AJ$5-1)*1</f>
        <v>-9548.1</v>
      </c>
      <c r="AK42" s="69" t="n">
        <f aca="false">-Inputs!$E$39*(1+Inputs!$E$33)^(AK$5-1)*1</f>
        <v>-9548.1</v>
      </c>
      <c r="AL42" s="69" t="n">
        <f aca="false">-Inputs!$E$39*(1+Inputs!$E$33)^(AL$5-1)*1</f>
        <v>-9548.1</v>
      </c>
      <c r="AM42" s="69" t="n">
        <f aca="false">-Inputs!$E$39*(1+Inputs!$E$33)^(AM$5-1)*1</f>
        <v>-9834.543</v>
      </c>
      <c r="AN42" s="69" t="n">
        <f aca="false">-Inputs!$E$39*(1+Inputs!$E$33)^(AN$5-1)*1</f>
        <v>-9834.543</v>
      </c>
      <c r="AO42" s="69" t="n">
        <f aca="false">-Inputs!$E$39*(1+Inputs!$E$33)^(AO$5-1)*1</f>
        <v>-9834.543</v>
      </c>
      <c r="AP42" s="69" t="n">
        <f aca="false">-Inputs!$E$39*(1+Inputs!$E$33)^(AP$5-1)*1</f>
        <v>-9834.543</v>
      </c>
      <c r="AQ42" s="69" t="n">
        <f aca="false">-Inputs!$E$39*(1+Inputs!$E$33)^(AQ$5-1)*1</f>
        <v>-9834.543</v>
      </c>
      <c r="AR42" s="69" t="n">
        <f aca="false">-Inputs!$E$39*(1+Inputs!$E$33)^(AR$5-1)*1</f>
        <v>-9834.543</v>
      </c>
      <c r="AS42" s="69" t="n">
        <f aca="false">-Inputs!$E$39*(1+Inputs!$E$33)^(AS$5-1)*1</f>
        <v>-9834.543</v>
      </c>
      <c r="AT42" s="69" t="n">
        <f aca="false">-Inputs!$E$39*(1+Inputs!$E$33)^(AT$5-1)*1</f>
        <v>-9834.543</v>
      </c>
      <c r="AU42" s="69" t="n">
        <f aca="false">-Inputs!$E$39*(1+Inputs!$E$33)^(AU$5-1)*1</f>
        <v>-9834.543</v>
      </c>
      <c r="AV42" s="69" t="n">
        <f aca="false">-Inputs!$E$39*(1+Inputs!$E$33)^(AV$5-1)*1</f>
        <v>-9834.543</v>
      </c>
      <c r="AW42" s="69" t="n">
        <f aca="false">-Inputs!$E$39*(1+Inputs!$E$33)^(AW$5-1)*1</f>
        <v>-9834.543</v>
      </c>
      <c r="AX42" s="69" t="n">
        <f aca="false">-Inputs!$E$39*(1+Inputs!$E$33)^(AX$5-1)*1</f>
        <v>-9834.543</v>
      </c>
      <c r="AY42" s="69" t="n">
        <f aca="false">-Inputs!$E$39*(1+Inputs!$E$33)^(AY$5-1)*1</f>
        <v>-10129.57929</v>
      </c>
      <c r="AZ42" s="69" t="n">
        <f aca="false">-Inputs!$E$39*(1+Inputs!$E$33)^(AZ$5-1)*1</f>
        <v>-10129.57929</v>
      </c>
      <c r="BA42" s="69" t="n">
        <f aca="false">-Inputs!$E$39*(1+Inputs!$E$33)^(BA$5-1)*1</f>
        <v>-10129.57929</v>
      </c>
      <c r="BB42" s="69" t="n">
        <f aca="false">-Inputs!$E$39*(1+Inputs!$E$33)^(BB$5-1)*1</f>
        <v>-10129.57929</v>
      </c>
      <c r="BC42" s="69" t="n">
        <f aca="false">-Inputs!$E$39*(1+Inputs!$E$33)^(BC$5-1)*1</f>
        <v>-10129.57929</v>
      </c>
      <c r="BD42" s="69" t="n">
        <f aca="false">-Inputs!$E$39*(1+Inputs!$E$33)^(BD$5-1)*1</f>
        <v>-10129.57929</v>
      </c>
      <c r="BE42" s="69" t="n">
        <f aca="false">-Inputs!$E$39*(1+Inputs!$E$33)^(BE$5-1)*1</f>
        <v>-10129.57929</v>
      </c>
      <c r="BF42" s="69" t="n">
        <f aca="false">-Inputs!$E$39*(1+Inputs!$E$33)^(BF$5-1)*1</f>
        <v>-10129.57929</v>
      </c>
      <c r="BG42" s="69" t="n">
        <f aca="false">-Inputs!$E$39*(1+Inputs!$E$33)^(BG$5-1)*1</f>
        <v>-10129.57929</v>
      </c>
      <c r="BH42" s="69" t="n">
        <f aca="false">-Inputs!$E$39*(1+Inputs!$E$33)^(BH$5-1)*1</f>
        <v>-10129.57929</v>
      </c>
      <c r="BI42" s="69" t="n">
        <f aca="false">-Inputs!$E$39*(1+Inputs!$E$33)^(BI$5-1)*1</f>
        <v>-10129.57929</v>
      </c>
      <c r="BJ42" s="69" t="n">
        <f aca="false">-Inputs!$E$39*(1+Inputs!$E$33)^(BJ$5-1)*1</f>
        <v>-10129.57929</v>
      </c>
    </row>
    <row r="43" customFormat="false" ht="15" hidden="false" customHeight="false" outlineLevel="0" collapsed="false">
      <c r="A43" s="6" t="s">
        <v>337</v>
      </c>
      <c r="C43" s="69" t="n">
        <f aca="false">-Inputs!$E$40*(1+Inputs!$E$41)^(C$5-1)*1</f>
        <v>-7000</v>
      </c>
      <c r="D43" s="69" t="n">
        <f aca="false">-Inputs!$E$40*(1+Inputs!$E$41)^(D$5-1)*1</f>
        <v>-7000</v>
      </c>
      <c r="E43" s="69" t="n">
        <f aca="false">-Inputs!$E$40*(1+Inputs!$E$41)^(E$5-1)*1</f>
        <v>-7000</v>
      </c>
      <c r="F43" s="69" t="n">
        <f aca="false">-Inputs!$E$40*(1+Inputs!$E$41)^(F$5-1)*1</f>
        <v>-7000</v>
      </c>
      <c r="G43" s="69" t="n">
        <f aca="false">-Inputs!$E$40*(1+Inputs!$E$41)^(G$5-1)*1</f>
        <v>-7000</v>
      </c>
      <c r="H43" s="69" t="n">
        <f aca="false">-Inputs!$E$40*(1+Inputs!$E$41)^(H$5-1)*1</f>
        <v>-7000</v>
      </c>
      <c r="I43" s="69" t="n">
        <f aca="false">-Inputs!$E$40*(1+Inputs!$E$41)^(I$5-1)*1</f>
        <v>-7000</v>
      </c>
      <c r="J43" s="69" t="n">
        <f aca="false">-Inputs!$E$40*(1+Inputs!$E$41)^(J$5-1)*1</f>
        <v>-7000</v>
      </c>
      <c r="K43" s="69" t="n">
        <f aca="false">-Inputs!$E$40*(1+Inputs!$E$41)^(K$5-1)*1</f>
        <v>-7000</v>
      </c>
      <c r="L43" s="69" t="n">
        <f aca="false">-Inputs!$E$40*(1+Inputs!$E$41)^(L$5-1)*1</f>
        <v>-7000</v>
      </c>
      <c r="M43" s="69" t="n">
        <f aca="false">-Inputs!$E$40*(1+Inputs!$E$41)^(M$5-1)*1</f>
        <v>-7000</v>
      </c>
      <c r="N43" s="69" t="n">
        <f aca="false">-Inputs!$E$40*(1+Inputs!$E$41)^(N$5-1)*1</f>
        <v>-7000</v>
      </c>
      <c r="O43" s="69" t="n">
        <f aca="false">-Inputs!$E$40*(1+Inputs!$E$41)^(O$5-1)*1</f>
        <v>-5600</v>
      </c>
      <c r="P43" s="69" t="n">
        <f aca="false">-Inputs!$E$40*(1+Inputs!$E$41)^(P$5-1)*1</f>
        <v>-5600</v>
      </c>
      <c r="Q43" s="69" t="n">
        <f aca="false">-Inputs!$E$40*(1+Inputs!$E$41)^(Q$5-1)*1</f>
        <v>-5600</v>
      </c>
      <c r="R43" s="69" t="n">
        <f aca="false">-Inputs!$E$40*(1+Inputs!$E$41)^(R$5-1)*1</f>
        <v>-5600</v>
      </c>
      <c r="S43" s="69" t="n">
        <f aca="false">-Inputs!$E$40*(1+Inputs!$E$41)^(S$5-1)*1</f>
        <v>-5600</v>
      </c>
      <c r="T43" s="69" t="n">
        <f aca="false">-Inputs!$E$40*(1+Inputs!$E$41)^(T$5-1)*1</f>
        <v>-5600</v>
      </c>
      <c r="U43" s="69" t="n">
        <f aca="false">-Inputs!$E$40*(1+Inputs!$E$41)^(U$5-1)*1</f>
        <v>-5600</v>
      </c>
      <c r="V43" s="69" t="n">
        <f aca="false">-Inputs!$E$40*(1+Inputs!$E$41)^(V$5-1)*1</f>
        <v>-5600</v>
      </c>
      <c r="W43" s="69" t="n">
        <f aca="false">-Inputs!$E$40*(1+Inputs!$E$41)^(W$5-1)*1</f>
        <v>-5600</v>
      </c>
      <c r="X43" s="69" t="n">
        <f aca="false">-Inputs!$E$40*(1+Inputs!$E$41)^(X$5-1)*1</f>
        <v>-5600</v>
      </c>
      <c r="Y43" s="69" t="n">
        <f aca="false">-Inputs!$E$40*(1+Inputs!$E$41)^(Y$5-1)*1</f>
        <v>-5600</v>
      </c>
      <c r="Z43" s="69" t="n">
        <f aca="false">-Inputs!$E$40*(1+Inputs!$E$41)^(Z$5-1)*1</f>
        <v>-5600</v>
      </c>
      <c r="AA43" s="69" t="n">
        <f aca="false">-Inputs!$E$40*(1+Inputs!$E$41)^(AA$5-1)*1</f>
        <v>-4480</v>
      </c>
      <c r="AB43" s="69" t="n">
        <f aca="false">-Inputs!$E$40*(1+Inputs!$E$41)^(AB$5-1)*1</f>
        <v>-4480</v>
      </c>
      <c r="AC43" s="69" t="n">
        <f aca="false">-Inputs!$E$40*(1+Inputs!$E$41)^(AC$5-1)*1</f>
        <v>-4480</v>
      </c>
      <c r="AD43" s="69" t="n">
        <f aca="false">-Inputs!$E$40*(1+Inputs!$E$41)^(AD$5-1)*1</f>
        <v>-4480</v>
      </c>
      <c r="AE43" s="69" t="n">
        <f aca="false">-Inputs!$E$40*(1+Inputs!$E$41)^(AE$5-1)*1</f>
        <v>-4480</v>
      </c>
      <c r="AF43" s="69" t="n">
        <f aca="false">-Inputs!$E$40*(1+Inputs!$E$41)^(AF$5-1)*1</f>
        <v>-4480</v>
      </c>
      <c r="AG43" s="69" t="n">
        <f aca="false">-Inputs!$E$40*(1+Inputs!$E$41)^(AG$5-1)*1</f>
        <v>-4480</v>
      </c>
      <c r="AH43" s="69" t="n">
        <f aca="false">-Inputs!$E$40*(1+Inputs!$E$41)^(AH$5-1)*1</f>
        <v>-4480</v>
      </c>
      <c r="AI43" s="69" t="n">
        <f aca="false">-Inputs!$E$40*(1+Inputs!$E$41)^(AI$5-1)*1</f>
        <v>-4480</v>
      </c>
      <c r="AJ43" s="69" t="n">
        <f aca="false">-Inputs!$E$40*(1+Inputs!$E$41)^(AJ$5-1)*1</f>
        <v>-4480</v>
      </c>
      <c r="AK43" s="69" t="n">
        <f aca="false">-Inputs!$E$40*(1+Inputs!$E$41)^(AK$5-1)*1</f>
        <v>-4480</v>
      </c>
      <c r="AL43" s="69" t="n">
        <f aca="false">-Inputs!$E$40*(1+Inputs!$E$41)^(AL$5-1)*1</f>
        <v>-4480</v>
      </c>
      <c r="AM43" s="69" t="n">
        <f aca="false">-Inputs!$E$40*(1+Inputs!$E$41)^(AM$5-1)*1</f>
        <v>-3584</v>
      </c>
      <c r="AN43" s="69" t="n">
        <f aca="false">-Inputs!$E$40*(1+Inputs!$E$41)^(AN$5-1)*1</f>
        <v>-3584</v>
      </c>
      <c r="AO43" s="69" t="n">
        <f aca="false">-Inputs!$E$40*(1+Inputs!$E$41)^(AO$5-1)*1</f>
        <v>-3584</v>
      </c>
      <c r="AP43" s="69" t="n">
        <f aca="false">-Inputs!$E$40*(1+Inputs!$E$41)^(AP$5-1)*1</f>
        <v>-3584</v>
      </c>
      <c r="AQ43" s="69" t="n">
        <f aca="false">-Inputs!$E$40*(1+Inputs!$E$41)^(AQ$5-1)*1</f>
        <v>-3584</v>
      </c>
      <c r="AR43" s="69" t="n">
        <f aca="false">-Inputs!$E$40*(1+Inputs!$E$41)^(AR$5-1)*1</f>
        <v>-3584</v>
      </c>
      <c r="AS43" s="69" t="n">
        <f aca="false">-Inputs!$E$40*(1+Inputs!$E$41)^(AS$5-1)*1</f>
        <v>-3584</v>
      </c>
      <c r="AT43" s="69" t="n">
        <f aca="false">-Inputs!$E$40*(1+Inputs!$E$41)^(AT$5-1)*1</f>
        <v>-3584</v>
      </c>
      <c r="AU43" s="69" t="n">
        <f aca="false">-Inputs!$E$40*(1+Inputs!$E$41)^(AU$5-1)*1</f>
        <v>-3584</v>
      </c>
      <c r="AV43" s="69" t="n">
        <f aca="false">-Inputs!$E$40*(1+Inputs!$E$41)^(AV$5-1)*1</f>
        <v>-3584</v>
      </c>
      <c r="AW43" s="69" t="n">
        <f aca="false">-Inputs!$E$40*(1+Inputs!$E$41)^(AW$5-1)*1</f>
        <v>-3584</v>
      </c>
      <c r="AX43" s="69" t="n">
        <f aca="false">-Inputs!$E$40*(1+Inputs!$E$41)^(AX$5-1)*1</f>
        <v>-3584</v>
      </c>
      <c r="AY43" s="69" t="n">
        <f aca="false">-Inputs!$E$40*(1+Inputs!$E$41)^(AY$5-1)*1</f>
        <v>-2867.2</v>
      </c>
      <c r="AZ43" s="69" t="n">
        <f aca="false">-Inputs!$E$40*(1+Inputs!$E$41)^(AZ$5-1)*1</f>
        <v>-2867.2</v>
      </c>
      <c r="BA43" s="69" t="n">
        <f aca="false">-Inputs!$E$40*(1+Inputs!$E$41)^(BA$5-1)*1</f>
        <v>-2867.2</v>
      </c>
      <c r="BB43" s="69" t="n">
        <f aca="false">-Inputs!$E$40*(1+Inputs!$E$41)^(BB$5-1)*1</f>
        <v>-2867.2</v>
      </c>
      <c r="BC43" s="69" t="n">
        <f aca="false">-Inputs!$E$40*(1+Inputs!$E$41)^(BC$5-1)*1</f>
        <v>-2867.2</v>
      </c>
      <c r="BD43" s="69" t="n">
        <f aca="false">-Inputs!$E$40*(1+Inputs!$E$41)^(BD$5-1)*1</f>
        <v>-2867.2</v>
      </c>
      <c r="BE43" s="69" t="n">
        <f aca="false">-Inputs!$E$40*(1+Inputs!$E$41)^(BE$5-1)*1</f>
        <v>-2867.2</v>
      </c>
      <c r="BF43" s="69" t="n">
        <f aca="false">-Inputs!$E$40*(1+Inputs!$E$41)^(BF$5-1)*1</f>
        <v>-2867.2</v>
      </c>
      <c r="BG43" s="69" t="n">
        <f aca="false">-Inputs!$E$40*(1+Inputs!$E$41)^(BG$5-1)*1</f>
        <v>-2867.2</v>
      </c>
      <c r="BH43" s="69" t="n">
        <f aca="false">-Inputs!$E$40*(1+Inputs!$E$41)^(BH$5-1)*1</f>
        <v>-2867.2</v>
      </c>
      <c r="BI43" s="69" t="n">
        <f aca="false">-Inputs!$E$40*(1+Inputs!$E$41)^(BI$5-1)*1</f>
        <v>-2867.2</v>
      </c>
      <c r="BJ43" s="69" t="n">
        <f aca="false">-Inputs!$E$40*(1+Inputs!$E$41)^(BJ$5-1)*1</f>
        <v>-2867.2</v>
      </c>
    </row>
    <row r="44" customFormat="false" ht="15" hidden="false" customHeight="false" outlineLevel="0" collapsed="false">
      <c r="A44" s="6" t="s">
        <v>338</v>
      </c>
      <c r="C44" s="69" t="n">
        <f aca="false">-C28*Inputs!$E$32</f>
        <v>-1873.125</v>
      </c>
      <c r="D44" s="69" t="n">
        <f aca="false">-D28*Inputs!$E$32</f>
        <v>-2107.265625</v>
      </c>
      <c r="E44" s="69" t="n">
        <f aca="false">-E28*Inputs!$E$32</f>
        <v>-2341.40625</v>
      </c>
      <c r="F44" s="69" t="n">
        <f aca="false">-F28*Inputs!$E$32</f>
        <v>-2575.546875</v>
      </c>
      <c r="G44" s="69" t="n">
        <f aca="false">-G28*Inputs!$E$32</f>
        <v>-2809.6875</v>
      </c>
      <c r="H44" s="69" t="n">
        <f aca="false">-H28*Inputs!$E$32</f>
        <v>-3043.828125</v>
      </c>
      <c r="I44" s="69" t="n">
        <f aca="false">-I28*Inputs!$E$32</f>
        <v>-3277.96875</v>
      </c>
      <c r="J44" s="69" t="n">
        <f aca="false">-J28*Inputs!$E$32</f>
        <v>-3512.109375</v>
      </c>
      <c r="K44" s="69" t="n">
        <f aca="false">-K28*Inputs!$E$32</f>
        <v>-3746.25</v>
      </c>
      <c r="L44" s="69" t="n">
        <f aca="false">-L28*Inputs!$E$32</f>
        <v>-3980.390625</v>
      </c>
      <c r="M44" s="69" t="n">
        <f aca="false">-M28*Inputs!$E$32</f>
        <v>-4214.53125</v>
      </c>
      <c r="N44" s="69" t="n">
        <f aca="false">-N28*Inputs!$E$32</f>
        <v>-4448.671875</v>
      </c>
      <c r="O44" s="69" t="n">
        <f aca="false">-O28*Inputs!$E$32</f>
        <v>-4967.99578125</v>
      </c>
      <c r="P44" s="69" t="n">
        <f aca="false">-P28*Inputs!$E$32</f>
        <v>-4967.99578125</v>
      </c>
      <c r="Q44" s="69" t="n">
        <f aca="false">-Q28*Inputs!$E$32</f>
        <v>-4967.99578125</v>
      </c>
      <c r="R44" s="69" t="n">
        <f aca="false">-R28*Inputs!$E$32</f>
        <v>-4967.99578125</v>
      </c>
      <c r="S44" s="69" t="n">
        <f aca="false">-S28*Inputs!$E$32</f>
        <v>-4967.99578125</v>
      </c>
      <c r="T44" s="69" t="n">
        <f aca="false">-T28*Inputs!$E$32</f>
        <v>-4967.99578125</v>
      </c>
      <c r="U44" s="69" t="n">
        <f aca="false">-U28*Inputs!$E$32</f>
        <v>-4967.99578125</v>
      </c>
      <c r="V44" s="69" t="n">
        <f aca="false">-V28*Inputs!$E$32</f>
        <v>-4967.99578125</v>
      </c>
      <c r="W44" s="69" t="n">
        <f aca="false">-W28*Inputs!$E$32</f>
        <v>-4967.99578125</v>
      </c>
      <c r="X44" s="69" t="n">
        <f aca="false">-X28*Inputs!$E$32</f>
        <v>-4967.99578125</v>
      </c>
      <c r="Y44" s="69" t="n">
        <f aca="false">-Y28*Inputs!$E$32</f>
        <v>-4967.99578125</v>
      </c>
      <c r="Z44" s="69" t="n">
        <f aca="false">-Z28*Inputs!$E$32</f>
        <v>-4967.99578125</v>
      </c>
      <c r="AA44" s="69" t="n">
        <f aca="false">-AA28*Inputs!$E$32</f>
        <v>-5270.54672432812</v>
      </c>
      <c r="AB44" s="69" t="n">
        <f aca="false">-AB28*Inputs!$E$32</f>
        <v>-5270.54672432812</v>
      </c>
      <c r="AC44" s="69" t="n">
        <f aca="false">-AC28*Inputs!$E$32</f>
        <v>-5270.54672432812</v>
      </c>
      <c r="AD44" s="69" t="n">
        <f aca="false">-AD28*Inputs!$E$32</f>
        <v>-5270.54672432812</v>
      </c>
      <c r="AE44" s="69" t="n">
        <f aca="false">-AE28*Inputs!$E$32</f>
        <v>-5270.54672432812</v>
      </c>
      <c r="AF44" s="69" t="n">
        <f aca="false">-AF28*Inputs!$E$32</f>
        <v>-5270.54672432812</v>
      </c>
      <c r="AG44" s="69" t="n">
        <f aca="false">-AG28*Inputs!$E$32</f>
        <v>-5270.54672432812</v>
      </c>
      <c r="AH44" s="69" t="n">
        <f aca="false">-AH28*Inputs!$E$32</f>
        <v>-5270.54672432812</v>
      </c>
      <c r="AI44" s="69" t="n">
        <f aca="false">-AI28*Inputs!$E$32</f>
        <v>-5270.54672432812</v>
      </c>
      <c r="AJ44" s="69" t="n">
        <f aca="false">-AJ28*Inputs!$E$32</f>
        <v>-5270.54672432812</v>
      </c>
      <c r="AK44" s="69" t="n">
        <f aca="false">-AK28*Inputs!$E$32</f>
        <v>-5270.54672432812</v>
      </c>
      <c r="AL44" s="69" t="n">
        <f aca="false">-AL28*Inputs!$E$32</f>
        <v>-5270.54672432812</v>
      </c>
      <c r="AM44" s="69" t="n">
        <f aca="false">-AM28*Inputs!$E$32</f>
        <v>-5591.52301983971</v>
      </c>
      <c r="AN44" s="69" t="n">
        <f aca="false">-AN28*Inputs!$E$32</f>
        <v>-5591.52301983971</v>
      </c>
      <c r="AO44" s="69" t="n">
        <f aca="false">-AO28*Inputs!$E$32</f>
        <v>-5591.52301983971</v>
      </c>
      <c r="AP44" s="69" t="n">
        <f aca="false">-AP28*Inputs!$E$32</f>
        <v>-5591.52301983971</v>
      </c>
      <c r="AQ44" s="69" t="n">
        <f aca="false">-AQ28*Inputs!$E$32</f>
        <v>-5591.52301983971</v>
      </c>
      <c r="AR44" s="69" t="n">
        <f aca="false">-AR28*Inputs!$E$32</f>
        <v>-5591.52301983971</v>
      </c>
      <c r="AS44" s="69" t="n">
        <f aca="false">-AS28*Inputs!$E$32</f>
        <v>-5591.52301983971</v>
      </c>
      <c r="AT44" s="69" t="n">
        <f aca="false">-AT28*Inputs!$E$32</f>
        <v>-5591.52301983971</v>
      </c>
      <c r="AU44" s="69" t="n">
        <f aca="false">-AU28*Inputs!$E$32</f>
        <v>-5591.52301983971</v>
      </c>
      <c r="AV44" s="69" t="n">
        <f aca="false">-AV28*Inputs!$E$32</f>
        <v>-5591.52301983971</v>
      </c>
      <c r="AW44" s="69" t="n">
        <f aca="false">-AW28*Inputs!$E$32</f>
        <v>-5591.52301983971</v>
      </c>
      <c r="AX44" s="69" t="n">
        <f aca="false">-AX28*Inputs!$E$32</f>
        <v>-5591.52301983971</v>
      </c>
      <c r="AY44" s="69" t="n">
        <f aca="false">-AY28*Inputs!$E$32</f>
        <v>-5932.04677174795</v>
      </c>
      <c r="AZ44" s="69" t="n">
        <f aca="false">-AZ28*Inputs!$E$32</f>
        <v>-5932.04677174795</v>
      </c>
      <c r="BA44" s="69" t="n">
        <f aca="false">-BA28*Inputs!$E$32</f>
        <v>-5932.04677174795</v>
      </c>
      <c r="BB44" s="69" t="n">
        <f aca="false">-BB28*Inputs!$E$32</f>
        <v>-5932.04677174795</v>
      </c>
      <c r="BC44" s="69" t="n">
        <f aca="false">-BC28*Inputs!$E$32</f>
        <v>-5932.04677174795</v>
      </c>
      <c r="BD44" s="69" t="n">
        <f aca="false">-BD28*Inputs!$E$32</f>
        <v>-5932.04677174795</v>
      </c>
      <c r="BE44" s="69" t="n">
        <f aca="false">-BE28*Inputs!$E$32</f>
        <v>-5932.04677174795</v>
      </c>
      <c r="BF44" s="69" t="n">
        <f aca="false">-BF28*Inputs!$E$32</f>
        <v>-5932.04677174795</v>
      </c>
      <c r="BG44" s="69" t="n">
        <f aca="false">-BG28*Inputs!$E$32</f>
        <v>-5932.04677174795</v>
      </c>
      <c r="BH44" s="69" t="n">
        <f aca="false">-BH28*Inputs!$E$32</f>
        <v>-5932.04677174795</v>
      </c>
      <c r="BI44" s="69" t="n">
        <f aca="false">-BI28*Inputs!$E$32</f>
        <v>-5932.04677174795</v>
      </c>
      <c r="BJ44" s="69" t="n">
        <f aca="false">-BJ28*Inputs!$E$32</f>
        <v>-5932.04677174795</v>
      </c>
    </row>
    <row r="45" customFormat="false" ht="15" hidden="false" customHeight="false" outlineLevel="0" collapsed="false">
      <c r="A45" s="115" t="s">
        <v>77</v>
      </c>
      <c r="C45" s="70" t="n">
        <f aca="false">C39+C40+C41+C42+C43+C44</f>
        <v>-58102.2916666667</v>
      </c>
      <c r="D45" s="70" t="n">
        <f aca="false">D39+D40+D41+D42+D43+D44</f>
        <v>-58336.4322916667</v>
      </c>
      <c r="E45" s="70" t="n">
        <f aca="false">E39+E40+E41+E42+E43+E44</f>
        <v>-58570.5729166667</v>
      </c>
      <c r="F45" s="70" t="n">
        <f aca="false">F39+F40+F41+F42+F43+F44</f>
        <v>-58804.7135416667</v>
      </c>
      <c r="G45" s="70" t="n">
        <f aca="false">G39+G40+G41+G42+G43+G44</f>
        <v>-59038.8541666667</v>
      </c>
      <c r="H45" s="70" t="n">
        <f aca="false">H39+H40+H41+H42+H43+H44</f>
        <v>-59272.9947916667</v>
      </c>
      <c r="I45" s="70" t="n">
        <f aca="false">I39+I40+I41+I42+I43+I44</f>
        <v>-59507.1354166667</v>
      </c>
      <c r="J45" s="70" t="n">
        <f aca="false">J39+J40+J41+J42+J43+J44</f>
        <v>-59741.2760416667</v>
      </c>
      <c r="K45" s="70" t="n">
        <f aca="false">K39+K40+K41+K42+K43+K44</f>
        <v>-59975.4166666667</v>
      </c>
      <c r="L45" s="70" t="n">
        <f aca="false">L39+L40+L41+L42+L43+L44</f>
        <v>-60209.5572916667</v>
      </c>
      <c r="M45" s="70" t="n">
        <f aca="false">M39+M40+M41+M42+M43+M44</f>
        <v>-60443.6979166667</v>
      </c>
      <c r="N45" s="70" t="n">
        <f aca="false">N39+N40+N41+N42+N43+N44</f>
        <v>-60677.8385416667</v>
      </c>
      <c r="O45" s="70" t="n">
        <f aca="false">O39+O40+O41+O42+O43+O44</f>
        <v>-61274.0374479167</v>
      </c>
      <c r="P45" s="70" t="n">
        <f aca="false">P39+P40+P41+P42+P43+P44</f>
        <v>-61274.0374479167</v>
      </c>
      <c r="Q45" s="70" t="n">
        <f aca="false">Q39+Q40+Q41+Q42+Q43+Q44</f>
        <v>-61274.0374479167</v>
      </c>
      <c r="R45" s="70" t="n">
        <f aca="false">R39+R40+R41+R42+R43+R44</f>
        <v>-61274.0374479167</v>
      </c>
      <c r="S45" s="70" t="n">
        <f aca="false">S39+S40+S41+S42+S43+S44</f>
        <v>-61274.0374479167</v>
      </c>
      <c r="T45" s="70" t="n">
        <f aca="false">T39+T40+T41+T42+T43+T44</f>
        <v>-61274.0374479167</v>
      </c>
      <c r="U45" s="70" t="n">
        <f aca="false">U39+U40+U41+U42+U43+U44</f>
        <v>-61274.0374479167</v>
      </c>
      <c r="V45" s="70" t="n">
        <f aca="false">V39+V40+V41+V42+V43+V44</f>
        <v>-61274.0374479167</v>
      </c>
      <c r="W45" s="70" t="n">
        <f aca="false">W39+W40+W41+W42+W43+W44</f>
        <v>-61274.0374479167</v>
      </c>
      <c r="X45" s="70" t="n">
        <f aca="false">X39+X40+X41+X42+X43+X44</f>
        <v>-61274.0374479167</v>
      </c>
      <c r="Y45" s="70" t="n">
        <f aca="false">Y39+Y40+Y41+Y42+Y43+Y44</f>
        <v>-61274.0374479167</v>
      </c>
      <c r="Z45" s="70" t="n">
        <f aca="false">Z39+Z40+Z41+Z42+Z43+Z44</f>
        <v>-61274.0374479167</v>
      </c>
      <c r="AA45" s="70" t="n">
        <f aca="false">AA39+AA40+AA41+AA42+AA43+AA44</f>
        <v>-61977.7696409948</v>
      </c>
      <c r="AB45" s="70" t="n">
        <f aca="false">AB39+AB40+AB41+AB42+AB43+AB44</f>
        <v>-61977.7696409948</v>
      </c>
      <c r="AC45" s="70" t="n">
        <f aca="false">AC39+AC40+AC41+AC42+AC43+AC44</f>
        <v>-61977.7696409948</v>
      </c>
      <c r="AD45" s="70" t="n">
        <f aca="false">AD39+AD40+AD41+AD42+AD43+AD44</f>
        <v>-61977.7696409948</v>
      </c>
      <c r="AE45" s="70" t="n">
        <f aca="false">AE39+AE40+AE41+AE42+AE43+AE44</f>
        <v>-61977.7696409948</v>
      </c>
      <c r="AF45" s="70" t="n">
        <f aca="false">AF39+AF40+AF41+AF42+AF43+AF44</f>
        <v>-61977.7696409948</v>
      </c>
      <c r="AG45" s="70" t="n">
        <f aca="false">AG39+AG40+AG41+AG42+AG43+AG44</f>
        <v>-61977.7696409948</v>
      </c>
      <c r="AH45" s="70" t="n">
        <f aca="false">AH39+AH40+AH41+AH42+AH43+AH44</f>
        <v>-61977.7696409948</v>
      </c>
      <c r="AI45" s="70" t="n">
        <f aca="false">AI39+AI40+AI41+AI42+AI43+AI44</f>
        <v>-61977.7696409948</v>
      </c>
      <c r="AJ45" s="70" t="n">
        <f aca="false">AJ39+AJ40+AJ41+AJ42+AJ43+AJ44</f>
        <v>-61977.7696409948</v>
      </c>
      <c r="AK45" s="70" t="n">
        <f aca="false">AK39+AK40+AK41+AK42+AK43+AK44</f>
        <v>-61977.7696409948</v>
      </c>
      <c r="AL45" s="70" t="n">
        <f aca="false">AL39+AL40+AL41+AL42+AL43+AL44</f>
        <v>-61977.7696409948</v>
      </c>
      <c r="AM45" s="70" t="n">
        <f aca="false">AM39+AM40+AM41+AM42+AM43+AM44</f>
        <v>-62969.5626240064</v>
      </c>
      <c r="AN45" s="70" t="n">
        <f aca="false">AN39+AN40+AN41+AN42+AN43+AN44</f>
        <v>-62969.5626240064</v>
      </c>
      <c r="AO45" s="70" t="n">
        <f aca="false">AO39+AO40+AO41+AO42+AO43+AO44</f>
        <v>-62969.5626240064</v>
      </c>
      <c r="AP45" s="70" t="n">
        <f aca="false">AP39+AP40+AP41+AP42+AP43+AP44</f>
        <v>-62969.5626240064</v>
      </c>
      <c r="AQ45" s="70" t="n">
        <f aca="false">AQ39+AQ40+AQ41+AQ42+AQ43+AQ44</f>
        <v>-62969.5626240064</v>
      </c>
      <c r="AR45" s="70" t="n">
        <f aca="false">AR39+AR40+AR41+AR42+AR43+AR44</f>
        <v>-62969.5626240064</v>
      </c>
      <c r="AS45" s="70" t="n">
        <f aca="false">AS39+AS40+AS41+AS42+AS43+AS44</f>
        <v>-62969.5626240064</v>
      </c>
      <c r="AT45" s="70" t="n">
        <f aca="false">AT39+AT40+AT41+AT42+AT43+AT44</f>
        <v>-62969.5626240064</v>
      </c>
      <c r="AU45" s="70" t="n">
        <f aca="false">AU39+AU40+AU41+AU42+AU43+AU44</f>
        <v>-62969.5626240064</v>
      </c>
      <c r="AV45" s="70" t="n">
        <f aca="false">AV39+AV40+AV41+AV42+AV43+AV44</f>
        <v>-62969.5626240064</v>
      </c>
      <c r="AW45" s="70" t="n">
        <f aca="false">AW39+AW40+AW41+AW42+AW43+AW44</f>
        <v>-62969.5626240064</v>
      </c>
      <c r="AX45" s="70" t="n">
        <f aca="false">AX39+AX40+AX41+AX42+AX43+AX44</f>
        <v>-62969.5626240064</v>
      </c>
      <c r="AY45" s="70" t="n">
        <f aca="false">AY39+AY40+AY41+AY42+AY43+AY44</f>
        <v>-64207.1075640396</v>
      </c>
      <c r="AZ45" s="70" t="n">
        <f aca="false">AZ39+AZ40+AZ41+AZ42+AZ43+AZ44</f>
        <v>-64207.1075640396</v>
      </c>
      <c r="BA45" s="70" t="n">
        <f aca="false">BA39+BA40+BA41+BA42+BA43+BA44</f>
        <v>-64207.1075640396</v>
      </c>
      <c r="BB45" s="70" t="n">
        <f aca="false">BB39+BB40+BB41+BB42+BB43+BB44</f>
        <v>-64207.1075640396</v>
      </c>
      <c r="BC45" s="70" t="n">
        <f aca="false">BC39+BC40+BC41+BC42+BC43+BC44</f>
        <v>-64207.1075640396</v>
      </c>
      <c r="BD45" s="70" t="n">
        <f aca="false">BD39+BD40+BD41+BD42+BD43+BD44</f>
        <v>-64207.1075640396</v>
      </c>
      <c r="BE45" s="70" t="n">
        <f aca="false">BE39+BE40+BE41+BE42+BE43+BE44</f>
        <v>-64207.1075640396</v>
      </c>
      <c r="BF45" s="70" t="n">
        <f aca="false">BF39+BF40+BF41+BF42+BF43+BF44</f>
        <v>-64207.1075640396</v>
      </c>
      <c r="BG45" s="70" t="n">
        <f aca="false">BG39+BG40+BG41+BG42+BG43+BG44</f>
        <v>-64207.1075640396</v>
      </c>
      <c r="BH45" s="70" t="n">
        <f aca="false">BH39+BH40+BH41+BH42+BH43+BH44</f>
        <v>-64207.1075640396</v>
      </c>
      <c r="BI45" s="70" t="n">
        <f aca="false">BI39+BI40+BI41+BI42+BI43+BI44</f>
        <v>-64207.1075640396</v>
      </c>
      <c r="BJ45" s="70" t="n">
        <f aca="false">BJ39+BJ40+BJ41+BJ42+BJ43+BJ44</f>
        <v>-64207.1075640396</v>
      </c>
    </row>
    <row r="46" customFormat="false" ht="15" hidden="false" customHeight="false" outlineLevel="0" collapsed="false">
      <c r="A46" s="115" t="s">
        <v>48</v>
      </c>
      <c r="C46" s="70" t="n">
        <f aca="false">C36+C45</f>
        <v>-49543.5416666667</v>
      </c>
      <c r="D46" s="70" t="n">
        <f aca="false">D36+D45</f>
        <v>-44035.9635416667</v>
      </c>
      <c r="E46" s="70" t="n">
        <f aca="false">E36+E45</f>
        <v>-38528.3854166667</v>
      </c>
      <c r="F46" s="70" t="n">
        <f aca="false">F36+F45</f>
        <v>-33020.8072916667</v>
      </c>
      <c r="G46" s="70" t="n">
        <f aca="false">G36+G45</f>
        <v>-27513.2291666667</v>
      </c>
      <c r="H46" s="70" t="n">
        <f aca="false">H36+H45</f>
        <v>-22005.6510416667</v>
      </c>
      <c r="I46" s="70" t="n">
        <f aca="false">I36+I45</f>
        <v>-16498.0729166667</v>
      </c>
      <c r="J46" s="70" t="n">
        <f aca="false">J36+J45</f>
        <v>-10990.4947916667</v>
      </c>
      <c r="K46" s="70" t="n">
        <f aca="false">K36+K45</f>
        <v>-5482.91666666667</v>
      </c>
      <c r="L46" s="70" t="n">
        <f aca="false">L36+L45</f>
        <v>24.661458333343</v>
      </c>
      <c r="M46" s="70" t="n">
        <f aca="false">M36+M45</f>
        <v>5532.2395833333</v>
      </c>
      <c r="N46" s="70" t="n">
        <f aca="false">N36+N45</f>
        <v>11039.8177083333</v>
      </c>
      <c r="O46" s="70" t="n">
        <f aca="false">O36+O45</f>
        <v>22057.5009895833</v>
      </c>
      <c r="P46" s="70" t="n">
        <f aca="false">P36+P45</f>
        <v>22057.5009895833</v>
      </c>
      <c r="Q46" s="70" t="n">
        <f aca="false">Q36+Q45</f>
        <v>22057.5009895833</v>
      </c>
      <c r="R46" s="70" t="n">
        <f aca="false">R36+R45</f>
        <v>22057.5009895833</v>
      </c>
      <c r="S46" s="70" t="n">
        <f aca="false">S36+S45</f>
        <v>22057.5009895833</v>
      </c>
      <c r="T46" s="70" t="n">
        <f aca="false">T36+T45</f>
        <v>22057.5009895833</v>
      </c>
      <c r="U46" s="70" t="n">
        <f aca="false">U36+U45</f>
        <v>22057.5009895833</v>
      </c>
      <c r="V46" s="70" t="n">
        <f aca="false">V36+V45</f>
        <v>22057.5009895833</v>
      </c>
      <c r="W46" s="70" t="n">
        <f aca="false">W36+W45</f>
        <v>22057.5009895833</v>
      </c>
      <c r="X46" s="70" t="n">
        <f aca="false">X36+X45</f>
        <v>22057.5009895833</v>
      </c>
      <c r="Y46" s="70" t="n">
        <f aca="false">Y36+Y45</f>
        <v>22057.5009895833</v>
      </c>
      <c r="Z46" s="70" t="n">
        <f aca="false">Z36+Z45</f>
        <v>22057.5009895833</v>
      </c>
      <c r="AA46" s="70" t="n">
        <f aca="false">AA36+AA45</f>
        <v>27618.1936123489</v>
      </c>
      <c r="AB46" s="70" t="n">
        <f aca="false">AB36+AB45</f>
        <v>27618.1936123489</v>
      </c>
      <c r="AC46" s="70" t="n">
        <f aca="false">AC36+AC45</f>
        <v>27618.1936123489</v>
      </c>
      <c r="AD46" s="70" t="n">
        <f aca="false">AD36+AD45</f>
        <v>27618.1936123489</v>
      </c>
      <c r="AE46" s="70" t="n">
        <f aca="false">AE36+AE45</f>
        <v>27618.1936123489</v>
      </c>
      <c r="AF46" s="70" t="n">
        <f aca="false">AF36+AF45</f>
        <v>27618.1936123489</v>
      </c>
      <c r="AG46" s="70" t="n">
        <f aca="false">AG36+AG45</f>
        <v>27618.1936123489</v>
      </c>
      <c r="AH46" s="70" t="n">
        <f aca="false">AH36+AH45</f>
        <v>27618.1936123489</v>
      </c>
      <c r="AI46" s="70" t="n">
        <f aca="false">AI36+AI45</f>
        <v>27618.1936123489</v>
      </c>
      <c r="AJ46" s="70" t="n">
        <f aca="false">AJ36+AJ45</f>
        <v>27618.1936123489</v>
      </c>
      <c r="AK46" s="70" t="n">
        <f aca="false">AK36+AK45</f>
        <v>27618.1936123489</v>
      </c>
      <c r="AL46" s="70" t="n">
        <f aca="false">AL36+AL45</f>
        <v>27618.1936123489</v>
      </c>
      <c r="AM46" s="70" t="n">
        <f aca="false">AM36+AM45</f>
        <v>33308.014940216</v>
      </c>
      <c r="AN46" s="70" t="n">
        <f aca="false">AN36+AN45</f>
        <v>33308.014940216</v>
      </c>
      <c r="AO46" s="70" t="n">
        <f aca="false">AO36+AO45</f>
        <v>33308.014940216</v>
      </c>
      <c r="AP46" s="70" t="n">
        <f aca="false">AP36+AP45</f>
        <v>33308.014940216</v>
      </c>
      <c r="AQ46" s="70" t="n">
        <f aca="false">AQ36+AQ45</f>
        <v>33308.014940216</v>
      </c>
      <c r="AR46" s="70" t="n">
        <f aca="false">AR36+AR45</f>
        <v>33308.014940216</v>
      </c>
      <c r="AS46" s="70" t="n">
        <f aca="false">AS36+AS45</f>
        <v>33308.014940216</v>
      </c>
      <c r="AT46" s="70" t="n">
        <f aca="false">AT36+AT45</f>
        <v>33308.014940216</v>
      </c>
      <c r="AU46" s="70" t="n">
        <f aca="false">AU36+AU45</f>
        <v>33308.014940216</v>
      </c>
      <c r="AV46" s="70" t="n">
        <f aca="false">AV36+AV45</f>
        <v>33308.014940216</v>
      </c>
      <c r="AW46" s="70" t="n">
        <f aca="false">AW36+AW45</f>
        <v>33308.014940216</v>
      </c>
      <c r="AX46" s="70" t="n">
        <f aca="false">AX36+AX45</f>
        <v>33308.014940216</v>
      </c>
      <c r="AY46" s="70" t="n">
        <f aca="false">AY36+AY45</f>
        <v>39195.7512270564</v>
      </c>
      <c r="AZ46" s="70" t="n">
        <f aca="false">AZ36+AZ45</f>
        <v>39195.7512270564</v>
      </c>
      <c r="BA46" s="70" t="n">
        <f aca="false">BA36+BA45</f>
        <v>39195.7512270564</v>
      </c>
      <c r="BB46" s="70" t="n">
        <f aca="false">BB36+BB45</f>
        <v>39195.7512270564</v>
      </c>
      <c r="BC46" s="70" t="n">
        <f aca="false">BC36+BC45</f>
        <v>39195.7512270564</v>
      </c>
      <c r="BD46" s="70" t="n">
        <f aca="false">BD36+BD45</f>
        <v>39195.7512270564</v>
      </c>
      <c r="BE46" s="70" t="n">
        <f aca="false">BE36+BE45</f>
        <v>39195.7512270564</v>
      </c>
      <c r="BF46" s="70" t="n">
        <f aca="false">BF36+BF45</f>
        <v>39195.7512270564</v>
      </c>
      <c r="BG46" s="70" t="n">
        <f aca="false">BG36+BG45</f>
        <v>39195.7512270564</v>
      </c>
      <c r="BH46" s="70" t="n">
        <f aca="false">BH36+BH45</f>
        <v>39195.7512270564</v>
      </c>
      <c r="BI46" s="70" t="n">
        <f aca="false">BI36+BI45</f>
        <v>39195.7512270564</v>
      </c>
      <c r="BJ46" s="70" t="n">
        <f aca="false">BJ36+BJ45</f>
        <v>39195.7512270564</v>
      </c>
    </row>
    <row r="48" customFormat="false" ht="15.75" hidden="false" customHeight="true" outlineLevel="0" collapsed="false">
      <c r="A48" s="7" t="s">
        <v>425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customFormat="false" ht="15" hidden="false" customHeight="false" outlineLevel="0" collapsed="false">
      <c r="A49" s="4" t="s">
        <v>79</v>
      </c>
      <c r="C49" s="75" t="n">
        <f aca="false">C46+C66</f>
        <v>-53522.7083333334</v>
      </c>
      <c r="D49" s="75" t="n">
        <f aca="false">D46+D66</f>
        <v>-48015.1302083334</v>
      </c>
      <c r="E49" s="75" t="n">
        <f aca="false">E46+E66</f>
        <v>-42507.5520833333</v>
      </c>
      <c r="F49" s="75" t="n">
        <f aca="false">F46+F66</f>
        <v>-36999.9739583333</v>
      </c>
      <c r="G49" s="75" t="n">
        <f aca="false">G46+G66</f>
        <v>-31492.3958333333</v>
      </c>
      <c r="H49" s="75" t="n">
        <f aca="false">H46+H66</f>
        <v>-25984.8177083334</v>
      </c>
      <c r="I49" s="75" t="n">
        <f aca="false">I46+I66</f>
        <v>-20477.2395833334</v>
      </c>
      <c r="J49" s="75" t="n">
        <f aca="false">J46+J66</f>
        <v>-14969.6614583333</v>
      </c>
      <c r="K49" s="75" t="n">
        <f aca="false">K46+K66</f>
        <v>-9462.08333333334</v>
      </c>
      <c r="L49" s="75" t="n">
        <f aca="false">L46+L66</f>
        <v>-3954.50520833332</v>
      </c>
      <c r="M49" s="75" t="n">
        <f aca="false">M46+M66</f>
        <v>1553.07291666663</v>
      </c>
      <c r="N49" s="75" t="n">
        <f aca="false">N46+N66</f>
        <v>7060.65104166666</v>
      </c>
      <c r="O49" s="75" t="n">
        <f aca="false">O46+O66</f>
        <v>17870.0009895833</v>
      </c>
      <c r="P49" s="75" t="n">
        <f aca="false">P46+P66</f>
        <v>17870.0009895833</v>
      </c>
      <c r="Q49" s="75" t="n">
        <f aca="false">Q46+Q66</f>
        <v>17870.0009895833</v>
      </c>
      <c r="R49" s="75" t="n">
        <f aca="false">R46+R66</f>
        <v>17870.0009895833</v>
      </c>
      <c r="S49" s="75" t="n">
        <f aca="false">S46+S66</f>
        <v>17870.0009895833</v>
      </c>
      <c r="T49" s="75" t="n">
        <f aca="false">T46+T66</f>
        <v>17870.0009895833</v>
      </c>
      <c r="U49" s="75" t="n">
        <f aca="false">U46+U66</f>
        <v>17870.0009895833</v>
      </c>
      <c r="V49" s="75" t="n">
        <f aca="false">V46+V66</f>
        <v>17870.0009895833</v>
      </c>
      <c r="W49" s="75" t="n">
        <f aca="false">W46+W66</f>
        <v>17870.0009895833</v>
      </c>
      <c r="X49" s="75" t="n">
        <f aca="false">X46+X66</f>
        <v>17870.0009895833</v>
      </c>
      <c r="Y49" s="75" t="n">
        <f aca="false">Y46+Y66</f>
        <v>17870.0009895833</v>
      </c>
      <c r="Z49" s="75" t="n">
        <f aca="false">Z46+Z66</f>
        <v>17870.0009895833</v>
      </c>
      <c r="AA49" s="75" t="n">
        <f aca="false">AA46+AA66</f>
        <v>23222.3602790156</v>
      </c>
      <c r="AB49" s="75" t="n">
        <f aca="false">AB46+AB66</f>
        <v>23222.3602790156</v>
      </c>
      <c r="AC49" s="75" t="n">
        <f aca="false">AC46+AC66</f>
        <v>23222.3602790156</v>
      </c>
      <c r="AD49" s="75" t="n">
        <f aca="false">AD46+AD66</f>
        <v>23222.3602790156</v>
      </c>
      <c r="AE49" s="75" t="n">
        <f aca="false">AE46+AE66</f>
        <v>23222.3602790156</v>
      </c>
      <c r="AF49" s="75" t="n">
        <f aca="false">AF46+AF66</f>
        <v>23222.3602790156</v>
      </c>
      <c r="AG49" s="75" t="n">
        <f aca="false">AG46+AG66</f>
        <v>23222.3602790156</v>
      </c>
      <c r="AH49" s="75" t="n">
        <f aca="false">AH46+AH66</f>
        <v>23222.3602790156</v>
      </c>
      <c r="AI49" s="75" t="n">
        <f aca="false">AI46+AI66</f>
        <v>23222.3602790156</v>
      </c>
      <c r="AJ49" s="75" t="n">
        <f aca="false">AJ46+AJ66</f>
        <v>23222.3602790156</v>
      </c>
      <c r="AK49" s="75" t="n">
        <f aca="false">AK46+AK66</f>
        <v>23222.3602790156</v>
      </c>
      <c r="AL49" s="75" t="n">
        <f aca="false">AL46+AL66</f>
        <v>23222.3602790156</v>
      </c>
      <c r="AM49" s="75" t="n">
        <f aca="false">AM46+AM66</f>
        <v>28703.8482735494</v>
      </c>
      <c r="AN49" s="75" t="n">
        <f aca="false">AN46+AN66</f>
        <v>28703.8482735494</v>
      </c>
      <c r="AO49" s="75" t="n">
        <f aca="false">AO46+AO66</f>
        <v>28703.8482735494</v>
      </c>
      <c r="AP49" s="75" t="n">
        <f aca="false">AP46+AP66</f>
        <v>28703.8482735494</v>
      </c>
      <c r="AQ49" s="75" t="n">
        <f aca="false">AQ46+AQ66</f>
        <v>28703.8482735494</v>
      </c>
      <c r="AR49" s="75" t="n">
        <f aca="false">AR46+AR66</f>
        <v>28703.8482735494</v>
      </c>
      <c r="AS49" s="75" t="n">
        <f aca="false">AS46+AS66</f>
        <v>28703.8482735494</v>
      </c>
      <c r="AT49" s="75" t="n">
        <f aca="false">AT46+AT66</f>
        <v>28703.8482735494</v>
      </c>
      <c r="AU49" s="75" t="n">
        <f aca="false">AU46+AU66</f>
        <v>28703.8482735494</v>
      </c>
      <c r="AV49" s="75" t="n">
        <f aca="false">AV46+AV66</f>
        <v>28703.8482735494</v>
      </c>
      <c r="AW49" s="75" t="n">
        <f aca="false">AW46+AW66</f>
        <v>28703.8482735494</v>
      </c>
      <c r="AX49" s="75" t="n">
        <f aca="false">AX46+AX66</f>
        <v>28703.8482735494</v>
      </c>
      <c r="AY49" s="75" t="n">
        <f aca="false">AY46+AY66</f>
        <v>34383.2512270564</v>
      </c>
      <c r="AZ49" s="75" t="n">
        <f aca="false">AZ46+AZ66</f>
        <v>34383.2512270564</v>
      </c>
      <c r="BA49" s="75" t="n">
        <f aca="false">BA46+BA66</f>
        <v>34383.2512270564</v>
      </c>
      <c r="BB49" s="75" t="n">
        <f aca="false">BB46+BB66</f>
        <v>34383.2512270564</v>
      </c>
      <c r="BC49" s="75" t="n">
        <f aca="false">BC46+BC66</f>
        <v>34383.2512270564</v>
      </c>
      <c r="BD49" s="75" t="n">
        <f aca="false">BD46+BD66</f>
        <v>34383.2512270564</v>
      </c>
      <c r="BE49" s="75" t="n">
        <f aca="false">BE46+BE66</f>
        <v>34383.2512270564</v>
      </c>
      <c r="BF49" s="75" t="n">
        <f aca="false">BF46+BF66</f>
        <v>34383.2512270564</v>
      </c>
      <c r="BG49" s="75" t="n">
        <f aca="false">BG46+BG66</f>
        <v>34383.2512270564</v>
      </c>
      <c r="BH49" s="75" t="n">
        <f aca="false">BH46+BH66</f>
        <v>34383.2512270564</v>
      </c>
      <c r="BI49" s="75" t="n">
        <f aca="false">BI46+BI66</f>
        <v>34383.2512270564</v>
      </c>
      <c r="BJ49" s="75" t="n">
        <f aca="false">BJ46+BJ66</f>
        <v>34383.2512270564</v>
      </c>
    </row>
    <row r="50" customFormat="false" ht="15" hidden="false" customHeight="false" outlineLevel="0" collapsed="false">
      <c r="A50" s="6" t="s">
        <v>426</v>
      </c>
      <c r="C50" s="69" t="n">
        <f aca="false">-(C71+C72+C74)/2*Inputs!$E$69/12</f>
        <v>-1875</v>
      </c>
      <c r="D50" s="69" t="n">
        <f aca="false">-(D71+D72+D74)/2*Inputs!$E$69/12</f>
        <v>-1863.83928571429</v>
      </c>
      <c r="E50" s="69" t="n">
        <f aca="false">-(E71+E72+E74)/2*Inputs!$E$69/12</f>
        <v>-1841.51785714286</v>
      </c>
      <c r="F50" s="69" t="n">
        <f aca="false">-(F71+F72+F74)/2*Inputs!$E$69/12</f>
        <v>-1819.19642857143</v>
      </c>
      <c r="G50" s="69" t="n">
        <f aca="false">-(G71+G72+G74)/2*Inputs!$E$69/12</f>
        <v>-1796.875</v>
      </c>
      <c r="H50" s="69" t="n">
        <f aca="false">-(H71+H72+H74)/2*Inputs!$E$69/12</f>
        <v>-1774.55357142857</v>
      </c>
      <c r="I50" s="69" t="n">
        <f aca="false">-(I71+I72+I74)/2*Inputs!$E$69/12</f>
        <v>-1752.23214285714</v>
      </c>
      <c r="J50" s="69" t="n">
        <f aca="false">-(J71+J72+J74)/2*Inputs!$E$69/12</f>
        <v>-1729.91071428571</v>
      </c>
      <c r="K50" s="69" t="n">
        <f aca="false">-(K71+K72+K74)/2*Inputs!$E$69/12</f>
        <v>-1707.58928571429</v>
      </c>
      <c r="L50" s="69" t="n">
        <f aca="false">-(L71+L72+L74)/2*Inputs!$E$69/12</f>
        <v>-1685.26785714286</v>
      </c>
      <c r="M50" s="69" t="n">
        <f aca="false">-(M71+M72+M74)/2*Inputs!$E$69/12</f>
        <v>-1662.94642857143</v>
      </c>
      <c r="N50" s="69" t="n">
        <f aca="false">-(N71+N72+N74)/2*Inputs!$E$69/12</f>
        <v>-1640.625</v>
      </c>
      <c r="O50" s="69" t="n">
        <f aca="false">-(O71+O72+O74)/2*Inputs!$E$69/12</f>
        <v>-1618.30357142857</v>
      </c>
      <c r="P50" s="69" t="n">
        <f aca="false">-(P71+P72+P74)/2*Inputs!$E$69/12</f>
        <v>-1595.98214285714</v>
      </c>
      <c r="Q50" s="69" t="n">
        <f aca="false">-(Q71+Q72+Q74)/2*Inputs!$E$69/12</f>
        <v>-1573.66071428571</v>
      </c>
      <c r="R50" s="69" t="n">
        <f aca="false">-(R71+R72+R74)/2*Inputs!$E$69/12</f>
        <v>-1551.33928571429</v>
      </c>
      <c r="S50" s="69" t="n">
        <f aca="false">-(S71+S72+S74)/2*Inputs!$E$69/12</f>
        <v>-1529.01785714286</v>
      </c>
      <c r="T50" s="69" t="n">
        <f aca="false">-(T71+T72+T74)/2*Inputs!$E$69/12</f>
        <v>-1506.69642857143</v>
      </c>
      <c r="U50" s="69" t="n">
        <f aca="false">-(U71+U72+U74)/2*Inputs!$E$69/12</f>
        <v>-1484.375</v>
      </c>
      <c r="V50" s="69" t="n">
        <f aca="false">-(V71+V72+V74)/2*Inputs!$E$69/12</f>
        <v>-1462.05357142857</v>
      </c>
      <c r="W50" s="69" t="n">
        <f aca="false">-(W71+W72+W74)/2*Inputs!$E$69/12</f>
        <v>-1439.73214285714</v>
      </c>
      <c r="X50" s="69" t="n">
        <f aca="false">-(X71+X72+X74)/2*Inputs!$E$69/12</f>
        <v>-1417.41071428571</v>
      </c>
      <c r="Y50" s="69" t="n">
        <f aca="false">-(Y71+Y72+Y74)/2*Inputs!$E$69/12</f>
        <v>-1395.08928571429</v>
      </c>
      <c r="Z50" s="69" t="n">
        <f aca="false">-(Z71+Z72+Z74)/2*Inputs!$E$69/12</f>
        <v>-1372.76785714286</v>
      </c>
      <c r="AA50" s="69" t="n">
        <f aca="false">-(AA71+AA72+AA74)/2*Inputs!$E$69/12</f>
        <v>-1350.44642857143</v>
      </c>
      <c r="AB50" s="69" t="n">
        <f aca="false">-(AB71+AB72+AB74)/2*Inputs!$E$69/12</f>
        <v>-1328.125</v>
      </c>
      <c r="AC50" s="69" t="n">
        <f aca="false">-(AC71+AC72+AC74)/2*Inputs!$E$69/12</f>
        <v>-1305.80357142857</v>
      </c>
      <c r="AD50" s="69" t="n">
        <f aca="false">-(AD71+AD72+AD74)/2*Inputs!$E$69/12</f>
        <v>-1283.48214285714</v>
      </c>
      <c r="AE50" s="69" t="n">
        <f aca="false">-(AE71+AE72+AE74)/2*Inputs!$E$69/12</f>
        <v>-1261.16071428572</v>
      </c>
      <c r="AF50" s="69" t="n">
        <f aca="false">-(AF71+AF72+AF74)/2*Inputs!$E$69/12</f>
        <v>-1238.83928571429</v>
      </c>
      <c r="AG50" s="69" t="n">
        <f aca="false">-(AG71+AG72+AG74)/2*Inputs!$E$69/12</f>
        <v>-1216.51785714286</v>
      </c>
      <c r="AH50" s="69" t="n">
        <f aca="false">-(AH71+AH72+AH74)/2*Inputs!$E$69/12</f>
        <v>-1194.19642857143</v>
      </c>
      <c r="AI50" s="69" t="n">
        <f aca="false">-(AI71+AI72+AI74)/2*Inputs!$E$69/12</f>
        <v>-1171.875</v>
      </c>
      <c r="AJ50" s="69" t="n">
        <f aca="false">-(AJ71+AJ72+AJ74)/2*Inputs!$E$69/12</f>
        <v>-1149.55357142857</v>
      </c>
      <c r="AK50" s="69" t="n">
        <f aca="false">-(AK71+AK72+AK74)/2*Inputs!$E$69/12</f>
        <v>-1127.23214285714</v>
      </c>
      <c r="AL50" s="69" t="n">
        <f aca="false">-(AL71+AL72+AL74)/2*Inputs!$E$69/12</f>
        <v>-1104.91071428572</v>
      </c>
      <c r="AM50" s="69" t="n">
        <f aca="false">-(AM71+AM72+AM74)/2*Inputs!$E$69/12</f>
        <v>-1082.58928571429</v>
      </c>
      <c r="AN50" s="69" t="n">
        <f aca="false">-(AN71+AN72+AN74)/2*Inputs!$E$69/12</f>
        <v>-1060.26785714286</v>
      </c>
      <c r="AO50" s="69" t="n">
        <f aca="false">-(AO71+AO72+AO74)/2*Inputs!$E$69/12</f>
        <v>-1037.94642857143</v>
      </c>
      <c r="AP50" s="69" t="n">
        <f aca="false">-(AP71+AP72+AP74)/2*Inputs!$E$69/12</f>
        <v>-1015.625</v>
      </c>
      <c r="AQ50" s="69" t="n">
        <f aca="false">-(AQ71+AQ72+AQ74)/2*Inputs!$E$69/12</f>
        <v>-993.303571428572</v>
      </c>
      <c r="AR50" s="69" t="n">
        <f aca="false">-(AR71+AR72+AR74)/2*Inputs!$E$69/12</f>
        <v>-970.982142857144</v>
      </c>
      <c r="AS50" s="69" t="n">
        <f aca="false">-(AS71+AS72+AS74)/2*Inputs!$E$69/12</f>
        <v>-948.660714285715</v>
      </c>
      <c r="AT50" s="69" t="n">
        <f aca="false">-(AT71+AT72+AT74)/2*Inputs!$E$69/12</f>
        <v>-926.339285714287</v>
      </c>
      <c r="AU50" s="69" t="n">
        <f aca="false">-(AU71+AU72+AU74)/2*Inputs!$E$69/12</f>
        <v>-904.017857142858</v>
      </c>
      <c r="AV50" s="69" t="n">
        <f aca="false">-(AV71+AV72+AV74)/2*Inputs!$E$69/12</f>
        <v>-881.69642857143</v>
      </c>
      <c r="AW50" s="69" t="n">
        <f aca="false">-(AW71+AW72+AW74)/2*Inputs!$E$69/12</f>
        <v>-859.375000000001</v>
      </c>
      <c r="AX50" s="69" t="n">
        <f aca="false">-(AX71+AX72+AX74)/2*Inputs!$E$69/12</f>
        <v>-837.053571428572</v>
      </c>
      <c r="AY50" s="69" t="n">
        <f aca="false">-(AY71+AY72+AY74)/2*Inputs!$E$69/12</f>
        <v>-814.732142857144</v>
      </c>
      <c r="AZ50" s="69" t="n">
        <f aca="false">-(AZ71+AZ72+AZ74)/2*Inputs!$E$69/12</f>
        <v>-792.410714285715</v>
      </c>
      <c r="BA50" s="69" t="n">
        <f aca="false">-(BA71+BA72+BA74)/2*Inputs!$E$69/12</f>
        <v>-770.089285714287</v>
      </c>
      <c r="BB50" s="69" t="n">
        <f aca="false">-(BB71+BB72+BB74)/2*Inputs!$E$69/12</f>
        <v>-747.767857142858</v>
      </c>
      <c r="BC50" s="69" t="n">
        <f aca="false">-(BC71+BC72+BC74)/2*Inputs!$E$69/12</f>
        <v>-725.44642857143</v>
      </c>
      <c r="BD50" s="69" t="n">
        <f aca="false">-(BD71+BD72+BD74)/2*Inputs!$E$69/12</f>
        <v>-703.125000000001</v>
      </c>
      <c r="BE50" s="69" t="n">
        <f aca="false">-(BE71+BE72+BE74)/2*Inputs!$E$69/12</f>
        <v>-680.803571428573</v>
      </c>
      <c r="BF50" s="69" t="n">
        <f aca="false">-(BF71+BF72+BF74)/2*Inputs!$E$69/12</f>
        <v>-658.482142857144</v>
      </c>
      <c r="BG50" s="69" t="n">
        <f aca="false">-(BG71+BG72+BG74)/2*Inputs!$E$69/12</f>
        <v>-636.160714285716</v>
      </c>
      <c r="BH50" s="69" t="n">
        <f aca="false">-(BH71+BH72+BH74)/2*Inputs!$E$69/12</f>
        <v>-613.839285714287</v>
      </c>
      <c r="BI50" s="69" t="n">
        <f aca="false">-(BI71+BI72+BI74)/2*Inputs!$E$69/12</f>
        <v>-591.517857142858</v>
      </c>
      <c r="BJ50" s="69" t="n">
        <f aca="false">-(BJ71+BJ72+BJ74)/2*Inputs!$E$69/12</f>
        <v>-569.19642857143</v>
      </c>
    </row>
    <row r="51" customFormat="false" ht="15" hidden="false" customHeight="false" outlineLevel="0" collapsed="false">
      <c r="A51" s="115" t="s">
        <v>81</v>
      </c>
      <c r="C51" s="70" t="n">
        <f aca="false">C49+C50</f>
        <v>-55397.7083333334</v>
      </c>
      <c r="D51" s="70" t="n">
        <f aca="false">D49+D50</f>
        <v>-49878.9694940476</v>
      </c>
      <c r="E51" s="70" t="n">
        <f aca="false">E49+E50</f>
        <v>-44349.0699404762</v>
      </c>
      <c r="F51" s="70" t="n">
        <f aca="false">F49+F50</f>
        <v>-38819.1703869048</v>
      </c>
      <c r="G51" s="70" t="n">
        <f aca="false">G49+G50</f>
        <v>-33289.2708333333</v>
      </c>
      <c r="H51" s="70" t="n">
        <f aca="false">H49+H50</f>
        <v>-27759.3712797619</v>
      </c>
      <c r="I51" s="70" t="n">
        <f aca="false">I49+I50</f>
        <v>-22229.4717261905</v>
      </c>
      <c r="J51" s="70" t="n">
        <f aca="false">J49+J50</f>
        <v>-16699.5721726191</v>
      </c>
      <c r="K51" s="70" t="n">
        <f aca="false">K49+K50</f>
        <v>-11169.6726190476</v>
      </c>
      <c r="L51" s="70" t="n">
        <f aca="false">L49+L50</f>
        <v>-5639.77306547618</v>
      </c>
      <c r="M51" s="70" t="n">
        <f aca="false">M49+M50</f>
        <v>-109.873511904796</v>
      </c>
      <c r="N51" s="70" t="n">
        <f aca="false">N49+N50</f>
        <v>5420.02604166666</v>
      </c>
      <c r="O51" s="70" t="n">
        <f aca="false">O49+O50</f>
        <v>16251.6974181548</v>
      </c>
      <c r="P51" s="70" t="n">
        <f aca="false">P49+P50</f>
        <v>16274.0188467262</v>
      </c>
      <c r="Q51" s="70" t="n">
        <f aca="false">Q49+Q50</f>
        <v>16296.3402752976</v>
      </c>
      <c r="R51" s="70" t="n">
        <f aca="false">R49+R50</f>
        <v>16318.661703869</v>
      </c>
      <c r="S51" s="70" t="n">
        <f aca="false">S49+S50</f>
        <v>16340.9831324405</v>
      </c>
      <c r="T51" s="70" t="n">
        <f aca="false">T49+T50</f>
        <v>16363.3045610119</v>
      </c>
      <c r="U51" s="70" t="n">
        <f aca="false">U49+U50</f>
        <v>16385.6259895833</v>
      </c>
      <c r="V51" s="70" t="n">
        <f aca="false">V49+V50</f>
        <v>16407.9474181548</v>
      </c>
      <c r="W51" s="70" t="n">
        <f aca="false">W49+W50</f>
        <v>16430.2688467262</v>
      </c>
      <c r="X51" s="70" t="n">
        <f aca="false">X49+X50</f>
        <v>16452.5902752976</v>
      </c>
      <c r="Y51" s="70" t="n">
        <f aca="false">Y49+Y50</f>
        <v>16474.911703869</v>
      </c>
      <c r="Z51" s="70" t="n">
        <f aca="false">Z49+Z50</f>
        <v>16497.2331324405</v>
      </c>
      <c r="AA51" s="70" t="n">
        <f aca="false">AA49+AA50</f>
        <v>21871.9138504442</v>
      </c>
      <c r="AB51" s="70" t="n">
        <f aca="false">AB49+AB50</f>
        <v>21894.2352790156</v>
      </c>
      <c r="AC51" s="70" t="n">
        <f aca="false">AC49+AC50</f>
        <v>21916.556707587</v>
      </c>
      <c r="AD51" s="70" t="n">
        <f aca="false">AD49+AD50</f>
        <v>21938.8781361585</v>
      </c>
      <c r="AE51" s="70" t="n">
        <f aca="false">AE49+AE50</f>
        <v>21961.1995647299</v>
      </c>
      <c r="AF51" s="70" t="n">
        <f aca="false">AF49+AF50</f>
        <v>21983.5209933013</v>
      </c>
      <c r="AG51" s="70" t="n">
        <f aca="false">AG49+AG50</f>
        <v>22005.8424218727</v>
      </c>
      <c r="AH51" s="70" t="n">
        <f aca="false">AH49+AH50</f>
        <v>22028.1638504442</v>
      </c>
      <c r="AI51" s="70" t="n">
        <f aca="false">AI49+AI50</f>
        <v>22050.4852790156</v>
      </c>
      <c r="AJ51" s="70" t="n">
        <f aca="false">AJ49+AJ50</f>
        <v>22072.806707587</v>
      </c>
      <c r="AK51" s="70" t="n">
        <f aca="false">AK49+AK50</f>
        <v>22095.1281361585</v>
      </c>
      <c r="AL51" s="70" t="n">
        <f aca="false">AL49+AL50</f>
        <v>22117.4495647299</v>
      </c>
      <c r="AM51" s="70" t="n">
        <f aca="false">AM49+AM50</f>
        <v>27621.2589878351</v>
      </c>
      <c r="AN51" s="70" t="n">
        <f aca="false">AN49+AN50</f>
        <v>27643.5804164065</v>
      </c>
      <c r="AO51" s="70" t="n">
        <f aca="false">AO49+AO50</f>
        <v>27665.9018449779</v>
      </c>
      <c r="AP51" s="70" t="n">
        <f aca="false">AP49+AP50</f>
        <v>27688.2232735494</v>
      </c>
      <c r="AQ51" s="70" t="n">
        <f aca="false">AQ49+AQ50</f>
        <v>27710.5447021208</v>
      </c>
      <c r="AR51" s="70" t="n">
        <f aca="false">AR49+AR50</f>
        <v>27732.8661306922</v>
      </c>
      <c r="AS51" s="70" t="n">
        <f aca="false">AS49+AS50</f>
        <v>27755.1875592636</v>
      </c>
      <c r="AT51" s="70" t="n">
        <f aca="false">AT49+AT50</f>
        <v>27777.5089878351</v>
      </c>
      <c r="AU51" s="70" t="n">
        <f aca="false">AU49+AU50</f>
        <v>27799.8304164065</v>
      </c>
      <c r="AV51" s="70" t="n">
        <f aca="false">AV49+AV50</f>
        <v>27822.1518449779</v>
      </c>
      <c r="AW51" s="70" t="n">
        <f aca="false">AW49+AW50</f>
        <v>27844.4732735494</v>
      </c>
      <c r="AX51" s="70" t="n">
        <f aca="false">AX49+AX50</f>
        <v>27866.7947021208</v>
      </c>
      <c r="AY51" s="70" t="n">
        <f aca="false">AY49+AY50</f>
        <v>33568.5190841993</v>
      </c>
      <c r="AZ51" s="70" t="n">
        <f aca="false">AZ49+AZ50</f>
        <v>33590.8405127707</v>
      </c>
      <c r="BA51" s="70" t="n">
        <f aca="false">BA49+BA50</f>
        <v>33613.1619413421</v>
      </c>
      <c r="BB51" s="70" t="n">
        <f aca="false">BB49+BB50</f>
        <v>33635.4833699136</v>
      </c>
      <c r="BC51" s="70" t="n">
        <f aca="false">BC49+BC50</f>
        <v>33657.804798485</v>
      </c>
      <c r="BD51" s="70" t="n">
        <f aca="false">BD49+BD50</f>
        <v>33680.1262270564</v>
      </c>
      <c r="BE51" s="70" t="n">
        <f aca="false">BE49+BE50</f>
        <v>33702.4476556279</v>
      </c>
      <c r="BF51" s="70" t="n">
        <f aca="false">BF49+BF50</f>
        <v>33724.7690841993</v>
      </c>
      <c r="BG51" s="70" t="n">
        <f aca="false">BG49+BG50</f>
        <v>33747.0905127707</v>
      </c>
      <c r="BH51" s="70" t="n">
        <f aca="false">BH49+BH50</f>
        <v>33769.4119413421</v>
      </c>
      <c r="BI51" s="70" t="n">
        <f aca="false">BI49+BI50</f>
        <v>33791.7333699136</v>
      </c>
      <c r="BJ51" s="70" t="n">
        <f aca="false">BJ49+BJ50</f>
        <v>33814.054798485</v>
      </c>
    </row>
    <row r="52" customFormat="false" ht="15" hidden="false" customHeight="false" outlineLevel="0" collapsed="false">
      <c r="A52" s="118" t="s">
        <v>427</v>
      </c>
      <c r="C52" s="69" t="n">
        <f aca="false">C51</f>
        <v>-55397.7083333334</v>
      </c>
      <c r="D52" s="69" t="n">
        <f aca="false">C52+D51</f>
        <v>-105276.677827381</v>
      </c>
      <c r="E52" s="69" t="n">
        <f aca="false">D52+E51</f>
        <v>-149625.747767857</v>
      </c>
      <c r="F52" s="69" t="n">
        <f aca="false">E52+F51</f>
        <v>-188444.918154762</v>
      </c>
      <c r="G52" s="69" t="n">
        <f aca="false">F52+G51</f>
        <v>-221734.188988095</v>
      </c>
      <c r="H52" s="69" t="n">
        <f aca="false">G52+H51</f>
        <v>-249493.560267857</v>
      </c>
      <c r="I52" s="69" t="n">
        <f aca="false">H52+I51</f>
        <v>-271723.031994048</v>
      </c>
      <c r="J52" s="69" t="n">
        <f aca="false">I52+J51</f>
        <v>-288422.604166667</v>
      </c>
      <c r="K52" s="69" t="n">
        <f aca="false">J52+K51</f>
        <v>-299592.276785714</v>
      </c>
      <c r="L52" s="69" t="n">
        <f aca="false">K52+L51</f>
        <v>-305232.049851191</v>
      </c>
      <c r="M52" s="69" t="n">
        <f aca="false">L52+M51</f>
        <v>-305341.923363095</v>
      </c>
      <c r="N52" s="69" t="n">
        <f aca="false">M52+N51</f>
        <v>-299921.897321429</v>
      </c>
      <c r="O52" s="69" t="n">
        <f aca="false">N52+O51</f>
        <v>-283670.199903274</v>
      </c>
      <c r="P52" s="69" t="n">
        <f aca="false">O52+P51</f>
        <v>-267396.181056548</v>
      </c>
      <c r="Q52" s="69" t="n">
        <f aca="false">P52+Q51</f>
        <v>-251099.84078125</v>
      </c>
      <c r="R52" s="69" t="n">
        <f aca="false">Q52+R51</f>
        <v>-234781.179077381</v>
      </c>
      <c r="S52" s="69" t="n">
        <f aca="false">R52+S51</f>
        <v>-218440.195944941</v>
      </c>
      <c r="T52" s="69" t="n">
        <f aca="false">S52+T51</f>
        <v>-202076.891383929</v>
      </c>
      <c r="U52" s="69" t="n">
        <f aca="false">T52+U51</f>
        <v>-185691.265394345</v>
      </c>
      <c r="V52" s="69" t="n">
        <f aca="false">U52+V51</f>
        <v>-169283.317976191</v>
      </c>
      <c r="W52" s="69" t="n">
        <f aca="false">V52+W51</f>
        <v>-152853.049129464</v>
      </c>
      <c r="X52" s="69" t="n">
        <f aca="false">W52+X51</f>
        <v>-136400.458854167</v>
      </c>
      <c r="Y52" s="69" t="n">
        <f aca="false">X52+Y51</f>
        <v>-119925.547150298</v>
      </c>
      <c r="Z52" s="69" t="n">
        <f aca="false">Y52+Z51</f>
        <v>-103428.314017857</v>
      </c>
      <c r="AA52" s="69" t="n">
        <f aca="false">Z52+AA51</f>
        <v>-81556.4001674131</v>
      </c>
      <c r="AB52" s="69" t="n">
        <f aca="false">AA52+AB51</f>
        <v>-59662.1648883975</v>
      </c>
      <c r="AC52" s="69" t="n">
        <f aca="false">AB52+AC51</f>
        <v>-37745.6081808105</v>
      </c>
      <c r="AD52" s="69" t="n">
        <f aca="false">AC52+AD51</f>
        <v>-15806.730044652</v>
      </c>
      <c r="AE52" s="69" t="n">
        <f aca="false">AD52+AE51</f>
        <v>6154.46952007784</v>
      </c>
      <c r="AF52" s="69" t="n">
        <f aca="false">AE52+AF51</f>
        <v>28137.9905133792</v>
      </c>
      <c r="AG52" s="69" t="n">
        <f aca="false">AF52+AG51</f>
        <v>50143.8329352519</v>
      </c>
      <c r="AH52" s="69" t="n">
        <f aca="false">AG52+AH51</f>
        <v>72171.9967856961</v>
      </c>
      <c r="AI52" s="69" t="n">
        <f aca="false">AH52+AI51</f>
        <v>94222.4820647117</v>
      </c>
      <c r="AJ52" s="69" t="n">
        <f aca="false">AI52+AJ51</f>
        <v>116295.288772299</v>
      </c>
      <c r="AK52" s="69" t="n">
        <f aca="false">AJ52+AK51</f>
        <v>138390.416908457</v>
      </c>
      <c r="AL52" s="69" t="n">
        <f aca="false">AK52+AL51</f>
        <v>160507.866473187</v>
      </c>
      <c r="AM52" s="69" t="n">
        <f aca="false">AL52+AM51</f>
        <v>188129.125461022</v>
      </c>
      <c r="AN52" s="69" t="n">
        <f aca="false">AM52+AN51</f>
        <v>215772.705877429</v>
      </c>
      <c r="AO52" s="69" t="n">
        <f aca="false">AN52+AO51</f>
        <v>243438.607722406</v>
      </c>
      <c r="AP52" s="69" t="n">
        <f aca="false">AO52+AP51</f>
        <v>271126.830995956</v>
      </c>
      <c r="AQ52" s="69" t="n">
        <f aca="false">AP52+AQ51</f>
        <v>298837.375698077</v>
      </c>
      <c r="AR52" s="69" t="n">
        <f aca="false">AQ52+AR51</f>
        <v>326570.241828769</v>
      </c>
      <c r="AS52" s="69" t="n">
        <f aca="false">AR52+AS51</f>
        <v>354325.429388032</v>
      </c>
      <c r="AT52" s="69" t="n">
        <f aca="false">AS52+AT51</f>
        <v>382102.938375868</v>
      </c>
      <c r="AU52" s="69" t="n">
        <f aca="false">AT52+AU51</f>
        <v>409902.768792274</v>
      </c>
      <c r="AV52" s="69" t="n">
        <f aca="false">AU52+AV51</f>
        <v>437724.920637252</v>
      </c>
      <c r="AW52" s="69" t="n">
        <f aca="false">AV52+AW51</f>
        <v>465569.393910801</v>
      </c>
      <c r="AX52" s="69" t="n">
        <f aca="false">AW52+AX51</f>
        <v>493436.188612922</v>
      </c>
      <c r="AY52" s="69" t="n">
        <f aca="false">AX52+AY51</f>
        <v>527004.707697121</v>
      </c>
      <c r="AZ52" s="69" t="n">
        <f aca="false">AY52+AZ51</f>
        <v>560595.548209892</v>
      </c>
      <c r="BA52" s="69" t="n">
        <f aca="false">AZ52+BA51</f>
        <v>594208.710151234</v>
      </c>
      <c r="BB52" s="69" t="n">
        <f aca="false">BA52+BB51</f>
        <v>627844.193521148</v>
      </c>
      <c r="BC52" s="69" t="n">
        <f aca="false">BB52+BC51</f>
        <v>661501.998319633</v>
      </c>
      <c r="BD52" s="69" t="n">
        <f aca="false">BC52+BD51</f>
        <v>695182.124546689</v>
      </c>
      <c r="BE52" s="69" t="n">
        <f aca="false">BD52+BE51</f>
        <v>728884.572202317</v>
      </c>
      <c r="BF52" s="69" t="n">
        <f aca="false">BE52+BF51</f>
        <v>762609.341286516</v>
      </c>
      <c r="BG52" s="69" t="n">
        <f aca="false">BF52+BG51</f>
        <v>796356.431799287</v>
      </c>
      <c r="BH52" s="69" t="n">
        <f aca="false">BG52+BH51</f>
        <v>830125.843740629</v>
      </c>
      <c r="BI52" s="69" t="n">
        <f aca="false">BH52+BI51</f>
        <v>863917.577110543</v>
      </c>
      <c r="BJ52" s="69" t="n">
        <f aca="false">BI52+BJ51</f>
        <v>897731.631909028</v>
      </c>
    </row>
    <row r="53" customFormat="false" ht="15" hidden="false" customHeight="false" outlineLevel="0" collapsed="false">
      <c r="A53" s="118" t="s">
        <v>428</v>
      </c>
      <c r="C53" s="69" t="n">
        <f aca="false">MAX(0,C52)</f>
        <v>0</v>
      </c>
      <c r="D53" s="69" t="n">
        <f aca="false">MAX(C53,D52)</f>
        <v>0</v>
      </c>
      <c r="E53" s="69" t="n">
        <f aca="false">MAX(D53,E52)</f>
        <v>0</v>
      </c>
      <c r="F53" s="69" t="n">
        <f aca="false">MAX(E53,F52)</f>
        <v>0</v>
      </c>
      <c r="G53" s="69" t="n">
        <f aca="false">MAX(F53,G52)</f>
        <v>0</v>
      </c>
      <c r="H53" s="69" t="n">
        <f aca="false">MAX(G53,H52)</f>
        <v>0</v>
      </c>
      <c r="I53" s="69" t="n">
        <f aca="false">MAX(H53,I52)</f>
        <v>0</v>
      </c>
      <c r="J53" s="69" t="n">
        <f aca="false">MAX(I53,J52)</f>
        <v>0</v>
      </c>
      <c r="K53" s="69" t="n">
        <f aca="false">MAX(J53,K52)</f>
        <v>0</v>
      </c>
      <c r="L53" s="69" t="n">
        <f aca="false">MAX(K53,L52)</f>
        <v>0</v>
      </c>
      <c r="M53" s="69" t="n">
        <f aca="false">MAX(L53,M52)</f>
        <v>0</v>
      </c>
      <c r="N53" s="69" t="n">
        <f aca="false">MAX(M53,N52)</f>
        <v>0</v>
      </c>
      <c r="O53" s="69" t="n">
        <f aca="false">MAX(N53,O52)</f>
        <v>0</v>
      </c>
      <c r="P53" s="69" t="n">
        <f aca="false">MAX(O53,P52)</f>
        <v>0</v>
      </c>
      <c r="Q53" s="69" t="n">
        <f aca="false">MAX(P53,Q52)</f>
        <v>0</v>
      </c>
      <c r="R53" s="69" t="n">
        <f aca="false">MAX(Q53,R52)</f>
        <v>0</v>
      </c>
      <c r="S53" s="69" t="n">
        <f aca="false">MAX(R53,S52)</f>
        <v>0</v>
      </c>
      <c r="T53" s="69" t="n">
        <f aca="false">MAX(S53,T52)</f>
        <v>0</v>
      </c>
      <c r="U53" s="69" t="n">
        <f aca="false">MAX(T53,U52)</f>
        <v>0</v>
      </c>
      <c r="V53" s="69" t="n">
        <f aca="false">MAX(U53,V52)</f>
        <v>0</v>
      </c>
      <c r="W53" s="69" t="n">
        <f aca="false">MAX(V53,W52)</f>
        <v>0</v>
      </c>
      <c r="X53" s="69" t="n">
        <f aca="false">MAX(W53,X52)</f>
        <v>0</v>
      </c>
      <c r="Y53" s="69" t="n">
        <f aca="false">MAX(X53,Y52)</f>
        <v>0</v>
      </c>
      <c r="Z53" s="69" t="n">
        <f aca="false">MAX(Y53,Z52)</f>
        <v>0</v>
      </c>
      <c r="AA53" s="69" t="n">
        <f aca="false">MAX(Z53,AA52)</f>
        <v>0</v>
      </c>
      <c r="AB53" s="69" t="n">
        <f aca="false">MAX(AA53,AB52)</f>
        <v>0</v>
      </c>
      <c r="AC53" s="69" t="n">
        <f aca="false">MAX(AB53,AC52)</f>
        <v>0</v>
      </c>
      <c r="AD53" s="69" t="n">
        <f aca="false">MAX(AC53,AD52)</f>
        <v>0</v>
      </c>
      <c r="AE53" s="69" t="n">
        <f aca="false">MAX(AD53,AE52)</f>
        <v>6154.46952007784</v>
      </c>
      <c r="AF53" s="69" t="n">
        <f aca="false">MAX(AE53,AF52)</f>
        <v>28137.9905133792</v>
      </c>
      <c r="AG53" s="69" t="n">
        <f aca="false">MAX(AF53,AG52)</f>
        <v>50143.8329352519</v>
      </c>
      <c r="AH53" s="69" t="n">
        <f aca="false">MAX(AG53,AH52)</f>
        <v>72171.9967856961</v>
      </c>
      <c r="AI53" s="69" t="n">
        <f aca="false">MAX(AH53,AI52)</f>
        <v>94222.4820647117</v>
      </c>
      <c r="AJ53" s="69" t="n">
        <f aca="false">MAX(AI53,AJ52)</f>
        <v>116295.288772299</v>
      </c>
      <c r="AK53" s="69" t="n">
        <f aca="false">MAX(AJ53,AK52)</f>
        <v>138390.416908457</v>
      </c>
      <c r="AL53" s="69" t="n">
        <f aca="false">MAX(AK53,AL52)</f>
        <v>160507.866473187</v>
      </c>
      <c r="AM53" s="69" t="n">
        <f aca="false">MAX(AL53,AM52)</f>
        <v>188129.125461022</v>
      </c>
      <c r="AN53" s="69" t="n">
        <f aca="false">MAX(AM53,AN52)</f>
        <v>215772.705877429</v>
      </c>
      <c r="AO53" s="69" t="n">
        <f aca="false">MAX(AN53,AO52)</f>
        <v>243438.607722406</v>
      </c>
      <c r="AP53" s="69" t="n">
        <f aca="false">MAX(AO53,AP52)</f>
        <v>271126.830995956</v>
      </c>
      <c r="AQ53" s="69" t="n">
        <f aca="false">MAX(AP53,AQ52)</f>
        <v>298837.375698077</v>
      </c>
      <c r="AR53" s="69" t="n">
        <f aca="false">MAX(AQ53,AR52)</f>
        <v>326570.241828769</v>
      </c>
      <c r="AS53" s="69" t="n">
        <f aca="false">MAX(AR53,AS52)</f>
        <v>354325.429388032</v>
      </c>
      <c r="AT53" s="69" t="n">
        <f aca="false">MAX(AS53,AT52)</f>
        <v>382102.938375868</v>
      </c>
      <c r="AU53" s="69" t="n">
        <f aca="false">MAX(AT53,AU52)</f>
        <v>409902.768792274</v>
      </c>
      <c r="AV53" s="69" t="n">
        <f aca="false">MAX(AU53,AV52)</f>
        <v>437724.920637252</v>
      </c>
      <c r="AW53" s="69" t="n">
        <f aca="false">MAX(AV53,AW52)</f>
        <v>465569.393910801</v>
      </c>
      <c r="AX53" s="69" t="n">
        <f aca="false">MAX(AW53,AX52)</f>
        <v>493436.188612922</v>
      </c>
      <c r="AY53" s="69" t="n">
        <f aca="false">MAX(AX53,AY52)</f>
        <v>527004.707697121</v>
      </c>
      <c r="AZ53" s="69" t="n">
        <f aca="false">MAX(AY53,AZ52)</f>
        <v>560595.548209892</v>
      </c>
      <c r="BA53" s="69" t="n">
        <f aca="false">MAX(AZ53,BA52)</f>
        <v>594208.710151234</v>
      </c>
      <c r="BB53" s="69" t="n">
        <f aca="false">MAX(BA53,BB52)</f>
        <v>627844.193521148</v>
      </c>
      <c r="BC53" s="69" t="n">
        <f aca="false">MAX(BB53,BC52)</f>
        <v>661501.998319633</v>
      </c>
      <c r="BD53" s="69" t="n">
        <f aca="false">MAX(BC53,BD52)</f>
        <v>695182.124546689</v>
      </c>
      <c r="BE53" s="69" t="n">
        <f aca="false">MAX(BD53,BE52)</f>
        <v>728884.572202317</v>
      </c>
      <c r="BF53" s="69" t="n">
        <f aca="false">MAX(BE53,BF52)</f>
        <v>762609.341286516</v>
      </c>
      <c r="BG53" s="69" t="n">
        <f aca="false">MAX(BF53,BG52)</f>
        <v>796356.431799287</v>
      </c>
      <c r="BH53" s="69" t="n">
        <f aca="false">MAX(BG53,BH52)</f>
        <v>830125.843740629</v>
      </c>
      <c r="BI53" s="69" t="n">
        <f aca="false">MAX(BH53,BI52)</f>
        <v>863917.577110543</v>
      </c>
      <c r="BJ53" s="69" t="n">
        <f aca="false">MAX(BI53,BJ52)</f>
        <v>897731.631909028</v>
      </c>
    </row>
    <row r="54" customFormat="false" ht="15" hidden="false" customHeight="false" outlineLevel="0" collapsed="false">
      <c r="A54" s="6" t="s">
        <v>82</v>
      </c>
      <c r="C54" s="69" t="n">
        <f aca="false">-C53*Inputs!$E$79</f>
        <v>-0</v>
      </c>
      <c r="D54" s="69" t="n">
        <f aca="false">-(D53-C53)*Inputs!$E$79</f>
        <v>-0</v>
      </c>
      <c r="E54" s="69" t="n">
        <f aca="false">-(E53-D53)*Inputs!$E$79</f>
        <v>-0</v>
      </c>
      <c r="F54" s="69" t="n">
        <f aca="false">-(F53-E53)*Inputs!$E$79</f>
        <v>-0</v>
      </c>
      <c r="G54" s="69" t="n">
        <f aca="false">-(G53-F53)*Inputs!$E$79</f>
        <v>-0</v>
      </c>
      <c r="H54" s="69" t="n">
        <f aca="false">-(H53-G53)*Inputs!$E$79</f>
        <v>-0</v>
      </c>
      <c r="I54" s="69" t="n">
        <f aca="false">-(I53-H53)*Inputs!$E$79</f>
        <v>-0</v>
      </c>
      <c r="J54" s="69" t="n">
        <f aca="false">-(J53-I53)*Inputs!$E$79</f>
        <v>-0</v>
      </c>
      <c r="K54" s="69" t="n">
        <f aca="false">-(K53-J53)*Inputs!$E$79</f>
        <v>-0</v>
      </c>
      <c r="L54" s="69" t="n">
        <f aca="false">-(L53-K53)*Inputs!$E$79</f>
        <v>-0</v>
      </c>
      <c r="M54" s="69" t="n">
        <f aca="false">-(M53-L53)*Inputs!$E$79</f>
        <v>-0</v>
      </c>
      <c r="N54" s="69" t="n">
        <f aca="false">-(N53-M53)*Inputs!$E$79</f>
        <v>-0</v>
      </c>
      <c r="O54" s="69" t="n">
        <f aca="false">-(O53-N53)*Inputs!$E$79</f>
        <v>-0</v>
      </c>
      <c r="P54" s="69" t="n">
        <f aca="false">-(P53-O53)*Inputs!$E$79</f>
        <v>-0</v>
      </c>
      <c r="Q54" s="69" t="n">
        <f aca="false">-(Q53-P53)*Inputs!$E$79</f>
        <v>-0</v>
      </c>
      <c r="R54" s="69" t="n">
        <f aca="false">-(R53-Q53)*Inputs!$E$79</f>
        <v>-0</v>
      </c>
      <c r="S54" s="69" t="n">
        <f aca="false">-(S53-R53)*Inputs!$E$79</f>
        <v>-0</v>
      </c>
      <c r="T54" s="69" t="n">
        <f aca="false">-(T53-S53)*Inputs!$E$79</f>
        <v>-0</v>
      </c>
      <c r="U54" s="69" t="n">
        <f aca="false">-(U53-T53)*Inputs!$E$79</f>
        <v>-0</v>
      </c>
      <c r="V54" s="69" t="n">
        <f aca="false">-(V53-U53)*Inputs!$E$79</f>
        <v>-0</v>
      </c>
      <c r="W54" s="69" t="n">
        <f aca="false">-(W53-V53)*Inputs!$E$79</f>
        <v>-0</v>
      </c>
      <c r="X54" s="69" t="n">
        <f aca="false">-(X53-W53)*Inputs!$E$79</f>
        <v>-0</v>
      </c>
      <c r="Y54" s="69" t="n">
        <f aca="false">-(Y53-X53)*Inputs!$E$79</f>
        <v>-0</v>
      </c>
      <c r="Z54" s="69" t="n">
        <f aca="false">-(Z53-Y53)*Inputs!$E$79</f>
        <v>-0</v>
      </c>
      <c r="AA54" s="69" t="n">
        <f aca="false">-(AA53-Z53)*Inputs!$E$79</f>
        <v>-0</v>
      </c>
      <c r="AB54" s="69" t="n">
        <f aca="false">-(AB53-AA53)*Inputs!$E$79</f>
        <v>-0</v>
      </c>
      <c r="AC54" s="69" t="n">
        <f aca="false">-(AC53-AB53)*Inputs!$E$79</f>
        <v>-0</v>
      </c>
      <c r="AD54" s="69" t="n">
        <f aca="false">-(AD53-AC53)*Inputs!$E$79</f>
        <v>-0</v>
      </c>
      <c r="AE54" s="69" t="n">
        <f aca="false">-(AE53-AD53)*Inputs!$E$79</f>
        <v>-1292.43859921635</v>
      </c>
      <c r="AF54" s="69" t="n">
        <f aca="false">-(AF53-AE53)*Inputs!$E$79</f>
        <v>-4616.53940859328</v>
      </c>
      <c r="AG54" s="69" t="n">
        <f aca="false">-(AG53-AF53)*Inputs!$E$79</f>
        <v>-4621.22690859328</v>
      </c>
      <c r="AH54" s="69" t="n">
        <f aca="false">-(AH53-AG53)*Inputs!$E$79</f>
        <v>-4625.91440859328</v>
      </c>
      <c r="AI54" s="69" t="n">
        <f aca="false">-(AI53-AH53)*Inputs!$E$79</f>
        <v>-4630.60190859328</v>
      </c>
      <c r="AJ54" s="69" t="n">
        <f aca="false">-(AJ53-AI53)*Inputs!$E$79</f>
        <v>-4635.28940859327</v>
      </c>
      <c r="AK54" s="69" t="n">
        <f aca="false">-(AK53-AJ53)*Inputs!$E$79</f>
        <v>-4639.97690859327</v>
      </c>
      <c r="AL54" s="69" t="n">
        <f aca="false">-(AL53-AK53)*Inputs!$E$79</f>
        <v>-4644.66440859327</v>
      </c>
      <c r="AM54" s="69" t="n">
        <f aca="false">-(AM53-AL53)*Inputs!$E$79</f>
        <v>-5800.46438744536</v>
      </c>
      <c r="AN54" s="69" t="n">
        <f aca="false">-(AN53-AM53)*Inputs!$E$79</f>
        <v>-5805.15188744536</v>
      </c>
      <c r="AO54" s="69" t="n">
        <f aca="false">-(AO53-AN53)*Inputs!$E$79</f>
        <v>-5809.83938744536</v>
      </c>
      <c r="AP54" s="69" t="n">
        <f aca="false">-(AP53-AO53)*Inputs!$E$79</f>
        <v>-5814.52688744536</v>
      </c>
      <c r="AQ54" s="69" t="n">
        <f aca="false">-(AQ53-AP53)*Inputs!$E$79</f>
        <v>-5819.21438744536</v>
      </c>
      <c r="AR54" s="69" t="n">
        <f aca="false">-(AR53-AQ53)*Inputs!$E$79</f>
        <v>-5823.90188744536</v>
      </c>
      <c r="AS54" s="69" t="n">
        <f aca="false">-(AS53-AR53)*Inputs!$E$79</f>
        <v>-5828.58938744537</v>
      </c>
      <c r="AT54" s="69" t="n">
        <f aca="false">-(AT53-AS53)*Inputs!$E$79</f>
        <v>-5833.27688744537</v>
      </c>
      <c r="AU54" s="69" t="n">
        <f aca="false">-(AU53-AT53)*Inputs!$E$79</f>
        <v>-5837.96438744537</v>
      </c>
      <c r="AV54" s="69" t="n">
        <f aca="false">-(AV53-AU53)*Inputs!$E$79</f>
        <v>-5842.65188744536</v>
      </c>
      <c r="AW54" s="69" t="n">
        <f aca="false">-(AW53-AV53)*Inputs!$E$79</f>
        <v>-5847.33938744536</v>
      </c>
      <c r="AX54" s="69" t="n">
        <f aca="false">-(AX53-AW53)*Inputs!$E$79</f>
        <v>-5852.02688744536</v>
      </c>
      <c r="AY54" s="69" t="n">
        <f aca="false">-(AY53-AX53)*Inputs!$E$79</f>
        <v>-7049.38900768185</v>
      </c>
      <c r="AZ54" s="69" t="n">
        <f aca="false">-(AZ53-AY53)*Inputs!$E$79</f>
        <v>-7054.07650768185</v>
      </c>
      <c r="BA54" s="69" t="n">
        <f aca="false">-(BA53-AZ53)*Inputs!$E$79</f>
        <v>-7058.76400768186</v>
      </c>
      <c r="BB54" s="69" t="n">
        <f aca="false">-(BB53-BA53)*Inputs!$E$79</f>
        <v>-7063.45150768184</v>
      </c>
      <c r="BC54" s="69" t="n">
        <f aca="false">-(BC53-BB53)*Inputs!$E$79</f>
        <v>-7068.13900768185</v>
      </c>
      <c r="BD54" s="69" t="n">
        <f aca="false">-(BD53-BC53)*Inputs!$E$79</f>
        <v>-7072.82650768186</v>
      </c>
      <c r="BE54" s="69" t="n">
        <f aca="false">-(BE53-BD53)*Inputs!$E$79</f>
        <v>-7077.51400768185</v>
      </c>
      <c r="BF54" s="69" t="n">
        <f aca="false">-(BF53-BE53)*Inputs!$E$79</f>
        <v>-7082.20150768186</v>
      </c>
      <c r="BG54" s="69" t="n">
        <f aca="false">-(BG53-BF53)*Inputs!$E$79</f>
        <v>-7086.88900768185</v>
      </c>
      <c r="BH54" s="69" t="n">
        <f aca="false">-(BH53-BG53)*Inputs!$E$79</f>
        <v>-7091.57650768186</v>
      </c>
      <c r="BI54" s="69" t="n">
        <f aca="false">-(BI53-BH53)*Inputs!$E$79</f>
        <v>-7096.26400768184</v>
      </c>
      <c r="BJ54" s="69" t="n">
        <f aca="false">-(BJ53-BI53)*Inputs!$E$79</f>
        <v>-7100.95150768185</v>
      </c>
    </row>
    <row r="55" customFormat="false" ht="15" hidden="false" customHeight="false" outlineLevel="0" collapsed="false">
      <c r="A55" s="115" t="s">
        <v>50</v>
      </c>
      <c r="C55" s="70" t="n">
        <f aca="false">C51+C54</f>
        <v>-55397.7083333334</v>
      </c>
      <c r="D55" s="70" t="n">
        <f aca="false">D51+D54</f>
        <v>-49878.9694940476</v>
      </c>
      <c r="E55" s="70" t="n">
        <f aca="false">E51+E54</f>
        <v>-44349.0699404762</v>
      </c>
      <c r="F55" s="70" t="n">
        <f aca="false">F51+F54</f>
        <v>-38819.1703869048</v>
      </c>
      <c r="G55" s="70" t="n">
        <f aca="false">G51+G54</f>
        <v>-33289.2708333333</v>
      </c>
      <c r="H55" s="70" t="n">
        <f aca="false">H51+H54</f>
        <v>-27759.3712797619</v>
      </c>
      <c r="I55" s="70" t="n">
        <f aca="false">I51+I54</f>
        <v>-22229.4717261905</v>
      </c>
      <c r="J55" s="70" t="n">
        <f aca="false">J51+J54</f>
        <v>-16699.5721726191</v>
      </c>
      <c r="K55" s="70" t="n">
        <f aca="false">K51+K54</f>
        <v>-11169.6726190476</v>
      </c>
      <c r="L55" s="70" t="n">
        <f aca="false">L51+L54</f>
        <v>-5639.77306547618</v>
      </c>
      <c r="M55" s="70" t="n">
        <f aca="false">M51+M54</f>
        <v>-109.873511904796</v>
      </c>
      <c r="N55" s="70" t="n">
        <f aca="false">N51+N54</f>
        <v>5420.02604166666</v>
      </c>
      <c r="O55" s="70" t="n">
        <f aca="false">O51+O54</f>
        <v>16251.6974181548</v>
      </c>
      <c r="P55" s="70" t="n">
        <f aca="false">P51+P54</f>
        <v>16274.0188467262</v>
      </c>
      <c r="Q55" s="70" t="n">
        <f aca="false">Q51+Q54</f>
        <v>16296.3402752976</v>
      </c>
      <c r="R55" s="70" t="n">
        <f aca="false">R51+R54</f>
        <v>16318.661703869</v>
      </c>
      <c r="S55" s="70" t="n">
        <f aca="false">S51+S54</f>
        <v>16340.9831324405</v>
      </c>
      <c r="T55" s="70" t="n">
        <f aca="false">T51+T54</f>
        <v>16363.3045610119</v>
      </c>
      <c r="U55" s="70" t="n">
        <f aca="false">U51+U54</f>
        <v>16385.6259895833</v>
      </c>
      <c r="V55" s="70" t="n">
        <f aca="false">V51+V54</f>
        <v>16407.9474181548</v>
      </c>
      <c r="W55" s="70" t="n">
        <f aca="false">W51+W54</f>
        <v>16430.2688467262</v>
      </c>
      <c r="X55" s="70" t="n">
        <f aca="false">X51+X54</f>
        <v>16452.5902752976</v>
      </c>
      <c r="Y55" s="70" t="n">
        <f aca="false">Y51+Y54</f>
        <v>16474.911703869</v>
      </c>
      <c r="Z55" s="70" t="n">
        <f aca="false">Z51+Z54</f>
        <v>16497.2331324405</v>
      </c>
      <c r="AA55" s="70" t="n">
        <f aca="false">AA51+AA54</f>
        <v>21871.9138504442</v>
      </c>
      <c r="AB55" s="70" t="n">
        <f aca="false">AB51+AB54</f>
        <v>21894.2352790156</v>
      </c>
      <c r="AC55" s="70" t="n">
        <f aca="false">AC51+AC54</f>
        <v>21916.556707587</v>
      </c>
      <c r="AD55" s="70" t="n">
        <f aca="false">AD51+AD54</f>
        <v>21938.8781361585</v>
      </c>
      <c r="AE55" s="70" t="n">
        <f aca="false">AE51+AE54</f>
        <v>20668.7609655135</v>
      </c>
      <c r="AF55" s="70" t="n">
        <f aca="false">AF51+AF54</f>
        <v>17366.981584708</v>
      </c>
      <c r="AG55" s="70" t="n">
        <f aca="false">AG51+AG54</f>
        <v>17384.6155132795</v>
      </c>
      <c r="AH55" s="70" t="n">
        <f aca="false">AH51+AH54</f>
        <v>17402.2494418509</v>
      </c>
      <c r="AI55" s="70" t="n">
        <f aca="false">AI51+AI54</f>
        <v>17419.8833704223</v>
      </c>
      <c r="AJ55" s="70" t="n">
        <f aca="false">AJ51+AJ54</f>
        <v>17437.5172989938</v>
      </c>
      <c r="AK55" s="70" t="n">
        <f aca="false">AK51+AK54</f>
        <v>17455.1512275652</v>
      </c>
      <c r="AL55" s="70" t="n">
        <f aca="false">AL51+AL54</f>
        <v>17472.7851561366</v>
      </c>
      <c r="AM55" s="70" t="n">
        <f aca="false">AM51+AM54</f>
        <v>21820.7946003897</v>
      </c>
      <c r="AN55" s="70" t="n">
        <f aca="false">AN51+AN54</f>
        <v>21838.4285289611</v>
      </c>
      <c r="AO55" s="70" t="n">
        <f aca="false">AO51+AO54</f>
        <v>21856.0624575326</v>
      </c>
      <c r="AP55" s="70" t="n">
        <f aca="false">AP51+AP54</f>
        <v>21873.696386104</v>
      </c>
      <c r="AQ55" s="70" t="n">
        <f aca="false">AQ51+AQ54</f>
        <v>21891.3303146754</v>
      </c>
      <c r="AR55" s="70" t="n">
        <f aca="false">AR51+AR54</f>
        <v>21908.9642432468</v>
      </c>
      <c r="AS55" s="70" t="n">
        <f aca="false">AS51+AS54</f>
        <v>21926.5981718183</v>
      </c>
      <c r="AT55" s="70" t="n">
        <f aca="false">AT51+AT54</f>
        <v>21944.2321003897</v>
      </c>
      <c r="AU55" s="70" t="n">
        <f aca="false">AU51+AU54</f>
        <v>21961.8660289611</v>
      </c>
      <c r="AV55" s="70" t="n">
        <f aca="false">AV51+AV54</f>
        <v>21979.4999575326</v>
      </c>
      <c r="AW55" s="70" t="n">
        <f aca="false">AW51+AW54</f>
        <v>21997.133886104</v>
      </c>
      <c r="AX55" s="70" t="n">
        <f aca="false">AX51+AX54</f>
        <v>22014.7678146754</v>
      </c>
      <c r="AY55" s="70" t="n">
        <f aca="false">AY51+AY54</f>
        <v>26519.1300765174</v>
      </c>
      <c r="AZ55" s="70" t="n">
        <f aca="false">AZ51+AZ54</f>
        <v>26536.7640050889</v>
      </c>
      <c r="BA55" s="70" t="n">
        <f aca="false">BA51+BA54</f>
        <v>26554.3979336603</v>
      </c>
      <c r="BB55" s="70" t="n">
        <f aca="false">BB51+BB54</f>
        <v>26572.0318622317</v>
      </c>
      <c r="BC55" s="70" t="n">
        <f aca="false">BC51+BC54</f>
        <v>26589.6657908032</v>
      </c>
      <c r="BD55" s="70" t="n">
        <f aca="false">BD51+BD54</f>
        <v>26607.2997193746</v>
      </c>
      <c r="BE55" s="70" t="n">
        <f aca="false">BE51+BE54</f>
        <v>26624.933647946</v>
      </c>
      <c r="BF55" s="70" t="n">
        <f aca="false">BF51+BF54</f>
        <v>26642.5675765174</v>
      </c>
      <c r="BG55" s="70" t="n">
        <f aca="false">BG51+BG54</f>
        <v>26660.2015050889</v>
      </c>
      <c r="BH55" s="70" t="n">
        <f aca="false">BH51+BH54</f>
        <v>26677.8354336603</v>
      </c>
      <c r="BI55" s="70" t="n">
        <f aca="false">BI51+BI54</f>
        <v>26695.4693622317</v>
      </c>
      <c r="BJ55" s="70" t="n">
        <f aca="false">BJ51+BJ54</f>
        <v>26713.1032908032</v>
      </c>
    </row>
    <row r="57" customFormat="false" ht="15.75" hidden="false" customHeight="true" outlineLevel="0" collapsed="false">
      <c r="A57" s="7" t="s">
        <v>429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customFormat="false" ht="15" hidden="false" customHeight="false" outlineLevel="0" collapsed="false">
      <c r="A58" s="6" t="s">
        <v>430</v>
      </c>
      <c r="C58" s="69" t="n">
        <f aca="false">IF(C$4=1,Inputs!$E$15*Inputs!$E$44,0)</f>
        <v>132000</v>
      </c>
      <c r="D58" s="69" t="n">
        <f aca="false">IF(D$4=1,Inputs!$E$15*Inputs!$E$44,0)</f>
        <v>0</v>
      </c>
      <c r="E58" s="69" t="n">
        <f aca="false">IF(E$4=1,Inputs!$E$15*Inputs!$E$44,0)</f>
        <v>0</v>
      </c>
      <c r="F58" s="69" t="n">
        <f aca="false">IF(F$4=1,Inputs!$E$15*Inputs!$E$44,0)</f>
        <v>0</v>
      </c>
      <c r="G58" s="69" t="n">
        <f aca="false">IF(G$4=1,Inputs!$E$15*Inputs!$E$44,0)</f>
        <v>0</v>
      </c>
      <c r="H58" s="69" t="n">
        <f aca="false">IF(H$4=1,Inputs!$E$15*Inputs!$E$44,0)</f>
        <v>0</v>
      </c>
      <c r="I58" s="69" t="n">
        <f aca="false">IF(I$4=1,Inputs!$E$15*Inputs!$E$44,0)</f>
        <v>0</v>
      </c>
      <c r="J58" s="69" t="n">
        <f aca="false">IF(J$4=1,Inputs!$E$15*Inputs!$E$44,0)</f>
        <v>0</v>
      </c>
      <c r="K58" s="69" t="n">
        <f aca="false">IF(K$4=1,Inputs!$E$15*Inputs!$E$44,0)</f>
        <v>0</v>
      </c>
      <c r="L58" s="69" t="n">
        <f aca="false">IF(L$4=1,Inputs!$E$15*Inputs!$E$44,0)</f>
        <v>0</v>
      </c>
      <c r="M58" s="69" t="n">
        <f aca="false">IF(M$4=1,Inputs!$E$15*Inputs!$E$44,0)</f>
        <v>0</v>
      </c>
      <c r="N58" s="69" t="n">
        <f aca="false">IF(N$4=1,Inputs!$E$15*Inputs!$E$44,0)</f>
        <v>0</v>
      </c>
      <c r="O58" s="69" t="n">
        <f aca="false">IF(O$4=1,Inputs!$E$15*Inputs!$E$44,0)</f>
        <v>0</v>
      </c>
      <c r="P58" s="69" t="n">
        <f aca="false">IF(P$4=1,Inputs!$E$15*Inputs!$E$44,0)</f>
        <v>0</v>
      </c>
      <c r="Q58" s="69" t="n">
        <f aca="false">IF(Q$4=1,Inputs!$E$15*Inputs!$E$44,0)</f>
        <v>0</v>
      </c>
      <c r="R58" s="69" t="n">
        <f aca="false">IF(R$4=1,Inputs!$E$15*Inputs!$E$44,0)</f>
        <v>0</v>
      </c>
      <c r="S58" s="69" t="n">
        <f aca="false">IF(S$4=1,Inputs!$E$15*Inputs!$E$44,0)</f>
        <v>0</v>
      </c>
      <c r="T58" s="69" t="n">
        <f aca="false">IF(T$4=1,Inputs!$E$15*Inputs!$E$44,0)</f>
        <v>0</v>
      </c>
      <c r="U58" s="69" t="n">
        <f aca="false">IF(U$4=1,Inputs!$E$15*Inputs!$E$44,0)</f>
        <v>0</v>
      </c>
      <c r="V58" s="69" t="n">
        <f aca="false">IF(V$4=1,Inputs!$E$15*Inputs!$E$44,0)</f>
        <v>0</v>
      </c>
      <c r="W58" s="69" t="n">
        <f aca="false">IF(W$4=1,Inputs!$E$15*Inputs!$E$44,0)</f>
        <v>0</v>
      </c>
      <c r="X58" s="69" t="n">
        <f aca="false">IF(X$4=1,Inputs!$E$15*Inputs!$E$44,0)</f>
        <v>0</v>
      </c>
      <c r="Y58" s="69" t="n">
        <f aca="false">IF(Y$4=1,Inputs!$E$15*Inputs!$E$44,0)</f>
        <v>0</v>
      </c>
      <c r="Z58" s="69" t="n">
        <f aca="false">IF(Z$4=1,Inputs!$E$15*Inputs!$E$44,0)</f>
        <v>0</v>
      </c>
      <c r="AA58" s="69" t="n">
        <f aca="false">IF(AA$4=1,Inputs!$E$15*Inputs!$E$44,0)</f>
        <v>0</v>
      </c>
      <c r="AB58" s="69" t="n">
        <f aca="false">IF(AB$4=1,Inputs!$E$15*Inputs!$E$44,0)</f>
        <v>0</v>
      </c>
      <c r="AC58" s="69" t="n">
        <f aca="false">IF(AC$4=1,Inputs!$E$15*Inputs!$E$44,0)</f>
        <v>0</v>
      </c>
      <c r="AD58" s="69" t="n">
        <f aca="false">IF(AD$4=1,Inputs!$E$15*Inputs!$E$44,0)</f>
        <v>0</v>
      </c>
      <c r="AE58" s="69" t="n">
        <f aca="false">IF(AE$4=1,Inputs!$E$15*Inputs!$E$44,0)</f>
        <v>0</v>
      </c>
      <c r="AF58" s="69" t="n">
        <f aca="false">IF(AF$4=1,Inputs!$E$15*Inputs!$E$44,0)</f>
        <v>0</v>
      </c>
      <c r="AG58" s="69" t="n">
        <f aca="false">IF(AG$4=1,Inputs!$E$15*Inputs!$E$44,0)</f>
        <v>0</v>
      </c>
      <c r="AH58" s="69" t="n">
        <f aca="false">IF(AH$4=1,Inputs!$E$15*Inputs!$E$44,0)</f>
        <v>0</v>
      </c>
      <c r="AI58" s="69" t="n">
        <f aca="false">IF(AI$4=1,Inputs!$E$15*Inputs!$E$44,0)</f>
        <v>0</v>
      </c>
      <c r="AJ58" s="69" t="n">
        <f aca="false">IF(AJ$4=1,Inputs!$E$15*Inputs!$E$44,0)</f>
        <v>0</v>
      </c>
      <c r="AK58" s="69" t="n">
        <f aca="false">IF(AK$4=1,Inputs!$E$15*Inputs!$E$44,0)</f>
        <v>0</v>
      </c>
      <c r="AL58" s="69" t="n">
        <f aca="false">IF(AL$4=1,Inputs!$E$15*Inputs!$E$44,0)</f>
        <v>0</v>
      </c>
      <c r="AM58" s="69" t="n">
        <f aca="false">IF(AM$4=1,Inputs!$E$15*Inputs!$E$44,0)</f>
        <v>0</v>
      </c>
      <c r="AN58" s="69" t="n">
        <f aca="false">IF(AN$4=1,Inputs!$E$15*Inputs!$E$44,0)</f>
        <v>0</v>
      </c>
      <c r="AO58" s="69" t="n">
        <f aca="false">IF(AO$4=1,Inputs!$E$15*Inputs!$E$44,0)</f>
        <v>0</v>
      </c>
      <c r="AP58" s="69" t="n">
        <f aca="false">IF(AP$4=1,Inputs!$E$15*Inputs!$E$44,0)</f>
        <v>0</v>
      </c>
      <c r="AQ58" s="69" t="n">
        <f aca="false">IF(AQ$4=1,Inputs!$E$15*Inputs!$E$44,0)</f>
        <v>0</v>
      </c>
      <c r="AR58" s="69" t="n">
        <f aca="false">IF(AR$4=1,Inputs!$E$15*Inputs!$E$44,0)</f>
        <v>0</v>
      </c>
      <c r="AS58" s="69" t="n">
        <f aca="false">IF(AS$4=1,Inputs!$E$15*Inputs!$E$44,0)</f>
        <v>0</v>
      </c>
      <c r="AT58" s="69" t="n">
        <f aca="false">IF(AT$4=1,Inputs!$E$15*Inputs!$E$44,0)</f>
        <v>0</v>
      </c>
      <c r="AU58" s="69" t="n">
        <f aca="false">IF(AU$4=1,Inputs!$E$15*Inputs!$E$44,0)</f>
        <v>0</v>
      </c>
      <c r="AV58" s="69" t="n">
        <f aca="false">IF(AV$4=1,Inputs!$E$15*Inputs!$E$44,0)</f>
        <v>0</v>
      </c>
      <c r="AW58" s="69" t="n">
        <f aca="false">IF(AW$4=1,Inputs!$E$15*Inputs!$E$44,0)</f>
        <v>0</v>
      </c>
      <c r="AX58" s="69" t="n">
        <f aca="false">IF(AX$4=1,Inputs!$E$15*Inputs!$E$44,0)</f>
        <v>0</v>
      </c>
      <c r="AY58" s="69" t="n">
        <f aca="false">IF(AY$4=1,Inputs!$E$15*Inputs!$E$44,0)</f>
        <v>0</v>
      </c>
      <c r="AZ58" s="69" t="n">
        <f aca="false">IF(AZ$4=1,Inputs!$E$15*Inputs!$E$44,0)</f>
        <v>0</v>
      </c>
      <c r="BA58" s="69" t="n">
        <f aca="false">IF(BA$4=1,Inputs!$E$15*Inputs!$E$44,0)</f>
        <v>0</v>
      </c>
      <c r="BB58" s="69" t="n">
        <f aca="false">IF(BB$4=1,Inputs!$E$15*Inputs!$E$44,0)</f>
        <v>0</v>
      </c>
      <c r="BC58" s="69" t="n">
        <f aca="false">IF(BC$4=1,Inputs!$E$15*Inputs!$E$44,0)</f>
        <v>0</v>
      </c>
      <c r="BD58" s="69" t="n">
        <f aca="false">IF(BD$4=1,Inputs!$E$15*Inputs!$E$44,0)</f>
        <v>0</v>
      </c>
      <c r="BE58" s="69" t="n">
        <f aca="false">IF(BE$4=1,Inputs!$E$15*Inputs!$E$44,0)</f>
        <v>0</v>
      </c>
      <c r="BF58" s="69" t="n">
        <f aca="false">IF(BF$4=1,Inputs!$E$15*Inputs!$E$44,0)</f>
        <v>0</v>
      </c>
      <c r="BG58" s="69" t="n">
        <f aca="false">IF(BG$4=1,Inputs!$E$15*Inputs!$E$44,0)</f>
        <v>0</v>
      </c>
      <c r="BH58" s="69" t="n">
        <f aca="false">IF(BH$4=1,Inputs!$E$15*Inputs!$E$44,0)</f>
        <v>0</v>
      </c>
      <c r="BI58" s="69" t="n">
        <f aca="false">IF(BI$4=1,Inputs!$E$15*Inputs!$E$44,0)</f>
        <v>0</v>
      </c>
      <c r="BJ58" s="69" t="n">
        <f aca="false">IF(BJ$4=1,Inputs!$E$15*Inputs!$E$44,0)</f>
        <v>0</v>
      </c>
    </row>
    <row r="59" customFormat="false" ht="15" hidden="false" customHeight="false" outlineLevel="0" collapsed="false">
      <c r="A59" s="6" t="s">
        <v>431</v>
      </c>
      <c r="C59" s="69" t="n">
        <f aca="false">IF(C$4=1,Inputs!$E$45,0)</f>
        <v>70000</v>
      </c>
      <c r="D59" s="69" t="n">
        <f aca="false">IF(D$4=1,Inputs!$E$45,0)</f>
        <v>0</v>
      </c>
      <c r="E59" s="69" t="n">
        <f aca="false">IF(E$4=1,Inputs!$E$45,0)</f>
        <v>0</v>
      </c>
      <c r="F59" s="69" t="n">
        <f aca="false">IF(F$4=1,Inputs!$E$45,0)</f>
        <v>0</v>
      </c>
      <c r="G59" s="69" t="n">
        <f aca="false">IF(G$4=1,Inputs!$E$45,0)</f>
        <v>0</v>
      </c>
      <c r="H59" s="69" t="n">
        <f aca="false">IF(H$4=1,Inputs!$E$45,0)</f>
        <v>0</v>
      </c>
      <c r="I59" s="69" t="n">
        <f aca="false">IF(I$4=1,Inputs!$E$45,0)</f>
        <v>0</v>
      </c>
      <c r="J59" s="69" t="n">
        <f aca="false">IF(J$4=1,Inputs!$E$45,0)</f>
        <v>0</v>
      </c>
      <c r="K59" s="69" t="n">
        <f aca="false">IF(K$4=1,Inputs!$E$45,0)</f>
        <v>0</v>
      </c>
      <c r="L59" s="69" t="n">
        <f aca="false">IF(L$4=1,Inputs!$E$45,0)</f>
        <v>0</v>
      </c>
      <c r="M59" s="69" t="n">
        <f aca="false">IF(M$4=1,Inputs!$E$45,0)</f>
        <v>0</v>
      </c>
      <c r="N59" s="69" t="n">
        <f aca="false">IF(N$4=1,Inputs!$E$45,0)</f>
        <v>0</v>
      </c>
      <c r="O59" s="69" t="n">
        <f aca="false">IF(O$4=1,Inputs!$E$45,0)</f>
        <v>0</v>
      </c>
      <c r="P59" s="69" t="n">
        <f aca="false">IF(P$4=1,Inputs!$E$45,0)</f>
        <v>0</v>
      </c>
      <c r="Q59" s="69" t="n">
        <f aca="false">IF(Q$4=1,Inputs!$E$45,0)</f>
        <v>0</v>
      </c>
      <c r="R59" s="69" t="n">
        <f aca="false">IF(R$4=1,Inputs!$E$45,0)</f>
        <v>0</v>
      </c>
      <c r="S59" s="69" t="n">
        <f aca="false">IF(S$4=1,Inputs!$E$45,0)</f>
        <v>0</v>
      </c>
      <c r="T59" s="69" t="n">
        <f aca="false">IF(T$4=1,Inputs!$E$45,0)</f>
        <v>0</v>
      </c>
      <c r="U59" s="69" t="n">
        <f aca="false">IF(U$4=1,Inputs!$E$45,0)</f>
        <v>0</v>
      </c>
      <c r="V59" s="69" t="n">
        <f aca="false">IF(V$4=1,Inputs!$E$45,0)</f>
        <v>0</v>
      </c>
      <c r="W59" s="69" t="n">
        <f aca="false">IF(W$4=1,Inputs!$E$45,0)</f>
        <v>0</v>
      </c>
      <c r="X59" s="69" t="n">
        <f aca="false">IF(X$4=1,Inputs!$E$45,0)</f>
        <v>0</v>
      </c>
      <c r="Y59" s="69" t="n">
        <f aca="false">IF(Y$4=1,Inputs!$E$45,0)</f>
        <v>0</v>
      </c>
      <c r="Z59" s="69" t="n">
        <f aca="false">IF(Z$4=1,Inputs!$E$45,0)</f>
        <v>0</v>
      </c>
      <c r="AA59" s="69" t="n">
        <f aca="false">IF(AA$4=1,Inputs!$E$45,0)</f>
        <v>0</v>
      </c>
      <c r="AB59" s="69" t="n">
        <f aca="false">IF(AB$4=1,Inputs!$E$45,0)</f>
        <v>0</v>
      </c>
      <c r="AC59" s="69" t="n">
        <f aca="false">IF(AC$4=1,Inputs!$E$45,0)</f>
        <v>0</v>
      </c>
      <c r="AD59" s="69" t="n">
        <f aca="false">IF(AD$4=1,Inputs!$E$45,0)</f>
        <v>0</v>
      </c>
      <c r="AE59" s="69" t="n">
        <f aca="false">IF(AE$4=1,Inputs!$E$45,0)</f>
        <v>0</v>
      </c>
      <c r="AF59" s="69" t="n">
        <f aca="false">IF(AF$4=1,Inputs!$E$45,0)</f>
        <v>0</v>
      </c>
      <c r="AG59" s="69" t="n">
        <f aca="false">IF(AG$4=1,Inputs!$E$45,0)</f>
        <v>0</v>
      </c>
      <c r="AH59" s="69" t="n">
        <f aca="false">IF(AH$4=1,Inputs!$E$45,0)</f>
        <v>0</v>
      </c>
      <c r="AI59" s="69" t="n">
        <f aca="false">IF(AI$4=1,Inputs!$E$45,0)</f>
        <v>0</v>
      </c>
      <c r="AJ59" s="69" t="n">
        <f aca="false">IF(AJ$4=1,Inputs!$E$45,0)</f>
        <v>0</v>
      </c>
      <c r="AK59" s="69" t="n">
        <f aca="false">IF(AK$4=1,Inputs!$E$45,0)</f>
        <v>0</v>
      </c>
      <c r="AL59" s="69" t="n">
        <f aca="false">IF(AL$4=1,Inputs!$E$45,0)</f>
        <v>0</v>
      </c>
      <c r="AM59" s="69" t="n">
        <f aca="false">IF(AM$4=1,Inputs!$E$45,0)</f>
        <v>0</v>
      </c>
      <c r="AN59" s="69" t="n">
        <f aca="false">IF(AN$4=1,Inputs!$E$45,0)</f>
        <v>0</v>
      </c>
      <c r="AO59" s="69" t="n">
        <f aca="false">IF(AO$4=1,Inputs!$E$45,0)</f>
        <v>0</v>
      </c>
      <c r="AP59" s="69" t="n">
        <f aca="false">IF(AP$4=1,Inputs!$E$45,0)</f>
        <v>0</v>
      </c>
      <c r="AQ59" s="69" t="n">
        <f aca="false">IF(AQ$4=1,Inputs!$E$45,0)</f>
        <v>0</v>
      </c>
      <c r="AR59" s="69" t="n">
        <f aca="false">IF(AR$4=1,Inputs!$E$45,0)</f>
        <v>0</v>
      </c>
      <c r="AS59" s="69" t="n">
        <f aca="false">IF(AS$4=1,Inputs!$E$45,0)</f>
        <v>0</v>
      </c>
      <c r="AT59" s="69" t="n">
        <f aca="false">IF(AT$4=1,Inputs!$E$45,0)</f>
        <v>0</v>
      </c>
      <c r="AU59" s="69" t="n">
        <f aca="false">IF(AU$4=1,Inputs!$E$45,0)</f>
        <v>0</v>
      </c>
      <c r="AV59" s="69" t="n">
        <f aca="false">IF(AV$4=1,Inputs!$E$45,0)</f>
        <v>0</v>
      </c>
      <c r="AW59" s="69" t="n">
        <f aca="false">IF(AW$4=1,Inputs!$E$45,0)</f>
        <v>0</v>
      </c>
      <c r="AX59" s="69" t="n">
        <f aca="false">IF(AX$4=1,Inputs!$E$45,0)</f>
        <v>0</v>
      </c>
      <c r="AY59" s="69" t="n">
        <f aca="false">IF(AY$4=1,Inputs!$E$45,0)</f>
        <v>0</v>
      </c>
      <c r="AZ59" s="69" t="n">
        <f aca="false">IF(AZ$4=1,Inputs!$E$45,0)</f>
        <v>0</v>
      </c>
      <c r="BA59" s="69" t="n">
        <f aca="false">IF(BA$4=1,Inputs!$E$45,0)</f>
        <v>0</v>
      </c>
      <c r="BB59" s="69" t="n">
        <f aca="false">IF(BB$4=1,Inputs!$E$45,0)</f>
        <v>0</v>
      </c>
      <c r="BC59" s="69" t="n">
        <f aca="false">IF(BC$4=1,Inputs!$E$45,0)</f>
        <v>0</v>
      </c>
      <c r="BD59" s="69" t="n">
        <f aca="false">IF(BD$4=1,Inputs!$E$45,0)</f>
        <v>0</v>
      </c>
      <c r="BE59" s="69" t="n">
        <f aca="false">IF(BE$4=1,Inputs!$E$45,0)</f>
        <v>0</v>
      </c>
      <c r="BF59" s="69" t="n">
        <f aca="false">IF(BF$4=1,Inputs!$E$45,0)</f>
        <v>0</v>
      </c>
      <c r="BG59" s="69" t="n">
        <f aca="false">IF(BG$4=1,Inputs!$E$45,0)</f>
        <v>0</v>
      </c>
      <c r="BH59" s="69" t="n">
        <f aca="false">IF(BH$4=1,Inputs!$E$45,0)</f>
        <v>0</v>
      </c>
      <c r="BI59" s="69" t="n">
        <f aca="false">IF(BI$4=1,Inputs!$E$45,0)</f>
        <v>0</v>
      </c>
      <c r="BJ59" s="69" t="n">
        <f aca="false">IF(BJ$4=1,Inputs!$E$45,0)</f>
        <v>0</v>
      </c>
    </row>
    <row r="60" customFormat="false" ht="15" hidden="false" customHeight="false" outlineLevel="0" collapsed="false">
      <c r="A60" s="6" t="s">
        <v>432</v>
      </c>
      <c r="C60" s="69" t="n">
        <f aca="false">IF(C$4=1,Inputs!$E$46,0)</f>
        <v>180000</v>
      </c>
      <c r="D60" s="69" t="n">
        <f aca="false">IF(D$4=1,Inputs!$E$46,0)</f>
        <v>0</v>
      </c>
      <c r="E60" s="69" t="n">
        <f aca="false">IF(E$4=1,Inputs!$E$46,0)</f>
        <v>0</v>
      </c>
      <c r="F60" s="69" t="n">
        <f aca="false">IF(F$4=1,Inputs!$E$46,0)</f>
        <v>0</v>
      </c>
      <c r="G60" s="69" t="n">
        <f aca="false">IF(G$4=1,Inputs!$E$46,0)</f>
        <v>0</v>
      </c>
      <c r="H60" s="69" t="n">
        <f aca="false">IF(H$4=1,Inputs!$E$46,0)</f>
        <v>0</v>
      </c>
      <c r="I60" s="69" t="n">
        <f aca="false">IF(I$4=1,Inputs!$E$46,0)</f>
        <v>0</v>
      </c>
      <c r="J60" s="69" t="n">
        <f aca="false">IF(J$4=1,Inputs!$E$46,0)</f>
        <v>0</v>
      </c>
      <c r="K60" s="69" t="n">
        <f aca="false">IF(K$4=1,Inputs!$E$46,0)</f>
        <v>0</v>
      </c>
      <c r="L60" s="69" t="n">
        <f aca="false">IF(L$4=1,Inputs!$E$46,0)</f>
        <v>0</v>
      </c>
      <c r="M60" s="69" t="n">
        <f aca="false">IF(M$4=1,Inputs!$E$46,0)</f>
        <v>0</v>
      </c>
      <c r="N60" s="69" t="n">
        <f aca="false">IF(N$4=1,Inputs!$E$46,0)</f>
        <v>0</v>
      </c>
      <c r="O60" s="69" t="n">
        <f aca="false">IF(O$4=1,Inputs!$E$46,0)</f>
        <v>0</v>
      </c>
      <c r="P60" s="69" t="n">
        <f aca="false">IF(P$4=1,Inputs!$E$46,0)</f>
        <v>0</v>
      </c>
      <c r="Q60" s="69" t="n">
        <f aca="false">IF(Q$4=1,Inputs!$E$46,0)</f>
        <v>0</v>
      </c>
      <c r="R60" s="69" t="n">
        <f aca="false">IF(R$4=1,Inputs!$E$46,0)</f>
        <v>0</v>
      </c>
      <c r="S60" s="69" t="n">
        <f aca="false">IF(S$4=1,Inputs!$E$46,0)</f>
        <v>0</v>
      </c>
      <c r="T60" s="69" t="n">
        <f aca="false">IF(T$4=1,Inputs!$E$46,0)</f>
        <v>0</v>
      </c>
      <c r="U60" s="69" t="n">
        <f aca="false">IF(U$4=1,Inputs!$E$46,0)</f>
        <v>0</v>
      </c>
      <c r="V60" s="69" t="n">
        <f aca="false">IF(V$4=1,Inputs!$E$46,0)</f>
        <v>0</v>
      </c>
      <c r="W60" s="69" t="n">
        <f aca="false">IF(W$4=1,Inputs!$E$46,0)</f>
        <v>0</v>
      </c>
      <c r="X60" s="69" t="n">
        <f aca="false">IF(X$4=1,Inputs!$E$46,0)</f>
        <v>0</v>
      </c>
      <c r="Y60" s="69" t="n">
        <f aca="false">IF(Y$4=1,Inputs!$E$46,0)</f>
        <v>0</v>
      </c>
      <c r="Z60" s="69" t="n">
        <f aca="false">IF(Z$4=1,Inputs!$E$46,0)</f>
        <v>0</v>
      </c>
      <c r="AA60" s="69" t="n">
        <f aca="false">IF(AA$4=1,Inputs!$E$46,0)</f>
        <v>0</v>
      </c>
      <c r="AB60" s="69" t="n">
        <f aca="false">IF(AB$4=1,Inputs!$E$46,0)</f>
        <v>0</v>
      </c>
      <c r="AC60" s="69" t="n">
        <f aca="false">IF(AC$4=1,Inputs!$E$46,0)</f>
        <v>0</v>
      </c>
      <c r="AD60" s="69" t="n">
        <f aca="false">IF(AD$4=1,Inputs!$E$46,0)</f>
        <v>0</v>
      </c>
      <c r="AE60" s="69" t="n">
        <f aca="false">IF(AE$4=1,Inputs!$E$46,0)</f>
        <v>0</v>
      </c>
      <c r="AF60" s="69" t="n">
        <f aca="false">IF(AF$4=1,Inputs!$E$46,0)</f>
        <v>0</v>
      </c>
      <c r="AG60" s="69" t="n">
        <f aca="false">IF(AG$4=1,Inputs!$E$46,0)</f>
        <v>0</v>
      </c>
      <c r="AH60" s="69" t="n">
        <f aca="false">IF(AH$4=1,Inputs!$E$46,0)</f>
        <v>0</v>
      </c>
      <c r="AI60" s="69" t="n">
        <f aca="false">IF(AI$4=1,Inputs!$E$46,0)</f>
        <v>0</v>
      </c>
      <c r="AJ60" s="69" t="n">
        <f aca="false">IF(AJ$4=1,Inputs!$E$46,0)</f>
        <v>0</v>
      </c>
      <c r="AK60" s="69" t="n">
        <f aca="false">IF(AK$4=1,Inputs!$E$46,0)</f>
        <v>0</v>
      </c>
      <c r="AL60" s="69" t="n">
        <f aca="false">IF(AL$4=1,Inputs!$E$46,0)</f>
        <v>0</v>
      </c>
      <c r="AM60" s="69" t="n">
        <f aca="false">IF(AM$4=1,Inputs!$E$46,0)</f>
        <v>0</v>
      </c>
      <c r="AN60" s="69" t="n">
        <f aca="false">IF(AN$4=1,Inputs!$E$46,0)</f>
        <v>0</v>
      </c>
      <c r="AO60" s="69" t="n">
        <f aca="false">IF(AO$4=1,Inputs!$E$46,0)</f>
        <v>0</v>
      </c>
      <c r="AP60" s="69" t="n">
        <f aca="false">IF(AP$4=1,Inputs!$E$46,0)</f>
        <v>0</v>
      </c>
      <c r="AQ60" s="69" t="n">
        <f aca="false">IF(AQ$4=1,Inputs!$E$46,0)</f>
        <v>0</v>
      </c>
      <c r="AR60" s="69" t="n">
        <f aca="false">IF(AR$4=1,Inputs!$E$46,0)</f>
        <v>0</v>
      </c>
      <c r="AS60" s="69" t="n">
        <f aca="false">IF(AS$4=1,Inputs!$E$46,0)</f>
        <v>0</v>
      </c>
      <c r="AT60" s="69" t="n">
        <f aca="false">IF(AT$4=1,Inputs!$E$46,0)</f>
        <v>0</v>
      </c>
      <c r="AU60" s="69" t="n">
        <f aca="false">IF(AU$4=1,Inputs!$E$46,0)</f>
        <v>0</v>
      </c>
      <c r="AV60" s="69" t="n">
        <f aca="false">IF(AV$4=1,Inputs!$E$46,0)</f>
        <v>0</v>
      </c>
      <c r="AW60" s="69" t="n">
        <f aca="false">IF(AW$4=1,Inputs!$E$46,0)</f>
        <v>0</v>
      </c>
      <c r="AX60" s="69" t="n">
        <f aca="false">IF(AX$4=1,Inputs!$E$46,0)</f>
        <v>0</v>
      </c>
      <c r="AY60" s="69" t="n">
        <f aca="false">IF(AY$4=1,Inputs!$E$46,0)</f>
        <v>0</v>
      </c>
      <c r="AZ60" s="69" t="n">
        <f aca="false">IF(AZ$4=1,Inputs!$E$46,0)</f>
        <v>0</v>
      </c>
      <c r="BA60" s="69" t="n">
        <f aca="false">IF(BA$4=1,Inputs!$E$46,0)</f>
        <v>0</v>
      </c>
      <c r="BB60" s="69" t="n">
        <f aca="false">IF(BB$4=1,Inputs!$E$46,0)</f>
        <v>0</v>
      </c>
      <c r="BC60" s="69" t="n">
        <f aca="false">IF(BC$4=1,Inputs!$E$46,0)</f>
        <v>0</v>
      </c>
      <c r="BD60" s="69" t="n">
        <f aca="false">IF(BD$4=1,Inputs!$E$46,0)</f>
        <v>0</v>
      </c>
      <c r="BE60" s="69" t="n">
        <f aca="false">IF(BE$4=1,Inputs!$E$46,0)</f>
        <v>0</v>
      </c>
      <c r="BF60" s="69" t="n">
        <f aca="false">IF(BF$4=1,Inputs!$E$46,0)</f>
        <v>0</v>
      </c>
      <c r="BG60" s="69" t="n">
        <f aca="false">IF(BG$4=1,Inputs!$E$46,0)</f>
        <v>0</v>
      </c>
      <c r="BH60" s="69" t="n">
        <f aca="false">IF(BH$4=1,Inputs!$E$46,0)</f>
        <v>0</v>
      </c>
      <c r="BI60" s="69" t="n">
        <f aca="false">IF(BI$4=1,Inputs!$E$46,0)</f>
        <v>0</v>
      </c>
      <c r="BJ60" s="69" t="n">
        <f aca="false">IF(BJ$4=1,Inputs!$E$46,0)</f>
        <v>0</v>
      </c>
    </row>
    <row r="61" customFormat="false" ht="15" hidden="false" customHeight="false" outlineLevel="0" collapsed="false">
      <c r="A61" s="6" t="s">
        <v>433</v>
      </c>
      <c r="C61" s="69" t="n">
        <f aca="false">IF(C$4=1,Inputs!$E$47,0)</f>
        <v>0</v>
      </c>
      <c r="D61" s="69" t="n">
        <f aca="false">IF(D$4=1,Inputs!$E$47,0)</f>
        <v>0</v>
      </c>
      <c r="E61" s="69" t="n">
        <f aca="false">IF(E$4=1,Inputs!$E$47,0)</f>
        <v>0</v>
      </c>
      <c r="F61" s="69" t="n">
        <f aca="false">IF(F$4=1,Inputs!$E$47,0)</f>
        <v>0</v>
      </c>
      <c r="G61" s="69" t="n">
        <f aca="false">IF(G$4=1,Inputs!$E$47,0)</f>
        <v>0</v>
      </c>
      <c r="H61" s="69" t="n">
        <f aca="false">IF(H$4=1,Inputs!$E$47,0)</f>
        <v>0</v>
      </c>
      <c r="I61" s="69" t="n">
        <f aca="false">IF(I$4=1,Inputs!$E$47,0)</f>
        <v>0</v>
      </c>
      <c r="J61" s="69" t="n">
        <f aca="false">IF(J$4=1,Inputs!$E$47,0)</f>
        <v>0</v>
      </c>
      <c r="K61" s="69" t="n">
        <f aca="false">IF(K$4=1,Inputs!$E$47,0)</f>
        <v>0</v>
      </c>
      <c r="L61" s="69" t="n">
        <f aca="false">IF(L$4=1,Inputs!$E$47,0)</f>
        <v>0</v>
      </c>
      <c r="M61" s="69" t="n">
        <f aca="false">IF(M$4=1,Inputs!$E$47,0)</f>
        <v>0</v>
      </c>
      <c r="N61" s="69" t="n">
        <f aca="false">IF(N$4=1,Inputs!$E$47,0)</f>
        <v>0</v>
      </c>
      <c r="O61" s="69" t="n">
        <f aca="false">IF(O$4=1,Inputs!$E$47,0)</f>
        <v>0</v>
      </c>
      <c r="P61" s="69" t="n">
        <f aca="false">IF(P$4=1,Inputs!$E$47,0)</f>
        <v>0</v>
      </c>
      <c r="Q61" s="69" t="n">
        <f aca="false">IF(Q$4=1,Inputs!$E$47,0)</f>
        <v>0</v>
      </c>
      <c r="R61" s="69" t="n">
        <f aca="false">IF(R$4=1,Inputs!$E$47,0)</f>
        <v>0</v>
      </c>
      <c r="S61" s="69" t="n">
        <f aca="false">IF(S$4=1,Inputs!$E$47,0)</f>
        <v>0</v>
      </c>
      <c r="T61" s="69" t="n">
        <f aca="false">IF(T$4=1,Inputs!$E$47,0)</f>
        <v>0</v>
      </c>
      <c r="U61" s="69" t="n">
        <f aca="false">IF(U$4=1,Inputs!$E$47,0)</f>
        <v>0</v>
      </c>
      <c r="V61" s="69" t="n">
        <f aca="false">IF(V$4=1,Inputs!$E$47,0)</f>
        <v>0</v>
      </c>
      <c r="W61" s="69" t="n">
        <f aca="false">IF(W$4=1,Inputs!$E$47,0)</f>
        <v>0</v>
      </c>
      <c r="X61" s="69" t="n">
        <f aca="false">IF(X$4=1,Inputs!$E$47,0)</f>
        <v>0</v>
      </c>
      <c r="Y61" s="69" t="n">
        <f aca="false">IF(Y$4=1,Inputs!$E$47,0)</f>
        <v>0</v>
      </c>
      <c r="Z61" s="69" t="n">
        <f aca="false">IF(Z$4=1,Inputs!$E$47,0)</f>
        <v>0</v>
      </c>
      <c r="AA61" s="69" t="n">
        <f aca="false">IF(AA$4=1,Inputs!$E$47,0)</f>
        <v>0</v>
      </c>
      <c r="AB61" s="69" t="n">
        <f aca="false">IF(AB$4=1,Inputs!$E$47,0)</f>
        <v>0</v>
      </c>
      <c r="AC61" s="69" t="n">
        <f aca="false">IF(AC$4=1,Inputs!$E$47,0)</f>
        <v>0</v>
      </c>
      <c r="AD61" s="69" t="n">
        <f aca="false">IF(AD$4=1,Inputs!$E$47,0)</f>
        <v>0</v>
      </c>
      <c r="AE61" s="69" t="n">
        <f aca="false">IF(AE$4=1,Inputs!$E$47,0)</f>
        <v>0</v>
      </c>
      <c r="AF61" s="69" t="n">
        <f aca="false">IF(AF$4=1,Inputs!$E$47,0)</f>
        <v>0</v>
      </c>
      <c r="AG61" s="69" t="n">
        <f aca="false">IF(AG$4=1,Inputs!$E$47,0)</f>
        <v>0</v>
      </c>
      <c r="AH61" s="69" t="n">
        <f aca="false">IF(AH$4=1,Inputs!$E$47,0)</f>
        <v>0</v>
      </c>
      <c r="AI61" s="69" t="n">
        <f aca="false">IF(AI$4=1,Inputs!$E$47,0)</f>
        <v>0</v>
      </c>
      <c r="AJ61" s="69" t="n">
        <f aca="false">IF(AJ$4=1,Inputs!$E$47,0)</f>
        <v>0</v>
      </c>
      <c r="AK61" s="69" t="n">
        <f aca="false">IF(AK$4=1,Inputs!$E$47,0)</f>
        <v>0</v>
      </c>
      <c r="AL61" s="69" t="n">
        <f aca="false">IF(AL$4=1,Inputs!$E$47,0)</f>
        <v>0</v>
      </c>
      <c r="AM61" s="69" t="n">
        <f aca="false">IF(AM$4=1,Inputs!$E$47,0)</f>
        <v>0</v>
      </c>
      <c r="AN61" s="69" t="n">
        <f aca="false">IF(AN$4=1,Inputs!$E$47,0)</f>
        <v>0</v>
      </c>
      <c r="AO61" s="69" t="n">
        <f aca="false">IF(AO$4=1,Inputs!$E$47,0)</f>
        <v>0</v>
      </c>
      <c r="AP61" s="69" t="n">
        <f aca="false">IF(AP$4=1,Inputs!$E$47,0)</f>
        <v>0</v>
      </c>
      <c r="AQ61" s="69" t="n">
        <f aca="false">IF(AQ$4=1,Inputs!$E$47,0)</f>
        <v>0</v>
      </c>
      <c r="AR61" s="69" t="n">
        <f aca="false">IF(AR$4=1,Inputs!$E$47,0)</f>
        <v>0</v>
      </c>
      <c r="AS61" s="69" t="n">
        <f aca="false">IF(AS$4=1,Inputs!$E$47,0)</f>
        <v>0</v>
      </c>
      <c r="AT61" s="69" t="n">
        <f aca="false">IF(AT$4=1,Inputs!$E$47,0)</f>
        <v>0</v>
      </c>
      <c r="AU61" s="69" t="n">
        <f aca="false">IF(AU$4=1,Inputs!$E$47,0)</f>
        <v>0</v>
      </c>
      <c r="AV61" s="69" t="n">
        <f aca="false">IF(AV$4=1,Inputs!$E$47,0)</f>
        <v>0</v>
      </c>
      <c r="AW61" s="69" t="n">
        <f aca="false">IF(AW$4=1,Inputs!$E$47,0)</f>
        <v>0</v>
      </c>
      <c r="AX61" s="69" t="n">
        <f aca="false">IF(AX$4=1,Inputs!$E$47,0)</f>
        <v>0</v>
      </c>
      <c r="AY61" s="69" t="n">
        <f aca="false">IF(AY$4=1,Inputs!$E$47,0)</f>
        <v>0</v>
      </c>
      <c r="AZ61" s="69" t="n">
        <f aca="false">IF(AZ$4=1,Inputs!$E$47,0)</f>
        <v>0</v>
      </c>
      <c r="BA61" s="69" t="n">
        <f aca="false">IF(BA$4=1,Inputs!$E$47,0)</f>
        <v>0</v>
      </c>
      <c r="BB61" s="69" t="n">
        <f aca="false">IF(BB$4=1,Inputs!$E$47,0)</f>
        <v>0</v>
      </c>
      <c r="BC61" s="69" t="n">
        <f aca="false">IF(BC$4=1,Inputs!$E$47,0)</f>
        <v>0</v>
      </c>
      <c r="BD61" s="69" t="n">
        <f aca="false">IF(BD$4=1,Inputs!$E$47,0)</f>
        <v>0</v>
      </c>
      <c r="BE61" s="69" t="n">
        <f aca="false">IF(BE$4=1,Inputs!$E$47,0)</f>
        <v>0</v>
      </c>
      <c r="BF61" s="69" t="n">
        <f aca="false">IF(BF$4=1,Inputs!$E$47,0)</f>
        <v>0</v>
      </c>
      <c r="BG61" s="69" t="n">
        <f aca="false">IF(BG$4=1,Inputs!$E$47,0)</f>
        <v>0</v>
      </c>
      <c r="BH61" s="69" t="n">
        <f aca="false">IF(BH$4=1,Inputs!$E$47,0)</f>
        <v>0</v>
      </c>
      <c r="BI61" s="69" t="n">
        <f aca="false">IF(BI$4=1,Inputs!$E$47,0)</f>
        <v>0</v>
      </c>
      <c r="BJ61" s="69" t="n">
        <f aca="false">IF(BJ$4=1,Inputs!$E$47,0)</f>
        <v>0</v>
      </c>
    </row>
    <row r="62" customFormat="false" ht="15" hidden="false" customHeight="false" outlineLevel="0" collapsed="false">
      <c r="A62" s="6" t="s">
        <v>434</v>
      </c>
      <c r="C62" s="69" t="n">
        <f aca="false">IF(AND(C$5&gt;1,MOD(C$4-1,12)=0),Inputs!$E$48,0)</f>
        <v>0</v>
      </c>
      <c r="D62" s="69" t="n">
        <f aca="false">IF(AND(D$5&gt;1,MOD(D$4-1,12)=0),Inputs!$E$48,0)</f>
        <v>0</v>
      </c>
      <c r="E62" s="69" t="n">
        <f aca="false">IF(AND(E$5&gt;1,MOD(E$4-1,12)=0),Inputs!$E$48,0)</f>
        <v>0</v>
      </c>
      <c r="F62" s="69" t="n">
        <f aca="false">IF(AND(F$5&gt;1,MOD(F$4-1,12)=0),Inputs!$E$48,0)</f>
        <v>0</v>
      </c>
      <c r="G62" s="69" t="n">
        <f aca="false">IF(AND(G$5&gt;1,MOD(G$4-1,12)=0),Inputs!$E$48,0)</f>
        <v>0</v>
      </c>
      <c r="H62" s="69" t="n">
        <f aca="false">IF(AND(H$5&gt;1,MOD(H$4-1,12)=0),Inputs!$E$48,0)</f>
        <v>0</v>
      </c>
      <c r="I62" s="69" t="n">
        <f aca="false">IF(AND(I$5&gt;1,MOD(I$4-1,12)=0),Inputs!$E$48,0)</f>
        <v>0</v>
      </c>
      <c r="J62" s="69" t="n">
        <f aca="false">IF(AND(J$5&gt;1,MOD(J$4-1,12)=0),Inputs!$E$48,0)</f>
        <v>0</v>
      </c>
      <c r="K62" s="69" t="n">
        <f aca="false">IF(AND(K$5&gt;1,MOD(K$4-1,12)=0),Inputs!$E$48,0)</f>
        <v>0</v>
      </c>
      <c r="L62" s="69" t="n">
        <f aca="false">IF(AND(L$5&gt;1,MOD(L$4-1,12)=0),Inputs!$E$48,0)</f>
        <v>0</v>
      </c>
      <c r="M62" s="69" t="n">
        <f aca="false">IF(AND(M$5&gt;1,MOD(M$4-1,12)=0),Inputs!$E$48,0)</f>
        <v>0</v>
      </c>
      <c r="N62" s="69" t="n">
        <f aca="false">IF(AND(N$5&gt;1,MOD(N$4-1,12)=0),Inputs!$E$48,0)</f>
        <v>0</v>
      </c>
      <c r="O62" s="69" t="n">
        <f aca="false">IF(AND(O$5&gt;1,MOD(O$4-1,12)=0),Inputs!$E$48,0)</f>
        <v>20000</v>
      </c>
      <c r="P62" s="69" t="n">
        <f aca="false">IF(AND(P$5&gt;1,MOD(P$4-1,12)=0),Inputs!$E$48,0)</f>
        <v>0</v>
      </c>
      <c r="Q62" s="69" t="n">
        <f aca="false">IF(AND(Q$5&gt;1,MOD(Q$4-1,12)=0),Inputs!$E$48,0)</f>
        <v>0</v>
      </c>
      <c r="R62" s="69" t="n">
        <f aca="false">IF(AND(R$5&gt;1,MOD(R$4-1,12)=0),Inputs!$E$48,0)</f>
        <v>0</v>
      </c>
      <c r="S62" s="69" t="n">
        <f aca="false">IF(AND(S$5&gt;1,MOD(S$4-1,12)=0),Inputs!$E$48,0)</f>
        <v>0</v>
      </c>
      <c r="T62" s="69" t="n">
        <f aca="false">IF(AND(T$5&gt;1,MOD(T$4-1,12)=0),Inputs!$E$48,0)</f>
        <v>0</v>
      </c>
      <c r="U62" s="69" t="n">
        <f aca="false">IF(AND(U$5&gt;1,MOD(U$4-1,12)=0),Inputs!$E$48,0)</f>
        <v>0</v>
      </c>
      <c r="V62" s="69" t="n">
        <f aca="false">IF(AND(V$5&gt;1,MOD(V$4-1,12)=0),Inputs!$E$48,0)</f>
        <v>0</v>
      </c>
      <c r="W62" s="69" t="n">
        <f aca="false">IF(AND(W$5&gt;1,MOD(W$4-1,12)=0),Inputs!$E$48,0)</f>
        <v>0</v>
      </c>
      <c r="X62" s="69" t="n">
        <f aca="false">IF(AND(X$5&gt;1,MOD(X$4-1,12)=0),Inputs!$E$48,0)</f>
        <v>0</v>
      </c>
      <c r="Y62" s="69" t="n">
        <f aca="false">IF(AND(Y$5&gt;1,MOD(Y$4-1,12)=0),Inputs!$E$48,0)</f>
        <v>0</v>
      </c>
      <c r="Z62" s="69" t="n">
        <f aca="false">IF(AND(Z$5&gt;1,MOD(Z$4-1,12)=0),Inputs!$E$48,0)</f>
        <v>0</v>
      </c>
      <c r="AA62" s="69" t="n">
        <f aca="false">IF(AND(AA$5&gt;1,MOD(AA$4-1,12)=0),Inputs!$E$48,0)</f>
        <v>20000</v>
      </c>
      <c r="AB62" s="69" t="n">
        <f aca="false">IF(AND(AB$5&gt;1,MOD(AB$4-1,12)=0),Inputs!$E$48,0)</f>
        <v>0</v>
      </c>
      <c r="AC62" s="69" t="n">
        <f aca="false">IF(AND(AC$5&gt;1,MOD(AC$4-1,12)=0),Inputs!$E$48,0)</f>
        <v>0</v>
      </c>
      <c r="AD62" s="69" t="n">
        <f aca="false">IF(AND(AD$5&gt;1,MOD(AD$4-1,12)=0),Inputs!$E$48,0)</f>
        <v>0</v>
      </c>
      <c r="AE62" s="69" t="n">
        <f aca="false">IF(AND(AE$5&gt;1,MOD(AE$4-1,12)=0),Inputs!$E$48,0)</f>
        <v>0</v>
      </c>
      <c r="AF62" s="69" t="n">
        <f aca="false">IF(AND(AF$5&gt;1,MOD(AF$4-1,12)=0),Inputs!$E$48,0)</f>
        <v>0</v>
      </c>
      <c r="AG62" s="69" t="n">
        <f aca="false">IF(AND(AG$5&gt;1,MOD(AG$4-1,12)=0),Inputs!$E$48,0)</f>
        <v>0</v>
      </c>
      <c r="AH62" s="69" t="n">
        <f aca="false">IF(AND(AH$5&gt;1,MOD(AH$4-1,12)=0),Inputs!$E$48,0)</f>
        <v>0</v>
      </c>
      <c r="AI62" s="69" t="n">
        <f aca="false">IF(AND(AI$5&gt;1,MOD(AI$4-1,12)=0),Inputs!$E$48,0)</f>
        <v>0</v>
      </c>
      <c r="AJ62" s="69" t="n">
        <f aca="false">IF(AND(AJ$5&gt;1,MOD(AJ$4-1,12)=0),Inputs!$E$48,0)</f>
        <v>0</v>
      </c>
      <c r="AK62" s="69" t="n">
        <f aca="false">IF(AND(AK$5&gt;1,MOD(AK$4-1,12)=0),Inputs!$E$48,0)</f>
        <v>0</v>
      </c>
      <c r="AL62" s="69" t="n">
        <f aca="false">IF(AND(AL$5&gt;1,MOD(AL$4-1,12)=0),Inputs!$E$48,0)</f>
        <v>0</v>
      </c>
      <c r="AM62" s="69" t="n">
        <f aca="false">IF(AND(AM$5&gt;1,MOD(AM$4-1,12)=0),Inputs!$E$48,0)</f>
        <v>20000</v>
      </c>
      <c r="AN62" s="69" t="n">
        <f aca="false">IF(AND(AN$5&gt;1,MOD(AN$4-1,12)=0),Inputs!$E$48,0)</f>
        <v>0</v>
      </c>
      <c r="AO62" s="69" t="n">
        <f aca="false">IF(AND(AO$5&gt;1,MOD(AO$4-1,12)=0),Inputs!$E$48,0)</f>
        <v>0</v>
      </c>
      <c r="AP62" s="69" t="n">
        <f aca="false">IF(AND(AP$5&gt;1,MOD(AP$4-1,12)=0),Inputs!$E$48,0)</f>
        <v>0</v>
      </c>
      <c r="AQ62" s="69" t="n">
        <f aca="false">IF(AND(AQ$5&gt;1,MOD(AQ$4-1,12)=0),Inputs!$E$48,0)</f>
        <v>0</v>
      </c>
      <c r="AR62" s="69" t="n">
        <f aca="false">IF(AND(AR$5&gt;1,MOD(AR$4-1,12)=0),Inputs!$E$48,0)</f>
        <v>0</v>
      </c>
      <c r="AS62" s="69" t="n">
        <f aca="false">IF(AND(AS$5&gt;1,MOD(AS$4-1,12)=0),Inputs!$E$48,0)</f>
        <v>0</v>
      </c>
      <c r="AT62" s="69" t="n">
        <f aca="false">IF(AND(AT$5&gt;1,MOD(AT$4-1,12)=0),Inputs!$E$48,0)</f>
        <v>0</v>
      </c>
      <c r="AU62" s="69" t="n">
        <f aca="false">IF(AND(AU$5&gt;1,MOD(AU$4-1,12)=0),Inputs!$E$48,0)</f>
        <v>0</v>
      </c>
      <c r="AV62" s="69" t="n">
        <f aca="false">IF(AND(AV$5&gt;1,MOD(AV$4-1,12)=0),Inputs!$E$48,0)</f>
        <v>0</v>
      </c>
      <c r="AW62" s="69" t="n">
        <f aca="false">IF(AND(AW$5&gt;1,MOD(AW$4-1,12)=0),Inputs!$E$48,0)</f>
        <v>0</v>
      </c>
      <c r="AX62" s="69" t="n">
        <f aca="false">IF(AND(AX$5&gt;1,MOD(AX$4-1,12)=0),Inputs!$E$48,0)</f>
        <v>0</v>
      </c>
      <c r="AY62" s="69" t="n">
        <f aca="false">IF(AND(AY$5&gt;1,MOD(AY$4-1,12)=0),Inputs!$E$48,0)</f>
        <v>20000</v>
      </c>
      <c r="AZ62" s="69" t="n">
        <f aca="false">IF(AND(AZ$5&gt;1,MOD(AZ$4-1,12)=0),Inputs!$E$48,0)</f>
        <v>0</v>
      </c>
      <c r="BA62" s="69" t="n">
        <f aca="false">IF(AND(BA$5&gt;1,MOD(BA$4-1,12)=0),Inputs!$E$48,0)</f>
        <v>0</v>
      </c>
      <c r="BB62" s="69" t="n">
        <f aca="false">IF(AND(BB$5&gt;1,MOD(BB$4-1,12)=0),Inputs!$E$48,0)</f>
        <v>0</v>
      </c>
      <c r="BC62" s="69" t="n">
        <f aca="false">IF(AND(BC$5&gt;1,MOD(BC$4-1,12)=0),Inputs!$E$48,0)</f>
        <v>0</v>
      </c>
      <c r="BD62" s="69" t="n">
        <f aca="false">IF(AND(BD$5&gt;1,MOD(BD$4-1,12)=0),Inputs!$E$48,0)</f>
        <v>0</v>
      </c>
      <c r="BE62" s="69" t="n">
        <f aca="false">IF(AND(BE$5&gt;1,MOD(BE$4-1,12)=0),Inputs!$E$48,0)</f>
        <v>0</v>
      </c>
      <c r="BF62" s="69" t="n">
        <f aca="false">IF(AND(BF$5&gt;1,MOD(BF$4-1,12)=0),Inputs!$E$48,0)</f>
        <v>0</v>
      </c>
      <c r="BG62" s="69" t="n">
        <f aca="false">IF(AND(BG$5&gt;1,MOD(BG$4-1,12)=0),Inputs!$E$48,0)</f>
        <v>0</v>
      </c>
      <c r="BH62" s="69" t="n">
        <f aca="false">IF(AND(BH$5&gt;1,MOD(BH$4-1,12)=0),Inputs!$E$48,0)</f>
        <v>0</v>
      </c>
      <c r="BI62" s="69" t="n">
        <f aca="false">IF(AND(BI$5&gt;1,MOD(BI$4-1,12)=0),Inputs!$E$48,0)</f>
        <v>0</v>
      </c>
      <c r="BJ62" s="69" t="n">
        <f aca="false">IF(AND(BJ$5&gt;1,MOD(BJ$4-1,12)=0),Inputs!$E$48,0)</f>
        <v>0</v>
      </c>
    </row>
    <row r="63" customFormat="false" ht="15" hidden="false" customHeight="false" outlineLevel="0" collapsed="false">
      <c r="A63" s="4" t="s">
        <v>84</v>
      </c>
      <c r="C63" s="75" t="n">
        <f aca="false">C58+C59+C60+C61+C62</f>
        <v>382000</v>
      </c>
      <c r="D63" s="75" t="n">
        <f aca="false">D58+D59+D60+D61+D62</f>
        <v>0</v>
      </c>
      <c r="E63" s="75" t="n">
        <f aca="false">E58+E59+E60+E61+E62</f>
        <v>0</v>
      </c>
      <c r="F63" s="75" t="n">
        <f aca="false">F58+F59+F60+F61+F62</f>
        <v>0</v>
      </c>
      <c r="G63" s="75" t="n">
        <f aca="false">G58+G59+G60+G61+G62</f>
        <v>0</v>
      </c>
      <c r="H63" s="75" t="n">
        <f aca="false">H58+H59+H60+H61+H62</f>
        <v>0</v>
      </c>
      <c r="I63" s="75" t="n">
        <f aca="false">I58+I59+I60+I61+I62</f>
        <v>0</v>
      </c>
      <c r="J63" s="75" t="n">
        <f aca="false">J58+J59+J60+J61+J62</f>
        <v>0</v>
      </c>
      <c r="K63" s="75" t="n">
        <f aca="false">K58+K59+K60+K61+K62</f>
        <v>0</v>
      </c>
      <c r="L63" s="75" t="n">
        <f aca="false">L58+L59+L60+L61+L62</f>
        <v>0</v>
      </c>
      <c r="M63" s="75" t="n">
        <f aca="false">M58+M59+M60+M61+M62</f>
        <v>0</v>
      </c>
      <c r="N63" s="75" t="n">
        <f aca="false">N58+N59+N60+N61+N62</f>
        <v>0</v>
      </c>
      <c r="O63" s="75" t="n">
        <f aca="false">O58+O59+O60+O61+O62</f>
        <v>20000</v>
      </c>
      <c r="P63" s="75" t="n">
        <f aca="false">P58+P59+P60+P61+P62</f>
        <v>0</v>
      </c>
      <c r="Q63" s="75" t="n">
        <f aca="false">Q58+Q59+Q60+Q61+Q62</f>
        <v>0</v>
      </c>
      <c r="R63" s="75" t="n">
        <f aca="false">R58+R59+R60+R61+R62</f>
        <v>0</v>
      </c>
      <c r="S63" s="75" t="n">
        <f aca="false">S58+S59+S60+S61+S62</f>
        <v>0</v>
      </c>
      <c r="T63" s="75" t="n">
        <f aca="false">T58+T59+T60+T61+T62</f>
        <v>0</v>
      </c>
      <c r="U63" s="75" t="n">
        <f aca="false">U58+U59+U60+U61+U62</f>
        <v>0</v>
      </c>
      <c r="V63" s="75" t="n">
        <f aca="false">V58+V59+V60+V61+V62</f>
        <v>0</v>
      </c>
      <c r="W63" s="75" t="n">
        <f aca="false">W58+W59+W60+W61+W62</f>
        <v>0</v>
      </c>
      <c r="X63" s="75" t="n">
        <f aca="false">X58+X59+X60+X61+X62</f>
        <v>0</v>
      </c>
      <c r="Y63" s="75" t="n">
        <f aca="false">Y58+Y59+Y60+Y61+Y62</f>
        <v>0</v>
      </c>
      <c r="Z63" s="75" t="n">
        <f aca="false">Z58+Z59+Z60+Z61+Z62</f>
        <v>0</v>
      </c>
      <c r="AA63" s="75" t="n">
        <f aca="false">AA58+AA59+AA60+AA61+AA62</f>
        <v>20000</v>
      </c>
      <c r="AB63" s="75" t="n">
        <f aca="false">AB58+AB59+AB60+AB61+AB62</f>
        <v>0</v>
      </c>
      <c r="AC63" s="75" t="n">
        <f aca="false">AC58+AC59+AC60+AC61+AC62</f>
        <v>0</v>
      </c>
      <c r="AD63" s="75" t="n">
        <f aca="false">AD58+AD59+AD60+AD61+AD62</f>
        <v>0</v>
      </c>
      <c r="AE63" s="75" t="n">
        <f aca="false">AE58+AE59+AE60+AE61+AE62</f>
        <v>0</v>
      </c>
      <c r="AF63" s="75" t="n">
        <f aca="false">AF58+AF59+AF60+AF61+AF62</f>
        <v>0</v>
      </c>
      <c r="AG63" s="75" t="n">
        <f aca="false">AG58+AG59+AG60+AG61+AG62</f>
        <v>0</v>
      </c>
      <c r="AH63" s="75" t="n">
        <f aca="false">AH58+AH59+AH60+AH61+AH62</f>
        <v>0</v>
      </c>
      <c r="AI63" s="75" t="n">
        <f aca="false">AI58+AI59+AI60+AI61+AI62</f>
        <v>0</v>
      </c>
      <c r="AJ63" s="75" t="n">
        <f aca="false">AJ58+AJ59+AJ60+AJ61+AJ62</f>
        <v>0</v>
      </c>
      <c r="AK63" s="75" t="n">
        <f aca="false">AK58+AK59+AK60+AK61+AK62</f>
        <v>0</v>
      </c>
      <c r="AL63" s="75" t="n">
        <f aca="false">AL58+AL59+AL60+AL61+AL62</f>
        <v>0</v>
      </c>
      <c r="AM63" s="75" t="n">
        <f aca="false">AM58+AM59+AM60+AM61+AM62</f>
        <v>20000</v>
      </c>
      <c r="AN63" s="75" t="n">
        <f aca="false">AN58+AN59+AN60+AN61+AN62</f>
        <v>0</v>
      </c>
      <c r="AO63" s="75" t="n">
        <f aca="false">AO58+AO59+AO60+AO61+AO62</f>
        <v>0</v>
      </c>
      <c r="AP63" s="75" t="n">
        <f aca="false">AP58+AP59+AP60+AP61+AP62</f>
        <v>0</v>
      </c>
      <c r="AQ63" s="75" t="n">
        <f aca="false">AQ58+AQ59+AQ60+AQ61+AQ62</f>
        <v>0</v>
      </c>
      <c r="AR63" s="75" t="n">
        <f aca="false">AR58+AR59+AR60+AR61+AR62</f>
        <v>0</v>
      </c>
      <c r="AS63" s="75" t="n">
        <f aca="false">AS58+AS59+AS60+AS61+AS62</f>
        <v>0</v>
      </c>
      <c r="AT63" s="75" t="n">
        <f aca="false">AT58+AT59+AT60+AT61+AT62</f>
        <v>0</v>
      </c>
      <c r="AU63" s="75" t="n">
        <f aca="false">AU58+AU59+AU60+AU61+AU62</f>
        <v>0</v>
      </c>
      <c r="AV63" s="75" t="n">
        <f aca="false">AV58+AV59+AV60+AV61+AV62</f>
        <v>0</v>
      </c>
      <c r="AW63" s="75" t="n">
        <f aca="false">AW58+AW59+AW60+AW61+AW62</f>
        <v>0</v>
      </c>
      <c r="AX63" s="75" t="n">
        <f aca="false">AX58+AX59+AX60+AX61+AX62</f>
        <v>0</v>
      </c>
      <c r="AY63" s="75" t="n">
        <f aca="false">AY58+AY59+AY60+AY61+AY62</f>
        <v>20000</v>
      </c>
      <c r="AZ63" s="75" t="n">
        <f aca="false">AZ58+AZ59+AZ60+AZ61+AZ62</f>
        <v>0</v>
      </c>
      <c r="BA63" s="75" t="n">
        <f aca="false">BA58+BA59+BA60+BA61+BA62</f>
        <v>0</v>
      </c>
      <c r="BB63" s="75" t="n">
        <f aca="false">BB58+BB59+BB60+BB61+BB62</f>
        <v>0</v>
      </c>
      <c r="BC63" s="75" t="n">
        <f aca="false">BC58+BC59+BC60+BC61+BC62</f>
        <v>0</v>
      </c>
      <c r="BD63" s="75" t="n">
        <f aca="false">BD58+BD59+BD60+BD61+BD62</f>
        <v>0</v>
      </c>
      <c r="BE63" s="75" t="n">
        <f aca="false">BE58+BE59+BE60+BE61+BE62</f>
        <v>0</v>
      </c>
      <c r="BF63" s="75" t="n">
        <f aca="false">BF58+BF59+BF60+BF61+BF62</f>
        <v>0</v>
      </c>
      <c r="BG63" s="75" t="n">
        <f aca="false">BG58+BG59+BG60+BG61+BG62</f>
        <v>0</v>
      </c>
      <c r="BH63" s="75" t="n">
        <f aca="false">BH58+BH59+BH60+BH61+BH62</f>
        <v>0</v>
      </c>
      <c r="BI63" s="75" t="n">
        <f aca="false">BI58+BI59+BI60+BI61+BI62</f>
        <v>0</v>
      </c>
      <c r="BJ63" s="75" t="n">
        <f aca="false">BJ58+BJ59+BJ60+BJ61+BJ62</f>
        <v>0</v>
      </c>
    </row>
    <row r="64" customFormat="false" ht="15" hidden="false" customHeight="false" outlineLevel="0" collapsed="false">
      <c r="A64" s="6" t="s">
        <v>435</v>
      </c>
      <c r="C64" s="69" t="n">
        <f aca="false">C63</f>
        <v>382000</v>
      </c>
      <c r="D64" s="69" t="n">
        <f aca="false">C64+D63</f>
        <v>382000</v>
      </c>
      <c r="E64" s="69" t="n">
        <f aca="false">D64+E63</f>
        <v>382000</v>
      </c>
      <c r="F64" s="69" t="n">
        <f aca="false">E64+F63</f>
        <v>382000</v>
      </c>
      <c r="G64" s="69" t="n">
        <f aca="false">F64+G63</f>
        <v>382000</v>
      </c>
      <c r="H64" s="69" t="n">
        <f aca="false">G64+H63</f>
        <v>382000</v>
      </c>
      <c r="I64" s="69" t="n">
        <f aca="false">H64+I63</f>
        <v>382000</v>
      </c>
      <c r="J64" s="69" t="n">
        <f aca="false">I64+J63</f>
        <v>382000</v>
      </c>
      <c r="K64" s="69" t="n">
        <f aca="false">J64+K63</f>
        <v>382000</v>
      </c>
      <c r="L64" s="69" t="n">
        <f aca="false">K64+L63</f>
        <v>382000</v>
      </c>
      <c r="M64" s="69" t="n">
        <f aca="false">L64+M63</f>
        <v>382000</v>
      </c>
      <c r="N64" s="69" t="n">
        <f aca="false">M64+N63</f>
        <v>382000</v>
      </c>
      <c r="O64" s="69" t="n">
        <f aca="false">N64+O63</f>
        <v>402000</v>
      </c>
      <c r="P64" s="69" t="n">
        <f aca="false">O64+P63</f>
        <v>402000</v>
      </c>
      <c r="Q64" s="69" t="n">
        <f aca="false">P64+Q63</f>
        <v>402000</v>
      </c>
      <c r="R64" s="69" t="n">
        <f aca="false">Q64+R63</f>
        <v>402000</v>
      </c>
      <c r="S64" s="69" t="n">
        <f aca="false">R64+S63</f>
        <v>402000</v>
      </c>
      <c r="T64" s="69" t="n">
        <f aca="false">S64+T63</f>
        <v>402000</v>
      </c>
      <c r="U64" s="69" t="n">
        <f aca="false">T64+U63</f>
        <v>402000</v>
      </c>
      <c r="V64" s="69" t="n">
        <f aca="false">U64+V63</f>
        <v>402000</v>
      </c>
      <c r="W64" s="69" t="n">
        <f aca="false">V64+W63</f>
        <v>402000</v>
      </c>
      <c r="X64" s="69" t="n">
        <f aca="false">W64+X63</f>
        <v>402000</v>
      </c>
      <c r="Y64" s="69" t="n">
        <f aca="false">X64+Y63</f>
        <v>402000</v>
      </c>
      <c r="Z64" s="69" t="n">
        <f aca="false">Y64+Z63</f>
        <v>402000</v>
      </c>
      <c r="AA64" s="69" t="n">
        <f aca="false">Z64+AA63</f>
        <v>422000</v>
      </c>
      <c r="AB64" s="69" t="n">
        <f aca="false">AA64+AB63</f>
        <v>422000</v>
      </c>
      <c r="AC64" s="69" t="n">
        <f aca="false">AB64+AC63</f>
        <v>422000</v>
      </c>
      <c r="AD64" s="69" t="n">
        <f aca="false">AC64+AD63</f>
        <v>422000</v>
      </c>
      <c r="AE64" s="69" t="n">
        <f aca="false">AD64+AE63</f>
        <v>422000</v>
      </c>
      <c r="AF64" s="69" t="n">
        <f aca="false">AE64+AF63</f>
        <v>422000</v>
      </c>
      <c r="AG64" s="69" t="n">
        <f aca="false">AF64+AG63</f>
        <v>422000</v>
      </c>
      <c r="AH64" s="69" t="n">
        <f aca="false">AG64+AH63</f>
        <v>422000</v>
      </c>
      <c r="AI64" s="69" t="n">
        <f aca="false">AH64+AI63</f>
        <v>422000</v>
      </c>
      <c r="AJ64" s="69" t="n">
        <f aca="false">AI64+AJ63</f>
        <v>422000</v>
      </c>
      <c r="AK64" s="69" t="n">
        <f aca="false">AJ64+AK63</f>
        <v>422000</v>
      </c>
      <c r="AL64" s="69" t="n">
        <f aca="false">AK64+AL63</f>
        <v>422000</v>
      </c>
      <c r="AM64" s="69" t="n">
        <f aca="false">AL64+AM63</f>
        <v>442000</v>
      </c>
      <c r="AN64" s="69" t="n">
        <f aca="false">AM64+AN63</f>
        <v>442000</v>
      </c>
      <c r="AO64" s="69" t="n">
        <f aca="false">AN64+AO63</f>
        <v>442000</v>
      </c>
      <c r="AP64" s="69" t="n">
        <f aca="false">AO64+AP63</f>
        <v>442000</v>
      </c>
      <c r="AQ64" s="69" t="n">
        <f aca="false">AP64+AQ63</f>
        <v>442000</v>
      </c>
      <c r="AR64" s="69" t="n">
        <f aca="false">AQ64+AR63</f>
        <v>442000</v>
      </c>
      <c r="AS64" s="69" t="n">
        <f aca="false">AR64+AS63</f>
        <v>442000</v>
      </c>
      <c r="AT64" s="69" t="n">
        <f aca="false">AS64+AT63</f>
        <v>442000</v>
      </c>
      <c r="AU64" s="69" t="n">
        <f aca="false">AT64+AU63</f>
        <v>442000</v>
      </c>
      <c r="AV64" s="69" t="n">
        <f aca="false">AU64+AV63</f>
        <v>442000</v>
      </c>
      <c r="AW64" s="69" t="n">
        <f aca="false">AV64+AW63</f>
        <v>442000</v>
      </c>
      <c r="AX64" s="69" t="n">
        <f aca="false">AW64+AX63</f>
        <v>442000</v>
      </c>
      <c r="AY64" s="69" t="n">
        <f aca="false">AX64+AY63</f>
        <v>462000</v>
      </c>
      <c r="AZ64" s="69" t="n">
        <f aca="false">AY64+AZ63</f>
        <v>462000</v>
      </c>
      <c r="BA64" s="69" t="n">
        <f aca="false">AZ64+BA63</f>
        <v>462000</v>
      </c>
      <c r="BB64" s="69" t="n">
        <f aca="false">BA64+BB63</f>
        <v>462000</v>
      </c>
      <c r="BC64" s="69" t="n">
        <f aca="false">BB64+BC63</f>
        <v>462000</v>
      </c>
      <c r="BD64" s="69" t="n">
        <f aca="false">BC64+BD63</f>
        <v>462000</v>
      </c>
      <c r="BE64" s="69" t="n">
        <f aca="false">BD64+BE63</f>
        <v>462000</v>
      </c>
      <c r="BF64" s="69" t="n">
        <f aca="false">BE64+BF63</f>
        <v>462000</v>
      </c>
      <c r="BG64" s="69" t="n">
        <f aca="false">BF64+BG63</f>
        <v>462000</v>
      </c>
      <c r="BH64" s="69" t="n">
        <f aca="false">BG64+BH63</f>
        <v>462000</v>
      </c>
      <c r="BI64" s="69" t="n">
        <f aca="false">BH64+BI63</f>
        <v>462000</v>
      </c>
      <c r="BJ64" s="69" t="n">
        <f aca="false">BI64+BJ63</f>
        <v>462000</v>
      </c>
    </row>
    <row r="65" customFormat="false" ht="15" hidden="false" customHeight="false" outlineLevel="0" collapsed="false">
      <c r="A65" s="6" t="s">
        <v>436</v>
      </c>
      <c r="C65" s="69" t="n">
        <f aca="false">C61</f>
        <v>0</v>
      </c>
      <c r="D65" s="69" t="n">
        <f aca="false">C65+D61</f>
        <v>0</v>
      </c>
      <c r="E65" s="69" t="n">
        <f aca="false">D65+E61</f>
        <v>0</v>
      </c>
      <c r="F65" s="69" t="n">
        <f aca="false">E65+F61</f>
        <v>0</v>
      </c>
      <c r="G65" s="69" t="n">
        <f aca="false">F65+G61</f>
        <v>0</v>
      </c>
      <c r="H65" s="69" t="n">
        <f aca="false">G65+H61</f>
        <v>0</v>
      </c>
      <c r="I65" s="69" t="n">
        <f aca="false">H65+I61</f>
        <v>0</v>
      </c>
      <c r="J65" s="69" t="n">
        <f aca="false">I65+J61</f>
        <v>0</v>
      </c>
      <c r="K65" s="69" t="n">
        <f aca="false">J65+K61</f>
        <v>0</v>
      </c>
      <c r="L65" s="69" t="n">
        <f aca="false">K65+L61</f>
        <v>0</v>
      </c>
      <c r="M65" s="69" t="n">
        <f aca="false">L65+M61</f>
        <v>0</v>
      </c>
      <c r="N65" s="69" t="n">
        <f aca="false">M65+N61</f>
        <v>0</v>
      </c>
      <c r="O65" s="69" t="n">
        <f aca="false">N65+O61</f>
        <v>0</v>
      </c>
      <c r="P65" s="69" t="n">
        <f aca="false">O65+P61</f>
        <v>0</v>
      </c>
      <c r="Q65" s="69" t="n">
        <f aca="false">P65+Q61</f>
        <v>0</v>
      </c>
      <c r="R65" s="69" t="n">
        <f aca="false">Q65+R61</f>
        <v>0</v>
      </c>
      <c r="S65" s="69" t="n">
        <f aca="false">R65+S61</f>
        <v>0</v>
      </c>
      <c r="T65" s="69" t="n">
        <f aca="false">S65+T61</f>
        <v>0</v>
      </c>
      <c r="U65" s="69" t="n">
        <f aca="false">T65+U61</f>
        <v>0</v>
      </c>
      <c r="V65" s="69" t="n">
        <f aca="false">U65+V61</f>
        <v>0</v>
      </c>
      <c r="W65" s="69" t="n">
        <f aca="false">V65+W61</f>
        <v>0</v>
      </c>
      <c r="X65" s="69" t="n">
        <f aca="false">W65+X61</f>
        <v>0</v>
      </c>
      <c r="Y65" s="69" t="n">
        <f aca="false">X65+Y61</f>
        <v>0</v>
      </c>
      <c r="Z65" s="69" t="n">
        <f aca="false">Y65+Z61</f>
        <v>0</v>
      </c>
      <c r="AA65" s="69" t="n">
        <f aca="false">Z65+AA61</f>
        <v>0</v>
      </c>
      <c r="AB65" s="69" t="n">
        <f aca="false">AA65+AB61</f>
        <v>0</v>
      </c>
      <c r="AC65" s="69" t="n">
        <f aca="false">AB65+AC61</f>
        <v>0</v>
      </c>
      <c r="AD65" s="69" t="n">
        <f aca="false">AC65+AD61</f>
        <v>0</v>
      </c>
      <c r="AE65" s="69" t="n">
        <f aca="false">AD65+AE61</f>
        <v>0</v>
      </c>
      <c r="AF65" s="69" t="n">
        <f aca="false">AE65+AF61</f>
        <v>0</v>
      </c>
      <c r="AG65" s="69" t="n">
        <f aca="false">AF65+AG61</f>
        <v>0</v>
      </c>
      <c r="AH65" s="69" t="n">
        <f aca="false">AG65+AH61</f>
        <v>0</v>
      </c>
      <c r="AI65" s="69" t="n">
        <f aca="false">AH65+AI61</f>
        <v>0</v>
      </c>
      <c r="AJ65" s="69" t="n">
        <f aca="false">AI65+AJ61</f>
        <v>0</v>
      </c>
      <c r="AK65" s="69" t="n">
        <f aca="false">AJ65+AK61</f>
        <v>0</v>
      </c>
      <c r="AL65" s="69" t="n">
        <f aca="false">AK65+AL61</f>
        <v>0</v>
      </c>
      <c r="AM65" s="69" t="n">
        <f aca="false">AL65+AM61</f>
        <v>0</v>
      </c>
      <c r="AN65" s="69" t="n">
        <f aca="false">AM65+AN61</f>
        <v>0</v>
      </c>
      <c r="AO65" s="69" t="n">
        <f aca="false">AN65+AO61</f>
        <v>0</v>
      </c>
      <c r="AP65" s="69" t="n">
        <f aca="false">AO65+AP61</f>
        <v>0</v>
      </c>
      <c r="AQ65" s="69" t="n">
        <f aca="false">AP65+AQ61</f>
        <v>0</v>
      </c>
      <c r="AR65" s="69" t="n">
        <f aca="false">AQ65+AR61</f>
        <v>0</v>
      </c>
      <c r="AS65" s="69" t="n">
        <f aca="false">AR65+AS61</f>
        <v>0</v>
      </c>
      <c r="AT65" s="69" t="n">
        <f aca="false">AS65+AT61</f>
        <v>0</v>
      </c>
      <c r="AU65" s="69" t="n">
        <f aca="false">AT65+AU61</f>
        <v>0</v>
      </c>
      <c r="AV65" s="69" t="n">
        <f aca="false">AU65+AV61</f>
        <v>0</v>
      </c>
      <c r="AW65" s="69" t="n">
        <f aca="false">AV65+AW61</f>
        <v>0</v>
      </c>
      <c r="AX65" s="69" t="n">
        <f aca="false">AW65+AX61</f>
        <v>0</v>
      </c>
      <c r="AY65" s="69" t="n">
        <f aca="false">AX65+AY61</f>
        <v>0</v>
      </c>
      <c r="AZ65" s="69" t="n">
        <f aca="false">AY65+AZ61</f>
        <v>0</v>
      </c>
      <c r="BA65" s="69" t="n">
        <f aca="false">AZ65+BA61</f>
        <v>0</v>
      </c>
      <c r="BB65" s="69" t="n">
        <f aca="false">BA65+BB61</f>
        <v>0</v>
      </c>
      <c r="BC65" s="69" t="n">
        <f aca="false">BB65+BC61</f>
        <v>0</v>
      </c>
      <c r="BD65" s="69" t="n">
        <f aca="false">BC65+BD61</f>
        <v>0</v>
      </c>
      <c r="BE65" s="69" t="n">
        <f aca="false">BD65+BE61</f>
        <v>0</v>
      </c>
      <c r="BF65" s="69" t="n">
        <f aca="false">BE65+BF61</f>
        <v>0</v>
      </c>
      <c r="BG65" s="69" t="n">
        <f aca="false">BF65+BG61</f>
        <v>0</v>
      </c>
      <c r="BH65" s="69" t="n">
        <f aca="false">BG65+BH61</f>
        <v>0</v>
      </c>
      <c r="BI65" s="69" t="n">
        <f aca="false">BH65+BI61</f>
        <v>0</v>
      </c>
      <c r="BJ65" s="69" t="n">
        <f aca="false">BI65+BJ61</f>
        <v>0</v>
      </c>
    </row>
    <row r="66" customFormat="false" ht="15" hidden="false" customHeight="false" outlineLevel="0" collapsed="false">
      <c r="A66" s="6" t="s">
        <v>78</v>
      </c>
      <c r="C66" s="69" t="n">
        <f aca="false">-MIN((C64-C65)/MAX(1,Inputs!$E$78*12),C63-C65)</f>
        <v>-3979.16666666667</v>
      </c>
      <c r="D66" s="69" t="n">
        <f aca="false">-MIN((D64-D65)/MAX(1,Inputs!$E$78*12),C68+D63-D65)</f>
        <v>-3979.16666666667</v>
      </c>
      <c r="E66" s="69" t="n">
        <f aca="false">-MIN((E64-E65)/MAX(1,Inputs!$E$78*12),D68+E63-E65)</f>
        <v>-3979.16666666667</v>
      </c>
      <c r="F66" s="69" t="n">
        <f aca="false">-MIN((F64-F65)/MAX(1,Inputs!$E$78*12),E68+F63-F65)</f>
        <v>-3979.16666666667</v>
      </c>
      <c r="G66" s="69" t="n">
        <f aca="false">-MIN((G64-G65)/MAX(1,Inputs!$E$78*12),F68+G63-G65)</f>
        <v>-3979.16666666667</v>
      </c>
      <c r="H66" s="69" t="n">
        <f aca="false">-MIN((H64-H65)/MAX(1,Inputs!$E$78*12),G68+H63-H65)</f>
        <v>-3979.16666666667</v>
      </c>
      <c r="I66" s="69" t="n">
        <f aca="false">-MIN((I64-I65)/MAX(1,Inputs!$E$78*12),H68+I63-I65)</f>
        <v>-3979.16666666667</v>
      </c>
      <c r="J66" s="69" t="n">
        <f aca="false">-MIN((J64-J65)/MAX(1,Inputs!$E$78*12),I68+J63-J65)</f>
        <v>-3979.16666666667</v>
      </c>
      <c r="K66" s="69" t="n">
        <f aca="false">-MIN((K64-K65)/MAX(1,Inputs!$E$78*12),J68+K63-K65)</f>
        <v>-3979.16666666667</v>
      </c>
      <c r="L66" s="69" t="n">
        <f aca="false">-MIN((L64-L65)/MAX(1,Inputs!$E$78*12),K68+L63-L65)</f>
        <v>-3979.16666666667</v>
      </c>
      <c r="M66" s="69" t="n">
        <f aca="false">-MIN((M64-M65)/MAX(1,Inputs!$E$78*12),L68+M63-M65)</f>
        <v>-3979.16666666667</v>
      </c>
      <c r="N66" s="69" t="n">
        <f aca="false">-MIN((N64-N65)/MAX(1,Inputs!$E$78*12),M68+N63-N65)</f>
        <v>-3979.16666666667</v>
      </c>
      <c r="O66" s="69" t="n">
        <f aca="false">-MIN((O64-O65)/MAX(1,Inputs!$E$78*12),N68+O63-O65)</f>
        <v>-4187.5</v>
      </c>
      <c r="P66" s="69" t="n">
        <f aca="false">-MIN((P64-P65)/MAX(1,Inputs!$E$78*12),O68+P63-P65)</f>
        <v>-4187.5</v>
      </c>
      <c r="Q66" s="69" t="n">
        <f aca="false">-MIN((Q64-Q65)/MAX(1,Inputs!$E$78*12),P68+Q63-Q65)</f>
        <v>-4187.5</v>
      </c>
      <c r="R66" s="69" t="n">
        <f aca="false">-MIN((R64-R65)/MAX(1,Inputs!$E$78*12),Q68+R63-R65)</f>
        <v>-4187.5</v>
      </c>
      <c r="S66" s="69" t="n">
        <f aca="false">-MIN((S64-S65)/MAX(1,Inputs!$E$78*12),R68+S63-S65)</f>
        <v>-4187.5</v>
      </c>
      <c r="T66" s="69" t="n">
        <f aca="false">-MIN((T64-T65)/MAX(1,Inputs!$E$78*12),S68+T63-T65)</f>
        <v>-4187.5</v>
      </c>
      <c r="U66" s="69" t="n">
        <f aca="false">-MIN((U64-U65)/MAX(1,Inputs!$E$78*12),T68+U63-U65)</f>
        <v>-4187.5</v>
      </c>
      <c r="V66" s="69" t="n">
        <f aca="false">-MIN((V64-V65)/MAX(1,Inputs!$E$78*12),U68+V63-V65)</f>
        <v>-4187.5</v>
      </c>
      <c r="W66" s="69" t="n">
        <f aca="false">-MIN((W64-W65)/MAX(1,Inputs!$E$78*12),V68+W63-W65)</f>
        <v>-4187.5</v>
      </c>
      <c r="X66" s="69" t="n">
        <f aca="false">-MIN((X64-X65)/MAX(1,Inputs!$E$78*12),W68+X63-X65)</f>
        <v>-4187.5</v>
      </c>
      <c r="Y66" s="69" t="n">
        <f aca="false">-MIN((Y64-Y65)/MAX(1,Inputs!$E$78*12),X68+Y63-Y65)</f>
        <v>-4187.5</v>
      </c>
      <c r="Z66" s="69" t="n">
        <f aca="false">-MIN((Z64-Z65)/MAX(1,Inputs!$E$78*12),Y68+Z63-Z65)</f>
        <v>-4187.5</v>
      </c>
      <c r="AA66" s="69" t="n">
        <f aca="false">-MIN((AA64-AA65)/MAX(1,Inputs!$E$78*12),Z68+AA63-AA65)</f>
        <v>-4395.83333333333</v>
      </c>
      <c r="AB66" s="69" t="n">
        <f aca="false">-MIN((AB64-AB65)/MAX(1,Inputs!$E$78*12),AA68+AB63-AB65)</f>
        <v>-4395.83333333333</v>
      </c>
      <c r="AC66" s="69" t="n">
        <f aca="false">-MIN((AC64-AC65)/MAX(1,Inputs!$E$78*12),AB68+AC63-AC65)</f>
        <v>-4395.83333333333</v>
      </c>
      <c r="AD66" s="69" t="n">
        <f aca="false">-MIN((AD64-AD65)/MAX(1,Inputs!$E$78*12),AC68+AD63-AD65)</f>
        <v>-4395.83333333333</v>
      </c>
      <c r="AE66" s="69" t="n">
        <f aca="false">-MIN((AE64-AE65)/MAX(1,Inputs!$E$78*12),AD68+AE63-AE65)</f>
        <v>-4395.83333333333</v>
      </c>
      <c r="AF66" s="69" t="n">
        <f aca="false">-MIN((AF64-AF65)/MAX(1,Inputs!$E$78*12),AE68+AF63-AF65)</f>
        <v>-4395.83333333333</v>
      </c>
      <c r="AG66" s="69" t="n">
        <f aca="false">-MIN((AG64-AG65)/MAX(1,Inputs!$E$78*12),AF68+AG63-AG65)</f>
        <v>-4395.83333333333</v>
      </c>
      <c r="AH66" s="69" t="n">
        <f aca="false">-MIN((AH64-AH65)/MAX(1,Inputs!$E$78*12),AG68+AH63-AH65)</f>
        <v>-4395.83333333333</v>
      </c>
      <c r="AI66" s="69" t="n">
        <f aca="false">-MIN((AI64-AI65)/MAX(1,Inputs!$E$78*12),AH68+AI63-AI65)</f>
        <v>-4395.83333333333</v>
      </c>
      <c r="AJ66" s="69" t="n">
        <f aca="false">-MIN((AJ64-AJ65)/MAX(1,Inputs!$E$78*12),AI68+AJ63-AJ65)</f>
        <v>-4395.83333333333</v>
      </c>
      <c r="AK66" s="69" t="n">
        <f aca="false">-MIN((AK64-AK65)/MAX(1,Inputs!$E$78*12),AJ68+AK63-AK65)</f>
        <v>-4395.83333333333</v>
      </c>
      <c r="AL66" s="69" t="n">
        <f aca="false">-MIN((AL64-AL65)/MAX(1,Inputs!$E$78*12),AK68+AL63-AL65)</f>
        <v>-4395.83333333333</v>
      </c>
      <c r="AM66" s="69" t="n">
        <f aca="false">-MIN((AM64-AM65)/MAX(1,Inputs!$E$78*12),AL68+AM63-AM65)</f>
        <v>-4604.16666666667</v>
      </c>
      <c r="AN66" s="69" t="n">
        <f aca="false">-MIN((AN64-AN65)/MAX(1,Inputs!$E$78*12),AM68+AN63-AN65)</f>
        <v>-4604.16666666667</v>
      </c>
      <c r="AO66" s="69" t="n">
        <f aca="false">-MIN((AO64-AO65)/MAX(1,Inputs!$E$78*12),AN68+AO63-AO65)</f>
        <v>-4604.16666666667</v>
      </c>
      <c r="AP66" s="69" t="n">
        <f aca="false">-MIN((AP64-AP65)/MAX(1,Inputs!$E$78*12),AO68+AP63-AP65)</f>
        <v>-4604.16666666667</v>
      </c>
      <c r="AQ66" s="69" t="n">
        <f aca="false">-MIN((AQ64-AQ65)/MAX(1,Inputs!$E$78*12),AP68+AQ63-AQ65)</f>
        <v>-4604.16666666667</v>
      </c>
      <c r="AR66" s="69" t="n">
        <f aca="false">-MIN((AR64-AR65)/MAX(1,Inputs!$E$78*12),AQ68+AR63-AR65)</f>
        <v>-4604.16666666667</v>
      </c>
      <c r="AS66" s="69" t="n">
        <f aca="false">-MIN((AS64-AS65)/MAX(1,Inputs!$E$78*12),AR68+AS63-AS65)</f>
        <v>-4604.16666666667</v>
      </c>
      <c r="AT66" s="69" t="n">
        <f aca="false">-MIN((AT64-AT65)/MAX(1,Inputs!$E$78*12),AS68+AT63-AT65)</f>
        <v>-4604.16666666667</v>
      </c>
      <c r="AU66" s="69" t="n">
        <f aca="false">-MIN((AU64-AU65)/MAX(1,Inputs!$E$78*12),AT68+AU63-AU65)</f>
        <v>-4604.16666666667</v>
      </c>
      <c r="AV66" s="69" t="n">
        <f aca="false">-MIN((AV64-AV65)/MAX(1,Inputs!$E$78*12),AU68+AV63-AV65)</f>
        <v>-4604.16666666667</v>
      </c>
      <c r="AW66" s="69" t="n">
        <f aca="false">-MIN((AW64-AW65)/MAX(1,Inputs!$E$78*12),AV68+AW63-AW65)</f>
        <v>-4604.16666666667</v>
      </c>
      <c r="AX66" s="69" t="n">
        <f aca="false">-MIN((AX64-AX65)/MAX(1,Inputs!$E$78*12),AW68+AX63-AX65)</f>
        <v>-4604.16666666667</v>
      </c>
      <c r="AY66" s="69" t="n">
        <f aca="false">-MIN((AY64-AY65)/MAX(1,Inputs!$E$78*12),AX68+AY63-AY65)</f>
        <v>-4812.5</v>
      </c>
      <c r="AZ66" s="69" t="n">
        <f aca="false">-MIN((AZ64-AZ65)/MAX(1,Inputs!$E$78*12),AY68+AZ63-AZ65)</f>
        <v>-4812.5</v>
      </c>
      <c r="BA66" s="69" t="n">
        <f aca="false">-MIN((BA64-BA65)/MAX(1,Inputs!$E$78*12),AZ68+BA63-BA65)</f>
        <v>-4812.5</v>
      </c>
      <c r="BB66" s="69" t="n">
        <f aca="false">-MIN((BB64-BB65)/MAX(1,Inputs!$E$78*12),BA68+BB63-BB65)</f>
        <v>-4812.5</v>
      </c>
      <c r="BC66" s="69" t="n">
        <f aca="false">-MIN((BC64-BC65)/MAX(1,Inputs!$E$78*12),BB68+BC63-BC65)</f>
        <v>-4812.5</v>
      </c>
      <c r="BD66" s="69" t="n">
        <f aca="false">-MIN((BD64-BD65)/MAX(1,Inputs!$E$78*12),BC68+BD63-BD65)</f>
        <v>-4812.5</v>
      </c>
      <c r="BE66" s="69" t="n">
        <f aca="false">-MIN((BE64-BE65)/MAX(1,Inputs!$E$78*12),BD68+BE63-BE65)</f>
        <v>-4812.5</v>
      </c>
      <c r="BF66" s="69" t="n">
        <f aca="false">-MIN((BF64-BF65)/MAX(1,Inputs!$E$78*12),BE68+BF63-BF65)</f>
        <v>-4812.5</v>
      </c>
      <c r="BG66" s="69" t="n">
        <f aca="false">-MIN((BG64-BG65)/MAX(1,Inputs!$E$78*12),BF68+BG63-BG65)</f>
        <v>-4812.5</v>
      </c>
      <c r="BH66" s="69" t="n">
        <f aca="false">-MIN((BH64-BH65)/MAX(1,Inputs!$E$78*12),BG68+BH63-BH65)</f>
        <v>-4812.5</v>
      </c>
      <c r="BI66" s="69" t="n">
        <f aca="false">-MIN((BI64-BI65)/MAX(1,Inputs!$E$78*12),BH68+BI63-BI65)</f>
        <v>-4812.5</v>
      </c>
      <c r="BJ66" s="69" t="n">
        <f aca="false">-MIN((BJ64-BJ65)/MAX(1,Inputs!$E$78*12),BI68+BJ63-BJ65)</f>
        <v>-4812.5</v>
      </c>
    </row>
    <row r="67" customFormat="false" ht="15" hidden="false" customHeight="false" outlineLevel="0" collapsed="false">
      <c r="A67" s="6" t="s">
        <v>437</v>
      </c>
      <c r="C67" s="69" t="n">
        <f aca="false">C66</f>
        <v>-3979.16666666667</v>
      </c>
      <c r="D67" s="69" t="n">
        <f aca="false">C67+D66</f>
        <v>-7958.33333333333</v>
      </c>
      <c r="E67" s="69" t="n">
        <f aca="false">D67+E66</f>
        <v>-11937.5</v>
      </c>
      <c r="F67" s="69" t="n">
        <f aca="false">E67+F66</f>
        <v>-15916.6666666667</v>
      </c>
      <c r="G67" s="69" t="n">
        <f aca="false">F67+G66</f>
        <v>-19895.8333333333</v>
      </c>
      <c r="H67" s="69" t="n">
        <f aca="false">G67+H66</f>
        <v>-23875</v>
      </c>
      <c r="I67" s="69" t="n">
        <f aca="false">H67+I66</f>
        <v>-27854.1666666667</v>
      </c>
      <c r="J67" s="69" t="n">
        <f aca="false">I67+J66</f>
        <v>-31833.3333333333</v>
      </c>
      <c r="K67" s="69" t="n">
        <f aca="false">J67+K66</f>
        <v>-35812.5</v>
      </c>
      <c r="L67" s="69" t="n">
        <f aca="false">K67+L66</f>
        <v>-39791.6666666667</v>
      </c>
      <c r="M67" s="69" t="n">
        <f aca="false">L67+M66</f>
        <v>-43770.8333333333</v>
      </c>
      <c r="N67" s="69" t="n">
        <f aca="false">M67+N66</f>
        <v>-47750</v>
      </c>
      <c r="O67" s="69" t="n">
        <f aca="false">N67+O66</f>
        <v>-51937.5</v>
      </c>
      <c r="P67" s="69" t="n">
        <f aca="false">O67+P66</f>
        <v>-56125</v>
      </c>
      <c r="Q67" s="69" t="n">
        <f aca="false">P67+Q66</f>
        <v>-60312.5</v>
      </c>
      <c r="R67" s="69" t="n">
        <f aca="false">Q67+R66</f>
        <v>-64500</v>
      </c>
      <c r="S67" s="69" t="n">
        <f aca="false">R67+S66</f>
        <v>-68687.5</v>
      </c>
      <c r="T67" s="69" t="n">
        <f aca="false">S67+T66</f>
        <v>-72875</v>
      </c>
      <c r="U67" s="69" t="n">
        <f aca="false">T67+U66</f>
        <v>-77062.5</v>
      </c>
      <c r="V67" s="69" t="n">
        <f aca="false">U67+V66</f>
        <v>-81250</v>
      </c>
      <c r="W67" s="69" t="n">
        <f aca="false">V67+W66</f>
        <v>-85437.5</v>
      </c>
      <c r="X67" s="69" t="n">
        <f aca="false">W67+X66</f>
        <v>-89625</v>
      </c>
      <c r="Y67" s="69" t="n">
        <f aca="false">X67+Y66</f>
        <v>-93812.5</v>
      </c>
      <c r="Z67" s="69" t="n">
        <f aca="false">Y67+Z66</f>
        <v>-98000</v>
      </c>
      <c r="AA67" s="69" t="n">
        <f aca="false">Z67+AA66</f>
        <v>-102395.833333333</v>
      </c>
      <c r="AB67" s="69" t="n">
        <f aca="false">AA67+AB66</f>
        <v>-106791.666666667</v>
      </c>
      <c r="AC67" s="69" t="n">
        <f aca="false">AB67+AC66</f>
        <v>-111187.5</v>
      </c>
      <c r="AD67" s="69" t="n">
        <f aca="false">AC67+AD66</f>
        <v>-115583.333333333</v>
      </c>
      <c r="AE67" s="69" t="n">
        <f aca="false">AD67+AE66</f>
        <v>-119979.166666667</v>
      </c>
      <c r="AF67" s="69" t="n">
        <f aca="false">AE67+AF66</f>
        <v>-124375</v>
      </c>
      <c r="AG67" s="69" t="n">
        <f aca="false">AF67+AG66</f>
        <v>-128770.833333333</v>
      </c>
      <c r="AH67" s="69" t="n">
        <f aca="false">AG67+AH66</f>
        <v>-133166.666666667</v>
      </c>
      <c r="AI67" s="69" t="n">
        <f aca="false">AH67+AI66</f>
        <v>-137562.5</v>
      </c>
      <c r="AJ67" s="69" t="n">
        <f aca="false">AI67+AJ66</f>
        <v>-141958.333333333</v>
      </c>
      <c r="AK67" s="69" t="n">
        <f aca="false">AJ67+AK66</f>
        <v>-146354.166666667</v>
      </c>
      <c r="AL67" s="69" t="n">
        <f aca="false">AK67+AL66</f>
        <v>-150750</v>
      </c>
      <c r="AM67" s="69" t="n">
        <f aca="false">AL67+AM66</f>
        <v>-155354.166666667</v>
      </c>
      <c r="AN67" s="69" t="n">
        <f aca="false">AM67+AN66</f>
        <v>-159958.333333333</v>
      </c>
      <c r="AO67" s="69" t="n">
        <f aca="false">AN67+AO66</f>
        <v>-164562.5</v>
      </c>
      <c r="AP67" s="69" t="n">
        <f aca="false">AO67+AP66</f>
        <v>-169166.666666667</v>
      </c>
      <c r="AQ67" s="69" t="n">
        <f aca="false">AP67+AQ66</f>
        <v>-173770.833333333</v>
      </c>
      <c r="AR67" s="69" t="n">
        <f aca="false">AQ67+AR66</f>
        <v>-178375</v>
      </c>
      <c r="AS67" s="69" t="n">
        <f aca="false">AR67+AS66</f>
        <v>-182979.166666667</v>
      </c>
      <c r="AT67" s="69" t="n">
        <f aca="false">AS67+AT66</f>
        <v>-187583.333333333</v>
      </c>
      <c r="AU67" s="69" t="n">
        <f aca="false">AT67+AU66</f>
        <v>-192187.5</v>
      </c>
      <c r="AV67" s="69" t="n">
        <f aca="false">AU67+AV66</f>
        <v>-196791.666666667</v>
      </c>
      <c r="AW67" s="69" t="n">
        <f aca="false">AV67+AW66</f>
        <v>-201395.833333333</v>
      </c>
      <c r="AX67" s="69" t="n">
        <f aca="false">AW67+AX66</f>
        <v>-206000</v>
      </c>
      <c r="AY67" s="69" t="n">
        <f aca="false">AX67+AY66</f>
        <v>-210812.5</v>
      </c>
      <c r="AZ67" s="69" t="n">
        <f aca="false">AY67+AZ66</f>
        <v>-215625</v>
      </c>
      <c r="BA67" s="69" t="n">
        <f aca="false">AZ67+BA66</f>
        <v>-220437.5</v>
      </c>
      <c r="BB67" s="69" t="n">
        <f aca="false">BA67+BB66</f>
        <v>-225250</v>
      </c>
      <c r="BC67" s="69" t="n">
        <f aca="false">BB67+BC66</f>
        <v>-230062.5</v>
      </c>
      <c r="BD67" s="69" t="n">
        <f aca="false">BC67+BD66</f>
        <v>-234875</v>
      </c>
      <c r="BE67" s="69" t="n">
        <f aca="false">BD67+BE66</f>
        <v>-239687.5</v>
      </c>
      <c r="BF67" s="69" t="n">
        <f aca="false">BE67+BF66</f>
        <v>-244500</v>
      </c>
      <c r="BG67" s="69" t="n">
        <f aca="false">BF67+BG66</f>
        <v>-249312.5</v>
      </c>
      <c r="BH67" s="69" t="n">
        <f aca="false">BG67+BH66</f>
        <v>-254125</v>
      </c>
      <c r="BI67" s="69" t="n">
        <f aca="false">BH67+BI66</f>
        <v>-258937.5</v>
      </c>
      <c r="BJ67" s="69" t="n">
        <f aca="false">BI67+BJ66</f>
        <v>-263750</v>
      </c>
    </row>
    <row r="68" customFormat="false" ht="15" hidden="false" customHeight="false" outlineLevel="0" collapsed="false">
      <c r="A68" s="4" t="s">
        <v>92</v>
      </c>
      <c r="C68" s="75" t="n">
        <f aca="false">C64+C67</f>
        <v>378020.833333333</v>
      </c>
      <c r="D68" s="75" t="n">
        <f aca="false">D64+D67</f>
        <v>374041.666666667</v>
      </c>
      <c r="E68" s="75" t="n">
        <f aca="false">E64+E67</f>
        <v>370062.5</v>
      </c>
      <c r="F68" s="75" t="n">
        <f aca="false">F64+F67</f>
        <v>366083.333333333</v>
      </c>
      <c r="G68" s="75" t="n">
        <f aca="false">G64+G67</f>
        <v>362104.166666667</v>
      </c>
      <c r="H68" s="75" t="n">
        <f aca="false">H64+H67</f>
        <v>358125</v>
      </c>
      <c r="I68" s="75" t="n">
        <f aca="false">I64+I67</f>
        <v>354145.833333333</v>
      </c>
      <c r="J68" s="75" t="n">
        <f aca="false">J64+J67</f>
        <v>350166.666666667</v>
      </c>
      <c r="K68" s="75" t="n">
        <f aca="false">K64+K67</f>
        <v>346187.5</v>
      </c>
      <c r="L68" s="75" t="n">
        <f aca="false">L64+L67</f>
        <v>342208.333333333</v>
      </c>
      <c r="M68" s="75" t="n">
        <f aca="false">M64+M67</f>
        <v>338229.166666667</v>
      </c>
      <c r="N68" s="75" t="n">
        <f aca="false">N64+N67</f>
        <v>334250</v>
      </c>
      <c r="O68" s="75" t="n">
        <f aca="false">O64+O67</f>
        <v>350062.5</v>
      </c>
      <c r="P68" s="75" t="n">
        <f aca="false">P64+P67</f>
        <v>345875</v>
      </c>
      <c r="Q68" s="75" t="n">
        <f aca="false">Q64+Q67</f>
        <v>341687.5</v>
      </c>
      <c r="R68" s="75" t="n">
        <f aca="false">R64+R67</f>
        <v>337500</v>
      </c>
      <c r="S68" s="75" t="n">
        <f aca="false">S64+S67</f>
        <v>333312.5</v>
      </c>
      <c r="T68" s="75" t="n">
        <f aca="false">T64+T67</f>
        <v>329125</v>
      </c>
      <c r="U68" s="75" t="n">
        <f aca="false">U64+U67</f>
        <v>324937.5</v>
      </c>
      <c r="V68" s="75" t="n">
        <f aca="false">V64+V67</f>
        <v>320750</v>
      </c>
      <c r="W68" s="75" t="n">
        <f aca="false">W64+W67</f>
        <v>316562.5</v>
      </c>
      <c r="X68" s="75" t="n">
        <f aca="false">X64+X67</f>
        <v>312375</v>
      </c>
      <c r="Y68" s="75" t="n">
        <f aca="false">Y64+Y67</f>
        <v>308187.5</v>
      </c>
      <c r="Z68" s="75" t="n">
        <f aca="false">Z64+Z67</f>
        <v>304000</v>
      </c>
      <c r="AA68" s="75" t="n">
        <f aca="false">AA64+AA67</f>
        <v>319604.166666667</v>
      </c>
      <c r="AB68" s="75" t="n">
        <f aca="false">AB64+AB67</f>
        <v>315208.333333333</v>
      </c>
      <c r="AC68" s="75" t="n">
        <f aca="false">AC64+AC67</f>
        <v>310812.5</v>
      </c>
      <c r="AD68" s="75" t="n">
        <f aca="false">AD64+AD67</f>
        <v>306416.666666667</v>
      </c>
      <c r="AE68" s="75" t="n">
        <f aca="false">AE64+AE67</f>
        <v>302020.833333333</v>
      </c>
      <c r="AF68" s="75" t="n">
        <f aca="false">AF64+AF67</f>
        <v>297625</v>
      </c>
      <c r="AG68" s="75" t="n">
        <f aca="false">AG64+AG67</f>
        <v>293229.166666667</v>
      </c>
      <c r="AH68" s="75" t="n">
        <f aca="false">AH64+AH67</f>
        <v>288833.333333333</v>
      </c>
      <c r="AI68" s="75" t="n">
        <f aca="false">AI64+AI67</f>
        <v>284437.5</v>
      </c>
      <c r="AJ68" s="75" t="n">
        <f aca="false">AJ64+AJ67</f>
        <v>280041.666666667</v>
      </c>
      <c r="AK68" s="75" t="n">
        <f aca="false">AK64+AK67</f>
        <v>275645.833333333</v>
      </c>
      <c r="AL68" s="75" t="n">
        <f aca="false">AL64+AL67</f>
        <v>271250</v>
      </c>
      <c r="AM68" s="75" t="n">
        <f aca="false">AM64+AM67</f>
        <v>286645.833333333</v>
      </c>
      <c r="AN68" s="75" t="n">
        <f aca="false">AN64+AN67</f>
        <v>282041.666666667</v>
      </c>
      <c r="AO68" s="75" t="n">
        <f aca="false">AO64+AO67</f>
        <v>277437.5</v>
      </c>
      <c r="AP68" s="75" t="n">
        <f aca="false">AP64+AP67</f>
        <v>272833.333333333</v>
      </c>
      <c r="AQ68" s="75" t="n">
        <f aca="false">AQ64+AQ67</f>
        <v>268229.166666667</v>
      </c>
      <c r="AR68" s="75" t="n">
        <f aca="false">AR64+AR67</f>
        <v>263625</v>
      </c>
      <c r="AS68" s="75" t="n">
        <f aca="false">AS64+AS67</f>
        <v>259020.833333333</v>
      </c>
      <c r="AT68" s="75" t="n">
        <f aca="false">AT64+AT67</f>
        <v>254416.666666667</v>
      </c>
      <c r="AU68" s="75" t="n">
        <f aca="false">AU64+AU67</f>
        <v>249812.5</v>
      </c>
      <c r="AV68" s="75" t="n">
        <f aca="false">AV64+AV67</f>
        <v>245208.333333333</v>
      </c>
      <c r="AW68" s="75" t="n">
        <f aca="false">AW64+AW67</f>
        <v>240604.166666667</v>
      </c>
      <c r="AX68" s="75" t="n">
        <f aca="false">AX64+AX67</f>
        <v>236000</v>
      </c>
      <c r="AY68" s="75" t="n">
        <f aca="false">AY64+AY67</f>
        <v>251187.5</v>
      </c>
      <c r="AZ68" s="75" t="n">
        <f aca="false">AZ64+AZ67</f>
        <v>246375</v>
      </c>
      <c r="BA68" s="75" t="n">
        <f aca="false">BA64+BA67</f>
        <v>241562.5</v>
      </c>
      <c r="BB68" s="75" t="n">
        <f aca="false">BB64+BB67</f>
        <v>236750</v>
      </c>
      <c r="BC68" s="75" t="n">
        <f aca="false">BC64+BC67</f>
        <v>231937.5</v>
      </c>
      <c r="BD68" s="75" t="n">
        <f aca="false">BD64+BD67</f>
        <v>227125</v>
      </c>
      <c r="BE68" s="75" t="n">
        <f aca="false">BE64+BE67</f>
        <v>222312.5</v>
      </c>
      <c r="BF68" s="75" t="n">
        <f aca="false">BF64+BF67</f>
        <v>217500</v>
      </c>
      <c r="BG68" s="75" t="n">
        <f aca="false">BG64+BG67</f>
        <v>212687.5</v>
      </c>
      <c r="BH68" s="75" t="n">
        <f aca="false">BH64+BH67</f>
        <v>207875</v>
      </c>
      <c r="BI68" s="75" t="n">
        <f aca="false">BI64+BI67</f>
        <v>203062.5</v>
      </c>
      <c r="BJ68" s="75" t="n">
        <f aca="false">BJ64+BJ67</f>
        <v>198250</v>
      </c>
    </row>
    <row r="70" customFormat="false" ht="15.75" hidden="false" customHeight="true" outlineLevel="0" collapsed="false">
      <c r="A70" s="7" t="s">
        <v>438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customFormat="false" ht="15" hidden="false" customHeight="false" outlineLevel="0" collapsed="false">
      <c r="A71" s="6" t="s">
        <v>439</v>
      </c>
      <c r="C71" s="69" t="n">
        <f aca="false">0</f>
        <v>0</v>
      </c>
      <c r="D71" s="69" t="n">
        <f aca="false">C74</f>
        <v>250000</v>
      </c>
      <c r="E71" s="69" t="n">
        <f aca="false">D74</f>
        <v>247023.80952381</v>
      </c>
      <c r="F71" s="69" t="n">
        <f aca="false">E74</f>
        <v>244047.619047619</v>
      </c>
      <c r="G71" s="69" t="n">
        <f aca="false">F74</f>
        <v>241071.428571429</v>
      </c>
      <c r="H71" s="69" t="n">
        <f aca="false">G74</f>
        <v>238095.238095238</v>
      </c>
      <c r="I71" s="69" t="n">
        <f aca="false">H74</f>
        <v>235119.047619048</v>
      </c>
      <c r="J71" s="69" t="n">
        <f aca="false">I74</f>
        <v>232142.857142857</v>
      </c>
      <c r="K71" s="69" t="n">
        <f aca="false">J74</f>
        <v>229166.666666667</v>
      </c>
      <c r="L71" s="69" t="n">
        <f aca="false">K74</f>
        <v>226190.476190476</v>
      </c>
      <c r="M71" s="69" t="n">
        <f aca="false">L74</f>
        <v>223214.285714286</v>
      </c>
      <c r="N71" s="69" t="n">
        <f aca="false">M74</f>
        <v>220238.095238095</v>
      </c>
      <c r="O71" s="69" t="n">
        <f aca="false">N74</f>
        <v>217261.904761905</v>
      </c>
      <c r="P71" s="69" t="n">
        <f aca="false">O74</f>
        <v>214285.714285714</v>
      </c>
      <c r="Q71" s="69" t="n">
        <f aca="false">P74</f>
        <v>211309.523809524</v>
      </c>
      <c r="R71" s="69" t="n">
        <f aca="false">Q74</f>
        <v>208333.333333333</v>
      </c>
      <c r="S71" s="69" t="n">
        <f aca="false">R74</f>
        <v>205357.142857143</v>
      </c>
      <c r="T71" s="69" t="n">
        <f aca="false">S74</f>
        <v>202380.952380952</v>
      </c>
      <c r="U71" s="69" t="n">
        <f aca="false">T74</f>
        <v>199404.761904762</v>
      </c>
      <c r="V71" s="69" t="n">
        <f aca="false">U74</f>
        <v>196428.571428571</v>
      </c>
      <c r="W71" s="69" t="n">
        <f aca="false">V74</f>
        <v>193452.380952381</v>
      </c>
      <c r="X71" s="69" t="n">
        <f aca="false">W74</f>
        <v>190476.190476191</v>
      </c>
      <c r="Y71" s="69" t="n">
        <f aca="false">X74</f>
        <v>187500</v>
      </c>
      <c r="Z71" s="69" t="n">
        <f aca="false">Y74</f>
        <v>184523.80952381</v>
      </c>
      <c r="AA71" s="69" t="n">
        <f aca="false">Z74</f>
        <v>181547.619047619</v>
      </c>
      <c r="AB71" s="69" t="n">
        <f aca="false">AA74</f>
        <v>178571.428571429</v>
      </c>
      <c r="AC71" s="69" t="n">
        <f aca="false">AB74</f>
        <v>175595.238095238</v>
      </c>
      <c r="AD71" s="69" t="n">
        <f aca="false">AC74</f>
        <v>172619.047619048</v>
      </c>
      <c r="AE71" s="69" t="n">
        <f aca="false">AD74</f>
        <v>169642.857142857</v>
      </c>
      <c r="AF71" s="69" t="n">
        <f aca="false">AE74</f>
        <v>166666.666666667</v>
      </c>
      <c r="AG71" s="69" t="n">
        <f aca="false">AF74</f>
        <v>163690.476190476</v>
      </c>
      <c r="AH71" s="69" t="n">
        <f aca="false">AG74</f>
        <v>160714.285714286</v>
      </c>
      <c r="AI71" s="69" t="n">
        <f aca="false">AH74</f>
        <v>157738.095238095</v>
      </c>
      <c r="AJ71" s="69" t="n">
        <f aca="false">AI74</f>
        <v>154761.904761905</v>
      </c>
      <c r="AK71" s="69" t="n">
        <f aca="false">AJ74</f>
        <v>151785.714285714</v>
      </c>
      <c r="AL71" s="69" t="n">
        <f aca="false">AK74</f>
        <v>148809.523809524</v>
      </c>
      <c r="AM71" s="69" t="n">
        <f aca="false">AL74</f>
        <v>145833.333333333</v>
      </c>
      <c r="AN71" s="69" t="n">
        <f aca="false">AM74</f>
        <v>142857.142857143</v>
      </c>
      <c r="AO71" s="69" t="n">
        <f aca="false">AN74</f>
        <v>139880.952380952</v>
      </c>
      <c r="AP71" s="69" t="n">
        <f aca="false">AO74</f>
        <v>136904.761904762</v>
      </c>
      <c r="AQ71" s="69" t="n">
        <f aca="false">AP74</f>
        <v>133928.571428572</v>
      </c>
      <c r="AR71" s="69" t="n">
        <f aca="false">AQ74</f>
        <v>130952.380952381</v>
      </c>
      <c r="AS71" s="69" t="n">
        <f aca="false">AR74</f>
        <v>127976.190476191</v>
      </c>
      <c r="AT71" s="69" t="n">
        <f aca="false">AS74</f>
        <v>125000</v>
      </c>
      <c r="AU71" s="69" t="n">
        <f aca="false">AT74</f>
        <v>122023.80952381</v>
      </c>
      <c r="AV71" s="69" t="n">
        <f aca="false">AU74</f>
        <v>119047.619047619</v>
      </c>
      <c r="AW71" s="69" t="n">
        <f aca="false">AV74</f>
        <v>116071.428571429</v>
      </c>
      <c r="AX71" s="69" t="n">
        <f aca="false">AW74</f>
        <v>113095.238095238</v>
      </c>
      <c r="AY71" s="69" t="n">
        <f aca="false">AX74</f>
        <v>110119.047619048</v>
      </c>
      <c r="AZ71" s="69" t="n">
        <f aca="false">AY74</f>
        <v>107142.857142857</v>
      </c>
      <c r="BA71" s="69" t="n">
        <f aca="false">AZ74</f>
        <v>104166.666666667</v>
      </c>
      <c r="BB71" s="69" t="n">
        <f aca="false">BA74</f>
        <v>101190.476190476</v>
      </c>
      <c r="BC71" s="69" t="n">
        <f aca="false">BB74</f>
        <v>98214.2857142859</v>
      </c>
      <c r="BD71" s="69" t="n">
        <f aca="false">BC74</f>
        <v>95238.0952380954</v>
      </c>
      <c r="BE71" s="69" t="n">
        <f aca="false">BD74</f>
        <v>92261.9047619049</v>
      </c>
      <c r="BF71" s="69" t="n">
        <f aca="false">BE74</f>
        <v>89285.7142857144</v>
      </c>
      <c r="BG71" s="69" t="n">
        <f aca="false">BF74</f>
        <v>86309.523809524</v>
      </c>
      <c r="BH71" s="69" t="n">
        <f aca="false">BG74</f>
        <v>83333.3333333335</v>
      </c>
      <c r="BI71" s="69" t="n">
        <f aca="false">BH74</f>
        <v>80357.142857143</v>
      </c>
      <c r="BJ71" s="69" t="n">
        <f aca="false">BI74</f>
        <v>77380.9523809525</v>
      </c>
    </row>
    <row r="72" customFormat="false" ht="15" hidden="false" customHeight="false" outlineLevel="0" collapsed="false">
      <c r="A72" s="6" t="s">
        <v>85</v>
      </c>
      <c r="C72" s="69" t="n">
        <f aca="false">IF(C$4=1,Inputs!$E$68,0)</f>
        <v>250000</v>
      </c>
      <c r="D72" s="69" t="n">
        <f aca="false">IF(D$4=1,Inputs!$E$68,0)</f>
        <v>0</v>
      </c>
      <c r="E72" s="69" t="n">
        <f aca="false">IF(E$4=1,Inputs!$E$68,0)</f>
        <v>0</v>
      </c>
      <c r="F72" s="69" t="n">
        <f aca="false">IF(F$4=1,Inputs!$E$68,0)</f>
        <v>0</v>
      </c>
      <c r="G72" s="69" t="n">
        <f aca="false">IF(G$4=1,Inputs!$E$68,0)</f>
        <v>0</v>
      </c>
      <c r="H72" s="69" t="n">
        <f aca="false">IF(H$4=1,Inputs!$E$68,0)</f>
        <v>0</v>
      </c>
      <c r="I72" s="69" t="n">
        <f aca="false">IF(I$4=1,Inputs!$E$68,0)</f>
        <v>0</v>
      </c>
      <c r="J72" s="69" t="n">
        <f aca="false">IF(J$4=1,Inputs!$E$68,0)</f>
        <v>0</v>
      </c>
      <c r="K72" s="69" t="n">
        <f aca="false">IF(K$4=1,Inputs!$E$68,0)</f>
        <v>0</v>
      </c>
      <c r="L72" s="69" t="n">
        <f aca="false">IF(L$4=1,Inputs!$E$68,0)</f>
        <v>0</v>
      </c>
      <c r="M72" s="69" t="n">
        <f aca="false">IF(M$4=1,Inputs!$E$68,0)</f>
        <v>0</v>
      </c>
      <c r="N72" s="69" t="n">
        <f aca="false">IF(N$4=1,Inputs!$E$68,0)</f>
        <v>0</v>
      </c>
      <c r="O72" s="69" t="n">
        <f aca="false">IF(O$4=1,Inputs!$E$68,0)</f>
        <v>0</v>
      </c>
      <c r="P72" s="69" t="n">
        <f aca="false">IF(P$4=1,Inputs!$E$68,0)</f>
        <v>0</v>
      </c>
      <c r="Q72" s="69" t="n">
        <f aca="false">IF(Q$4=1,Inputs!$E$68,0)</f>
        <v>0</v>
      </c>
      <c r="R72" s="69" t="n">
        <f aca="false">IF(R$4=1,Inputs!$E$68,0)</f>
        <v>0</v>
      </c>
      <c r="S72" s="69" t="n">
        <f aca="false">IF(S$4=1,Inputs!$E$68,0)</f>
        <v>0</v>
      </c>
      <c r="T72" s="69" t="n">
        <f aca="false">IF(T$4=1,Inputs!$E$68,0)</f>
        <v>0</v>
      </c>
      <c r="U72" s="69" t="n">
        <f aca="false">IF(U$4=1,Inputs!$E$68,0)</f>
        <v>0</v>
      </c>
      <c r="V72" s="69" t="n">
        <f aca="false">IF(V$4=1,Inputs!$E$68,0)</f>
        <v>0</v>
      </c>
      <c r="W72" s="69" t="n">
        <f aca="false">IF(W$4=1,Inputs!$E$68,0)</f>
        <v>0</v>
      </c>
      <c r="X72" s="69" t="n">
        <f aca="false">IF(X$4=1,Inputs!$E$68,0)</f>
        <v>0</v>
      </c>
      <c r="Y72" s="69" t="n">
        <f aca="false">IF(Y$4=1,Inputs!$E$68,0)</f>
        <v>0</v>
      </c>
      <c r="Z72" s="69" t="n">
        <f aca="false">IF(Z$4=1,Inputs!$E$68,0)</f>
        <v>0</v>
      </c>
      <c r="AA72" s="69" t="n">
        <f aca="false">IF(AA$4=1,Inputs!$E$68,0)</f>
        <v>0</v>
      </c>
      <c r="AB72" s="69" t="n">
        <f aca="false">IF(AB$4=1,Inputs!$E$68,0)</f>
        <v>0</v>
      </c>
      <c r="AC72" s="69" t="n">
        <f aca="false">IF(AC$4=1,Inputs!$E$68,0)</f>
        <v>0</v>
      </c>
      <c r="AD72" s="69" t="n">
        <f aca="false">IF(AD$4=1,Inputs!$E$68,0)</f>
        <v>0</v>
      </c>
      <c r="AE72" s="69" t="n">
        <f aca="false">IF(AE$4=1,Inputs!$E$68,0)</f>
        <v>0</v>
      </c>
      <c r="AF72" s="69" t="n">
        <f aca="false">IF(AF$4=1,Inputs!$E$68,0)</f>
        <v>0</v>
      </c>
      <c r="AG72" s="69" t="n">
        <f aca="false">IF(AG$4=1,Inputs!$E$68,0)</f>
        <v>0</v>
      </c>
      <c r="AH72" s="69" t="n">
        <f aca="false">IF(AH$4=1,Inputs!$E$68,0)</f>
        <v>0</v>
      </c>
      <c r="AI72" s="69" t="n">
        <f aca="false">IF(AI$4=1,Inputs!$E$68,0)</f>
        <v>0</v>
      </c>
      <c r="AJ72" s="69" t="n">
        <f aca="false">IF(AJ$4=1,Inputs!$E$68,0)</f>
        <v>0</v>
      </c>
      <c r="AK72" s="69" t="n">
        <f aca="false">IF(AK$4=1,Inputs!$E$68,0)</f>
        <v>0</v>
      </c>
      <c r="AL72" s="69" t="n">
        <f aca="false">IF(AL$4=1,Inputs!$E$68,0)</f>
        <v>0</v>
      </c>
      <c r="AM72" s="69" t="n">
        <f aca="false">IF(AM$4=1,Inputs!$E$68,0)</f>
        <v>0</v>
      </c>
      <c r="AN72" s="69" t="n">
        <f aca="false">IF(AN$4=1,Inputs!$E$68,0)</f>
        <v>0</v>
      </c>
      <c r="AO72" s="69" t="n">
        <f aca="false">IF(AO$4=1,Inputs!$E$68,0)</f>
        <v>0</v>
      </c>
      <c r="AP72" s="69" t="n">
        <f aca="false">IF(AP$4=1,Inputs!$E$68,0)</f>
        <v>0</v>
      </c>
      <c r="AQ72" s="69" t="n">
        <f aca="false">IF(AQ$4=1,Inputs!$E$68,0)</f>
        <v>0</v>
      </c>
      <c r="AR72" s="69" t="n">
        <f aca="false">IF(AR$4=1,Inputs!$E$68,0)</f>
        <v>0</v>
      </c>
      <c r="AS72" s="69" t="n">
        <f aca="false">IF(AS$4=1,Inputs!$E$68,0)</f>
        <v>0</v>
      </c>
      <c r="AT72" s="69" t="n">
        <f aca="false">IF(AT$4=1,Inputs!$E$68,0)</f>
        <v>0</v>
      </c>
      <c r="AU72" s="69" t="n">
        <f aca="false">IF(AU$4=1,Inputs!$E$68,0)</f>
        <v>0</v>
      </c>
      <c r="AV72" s="69" t="n">
        <f aca="false">IF(AV$4=1,Inputs!$E$68,0)</f>
        <v>0</v>
      </c>
      <c r="AW72" s="69" t="n">
        <f aca="false">IF(AW$4=1,Inputs!$E$68,0)</f>
        <v>0</v>
      </c>
      <c r="AX72" s="69" t="n">
        <f aca="false">IF(AX$4=1,Inputs!$E$68,0)</f>
        <v>0</v>
      </c>
      <c r="AY72" s="69" t="n">
        <f aca="false">IF(AY$4=1,Inputs!$E$68,0)</f>
        <v>0</v>
      </c>
      <c r="AZ72" s="69" t="n">
        <f aca="false">IF(AZ$4=1,Inputs!$E$68,0)</f>
        <v>0</v>
      </c>
      <c r="BA72" s="69" t="n">
        <f aca="false">IF(BA$4=1,Inputs!$E$68,0)</f>
        <v>0</v>
      </c>
      <c r="BB72" s="69" t="n">
        <f aca="false">IF(BB$4=1,Inputs!$E$68,0)</f>
        <v>0</v>
      </c>
      <c r="BC72" s="69" t="n">
        <f aca="false">IF(BC$4=1,Inputs!$E$68,0)</f>
        <v>0</v>
      </c>
      <c r="BD72" s="69" t="n">
        <f aca="false">IF(BD$4=1,Inputs!$E$68,0)</f>
        <v>0</v>
      </c>
      <c r="BE72" s="69" t="n">
        <f aca="false">IF(BE$4=1,Inputs!$E$68,0)</f>
        <v>0</v>
      </c>
      <c r="BF72" s="69" t="n">
        <f aca="false">IF(BF$4=1,Inputs!$E$68,0)</f>
        <v>0</v>
      </c>
      <c r="BG72" s="69" t="n">
        <f aca="false">IF(BG$4=1,Inputs!$E$68,0)</f>
        <v>0</v>
      </c>
      <c r="BH72" s="69" t="n">
        <f aca="false">IF(BH$4=1,Inputs!$E$68,0)</f>
        <v>0</v>
      </c>
      <c r="BI72" s="69" t="n">
        <f aca="false">IF(BI$4=1,Inputs!$E$68,0)</f>
        <v>0</v>
      </c>
      <c r="BJ72" s="69" t="n">
        <f aca="false">IF(BJ$4=1,Inputs!$E$68,0)</f>
        <v>0</v>
      </c>
    </row>
    <row r="73" customFormat="false" ht="15" hidden="false" customHeight="false" outlineLevel="0" collapsed="false">
      <c r="A73" s="6" t="s">
        <v>86</v>
      </c>
      <c r="C73" s="69" t="n">
        <f aca="false">-MIN(C71,Inputs!$E$68/MAX(1,Inputs!$E$70*12))</f>
        <v>-0</v>
      </c>
      <c r="D73" s="69" t="n">
        <f aca="false">-MIN(D71,Inputs!$E$68/MAX(1,Inputs!$E$70*12))</f>
        <v>-2976.19047619048</v>
      </c>
      <c r="E73" s="69" t="n">
        <f aca="false">-MIN(E71,Inputs!$E$68/MAX(1,Inputs!$E$70*12))</f>
        <v>-2976.19047619048</v>
      </c>
      <c r="F73" s="69" t="n">
        <f aca="false">-MIN(F71,Inputs!$E$68/MAX(1,Inputs!$E$70*12))</f>
        <v>-2976.19047619048</v>
      </c>
      <c r="G73" s="69" t="n">
        <f aca="false">-MIN(G71,Inputs!$E$68/MAX(1,Inputs!$E$70*12))</f>
        <v>-2976.19047619048</v>
      </c>
      <c r="H73" s="69" t="n">
        <f aca="false">-MIN(H71,Inputs!$E$68/MAX(1,Inputs!$E$70*12))</f>
        <v>-2976.19047619048</v>
      </c>
      <c r="I73" s="69" t="n">
        <f aca="false">-MIN(I71,Inputs!$E$68/MAX(1,Inputs!$E$70*12))</f>
        <v>-2976.19047619048</v>
      </c>
      <c r="J73" s="69" t="n">
        <f aca="false">-MIN(J71,Inputs!$E$68/MAX(1,Inputs!$E$70*12))</f>
        <v>-2976.19047619048</v>
      </c>
      <c r="K73" s="69" t="n">
        <f aca="false">-MIN(K71,Inputs!$E$68/MAX(1,Inputs!$E$70*12))</f>
        <v>-2976.19047619048</v>
      </c>
      <c r="L73" s="69" t="n">
        <f aca="false">-MIN(L71,Inputs!$E$68/MAX(1,Inputs!$E$70*12))</f>
        <v>-2976.19047619048</v>
      </c>
      <c r="M73" s="69" t="n">
        <f aca="false">-MIN(M71,Inputs!$E$68/MAX(1,Inputs!$E$70*12))</f>
        <v>-2976.19047619048</v>
      </c>
      <c r="N73" s="69" t="n">
        <f aca="false">-MIN(N71,Inputs!$E$68/MAX(1,Inputs!$E$70*12))</f>
        <v>-2976.19047619048</v>
      </c>
      <c r="O73" s="69" t="n">
        <f aca="false">-MIN(O71,Inputs!$E$68/MAX(1,Inputs!$E$70*12))</f>
        <v>-2976.19047619048</v>
      </c>
      <c r="P73" s="69" t="n">
        <f aca="false">-MIN(P71,Inputs!$E$68/MAX(1,Inputs!$E$70*12))</f>
        <v>-2976.19047619048</v>
      </c>
      <c r="Q73" s="69" t="n">
        <f aca="false">-MIN(Q71,Inputs!$E$68/MAX(1,Inputs!$E$70*12))</f>
        <v>-2976.19047619048</v>
      </c>
      <c r="R73" s="69" t="n">
        <f aca="false">-MIN(R71,Inputs!$E$68/MAX(1,Inputs!$E$70*12))</f>
        <v>-2976.19047619048</v>
      </c>
      <c r="S73" s="69" t="n">
        <f aca="false">-MIN(S71,Inputs!$E$68/MAX(1,Inputs!$E$70*12))</f>
        <v>-2976.19047619048</v>
      </c>
      <c r="T73" s="69" t="n">
        <f aca="false">-MIN(T71,Inputs!$E$68/MAX(1,Inputs!$E$70*12))</f>
        <v>-2976.19047619048</v>
      </c>
      <c r="U73" s="69" t="n">
        <f aca="false">-MIN(U71,Inputs!$E$68/MAX(1,Inputs!$E$70*12))</f>
        <v>-2976.19047619048</v>
      </c>
      <c r="V73" s="69" t="n">
        <f aca="false">-MIN(V71,Inputs!$E$68/MAX(1,Inputs!$E$70*12))</f>
        <v>-2976.19047619048</v>
      </c>
      <c r="W73" s="69" t="n">
        <f aca="false">-MIN(W71,Inputs!$E$68/MAX(1,Inputs!$E$70*12))</f>
        <v>-2976.19047619048</v>
      </c>
      <c r="X73" s="69" t="n">
        <f aca="false">-MIN(X71,Inputs!$E$68/MAX(1,Inputs!$E$70*12))</f>
        <v>-2976.19047619048</v>
      </c>
      <c r="Y73" s="69" t="n">
        <f aca="false">-MIN(Y71,Inputs!$E$68/MAX(1,Inputs!$E$70*12))</f>
        <v>-2976.19047619048</v>
      </c>
      <c r="Z73" s="69" t="n">
        <f aca="false">-MIN(Z71,Inputs!$E$68/MAX(1,Inputs!$E$70*12))</f>
        <v>-2976.19047619048</v>
      </c>
      <c r="AA73" s="69" t="n">
        <f aca="false">-MIN(AA71,Inputs!$E$68/MAX(1,Inputs!$E$70*12))</f>
        <v>-2976.19047619048</v>
      </c>
      <c r="AB73" s="69" t="n">
        <f aca="false">-MIN(AB71,Inputs!$E$68/MAX(1,Inputs!$E$70*12))</f>
        <v>-2976.19047619048</v>
      </c>
      <c r="AC73" s="69" t="n">
        <f aca="false">-MIN(AC71,Inputs!$E$68/MAX(1,Inputs!$E$70*12))</f>
        <v>-2976.19047619048</v>
      </c>
      <c r="AD73" s="69" t="n">
        <f aca="false">-MIN(AD71,Inputs!$E$68/MAX(1,Inputs!$E$70*12))</f>
        <v>-2976.19047619048</v>
      </c>
      <c r="AE73" s="69" t="n">
        <f aca="false">-MIN(AE71,Inputs!$E$68/MAX(1,Inputs!$E$70*12))</f>
        <v>-2976.19047619048</v>
      </c>
      <c r="AF73" s="69" t="n">
        <f aca="false">-MIN(AF71,Inputs!$E$68/MAX(1,Inputs!$E$70*12))</f>
        <v>-2976.19047619048</v>
      </c>
      <c r="AG73" s="69" t="n">
        <f aca="false">-MIN(AG71,Inputs!$E$68/MAX(1,Inputs!$E$70*12))</f>
        <v>-2976.19047619048</v>
      </c>
      <c r="AH73" s="69" t="n">
        <f aca="false">-MIN(AH71,Inputs!$E$68/MAX(1,Inputs!$E$70*12))</f>
        <v>-2976.19047619048</v>
      </c>
      <c r="AI73" s="69" t="n">
        <f aca="false">-MIN(AI71,Inputs!$E$68/MAX(1,Inputs!$E$70*12))</f>
        <v>-2976.19047619048</v>
      </c>
      <c r="AJ73" s="69" t="n">
        <f aca="false">-MIN(AJ71,Inputs!$E$68/MAX(1,Inputs!$E$70*12))</f>
        <v>-2976.19047619048</v>
      </c>
      <c r="AK73" s="69" t="n">
        <f aca="false">-MIN(AK71,Inputs!$E$68/MAX(1,Inputs!$E$70*12))</f>
        <v>-2976.19047619048</v>
      </c>
      <c r="AL73" s="69" t="n">
        <f aca="false">-MIN(AL71,Inputs!$E$68/MAX(1,Inputs!$E$70*12))</f>
        <v>-2976.19047619048</v>
      </c>
      <c r="AM73" s="69" t="n">
        <f aca="false">-MIN(AM71,Inputs!$E$68/MAX(1,Inputs!$E$70*12))</f>
        <v>-2976.19047619048</v>
      </c>
      <c r="AN73" s="69" t="n">
        <f aca="false">-MIN(AN71,Inputs!$E$68/MAX(1,Inputs!$E$70*12))</f>
        <v>-2976.19047619048</v>
      </c>
      <c r="AO73" s="69" t="n">
        <f aca="false">-MIN(AO71,Inputs!$E$68/MAX(1,Inputs!$E$70*12))</f>
        <v>-2976.19047619048</v>
      </c>
      <c r="AP73" s="69" t="n">
        <f aca="false">-MIN(AP71,Inputs!$E$68/MAX(1,Inputs!$E$70*12))</f>
        <v>-2976.19047619048</v>
      </c>
      <c r="AQ73" s="69" t="n">
        <f aca="false">-MIN(AQ71,Inputs!$E$68/MAX(1,Inputs!$E$70*12))</f>
        <v>-2976.19047619048</v>
      </c>
      <c r="AR73" s="69" t="n">
        <f aca="false">-MIN(AR71,Inputs!$E$68/MAX(1,Inputs!$E$70*12))</f>
        <v>-2976.19047619048</v>
      </c>
      <c r="AS73" s="69" t="n">
        <f aca="false">-MIN(AS71,Inputs!$E$68/MAX(1,Inputs!$E$70*12))</f>
        <v>-2976.19047619048</v>
      </c>
      <c r="AT73" s="69" t="n">
        <f aca="false">-MIN(AT71,Inputs!$E$68/MAX(1,Inputs!$E$70*12))</f>
        <v>-2976.19047619048</v>
      </c>
      <c r="AU73" s="69" t="n">
        <f aca="false">-MIN(AU71,Inputs!$E$68/MAX(1,Inputs!$E$70*12))</f>
        <v>-2976.19047619048</v>
      </c>
      <c r="AV73" s="69" t="n">
        <f aca="false">-MIN(AV71,Inputs!$E$68/MAX(1,Inputs!$E$70*12))</f>
        <v>-2976.19047619048</v>
      </c>
      <c r="AW73" s="69" t="n">
        <f aca="false">-MIN(AW71,Inputs!$E$68/MAX(1,Inputs!$E$70*12))</f>
        <v>-2976.19047619048</v>
      </c>
      <c r="AX73" s="69" t="n">
        <f aca="false">-MIN(AX71,Inputs!$E$68/MAX(1,Inputs!$E$70*12))</f>
        <v>-2976.19047619048</v>
      </c>
      <c r="AY73" s="69" t="n">
        <f aca="false">-MIN(AY71,Inputs!$E$68/MAX(1,Inputs!$E$70*12))</f>
        <v>-2976.19047619048</v>
      </c>
      <c r="AZ73" s="69" t="n">
        <f aca="false">-MIN(AZ71,Inputs!$E$68/MAX(1,Inputs!$E$70*12))</f>
        <v>-2976.19047619048</v>
      </c>
      <c r="BA73" s="69" t="n">
        <f aca="false">-MIN(BA71,Inputs!$E$68/MAX(1,Inputs!$E$70*12))</f>
        <v>-2976.19047619048</v>
      </c>
      <c r="BB73" s="69" t="n">
        <f aca="false">-MIN(BB71,Inputs!$E$68/MAX(1,Inputs!$E$70*12))</f>
        <v>-2976.19047619048</v>
      </c>
      <c r="BC73" s="69" t="n">
        <f aca="false">-MIN(BC71,Inputs!$E$68/MAX(1,Inputs!$E$70*12))</f>
        <v>-2976.19047619048</v>
      </c>
      <c r="BD73" s="69" t="n">
        <f aca="false">-MIN(BD71,Inputs!$E$68/MAX(1,Inputs!$E$70*12))</f>
        <v>-2976.19047619048</v>
      </c>
      <c r="BE73" s="69" t="n">
        <f aca="false">-MIN(BE71,Inputs!$E$68/MAX(1,Inputs!$E$70*12))</f>
        <v>-2976.19047619048</v>
      </c>
      <c r="BF73" s="69" t="n">
        <f aca="false">-MIN(BF71,Inputs!$E$68/MAX(1,Inputs!$E$70*12))</f>
        <v>-2976.19047619048</v>
      </c>
      <c r="BG73" s="69" t="n">
        <f aca="false">-MIN(BG71,Inputs!$E$68/MAX(1,Inputs!$E$70*12))</f>
        <v>-2976.19047619048</v>
      </c>
      <c r="BH73" s="69" t="n">
        <f aca="false">-MIN(BH71,Inputs!$E$68/MAX(1,Inputs!$E$70*12))</f>
        <v>-2976.19047619048</v>
      </c>
      <c r="BI73" s="69" t="n">
        <f aca="false">-MIN(BI71,Inputs!$E$68/MAX(1,Inputs!$E$70*12))</f>
        <v>-2976.19047619048</v>
      </c>
      <c r="BJ73" s="69" t="n">
        <f aca="false">-MIN(BJ71,Inputs!$E$68/MAX(1,Inputs!$E$70*12))</f>
        <v>-2976.19047619048</v>
      </c>
    </row>
    <row r="74" customFormat="false" ht="15" hidden="false" customHeight="false" outlineLevel="0" collapsed="false">
      <c r="A74" s="4" t="s">
        <v>440</v>
      </c>
      <c r="C74" s="75" t="n">
        <f aca="false">C71+C72+C73</f>
        <v>250000</v>
      </c>
      <c r="D74" s="75" t="n">
        <f aca="false">D71+D72+D73</f>
        <v>247023.80952381</v>
      </c>
      <c r="E74" s="75" t="n">
        <f aca="false">E71+E72+E73</f>
        <v>244047.619047619</v>
      </c>
      <c r="F74" s="75" t="n">
        <f aca="false">F71+F72+F73</f>
        <v>241071.428571429</v>
      </c>
      <c r="G74" s="75" t="n">
        <f aca="false">G71+G72+G73</f>
        <v>238095.238095238</v>
      </c>
      <c r="H74" s="75" t="n">
        <f aca="false">H71+H72+H73</f>
        <v>235119.047619048</v>
      </c>
      <c r="I74" s="75" t="n">
        <f aca="false">I71+I72+I73</f>
        <v>232142.857142857</v>
      </c>
      <c r="J74" s="75" t="n">
        <f aca="false">J71+J72+J73</f>
        <v>229166.666666667</v>
      </c>
      <c r="K74" s="75" t="n">
        <f aca="false">K71+K72+K73</f>
        <v>226190.476190476</v>
      </c>
      <c r="L74" s="75" t="n">
        <f aca="false">L71+L72+L73</f>
        <v>223214.285714286</v>
      </c>
      <c r="M74" s="75" t="n">
        <f aca="false">M71+M72+M73</f>
        <v>220238.095238095</v>
      </c>
      <c r="N74" s="75" t="n">
        <f aca="false">N71+N72+N73</f>
        <v>217261.904761905</v>
      </c>
      <c r="O74" s="75" t="n">
        <f aca="false">O71+O72+O73</f>
        <v>214285.714285714</v>
      </c>
      <c r="P74" s="75" t="n">
        <f aca="false">P71+P72+P73</f>
        <v>211309.523809524</v>
      </c>
      <c r="Q74" s="75" t="n">
        <f aca="false">Q71+Q72+Q73</f>
        <v>208333.333333333</v>
      </c>
      <c r="R74" s="75" t="n">
        <f aca="false">R71+R72+R73</f>
        <v>205357.142857143</v>
      </c>
      <c r="S74" s="75" t="n">
        <f aca="false">S71+S72+S73</f>
        <v>202380.952380952</v>
      </c>
      <c r="T74" s="75" t="n">
        <f aca="false">T71+T72+T73</f>
        <v>199404.761904762</v>
      </c>
      <c r="U74" s="75" t="n">
        <f aca="false">U71+U72+U73</f>
        <v>196428.571428571</v>
      </c>
      <c r="V74" s="75" t="n">
        <f aca="false">V71+V72+V73</f>
        <v>193452.380952381</v>
      </c>
      <c r="W74" s="75" t="n">
        <f aca="false">W71+W72+W73</f>
        <v>190476.190476191</v>
      </c>
      <c r="X74" s="75" t="n">
        <f aca="false">X71+X72+X73</f>
        <v>187500</v>
      </c>
      <c r="Y74" s="75" t="n">
        <f aca="false">Y71+Y72+Y73</f>
        <v>184523.80952381</v>
      </c>
      <c r="Z74" s="75" t="n">
        <f aca="false">Z71+Z72+Z73</f>
        <v>181547.619047619</v>
      </c>
      <c r="AA74" s="75" t="n">
        <f aca="false">AA71+AA72+AA73</f>
        <v>178571.428571429</v>
      </c>
      <c r="AB74" s="75" t="n">
        <f aca="false">AB71+AB72+AB73</f>
        <v>175595.238095238</v>
      </c>
      <c r="AC74" s="75" t="n">
        <f aca="false">AC71+AC72+AC73</f>
        <v>172619.047619048</v>
      </c>
      <c r="AD74" s="75" t="n">
        <f aca="false">AD71+AD72+AD73</f>
        <v>169642.857142857</v>
      </c>
      <c r="AE74" s="75" t="n">
        <f aca="false">AE71+AE72+AE73</f>
        <v>166666.666666667</v>
      </c>
      <c r="AF74" s="75" t="n">
        <f aca="false">AF71+AF72+AF73</f>
        <v>163690.476190476</v>
      </c>
      <c r="AG74" s="75" t="n">
        <f aca="false">AG71+AG72+AG73</f>
        <v>160714.285714286</v>
      </c>
      <c r="AH74" s="75" t="n">
        <f aca="false">AH71+AH72+AH73</f>
        <v>157738.095238095</v>
      </c>
      <c r="AI74" s="75" t="n">
        <f aca="false">AI71+AI72+AI73</f>
        <v>154761.904761905</v>
      </c>
      <c r="AJ74" s="75" t="n">
        <f aca="false">AJ71+AJ72+AJ73</f>
        <v>151785.714285714</v>
      </c>
      <c r="AK74" s="75" t="n">
        <f aca="false">AK71+AK72+AK73</f>
        <v>148809.523809524</v>
      </c>
      <c r="AL74" s="75" t="n">
        <f aca="false">AL71+AL72+AL73</f>
        <v>145833.333333333</v>
      </c>
      <c r="AM74" s="75" t="n">
        <f aca="false">AM71+AM72+AM73</f>
        <v>142857.142857143</v>
      </c>
      <c r="AN74" s="75" t="n">
        <f aca="false">AN71+AN72+AN73</f>
        <v>139880.952380952</v>
      </c>
      <c r="AO74" s="75" t="n">
        <f aca="false">AO71+AO72+AO73</f>
        <v>136904.761904762</v>
      </c>
      <c r="AP74" s="75" t="n">
        <f aca="false">AP71+AP72+AP73</f>
        <v>133928.571428572</v>
      </c>
      <c r="AQ74" s="75" t="n">
        <f aca="false">AQ71+AQ72+AQ73</f>
        <v>130952.380952381</v>
      </c>
      <c r="AR74" s="75" t="n">
        <f aca="false">AR71+AR72+AR73</f>
        <v>127976.190476191</v>
      </c>
      <c r="AS74" s="75" t="n">
        <f aca="false">AS71+AS72+AS73</f>
        <v>125000</v>
      </c>
      <c r="AT74" s="75" t="n">
        <f aca="false">AT71+AT72+AT73</f>
        <v>122023.80952381</v>
      </c>
      <c r="AU74" s="75" t="n">
        <f aca="false">AU71+AU72+AU73</f>
        <v>119047.619047619</v>
      </c>
      <c r="AV74" s="75" t="n">
        <f aca="false">AV71+AV72+AV73</f>
        <v>116071.428571429</v>
      </c>
      <c r="AW74" s="75" t="n">
        <f aca="false">AW71+AW72+AW73</f>
        <v>113095.238095238</v>
      </c>
      <c r="AX74" s="75" t="n">
        <f aca="false">AX71+AX72+AX73</f>
        <v>110119.047619048</v>
      </c>
      <c r="AY74" s="75" t="n">
        <f aca="false">AY71+AY72+AY73</f>
        <v>107142.857142857</v>
      </c>
      <c r="AZ74" s="75" t="n">
        <f aca="false">AZ71+AZ72+AZ73</f>
        <v>104166.666666667</v>
      </c>
      <c r="BA74" s="75" t="n">
        <f aca="false">BA71+BA72+BA73</f>
        <v>101190.476190476</v>
      </c>
      <c r="BB74" s="75" t="n">
        <f aca="false">BB71+BB72+BB73</f>
        <v>98214.2857142859</v>
      </c>
      <c r="BC74" s="75" t="n">
        <f aca="false">BC71+BC72+BC73</f>
        <v>95238.0952380954</v>
      </c>
      <c r="BD74" s="75" t="n">
        <f aca="false">BD71+BD72+BD73</f>
        <v>92261.9047619049</v>
      </c>
      <c r="BE74" s="75" t="n">
        <f aca="false">BE71+BE72+BE73</f>
        <v>89285.7142857144</v>
      </c>
      <c r="BF74" s="75" t="n">
        <f aca="false">BF71+BF72+BF73</f>
        <v>86309.523809524</v>
      </c>
      <c r="BG74" s="75" t="n">
        <f aca="false">BG71+BG72+BG73</f>
        <v>83333.3333333335</v>
      </c>
      <c r="BH74" s="75" t="n">
        <f aca="false">BH71+BH72+BH73</f>
        <v>80357.142857143</v>
      </c>
      <c r="BI74" s="75" t="n">
        <f aca="false">BI71+BI72+BI73</f>
        <v>77380.9523809525</v>
      </c>
      <c r="BJ74" s="75" t="n">
        <f aca="false">BJ71+BJ72+BJ73</f>
        <v>74404.7619047621</v>
      </c>
    </row>
    <row r="76" customFormat="false" ht="15.75" hidden="false" customHeight="true" outlineLevel="0" collapsed="false">
      <c r="A76" s="7" t="s">
        <v>317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customFormat="false" ht="15" hidden="false" customHeight="false" outlineLevel="0" collapsed="false">
      <c r="A77" s="6" t="s">
        <v>90</v>
      </c>
      <c r="C77" s="69" t="n">
        <f aca="false">C28*Inputs!$E$73/30</f>
        <v>6243.75</v>
      </c>
      <c r="D77" s="69" t="n">
        <f aca="false">D28*Inputs!$E$73/30</f>
        <v>7024.21875</v>
      </c>
      <c r="E77" s="69" t="n">
        <f aca="false">E28*Inputs!$E$73/30</f>
        <v>7804.6875</v>
      </c>
      <c r="F77" s="69" t="n">
        <f aca="false">F28*Inputs!$E$73/30</f>
        <v>8585.15625</v>
      </c>
      <c r="G77" s="69" t="n">
        <f aca="false">G28*Inputs!$E$73/30</f>
        <v>9365.625</v>
      </c>
      <c r="H77" s="69" t="n">
        <f aca="false">H28*Inputs!$E$73/30</f>
        <v>10146.09375</v>
      </c>
      <c r="I77" s="69" t="n">
        <f aca="false">I28*Inputs!$E$73/30</f>
        <v>10926.5625</v>
      </c>
      <c r="J77" s="69" t="n">
        <f aca="false">J28*Inputs!$E$73/30</f>
        <v>11707.03125</v>
      </c>
      <c r="K77" s="69" t="n">
        <f aca="false">K28*Inputs!$E$73/30</f>
        <v>12487.5</v>
      </c>
      <c r="L77" s="69" t="n">
        <f aca="false">L28*Inputs!$E$73/30</f>
        <v>13267.96875</v>
      </c>
      <c r="M77" s="69" t="n">
        <f aca="false">M28*Inputs!$E$73/30</f>
        <v>14048.4375</v>
      </c>
      <c r="N77" s="69" t="n">
        <f aca="false">N28*Inputs!$E$73/30</f>
        <v>14828.90625</v>
      </c>
      <c r="O77" s="69" t="n">
        <f aca="false">O28*Inputs!$E$73/30</f>
        <v>16559.9859375</v>
      </c>
      <c r="P77" s="69" t="n">
        <f aca="false">P28*Inputs!$E$73/30</f>
        <v>16559.9859375</v>
      </c>
      <c r="Q77" s="69" t="n">
        <f aca="false">Q28*Inputs!$E$73/30</f>
        <v>16559.9859375</v>
      </c>
      <c r="R77" s="69" t="n">
        <f aca="false">R28*Inputs!$E$73/30</f>
        <v>16559.9859375</v>
      </c>
      <c r="S77" s="69" t="n">
        <f aca="false">S28*Inputs!$E$73/30</f>
        <v>16559.9859375</v>
      </c>
      <c r="T77" s="69" t="n">
        <f aca="false">T28*Inputs!$E$73/30</f>
        <v>16559.9859375</v>
      </c>
      <c r="U77" s="69" t="n">
        <f aca="false">U28*Inputs!$E$73/30</f>
        <v>16559.9859375</v>
      </c>
      <c r="V77" s="69" t="n">
        <f aca="false">V28*Inputs!$E$73/30</f>
        <v>16559.9859375</v>
      </c>
      <c r="W77" s="69" t="n">
        <f aca="false">W28*Inputs!$E$73/30</f>
        <v>16559.9859375</v>
      </c>
      <c r="X77" s="69" t="n">
        <f aca="false">X28*Inputs!$E$73/30</f>
        <v>16559.9859375</v>
      </c>
      <c r="Y77" s="69" t="n">
        <f aca="false">Y28*Inputs!$E$73/30</f>
        <v>16559.9859375</v>
      </c>
      <c r="Z77" s="69" t="n">
        <f aca="false">Z28*Inputs!$E$73/30</f>
        <v>16559.9859375</v>
      </c>
      <c r="AA77" s="69" t="n">
        <f aca="false">AA28*Inputs!$E$73/30</f>
        <v>17568.4890810937</v>
      </c>
      <c r="AB77" s="69" t="n">
        <f aca="false">AB28*Inputs!$E$73/30</f>
        <v>17568.4890810937</v>
      </c>
      <c r="AC77" s="69" t="n">
        <f aca="false">AC28*Inputs!$E$73/30</f>
        <v>17568.4890810937</v>
      </c>
      <c r="AD77" s="69" t="n">
        <f aca="false">AD28*Inputs!$E$73/30</f>
        <v>17568.4890810937</v>
      </c>
      <c r="AE77" s="69" t="n">
        <f aca="false">AE28*Inputs!$E$73/30</f>
        <v>17568.4890810937</v>
      </c>
      <c r="AF77" s="69" t="n">
        <f aca="false">AF28*Inputs!$E$73/30</f>
        <v>17568.4890810937</v>
      </c>
      <c r="AG77" s="69" t="n">
        <f aca="false">AG28*Inputs!$E$73/30</f>
        <v>17568.4890810937</v>
      </c>
      <c r="AH77" s="69" t="n">
        <f aca="false">AH28*Inputs!$E$73/30</f>
        <v>17568.4890810937</v>
      </c>
      <c r="AI77" s="69" t="n">
        <f aca="false">AI28*Inputs!$E$73/30</f>
        <v>17568.4890810937</v>
      </c>
      <c r="AJ77" s="69" t="n">
        <f aca="false">AJ28*Inputs!$E$73/30</f>
        <v>17568.4890810937</v>
      </c>
      <c r="AK77" s="69" t="n">
        <f aca="false">AK28*Inputs!$E$73/30</f>
        <v>17568.4890810937</v>
      </c>
      <c r="AL77" s="69" t="n">
        <f aca="false">AL28*Inputs!$E$73/30</f>
        <v>17568.4890810937</v>
      </c>
      <c r="AM77" s="69" t="n">
        <f aca="false">AM28*Inputs!$E$73/30</f>
        <v>18638.4100661324</v>
      </c>
      <c r="AN77" s="69" t="n">
        <f aca="false">AN28*Inputs!$E$73/30</f>
        <v>18638.4100661324</v>
      </c>
      <c r="AO77" s="69" t="n">
        <f aca="false">AO28*Inputs!$E$73/30</f>
        <v>18638.4100661324</v>
      </c>
      <c r="AP77" s="69" t="n">
        <f aca="false">AP28*Inputs!$E$73/30</f>
        <v>18638.4100661324</v>
      </c>
      <c r="AQ77" s="69" t="n">
        <f aca="false">AQ28*Inputs!$E$73/30</f>
        <v>18638.4100661324</v>
      </c>
      <c r="AR77" s="69" t="n">
        <f aca="false">AR28*Inputs!$E$73/30</f>
        <v>18638.4100661324</v>
      </c>
      <c r="AS77" s="69" t="n">
        <f aca="false">AS28*Inputs!$E$73/30</f>
        <v>18638.4100661324</v>
      </c>
      <c r="AT77" s="69" t="n">
        <f aca="false">AT28*Inputs!$E$73/30</f>
        <v>18638.4100661324</v>
      </c>
      <c r="AU77" s="69" t="n">
        <f aca="false">AU28*Inputs!$E$73/30</f>
        <v>18638.4100661324</v>
      </c>
      <c r="AV77" s="69" t="n">
        <f aca="false">AV28*Inputs!$E$73/30</f>
        <v>18638.4100661324</v>
      </c>
      <c r="AW77" s="69" t="n">
        <f aca="false">AW28*Inputs!$E$73/30</f>
        <v>18638.4100661324</v>
      </c>
      <c r="AX77" s="69" t="n">
        <f aca="false">AX28*Inputs!$E$73/30</f>
        <v>18638.4100661324</v>
      </c>
      <c r="AY77" s="69" t="n">
        <f aca="false">AY28*Inputs!$E$73/30</f>
        <v>19773.4892391598</v>
      </c>
      <c r="AZ77" s="69" t="n">
        <f aca="false">AZ28*Inputs!$E$73/30</f>
        <v>19773.4892391598</v>
      </c>
      <c r="BA77" s="69" t="n">
        <f aca="false">BA28*Inputs!$E$73/30</f>
        <v>19773.4892391598</v>
      </c>
      <c r="BB77" s="69" t="n">
        <f aca="false">BB28*Inputs!$E$73/30</f>
        <v>19773.4892391598</v>
      </c>
      <c r="BC77" s="69" t="n">
        <f aca="false">BC28*Inputs!$E$73/30</f>
        <v>19773.4892391598</v>
      </c>
      <c r="BD77" s="69" t="n">
        <f aca="false">BD28*Inputs!$E$73/30</f>
        <v>19773.4892391598</v>
      </c>
      <c r="BE77" s="69" t="n">
        <f aca="false">BE28*Inputs!$E$73/30</f>
        <v>19773.4892391598</v>
      </c>
      <c r="BF77" s="69" t="n">
        <f aca="false">BF28*Inputs!$E$73/30</f>
        <v>19773.4892391598</v>
      </c>
      <c r="BG77" s="69" t="n">
        <f aca="false">BG28*Inputs!$E$73/30</f>
        <v>19773.4892391598</v>
      </c>
      <c r="BH77" s="69" t="n">
        <f aca="false">BH28*Inputs!$E$73/30</f>
        <v>19773.4892391598</v>
      </c>
      <c r="BI77" s="69" t="n">
        <f aca="false">BI28*Inputs!$E$73/30</f>
        <v>19773.4892391598</v>
      </c>
      <c r="BJ77" s="69" t="n">
        <f aca="false">BJ28*Inputs!$E$73/30</f>
        <v>19773.4892391598</v>
      </c>
    </row>
    <row r="78" customFormat="false" ht="15" hidden="false" customHeight="false" outlineLevel="0" collapsed="false">
      <c r="A78" s="6" t="s">
        <v>91</v>
      </c>
      <c r="C78" s="69" t="n">
        <f aca="false">-C35*Inputs!$E$74/30</f>
        <v>14367.6666666667</v>
      </c>
      <c r="D78" s="69" t="n">
        <f aca="false">-D35*Inputs!$E$74/30</f>
        <v>14917.7916666667</v>
      </c>
      <c r="E78" s="69" t="n">
        <f aca="false">-E35*Inputs!$E$74/30</f>
        <v>15467.9166666667</v>
      </c>
      <c r="F78" s="69" t="n">
        <f aca="false">-F35*Inputs!$E$74/30</f>
        <v>16018.0416666667</v>
      </c>
      <c r="G78" s="69" t="n">
        <f aca="false">-G35*Inputs!$E$74/30</f>
        <v>16568.1666666667</v>
      </c>
      <c r="H78" s="69" t="n">
        <f aca="false">-H35*Inputs!$E$74/30</f>
        <v>17118.2916666667</v>
      </c>
      <c r="I78" s="69" t="n">
        <f aca="false">-I35*Inputs!$E$74/30</f>
        <v>17668.4166666667</v>
      </c>
      <c r="J78" s="69" t="n">
        <f aca="false">-J35*Inputs!$E$74/30</f>
        <v>18218.5416666667</v>
      </c>
      <c r="K78" s="69" t="n">
        <f aca="false">-K35*Inputs!$E$74/30</f>
        <v>18768.6666666667</v>
      </c>
      <c r="L78" s="69" t="n">
        <f aca="false">-L35*Inputs!$E$74/30</f>
        <v>19318.7916666667</v>
      </c>
      <c r="M78" s="69" t="n">
        <f aca="false">-M35*Inputs!$E$74/30</f>
        <v>19868.9166666667</v>
      </c>
      <c r="N78" s="69" t="n">
        <f aca="false">-N35*Inputs!$E$74/30</f>
        <v>20419.0416666667</v>
      </c>
      <c r="O78" s="69" t="n">
        <f aca="false">-O35*Inputs!$E$74/30</f>
        <v>21938.2189166667</v>
      </c>
      <c r="P78" s="69" t="n">
        <f aca="false">-P35*Inputs!$E$74/30</f>
        <v>21938.2189166667</v>
      </c>
      <c r="Q78" s="69" t="n">
        <f aca="false">-Q35*Inputs!$E$74/30</f>
        <v>21938.2189166667</v>
      </c>
      <c r="R78" s="69" t="n">
        <f aca="false">-R35*Inputs!$E$74/30</f>
        <v>21938.2189166667</v>
      </c>
      <c r="S78" s="69" t="n">
        <f aca="false">-S35*Inputs!$E$74/30</f>
        <v>21938.2189166667</v>
      </c>
      <c r="T78" s="69" t="n">
        <f aca="false">-T35*Inputs!$E$74/30</f>
        <v>21938.2189166667</v>
      </c>
      <c r="U78" s="69" t="n">
        <f aca="false">-U35*Inputs!$E$74/30</f>
        <v>21938.2189166667</v>
      </c>
      <c r="V78" s="69" t="n">
        <f aca="false">-V35*Inputs!$E$74/30</f>
        <v>21938.2189166667</v>
      </c>
      <c r="W78" s="69" t="n">
        <f aca="false">-W35*Inputs!$E$74/30</f>
        <v>21938.2189166667</v>
      </c>
      <c r="X78" s="69" t="n">
        <f aca="false">-X35*Inputs!$E$74/30</f>
        <v>21938.2189166667</v>
      </c>
      <c r="Y78" s="69" t="n">
        <f aca="false">-Y35*Inputs!$E$74/30</f>
        <v>21938.2189166667</v>
      </c>
      <c r="Z78" s="69" t="n">
        <f aca="false">-Z35*Inputs!$E$74/30</f>
        <v>21938.2189166667</v>
      </c>
      <c r="AA78" s="69" t="n">
        <f aca="false">-AA35*Inputs!$E$74/30</f>
        <v>22957.0473486917</v>
      </c>
      <c r="AB78" s="69" t="n">
        <f aca="false">-AB35*Inputs!$E$74/30</f>
        <v>22957.0473486917</v>
      </c>
      <c r="AC78" s="69" t="n">
        <f aca="false">-AC35*Inputs!$E$74/30</f>
        <v>22957.0473486917</v>
      </c>
      <c r="AD78" s="69" t="n">
        <f aca="false">-AD35*Inputs!$E$74/30</f>
        <v>22957.0473486917</v>
      </c>
      <c r="AE78" s="69" t="n">
        <f aca="false">-AE35*Inputs!$E$74/30</f>
        <v>22957.0473486917</v>
      </c>
      <c r="AF78" s="69" t="n">
        <f aca="false">-AF35*Inputs!$E$74/30</f>
        <v>22957.0473486917</v>
      </c>
      <c r="AG78" s="69" t="n">
        <f aca="false">-AG35*Inputs!$E$74/30</f>
        <v>22957.0473486917</v>
      </c>
      <c r="AH78" s="69" t="n">
        <f aca="false">-AH35*Inputs!$E$74/30</f>
        <v>22957.0473486917</v>
      </c>
      <c r="AI78" s="69" t="n">
        <f aca="false">-AI35*Inputs!$E$74/30</f>
        <v>22957.0473486917</v>
      </c>
      <c r="AJ78" s="69" t="n">
        <f aca="false">-AJ35*Inputs!$E$74/30</f>
        <v>22957.0473486917</v>
      </c>
      <c r="AK78" s="69" t="n">
        <f aca="false">-AK35*Inputs!$E$74/30</f>
        <v>22957.0473486917</v>
      </c>
      <c r="AL78" s="69" t="n">
        <f aca="false">-AL35*Inputs!$E$74/30</f>
        <v>22957.0473486917</v>
      </c>
      <c r="AM78" s="69" t="n">
        <f aca="false">-AM35*Inputs!$E$74/30</f>
        <v>24028.406159227</v>
      </c>
      <c r="AN78" s="69" t="n">
        <f aca="false">-AN35*Inputs!$E$74/30</f>
        <v>24028.406159227</v>
      </c>
      <c r="AO78" s="69" t="n">
        <f aca="false">-AO35*Inputs!$E$74/30</f>
        <v>24028.406159227</v>
      </c>
      <c r="AP78" s="69" t="n">
        <f aca="false">-AP35*Inputs!$E$74/30</f>
        <v>24028.406159227</v>
      </c>
      <c r="AQ78" s="69" t="n">
        <f aca="false">-AQ35*Inputs!$E$74/30</f>
        <v>24028.406159227</v>
      </c>
      <c r="AR78" s="69" t="n">
        <f aca="false">-AR35*Inputs!$E$74/30</f>
        <v>24028.406159227</v>
      </c>
      <c r="AS78" s="69" t="n">
        <f aca="false">-AS35*Inputs!$E$74/30</f>
        <v>24028.406159227</v>
      </c>
      <c r="AT78" s="69" t="n">
        <f aca="false">-AT35*Inputs!$E$74/30</f>
        <v>24028.406159227</v>
      </c>
      <c r="AU78" s="69" t="n">
        <f aca="false">-AU35*Inputs!$E$74/30</f>
        <v>24028.406159227</v>
      </c>
      <c r="AV78" s="69" t="n">
        <f aca="false">-AV35*Inputs!$E$74/30</f>
        <v>24028.406159227</v>
      </c>
      <c r="AW78" s="69" t="n">
        <f aca="false">-AW35*Inputs!$E$74/30</f>
        <v>24028.406159227</v>
      </c>
      <c r="AX78" s="69" t="n">
        <f aca="false">-AX35*Inputs!$E$74/30</f>
        <v>24028.406159227</v>
      </c>
      <c r="AY78" s="69" t="n">
        <f aca="false">-AY35*Inputs!$E$74/30</f>
        <v>25155.2089601339</v>
      </c>
      <c r="AZ78" s="69" t="n">
        <f aca="false">-AZ35*Inputs!$E$74/30</f>
        <v>25155.2089601339</v>
      </c>
      <c r="BA78" s="69" t="n">
        <f aca="false">-BA35*Inputs!$E$74/30</f>
        <v>25155.2089601339</v>
      </c>
      <c r="BB78" s="69" t="n">
        <f aca="false">-BB35*Inputs!$E$74/30</f>
        <v>25155.2089601339</v>
      </c>
      <c r="BC78" s="69" t="n">
        <f aca="false">-BC35*Inputs!$E$74/30</f>
        <v>25155.2089601339</v>
      </c>
      <c r="BD78" s="69" t="n">
        <f aca="false">-BD35*Inputs!$E$74/30</f>
        <v>25155.2089601339</v>
      </c>
      <c r="BE78" s="69" t="n">
        <f aca="false">-BE35*Inputs!$E$74/30</f>
        <v>25155.2089601339</v>
      </c>
      <c r="BF78" s="69" t="n">
        <f aca="false">-BF35*Inputs!$E$74/30</f>
        <v>25155.2089601339</v>
      </c>
      <c r="BG78" s="69" t="n">
        <f aca="false">-BG35*Inputs!$E$74/30</f>
        <v>25155.2089601339</v>
      </c>
      <c r="BH78" s="69" t="n">
        <f aca="false">-BH35*Inputs!$E$74/30</f>
        <v>25155.2089601339</v>
      </c>
      <c r="BI78" s="69" t="n">
        <f aca="false">-BI35*Inputs!$E$74/30</f>
        <v>25155.2089601339</v>
      </c>
      <c r="BJ78" s="69" t="n">
        <f aca="false">-BJ35*Inputs!$E$74/30</f>
        <v>25155.2089601339</v>
      </c>
    </row>
    <row r="79" customFormat="false" ht="15" hidden="false" customHeight="false" outlineLevel="0" collapsed="false">
      <c r="A79" s="6" t="s">
        <v>94</v>
      </c>
      <c r="C79" s="69" t="n">
        <f aca="false">-C35*Inputs!$E$75/30</f>
        <v>44898.9583333333</v>
      </c>
      <c r="D79" s="69" t="n">
        <f aca="false">-D35*Inputs!$E$75/30</f>
        <v>46618.0989583333</v>
      </c>
      <c r="E79" s="69" t="n">
        <f aca="false">-E35*Inputs!$E$75/30</f>
        <v>48337.2395833333</v>
      </c>
      <c r="F79" s="69" t="n">
        <f aca="false">-F35*Inputs!$E$75/30</f>
        <v>50056.3802083333</v>
      </c>
      <c r="G79" s="69" t="n">
        <f aca="false">-G35*Inputs!$E$75/30</f>
        <v>51775.5208333333</v>
      </c>
      <c r="H79" s="69" t="n">
        <f aca="false">-H35*Inputs!$E$75/30</f>
        <v>53494.6614583333</v>
      </c>
      <c r="I79" s="69" t="n">
        <f aca="false">-I35*Inputs!$E$75/30</f>
        <v>55213.8020833333</v>
      </c>
      <c r="J79" s="69" t="n">
        <f aca="false">-J35*Inputs!$E$75/30</f>
        <v>56932.9427083333</v>
      </c>
      <c r="K79" s="69" t="n">
        <f aca="false">-K35*Inputs!$E$75/30</f>
        <v>58652.0833333333</v>
      </c>
      <c r="L79" s="69" t="n">
        <f aca="false">-L35*Inputs!$E$75/30</f>
        <v>60371.2239583334</v>
      </c>
      <c r="M79" s="69" t="n">
        <f aca="false">-M35*Inputs!$E$75/30</f>
        <v>62090.3645833333</v>
      </c>
      <c r="N79" s="69" t="n">
        <f aca="false">-N35*Inputs!$E$75/30</f>
        <v>63809.5052083333</v>
      </c>
      <c r="O79" s="69" t="n">
        <f aca="false">-O35*Inputs!$E$75/30</f>
        <v>68556.9341145833</v>
      </c>
      <c r="P79" s="69" t="n">
        <f aca="false">-P35*Inputs!$E$75/30</f>
        <v>68556.9341145833</v>
      </c>
      <c r="Q79" s="69" t="n">
        <f aca="false">-Q35*Inputs!$E$75/30</f>
        <v>68556.9341145833</v>
      </c>
      <c r="R79" s="69" t="n">
        <f aca="false">-R35*Inputs!$E$75/30</f>
        <v>68556.9341145833</v>
      </c>
      <c r="S79" s="69" t="n">
        <f aca="false">-S35*Inputs!$E$75/30</f>
        <v>68556.9341145833</v>
      </c>
      <c r="T79" s="69" t="n">
        <f aca="false">-T35*Inputs!$E$75/30</f>
        <v>68556.9341145833</v>
      </c>
      <c r="U79" s="69" t="n">
        <f aca="false">-U35*Inputs!$E$75/30</f>
        <v>68556.9341145833</v>
      </c>
      <c r="V79" s="69" t="n">
        <f aca="false">-V35*Inputs!$E$75/30</f>
        <v>68556.9341145833</v>
      </c>
      <c r="W79" s="69" t="n">
        <f aca="false">-W35*Inputs!$E$75/30</f>
        <v>68556.9341145833</v>
      </c>
      <c r="X79" s="69" t="n">
        <f aca="false">-X35*Inputs!$E$75/30</f>
        <v>68556.9341145833</v>
      </c>
      <c r="Y79" s="69" t="n">
        <f aca="false">-Y35*Inputs!$E$75/30</f>
        <v>68556.9341145833</v>
      </c>
      <c r="Z79" s="69" t="n">
        <f aca="false">-Z35*Inputs!$E$75/30</f>
        <v>68556.9341145833</v>
      </c>
      <c r="AA79" s="69" t="n">
        <f aca="false">-AA35*Inputs!$E$75/30</f>
        <v>71740.7729646615</v>
      </c>
      <c r="AB79" s="69" t="n">
        <f aca="false">-AB35*Inputs!$E$75/30</f>
        <v>71740.7729646615</v>
      </c>
      <c r="AC79" s="69" t="n">
        <f aca="false">-AC35*Inputs!$E$75/30</f>
        <v>71740.7729646615</v>
      </c>
      <c r="AD79" s="69" t="n">
        <f aca="false">-AD35*Inputs!$E$75/30</f>
        <v>71740.7729646615</v>
      </c>
      <c r="AE79" s="69" t="n">
        <f aca="false">-AE35*Inputs!$E$75/30</f>
        <v>71740.7729646615</v>
      </c>
      <c r="AF79" s="69" t="n">
        <f aca="false">-AF35*Inputs!$E$75/30</f>
        <v>71740.7729646615</v>
      </c>
      <c r="AG79" s="69" t="n">
        <f aca="false">-AG35*Inputs!$E$75/30</f>
        <v>71740.7729646615</v>
      </c>
      <c r="AH79" s="69" t="n">
        <f aca="false">-AH35*Inputs!$E$75/30</f>
        <v>71740.7729646615</v>
      </c>
      <c r="AI79" s="69" t="n">
        <f aca="false">-AI35*Inputs!$E$75/30</f>
        <v>71740.7729646615</v>
      </c>
      <c r="AJ79" s="69" t="n">
        <f aca="false">-AJ35*Inputs!$E$75/30</f>
        <v>71740.7729646615</v>
      </c>
      <c r="AK79" s="69" t="n">
        <f aca="false">-AK35*Inputs!$E$75/30</f>
        <v>71740.7729646615</v>
      </c>
      <c r="AL79" s="69" t="n">
        <f aca="false">-AL35*Inputs!$E$75/30</f>
        <v>71740.7729646615</v>
      </c>
      <c r="AM79" s="69" t="n">
        <f aca="false">-AM35*Inputs!$E$75/30</f>
        <v>75088.7692475844</v>
      </c>
      <c r="AN79" s="69" t="n">
        <f aca="false">-AN35*Inputs!$E$75/30</f>
        <v>75088.7692475844</v>
      </c>
      <c r="AO79" s="69" t="n">
        <f aca="false">-AO35*Inputs!$E$75/30</f>
        <v>75088.7692475844</v>
      </c>
      <c r="AP79" s="69" t="n">
        <f aca="false">-AP35*Inputs!$E$75/30</f>
        <v>75088.7692475844</v>
      </c>
      <c r="AQ79" s="69" t="n">
        <f aca="false">-AQ35*Inputs!$E$75/30</f>
        <v>75088.7692475844</v>
      </c>
      <c r="AR79" s="69" t="n">
        <f aca="false">-AR35*Inputs!$E$75/30</f>
        <v>75088.7692475844</v>
      </c>
      <c r="AS79" s="69" t="n">
        <f aca="false">-AS35*Inputs!$E$75/30</f>
        <v>75088.7692475844</v>
      </c>
      <c r="AT79" s="69" t="n">
        <f aca="false">-AT35*Inputs!$E$75/30</f>
        <v>75088.7692475844</v>
      </c>
      <c r="AU79" s="69" t="n">
        <f aca="false">-AU35*Inputs!$E$75/30</f>
        <v>75088.7692475844</v>
      </c>
      <c r="AV79" s="69" t="n">
        <f aca="false">-AV35*Inputs!$E$75/30</f>
        <v>75088.7692475844</v>
      </c>
      <c r="AW79" s="69" t="n">
        <f aca="false">-AW35*Inputs!$E$75/30</f>
        <v>75088.7692475844</v>
      </c>
      <c r="AX79" s="69" t="n">
        <f aca="false">-AX35*Inputs!$E$75/30</f>
        <v>75088.7692475844</v>
      </c>
      <c r="AY79" s="69" t="n">
        <f aca="false">-AY35*Inputs!$E$75/30</f>
        <v>78610.0280004185</v>
      </c>
      <c r="AZ79" s="69" t="n">
        <f aca="false">-AZ35*Inputs!$E$75/30</f>
        <v>78610.0280004185</v>
      </c>
      <c r="BA79" s="69" t="n">
        <f aca="false">-BA35*Inputs!$E$75/30</f>
        <v>78610.0280004185</v>
      </c>
      <c r="BB79" s="69" t="n">
        <f aca="false">-BB35*Inputs!$E$75/30</f>
        <v>78610.0280004185</v>
      </c>
      <c r="BC79" s="69" t="n">
        <f aca="false">-BC35*Inputs!$E$75/30</f>
        <v>78610.0280004185</v>
      </c>
      <c r="BD79" s="69" t="n">
        <f aca="false">-BD35*Inputs!$E$75/30</f>
        <v>78610.0280004185</v>
      </c>
      <c r="BE79" s="69" t="n">
        <f aca="false">-BE35*Inputs!$E$75/30</f>
        <v>78610.0280004185</v>
      </c>
      <c r="BF79" s="69" t="n">
        <f aca="false">-BF35*Inputs!$E$75/30</f>
        <v>78610.0280004185</v>
      </c>
      <c r="BG79" s="69" t="n">
        <f aca="false">-BG35*Inputs!$E$75/30</f>
        <v>78610.0280004185</v>
      </c>
      <c r="BH79" s="69" t="n">
        <f aca="false">-BH35*Inputs!$E$75/30</f>
        <v>78610.0280004185</v>
      </c>
      <c r="BI79" s="69" t="n">
        <f aca="false">-BI35*Inputs!$E$75/30</f>
        <v>78610.0280004185</v>
      </c>
      <c r="BJ79" s="69" t="n">
        <f aca="false">-BJ35*Inputs!$E$75/30</f>
        <v>78610.0280004185</v>
      </c>
    </row>
    <row r="80" customFormat="false" ht="15" hidden="false" customHeight="false" outlineLevel="0" collapsed="false">
      <c r="A80" s="6" t="s">
        <v>340</v>
      </c>
      <c r="C80" s="69" t="n">
        <f aca="false">-C77</f>
        <v>-6243.75</v>
      </c>
      <c r="D80" s="69" t="n">
        <f aca="false">C77-D77</f>
        <v>-780.46875</v>
      </c>
      <c r="E80" s="69" t="n">
        <f aca="false">D77-E77</f>
        <v>-780.468750000002</v>
      </c>
      <c r="F80" s="69" t="n">
        <f aca="false">E77-F77</f>
        <v>-780.468750000002</v>
      </c>
      <c r="G80" s="69" t="n">
        <f aca="false">F77-G77</f>
        <v>-780.46875</v>
      </c>
      <c r="H80" s="69" t="n">
        <f aca="false">G77-H77</f>
        <v>-780.468749999996</v>
      </c>
      <c r="I80" s="69" t="n">
        <f aca="false">H77-I77</f>
        <v>-780.46875</v>
      </c>
      <c r="J80" s="69" t="n">
        <f aca="false">I77-J77</f>
        <v>-780.468750000002</v>
      </c>
      <c r="K80" s="69" t="n">
        <f aca="false">J77-K77</f>
        <v>-780.46875</v>
      </c>
      <c r="L80" s="69" t="n">
        <f aca="false">K77-L77</f>
        <v>-780.468750000004</v>
      </c>
      <c r="M80" s="69" t="n">
        <f aca="false">L77-M77</f>
        <v>-780.468749999993</v>
      </c>
      <c r="N80" s="69" t="n">
        <f aca="false">M77-N77</f>
        <v>-780.468750000004</v>
      </c>
      <c r="O80" s="69" t="n">
        <f aca="false">N77-O77</f>
        <v>-1731.0796875</v>
      </c>
      <c r="P80" s="69" t="n">
        <f aca="false">O77-P77</f>
        <v>0</v>
      </c>
      <c r="Q80" s="69" t="n">
        <f aca="false">P77-Q77</f>
        <v>0</v>
      </c>
      <c r="R80" s="69" t="n">
        <f aca="false">Q77-R77</f>
        <v>0</v>
      </c>
      <c r="S80" s="69" t="n">
        <f aca="false">R77-S77</f>
        <v>0</v>
      </c>
      <c r="T80" s="69" t="n">
        <f aca="false">S77-T77</f>
        <v>0</v>
      </c>
      <c r="U80" s="69" t="n">
        <f aca="false">T77-U77</f>
        <v>0</v>
      </c>
      <c r="V80" s="69" t="n">
        <f aca="false">U77-V77</f>
        <v>0</v>
      </c>
      <c r="W80" s="69" t="n">
        <f aca="false">V77-W77</f>
        <v>0</v>
      </c>
      <c r="X80" s="69" t="n">
        <f aca="false">W77-X77</f>
        <v>0</v>
      </c>
      <c r="Y80" s="69" t="n">
        <f aca="false">X77-Y77</f>
        <v>0</v>
      </c>
      <c r="Z80" s="69" t="n">
        <f aca="false">Y77-Z77</f>
        <v>0</v>
      </c>
      <c r="AA80" s="69" t="n">
        <f aca="false">Z77-AA77</f>
        <v>-1008.50314359375</v>
      </c>
      <c r="AB80" s="69" t="n">
        <f aca="false">AA77-AB77</f>
        <v>0</v>
      </c>
      <c r="AC80" s="69" t="n">
        <f aca="false">AB77-AC77</f>
        <v>0</v>
      </c>
      <c r="AD80" s="69" t="n">
        <f aca="false">AC77-AD77</f>
        <v>0</v>
      </c>
      <c r="AE80" s="69" t="n">
        <f aca="false">AD77-AE77</f>
        <v>0</v>
      </c>
      <c r="AF80" s="69" t="n">
        <f aca="false">AE77-AF77</f>
        <v>0</v>
      </c>
      <c r="AG80" s="69" t="n">
        <f aca="false">AF77-AG77</f>
        <v>0</v>
      </c>
      <c r="AH80" s="69" t="n">
        <f aca="false">AG77-AH77</f>
        <v>0</v>
      </c>
      <c r="AI80" s="69" t="n">
        <f aca="false">AH77-AI77</f>
        <v>0</v>
      </c>
      <c r="AJ80" s="69" t="n">
        <f aca="false">AI77-AJ77</f>
        <v>0</v>
      </c>
      <c r="AK80" s="69" t="n">
        <f aca="false">AJ77-AK77</f>
        <v>0</v>
      </c>
      <c r="AL80" s="69" t="n">
        <f aca="false">AK77-AL77</f>
        <v>0</v>
      </c>
      <c r="AM80" s="69" t="n">
        <f aca="false">AL77-AM77</f>
        <v>-1069.92098503861</v>
      </c>
      <c r="AN80" s="69" t="n">
        <f aca="false">AM77-AN77</f>
        <v>0</v>
      </c>
      <c r="AO80" s="69" t="n">
        <f aca="false">AN77-AO77</f>
        <v>0</v>
      </c>
      <c r="AP80" s="69" t="n">
        <f aca="false">AO77-AP77</f>
        <v>0</v>
      </c>
      <c r="AQ80" s="69" t="n">
        <f aca="false">AP77-AQ77</f>
        <v>0</v>
      </c>
      <c r="AR80" s="69" t="n">
        <f aca="false">AQ77-AR77</f>
        <v>0</v>
      </c>
      <c r="AS80" s="69" t="n">
        <f aca="false">AR77-AS77</f>
        <v>0</v>
      </c>
      <c r="AT80" s="69" t="n">
        <f aca="false">AS77-AT77</f>
        <v>0</v>
      </c>
      <c r="AU80" s="69" t="n">
        <f aca="false">AT77-AU77</f>
        <v>0</v>
      </c>
      <c r="AV80" s="69" t="n">
        <f aca="false">AU77-AV77</f>
        <v>0</v>
      </c>
      <c r="AW80" s="69" t="n">
        <f aca="false">AV77-AW77</f>
        <v>0</v>
      </c>
      <c r="AX80" s="69" t="n">
        <f aca="false">AW77-AX77</f>
        <v>0</v>
      </c>
      <c r="AY80" s="69" t="n">
        <f aca="false">AX77-AY77</f>
        <v>-1135.07917302746</v>
      </c>
      <c r="AZ80" s="69" t="n">
        <f aca="false">AY77-AZ77</f>
        <v>0</v>
      </c>
      <c r="BA80" s="69" t="n">
        <f aca="false">AZ77-BA77</f>
        <v>0</v>
      </c>
      <c r="BB80" s="69" t="n">
        <f aca="false">BA77-BB77</f>
        <v>0</v>
      </c>
      <c r="BC80" s="69" t="n">
        <f aca="false">BB77-BC77</f>
        <v>0</v>
      </c>
      <c r="BD80" s="69" t="n">
        <f aca="false">BC77-BD77</f>
        <v>0</v>
      </c>
      <c r="BE80" s="69" t="n">
        <f aca="false">BD77-BE77</f>
        <v>0</v>
      </c>
      <c r="BF80" s="69" t="n">
        <f aca="false">BE77-BF77</f>
        <v>0</v>
      </c>
      <c r="BG80" s="69" t="n">
        <f aca="false">BF77-BG77</f>
        <v>0</v>
      </c>
      <c r="BH80" s="69" t="n">
        <f aca="false">BG77-BH77</f>
        <v>0</v>
      </c>
      <c r="BI80" s="69" t="n">
        <f aca="false">BH77-BI77</f>
        <v>0</v>
      </c>
      <c r="BJ80" s="69" t="n">
        <f aca="false">BI77-BJ77</f>
        <v>0</v>
      </c>
    </row>
    <row r="81" customFormat="false" ht="15" hidden="false" customHeight="false" outlineLevel="0" collapsed="false">
      <c r="A81" s="6" t="s">
        <v>341</v>
      </c>
      <c r="C81" s="69" t="n">
        <f aca="false">-C78</f>
        <v>-14367.6666666667</v>
      </c>
      <c r="D81" s="69" t="n">
        <f aca="false">C78-D78</f>
        <v>-550.125</v>
      </c>
      <c r="E81" s="69" t="n">
        <f aca="false">D78-E78</f>
        <v>-550.125</v>
      </c>
      <c r="F81" s="69" t="n">
        <f aca="false">E78-F78</f>
        <v>-550.125</v>
      </c>
      <c r="G81" s="69" t="n">
        <f aca="false">F78-G78</f>
        <v>-550.125000000002</v>
      </c>
      <c r="H81" s="69" t="n">
        <f aca="false">G78-H78</f>
        <v>-550.125</v>
      </c>
      <c r="I81" s="69" t="n">
        <f aca="false">H78-I78</f>
        <v>-550.125</v>
      </c>
      <c r="J81" s="69" t="n">
        <f aca="false">I78-J78</f>
        <v>-550.125</v>
      </c>
      <c r="K81" s="69" t="n">
        <f aca="false">J78-K78</f>
        <v>-550.125</v>
      </c>
      <c r="L81" s="69" t="n">
        <f aca="false">K78-L78</f>
        <v>-550.125000000004</v>
      </c>
      <c r="M81" s="69" t="n">
        <f aca="false">L78-M78</f>
        <v>-550.124999999996</v>
      </c>
      <c r="N81" s="69" t="n">
        <f aca="false">M78-N78</f>
        <v>-550.125</v>
      </c>
      <c r="O81" s="69" t="n">
        <f aca="false">N78-O78</f>
        <v>-1519.17725</v>
      </c>
      <c r="P81" s="69" t="n">
        <f aca="false">O78-P78</f>
        <v>0</v>
      </c>
      <c r="Q81" s="69" t="n">
        <f aca="false">P78-Q78</f>
        <v>0</v>
      </c>
      <c r="R81" s="69" t="n">
        <f aca="false">Q78-R78</f>
        <v>0</v>
      </c>
      <c r="S81" s="69" t="n">
        <f aca="false">R78-S78</f>
        <v>0</v>
      </c>
      <c r="T81" s="69" t="n">
        <f aca="false">S78-T78</f>
        <v>0</v>
      </c>
      <c r="U81" s="69" t="n">
        <f aca="false">T78-U78</f>
        <v>0</v>
      </c>
      <c r="V81" s="69" t="n">
        <f aca="false">U78-V78</f>
        <v>0</v>
      </c>
      <c r="W81" s="69" t="n">
        <f aca="false">V78-W78</f>
        <v>0</v>
      </c>
      <c r="X81" s="69" t="n">
        <f aca="false">W78-X78</f>
        <v>0</v>
      </c>
      <c r="Y81" s="69" t="n">
        <f aca="false">X78-Y78</f>
        <v>0</v>
      </c>
      <c r="Z81" s="69" t="n">
        <f aca="false">Y78-Z78</f>
        <v>0</v>
      </c>
      <c r="AA81" s="69" t="n">
        <f aca="false">Z78-AA78</f>
        <v>-1018.828432025</v>
      </c>
      <c r="AB81" s="69" t="n">
        <f aca="false">AA78-AB78</f>
        <v>0</v>
      </c>
      <c r="AC81" s="69" t="n">
        <f aca="false">AB78-AC78</f>
        <v>0</v>
      </c>
      <c r="AD81" s="69" t="n">
        <f aca="false">AC78-AD78</f>
        <v>0</v>
      </c>
      <c r="AE81" s="69" t="n">
        <f aca="false">AD78-AE78</f>
        <v>0</v>
      </c>
      <c r="AF81" s="69" t="n">
        <f aca="false">AE78-AF78</f>
        <v>0</v>
      </c>
      <c r="AG81" s="69" t="n">
        <f aca="false">AF78-AG78</f>
        <v>0</v>
      </c>
      <c r="AH81" s="69" t="n">
        <f aca="false">AG78-AH78</f>
        <v>0</v>
      </c>
      <c r="AI81" s="69" t="n">
        <f aca="false">AH78-AI78</f>
        <v>0</v>
      </c>
      <c r="AJ81" s="69" t="n">
        <f aca="false">AI78-AJ78</f>
        <v>0</v>
      </c>
      <c r="AK81" s="69" t="n">
        <f aca="false">AJ78-AK78</f>
        <v>0</v>
      </c>
      <c r="AL81" s="69" t="n">
        <f aca="false">AK78-AL78</f>
        <v>0</v>
      </c>
      <c r="AM81" s="69" t="n">
        <f aca="false">AL78-AM78</f>
        <v>-1071.35881053533</v>
      </c>
      <c r="AN81" s="69" t="n">
        <f aca="false">AM78-AN78</f>
        <v>0</v>
      </c>
      <c r="AO81" s="69" t="n">
        <f aca="false">AN78-AO78</f>
        <v>0</v>
      </c>
      <c r="AP81" s="69" t="n">
        <f aca="false">AO78-AP78</f>
        <v>0</v>
      </c>
      <c r="AQ81" s="69" t="n">
        <f aca="false">AP78-AQ78</f>
        <v>0</v>
      </c>
      <c r="AR81" s="69" t="n">
        <f aca="false">AQ78-AR78</f>
        <v>0</v>
      </c>
      <c r="AS81" s="69" t="n">
        <f aca="false">AR78-AS78</f>
        <v>0</v>
      </c>
      <c r="AT81" s="69" t="n">
        <f aca="false">AS78-AT78</f>
        <v>0</v>
      </c>
      <c r="AU81" s="69" t="n">
        <f aca="false">AT78-AU78</f>
        <v>0</v>
      </c>
      <c r="AV81" s="69" t="n">
        <f aca="false">AU78-AV78</f>
        <v>0</v>
      </c>
      <c r="AW81" s="69" t="n">
        <f aca="false">AV78-AW78</f>
        <v>0</v>
      </c>
      <c r="AX81" s="69" t="n">
        <f aca="false">AW78-AX78</f>
        <v>0</v>
      </c>
      <c r="AY81" s="69" t="n">
        <f aca="false">AX78-AY78</f>
        <v>-1126.80280090692</v>
      </c>
      <c r="AZ81" s="69" t="n">
        <f aca="false">AY78-AZ78</f>
        <v>0</v>
      </c>
      <c r="BA81" s="69" t="n">
        <f aca="false">AZ78-BA78</f>
        <v>0</v>
      </c>
      <c r="BB81" s="69" t="n">
        <f aca="false">BA78-BB78</f>
        <v>0</v>
      </c>
      <c r="BC81" s="69" t="n">
        <f aca="false">BB78-BC78</f>
        <v>0</v>
      </c>
      <c r="BD81" s="69" t="n">
        <f aca="false">BC78-BD78</f>
        <v>0</v>
      </c>
      <c r="BE81" s="69" t="n">
        <f aca="false">BD78-BE78</f>
        <v>0</v>
      </c>
      <c r="BF81" s="69" t="n">
        <f aca="false">BE78-BF78</f>
        <v>0</v>
      </c>
      <c r="BG81" s="69" t="n">
        <f aca="false">BF78-BG78</f>
        <v>0</v>
      </c>
      <c r="BH81" s="69" t="n">
        <f aca="false">BG78-BH78</f>
        <v>0</v>
      </c>
      <c r="BI81" s="69" t="n">
        <f aca="false">BH78-BI78</f>
        <v>0</v>
      </c>
      <c r="BJ81" s="69" t="n">
        <f aca="false">BI78-BJ78</f>
        <v>0</v>
      </c>
    </row>
    <row r="82" customFormat="false" ht="15" hidden="false" customHeight="false" outlineLevel="0" collapsed="false">
      <c r="A82" s="6" t="s">
        <v>342</v>
      </c>
      <c r="C82" s="69" t="n">
        <f aca="false">C79</f>
        <v>44898.9583333333</v>
      </c>
      <c r="D82" s="69" t="n">
        <f aca="false">D79-C79</f>
        <v>1719.140625</v>
      </c>
      <c r="E82" s="69" t="n">
        <f aca="false">E79-D79</f>
        <v>1719.140625</v>
      </c>
      <c r="F82" s="69" t="n">
        <f aca="false">F79-E79</f>
        <v>1719.140625</v>
      </c>
      <c r="G82" s="69" t="n">
        <f aca="false">G79-F79</f>
        <v>1719.140625</v>
      </c>
      <c r="H82" s="69" t="n">
        <f aca="false">H79-G79</f>
        <v>1719.140625</v>
      </c>
      <c r="I82" s="69" t="n">
        <f aca="false">I79-H79</f>
        <v>1719.140625</v>
      </c>
      <c r="J82" s="69" t="n">
        <f aca="false">J79-I79</f>
        <v>1719.140625</v>
      </c>
      <c r="K82" s="69" t="n">
        <f aca="false">K79-J79</f>
        <v>1719.140625</v>
      </c>
      <c r="L82" s="69" t="n">
        <f aca="false">L79-K79</f>
        <v>1719.14062500001</v>
      </c>
      <c r="M82" s="69" t="n">
        <f aca="false">M79-L79</f>
        <v>1719.14062499999</v>
      </c>
      <c r="N82" s="69" t="n">
        <f aca="false">N79-M79</f>
        <v>1719.140625</v>
      </c>
      <c r="O82" s="69" t="n">
        <f aca="false">O79-N79</f>
        <v>4747.42890625</v>
      </c>
      <c r="P82" s="69" t="n">
        <f aca="false">P79-O79</f>
        <v>0</v>
      </c>
      <c r="Q82" s="69" t="n">
        <f aca="false">Q79-P79</f>
        <v>0</v>
      </c>
      <c r="R82" s="69" t="n">
        <f aca="false">R79-Q79</f>
        <v>0</v>
      </c>
      <c r="S82" s="69" t="n">
        <f aca="false">S79-R79</f>
        <v>0</v>
      </c>
      <c r="T82" s="69" t="n">
        <f aca="false">T79-S79</f>
        <v>0</v>
      </c>
      <c r="U82" s="69" t="n">
        <f aca="false">U79-T79</f>
        <v>0</v>
      </c>
      <c r="V82" s="69" t="n">
        <f aca="false">V79-U79</f>
        <v>0</v>
      </c>
      <c r="W82" s="69" t="n">
        <f aca="false">W79-V79</f>
        <v>0</v>
      </c>
      <c r="X82" s="69" t="n">
        <f aca="false">X79-W79</f>
        <v>0</v>
      </c>
      <c r="Y82" s="69" t="n">
        <f aca="false">Y79-X79</f>
        <v>0</v>
      </c>
      <c r="Z82" s="69" t="n">
        <f aca="false">Z79-Y79</f>
        <v>0</v>
      </c>
      <c r="AA82" s="69" t="n">
        <f aca="false">AA79-Z79</f>
        <v>3183.83885007813</v>
      </c>
      <c r="AB82" s="69" t="n">
        <f aca="false">AB79-AA79</f>
        <v>0</v>
      </c>
      <c r="AC82" s="69" t="n">
        <f aca="false">AC79-AB79</f>
        <v>0</v>
      </c>
      <c r="AD82" s="69" t="n">
        <f aca="false">AD79-AC79</f>
        <v>0</v>
      </c>
      <c r="AE82" s="69" t="n">
        <f aca="false">AE79-AD79</f>
        <v>0</v>
      </c>
      <c r="AF82" s="69" t="n">
        <f aca="false">AF79-AE79</f>
        <v>0</v>
      </c>
      <c r="AG82" s="69" t="n">
        <f aca="false">AG79-AF79</f>
        <v>0</v>
      </c>
      <c r="AH82" s="69" t="n">
        <f aca="false">AH79-AG79</f>
        <v>0</v>
      </c>
      <c r="AI82" s="69" t="n">
        <f aca="false">AI79-AH79</f>
        <v>0</v>
      </c>
      <c r="AJ82" s="69" t="n">
        <f aca="false">AJ79-AI79</f>
        <v>0</v>
      </c>
      <c r="AK82" s="69" t="n">
        <f aca="false">AK79-AJ79</f>
        <v>0</v>
      </c>
      <c r="AL82" s="69" t="n">
        <f aca="false">AL79-AK79</f>
        <v>0</v>
      </c>
      <c r="AM82" s="69" t="n">
        <f aca="false">AM79-AL79</f>
        <v>3347.99628292289</v>
      </c>
      <c r="AN82" s="69" t="n">
        <f aca="false">AN79-AM79</f>
        <v>0</v>
      </c>
      <c r="AO82" s="69" t="n">
        <f aca="false">AO79-AN79</f>
        <v>0</v>
      </c>
      <c r="AP82" s="69" t="n">
        <f aca="false">AP79-AO79</f>
        <v>0</v>
      </c>
      <c r="AQ82" s="69" t="n">
        <f aca="false">AQ79-AP79</f>
        <v>0</v>
      </c>
      <c r="AR82" s="69" t="n">
        <f aca="false">AR79-AQ79</f>
        <v>0</v>
      </c>
      <c r="AS82" s="69" t="n">
        <f aca="false">AS79-AR79</f>
        <v>0</v>
      </c>
      <c r="AT82" s="69" t="n">
        <f aca="false">AT79-AS79</f>
        <v>0</v>
      </c>
      <c r="AU82" s="69" t="n">
        <f aca="false">AU79-AT79</f>
        <v>0</v>
      </c>
      <c r="AV82" s="69" t="n">
        <f aca="false">AV79-AU79</f>
        <v>0</v>
      </c>
      <c r="AW82" s="69" t="n">
        <f aca="false">AW79-AV79</f>
        <v>0</v>
      </c>
      <c r="AX82" s="69" t="n">
        <f aca="false">AX79-AW79</f>
        <v>0</v>
      </c>
      <c r="AY82" s="69" t="n">
        <f aca="false">AY79-AX79</f>
        <v>3521.25875283415</v>
      </c>
      <c r="AZ82" s="69" t="n">
        <f aca="false">AZ79-AY79</f>
        <v>0</v>
      </c>
      <c r="BA82" s="69" t="n">
        <f aca="false">BA79-AZ79</f>
        <v>0</v>
      </c>
      <c r="BB82" s="69" t="n">
        <f aca="false">BB79-BA79</f>
        <v>0</v>
      </c>
      <c r="BC82" s="69" t="n">
        <f aca="false">BC79-BB79</f>
        <v>0</v>
      </c>
      <c r="BD82" s="69" t="n">
        <f aca="false">BD79-BC79</f>
        <v>0</v>
      </c>
      <c r="BE82" s="69" t="n">
        <f aca="false">BE79-BD79</f>
        <v>0</v>
      </c>
      <c r="BF82" s="69" t="n">
        <f aca="false">BF79-BE79</f>
        <v>0</v>
      </c>
      <c r="BG82" s="69" t="n">
        <f aca="false">BG79-BF79</f>
        <v>0</v>
      </c>
      <c r="BH82" s="69" t="n">
        <f aca="false">BH79-BG79</f>
        <v>0</v>
      </c>
      <c r="BI82" s="69" t="n">
        <f aca="false">BI79-BH79</f>
        <v>0</v>
      </c>
      <c r="BJ82" s="69" t="n">
        <f aca="false">BJ79-BI79</f>
        <v>0</v>
      </c>
    </row>
    <row r="84" customFormat="false" ht="15.75" hidden="false" customHeight="true" outlineLevel="0" collapsed="false">
      <c r="A84" s="7" t="s">
        <v>441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customFormat="false" ht="15" hidden="false" customHeight="false" outlineLevel="0" collapsed="false">
      <c r="A85" s="4" t="s">
        <v>52</v>
      </c>
      <c r="C85" s="75" t="n">
        <f aca="false">C55-C66+C80+C81+C82</f>
        <v>-27131</v>
      </c>
      <c r="D85" s="75" t="n">
        <f aca="false">D55-D66+D80+D81+D82</f>
        <v>-45511.255952381</v>
      </c>
      <c r="E85" s="75" t="n">
        <f aca="false">E55-E66+E80+E81+E82</f>
        <v>-39981.3563988095</v>
      </c>
      <c r="F85" s="75" t="n">
        <f aca="false">F55-F66+F80+F81+F82</f>
        <v>-34451.4568452381</v>
      </c>
      <c r="G85" s="75" t="n">
        <f aca="false">G55-G66+G80+G81+G82</f>
        <v>-28921.5572916667</v>
      </c>
      <c r="H85" s="75" t="n">
        <f aca="false">H55-H66+H80+H81+H82</f>
        <v>-23391.6577380953</v>
      </c>
      <c r="I85" s="75" t="n">
        <f aca="false">I55-I66+I80+I81+I82</f>
        <v>-17861.7581845238</v>
      </c>
      <c r="J85" s="75" t="n">
        <f aca="false">J55-J66+J80+J81+J82</f>
        <v>-12331.8586309524</v>
      </c>
      <c r="K85" s="75" t="n">
        <f aca="false">K55-K66+K80+K81+K82</f>
        <v>-6801.95907738096</v>
      </c>
      <c r="L85" s="75" t="n">
        <f aca="false">L55-L66+L80+L81+L82</f>
        <v>-1272.05952380951</v>
      </c>
      <c r="M85" s="75" t="n">
        <f aca="false">M55-M66+M80+M81+M82</f>
        <v>4257.84002976187</v>
      </c>
      <c r="N85" s="75" t="n">
        <f aca="false">N55-N66+N80+N81+N82</f>
        <v>9787.73958333333</v>
      </c>
      <c r="O85" s="75" t="n">
        <f aca="false">O55-O66+O80+O81+O82</f>
        <v>21936.3693869048</v>
      </c>
      <c r="P85" s="75" t="n">
        <f aca="false">P55-P66+P80+P81+P82</f>
        <v>20461.5188467262</v>
      </c>
      <c r="Q85" s="75" t="n">
        <f aca="false">Q55-Q66+Q80+Q81+Q82</f>
        <v>20483.8402752976</v>
      </c>
      <c r="R85" s="75" t="n">
        <f aca="false">R55-R66+R80+R81+R82</f>
        <v>20506.161703869</v>
      </c>
      <c r="S85" s="75" t="n">
        <f aca="false">S55-S66+S80+S81+S82</f>
        <v>20528.4831324405</v>
      </c>
      <c r="T85" s="75" t="n">
        <f aca="false">T55-T66+T80+T81+T82</f>
        <v>20550.8045610119</v>
      </c>
      <c r="U85" s="75" t="n">
        <f aca="false">U55-U66+U80+U81+U82</f>
        <v>20573.1259895833</v>
      </c>
      <c r="V85" s="75" t="n">
        <f aca="false">V55-V66+V80+V81+V82</f>
        <v>20595.4474181548</v>
      </c>
      <c r="W85" s="75" t="n">
        <f aca="false">W55-W66+W80+W81+W82</f>
        <v>20617.7688467262</v>
      </c>
      <c r="X85" s="75" t="n">
        <f aca="false">X55-X66+X80+X81+X82</f>
        <v>20640.0902752976</v>
      </c>
      <c r="Y85" s="75" t="n">
        <f aca="false">Y55-Y66+Y80+Y81+Y82</f>
        <v>20662.411703869</v>
      </c>
      <c r="Z85" s="75" t="n">
        <f aca="false">Z55-Z66+Z80+Z81+Z82</f>
        <v>20684.7331324405</v>
      </c>
      <c r="AA85" s="75" t="n">
        <f aca="false">AA55-AA66+AA80+AA81+AA82</f>
        <v>27424.2544582369</v>
      </c>
      <c r="AB85" s="75" t="n">
        <f aca="false">AB55-AB66+AB80+AB81+AB82</f>
        <v>26290.0686123489</v>
      </c>
      <c r="AC85" s="75" t="n">
        <f aca="false">AC55-AC66+AC80+AC81+AC82</f>
        <v>26312.3900409204</v>
      </c>
      <c r="AD85" s="75" t="n">
        <f aca="false">AD55-AD66+AD80+AD81+AD82</f>
        <v>26334.7114694918</v>
      </c>
      <c r="AE85" s="75" t="n">
        <f aca="false">AE55-AE66+AE80+AE81+AE82</f>
        <v>25064.5942988469</v>
      </c>
      <c r="AF85" s="75" t="n">
        <f aca="false">AF55-AF66+AF80+AF81+AF82</f>
        <v>21762.8149180414</v>
      </c>
      <c r="AG85" s="75" t="n">
        <f aca="false">AG55-AG66+AG80+AG81+AG82</f>
        <v>21780.4488466128</v>
      </c>
      <c r="AH85" s="75" t="n">
        <f aca="false">AH55-AH66+AH80+AH81+AH82</f>
        <v>21798.0827751842</v>
      </c>
      <c r="AI85" s="75" t="n">
        <f aca="false">AI55-AI66+AI80+AI81+AI82</f>
        <v>21815.7167037557</v>
      </c>
      <c r="AJ85" s="75" t="n">
        <f aca="false">AJ55-AJ66+AJ80+AJ81+AJ82</f>
        <v>21833.3506323271</v>
      </c>
      <c r="AK85" s="75" t="n">
        <f aca="false">AK55-AK66+AK80+AK81+AK82</f>
        <v>21850.9845608985</v>
      </c>
      <c r="AL85" s="75" t="n">
        <f aca="false">AL55-AL66+AL80+AL81+AL82</f>
        <v>21868.6184894699</v>
      </c>
      <c r="AM85" s="75" t="n">
        <f aca="false">AM55-AM66+AM80+AM81+AM82</f>
        <v>27631.6777544053</v>
      </c>
      <c r="AN85" s="75" t="n">
        <f aca="false">AN55-AN66+AN80+AN81+AN82</f>
        <v>26442.5951956278</v>
      </c>
      <c r="AO85" s="75" t="n">
        <f aca="false">AO55-AO66+AO80+AO81+AO82</f>
        <v>26460.2291241992</v>
      </c>
      <c r="AP85" s="75" t="n">
        <f aca="false">AP55-AP66+AP80+AP81+AP82</f>
        <v>26477.8630527707</v>
      </c>
      <c r="AQ85" s="75" t="n">
        <f aca="false">AQ55-AQ66+AQ80+AQ81+AQ82</f>
        <v>26495.4969813421</v>
      </c>
      <c r="AR85" s="75" t="n">
        <f aca="false">AR55-AR66+AR80+AR81+AR82</f>
        <v>26513.1309099135</v>
      </c>
      <c r="AS85" s="75" t="n">
        <f aca="false">AS55-AS66+AS80+AS81+AS82</f>
        <v>26530.7648384849</v>
      </c>
      <c r="AT85" s="75" t="n">
        <f aca="false">AT55-AT66+AT80+AT81+AT82</f>
        <v>26548.3987670564</v>
      </c>
      <c r="AU85" s="75" t="n">
        <f aca="false">AU55-AU66+AU80+AU81+AU82</f>
        <v>26566.0326956278</v>
      </c>
      <c r="AV85" s="75" t="n">
        <f aca="false">AV55-AV66+AV80+AV81+AV82</f>
        <v>26583.6666241992</v>
      </c>
      <c r="AW85" s="75" t="n">
        <f aca="false">AW55-AW66+AW80+AW81+AW82</f>
        <v>26601.3005527707</v>
      </c>
      <c r="AX85" s="75" t="n">
        <f aca="false">AX55-AX66+AX80+AX81+AX82</f>
        <v>26618.9344813421</v>
      </c>
      <c r="AY85" s="75" t="n">
        <f aca="false">AY55-AY66+AY80+AY81+AY82</f>
        <v>32591.0068554172</v>
      </c>
      <c r="AZ85" s="75" t="n">
        <f aca="false">AZ55-AZ66+AZ80+AZ81+AZ82</f>
        <v>31349.2640050889</v>
      </c>
      <c r="BA85" s="75" t="n">
        <f aca="false">BA55-BA66+BA80+BA81+BA82</f>
        <v>31366.8979336603</v>
      </c>
      <c r="BB85" s="75" t="n">
        <f aca="false">BB55-BB66+BB80+BB81+BB82</f>
        <v>31384.5318622317</v>
      </c>
      <c r="BC85" s="75" t="n">
        <f aca="false">BC55-BC66+BC80+BC81+BC82</f>
        <v>31402.1657908032</v>
      </c>
      <c r="BD85" s="75" t="n">
        <f aca="false">BD55-BD66+BD80+BD81+BD82</f>
        <v>31419.7997193746</v>
      </c>
      <c r="BE85" s="75" t="n">
        <f aca="false">BE55-BE66+BE80+BE81+BE82</f>
        <v>31437.433647946</v>
      </c>
      <c r="BF85" s="75" t="n">
        <f aca="false">BF55-BF66+BF80+BF81+BF82</f>
        <v>31455.0675765174</v>
      </c>
      <c r="BG85" s="75" t="n">
        <f aca="false">BG55-BG66+BG80+BG81+BG82</f>
        <v>31472.7015050889</v>
      </c>
      <c r="BH85" s="75" t="n">
        <f aca="false">BH55-BH66+BH80+BH81+BH82</f>
        <v>31490.3354336603</v>
      </c>
      <c r="BI85" s="75" t="n">
        <f aca="false">BI55-BI66+BI80+BI81+BI82</f>
        <v>31507.9693622317</v>
      </c>
      <c r="BJ85" s="75" t="n">
        <f aca="false">BJ55-BJ66+BJ80+BJ81+BJ82</f>
        <v>31525.6032908032</v>
      </c>
    </row>
    <row r="86" customFormat="false" ht="15" hidden="false" customHeight="false" outlineLevel="0" collapsed="false">
      <c r="A86" s="6" t="s">
        <v>442</v>
      </c>
      <c r="C86" s="69" t="n">
        <f aca="false">-C63</f>
        <v>-382000</v>
      </c>
      <c r="D86" s="69" t="n">
        <f aca="false">-D63</f>
        <v>-0</v>
      </c>
      <c r="E86" s="69" t="n">
        <f aca="false">-E63</f>
        <v>-0</v>
      </c>
      <c r="F86" s="69" t="n">
        <f aca="false">-F63</f>
        <v>-0</v>
      </c>
      <c r="G86" s="69" t="n">
        <f aca="false">-G63</f>
        <v>-0</v>
      </c>
      <c r="H86" s="69" t="n">
        <f aca="false">-H63</f>
        <v>-0</v>
      </c>
      <c r="I86" s="69" t="n">
        <f aca="false">-I63</f>
        <v>-0</v>
      </c>
      <c r="J86" s="69" t="n">
        <f aca="false">-J63</f>
        <v>-0</v>
      </c>
      <c r="K86" s="69" t="n">
        <f aca="false">-K63</f>
        <v>-0</v>
      </c>
      <c r="L86" s="69" t="n">
        <f aca="false">-L63</f>
        <v>-0</v>
      </c>
      <c r="M86" s="69" t="n">
        <f aca="false">-M63</f>
        <v>-0</v>
      </c>
      <c r="N86" s="69" t="n">
        <f aca="false">-N63</f>
        <v>-0</v>
      </c>
      <c r="O86" s="69" t="n">
        <f aca="false">-O63</f>
        <v>-20000</v>
      </c>
      <c r="P86" s="69" t="n">
        <f aca="false">-P63</f>
        <v>-0</v>
      </c>
      <c r="Q86" s="69" t="n">
        <f aca="false">-Q63</f>
        <v>-0</v>
      </c>
      <c r="R86" s="69" t="n">
        <f aca="false">-R63</f>
        <v>-0</v>
      </c>
      <c r="S86" s="69" t="n">
        <f aca="false">-S63</f>
        <v>-0</v>
      </c>
      <c r="T86" s="69" t="n">
        <f aca="false">-T63</f>
        <v>-0</v>
      </c>
      <c r="U86" s="69" t="n">
        <f aca="false">-U63</f>
        <v>-0</v>
      </c>
      <c r="V86" s="69" t="n">
        <f aca="false">-V63</f>
        <v>-0</v>
      </c>
      <c r="W86" s="69" t="n">
        <f aca="false">-W63</f>
        <v>-0</v>
      </c>
      <c r="X86" s="69" t="n">
        <f aca="false">-X63</f>
        <v>-0</v>
      </c>
      <c r="Y86" s="69" t="n">
        <f aca="false">-Y63</f>
        <v>-0</v>
      </c>
      <c r="Z86" s="69" t="n">
        <f aca="false">-Z63</f>
        <v>-0</v>
      </c>
      <c r="AA86" s="69" t="n">
        <f aca="false">-AA63</f>
        <v>-20000</v>
      </c>
      <c r="AB86" s="69" t="n">
        <f aca="false">-AB63</f>
        <v>-0</v>
      </c>
      <c r="AC86" s="69" t="n">
        <f aca="false">-AC63</f>
        <v>-0</v>
      </c>
      <c r="AD86" s="69" t="n">
        <f aca="false">-AD63</f>
        <v>-0</v>
      </c>
      <c r="AE86" s="69" t="n">
        <f aca="false">-AE63</f>
        <v>-0</v>
      </c>
      <c r="AF86" s="69" t="n">
        <f aca="false">-AF63</f>
        <v>-0</v>
      </c>
      <c r="AG86" s="69" t="n">
        <f aca="false">-AG63</f>
        <v>-0</v>
      </c>
      <c r="AH86" s="69" t="n">
        <f aca="false">-AH63</f>
        <v>-0</v>
      </c>
      <c r="AI86" s="69" t="n">
        <f aca="false">-AI63</f>
        <v>-0</v>
      </c>
      <c r="AJ86" s="69" t="n">
        <f aca="false">-AJ63</f>
        <v>-0</v>
      </c>
      <c r="AK86" s="69" t="n">
        <f aca="false">-AK63</f>
        <v>-0</v>
      </c>
      <c r="AL86" s="69" t="n">
        <f aca="false">-AL63</f>
        <v>-0</v>
      </c>
      <c r="AM86" s="69" t="n">
        <f aca="false">-AM63</f>
        <v>-20000</v>
      </c>
      <c r="AN86" s="69" t="n">
        <f aca="false">-AN63</f>
        <v>-0</v>
      </c>
      <c r="AO86" s="69" t="n">
        <f aca="false">-AO63</f>
        <v>-0</v>
      </c>
      <c r="AP86" s="69" t="n">
        <f aca="false">-AP63</f>
        <v>-0</v>
      </c>
      <c r="AQ86" s="69" t="n">
        <f aca="false">-AQ63</f>
        <v>-0</v>
      </c>
      <c r="AR86" s="69" t="n">
        <f aca="false">-AR63</f>
        <v>-0</v>
      </c>
      <c r="AS86" s="69" t="n">
        <f aca="false">-AS63</f>
        <v>-0</v>
      </c>
      <c r="AT86" s="69" t="n">
        <f aca="false">-AT63</f>
        <v>-0</v>
      </c>
      <c r="AU86" s="69" t="n">
        <f aca="false">-AU63</f>
        <v>-0</v>
      </c>
      <c r="AV86" s="69" t="n">
        <f aca="false">-AV63</f>
        <v>-0</v>
      </c>
      <c r="AW86" s="69" t="n">
        <f aca="false">-AW63</f>
        <v>-0</v>
      </c>
      <c r="AX86" s="69" t="n">
        <f aca="false">-AX63</f>
        <v>-0</v>
      </c>
      <c r="AY86" s="69" t="n">
        <f aca="false">-AY63</f>
        <v>-20000</v>
      </c>
      <c r="AZ86" s="69" t="n">
        <f aca="false">-AZ63</f>
        <v>-0</v>
      </c>
      <c r="BA86" s="69" t="n">
        <f aca="false">-BA63</f>
        <v>-0</v>
      </c>
      <c r="BB86" s="69" t="n">
        <f aca="false">-BB63</f>
        <v>-0</v>
      </c>
      <c r="BC86" s="69" t="n">
        <f aca="false">-BC63</f>
        <v>-0</v>
      </c>
      <c r="BD86" s="69" t="n">
        <f aca="false">-BD63</f>
        <v>-0</v>
      </c>
      <c r="BE86" s="69" t="n">
        <f aca="false">-BE63</f>
        <v>-0</v>
      </c>
      <c r="BF86" s="69" t="n">
        <f aca="false">-BF63</f>
        <v>-0</v>
      </c>
      <c r="BG86" s="69" t="n">
        <f aca="false">-BG63</f>
        <v>-0</v>
      </c>
      <c r="BH86" s="69" t="n">
        <f aca="false">-BH63</f>
        <v>-0</v>
      </c>
      <c r="BI86" s="69" t="n">
        <f aca="false">-BI63</f>
        <v>-0</v>
      </c>
      <c r="BJ86" s="69" t="n">
        <f aca="false">-BJ63</f>
        <v>-0</v>
      </c>
    </row>
    <row r="87" customFormat="false" ht="15" hidden="false" customHeight="false" outlineLevel="0" collapsed="false">
      <c r="A87" s="6" t="s">
        <v>64</v>
      </c>
      <c r="C87" s="69" t="n">
        <f aca="false">IF(C$4=1,Inputs!$E$67,0)</f>
        <v>480000</v>
      </c>
      <c r="D87" s="69" t="n">
        <f aca="false">IF(D$4=1,Inputs!$E$67,0)</f>
        <v>0</v>
      </c>
      <c r="E87" s="69" t="n">
        <f aca="false">IF(E$4=1,Inputs!$E$67,0)</f>
        <v>0</v>
      </c>
      <c r="F87" s="69" t="n">
        <f aca="false">IF(F$4=1,Inputs!$E$67,0)</f>
        <v>0</v>
      </c>
      <c r="G87" s="69" t="n">
        <f aca="false">IF(G$4=1,Inputs!$E$67,0)</f>
        <v>0</v>
      </c>
      <c r="H87" s="69" t="n">
        <f aca="false">IF(H$4=1,Inputs!$E$67,0)</f>
        <v>0</v>
      </c>
      <c r="I87" s="69" t="n">
        <f aca="false">IF(I$4=1,Inputs!$E$67,0)</f>
        <v>0</v>
      </c>
      <c r="J87" s="69" t="n">
        <f aca="false">IF(J$4=1,Inputs!$E$67,0)</f>
        <v>0</v>
      </c>
      <c r="K87" s="69" t="n">
        <f aca="false">IF(K$4=1,Inputs!$E$67,0)</f>
        <v>0</v>
      </c>
      <c r="L87" s="69" t="n">
        <f aca="false">IF(L$4=1,Inputs!$E$67,0)</f>
        <v>0</v>
      </c>
      <c r="M87" s="69" t="n">
        <f aca="false">IF(M$4=1,Inputs!$E$67,0)</f>
        <v>0</v>
      </c>
      <c r="N87" s="69" t="n">
        <f aca="false">IF(N$4=1,Inputs!$E$67,0)</f>
        <v>0</v>
      </c>
      <c r="O87" s="69" t="n">
        <f aca="false">IF(O$4=1,Inputs!$E$67,0)</f>
        <v>0</v>
      </c>
      <c r="P87" s="69" t="n">
        <f aca="false">IF(P$4=1,Inputs!$E$67,0)</f>
        <v>0</v>
      </c>
      <c r="Q87" s="69" t="n">
        <f aca="false">IF(Q$4=1,Inputs!$E$67,0)</f>
        <v>0</v>
      </c>
      <c r="R87" s="69" t="n">
        <f aca="false">IF(R$4=1,Inputs!$E$67,0)</f>
        <v>0</v>
      </c>
      <c r="S87" s="69" t="n">
        <f aca="false">IF(S$4=1,Inputs!$E$67,0)</f>
        <v>0</v>
      </c>
      <c r="T87" s="69" t="n">
        <f aca="false">IF(T$4=1,Inputs!$E$67,0)</f>
        <v>0</v>
      </c>
      <c r="U87" s="69" t="n">
        <f aca="false">IF(U$4=1,Inputs!$E$67,0)</f>
        <v>0</v>
      </c>
      <c r="V87" s="69" t="n">
        <f aca="false">IF(V$4=1,Inputs!$E$67,0)</f>
        <v>0</v>
      </c>
      <c r="W87" s="69" t="n">
        <f aca="false">IF(W$4=1,Inputs!$E$67,0)</f>
        <v>0</v>
      </c>
      <c r="X87" s="69" t="n">
        <f aca="false">IF(X$4=1,Inputs!$E$67,0)</f>
        <v>0</v>
      </c>
      <c r="Y87" s="69" t="n">
        <f aca="false">IF(Y$4=1,Inputs!$E$67,0)</f>
        <v>0</v>
      </c>
      <c r="Z87" s="69" t="n">
        <f aca="false">IF(Z$4=1,Inputs!$E$67,0)</f>
        <v>0</v>
      </c>
      <c r="AA87" s="69" t="n">
        <f aca="false">IF(AA$4=1,Inputs!$E$67,0)</f>
        <v>0</v>
      </c>
      <c r="AB87" s="69" t="n">
        <f aca="false">IF(AB$4=1,Inputs!$E$67,0)</f>
        <v>0</v>
      </c>
      <c r="AC87" s="69" t="n">
        <f aca="false">IF(AC$4=1,Inputs!$E$67,0)</f>
        <v>0</v>
      </c>
      <c r="AD87" s="69" t="n">
        <f aca="false">IF(AD$4=1,Inputs!$E$67,0)</f>
        <v>0</v>
      </c>
      <c r="AE87" s="69" t="n">
        <f aca="false">IF(AE$4=1,Inputs!$E$67,0)</f>
        <v>0</v>
      </c>
      <c r="AF87" s="69" t="n">
        <f aca="false">IF(AF$4=1,Inputs!$E$67,0)</f>
        <v>0</v>
      </c>
      <c r="AG87" s="69" t="n">
        <f aca="false">IF(AG$4=1,Inputs!$E$67,0)</f>
        <v>0</v>
      </c>
      <c r="AH87" s="69" t="n">
        <f aca="false">IF(AH$4=1,Inputs!$E$67,0)</f>
        <v>0</v>
      </c>
      <c r="AI87" s="69" t="n">
        <f aca="false">IF(AI$4=1,Inputs!$E$67,0)</f>
        <v>0</v>
      </c>
      <c r="AJ87" s="69" t="n">
        <f aca="false">IF(AJ$4=1,Inputs!$E$67,0)</f>
        <v>0</v>
      </c>
      <c r="AK87" s="69" t="n">
        <f aca="false">IF(AK$4=1,Inputs!$E$67,0)</f>
        <v>0</v>
      </c>
      <c r="AL87" s="69" t="n">
        <f aca="false">IF(AL$4=1,Inputs!$E$67,0)</f>
        <v>0</v>
      </c>
      <c r="AM87" s="69" t="n">
        <f aca="false">IF(AM$4=1,Inputs!$E$67,0)</f>
        <v>0</v>
      </c>
      <c r="AN87" s="69" t="n">
        <f aca="false">IF(AN$4=1,Inputs!$E$67,0)</f>
        <v>0</v>
      </c>
      <c r="AO87" s="69" t="n">
        <f aca="false">IF(AO$4=1,Inputs!$E$67,0)</f>
        <v>0</v>
      </c>
      <c r="AP87" s="69" t="n">
        <f aca="false">IF(AP$4=1,Inputs!$E$67,0)</f>
        <v>0</v>
      </c>
      <c r="AQ87" s="69" t="n">
        <f aca="false">IF(AQ$4=1,Inputs!$E$67,0)</f>
        <v>0</v>
      </c>
      <c r="AR87" s="69" t="n">
        <f aca="false">IF(AR$4=1,Inputs!$E$67,0)</f>
        <v>0</v>
      </c>
      <c r="AS87" s="69" t="n">
        <f aca="false">IF(AS$4=1,Inputs!$E$67,0)</f>
        <v>0</v>
      </c>
      <c r="AT87" s="69" t="n">
        <f aca="false">IF(AT$4=1,Inputs!$E$67,0)</f>
        <v>0</v>
      </c>
      <c r="AU87" s="69" t="n">
        <f aca="false">IF(AU$4=1,Inputs!$E$67,0)</f>
        <v>0</v>
      </c>
      <c r="AV87" s="69" t="n">
        <f aca="false">IF(AV$4=1,Inputs!$E$67,0)</f>
        <v>0</v>
      </c>
      <c r="AW87" s="69" t="n">
        <f aca="false">IF(AW$4=1,Inputs!$E$67,0)</f>
        <v>0</v>
      </c>
      <c r="AX87" s="69" t="n">
        <f aca="false">IF(AX$4=1,Inputs!$E$67,0)</f>
        <v>0</v>
      </c>
      <c r="AY87" s="69" t="n">
        <f aca="false">IF(AY$4=1,Inputs!$E$67,0)</f>
        <v>0</v>
      </c>
      <c r="AZ87" s="69" t="n">
        <f aca="false">IF(AZ$4=1,Inputs!$E$67,0)</f>
        <v>0</v>
      </c>
      <c r="BA87" s="69" t="n">
        <f aca="false">IF(BA$4=1,Inputs!$E$67,0)</f>
        <v>0</v>
      </c>
      <c r="BB87" s="69" t="n">
        <f aca="false">IF(BB$4=1,Inputs!$E$67,0)</f>
        <v>0</v>
      </c>
      <c r="BC87" s="69" t="n">
        <f aca="false">IF(BC$4=1,Inputs!$E$67,0)</f>
        <v>0</v>
      </c>
      <c r="BD87" s="69" t="n">
        <f aca="false">IF(BD$4=1,Inputs!$E$67,0)</f>
        <v>0</v>
      </c>
      <c r="BE87" s="69" t="n">
        <f aca="false">IF(BE$4=1,Inputs!$E$67,0)</f>
        <v>0</v>
      </c>
      <c r="BF87" s="69" t="n">
        <f aca="false">IF(BF$4=1,Inputs!$E$67,0)</f>
        <v>0</v>
      </c>
      <c r="BG87" s="69" t="n">
        <f aca="false">IF(BG$4=1,Inputs!$E$67,0)</f>
        <v>0</v>
      </c>
      <c r="BH87" s="69" t="n">
        <f aca="false">IF(BH$4=1,Inputs!$E$67,0)</f>
        <v>0</v>
      </c>
      <c r="BI87" s="69" t="n">
        <f aca="false">IF(BI$4=1,Inputs!$E$67,0)</f>
        <v>0</v>
      </c>
      <c r="BJ87" s="69" t="n">
        <f aca="false">IF(BJ$4=1,Inputs!$E$67,0)</f>
        <v>0</v>
      </c>
    </row>
    <row r="88" customFormat="false" ht="15" hidden="false" customHeight="false" outlineLevel="0" collapsed="false">
      <c r="A88" s="6" t="s">
        <v>54</v>
      </c>
      <c r="C88" s="69" t="n">
        <f aca="false">C87+C72+C73</f>
        <v>730000</v>
      </c>
      <c r="D88" s="69" t="n">
        <f aca="false">D87+D72+D73</f>
        <v>-2976.19047619048</v>
      </c>
      <c r="E88" s="69" t="n">
        <f aca="false">E87+E72+E73</f>
        <v>-2976.19047619048</v>
      </c>
      <c r="F88" s="69" t="n">
        <f aca="false">F87+F72+F73</f>
        <v>-2976.19047619048</v>
      </c>
      <c r="G88" s="69" t="n">
        <f aca="false">G87+G72+G73</f>
        <v>-2976.19047619048</v>
      </c>
      <c r="H88" s="69" t="n">
        <f aca="false">H87+H72+H73</f>
        <v>-2976.19047619048</v>
      </c>
      <c r="I88" s="69" t="n">
        <f aca="false">I87+I72+I73</f>
        <v>-2976.19047619048</v>
      </c>
      <c r="J88" s="69" t="n">
        <f aca="false">J87+J72+J73</f>
        <v>-2976.19047619048</v>
      </c>
      <c r="K88" s="69" t="n">
        <f aca="false">K87+K72+K73</f>
        <v>-2976.19047619048</v>
      </c>
      <c r="L88" s="69" t="n">
        <f aca="false">L87+L72+L73</f>
        <v>-2976.19047619048</v>
      </c>
      <c r="M88" s="69" t="n">
        <f aca="false">M87+M72+M73</f>
        <v>-2976.19047619048</v>
      </c>
      <c r="N88" s="69" t="n">
        <f aca="false">N87+N72+N73</f>
        <v>-2976.19047619048</v>
      </c>
      <c r="O88" s="69" t="n">
        <f aca="false">O87+O72+O73</f>
        <v>-2976.19047619048</v>
      </c>
      <c r="P88" s="69" t="n">
        <f aca="false">P87+P72+P73</f>
        <v>-2976.19047619048</v>
      </c>
      <c r="Q88" s="69" t="n">
        <f aca="false">Q87+Q72+Q73</f>
        <v>-2976.19047619048</v>
      </c>
      <c r="R88" s="69" t="n">
        <f aca="false">R87+R72+R73</f>
        <v>-2976.19047619048</v>
      </c>
      <c r="S88" s="69" t="n">
        <f aca="false">S87+S72+S73</f>
        <v>-2976.19047619048</v>
      </c>
      <c r="T88" s="69" t="n">
        <f aca="false">T87+T72+T73</f>
        <v>-2976.19047619048</v>
      </c>
      <c r="U88" s="69" t="n">
        <f aca="false">U87+U72+U73</f>
        <v>-2976.19047619048</v>
      </c>
      <c r="V88" s="69" t="n">
        <f aca="false">V87+V72+V73</f>
        <v>-2976.19047619048</v>
      </c>
      <c r="W88" s="69" t="n">
        <f aca="false">W87+W72+W73</f>
        <v>-2976.19047619048</v>
      </c>
      <c r="X88" s="69" t="n">
        <f aca="false">X87+X72+X73</f>
        <v>-2976.19047619048</v>
      </c>
      <c r="Y88" s="69" t="n">
        <f aca="false">Y87+Y72+Y73</f>
        <v>-2976.19047619048</v>
      </c>
      <c r="Z88" s="69" t="n">
        <f aca="false">Z87+Z72+Z73</f>
        <v>-2976.19047619048</v>
      </c>
      <c r="AA88" s="69" t="n">
        <f aca="false">AA87+AA72+AA73</f>
        <v>-2976.19047619048</v>
      </c>
      <c r="AB88" s="69" t="n">
        <f aca="false">AB87+AB72+AB73</f>
        <v>-2976.19047619048</v>
      </c>
      <c r="AC88" s="69" t="n">
        <f aca="false">AC87+AC72+AC73</f>
        <v>-2976.19047619048</v>
      </c>
      <c r="AD88" s="69" t="n">
        <f aca="false">AD87+AD72+AD73</f>
        <v>-2976.19047619048</v>
      </c>
      <c r="AE88" s="69" t="n">
        <f aca="false">AE87+AE72+AE73</f>
        <v>-2976.19047619048</v>
      </c>
      <c r="AF88" s="69" t="n">
        <f aca="false">AF87+AF72+AF73</f>
        <v>-2976.19047619048</v>
      </c>
      <c r="AG88" s="69" t="n">
        <f aca="false">AG87+AG72+AG73</f>
        <v>-2976.19047619048</v>
      </c>
      <c r="AH88" s="69" t="n">
        <f aca="false">AH87+AH72+AH73</f>
        <v>-2976.19047619048</v>
      </c>
      <c r="AI88" s="69" t="n">
        <f aca="false">AI87+AI72+AI73</f>
        <v>-2976.19047619048</v>
      </c>
      <c r="AJ88" s="69" t="n">
        <f aca="false">AJ87+AJ72+AJ73</f>
        <v>-2976.19047619048</v>
      </c>
      <c r="AK88" s="69" t="n">
        <f aca="false">AK87+AK72+AK73</f>
        <v>-2976.19047619048</v>
      </c>
      <c r="AL88" s="69" t="n">
        <f aca="false">AL87+AL72+AL73</f>
        <v>-2976.19047619048</v>
      </c>
      <c r="AM88" s="69" t="n">
        <f aca="false">AM87+AM72+AM73</f>
        <v>-2976.19047619048</v>
      </c>
      <c r="AN88" s="69" t="n">
        <f aca="false">AN87+AN72+AN73</f>
        <v>-2976.19047619048</v>
      </c>
      <c r="AO88" s="69" t="n">
        <f aca="false">AO87+AO72+AO73</f>
        <v>-2976.19047619048</v>
      </c>
      <c r="AP88" s="69" t="n">
        <f aca="false">AP87+AP72+AP73</f>
        <v>-2976.19047619048</v>
      </c>
      <c r="AQ88" s="69" t="n">
        <f aca="false">AQ87+AQ72+AQ73</f>
        <v>-2976.19047619048</v>
      </c>
      <c r="AR88" s="69" t="n">
        <f aca="false">AR87+AR72+AR73</f>
        <v>-2976.19047619048</v>
      </c>
      <c r="AS88" s="69" t="n">
        <f aca="false">AS87+AS72+AS73</f>
        <v>-2976.19047619048</v>
      </c>
      <c r="AT88" s="69" t="n">
        <f aca="false">AT87+AT72+AT73</f>
        <v>-2976.19047619048</v>
      </c>
      <c r="AU88" s="69" t="n">
        <f aca="false">AU87+AU72+AU73</f>
        <v>-2976.19047619048</v>
      </c>
      <c r="AV88" s="69" t="n">
        <f aca="false">AV87+AV72+AV73</f>
        <v>-2976.19047619048</v>
      </c>
      <c r="AW88" s="69" t="n">
        <f aca="false">AW87+AW72+AW73</f>
        <v>-2976.19047619048</v>
      </c>
      <c r="AX88" s="69" t="n">
        <f aca="false">AX87+AX72+AX73</f>
        <v>-2976.19047619048</v>
      </c>
      <c r="AY88" s="69" t="n">
        <f aca="false">AY87+AY72+AY73</f>
        <v>-2976.19047619048</v>
      </c>
      <c r="AZ88" s="69" t="n">
        <f aca="false">AZ87+AZ72+AZ73</f>
        <v>-2976.19047619048</v>
      </c>
      <c r="BA88" s="69" t="n">
        <f aca="false">BA87+BA72+BA73</f>
        <v>-2976.19047619048</v>
      </c>
      <c r="BB88" s="69" t="n">
        <f aca="false">BB87+BB72+BB73</f>
        <v>-2976.19047619048</v>
      </c>
      <c r="BC88" s="69" t="n">
        <f aca="false">BC87+BC72+BC73</f>
        <v>-2976.19047619048</v>
      </c>
      <c r="BD88" s="69" t="n">
        <f aca="false">BD87+BD72+BD73</f>
        <v>-2976.19047619048</v>
      </c>
      <c r="BE88" s="69" t="n">
        <f aca="false">BE87+BE72+BE73</f>
        <v>-2976.19047619048</v>
      </c>
      <c r="BF88" s="69" t="n">
        <f aca="false">BF87+BF72+BF73</f>
        <v>-2976.19047619048</v>
      </c>
      <c r="BG88" s="69" t="n">
        <f aca="false">BG87+BG72+BG73</f>
        <v>-2976.19047619048</v>
      </c>
      <c r="BH88" s="69" t="n">
        <f aca="false">BH87+BH72+BH73</f>
        <v>-2976.19047619048</v>
      </c>
      <c r="BI88" s="69" t="n">
        <f aca="false">BI87+BI72+BI73</f>
        <v>-2976.19047619048</v>
      </c>
      <c r="BJ88" s="69" t="n">
        <f aca="false">BJ87+BJ72+BJ73</f>
        <v>-2976.19047619048</v>
      </c>
    </row>
    <row r="89" customFormat="false" ht="15" hidden="false" customHeight="false" outlineLevel="0" collapsed="false">
      <c r="A89" s="115" t="s">
        <v>443</v>
      </c>
      <c r="C89" s="70" t="n">
        <f aca="false">C85+C86+C88</f>
        <v>320869</v>
      </c>
      <c r="D89" s="70" t="n">
        <f aca="false">D85+D86+D88</f>
        <v>-48487.4464285714</v>
      </c>
      <c r="E89" s="70" t="n">
        <f aca="false">E85+E86+E88</f>
        <v>-42957.546875</v>
      </c>
      <c r="F89" s="70" t="n">
        <f aca="false">F85+F86+F88</f>
        <v>-37427.6473214286</v>
      </c>
      <c r="G89" s="70" t="n">
        <f aca="false">G85+G86+G88</f>
        <v>-31897.7477678571</v>
      </c>
      <c r="H89" s="70" t="n">
        <f aca="false">H85+H86+H88</f>
        <v>-26367.8482142857</v>
      </c>
      <c r="I89" s="70" t="n">
        <f aca="false">I85+I86+I88</f>
        <v>-20837.9486607143</v>
      </c>
      <c r="J89" s="70" t="n">
        <f aca="false">J85+J86+J88</f>
        <v>-15308.0491071429</v>
      </c>
      <c r="K89" s="70" t="n">
        <f aca="false">K85+K86+K88</f>
        <v>-9778.14955357144</v>
      </c>
      <c r="L89" s="70" t="n">
        <f aca="false">L85+L86+L88</f>
        <v>-4248.24999999998</v>
      </c>
      <c r="M89" s="70" t="n">
        <f aca="false">M85+M86+M88</f>
        <v>1281.64955357139</v>
      </c>
      <c r="N89" s="70" t="n">
        <f aca="false">N85+N86+N88</f>
        <v>6811.54910714285</v>
      </c>
      <c r="O89" s="70" t="n">
        <f aca="false">O85+O86+O88</f>
        <v>-1039.82108928573</v>
      </c>
      <c r="P89" s="70" t="n">
        <f aca="false">P85+P86+P88</f>
        <v>17485.3283705357</v>
      </c>
      <c r="Q89" s="70" t="n">
        <f aca="false">Q85+Q86+Q88</f>
        <v>17507.6497991071</v>
      </c>
      <c r="R89" s="70" t="n">
        <f aca="false">R85+R86+R88</f>
        <v>17529.9712276786</v>
      </c>
      <c r="S89" s="70" t="n">
        <f aca="false">S85+S86+S88</f>
        <v>17552.29265625</v>
      </c>
      <c r="T89" s="70" t="n">
        <f aca="false">T85+T86+T88</f>
        <v>17574.6140848214</v>
      </c>
      <c r="U89" s="70" t="n">
        <f aca="false">U85+U86+U88</f>
        <v>17596.9355133929</v>
      </c>
      <c r="V89" s="70" t="n">
        <f aca="false">V85+V86+V88</f>
        <v>17619.2569419643</v>
      </c>
      <c r="W89" s="70" t="n">
        <f aca="false">W85+W86+W88</f>
        <v>17641.5783705357</v>
      </c>
      <c r="X89" s="70" t="n">
        <f aca="false">X85+X86+X88</f>
        <v>17663.8997991071</v>
      </c>
      <c r="Y89" s="70" t="n">
        <f aca="false">Y85+Y86+Y88</f>
        <v>17686.2212276786</v>
      </c>
      <c r="Z89" s="70" t="n">
        <f aca="false">Z85+Z86+Z88</f>
        <v>17708.54265625</v>
      </c>
      <c r="AA89" s="70" t="n">
        <f aca="false">AA85+AA86+AA88</f>
        <v>4448.06398204641</v>
      </c>
      <c r="AB89" s="70" t="n">
        <f aca="false">AB85+AB86+AB88</f>
        <v>23313.8781361585</v>
      </c>
      <c r="AC89" s="70" t="n">
        <f aca="false">AC85+AC86+AC88</f>
        <v>23336.1995647299</v>
      </c>
      <c r="AD89" s="70" t="n">
        <f aca="false">AD85+AD86+AD88</f>
        <v>23358.5209933013</v>
      </c>
      <c r="AE89" s="70" t="n">
        <f aca="false">AE85+AE86+AE88</f>
        <v>22088.4038226564</v>
      </c>
      <c r="AF89" s="70" t="n">
        <f aca="false">AF85+AF86+AF88</f>
        <v>18786.6244418509</v>
      </c>
      <c r="AG89" s="70" t="n">
        <f aca="false">AG85+AG86+AG88</f>
        <v>18804.2583704223</v>
      </c>
      <c r="AH89" s="70" t="n">
        <f aca="false">AH85+AH86+AH88</f>
        <v>18821.8922989938</v>
      </c>
      <c r="AI89" s="70" t="n">
        <f aca="false">AI85+AI86+AI88</f>
        <v>18839.5262275652</v>
      </c>
      <c r="AJ89" s="70" t="n">
        <f aca="false">AJ85+AJ86+AJ88</f>
        <v>18857.1601561366</v>
      </c>
      <c r="AK89" s="70" t="n">
        <f aca="false">AK85+AK86+AK88</f>
        <v>18874.794084708</v>
      </c>
      <c r="AL89" s="70" t="n">
        <f aca="false">AL85+AL86+AL88</f>
        <v>18892.4280132795</v>
      </c>
      <c r="AM89" s="70" t="n">
        <f aca="false">AM85+AM86+AM88</f>
        <v>4655.48727821484</v>
      </c>
      <c r="AN89" s="70" t="n">
        <f aca="false">AN85+AN86+AN88</f>
        <v>23466.4047194373</v>
      </c>
      <c r="AO89" s="70" t="n">
        <f aca="false">AO85+AO86+AO88</f>
        <v>23484.0386480087</v>
      </c>
      <c r="AP89" s="70" t="n">
        <f aca="false">AP85+AP86+AP88</f>
        <v>23501.6725765802</v>
      </c>
      <c r="AQ89" s="70" t="n">
        <f aca="false">AQ85+AQ86+AQ88</f>
        <v>23519.3065051516</v>
      </c>
      <c r="AR89" s="70" t="n">
        <f aca="false">AR85+AR86+AR88</f>
        <v>23536.940433723</v>
      </c>
      <c r="AS89" s="70" t="n">
        <f aca="false">AS85+AS86+AS88</f>
        <v>23554.5743622945</v>
      </c>
      <c r="AT89" s="70" t="n">
        <f aca="false">AT85+AT86+AT88</f>
        <v>23572.2082908659</v>
      </c>
      <c r="AU89" s="70" t="n">
        <f aca="false">AU85+AU86+AU88</f>
        <v>23589.8422194373</v>
      </c>
      <c r="AV89" s="70" t="n">
        <f aca="false">AV85+AV86+AV88</f>
        <v>23607.4761480087</v>
      </c>
      <c r="AW89" s="70" t="n">
        <f aca="false">AW85+AW86+AW88</f>
        <v>23625.1100765802</v>
      </c>
      <c r="AX89" s="70" t="n">
        <f aca="false">AX85+AX86+AX88</f>
        <v>23642.7440051516</v>
      </c>
      <c r="AY89" s="70" t="n">
        <f aca="false">AY85+AY86+AY88</f>
        <v>9614.81637922673</v>
      </c>
      <c r="AZ89" s="70" t="n">
        <f aca="false">AZ85+AZ86+AZ88</f>
        <v>28373.0735288984</v>
      </c>
      <c r="BA89" s="70" t="n">
        <f aca="false">BA85+BA86+BA88</f>
        <v>28390.7074574698</v>
      </c>
      <c r="BB89" s="70" t="n">
        <f aca="false">BB85+BB86+BB88</f>
        <v>28408.3413860413</v>
      </c>
      <c r="BC89" s="70" t="n">
        <f aca="false">BC85+BC86+BC88</f>
        <v>28425.9753146127</v>
      </c>
      <c r="BD89" s="70" t="n">
        <f aca="false">BD85+BD86+BD88</f>
        <v>28443.6092431841</v>
      </c>
      <c r="BE89" s="70" t="n">
        <f aca="false">BE85+BE86+BE88</f>
        <v>28461.2431717555</v>
      </c>
      <c r="BF89" s="70" t="n">
        <f aca="false">BF85+BF86+BF88</f>
        <v>28478.877100327</v>
      </c>
      <c r="BG89" s="70" t="n">
        <f aca="false">BG85+BG86+BG88</f>
        <v>28496.5110288984</v>
      </c>
      <c r="BH89" s="70" t="n">
        <f aca="false">BH85+BH86+BH88</f>
        <v>28514.1449574698</v>
      </c>
      <c r="BI89" s="70" t="n">
        <f aca="false">BI85+BI86+BI88</f>
        <v>28531.7788860413</v>
      </c>
      <c r="BJ89" s="70" t="n">
        <f aca="false">BJ85+BJ86+BJ88</f>
        <v>28549.4128146127</v>
      </c>
    </row>
    <row r="90" customFormat="false" ht="15" hidden="false" customHeight="false" outlineLevel="0" collapsed="false">
      <c r="A90" s="6" t="s">
        <v>343</v>
      </c>
      <c r="C90" s="69" t="n">
        <f aca="false">0</f>
        <v>0</v>
      </c>
      <c r="D90" s="69" t="n">
        <f aca="false">C91</f>
        <v>320869</v>
      </c>
      <c r="E90" s="69" t="n">
        <f aca="false">D91</f>
        <v>272381.553571429</v>
      </c>
      <c r="F90" s="69" t="n">
        <f aca="false">E91</f>
        <v>229424.006696429</v>
      </c>
      <c r="G90" s="69" t="n">
        <f aca="false">F91</f>
        <v>191996.359375</v>
      </c>
      <c r="H90" s="69" t="n">
        <f aca="false">G91</f>
        <v>160098.611607143</v>
      </c>
      <c r="I90" s="69" t="n">
        <f aca="false">H91</f>
        <v>133730.763392857</v>
      </c>
      <c r="J90" s="69" t="n">
        <f aca="false">I91</f>
        <v>112892.814732143</v>
      </c>
      <c r="K90" s="69" t="n">
        <f aca="false">J91</f>
        <v>97584.765625</v>
      </c>
      <c r="L90" s="69" t="n">
        <f aca="false">K91</f>
        <v>87806.6160714286</v>
      </c>
      <c r="M90" s="69" t="n">
        <f aca="false">L91</f>
        <v>83558.3660714286</v>
      </c>
      <c r="N90" s="69" t="n">
        <f aca="false">M91</f>
        <v>84840.015625</v>
      </c>
      <c r="O90" s="69" t="n">
        <f aca="false">N91</f>
        <v>91651.5647321428</v>
      </c>
      <c r="P90" s="69" t="n">
        <f aca="false">O91</f>
        <v>90611.7436428571</v>
      </c>
      <c r="Q90" s="69" t="n">
        <f aca="false">P91</f>
        <v>108097.072013393</v>
      </c>
      <c r="R90" s="69" t="n">
        <f aca="false">Q91</f>
        <v>125604.7218125</v>
      </c>
      <c r="S90" s="69" t="n">
        <f aca="false">R91</f>
        <v>143134.693040178</v>
      </c>
      <c r="T90" s="69" t="n">
        <f aca="false">S91</f>
        <v>160686.985696428</v>
      </c>
      <c r="U90" s="69" t="n">
        <f aca="false">T91</f>
        <v>178261.59978125</v>
      </c>
      <c r="V90" s="69" t="n">
        <f aca="false">U91</f>
        <v>195858.535294643</v>
      </c>
      <c r="W90" s="69" t="n">
        <f aca="false">V91</f>
        <v>213477.792236607</v>
      </c>
      <c r="X90" s="69" t="n">
        <f aca="false">W91</f>
        <v>231119.370607143</v>
      </c>
      <c r="Y90" s="69" t="n">
        <f aca="false">X91</f>
        <v>248783.27040625</v>
      </c>
      <c r="Z90" s="69" t="n">
        <f aca="false">Y91</f>
        <v>266469.491633928</v>
      </c>
      <c r="AA90" s="69" t="n">
        <f aca="false">Z91</f>
        <v>284178.034290178</v>
      </c>
      <c r="AB90" s="69" t="n">
        <f aca="false">AA91</f>
        <v>288626.098272225</v>
      </c>
      <c r="AC90" s="69" t="n">
        <f aca="false">AB91</f>
        <v>311939.976408383</v>
      </c>
      <c r="AD90" s="69" t="n">
        <f aca="false">AC91</f>
        <v>335276.175973113</v>
      </c>
      <c r="AE90" s="69" t="n">
        <f aca="false">AD91</f>
        <v>358634.696966414</v>
      </c>
      <c r="AF90" s="69" t="n">
        <f aca="false">AE91</f>
        <v>380723.100789071</v>
      </c>
      <c r="AG90" s="69" t="n">
        <f aca="false">AF91</f>
        <v>399509.725230922</v>
      </c>
      <c r="AH90" s="69" t="n">
        <f aca="false">AG91</f>
        <v>418313.983601344</v>
      </c>
      <c r="AI90" s="69" t="n">
        <f aca="false">AH91</f>
        <v>437135.875900338</v>
      </c>
      <c r="AJ90" s="69" t="n">
        <f aca="false">AI91</f>
        <v>455975.402127903</v>
      </c>
      <c r="AK90" s="69" t="n">
        <f aca="false">AJ91</f>
        <v>474832.56228404</v>
      </c>
      <c r="AL90" s="69" t="n">
        <f aca="false">AK91</f>
        <v>493707.356368748</v>
      </c>
      <c r="AM90" s="69" t="n">
        <f aca="false">AL91</f>
        <v>512599.784382027</v>
      </c>
      <c r="AN90" s="69" t="n">
        <f aca="false">AM91</f>
        <v>517255.271660242</v>
      </c>
      <c r="AO90" s="69" t="n">
        <f aca="false">AN91</f>
        <v>540721.676379679</v>
      </c>
      <c r="AP90" s="69" t="n">
        <f aca="false">AO91</f>
        <v>564205.715027688</v>
      </c>
      <c r="AQ90" s="69" t="n">
        <f aca="false">AP91</f>
        <v>587707.387604268</v>
      </c>
      <c r="AR90" s="69" t="n">
        <f aca="false">AQ91</f>
        <v>611226.69410942</v>
      </c>
      <c r="AS90" s="69" t="n">
        <f aca="false">AR91</f>
        <v>634763.634543143</v>
      </c>
      <c r="AT90" s="69" t="n">
        <f aca="false">AS91</f>
        <v>658318.208905437</v>
      </c>
      <c r="AU90" s="69" t="n">
        <f aca="false">AT91</f>
        <v>681890.417196303</v>
      </c>
      <c r="AV90" s="69" t="n">
        <f aca="false">AU91</f>
        <v>705480.259415741</v>
      </c>
      <c r="AW90" s="69" t="n">
        <f aca="false">AV91</f>
        <v>729087.735563749</v>
      </c>
      <c r="AX90" s="69" t="n">
        <f aca="false">AW91</f>
        <v>752712.845640329</v>
      </c>
      <c r="AY90" s="69" t="n">
        <f aca="false">AX91</f>
        <v>776355.589645481</v>
      </c>
      <c r="AZ90" s="69" t="n">
        <f aca="false">AY91</f>
        <v>785970.406024708</v>
      </c>
      <c r="BA90" s="69" t="n">
        <f aca="false">AZ91</f>
        <v>814343.479553606</v>
      </c>
      <c r="BB90" s="69" t="n">
        <f aca="false">BA91</f>
        <v>842734.187011076</v>
      </c>
      <c r="BC90" s="69" t="n">
        <f aca="false">BB91</f>
        <v>871142.528397117</v>
      </c>
      <c r="BD90" s="69" t="n">
        <f aca="false">BC91</f>
        <v>899568.50371173</v>
      </c>
      <c r="BE90" s="69" t="n">
        <f aca="false">BD91</f>
        <v>928012.112954914</v>
      </c>
      <c r="BF90" s="69" t="n">
        <f aca="false">BE91</f>
        <v>956473.356126669</v>
      </c>
      <c r="BG90" s="69" t="n">
        <f aca="false">BF91</f>
        <v>984952.233226996</v>
      </c>
      <c r="BH90" s="69" t="n">
        <f aca="false">BG91</f>
        <v>1013448.74425589</v>
      </c>
      <c r="BI90" s="69" t="n">
        <f aca="false">BH91</f>
        <v>1041962.88921336</v>
      </c>
      <c r="BJ90" s="69" t="n">
        <f aca="false">BI91</f>
        <v>1070494.66809941</v>
      </c>
    </row>
    <row r="91" customFormat="false" ht="15" hidden="false" customHeight="false" outlineLevel="0" collapsed="false">
      <c r="A91" s="115" t="s">
        <v>87</v>
      </c>
      <c r="C91" s="70" t="n">
        <f aca="false">C90+C89</f>
        <v>320869</v>
      </c>
      <c r="D91" s="70" t="n">
        <f aca="false">D90+D89</f>
        <v>272381.553571429</v>
      </c>
      <c r="E91" s="70" t="n">
        <f aca="false">E90+E89</f>
        <v>229424.006696429</v>
      </c>
      <c r="F91" s="70" t="n">
        <f aca="false">F90+F89</f>
        <v>191996.359375</v>
      </c>
      <c r="G91" s="70" t="n">
        <f aca="false">G90+G89</f>
        <v>160098.611607143</v>
      </c>
      <c r="H91" s="70" t="n">
        <f aca="false">H90+H89</f>
        <v>133730.763392857</v>
      </c>
      <c r="I91" s="70" t="n">
        <f aca="false">I90+I89</f>
        <v>112892.814732143</v>
      </c>
      <c r="J91" s="70" t="n">
        <f aca="false">J90+J89</f>
        <v>97584.765625</v>
      </c>
      <c r="K91" s="70" t="n">
        <f aca="false">K90+K89</f>
        <v>87806.6160714286</v>
      </c>
      <c r="L91" s="70" t="n">
        <f aca="false">L90+L89</f>
        <v>83558.3660714286</v>
      </c>
      <c r="M91" s="70" t="n">
        <f aca="false">M90+M89</f>
        <v>84840.015625</v>
      </c>
      <c r="N91" s="70" t="n">
        <f aca="false">N90+N89</f>
        <v>91651.5647321428</v>
      </c>
      <c r="O91" s="70" t="n">
        <f aca="false">O90+O89</f>
        <v>90611.7436428571</v>
      </c>
      <c r="P91" s="70" t="n">
        <f aca="false">P90+P89</f>
        <v>108097.072013393</v>
      </c>
      <c r="Q91" s="70" t="n">
        <f aca="false">Q90+Q89</f>
        <v>125604.7218125</v>
      </c>
      <c r="R91" s="70" t="n">
        <f aca="false">R90+R89</f>
        <v>143134.693040178</v>
      </c>
      <c r="S91" s="70" t="n">
        <f aca="false">S90+S89</f>
        <v>160686.985696428</v>
      </c>
      <c r="T91" s="70" t="n">
        <f aca="false">T90+T89</f>
        <v>178261.59978125</v>
      </c>
      <c r="U91" s="70" t="n">
        <f aca="false">U90+U89</f>
        <v>195858.535294643</v>
      </c>
      <c r="V91" s="70" t="n">
        <f aca="false">V90+V89</f>
        <v>213477.792236607</v>
      </c>
      <c r="W91" s="70" t="n">
        <f aca="false">W90+W89</f>
        <v>231119.370607143</v>
      </c>
      <c r="X91" s="70" t="n">
        <f aca="false">X90+X89</f>
        <v>248783.27040625</v>
      </c>
      <c r="Y91" s="70" t="n">
        <f aca="false">Y90+Y89</f>
        <v>266469.491633928</v>
      </c>
      <c r="Z91" s="70" t="n">
        <f aca="false">Z90+Z89</f>
        <v>284178.034290178</v>
      </c>
      <c r="AA91" s="70" t="n">
        <f aca="false">AA90+AA89</f>
        <v>288626.098272225</v>
      </c>
      <c r="AB91" s="70" t="n">
        <f aca="false">AB90+AB89</f>
        <v>311939.976408383</v>
      </c>
      <c r="AC91" s="70" t="n">
        <f aca="false">AC90+AC89</f>
        <v>335276.175973113</v>
      </c>
      <c r="AD91" s="70" t="n">
        <f aca="false">AD90+AD89</f>
        <v>358634.696966414</v>
      </c>
      <c r="AE91" s="70" t="n">
        <f aca="false">AE90+AE89</f>
        <v>380723.100789071</v>
      </c>
      <c r="AF91" s="70" t="n">
        <f aca="false">AF90+AF89</f>
        <v>399509.725230922</v>
      </c>
      <c r="AG91" s="70" t="n">
        <f aca="false">AG90+AG89</f>
        <v>418313.983601344</v>
      </c>
      <c r="AH91" s="70" t="n">
        <f aca="false">AH90+AH89</f>
        <v>437135.875900338</v>
      </c>
      <c r="AI91" s="70" t="n">
        <f aca="false">AI90+AI89</f>
        <v>455975.402127903</v>
      </c>
      <c r="AJ91" s="70" t="n">
        <f aca="false">AJ90+AJ89</f>
        <v>474832.56228404</v>
      </c>
      <c r="AK91" s="70" t="n">
        <f aca="false">AK90+AK89</f>
        <v>493707.356368748</v>
      </c>
      <c r="AL91" s="70" t="n">
        <f aca="false">AL90+AL89</f>
        <v>512599.784382027</v>
      </c>
      <c r="AM91" s="70" t="n">
        <f aca="false">AM90+AM89</f>
        <v>517255.271660242</v>
      </c>
      <c r="AN91" s="70" t="n">
        <f aca="false">AN90+AN89</f>
        <v>540721.676379679</v>
      </c>
      <c r="AO91" s="70" t="n">
        <f aca="false">AO90+AO89</f>
        <v>564205.715027688</v>
      </c>
      <c r="AP91" s="70" t="n">
        <f aca="false">AP90+AP89</f>
        <v>587707.387604268</v>
      </c>
      <c r="AQ91" s="70" t="n">
        <f aca="false">AQ90+AQ89</f>
        <v>611226.69410942</v>
      </c>
      <c r="AR91" s="70" t="n">
        <f aca="false">AR90+AR89</f>
        <v>634763.634543143</v>
      </c>
      <c r="AS91" s="70" t="n">
        <f aca="false">AS90+AS89</f>
        <v>658318.208905437</v>
      </c>
      <c r="AT91" s="70" t="n">
        <f aca="false">AT90+AT89</f>
        <v>681890.417196303</v>
      </c>
      <c r="AU91" s="70" t="n">
        <f aca="false">AU90+AU89</f>
        <v>705480.259415741</v>
      </c>
      <c r="AV91" s="70" t="n">
        <f aca="false">AV90+AV89</f>
        <v>729087.735563749</v>
      </c>
      <c r="AW91" s="70" t="n">
        <f aca="false">AW90+AW89</f>
        <v>752712.845640329</v>
      </c>
      <c r="AX91" s="70" t="n">
        <f aca="false">AX90+AX89</f>
        <v>776355.589645481</v>
      </c>
      <c r="AY91" s="70" t="n">
        <f aca="false">AY90+AY89</f>
        <v>785970.406024708</v>
      </c>
      <c r="AZ91" s="70" t="n">
        <f aca="false">AZ90+AZ89</f>
        <v>814343.479553606</v>
      </c>
      <c r="BA91" s="70" t="n">
        <f aca="false">BA90+BA89</f>
        <v>842734.187011076</v>
      </c>
      <c r="BB91" s="70" t="n">
        <f aca="false">BB90+BB89</f>
        <v>871142.528397117</v>
      </c>
      <c r="BC91" s="70" t="n">
        <f aca="false">BC90+BC89</f>
        <v>899568.50371173</v>
      </c>
      <c r="BD91" s="70" t="n">
        <f aca="false">BD90+BD89</f>
        <v>928012.112954914</v>
      </c>
      <c r="BE91" s="70" t="n">
        <f aca="false">BE90+BE89</f>
        <v>956473.356126669</v>
      </c>
      <c r="BF91" s="70" t="n">
        <f aca="false">BF90+BF89</f>
        <v>984952.233226996</v>
      </c>
      <c r="BG91" s="70" t="n">
        <f aca="false">BG90+BG89</f>
        <v>1013448.74425589</v>
      </c>
      <c r="BH91" s="70" t="n">
        <f aca="false">BH90+BH89</f>
        <v>1041962.88921336</v>
      </c>
      <c r="BI91" s="70" t="n">
        <f aca="false">BI90+BI89</f>
        <v>1070494.66809941</v>
      </c>
      <c r="BJ91" s="70" t="n">
        <f aca="false">BJ90+BJ89</f>
        <v>1099044.08091402</v>
      </c>
    </row>
    <row r="92" customFormat="false" ht="15" hidden="false" customHeight="false" outlineLevel="0" collapsed="false">
      <c r="A92" s="118" t="s">
        <v>444</v>
      </c>
      <c r="C92" s="120" t="n">
        <f aca="false">IF(C46&gt;0,1,0)</f>
        <v>0</v>
      </c>
      <c r="D92" s="120" t="n">
        <f aca="false">IF(D46&gt;0,1,0)</f>
        <v>0</v>
      </c>
      <c r="E92" s="120" t="n">
        <f aca="false">IF(E46&gt;0,1,0)</f>
        <v>0</v>
      </c>
      <c r="F92" s="120" t="n">
        <f aca="false">IF(F46&gt;0,1,0)</f>
        <v>0</v>
      </c>
      <c r="G92" s="120" t="n">
        <f aca="false">IF(G46&gt;0,1,0)</f>
        <v>0</v>
      </c>
      <c r="H92" s="120" t="n">
        <f aca="false">IF(H46&gt;0,1,0)</f>
        <v>0</v>
      </c>
      <c r="I92" s="120" t="n">
        <f aca="false">IF(I46&gt;0,1,0)</f>
        <v>0</v>
      </c>
      <c r="J92" s="120" t="n">
        <f aca="false">IF(J46&gt;0,1,0)</f>
        <v>0</v>
      </c>
      <c r="K92" s="120" t="n">
        <f aca="false">IF(K46&gt;0,1,0)</f>
        <v>0</v>
      </c>
      <c r="L92" s="120" t="n">
        <f aca="false">IF(L46&gt;0,1,0)</f>
        <v>1</v>
      </c>
      <c r="M92" s="120" t="n">
        <f aca="false">IF(M46&gt;0,1,0)</f>
        <v>1</v>
      </c>
      <c r="N92" s="120" t="n">
        <f aca="false">IF(N46&gt;0,1,0)</f>
        <v>1</v>
      </c>
      <c r="O92" s="120" t="n">
        <f aca="false">IF(O46&gt;0,1,0)</f>
        <v>1</v>
      </c>
      <c r="P92" s="120" t="n">
        <f aca="false">IF(P46&gt;0,1,0)</f>
        <v>1</v>
      </c>
      <c r="Q92" s="120" t="n">
        <f aca="false">IF(Q46&gt;0,1,0)</f>
        <v>1</v>
      </c>
      <c r="R92" s="120" t="n">
        <f aca="false">IF(R46&gt;0,1,0)</f>
        <v>1</v>
      </c>
      <c r="S92" s="120" t="n">
        <f aca="false">IF(S46&gt;0,1,0)</f>
        <v>1</v>
      </c>
      <c r="T92" s="120" t="n">
        <f aca="false">IF(T46&gt;0,1,0)</f>
        <v>1</v>
      </c>
      <c r="U92" s="120" t="n">
        <f aca="false">IF(U46&gt;0,1,0)</f>
        <v>1</v>
      </c>
      <c r="V92" s="120" t="n">
        <f aca="false">IF(V46&gt;0,1,0)</f>
        <v>1</v>
      </c>
      <c r="W92" s="120" t="n">
        <f aca="false">IF(W46&gt;0,1,0)</f>
        <v>1</v>
      </c>
      <c r="X92" s="120" t="n">
        <f aca="false">IF(X46&gt;0,1,0)</f>
        <v>1</v>
      </c>
      <c r="Y92" s="120" t="n">
        <f aca="false">IF(Y46&gt;0,1,0)</f>
        <v>1</v>
      </c>
      <c r="Z92" s="120" t="n">
        <f aca="false">IF(Z46&gt;0,1,0)</f>
        <v>1</v>
      </c>
      <c r="AA92" s="120" t="n">
        <f aca="false">IF(AA46&gt;0,1,0)</f>
        <v>1</v>
      </c>
      <c r="AB92" s="120" t="n">
        <f aca="false">IF(AB46&gt;0,1,0)</f>
        <v>1</v>
      </c>
      <c r="AC92" s="120" t="n">
        <f aca="false">IF(AC46&gt;0,1,0)</f>
        <v>1</v>
      </c>
      <c r="AD92" s="120" t="n">
        <f aca="false">IF(AD46&gt;0,1,0)</f>
        <v>1</v>
      </c>
      <c r="AE92" s="120" t="n">
        <f aca="false">IF(AE46&gt;0,1,0)</f>
        <v>1</v>
      </c>
      <c r="AF92" s="120" t="n">
        <f aca="false">IF(AF46&gt;0,1,0)</f>
        <v>1</v>
      </c>
      <c r="AG92" s="120" t="n">
        <f aca="false">IF(AG46&gt;0,1,0)</f>
        <v>1</v>
      </c>
      <c r="AH92" s="120" t="n">
        <f aca="false">IF(AH46&gt;0,1,0)</f>
        <v>1</v>
      </c>
      <c r="AI92" s="120" t="n">
        <f aca="false">IF(AI46&gt;0,1,0)</f>
        <v>1</v>
      </c>
      <c r="AJ92" s="120" t="n">
        <f aca="false">IF(AJ46&gt;0,1,0)</f>
        <v>1</v>
      </c>
      <c r="AK92" s="120" t="n">
        <f aca="false">IF(AK46&gt;0,1,0)</f>
        <v>1</v>
      </c>
      <c r="AL92" s="120" t="n">
        <f aca="false">IF(AL46&gt;0,1,0)</f>
        <v>1</v>
      </c>
      <c r="AM92" s="120" t="n">
        <f aca="false">IF(AM46&gt;0,1,0)</f>
        <v>1</v>
      </c>
      <c r="AN92" s="120" t="n">
        <f aca="false">IF(AN46&gt;0,1,0)</f>
        <v>1</v>
      </c>
      <c r="AO92" s="120" t="n">
        <f aca="false">IF(AO46&gt;0,1,0)</f>
        <v>1</v>
      </c>
      <c r="AP92" s="120" t="n">
        <f aca="false">IF(AP46&gt;0,1,0)</f>
        <v>1</v>
      </c>
      <c r="AQ92" s="120" t="n">
        <f aca="false">IF(AQ46&gt;0,1,0)</f>
        <v>1</v>
      </c>
      <c r="AR92" s="120" t="n">
        <f aca="false">IF(AR46&gt;0,1,0)</f>
        <v>1</v>
      </c>
      <c r="AS92" s="120" t="n">
        <f aca="false">IF(AS46&gt;0,1,0)</f>
        <v>1</v>
      </c>
      <c r="AT92" s="120" t="n">
        <f aca="false">IF(AT46&gt;0,1,0)</f>
        <v>1</v>
      </c>
      <c r="AU92" s="120" t="n">
        <f aca="false">IF(AU46&gt;0,1,0)</f>
        <v>1</v>
      </c>
      <c r="AV92" s="120" t="n">
        <f aca="false">IF(AV46&gt;0,1,0)</f>
        <v>1</v>
      </c>
      <c r="AW92" s="120" t="n">
        <f aca="false">IF(AW46&gt;0,1,0)</f>
        <v>1</v>
      </c>
      <c r="AX92" s="120" t="n">
        <f aca="false">IF(AX46&gt;0,1,0)</f>
        <v>1</v>
      </c>
      <c r="AY92" s="120" t="n">
        <f aca="false">IF(AY46&gt;0,1,0)</f>
        <v>1</v>
      </c>
      <c r="AZ92" s="120" t="n">
        <f aca="false">IF(AZ46&gt;0,1,0)</f>
        <v>1</v>
      </c>
      <c r="BA92" s="120" t="n">
        <f aca="false">IF(BA46&gt;0,1,0)</f>
        <v>1</v>
      </c>
      <c r="BB92" s="120" t="n">
        <f aca="false">IF(BB46&gt;0,1,0)</f>
        <v>1</v>
      </c>
      <c r="BC92" s="120" t="n">
        <f aca="false">IF(BC46&gt;0,1,0)</f>
        <v>1</v>
      </c>
      <c r="BD92" s="120" t="n">
        <f aca="false">IF(BD46&gt;0,1,0)</f>
        <v>1</v>
      </c>
      <c r="BE92" s="120" t="n">
        <f aca="false">IF(BE46&gt;0,1,0)</f>
        <v>1</v>
      </c>
      <c r="BF92" s="120" t="n">
        <f aca="false">IF(BF46&gt;0,1,0)</f>
        <v>1</v>
      </c>
      <c r="BG92" s="120" t="n">
        <f aca="false">IF(BG46&gt;0,1,0)</f>
        <v>1</v>
      </c>
      <c r="BH92" s="120" t="n">
        <f aca="false">IF(BH46&gt;0,1,0)</f>
        <v>1</v>
      </c>
      <c r="BI92" s="120" t="n">
        <f aca="false">IF(BI46&gt;0,1,0)</f>
        <v>1</v>
      </c>
      <c r="BJ92" s="120" t="n">
        <f aca="false">IF(BJ46&gt;0,1,0)</f>
        <v>1</v>
      </c>
    </row>
    <row r="94" customFormat="false" ht="15.75" hidden="false" customHeight="true" outlineLevel="0" collapsed="false">
      <c r="A94" s="7" t="s">
        <v>445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customFormat="false" ht="15" hidden="false" customHeight="false" outlineLevel="0" collapsed="false">
      <c r="A95" s="118" t="s">
        <v>446</v>
      </c>
      <c r="C95" s="120" t="n">
        <f aca="false">IF(C55&gt;0,1,0)</f>
        <v>0</v>
      </c>
      <c r="D95" s="120" t="n">
        <f aca="false">IF(D55&gt;0,1,0)</f>
        <v>0</v>
      </c>
      <c r="E95" s="120" t="n">
        <f aca="false">IF(E55&gt;0,1,0)</f>
        <v>0</v>
      </c>
      <c r="F95" s="120" t="n">
        <f aca="false">IF(F55&gt;0,1,0)</f>
        <v>0</v>
      </c>
      <c r="G95" s="120" t="n">
        <f aca="false">IF(G55&gt;0,1,0)</f>
        <v>0</v>
      </c>
      <c r="H95" s="120" t="n">
        <f aca="false">IF(H55&gt;0,1,0)</f>
        <v>0</v>
      </c>
      <c r="I95" s="120" t="n">
        <f aca="false">IF(I55&gt;0,1,0)</f>
        <v>0</v>
      </c>
      <c r="J95" s="120" t="n">
        <f aca="false">IF(J55&gt;0,1,0)</f>
        <v>0</v>
      </c>
      <c r="K95" s="120" t="n">
        <f aca="false">IF(K55&gt;0,1,0)</f>
        <v>0</v>
      </c>
      <c r="L95" s="120" t="n">
        <f aca="false">IF(L55&gt;0,1,0)</f>
        <v>0</v>
      </c>
      <c r="M95" s="120" t="n">
        <f aca="false">IF(M55&gt;0,1,0)</f>
        <v>0</v>
      </c>
      <c r="N95" s="120" t="n">
        <f aca="false">IF(N55&gt;0,1,0)</f>
        <v>1</v>
      </c>
      <c r="O95" s="120" t="n">
        <f aca="false">IF(O55&gt;0,1,0)</f>
        <v>1</v>
      </c>
      <c r="P95" s="120" t="n">
        <f aca="false">IF(P55&gt;0,1,0)</f>
        <v>1</v>
      </c>
      <c r="Q95" s="120" t="n">
        <f aca="false">IF(Q55&gt;0,1,0)</f>
        <v>1</v>
      </c>
      <c r="R95" s="120" t="n">
        <f aca="false">IF(R55&gt;0,1,0)</f>
        <v>1</v>
      </c>
      <c r="S95" s="120" t="n">
        <f aca="false">IF(S55&gt;0,1,0)</f>
        <v>1</v>
      </c>
      <c r="T95" s="120" t="n">
        <f aca="false">IF(T55&gt;0,1,0)</f>
        <v>1</v>
      </c>
      <c r="U95" s="120" t="n">
        <f aca="false">IF(U55&gt;0,1,0)</f>
        <v>1</v>
      </c>
      <c r="V95" s="120" t="n">
        <f aca="false">IF(V55&gt;0,1,0)</f>
        <v>1</v>
      </c>
      <c r="W95" s="120" t="n">
        <f aca="false">IF(W55&gt;0,1,0)</f>
        <v>1</v>
      </c>
      <c r="X95" s="120" t="n">
        <f aca="false">IF(X55&gt;0,1,0)</f>
        <v>1</v>
      </c>
      <c r="Y95" s="120" t="n">
        <f aca="false">IF(Y55&gt;0,1,0)</f>
        <v>1</v>
      </c>
      <c r="Z95" s="120" t="n">
        <f aca="false">IF(Z55&gt;0,1,0)</f>
        <v>1</v>
      </c>
      <c r="AA95" s="120" t="n">
        <f aca="false">IF(AA55&gt;0,1,0)</f>
        <v>1</v>
      </c>
      <c r="AB95" s="120" t="n">
        <f aca="false">IF(AB55&gt;0,1,0)</f>
        <v>1</v>
      </c>
      <c r="AC95" s="120" t="n">
        <f aca="false">IF(AC55&gt;0,1,0)</f>
        <v>1</v>
      </c>
      <c r="AD95" s="120" t="n">
        <f aca="false">IF(AD55&gt;0,1,0)</f>
        <v>1</v>
      </c>
      <c r="AE95" s="120" t="n">
        <f aca="false">IF(AE55&gt;0,1,0)</f>
        <v>1</v>
      </c>
      <c r="AF95" s="120" t="n">
        <f aca="false">IF(AF55&gt;0,1,0)</f>
        <v>1</v>
      </c>
      <c r="AG95" s="120" t="n">
        <f aca="false">IF(AG55&gt;0,1,0)</f>
        <v>1</v>
      </c>
      <c r="AH95" s="120" t="n">
        <f aca="false">IF(AH55&gt;0,1,0)</f>
        <v>1</v>
      </c>
      <c r="AI95" s="120" t="n">
        <f aca="false">IF(AI55&gt;0,1,0)</f>
        <v>1</v>
      </c>
      <c r="AJ95" s="120" t="n">
        <f aca="false">IF(AJ55&gt;0,1,0)</f>
        <v>1</v>
      </c>
      <c r="AK95" s="120" t="n">
        <f aca="false">IF(AK55&gt;0,1,0)</f>
        <v>1</v>
      </c>
      <c r="AL95" s="120" t="n">
        <f aca="false">IF(AL55&gt;0,1,0)</f>
        <v>1</v>
      </c>
      <c r="AM95" s="120" t="n">
        <f aca="false">IF(AM55&gt;0,1,0)</f>
        <v>1</v>
      </c>
      <c r="AN95" s="120" t="n">
        <f aca="false">IF(AN55&gt;0,1,0)</f>
        <v>1</v>
      </c>
      <c r="AO95" s="120" t="n">
        <f aca="false">IF(AO55&gt;0,1,0)</f>
        <v>1</v>
      </c>
      <c r="AP95" s="120" t="n">
        <f aca="false">IF(AP55&gt;0,1,0)</f>
        <v>1</v>
      </c>
      <c r="AQ95" s="120" t="n">
        <f aca="false">IF(AQ55&gt;0,1,0)</f>
        <v>1</v>
      </c>
      <c r="AR95" s="120" t="n">
        <f aca="false">IF(AR55&gt;0,1,0)</f>
        <v>1</v>
      </c>
      <c r="AS95" s="120" t="n">
        <f aca="false">IF(AS55&gt;0,1,0)</f>
        <v>1</v>
      </c>
      <c r="AT95" s="120" t="n">
        <f aca="false">IF(AT55&gt;0,1,0)</f>
        <v>1</v>
      </c>
      <c r="AU95" s="120" t="n">
        <f aca="false">IF(AU55&gt;0,1,0)</f>
        <v>1</v>
      </c>
      <c r="AV95" s="120" t="n">
        <f aca="false">IF(AV55&gt;0,1,0)</f>
        <v>1</v>
      </c>
      <c r="AW95" s="120" t="n">
        <f aca="false">IF(AW55&gt;0,1,0)</f>
        <v>1</v>
      </c>
      <c r="AX95" s="120" t="n">
        <f aca="false">IF(AX55&gt;0,1,0)</f>
        <v>1</v>
      </c>
      <c r="AY95" s="120" t="n">
        <f aca="false">IF(AY55&gt;0,1,0)</f>
        <v>1</v>
      </c>
      <c r="AZ95" s="120" t="n">
        <f aca="false">IF(AZ55&gt;0,1,0)</f>
        <v>1</v>
      </c>
      <c r="BA95" s="120" t="n">
        <f aca="false">IF(BA55&gt;0,1,0)</f>
        <v>1</v>
      </c>
      <c r="BB95" s="120" t="n">
        <f aca="false">IF(BB55&gt;0,1,0)</f>
        <v>1</v>
      </c>
      <c r="BC95" s="120" t="n">
        <f aca="false">IF(BC55&gt;0,1,0)</f>
        <v>1</v>
      </c>
      <c r="BD95" s="120" t="n">
        <f aca="false">IF(BD55&gt;0,1,0)</f>
        <v>1</v>
      </c>
      <c r="BE95" s="120" t="n">
        <f aca="false">IF(BE55&gt;0,1,0)</f>
        <v>1</v>
      </c>
      <c r="BF95" s="120" t="n">
        <f aca="false">IF(BF55&gt;0,1,0)</f>
        <v>1</v>
      </c>
      <c r="BG95" s="120" t="n">
        <f aca="false">IF(BG55&gt;0,1,0)</f>
        <v>1</v>
      </c>
      <c r="BH95" s="120" t="n">
        <f aca="false">IF(BH55&gt;0,1,0)</f>
        <v>1</v>
      </c>
      <c r="BI95" s="120" t="n">
        <f aca="false">IF(BI55&gt;0,1,0)</f>
        <v>1</v>
      </c>
      <c r="BJ95" s="120" t="n">
        <f aca="false">IF(BJ55&gt;0,1,0)</f>
        <v>1</v>
      </c>
    </row>
    <row r="96" customFormat="false" ht="15" hidden="false" customHeight="false" outlineLevel="0" collapsed="false">
      <c r="A96" s="6" t="s">
        <v>447</v>
      </c>
      <c r="C96" s="69" t="n">
        <f aca="false">C85+C86</f>
        <v>-409131</v>
      </c>
      <c r="D96" s="69" t="n">
        <f aca="false">D85+D86</f>
        <v>-45511.255952381</v>
      </c>
      <c r="E96" s="69" t="n">
        <f aca="false">E85+E86</f>
        <v>-39981.3563988095</v>
      </c>
      <c r="F96" s="69" t="n">
        <f aca="false">F85+F86</f>
        <v>-34451.4568452381</v>
      </c>
      <c r="G96" s="69" t="n">
        <f aca="false">G85+G86</f>
        <v>-28921.5572916667</v>
      </c>
      <c r="H96" s="69" t="n">
        <f aca="false">H85+H86</f>
        <v>-23391.6577380953</v>
      </c>
      <c r="I96" s="69" t="n">
        <f aca="false">I85+I86</f>
        <v>-17861.7581845238</v>
      </c>
      <c r="J96" s="69" t="n">
        <f aca="false">J85+J86</f>
        <v>-12331.8586309524</v>
      </c>
      <c r="K96" s="69" t="n">
        <f aca="false">K85+K86</f>
        <v>-6801.95907738096</v>
      </c>
      <c r="L96" s="69" t="n">
        <f aca="false">L85+L86</f>
        <v>-1272.05952380951</v>
      </c>
      <c r="M96" s="69" t="n">
        <f aca="false">M85+M86</f>
        <v>4257.84002976187</v>
      </c>
      <c r="N96" s="69" t="n">
        <f aca="false">N85+N86</f>
        <v>9787.73958333333</v>
      </c>
      <c r="O96" s="69" t="n">
        <f aca="false">O85+O86</f>
        <v>1936.36938690475</v>
      </c>
      <c r="P96" s="69" t="n">
        <f aca="false">P85+P86</f>
        <v>20461.5188467262</v>
      </c>
      <c r="Q96" s="69" t="n">
        <f aca="false">Q85+Q86</f>
        <v>20483.8402752976</v>
      </c>
      <c r="R96" s="69" t="n">
        <f aca="false">R85+R86</f>
        <v>20506.161703869</v>
      </c>
      <c r="S96" s="69" t="n">
        <f aca="false">S85+S86</f>
        <v>20528.4831324405</v>
      </c>
      <c r="T96" s="69" t="n">
        <f aca="false">T85+T86</f>
        <v>20550.8045610119</v>
      </c>
      <c r="U96" s="69" t="n">
        <f aca="false">U85+U86</f>
        <v>20573.1259895833</v>
      </c>
      <c r="V96" s="69" t="n">
        <f aca="false">V85+V86</f>
        <v>20595.4474181548</v>
      </c>
      <c r="W96" s="69" t="n">
        <f aca="false">W85+W86</f>
        <v>20617.7688467262</v>
      </c>
      <c r="X96" s="69" t="n">
        <f aca="false">X85+X86</f>
        <v>20640.0902752976</v>
      </c>
      <c r="Y96" s="69" t="n">
        <f aca="false">Y85+Y86</f>
        <v>20662.411703869</v>
      </c>
      <c r="Z96" s="69" t="n">
        <f aca="false">Z85+Z86</f>
        <v>20684.7331324405</v>
      </c>
      <c r="AA96" s="69" t="n">
        <f aca="false">AA85+AA86</f>
        <v>7424.25445823689</v>
      </c>
      <c r="AB96" s="69" t="n">
        <f aca="false">AB85+AB86</f>
        <v>26290.0686123489</v>
      </c>
      <c r="AC96" s="69" t="n">
        <f aca="false">AC85+AC86</f>
        <v>26312.3900409204</v>
      </c>
      <c r="AD96" s="69" t="n">
        <f aca="false">AD85+AD86</f>
        <v>26334.7114694918</v>
      </c>
      <c r="AE96" s="69" t="n">
        <f aca="false">AE85+AE86</f>
        <v>25064.5942988469</v>
      </c>
      <c r="AF96" s="69" t="n">
        <f aca="false">AF85+AF86</f>
        <v>21762.8149180414</v>
      </c>
      <c r="AG96" s="69" t="n">
        <f aca="false">AG85+AG86</f>
        <v>21780.4488466128</v>
      </c>
      <c r="AH96" s="69" t="n">
        <f aca="false">AH85+AH86</f>
        <v>21798.0827751842</v>
      </c>
      <c r="AI96" s="69" t="n">
        <f aca="false">AI85+AI86</f>
        <v>21815.7167037557</v>
      </c>
      <c r="AJ96" s="69" t="n">
        <f aca="false">AJ85+AJ86</f>
        <v>21833.3506323271</v>
      </c>
      <c r="AK96" s="69" t="n">
        <f aca="false">AK85+AK86</f>
        <v>21850.9845608985</v>
      </c>
      <c r="AL96" s="69" t="n">
        <f aca="false">AL85+AL86</f>
        <v>21868.6184894699</v>
      </c>
      <c r="AM96" s="69" t="n">
        <f aca="false">AM85+AM86</f>
        <v>7631.67775440532</v>
      </c>
      <c r="AN96" s="69" t="n">
        <f aca="false">AN85+AN86</f>
        <v>26442.5951956278</v>
      </c>
      <c r="AO96" s="69" t="n">
        <f aca="false">AO85+AO86</f>
        <v>26460.2291241992</v>
      </c>
      <c r="AP96" s="69" t="n">
        <f aca="false">AP85+AP86</f>
        <v>26477.8630527707</v>
      </c>
      <c r="AQ96" s="69" t="n">
        <f aca="false">AQ85+AQ86</f>
        <v>26495.4969813421</v>
      </c>
      <c r="AR96" s="69" t="n">
        <f aca="false">AR85+AR86</f>
        <v>26513.1309099135</v>
      </c>
      <c r="AS96" s="69" t="n">
        <f aca="false">AS85+AS86</f>
        <v>26530.7648384849</v>
      </c>
      <c r="AT96" s="69" t="n">
        <f aca="false">AT85+AT86</f>
        <v>26548.3987670564</v>
      </c>
      <c r="AU96" s="69" t="n">
        <f aca="false">AU85+AU86</f>
        <v>26566.0326956278</v>
      </c>
      <c r="AV96" s="69" t="n">
        <f aca="false">AV85+AV86</f>
        <v>26583.6666241992</v>
      </c>
      <c r="AW96" s="69" t="n">
        <f aca="false">AW85+AW86</f>
        <v>26601.3005527707</v>
      </c>
      <c r="AX96" s="69" t="n">
        <f aca="false">AX85+AX86</f>
        <v>26618.9344813421</v>
      </c>
      <c r="AY96" s="69" t="n">
        <f aca="false">AY85+AY86</f>
        <v>12591.0068554172</v>
      </c>
      <c r="AZ96" s="69" t="n">
        <f aca="false">AZ85+AZ86</f>
        <v>31349.2640050889</v>
      </c>
      <c r="BA96" s="69" t="n">
        <f aca="false">BA85+BA86</f>
        <v>31366.8979336603</v>
      </c>
      <c r="BB96" s="69" t="n">
        <f aca="false">BB85+BB86</f>
        <v>31384.5318622317</v>
      </c>
      <c r="BC96" s="69" t="n">
        <f aca="false">BC85+BC86</f>
        <v>31402.1657908032</v>
      </c>
      <c r="BD96" s="69" t="n">
        <f aca="false">BD85+BD86</f>
        <v>31419.7997193746</v>
      </c>
      <c r="BE96" s="69" t="n">
        <f aca="false">BE85+BE86</f>
        <v>31437.433647946</v>
      </c>
      <c r="BF96" s="69" t="n">
        <f aca="false">BF85+BF86</f>
        <v>31455.0675765174</v>
      </c>
      <c r="BG96" s="69" t="n">
        <f aca="false">BG85+BG86</f>
        <v>31472.7015050889</v>
      </c>
      <c r="BH96" s="69" t="n">
        <f aca="false">BH85+BH86</f>
        <v>31490.3354336603</v>
      </c>
      <c r="BI96" s="69" t="n">
        <f aca="false">BI85+BI86</f>
        <v>31507.9693622317</v>
      </c>
      <c r="BJ96" s="69" t="n">
        <f aca="false">BJ85+BJ86</f>
        <v>31525.6032908032</v>
      </c>
    </row>
    <row r="97" customFormat="false" ht="15" hidden="false" customHeight="false" outlineLevel="0" collapsed="false">
      <c r="A97" s="6" t="s">
        <v>448</v>
      </c>
      <c r="C97" s="69" t="n">
        <f aca="false">C96</f>
        <v>-409131</v>
      </c>
      <c r="D97" s="69" t="n">
        <f aca="false">C97+D96</f>
        <v>-454642.255952381</v>
      </c>
      <c r="E97" s="69" t="n">
        <f aca="false">D97+E96</f>
        <v>-494623.612351191</v>
      </c>
      <c r="F97" s="69" t="n">
        <f aca="false">E97+F96</f>
        <v>-529075.069196429</v>
      </c>
      <c r="G97" s="69" t="n">
        <f aca="false">F97+G96</f>
        <v>-557996.626488095</v>
      </c>
      <c r="H97" s="69" t="n">
        <f aca="false">G97+H96</f>
        <v>-581388.28422619</v>
      </c>
      <c r="I97" s="69" t="n">
        <f aca="false">H97+I96</f>
        <v>-599250.042410714</v>
      </c>
      <c r="J97" s="69" t="n">
        <f aca="false">I97+J96</f>
        <v>-611581.901041667</v>
      </c>
      <c r="K97" s="69" t="n">
        <f aca="false">J97+K96</f>
        <v>-618383.860119048</v>
      </c>
      <c r="L97" s="69" t="n">
        <f aca="false">K97+L96</f>
        <v>-619655.919642857</v>
      </c>
      <c r="M97" s="69" t="n">
        <f aca="false">L97+M96</f>
        <v>-615398.079613095</v>
      </c>
      <c r="N97" s="69" t="n">
        <f aca="false">M97+N96</f>
        <v>-605610.340029762</v>
      </c>
      <c r="O97" s="69" t="n">
        <f aca="false">N97+O96</f>
        <v>-603673.970642857</v>
      </c>
      <c r="P97" s="69" t="n">
        <f aca="false">O97+P96</f>
        <v>-583212.451796131</v>
      </c>
      <c r="Q97" s="69" t="n">
        <f aca="false">P97+Q96</f>
        <v>-562728.611520833</v>
      </c>
      <c r="R97" s="69" t="n">
        <f aca="false">Q97+R96</f>
        <v>-542222.449816964</v>
      </c>
      <c r="S97" s="69" t="n">
        <f aca="false">R97+S96</f>
        <v>-521693.966684524</v>
      </c>
      <c r="T97" s="69" t="n">
        <f aca="false">S97+T96</f>
        <v>-501143.162123512</v>
      </c>
      <c r="U97" s="69" t="n">
        <f aca="false">T97+U96</f>
        <v>-480570.036133929</v>
      </c>
      <c r="V97" s="69" t="n">
        <f aca="false">U97+V96</f>
        <v>-459974.588715774</v>
      </c>
      <c r="W97" s="69" t="n">
        <f aca="false">V97+W96</f>
        <v>-439356.819869048</v>
      </c>
      <c r="X97" s="69" t="n">
        <f aca="false">W97+X96</f>
        <v>-418716.72959375</v>
      </c>
      <c r="Y97" s="69" t="n">
        <f aca="false">X97+Y96</f>
        <v>-398054.317889881</v>
      </c>
      <c r="Z97" s="69" t="n">
        <f aca="false">Y97+Z96</f>
        <v>-377369.58475744</v>
      </c>
      <c r="AA97" s="69" t="n">
        <f aca="false">Z97+AA96</f>
        <v>-369945.330299204</v>
      </c>
      <c r="AB97" s="69" t="n">
        <f aca="false">AA97+AB96</f>
        <v>-343655.261686855</v>
      </c>
      <c r="AC97" s="69" t="n">
        <f aca="false">AB97+AC96</f>
        <v>-317342.871645934</v>
      </c>
      <c r="AD97" s="69" t="n">
        <f aca="false">AC97+AD96</f>
        <v>-291008.160176442</v>
      </c>
      <c r="AE97" s="69" t="n">
        <f aca="false">AD97+AE96</f>
        <v>-265943.565877596</v>
      </c>
      <c r="AF97" s="69" t="n">
        <f aca="false">AE97+AF96</f>
        <v>-244180.750959554</v>
      </c>
      <c r="AG97" s="69" t="n">
        <f aca="false">AF97+AG96</f>
        <v>-222400.302112941</v>
      </c>
      <c r="AH97" s="69" t="n">
        <f aca="false">AG97+AH96</f>
        <v>-200602.219337757</v>
      </c>
      <c r="AI97" s="69" t="n">
        <f aca="false">AH97+AI96</f>
        <v>-178786.502634002</v>
      </c>
      <c r="AJ97" s="69" t="n">
        <f aca="false">AI97+AJ96</f>
        <v>-156953.152001675</v>
      </c>
      <c r="AK97" s="69" t="n">
        <f aca="false">AJ97+AK96</f>
        <v>-135102.167440776</v>
      </c>
      <c r="AL97" s="69" t="n">
        <f aca="false">AK97+AL96</f>
        <v>-113233.548951306</v>
      </c>
      <c r="AM97" s="69" t="n">
        <f aca="false">AL97+AM96</f>
        <v>-105601.871196901</v>
      </c>
      <c r="AN97" s="69" t="n">
        <f aca="false">AM97+AN96</f>
        <v>-79159.2760012729</v>
      </c>
      <c r="AO97" s="69" t="n">
        <f aca="false">AN97+AO96</f>
        <v>-52699.0468770737</v>
      </c>
      <c r="AP97" s="69" t="n">
        <f aca="false">AO97+AP96</f>
        <v>-26221.1838243031</v>
      </c>
      <c r="AQ97" s="69" t="n">
        <f aca="false">AP97+AQ96</f>
        <v>274.313157039032</v>
      </c>
      <c r="AR97" s="69" t="n">
        <f aca="false">AQ97+AR96</f>
        <v>26787.4440669525</v>
      </c>
      <c r="AS97" s="69" t="n">
        <f aca="false">AR97+AS96</f>
        <v>53318.2089054375</v>
      </c>
      <c r="AT97" s="69" t="n">
        <f aca="false">AS97+AT96</f>
        <v>79866.6076724939</v>
      </c>
      <c r="AU97" s="69" t="n">
        <f aca="false">AT97+AU96</f>
        <v>106432.640368122</v>
      </c>
      <c r="AV97" s="69" t="n">
        <f aca="false">AU97+AV96</f>
        <v>133016.306992321</v>
      </c>
      <c r="AW97" s="69" t="n">
        <f aca="false">AV97+AW96</f>
        <v>159617.607545092</v>
      </c>
      <c r="AX97" s="69" t="n">
        <f aca="false">AW97+AX96</f>
        <v>186236.542026434</v>
      </c>
      <c r="AY97" s="69" t="n">
        <f aca="false">AX97+AY96</f>
        <v>198827.548881851</v>
      </c>
      <c r="AZ97" s="69" t="n">
        <f aca="false">AY97+AZ96</f>
        <v>230176.81288694</v>
      </c>
      <c r="BA97" s="69" t="n">
        <f aca="false">AZ97+BA96</f>
        <v>261543.7108206</v>
      </c>
      <c r="BB97" s="69" t="n">
        <f aca="false">BA97+BB96</f>
        <v>292928.242682832</v>
      </c>
      <c r="BC97" s="69" t="n">
        <f aca="false">BB97+BC96</f>
        <v>324330.408473635</v>
      </c>
      <c r="BD97" s="69" t="n">
        <f aca="false">BC97+BD96</f>
        <v>355750.208193009</v>
      </c>
      <c r="BE97" s="69" t="n">
        <f aca="false">BD97+BE96</f>
        <v>387187.641840955</v>
      </c>
      <c r="BF97" s="69" t="n">
        <f aca="false">BE97+BF96</f>
        <v>418642.709417473</v>
      </c>
      <c r="BG97" s="69" t="n">
        <f aca="false">BF97+BG96</f>
        <v>450115.410922562</v>
      </c>
      <c r="BH97" s="69" t="n">
        <f aca="false">BG97+BH96</f>
        <v>481605.746356222</v>
      </c>
      <c r="BI97" s="69" t="n">
        <f aca="false">BH97+BI96</f>
        <v>513113.715718454</v>
      </c>
      <c r="BJ97" s="69" t="n">
        <f aca="false">BI97+BJ96</f>
        <v>544639.319009257</v>
      </c>
    </row>
    <row r="98" customFormat="false" ht="15" hidden="false" customHeight="false" outlineLevel="0" collapsed="false">
      <c r="A98" s="118" t="s">
        <v>449</v>
      </c>
      <c r="C98" s="69" t="n">
        <f aca="false">C97</f>
        <v>-409131</v>
      </c>
      <c r="D98" s="69" t="n">
        <f aca="false">MIN(C98,D97)</f>
        <v>-454642.255952381</v>
      </c>
      <c r="E98" s="69" t="n">
        <f aca="false">MIN(D98,E97)</f>
        <v>-494623.612351191</v>
      </c>
      <c r="F98" s="69" t="n">
        <f aca="false">MIN(E98,F97)</f>
        <v>-529075.069196429</v>
      </c>
      <c r="G98" s="69" t="n">
        <f aca="false">MIN(F98,G97)</f>
        <v>-557996.626488095</v>
      </c>
      <c r="H98" s="69" t="n">
        <f aca="false">MIN(G98,H97)</f>
        <v>-581388.28422619</v>
      </c>
      <c r="I98" s="69" t="n">
        <f aca="false">MIN(H98,I97)</f>
        <v>-599250.042410714</v>
      </c>
      <c r="J98" s="69" t="n">
        <f aca="false">MIN(I98,J97)</f>
        <v>-611581.901041667</v>
      </c>
      <c r="K98" s="69" t="n">
        <f aca="false">MIN(J98,K97)</f>
        <v>-618383.860119048</v>
      </c>
      <c r="L98" s="69" t="n">
        <f aca="false">MIN(K98,L97)</f>
        <v>-619655.919642857</v>
      </c>
      <c r="M98" s="69" t="n">
        <f aca="false">MIN(L98,M97)</f>
        <v>-619655.919642857</v>
      </c>
      <c r="N98" s="69" t="n">
        <f aca="false">MIN(M98,N97)</f>
        <v>-619655.919642857</v>
      </c>
      <c r="O98" s="69" t="n">
        <f aca="false">MIN(N98,O97)</f>
        <v>-619655.919642857</v>
      </c>
      <c r="P98" s="69" t="n">
        <f aca="false">MIN(O98,P97)</f>
        <v>-619655.919642857</v>
      </c>
      <c r="Q98" s="69" t="n">
        <f aca="false">MIN(P98,Q97)</f>
        <v>-619655.919642857</v>
      </c>
      <c r="R98" s="69" t="n">
        <f aca="false">MIN(Q98,R97)</f>
        <v>-619655.919642857</v>
      </c>
      <c r="S98" s="69" t="n">
        <f aca="false">MIN(R98,S97)</f>
        <v>-619655.919642857</v>
      </c>
      <c r="T98" s="69" t="n">
        <f aca="false">MIN(S98,T97)</f>
        <v>-619655.919642857</v>
      </c>
      <c r="U98" s="69" t="n">
        <f aca="false">MIN(T98,U97)</f>
        <v>-619655.919642857</v>
      </c>
      <c r="V98" s="69" t="n">
        <f aca="false">MIN(U98,V97)</f>
        <v>-619655.919642857</v>
      </c>
      <c r="W98" s="69" t="n">
        <f aca="false">MIN(V98,W97)</f>
        <v>-619655.919642857</v>
      </c>
      <c r="X98" s="69" t="n">
        <f aca="false">MIN(W98,X97)</f>
        <v>-619655.919642857</v>
      </c>
      <c r="Y98" s="69" t="n">
        <f aca="false">MIN(X98,Y97)</f>
        <v>-619655.919642857</v>
      </c>
      <c r="Z98" s="69" t="n">
        <f aca="false">MIN(Y98,Z97)</f>
        <v>-619655.919642857</v>
      </c>
      <c r="AA98" s="69" t="n">
        <f aca="false">MIN(Z98,AA97)</f>
        <v>-619655.919642857</v>
      </c>
      <c r="AB98" s="69" t="n">
        <f aca="false">MIN(AA98,AB97)</f>
        <v>-619655.919642857</v>
      </c>
      <c r="AC98" s="69" t="n">
        <f aca="false">MIN(AB98,AC97)</f>
        <v>-619655.919642857</v>
      </c>
      <c r="AD98" s="69" t="n">
        <f aca="false">MIN(AC98,AD97)</f>
        <v>-619655.919642857</v>
      </c>
      <c r="AE98" s="69" t="n">
        <f aca="false">MIN(AD98,AE97)</f>
        <v>-619655.919642857</v>
      </c>
      <c r="AF98" s="69" t="n">
        <f aca="false">MIN(AE98,AF97)</f>
        <v>-619655.919642857</v>
      </c>
      <c r="AG98" s="69" t="n">
        <f aca="false">MIN(AF98,AG97)</f>
        <v>-619655.919642857</v>
      </c>
      <c r="AH98" s="69" t="n">
        <f aca="false">MIN(AG98,AH97)</f>
        <v>-619655.919642857</v>
      </c>
      <c r="AI98" s="69" t="n">
        <f aca="false">MIN(AH98,AI97)</f>
        <v>-619655.919642857</v>
      </c>
      <c r="AJ98" s="69" t="n">
        <f aca="false">MIN(AI98,AJ97)</f>
        <v>-619655.919642857</v>
      </c>
      <c r="AK98" s="69" t="n">
        <f aca="false">MIN(AJ98,AK97)</f>
        <v>-619655.919642857</v>
      </c>
      <c r="AL98" s="69" t="n">
        <f aca="false">MIN(AK98,AL97)</f>
        <v>-619655.919642857</v>
      </c>
      <c r="AM98" s="69" t="n">
        <f aca="false">MIN(AL98,AM97)</f>
        <v>-619655.919642857</v>
      </c>
      <c r="AN98" s="69" t="n">
        <f aca="false">MIN(AM98,AN97)</f>
        <v>-619655.919642857</v>
      </c>
      <c r="AO98" s="69" t="n">
        <f aca="false">MIN(AN98,AO97)</f>
        <v>-619655.919642857</v>
      </c>
      <c r="AP98" s="69" t="n">
        <f aca="false">MIN(AO98,AP97)</f>
        <v>-619655.919642857</v>
      </c>
      <c r="AQ98" s="69" t="n">
        <f aca="false">MIN(AP98,AQ97)</f>
        <v>-619655.919642857</v>
      </c>
      <c r="AR98" s="69" t="n">
        <f aca="false">MIN(AQ98,AR97)</f>
        <v>-619655.919642857</v>
      </c>
      <c r="AS98" s="69" t="n">
        <f aca="false">MIN(AR98,AS97)</f>
        <v>-619655.919642857</v>
      </c>
      <c r="AT98" s="69" t="n">
        <f aca="false">MIN(AS98,AT97)</f>
        <v>-619655.919642857</v>
      </c>
      <c r="AU98" s="69" t="n">
        <f aca="false">MIN(AT98,AU97)</f>
        <v>-619655.919642857</v>
      </c>
      <c r="AV98" s="69" t="n">
        <f aca="false">MIN(AU98,AV97)</f>
        <v>-619655.919642857</v>
      </c>
      <c r="AW98" s="69" t="n">
        <f aca="false">MIN(AV98,AW97)</f>
        <v>-619655.919642857</v>
      </c>
      <c r="AX98" s="69" t="n">
        <f aca="false">MIN(AW98,AX97)</f>
        <v>-619655.919642857</v>
      </c>
      <c r="AY98" s="69" t="n">
        <f aca="false">MIN(AX98,AY97)</f>
        <v>-619655.919642857</v>
      </c>
      <c r="AZ98" s="69" t="n">
        <f aca="false">MIN(AY98,AZ97)</f>
        <v>-619655.919642857</v>
      </c>
      <c r="BA98" s="69" t="n">
        <f aca="false">MIN(AZ98,BA97)</f>
        <v>-619655.919642857</v>
      </c>
      <c r="BB98" s="69" t="n">
        <f aca="false">MIN(BA98,BB97)</f>
        <v>-619655.919642857</v>
      </c>
      <c r="BC98" s="69" t="n">
        <f aca="false">MIN(BB98,BC97)</f>
        <v>-619655.919642857</v>
      </c>
      <c r="BD98" s="69" t="n">
        <f aca="false">MIN(BC98,BD97)</f>
        <v>-619655.919642857</v>
      </c>
      <c r="BE98" s="69" t="n">
        <f aca="false">MIN(BD98,BE97)</f>
        <v>-619655.919642857</v>
      </c>
      <c r="BF98" s="69" t="n">
        <f aca="false">MIN(BE98,BF97)</f>
        <v>-619655.919642857</v>
      </c>
      <c r="BG98" s="69" t="n">
        <f aca="false">MIN(BF98,BG97)</f>
        <v>-619655.919642857</v>
      </c>
      <c r="BH98" s="69" t="n">
        <f aca="false">MIN(BG98,BH97)</f>
        <v>-619655.919642857</v>
      </c>
      <c r="BI98" s="69" t="n">
        <f aca="false">MIN(BH98,BI97)</f>
        <v>-619655.919642857</v>
      </c>
      <c r="BJ98" s="69" t="n">
        <f aca="false">MIN(BI98,BJ97)</f>
        <v>-619655.919642857</v>
      </c>
    </row>
    <row r="99" customFormat="false" ht="15" hidden="false" customHeight="false" outlineLevel="0" collapsed="false">
      <c r="A99" s="118" t="s">
        <v>450</v>
      </c>
      <c r="C99" s="120" t="n">
        <f aca="false">IF(AND(C97&gt;=0,C98&lt;0),1,0)</f>
        <v>0</v>
      </c>
      <c r="D99" s="120" t="n">
        <f aca="false">IF(AND(D97&gt;=0,D98&lt;0),1,0)</f>
        <v>0</v>
      </c>
      <c r="E99" s="120" t="n">
        <f aca="false">IF(AND(E97&gt;=0,E98&lt;0),1,0)</f>
        <v>0</v>
      </c>
      <c r="F99" s="120" t="n">
        <f aca="false">IF(AND(F97&gt;=0,F98&lt;0),1,0)</f>
        <v>0</v>
      </c>
      <c r="G99" s="120" t="n">
        <f aca="false">IF(AND(G97&gt;=0,G98&lt;0),1,0)</f>
        <v>0</v>
      </c>
      <c r="H99" s="120" t="n">
        <f aca="false">IF(AND(H97&gt;=0,H98&lt;0),1,0)</f>
        <v>0</v>
      </c>
      <c r="I99" s="120" t="n">
        <f aca="false">IF(AND(I97&gt;=0,I98&lt;0),1,0)</f>
        <v>0</v>
      </c>
      <c r="J99" s="120" t="n">
        <f aca="false">IF(AND(J97&gt;=0,J98&lt;0),1,0)</f>
        <v>0</v>
      </c>
      <c r="K99" s="120" t="n">
        <f aca="false">IF(AND(K97&gt;=0,K98&lt;0),1,0)</f>
        <v>0</v>
      </c>
      <c r="L99" s="120" t="n">
        <f aca="false">IF(AND(L97&gt;=0,L98&lt;0),1,0)</f>
        <v>0</v>
      </c>
      <c r="M99" s="120" t="n">
        <f aca="false">IF(AND(M97&gt;=0,M98&lt;0),1,0)</f>
        <v>0</v>
      </c>
      <c r="N99" s="120" t="n">
        <f aca="false">IF(AND(N97&gt;=0,N98&lt;0),1,0)</f>
        <v>0</v>
      </c>
      <c r="O99" s="120" t="n">
        <f aca="false">IF(AND(O97&gt;=0,O98&lt;0),1,0)</f>
        <v>0</v>
      </c>
      <c r="P99" s="120" t="n">
        <f aca="false">IF(AND(P97&gt;=0,P98&lt;0),1,0)</f>
        <v>0</v>
      </c>
      <c r="Q99" s="120" t="n">
        <f aca="false">IF(AND(Q97&gt;=0,Q98&lt;0),1,0)</f>
        <v>0</v>
      </c>
      <c r="R99" s="120" t="n">
        <f aca="false">IF(AND(R97&gt;=0,R98&lt;0),1,0)</f>
        <v>0</v>
      </c>
      <c r="S99" s="120" t="n">
        <f aca="false">IF(AND(S97&gt;=0,S98&lt;0),1,0)</f>
        <v>0</v>
      </c>
      <c r="T99" s="120" t="n">
        <f aca="false">IF(AND(T97&gt;=0,T98&lt;0),1,0)</f>
        <v>0</v>
      </c>
      <c r="U99" s="120" t="n">
        <f aca="false">IF(AND(U97&gt;=0,U98&lt;0),1,0)</f>
        <v>0</v>
      </c>
      <c r="V99" s="120" t="n">
        <f aca="false">IF(AND(V97&gt;=0,V98&lt;0),1,0)</f>
        <v>0</v>
      </c>
      <c r="W99" s="120" t="n">
        <f aca="false">IF(AND(W97&gt;=0,W98&lt;0),1,0)</f>
        <v>0</v>
      </c>
      <c r="X99" s="120" t="n">
        <f aca="false">IF(AND(X97&gt;=0,X98&lt;0),1,0)</f>
        <v>0</v>
      </c>
      <c r="Y99" s="120" t="n">
        <f aca="false">IF(AND(Y97&gt;=0,Y98&lt;0),1,0)</f>
        <v>0</v>
      </c>
      <c r="Z99" s="120" t="n">
        <f aca="false">IF(AND(Z97&gt;=0,Z98&lt;0),1,0)</f>
        <v>0</v>
      </c>
      <c r="AA99" s="120" t="n">
        <f aca="false">IF(AND(AA97&gt;=0,AA98&lt;0),1,0)</f>
        <v>0</v>
      </c>
      <c r="AB99" s="120" t="n">
        <f aca="false">IF(AND(AB97&gt;=0,AB98&lt;0),1,0)</f>
        <v>0</v>
      </c>
      <c r="AC99" s="120" t="n">
        <f aca="false">IF(AND(AC97&gt;=0,AC98&lt;0),1,0)</f>
        <v>0</v>
      </c>
      <c r="AD99" s="120" t="n">
        <f aca="false">IF(AND(AD97&gt;=0,AD98&lt;0),1,0)</f>
        <v>0</v>
      </c>
      <c r="AE99" s="120" t="n">
        <f aca="false">IF(AND(AE97&gt;=0,AE98&lt;0),1,0)</f>
        <v>0</v>
      </c>
      <c r="AF99" s="120" t="n">
        <f aca="false">IF(AND(AF97&gt;=0,AF98&lt;0),1,0)</f>
        <v>0</v>
      </c>
      <c r="AG99" s="120" t="n">
        <f aca="false">IF(AND(AG97&gt;=0,AG98&lt;0),1,0)</f>
        <v>0</v>
      </c>
      <c r="AH99" s="120" t="n">
        <f aca="false">IF(AND(AH97&gt;=0,AH98&lt;0),1,0)</f>
        <v>0</v>
      </c>
      <c r="AI99" s="120" t="n">
        <f aca="false">IF(AND(AI97&gt;=0,AI98&lt;0),1,0)</f>
        <v>0</v>
      </c>
      <c r="AJ99" s="120" t="n">
        <f aca="false">IF(AND(AJ97&gt;=0,AJ98&lt;0),1,0)</f>
        <v>0</v>
      </c>
      <c r="AK99" s="120" t="n">
        <f aca="false">IF(AND(AK97&gt;=0,AK98&lt;0),1,0)</f>
        <v>0</v>
      </c>
      <c r="AL99" s="120" t="n">
        <f aca="false">IF(AND(AL97&gt;=0,AL98&lt;0),1,0)</f>
        <v>0</v>
      </c>
      <c r="AM99" s="120" t="n">
        <f aca="false">IF(AND(AM97&gt;=0,AM98&lt;0),1,0)</f>
        <v>0</v>
      </c>
      <c r="AN99" s="120" t="n">
        <f aca="false">IF(AND(AN97&gt;=0,AN98&lt;0),1,0)</f>
        <v>0</v>
      </c>
      <c r="AO99" s="120" t="n">
        <f aca="false">IF(AND(AO97&gt;=0,AO98&lt;0),1,0)</f>
        <v>0</v>
      </c>
      <c r="AP99" s="120" t="n">
        <f aca="false">IF(AND(AP97&gt;=0,AP98&lt;0),1,0)</f>
        <v>0</v>
      </c>
      <c r="AQ99" s="120" t="n">
        <f aca="false">IF(AND(AQ97&gt;=0,AQ98&lt;0),1,0)</f>
        <v>1</v>
      </c>
      <c r="AR99" s="120" t="n">
        <f aca="false">IF(AND(AR97&gt;=0,AR98&lt;0),1,0)</f>
        <v>1</v>
      </c>
      <c r="AS99" s="120" t="n">
        <f aca="false">IF(AND(AS97&gt;=0,AS98&lt;0),1,0)</f>
        <v>1</v>
      </c>
      <c r="AT99" s="120" t="n">
        <f aca="false">IF(AND(AT97&gt;=0,AT98&lt;0),1,0)</f>
        <v>1</v>
      </c>
      <c r="AU99" s="120" t="n">
        <f aca="false">IF(AND(AU97&gt;=0,AU98&lt;0),1,0)</f>
        <v>1</v>
      </c>
      <c r="AV99" s="120" t="n">
        <f aca="false">IF(AND(AV97&gt;=0,AV98&lt;0),1,0)</f>
        <v>1</v>
      </c>
      <c r="AW99" s="120" t="n">
        <f aca="false">IF(AND(AW97&gt;=0,AW98&lt;0),1,0)</f>
        <v>1</v>
      </c>
      <c r="AX99" s="120" t="n">
        <f aca="false">IF(AND(AX97&gt;=0,AX98&lt;0),1,0)</f>
        <v>1</v>
      </c>
      <c r="AY99" s="120" t="n">
        <f aca="false">IF(AND(AY97&gt;=0,AY98&lt;0),1,0)</f>
        <v>1</v>
      </c>
      <c r="AZ99" s="120" t="n">
        <f aca="false">IF(AND(AZ97&gt;=0,AZ98&lt;0),1,0)</f>
        <v>1</v>
      </c>
      <c r="BA99" s="120" t="n">
        <f aca="false">IF(AND(BA97&gt;=0,BA98&lt;0),1,0)</f>
        <v>1</v>
      </c>
      <c r="BB99" s="120" t="n">
        <f aca="false">IF(AND(BB97&gt;=0,BB98&lt;0),1,0)</f>
        <v>1</v>
      </c>
      <c r="BC99" s="120" t="n">
        <f aca="false">IF(AND(BC97&gt;=0,BC98&lt;0),1,0)</f>
        <v>1</v>
      </c>
      <c r="BD99" s="120" t="n">
        <f aca="false">IF(AND(BD97&gt;=0,BD98&lt;0),1,0)</f>
        <v>1</v>
      </c>
      <c r="BE99" s="120" t="n">
        <f aca="false">IF(AND(BE97&gt;=0,BE98&lt;0),1,0)</f>
        <v>1</v>
      </c>
      <c r="BF99" s="120" t="n">
        <f aca="false">IF(AND(BF97&gt;=0,BF98&lt;0),1,0)</f>
        <v>1</v>
      </c>
      <c r="BG99" s="120" t="n">
        <f aca="false">IF(AND(BG97&gt;=0,BG98&lt;0),1,0)</f>
        <v>1</v>
      </c>
      <c r="BH99" s="120" t="n">
        <f aca="false">IF(AND(BH97&gt;=0,BH98&lt;0),1,0)</f>
        <v>1</v>
      </c>
      <c r="BI99" s="120" t="n">
        <f aca="false">IF(AND(BI97&gt;=0,BI98&lt;0),1,0)</f>
        <v>1</v>
      </c>
      <c r="BJ99" s="120" t="n">
        <f aca="false">IF(AND(BJ97&gt;=0,BJ98&lt;0),1,0)</f>
        <v>1</v>
      </c>
    </row>
    <row r="100" customFormat="false" ht="15" hidden="false" customHeight="false" outlineLevel="0" collapsed="false">
      <c r="A100" s="6" t="s">
        <v>451</v>
      </c>
      <c r="C100" s="69" t="n">
        <f aca="false">C85-C50*(1-Inputs!$E$79)+C86</f>
        <v>-407649.75</v>
      </c>
      <c r="D100" s="69" t="n">
        <f aca="false">D85-D50*(1-Inputs!$E$79)+D86</f>
        <v>-44038.8229166667</v>
      </c>
      <c r="E100" s="69" t="n">
        <f aca="false">E85-E50*(1-Inputs!$E$79)+E86</f>
        <v>-38526.5572916667</v>
      </c>
      <c r="F100" s="69" t="n">
        <f aca="false">F85-F50*(1-Inputs!$E$79)+F86</f>
        <v>-33014.2916666667</v>
      </c>
      <c r="G100" s="69" t="n">
        <f aca="false">G85-G50*(1-Inputs!$E$79)+G86</f>
        <v>-27502.0260416667</v>
      </c>
      <c r="H100" s="69" t="n">
        <f aca="false">H85-H50*(1-Inputs!$E$79)+H86</f>
        <v>-21989.7604166667</v>
      </c>
      <c r="I100" s="69" t="n">
        <f aca="false">I85-I50*(1-Inputs!$E$79)+I86</f>
        <v>-16477.4947916667</v>
      </c>
      <c r="J100" s="69" t="n">
        <f aca="false">J85-J50*(1-Inputs!$E$79)+J86</f>
        <v>-10965.2291666667</v>
      </c>
      <c r="K100" s="69" t="n">
        <f aca="false">K85-K50*(1-Inputs!$E$79)+K86</f>
        <v>-5452.96354166667</v>
      </c>
      <c r="L100" s="69" t="n">
        <f aca="false">L85-L50*(1-Inputs!$E$79)+L86</f>
        <v>59.3020833333501</v>
      </c>
      <c r="M100" s="69" t="n">
        <f aca="false">M85-M50*(1-Inputs!$E$79)+M86</f>
        <v>5571.5677083333</v>
      </c>
      <c r="N100" s="69" t="n">
        <f aca="false">N85-N50*(1-Inputs!$E$79)+N86</f>
        <v>11083.8333333333</v>
      </c>
      <c r="O100" s="69" t="n">
        <f aca="false">O85-O50*(1-Inputs!$E$79)+O86</f>
        <v>3214.82920833332</v>
      </c>
      <c r="P100" s="69" t="n">
        <f aca="false">P85-P50*(1-Inputs!$E$79)+P86</f>
        <v>21722.3447395833</v>
      </c>
      <c r="Q100" s="69" t="n">
        <f aca="false">Q85-Q50*(1-Inputs!$E$79)+Q86</f>
        <v>21727.0322395833</v>
      </c>
      <c r="R100" s="69" t="n">
        <f aca="false">R85-R50*(1-Inputs!$E$79)+R86</f>
        <v>21731.7197395833</v>
      </c>
      <c r="S100" s="69" t="n">
        <f aca="false">S85-S50*(1-Inputs!$E$79)+S86</f>
        <v>21736.4072395833</v>
      </c>
      <c r="T100" s="69" t="n">
        <f aca="false">T85-T50*(1-Inputs!$E$79)+T86</f>
        <v>21741.0947395833</v>
      </c>
      <c r="U100" s="69" t="n">
        <f aca="false">U85-U50*(1-Inputs!$E$79)+U86</f>
        <v>21745.7822395833</v>
      </c>
      <c r="V100" s="69" t="n">
        <f aca="false">V85-V50*(1-Inputs!$E$79)+V86</f>
        <v>21750.4697395833</v>
      </c>
      <c r="W100" s="69" t="n">
        <f aca="false">W85-W50*(1-Inputs!$E$79)+W86</f>
        <v>21755.1572395833</v>
      </c>
      <c r="X100" s="69" t="n">
        <f aca="false">X85-X50*(1-Inputs!$E$79)+X86</f>
        <v>21759.8447395833</v>
      </c>
      <c r="Y100" s="69" t="n">
        <f aca="false">Y85-Y50*(1-Inputs!$E$79)+Y86</f>
        <v>21764.5322395833</v>
      </c>
      <c r="Z100" s="69" t="n">
        <f aca="false">Z85-Z50*(1-Inputs!$E$79)+Z86</f>
        <v>21769.2197395833</v>
      </c>
      <c r="AA100" s="69" t="n">
        <f aca="false">AA85-AA50*(1-Inputs!$E$79)+AA86</f>
        <v>8491.10713680831</v>
      </c>
      <c r="AB100" s="69" t="n">
        <f aca="false">AB85-AB50*(1-Inputs!$E$79)+AB86</f>
        <v>27339.2873623489</v>
      </c>
      <c r="AC100" s="69" t="n">
        <f aca="false">AC85-AC50*(1-Inputs!$E$79)+AC86</f>
        <v>27343.9748623489</v>
      </c>
      <c r="AD100" s="69" t="n">
        <f aca="false">AD85-AD50*(1-Inputs!$E$79)+AD86</f>
        <v>27348.6623623489</v>
      </c>
      <c r="AE100" s="69" t="n">
        <f aca="false">AE85-AE50*(1-Inputs!$E$79)+AE86</f>
        <v>26060.9112631326</v>
      </c>
      <c r="AF100" s="69" t="n">
        <f aca="false">AF85-AF50*(1-Inputs!$E$79)+AF86</f>
        <v>22741.4979537557</v>
      </c>
      <c r="AG100" s="69" t="n">
        <f aca="false">AG85-AG50*(1-Inputs!$E$79)+AG86</f>
        <v>22741.4979537557</v>
      </c>
      <c r="AH100" s="69" t="n">
        <f aca="false">AH85-AH50*(1-Inputs!$E$79)+AH86</f>
        <v>22741.4979537557</v>
      </c>
      <c r="AI100" s="69" t="n">
        <f aca="false">AI85-AI50*(1-Inputs!$E$79)+AI86</f>
        <v>22741.4979537557</v>
      </c>
      <c r="AJ100" s="69" t="n">
        <f aca="false">AJ85-AJ50*(1-Inputs!$E$79)+AJ86</f>
        <v>22741.4979537557</v>
      </c>
      <c r="AK100" s="69" t="n">
        <f aca="false">AK85-AK50*(1-Inputs!$E$79)+AK86</f>
        <v>22741.4979537557</v>
      </c>
      <c r="AL100" s="69" t="n">
        <f aca="false">AL85-AL50*(1-Inputs!$E$79)+AL86</f>
        <v>22741.4979537557</v>
      </c>
      <c r="AM100" s="69" t="n">
        <f aca="false">AM85-AM50*(1-Inputs!$E$79)+AM86</f>
        <v>8486.92329011961</v>
      </c>
      <c r="AN100" s="69" t="n">
        <f aca="false">AN85-AN50*(1-Inputs!$E$79)+AN86</f>
        <v>27280.2068027707</v>
      </c>
      <c r="AO100" s="69" t="n">
        <f aca="false">AO85-AO50*(1-Inputs!$E$79)+AO86</f>
        <v>27280.2068027707</v>
      </c>
      <c r="AP100" s="69" t="n">
        <f aca="false">AP85-AP50*(1-Inputs!$E$79)+AP86</f>
        <v>27280.2068027707</v>
      </c>
      <c r="AQ100" s="69" t="n">
        <f aca="false">AQ85-AQ50*(1-Inputs!$E$79)+AQ86</f>
        <v>27280.2068027707</v>
      </c>
      <c r="AR100" s="69" t="n">
        <f aca="false">AR85-AR50*(1-Inputs!$E$79)+AR86</f>
        <v>27280.2068027707</v>
      </c>
      <c r="AS100" s="69" t="n">
        <f aca="false">AS85-AS50*(1-Inputs!$E$79)+AS86</f>
        <v>27280.2068027707</v>
      </c>
      <c r="AT100" s="69" t="n">
        <f aca="false">AT85-AT50*(1-Inputs!$E$79)+AT86</f>
        <v>27280.2068027707</v>
      </c>
      <c r="AU100" s="69" t="n">
        <f aca="false">AU85-AU50*(1-Inputs!$E$79)+AU86</f>
        <v>27280.2068027707</v>
      </c>
      <c r="AV100" s="69" t="n">
        <f aca="false">AV85-AV50*(1-Inputs!$E$79)+AV86</f>
        <v>27280.2068027707</v>
      </c>
      <c r="AW100" s="69" t="n">
        <f aca="false">AW85-AW50*(1-Inputs!$E$79)+AW86</f>
        <v>27280.2068027707</v>
      </c>
      <c r="AX100" s="69" t="n">
        <f aca="false">AX85-AX50*(1-Inputs!$E$79)+AX86</f>
        <v>27280.2068027707</v>
      </c>
      <c r="AY100" s="69" t="n">
        <f aca="false">AY85-AY50*(1-Inputs!$E$79)+AY86</f>
        <v>13234.6452482744</v>
      </c>
      <c r="AZ100" s="69" t="n">
        <f aca="false">AZ85-AZ50*(1-Inputs!$E$79)+AZ86</f>
        <v>31975.2684693746</v>
      </c>
      <c r="BA100" s="69" t="n">
        <f aca="false">BA85-BA50*(1-Inputs!$E$79)+BA86</f>
        <v>31975.2684693746</v>
      </c>
      <c r="BB100" s="69" t="n">
        <f aca="false">BB85-BB50*(1-Inputs!$E$79)+BB86</f>
        <v>31975.2684693746</v>
      </c>
      <c r="BC100" s="69" t="n">
        <f aca="false">BC85-BC50*(1-Inputs!$E$79)+BC86</f>
        <v>31975.2684693746</v>
      </c>
      <c r="BD100" s="69" t="n">
        <f aca="false">BD85-BD50*(1-Inputs!$E$79)+BD86</f>
        <v>31975.2684693746</v>
      </c>
      <c r="BE100" s="69" t="n">
        <f aca="false">BE85-BE50*(1-Inputs!$E$79)+BE86</f>
        <v>31975.2684693746</v>
      </c>
      <c r="BF100" s="69" t="n">
        <f aca="false">BF85-BF50*(1-Inputs!$E$79)+BF86</f>
        <v>31975.2684693746</v>
      </c>
      <c r="BG100" s="69" t="n">
        <f aca="false">BG85-BG50*(1-Inputs!$E$79)+BG86</f>
        <v>31975.2684693746</v>
      </c>
      <c r="BH100" s="69" t="n">
        <f aca="false">BH85-BH50*(1-Inputs!$E$79)+BH86</f>
        <v>31975.2684693746</v>
      </c>
      <c r="BI100" s="69" t="n">
        <f aca="false">BI85-BI50*(1-Inputs!$E$79)+BI86</f>
        <v>31975.2684693746</v>
      </c>
      <c r="BJ100" s="69" t="n">
        <f aca="false">BJ85-BJ50*(1-Inputs!$E$79)+BJ86</f>
        <v>31975.2684693746</v>
      </c>
    </row>
    <row r="102" customFormat="false" ht="15.75" hidden="false" customHeight="true" outlineLevel="0" collapsed="false">
      <c r="A102" s="7" t="s">
        <v>452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customFormat="false" ht="15" hidden="false" customHeight="false" outlineLevel="0" collapsed="false">
      <c r="A103" s="6" t="s">
        <v>97</v>
      </c>
      <c r="C103" s="69" t="n">
        <f aca="false">C87</f>
        <v>480000</v>
      </c>
      <c r="D103" s="69" t="n">
        <f aca="false">C103+D87</f>
        <v>480000</v>
      </c>
      <c r="E103" s="69" t="n">
        <f aca="false">D103+E87</f>
        <v>480000</v>
      </c>
      <c r="F103" s="69" t="n">
        <f aca="false">E103+F87</f>
        <v>480000</v>
      </c>
      <c r="G103" s="69" t="n">
        <f aca="false">F103+G87</f>
        <v>480000</v>
      </c>
      <c r="H103" s="69" t="n">
        <f aca="false">G103+H87</f>
        <v>480000</v>
      </c>
      <c r="I103" s="69" t="n">
        <f aca="false">H103+I87</f>
        <v>480000</v>
      </c>
      <c r="J103" s="69" t="n">
        <f aca="false">I103+J87</f>
        <v>480000</v>
      </c>
      <c r="K103" s="69" t="n">
        <f aca="false">J103+K87</f>
        <v>480000</v>
      </c>
      <c r="L103" s="69" t="n">
        <f aca="false">K103+L87</f>
        <v>480000</v>
      </c>
      <c r="M103" s="69" t="n">
        <f aca="false">L103+M87</f>
        <v>480000</v>
      </c>
      <c r="N103" s="69" t="n">
        <f aca="false">M103+N87</f>
        <v>480000</v>
      </c>
      <c r="O103" s="69" t="n">
        <f aca="false">N103+O87</f>
        <v>480000</v>
      </c>
      <c r="P103" s="69" t="n">
        <f aca="false">O103+P87</f>
        <v>480000</v>
      </c>
      <c r="Q103" s="69" t="n">
        <f aca="false">P103+Q87</f>
        <v>480000</v>
      </c>
      <c r="R103" s="69" t="n">
        <f aca="false">Q103+R87</f>
        <v>480000</v>
      </c>
      <c r="S103" s="69" t="n">
        <f aca="false">R103+S87</f>
        <v>480000</v>
      </c>
      <c r="T103" s="69" t="n">
        <f aca="false">S103+T87</f>
        <v>480000</v>
      </c>
      <c r="U103" s="69" t="n">
        <f aca="false">T103+U87</f>
        <v>480000</v>
      </c>
      <c r="V103" s="69" t="n">
        <f aca="false">U103+V87</f>
        <v>480000</v>
      </c>
      <c r="W103" s="69" t="n">
        <f aca="false">V103+W87</f>
        <v>480000</v>
      </c>
      <c r="X103" s="69" t="n">
        <f aca="false">W103+X87</f>
        <v>480000</v>
      </c>
      <c r="Y103" s="69" t="n">
        <f aca="false">X103+Y87</f>
        <v>480000</v>
      </c>
      <c r="Z103" s="69" t="n">
        <f aca="false">Y103+Z87</f>
        <v>480000</v>
      </c>
      <c r="AA103" s="69" t="n">
        <f aca="false">Z103+AA87</f>
        <v>480000</v>
      </c>
      <c r="AB103" s="69" t="n">
        <f aca="false">AA103+AB87</f>
        <v>480000</v>
      </c>
      <c r="AC103" s="69" t="n">
        <f aca="false">AB103+AC87</f>
        <v>480000</v>
      </c>
      <c r="AD103" s="69" t="n">
        <f aca="false">AC103+AD87</f>
        <v>480000</v>
      </c>
      <c r="AE103" s="69" t="n">
        <f aca="false">AD103+AE87</f>
        <v>480000</v>
      </c>
      <c r="AF103" s="69" t="n">
        <f aca="false">AE103+AF87</f>
        <v>480000</v>
      </c>
      <c r="AG103" s="69" t="n">
        <f aca="false">AF103+AG87</f>
        <v>480000</v>
      </c>
      <c r="AH103" s="69" t="n">
        <f aca="false">AG103+AH87</f>
        <v>480000</v>
      </c>
      <c r="AI103" s="69" t="n">
        <f aca="false">AH103+AI87</f>
        <v>480000</v>
      </c>
      <c r="AJ103" s="69" t="n">
        <f aca="false">AI103+AJ87</f>
        <v>480000</v>
      </c>
      <c r="AK103" s="69" t="n">
        <f aca="false">AJ103+AK87</f>
        <v>480000</v>
      </c>
      <c r="AL103" s="69" t="n">
        <f aca="false">AK103+AL87</f>
        <v>480000</v>
      </c>
      <c r="AM103" s="69" t="n">
        <f aca="false">AL103+AM87</f>
        <v>480000</v>
      </c>
      <c r="AN103" s="69" t="n">
        <f aca="false">AM103+AN87</f>
        <v>480000</v>
      </c>
      <c r="AO103" s="69" t="n">
        <f aca="false">AN103+AO87</f>
        <v>480000</v>
      </c>
      <c r="AP103" s="69" t="n">
        <f aca="false">AO103+AP87</f>
        <v>480000</v>
      </c>
      <c r="AQ103" s="69" t="n">
        <f aca="false">AP103+AQ87</f>
        <v>480000</v>
      </c>
      <c r="AR103" s="69" t="n">
        <f aca="false">AQ103+AR87</f>
        <v>480000</v>
      </c>
      <c r="AS103" s="69" t="n">
        <f aca="false">AR103+AS87</f>
        <v>480000</v>
      </c>
      <c r="AT103" s="69" t="n">
        <f aca="false">AS103+AT87</f>
        <v>480000</v>
      </c>
      <c r="AU103" s="69" t="n">
        <f aca="false">AT103+AU87</f>
        <v>480000</v>
      </c>
      <c r="AV103" s="69" t="n">
        <f aca="false">AU103+AV87</f>
        <v>480000</v>
      </c>
      <c r="AW103" s="69" t="n">
        <f aca="false">AV103+AW87</f>
        <v>480000</v>
      </c>
      <c r="AX103" s="69" t="n">
        <f aca="false">AW103+AX87</f>
        <v>480000</v>
      </c>
      <c r="AY103" s="69" t="n">
        <f aca="false">AX103+AY87</f>
        <v>480000</v>
      </c>
      <c r="AZ103" s="69" t="n">
        <f aca="false">AY103+AZ87</f>
        <v>480000</v>
      </c>
      <c r="BA103" s="69" t="n">
        <f aca="false">AZ103+BA87</f>
        <v>480000</v>
      </c>
      <c r="BB103" s="69" t="n">
        <f aca="false">BA103+BB87</f>
        <v>480000</v>
      </c>
      <c r="BC103" s="69" t="n">
        <f aca="false">BB103+BC87</f>
        <v>480000</v>
      </c>
      <c r="BD103" s="69" t="n">
        <f aca="false">BC103+BD87</f>
        <v>480000</v>
      </c>
      <c r="BE103" s="69" t="n">
        <f aca="false">BD103+BE87</f>
        <v>480000</v>
      </c>
      <c r="BF103" s="69" t="n">
        <f aca="false">BE103+BF87</f>
        <v>480000</v>
      </c>
      <c r="BG103" s="69" t="n">
        <f aca="false">BF103+BG87</f>
        <v>480000</v>
      </c>
      <c r="BH103" s="69" t="n">
        <f aca="false">BG103+BH87</f>
        <v>480000</v>
      </c>
      <c r="BI103" s="69" t="n">
        <f aca="false">BH103+BI87</f>
        <v>480000</v>
      </c>
      <c r="BJ103" s="69" t="n">
        <f aca="false">BI103+BJ87</f>
        <v>480000</v>
      </c>
    </row>
    <row r="104" customFormat="false" ht="15" hidden="false" customHeight="false" outlineLevel="0" collapsed="false">
      <c r="A104" s="6" t="s">
        <v>98</v>
      </c>
      <c r="C104" s="69" t="n">
        <f aca="false">C55</f>
        <v>-55397.7083333334</v>
      </c>
      <c r="D104" s="69" t="n">
        <f aca="false">C104+D55</f>
        <v>-105276.677827381</v>
      </c>
      <c r="E104" s="69" t="n">
        <f aca="false">D104+E55</f>
        <v>-149625.747767857</v>
      </c>
      <c r="F104" s="69" t="n">
        <f aca="false">E104+F55</f>
        <v>-188444.918154762</v>
      </c>
      <c r="G104" s="69" t="n">
        <f aca="false">F104+G55</f>
        <v>-221734.188988095</v>
      </c>
      <c r="H104" s="69" t="n">
        <f aca="false">G104+H55</f>
        <v>-249493.560267857</v>
      </c>
      <c r="I104" s="69" t="n">
        <f aca="false">H104+I55</f>
        <v>-271723.031994048</v>
      </c>
      <c r="J104" s="69" t="n">
        <f aca="false">I104+J55</f>
        <v>-288422.604166667</v>
      </c>
      <c r="K104" s="69" t="n">
        <f aca="false">J104+K55</f>
        <v>-299592.276785714</v>
      </c>
      <c r="L104" s="69" t="n">
        <f aca="false">K104+L55</f>
        <v>-305232.049851191</v>
      </c>
      <c r="M104" s="69" t="n">
        <f aca="false">L104+M55</f>
        <v>-305341.923363095</v>
      </c>
      <c r="N104" s="69" t="n">
        <f aca="false">M104+N55</f>
        <v>-299921.897321429</v>
      </c>
      <c r="O104" s="69" t="n">
        <f aca="false">N104+O55</f>
        <v>-283670.199903274</v>
      </c>
      <c r="P104" s="69" t="n">
        <f aca="false">O104+P55</f>
        <v>-267396.181056548</v>
      </c>
      <c r="Q104" s="69" t="n">
        <f aca="false">P104+Q55</f>
        <v>-251099.84078125</v>
      </c>
      <c r="R104" s="69" t="n">
        <f aca="false">Q104+R55</f>
        <v>-234781.179077381</v>
      </c>
      <c r="S104" s="69" t="n">
        <f aca="false">R104+S55</f>
        <v>-218440.195944941</v>
      </c>
      <c r="T104" s="69" t="n">
        <f aca="false">S104+T55</f>
        <v>-202076.891383929</v>
      </c>
      <c r="U104" s="69" t="n">
        <f aca="false">T104+U55</f>
        <v>-185691.265394345</v>
      </c>
      <c r="V104" s="69" t="n">
        <f aca="false">U104+V55</f>
        <v>-169283.317976191</v>
      </c>
      <c r="W104" s="69" t="n">
        <f aca="false">V104+W55</f>
        <v>-152853.049129464</v>
      </c>
      <c r="X104" s="69" t="n">
        <f aca="false">W104+X55</f>
        <v>-136400.458854167</v>
      </c>
      <c r="Y104" s="69" t="n">
        <f aca="false">X104+Y55</f>
        <v>-119925.547150298</v>
      </c>
      <c r="Z104" s="69" t="n">
        <f aca="false">Y104+Z55</f>
        <v>-103428.314017857</v>
      </c>
      <c r="AA104" s="69" t="n">
        <f aca="false">Z104+AA55</f>
        <v>-81556.4001674131</v>
      </c>
      <c r="AB104" s="69" t="n">
        <f aca="false">AA104+AB55</f>
        <v>-59662.1648883975</v>
      </c>
      <c r="AC104" s="69" t="n">
        <f aca="false">AB104+AC55</f>
        <v>-37745.6081808105</v>
      </c>
      <c r="AD104" s="69" t="n">
        <f aca="false">AC104+AD55</f>
        <v>-15806.730044652</v>
      </c>
      <c r="AE104" s="69" t="n">
        <f aca="false">AD104+AE55</f>
        <v>4862.03092086149</v>
      </c>
      <c r="AF104" s="69" t="n">
        <f aca="false">AE104+AF55</f>
        <v>22229.0125055695</v>
      </c>
      <c r="AG104" s="69" t="n">
        <f aca="false">AF104+AG55</f>
        <v>39613.628018849</v>
      </c>
      <c r="AH104" s="69" t="n">
        <f aca="false">AG104+AH55</f>
        <v>57015.8774606999</v>
      </c>
      <c r="AI104" s="69" t="n">
        <f aca="false">AH104+AI55</f>
        <v>74435.7608311222</v>
      </c>
      <c r="AJ104" s="69" t="n">
        <f aca="false">AI104+AJ55</f>
        <v>91873.2781301159</v>
      </c>
      <c r="AK104" s="69" t="n">
        <f aca="false">AJ104+AK55</f>
        <v>109328.429357681</v>
      </c>
      <c r="AL104" s="69" t="n">
        <f aca="false">AK104+AL55</f>
        <v>126801.214513818</v>
      </c>
      <c r="AM104" s="69" t="n">
        <f aca="false">AL104+AM55</f>
        <v>148622.009114207</v>
      </c>
      <c r="AN104" s="69" t="n">
        <f aca="false">AM104+AN55</f>
        <v>170460.437643169</v>
      </c>
      <c r="AO104" s="69" t="n">
        <f aca="false">AN104+AO55</f>
        <v>192316.500100701</v>
      </c>
      <c r="AP104" s="69" t="n">
        <f aca="false">AO104+AP55</f>
        <v>214190.196486805</v>
      </c>
      <c r="AQ104" s="69" t="n">
        <f aca="false">AP104+AQ55</f>
        <v>236081.526801481</v>
      </c>
      <c r="AR104" s="69" t="n">
        <f aca="false">AQ104+AR55</f>
        <v>257990.491044727</v>
      </c>
      <c r="AS104" s="69" t="n">
        <f aca="false">AR104+AS55</f>
        <v>279917.089216546</v>
      </c>
      <c r="AT104" s="69" t="n">
        <f aca="false">AS104+AT55</f>
        <v>301861.321316935</v>
      </c>
      <c r="AU104" s="69" t="n">
        <f aca="false">AT104+AU55</f>
        <v>323823.187345897</v>
      </c>
      <c r="AV104" s="69" t="n">
        <f aca="false">AU104+AV55</f>
        <v>345802.687303429</v>
      </c>
      <c r="AW104" s="69" t="n">
        <f aca="false">AV104+AW55</f>
        <v>367799.821189533</v>
      </c>
      <c r="AX104" s="69" t="n">
        <f aca="false">AW104+AX55</f>
        <v>389814.589004208</v>
      </c>
      <c r="AY104" s="69" t="n">
        <f aca="false">AX104+AY55</f>
        <v>416333.719080726</v>
      </c>
      <c r="AZ104" s="69" t="n">
        <f aca="false">AY104+AZ55</f>
        <v>442870.483085815</v>
      </c>
      <c r="BA104" s="69" t="n">
        <f aca="false">AZ104+BA55</f>
        <v>469424.881019475</v>
      </c>
      <c r="BB104" s="69" t="n">
        <f aca="false">BA104+BB55</f>
        <v>495996.912881707</v>
      </c>
      <c r="BC104" s="69" t="n">
        <f aca="false">BB104+BC55</f>
        <v>522586.57867251</v>
      </c>
      <c r="BD104" s="69" t="n">
        <f aca="false">BC104+BD55</f>
        <v>549193.878391885</v>
      </c>
      <c r="BE104" s="69" t="n">
        <f aca="false">BD104+BE55</f>
        <v>575818.812039831</v>
      </c>
      <c r="BF104" s="69" t="n">
        <f aca="false">BE104+BF55</f>
        <v>602461.379616348</v>
      </c>
      <c r="BG104" s="69" t="n">
        <f aca="false">BF104+BG55</f>
        <v>629121.581121437</v>
      </c>
      <c r="BH104" s="69" t="n">
        <f aca="false">BG104+BH55</f>
        <v>655799.416555097</v>
      </c>
      <c r="BI104" s="69" t="n">
        <f aca="false">BH104+BI55</f>
        <v>682494.885917329</v>
      </c>
      <c r="BJ104" s="69" t="n">
        <f aca="false">BI104+BJ55</f>
        <v>709207.989208132</v>
      </c>
    </row>
    <row r="105" customFormat="false" ht="15" hidden="false" customHeight="false" outlineLevel="0" collapsed="false">
      <c r="A105" s="4" t="s">
        <v>93</v>
      </c>
      <c r="C105" s="75" t="n">
        <f aca="false">C91+C77+C78+C68</f>
        <v>719501.25</v>
      </c>
      <c r="D105" s="75" t="n">
        <f aca="false">D91+D77+D78+D68</f>
        <v>668365.230654762</v>
      </c>
      <c r="E105" s="75" t="n">
        <f aca="false">E91+E77+E78+E68</f>
        <v>622759.110863095</v>
      </c>
      <c r="F105" s="75" t="n">
        <f aca="false">F91+F77+F78+F68</f>
        <v>582682.890625</v>
      </c>
      <c r="G105" s="75" t="n">
        <f aca="false">G91+G77+G78+G68</f>
        <v>548136.569940476</v>
      </c>
      <c r="H105" s="75" t="n">
        <f aca="false">H91+H77+H78+H68</f>
        <v>519120.148809524</v>
      </c>
      <c r="I105" s="75" t="n">
        <f aca="false">I91+I77+I78+I68</f>
        <v>495633.627232143</v>
      </c>
      <c r="J105" s="75" t="n">
        <f aca="false">J91+J77+J78+J68</f>
        <v>477677.005208333</v>
      </c>
      <c r="K105" s="75" t="n">
        <f aca="false">K91+K77+K78+K68</f>
        <v>465250.282738095</v>
      </c>
      <c r="L105" s="75" t="n">
        <f aca="false">L91+L77+L78+L68</f>
        <v>458353.459821429</v>
      </c>
      <c r="M105" s="75" t="n">
        <f aca="false">M91+M77+M78+M68</f>
        <v>456986.536458333</v>
      </c>
      <c r="N105" s="75" t="n">
        <f aca="false">N91+N77+N78+N68</f>
        <v>461149.512648809</v>
      </c>
      <c r="O105" s="75" t="n">
        <f aca="false">O91+O77+O78+O68</f>
        <v>479172.448497024</v>
      </c>
      <c r="P105" s="75" t="n">
        <f aca="false">P91+P77+P78+P68</f>
        <v>492470.276867559</v>
      </c>
      <c r="Q105" s="75" t="n">
        <f aca="false">Q91+Q77+Q78+Q68</f>
        <v>505790.426666667</v>
      </c>
      <c r="R105" s="75" t="n">
        <f aca="false">R91+R77+R78+R68</f>
        <v>519132.897894345</v>
      </c>
      <c r="S105" s="75" t="n">
        <f aca="false">S91+S77+S78+S68</f>
        <v>532497.690550595</v>
      </c>
      <c r="T105" s="75" t="n">
        <f aca="false">T91+T77+T78+T68</f>
        <v>545884.804635417</v>
      </c>
      <c r="U105" s="75" t="n">
        <f aca="false">U91+U77+U78+U68</f>
        <v>559294.240148809</v>
      </c>
      <c r="V105" s="75" t="n">
        <f aca="false">V91+V77+V78+V68</f>
        <v>572725.997090774</v>
      </c>
      <c r="W105" s="75" t="n">
        <f aca="false">W91+W77+W78+W68</f>
        <v>586180.075461309</v>
      </c>
      <c r="X105" s="75" t="n">
        <f aca="false">X91+X77+X78+X68</f>
        <v>599656.475260417</v>
      </c>
      <c r="Y105" s="75" t="n">
        <f aca="false">Y91+Y77+Y78+Y68</f>
        <v>613155.196488095</v>
      </c>
      <c r="Z105" s="75" t="n">
        <f aca="false">Z91+Z77+Z78+Z68</f>
        <v>626676.239144345</v>
      </c>
      <c r="AA105" s="75" t="n">
        <f aca="false">AA91+AA77+AA78+AA68</f>
        <v>648755.801368677</v>
      </c>
      <c r="AB105" s="75" t="n">
        <f aca="false">AB91+AB77+AB78+AB68</f>
        <v>667673.846171502</v>
      </c>
      <c r="AC105" s="75" t="n">
        <f aca="false">AC91+AC77+AC78+AC68</f>
        <v>686614.212402899</v>
      </c>
      <c r="AD105" s="75" t="n">
        <f aca="false">AD91+AD77+AD78+AD68</f>
        <v>705576.900062867</v>
      </c>
      <c r="AE105" s="75" t="n">
        <f aca="false">AE91+AE77+AE78+AE68</f>
        <v>723269.47055219</v>
      </c>
      <c r="AF105" s="75" t="n">
        <f aca="false">AF91+AF77+AF78+AF68</f>
        <v>737660.261660707</v>
      </c>
      <c r="AG105" s="75" t="n">
        <f aca="false">AG91+AG77+AG78+AG68</f>
        <v>752068.686697796</v>
      </c>
      <c r="AH105" s="75" t="n">
        <f aca="false">AH91+AH77+AH78+AH68</f>
        <v>766494.745663457</v>
      </c>
      <c r="AI105" s="75" t="n">
        <f aca="false">AI91+AI77+AI78+AI68</f>
        <v>780938.438557688</v>
      </c>
      <c r="AJ105" s="75" t="n">
        <f aca="false">AJ91+AJ77+AJ78+AJ68</f>
        <v>795399.765380492</v>
      </c>
      <c r="AK105" s="75" t="n">
        <f aca="false">AK91+AK77+AK78+AK68</f>
        <v>809878.726131866</v>
      </c>
      <c r="AL105" s="75" t="n">
        <f aca="false">AL91+AL77+AL78+AL68</f>
        <v>824375.320811812</v>
      </c>
      <c r="AM105" s="75" t="n">
        <f aca="false">AM91+AM77+AM78+AM68</f>
        <v>846567.921218935</v>
      </c>
      <c r="AN105" s="75" t="n">
        <f aca="false">AN91+AN77+AN78+AN68</f>
        <v>865430.159271705</v>
      </c>
      <c r="AO105" s="75" t="n">
        <f aca="false">AO91+AO77+AO78+AO68</f>
        <v>884310.031253047</v>
      </c>
      <c r="AP105" s="75" t="n">
        <f aca="false">AP91+AP77+AP78+AP68</f>
        <v>903207.537162961</v>
      </c>
      <c r="AQ105" s="75" t="n">
        <f aca="false">AQ91+AQ77+AQ78+AQ68</f>
        <v>922122.677001446</v>
      </c>
      <c r="AR105" s="75" t="n">
        <f aca="false">AR91+AR77+AR78+AR68</f>
        <v>941055.450768502</v>
      </c>
      <c r="AS105" s="75" t="n">
        <f aca="false">AS91+AS77+AS78+AS68</f>
        <v>960005.85846413</v>
      </c>
      <c r="AT105" s="75" t="n">
        <f aca="false">AT91+AT77+AT78+AT68</f>
        <v>978973.900088329</v>
      </c>
      <c r="AU105" s="75" t="n">
        <f aca="false">AU91+AU77+AU78+AU68</f>
        <v>997959.5756411</v>
      </c>
      <c r="AV105" s="75" t="n">
        <f aca="false">AV91+AV77+AV78+AV68</f>
        <v>1016962.88512244</v>
      </c>
      <c r="AW105" s="75" t="n">
        <f aca="false">AW91+AW77+AW78+AW68</f>
        <v>1035983.82853236</v>
      </c>
      <c r="AX105" s="75" t="n">
        <f aca="false">AX91+AX77+AX78+AX68</f>
        <v>1055022.40587084</v>
      </c>
      <c r="AY105" s="75" t="n">
        <f aca="false">AY91+AY77+AY78+AY68</f>
        <v>1082086.604224</v>
      </c>
      <c r="AZ105" s="75" t="n">
        <f aca="false">AZ91+AZ77+AZ78+AZ68</f>
        <v>1105647.1777529</v>
      </c>
      <c r="BA105" s="75" t="n">
        <f aca="false">BA91+BA77+BA78+BA68</f>
        <v>1129225.38521037</v>
      </c>
      <c r="BB105" s="75" t="n">
        <f aca="false">BB91+BB77+BB78+BB68</f>
        <v>1152821.22659641</v>
      </c>
      <c r="BC105" s="75" t="n">
        <f aca="false">BC91+BC77+BC78+BC68</f>
        <v>1176434.70191102</v>
      </c>
      <c r="BD105" s="75" t="n">
        <f aca="false">BD91+BD77+BD78+BD68</f>
        <v>1200065.81115421</v>
      </c>
      <c r="BE105" s="75" t="n">
        <f aca="false">BE91+BE77+BE78+BE68</f>
        <v>1223714.55432596</v>
      </c>
      <c r="BF105" s="75" t="n">
        <f aca="false">BF91+BF77+BF78+BF68</f>
        <v>1247380.93142629</v>
      </c>
      <c r="BG105" s="75" t="n">
        <f aca="false">BG91+BG77+BG78+BG68</f>
        <v>1271064.94245519</v>
      </c>
      <c r="BH105" s="75" t="n">
        <f aca="false">BH91+BH77+BH78+BH68</f>
        <v>1294766.58741266</v>
      </c>
      <c r="BI105" s="75" t="n">
        <f aca="false">BI91+BI77+BI78+BI68</f>
        <v>1318485.8662987</v>
      </c>
      <c r="BJ105" s="75" t="n">
        <f aca="false">BJ91+BJ77+BJ78+BJ68</f>
        <v>1342222.77911331</v>
      </c>
    </row>
    <row r="106" customFormat="false" ht="15" hidden="false" customHeight="false" outlineLevel="0" collapsed="false">
      <c r="A106" s="6" t="s">
        <v>96</v>
      </c>
      <c r="C106" s="69" t="n">
        <f aca="false">C79+C74</f>
        <v>294898.958333333</v>
      </c>
      <c r="D106" s="69" t="n">
        <f aca="false">D79+D74</f>
        <v>293641.908482143</v>
      </c>
      <c r="E106" s="69" t="n">
        <f aca="false">E79+E74</f>
        <v>292384.858630952</v>
      </c>
      <c r="F106" s="69" t="n">
        <f aca="false">F79+F74</f>
        <v>291127.808779762</v>
      </c>
      <c r="G106" s="69" t="n">
        <f aca="false">G79+G74</f>
        <v>289870.758928571</v>
      </c>
      <c r="H106" s="69" t="n">
        <f aca="false">H79+H74</f>
        <v>288613.709077381</v>
      </c>
      <c r="I106" s="69" t="n">
        <f aca="false">I79+I74</f>
        <v>287356.659226191</v>
      </c>
      <c r="J106" s="69" t="n">
        <f aca="false">J79+J74</f>
        <v>286099.609375</v>
      </c>
      <c r="K106" s="69" t="n">
        <f aca="false">K79+K74</f>
        <v>284842.55952381</v>
      </c>
      <c r="L106" s="69" t="n">
        <f aca="false">L79+L74</f>
        <v>283585.509672619</v>
      </c>
      <c r="M106" s="69" t="n">
        <f aca="false">M79+M74</f>
        <v>282328.459821429</v>
      </c>
      <c r="N106" s="69" t="n">
        <f aca="false">N79+N74</f>
        <v>281071.409970238</v>
      </c>
      <c r="O106" s="69" t="n">
        <f aca="false">O79+O74</f>
        <v>282842.648400298</v>
      </c>
      <c r="P106" s="69" t="n">
        <f aca="false">P79+P74</f>
        <v>279866.457924107</v>
      </c>
      <c r="Q106" s="69" t="n">
        <f aca="false">Q79+Q74</f>
        <v>276890.267447917</v>
      </c>
      <c r="R106" s="69" t="n">
        <f aca="false">R79+R74</f>
        <v>273914.076971726</v>
      </c>
      <c r="S106" s="69" t="n">
        <f aca="false">S79+S74</f>
        <v>270937.886495536</v>
      </c>
      <c r="T106" s="69" t="n">
        <f aca="false">T79+T74</f>
        <v>267961.696019345</v>
      </c>
      <c r="U106" s="69" t="n">
        <f aca="false">U79+U74</f>
        <v>264985.505543155</v>
      </c>
      <c r="V106" s="69" t="n">
        <f aca="false">V79+V74</f>
        <v>262009.315066964</v>
      </c>
      <c r="W106" s="69" t="n">
        <f aca="false">W79+W74</f>
        <v>259033.124590774</v>
      </c>
      <c r="X106" s="69" t="n">
        <f aca="false">X79+X74</f>
        <v>256056.934114583</v>
      </c>
      <c r="Y106" s="69" t="n">
        <f aca="false">Y79+Y74</f>
        <v>253080.743638393</v>
      </c>
      <c r="Z106" s="69" t="n">
        <f aca="false">Z79+Z74</f>
        <v>250104.553162202</v>
      </c>
      <c r="AA106" s="69" t="n">
        <f aca="false">AA79+AA74</f>
        <v>250312.20153609</v>
      </c>
      <c r="AB106" s="69" t="n">
        <f aca="false">AB79+AB74</f>
        <v>247336.0110599</v>
      </c>
      <c r="AC106" s="69" t="n">
        <f aca="false">AC79+AC74</f>
        <v>244359.820583709</v>
      </c>
      <c r="AD106" s="69" t="n">
        <f aca="false">AD79+AD74</f>
        <v>241383.630107519</v>
      </c>
      <c r="AE106" s="69" t="n">
        <f aca="false">AE79+AE74</f>
        <v>238407.439631328</v>
      </c>
      <c r="AF106" s="69" t="n">
        <f aca="false">AF79+AF74</f>
        <v>235431.249155138</v>
      </c>
      <c r="AG106" s="69" t="n">
        <f aca="false">AG79+AG74</f>
        <v>232455.058678947</v>
      </c>
      <c r="AH106" s="69" t="n">
        <f aca="false">AH79+AH74</f>
        <v>229478.868202757</v>
      </c>
      <c r="AI106" s="69" t="n">
        <f aca="false">AI79+AI74</f>
        <v>226502.677726566</v>
      </c>
      <c r="AJ106" s="69" t="n">
        <f aca="false">AJ79+AJ74</f>
        <v>223526.487250376</v>
      </c>
      <c r="AK106" s="69" t="n">
        <f aca="false">AK79+AK74</f>
        <v>220550.296774185</v>
      </c>
      <c r="AL106" s="69" t="n">
        <f aca="false">AL79+AL74</f>
        <v>217574.106297995</v>
      </c>
      <c r="AM106" s="69" t="n">
        <f aca="false">AM79+AM74</f>
        <v>217945.912104727</v>
      </c>
      <c r="AN106" s="69" t="n">
        <f aca="false">AN79+AN74</f>
        <v>214969.721628537</v>
      </c>
      <c r="AO106" s="69" t="n">
        <f aca="false">AO79+AO74</f>
        <v>211993.531152346</v>
      </c>
      <c r="AP106" s="69" t="n">
        <f aca="false">AP79+AP74</f>
        <v>209017.340676156</v>
      </c>
      <c r="AQ106" s="69" t="n">
        <f aca="false">AQ79+AQ74</f>
        <v>206041.150199965</v>
      </c>
      <c r="AR106" s="69" t="n">
        <f aca="false">AR79+AR74</f>
        <v>203064.959723775</v>
      </c>
      <c r="AS106" s="69" t="n">
        <f aca="false">AS79+AS74</f>
        <v>200088.769247584</v>
      </c>
      <c r="AT106" s="69" t="n">
        <f aca="false">AT79+AT74</f>
        <v>197112.578771394</v>
      </c>
      <c r="AU106" s="69" t="n">
        <f aca="false">AU79+AU74</f>
        <v>194136.388295204</v>
      </c>
      <c r="AV106" s="69" t="n">
        <f aca="false">AV79+AV74</f>
        <v>191160.197819013</v>
      </c>
      <c r="AW106" s="69" t="n">
        <f aca="false">AW79+AW74</f>
        <v>188184.007342823</v>
      </c>
      <c r="AX106" s="69" t="n">
        <f aca="false">AX79+AX74</f>
        <v>185207.816866632</v>
      </c>
      <c r="AY106" s="69" t="n">
        <f aca="false">AY79+AY74</f>
        <v>185752.885143276</v>
      </c>
      <c r="AZ106" s="69" t="n">
        <f aca="false">AZ79+AZ74</f>
        <v>182776.694667085</v>
      </c>
      <c r="BA106" s="69" t="n">
        <f aca="false">BA79+BA74</f>
        <v>179800.504190895</v>
      </c>
      <c r="BB106" s="69" t="n">
        <f aca="false">BB79+BB74</f>
        <v>176824.313714704</v>
      </c>
      <c r="BC106" s="69" t="n">
        <f aca="false">BC79+BC74</f>
        <v>173848.123238514</v>
      </c>
      <c r="BD106" s="69" t="n">
        <f aca="false">BD79+BD74</f>
        <v>170871.932762323</v>
      </c>
      <c r="BE106" s="69" t="n">
        <f aca="false">BE79+BE74</f>
        <v>167895.742286133</v>
      </c>
      <c r="BF106" s="69" t="n">
        <f aca="false">BF79+BF74</f>
        <v>164919.551809942</v>
      </c>
      <c r="BG106" s="69" t="n">
        <f aca="false">BG79+BG74</f>
        <v>161943.361333752</v>
      </c>
      <c r="BH106" s="69" t="n">
        <f aca="false">BH79+BH74</f>
        <v>158967.170857562</v>
      </c>
      <c r="BI106" s="69" t="n">
        <f aca="false">BI79+BI74</f>
        <v>155990.980381371</v>
      </c>
      <c r="BJ106" s="69" t="n">
        <f aca="false">BJ79+BJ74</f>
        <v>153014.789905181</v>
      </c>
    </row>
    <row r="107" customFormat="false" ht="15" hidden="false" customHeight="false" outlineLevel="0" collapsed="false">
      <c r="A107" s="6" t="s">
        <v>99</v>
      </c>
      <c r="C107" s="69" t="n">
        <f aca="false">C103+C104</f>
        <v>424602.291666667</v>
      </c>
      <c r="D107" s="69" t="n">
        <f aca="false">D103+D104</f>
        <v>374723.322172619</v>
      </c>
      <c r="E107" s="69" t="n">
        <f aca="false">E103+E104</f>
        <v>330374.252232143</v>
      </c>
      <c r="F107" s="69" t="n">
        <f aca="false">F103+F104</f>
        <v>291555.081845238</v>
      </c>
      <c r="G107" s="69" t="n">
        <f aca="false">G103+G104</f>
        <v>258265.811011905</v>
      </c>
      <c r="H107" s="69" t="n">
        <f aca="false">H103+H104</f>
        <v>230506.439732143</v>
      </c>
      <c r="I107" s="69" t="n">
        <f aca="false">I103+I104</f>
        <v>208276.968005952</v>
      </c>
      <c r="J107" s="69" t="n">
        <f aca="false">J103+J104</f>
        <v>191577.395833333</v>
      </c>
      <c r="K107" s="69" t="n">
        <f aca="false">K103+K104</f>
        <v>180407.723214286</v>
      </c>
      <c r="L107" s="69" t="n">
        <f aca="false">L103+L104</f>
        <v>174767.95014881</v>
      </c>
      <c r="M107" s="69" t="n">
        <f aca="false">M103+M104</f>
        <v>174658.076636905</v>
      </c>
      <c r="N107" s="69" t="n">
        <f aca="false">N103+N104</f>
        <v>180078.102678571</v>
      </c>
      <c r="O107" s="69" t="n">
        <f aca="false">O103+O104</f>
        <v>196329.800096726</v>
      </c>
      <c r="P107" s="69" t="n">
        <f aca="false">P103+P104</f>
        <v>212603.818943452</v>
      </c>
      <c r="Q107" s="69" t="n">
        <f aca="false">Q103+Q104</f>
        <v>228900.15921875</v>
      </c>
      <c r="R107" s="69" t="n">
        <f aca="false">R103+R104</f>
        <v>245218.820922619</v>
      </c>
      <c r="S107" s="69" t="n">
        <f aca="false">S103+S104</f>
        <v>261559.804055059</v>
      </c>
      <c r="T107" s="69" t="n">
        <f aca="false">T103+T104</f>
        <v>277923.108616071</v>
      </c>
      <c r="U107" s="69" t="n">
        <f aca="false">U103+U104</f>
        <v>294308.734605655</v>
      </c>
      <c r="V107" s="69" t="n">
        <f aca="false">V103+V104</f>
        <v>310716.682023809</v>
      </c>
      <c r="W107" s="69" t="n">
        <f aca="false">W103+W104</f>
        <v>327146.950870536</v>
      </c>
      <c r="X107" s="69" t="n">
        <f aca="false">X103+X104</f>
        <v>343599.541145833</v>
      </c>
      <c r="Y107" s="69" t="n">
        <f aca="false">Y103+Y104</f>
        <v>360074.452849702</v>
      </c>
      <c r="Z107" s="69" t="n">
        <f aca="false">Z103+Z104</f>
        <v>376571.685982143</v>
      </c>
      <c r="AA107" s="69" t="n">
        <f aca="false">AA103+AA104</f>
        <v>398443.599832587</v>
      </c>
      <c r="AB107" s="69" t="n">
        <f aca="false">AB103+AB104</f>
        <v>420337.835111603</v>
      </c>
      <c r="AC107" s="69" t="n">
        <f aca="false">AC103+AC104</f>
        <v>442254.39181919</v>
      </c>
      <c r="AD107" s="69" t="n">
        <f aca="false">AD103+AD104</f>
        <v>464193.269955348</v>
      </c>
      <c r="AE107" s="69" t="n">
        <f aca="false">AE103+AE104</f>
        <v>484862.030920862</v>
      </c>
      <c r="AF107" s="69" t="n">
        <f aca="false">AF103+AF104</f>
        <v>502229.01250557</v>
      </c>
      <c r="AG107" s="69" t="n">
        <f aca="false">AG103+AG104</f>
        <v>519613.628018849</v>
      </c>
      <c r="AH107" s="69" t="n">
        <f aca="false">AH103+AH104</f>
        <v>537015.8774607</v>
      </c>
      <c r="AI107" s="69" t="n">
        <f aca="false">AI103+AI104</f>
        <v>554435.760831122</v>
      </c>
      <c r="AJ107" s="69" t="n">
        <f aca="false">AJ103+AJ104</f>
        <v>571873.278130116</v>
      </c>
      <c r="AK107" s="69" t="n">
        <f aca="false">AK103+AK104</f>
        <v>589328.429357681</v>
      </c>
      <c r="AL107" s="69" t="n">
        <f aca="false">AL103+AL104</f>
        <v>606801.214513818</v>
      </c>
      <c r="AM107" s="69" t="n">
        <f aca="false">AM103+AM104</f>
        <v>628622.009114208</v>
      </c>
      <c r="AN107" s="69" t="n">
        <f aca="false">AN103+AN104</f>
        <v>650460.437643169</v>
      </c>
      <c r="AO107" s="69" t="n">
        <f aca="false">AO103+AO104</f>
        <v>672316.500100701</v>
      </c>
      <c r="AP107" s="69" t="n">
        <f aca="false">AP103+AP104</f>
        <v>694190.196486805</v>
      </c>
      <c r="AQ107" s="69" t="n">
        <f aca="false">AQ103+AQ104</f>
        <v>716081.52680148</v>
      </c>
      <c r="AR107" s="69" t="n">
        <f aca="false">AR103+AR104</f>
        <v>737990.491044727</v>
      </c>
      <c r="AS107" s="69" t="n">
        <f aca="false">AS103+AS104</f>
        <v>759917.089216546</v>
      </c>
      <c r="AT107" s="69" t="n">
        <f aca="false">AT103+AT104</f>
        <v>781861.321316935</v>
      </c>
      <c r="AU107" s="69" t="n">
        <f aca="false">AU103+AU104</f>
        <v>803823.187345897</v>
      </c>
      <c r="AV107" s="69" t="n">
        <f aca="false">AV103+AV104</f>
        <v>825802.687303429</v>
      </c>
      <c r="AW107" s="69" t="n">
        <f aca="false">AW103+AW104</f>
        <v>847799.821189533</v>
      </c>
      <c r="AX107" s="69" t="n">
        <f aca="false">AX103+AX104</f>
        <v>869814.589004209</v>
      </c>
      <c r="AY107" s="69" t="n">
        <f aca="false">AY103+AY104</f>
        <v>896333.719080726</v>
      </c>
      <c r="AZ107" s="69" t="n">
        <f aca="false">AZ103+AZ104</f>
        <v>922870.483085815</v>
      </c>
      <c r="BA107" s="69" t="n">
        <f aca="false">BA103+BA104</f>
        <v>949424.881019475</v>
      </c>
      <c r="BB107" s="69" t="n">
        <f aca="false">BB103+BB104</f>
        <v>975996.912881707</v>
      </c>
      <c r="BC107" s="69" t="n">
        <f aca="false">BC103+BC104</f>
        <v>1002586.57867251</v>
      </c>
      <c r="BD107" s="69" t="n">
        <f aca="false">BD103+BD104</f>
        <v>1029193.87839188</v>
      </c>
      <c r="BE107" s="69" t="n">
        <f aca="false">BE103+BE104</f>
        <v>1055818.81203983</v>
      </c>
      <c r="BF107" s="69" t="n">
        <f aca="false">BF103+BF104</f>
        <v>1082461.37961635</v>
      </c>
      <c r="BG107" s="69" t="n">
        <f aca="false">BG103+BG104</f>
        <v>1109121.58112144</v>
      </c>
      <c r="BH107" s="69" t="n">
        <f aca="false">BH103+BH104</f>
        <v>1135799.4165551</v>
      </c>
      <c r="BI107" s="69" t="n">
        <f aca="false">BI103+BI104</f>
        <v>1162494.88591733</v>
      </c>
      <c r="BJ107" s="69" t="n">
        <f aca="false">BJ103+BJ104</f>
        <v>1189207.98920813</v>
      </c>
    </row>
    <row r="108" customFormat="false" ht="15" hidden="false" customHeight="false" outlineLevel="0" collapsed="false">
      <c r="A108" s="4" t="s">
        <v>100</v>
      </c>
      <c r="C108" s="75" t="n">
        <f aca="false">C106+C107</f>
        <v>719501.25</v>
      </c>
      <c r="D108" s="75" t="n">
        <f aca="false">D106+D107</f>
        <v>668365.230654762</v>
      </c>
      <c r="E108" s="75" t="n">
        <f aca="false">E106+E107</f>
        <v>622759.110863095</v>
      </c>
      <c r="F108" s="75" t="n">
        <f aca="false">F106+F107</f>
        <v>582682.890625</v>
      </c>
      <c r="G108" s="75" t="n">
        <f aca="false">G106+G107</f>
        <v>548136.569940476</v>
      </c>
      <c r="H108" s="75" t="n">
        <f aca="false">H106+H107</f>
        <v>519120.148809524</v>
      </c>
      <c r="I108" s="75" t="n">
        <f aca="false">I106+I107</f>
        <v>495633.627232143</v>
      </c>
      <c r="J108" s="75" t="n">
        <f aca="false">J106+J107</f>
        <v>477677.005208333</v>
      </c>
      <c r="K108" s="75" t="n">
        <f aca="false">K106+K107</f>
        <v>465250.282738095</v>
      </c>
      <c r="L108" s="75" t="n">
        <f aca="false">L106+L107</f>
        <v>458353.459821429</v>
      </c>
      <c r="M108" s="75" t="n">
        <f aca="false">M106+M107</f>
        <v>456986.536458333</v>
      </c>
      <c r="N108" s="75" t="n">
        <f aca="false">N106+N107</f>
        <v>461149.51264881</v>
      </c>
      <c r="O108" s="75" t="n">
        <f aca="false">O106+O107</f>
        <v>479172.448497024</v>
      </c>
      <c r="P108" s="75" t="n">
        <f aca="false">P106+P107</f>
        <v>492470.27686756</v>
      </c>
      <c r="Q108" s="75" t="n">
        <f aca="false">Q106+Q107</f>
        <v>505790.426666667</v>
      </c>
      <c r="R108" s="75" t="n">
        <f aca="false">R106+R107</f>
        <v>519132.897894345</v>
      </c>
      <c r="S108" s="75" t="n">
        <f aca="false">S106+S107</f>
        <v>532497.690550595</v>
      </c>
      <c r="T108" s="75" t="n">
        <f aca="false">T106+T107</f>
        <v>545884.804635417</v>
      </c>
      <c r="U108" s="75" t="n">
        <f aca="false">U106+U107</f>
        <v>559294.24014881</v>
      </c>
      <c r="V108" s="75" t="n">
        <f aca="false">V106+V107</f>
        <v>572725.997090774</v>
      </c>
      <c r="W108" s="75" t="n">
        <f aca="false">W106+W107</f>
        <v>586180.075461309</v>
      </c>
      <c r="X108" s="75" t="n">
        <f aca="false">X106+X107</f>
        <v>599656.475260417</v>
      </c>
      <c r="Y108" s="75" t="n">
        <f aca="false">Y106+Y107</f>
        <v>613155.196488095</v>
      </c>
      <c r="Z108" s="75" t="n">
        <f aca="false">Z106+Z107</f>
        <v>626676.239144345</v>
      </c>
      <c r="AA108" s="75" t="n">
        <f aca="false">AA106+AA107</f>
        <v>648755.801368677</v>
      </c>
      <c r="AB108" s="75" t="n">
        <f aca="false">AB106+AB107</f>
        <v>667673.846171502</v>
      </c>
      <c r="AC108" s="75" t="n">
        <f aca="false">AC106+AC107</f>
        <v>686614.212402899</v>
      </c>
      <c r="AD108" s="75" t="n">
        <f aca="false">AD106+AD107</f>
        <v>705576.900062867</v>
      </c>
      <c r="AE108" s="75" t="n">
        <f aca="false">AE106+AE107</f>
        <v>723269.47055219</v>
      </c>
      <c r="AF108" s="75" t="n">
        <f aca="false">AF106+AF107</f>
        <v>737660.261660707</v>
      </c>
      <c r="AG108" s="75" t="n">
        <f aca="false">AG106+AG107</f>
        <v>752068.686697796</v>
      </c>
      <c r="AH108" s="75" t="n">
        <f aca="false">AH106+AH107</f>
        <v>766494.745663457</v>
      </c>
      <c r="AI108" s="75" t="n">
        <f aca="false">AI106+AI107</f>
        <v>780938.438557689</v>
      </c>
      <c r="AJ108" s="75" t="n">
        <f aca="false">AJ106+AJ107</f>
        <v>795399.765380492</v>
      </c>
      <c r="AK108" s="75" t="n">
        <f aca="false">AK106+AK107</f>
        <v>809878.726131867</v>
      </c>
      <c r="AL108" s="75" t="n">
        <f aca="false">AL106+AL107</f>
        <v>824375.320811813</v>
      </c>
      <c r="AM108" s="75" t="n">
        <f aca="false">AM106+AM107</f>
        <v>846567.921218935</v>
      </c>
      <c r="AN108" s="75" t="n">
        <f aca="false">AN106+AN107</f>
        <v>865430.159271705</v>
      </c>
      <c r="AO108" s="75" t="n">
        <f aca="false">AO106+AO107</f>
        <v>884310.031253048</v>
      </c>
      <c r="AP108" s="75" t="n">
        <f aca="false">AP106+AP107</f>
        <v>903207.537162961</v>
      </c>
      <c r="AQ108" s="75" t="n">
        <f aca="false">AQ106+AQ107</f>
        <v>922122.677001446</v>
      </c>
      <c r="AR108" s="75" t="n">
        <f aca="false">AR106+AR107</f>
        <v>941055.450768502</v>
      </c>
      <c r="AS108" s="75" t="n">
        <f aca="false">AS106+AS107</f>
        <v>960005.85846413</v>
      </c>
      <c r="AT108" s="75" t="n">
        <f aca="false">AT106+AT107</f>
        <v>978973.900088329</v>
      </c>
      <c r="AU108" s="75" t="n">
        <f aca="false">AU106+AU107</f>
        <v>997959.5756411</v>
      </c>
      <c r="AV108" s="75" t="n">
        <f aca="false">AV106+AV107</f>
        <v>1016962.88512244</v>
      </c>
      <c r="AW108" s="75" t="n">
        <f aca="false">AW106+AW107</f>
        <v>1035983.82853236</v>
      </c>
      <c r="AX108" s="75" t="n">
        <f aca="false">AX106+AX107</f>
        <v>1055022.40587084</v>
      </c>
      <c r="AY108" s="75" t="n">
        <f aca="false">AY106+AY107</f>
        <v>1082086.604224</v>
      </c>
      <c r="AZ108" s="75" t="n">
        <f aca="false">AZ106+AZ107</f>
        <v>1105647.1777529</v>
      </c>
      <c r="BA108" s="75" t="n">
        <f aca="false">BA106+BA107</f>
        <v>1129225.38521037</v>
      </c>
      <c r="BB108" s="75" t="n">
        <f aca="false">BB106+BB107</f>
        <v>1152821.22659641</v>
      </c>
      <c r="BC108" s="75" t="n">
        <f aca="false">BC106+BC107</f>
        <v>1176434.70191102</v>
      </c>
      <c r="BD108" s="75" t="n">
        <f aca="false">BD106+BD107</f>
        <v>1200065.81115421</v>
      </c>
      <c r="BE108" s="75" t="n">
        <f aca="false">BE106+BE107</f>
        <v>1223714.55432596</v>
      </c>
      <c r="BF108" s="75" t="n">
        <f aca="false">BF106+BF107</f>
        <v>1247380.93142629</v>
      </c>
      <c r="BG108" s="75" t="n">
        <f aca="false">BG106+BG107</f>
        <v>1271064.94245519</v>
      </c>
      <c r="BH108" s="75" t="n">
        <f aca="false">BH106+BH107</f>
        <v>1294766.58741266</v>
      </c>
      <c r="BI108" s="75" t="n">
        <f aca="false">BI106+BI107</f>
        <v>1318485.8662987</v>
      </c>
      <c r="BJ108" s="75" t="n">
        <f aca="false">BJ106+BJ107</f>
        <v>1342222.77911331</v>
      </c>
    </row>
    <row r="109" customFormat="false" ht="15" hidden="false" customHeight="false" outlineLevel="0" collapsed="false">
      <c r="A109" s="6" t="s">
        <v>453</v>
      </c>
      <c r="C109" s="69" t="n">
        <f aca="false">C105-C108</f>
        <v>0</v>
      </c>
      <c r="D109" s="69" t="n">
        <f aca="false">D105-D108</f>
        <v>0</v>
      </c>
      <c r="E109" s="69" t="n">
        <f aca="false">E105-E108</f>
        <v>0</v>
      </c>
      <c r="F109" s="69" t="n">
        <f aca="false">F105-F108</f>
        <v>0</v>
      </c>
      <c r="G109" s="69" t="n">
        <f aca="false">G105-G108</f>
        <v>0</v>
      </c>
      <c r="H109" s="69" t="n">
        <f aca="false">H105-H108</f>
        <v>0</v>
      </c>
      <c r="I109" s="69" t="n">
        <f aca="false">I105-I108</f>
        <v>0</v>
      </c>
      <c r="J109" s="69" t="n">
        <f aca="false">J105-J108</f>
        <v>0</v>
      </c>
      <c r="K109" s="69" t="n">
        <f aca="false">K105-K108</f>
        <v>0</v>
      </c>
      <c r="L109" s="69" t="n">
        <f aca="false">L105-L108</f>
        <v>0</v>
      </c>
      <c r="M109" s="69" t="n">
        <f aca="false">M105-M108</f>
        <v>0</v>
      </c>
      <c r="N109" s="69" t="n">
        <f aca="false">N105-N108</f>
        <v>0</v>
      </c>
      <c r="O109" s="69" t="n">
        <f aca="false">O105-O108</f>
        <v>0</v>
      </c>
      <c r="P109" s="69" t="n">
        <f aca="false">P105-P108</f>
        <v>0</v>
      </c>
      <c r="Q109" s="69" t="n">
        <f aca="false">Q105-Q108</f>
        <v>0</v>
      </c>
      <c r="R109" s="69" t="n">
        <f aca="false">R105-R108</f>
        <v>0</v>
      </c>
      <c r="S109" s="69" t="n">
        <f aca="false">S105-S108</f>
        <v>0</v>
      </c>
      <c r="T109" s="69" t="n">
        <f aca="false">T105-T108</f>
        <v>0</v>
      </c>
      <c r="U109" s="69" t="n">
        <f aca="false">U105-U108</f>
        <v>0</v>
      </c>
      <c r="V109" s="69" t="n">
        <f aca="false">V105-V108</f>
        <v>0</v>
      </c>
      <c r="W109" s="69" t="n">
        <f aca="false">W105-W108</f>
        <v>0</v>
      </c>
      <c r="X109" s="69" t="n">
        <f aca="false">X105-X108</f>
        <v>0</v>
      </c>
      <c r="Y109" s="69" t="n">
        <f aca="false">Y105-Y108</f>
        <v>0</v>
      </c>
      <c r="Z109" s="69" t="n">
        <f aca="false">Z105-Z108</f>
        <v>0</v>
      </c>
      <c r="AA109" s="69" t="n">
        <f aca="false">AA105-AA108</f>
        <v>0</v>
      </c>
      <c r="AB109" s="69" t="n">
        <f aca="false">AB105-AB108</f>
        <v>0</v>
      </c>
      <c r="AC109" s="69" t="n">
        <f aca="false">AC105-AC108</f>
        <v>0</v>
      </c>
      <c r="AD109" s="69" t="n">
        <f aca="false">AD105-AD108</f>
        <v>0</v>
      </c>
      <c r="AE109" s="69" t="n">
        <f aca="false">AE105-AE108</f>
        <v>0</v>
      </c>
      <c r="AF109" s="69" t="n">
        <f aca="false">AF105-AF108</f>
        <v>0</v>
      </c>
      <c r="AG109" s="69" t="n">
        <f aca="false">AG105-AG108</f>
        <v>0</v>
      </c>
      <c r="AH109" s="69" t="n">
        <f aca="false">AH105-AH108</f>
        <v>0</v>
      </c>
      <c r="AI109" s="69" t="n">
        <f aca="false">AI105-AI108</f>
        <v>0</v>
      </c>
      <c r="AJ109" s="69" t="n">
        <f aca="false">AJ105-AJ108</f>
        <v>0</v>
      </c>
      <c r="AK109" s="69" t="n">
        <f aca="false">AK105-AK108</f>
        <v>0</v>
      </c>
      <c r="AL109" s="69" t="n">
        <f aca="false">AL105-AL108</f>
        <v>0</v>
      </c>
      <c r="AM109" s="69" t="n">
        <f aca="false">AM105-AM108</f>
        <v>0</v>
      </c>
      <c r="AN109" s="69" t="n">
        <f aca="false">AN105-AN108</f>
        <v>0</v>
      </c>
      <c r="AO109" s="69" t="n">
        <f aca="false">AO105-AO108</f>
        <v>0</v>
      </c>
      <c r="AP109" s="69" t="n">
        <f aca="false">AP105-AP108</f>
        <v>0</v>
      </c>
      <c r="AQ109" s="69" t="n">
        <f aca="false">AQ105-AQ108</f>
        <v>0</v>
      </c>
      <c r="AR109" s="69" t="n">
        <f aca="false">AR105-AR108</f>
        <v>0</v>
      </c>
      <c r="AS109" s="69" t="n">
        <f aca="false">AS105-AS108</f>
        <v>0</v>
      </c>
      <c r="AT109" s="69" t="n">
        <f aca="false">AT105-AT108</f>
        <v>0</v>
      </c>
      <c r="AU109" s="69" t="n">
        <f aca="false">AU105-AU108</f>
        <v>0</v>
      </c>
      <c r="AV109" s="69" t="n">
        <f aca="false">AV105-AV108</f>
        <v>0</v>
      </c>
      <c r="AW109" s="69" t="n">
        <f aca="false">AW105-AW108</f>
        <v>0</v>
      </c>
      <c r="AX109" s="69" t="n">
        <f aca="false">AX105-AX108</f>
        <v>0</v>
      </c>
      <c r="AY109" s="69" t="n">
        <f aca="false">AY105-AY108</f>
        <v>0</v>
      </c>
      <c r="AZ109" s="69" t="n">
        <f aca="false">AZ105-AZ108</f>
        <v>0</v>
      </c>
      <c r="BA109" s="69" t="n">
        <f aca="false">BA105-BA108</f>
        <v>0</v>
      </c>
      <c r="BB109" s="69" t="n">
        <f aca="false">BB105-BB108</f>
        <v>0</v>
      </c>
      <c r="BC109" s="69" t="n">
        <f aca="false">BC105-BC108</f>
        <v>0</v>
      </c>
      <c r="BD109" s="69" t="n">
        <f aca="false">BD105-BD108</f>
        <v>0</v>
      </c>
      <c r="BE109" s="69" t="n">
        <f aca="false">BE105-BE108</f>
        <v>0</v>
      </c>
      <c r="BF109" s="69" t="n">
        <f aca="false">BF105-BF108</f>
        <v>0</v>
      </c>
      <c r="BG109" s="69" t="n">
        <f aca="false">BG105-BG108</f>
        <v>0</v>
      </c>
      <c r="BH109" s="69" t="n">
        <f aca="false">BH105-BH108</f>
        <v>0</v>
      </c>
      <c r="BI109" s="69" t="n">
        <f aca="false">BI105-BI108</f>
        <v>0</v>
      </c>
      <c r="BJ109" s="69" t="n">
        <f aca="false">BJ105-BJ108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454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346</v>
      </c>
    </row>
    <row r="3" customFormat="false" ht="15" hidden="false" customHeight="false" outlineLevel="0" collapsed="false">
      <c r="A3" s="33" t="s">
        <v>347</v>
      </c>
      <c r="C3" s="52" t="s">
        <v>348</v>
      </c>
      <c r="D3" s="52" t="s">
        <v>349</v>
      </c>
      <c r="E3" s="52" t="s">
        <v>350</v>
      </c>
      <c r="F3" s="52" t="s">
        <v>351</v>
      </c>
      <c r="G3" s="52" t="s">
        <v>352</v>
      </c>
      <c r="H3" s="52" t="s">
        <v>353</v>
      </c>
      <c r="I3" s="52" t="s">
        <v>354</v>
      </c>
      <c r="J3" s="52" t="s">
        <v>355</v>
      </c>
      <c r="K3" s="52" t="s">
        <v>356</v>
      </c>
      <c r="L3" s="52" t="s">
        <v>357</v>
      </c>
      <c r="M3" s="52" t="s">
        <v>358</v>
      </c>
      <c r="N3" s="52" t="s">
        <v>359</v>
      </c>
      <c r="O3" s="52" t="s">
        <v>360</v>
      </c>
      <c r="P3" s="52" t="s">
        <v>361</v>
      </c>
      <c r="Q3" s="52" t="s">
        <v>362</v>
      </c>
      <c r="R3" s="52" t="s">
        <v>363</v>
      </c>
      <c r="S3" s="52" t="s">
        <v>364</v>
      </c>
      <c r="T3" s="52" t="s">
        <v>365</v>
      </c>
      <c r="U3" s="52" t="s">
        <v>366</v>
      </c>
      <c r="V3" s="52" t="s">
        <v>367</v>
      </c>
      <c r="W3" s="52" t="s">
        <v>368</v>
      </c>
      <c r="X3" s="52" t="s">
        <v>369</v>
      </c>
      <c r="Y3" s="52" t="s">
        <v>370</v>
      </c>
      <c r="Z3" s="52" t="s">
        <v>371</v>
      </c>
      <c r="AA3" s="52" t="s">
        <v>372</v>
      </c>
      <c r="AB3" s="52" t="s">
        <v>373</v>
      </c>
      <c r="AC3" s="52" t="s">
        <v>374</v>
      </c>
      <c r="AD3" s="52" t="s">
        <v>375</v>
      </c>
      <c r="AE3" s="52" t="s">
        <v>376</v>
      </c>
      <c r="AF3" s="52" t="s">
        <v>377</v>
      </c>
      <c r="AG3" s="52" t="s">
        <v>378</v>
      </c>
      <c r="AH3" s="52" t="s">
        <v>379</v>
      </c>
      <c r="AI3" s="52" t="s">
        <v>380</v>
      </c>
      <c r="AJ3" s="52" t="s">
        <v>381</v>
      </c>
      <c r="AK3" s="52" t="s">
        <v>382</v>
      </c>
      <c r="AL3" s="52" t="s">
        <v>383</v>
      </c>
      <c r="AM3" s="52" t="s">
        <v>384</v>
      </c>
      <c r="AN3" s="52" t="s">
        <v>385</v>
      </c>
      <c r="AO3" s="52" t="s">
        <v>386</v>
      </c>
      <c r="AP3" s="52" t="s">
        <v>387</v>
      </c>
      <c r="AQ3" s="52" t="s">
        <v>388</v>
      </c>
      <c r="AR3" s="52" t="s">
        <v>389</v>
      </c>
      <c r="AS3" s="52" t="s">
        <v>390</v>
      </c>
      <c r="AT3" s="52" t="s">
        <v>391</v>
      </c>
      <c r="AU3" s="52" t="s">
        <v>392</v>
      </c>
      <c r="AV3" s="52" t="s">
        <v>393</v>
      </c>
      <c r="AW3" s="52" t="s">
        <v>394</v>
      </c>
      <c r="AX3" s="52" t="s">
        <v>395</v>
      </c>
      <c r="AY3" s="52" t="s">
        <v>396</v>
      </c>
      <c r="AZ3" s="52" t="s">
        <v>397</v>
      </c>
      <c r="BA3" s="52" t="s">
        <v>398</v>
      </c>
      <c r="BB3" s="52" t="s">
        <v>399</v>
      </c>
      <c r="BC3" s="52" t="s">
        <v>400</v>
      </c>
      <c r="BD3" s="52" t="s">
        <v>401</v>
      </c>
      <c r="BE3" s="52" t="s">
        <v>402</v>
      </c>
      <c r="BF3" s="52" t="s">
        <v>403</v>
      </c>
      <c r="BG3" s="52" t="s">
        <v>404</v>
      </c>
      <c r="BH3" s="52" t="s">
        <v>405</v>
      </c>
      <c r="BI3" s="52" t="s">
        <v>406</v>
      </c>
      <c r="BJ3" s="52" t="s">
        <v>407</v>
      </c>
    </row>
    <row r="4" customFormat="false" ht="15" hidden="false" customHeight="false" outlineLevel="0" collapsed="false">
      <c r="A4" s="74" t="s">
        <v>408</v>
      </c>
      <c r="C4" s="74" t="n">
        <v>1</v>
      </c>
      <c r="D4" s="74" t="n">
        <v>2</v>
      </c>
      <c r="E4" s="74" t="n">
        <v>3</v>
      </c>
      <c r="F4" s="74" t="n">
        <v>4</v>
      </c>
      <c r="G4" s="74" t="n">
        <v>5</v>
      </c>
      <c r="H4" s="74" t="n">
        <v>6</v>
      </c>
      <c r="I4" s="74" t="n">
        <v>7</v>
      </c>
      <c r="J4" s="74" t="n">
        <v>8</v>
      </c>
      <c r="K4" s="74" t="n">
        <v>9</v>
      </c>
      <c r="L4" s="74" t="n">
        <v>10</v>
      </c>
      <c r="M4" s="74" t="n">
        <v>11</v>
      </c>
      <c r="N4" s="74" t="n">
        <v>12</v>
      </c>
      <c r="O4" s="74" t="n">
        <v>13</v>
      </c>
      <c r="P4" s="74" t="n">
        <v>14</v>
      </c>
      <c r="Q4" s="74" t="n">
        <v>15</v>
      </c>
      <c r="R4" s="74" t="n">
        <v>16</v>
      </c>
      <c r="S4" s="74" t="n">
        <v>17</v>
      </c>
      <c r="T4" s="74" t="n">
        <v>18</v>
      </c>
      <c r="U4" s="74" t="n">
        <v>19</v>
      </c>
      <c r="V4" s="74" t="n">
        <v>20</v>
      </c>
      <c r="W4" s="74" t="n">
        <v>21</v>
      </c>
      <c r="X4" s="74" t="n">
        <v>22</v>
      </c>
      <c r="Y4" s="74" t="n">
        <v>23</v>
      </c>
      <c r="Z4" s="74" t="n">
        <v>24</v>
      </c>
      <c r="AA4" s="74" t="n">
        <v>25</v>
      </c>
      <c r="AB4" s="74" t="n">
        <v>26</v>
      </c>
      <c r="AC4" s="74" t="n">
        <v>27</v>
      </c>
      <c r="AD4" s="74" t="n">
        <v>28</v>
      </c>
      <c r="AE4" s="74" t="n">
        <v>29</v>
      </c>
      <c r="AF4" s="74" t="n">
        <v>30</v>
      </c>
      <c r="AG4" s="74" t="n">
        <v>31</v>
      </c>
      <c r="AH4" s="74" t="n">
        <v>32</v>
      </c>
      <c r="AI4" s="74" t="n">
        <v>33</v>
      </c>
      <c r="AJ4" s="74" t="n">
        <v>34</v>
      </c>
      <c r="AK4" s="74" t="n">
        <v>35</v>
      </c>
      <c r="AL4" s="74" t="n">
        <v>36</v>
      </c>
      <c r="AM4" s="74" t="n">
        <v>37</v>
      </c>
      <c r="AN4" s="74" t="n">
        <v>38</v>
      </c>
      <c r="AO4" s="74" t="n">
        <v>39</v>
      </c>
      <c r="AP4" s="74" t="n">
        <v>40</v>
      </c>
      <c r="AQ4" s="74" t="n">
        <v>41</v>
      </c>
      <c r="AR4" s="74" t="n">
        <v>42</v>
      </c>
      <c r="AS4" s="74" t="n">
        <v>43</v>
      </c>
      <c r="AT4" s="74" t="n">
        <v>44</v>
      </c>
      <c r="AU4" s="74" t="n">
        <v>45</v>
      </c>
      <c r="AV4" s="74" t="n">
        <v>46</v>
      </c>
      <c r="AW4" s="74" t="n">
        <v>47</v>
      </c>
      <c r="AX4" s="74" t="n">
        <v>48</v>
      </c>
      <c r="AY4" s="74" t="n">
        <v>49</v>
      </c>
      <c r="AZ4" s="74" t="n">
        <v>50</v>
      </c>
      <c r="BA4" s="74" t="n">
        <v>51</v>
      </c>
      <c r="BB4" s="74" t="n">
        <v>52</v>
      </c>
      <c r="BC4" s="74" t="n">
        <v>53</v>
      </c>
      <c r="BD4" s="74" t="n">
        <v>54</v>
      </c>
      <c r="BE4" s="74" t="n">
        <v>55</v>
      </c>
      <c r="BF4" s="74" t="n">
        <v>56</v>
      </c>
      <c r="BG4" s="74" t="n">
        <v>57</v>
      </c>
      <c r="BH4" s="74" t="n">
        <v>58</v>
      </c>
      <c r="BI4" s="74" t="n">
        <v>59</v>
      </c>
      <c r="BJ4" s="74" t="n">
        <v>60</v>
      </c>
    </row>
    <row r="5" customFormat="false" ht="15" hidden="false" customHeight="false" outlineLevel="0" collapsed="false">
      <c r="A5" s="74" t="s">
        <v>154</v>
      </c>
      <c r="C5" s="74" t="n">
        <f aca="false">ROUNDUP(C4*1/12,0)</f>
        <v>1</v>
      </c>
      <c r="D5" s="74" t="n">
        <f aca="false">ROUNDUP(D4*1/12,0)</f>
        <v>1</v>
      </c>
      <c r="E5" s="74" t="n">
        <f aca="false">ROUNDUP(E4*1/12,0)</f>
        <v>1</v>
      </c>
      <c r="F5" s="74" t="n">
        <f aca="false">ROUNDUP(F4*1/12,0)</f>
        <v>1</v>
      </c>
      <c r="G5" s="74" t="n">
        <f aca="false">ROUNDUP(G4*1/12,0)</f>
        <v>1</v>
      </c>
      <c r="H5" s="74" t="n">
        <f aca="false">ROUNDUP(H4*1/12,0)</f>
        <v>1</v>
      </c>
      <c r="I5" s="74" t="n">
        <f aca="false">ROUNDUP(I4*1/12,0)</f>
        <v>1</v>
      </c>
      <c r="J5" s="74" t="n">
        <f aca="false">ROUNDUP(J4*1/12,0)</f>
        <v>1</v>
      </c>
      <c r="K5" s="74" t="n">
        <f aca="false">ROUNDUP(K4*1/12,0)</f>
        <v>1</v>
      </c>
      <c r="L5" s="74" t="n">
        <f aca="false">ROUNDUP(L4*1/12,0)</f>
        <v>1</v>
      </c>
      <c r="M5" s="74" t="n">
        <f aca="false">ROUNDUP(M4*1/12,0)</f>
        <v>1</v>
      </c>
      <c r="N5" s="74" t="n">
        <f aca="false">ROUNDUP(N4*1/12,0)</f>
        <v>1</v>
      </c>
      <c r="O5" s="74" t="n">
        <f aca="false">ROUNDUP(O4*1/12,0)</f>
        <v>2</v>
      </c>
      <c r="P5" s="74" t="n">
        <f aca="false">ROUNDUP(P4*1/12,0)</f>
        <v>2</v>
      </c>
      <c r="Q5" s="74" t="n">
        <f aca="false">ROUNDUP(Q4*1/12,0)</f>
        <v>2</v>
      </c>
      <c r="R5" s="74" t="n">
        <f aca="false">ROUNDUP(R4*1/12,0)</f>
        <v>2</v>
      </c>
      <c r="S5" s="74" t="n">
        <f aca="false">ROUNDUP(S4*1/12,0)</f>
        <v>2</v>
      </c>
      <c r="T5" s="74" t="n">
        <f aca="false">ROUNDUP(T4*1/12,0)</f>
        <v>2</v>
      </c>
      <c r="U5" s="74" t="n">
        <f aca="false">ROUNDUP(U4*1/12,0)</f>
        <v>2</v>
      </c>
      <c r="V5" s="74" t="n">
        <f aca="false">ROUNDUP(V4*1/12,0)</f>
        <v>2</v>
      </c>
      <c r="W5" s="74" t="n">
        <f aca="false">ROUNDUP(W4*1/12,0)</f>
        <v>2</v>
      </c>
      <c r="X5" s="74" t="n">
        <f aca="false">ROUNDUP(X4*1/12,0)</f>
        <v>2</v>
      </c>
      <c r="Y5" s="74" t="n">
        <f aca="false">ROUNDUP(Y4*1/12,0)</f>
        <v>2</v>
      </c>
      <c r="Z5" s="74" t="n">
        <f aca="false">ROUNDUP(Z4*1/12,0)</f>
        <v>2</v>
      </c>
      <c r="AA5" s="74" t="n">
        <f aca="false">ROUNDUP(AA4*1/12,0)</f>
        <v>3</v>
      </c>
      <c r="AB5" s="74" t="n">
        <f aca="false">ROUNDUP(AB4*1/12,0)</f>
        <v>3</v>
      </c>
      <c r="AC5" s="74" t="n">
        <f aca="false">ROUNDUP(AC4*1/12,0)</f>
        <v>3</v>
      </c>
      <c r="AD5" s="74" t="n">
        <f aca="false">ROUNDUP(AD4*1/12,0)</f>
        <v>3</v>
      </c>
      <c r="AE5" s="74" t="n">
        <f aca="false">ROUNDUP(AE4*1/12,0)</f>
        <v>3</v>
      </c>
      <c r="AF5" s="74" t="n">
        <f aca="false">ROUNDUP(AF4*1/12,0)</f>
        <v>3</v>
      </c>
      <c r="AG5" s="74" t="n">
        <f aca="false">ROUNDUP(AG4*1/12,0)</f>
        <v>3</v>
      </c>
      <c r="AH5" s="74" t="n">
        <f aca="false">ROUNDUP(AH4*1/12,0)</f>
        <v>3</v>
      </c>
      <c r="AI5" s="74" t="n">
        <f aca="false">ROUNDUP(AI4*1/12,0)</f>
        <v>3</v>
      </c>
      <c r="AJ5" s="74" t="n">
        <f aca="false">ROUNDUP(AJ4*1/12,0)</f>
        <v>3</v>
      </c>
      <c r="AK5" s="74" t="n">
        <f aca="false">ROUNDUP(AK4*1/12,0)</f>
        <v>3</v>
      </c>
      <c r="AL5" s="74" t="n">
        <f aca="false">ROUNDUP(AL4*1/12,0)</f>
        <v>3</v>
      </c>
      <c r="AM5" s="74" t="n">
        <f aca="false">ROUNDUP(AM4*1/12,0)</f>
        <v>4</v>
      </c>
      <c r="AN5" s="74" t="n">
        <f aca="false">ROUNDUP(AN4*1/12,0)</f>
        <v>4</v>
      </c>
      <c r="AO5" s="74" t="n">
        <f aca="false">ROUNDUP(AO4*1/12,0)</f>
        <v>4</v>
      </c>
      <c r="AP5" s="74" t="n">
        <f aca="false">ROUNDUP(AP4*1/12,0)</f>
        <v>4</v>
      </c>
      <c r="AQ5" s="74" t="n">
        <f aca="false">ROUNDUP(AQ4*1/12,0)</f>
        <v>4</v>
      </c>
      <c r="AR5" s="74" t="n">
        <f aca="false">ROUNDUP(AR4*1/12,0)</f>
        <v>4</v>
      </c>
      <c r="AS5" s="74" t="n">
        <f aca="false">ROUNDUP(AS4*1/12,0)</f>
        <v>4</v>
      </c>
      <c r="AT5" s="74" t="n">
        <f aca="false">ROUNDUP(AT4*1/12,0)</f>
        <v>4</v>
      </c>
      <c r="AU5" s="74" t="n">
        <f aca="false">ROUNDUP(AU4*1/12,0)</f>
        <v>4</v>
      </c>
      <c r="AV5" s="74" t="n">
        <f aca="false">ROUNDUP(AV4*1/12,0)</f>
        <v>4</v>
      </c>
      <c r="AW5" s="74" t="n">
        <f aca="false">ROUNDUP(AW4*1/12,0)</f>
        <v>4</v>
      </c>
      <c r="AX5" s="74" t="n">
        <f aca="false">ROUNDUP(AX4*1/12,0)</f>
        <v>4</v>
      </c>
      <c r="AY5" s="74" t="n">
        <f aca="false">ROUNDUP(AY4*1/12,0)</f>
        <v>5</v>
      </c>
      <c r="AZ5" s="74" t="n">
        <f aca="false">ROUNDUP(AZ4*1/12,0)</f>
        <v>5</v>
      </c>
      <c r="BA5" s="74" t="n">
        <f aca="false">ROUNDUP(BA4*1/12,0)</f>
        <v>5</v>
      </c>
      <c r="BB5" s="74" t="n">
        <f aca="false">ROUNDUP(BB4*1/12,0)</f>
        <v>5</v>
      </c>
      <c r="BC5" s="74" t="n">
        <f aca="false">ROUNDUP(BC4*1/12,0)</f>
        <v>5</v>
      </c>
      <c r="BD5" s="74" t="n">
        <f aca="false">ROUNDUP(BD4*1/12,0)</f>
        <v>5</v>
      </c>
      <c r="BE5" s="74" t="n">
        <f aca="false">ROUNDUP(BE4*1/12,0)</f>
        <v>5</v>
      </c>
      <c r="BF5" s="74" t="n">
        <f aca="false">ROUNDUP(BF4*1/12,0)</f>
        <v>5</v>
      </c>
      <c r="BG5" s="74" t="n">
        <f aca="false">ROUNDUP(BG4*1/12,0)</f>
        <v>5</v>
      </c>
      <c r="BH5" s="74" t="n">
        <f aca="false">ROUNDUP(BH4*1/12,0)</f>
        <v>5</v>
      </c>
      <c r="BI5" s="74" t="n">
        <f aca="false">ROUNDUP(BI4*1/12,0)</f>
        <v>5</v>
      </c>
      <c r="BJ5" s="74" t="n">
        <f aca="false">ROUNDUP(BJ4*1/12,0)</f>
        <v>5</v>
      </c>
    </row>
    <row r="7" customFormat="false" ht="15.75" hidden="false" customHeight="true" outlineLevel="0" collapsed="false">
      <c r="A7" s="7" t="s">
        <v>455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456</v>
      </c>
      <c r="C8" s="119" t="n">
        <f aca="false">Inputs!$E$51*(1+Inputs!$E$53)^(C$5-1)*MAX(0,MIN(1,C$4*1-Inputs!$E$54+1))/1</f>
        <v>5</v>
      </c>
      <c r="D8" s="119" t="n">
        <f aca="false">Inputs!$E$51*(1+Inputs!$E$53)^(D$5-1)*MAX(0,MIN(1,D$4*1-Inputs!$E$54+1))/1</f>
        <v>5</v>
      </c>
      <c r="E8" s="119" t="n">
        <f aca="false">Inputs!$E$51*(1+Inputs!$E$53)^(E$5-1)*MAX(0,MIN(1,E$4*1-Inputs!$E$54+1))/1</f>
        <v>5</v>
      </c>
      <c r="F8" s="119" t="n">
        <f aca="false">Inputs!$E$51*(1+Inputs!$E$53)^(F$5-1)*MAX(0,MIN(1,F$4*1-Inputs!$E$54+1))/1</f>
        <v>5</v>
      </c>
      <c r="G8" s="119" t="n">
        <f aca="false">Inputs!$E$51*(1+Inputs!$E$53)^(G$5-1)*MAX(0,MIN(1,G$4*1-Inputs!$E$54+1))/1</f>
        <v>5</v>
      </c>
      <c r="H8" s="119" t="n">
        <f aca="false">Inputs!$E$51*(1+Inputs!$E$53)^(H$5-1)*MAX(0,MIN(1,H$4*1-Inputs!$E$54+1))/1</f>
        <v>5</v>
      </c>
      <c r="I8" s="119" t="n">
        <f aca="false">Inputs!$E$51*(1+Inputs!$E$53)^(I$5-1)*MAX(0,MIN(1,I$4*1-Inputs!$E$54+1))/1</f>
        <v>5</v>
      </c>
      <c r="J8" s="119" t="n">
        <f aca="false">Inputs!$E$51*(1+Inputs!$E$53)^(J$5-1)*MAX(0,MIN(1,J$4*1-Inputs!$E$54+1))/1</f>
        <v>5</v>
      </c>
      <c r="K8" s="119" t="n">
        <f aca="false">Inputs!$E$51*(1+Inputs!$E$53)^(K$5-1)*MAX(0,MIN(1,K$4*1-Inputs!$E$54+1))/1</f>
        <v>5</v>
      </c>
      <c r="L8" s="119" t="n">
        <f aca="false">Inputs!$E$51*(1+Inputs!$E$53)^(L$5-1)*MAX(0,MIN(1,L$4*1-Inputs!$E$54+1))/1</f>
        <v>5</v>
      </c>
      <c r="M8" s="119" t="n">
        <f aca="false">Inputs!$E$51*(1+Inputs!$E$53)^(M$5-1)*MAX(0,MIN(1,M$4*1-Inputs!$E$54+1))/1</f>
        <v>5</v>
      </c>
      <c r="N8" s="119" t="n">
        <f aca="false">Inputs!$E$51*(1+Inputs!$E$53)^(N$5-1)*MAX(0,MIN(1,N$4*1-Inputs!$E$54+1))/1</f>
        <v>5</v>
      </c>
      <c r="O8" s="119" t="n">
        <f aca="false">Inputs!$E$51*(1+Inputs!$E$53)^(O$5-1)*MAX(0,MIN(1,O$4*1-Inputs!$E$54+1))/1</f>
        <v>5</v>
      </c>
      <c r="P8" s="119" t="n">
        <f aca="false">Inputs!$E$51*(1+Inputs!$E$53)^(P$5-1)*MAX(0,MIN(1,P$4*1-Inputs!$E$54+1))/1</f>
        <v>5</v>
      </c>
      <c r="Q8" s="119" t="n">
        <f aca="false">Inputs!$E$51*(1+Inputs!$E$53)^(Q$5-1)*MAX(0,MIN(1,Q$4*1-Inputs!$E$54+1))/1</f>
        <v>5</v>
      </c>
      <c r="R8" s="119" t="n">
        <f aca="false">Inputs!$E$51*(1+Inputs!$E$53)^(R$5-1)*MAX(0,MIN(1,R$4*1-Inputs!$E$54+1))/1</f>
        <v>5</v>
      </c>
      <c r="S8" s="119" t="n">
        <f aca="false">Inputs!$E$51*(1+Inputs!$E$53)^(S$5-1)*MAX(0,MIN(1,S$4*1-Inputs!$E$54+1))/1</f>
        <v>5</v>
      </c>
      <c r="T8" s="119" t="n">
        <f aca="false">Inputs!$E$51*(1+Inputs!$E$53)^(T$5-1)*MAX(0,MIN(1,T$4*1-Inputs!$E$54+1))/1</f>
        <v>5</v>
      </c>
      <c r="U8" s="119" t="n">
        <f aca="false">Inputs!$E$51*(1+Inputs!$E$53)^(U$5-1)*MAX(0,MIN(1,U$4*1-Inputs!$E$54+1))/1</f>
        <v>5</v>
      </c>
      <c r="V8" s="119" t="n">
        <f aca="false">Inputs!$E$51*(1+Inputs!$E$53)^(V$5-1)*MAX(0,MIN(1,V$4*1-Inputs!$E$54+1))/1</f>
        <v>5</v>
      </c>
      <c r="W8" s="119" t="n">
        <f aca="false">Inputs!$E$51*(1+Inputs!$E$53)^(W$5-1)*MAX(0,MIN(1,W$4*1-Inputs!$E$54+1))/1</f>
        <v>5</v>
      </c>
      <c r="X8" s="119" t="n">
        <f aca="false">Inputs!$E$51*(1+Inputs!$E$53)^(X$5-1)*MAX(0,MIN(1,X$4*1-Inputs!$E$54+1))/1</f>
        <v>5</v>
      </c>
      <c r="Y8" s="119" t="n">
        <f aca="false">Inputs!$E$51*(1+Inputs!$E$53)^(Y$5-1)*MAX(0,MIN(1,Y$4*1-Inputs!$E$54+1))/1</f>
        <v>5</v>
      </c>
      <c r="Z8" s="119" t="n">
        <f aca="false">Inputs!$E$51*(1+Inputs!$E$53)^(Z$5-1)*MAX(0,MIN(1,Z$4*1-Inputs!$E$54+1))/1</f>
        <v>5</v>
      </c>
      <c r="AA8" s="119" t="n">
        <f aca="false">Inputs!$E$51*(1+Inputs!$E$53)^(AA$5-1)*MAX(0,MIN(1,AA$4*1-Inputs!$E$54+1))/1</f>
        <v>5</v>
      </c>
      <c r="AB8" s="119" t="n">
        <f aca="false">Inputs!$E$51*(1+Inputs!$E$53)^(AB$5-1)*MAX(0,MIN(1,AB$4*1-Inputs!$E$54+1))/1</f>
        <v>5</v>
      </c>
      <c r="AC8" s="119" t="n">
        <f aca="false">Inputs!$E$51*(1+Inputs!$E$53)^(AC$5-1)*MAX(0,MIN(1,AC$4*1-Inputs!$E$54+1))/1</f>
        <v>5</v>
      </c>
      <c r="AD8" s="119" t="n">
        <f aca="false">Inputs!$E$51*(1+Inputs!$E$53)^(AD$5-1)*MAX(0,MIN(1,AD$4*1-Inputs!$E$54+1))/1</f>
        <v>5</v>
      </c>
      <c r="AE8" s="119" t="n">
        <f aca="false">Inputs!$E$51*(1+Inputs!$E$53)^(AE$5-1)*MAX(0,MIN(1,AE$4*1-Inputs!$E$54+1))/1</f>
        <v>5</v>
      </c>
      <c r="AF8" s="119" t="n">
        <f aca="false">Inputs!$E$51*(1+Inputs!$E$53)^(AF$5-1)*MAX(0,MIN(1,AF$4*1-Inputs!$E$54+1))/1</f>
        <v>5</v>
      </c>
      <c r="AG8" s="119" t="n">
        <f aca="false">Inputs!$E$51*(1+Inputs!$E$53)^(AG$5-1)*MAX(0,MIN(1,AG$4*1-Inputs!$E$54+1))/1</f>
        <v>5</v>
      </c>
      <c r="AH8" s="119" t="n">
        <f aca="false">Inputs!$E$51*(1+Inputs!$E$53)^(AH$5-1)*MAX(0,MIN(1,AH$4*1-Inputs!$E$54+1))/1</f>
        <v>5</v>
      </c>
      <c r="AI8" s="119" t="n">
        <f aca="false">Inputs!$E$51*(1+Inputs!$E$53)^(AI$5-1)*MAX(0,MIN(1,AI$4*1-Inputs!$E$54+1))/1</f>
        <v>5</v>
      </c>
      <c r="AJ8" s="119" t="n">
        <f aca="false">Inputs!$E$51*(1+Inputs!$E$53)^(AJ$5-1)*MAX(0,MIN(1,AJ$4*1-Inputs!$E$54+1))/1</f>
        <v>5</v>
      </c>
      <c r="AK8" s="119" t="n">
        <f aca="false">Inputs!$E$51*(1+Inputs!$E$53)^(AK$5-1)*MAX(0,MIN(1,AK$4*1-Inputs!$E$54+1))/1</f>
        <v>5</v>
      </c>
      <c r="AL8" s="119" t="n">
        <f aca="false">Inputs!$E$51*(1+Inputs!$E$53)^(AL$5-1)*MAX(0,MIN(1,AL$4*1-Inputs!$E$54+1))/1</f>
        <v>5</v>
      </c>
      <c r="AM8" s="119" t="n">
        <f aca="false">Inputs!$E$51*(1+Inputs!$E$53)^(AM$5-1)*MAX(0,MIN(1,AM$4*1-Inputs!$E$54+1))/1</f>
        <v>5</v>
      </c>
      <c r="AN8" s="119" t="n">
        <f aca="false">Inputs!$E$51*(1+Inputs!$E$53)^(AN$5-1)*MAX(0,MIN(1,AN$4*1-Inputs!$E$54+1))/1</f>
        <v>5</v>
      </c>
      <c r="AO8" s="119" t="n">
        <f aca="false">Inputs!$E$51*(1+Inputs!$E$53)^(AO$5-1)*MAX(0,MIN(1,AO$4*1-Inputs!$E$54+1))/1</f>
        <v>5</v>
      </c>
      <c r="AP8" s="119" t="n">
        <f aca="false">Inputs!$E$51*(1+Inputs!$E$53)^(AP$5-1)*MAX(0,MIN(1,AP$4*1-Inputs!$E$54+1))/1</f>
        <v>5</v>
      </c>
      <c r="AQ8" s="119" t="n">
        <f aca="false">Inputs!$E$51*(1+Inputs!$E$53)^(AQ$5-1)*MAX(0,MIN(1,AQ$4*1-Inputs!$E$54+1))/1</f>
        <v>5</v>
      </c>
      <c r="AR8" s="119" t="n">
        <f aca="false">Inputs!$E$51*(1+Inputs!$E$53)^(AR$5-1)*MAX(0,MIN(1,AR$4*1-Inputs!$E$54+1))/1</f>
        <v>5</v>
      </c>
      <c r="AS8" s="119" t="n">
        <f aca="false">Inputs!$E$51*(1+Inputs!$E$53)^(AS$5-1)*MAX(0,MIN(1,AS$4*1-Inputs!$E$54+1))/1</f>
        <v>5</v>
      </c>
      <c r="AT8" s="119" t="n">
        <f aca="false">Inputs!$E$51*(1+Inputs!$E$53)^(AT$5-1)*MAX(0,MIN(1,AT$4*1-Inputs!$E$54+1))/1</f>
        <v>5</v>
      </c>
      <c r="AU8" s="119" t="n">
        <f aca="false">Inputs!$E$51*(1+Inputs!$E$53)^(AU$5-1)*MAX(0,MIN(1,AU$4*1-Inputs!$E$54+1))/1</f>
        <v>5</v>
      </c>
      <c r="AV8" s="119" t="n">
        <f aca="false">Inputs!$E$51*(1+Inputs!$E$53)^(AV$5-1)*MAX(0,MIN(1,AV$4*1-Inputs!$E$54+1))/1</f>
        <v>5</v>
      </c>
      <c r="AW8" s="119" t="n">
        <f aca="false">Inputs!$E$51*(1+Inputs!$E$53)^(AW$5-1)*MAX(0,MIN(1,AW$4*1-Inputs!$E$54+1))/1</f>
        <v>5</v>
      </c>
      <c r="AX8" s="119" t="n">
        <f aca="false">Inputs!$E$51*(1+Inputs!$E$53)^(AX$5-1)*MAX(0,MIN(1,AX$4*1-Inputs!$E$54+1))/1</f>
        <v>5</v>
      </c>
      <c r="AY8" s="119" t="n">
        <f aca="false">Inputs!$E$51*(1+Inputs!$E$53)^(AY$5-1)*MAX(0,MIN(1,AY$4*1-Inputs!$E$54+1))/1</f>
        <v>5</v>
      </c>
      <c r="AZ8" s="119" t="n">
        <f aca="false">Inputs!$E$51*(1+Inputs!$E$53)^(AZ$5-1)*MAX(0,MIN(1,AZ$4*1-Inputs!$E$54+1))/1</f>
        <v>5</v>
      </c>
      <c r="BA8" s="119" t="n">
        <f aca="false">Inputs!$E$51*(1+Inputs!$E$53)^(BA$5-1)*MAX(0,MIN(1,BA$4*1-Inputs!$E$54+1))/1</f>
        <v>5</v>
      </c>
      <c r="BB8" s="119" t="n">
        <f aca="false">Inputs!$E$51*(1+Inputs!$E$53)^(BB$5-1)*MAX(0,MIN(1,BB$4*1-Inputs!$E$54+1))/1</f>
        <v>5</v>
      </c>
      <c r="BC8" s="119" t="n">
        <f aca="false">Inputs!$E$51*(1+Inputs!$E$53)^(BC$5-1)*MAX(0,MIN(1,BC$4*1-Inputs!$E$54+1))/1</f>
        <v>5</v>
      </c>
      <c r="BD8" s="119" t="n">
        <f aca="false">Inputs!$E$51*(1+Inputs!$E$53)^(BD$5-1)*MAX(0,MIN(1,BD$4*1-Inputs!$E$54+1))/1</f>
        <v>5</v>
      </c>
      <c r="BE8" s="119" t="n">
        <f aca="false">Inputs!$E$51*(1+Inputs!$E$53)^(BE$5-1)*MAX(0,MIN(1,BE$4*1-Inputs!$E$54+1))/1</f>
        <v>5</v>
      </c>
      <c r="BF8" s="119" t="n">
        <f aca="false">Inputs!$E$51*(1+Inputs!$E$53)^(BF$5-1)*MAX(0,MIN(1,BF$4*1-Inputs!$E$54+1))/1</f>
        <v>5</v>
      </c>
      <c r="BG8" s="119" t="n">
        <f aca="false">Inputs!$E$51*(1+Inputs!$E$53)^(BG$5-1)*MAX(0,MIN(1,BG$4*1-Inputs!$E$54+1))/1</f>
        <v>5</v>
      </c>
      <c r="BH8" s="119" t="n">
        <f aca="false">Inputs!$E$51*(1+Inputs!$E$53)^(BH$5-1)*MAX(0,MIN(1,BH$4*1-Inputs!$E$54+1))/1</f>
        <v>5</v>
      </c>
      <c r="BI8" s="119" t="n">
        <f aca="false">Inputs!$E$51*(1+Inputs!$E$53)^(BI$5-1)*MAX(0,MIN(1,BI$4*1-Inputs!$E$54+1))/1</f>
        <v>5</v>
      </c>
      <c r="BJ8" s="119" t="n">
        <f aca="false">Inputs!$E$51*(1+Inputs!$E$53)^(BJ$5-1)*MAX(0,MIN(1,BJ$4*1-Inputs!$E$54+1))/1</f>
        <v>5</v>
      </c>
    </row>
    <row r="9" customFormat="false" ht="15" hidden="false" customHeight="false" outlineLevel="0" collapsed="false">
      <c r="A9" s="6" t="s">
        <v>457</v>
      </c>
      <c r="C9" s="119" t="n">
        <f aca="false">Inputs!$E$55*(1+Inputs!$E$57)^(C$5-1)*MAX(0,MIN(1,C$4*1-Inputs!$E$58+1))/1</f>
        <v>2</v>
      </c>
      <c r="D9" s="119" t="n">
        <f aca="false">Inputs!$E$55*(1+Inputs!$E$57)^(D$5-1)*MAX(0,MIN(1,D$4*1-Inputs!$E$58+1))/1</f>
        <v>2</v>
      </c>
      <c r="E9" s="119" t="n">
        <f aca="false">Inputs!$E$55*(1+Inputs!$E$57)^(E$5-1)*MAX(0,MIN(1,E$4*1-Inputs!$E$58+1))/1</f>
        <v>2</v>
      </c>
      <c r="F9" s="119" t="n">
        <f aca="false">Inputs!$E$55*(1+Inputs!$E$57)^(F$5-1)*MAX(0,MIN(1,F$4*1-Inputs!$E$58+1))/1</f>
        <v>2</v>
      </c>
      <c r="G9" s="119" t="n">
        <f aca="false">Inputs!$E$55*(1+Inputs!$E$57)^(G$5-1)*MAX(0,MIN(1,G$4*1-Inputs!$E$58+1))/1</f>
        <v>2</v>
      </c>
      <c r="H9" s="119" t="n">
        <f aca="false">Inputs!$E$55*(1+Inputs!$E$57)^(H$5-1)*MAX(0,MIN(1,H$4*1-Inputs!$E$58+1))/1</f>
        <v>2</v>
      </c>
      <c r="I9" s="119" t="n">
        <f aca="false">Inputs!$E$55*(1+Inputs!$E$57)^(I$5-1)*MAX(0,MIN(1,I$4*1-Inputs!$E$58+1))/1</f>
        <v>2</v>
      </c>
      <c r="J9" s="119" t="n">
        <f aca="false">Inputs!$E$55*(1+Inputs!$E$57)^(J$5-1)*MAX(0,MIN(1,J$4*1-Inputs!$E$58+1))/1</f>
        <v>2</v>
      </c>
      <c r="K9" s="119" t="n">
        <f aca="false">Inputs!$E$55*(1+Inputs!$E$57)^(K$5-1)*MAX(0,MIN(1,K$4*1-Inputs!$E$58+1))/1</f>
        <v>2</v>
      </c>
      <c r="L9" s="119" t="n">
        <f aca="false">Inputs!$E$55*(1+Inputs!$E$57)^(L$5-1)*MAX(0,MIN(1,L$4*1-Inputs!$E$58+1))/1</f>
        <v>2</v>
      </c>
      <c r="M9" s="119" t="n">
        <f aca="false">Inputs!$E$55*(1+Inputs!$E$57)^(M$5-1)*MAX(0,MIN(1,M$4*1-Inputs!$E$58+1))/1</f>
        <v>2</v>
      </c>
      <c r="N9" s="119" t="n">
        <f aca="false">Inputs!$E$55*(1+Inputs!$E$57)^(N$5-1)*MAX(0,MIN(1,N$4*1-Inputs!$E$58+1))/1</f>
        <v>2</v>
      </c>
      <c r="O9" s="119" t="n">
        <f aca="false">Inputs!$E$55*(1+Inputs!$E$57)^(O$5-1)*MAX(0,MIN(1,O$4*1-Inputs!$E$58+1))/1</f>
        <v>2</v>
      </c>
      <c r="P9" s="119" t="n">
        <f aca="false">Inputs!$E$55*(1+Inputs!$E$57)^(P$5-1)*MAX(0,MIN(1,P$4*1-Inputs!$E$58+1))/1</f>
        <v>2</v>
      </c>
      <c r="Q9" s="119" t="n">
        <f aca="false">Inputs!$E$55*(1+Inputs!$E$57)^(Q$5-1)*MAX(0,MIN(1,Q$4*1-Inputs!$E$58+1))/1</f>
        <v>2</v>
      </c>
      <c r="R9" s="119" t="n">
        <f aca="false">Inputs!$E$55*(1+Inputs!$E$57)^(R$5-1)*MAX(0,MIN(1,R$4*1-Inputs!$E$58+1))/1</f>
        <v>2</v>
      </c>
      <c r="S9" s="119" t="n">
        <f aca="false">Inputs!$E$55*(1+Inputs!$E$57)^(S$5-1)*MAX(0,MIN(1,S$4*1-Inputs!$E$58+1))/1</f>
        <v>2</v>
      </c>
      <c r="T9" s="119" t="n">
        <f aca="false">Inputs!$E$55*(1+Inputs!$E$57)^(T$5-1)*MAX(0,MIN(1,T$4*1-Inputs!$E$58+1))/1</f>
        <v>2</v>
      </c>
      <c r="U9" s="119" t="n">
        <f aca="false">Inputs!$E$55*(1+Inputs!$E$57)^(U$5-1)*MAX(0,MIN(1,U$4*1-Inputs!$E$58+1))/1</f>
        <v>2</v>
      </c>
      <c r="V9" s="119" t="n">
        <f aca="false">Inputs!$E$55*(1+Inputs!$E$57)^(V$5-1)*MAX(0,MIN(1,V$4*1-Inputs!$E$58+1))/1</f>
        <v>2</v>
      </c>
      <c r="W9" s="119" t="n">
        <f aca="false">Inputs!$E$55*(1+Inputs!$E$57)^(W$5-1)*MAX(0,MIN(1,W$4*1-Inputs!$E$58+1))/1</f>
        <v>2</v>
      </c>
      <c r="X9" s="119" t="n">
        <f aca="false">Inputs!$E$55*(1+Inputs!$E$57)^(X$5-1)*MAX(0,MIN(1,X$4*1-Inputs!$E$58+1))/1</f>
        <v>2</v>
      </c>
      <c r="Y9" s="119" t="n">
        <f aca="false">Inputs!$E$55*(1+Inputs!$E$57)^(Y$5-1)*MAX(0,MIN(1,Y$4*1-Inputs!$E$58+1))/1</f>
        <v>2</v>
      </c>
      <c r="Z9" s="119" t="n">
        <f aca="false">Inputs!$E$55*(1+Inputs!$E$57)^(Z$5-1)*MAX(0,MIN(1,Z$4*1-Inputs!$E$58+1))/1</f>
        <v>2</v>
      </c>
      <c r="AA9" s="119" t="n">
        <f aca="false">Inputs!$E$55*(1+Inputs!$E$57)^(AA$5-1)*MAX(0,MIN(1,AA$4*1-Inputs!$E$58+1))/1</f>
        <v>2</v>
      </c>
      <c r="AB9" s="119" t="n">
        <f aca="false">Inputs!$E$55*(1+Inputs!$E$57)^(AB$5-1)*MAX(0,MIN(1,AB$4*1-Inputs!$E$58+1))/1</f>
        <v>2</v>
      </c>
      <c r="AC9" s="119" t="n">
        <f aca="false">Inputs!$E$55*(1+Inputs!$E$57)^(AC$5-1)*MAX(0,MIN(1,AC$4*1-Inputs!$E$58+1))/1</f>
        <v>2</v>
      </c>
      <c r="AD9" s="119" t="n">
        <f aca="false">Inputs!$E$55*(1+Inputs!$E$57)^(AD$5-1)*MAX(0,MIN(1,AD$4*1-Inputs!$E$58+1))/1</f>
        <v>2</v>
      </c>
      <c r="AE9" s="119" t="n">
        <f aca="false">Inputs!$E$55*(1+Inputs!$E$57)^(AE$5-1)*MAX(0,MIN(1,AE$4*1-Inputs!$E$58+1))/1</f>
        <v>2</v>
      </c>
      <c r="AF9" s="119" t="n">
        <f aca="false">Inputs!$E$55*(1+Inputs!$E$57)^(AF$5-1)*MAX(0,MIN(1,AF$4*1-Inputs!$E$58+1))/1</f>
        <v>2</v>
      </c>
      <c r="AG9" s="119" t="n">
        <f aca="false">Inputs!$E$55*(1+Inputs!$E$57)^(AG$5-1)*MAX(0,MIN(1,AG$4*1-Inputs!$E$58+1))/1</f>
        <v>2</v>
      </c>
      <c r="AH9" s="119" t="n">
        <f aca="false">Inputs!$E$55*(1+Inputs!$E$57)^(AH$5-1)*MAX(0,MIN(1,AH$4*1-Inputs!$E$58+1))/1</f>
        <v>2</v>
      </c>
      <c r="AI9" s="119" t="n">
        <f aca="false">Inputs!$E$55*(1+Inputs!$E$57)^(AI$5-1)*MAX(0,MIN(1,AI$4*1-Inputs!$E$58+1))/1</f>
        <v>2</v>
      </c>
      <c r="AJ9" s="119" t="n">
        <f aca="false">Inputs!$E$55*(1+Inputs!$E$57)^(AJ$5-1)*MAX(0,MIN(1,AJ$4*1-Inputs!$E$58+1))/1</f>
        <v>2</v>
      </c>
      <c r="AK9" s="119" t="n">
        <f aca="false">Inputs!$E$55*(1+Inputs!$E$57)^(AK$5-1)*MAX(0,MIN(1,AK$4*1-Inputs!$E$58+1))/1</f>
        <v>2</v>
      </c>
      <c r="AL9" s="119" t="n">
        <f aca="false">Inputs!$E$55*(1+Inputs!$E$57)^(AL$5-1)*MAX(0,MIN(1,AL$4*1-Inputs!$E$58+1))/1</f>
        <v>2</v>
      </c>
      <c r="AM9" s="119" t="n">
        <f aca="false">Inputs!$E$55*(1+Inputs!$E$57)^(AM$5-1)*MAX(0,MIN(1,AM$4*1-Inputs!$E$58+1))/1</f>
        <v>2</v>
      </c>
      <c r="AN9" s="119" t="n">
        <f aca="false">Inputs!$E$55*(1+Inputs!$E$57)^(AN$5-1)*MAX(0,MIN(1,AN$4*1-Inputs!$E$58+1))/1</f>
        <v>2</v>
      </c>
      <c r="AO9" s="119" t="n">
        <f aca="false">Inputs!$E$55*(1+Inputs!$E$57)^(AO$5-1)*MAX(0,MIN(1,AO$4*1-Inputs!$E$58+1))/1</f>
        <v>2</v>
      </c>
      <c r="AP9" s="119" t="n">
        <f aca="false">Inputs!$E$55*(1+Inputs!$E$57)^(AP$5-1)*MAX(0,MIN(1,AP$4*1-Inputs!$E$58+1))/1</f>
        <v>2</v>
      </c>
      <c r="AQ9" s="119" t="n">
        <f aca="false">Inputs!$E$55*(1+Inputs!$E$57)^(AQ$5-1)*MAX(0,MIN(1,AQ$4*1-Inputs!$E$58+1))/1</f>
        <v>2</v>
      </c>
      <c r="AR9" s="119" t="n">
        <f aca="false">Inputs!$E$55*(1+Inputs!$E$57)^(AR$5-1)*MAX(0,MIN(1,AR$4*1-Inputs!$E$58+1))/1</f>
        <v>2</v>
      </c>
      <c r="AS9" s="119" t="n">
        <f aca="false">Inputs!$E$55*(1+Inputs!$E$57)^(AS$5-1)*MAX(0,MIN(1,AS$4*1-Inputs!$E$58+1))/1</f>
        <v>2</v>
      </c>
      <c r="AT9" s="119" t="n">
        <f aca="false">Inputs!$E$55*(1+Inputs!$E$57)^(AT$5-1)*MAX(0,MIN(1,AT$4*1-Inputs!$E$58+1))/1</f>
        <v>2</v>
      </c>
      <c r="AU9" s="119" t="n">
        <f aca="false">Inputs!$E$55*(1+Inputs!$E$57)^(AU$5-1)*MAX(0,MIN(1,AU$4*1-Inputs!$E$58+1))/1</f>
        <v>2</v>
      </c>
      <c r="AV9" s="119" t="n">
        <f aca="false">Inputs!$E$55*(1+Inputs!$E$57)^(AV$5-1)*MAX(0,MIN(1,AV$4*1-Inputs!$E$58+1))/1</f>
        <v>2</v>
      </c>
      <c r="AW9" s="119" t="n">
        <f aca="false">Inputs!$E$55*(1+Inputs!$E$57)^(AW$5-1)*MAX(0,MIN(1,AW$4*1-Inputs!$E$58+1))/1</f>
        <v>2</v>
      </c>
      <c r="AX9" s="119" t="n">
        <f aca="false">Inputs!$E$55*(1+Inputs!$E$57)^(AX$5-1)*MAX(0,MIN(1,AX$4*1-Inputs!$E$58+1))/1</f>
        <v>2</v>
      </c>
      <c r="AY9" s="119" t="n">
        <f aca="false">Inputs!$E$55*(1+Inputs!$E$57)^(AY$5-1)*MAX(0,MIN(1,AY$4*1-Inputs!$E$58+1))/1</f>
        <v>2</v>
      </c>
      <c r="AZ9" s="119" t="n">
        <f aca="false">Inputs!$E$55*(1+Inputs!$E$57)^(AZ$5-1)*MAX(0,MIN(1,AZ$4*1-Inputs!$E$58+1))/1</f>
        <v>2</v>
      </c>
      <c r="BA9" s="119" t="n">
        <f aca="false">Inputs!$E$55*(1+Inputs!$E$57)^(BA$5-1)*MAX(0,MIN(1,BA$4*1-Inputs!$E$58+1))/1</f>
        <v>2</v>
      </c>
      <c r="BB9" s="119" t="n">
        <f aca="false">Inputs!$E$55*(1+Inputs!$E$57)^(BB$5-1)*MAX(0,MIN(1,BB$4*1-Inputs!$E$58+1))/1</f>
        <v>2</v>
      </c>
      <c r="BC9" s="119" t="n">
        <f aca="false">Inputs!$E$55*(1+Inputs!$E$57)^(BC$5-1)*MAX(0,MIN(1,BC$4*1-Inputs!$E$58+1))/1</f>
        <v>2</v>
      </c>
      <c r="BD9" s="119" t="n">
        <f aca="false">Inputs!$E$55*(1+Inputs!$E$57)^(BD$5-1)*MAX(0,MIN(1,BD$4*1-Inputs!$E$58+1))/1</f>
        <v>2</v>
      </c>
      <c r="BE9" s="119" t="n">
        <f aca="false">Inputs!$E$55*(1+Inputs!$E$57)^(BE$5-1)*MAX(0,MIN(1,BE$4*1-Inputs!$E$58+1))/1</f>
        <v>2</v>
      </c>
      <c r="BF9" s="119" t="n">
        <f aca="false">Inputs!$E$55*(1+Inputs!$E$57)^(BF$5-1)*MAX(0,MIN(1,BF$4*1-Inputs!$E$58+1))/1</f>
        <v>2</v>
      </c>
      <c r="BG9" s="119" t="n">
        <f aca="false">Inputs!$E$55*(1+Inputs!$E$57)^(BG$5-1)*MAX(0,MIN(1,BG$4*1-Inputs!$E$58+1))/1</f>
        <v>2</v>
      </c>
      <c r="BH9" s="119" t="n">
        <f aca="false">Inputs!$E$55*(1+Inputs!$E$57)^(BH$5-1)*MAX(0,MIN(1,BH$4*1-Inputs!$E$58+1))/1</f>
        <v>2</v>
      </c>
      <c r="BI9" s="119" t="n">
        <f aca="false">Inputs!$E$55*(1+Inputs!$E$57)^(BI$5-1)*MAX(0,MIN(1,BI$4*1-Inputs!$E$58+1))/1</f>
        <v>2</v>
      </c>
      <c r="BJ9" s="119" t="n">
        <f aca="false">Inputs!$E$55*(1+Inputs!$E$57)^(BJ$5-1)*MAX(0,MIN(1,BJ$4*1-Inputs!$E$58+1))/1</f>
        <v>2</v>
      </c>
    </row>
    <row r="10" customFormat="false" ht="15" hidden="false" customHeight="false" outlineLevel="0" collapsed="false">
      <c r="A10" s="6" t="s">
        <v>458</v>
      </c>
      <c r="C10" s="119" t="n">
        <f aca="false">Inputs!$E$59*(1+Inputs!$E$61)^(C$5-1)*MAX(0,MIN(1,C$4*1-Inputs!$E$62+1))/1</f>
        <v>1</v>
      </c>
      <c r="D10" s="119" t="n">
        <f aca="false">Inputs!$E$59*(1+Inputs!$E$61)^(D$5-1)*MAX(0,MIN(1,D$4*1-Inputs!$E$62+1))/1</f>
        <v>1</v>
      </c>
      <c r="E10" s="119" t="n">
        <f aca="false">Inputs!$E$59*(1+Inputs!$E$61)^(E$5-1)*MAX(0,MIN(1,E$4*1-Inputs!$E$62+1))/1</f>
        <v>1</v>
      </c>
      <c r="F10" s="119" t="n">
        <f aca="false">Inputs!$E$59*(1+Inputs!$E$61)^(F$5-1)*MAX(0,MIN(1,F$4*1-Inputs!$E$62+1))/1</f>
        <v>1</v>
      </c>
      <c r="G10" s="119" t="n">
        <f aca="false">Inputs!$E$59*(1+Inputs!$E$61)^(G$5-1)*MAX(0,MIN(1,G$4*1-Inputs!$E$62+1))/1</f>
        <v>1</v>
      </c>
      <c r="H10" s="119" t="n">
        <f aca="false">Inputs!$E$59*(1+Inputs!$E$61)^(H$5-1)*MAX(0,MIN(1,H$4*1-Inputs!$E$62+1))/1</f>
        <v>1</v>
      </c>
      <c r="I10" s="119" t="n">
        <f aca="false">Inputs!$E$59*(1+Inputs!$E$61)^(I$5-1)*MAX(0,MIN(1,I$4*1-Inputs!$E$62+1))/1</f>
        <v>1</v>
      </c>
      <c r="J10" s="119" t="n">
        <f aca="false">Inputs!$E$59*(1+Inputs!$E$61)^(J$5-1)*MAX(0,MIN(1,J$4*1-Inputs!$E$62+1))/1</f>
        <v>1</v>
      </c>
      <c r="K10" s="119" t="n">
        <f aca="false">Inputs!$E$59*(1+Inputs!$E$61)^(K$5-1)*MAX(0,MIN(1,K$4*1-Inputs!$E$62+1))/1</f>
        <v>1</v>
      </c>
      <c r="L10" s="119" t="n">
        <f aca="false">Inputs!$E$59*(1+Inputs!$E$61)^(L$5-1)*MAX(0,MIN(1,L$4*1-Inputs!$E$62+1))/1</f>
        <v>1</v>
      </c>
      <c r="M10" s="119" t="n">
        <f aca="false">Inputs!$E$59*(1+Inputs!$E$61)^(M$5-1)*MAX(0,MIN(1,M$4*1-Inputs!$E$62+1))/1</f>
        <v>1</v>
      </c>
      <c r="N10" s="119" t="n">
        <f aca="false">Inputs!$E$59*(1+Inputs!$E$61)^(N$5-1)*MAX(0,MIN(1,N$4*1-Inputs!$E$62+1))/1</f>
        <v>1</v>
      </c>
      <c r="O10" s="119" t="n">
        <f aca="false">Inputs!$E$59*(1+Inputs!$E$61)^(O$5-1)*MAX(0,MIN(1,O$4*1-Inputs!$E$62+1))/1</f>
        <v>1</v>
      </c>
      <c r="P10" s="119" t="n">
        <f aca="false">Inputs!$E$59*(1+Inputs!$E$61)^(P$5-1)*MAX(0,MIN(1,P$4*1-Inputs!$E$62+1))/1</f>
        <v>1</v>
      </c>
      <c r="Q10" s="119" t="n">
        <f aca="false">Inputs!$E$59*(1+Inputs!$E$61)^(Q$5-1)*MAX(0,MIN(1,Q$4*1-Inputs!$E$62+1))/1</f>
        <v>1</v>
      </c>
      <c r="R10" s="119" t="n">
        <f aca="false">Inputs!$E$59*(1+Inputs!$E$61)^(R$5-1)*MAX(0,MIN(1,R$4*1-Inputs!$E$62+1))/1</f>
        <v>1</v>
      </c>
      <c r="S10" s="119" t="n">
        <f aca="false">Inputs!$E$59*(1+Inputs!$E$61)^(S$5-1)*MAX(0,MIN(1,S$4*1-Inputs!$E$62+1))/1</f>
        <v>1</v>
      </c>
      <c r="T10" s="119" t="n">
        <f aca="false">Inputs!$E$59*(1+Inputs!$E$61)^(T$5-1)*MAX(0,MIN(1,T$4*1-Inputs!$E$62+1))/1</f>
        <v>1</v>
      </c>
      <c r="U10" s="119" t="n">
        <f aca="false">Inputs!$E$59*(1+Inputs!$E$61)^(U$5-1)*MAX(0,MIN(1,U$4*1-Inputs!$E$62+1))/1</f>
        <v>1</v>
      </c>
      <c r="V10" s="119" t="n">
        <f aca="false">Inputs!$E$59*(1+Inputs!$E$61)^(V$5-1)*MAX(0,MIN(1,V$4*1-Inputs!$E$62+1))/1</f>
        <v>1</v>
      </c>
      <c r="W10" s="119" t="n">
        <f aca="false">Inputs!$E$59*(1+Inputs!$E$61)^(W$5-1)*MAX(0,MIN(1,W$4*1-Inputs!$E$62+1))/1</f>
        <v>1</v>
      </c>
      <c r="X10" s="119" t="n">
        <f aca="false">Inputs!$E$59*(1+Inputs!$E$61)^(X$5-1)*MAX(0,MIN(1,X$4*1-Inputs!$E$62+1))/1</f>
        <v>1</v>
      </c>
      <c r="Y10" s="119" t="n">
        <f aca="false">Inputs!$E$59*(1+Inputs!$E$61)^(Y$5-1)*MAX(0,MIN(1,Y$4*1-Inputs!$E$62+1))/1</f>
        <v>1</v>
      </c>
      <c r="Z10" s="119" t="n">
        <f aca="false">Inputs!$E$59*(1+Inputs!$E$61)^(Z$5-1)*MAX(0,MIN(1,Z$4*1-Inputs!$E$62+1))/1</f>
        <v>1</v>
      </c>
      <c r="AA10" s="119" t="n">
        <f aca="false">Inputs!$E$59*(1+Inputs!$E$61)^(AA$5-1)*MAX(0,MIN(1,AA$4*1-Inputs!$E$62+1))/1</f>
        <v>1</v>
      </c>
      <c r="AB10" s="119" t="n">
        <f aca="false">Inputs!$E$59*(1+Inputs!$E$61)^(AB$5-1)*MAX(0,MIN(1,AB$4*1-Inputs!$E$62+1))/1</f>
        <v>1</v>
      </c>
      <c r="AC10" s="119" t="n">
        <f aca="false">Inputs!$E$59*(1+Inputs!$E$61)^(AC$5-1)*MAX(0,MIN(1,AC$4*1-Inputs!$E$62+1))/1</f>
        <v>1</v>
      </c>
      <c r="AD10" s="119" t="n">
        <f aca="false">Inputs!$E$59*(1+Inputs!$E$61)^(AD$5-1)*MAX(0,MIN(1,AD$4*1-Inputs!$E$62+1))/1</f>
        <v>1</v>
      </c>
      <c r="AE10" s="119" t="n">
        <f aca="false">Inputs!$E$59*(1+Inputs!$E$61)^(AE$5-1)*MAX(0,MIN(1,AE$4*1-Inputs!$E$62+1))/1</f>
        <v>1</v>
      </c>
      <c r="AF10" s="119" t="n">
        <f aca="false">Inputs!$E$59*(1+Inputs!$E$61)^(AF$5-1)*MAX(0,MIN(1,AF$4*1-Inputs!$E$62+1))/1</f>
        <v>1</v>
      </c>
      <c r="AG10" s="119" t="n">
        <f aca="false">Inputs!$E$59*(1+Inputs!$E$61)^(AG$5-1)*MAX(0,MIN(1,AG$4*1-Inputs!$E$62+1))/1</f>
        <v>1</v>
      </c>
      <c r="AH10" s="119" t="n">
        <f aca="false">Inputs!$E$59*(1+Inputs!$E$61)^(AH$5-1)*MAX(0,MIN(1,AH$4*1-Inputs!$E$62+1))/1</f>
        <v>1</v>
      </c>
      <c r="AI10" s="119" t="n">
        <f aca="false">Inputs!$E$59*(1+Inputs!$E$61)^(AI$5-1)*MAX(0,MIN(1,AI$4*1-Inputs!$E$62+1))/1</f>
        <v>1</v>
      </c>
      <c r="AJ10" s="119" t="n">
        <f aca="false">Inputs!$E$59*(1+Inputs!$E$61)^(AJ$5-1)*MAX(0,MIN(1,AJ$4*1-Inputs!$E$62+1))/1</f>
        <v>1</v>
      </c>
      <c r="AK10" s="119" t="n">
        <f aca="false">Inputs!$E$59*(1+Inputs!$E$61)^(AK$5-1)*MAX(0,MIN(1,AK$4*1-Inputs!$E$62+1))/1</f>
        <v>1</v>
      </c>
      <c r="AL10" s="119" t="n">
        <f aca="false">Inputs!$E$59*(1+Inputs!$E$61)^(AL$5-1)*MAX(0,MIN(1,AL$4*1-Inputs!$E$62+1))/1</f>
        <v>1</v>
      </c>
      <c r="AM10" s="119" t="n">
        <f aca="false">Inputs!$E$59*(1+Inputs!$E$61)^(AM$5-1)*MAX(0,MIN(1,AM$4*1-Inputs!$E$62+1))/1</f>
        <v>1</v>
      </c>
      <c r="AN10" s="119" t="n">
        <f aca="false">Inputs!$E$59*(1+Inputs!$E$61)^(AN$5-1)*MAX(0,MIN(1,AN$4*1-Inputs!$E$62+1))/1</f>
        <v>1</v>
      </c>
      <c r="AO10" s="119" t="n">
        <f aca="false">Inputs!$E$59*(1+Inputs!$E$61)^(AO$5-1)*MAX(0,MIN(1,AO$4*1-Inputs!$E$62+1))/1</f>
        <v>1</v>
      </c>
      <c r="AP10" s="119" t="n">
        <f aca="false">Inputs!$E$59*(1+Inputs!$E$61)^(AP$5-1)*MAX(0,MIN(1,AP$4*1-Inputs!$E$62+1))/1</f>
        <v>1</v>
      </c>
      <c r="AQ10" s="119" t="n">
        <f aca="false">Inputs!$E$59*(1+Inputs!$E$61)^(AQ$5-1)*MAX(0,MIN(1,AQ$4*1-Inputs!$E$62+1))/1</f>
        <v>1</v>
      </c>
      <c r="AR10" s="119" t="n">
        <f aca="false">Inputs!$E$59*(1+Inputs!$E$61)^(AR$5-1)*MAX(0,MIN(1,AR$4*1-Inputs!$E$62+1))/1</f>
        <v>1</v>
      </c>
      <c r="AS10" s="119" t="n">
        <f aca="false">Inputs!$E$59*(1+Inputs!$E$61)^(AS$5-1)*MAX(0,MIN(1,AS$4*1-Inputs!$E$62+1))/1</f>
        <v>1</v>
      </c>
      <c r="AT10" s="119" t="n">
        <f aca="false">Inputs!$E$59*(1+Inputs!$E$61)^(AT$5-1)*MAX(0,MIN(1,AT$4*1-Inputs!$E$62+1))/1</f>
        <v>1</v>
      </c>
      <c r="AU10" s="119" t="n">
        <f aca="false">Inputs!$E$59*(1+Inputs!$E$61)^(AU$5-1)*MAX(0,MIN(1,AU$4*1-Inputs!$E$62+1))/1</f>
        <v>1</v>
      </c>
      <c r="AV10" s="119" t="n">
        <f aca="false">Inputs!$E$59*(1+Inputs!$E$61)^(AV$5-1)*MAX(0,MIN(1,AV$4*1-Inputs!$E$62+1))/1</f>
        <v>1</v>
      </c>
      <c r="AW10" s="119" t="n">
        <f aca="false">Inputs!$E$59*(1+Inputs!$E$61)^(AW$5-1)*MAX(0,MIN(1,AW$4*1-Inputs!$E$62+1))/1</f>
        <v>1</v>
      </c>
      <c r="AX10" s="119" t="n">
        <f aca="false">Inputs!$E$59*(1+Inputs!$E$61)^(AX$5-1)*MAX(0,MIN(1,AX$4*1-Inputs!$E$62+1))/1</f>
        <v>1</v>
      </c>
      <c r="AY10" s="119" t="n">
        <f aca="false">Inputs!$E$59*(1+Inputs!$E$61)^(AY$5-1)*MAX(0,MIN(1,AY$4*1-Inputs!$E$62+1))/1</f>
        <v>1</v>
      </c>
      <c r="AZ10" s="119" t="n">
        <f aca="false">Inputs!$E$59*(1+Inputs!$E$61)^(AZ$5-1)*MAX(0,MIN(1,AZ$4*1-Inputs!$E$62+1))/1</f>
        <v>1</v>
      </c>
      <c r="BA10" s="119" t="n">
        <f aca="false">Inputs!$E$59*(1+Inputs!$E$61)^(BA$5-1)*MAX(0,MIN(1,BA$4*1-Inputs!$E$62+1))/1</f>
        <v>1</v>
      </c>
      <c r="BB10" s="119" t="n">
        <f aca="false">Inputs!$E$59*(1+Inputs!$E$61)^(BB$5-1)*MAX(0,MIN(1,BB$4*1-Inputs!$E$62+1))/1</f>
        <v>1</v>
      </c>
      <c r="BC10" s="119" t="n">
        <f aca="false">Inputs!$E$59*(1+Inputs!$E$61)^(BC$5-1)*MAX(0,MIN(1,BC$4*1-Inputs!$E$62+1))/1</f>
        <v>1</v>
      </c>
      <c r="BD10" s="119" t="n">
        <f aca="false">Inputs!$E$59*(1+Inputs!$E$61)^(BD$5-1)*MAX(0,MIN(1,BD$4*1-Inputs!$E$62+1))/1</f>
        <v>1</v>
      </c>
      <c r="BE10" s="119" t="n">
        <f aca="false">Inputs!$E$59*(1+Inputs!$E$61)^(BE$5-1)*MAX(0,MIN(1,BE$4*1-Inputs!$E$62+1))/1</f>
        <v>1</v>
      </c>
      <c r="BF10" s="119" t="n">
        <f aca="false">Inputs!$E$59*(1+Inputs!$E$61)^(BF$5-1)*MAX(0,MIN(1,BF$4*1-Inputs!$E$62+1))/1</f>
        <v>1</v>
      </c>
      <c r="BG10" s="119" t="n">
        <f aca="false">Inputs!$E$59*(1+Inputs!$E$61)^(BG$5-1)*MAX(0,MIN(1,BG$4*1-Inputs!$E$62+1))/1</f>
        <v>1</v>
      </c>
      <c r="BH10" s="119" t="n">
        <f aca="false">Inputs!$E$59*(1+Inputs!$E$61)^(BH$5-1)*MAX(0,MIN(1,BH$4*1-Inputs!$E$62+1))/1</f>
        <v>1</v>
      </c>
      <c r="BI10" s="119" t="n">
        <f aca="false">Inputs!$E$59*(1+Inputs!$E$61)^(BI$5-1)*MAX(0,MIN(1,BI$4*1-Inputs!$E$62+1))/1</f>
        <v>1</v>
      </c>
      <c r="BJ10" s="119" t="n">
        <f aca="false">Inputs!$E$59*(1+Inputs!$E$61)^(BJ$5-1)*MAX(0,MIN(1,BJ$4*1-Inputs!$E$62+1))/1</f>
        <v>1</v>
      </c>
    </row>
    <row r="11" customFormat="false" ht="15" hidden="false" customHeight="false" outlineLevel="0" collapsed="false">
      <c r="A11" s="115" t="s">
        <v>459</v>
      </c>
      <c r="C11" s="124" t="n">
        <f aca="false">C8+C9+C10</f>
        <v>8</v>
      </c>
      <c r="D11" s="124" t="n">
        <f aca="false">D8+D9+D10</f>
        <v>8</v>
      </c>
      <c r="E11" s="124" t="n">
        <f aca="false">E8+E9+E10</f>
        <v>8</v>
      </c>
      <c r="F11" s="124" t="n">
        <f aca="false">F8+F9+F10</f>
        <v>8</v>
      </c>
      <c r="G11" s="124" t="n">
        <f aca="false">G8+G9+G10</f>
        <v>8</v>
      </c>
      <c r="H11" s="124" t="n">
        <f aca="false">H8+H9+H10</f>
        <v>8</v>
      </c>
      <c r="I11" s="124" t="n">
        <f aca="false">I8+I9+I10</f>
        <v>8</v>
      </c>
      <c r="J11" s="124" t="n">
        <f aca="false">J8+J9+J10</f>
        <v>8</v>
      </c>
      <c r="K11" s="124" t="n">
        <f aca="false">K8+K9+K10</f>
        <v>8</v>
      </c>
      <c r="L11" s="124" t="n">
        <f aca="false">L8+L9+L10</f>
        <v>8</v>
      </c>
      <c r="M11" s="124" t="n">
        <f aca="false">M8+M9+M10</f>
        <v>8</v>
      </c>
      <c r="N11" s="124" t="n">
        <f aca="false">N8+N9+N10</f>
        <v>8</v>
      </c>
      <c r="O11" s="124" t="n">
        <f aca="false">O8+O9+O10</f>
        <v>8</v>
      </c>
      <c r="P11" s="124" t="n">
        <f aca="false">P8+P9+P10</f>
        <v>8</v>
      </c>
      <c r="Q11" s="124" t="n">
        <f aca="false">Q8+Q9+Q10</f>
        <v>8</v>
      </c>
      <c r="R11" s="124" t="n">
        <f aca="false">R8+R9+R10</f>
        <v>8</v>
      </c>
      <c r="S11" s="124" t="n">
        <f aca="false">S8+S9+S10</f>
        <v>8</v>
      </c>
      <c r="T11" s="124" t="n">
        <f aca="false">T8+T9+T10</f>
        <v>8</v>
      </c>
      <c r="U11" s="124" t="n">
        <f aca="false">U8+U9+U10</f>
        <v>8</v>
      </c>
      <c r="V11" s="124" t="n">
        <f aca="false">V8+V9+V10</f>
        <v>8</v>
      </c>
      <c r="W11" s="124" t="n">
        <f aca="false">W8+W9+W10</f>
        <v>8</v>
      </c>
      <c r="X11" s="124" t="n">
        <f aca="false">X8+X9+X10</f>
        <v>8</v>
      </c>
      <c r="Y11" s="124" t="n">
        <f aca="false">Y8+Y9+Y10</f>
        <v>8</v>
      </c>
      <c r="Z11" s="124" t="n">
        <f aca="false">Z8+Z9+Z10</f>
        <v>8</v>
      </c>
      <c r="AA11" s="124" t="n">
        <f aca="false">AA8+AA9+AA10</f>
        <v>8</v>
      </c>
      <c r="AB11" s="124" t="n">
        <f aca="false">AB8+AB9+AB10</f>
        <v>8</v>
      </c>
      <c r="AC11" s="124" t="n">
        <f aca="false">AC8+AC9+AC10</f>
        <v>8</v>
      </c>
      <c r="AD11" s="124" t="n">
        <f aca="false">AD8+AD9+AD10</f>
        <v>8</v>
      </c>
      <c r="AE11" s="124" t="n">
        <f aca="false">AE8+AE9+AE10</f>
        <v>8</v>
      </c>
      <c r="AF11" s="124" t="n">
        <f aca="false">AF8+AF9+AF10</f>
        <v>8</v>
      </c>
      <c r="AG11" s="124" t="n">
        <f aca="false">AG8+AG9+AG10</f>
        <v>8</v>
      </c>
      <c r="AH11" s="124" t="n">
        <f aca="false">AH8+AH9+AH10</f>
        <v>8</v>
      </c>
      <c r="AI11" s="124" t="n">
        <f aca="false">AI8+AI9+AI10</f>
        <v>8</v>
      </c>
      <c r="AJ11" s="124" t="n">
        <f aca="false">AJ8+AJ9+AJ10</f>
        <v>8</v>
      </c>
      <c r="AK11" s="124" t="n">
        <f aca="false">AK8+AK9+AK10</f>
        <v>8</v>
      </c>
      <c r="AL11" s="124" t="n">
        <f aca="false">AL8+AL9+AL10</f>
        <v>8</v>
      </c>
      <c r="AM11" s="124" t="n">
        <f aca="false">AM8+AM9+AM10</f>
        <v>8</v>
      </c>
      <c r="AN11" s="124" t="n">
        <f aca="false">AN8+AN9+AN10</f>
        <v>8</v>
      </c>
      <c r="AO11" s="124" t="n">
        <f aca="false">AO8+AO9+AO10</f>
        <v>8</v>
      </c>
      <c r="AP11" s="124" t="n">
        <f aca="false">AP8+AP9+AP10</f>
        <v>8</v>
      </c>
      <c r="AQ11" s="124" t="n">
        <f aca="false">AQ8+AQ9+AQ10</f>
        <v>8</v>
      </c>
      <c r="AR11" s="124" t="n">
        <f aca="false">AR8+AR9+AR10</f>
        <v>8</v>
      </c>
      <c r="AS11" s="124" t="n">
        <f aca="false">AS8+AS9+AS10</f>
        <v>8</v>
      </c>
      <c r="AT11" s="124" t="n">
        <f aca="false">AT8+AT9+AT10</f>
        <v>8</v>
      </c>
      <c r="AU11" s="124" t="n">
        <f aca="false">AU8+AU9+AU10</f>
        <v>8</v>
      </c>
      <c r="AV11" s="124" t="n">
        <f aca="false">AV8+AV9+AV10</f>
        <v>8</v>
      </c>
      <c r="AW11" s="124" t="n">
        <f aca="false">AW8+AW9+AW10</f>
        <v>8</v>
      </c>
      <c r="AX11" s="124" t="n">
        <f aca="false">AX8+AX9+AX10</f>
        <v>8</v>
      </c>
      <c r="AY11" s="124" t="n">
        <f aca="false">AY8+AY9+AY10</f>
        <v>8</v>
      </c>
      <c r="AZ11" s="124" t="n">
        <f aca="false">AZ8+AZ9+AZ10</f>
        <v>8</v>
      </c>
      <c r="BA11" s="124" t="n">
        <f aca="false">BA8+BA9+BA10</f>
        <v>8</v>
      </c>
      <c r="BB11" s="124" t="n">
        <f aca="false">BB8+BB9+BB10</f>
        <v>8</v>
      </c>
      <c r="BC11" s="124" t="n">
        <f aca="false">BC8+BC9+BC10</f>
        <v>8</v>
      </c>
      <c r="BD11" s="124" t="n">
        <f aca="false">BD8+BD9+BD10</f>
        <v>8</v>
      </c>
      <c r="BE11" s="124" t="n">
        <f aca="false">BE8+BE9+BE10</f>
        <v>8</v>
      </c>
      <c r="BF11" s="124" t="n">
        <f aca="false">BF8+BF9+BF10</f>
        <v>8</v>
      </c>
      <c r="BG11" s="124" t="n">
        <f aca="false">BG8+BG9+BG10</f>
        <v>8</v>
      </c>
      <c r="BH11" s="124" t="n">
        <f aca="false">BH8+BH9+BH10</f>
        <v>8</v>
      </c>
      <c r="BI11" s="124" t="n">
        <f aca="false">BI8+BI9+BI10</f>
        <v>8</v>
      </c>
      <c r="BJ11" s="124" t="n">
        <f aca="false">BJ8+BJ9+BJ10</f>
        <v>8</v>
      </c>
    </row>
    <row r="13" customFormat="false" ht="15.75" hidden="false" customHeight="true" outlineLevel="0" collapsed="false">
      <c r="A13" s="7" t="s">
        <v>460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6" t="s">
        <v>461</v>
      </c>
      <c r="C14" s="69" t="n">
        <f aca="false">-C8*Inputs!$E$52/12*1*(1+Inputs!$E$63)*(1+Inputs!$E$64)^(C$5-1)</f>
        <v>-37375</v>
      </c>
      <c r="D14" s="69" t="n">
        <f aca="false">-D8*Inputs!$E$52/12*1*(1+Inputs!$E$63)*(1+Inputs!$E$64)^(D$5-1)</f>
        <v>-37375</v>
      </c>
      <c r="E14" s="69" t="n">
        <f aca="false">-E8*Inputs!$E$52/12*1*(1+Inputs!$E$63)*(1+Inputs!$E$64)^(E$5-1)</f>
        <v>-37375</v>
      </c>
      <c r="F14" s="69" t="n">
        <f aca="false">-F8*Inputs!$E$52/12*1*(1+Inputs!$E$63)*(1+Inputs!$E$64)^(F$5-1)</f>
        <v>-37375</v>
      </c>
      <c r="G14" s="69" t="n">
        <f aca="false">-G8*Inputs!$E$52/12*1*(1+Inputs!$E$63)*(1+Inputs!$E$64)^(G$5-1)</f>
        <v>-37375</v>
      </c>
      <c r="H14" s="69" t="n">
        <f aca="false">-H8*Inputs!$E$52/12*1*(1+Inputs!$E$63)*(1+Inputs!$E$64)^(H$5-1)</f>
        <v>-37375</v>
      </c>
      <c r="I14" s="69" t="n">
        <f aca="false">-I8*Inputs!$E$52/12*1*(1+Inputs!$E$63)*(1+Inputs!$E$64)^(I$5-1)</f>
        <v>-37375</v>
      </c>
      <c r="J14" s="69" t="n">
        <f aca="false">-J8*Inputs!$E$52/12*1*(1+Inputs!$E$63)*(1+Inputs!$E$64)^(J$5-1)</f>
        <v>-37375</v>
      </c>
      <c r="K14" s="69" t="n">
        <f aca="false">-K8*Inputs!$E$52/12*1*(1+Inputs!$E$63)*(1+Inputs!$E$64)^(K$5-1)</f>
        <v>-37375</v>
      </c>
      <c r="L14" s="69" t="n">
        <f aca="false">-L8*Inputs!$E$52/12*1*(1+Inputs!$E$63)*(1+Inputs!$E$64)^(L$5-1)</f>
        <v>-37375</v>
      </c>
      <c r="M14" s="69" t="n">
        <f aca="false">-M8*Inputs!$E$52/12*1*(1+Inputs!$E$63)*(1+Inputs!$E$64)^(M$5-1)</f>
        <v>-37375</v>
      </c>
      <c r="N14" s="69" t="n">
        <f aca="false">-N8*Inputs!$E$52/12*1*(1+Inputs!$E$63)*(1+Inputs!$E$64)^(N$5-1)</f>
        <v>-37375</v>
      </c>
      <c r="O14" s="69" t="n">
        <f aca="false">-O8*Inputs!$E$52/12*1*(1+Inputs!$E$63)*(1+Inputs!$E$64)^(O$5-1)</f>
        <v>-38496.25</v>
      </c>
      <c r="P14" s="69" t="n">
        <f aca="false">-P8*Inputs!$E$52/12*1*(1+Inputs!$E$63)*(1+Inputs!$E$64)^(P$5-1)</f>
        <v>-38496.25</v>
      </c>
      <c r="Q14" s="69" t="n">
        <f aca="false">-Q8*Inputs!$E$52/12*1*(1+Inputs!$E$63)*(1+Inputs!$E$64)^(Q$5-1)</f>
        <v>-38496.25</v>
      </c>
      <c r="R14" s="69" t="n">
        <f aca="false">-R8*Inputs!$E$52/12*1*(1+Inputs!$E$63)*(1+Inputs!$E$64)^(R$5-1)</f>
        <v>-38496.25</v>
      </c>
      <c r="S14" s="69" t="n">
        <f aca="false">-S8*Inputs!$E$52/12*1*(1+Inputs!$E$63)*(1+Inputs!$E$64)^(S$5-1)</f>
        <v>-38496.25</v>
      </c>
      <c r="T14" s="69" t="n">
        <f aca="false">-T8*Inputs!$E$52/12*1*(1+Inputs!$E$63)*(1+Inputs!$E$64)^(T$5-1)</f>
        <v>-38496.25</v>
      </c>
      <c r="U14" s="69" t="n">
        <f aca="false">-U8*Inputs!$E$52/12*1*(1+Inputs!$E$63)*(1+Inputs!$E$64)^(U$5-1)</f>
        <v>-38496.25</v>
      </c>
      <c r="V14" s="69" t="n">
        <f aca="false">-V8*Inputs!$E$52/12*1*(1+Inputs!$E$63)*(1+Inputs!$E$64)^(V$5-1)</f>
        <v>-38496.25</v>
      </c>
      <c r="W14" s="69" t="n">
        <f aca="false">-W8*Inputs!$E$52/12*1*(1+Inputs!$E$63)*(1+Inputs!$E$64)^(W$5-1)</f>
        <v>-38496.25</v>
      </c>
      <c r="X14" s="69" t="n">
        <f aca="false">-X8*Inputs!$E$52/12*1*(1+Inputs!$E$63)*(1+Inputs!$E$64)^(X$5-1)</f>
        <v>-38496.25</v>
      </c>
      <c r="Y14" s="69" t="n">
        <f aca="false">-Y8*Inputs!$E$52/12*1*(1+Inputs!$E$63)*(1+Inputs!$E$64)^(Y$5-1)</f>
        <v>-38496.25</v>
      </c>
      <c r="Z14" s="69" t="n">
        <f aca="false">-Z8*Inputs!$E$52/12*1*(1+Inputs!$E$63)*(1+Inputs!$E$64)^(Z$5-1)</f>
        <v>-38496.25</v>
      </c>
      <c r="AA14" s="69" t="n">
        <f aca="false">-AA8*Inputs!$E$52/12*1*(1+Inputs!$E$63)*(1+Inputs!$E$64)^(AA$5-1)</f>
        <v>-39651.1375</v>
      </c>
      <c r="AB14" s="69" t="n">
        <f aca="false">-AB8*Inputs!$E$52/12*1*(1+Inputs!$E$63)*(1+Inputs!$E$64)^(AB$5-1)</f>
        <v>-39651.1375</v>
      </c>
      <c r="AC14" s="69" t="n">
        <f aca="false">-AC8*Inputs!$E$52/12*1*(1+Inputs!$E$63)*(1+Inputs!$E$64)^(AC$5-1)</f>
        <v>-39651.1375</v>
      </c>
      <c r="AD14" s="69" t="n">
        <f aca="false">-AD8*Inputs!$E$52/12*1*(1+Inputs!$E$63)*(1+Inputs!$E$64)^(AD$5-1)</f>
        <v>-39651.1375</v>
      </c>
      <c r="AE14" s="69" t="n">
        <f aca="false">-AE8*Inputs!$E$52/12*1*(1+Inputs!$E$63)*(1+Inputs!$E$64)^(AE$5-1)</f>
        <v>-39651.1375</v>
      </c>
      <c r="AF14" s="69" t="n">
        <f aca="false">-AF8*Inputs!$E$52/12*1*(1+Inputs!$E$63)*(1+Inputs!$E$64)^(AF$5-1)</f>
        <v>-39651.1375</v>
      </c>
      <c r="AG14" s="69" t="n">
        <f aca="false">-AG8*Inputs!$E$52/12*1*(1+Inputs!$E$63)*(1+Inputs!$E$64)^(AG$5-1)</f>
        <v>-39651.1375</v>
      </c>
      <c r="AH14" s="69" t="n">
        <f aca="false">-AH8*Inputs!$E$52/12*1*(1+Inputs!$E$63)*(1+Inputs!$E$64)^(AH$5-1)</f>
        <v>-39651.1375</v>
      </c>
      <c r="AI14" s="69" t="n">
        <f aca="false">-AI8*Inputs!$E$52/12*1*(1+Inputs!$E$63)*(1+Inputs!$E$64)^(AI$5-1)</f>
        <v>-39651.1375</v>
      </c>
      <c r="AJ14" s="69" t="n">
        <f aca="false">-AJ8*Inputs!$E$52/12*1*(1+Inputs!$E$63)*(1+Inputs!$E$64)^(AJ$5-1)</f>
        <v>-39651.1375</v>
      </c>
      <c r="AK14" s="69" t="n">
        <f aca="false">-AK8*Inputs!$E$52/12*1*(1+Inputs!$E$63)*(1+Inputs!$E$64)^(AK$5-1)</f>
        <v>-39651.1375</v>
      </c>
      <c r="AL14" s="69" t="n">
        <f aca="false">-AL8*Inputs!$E$52/12*1*(1+Inputs!$E$63)*(1+Inputs!$E$64)^(AL$5-1)</f>
        <v>-39651.1375</v>
      </c>
      <c r="AM14" s="69" t="n">
        <f aca="false">-AM8*Inputs!$E$52/12*1*(1+Inputs!$E$63)*(1+Inputs!$E$64)^(AM$5-1)</f>
        <v>-40840.671625</v>
      </c>
      <c r="AN14" s="69" t="n">
        <f aca="false">-AN8*Inputs!$E$52/12*1*(1+Inputs!$E$63)*(1+Inputs!$E$64)^(AN$5-1)</f>
        <v>-40840.671625</v>
      </c>
      <c r="AO14" s="69" t="n">
        <f aca="false">-AO8*Inputs!$E$52/12*1*(1+Inputs!$E$63)*(1+Inputs!$E$64)^(AO$5-1)</f>
        <v>-40840.671625</v>
      </c>
      <c r="AP14" s="69" t="n">
        <f aca="false">-AP8*Inputs!$E$52/12*1*(1+Inputs!$E$63)*(1+Inputs!$E$64)^(AP$5-1)</f>
        <v>-40840.671625</v>
      </c>
      <c r="AQ14" s="69" t="n">
        <f aca="false">-AQ8*Inputs!$E$52/12*1*(1+Inputs!$E$63)*(1+Inputs!$E$64)^(AQ$5-1)</f>
        <v>-40840.671625</v>
      </c>
      <c r="AR14" s="69" t="n">
        <f aca="false">-AR8*Inputs!$E$52/12*1*(1+Inputs!$E$63)*(1+Inputs!$E$64)^(AR$5-1)</f>
        <v>-40840.671625</v>
      </c>
      <c r="AS14" s="69" t="n">
        <f aca="false">-AS8*Inputs!$E$52/12*1*(1+Inputs!$E$63)*(1+Inputs!$E$64)^(AS$5-1)</f>
        <v>-40840.671625</v>
      </c>
      <c r="AT14" s="69" t="n">
        <f aca="false">-AT8*Inputs!$E$52/12*1*(1+Inputs!$E$63)*(1+Inputs!$E$64)^(AT$5-1)</f>
        <v>-40840.671625</v>
      </c>
      <c r="AU14" s="69" t="n">
        <f aca="false">-AU8*Inputs!$E$52/12*1*(1+Inputs!$E$63)*(1+Inputs!$E$64)^(AU$5-1)</f>
        <v>-40840.671625</v>
      </c>
      <c r="AV14" s="69" t="n">
        <f aca="false">-AV8*Inputs!$E$52/12*1*(1+Inputs!$E$63)*(1+Inputs!$E$64)^(AV$5-1)</f>
        <v>-40840.671625</v>
      </c>
      <c r="AW14" s="69" t="n">
        <f aca="false">-AW8*Inputs!$E$52/12*1*(1+Inputs!$E$63)*(1+Inputs!$E$64)^(AW$5-1)</f>
        <v>-40840.671625</v>
      </c>
      <c r="AX14" s="69" t="n">
        <f aca="false">-AX8*Inputs!$E$52/12*1*(1+Inputs!$E$63)*(1+Inputs!$E$64)^(AX$5-1)</f>
        <v>-40840.671625</v>
      </c>
      <c r="AY14" s="69" t="n">
        <f aca="false">-AY8*Inputs!$E$52/12*1*(1+Inputs!$E$63)*(1+Inputs!$E$64)^(AY$5-1)</f>
        <v>-42065.89177375</v>
      </c>
      <c r="AZ14" s="69" t="n">
        <f aca="false">-AZ8*Inputs!$E$52/12*1*(1+Inputs!$E$63)*(1+Inputs!$E$64)^(AZ$5-1)</f>
        <v>-42065.89177375</v>
      </c>
      <c r="BA14" s="69" t="n">
        <f aca="false">-BA8*Inputs!$E$52/12*1*(1+Inputs!$E$63)*(1+Inputs!$E$64)^(BA$5-1)</f>
        <v>-42065.89177375</v>
      </c>
      <c r="BB14" s="69" t="n">
        <f aca="false">-BB8*Inputs!$E$52/12*1*(1+Inputs!$E$63)*(1+Inputs!$E$64)^(BB$5-1)</f>
        <v>-42065.89177375</v>
      </c>
      <c r="BC14" s="69" t="n">
        <f aca="false">-BC8*Inputs!$E$52/12*1*(1+Inputs!$E$63)*(1+Inputs!$E$64)^(BC$5-1)</f>
        <v>-42065.89177375</v>
      </c>
      <c r="BD14" s="69" t="n">
        <f aca="false">-BD8*Inputs!$E$52/12*1*(1+Inputs!$E$63)*(1+Inputs!$E$64)^(BD$5-1)</f>
        <v>-42065.89177375</v>
      </c>
      <c r="BE14" s="69" t="n">
        <f aca="false">-BE8*Inputs!$E$52/12*1*(1+Inputs!$E$63)*(1+Inputs!$E$64)^(BE$5-1)</f>
        <v>-42065.89177375</v>
      </c>
      <c r="BF14" s="69" t="n">
        <f aca="false">-BF8*Inputs!$E$52/12*1*(1+Inputs!$E$63)*(1+Inputs!$E$64)^(BF$5-1)</f>
        <v>-42065.89177375</v>
      </c>
      <c r="BG14" s="69" t="n">
        <f aca="false">-BG8*Inputs!$E$52/12*1*(1+Inputs!$E$63)*(1+Inputs!$E$64)^(BG$5-1)</f>
        <v>-42065.89177375</v>
      </c>
      <c r="BH14" s="69" t="n">
        <f aca="false">-BH8*Inputs!$E$52/12*1*(1+Inputs!$E$63)*(1+Inputs!$E$64)^(BH$5-1)</f>
        <v>-42065.89177375</v>
      </c>
      <c r="BI14" s="69" t="n">
        <f aca="false">-BI8*Inputs!$E$52/12*1*(1+Inputs!$E$63)*(1+Inputs!$E$64)^(BI$5-1)</f>
        <v>-42065.89177375</v>
      </c>
      <c r="BJ14" s="69" t="n">
        <f aca="false">-BJ8*Inputs!$E$52/12*1*(1+Inputs!$E$63)*(1+Inputs!$E$64)^(BJ$5-1)</f>
        <v>-42065.89177375</v>
      </c>
    </row>
    <row r="15" customFormat="false" ht="15" hidden="false" customHeight="false" outlineLevel="0" collapsed="false">
      <c r="A15" s="6" t="s">
        <v>462</v>
      </c>
      <c r="C15" s="69" t="n">
        <f aca="false">-C9*Inputs!$E$56/12*1*(1+Inputs!$E$63)*(1+Inputs!$E$64)^(C$5-1)</f>
        <v>-9583.33333333333</v>
      </c>
      <c r="D15" s="69" t="n">
        <f aca="false">-D9*Inputs!$E$56/12*1*(1+Inputs!$E$63)*(1+Inputs!$E$64)^(D$5-1)</f>
        <v>-9583.33333333333</v>
      </c>
      <c r="E15" s="69" t="n">
        <f aca="false">-E9*Inputs!$E$56/12*1*(1+Inputs!$E$63)*(1+Inputs!$E$64)^(E$5-1)</f>
        <v>-9583.33333333333</v>
      </c>
      <c r="F15" s="69" t="n">
        <f aca="false">-F9*Inputs!$E$56/12*1*(1+Inputs!$E$63)*(1+Inputs!$E$64)^(F$5-1)</f>
        <v>-9583.33333333333</v>
      </c>
      <c r="G15" s="69" t="n">
        <f aca="false">-G9*Inputs!$E$56/12*1*(1+Inputs!$E$63)*(1+Inputs!$E$64)^(G$5-1)</f>
        <v>-9583.33333333333</v>
      </c>
      <c r="H15" s="69" t="n">
        <f aca="false">-H9*Inputs!$E$56/12*1*(1+Inputs!$E$63)*(1+Inputs!$E$64)^(H$5-1)</f>
        <v>-9583.33333333333</v>
      </c>
      <c r="I15" s="69" t="n">
        <f aca="false">-I9*Inputs!$E$56/12*1*(1+Inputs!$E$63)*(1+Inputs!$E$64)^(I$5-1)</f>
        <v>-9583.33333333333</v>
      </c>
      <c r="J15" s="69" t="n">
        <f aca="false">-J9*Inputs!$E$56/12*1*(1+Inputs!$E$63)*(1+Inputs!$E$64)^(J$5-1)</f>
        <v>-9583.33333333333</v>
      </c>
      <c r="K15" s="69" t="n">
        <f aca="false">-K9*Inputs!$E$56/12*1*(1+Inputs!$E$63)*(1+Inputs!$E$64)^(K$5-1)</f>
        <v>-9583.33333333333</v>
      </c>
      <c r="L15" s="69" t="n">
        <f aca="false">-L9*Inputs!$E$56/12*1*(1+Inputs!$E$63)*(1+Inputs!$E$64)^(L$5-1)</f>
        <v>-9583.33333333333</v>
      </c>
      <c r="M15" s="69" t="n">
        <f aca="false">-M9*Inputs!$E$56/12*1*(1+Inputs!$E$63)*(1+Inputs!$E$64)^(M$5-1)</f>
        <v>-9583.33333333333</v>
      </c>
      <c r="N15" s="69" t="n">
        <f aca="false">-N9*Inputs!$E$56/12*1*(1+Inputs!$E$63)*(1+Inputs!$E$64)^(N$5-1)</f>
        <v>-9583.33333333333</v>
      </c>
      <c r="O15" s="69" t="n">
        <f aca="false">-O9*Inputs!$E$56/12*1*(1+Inputs!$E$63)*(1+Inputs!$E$64)^(O$5-1)</f>
        <v>-9870.83333333333</v>
      </c>
      <c r="P15" s="69" t="n">
        <f aca="false">-P9*Inputs!$E$56/12*1*(1+Inputs!$E$63)*(1+Inputs!$E$64)^(P$5-1)</f>
        <v>-9870.83333333333</v>
      </c>
      <c r="Q15" s="69" t="n">
        <f aca="false">-Q9*Inputs!$E$56/12*1*(1+Inputs!$E$63)*(1+Inputs!$E$64)^(Q$5-1)</f>
        <v>-9870.83333333333</v>
      </c>
      <c r="R15" s="69" t="n">
        <f aca="false">-R9*Inputs!$E$56/12*1*(1+Inputs!$E$63)*(1+Inputs!$E$64)^(R$5-1)</f>
        <v>-9870.83333333333</v>
      </c>
      <c r="S15" s="69" t="n">
        <f aca="false">-S9*Inputs!$E$56/12*1*(1+Inputs!$E$63)*(1+Inputs!$E$64)^(S$5-1)</f>
        <v>-9870.83333333333</v>
      </c>
      <c r="T15" s="69" t="n">
        <f aca="false">-T9*Inputs!$E$56/12*1*(1+Inputs!$E$63)*(1+Inputs!$E$64)^(T$5-1)</f>
        <v>-9870.83333333333</v>
      </c>
      <c r="U15" s="69" t="n">
        <f aca="false">-U9*Inputs!$E$56/12*1*(1+Inputs!$E$63)*(1+Inputs!$E$64)^(U$5-1)</f>
        <v>-9870.83333333333</v>
      </c>
      <c r="V15" s="69" t="n">
        <f aca="false">-V9*Inputs!$E$56/12*1*(1+Inputs!$E$63)*(1+Inputs!$E$64)^(V$5-1)</f>
        <v>-9870.83333333333</v>
      </c>
      <c r="W15" s="69" t="n">
        <f aca="false">-W9*Inputs!$E$56/12*1*(1+Inputs!$E$63)*(1+Inputs!$E$64)^(W$5-1)</f>
        <v>-9870.83333333333</v>
      </c>
      <c r="X15" s="69" t="n">
        <f aca="false">-X9*Inputs!$E$56/12*1*(1+Inputs!$E$63)*(1+Inputs!$E$64)^(X$5-1)</f>
        <v>-9870.83333333333</v>
      </c>
      <c r="Y15" s="69" t="n">
        <f aca="false">-Y9*Inputs!$E$56/12*1*(1+Inputs!$E$63)*(1+Inputs!$E$64)^(Y$5-1)</f>
        <v>-9870.83333333333</v>
      </c>
      <c r="Z15" s="69" t="n">
        <f aca="false">-Z9*Inputs!$E$56/12*1*(1+Inputs!$E$63)*(1+Inputs!$E$64)^(Z$5-1)</f>
        <v>-9870.83333333333</v>
      </c>
      <c r="AA15" s="69" t="n">
        <f aca="false">-AA9*Inputs!$E$56/12*1*(1+Inputs!$E$63)*(1+Inputs!$E$64)^(AA$5-1)</f>
        <v>-10166.9583333333</v>
      </c>
      <c r="AB15" s="69" t="n">
        <f aca="false">-AB9*Inputs!$E$56/12*1*(1+Inputs!$E$63)*(1+Inputs!$E$64)^(AB$5-1)</f>
        <v>-10166.9583333333</v>
      </c>
      <c r="AC15" s="69" t="n">
        <f aca="false">-AC9*Inputs!$E$56/12*1*(1+Inputs!$E$63)*(1+Inputs!$E$64)^(AC$5-1)</f>
        <v>-10166.9583333333</v>
      </c>
      <c r="AD15" s="69" t="n">
        <f aca="false">-AD9*Inputs!$E$56/12*1*(1+Inputs!$E$63)*(1+Inputs!$E$64)^(AD$5-1)</f>
        <v>-10166.9583333333</v>
      </c>
      <c r="AE15" s="69" t="n">
        <f aca="false">-AE9*Inputs!$E$56/12*1*(1+Inputs!$E$63)*(1+Inputs!$E$64)^(AE$5-1)</f>
        <v>-10166.9583333333</v>
      </c>
      <c r="AF15" s="69" t="n">
        <f aca="false">-AF9*Inputs!$E$56/12*1*(1+Inputs!$E$63)*(1+Inputs!$E$64)^(AF$5-1)</f>
        <v>-10166.9583333333</v>
      </c>
      <c r="AG15" s="69" t="n">
        <f aca="false">-AG9*Inputs!$E$56/12*1*(1+Inputs!$E$63)*(1+Inputs!$E$64)^(AG$5-1)</f>
        <v>-10166.9583333333</v>
      </c>
      <c r="AH15" s="69" t="n">
        <f aca="false">-AH9*Inputs!$E$56/12*1*(1+Inputs!$E$63)*(1+Inputs!$E$64)^(AH$5-1)</f>
        <v>-10166.9583333333</v>
      </c>
      <c r="AI15" s="69" t="n">
        <f aca="false">-AI9*Inputs!$E$56/12*1*(1+Inputs!$E$63)*(1+Inputs!$E$64)^(AI$5-1)</f>
        <v>-10166.9583333333</v>
      </c>
      <c r="AJ15" s="69" t="n">
        <f aca="false">-AJ9*Inputs!$E$56/12*1*(1+Inputs!$E$63)*(1+Inputs!$E$64)^(AJ$5-1)</f>
        <v>-10166.9583333333</v>
      </c>
      <c r="AK15" s="69" t="n">
        <f aca="false">-AK9*Inputs!$E$56/12*1*(1+Inputs!$E$63)*(1+Inputs!$E$64)^(AK$5-1)</f>
        <v>-10166.9583333333</v>
      </c>
      <c r="AL15" s="69" t="n">
        <f aca="false">-AL9*Inputs!$E$56/12*1*(1+Inputs!$E$63)*(1+Inputs!$E$64)^(AL$5-1)</f>
        <v>-10166.9583333333</v>
      </c>
      <c r="AM15" s="69" t="n">
        <f aca="false">-AM9*Inputs!$E$56/12*1*(1+Inputs!$E$63)*(1+Inputs!$E$64)^(AM$5-1)</f>
        <v>-10471.9670833333</v>
      </c>
      <c r="AN15" s="69" t="n">
        <f aca="false">-AN9*Inputs!$E$56/12*1*(1+Inputs!$E$63)*(1+Inputs!$E$64)^(AN$5-1)</f>
        <v>-10471.9670833333</v>
      </c>
      <c r="AO15" s="69" t="n">
        <f aca="false">-AO9*Inputs!$E$56/12*1*(1+Inputs!$E$63)*(1+Inputs!$E$64)^(AO$5-1)</f>
        <v>-10471.9670833333</v>
      </c>
      <c r="AP15" s="69" t="n">
        <f aca="false">-AP9*Inputs!$E$56/12*1*(1+Inputs!$E$63)*(1+Inputs!$E$64)^(AP$5-1)</f>
        <v>-10471.9670833333</v>
      </c>
      <c r="AQ15" s="69" t="n">
        <f aca="false">-AQ9*Inputs!$E$56/12*1*(1+Inputs!$E$63)*(1+Inputs!$E$64)^(AQ$5-1)</f>
        <v>-10471.9670833333</v>
      </c>
      <c r="AR15" s="69" t="n">
        <f aca="false">-AR9*Inputs!$E$56/12*1*(1+Inputs!$E$63)*(1+Inputs!$E$64)^(AR$5-1)</f>
        <v>-10471.9670833333</v>
      </c>
      <c r="AS15" s="69" t="n">
        <f aca="false">-AS9*Inputs!$E$56/12*1*(1+Inputs!$E$63)*(1+Inputs!$E$64)^(AS$5-1)</f>
        <v>-10471.9670833333</v>
      </c>
      <c r="AT15" s="69" t="n">
        <f aca="false">-AT9*Inputs!$E$56/12*1*(1+Inputs!$E$63)*(1+Inputs!$E$64)^(AT$5-1)</f>
        <v>-10471.9670833333</v>
      </c>
      <c r="AU15" s="69" t="n">
        <f aca="false">-AU9*Inputs!$E$56/12*1*(1+Inputs!$E$63)*(1+Inputs!$E$64)^(AU$5-1)</f>
        <v>-10471.9670833333</v>
      </c>
      <c r="AV15" s="69" t="n">
        <f aca="false">-AV9*Inputs!$E$56/12*1*(1+Inputs!$E$63)*(1+Inputs!$E$64)^(AV$5-1)</f>
        <v>-10471.9670833333</v>
      </c>
      <c r="AW15" s="69" t="n">
        <f aca="false">-AW9*Inputs!$E$56/12*1*(1+Inputs!$E$63)*(1+Inputs!$E$64)^(AW$5-1)</f>
        <v>-10471.9670833333</v>
      </c>
      <c r="AX15" s="69" t="n">
        <f aca="false">-AX9*Inputs!$E$56/12*1*(1+Inputs!$E$63)*(1+Inputs!$E$64)^(AX$5-1)</f>
        <v>-10471.9670833333</v>
      </c>
      <c r="AY15" s="69" t="n">
        <f aca="false">-AY9*Inputs!$E$56/12*1*(1+Inputs!$E$63)*(1+Inputs!$E$64)^(AY$5-1)</f>
        <v>-10786.1260958333</v>
      </c>
      <c r="AZ15" s="69" t="n">
        <f aca="false">-AZ9*Inputs!$E$56/12*1*(1+Inputs!$E$63)*(1+Inputs!$E$64)^(AZ$5-1)</f>
        <v>-10786.1260958333</v>
      </c>
      <c r="BA15" s="69" t="n">
        <f aca="false">-BA9*Inputs!$E$56/12*1*(1+Inputs!$E$63)*(1+Inputs!$E$64)^(BA$5-1)</f>
        <v>-10786.1260958333</v>
      </c>
      <c r="BB15" s="69" t="n">
        <f aca="false">-BB9*Inputs!$E$56/12*1*(1+Inputs!$E$63)*(1+Inputs!$E$64)^(BB$5-1)</f>
        <v>-10786.1260958333</v>
      </c>
      <c r="BC15" s="69" t="n">
        <f aca="false">-BC9*Inputs!$E$56/12*1*(1+Inputs!$E$63)*(1+Inputs!$E$64)^(BC$5-1)</f>
        <v>-10786.1260958333</v>
      </c>
      <c r="BD15" s="69" t="n">
        <f aca="false">-BD9*Inputs!$E$56/12*1*(1+Inputs!$E$63)*(1+Inputs!$E$64)^(BD$5-1)</f>
        <v>-10786.1260958333</v>
      </c>
      <c r="BE15" s="69" t="n">
        <f aca="false">-BE9*Inputs!$E$56/12*1*(1+Inputs!$E$63)*(1+Inputs!$E$64)^(BE$5-1)</f>
        <v>-10786.1260958333</v>
      </c>
      <c r="BF15" s="69" t="n">
        <f aca="false">-BF9*Inputs!$E$56/12*1*(1+Inputs!$E$63)*(1+Inputs!$E$64)^(BF$5-1)</f>
        <v>-10786.1260958333</v>
      </c>
      <c r="BG15" s="69" t="n">
        <f aca="false">-BG9*Inputs!$E$56/12*1*(1+Inputs!$E$63)*(1+Inputs!$E$64)^(BG$5-1)</f>
        <v>-10786.1260958333</v>
      </c>
      <c r="BH15" s="69" t="n">
        <f aca="false">-BH9*Inputs!$E$56/12*1*(1+Inputs!$E$63)*(1+Inputs!$E$64)^(BH$5-1)</f>
        <v>-10786.1260958333</v>
      </c>
      <c r="BI15" s="69" t="n">
        <f aca="false">-BI9*Inputs!$E$56/12*1*(1+Inputs!$E$63)*(1+Inputs!$E$64)^(BI$5-1)</f>
        <v>-10786.1260958333</v>
      </c>
      <c r="BJ15" s="69" t="n">
        <f aca="false">-BJ9*Inputs!$E$56/12*1*(1+Inputs!$E$63)*(1+Inputs!$E$64)^(BJ$5-1)</f>
        <v>-10786.1260958333</v>
      </c>
    </row>
    <row r="16" customFormat="false" ht="15" hidden="false" customHeight="false" outlineLevel="0" collapsed="false">
      <c r="A16" s="6" t="s">
        <v>463</v>
      </c>
      <c r="C16" s="69" t="n">
        <f aca="false">-C10*Inputs!$E$60/12*1*(1+Inputs!$E$63)*(1+Inputs!$E$64)^(C$5-1)</f>
        <v>-8145.83333333333</v>
      </c>
      <c r="D16" s="69" t="n">
        <f aca="false">-D10*Inputs!$E$60/12*1*(1+Inputs!$E$63)*(1+Inputs!$E$64)^(D$5-1)</f>
        <v>-8145.83333333333</v>
      </c>
      <c r="E16" s="69" t="n">
        <f aca="false">-E10*Inputs!$E$60/12*1*(1+Inputs!$E$63)*(1+Inputs!$E$64)^(E$5-1)</f>
        <v>-8145.83333333333</v>
      </c>
      <c r="F16" s="69" t="n">
        <f aca="false">-F10*Inputs!$E$60/12*1*(1+Inputs!$E$63)*(1+Inputs!$E$64)^(F$5-1)</f>
        <v>-8145.83333333333</v>
      </c>
      <c r="G16" s="69" t="n">
        <f aca="false">-G10*Inputs!$E$60/12*1*(1+Inputs!$E$63)*(1+Inputs!$E$64)^(G$5-1)</f>
        <v>-8145.83333333333</v>
      </c>
      <c r="H16" s="69" t="n">
        <f aca="false">-H10*Inputs!$E$60/12*1*(1+Inputs!$E$63)*(1+Inputs!$E$64)^(H$5-1)</f>
        <v>-8145.83333333333</v>
      </c>
      <c r="I16" s="69" t="n">
        <f aca="false">-I10*Inputs!$E$60/12*1*(1+Inputs!$E$63)*(1+Inputs!$E$64)^(I$5-1)</f>
        <v>-8145.83333333333</v>
      </c>
      <c r="J16" s="69" t="n">
        <f aca="false">-J10*Inputs!$E$60/12*1*(1+Inputs!$E$63)*(1+Inputs!$E$64)^(J$5-1)</f>
        <v>-8145.83333333333</v>
      </c>
      <c r="K16" s="69" t="n">
        <f aca="false">-K10*Inputs!$E$60/12*1*(1+Inputs!$E$63)*(1+Inputs!$E$64)^(K$5-1)</f>
        <v>-8145.83333333333</v>
      </c>
      <c r="L16" s="69" t="n">
        <f aca="false">-L10*Inputs!$E$60/12*1*(1+Inputs!$E$63)*(1+Inputs!$E$64)^(L$5-1)</f>
        <v>-8145.83333333333</v>
      </c>
      <c r="M16" s="69" t="n">
        <f aca="false">-M10*Inputs!$E$60/12*1*(1+Inputs!$E$63)*(1+Inputs!$E$64)^(M$5-1)</f>
        <v>-8145.83333333333</v>
      </c>
      <c r="N16" s="69" t="n">
        <f aca="false">-N10*Inputs!$E$60/12*1*(1+Inputs!$E$63)*(1+Inputs!$E$64)^(N$5-1)</f>
        <v>-8145.83333333333</v>
      </c>
      <c r="O16" s="69" t="n">
        <f aca="false">-O10*Inputs!$E$60/12*1*(1+Inputs!$E$63)*(1+Inputs!$E$64)^(O$5-1)</f>
        <v>-8390.20833333333</v>
      </c>
      <c r="P16" s="69" t="n">
        <f aca="false">-P10*Inputs!$E$60/12*1*(1+Inputs!$E$63)*(1+Inputs!$E$64)^(P$5-1)</f>
        <v>-8390.20833333333</v>
      </c>
      <c r="Q16" s="69" t="n">
        <f aca="false">-Q10*Inputs!$E$60/12*1*(1+Inputs!$E$63)*(1+Inputs!$E$64)^(Q$5-1)</f>
        <v>-8390.20833333333</v>
      </c>
      <c r="R16" s="69" t="n">
        <f aca="false">-R10*Inputs!$E$60/12*1*(1+Inputs!$E$63)*(1+Inputs!$E$64)^(R$5-1)</f>
        <v>-8390.20833333333</v>
      </c>
      <c r="S16" s="69" t="n">
        <f aca="false">-S10*Inputs!$E$60/12*1*(1+Inputs!$E$63)*(1+Inputs!$E$64)^(S$5-1)</f>
        <v>-8390.20833333333</v>
      </c>
      <c r="T16" s="69" t="n">
        <f aca="false">-T10*Inputs!$E$60/12*1*(1+Inputs!$E$63)*(1+Inputs!$E$64)^(T$5-1)</f>
        <v>-8390.20833333333</v>
      </c>
      <c r="U16" s="69" t="n">
        <f aca="false">-U10*Inputs!$E$60/12*1*(1+Inputs!$E$63)*(1+Inputs!$E$64)^(U$5-1)</f>
        <v>-8390.20833333333</v>
      </c>
      <c r="V16" s="69" t="n">
        <f aca="false">-V10*Inputs!$E$60/12*1*(1+Inputs!$E$63)*(1+Inputs!$E$64)^(V$5-1)</f>
        <v>-8390.20833333333</v>
      </c>
      <c r="W16" s="69" t="n">
        <f aca="false">-W10*Inputs!$E$60/12*1*(1+Inputs!$E$63)*(1+Inputs!$E$64)^(W$5-1)</f>
        <v>-8390.20833333333</v>
      </c>
      <c r="X16" s="69" t="n">
        <f aca="false">-X10*Inputs!$E$60/12*1*(1+Inputs!$E$63)*(1+Inputs!$E$64)^(X$5-1)</f>
        <v>-8390.20833333333</v>
      </c>
      <c r="Y16" s="69" t="n">
        <f aca="false">-Y10*Inputs!$E$60/12*1*(1+Inputs!$E$63)*(1+Inputs!$E$64)^(Y$5-1)</f>
        <v>-8390.20833333333</v>
      </c>
      <c r="Z16" s="69" t="n">
        <f aca="false">-Z10*Inputs!$E$60/12*1*(1+Inputs!$E$63)*(1+Inputs!$E$64)^(Z$5-1)</f>
        <v>-8390.20833333333</v>
      </c>
      <c r="AA16" s="69" t="n">
        <f aca="false">-AA10*Inputs!$E$60/12*1*(1+Inputs!$E$63)*(1+Inputs!$E$64)^(AA$5-1)</f>
        <v>-8641.91458333333</v>
      </c>
      <c r="AB16" s="69" t="n">
        <f aca="false">-AB10*Inputs!$E$60/12*1*(1+Inputs!$E$63)*(1+Inputs!$E$64)^(AB$5-1)</f>
        <v>-8641.91458333333</v>
      </c>
      <c r="AC16" s="69" t="n">
        <f aca="false">-AC10*Inputs!$E$60/12*1*(1+Inputs!$E$63)*(1+Inputs!$E$64)^(AC$5-1)</f>
        <v>-8641.91458333333</v>
      </c>
      <c r="AD16" s="69" t="n">
        <f aca="false">-AD10*Inputs!$E$60/12*1*(1+Inputs!$E$63)*(1+Inputs!$E$64)^(AD$5-1)</f>
        <v>-8641.91458333333</v>
      </c>
      <c r="AE16" s="69" t="n">
        <f aca="false">-AE10*Inputs!$E$60/12*1*(1+Inputs!$E$63)*(1+Inputs!$E$64)^(AE$5-1)</f>
        <v>-8641.91458333333</v>
      </c>
      <c r="AF16" s="69" t="n">
        <f aca="false">-AF10*Inputs!$E$60/12*1*(1+Inputs!$E$63)*(1+Inputs!$E$64)^(AF$5-1)</f>
        <v>-8641.91458333333</v>
      </c>
      <c r="AG16" s="69" t="n">
        <f aca="false">-AG10*Inputs!$E$60/12*1*(1+Inputs!$E$63)*(1+Inputs!$E$64)^(AG$5-1)</f>
        <v>-8641.91458333333</v>
      </c>
      <c r="AH16" s="69" t="n">
        <f aca="false">-AH10*Inputs!$E$60/12*1*(1+Inputs!$E$63)*(1+Inputs!$E$64)^(AH$5-1)</f>
        <v>-8641.91458333333</v>
      </c>
      <c r="AI16" s="69" t="n">
        <f aca="false">-AI10*Inputs!$E$60/12*1*(1+Inputs!$E$63)*(1+Inputs!$E$64)^(AI$5-1)</f>
        <v>-8641.91458333333</v>
      </c>
      <c r="AJ16" s="69" t="n">
        <f aca="false">-AJ10*Inputs!$E$60/12*1*(1+Inputs!$E$63)*(1+Inputs!$E$64)^(AJ$5-1)</f>
        <v>-8641.91458333333</v>
      </c>
      <c r="AK16" s="69" t="n">
        <f aca="false">-AK10*Inputs!$E$60/12*1*(1+Inputs!$E$63)*(1+Inputs!$E$64)^(AK$5-1)</f>
        <v>-8641.91458333333</v>
      </c>
      <c r="AL16" s="69" t="n">
        <f aca="false">-AL10*Inputs!$E$60/12*1*(1+Inputs!$E$63)*(1+Inputs!$E$64)^(AL$5-1)</f>
        <v>-8641.91458333333</v>
      </c>
      <c r="AM16" s="69" t="n">
        <f aca="false">-AM10*Inputs!$E$60/12*1*(1+Inputs!$E$63)*(1+Inputs!$E$64)^(AM$5-1)</f>
        <v>-8901.17202083333</v>
      </c>
      <c r="AN16" s="69" t="n">
        <f aca="false">-AN10*Inputs!$E$60/12*1*(1+Inputs!$E$63)*(1+Inputs!$E$64)^(AN$5-1)</f>
        <v>-8901.17202083333</v>
      </c>
      <c r="AO16" s="69" t="n">
        <f aca="false">-AO10*Inputs!$E$60/12*1*(1+Inputs!$E$63)*(1+Inputs!$E$64)^(AO$5-1)</f>
        <v>-8901.17202083333</v>
      </c>
      <c r="AP16" s="69" t="n">
        <f aca="false">-AP10*Inputs!$E$60/12*1*(1+Inputs!$E$63)*(1+Inputs!$E$64)^(AP$5-1)</f>
        <v>-8901.17202083333</v>
      </c>
      <c r="AQ16" s="69" t="n">
        <f aca="false">-AQ10*Inputs!$E$60/12*1*(1+Inputs!$E$63)*(1+Inputs!$E$64)^(AQ$5-1)</f>
        <v>-8901.17202083333</v>
      </c>
      <c r="AR16" s="69" t="n">
        <f aca="false">-AR10*Inputs!$E$60/12*1*(1+Inputs!$E$63)*(1+Inputs!$E$64)^(AR$5-1)</f>
        <v>-8901.17202083333</v>
      </c>
      <c r="AS16" s="69" t="n">
        <f aca="false">-AS10*Inputs!$E$60/12*1*(1+Inputs!$E$63)*(1+Inputs!$E$64)^(AS$5-1)</f>
        <v>-8901.17202083333</v>
      </c>
      <c r="AT16" s="69" t="n">
        <f aca="false">-AT10*Inputs!$E$60/12*1*(1+Inputs!$E$63)*(1+Inputs!$E$64)^(AT$5-1)</f>
        <v>-8901.17202083333</v>
      </c>
      <c r="AU16" s="69" t="n">
        <f aca="false">-AU10*Inputs!$E$60/12*1*(1+Inputs!$E$63)*(1+Inputs!$E$64)^(AU$5-1)</f>
        <v>-8901.17202083333</v>
      </c>
      <c r="AV16" s="69" t="n">
        <f aca="false">-AV10*Inputs!$E$60/12*1*(1+Inputs!$E$63)*(1+Inputs!$E$64)^(AV$5-1)</f>
        <v>-8901.17202083333</v>
      </c>
      <c r="AW16" s="69" t="n">
        <f aca="false">-AW10*Inputs!$E$60/12*1*(1+Inputs!$E$63)*(1+Inputs!$E$64)^(AW$5-1)</f>
        <v>-8901.17202083333</v>
      </c>
      <c r="AX16" s="69" t="n">
        <f aca="false">-AX10*Inputs!$E$60/12*1*(1+Inputs!$E$63)*(1+Inputs!$E$64)^(AX$5-1)</f>
        <v>-8901.17202083333</v>
      </c>
      <c r="AY16" s="69" t="n">
        <f aca="false">-AY10*Inputs!$E$60/12*1*(1+Inputs!$E$63)*(1+Inputs!$E$64)^(AY$5-1)</f>
        <v>-9168.20718145833</v>
      </c>
      <c r="AZ16" s="69" t="n">
        <f aca="false">-AZ10*Inputs!$E$60/12*1*(1+Inputs!$E$63)*(1+Inputs!$E$64)^(AZ$5-1)</f>
        <v>-9168.20718145833</v>
      </c>
      <c r="BA16" s="69" t="n">
        <f aca="false">-BA10*Inputs!$E$60/12*1*(1+Inputs!$E$63)*(1+Inputs!$E$64)^(BA$5-1)</f>
        <v>-9168.20718145833</v>
      </c>
      <c r="BB16" s="69" t="n">
        <f aca="false">-BB10*Inputs!$E$60/12*1*(1+Inputs!$E$63)*(1+Inputs!$E$64)^(BB$5-1)</f>
        <v>-9168.20718145833</v>
      </c>
      <c r="BC16" s="69" t="n">
        <f aca="false">-BC10*Inputs!$E$60/12*1*(1+Inputs!$E$63)*(1+Inputs!$E$64)^(BC$5-1)</f>
        <v>-9168.20718145833</v>
      </c>
      <c r="BD16" s="69" t="n">
        <f aca="false">-BD10*Inputs!$E$60/12*1*(1+Inputs!$E$63)*(1+Inputs!$E$64)^(BD$5-1)</f>
        <v>-9168.20718145833</v>
      </c>
      <c r="BE16" s="69" t="n">
        <f aca="false">-BE10*Inputs!$E$60/12*1*(1+Inputs!$E$63)*(1+Inputs!$E$64)^(BE$5-1)</f>
        <v>-9168.20718145833</v>
      </c>
      <c r="BF16" s="69" t="n">
        <f aca="false">-BF10*Inputs!$E$60/12*1*(1+Inputs!$E$63)*(1+Inputs!$E$64)^(BF$5-1)</f>
        <v>-9168.20718145833</v>
      </c>
      <c r="BG16" s="69" t="n">
        <f aca="false">-BG10*Inputs!$E$60/12*1*(1+Inputs!$E$63)*(1+Inputs!$E$64)^(BG$5-1)</f>
        <v>-9168.20718145833</v>
      </c>
      <c r="BH16" s="69" t="n">
        <f aca="false">-BH10*Inputs!$E$60/12*1*(1+Inputs!$E$63)*(1+Inputs!$E$64)^(BH$5-1)</f>
        <v>-9168.20718145833</v>
      </c>
      <c r="BI16" s="69" t="n">
        <f aca="false">-BI10*Inputs!$E$60/12*1*(1+Inputs!$E$63)*(1+Inputs!$E$64)^(BI$5-1)</f>
        <v>-9168.20718145833</v>
      </c>
      <c r="BJ16" s="69" t="n">
        <f aca="false">-BJ10*Inputs!$E$60/12*1*(1+Inputs!$E$63)*(1+Inputs!$E$64)^(BJ$5-1)</f>
        <v>-9168.20718145833</v>
      </c>
    </row>
    <row r="17" customFormat="false" ht="15" hidden="false" customHeight="false" outlineLevel="0" collapsed="false">
      <c r="A17" s="115" t="s">
        <v>464</v>
      </c>
      <c r="C17" s="70" t="n">
        <f aca="false">C14+C15+C16</f>
        <v>-55104.1666666667</v>
      </c>
      <c r="D17" s="70" t="n">
        <f aca="false">D14+D15+D16</f>
        <v>-55104.1666666667</v>
      </c>
      <c r="E17" s="70" t="n">
        <f aca="false">E14+E15+E16</f>
        <v>-55104.1666666667</v>
      </c>
      <c r="F17" s="70" t="n">
        <f aca="false">F14+F15+F16</f>
        <v>-55104.1666666667</v>
      </c>
      <c r="G17" s="70" t="n">
        <f aca="false">G14+G15+G16</f>
        <v>-55104.1666666667</v>
      </c>
      <c r="H17" s="70" t="n">
        <f aca="false">H14+H15+H16</f>
        <v>-55104.1666666667</v>
      </c>
      <c r="I17" s="70" t="n">
        <f aca="false">I14+I15+I16</f>
        <v>-55104.1666666667</v>
      </c>
      <c r="J17" s="70" t="n">
        <f aca="false">J14+J15+J16</f>
        <v>-55104.1666666667</v>
      </c>
      <c r="K17" s="70" t="n">
        <f aca="false">K14+K15+K16</f>
        <v>-55104.1666666667</v>
      </c>
      <c r="L17" s="70" t="n">
        <f aca="false">L14+L15+L16</f>
        <v>-55104.1666666667</v>
      </c>
      <c r="M17" s="70" t="n">
        <f aca="false">M14+M15+M16</f>
        <v>-55104.1666666667</v>
      </c>
      <c r="N17" s="70" t="n">
        <f aca="false">N14+N15+N16</f>
        <v>-55104.1666666667</v>
      </c>
      <c r="O17" s="70" t="n">
        <f aca="false">O14+O15+O16</f>
        <v>-56757.2916666667</v>
      </c>
      <c r="P17" s="70" t="n">
        <f aca="false">P14+P15+P16</f>
        <v>-56757.2916666667</v>
      </c>
      <c r="Q17" s="70" t="n">
        <f aca="false">Q14+Q15+Q16</f>
        <v>-56757.2916666667</v>
      </c>
      <c r="R17" s="70" t="n">
        <f aca="false">R14+R15+R16</f>
        <v>-56757.2916666667</v>
      </c>
      <c r="S17" s="70" t="n">
        <f aca="false">S14+S15+S16</f>
        <v>-56757.2916666667</v>
      </c>
      <c r="T17" s="70" t="n">
        <f aca="false">T14+T15+T16</f>
        <v>-56757.2916666667</v>
      </c>
      <c r="U17" s="70" t="n">
        <f aca="false">U14+U15+U16</f>
        <v>-56757.2916666667</v>
      </c>
      <c r="V17" s="70" t="n">
        <f aca="false">V14+V15+V16</f>
        <v>-56757.2916666667</v>
      </c>
      <c r="W17" s="70" t="n">
        <f aca="false">W14+W15+W16</f>
        <v>-56757.2916666667</v>
      </c>
      <c r="X17" s="70" t="n">
        <f aca="false">X14+X15+X16</f>
        <v>-56757.2916666667</v>
      </c>
      <c r="Y17" s="70" t="n">
        <f aca="false">Y14+Y15+Y16</f>
        <v>-56757.2916666667</v>
      </c>
      <c r="Z17" s="70" t="n">
        <f aca="false">Z14+Z15+Z16</f>
        <v>-56757.2916666667</v>
      </c>
      <c r="AA17" s="70" t="n">
        <f aca="false">AA14+AA15+AA16</f>
        <v>-58460.0104166667</v>
      </c>
      <c r="AB17" s="70" t="n">
        <f aca="false">AB14+AB15+AB16</f>
        <v>-58460.0104166667</v>
      </c>
      <c r="AC17" s="70" t="n">
        <f aca="false">AC14+AC15+AC16</f>
        <v>-58460.0104166667</v>
      </c>
      <c r="AD17" s="70" t="n">
        <f aca="false">AD14+AD15+AD16</f>
        <v>-58460.0104166667</v>
      </c>
      <c r="AE17" s="70" t="n">
        <f aca="false">AE14+AE15+AE16</f>
        <v>-58460.0104166667</v>
      </c>
      <c r="AF17" s="70" t="n">
        <f aca="false">AF14+AF15+AF16</f>
        <v>-58460.0104166667</v>
      </c>
      <c r="AG17" s="70" t="n">
        <f aca="false">AG14+AG15+AG16</f>
        <v>-58460.0104166667</v>
      </c>
      <c r="AH17" s="70" t="n">
        <f aca="false">AH14+AH15+AH16</f>
        <v>-58460.0104166667</v>
      </c>
      <c r="AI17" s="70" t="n">
        <f aca="false">AI14+AI15+AI16</f>
        <v>-58460.0104166667</v>
      </c>
      <c r="AJ17" s="70" t="n">
        <f aca="false">AJ14+AJ15+AJ16</f>
        <v>-58460.0104166667</v>
      </c>
      <c r="AK17" s="70" t="n">
        <f aca="false">AK14+AK15+AK16</f>
        <v>-58460.0104166667</v>
      </c>
      <c r="AL17" s="70" t="n">
        <f aca="false">AL14+AL15+AL16</f>
        <v>-58460.0104166667</v>
      </c>
      <c r="AM17" s="70" t="n">
        <f aca="false">AM14+AM15+AM16</f>
        <v>-60213.8107291667</v>
      </c>
      <c r="AN17" s="70" t="n">
        <f aca="false">AN14+AN15+AN16</f>
        <v>-60213.8107291667</v>
      </c>
      <c r="AO17" s="70" t="n">
        <f aca="false">AO14+AO15+AO16</f>
        <v>-60213.8107291667</v>
      </c>
      <c r="AP17" s="70" t="n">
        <f aca="false">AP14+AP15+AP16</f>
        <v>-60213.8107291667</v>
      </c>
      <c r="AQ17" s="70" t="n">
        <f aca="false">AQ14+AQ15+AQ16</f>
        <v>-60213.8107291667</v>
      </c>
      <c r="AR17" s="70" t="n">
        <f aca="false">AR14+AR15+AR16</f>
        <v>-60213.8107291667</v>
      </c>
      <c r="AS17" s="70" t="n">
        <f aca="false">AS14+AS15+AS16</f>
        <v>-60213.8107291667</v>
      </c>
      <c r="AT17" s="70" t="n">
        <f aca="false">AT14+AT15+AT16</f>
        <v>-60213.8107291667</v>
      </c>
      <c r="AU17" s="70" t="n">
        <f aca="false">AU14+AU15+AU16</f>
        <v>-60213.8107291667</v>
      </c>
      <c r="AV17" s="70" t="n">
        <f aca="false">AV14+AV15+AV16</f>
        <v>-60213.8107291667</v>
      </c>
      <c r="AW17" s="70" t="n">
        <f aca="false">AW14+AW15+AW16</f>
        <v>-60213.8107291667</v>
      </c>
      <c r="AX17" s="70" t="n">
        <f aca="false">AX14+AX15+AX16</f>
        <v>-60213.8107291667</v>
      </c>
      <c r="AY17" s="70" t="n">
        <f aca="false">AY14+AY15+AY16</f>
        <v>-62020.2250510417</v>
      </c>
      <c r="AZ17" s="70" t="n">
        <f aca="false">AZ14+AZ15+AZ16</f>
        <v>-62020.2250510417</v>
      </c>
      <c r="BA17" s="70" t="n">
        <f aca="false">BA14+BA15+BA16</f>
        <v>-62020.2250510417</v>
      </c>
      <c r="BB17" s="70" t="n">
        <f aca="false">BB14+BB15+BB16</f>
        <v>-62020.2250510417</v>
      </c>
      <c r="BC17" s="70" t="n">
        <f aca="false">BC14+BC15+BC16</f>
        <v>-62020.2250510417</v>
      </c>
      <c r="BD17" s="70" t="n">
        <f aca="false">BD14+BD15+BD16</f>
        <v>-62020.2250510417</v>
      </c>
      <c r="BE17" s="70" t="n">
        <f aca="false">BE14+BE15+BE16</f>
        <v>-62020.2250510417</v>
      </c>
      <c r="BF17" s="70" t="n">
        <f aca="false">BF14+BF15+BF16</f>
        <v>-62020.2250510417</v>
      </c>
      <c r="BG17" s="70" t="n">
        <f aca="false">BG14+BG15+BG16</f>
        <v>-62020.2250510417</v>
      </c>
      <c r="BH17" s="70" t="n">
        <f aca="false">BH14+BH15+BH16</f>
        <v>-62020.2250510417</v>
      </c>
      <c r="BI17" s="70" t="n">
        <f aca="false">BI14+BI15+BI16</f>
        <v>-62020.2250510417</v>
      </c>
      <c r="BJ17" s="70" t="n">
        <f aca="false">BJ14+BJ15+BJ16</f>
        <v>-62020.2250510417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36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465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466</v>
      </c>
    </row>
    <row r="4" customFormat="false" ht="15.75" hidden="false" customHeight="true" outlineLevel="0" collapsed="false">
      <c r="A4" s="7" t="s">
        <v>467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347</v>
      </c>
      <c r="C5" s="52" t="s">
        <v>348</v>
      </c>
      <c r="D5" s="52" t="s">
        <v>349</v>
      </c>
      <c r="E5" s="52" t="s">
        <v>350</v>
      </c>
      <c r="F5" s="52" t="s">
        <v>351</v>
      </c>
      <c r="G5" s="52" t="s">
        <v>352</v>
      </c>
      <c r="H5" s="52" t="s">
        <v>353</v>
      </c>
      <c r="I5" s="52" t="s">
        <v>354</v>
      </c>
      <c r="J5" s="52" t="s">
        <v>355</v>
      </c>
      <c r="K5" s="52" t="s">
        <v>356</v>
      </c>
      <c r="L5" s="52" t="s">
        <v>357</v>
      </c>
      <c r="M5" s="52" t="s">
        <v>358</v>
      </c>
      <c r="N5" s="52" t="s">
        <v>359</v>
      </c>
      <c r="O5" s="52" t="s">
        <v>360</v>
      </c>
      <c r="P5" s="52" t="s">
        <v>361</v>
      </c>
      <c r="Q5" s="52" t="s">
        <v>362</v>
      </c>
      <c r="R5" s="52" t="s">
        <v>363</v>
      </c>
      <c r="S5" s="52" t="s">
        <v>364</v>
      </c>
      <c r="T5" s="52" t="s">
        <v>365</v>
      </c>
      <c r="U5" s="52" t="s">
        <v>366</v>
      </c>
      <c r="V5" s="52" t="s">
        <v>367</v>
      </c>
      <c r="W5" s="52" t="s">
        <v>368</v>
      </c>
      <c r="X5" s="52" t="s">
        <v>369</v>
      </c>
      <c r="Y5" s="52" t="s">
        <v>370</v>
      </c>
      <c r="Z5" s="52" t="s">
        <v>371</v>
      </c>
      <c r="AA5" s="52" t="s">
        <v>372</v>
      </c>
      <c r="AB5" s="52" t="s">
        <v>373</v>
      </c>
      <c r="AC5" s="52" t="s">
        <v>374</v>
      </c>
      <c r="AD5" s="52" t="s">
        <v>375</v>
      </c>
      <c r="AE5" s="52" t="s">
        <v>376</v>
      </c>
      <c r="AF5" s="52" t="s">
        <v>377</v>
      </c>
      <c r="AG5" s="52" t="s">
        <v>378</v>
      </c>
      <c r="AH5" s="52" t="s">
        <v>379</v>
      </c>
      <c r="AI5" s="52" t="s">
        <v>380</v>
      </c>
      <c r="AJ5" s="52" t="s">
        <v>381</v>
      </c>
      <c r="AK5" s="52" t="s">
        <v>382</v>
      </c>
      <c r="AL5" s="52" t="s">
        <v>383</v>
      </c>
      <c r="AM5" s="52" t="s">
        <v>384</v>
      </c>
      <c r="AN5" s="52" t="s">
        <v>385</v>
      </c>
      <c r="AO5" s="52" t="s">
        <v>386</v>
      </c>
      <c r="AP5" s="52" t="s">
        <v>387</v>
      </c>
      <c r="AQ5" s="52" t="s">
        <v>388</v>
      </c>
      <c r="AR5" s="52" t="s">
        <v>389</v>
      </c>
      <c r="AS5" s="52" t="s">
        <v>390</v>
      </c>
      <c r="AT5" s="52" t="s">
        <v>391</v>
      </c>
      <c r="AU5" s="52" t="s">
        <v>392</v>
      </c>
      <c r="AV5" s="52" t="s">
        <v>393</v>
      </c>
      <c r="AW5" s="52" t="s">
        <v>394</v>
      </c>
      <c r="AX5" s="52" t="s">
        <v>395</v>
      </c>
      <c r="AY5" s="52" t="s">
        <v>396</v>
      </c>
      <c r="AZ5" s="52" t="s">
        <v>397</v>
      </c>
      <c r="BA5" s="52" t="s">
        <v>398</v>
      </c>
      <c r="BB5" s="52" t="s">
        <v>399</v>
      </c>
      <c r="BC5" s="52" t="s">
        <v>400</v>
      </c>
      <c r="BD5" s="52" t="s">
        <v>401</v>
      </c>
      <c r="BE5" s="52" t="s">
        <v>402</v>
      </c>
      <c r="BF5" s="52" t="s">
        <v>403</v>
      </c>
      <c r="BG5" s="52" t="s">
        <v>404</v>
      </c>
      <c r="BH5" s="52" t="s">
        <v>405</v>
      </c>
      <c r="BI5" s="52" t="s">
        <v>406</v>
      </c>
      <c r="BJ5" s="52" t="s">
        <v>407</v>
      </c>
    </row>
    <row r="6" customFormat="false" ht="15" hidden="false" customHeight="false" outlineLevel="0" collapsed="false">
      <c r="A6" s="74" t="s">
        <v>408</v>
      </c>
      <c r="C6" s="74" t="n">
        <v>1</v>
      </c>
      <c r="D6" s="74" t="n">
        <v>2</v>
      </c>
      <c r="E6" s="74" t="n">
        <v>3</v>
      </c>
      <c r="F6" s="74" t="n">
        <v>4</v>
      </c>
      <c r="G6" s="74" t="n">
        <v>5</v>
      </c>
      <c r="H6" s="74" t="n">
        <v>6</v>
      </c>
      <c r="I6" s="74" t="n">
        <v>7</v>
      </c>
      <c r="J6" s="74" t="n">
        <v>8</v>
      </c>
      <c r="K6" s="74" t="n">
        <v>9</v>
      </c>
      <c r="L6" s="74" t="n">
        <v>10</v>
      </c>
      <c r="M6" s="74" t="n">
        <v>11</v>
      </c>
      <c r="N6" s="74" t="n">
        <v>12</v>
      </c>
      <c r="O6" s="74" t="n">
        <v>13</v>
      </c>
      <c r="P6" s="74" t="n">
        <v>14</v>
      </c>
      <c r="Q6" s="74" t="n">
        <v>15</v>
      </c>
      <c r="R6" s="74" t="n">
        <v>16</v>
      </c>
      <c r="S6" s="74" t="n">
        <v>17</v>
      </c>
      <c r="T6" s="74" t="n">
        <v>18</v>
      </c>
      <c r="U6" s="74" t="n">
        <v>19</v>
      </c>
      <c r="V6" s="74" t="n">
        <v>20</v>
      </c>
      <c r="W6" s="74" t="n">
        <v>21</v>
      </c>
      <c r="X6" s="74" t="n">
        <v>22</v>
      </c>
      <c r="Y6" s="74" t="n">
        <v>23</v>
      </c>
      <c r="Z6" s="74" t="n">
        <v>24</v>
      </c>
      <c r="AA6" s="74" t="n">
        <v>25</v>
      </c>
      <c r="AB6" s="74" t="n">
        <v>26</v>
      </c>
      <c r="AC6" s="74" t="n">
        <v>27</v>
      </c>
      <c r="AD6" s="74" t="n">
        <v>28</v>
      </c>
      <c r="AE6" s="74" t="n">
        <v>29</v>
      </c>
      <c r="AF6" s="74" t="n">
        <v>30</v>
      </c>
      <c r="AG6" s="74" t="n">
        <v>31</v>
      </c>
      <c r="AH6" s="74" t="n">
        <v>32</v>
      </c>
      <c r="AI6" s="74" t="n">
        <v>33</v>
      </c>
      <c r="AJ6" s="74" t="n">
        <v>34</v>
      </c>
      <c r="AK6" s="74" t="n">
        <v>35</v>
      </c>
      <c r="AL6" s="74" t="n">
        <v>36</v>
      </c>
      <c r="AM6" s="74" t="n">
        <v>37</v>
      </c>
      <c r="AN6" s="74" t="n">
        <v>38</v>
      </c>
      <c r="AO6" s="74" t="n">
        <v>39</v>
      </c>
      <c r="AP6" s="74" t="n">
        <v>40</v>
      </c>
      <c r="AQ6" s="74" t="n">
        <v>41</v>
      </c>
      <c r="AR6" s="74" t="n">
        <v>42</v>
      </c>
      <c r="AS6" s="74" t="n">
        <v>43</v>
      </c>
      <c r="AT6" s="74" t="n">
        <v>44</v>
      </c>
      <c r="AU6" s="74" t="n">
        <v>45</v>
      </c>
      <c r="AV6" s="74" t="n">
        <v>46</v>
      </c>
      <c r="AW6" s="74" t="n">
        <v>47</v>
      </c>
      <c r="AX6" s="74" t="n">
        <v>48</v>
      </c>
      <c r="AY6" s="74" t="n">
        <v>49</v>
      </c>
      <c r="AZ6" s="74" t="n">
        <v>50</v>
      </c>
      <c r="BA6" s="74" t="n">
        <v>51</v>
      </c>
      <c r="BB6" s="74" t="n">
        <v>52</v>
      </c>
      <c r="BC6" s="74" t="n">
        <v>53</v>
      </c>
      <c r="BD6" s="74" t="n">
        <v>54</v>
      </c>
      <c r="BE6" s="74" t="n">
        <v>55</v>
      </c>
      <c r="BF6" s="74" t="n">
        <v>56</v>
      </c>
      <c r="BG6" s="74" t="n">
        <v>57</v>
      </c>
      <c r="BH6" s="74" t="n">
        <v>58</v>
      </c>
      <c r="BI6" s="74" t="n">
        <v>59</v>
      </c>
      <c r="BJ6" s="74" t="n">
        <v>60</v>
      </c>
    </row>
    <row r="7" customFormat="false" ht="15" hidden="false" customHeight="false" outlineLevel="0" collapsed="false">
      <c r="A7" s="74" t="s">
        <v>154</v>
      </c>
      <c r="C7" s="74" t="n">
        <f aca="false">ROUNDUP(C6*1/12,0)</f>
        <v>1</v>
      </c>
      <c r="D7" s="74" t="n">
        <f aca="false">ROUNDUP(D6*1/12,0)</f>
        <v>1</v>
      </c>
      <c r="E7" s="74" t="n">
        <f aca="false">ROUNDUP(E6*1/12,0)</f>
        <v>1</v>
      </c>
      <c r="F7" s="74" t="n">
        <f aca="false">ROUNDUP(F6*1/12,0)</f>
        <v>1</v>
      </c>
      <c r="G7" s="74" t="n">
        <f aca="false">ROUNDUP(G6*1/12,0)</f>
        <v>1</v>
      </c>
      <c r="H7" s="74" t="n">
        <f aca="false">ROUNDUP(H6*1/12,0)</f>
        <v>1</v>
      </c>
      <c r="I7" s="74" t="n">
        <f aca="false">ROUNDUP(I6*1/12,0)</f>
        <v>1</v>
      </c>
      <c r="J7" s="74" t="n">
        <f aca="false">ROUNDUP(J6*1/12,0)</f>
        <v>1</v>
      </c>
      <c r="K7" s="74" t="n">
        <f aca="false">ROUNDUP(K6*1/12,0)</f>
        <v>1</v>
      </c>
      <c r="L7" s="74" t="n">
        <f aca="false">ROUNDUP(L6*1/12,0)</f>
        <v>1</v>
      </c>
      <c r="M7" s="74" t="n">
        <f aca="false">ROUNDUP(M6*1/12,0)</f>
        <v>1</v>
      </c>
      <c r="N7" s="74" t="n">
        <f aca="false">ROUNDUP(N6*1/12,0)</f>
        <v>1</v>
      </c>
      <c r="O7" s="74" t="n">
        <f aca="false">ROUNDUP(O6*1/12,0)</f>
        <v>2</v>
      </c>
      <c r="P7" s="74" t="n">
        <f aca="false">ROUNDUP(P6*1/12,0)</f>
        <v>2</v>
      </c>
      <c r="Q7" s="74" t="n">
        <f aca="false">ROUNDUP(Q6*1/12,0)</f>
        <v>2</v>
      </c>
      <c r="R7" s="74" t="n">
        <f aca="false">ROUNDUP(R6*1/12,0)</f>
        <v>2</v>
      </c>
      <c r="S7" s="74" t="n">
        <f aca="false">ROUNDUP(S6*1/12,0)</f>
        <v>2</v>
      </c>
      <c r="T7" s="74" t="n">
        <f aca="false">ROUNDUP(T6*1/12,0)</f>
        <v>2</v>
      </c>
      <c r="U7" s="74" t="n">
        <f aca="false">ROUNDUP(U6*1/12,0)</f>
        <v>2</v>
      </c>
      <c r="V7" s="74" t="n">
        <f aca="false">ROUNDUP(V6*1/12,0)</f>
        <v>2</v>
      </c>
      <c r="W7" s="74" t="n">
        <f aca="false">ROUNDUP(W6*1/12,0)</f>
        <v>2</v>
      </c>
      <c r="X7" s="74" t="n">
        <f aca="false">ROUNDUP(X6*1/12,0)</f>
        <v>2</v>
      </c>
      <c r="Y7" s="74" t="n">
        <f aca="false">ROUNDUP(Y6*1/12,0)</f>
        <v>2</v>
      </c>
      <c r="Z7" s="74" t="n">
        <f aca="false">ROUNDUP(Z6*1/12,0)</f>
        <v>2</v>
      </c>
      <c r="AA7" s="74" t="n">
        <f aca="false">ROUNDUP(AA6*1/12,0)</f>
        <v>3</v>
      </c>
      <c r="AB7" s="74" t="n">
        <f aca="false">ROUNDUP(AB6*1/12,0)</f>
        <v>3</v>
      </c>
      <c r="AC7" s="74" t="n">
        <f aca="false">ROUNDUP(AC6*1/12,0)</f>
        <v>3</v>
      </c>
      <c r="AD7" s="74" t="n">
        <f aca="false">ROUNDUP(AD6*1/12,0)</f>
        <v>3</v>
      </c>
      <c r="AE7" s="74" t="n">
        <f aca="false">ROUNDUP(AE6*1/12,0)</f>
        <v>3</v>
      </c>
      <c r="AF7" s="74" t="n">
        <f aca="false">ROUNDUP(AF6*1/12,0)</f>
        <v>3</v>
      </c>
      <c r="AG7" s="74" t="n">
        <f aca="false">ROUNDUP(AG6*1/12,0)</f>
        <v>3</v>
      </c>
      <c r="AH7" s="74" t="n">
        <f aca="false">ROUNDUP(AH6*1/12,0)</f>
        <v>3</v>
      </c>
      <c r="AI7" s="74" t="n">
        <f aca="false">ROUNDUP(AI6*1/12,0)</f>
        <v>3</v>
      </c>
      <c r="AJ7" s="74" t="n">
        <f aca="false">ROUNDUP(AJ6*1/12,0)</f>
        <v>3</v>
      </c>
      <c r="AK7" s="74" t="n">
        <f aca="false">ROUNDUP(AK6*1/12,0)</f>
        <v>3</v>
      </c>
      <c r="AL7" s="74" t="n">
        <f aca="false">ROUNDUP(AL6*1/12,0)</f>
        <v>3</v>
      </c>
      <c r="AM7" s="74" t="n">
        <f aca="false">ROUNDUP(AM6*1/12,0)</f>
        <v>4</v>
      </c>
      <c r="AN7" s="74" t="n">
        <f aca="false">ROUNDUP(AN6*1/12,0)</f>
        <v>4</v>
      </c>
      <c r="AO7" s="74" t="n">
        <f aca="false">ROUNDUP(AO6*1/12,0)</f>
        <v>4</v>
      </c>
      <c r="AP7" s="74" t="n">
        <f aca="false">ROUNDUP(AP6*1/12,0)</f>
        <v>4</v>
      </c>
      <c r="AQ7" s="74" t="n">
        <f aca="false">ROUNDUP(AQ6*1/12,0)</f>
        <v>4</v>
      </c>
      <c r="AR7" s="74" t="n">
        <f aca="false">ROUNDUP(AR6*1/12,0)</f>
        <v>4</v>
      </c>
      <c r="AS7" s="74" t="n">
        <f aca="false">ROUNDUP(AS6*1/12,0)</f>
        <v>4</v>
      </c>
      <c r="AT7" s="74" t="n">
        <f aca="false">ROUNDUP(AT6*1/12,0)</f>
        <v>4</v>
      </c>
      <c r="AU7" s="74" t="n">
        <f aca="false">ROUNDUP(AU6*1/12,0)</f>
        <v>4</v>
      </c>
      <c r="AV7" s="74" t="n">
        <f aca="false">ROUNDUP(AV6*1/12,0)</f>
        <v>4</v>
      </c>
      <c r="AW7" s="74" t="n">
        <f aca="false">ROUNDUP(AW6*1/12,0)</f>
        <v>4</v>
      </c>
      <c r="AX7" s="74" t="n">
        <f aca="false">ROUNDUP(AX6*1/12,0)</f>
        <v>4</v>
      </c>
      <c r="AY7" s="74" t="n">
        <f aca="false">ROUNDUP(AY6*1/12,0)</f>
        <v>5</v>
      </c>
      <c r="AZ7" s="74" t="n">
        <f aca="false">ROUNDUP(AZ6*1/12,0)</f>
        <v>5</v>
      </c>
      <c r="BA7" s="74" t="n">
        <f aca="false">ROUNDUP(BA6*1/12,0)</f>
        <v>5</v>
      </c>
      <c r="BB7" s="74" t="n">
        <f aca="false">ROUNDUP(BB6*1/12,0)</f>
        <v>5</v>
      </c>
      <c r="BC7" s="74" t="n">
        <f aca="false">ROUNDUP(BC6*1/12,0)</f>
        <v>5</v>
      </c>
      <c r="BD7" s="74" t="n">
        <f aca="false">ROUNDUP(BD6*1/12,0)</f>
        <v>5</v>
      </c>
      <c r="BE7" s="74" t="n">
        <f aca="false">ROUNDUP(BE6*1/12,0)</f>
        <v>5</v>
      </c>
      <c r="BF7" s="74" t="n">
        <f aca="false">ROUNDUP(BF6*1/12,0)</f>
        <v>5</v>
      </c>
      <c r="BG7" s="74" t="n">
        <f aca="false">ROUNDUP(BG6*1/12,0)</f>
        <v>5</v>
      </c>
      <c r="BH7" s="74" t="n">
        <f aca="false">ROUNDUP(BH6*1/12,0)</f>
        <v>5</v>
      </c>
      <c r="BI7" s="74" t="n">
        <f aca="false">ROUNDUP(BI6*1/12,0)</f>
        <v>5</v>
      </c>
      <c r="BJ7" s="74" t="n">
        <f aca="false">ROUNDUP(BJ6*1/12,0)</f>
        <v>5</v>
      </c>
    </row>
    <row r="9" customFormat="false" ht="15.75" hidden="false" customHeight="true" outlineLevel="0" collapsed="false">
      <c r="A9" s="7" t="s">
        <v>409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118" t="s">
        <v>410</v>
      </c>
      <c r="C10" s="119" t="n">
        <f aca="false">MAX(0,MIN(1,Inputs!$B$11-(C$6-1)*1))</f>
        <v>1</v>
      </c>
      <c r="D10" s="119" t="n">
        <f aca="false">MAX(0,MIN(1,Inputs!$B$11-(D$6-1)*1))</f>
        <v>1</v>
      </c>
      <c r="E10" s="119" t="n">
        <f aca="false">MAX(0,MIN(1,Inputs!$B$11-(E$6-1)*1))</f>
        <v>1</v>
      </c>
      <c r="F10" s="119" t="n">
        <f aca="false">MAX(0,MIN(1,Inputs!$B$11-(F$6-1)*1))</f>
        <v>1</v>
      </c>
      <c r="G10" s="119" t="n">
        <f aca="false">MAX(0,MIN(1,Inputs!$B$11-(G$6-1)*1))</f>
        <v>1</v>
      </c>
      <c r="H10" s="119" t="n">
        <f aca="false">MAX(0,MIN(1,Inputs!$B$11-(H$6-1)*1))</f>
        <v>1</v>
      </c>
      <c r="I10" s="119" t="n">
        <f aca="false">MAX(0,MIN(1,Inputs!$B$11-(I$6-1)*1))</f>
        <v>1</v>
      </c>
      <c r="J10" s="119" t="n">
        <f aca="false">MAX(0,MIN(1,Inputs!$B$11-(J$6-1)*1))</f>
        <v>1</v>
      </c>
      <c r="K10" s="119" t="n">
        <f aca="false">MAX(0,MIN(1,Inputs!$B$11-(K$6-1)*1))</f>
        <v>1</v>
      </c>
      <c r="L10" s="119" t="n">
        <f aca="false">MAX(0,MIN(1,Inputs!$B$11-(L$6-1)*1))</f>
        <v>1</v>
      </c>
      <c r="M10" s="119" t="n">
        <f aca="false">MAX(0,MIN(1,Inputs!$B$11-(M$6-1)*1))</f>
        <v>1</v>
      </c>
      <c r="N10" s="119" t="n">
        <f aca="false">MAX(0,MIN(1,Inputs!$B$11-(N$6-1)*1))</f>
        <v>1</v>
      </c>
      <c r="O10" s="119" t="n">
        <f aca="false">MAX(0,MIN(1,Inputs!$B$11-(O$6-1)*1))</f>
        <v>1</v>
      </c>
      <c r="P10" s="119" t="n">
        <f aca="false">MAX(0,MIN(1,Inputs!$B$11-(P$6-1)*1))</f>
        <v>1</v>
      </c>
      <c r="Q10" s="119" t="n">
        <f aca="false">MAX(0,MIN(1,Inputs!$B$11-(Q$6-1)*1))</f>
        <v>1</v>
      </c>
      <c r="R10" s="119" t="n">
        <f aca="false">MAX(0,MIN(1,Inputs!$B$11-(R$6-1)*1))</f>
        <v>1</v>
      </c>
      <c r="S10" s="119" t="n">
        <f aca="false">MAX(0,MIN(1,Inputs!$B$11-(S$6-1)*1))</f>
        <v>0</v>
      </c>
      <c r="T10" s="119" t="n">
        <f aca="false">MAX(0,MIN(1,Inputs!$B$11-(T$6-1)*1))</f>
        <v>0</v>
      </c>
      <c r="U10" s="119" t="n">
        <f aca="false">MAX(0,MIN(1,Inputs!$B$11-(U$6-1)*1))</f>
        <v>0</v>
      </c>
      <c r="V10" s="119" t="n">
        <f aca="false">MAX(0,MIN(1,Inputs!$B$11-(V$6-1)*1))</f>
        <v>0</v>
      </c>
      <c r="W10" s="119" t="n">
        <f aca="false">MAX(0,MIN(1,Inputs!$B$11-(W$6-1)*1))</f>
        <v>0</v>
      </c>
      <c r="X10" s="119" t="n">
        <f aca="false">MAX(0,MIN(1,Inputs!$B$11-(X$6-1)*1))</f>
        <v>0</v>
      </c>
      <c r="Y10" s="119" t="n">
        <f aca="false">MAX(0,MIN(1,Inputs!$B$11-(Y$6-1)*1))</f>
        <v>0</v>
      </c>
      <c r="Z10" s="119" t="n">
        <f aca="false">MAX(0,MIN(1,Inputs!$B$11-(Z$6-1)*1))</f>
        <v>0</v>
      </c>
      <c r="AA10" s="119" t="n">
        <f aca="false">MAX(0,MIN(1,Inputs!$B$11-(AA$6-1)*1))</f>
        <v>0</v>
      </c>
      <c r="AB10" s="119" t="n">
        <f aca="false">MAX(0,MIN(1,Inputs!$B$11-(AB$6-1)*1))</f>
        <v>0</v>
      </c>
      <c r="AC10" s="119" t="n">
        <f aca="false">MAX(0,MIN(1,Inputs!$B$11-(AC$6-1)*1))</f>
        <v>0</v>
      </c>
      <c r="AD10" s="119" t="n">
        <f aca="false">MAX(0,MIN(1,Inputs!$B$11-(AD$6-1)*1))</f>
        <v>0</v>
      </c>
      <c r="AE10" s="119" t="n">
        <f aca="false">MAX(0,MIN(1,Inputs!$B$11-(AE$6-1)*1))</f>
        <v>0</v>
      </c>
      <c r="AF10" s="119" t="n">
        <f aca="false">MAX(0,MIN(1,Inputs!$B$11-(AF$6-1)*1))</f>
        <v>0</v>
      </c>
      <c r="AG10" s="119" t="n">
        <f aca="false">MAX(0,MIN(1,Inputs!$B$11-(AG$6-1)*1))</f>
        <v>0</v>
      </c>
      <c r="AH10" s="119" t="n">
        <f aca="false">MAX(0,MIN(1,Inputs!$B$11-(AH$6-1)*1))</f>
        <v>0</v>
      </c>
      <c r="AI10" s="119" t="n">
        <f aca="false">MAX(0,MIN(1,Inputs!$B$11-(AI$6-1)*1))</f>
        <v>0</v>
      </c>
      <c r="AJ10" s="119" t="n">
        <f aca="false">MAX(0,MIN(1,Inputs!$B$11-(AJ$6-1)*1))</f>
        <v>0</v>
      </c>
      <c r="AK10" s="119" t="n">
        <f aca="false">MAX(0,MIN(1,Inputs!$B$11-(AK$6-1)*1))</f>
        <v>0</v>
      </c>
      <c r="AL10" s="119" t="n">
        <f aca="false">MAX(0,MIN(1,Inputs!$B$11-(AL$6-1)*1))</f>
        <v>0</v>
      </c>
      <c r="AM10" s="119" t="n">
        <f aca="false">MAX(0,MIN(1,Inputs!$B$11-(AM$6-1)*1))</f>
        <v>0</v>
      </c>
      <c r="AN10" s="119" t="n">
        <f aca="false">MAX(0,MIN(1,Inputs!$B$11-(AN$6-1)*1))</f>
        <v>0</v>
      </c>
      <c r="AO10" s="119" t="n">
        <f aca="false">MAX(0,MIN(1,Inputs!$B$11-(AO$6-1)*1))</f>
        <v>0</v>
      </c>
      <c r="AP10" s="119" t="n">
        <f aca="false">MAX(0,MIN(1,Inputs!$B$11-(AP$6-1)*1))</f>
        <v>0</v>
      </c>
      <c r="AQ10" s="119" t="n">
        <f aca="false">MAX(0,MIN(1,Inputs!$B$11-(AQ$6-1)*1))</f>
        <v>0</v>
      </c>
      <c r="AR10" s="119" t="n">
        <f aca="false">MAX(0,MIN(1,Inputs!$B$11-(AR$6-1)*1))</f>
        <v>0</v>
      </c>
      <c r="AS10" s="119" t="n">
        <f aca="false">MAX(0,MIN(1,Inputs!$B$11-(AS$6-1)*1))</f>
        <v>0</v>
      </c>
      <c r="AT10" s="119" t="n">
        <f aca="false">MAX(0,MIN(1,Inputs!$B$11-(AT$6-1)*1))</f>
        <v>0</v>
      </c>
      <c r="AU10" s="119" t="n">
        <f aca="false">MAX(0,MIN(1,Inputs!$B$11-(AU$6-1)*1))</f>
        <v>0</v>
      </c>
      <c r="AV10" s="119" t="n">
        <f aca="false">MAX(0,MIN(1,Inputs!$B$11-(AV$6-1)*1))</f>
        <v>0</v>
      </c>
      <c r="AW10" s="119" t="n">
        <f aca="false">MAX(0,MIN(1,Inputs!$B$11-(AW$6-1)*1))</f>
        <v>0</v>
      </c>
      <c r="AX10" s="119" t="n">
        <f aca="false">MAX(0,MIN(1,Inputs!$B$11-(AX$6-1)*1))</f>
        <v>0</v>
      </c>
      <c r="AY10" s="119" t="n">
        <f aca="false">MAX(0,MIN(1,Inputs!$B$11-(AY$6-1)*1))</f>
        <v>0</v>
      </c>
      <c r="AZ10" s="119" t="n">
        <f aca="false">MAX(0,MIN(1,Inputs!$B$11-(AZ$6-1)*1))</f>
        <v>0</v>
      </c>
      <c r="BA10" s="119" t="n">
        <f aca="false">MAX(0,MIN(1,Inputs!$B$11-(BA$6-1)*1))</f>
        <v>0</v>
      </c>
      <c r="BB10" s="119" t="n">
        <f aca="false">MAX(0,MIN(1,Inputs!$B$11-(BB$6-1)*1))</f>
        <v>0</v>
      </c>
      <c r="BC10" s="119" t="n">
        <f aca="false">MAX(0,MIN(1,Inputs!$B$11-(BC$6-1)*1))</f>
        <v>0</v>
      </c>
      <c r="BD10" s="119" t="n">
        <f aca="false">MAX(0,MIN(1,Inputs!$B$11-(BD$6-1)*1))</f>
        <v>0</v>
      </c>
      <c r="BE10" s="119" t="n">
        <f aca="false">MAX(0,MIN(1,Inputs!$B$11-(BE$6-1)*1))</f>
        <v>0</v>
      </c>
      <c r="BF10" s="119" t="n">
        <f aca="false">MAX(0,MIN(1,Inputs!$B$11-(BF$6-1)*1))</f>
        <v>0</v>
      </c>
      <c r="BG10" s="119" t="n">
        <f aca="false">MAX(0,MIN(1,Inputs!$B$11-(BG$6-1)*1))</f>
        <v>0</v>
      </c>
      <c r="BH10" s="119" t="n">
        <f aca="false">MAX(0,MIN(1,Inputs!$B$11-(BH$6-1)*1))</f>
        <v>0</v>
      </c>
      <c r="BI10" s="119" t="n">
        <f aca="false">MAX(0,MIN(1,Inputs!$B$11-(BI$6-1)*1))</f>
        <v>0</v>
      </c>
      <c r="BJ10" s="119" t="n">
        <f aca="false">MAX(0,MIN(1,Inputs!$B$11-(BJ$6-1)*1))</f>
        <v>0</v>
      </c>
    </row>
    <row r="11" customFormat="false" ht="15" hidden="false" customHeight="false" outlineLevel="0" collapsed="false">
      <c r="A11" s="38" t="s">
        <v>411</v>
      </c>
      <c r="C11" s="76" t="n">
        <f aca="false">IF(Inputs!$B$11&lt;=0,1,(C10*Inputs!$B$12+(1-Inputs!$B$12)/MAX(1,Inputs!$B$11)*(C10*(C$6-1)*1+C10*(C10-1)/2)+1-C10)/1)</f>
        <v>0.3</v>
      </c>
      <c r="D11" s="76" t="n">
        <f aca="false">IF(Inputs!$B$11&lt;=0,1,(D10*Inputs!$B$12+(1-Inputs!$B$12)/MAX(1,Inputs!$B$11)*(D10*(D$6-1)*1+D10*(D10-1)/2)+1-D10)/1)</f>
        <v>0.34375</v>
      </c>
      <c r="E11" s="76" t="n">
        <f aca="false">IF(Inputs!$B$11&lt;=0,1,(E10*Inputs!$B$12+(1-Inputs!$B$12)/MAX(1,Inputs!$B$11)*(E10*(E$6-1)*1+E10*(E10-1)/2)+1-E10)/1)</f>
        <v>0.3875</v>
      </c>
      <c r="F11" s="76" t="n">
        <f aca="false">IF(Inputs!$B$11&lt;=0,1,(F10*Inputs!$B$12+(1-Inputs!$B$12)/MAX(1,Inputs!$B$11)*(F10*(F$6-1)*1+F10*(F10-1)/2)+1-F10)/1)</f>
        <v>0.43125</v>
      </c>
      <c r="G11" s="76" t="n">
        <f aca="false">IF(Inputs!$B$11&lt;=0,1,(G10*Inputs!$B$12+(1-Inputs!$B$12)/MAX(1,Inputs!$B$11)*(G10*(G$6-1)*1+G10*(G10-1)/2)+1-G10)/1)</f>
        <v>0.475</v>
      </c>
      <c r="H11" s="76" t="n">
        <f aca="false">IF(Inputs!$B$11&lt;=0,1,(H10*Inputs!$B$12+(1-Inputs!$B$12)/MAX(1,Inputs!$B$11)*(H10*(H$6-1)*1+H10*(H10-1)/2)+1-H10)/1)</f>
        <v>0.51875</v>
      </c>
      <c r="I11" s="76" t="n">
        <f aca="false">IF(Inputs!$B$11&lt;=0,1,(I10*Inputs!$B$12+(1-Inputs!$B$12)/MAX(1,Inputs!$B$11)*(I10*(I$6-1)*1+I10*(I10-1)/2)+1-I10)/1)</f>
        <v>0.5625</v>
      </c>
      <c r="J11" s="76" t="n">
        <f aca="false">IF(Inputs!$B$11&lt;=0,1,(J10*Inputs!$B$12+(1-Inputs!$B$12)/MAX(1,Inputs!$B$11)*(J10*(J$6-1)*1+J10*(J10-1)/2)+1-J10)/1)</f>
        <v>0.60625</v>
      </c>
      <c r="K11" s="76" t="n">
        <f aca="false">IF(Inputs!$B$11&lt;=0,1,(K10*Inputs!$B$12+(1-Inputs!$B$12)/MAX(1,Inputs!$B$11)*(K10*(K$6-1)*1+K10*(K10-1)/2)+1-K10)/1)</f>
        <v>0.65</v>
      </c>
      <c r="L11" s="76" t="n">
        <f aca="false">IF(Inputs!$B$11&lt;=0,1,(L10*Inputs!$B$12+(1-Inputs!$B$12)/MAX(1,Inputs!$B$11)*(L10*(L$6-1)*1+L10*(L10-1)/2)+1-L10)/1)</f>
        <v>0.69375</v>
      </c>
      <c r="M11" s="76" t="n">
        <f aca="false">IF(Inputs!$B$11&lt;=0,1,(M10*Inputs!$B$12+(1-Inputs!$B$12)/MAX(1,Inputs!$B$11)*(M10*(M$6-1)*1+M10*(M10-1)/2)+1-M10)/1)</f>
        <v>0.7375</v>
      </c>
      <c r="N11" s="76" t="n">
        <f aca="false">IF(Inputs!$B$11&lt;=0,1,(N10*Inputs!$B$12+(1-Inputs!$B$12)/MAX(1,Inputs!$B$11)*(N10*(N$6-1)*1+N10*(N10-1)/2)+1-N10)/1)</f>
        <v>0.78125</v>
      </c>
      <c r="O11" s="76" t="n">
        <f aca="false">IF(Inputs!$B$11&lt;=0,1,(O10*Inputs!$B$12+(1-Inputs!$B$12)/MAX(1,Inputs!$B$11)*(O10*(O$6-1)*1+O10*(O10-1)/2)+1-O10)/1)</f>
        <v>0.825</v>
      </c>
      <c r="P11" s="76" t="n">
        <f aca="false">IF(Inputs!$B$11&lt;=0,1,(P10*Inputs!$B$12+(1-Inputs!$B$12)/MAX(1,Inputs!$B$11)*(P10*(P$6-1)*1+P10*(P10-1)/2)+1-P10)/1)</f>
        <v>0.86875</v>
      </c>
      <c r="Q11" s="76" t="n">
        <f aca="false">IF(Inputs!$B$11&lt;=0,1,(Q10*Inputs!$B$12+(1-Inputs!$B$12)/MAX(1,Inputs!$B$11)*(Q10*(Q$6-1)*1+Q10*(Q10-1)/2)+1-Q10)/1)</f>
        <v>0.9125</v>
      </c>
      <c r="R11" s="76" t="n">
        <f aca="false">IF(Inputs!$B$11&lt;=0,1,(R10*Inputs!$B$12+(1-Inputs!$B$12)/MAX(1,Inputs!$B$11)*(R10*(R$6-1)*1+R10*(R10-1)/2)+1-R10)/1)</f>
        <v>0.95625</v>
      </c>
      <c r="S11" s="76" t="n">
        <f aca="false">IF(Inputs!$B$11&lt;=0,1,(S10*Inputs!$B$12+(1-Inputs!$B$12)/MAX(1,Inputs!$B$11)*(S10*(S$6-1)*1+S10*(S10-1)/2)+1-S10)/1)</f>
        <v>1</v>
      </c>
      <c r="T11" s="76" t="n">
        <f aca="false">IF(Inputs!$B$11&lt;=0,1,(T10*Inputs!$B$12+(1-Inputs!$B$12)/MAX(1,Inputs!$B$11)*(T10*(T$6-1)*1+T10*(T10-1)/2)+1-T10)/1)</f>
        <v>1</v>
      </c>
      <c r="U11" s="76" t="n">
        <f aca="false">IF(Inputs!$B$11&lt;=0,1,(U10*Inputs!$B$12+(1-Inputs!$B$12)/MAX(1,Inputs!$B$11)*(U10*(U$6-1)*1+U10*(U10-1)/2)+1-U10)/1)</f>
        <v>1</v>
      </c>
      <c r="V11" s="76" t="n">
        <f aca="false">IF(Inputs!$B$11&lt;=0,1,(V10*Inputs!$B$12+(1-Inputs!$B$12)/MAX(1,Inputs!$B$11)*(V10*(V$6-1)*1+V10*(V10-1)/2)+1-V10)/1)</f>
        <v>1</v>
      </c>
      <c r="W11" s="76" t="n">
        <f aca="false">IF(Inputs!$B$11&lt;=0,1,(W10*Inputs!$B$12+(1-Inputs!$B$12)/MAX(1,Inputs!$B$11)*(W10*(W$6-1)*1+W10*(W10-1)/2)+1-W10)/1)</f>
        <v>1</v>
      </c>
      <c r="X11" s="76" t="n">
        <f aca="false">IF(Inputs!$B$11&lt;=0,1,(X10*Inputs!$B$12+(1-Inputs!$B$12)/MAX(1,Inputs!$B$11)*(X10*(X$6-1)*1+X10*(X10-1)/2)+1-X10)/1)</f>
        <v>1</v>
      </c>
      <c r="Y11" s="76" t="n">
        <f aca="false">IF(Inputs!$B$11&lt;=0,1,(Y10*Inputs!$B$12+(1-Inputs!$B$12)/MAX(1,Inputs!$B$11)*(Y10*(Y$6-1)*1+Y10*(Y10-1)/2)+1-Y10)/1)</f>
        <v>1</v>
      </c>
      <c r="Z11" s="76" t="n">
        <f aca="false">IF(Inputs!$B$11&lt;=0,1,(Z10*Inputs!$B$12+(1-Inputs!$B$12)/MAX(1,Inputs!$B$11)*(Z10*(Z$6-1)*1+Z10*(Z10-1)/2)+1-Z10)/1)</f>
        <v>1</v>
      </c>
      <c r="AA11" s="76" t="n">
        <f aca="false">IF(Inputs!$B$11&lt;=0,1,(AA10*Inputs!$B$12+(1-Inputs!$B$12)/MAX(1,Inputs!$B$11)*(AA10*(AA$6-1)*1+AA10*(AA10-1)/2)+1-AA10)/1)</f>
        <v>1</v>
      </c>
      <c r="AB11" s="76" t="n">
        <f aca="false">IF(Inputs!$B$11&lt;=0,1,(AB10*Inputs!$B$12+(1-Inputs!$B$12)/MAX(1,Inputs!$B$11)*(AB10*(AB$6-1)*1+AB10*(AB10-1)/2)+1-AB10)/1)</f>
        <v>1</v>
      </c>
      <c r="AC11" s="76" t="n">
        <f aca="false">IF(Inputs!$B$11&lt;=0,1,(AC10*Inputs!$B$12+(1-Inputs!$B$12)/MAX(1,Inputs!$B$11)*(AC10*(AC$6-1)*1+AC10*(AC10-1)/2)+1-AC10)/1)</f>
        <v>1</v>
      </c>
      <c r="AD11" s="76" t="n">
        <f aca="false">IF(Inputs!$B$11&lt;=0,1,(AD10*Inputs!$B$12+(1-Inputs!$B$12)/MAX(1,Inputs!$B$11)*(AD10*(AD$6-1)*1+AD10*(AD10-1)/2)+1-AD10)/1)</f>
        <v>1</v>
      </c>
      <c r="AE11" s="76" t="n">
        <f aca="false">IF(Inputs!$B$11&lt;=0,1,(AE10*Inputs!$B$12+(1-Inputs!$B$12)/MAX(1,Inputs!$B$11)*(AE10*(AE$6-1)*1+AE10*(AE10-1)/2)+1-AE10)/1)</f>
        <v>1</v>
      </c>
      <c r="AF11" s="76" t="n">
        <f aca="false">IF(Inputs!$B$11&lt;=0,1,(AF10*Inputs!$B$12+(1-Inputs!$B$12)/MAX(1,Inputs!$B$11)*(AF10*(AF$6-1)*1+AF10*(AF10-1)/2)+1-AF10)/1)</f>
        <v>1</v>
      </c>
      <c r="AG11" s="76" t="n">
        <f aca="false">IF(Inputs!$B$11&lt;=0,1,(AG10*Inputs!$B$12+(1-Inputs!$B$12)/MAX(1,Inputs!$B$11)*(AG10*(AG$6-1)*1+AG10*(AG10-1)/2)+1-AG10)/1)</f>
        <v>1</v>
      </c>
      <c r="AH11" s="76" t="n">
        <f aca="false">IF(Inputs!$B$11&lt;=0,1,(AH10*Inputs!$B$12+(1-Inputs!$B$12)/MAX(1,Inputs!$B$11)*(AH10*(AH$6-1)*1+AH10*(AH10-1)/2)+1-AH10)/1)</f>
        <v>1</v>
      </c>
      <c r="AI11" s="76" t="n">
        <f aca="false">IF(Inputs!$B$11&lt;=0,1,(AI10*Inputs!$B$12+(1-Inputs!$B$12)/MAX(1,Inputs!$B$11)*(AI10*(AI$6-1)*1+AI10*(AI10-1)/2)+1-AI10)/1)</f>
        <v>1</v>
      </c>
      <c r="AJ11" s="76" t="n">
        <f aca="false">IF(Inputs!$B$11&lt;=0,1,(AJ10*Inputs!$B$12+(1-Inputs!$B$12)/MAX(1,Inputs!$B$11)*(AJ10*(AJ$6-1)*1+AJ10*(AJ10-1)/2)+1-AJ10)/1)</f>
        <v>1</v>
      </c>
      <c r="AK11" s="76" t="n">
        <f aca="false">IF(Inputs!$B$11&lt;=0,1,(AK10*Inputs!$B$12+(1-Inputs!$B$12)/MAX(1,Inputs!$B$11)*(AK10*(AK$6-1)*1+AK10*(AK10-1)/2)+1-AK10)/1)</f>
        <v>1</v>
      </c>
      <c r="AL11" s="76" t="n">
        <f aca="false">IF(Inputs!$B$11&lt;=0,1,(AL10*Inputs!$B$12+(1-Inputs!$B$12)/MAX(1,Inputs!$B$11)*(AL10*(AL$6-1)*1+AL10*(AL10-1)/2)+1-AL10)/1)</f>
        <v>1</v>
      </c>
      <c r="AM11" s="76" t="n">
        <f aca="false">IF(Inputs!$B$11&lt;=0,1,(AM10*Inputs!$B$12+(1-Inputs!$B$12)/MAX(1,Inputs!$B$11)*(AM10*(AM$6-1)*1+AM10*(AM10-1)/2)+1-AM10)/1)</f>
        <v>1</v>
      </c>
      <c r="AN11" s="76" t="n">
        <f aca="false">IF(Inputs!$B$11&lt;=0,1,(AN10*Inputs!$B$12+(1-Inputs!$B$12)/MAX(1,Inputs!$B$11)*(AN10*(AN$6-1)*1+AN10*(AN10-1)/2)+1-AN10)/1)</f>
        <v>1</v>
      </c>
      <c r="AO11" s="76" t="n">
        <f aca="false">IF(Inputs!$B$11&lt;=0,1,(AO10*Inputs!$B$12+(1-Inputs!$B$12)/MAX(1,Inputs!$B$11)*(AO10*(AO$6-1)*1+AO10*(AO10-1)/2)+1-AO10)/1)</f>
        <v>1</v>
      </c>
      <c r="AP11" s="76" t="n">
        <f aca="false">IF(Inputs!$B$11&lt;=0,1,(AP10*Inputs!$B$12+(1-Inputs!$B$12)/MAX(1,Inputs!$B$11)*(AP10*(AP$6-1)*1+AP10*(AP10-1)/2)+1-AP10)/1)</f>
        <v>1</v>
      </c>
      <c r="AQ11" s="76" t="n">
        <f aca="false">IF(Inputs!$B$11&lt;=0,1,(AQ10*Inputs!$B$12+(1-Inputs!$B$12)/MAX(1,Inputs!$B$11)*(AQ10*(AQ$6-1)*1+AQ10*(AQ10-1)/2)+1-AQ10)/1)</f>
        <v>1</v>
      </c>
      <c r="AR11" s="76" t="n">
        <f aca="false">IF(Inputs!$B$11&lt;=0,1,(AR10*Inputs!$B$12+(1-Inputs!$B$12)/MAX(1,Inputs!$B$11)*(AR10*(AR$6-1)*1+AR10*(AR10-1)/2)+1-AR10)/1)</f>
        <v>1</v>
      </c>
      <c r="AS11" s="76" t="n">
        <f aca="false">IF(Inputs!$B$11&lt;=0,1,(AS10*Inputs!$B$12+(1-Inputs!$B$12)/MAX(1,Inputs!$B$11)*(AS10*(AS$6-1)*1+AS10*(AS10-1)/2)+1-AS10)/1)</f>
        <v>1</v>
      </c>
      <c r="AT11" s="76" t="n">
        <f aca="false">IF(Inputs!$B$11&lt;=0,1,(AT10*Inputs!$B$12+(1-Inputs!$B$12)/MAX(1,Inputs!$B$11)*(AT10*(AT$6-1)*1+AT10*(AT10-1)/2)+1-AT10)/1)</f>
        <v>1</v>
      </c>
      <c r="AU11" s="76" t="n">
        <f aca="false">IF(Inputs!$B$11&lt;=0,1,(AU10*Inputs!$B$12+(1-Inputs!$B$12)/MAX(1,Inputs!$B$11)*(AU10*(AU$6-1)*1+AU10*(AU10-1)/2)+1-AU10)/1)</f>
        <v>1</v>
      </c>
      <c r="AV11" s="76" t="n">
        <f aca="false">IF(Inputs!$B$11&lt;=0,1,(AV10*Inputs!$B$12+(1-Inputs!$B$12)/MAX(1,Inputs!$B$11)*(AV10*(AV$6-1)*1+AV10*(AV10-1)/2)+1-AV10)/1)</f>
        <v>1</v>
      </c>
      <c r="AW11" s="76" t="n">
        <f aca="false">IF(Inputs!$B$11&lt;=0,1,(AW10*Inputs!$B$12+(1-Inputs!$B$12)/MAX(1,Inputs!$B$11)*(AW10*(AW$6-1)*1+AW10*(AW10-1)/2)+1-AW10)/1)</f>
        <v>1</v>
      </c>
      <c r="AX11" s="76" t="n">
        <f aca="false">IF(Inputs!$B$11&lt;=0,1,(AX10*Inputs!$B$12+(1-Inputs!$B$12)/MAX(1,Inputs!$B$11)*(AX10*(AX$6-1)*1+AX10*(AX10-1)/2)+1-AX10)/1)</f>
        <v>1</v>
      </c>
      <c r="AY11" s="76" t="n">
        <f aca="false">IF(Inputs!$B$11&lt;=0,1,(AY10*Inputs!$B$12+(1-Inputs!$B$12)/MAX(1,Inputs!$B$11)*(AY10*(AY$6-1)*1+AY10*(AY10-1)/2)+1-AY10)/1)</f>
        <v>1</v>
      </c>
      <c r="AZ11" s="76" t="n">
        <f aca="false">IF(Inputs!$B$11&lt;=0,1,(AZ10*Inputs!$B$12+(1-Inputs!$B$12)/MAX(1,Inputs!$B$11)*(AZ10*(AZ$6-1)*1+AZ10*(AZ10-1)/2)+1-AZ10)/1)</f>
        <v>1</v>
      </c>
      <c r="BA11" s="76" t="n">
        <f aca="false">IF(Inputs!$B$11&lt;=0,1,(BA10*Inputs!$B$12+(1-Inputs!$B$12)/MAX(1,Inputs!$B$11)*(BA10*(BA$6-1)*1+BA10*(BA10-1)/2)+1-BA10)/1)</f>
        <v>1</v>
      </c>
      <c r="BB11" s="76" t="n">
        <f aca="false">IF(Inputs!$B$11&lt;=0,1,(BB10*Inputs!$B$12+(1-Inputs!$B$12)/MAX(1,Inputs!$B$11)*(BB10*(BB$6-1)*1+BB10*(BB10-1)/2)+1-BB10)/1)</f>
        <v>1</v>
      </c>
      <c r="BC11" s="76" t="n">
        <f aca="false">IF(Inputs!$B$11&lt;=0,1,(BC10*Inputs!$B$12+(1-Inputs!$B$12)/MAX(1,Inputs!$B$11)*(BC10*(BC$6-1)*1+BC10*(BC10-1)/2)+1-BC10)/1)</f>
        <v>1</v>
      </c>
      <c r="BD11" s="76" t="n">
        <f aca="false">IF(Inputs!$B$11&lt;=0,1,(BD10*Inputs!$B$12+(1-Inputs!$B$12)/MAX(1,Inputs!$B$11)*(BD10*(BD$6-1)*1+BD10*(BD10-1)/2)+1-BD10)/1)</f>
        <v>1</v>
      </c>
      <c r="BE11" s="76" t="n">
        <f aca="false">IF(Inputs!$B$11&lt;=0,1,(BE10*Inputs!$B$12+(1-Inputs!$B$12)/MAX(1,Inputs!$B$11)*(BE10*(BE$6-1)*1+BE10*(BE10-1)/2)+1-BE10)/1)</f>
        <v>1</v>
      </c>
      <c r="BF11" s="76" t="n">
        <f aca="false">IF(Inputs!$B$11&lt;=0,1,(BF10*Inputs!$B$12+(1-Inputs!$B$12)/MAX(1,Inputs!$B$11)*(BF10*(BF$6-1)*1+BF10*(BF10-1)/2)+1-BF10)/1)</f>
        <v>1</v>
      </c>
      <c r="BG11" s="76" t="n">
        <f aca="false">IF(Inputs!$B$11&lt;=0,1,(BG10*Inputs!$B$12+(1-Inputs!$B$12)/MAX(1,Inputs!$B$11)*(BG10*(BG$6-1)*1+BG10*(BG10-1)/2)+1-BG10)/1)</f>
        <v>1</v>
      </c>
      <c r="BH11" s="76" t="n">
        <f aca="false">IF(Inputs!$B$11&lt;=0,1,(BH10*Inputs!$B$12+(1-Inputs!$B$12)/MAX(1,Inputs!$B$11)*(BH10*(BH$6-1)*1+BH10*(BH10-1)/2)+1-BH10)/1)</f>
        <v>1</v>
      </c>
      <c r="BI11" s="76" t="n">
        <f aca="false">IF(Inputs!$B$11&lt;=0,1,(BI10*Inputs!$B$12+(1-Inputs!$B$12)/MAX(1,Inputs!$B$11)*(BI10*(BI$6-1)*1+BI10*(BI10-1)/2)+1-BI10)/1)</f>
        <v>1</v>
      </c>
      <c r="BJ11" s="76" t="n">
        <f aca="false">IF(Inputs!$B$11&lt;=0,1,(BJ10*Inputs!$B$12+(1-Inputs!$B$12)/MAX(1,Inputs!$B$11)*(BJ10*(BJ$6-1)*1+BJ10*(BJ10-1)/2)+1-BJ10)/1)</f>
        <v>1</v>
      </c>
    </row>
    <row r="12" customFormat="false" ht="15" hidden="false" customHeight="false" outlineLevel="0" collapsed="false">
      <c r="A12" s="6" t="s">
        <v>412</v>
      </c>
      <c r="C12" s="120" t="n">
        <f aca="false">Inputs!$B$7*(1+Inputs!$B$8)^(C$7-1)*Inputs!$B$10*1*C11</f>
        <v>82.5</v>
      </c>
      <c r="D12" s="120" t="n">
        <f aca="false">Inputs!$B$7*(1+Inputs!$B$8)^(D$7-1)*Inputs!$B$10*1*D11</f>
        <v>94.53125</v>
      </c>
      <c r="E12" s="120" t="n">
        <f aca="false">Inputs!$B$7*(1+Inputs!$B$8)^(E$7-1)*Inputs!$B$10*1*E11</f>
        <v>106.5625</v>
      </c>
      <c r="F12" s="120" t="n">
        <f aca="false">Inputs!$B$7*(1+Inputs!$B$8)^(F$7-1)*Inputs!$B$10*1*F11</f>
        <v>118.59375</v>
      </c>
      <c r="G12" s="120" t="n">
        <f aca="false">Inputs!$B$7*(1+Inputs!$B$8)^(G$7-1)*Inputs!$B$10*1*G11</f>
        <v>130.625</v>
      </c>
      <c r="H12" s="120" t="n">
        <f aca="false">Inputs!$B$7*(1+Inputs!$B$8)^(H$7-1)*Inputs!$B$10*1*H11</f>
        <v>142.65625</v>
      </c>
      <c r="I12" s="120" t="n">
        <f aca="false">Inputs!$B$7*(1+Inputs!$B$8)^(I$7-1)*Inputs!$B$10*1*I11</f>
        <v>154.6875</v>
      </c>
      <c r="J12" s="120" t="n">
        <f aca="false">Inputs!$B$7*(1+Inputs!$B$8)^(J$7-1)*Inputs!$B$10*1*J11</f>
        <v>166.71875</v>
      </c>
      <c r="K12" s="120" t="n">
        <f aca="false">Inputs!$B$7*(1+Inputs!$B$8)^(K$7-1)*Inputs!$B$10*1*K11</f>
        <v>178.75</v>
      </c>
      <c r="L12" s="120" t="n">
        <f aca="false">Inputs!$B$7*(1+Inputs!$B$8)^(L$7-1)*Inputs!$B$10*1*L11</f>
        <v>190.78125</v>
      </c>
      <c r="M12" s="120" t="n">
        <f aca="false">Inputs!$B$7*(1+Inputs!$B$8)^(M$7-1)*Inputs!$B$10*1*M11</f>
        <v>202.8125</v>
      </c>
      <c r="N12" s="120" t="n">
        <f aca="false">Inputs!$B$7*(1+Inputs!$B$8)^(N$7-1)*Inputs!$B$10*1*N11</f>
        <v>214.84375</v>
      </c>
      <c r="O12" s="120" t="n">
        <f aca="false">Inputs!$B$7*(1+Inputs!$B$8)^(O$7-1)*Inputs!$B$10*1*O11</f>
        <v>226.875</v>
      </c>
      <c r="P12" s="120" t="n">
        <f aca="false">Inputs!$B$7*(1+Inputs!$B$8)^(P$7-1)*Inputs!$B$10*1*P11</f>
        <v>238.90625</v>
      </c>
      <c r="Q12" s="120" t="n">
        <f aca="false">Inputs!$B$7*(1+Inputs!$B$8)^(Q$7-1)*Inputs!$B$10*1*Q11</f>
        <v>250.9375</v>
      </c>
      <c r="R12" s="120" t="n">
        <f aca="false">Inputs!$B$7*(1+Inputs!$B$8)^(R$7-1)*Inputs!$B$10*1*R11</f>
        <v>262.96875</v>
      </c>
      <c r="S12" s="120" t="n">
        <f aca="false">Inputs!$B$7*(1+Inputs!$B$8)^(S$7-1)*Inputs!$B$10*1*S11</f>
        <v>275</v>
      </c>
      <c r="T12" s="120" t="n">
        <f aca="false">Inputs!$B$7*(1+Inputs!$B$8)^(T$7-1)*Inputs!$B$10*1*T11</f>
        <v>275</v>
      </c>
      <c r="U12" s="120" t="n">
        <f aca="false">Inputs!$B$7*(1+Inputs!$B$8)^(U$7-1)*Inputs!$B$10*1*U11</f>
        <v>275</v>
      </c>
      <c r="V12" s="120" t="n">
        <f aca="false">Inputs!$B$7*(1+Inputs!$B$8)^(V$7-1)*Inputs!$B$10*1*V11</f>
        <v>275</v>
      </c>
      <c r="W12" s="120" t="n">
        <f aca="false">Inputs!$B$7*(1+Inputs!$B$8)^(W$7-1)*Inputs!$B$10*1*W11</f>
        <v>275</v>
      </c>
      <c r="X12" s="120" t="n">
        <f aca="false">Inputs!$B$7*(1+Inputs!$B$8)^(X$7-1)*Inputs!$B$10*1*X11</f>
        <v>275</v>
      </c>
      <c r="Y12" s="120" t="n">
        <f aca="false">Inputs!$B$7*(1+Inputs!$B$8)^(Y$7-1)*Inputs!$B$10*1*Y11</f>
        <v>275</v>
      </c>
      <c r="Z12" s="120" t="n">
        <f aca="false">Inputs!$B$7*(1+Inputs!$B$8)^(Z$7-1)*Inputs!$B$10*1*Z11</f>
        <v>275</v>
      </c>
      <c r="AA12" s="120" t="n">
        <f aca="false">Inputs!$B$7*(1+Inputs!$B$8)^(AA$7-1)*Inputs!$B$10*1*AA11</f>
        <v>275</v>
      </c>
      <c r="AB12" s="120" t="n">
        <f aca="false">Inputs!$B$7*(1+Inputs!$B$8)^(AB$7-1)*Inputs!$B$10*1*AB11</f>
        <v>275</v>
      </c>
      <c r="AC12" s="120" t="n">
        <f aca="false">Inputs!$B$7*(1+Inputs!$B$8)^(AC$7-1)*Inputs!$B$10*1*AC11</f>
        <v>275</v>
      </c>
      <c r="AD12" s="120" t="n">
        <f aca="false">Inputs!$B$7*(1+Inputs!$B$8)^(AD$7-1)*Inputs!$B$10*1*AD11</f>
        <v>275</v>
      </c>
      <c r="AE12" s="120" t="n">
        <f aca="false">Inputs!$B$7*(1+Inputs!$B$8)^(AE$7-1)*Inputs!$B$10*1*AE11</f>
        <v>275</v>
      </c>
      <c r="AF12" s="120" t="n">
        <f aca="false">Inputs!$B$7*(1+Inputs!$B$8)^(AF$7-1)*Inputs!$B$10*1*AF11</f>
        <v>275</v>
      </c>
      <c r="AG12" s="120" t="n">
        <f aca="false">Inputs!$B$7*(1+Inputs!$B$8)^(AG$7-1)*Inputs!$B$10*1*AG11</f>
        <v>275</v>
      </c>
      <c r="AH12" s="120" t="n">
        <f aca="false">Inputs!$B$7*(1+Inputs!$B$8)^(AH$7-1)*Inputs!$B$10*1*AH11</f>
        <v>275</v>
      </c>
      <c r="AI12" s="120" t="n">
        <f aca="false">Inputs!$B$7*(1+Inputs!$B$8)^(AI$7-1)*Inputs!$B$10*1*AI11</f>
        <v>275</v>
      </c>
      <c r="AJ12" s="120" t="n">
        <f aca="false">Inputs!$B$7*(1+Inputs!$B$8)^(AJ$7-1)*Inputs!$B$10*1*AJ11</f>
        <v>275</v>
      </c>
      <c r="AK12" s="120" t="n">
        <f aca="false">Inputs!$B$7*(1+Inputs!$B$8)^(AK$7-1)*Inputs!$B$10*1*AK11</f>
        <v>275</v>
      </c>
      <c r="AL12" s="120" t="n">
        <f aca="false">Inputs!$B$7*(1+Inputs!$B$8)^(AL$7-1)*Inputs!$B$10*1*AL11</f>
        <v>275</v>
      </c>
      <c r="AM12" s="120" t="n">
        <f aca="false">Inputs!$B$7*(1+Inputs!$B$8)^(AM$7-1)*Inputs!$B$10*1*AM11</f>
        <v>275</v>
      </c>
      <c r="AN12" s="120" t="n">
        <f aca="false">Inputs!$B$7*(1+Inputs!$B$8)^(AN$7-1)*Inputs!$B$10*1*AN11</f>
        <v>275</v>
      </c>
      <c r="AO12" s="120" t="n">
        <f aca="false">Inputs!$B$7*(1+Inputs!$B$8)^(AO$7-1)*Inputs!$B$10*1*AO11</f>
        <v>275</v>
      </c>
      <c r="AP12" s="120" t="n">
        <f aca="false">Inputs!$B$7*(1+Inputs!$B$8)^(AP$7-1)*Inputs!$B$10*1*AP11</f>
        <v>275</v>
      </c>
      <c r="AQ12" s="120" t="n">
        <f aca="false">Inputs!$B$7*(1+Inputs!$B$8)^(AQ$7-1)*Inputs!$B$10*1*AQ11</f>
        <v>275</v>
      </c>
      <c r="AR12" s="120" t="n">
        <f aca="false">Inputs!$B$7*(1+Inputs!$B$8)^(AR$7-1)*Inputs!$B$10*1*AR11</f>
        <v>275</v>
      </c>
      <c r="AS12" s="120" t="n">
        <f aca="false">Inputs!$B$7*(1+Inputs!$B$8)^(AS$7-1)*Inputs!$B$10*1*AS11</f>
        <v>275</v>
      </c>
      <c r="AT12" s="120" t="n">
        <f aca="false">Inputs!$B$7*(1+Inputs!$B$8)^(AT$7-1)*Inputs!$B$10*1*AT11</f>
        <v>275</v>
      </c>
      <c r="AU12" s="120" t="n">
        <f aca="false">Inputs!$B$7*(1+Inputs!$B$8)^(AU$7-1)*Inputs!$B$10*1*AU11</f>
        <v>275</v>
      </c>
      <c r="AV12" s="120" t="n">
        <f aca="false">Inputs!$B$7*(1+Inputs!$B$8)^(AV$7-1)*Inputs!$B$10*1*AV11</f>
        <v>275</v>
      </c>
      <c r="AW12" s="120" t="n">
        <f aca="false">Inputs!$B$7*(1+Inputs!$B$8)^(AW$7-1)*Inputs!$B$10*1*AW11</f>
        <v>275</v>
      </c>
      <c r="AX12" s="120" t="n">
        <f aca="false">Inputs!$B$7*(1+Inputs!$B$8)^(AX$7-1)*Inputs!$B$10*1*AX11</f>
        <v>275</v>
      </c>
      <c r="AY12" s="120" t="n">
        <f aca="false">Inputs!$B$7*(1+Inputs!$B$8)^(AY$7-1)*Inputs!$B$10*1*AY11</f>
        <v>275</v>
      </c>
      <c r="AZ12" s="120" t="n">
        <f aca="false">Inputs!$B$7*(1+Inputs!$B$8)^(AZ$7-1)*Inputs!$B$10*1*AZ11</f>
        <v>275</v>
      </c>
      <c r="BA12" s="120" t="n">
        <f aca="false">Inputs!$B$7*(1+Inputs!$B$8)^(BA$7-1)*Inputs!$B$10*1*BA11</f>
        <v>275</v>
      </c>
      <c r="BB12" s="120" t="n">
        <f aca="false">Inputs!$B$7*(1+Inputs!$B$8)^(BB$7-1)*Inputs!$B$10*1*BB11</f>
        <v>275</v>
      </c>
      <c r="BC12" s="120" t="n">
        <f aca="false">Inputs!$B$7*(1+Inputs!$B$8)^(BC$7-1)*Inputs!$B$10*1*BC11</f>
        <v>275</v>
      </c>
      <c r="BD12" s="120" t="n">
        <f aca="false">Inputs!$B$7*(1+Inputs!$B$8)^(BD$7-1)*Inputs!$B$10*1*BD11</f>
        <v>275</v>
      </c>
      <c r="BE12" s="120" t="n">
        <f aca="false">Inputs!$B$7*(1+Inputs!$B$8)^(BE$7-1)*Inputs!$B$10*1*BE11</f>
        <v>275</v>
      </c>
      <c r="BF12" s="120" t="n">
        <f aca="false">Inputs!$B$7*(1+Inputs!$B$8)^(BF$7-1)*Inputs!$B$10*1*BF11</f>
        <v>275</v>
      </c>
      <c r="BG12" s="120" t="n">
        <f aca="false">Inputs!$B$7*(1+Inputs!$B$8)^(BG$7-1)*Inputs!$B$10*1*BG11</f>
        <v>275</v>
      </c>
      <c r="BH12" s="120" t="n">
        <f aca="false">Inputs!$B$7*(1+Inputs!$B$8)^(BH$7-1)*Inputs!$B$10*1*BH11</f>
        <v>275</v>
      </c>
      <c r="BI12" s="120" t="n">
        <f aca="false">Inputs!$B$7*(1+Inputs!$B$8)^(BI$7-1)*Inputs!$B$10*1*BI11</f>
        <v>275</v>
      </c>
      <c r="BJ12" s="120" t="n">
        <f aca="false">Inputs!$B$7*(1+Inputs!$B$8)^(BJ$7-1)*Inputs!$B$10*1*BJ11</f>
        <v>275</v>
      </c>
    </row>
    <row r="13" customFormat="false" ht="15" hidden="false" customHeight="false" outlineLevel="0" collapsed="false">
      <c r="A13" s="6" t="s">
        <v>413</v>
      </c>
      <c r="C13" s="120" t="n">
        <f aca="false">C12*Inputs!$B$9</f>
        <v>165</v>
      </c>
      <c r="D13" s="120" t="n">
        <f aca="false">D12*Inputs!$B$9</f>
        <v>189.0625</v>
      </c>
      <c r="E13" s="120" t="n">
        <f aca="false">E12*Inputs!$B$9</f>
        <v>213.125</v>
      </c>
      <c r="F13" s="120" t="n">
        <f aca="false">F12*Inputs!$B$9</f>
        <v>237.1875</v>
      </c>
      <c r="G13" s="120" t="n">
        <f aca="false">G12*Inputs!$B$9</f>
        <v>261.25</v>
      </c>
      <c r="H13" s="120" t="n">
        <f aca="false">H12*Inputs!$B$9</f>
        <v>285.3125</v>
      </c>
      <c r="I13" s="120" t="n">
        <f aca="false">I12*Inputs!$B$9</f>
        <v>309.375</v>
      </c>
      <c r="J13" s="120" t="n">
        <f aca="false">J12*Inputs!$B$9</f>
        <v>333.4375</v>
      </c>
      <c r="K13" s="120" t="n">
        <f aca="false">K12*Inputs!$B$9</f>
        <v>357.5</v>
      </c>
      <c r="L13" s="120" t="n">
        <f aca="false">L12*Inputs!$B$9</f>
        <v>381.5625</v>
      </c>
      <c r="M13" s="120" t="n">
        <f aca="false">M12*Inputs!$B$9</f>
        <v>405.625</v>
      </c>
      <c r="N13" s="120" t="n">
        <f aca="false">N12*Inputs!$B$9</f>
        <v>429.6875</v>
      </c>
      <c r="O13" s="120" t="n">
        <f aca="false">O12*Inputs!$B$9</f>
        <v>453.75</v>
      </c>
      <c r="P13" s="120" t="n">
        <f aca="false">P12*Inputs!$B$9</f>
        <v>477.8125</v>
      </c>
      <c r="Q13" s="120" t="n">
        <f aca="false">Q12*Inputs!$B$9</f>
        <v>501.875</v>
      </c>
      <c r="R13" s="120" t="n">
        <f aca="false">R12*Inputs!$B$9</f>
        <v>525.9375</v>
      </c>
      <c r="S13" s="120" t="n">
        <f aca="false">S12*Inputs!$B$9</f>
        <v>550</v>
      </c>
      <c r="T13" s="120" t="n">
        <f aca="false">T12*Inputs!$B$9</f>
        <v>550</v>
      </c>
      <c r="U13" s="120" t="n">
        <f aca="false">U12*Inputs!$B$9</f>
        <v>550</v>
      </c>
      <c r="V13" s="120" t="n">
        <f aca="false">V12*Inputs!$B$9</f>
        <v>550</v>
      </c>
      <c r="W13" s="120" t="n">
        <f aca="false">W12*Inputs!$B$9</f>
        <v>550</v>
      </c>
      <c r="X13" s="120" t="n">
        <f aca="false">X12*Inputs!$B$9</f>
        <v>550</v>
      </c>
      <c r="Y13" s="120" t="n">
        <f aca="false">Y12*Inputs!$B$9</f>
        <v>550</v>
      </c>
      <c r="Z13" s="120" t="n">
        <f aca="false">Z12*Inputs!$B$9</f>
        <v>550</v>
      </c>
      <c r="AA13" s="120" t="n">
        <f aca="false">AA12*Inputs!$B$9</f>
        <v>550</v>
      </c>
      <c r="AB13" s="120" t="n">
        <f aca="false">AB12*Inputs!$B$9</f>
        <v>550</v>
      </c>
      <c r="AC13" s="120" t="n">
        <f aca="false">AC12*Inputs!$B$9</f>
        <v>550</v>
      </c>
      <c r="AD13" s="120" t="n">
        <f aca="false">AD12*Inputs!$B$9</f>
        <v>550</v>
      </c>
      <c r="AE13" s="120" t="n">
        <f aca="false">AE12*Inputs!$B$9</f>
        <v>550</v>
      </c>
      <c r="AF13" s="120" t="n">
        <f aca="false">AF12*Inputs!$B$9</f>
        <v>550</v>
      </c>
      <c r="AG13" s="120" t="n">
        <f aca="false">AG12*Inputs!$B$9</f>
        <v>550</v>
      </c>
      <c r="AH13" s="120" t="n">
        <f aca="false">AH12*Inputs!$B$9</f>
        <v>550</v>
      </c>
      <c r="AI13" s="120" t="n">
        <f aca="false">AI12*Inputs!$B$9</f>
        <v>550</v>
      </c>
      <c r="AJ13" s="120" t="n">
        <f aca="false">AJ12*Inputs!$B$9</f>
        <v>550</v>
      </c>
      <c r="AK13" s="120" t="n">
        <f aca="false">AK12*Inputs!$B$9</f>
        <v>550</v>
      </c>
      <c r="AL13" s="120" t="n">
        <f aca="false">AL12*Inputs!$B$9</f>
        <v>550</v>
      </c>
      <c r="AM13" s="120" t="n">
        <f aca="false">AM12*Inputs!$B$9</f>
        <v>550</v>
      </c>
      <c r="AN13" s="120" t="n">
        <f aca="false">AN12*Inputs!$B$9</f>
        <v>550</v>
      </c>
      <c r="AO13" s="120" t="n">
        <f aca="false">AO12*Inputs!$B$9</f>
        <v>550</v>
      </c>
      <c r="AP13" s="120" t="n">
        <f aca="false">AP12*Inputs!$B$9</f>
        <v>550</v>
      </c>
      <c r="AQ13" s="120" t="n">
        <f aca="false">AQ12*Inputs!$B$9</f>
        <v>550</v>
      </c>
      <c r="AR13" s="120" t="n">
        <f aca="false">AR12*Inputs!$B$9</f>
        <v>550</v>
      </c>
      <c r="AS13" s="120" t="n">
        <f aca="false">AS12*Inputs!$B$9</f>
        <v>550</v>
      </c>
      <c r="AT13" s="120" t="n">
        <f aca="false">AT12*Inputs!$B$9</f>
        <v>550</v>
      </c>
      <c r="AU13" s="120" t="n">
        <f aca="false">AU12*Inputs!$B$9</f>
        <v>550</v>
      </c>
      <c r="AV13" s="120" t="n">
        <f aca="false">AV12*Inputs!$B$9</f>
        <v>550</v>
      </c>
      <c r="AW13" s="120" t="n">
        <f aca="false">AW12*Inputs!$B$9</f>
        <v>550</v>
      </c>
      <c r="AX13" s="120" t="n">
        <f aca="false">AX12*Inputs!$B$9</f>
        <v>550</v>
      </c>
      <c r="AY13" s="120" t="n">
        <f aca="false">AY12*Inputs!$B$9</f>
        <v>550</v>
      </c>
      <c r="AZ13" s="120" t="n">
        <f aca="false">AZ12*Inputs!$B$9</f>
        <v>550</v>
      </c>
      <c r="BA13" s="120" t="n">
        <f aca="false">BA12*Inputs!$B$9</f>
        <v>550</v>
      </c>
      <c r="BB13" s="120" t="n">
        <f aca="false">BB12*Inputs!$B$9</f>
        <v>550</v>
      </c>
      <c r="BC13" s="120" t="n">
        <f aca="false">BC12*Inputs!$B$9</f>
        <v>550</v>
      </c>
      <c r="BD13" s="120" t="n">
        <f aca="false">BD12*Inputs!$B$9</f>
        <v>550</v>
      </c>
      <c r="BE13" s="120" t="n">
        <f aca="false">BE12*Inputs!$B$9</f>
        <v>550</v>
      </c>
      <c r="BF13" s="120" t="n">
        <f aca="false">BF12*Inputs!$B$9</f>
        <v>550</v>
      </c>
      <c r="BG13" s="120" t="n">
        <f aca="false">BG12*Inputs!$B$9</f>
        <v>550</v>
      </c>
      <c r="BH13" s="120" t="n">
        <f aca="false">BH12*Inputs!$B$9</f>
        <v>550</v>
      </c>
      <c r="BI13" s="120" t="n">
        <f aca="false">BI12*Inputs!$B$9</f>
        <v>550</v>
      </c>
      <c r="BJ13" s="120" t="n">
        <f aca="false">BJ12*Inputs!$B$9</f>
        <v>550</v>
      </c>
    </row>
    <row r="15" customFormat="false" ht="15.75" hidden="false" customHeight="true" outlineLevel="0" collapsed="false">
      <c r="A15" s="7" t="s">
        <v>414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customFormat="false" ht="15" hidden="false" customHeight="false" outlineLevel="0" collapsed="false">
      <c r="A16" s="6" t="s">
        <v>415</v>
      </c>
      <c r="C16" s="119" t="n">
        <f aca="false">C114</f>
        <v>5</v>
      </c>
      <c r="D16" s="119" t="n">
        <f aca="false">D114</f>
        <v>5</v>
      </c>
      <c r="E16" s="119" t="n">
        <f aca="false">E114</f>
        <v>5</v>
      </c>
      <c r="F16" s="119" t="n">
        <f aca="false">F114</f>
        <v>5</v>
      </c>
      <c r="G16" s="119" t="n">
        <f aca="false">G114</f>
        <v>5</v>
      </c>
      <c r="H16" s="119" t="n">
        <f aca="false">H114</f>
        <v>5</v>
      </c>
      <c r="I16" s="119" t="n">
        <f aca="false">I114</f>
        <v>5</v>
      </c>
      <c r="J16" s="119" t="n">
        <f aca="false">J114</f>
        <v>5</v>
      </c>
      <c r="K16" s="119" t="n">
        <f aca="false">K114</f>
        <v>5</v>
      </c>
      <c r="L16" s="119" t="n">
        <f aca="false">L114</f>
        <v>5</v>
      </c>
      <c r="M16" s="119" t="n">
        <f aca="false">M114</f>
        <v>5</v>
      </c>
      <c r="N16" s="119" t="n">
        <f aca="false">N114</f>
        <v>5</v>
      </c>
      <c r="O16" s="119" t="n">
        <f aca="false">O114</f>
        <v>5</v>
      </c>
      <c r="P16" s="119" t="n">
        <f aca="false">P114</f>
        <v>5</v>
      </c>
      <c r="Q16" s="119" t="n">
        <f aca="false">Q114</f>
        <v>5</v>
      </c>
      <c r="R16" s="119" t="n">
        <f aca="false">R114</f>
        <v>5</v>
      </c>
      <c r="S16" s="119" t="n">
        <f aca="false">S114</f>
        <v>5</v>
      </c>
      <c r="T16" s="119" t="n">
        <f aca="false">T114</f>
        <v>5</v>
      </c>
      <c r="U16" s="119" t="n">
        <f aca="false">U114</f>
        <v>5</v>
      </c>
      <c r="V16" s="119" t="n">
        <f aca="false">V114</f>
        <v>5</v>
      </c>
      <c r="W16" s="119" t="n">
        <f aca="false">W114</f>
        <v>5</v>
      </c>
      <c r="X16" s="119" t="n">
        <f aca="false">X114</f>
        <v>5</v>
      </c>
      <c r="Y16" s="119" t="n">
        <f aca="false">Y114</f>
        <v>5</v>
      </c>
      <c r="Z16" s="119" t="n">
        <f aca="false">Z114</f>
        <v>5</v>
      </c>
      <c r="AA16" s="119" t="n">
        <f aca="false">AA114</f>
        <v>5</v>
      </c>
      <c r="AB16" s="119" t="n">
        <f aca="false">AB114</f>
        <v>5</v>
      </c>
      <c r="AC16" s="119" t="n">
        <f aca="false">AC114</f>
        <v>5</v>
      </c>
      <c r="AD16" s="119" t="n">
        <f aca="false">AD114</f>
        <v>5</v>
      </c>
      <c r="AE16" s="119" t="n">
        <f aca="false">AE114</f>
        <v>5</v>
      </c>
      <c r="AF16" s="119" t="n">
        <f aca="false">AF114</f>
        <v>5</v>
      </c>
      <c r="AG16" s="119" t="n">
        <f aca="false">AG114</f>
        <v>5</v>
      </c>
      <c r="AH16" s="119" t="n">
        <f aca="false">AH114</f>
        <v>5</v>
      </c>
      <c r="AI16" s="119" t="n">
        <f aca="false">AI114</f>
        <v>5</v>
      </c>
      <c r="AJ16" s="119" t="n">
        <f aca="false">AJ114</f>
        <v>5</v>
      </c>
      <c r="AK16" s="119" t="n">
        <f aca="false">AK114</f>
        <v>5</v>
      </c>
      <c r="AL16" s="119" t="n">
        <f aca="false">AL114</f>
        <v>5</v>
      </c>
      <c r="AM16" s="119" t="n">
        <f aca="false">AM114</f>
        <v>5</v>
      </c>
      <c r="AN16" s="119" t="n">
        <f aca="false">AN114</f>
        <v>5</v>
      </c>
      <c r="AO16" s="119" t="n">
        <f aca="false">AO114</f>
        <v>5</v>
      </c>
      <c r="AP16" s="119" t="n">
        <f aca="false">AP114</f>
        <v>5</v>
      </c>
      <c r="AQ16" s="119" t="n">
        <f aca="false">AQ114</f>
        <v>5</v>
      </c>
      <c r="AR16" s="119" t="n">
        <f aca="false">AR114</f>
        <v>5</v>
      </c>
      <c r="AS16" s="119" t="n">
        <f aca="false">AS114</f>
        <v>5</v>
      </c>
      <c r="AT16" s="119" t="n">
        <f aca="false">AT114</f>
        <v>5</v>
      </c>
      <c r="AU16" s="119" t="n">
        <f aca="false">AU114</f>
        <v>5</v>
      </c>
      <c r="AV16" s="119" t="n">
        <f aca="false">AV114</f>
        <v>5</v>
      </c>
      <c r="AW16" s="119" t="n">
        <f aca="false">AW114</f>
        <v>5</v>
      </c>
      <c r="AX16" s="119" t="n">
        <f aca="false">AX114</f>
        <v>5</v>
      </c>
      <c r="AY16" s="119" t="n">
        <f aca="false">AY114</f>
        <v>5</v>
      </c>
      <c r="AZ16" s="119" t="n">
        <f aca="false">AZ114</f>
        <v>5</v>
      </c>
      <c r="BA16" s="119" t="n">
        <f aca="false">BA114</f>
        <v>5</v>
      </c>
      <c r="BB16" s="119" t="n">
        <f aca="false">BB114</f>
        <v>5</v>
      </c>
      <c r="BC16" s="119" t="n">
        <f aca="false">BC114</f>
        <v>5</v>
      </c>
      <c r="BD16" s="119" t="n">
        <f aca="false">BD114</f>
        <v>5</v>
      </c>
      <c r="BE16" s="119" t="n">
        <f aca="false">BE114</f>
        <v>5</v>
      </c>
      <c r="BF16" s="119" t="n">
        <f aca="false">BF114</f>
        <v>5</v>
      </c>
      <c r="BG16" s="119" t="n">
        <f aca="false">BG114</f>
        <v>5</v>
      </c>
      <c r="BH16" s="119" t="n">
        <f aca="false">BH114</f>
        <v>5</v>
      </c>
      <c r="BI16" s="119" t="n">
        <f aca="false">BI114</f>
        <v>5</v>
      </c>
      <c r="BJ16" s="119" t="n">
        <f aca="false">BJ114</f>
        <v>5</v>
      </c>
    </row>
    <row r="17" customFormat="false" ht="15" hidden="false" customHeight="false" outlineLevel="0" collapsed="false">
      <c r="A17" s="6" t="s">
        <v>416</v>
      </c>
      <c r="C17" s="120" t="n">
        <f aca="false">Inputs!$B$15*Inputs!$B$16*Inputs!$B$10*1</f>
        <v>900</v>
      </c>
      <c r="D17" s="120" t="n">
        <f aca="false">Inputs!$B$15*Inputs!$B$16*Inputs!$B$10*1</f>
        <v>900</v>
      </c>
      <c r="E17" s="120" t="n">
        <f aca="false">Inputs!$B$15*Inputs!$B$16*Inputs!$B$10*1</f>
        <v>900</v>
      </c>
      <c r="F17" s="120" t="n">
        <f aca="false">Inputs!$B$15*Inputs!$B$16*Inputs!$B$10*1</f>
        <v>900</v>
      </c>
      <c r="G17" s="120" t="n">
        <f aca="false">Inputs!$B$15*Inputs!$B$16*Inputs!$B$10*1</f>
        <v>900</v>
      </c>
      <c r="H17" s="120" t="n">
        <f aca="false">Inputs!$B$15*Inputs!$B$16*Inputs!$B$10*1</f>
        <v>900</v>
      </c>
      <c r="I17" s="120" t="n">
        <f aca="false">Inputs!$B$15*Inputs!$B$16*Inputs!$B$10*1</f>
        <v>900</v>
      </c>
      <c r="J17" s="120" t="n">
        <f aca="false">Inputs!$B$15*Inputs!$B$16*Inputs!$B$10*1</f>
        <v>900</v>
      </c>
      <c r="K17" s="120" t="n">
        <f aca="false">Inputs!$B$15*Inputs!$B$16*Inputs!$B$10*1</f>
        <v>900</v>
      </c>
      <c r="L17" s="120" t="n">
        <f aca="false">Inputs!$B$15*Inputs!$B$16*Inputs!$B$10*1</f>
        <v>900</v>
      </c>
      <c r="M17" s="120" t="n">
        <f aca="false">Inputs!$B$15*Inputs!$B$16*Inputs!$B$10*1</f>
        <v>900</v>
      </c>
      <c r="N17" s="120" t="n">
        <f aca="false">Inputs!$B$15*Inputs!$B$16*Inputs!$B$10*1</f>
        <v>900</v>
      </c>
      <c r="O17" s="120" t="n">
        <f aca="false">Inputs!$B$15*Inputs!$B$16*Inputs!$B$10*1</f>
        <v>900</v>
      </c>
      <c r="P17" s="120" t="n">
        <f aca="false">Inputs!$B$15*Inputs!$B$16*Inputs!$B$10*1</f>
        <v>900</v>
      </c>
      <c r="Q17" s="120" t="n">
        <f aca="false">Inputs!$B$15*Inputs!$B$16*Inputs!$B$10*1</f>
        <v>900</v>
      </c>
      <c r="R17" s="120" t="n">
        <f aca="false">Inputs!$B$15*Inputs!$B$16*Inputs!$B$10*1</f>
        <v>900</v>
      </c>
      <c r="S17" s="120" t="n">
        <f aca="false">Inputs!$B$15*Inputs!$B$16*Inputs!$B$10*1</f>
        <v>900</v>
      </c>
      <c r="T17" s="120" t="n">
        <f aca="false">Inputs!$B$15*Inputs!$B$16*Inputs!$B$10*1</f>
        <v>900</v>
      </c>
      <c r="U17" s="120" t="n">
        <f aca="false">Inputs!$B$15*Inputs!$B$16*Inputs!$B$10*1</f>
        <v>900</v>
      </c>
      <c r="V17" s="120" t="n">
        <f aca="false">Inputs!$B$15*Inputs!$B$16*Inputs!$B$10*1</f>
        <v>900</v>
      </c>
      <c r="W17" s="120" t="n">
        <f aca="false">Inputs!$B$15*Inputs!$B$16*Inputs!$B$10*1</f>
        <v>900</v>
      </c>
      <c r="X17" s="120" t="n">
        <f aca="false">Inputs!$B$15*Inputs!$B$16*Inputs!$B$10*1</f>
        <v>900</v>
      </c>
      <c r="Y17" s="120" t="n">
        <f aca="false">Inputs!$B$15*Inputs!$B$16*Inputs!$B$10*1</f>
        <v>900</v>
      </c>
      <c r="Z17" s="120" t="n">
        <f aca="false">Inputs!$B$15*Inputs!$B$16*Inputs!$B$10*1</f>
        <v>900</v>
      </c>
      <c r="AA17" s="120" t="n">
        <f aca="false">Inputs!$B$15*Inputs!$B$16*Inputs!$B$10*1</f>
        <v>900</v>
      </c>
      <c r="AB17" s="120" t="n">
        <f aca="false">Inputs!$B$15*Inputs!$B$16*Inputs!$B$10*1</f>
        <v>900</v>
      </c>
      <c r="AC17" s="120" t="n">
        <f aca="false">Inputs!$B$15*Inputs!$B$16*Inputs!$B$10*1</f>
        <v>900</v>
      </c>
      <c r="AD17" s="120" t="n">
        <f aca="false">Inputs!$B$15*Inputs!$B$16*Inputs!$B$10*1</f>
        <v>900</v>
      </c>
      <c r="AE17" s="120" t="n">
        <f aca="false">Inputs!$B$15*Inputs!$B$16*Inputs!$B$10*1</f>
        <v>900</v>
      </c>
      <c r="AF17" s="120" t="n">
        <f aca="false">Inputs!$B$15*Inputs!$B$16*Inputs!$B$10*1</f>
        <v>900</v>
      </c>
      <c r="AG17" s="120" t="n">
        <f aca="false">Inputs!$B$15*Inputs!$B$16*Inputs!$B$10*1</f>
        <v>900</v>
      </c>
      <c r="AH17" s="120" t="n">
        <f aca="false">Inputs!$B$15*Inputs!$B$16*Inputs!$B$10*1</f>
        <v>900</v>
      </c>
      <c r="AI17" s="120" t="n">
        <f aca="false">Inputs!$B$15*Inputs!$B$16*Inputs!$B$10*1</f>
        <v>900</v>
      </c>
      <c r="AJ17" s="120" t="n">
        <f aca="false">Inputs!$B$15*Inputs!$B$16*Inputs!$B$10*1</f>
        <v>900</v>
      </c>
      <c r="AK17" s="120" t="n">
        <f aca="false">Inputs!$B$15*Inputs!$B$16*Inputs!$B$10*1</f>
        <v>900</v>
      </c>
      <c r="AL17" s="120" t="n">
        <f aca="false">Inputs!$B$15*Inputs!$B$16*Inputs!$B$10*1</f>
        <v>900</v>
      </c>
      <c r="AM17" s="120" t="n">
        <f aca="false">Inputs!$B$15*Inputs!$B$16*Inputs!$B$10*1</f>
        <v>900</v>
      </c>
      <c r="AN17" s="120" t="n">
        <f aca="false">Inputs!$B$15*Inputs!$B$16*Inputs!$B$10*1</f>
        <v>900</v>
      </c>
      <c r="AO17" s="120" t="n">
        <f aca="false">Inputs!$B$15*Inputs!$B$16*Inputs!$B$10*1</f>
        <v>900</v>
      </c>
      <c r="AP17" s="120" t="n">
        <f aca="false">Inputs!$B$15*Inputs!$B$16*Inputs!$B$10*1</f>
        <v>900</v>
      </c>
      <c r="AQ17" s="120" t="n">
        <f aca="false">Inputs!$B$15*Inputs!$B$16*Inputs!$B$10*1</f>
        <v>900</v>
      </c>
      <c r="AR17" s="120" t="n">
        <f aca="false">Inputs!$B$15*Inputs!$B$16*Inputs!$B$10*1</f>
        <v>900</v>
      </c>
      <c r="AS17" s="120" t="n">
        <f aca="false">Inputs!$B$15*Inputs!$B$16*Inputs!$B$10*1</f>
        <v>900</v>
      </c>
      <c r="AT17" s="120" t="n">
        <f aca="false">Inputs!$B$15*Inputs!$B$16*Inputs!$B$10*1</f>
        <v>900</v>
      </c>
      <c r="AU17" s="120" t="n">
        <f aca="false">Inputs!$B$15*Inputs!$B$16*Inputs!$B$10*1</f>
        <v>900</v>
      </c>
      <c r="AV17" s="120" t="n">
        <f aca="false">Inputs!$B$15*Inputs!$B$16*Inputs!$B$10*1</f>
        <v>900</v>
      </c>
      <c r="AW17" s="120" t="n">
        <f aca="false">Inputs!$B$15*Inputs!$B$16*Inputs!$B$10*1</f>
        <v>900</v>
      </c>
      <c r="AX17" s="120" t="n">
        <f aca="false">Inputs!$B$15*Inputs!$B$16*Inputs!$B$10*1</f>
        <v>900</v>
      </c>
      <c r="AY17" s="120" t="n">
        <f aca="false">Inputs!$B$15*Inputs!$B$16*Inputs!$B$10*1</f>
        <v>900</v>
      </c>
      <c r="AZ17" s="120" t="n">
        <f aca="false">Inputs!$B$15*Inputs!$B$16*Inputs!$B$10*1</f>
        <v>900</v>
      </c>
      <c r="BA17" s="120" t="n">
        <f aca="false">Inputs!$B$15*Inputs!$B$16*Inputs!$B$10*1</f>
        <v>900</v>
      </c>
      <c r="BB17" s="120" t="n">
        <f aca="false">Inputs!$B$15*Inputs!$B$16*Inputs!$B$10*1</f>
        <v>900</v>
      </c>
      <c r="BC17" s="120" t="n">
        <f aca="false">Inputs!$B$15*Inputs!$B$16*Inputs!$B$10*1</f>
        <v>900</v>
      </c>
      <c r="BD17" s="120" t="n">
        <f aca="false">Inputs!$B$15*Inputs!$B$16*Inputs!$B$10*1</f>
        <v>900</v>
      </c>
      <c r="BE17" s="120" t="n">
        <f aca="false">Inputs!$B$15*Inputs!$B$16*Inputs!$B$10*1</f>
        <v>900</v>
      </c>
      <c r="BF17" s="120" t="n">
        <f aca="false">Inputs!$B$15*Inputs!$B$16*Inputs!$B$10*1</f>
        <v>900</v>
      </c>
      <c r="BG17" s="120" t="n">
        <f aca="false">Inputs!$B$15*Inputs!$B$16*Inputs!$B$10*1</f>
        <v>900</v>
      </c>
      <c r="BH17" s="120" t="n">
        <f aca="false">Inputs!$B$15*Inputs!$B$16*Inputs!$B$10*1</f>
        <v>900</v>
      </c>
      <c r="BI17" s="120" t="n">
        <f aca="false">Inputs!$B$15*Inputs!$B$16*Inputs!$B$10*1</f>
        <v>900</v>
      </c>
      <c r="BJ17" s="120" t="n">
        <f aca="false">Inputs!$B$15*Inputs!$B$16*Inputs!$B$10*1</f>
        <v>900</v>
      </c>
    </row>
    <row r="18" customFormat="false" ht="15" hidden="false" customHeight="false" outlineLevel="0" collapsed="false">
      <c r="A18" s="6" t="s">
        <v>417</v>
      </c>
      <c r="C18" s="120" t="n">
        <f aca="false">C16*Inputs!$B$17*Inputs!$B$18*Inputs!$B$10*1</f>
        <v>820</v>
      </c>
      <c r="D18" s="120" t="n">
        <f aca="false">D16*Inputs!$B$17*Inputs!$B$18*Inputs!$B$10*1</f>
        <v>820</v>
      </c>
      <c r="E18" s="120" t="n">
        <f aca="false">E16*Inputs!$B$17*Inputs!$B$18*Inputs!$B$10*1</f>
        <v>820</v>
      </c>
      <c r="F18" s="120" t="n">
        <f aca="false">F16*Inputs!$B$17*Inputs!$B$18*Inputs!$B$10*1</f>
        <v>820</v>
      </c>
      <c r="G18" s="120" t="n">
        <f aca="false">G16*Inputs!$B$17*Inputs!$B$18*Inputs!$B$10*1</f>
        <v>820</v>
      </c>
      <c r="H18" s="120" t="n">
        <f aca="false">H16*Inputs!$B$17*Inputs!$B$18*Inputs!$B$10*1</f>
        <v>820</v>
      </c>
      <c r="I18" s="120" t="n">
        <f aca="false">I16*Inputs!$B$17*Inputs!$B$18*Inputs!$B$10*1</f>
        <v>820</v>
      </c>
      <c r="J18" s="120" t="n">
        <f aca="false">J16*Inputs!$B$17*Inputs!$B$18*Inputs!$B$10*1</f>
        <v>820</v>
      </c>
      <c r="K18" s="120" t="n">
        <f aca="false">K16*Inputs!$B$17*Inputs!$B$18*Inputs!$B$10*1</f>
        <v>820</v>
      </c>
      <c r="L18" s="120" t="n">
        <f aca="false">L16*Inputs!$B$17*Inputs!$B$18*Inputs!$B$10*1</f>
        <v>820</v>
      </c>
      <c r="M18" s="120" t="n">
        <f aca="false">M16*Inputs!$B$17*Inputs!$B$18*Inputs!$B$10*1</f>
        <v>820</v>
      </c>
      <c r="N18" s="120" t="n">
        <f aca="false">N16*Inputs!$B$17*Inputs!$B$18*Inputs!$B$10*1</f>
        <v>820</v>
      </c>
      <c r="O18" s="120" t="n">
        <f aca="false">O16*Inputs!$B$17*Inputs!$B$18*Inputs!$B$10*1</f>
        <v>820</v>
      </c>
      <c r="P18" s="120" t="n">
        <f aca="false">P16*Inputs!$B$17*Inputs!$B$18*Inputs!$B$10*1</f>
        <v>820</v>
      </c>
      <c r="Q18" s="120" t="n">
        <f aca="false">Q16*Inputs!$B$17*Inputs!$B$18*Inputs!$B$10*1</f>
        <v>820</v>
      </c>
      <c r="R18" s="120" t="n">
        <f aca="false">R16*Inputs!$B$17*Inputs!$B$18*Inputs!$B$10*1</f>
        <v>820</v>
      </c>
      <c r="S18" s="120" t="n">
        <f aca="false">S16*Inputs!$B$17*Inputs!$B$18*Inputs!$B$10*1</f>
        <v>820</v>
      </c>
      <c r="T18" s="120" t="n">
        <f aca="false">T16*Inputs!$B$17*Inputs!$B$18*Inputs!$B$10*1</f>
        <v>820</v>
      </c>
      <c r="U18" s="120" t="n">
        <f aca="false">U16*Inputs!$B$17*Inputs!$B$18*Inputs!$B$10*1</f>
        <v>820</v>
      </c>
      <c r="V18" s="120" t="n">
        <f aca="false">V16*Inputs!$B$17*Inputs!$B$18*Inputs!$B$10*1</f>
        <v>820</v>
      </c>
      <c r="W18" s="120" t="n">
        <f aca="false">W16*Inputs!$B$17*Inputs!$B$18*Inputs!$B$10*1</f>
        <v>820</v>
      </c>
      <c r="X18" s="120" t="n">
        <f aca="false">X16*Inputs!$B$17*Inputs!$B$18*Inputs!$B$10*1</f>
        <v>820</v>
      </c>
      <c r="Y18" s="120" t="n">
        <f aca="false">Y16*Inputs!$B$17*Inputs!$B$18*Inputs!$B$10*1</f>
        <v>820</v>
      </c>
      <c r="Z18" s="120" t="n">
        <f aca="false">Z16*Inputs!$B$17*Inputs!$B$18*Inputs!$B$10*1</f>
        <v>820</v>
      </c>
      <c r="AA18" s="120" t="n">
        <f aca="false">AA16*Inputs!$B$17*Inputs!$B$18*Inputs!$B$10*1</f>
        <v>820</v>
      </c>
      <c r="AB18" s="120" t="n">
        <f aca="false">AB16*Inputs!$B$17*Inputs!$B$18*Inputs!$B$10*1</f>
        <v>820</v>
      </c>
      <c r="AC18" s="120" t="n">
        <f aca="false">AC16*Inputs!$B$17*Inputs!$B$18*Inputs!$B$10*1</f>
        <v>820</v>
      </c>
      <c r="AD18" s="120" t="n">
        <f aca="false">AD16*Inputs!$B$17*Inputs!$B$18*Inputs!$B$10*1</f>
        <v>820</v>
      </c>
      <c r="AE18" s="120" t="n">
        <f aca="false">AE16*Inputs!$B$17*Inputs!$B$18*Inputs!$B$10*1</f>
        <v>820</v>
      </c>
      <c r="AF18" s="120" t="n">
        <f aca="false">AF16*Inputs!$B$17*Inputs!$B$18*Inputs!$B$10*1</f>
        <v>820</v>
      </c>
      <c r="AG18" s="120" t="n">
        <f aca="false">AG16*Inputs!$B$17*Inputs!$B$18*Inputs!$B$10*1</f>
        <v>820</v>
      </c>
      <c r="AH18" s="120" t="n">
        <f aca="false">AH16*Inputs!$B$17*Inputs!$B$18*Inputs!$B$10*1</f>
        <v>820</v>
      </c>
      <c r="AI18" s="120" t="n">
        <f aca="false">AI16*Inputs!$B$17*Inputs!$B$18*Inputs!$B$10*1</f>
        <v>820</v>
      </c>
      <c r="AJ18" s="120" t="n">
        <f aca="false">AJ16*Inputs!$B$17*Inputs!$B$18*Inputs!$B$10*1</f>
        <v>820</v>
      </c>
      <c r="AK18" s="120" t="n">
        <f aca="false">AK16*Inputs!$B$17*Inputs!$B$18*Inputs!$B$10*1</f>
        <v>820</v>
      </c>
      <c r="AL18" s="120" t="n">
        <f aca="false">AL16*Inputs!$B$17*Inputs!$B$18*Inputs!$B$10*1</f>
        <v>820</v>
      </c>
      <c r="AM18" s="120" t="n">
        <f aca="false">AM16*Inputs!$B$17*Inputs!$B$18*Inputs!$B$10*1</f>
        <v>820</v>
      </c>
      <c r="AN18" s="120" t="n">
        <f aca="false">AN16*Inputs!$B$17*Inputs!$B$18*Inputs!$B$10*1</f>
        <v>820</v>
      </c>
      <c r="AO18" s="120" t="n">
        <f aca="false">AO16*Inputs!$B$17*Inputs!$B$18*Inputs!$B$10*1</f>
        <v>820</v>
      </c>
      <c r="AP18" s="120" t="n">
        <f aca="false">AP16*Inputs!$B$17*Inputs!$B$18*Inputs!$B$10*1</f>
        <v>820</v>
      </c>
      <c r="AQ18" s="120" t="n">
        <f aca="false">AQ16*Inputs!$B$17*Inputs!$B$18*Inputs!$B$10*1</f>
        <v>820</v>
      </c>
      <c r="AR18" s="120" t="n">
        <f aca="false">AR16*Inputs!$B$17*Inputs!$B$18*Inputs!$B$10*1</f>
        <v>820</v>
      </c>
      <c r="AS18" s="120" t="n">
        <f aca="false">AS16*Inputs!$B$17*Inputs!$B$18*Inputs!$B$10*1</f>
        <v>820</v>
      </c>
      <c r="AT18" s="120" t="n">
        <f aca="false">AT16*Inputs!$B$17*Inputs!$B$18*Inputs!$B$10*1</f>
        <v>820</v>
      </c>
      <c r="AU18" s="120" t="n">
        <f aca="false">AU16*Inputs!$B$17*Inputs!$B$18*Inputs!$B$10*1</f>
        <v>820</v>
      </c>
      <c r="AV18" s="120" t="n">
        <f aca="false">AV16*Inputs!$B$17*Inputs!$B$18*Inputs!$B$10*1</f>
        <v>820</v>
      </c>
      <c r="AW18" s="120" t="n">
        <f aca="false">AW16*Inputs!$B$17*Inputs!$B$18*Inputs!$B$10*1</f>
        <v>820</v>
      </c>
      <c r="AX18" s="120" t="n">
        <f aca="false">AX16*Inputs!$B$17*Inputs!$B$18*Inputs!$B$10*1</f>
        <v>820</v>
      </c>
      <c r="AY18" s="120" t="n">
        <f aca="false">AY16*Inputs!$B$17*Inputs!$B$18*Inputs!$B$10*1</f>
        <v>820</v>
      </c>
      <c r="AZ18" s="120" t="n">
        <f aca="false">AZ16*Inputs!$B$17*Inputs!$B$18*Inputs!$B$10*1</f>
        <v>820</v>
      </c>
      <c r="BA18" s="120" t="n">
        <f aca="false">BA16*Inputs!$B$17*Inputs!$B$18*Inputs!$B$10*1</f>
        <v>820</v>
      </c>
      <c r="BB18" s="120" t="n">
        <f aca="false">BB16*Inputs!$B$17*Inputs!$B$18*Inputs!$B$10*1</f>
        <v>820</v>
      </c>
      <c r="BC18" s="120" t="n">
        <f aca="false">BC16*Inputs!$B$17*Inputs!$B$18*Inputs!$B$10*1</f>
        <v>820</v>
      </c>
      <c r="BD18" s="120" t="n">
        <f aca="false">BD16*Inputs!$B$17*Inputs!$B$18*Inputs!$B$10*1</f>
        <v>820</v>
      </c>
      <c r="BE18" s="120" t="n">
        <f aca="false">BE16*Inputs!$B$17*Inputs!$B$18*Inputs!$B$10*1</f>
        <v>820</v>
      </c>
      <c r="BF18" s="120" t="n">
        <f aca="false">BF16*Inputs!$B$17*Inputs!$B$18*Inputs!$B$10*1</f>
        <v>820</v>
      </c>
      <c r="BG18" s="120" t="n">
        <f aca="false">BG16*Inputs!$B$17*Inputs!$B$18*Inputs!$B$10*1</f>
        <v>820</v>
      </c>
      <c r="BH18" s="120" t="n">
        <f aca="false">BH16*Inputs!$B$17*Inputs!$B$18*Inputs!$B$10*1</f>
        <v>820</v>
      </c>
      <c r="BI18" s="120" t="n">
        <f aca="false">BI16*Inputs!$B$17*Inputs!$B$18*Inputs!$B$10*1</f>
        <v>820</v>
      </c>
      <c r="BJ18" s="120" t="n">
        <f aca="false">BJ16*Inputs!$B$17*Inputs!$B$18*Inputs!$B$10*1</f>
        <v>820</v>
      </c>
    </row>
    <row r="19" customFormat="false" ht="15" hidden="false" customHeight="false" outlineLevel="0" collapsed="false">
      <c r="A19" s="6" t="s">
        <v>235</v>
      </c>
      <c r="C19" s="120" t="n">
        <f aca="false">MIN(C17,C18)</f>
        <v>820</v>
      </c>
      <c r="D19" s="120" t="n">
        <f aca="false">MIN(D17,D18)</f>
        <v>820</v>
      </c>
      <c r="E19" s="120" t="n">
        <f aca="false">MIN(E17,E18)</f>
        <v>820</v>
      </c>
      <c r="F19" s="120" t="n">
        <f aca="false">MIN(F17,F18)</f>
        <v>820</v>
      </c>
      <c r="G19" s="120" t="n">
        <f aca="false">MIN(G17,G18)</f>
        <v>820</v>
      </c>
      <c r="H19" s="120" t="n">
        <f aca="false">MIN(H17,H18)</f>
        <v>820</v>
      </c>
      <c r="I19" s="120" t="n">
        <f aca="false">MIN(I17,I18)</f>
        <v>820</v>
      </c>
      <c r="J19" s="120" t="n">
        <f aca="false">MIN(J17,J18)</f>
        <v>820</v>
      </c>
      <c r="K19" s="120" t="n">
        <f aca="false">MIN(K17,K18)</f>
        <v>820</v>
      </c>
      <c r="L19" s="120" t="n">
        <f aca="false">MIN(L17,L18)</f>
        <v>820</v>
      </c>
      <c r="M19" s="120" t="n">
        <f aca="false">MIN(M17,M18)</f>
        <v>820</v>
      </c>
      <c r="N19" s="120" t="n">
        <f aca="false">MIN(N17,N18)</f>
        <v>820</v>
      </c>
      <c r="O19" s="120" t="n">
        <f aca="false">MIN(O17,O18)</f>
        <v>820</v>
      </c>
      <c r="P19" s="120" t="n">
        <f aca="false">MIN(P17,P18)</f>
        <v>820</v>
      </c>
      <c r="Q19" s="120" t="n">
        <f aca="false">MIN(Q17,Q18)</f>
        <v>820</v>
      </c>
      <c r="R19" s="120" t="n">
        <f aca="false">MIN(R17,R18)</f>
        <v>820</v>
      </c>
      <c r="S19" s="120" t="n">
        <f aca="false">MIN(S17,S18)</f>
        <v>820</v>
      </c>
      <c r="T19" s="120" t="n">
        <f aca="false">MIN(T17,T18)</f>
        <v>820</v>
      </c>
      <c r="U19" s="120" t="n">
        <f aca="false">MIN(U17,U18)</f>
        <v>820</v>
      </c>
      <c r="V19" s="120" t="n">
        <f aca="false">MIN(V17,V18)</f>
        <v>820</v>
      </c>
      <c r="W19" s="120" t="n">
        <f aca="false">MIN(W17,W18)</f>
        <v>820</v>
      </c>
      <c r="X19" s="120" t="n">
        <f aca="false">MIN(X17,X18)</f>
        <v>820</v>
      </c>
      <c r="Y19" s="120" t="n">
        <f aca="false">MIN(Y17,Y18)</f>
        <v>820</v>
      </c>
      <c r="Z19" s="120" t="n">
        <f aca="false">MIN(Z17,Z18)</f>
        <v>820</v>
      </c>
      <c r="AA19" s="120" t="n">
        <f aca="false">MIN(AA17,AA18)</f>
        <v>820</v>
      </c>
      <c r="AB19" s="120" t="n">
        <f aca="false">MIN(AB17,AB18)</f>
        <v>820</v>
      </c>
      <c r="AC19" s="120" t="n">
        <f aca="false">MIN(AC17,AC18)</f>
        <v>820</v>
      </c>
      <c r="AD19" s="120" t="n">
        <f aca="false">MIN(AD17,AD18)</f>
        <v>820</v>
      </c>
      <c r="AE19" s="120" t="n">
        <f aca="false">MIN(AE17,AE18)</f>
        <v>820</v>
      </c>
      <c r="AF19" s="120" t="n">
        <f aca="false">MIN(AF17,AF18)</f>
        <v>820</v>
      </c>
      <c r="AG19" s="120" t="n">
        <f aca="false">MIN(AG17,AG18)</f>
        <v>820</v>
      </c>
      <c r="AH19" s="120" t="n">
        <f aca="false">MIN(AH17,AH18)</f>
        <v>820</v>
      </c>
      <c r="AI19" s="120" t="n">
        <f aca="false">MIN(AI17,AI18)</f>
        <v>820</v>
      </c>
      <c r="AJ19" s="120" t="n">
        <f aca="false">MIN(AJ17,AJ18)</f>
        <v>820</v>
      </c>
      <c r="AK19" s="120" t="n">
        <f aca="false">MIN(AK17,AK18)</f>
        <v>820</v>
      </c>
      <c r="AL19" s="120" t="n">
        <f aca="false">MIN(AL17,AL18)</f>
        <v>820</v>
      </c>
      <c r="AM19" s="120" t="n">
        <f aca="false">MIN(AM17,AM18)</f>
        <v>820</v>
      </c>
      <c r="AN19" s="120" t="n">
        <f aca="false">MIN(AN17,AN18)</f>
        <v>820</v>
      </c>
      <c r="AO19" s="120" t="n">
        <f aca="false">MIN(AO17,AO18)</f>
        <v>820</v>
      </c>
      <c r="AP19" s="120" t="n">
        <f aca="false">MIN(AP17,AP18)</f>
        <v>820</v>
      </c>
      <c r="AQ19" s="120" t="n">
        <f aca="false">MIN(AQ17,AQ18)</f>
        <v>820</v>
      </c>
      <c r="AR19" s="120" t="n">
        <f aca="false">MIN(AR17,AR18)</f>
        <v>820</v>
      </c>
      <c r="AS19" s="120" t="n">
        <f aca="false">MIN(AS17,AS18)</f>
        <v>820</v>
      </c>
      <c r="AT19" s="120" t="n">
        <f aca="false">MIN(AT17,AT18)</f>
        <v>820</v>
      </c>
      <c r="AU19" s="120" t="n">
        <f aca="false">MIN(AU17,AU18)</f>
        <v>820</v>
      </c>
      <c r="AV19" s="120" t="n">
        <f aca="false">MIN(AV17,AV18)</f>
        <v>820</v>
      </c>
      <c r="AW19" s="120" t="n">
        <f aca="false">MIN(AW17,AW18)</f>
        <v>820</v>
      </c>
      <c r="AX19" s="120" t="n">
        <f aca="false">MIN(AX17,AX18)</f>
        <v>820</v>
      </c>
      <c r="AY19" s="120" t="n">
        <f aca="false">MIN(AY17,AY18)</f>
        <v>820</v>
      </c>
      <c r="AZ19" s="120" t="n">
        <f aca="false">MIN(AZ17,AZ18)</f>
        <v>820</v>
      </c>
      <c r="BA19" s="120" t="n">
        <f aca="false">MIN(BA17,BA18)</f>
        <v>820</v>
      </c>
      <c r="BB19" s="120" t="n">
        <f aca="false">MIN(BB17,BB18)</f>
        <v>820</v>
      </c>
      <c r="BC19" s="120" t="n">
        <f aca="false">MIN(BC17,BC18)</f>
        <v>820</v>
      </c>
      <c r="BD19" s="120" t="n">
        <f aca="false">MIN(BD17,BD18)</f>
        <v>820</v>
      </c>
      <c r="BE19" s="120" t="n">
        <f aca="false">MIN(BE17,BE18)</f>
        <v>820</v>
      </c>
      <c r="BF19" s="120" t="n">
        <f aca="false">MIN(BF17,BF18)</f>
        <v>820</v>
      </c>
      <c r="BG19" s="120" t="n">
        <f aca="false">MIN(BG17,BG18)</f>
        <v>820</v>
      </c>
      <c r="BH19" s="120" t="n">
        <f aca="false">MIN(BH17,BH18)</f>
        <v>820</v>
      </c>
      <c r="BI19" s="120" t="n">
        <f aca="false">MIN(BI17,BI18)</f>
        <v>820</v>
      </c>
      <c r="BJ19" s="120" t="n">
        <f aca="false">MIN(BJ17,BJ18)</f>
        <v>820</v>
      </c>
    </row>
    <row r="20" customFormat="false" ht="15" hidden="false" customHeight="false" outlineLevel="0" collapsed="false">
      <c r="A20" s="4" t="s">
        <v>418</v>
      </c>
      <c r="C20" s="122" t="n">
        <f aca="false">MIN(C13,C19)</f>
        <v>165</v>
      </c>
      <c r="D20" s="122" t="n">
        <f aca="false">MIN(D13,D19)</f>
        <v>189.0625</v>
      </c>
      <c r="E20" s="122" t="n">
        <f aca="false">MIN(E13,E19)</f>
        <v>213.125</v>
      </c>
      <c r="F20" s="122" t="n">
        <f aca="false">MIN(F13,F19)</f>
        <v>237.1875</v>
      </c>
      <c r="G20" s="122" t="n">
        <f aca="false">MIN(G13,G19)</f>
        <v>261.25</v>
      </c>
      <c r="H20" s="122" t="n">
        <f aca="false">MIN(H13,H19)</f>
        <v>285.3125</v>
      </c>
      <c r="I20" s="122" t="n">
        <f aca="false">MIN(I13,I19)</f>
        <v>309.375</v>
      </c>
      <c r="J20" s="122" t="n">
        <f aca="false">MIN(J13,J19)</f>
        <v>333.4375</v>
      </c>
      <c r="K20" s="122" t="n">
        <f aca="false">MIN(K13,K19)</f>
        <v>357.5</v>
      </c>
      <c r="L20" s="122" t="n">
        <f aca="false">MIN(L13,L19)</f>
        <v>381.5625</v>
      </c>
      <c r="M20" s="122" t="n">
        <f aca="false">MIN(M13,M19)</f>
        <v>405.625</v>
      </c>
      <c r="N20" s="122" t="n">
        <f aca="false">MIN(N13,N19)</f>
        <v>429.6875</v>
      </c>
      <c r="O20" s="122" t="n">
        <f aca="false">MIN(O13,O19)</f>
        <v>453.75</v>
      </c>
      <c r="P20" s="122" t="n">
        <f aca="false">MIN(P13,P19)</f>
        <v>477.8125</v>
      </c>
      <c r="Q20" s="122" t="n">
        <f aca="false">MIN(Q13,Q19)</f>
        <v>501.875</v>
      </c>
      <c r="R20" s="122" t="n">
        <f aca="false">MIN(R13,R19)</f>
        <v>525.9375</v>
      </c>
      <c r="S20" s="122" t="n">
        <f aca="false">MIN(S13,S19)</f>
        <v>550</v>
      </c>
      <c r="T20" s="122" t="n">
        <f aca="false">MIN(T13,T19)</f>
        <v>550</v>
      </c>
      <c r="U20" s="122" t="n">
        <f aca="false">MIN(U13,U19)</f>
        <v>550</v>
      </c>
      <c r="V20" s="122" t="n">
        <f aca="false">MIN(V13,V19)</f>
        <v>550</v>
      </c>
      <c r="W20" s="122" t="n">
        <f aca="false">MIN(W13,W19)</f>
        <v>550</v>
      </c>
      <c r="X20" s="122" t="n">
        <f aca="false">MIN(X13,X19)</f>
        <v>550</v>
      </c>
      <c r="Y20" s="122" t="n">
        <f aca="false">MIN(Y13,Y19)</f>
        <v>550</v>
      </c>
      <c r="Z20" s="122" t="n">
        <f aca="false">MIN(Z13,Z19)</f>
        <v>550</v>
      </c>
      <c r="AA20" s="122" t="n">
        <f aca="false">MIN(AA13,AA19)</f>
        <v>550</v>
      </c>
      <c r="AB20" s="122" t="n">
        <f aca="false">MIN(AB13,AB19)</f>
        <v>550</v>
      </c>
      <c r="AC20" s="122" t="n">
        <f aca="false">MIN(AC13,AC19)</f>
        <v>550</v>
      </c>
      <c r="AD20" s="122" t="n">
        <f aca="false">MIN(AD13,AD19)</f>
        <v>550</v>
      </c>
      <c r="AE20" s="122" t="n">
        <f aca="false">MIN(AE13,AE19)</f>
        <v>550</v>
      </c>
      <c r="AF20" s="122" t="n">
        <f aca="false">MIN(AF13,AF19)</f>
        <v>550</v>
      </c>
      <c r="AG20" s="122" t="n">
        <f aca="false">MIN(AG13,AG19)</f>
        <v>550</v>
      </c>
      <c r="AH20" s="122" t="n">
        <f aca="false">MIN(AH13,AH19)</f>
        <v>550</v>
      </c>
      <c r="AI20" s="122" t="n">
        <f aca="false">MIN(AI13,AI19)</f>
        <v>550</v>
      </c>
      <c r="AJ20" s="122" t="n">
        <f aca="false">MIN(AJ13,AJ19)</f>
        <v>550</v>
      </c>
      <c r="AK20" s="122" t="n">
        <f aca="false">MIN(AK13,AK19)</f>
        <v>550</v>
      </c>
      <c r="AL20" s="122" t="n">
        <f aca="false">MIN(AL13,AL19)</f>
        <v>550</v>
      </c>
      <c r="AM20" s="122" t="n">
        <f aca="false">MIN(AM13,AM19)</f>
        <v>550</v>
      </c>
      <c r="AN20" s="122" t="n">
        <f aca="false">MIN(AN13,AN19)</f>
        <v>550</v>
      </c>
      <c r="AO20" s="122" t="n">
        <f aca="false">MIN(AO13,AO19)</f>
        <v>550</v>
      </c>
      <c r="AP20" s="122" t="n">
        <f aca="false">MIN(AP13,AP19)</f>
        <v>550</v>
      </c>
      <c r="AQ20" s="122" t="n">
        <f aca="false">MIN(AQ13,AQ19)</f>
        <v>550</v>
      </c>
      <c r="AR20" s="122" t="n">
        <f aca="false">MIN(AR13,AR19)</f>
        <v>550</v>
      </c>
      <c r="AS20" s="122" t="n">
        <f aca="false">MIN(AS13,AS19)</f>
        <v>550</v>
      </c>
      <c r="AT20" s="122" t="n">
        <f aca="false">MIN(AT13,AT19)</f>
        <v>550</v>
      </c>
      <c r="AU20" s="122" t="n">
        <f aca="false">MIN(AU13,AU19)</f>
        <v>550</v>
      </c>
      <c r="AV20" s="122" t="n">
        <f aca="false">MIN(AV13,AV19)</f>
        <v>550</v>
      </c>
      <c r="AW20" s="122" t="n">
        <f aca="false">MIN(AW13,AW19)</f>
        <v>550</v>
      </c>
      <c r="AX20" s="122" t="n">
        <f aca="false">MIN(AX13,AX19)</f>
        <v>550</v>
      </c>
      <c r="AY20" s="122" t="n">
        <f aca="false">MIN(AY13,AY19)</f>
        <v>550</v>
      </c>
      <c r="AZ20" s="122" t="n">
        <f aca="false">MIN(AZ13,AZ19)</f>
        <v>550</v>
      </c>
      <c r="BA20" s="122" t="n">
        <f aca="false">MIN(BA13,BA19)</f>
        <v>550</v>
      </c>
      <c r="BB20" s="122" t="n">
        <f aca="false">MIN(BB13,BB19)</f>
        <v>550</v>
      </c>
      <c r="BC20" s="122" t="n">
        <f aca="false">MIN(BC13,BC19)</f>
        <v>550</v>
      </c>
      <c r="BD20" s="122" t="n">
        <f aca="false">MIN(BD13,BD19)</f>
        <v>550</v>
      </c>
      <c r="BE20" s="122" t="n">
        <f aca="false">MIN(BE13,BE19)</f>
        <v>550</v>
      </c>
      <c r="BF20" s="122" t="n">
        <f aca="false">MIN(BF13,BF19)</f>
        <v>550</v>
      </c>
      <c r="BG20" s="122" t="n">
        <f aca="false">MIN(BG13,BG19)</f>
        <v>550</v>
      </c>
      <c r="BH20" s="122" t="n">
        <f aca="false">MIN(BH13,BH19)</f>
        <v>550</v>
      </c>
      <c r="BI20" s="122" t="n">
        <f aca="false">MIN(BI13,BI19)</f>
        <v>550</v>
      </c>
      <c r="BJ20" s="122" t="n">
        <f aca="false">MIN(BJ13,BJ19)</f>
        <v>550</v>
      </c>
    </row>
    <row r="21" customFormat="false" ht="15" hidden="false" customHeight="false" outlineLevel="0" collapsed="false">
      <c r="A21" s="6" t="s">
        <v>237</v>
      </c>
      <c r="C21" s="120" t="n">
        <f aca="false">C13-C20</f>
        <v>0</v>
      </c>
      <c r="D21" s="120" t="n">
        <f aca="false">D13-D20</f>
        <v>0</v>
      </c>
      <c r="E21" s="120" t="n">
        <f aca="false">E13-E20</f>
        <v>0</v>
      </c>
      <c r="F21" s="120" t="n">
        <f aca="false">F13-F20</f>
        <v>0</v>
      </c>
      <c r="G21" s="120" t="n">
        <f aca="false">G13-G20</f>
        <v>0</v>
      </c>
      <c r="H21" s="120" t="n">
        <f aca="false">H13-H20</f>
        <v>0</v>
      </c>
      <c r="I21" s="120" t="n">
        <f aca="false">I13-I20</f>
        <v>0</v>
      </c>
      <c r="J21" s="120" t="n">
        <f aca="false">J13-J20</f>
        <v>0</v>
      </c>
      <c r="K21" s="120" t="n">
        <f aca="false">K13-K20</f>
        <v>0</v>
      </c>
      <c r="L21" s="120" t="n">
        <f aca="false">L13-L20</f>
        <v>0</v>
      </c>
      <c r="M21" s="120" t="n">
        <f aca="false">M13-M20</f>
        <v>0</v>
      </c>
      <c r="N21" s="120" t="n">
        <f aca="false">N13-N20</f>
        <v>0</v>
      </c>
      <c r="O21" s="120" t="n">
        <f aca="false">O13-O20</f>
        <v>0</v>
      </c>
      <c r="P21" s="120" t="n">
        <f aca="false">P13-P20</f>
        <v>0</v>
      </c>
      <c r="Q21" s="120" t="n">
        <f aca="false">Q13-Q20</f>
        <v>0</v>
      </c>
      <c r="R21" s="120" t="n">
        <f aca="false">R13-R20</f>
        <v>0</v>
      </c>
      <c r="S21" s="120" t="n">
        <f aca="false">S13-S20</f>
        <v>0</v>
      </c>
      <c r="T21" s="120" t="n">
        <f aca="false">T13-T20</f>
        <v>0</v>
      </c>
      <c r="U21" s="120" t="n">
        <f aca="false">U13-U20</f>
        <v>0</v>
      </c>
      <c r="V21" s="120" t="n">
        <f aca="false">V13-V20</f>
        <v>0</v>
      </c>
      <c r="W21" s="120" t="n">
        <f aca="false">W13-W20</f>
        <v>0</v>
      </c>
      <c r="X21" s="120" t="n">
        <f aca="false">X13-X20</f>
        <v>0</v>
      </c>
      <c r="Y21" s="120" t="n">
        <f aca="false">Y13-Y20</f>
        <v>0</v>
      </c>
      <c r="Z21" s="120" t="n">
        <f aca="false">Z13-Z20</f>
        <v>0</v>
      </c>
      <c r="AA21" s="120" t="n">
        <f aca="false">AA13-AA20</f>
        <v>0</v>
      </c>
      <c r="AB21" s="120" t="n">
        <f aca="false">AB13-AB20</f>
        <v>0</v>
      </c>
      <c r="AC21" s="120" t="n">
        <f aca="false">AC13-AC20</f>
        <v>0</v>
      </c>
      <c r="AD21" s="120" t="n">
        <f aca="false">AD13-AD20</f>
        <v>0</v>
      </c>
      <c r="AE21" s="120" t="n">
        <f aca="false">AE13-AE20</f>
        <v>0</v>
      </c>
      <c r="AF21" s="120" t="n">
        <f aca="false">AF13-AF20</f>
        <v>0</v>
      </c>
      <c r="AG21" s="120" t="n">
        <f aca="false">AG13-AG20</f>
        <v>0</v>
      </c>
      <c r="AH21" s="120" t="n">
        <f aca="false">AH13-AH20</f>
        <v>0</v>
      </c>
      <c r="AI21" s="120" t="n">
        <f aca="false">AI13-AI20</f>
        <v>0</v>
      </c>
      <c r="AJ21" s="120" t="n">
        <f aca="false">AJ13-AJ20</f>
        <v>0</v>
      </c>
      <c r="AK21" s="120" t="n">
        <f aca="false">AK13-AK20</f>
        <v>0</v>
      </c>
      <c r="AL21" s="120" t="n">
        <f aca="false">AL13-AL20</f>
        <v>0</v>
      </c>
      <c r="AM21" s="120" t="n">
        <f aca="false">AM13-AM20</f>
        <v>0</v>
      </c>
      <c r="AN21" s="120" t="n">
        <f aca="false">AN13-AN20</f>
        <v>0</v>
      </c>
      <c r="AO21" s="120" t="n">
        <f aca="false">AO13-AO20</f>
        <v>0</v>
      </c>
      <c r="AP21" s="120" t="n">
        <f aca="false">AP13-AP20</f>
        <v>0</v>
      </c>
      <c r="AQ21" s="120" t="n">
        <f aca="false">AQ13-AQ20</f>
        <v>0</v>
      </c>
      <c r="AR21" s="120" t="n">
        <f aca="false">AR13-AR20</f>
        <v>0</v>
      </c>
      <c r="AS21" s="120" t="n">
        <f aca="false">AS13-AS20</f>
        <v>0</v>
      </c>
      <c r="AT21" s="120" t="n">
        <f aca="false">AT13-AT20</f>
        <v>0</v>
      </c>
      <c r="AU21" s="120" t="n">
        <f aca="false">AU13-AU20</f>
        <v>0</v>
      </c>
      <c r="AV21" s="120" t="n">
        <f aca="false">AV13-AV20</f>
        <v>0</v>
      </c>
      <c r="AW21" s="120" t="n">
        <f aca="false">AW13-AW20</f>
        <v>0</v>
      </c>
      <c r="AX21" s="120" t="n">
        <f aca="false">AX13-AX20</f>
        <v>0</v>
      </c>
      <c r="AY21" s="120" t="n">
        <f aca="false">AY13-AY20</f>
        <v>0</v>
      </c>
      <c r="AZ21" s="120" t="n">
        <f aca="false">AZ13-AZ20</f>
        <v>0</v>
      </c>
      <c r="BA21" s="120" t="n">
        <f aca="false">BA13-BA20</f>
        <v>0</v>
      </c>
      <c r="BB21" s="120" t="n">
        <f aca="false">BB13-BB20</f>
        <v>0</v>
      </c>
      <c r="BC21" s="120" t="n">
        <f aca="false">BC13-BC20</f>
        <v>0</v>
      </c>
      <c r="BD21" s="120" t="n">
        <f aca="false">BD13-BD20</f>
        <v>0</v>
      </c>
      <c r="BE21" s="120" t="n">
        <f aca="false">BE13-BE20</f>
        <v>0</v>
      </c>
      <c r="BF21" s="120" t="n">
        <f aca="false">BF13-BF20</f>
        <v>0</v>
      </c>
      <c r="BG21" s="120" t="n">
        <f aca="false">BG13-BG20</f>
        <v>0</v>
      </c>
      <c r="BH21" s="120" t="n">
        <f aca="false">BH13-BH20</f>
        <v>0</v>
      </c>
      <c r="BI21" s="120" t="n">
        <f aca="false">BI13-BI20</f>
        <v>0</v>
      </c>
      <c r="BJ21" s="120" t="n">
        <f aca="false">BJ13-BJ20</f>
        <v>0</v>
      </c>
    </row>
    <row r="22" customFormat="false" ht="15" hidden="false" customHeight="false" outlineLevel="0" collapsed="false">
      <c r="A22" s="38" t="s">
        <v>419</v>
      </c>
      <c r="C22" s="76" t="n">
        <f aca="false">MIN(1,C20/MAX(1,C13))</f>
        <v>1</v>
      </c>
      <c r="D22" s="76" t="n">
        <f aca="false">MIN(1,D20/MAX(1,D13))</f>
        <v>1</v>
      </c>
      <c r="E22" s="76" t="n">
        <f aca="false">MIN(1,E20/MAX(1,E13))</f>
        <v>1</v>
      </c>
      <c r="F22" s="76" t="n">
        <f aca="false">MIN(1,F20/MAX(1,F13))</f>
        <v>1</v>
      </c>
      <c r="G22" s="76" t="n">
        <f aca="false">MIN(1,G20/MAX(1,G13))</f>
        <v>1</v>
      </c>
      <c r="H22" s="76" t="n">
        <f aca="false">MIN(1,H20/MAX(1,H13))</f>
        <v>1</v>
      </c>
      <c r="I22" s="76" t="n">
        <f aca="false">MIN(1,I20/MAX(1,I13))</f>
        <v>1</v>
      </c>
      <c r="J22" s="76" t="n">
        <f aca="false">MIN(1,J20/MAX(1,J13))</f>
        <v>1</v>
      </c>
      <c r="K22" s="76" t="n">
        <f aca="false">MIN(1,K20/MAX(1,K13))</f>
        <v>1</v>
      </c>
      <c r="L22" s="76" t="n">
        <f aca="false">MIN(1,L20/MAX(1,L13))</f>
        <v>1</v>
      </c>
      <c r="M22" s="76" t="n">
        <f aca="false">MIN(1,M20/MAX(1,M13))</f>
        <v>1</v>
      </c>
      <c r="N22" s="76" t="n">
        <f aca="false">MIN(1,N20/MAX(1,N13))</f>
        <v>1</v>
      </c>
      <c r="O22" s="76" t="n">
        <f aca="false">MIN(1,O20/MAX(1,O13))</f>
        <v>1</v>
      </c>
      <c r="P22" s="76" t="n">
        <f aca="false">MIN(1,P20/MAX(1,P13))</f>
        <v>1</v>
      </c>
      <c r="Q22" s="76" t="n">
        <f aca="false">MIN(1,Q20/MAX(1,Q13))</f>
        <v>1</v>
      </c>
      <c r="R22" s="76" t="n">
        <f aca="false">MIN(1,R20/MAX(1,R13))</f>
        <v>1</v>
      </c>
      <c r="S22" s="76" t="n">
        <f aca="false">MIN(1,S20/MAX(1,S13))</f>
        <v>1</v>
      </c>
      <c r="T22" s="76" t="n">
        <f aca="false">MIN(1,T20/MAX(1,T13))</f>
        <v>1</v>
      </c>
      <c r="U22" s="76" t="n">
        <f aca="false">MIN(1,U20/MAX(1,U13))</f>
        <v>1</v>
      </c>
      <c r="V22" s="76" t="n">
        <f aca="false">MIN(1,V20/MAX(1,V13))</f>
        <v>1</v>
      </c>
      <c r="W22" s="76" t="n">
        <f aca="false">MIN(1,W20/MAX(1,W13))</f>
        <v>1</v>
      </c>
      <c r="X22" s="76" t="n">
        <f aca="false">MIN(1,X20/MAX(1,X13))</f>
        <v>1</v>
      </c>
      <c r="Y22" s="76" t="n">
        <f aca="false">MIN(1,Y20/MAX(1,Y13))</f>
        <v>1</v>
      </c>
      <c r="Z22" s="76" t="n">
        <f aca="false">MIN(1,Z20/MAX(1,Z13))</f>
        <v>1</v>
      </c>
      <c r="AA22" s="76" t="n">
        <f aca="false">MIN(1,AA20/MAX(1,AA13))</f>
        <v>1</v>
      </c>
      <c r="AB22" s="76" t="n">
        <f aca="false">MIN(1,AB20/MAX(1,AB13))</f>
        <v>1</v>
      </c>
      <c r="AC22" s="76" t="n">
        <f aca="false">MIN(1,AC20/MAX(1,AC13))</f>
        <v>1</v>
      </c>
      <c r="AD22" s="76" t="n">
        <f aca="false">MIN(1,AD20/MAX(1,AD13))</f>
        <v>1</v>
      </c>
      <c r="AE22" s="76" t="n">
        <f aca="false">MIN(1,AE20/MAX(1,AE13))</f>
        <v>1</v>
      </c>
      <c r="AF22" s="76" t="n">
        <f aca="false">MIN(1,AF20/MAX(1,AF13))</f>
        <v>1</v>
      </c>
      <c r="AG22" s="76" t="n">
        <f aca="false">MIN(1,AG20/MAX(1,AG13))</f>
        <v>1</v>
      </c>
      <c r="AH22" s="76" t="n">
        <f aca="false">MIN(1,AH20/MAX(1,AH13))</f>
        <v>1</v>
      </c>
      <c r="AI22" s="76" t="n">
        <f aca="false">MIN(1,AI20/MAX(1,AI13))</f>
        <v>1</v>
      </c>
      <c r="AJ22" s="76" t="n">
        <f aca="false">MIN(1,AJ20/MAX(1,AJ13))</f>
        <v>1</v>
      </c>
      <c r="AK22" s="76" t="n">
        <f aca="false">MIN(1,AK20/MAX(1,AK13))</f>
        <v>1</v>
      </c>
      <c r="AL22" s="76" t="n">
        <f aca="false">MIN(1,AL20/MAX(1,AL13))</f>
        <v>1</v>
      </c>
      <c r="AM22" s="76" t="n">
        <f aca="false">MIN(1,AM20/MAX(1,AM13))</f>
        <v>1</v>
      </c>
      <c r="AN22" s="76" t="n">
        <f aca="false">MIN(1,AN20/MAX(1,AN13))</f>
        <v>1</v>
      </c>
      <c r="AO22" s="76" t="n">
        <f aca="false">MIN(1,AO20/MAX(1,AO13))</f>
        <v>1</v>
      </c>
      <c r="AP22" s="76" t="n">
        <f aca="false">MIN(1,AP20/MAX(1,AP13))</f>
        <v>1</v>
      </c>
      <c r="AQ22" s="76" t="n">
        <f aca="false">MIN(1,AQ20/MAX(1,AQ13))</f>
        <v>1</v>
      </c>
      <c r="AR22" s="76" t="n">
        <f aca="false">MIN(1,AR20/MAX(1,AR13))</f>
        <v>1</v>
      </c>
      <c r="AS22" s="76" t="n">
        <f aca="false">MIN(1,AS20/MAX(1,AS13))</f>
        <v>1</v>
      </c>
      <c r="AT22" s="76" t="n">
        <f aca="false">MIN(1,AT20/MAX(1,AT13))</f>
        <v>1</v>
      </c>
      <c r="AU22" s="76" t="n">
        <f aca="false">MIN(1,AU20/MAX(1,AU13))</f>
        <v>1</v>
      </c>
      <c r="AV22" s="76" t="n">
        <f aca="false">MIN(1,AV20/MAX(1,AV13))</f>
        <v>1</v>
      </c>
      <c r="AW22" s="76" t="n">
        <f aca="false">MIN(1,AW20/MAX(1,AW13))</f>
        <v>1</v>
      </c>
      <c r="AX22" s="76" t="n">
        <f aca="false">MIN(1,AX20/MAX(1,AX13))</f>
        <v>1</v>
      </c>
      <c r="AY22" s="76" t="n">
        <f aca="false">MIN(1,AY20/MAX(1,AY13))</f>
        <v>1</v>
      </c>
      <c r="AZ22" s="76" t="n">
        <f aca="false">MIN(1,AZ20/MAX(1,AZ13))</f>
        <v>1</v>
      </c>
      <c r="BA22" s="76" t="n">
        <f aca="false">MIN(1,BA20/MAX(1,BA13))</f>
        <v>1</v>
      </c>
      <c r="BB22" s="76" t="n">
        <f aca="false">MIN(1,BB20/MAX(1,BB13))</f>
        <v>1</v>
      </c>
      <c r="BC22" s="76" t="n">
        <f aca="false">MIN(1,BC20/MAX(1,BC13))</f>
        <v>1</v>
      </c>
      <c r="BD22" s="76" t="n">
        <f aca="false">MIN(1,BD20/MAX(1,BD13))</f>
        <v>1</v>
      </c>
      <c r="BE22" s="76" t="n">
        <f aca="false">MIN(1,BE20/MAX(1,BE13))</f>
        <v>1</v>
      </c>
      <c r="BF22" s="76" t="n">
        <f aca="false">MIN(1,BF20/MAX(1,BF13))</f>
        <v>1</v>
      </c>
      <c r="BG22" s="76" t="n">
        <f aca="false">MIN(1,BG20/MAX(1,BG13))</f>
        <v>1</v>
      </c>
      <c r="BH22" s="76" t="n">
        <f aca="false">MIN(1,BH20/MAX(1,BH13))</f>
        <v>1</v>
      </c>
      <c r="BI22" s="76" t="n">
        <f aca="false">MIN(1,BI20/MAX(1,BI13))</f>
        <v>1</v>
      </c>
      <c r="BJ22" s="76" t="n">
        <f aca="false">MIN(1,BJ20/MAX(1,BJ13))</f>
        <v>1</v>
      </c>
    </row>
    <row r="23" customFormat="false" ht="15" hidden="false" customHeight="false" outlineLevel="0" collapsed="false">
      <c r="A23" s="6" t="s">
        <v>234</v>
      </c>
      <c r="C23" s="120" t="n">
        <f aca="false">C12*C22</f>
        <v>82.5</v>
      </c>
      <c r="D23" s="120" t="n">
        <f aca="false">D12*D22</f>
        <v>94.53125</v>
      </c>
      <c r="E23" s="120" t="n">
        <f aca="false">E12*E22</f>
        <v>106.5625</v>
      </c>
      <c r="F23" s="120" t="n">
        <f aca="false">F12*F22</f>
        <v>118.59375</v>
      </c>
      <c r="G23" s="120" t="n">
        <f aca="false">G12*G22</f>
        <v>130.625</v>
      </c>
      <c r="H23" s="120" t="n">
        <f aca="false">H12*H22</f>
        <v>142.65625</v>
      </c>
      <c r="I23" s="120" t="n">
        <f aca="false">I12*I22</f>
        <v>154.6875</v>
      </c>
      <c r="J23" s="120" t="n">
        <f aca="false">J12*J22</f>
        <v>166.71875</v>
      </c>
      <c r="K23" s="120" t="n">
        <f aca="false">K12*K22</f>
        <v>178.75</v>
      </c>
      <c r="L23" s="120" t="n">
        <f aca="false">L12*L22</f>
        <v>190.78125</v>
      </c>
      <c r="M23" s="120" t="n">
        <f aca="false">M12*M22</f>
        <v>202.8125</v>
      </c>
      <c r="N23" s="120" t="n">
        <f aca="false">N12*N22</f>
        <v>214.84375</v>
      </c>
      <c r="O23" s="120" t="n">
        <f aca="false">O12*O22</f>
        <v>226.875</v>
      </c>
      <c r="P23" s="120" t="n">
        <f aca="false">P12*P22</f>
        <v>238.90625</v>
      </c>
      <c r="Q23" s="120" t="n">
        <f aca="false">Q12*Q22</f>
        <v>250.9375</v>
      </c>
      <c r="R23" s="120" t="n">
        <f aca="false">R12*R22</f>
        <v>262.96875</v>
      </c>
      <c r="S23" s="120" t="n">
        <f aca="false">S12*S22</f>
        <v>275</v>
      </c>
      <c r="T23" s="120" t="n">
        <f aca="false">T12*T22</f>
        <v>275</v>
      </c>
      <c r="U23" s="120" t="n">
        <f aca="false">U12*U22</f>
        <v>275</v>
      </c>
      <c r="V23" s="120" t="n">
        <f aca="false">V12*V22</f>
        <v>275</v>
      </c>
      <c r="W23" s="120" t="n">
        <f aca="false">W12*W22</f>
        <v>275</v>
      </c>
      <c r="X23" s="120" t="n">
        <f aca="false">X12*X22</f>
        <v>275</v>
      </c>
      <c r="Y23" s="120" t="n">
        <f aca="false">Y12*Y22</f>
        <v>275</v>
      </c>
      <c r="Z23" s="120" t="n">
        <f aca="false">Z12*Z22</f>
        <v>275</v>
      </c>
      <c r="AA23" s="120" t="n">
        <f aca="false">AA12*AA22</f>
        <v>275</v>
      </c>
      <c r="AB23" s="120" t="n">
        <f aca="false">AB12*AB22</f>
        <v>275</v>
      </c>
      <c r="AC23" s="120" t="n">
        <f aca="false">AC12*AC22</f>
        <v>275</v>
      </c>
      <c r="AD23" s="120" t="n">
        <f aca="false">AD12*AD22</f>
        <v>275</v>
      </c>
      <c r="AE23" s="120" t="n">
        <f aca="false">AE12*AE22</f>
        <v>275</v>
      </c>
      <c r="AF23" s="120" t="n">
        <f aca="false">AF12*AF22</f>
        <v>275</v>
      </c>
      <c r="AG23" s="120" t="n">
        <f aca="false">AG12*AG22</f>
        <v>275</v>
      </c>
      <c r="AH23" s="120" t="n">
        <f aca="false">AH12*AH22</f>
        <v>275</v>
      </c>
      <c r="AI23" s="120" t="n">
        <f aca="false">AI12*AI22</f>
        <v>275</v>
      </c>
      <c r="AJ23" s="120" t="n">
        <f aca="false">AJ12*AJ22</f>
        <v>275</v>
      </c>
      <c r="AK23" s="120" t="n">
        <f aca="false">AK12*AK22</f>
        <v>275</v>
      </c>
      <c r="AL23" s="120" t="n">
        <f aca="false">AL12*AL22</f>
        <v>275</v>
      </c>
      <c r="AM23" s="120" t="n">
        <f aca="false">AM12*AM22</f>
        <v>275</v>
      </c>
      <c r="AN23" s="120" t="n">
        <f aca="false">AN12*AN22</f>
        <v>275</v>
      </c>
      <c r="AO23" s="120" t="n">
        <f aca="false">AO12*AO22</f>
        <v>275</v>
      </c>
      <c r="AP23" s="120" t="n">
        <f aca="false">AP12*AP22</f>
        <v>275</v>
      </c>
      <c r="AQ23" s="120" t="n">
        <f aca="false">AQ12*AQ22</f>
        <v>275</v>
      </c>
      <c r="AR23" s="120" t="n">
        <f aca="false">AR12*AR22</f>
        <v>275</v>
      </c>
      <c r="AS23" s="120" t="n">
        <f aca="false">AS12*AS22</f>
        <v>275</v>
      </c>
      <c r="AT23" s="120" t="n">
        <f aca="false">AT12*AT22</f>
        <v>275</v>
      </c>
      <c r="AU23" s="120" t="n">
        <f aca="false">AU12*AU22</f>
        <v>275</v>
      </c>
      <c r="AV23" s="120" t="n">
        <f aca="false">AV12*AV22</f>
        <v>275</v>
      </c>
      <c r="AW23" s="120" t="n">
        <f aca="false">AW12*AW22</f>
        <v>275</v>
      </c>
      <c r="AX23" s="120" t="n">
        <f aca="false">AX12*AX22</f>
        <v>275</v>
      </c>
      <c r="AY23" s="120" t="n">
        <f aca="false">AY12*AY22</f>
        <v>275</v>
      </c>
      <c r="AZ23" s="120" t="n">
        <f aca="false">AZ12*AZ22</f>
        <v>275</v>
      </c>
      <c r="BA23" s="120" t="n">
        <f aca="false">BA12*BA22</f>
        <v>275</v>
      </c>
      <c r="BB23" s="120" t="n">
        <f aca="false">BB12*BB22</f>
        <v>275</v>
      </c>
      <c r="BC23" s="120" t="n">
        <f aca="false">BC12*BC22</f>
        <v>275</v>
      </c>
      <c r="BD23" s="120" t="n">
        <f aca="false">BD12*BD22</f>
        <v>275</v>
      </c>
      <c r="BE23" s="120" t="n">
        <f aca="false">BE12*BE22</f>
        <v>275</v>
      </c>
      <c r="BF23" s="120" t="n">
        <f aca="false">BF12*BF22</f>
        <v>275</v>
      </c>
      <c r="BG23" s="120" t="n">
        <f aca="false">BG12*BG22</f>
        <v>275</v>
      </c>
      <c r="BH23" s="120" t="n">
        <f aca="false">BH12*BH22</f>
        <v>275</v>
      </c>
      <c r="BI23" s="120" t="n">
        <f aca="false">BI12*BI22</f>
        <v>275</v>
      </c>
      <c r="BJ23" s="120" t="n">
        <f aca="false">BJ12*BJ22</f>
        <v>275</v>
      </c>
    </row>
    <row r="25" customFormat="false" ht="15.75" hidden="false" customHeight="true" outlineLevel="0" collapsed="false">
      <c r="A25" s="7" t="s">
        <v>44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customFormat="false" ht="15" hidden="false" customHeight="false" outlineLevel="0" collapsed="false">
      <c r="A26" s="6" t="s">
        <v>420</v>
      </c>
      <c r="C26" s="123" t="n">
        <f aca="false">Inputs!$B$21*(1+Inputs!$B$22)^(C$7-1)</f>
        <v>118</v>
      </c>
      <c r="D26" s="123" t="n">
        <f aca="false">Inputs!$B$21*(1+Inputs!$B$22)^(D$7-1)</f>
        <v>118</v>
      </c>
      <c r="E26" s="123" t="n">
        <f aca="false">Inputs!$B$21*(1+Inputs!$B$22)^(E$7-1)</f>
        <v>118</v>
      </c>
      <c r="F26" s="123" t="n">
        <f aca="false">Inputs!$B$21*(1+Inputs!$B$22)^(F$7-1)</f>
        <v>118</v>
      </c>
      <c r="G26" s="123" t="n">
        <f aca="false">Inputs!$B$21*(1+Inputs!$B$22)^(G$7-1)</f>
        <v>118</v>
      </c>
      <c r="H26" s="123" t="n">
        <f aca="false">Inputs!$B$21*(1+Inputs!$B$22)^(H$7-1)</f>
        <v>118</v>
      </c>
      <c r="I26" s="123" t="n">
        <f aca="false">Inputs!$B$21*(1+Inputs!$B$22)^(I$7-1)</f>
        <v>118</v>
      </c>
      <c r="J26" s="123" t="n">
        <f aca="false">Inputs!$B$21*(1+Inputs!$B$22)^(J$7-1)</f>
        <v>118</v>
      </c>
      <c r="K26" s="123" t="n">
        <f aca="false">Inputs!$B$21*(1+Inputs!$B$22)^(K$7-1)</f>
        <v>118</v>
      </c>
      <c r="L26" s="123" t="n">
        <f aca="false">Inputs!$B$21*(1+Inputs!$B$22)^(L$7-1)</f>
        <v>118</v>
      </c>
      <c r="M26" s="123" t="n">
        <f aca="false">Inputs!$B$21*(1+Inputs!$B$22)^(M$7-1)</f>
        <v>118</v>
      </c>
      <c r="N26" s="123" t="n">
        <f aca="false">Inputs!$B$21*(1+Inputs!$B$22)^(N$7-1)</f>
        <v>118</v>
      </c>
      <c r="O26" s="123" t="n">
        <f aca="false">Inputs!$B$21*(1+Inputs!$B$22)^(O$7-1)</f>
        <v>119.18</v>
      </c>
      <c r="P26" s="123" t="n">
        <f aca="false">Inputs!$B$21*(1+Inputs!$B$22)^(P$7-1)</f>
        <v>119.18</v>
      </c>
      <c r="Q26" s="123" t="n">
        <f aca="false">Inputs!$B$21*(1+Inputs!$B$22)^(Q$7-1)</f>
        <v>119.18</v>
      </c>
      <c r="R26" s="123" t="n">
        <f aca="false">Inputs!$B$21*(1+Inputs!$B$22)^(R$7-1)</f>
        <v>119.18</v>
      </c>
      <c r="S26" s="123" t="n">
        <f aca="false">Inputs!$B$21*(1+Inputs!$B$22)^(S$7-1)</f>
        <v>119.18</v>
      </c>
      <c r="T26" s="123" t="n">
        <f aca="false">Inputs!$B$21*(1+Inputs!$B$22)^(T$7-1)</f>
        <v>119.18</v>
      </c>
      <c r="U26" s="123" t="n">
        <f aca="false">Inputs!$B$21*(1+Inputs!$B$22)^(U$7-1)</f>
        <v>119.18</v>
      </c>
      <c r="V26" s="123" t="n">
        <f aca="false">Inputs!$B$21*(1+Inputs!$B$22)^(V$7-1)</f>
        <v>119.18</v>
      </c>
      <c r="W26" s="123" t="n">
        <f aca="false">Inputs!$B$21*(1+Inputs!$B$22)^(W$7-1)</f>
        <v>119.18</v>
      </c>
      <c r="X26" s="123" t="n">
        <f aca="false">Inputs!$B$21*(1+Inputs!$B$22)^(X$7-1)</f>
        <v>119.18</v>
      </c>
      <c r="Y26" s="123" t="n">
        <f aca="false">Inputs!$B$21*(1+Inputs!$B$22)^(Y$7-1)</f>
        <v>119.18</v>
      </c>
      <c r="Z26" s="123" t="n">
        <f aca="false">Inputs!$B$21*(1+Inputs!$B$22)^(Z$7-1)</f>
        <v>119.18</v>
      </c>
      <c r="AA26" s="123" t="n">
        <f aca="false">Inputs!$B$21*(1+Inputs!$B$22)^(AA$7-1)</f>
        <v>120.3718</v>
      </c>
      <c r="AB26" s="123" t="n">
        <f aca="false">Inputs!$B$21*(1+Inputs!$B$22)^(AB$7-1)</f>
        <v>120.3718</v>
      </c>
      <c r="AC26" s="123" t="n">
        <f aca="false">Inputs!$B$21*(1+Inputs!$B$22)^(AC$7-1)</f>
        <v>120.3718</v>
      </c>
      <c r="AD26" s="123" t="n">
        <f aca="false">Inputs!$B$21*(1+Inputs!$B$22)^(AD$7-1)</f>
        <v>120.3718</v>
      </c>
      <c r="AE26" s="123" t="n">
        <f aca="false">Inputs!$B$21*(1+Inputs!$B$22)^(AE$7-1)</f>
        <v>120.3718</v>
      </c>
      <c r="AF26" s="123" t="n">
        <f aca="false">Inputs!$B$21*(1+Inputs!$B$22)^(AF$7-1)</f>
        <v>120.3718</v>
      </c>
      <c r="AG26" s="123" t="n">
        <f aca="false">Inputs!$B$21*(1+Inputs!$B$22)^(AG$7-1)</f>
        <v>120.3718</v>
      </c>
      <c r="AH26" s="123" t="n">
        <f aca="false">Inputs!$B$21*(1+Inputs!$B$22)^(AH$7-1)</f>
        <v>120.3718</v>
      </c>
      <c r="AI26" s="123" t="n">
        <f aca="false">Inputs!$B$21*(1+Inputs!$B$22)^(AI$7-1)</f>
        <v>120.3718</v>
      </c>
      <c r="AJ26" s="123" t="n">
        <f aca="false">Inputs!$B$21*(1+Inputs!$B$22)^(AJ$7-1)</f>
        <v>120.3718</v>
      </c>
      <c r="AK26" s="123" t="n">
        <f aca="false">Inputs!$B$21*(1+Inputs!$B$22)^(AK$7-1)</f>
        <v>120.3718</v>
      </c>
      <c r="AL26" s="123" t="n">
        <f aca="false">Inputs!$B$21*(1+Inputs!$B$22)^(AL$7-1)</f>
        <v>120.3718</v>
      </c>
      <c r="AM26" s="123" t="n">
        <f aca="false">Inputs!$B$21*(1+Inputs!$B$22)^(AM$7-1)</f>
        <v>121.575518</v>
      </c>
      <c r="AN26" s="123" t="n">
        <f aca="false">Inputs!$B$21*(1+Inputs!$B$22)^(AN$7-1)</f>
        <v>121.575518</v>
      </c>
      <c r="AO26" s="123" t="n">
        <f aca="false">Inputs!$B$21*(1+Inputs!$B$22)^(AO$7-1)</f>
        <v>121.575518</v>
      </c>
      <c r="AP26" s="123" t="n">
        <f aca="false">Inputs!$B$21*(1+Inputs!$B$22)^(AP$7-1)</f>
        <v>121.575518</v>
      </c>
      <c r="AQ26" s="123" t="n">
        <f aca="false">Inputs!$B$21*(1+Inputs!$B$22)^(AQ$7-1)</f>
        <v>121.575518</v>
      </c>
      <c r="AR26" s="123" t="n">
        <f aca="false">Inputs!$B$21*(1+Inputs!$B$22)^(AR$7-1)</f>
        <v>121.575518</v>
      </c>
      <c r="AS26" s="123" t="n">
        <f aca="false">Inputs!$B$21*(1+Inputs!$B$22)^(AS$7-1)</f>
        <v>121.575518</v>
      </c>
      <c r="AT26" s="123" t="n">
        <f aca="false">Inputs!$B$21*(1+Inputs!$B$22)^(AT$7-1)</f>
        <v>121.575518</v>
      </c>
      <c r="AU26" s="123" t="n">
        <f aca="false">Inputs!$B$21*(1+Inputs!$B$22)^(AU$7-1)</f>
        <v>121.575518</v>
      </c>
      <c r="AV26" s="123" t="n">
        <f aca="false">Inputs!$B$21*(1+Inputs!$B$22)^(AV$7-1)</f>
        <v>121.575518</v>
      </c>
      <c r="AW26" s="123" t="n">
        <f aca="false">Inputs!$B$21*(1+Inputs!$B$22)^(AW$7-1)</f>
        <v>121.575518</v>
      </c>
      <c r="AX26" s="123" t="n">
        <f aca="false">Inputs!$B$21*(1+Inputs!$B$22)^(AX$7-1)</f>
        <v>121.575518</v>
      </c>
      <c r="AY26" s="123" t="n">
        <f aca="false">Inputs!$B$21*(1+Inputs!$B$22)^(AY$7-1)</f>
        <v>122.79127318</v>
      </c>
      <c r="AZ26" s="123" t="n">
        <f aca="false">Inputs!$B$21*(1+Inputs!$B$22)^(AZ$7-1)</f>
        <v>122.79127318</v>
      </c>
      <c r="BA26" s="123" t="n">
        <f aca="false">Inputs!$B$21*(1+Inputs!$B$22)^(BA$7-1)</f>
        <v>122.79127318</v>
      </c>
      <c r="BB26" s="123" t="n">
        <f aca="false">Inputs!$B$21*(1+Inputs!$B$22)^(BB$7-1)</f>
        <v>122.79127318</v>
      </c>
      <c r="BC26" s="123" t="n">
        <f aca="false">Inputs!$B$21*(1+Inputs!$B$22)^(BC$7-1)</f>
        <v>122.79127318</v>
      </c>
      <c r="BD26" s="123" t="n">
        <f aca="false">Inputs!$B$21*(1+Inputs!$B$22)^(BD$7-1)</f>
        <v>122.79127318</v>
      </c>
      <c r="BE26" s="123" t="n">
        <f aca="false">Inputs!$B$21*(1+Inputs!$B$22)^(BE$7-1)</f>
        <v>122.79127318</v>
      </c>
      <c r="BF26" s="123" t="n">
        <f aca="false">Inputs!$B$21*(1+Inputs!$B$22)^(BF$7-1)</f>
        <v>122.79127318</v>
      </c>
      <c r="BG26" s="123" t="n">
        <f aca="false">Inputs!$B$21*(1+Inputs!$B$22)^(BG$7-1)</f>
        <v>122.79127318</v>
      </c>
      <c r="BH26" s="123" t="n">
        <f aca="false">Inputs!$B$21*(1+Inputs!$B$22)^(BH$7-1)</f>
        <v>122.79127318</v>
      </c>
      <c r="BI26" s="123" t="n">
        <f aca="false">Inputs!$B$21*(1+Inputs!$B$22)^(BI$7-1)</f>
        <v>122.79127318</v>
      </c>
      <c r="BJ26" s="123" t="n">
        <f aca="false">Inputs!$B$21*(1+Inputs!$B$22)^(BJ$7-1)</f>
        <v>122.79127318</v>
      </c>
    </row>
    <row r="27" customFormat="false" ht="15" hidden="false" customHeight="false" outlineLevel="0" collapsed="false">
      <c r="A27" s="6" t="s">
        <v>238</v>
      </c>
      <c r="C27" s="69" t="n">
        <f aca="false">C20*C26</f>
        <v>19470</v>
      </c>
      <c r="D27" s="69" t="n">
        <f aca="false">D20*D26</f>
        <v>22309.375</v>
      </c>
      <c r="E27" s="69" t="n">
        <f aca="false">E20*E26</f>
        <v>25148.75</v>
      </c>
      <c r="F27" s="69" t="n">
        <f aca="false">F20*F26</f>
        <v>27988.125</v>
      </c>
      <c r="G27" s="69" t="n">
        <f aca="false">G20*G26</f>
        <v>30827.5</v>
      </c>
      <c r="H27" s="69" t="n">
        <f aca="false">H20*H26</f>
        <v>33666.875</v>
      </c>
      <c r="I27" s="69" t="n">
        <f aca="false">I20*I26</f>
        <v>36506.25</v>
      </c>
      <c r="J27" s="69" t="n">
        <f aca="false">J20*J26</f>
        <v>39345.625</v>
      </c>
      <c r="K27" s="69" t="n">
        <f aca="false">K20*K26</f>
        <v>42185</v>
      </c>
      <c r="L27" s="69" t="n">
        <f aca="false">L20*L26</f>
        <v>45024.375</v>
      </c>
      <c r="M27" s="69" t="n">
        <f aca="false">M20*M26</f>
        <v>47863.75</v>
      </c>
      <c r="N27" s="69" t="n">
        <f aca="false">N20*N26</f>
        <v>50703.125</v>
      </c>
      <c r="O27" s="69" t="n">
        <f aca="false">O20*O26</f>
        <v>54077.925</v>
      </c>
      <c r="P27" s="69" t="n">
        <f aca="false">P20*P26</f>
        <v>56945.69375</v>
      </c>
      <c r="Q27" s="69" t="n">
        <f aca="false">Q20*Q26</f>
        <v>59813.4625</v>
      </c>
      <c r="R27" s="69" t="n">
        <f aca="false">R20*R26</f>
        <v>62681.23125</v>
      </c>
      <c r="S27" s="69" t="n">
        <f aca="false">S20*S26</f>
        <v>65549</v>
      </c>
      <c r="T27" s="69" t="n">
        <f aca="false">T20*T26</f>
        <v>65549</v>
      </c>
      <c r="U27" s="69" t="n">
        <f aca="false">U20*U26</f>
        <v>65549</v>
      </c>
      <c r="V27" s="69" t="n">
        <f aca="false">V20*V26</f>
        <v>65549</v>
      </c>
      <c r="W27" s="69" t="n">
        <f aca="false">W20*W26</f>
        <v>65549</v>
      </c>
      <c r="X27" s="69" t="n">
        <f aca="false">X20*X26</f>
        <v>65549</v>
      </c>
      <c r="Y27" s="69" t="n">
        <f aca="false">Y20*Y26</f>
        <v>65549</v>
      </c>
      <c r="Z27" s="69" t="n">
        <f aca="false">Z20*Z26</f>
        <v>65549</v>
      </c>
      <c r="AA27" s="69" t="n">
        <f aca="false">AA20*AA26</f>
        <v>66204.49</v>
      </c>
      <c r="AB27" s="69" t="n">
        <f aca="false">AB20*AB26</f>
        <v>66204.49</v>
      </c>
      <c r="AC27" s="69" t="n">
        <f aca="false">AC20*AC26</f>
        <v>66204.49</v>
      </c>
      <c r="AD27" s="69" t="n">
        <f aca="false">AD20*AD26</f>
        <v>66204.49</v>
      </c>
      <c r="AE27" s="69" t="n">
        <f aca="false">AE20*AE26</f>
        <v>66204.49</v>
      </c>
      <c r="AF27" s="69" t="n">
        <f aca="false">AF20*AF26</f>
        <v>66204.49</v>
      </c>
      <c r="AG27" s="69" t="n">
        <f aca="false">AG20*AG26</f>
        <v>66204.49</v>
      </c>
      <c r="AH27" s="69" t="n">
        <f aca="false">AH20*AH26</f>
        <v>66204.49</v>
      </c>
      <c r="AI27" s="69" t="n">
        <f aca="false">AI20*AI26</f>
        <v>66204.49</v>
      </c>
      <c r="AJ27" s="69" t="n">
        <f aca="false">AJ20*AJ26</f>
        <v>66204.49</v>
      </c>
      <c r="AK27" s="69" t="n">
        <f aca="false">AK20*AK26</f>
        <v>66204.49</v>
      </c>
      <c r="AL27" s="69" t="n">
        <f aca="false">AL20*AL26</f>
        <v>66204.49</v>
      </c>
      <c r="AM27" s="69" t="n">
        <f aca="false">AM20*AM26</f>
        <v>66866.5349</v>
      </c>
      <c r="AN27" s="69" t="n">
        <f aca="false">AN20*AN26</f>
        <v>66866.5349</v>
      </c>
      <c r="AO27" s="69" t="n">
        <f aca="false">AO20*AO26</f>
        <v>66866.5349</v>
      </c>
      <c r="AP27" s="69" t="n">
        <f aca="false">AP20*AP26</f>
        <v>66866.5349</v>
      </c>
      <c r="AQ27" s="69" t="n">
        <f aca="false">AQ20*AQ26</f>
        <v>66866.5349</v>
      </c>
      <c r="AR27" s="69" t="n">
        <f aca="false">AR20*AR26</f>
        <v>66866.5349</v>
      </c>
      <c r="AS27" s="69" t="n">
        <f aca="false">AS20*AS26</f>
        <v>66866.5349</v>
      </c>
      <c r="AT27" s="69" t="n">
        <f aca="false">AT20*AT26</f>
        <v>66866.5349</v>
      </c>
      <c r="AU27" s="69" t="n">
        <f aca="false">AU20*AU26</f>
        <v>66866.5349</v>
      </c>
      <c r="AV27" s="69" t="n">
        <f aca="false">AV20*AV26</f>
        <v>66866.5349</v>
      </c>
      <c r="AW27" s="69" t="n">
        <f aca="false">AW20*AW26</f>
        <v>66866.5349</v>
      </c>
      <c r="AX27" s="69" t="n">
        <f aca="false">AX20*AX26</f>
        <v>66866.5349</v>
      </c>
      <c r="AY27" s="69" t="n">
        <f aca="false">AY20*AY26</f>
        <v>67535.200249</v>
      </c>
      <c r="AZ27" s="69" t="n">
        <f aca="false">AZ20*AZ26</f>
        <v>67535.200249</v>
      </c>
      <c r="BA27" s="69" t="n">
        <f aca="false">BA20*BA26</f>
        <v>67535.200249</v>
      </c>
      <c r="BB27" s="69" t="n">
        <f aca="false">BB20*BB26</f>
        <v>67535.200249</v>
      </c>
      <c r="BC27" s="69" t="n">
        <f aca="false">BC20*BC26</f>
        <v>67535.200249</v>
      </c>
      <c r="BD27" s="69" t="n">
        <f aca="false">BD20*BD26</f>
        <v>67535.200249</v>
      </c>
      <c r="BE27" s="69" t="n">
        <f aca="false">BE20*BE26</f>
        <v>67535.200249</v>
      </c>
      <c r="BF27" s="69" t="n">
        <f aca="false">BF20*BF26</f>
        <v>67535.200249</v>
      </c>
      <c r="BG27" s="69" t="n">
        <f aca="false">BG20*BG26</f>
        <v>67535.200249</v>
      </c>
      <c r="BH27" s="69" t="n">
        <f aca="false">BH20*BH26</f>
        <v>67535.200249</v>
      </c>
      <c r="BI27" s="69" t="n">
        <f aca="false">BI20*BI26</f>
        <v>67535.200249</v>
      </c>
      <c r="BJ27" s="69" t="n">
        <f aca="false">BJ20*BJ26</f>
        <v>67535.200249</v>
      </c>
    </row>
    <row r="28" customFormat="false" ht="15" hidden="false" customHeight="false" outlineLevel="0" collapsed="false">
      <c r="A28" s="6" t="s">
        <v>239</v>
      </c>
      <c r="C28" s="69" t="n">
        <f aca="false">C20*Inputs!$B$26*(1+Inputs!$B$22)^(C$7-1)</f>
        <v>15180</v>
      </c>
      <c r="D28" s="69" t="n">
        <f aca="false">D20*Inputs!$B$26*(1+Inputs!$B$22)^(D$7-1)</f>
        <v>17393.75</v>
      </c>
      <c r="E28" s="69" t="n">
        <f aca="false">E20*Inputs!$B$26*(1+Inputs!$B$22)^(E$7-1)</f>
        <v>19607.5</v>
      </c>
      <c r="F28" s="69" t="n">
        <f aca="false">F20*Inputs!$B$26*(1+Inputs!$B$22)^(F$7-1)</f>
        <v>21821.25</v>
      </c>
      <c r="G28" s="69" t="n">
        <f aca="false">G20*Inputs!$B$26*(1+Inputs!$B$22)^(G$7-1)</f>
        <v>24035</v>
      </c>
      <c r="H28" s="69" t="n">
        <f aca="false">H20*Inputs!$B$26*(1+Inputs!$B$22)^(H$7-1)</f>
        <v>26248.75</v>
      </c>
      <c r="I28" s="69" t="n">
        <f aca="false">I20*Inputs!$B$26*(1+Inputs!$B$22)^(I$7-1)</f>
        <v>28462.5</v>
      </c>
      <c r="J28" s="69" t="n">
        <f aca="false">J20*Inputs!$B$26*(1+Inputs!$B$22)^(J$7-1)</f>
        <v>30676.25</v>
      </c>
      <c r="K28" s="69" t="n">
        <f aca="false">K20*Inputs!$B$26*(1+Inputs!$B$22)^(K$7-1)</f>
        <v>32890</v>
      </c>
      <c r="L28" s="69" t="n">
        <f aca="false">L20*Inputs!$B$26*(1+Inputs!$B$22)^(L$7-1)</f>
        <v>35103.75</v>
      </c>
      <c r="M28" s="69" t="n">
        <f aca="false">M20*Inputs!$B$26*(1+Inputs!$B$22)^(M$7-1)</f>
        <v>37317.5</v>
      </c>
      <c r="N28" s="69" t="n">
        <f aca="false">N20*Inputs!$B$26*(1+Inputs!$B$22)^(N$7-1)</f>
        <v>39531.25</v>
      </c>
      <c r="O28" s="69" t="n">
        <f aca="false">O20*Inputs!$B$26*(1+Inputs!$B$22)^(O$7-1)</f>
        <v>42162.45</v>
      </c>
      <c r="P28" s="69" t="n">
        <f aca="false">P20*Inputs!$B$26*(1+Inputs!$B$22)^(P$7-1)</f>
        <v>44398.3375</v>
      </c>
      <c r="Q28" s="69" t="n">
        <f aca="false">Q20*Inputs!$B$26*(1+Inputs!$B$22)^(Q$7-1)</f>
        <v>46634.225</v>
      </c>
      <c r="R28" s="69" t="n">
        <f aca="false">R20*Inputs!$B$26*(1+Inputs!$B$22)^(R$7-1)</f>
        <v>48870.1125</v>
      </c>
      <c r="S28" s="69" t="n">
        <f aca="false">S20*Inputs!$B$26*(1+Inputs!$B$22)^(S$7-1)</f>
        <v>51106</v>
      </c>
      <c r="T28" s="69" t="n">
        <f aca="false">T20*Inputs!$B$26*(1+Inputs!$B$22)^(T$7-1)</f>
        <v>51106</v>
      </c>
      <c r="U28" s="69" t="n">
        <f aca="false">U20*Inputs!$B$26*(1+Inputs!$B$22)^(U$7-1)</f>
        <v>51106</v>
      </c>
      <c r="V28" s="69" t="n">
        <f aca="false">V20*Inputs!$B$26*(1+Inputs!$B$22)^(V$7-1)</f>
        <v>51106</v>
      </c>
      <c r="W28" s="69" t="n">
        <f aca="false">W20*Inputs!$B$26*(1+Inputs!$B$22)^(W$7-1)</f>
        <v>51106</v>
      </c>
      <c r="X28" s="69" t="n">
        <f aca="false">X20*Inputs!$B$26*(1+Inputs!$B$22)^(X$7-1)</f>
        <v>51106</v>
      </c>
      <c r="Y28" s="69" t="n">
        <f aca="false">Y20*Inputs!$B$26*(1+Inputs!$B$22)^(Y$7-1)</f>
        <v>51106</v>
      </c>
      <c r="Z28" s="69" t="n">
        <f aca="false">Z20*Inputs!$B$26*(1+Inputs!$B$22)^(Z$7-1)</f>
        <v>51106</v>
      </c>
      <c r="AA28" s="69" t="n">
        <f aca="false">AA20*Inputs!$B$26*(1+Inputs!$B$22)^(AA$7-1)</f>
        <v>51617.06</v>
      </c>
      <c r="AB28" s="69" t="n">
        <f aca="false">AB20*Inputs!$B$26*(1+Inputs!$B$22)^(AB$7-1)</f>
        <v>51617.06</v>
      </c>
      <c r="AC28" s="69" t="n">
        <f aca="false">AC20*Inputs!$B$26*(1+Inputs!$B$22)^(AC$7-1)</f>
        <v>51617.06</v>
      </c>
      <c r="AD28" s="69" t="n">
        <f aca="false">AD20*Inputs!$B$26*(1+Inputs!$B$22)^(AD$7-1)</f>
        <v>51617.06</v>
      </c>
      <c r="AE28" s="69" t="n">
        <f aca="false">AE20*Inputs!$B$26*(1+Inputs!$B$22)^(AE$7-1)</f>
        <v>51617.06</v>
      </c>
      <c r="AF28" s="69" t="n">
        <f aca="false">AF20*Inputs!$B$26*(1+Inputs!$B$22)^(AF$7-1)</f>
        <v>51617.06</v>
      </c>
      <c r="AG28" s="69" t="n">
        <f aca="false">AG20*Inputs!$B$26*(1+Inputs!$B$22)^(AG$7-1)</f>
        <v>51617.06</v>
      </c>
      <c r="AH28" s="69" t="n">
        <f aca="false">AH20*Inputs!$B$26*(1+Inputs!$B$22)^(AH$7-1)</f>
        <v>51617.06</v>
      </c>
      <c r="AI28" s="69" t="n">
        <f aca="false">AI20*Inputs!$B$26*(1+Inputs!$B$22)^(AI$7-1)</f>
        <v>51617.06</v>
      </c>
      <c r="AJ28" s="69" t="n">
        <f aca="false">AJ20*Inputs!$B$26*(1+Inputs!$B$22)^(AJ$7-1)</f>
        <v>51617.06</v>
      </c>
      <c r="AK28" s="69" t="n">
        <f aca="false">AK20*Inputs!$B$26*(1+Inputs!$B$22)^(AK$7-1)</f>
        <v>51617.06</v>
      </c>
      <c r="AL28" s="69" t="n">
        <f aca="false">AL20*Inputs!$B$26*(1+Inputs!$B$22)^(AL$7-1)</f>
        <v>51617.06</v>
      </c>
      <c r="AM28" s="69" t="n">
        <f aca="false">AM20*Inputs!$B$26*(1+Inputs!$B$22)^(AM$7-1)</f>
        <v>52133.2306</v>
      </c>
      <c r="AN28" s="69" t="n">
        <f aca="false">AN20*Inputs!$B$26*(1+Inputs!$B$22)^(AN$7-1)</f>
        <v>52133.2306</v>
      </c>
      <c r="AO28" s="69" t="n">
        <f aca="false">AO20*Inputs!$B$26*(1+Inputs!$B$22)^(AO$7-1)</f>
        <v>52133.2306</v>
      </c>
      <c r="AP28" s="69" t="n">
        <f aca="false">AP20*Inputs!$B$26*(1+Inputs!$B$22)^(AP$7-1)</f>
        <v>52133.2306</v>
      </c>
      <c r="AQ28" s="69" t="n">
        <f aca="false">AQ20*Inputs!$B$26*(1+Inputs!$B$22)^(AQ$7-1)</f>
        <v>52133.2306</v>
      </c>
      <c r="AR28" s="69" t="n">
        <f aca="false">AR20*Inputs!$B$26*(1+Inputs!$B$22)^(AR$7-1)</f>
        <v>52133.2306</v>
      </c>
      <c r="AS28" s="69" t="n">
        <f aca="false">AS20*Inputs!$B$26*(1+Inputs!$B$22)^(AS$7-1)</f>
        <v>52133.2306</v>
      </c>
      <c r="AT28" s="69" t="n">
        <f aca="false">AT20*Inputs!$B$26*(1+Inputs!$B$22)^(AT$7-1)</f>
        <v>52133.2306</v>
      </c>
      <c r="AU28" s="69" t="n">
        <f aca="false">AU20*Inputs!$B$26*(1+Inputs!$B$22)^(AU$7-1)</f>
        <v>52133.2306</v>
      </c>
      <c r="AV28" s="69" t="n">
        <f aca="false">AV20*Inputs!$B$26*(1+Inputs!$B$22)^(AV$7-1)</f>
        <v>52133.2306</v>
      </c>
      <c r="AW28" s="69" t="n">
        <f aca="false">AW20*Inputs!$B$26*(1+Inputs!$B$22)^(AW$7-1)</f>
        <v>52133.2306</v>
      </c>
      <c r="AX28" s="69" t="n">
        <f aca="false">AX20*Inputs!$B$26*(1+Inputs!$B$22)^(AX$7-1)</f>
        <v>52133.2306</v>
      </c>
      <c r="AY28" s="69" t="n">
        <f aca="false">AY20*Inputs!$B$26*(1+Inputs!$B$22)^(AY$7-1)</f>
        <v>52654.562906</v>
      </c>
      <c r="AZ28" s="69" t="n">
        <f aca="false">AZ20*Inputs!$B$26*(1+Inputs!$B$22)^(AZ$7-1)</f>
        <v>52654.562906</v>
      </c>
      <c r="BA28" s="69" t="n">
        <f aca="false">BA20*Inputs!$B$26*(1+Inputs!$B$22)^(BA$7-1)</f>
        <v>52654.562906</v>
      </c>
      <c r="BB28" s="69" t="n">
        <f aca="false">BB20*Inputs!$B$26*(1+Inputs!$B$22)^(BB$7-1)</f>
        <v>52654.562906</v>
      </c>
      <c r="BC28" s="69" t="n">
        <f aca="false">BC20*Inputs!$B$26*(1+Inputs!$B$22)^(BC$7-1)</f>
        <v>52654.562906</v>
      </c>
      <c r="BD28" s="69" t="n">
        <f aca="false">BD20*Inputs!$B$26*(1+Inputs!$B$22)^(BD$7-1)</f>
        <v>52654.562906</v>
      </c>
      <c r="BE28" s="69" t="n">
        <f aca="false">BE20*Inputs!$B$26*(1+Inputs!$B$22)^(BE$7-1)</f>
        <v>52654.562906</v>
      </c>
      <c r="BF28" s="69" t="n">
        <f aca="false">BF20*Inputs!$B$26*(1+Inputs!$B$22)^(BF$7-1)</f>
        <v>52654.562906</v>
      </c>
      <c r="BG28" s="69" t="n">
        <f aca="false">BG20*Inputs!$B$26*(1+Inputs!$B$22)^(BG$7-1)</f>
        <v>52654.562906</v>
      </c>
      <c r="BH28" s="69" t="n">
        <f aca="false">BH20*Inputs!$B$26*(1+Inputs!$B$22)^(BH$7-1)</f>
        <v>52654.562906</v>
      </c>
      <c r="BI28" s="69" t="n">
        <f aca="false">BI20*Inputs!$B$26*(1+Inputs!$B$22)^(BI$7-1)</f>
        <v>52654.562906</v>
      </c>
      <c r="BJ28" s="69" t="n">
        <f aca="false">BJ20*Inputs!$B$26*(1+Inputs!$B$22)^(BJ$7-1)</f>
        <v>52654.562906</v>
      </c>
    </row>
    <row r="29" customFormat="false" ht="15" hidden="false" customHeight="false" outlineLevel="0" collapsed="false">
      <c r="A29" s="6" t="s">
        <v>421</v>
      </c>
      <c r="C29" s="69" t="n">
        <f aca="false">C27*Inputs!$B$23</f>
        <v>778.8</v>
      </c>
      <c r="D29" s="69" t="n">
        <f aca="false">D27*Inputs!$B$23</f>
        <v>892.375</v>
      </c>
      <c r="E29" s="69" t="n">
        <f aca="false">E27*Inputs!$B$23</f>
        <v>1005.95</v>
      </c>
      <c r="F29" s="69" t="n">
        <f aca="false">F27*Inputs!$B$23</f>
        <v>1119.525</v>
      </c>
      <c r="G29" s="69" t="n">
        <f aca="false">G27*Inputs!$B$23</f>
        <v>1233.1</v>
      </c>
      <c r="H29" s="69" t="n">
        <f aca="false">H27*Inputs!$B$23</f>
        <v>1346.675</v>
      </c>
      <c r="I29" s="69" t="n">
        <f aca="false">I27*Inputs!$B$23</f>
        <v>1460.25</v>
      </c>
      <c r="J29" s="69" t="n">
        <f aca="false">J27*Inputs!$B$23</f>
        <v>1573.825</v>
      </c>
      <c r="K29" s="69" t="n">
        <f aca="false">K27*Inputs!$B$23</f>
        <v>1687.4</v>
      </c>
      <c r="L29" s="69" t="n">
        <f aca="false">L27*Inputs!$B$23</f>
        <v>1800.975</v>
      </c>
      <c r="M29" s="69" t="n">
        <f aca="false">M27*Inputs!$B$23</f>
        <v>1914.55</v>
      </c>
      <c r="N29" s="69" t="n">
        <f aca="false">N27*Inputs!$B$23</f>
        <v>2028.125</v>
      </c>
      <c r="O29" s="69" t="n">
        <f aca="false">O27*Inputs!$B$23</f>
        <v>2163.117</v>
      </c>
      <c r="P29" s="69" t="n">
        <f aca="false">P27*Inputs!$B$23</f>
        <v>2277.82775</v>
      </c>
      <c r="Q29" s="69" t="n">
        <f aca="false">Q27*Inputs!$B$23</f>
        <v>2392.5385</v>
      </c>
      <c r="R29" s="69" t="n">
        <f aca="false">R27*Inputs!$B$23</f>
        <v>2507.24925</v>
      </c>
      <c r="S29" s="69" t="n">
        <f aca="false">S27*Inputs!$B$23</f>
        <v>2621.96</v>
      </c>
      <c r="T29" s="69" t="n">
        <f aca="false">T27*Inputs!$B$23</f>
        <v>2621.96</v>
      </c>
      <c r="U29" s="69" t="n">
        <f aca="false">U27*Inputs!$B$23</f>
        <v>2621.96</v>
      </c>
      <c r="V29" s="69" t="n">
        <f aca="false">V27*Inputs!$B$23</f>
        <v>2621.96</v>
      </c>
      <c r="W29" s="69" t="n">
        <f aca="false">W27*Inputs!$B$23</f>
        <v>2621.96</v>
      </c>
      <c r="X29" s="69" t="n">
        <f aca="false">X27*Inputs!$B$23</f>
        <v>2621.96</v>
      </c>
      <c r="Y29" s="69" t="n">
        <f aca="false">Y27*Inputs!$B$23</f>
        <v>2621.96</v>
      </c>
      <c r="Z29" s="69" t="n">
        <f aca="false">Z27*Inputs!$B$23</f>
        <v>2621.96</v>
      </c>
      <c r="AA29" s="69" t="n">
        <f aca="false">AA27*Inputs!$B$23</f>
        <v>2648.1796</v>
      </c>
      <c r="AB29" s="69" t="n">
        <f aca="false">AB27*Inputs!$B$23</f>
        <v>2648.1796</v>
      </c>
      <c r="AC29" s="69" t="n">
        <f aca="false">AC27*Inputs!$B$23</f>
        <v>2648.1796</v>
      </c>
      <c r="AD29" s="69" t="n">
        <f aca="false">AD27*Inputs!$B$23</f>
        <v>2648.1796</v>
      </c>
      <c r="AE29" s="69" t="n">
        <f aca="false">AE27*Inputs!$B$23</f>
        <v>2648.1796</v>
      </c>
      <c r="AF29" s="69" t="n">
        <f aca="false">AF27*Inputs!$B$23</f>
        <v>2648.1796</v>
      </c>
      <c r="AG29" s="69" t="n">
        <f aca="false">AG27*Inputs!$B$23</f>
        <v>2648.1796</v>
      </c>
      <c r="AH29" s="69" t="n">
        <f aca="false">AH27*Inputs!$B$23</f>
        <v>2648.1796</v>
      </c>
      <c r="AI29" s="69" t="n">
        <f aca="false">AI27*Inputs!$B$23</f>
        <v>2648.1796</v>
      </c>
      <c r="AJ29" s="69" t="n">
        <f aca="false">AJ27*Inputs!$B$23</f>
        <v>2648.1796</v>
      </c>
      <c r="AK29" s="69" t="n">
        <f aca="false">AK27*Inputs!$B$23</f>
        <v>2648.1796</v>
      </c>
      <c r="AL29" s="69" t="n">
        <f aca="false">AL27*Inputs!$B$23</f>
        <v>2648.1796</v>
      </c>
      <c r="AM29" s="69" t="n">
        <f aca="false">AM27*Inputs!$B$23</f>
        <v>2674.661396</v>
      </c>
      <c r="AN29" s="69" t="n">
        <f aca="false">AN27*Inputs!$B$23</f>
        <v>2674.661396</v>
      </c>
      <c r="AO29" s="69" t="n">
        <f aca="false">AO27*Inputs!$B$23</f>
        <v>2674.661396</v>
      </c>
      <c r="AP29" s="69" t="n">
        <f aca="false">AP27*Inputs!$B$23</f>
        <v>2674.661396</v>
      </c>
      <c r="AQ29" s="69" t="n">
        <f aca="false">AQ27*Inputs!$B$23</f>
        <v>2674.661396</v>
      </c>
      <c r="AR29" s="69" t="n">
        <f aca="false">AR27*Inputs!$B$23</f>
        <v>2674.661396</v>
      </c>
      <c r="AS29" s="69" t="n">
        <f aca="false">AS27*Inputs!$B$23</f>
        <v>2674.661396</v>
      </c>
      <c r="AT29" s="69" t="n">
        <f aca="false">AT27*Inputs!$B$23</f>
        <v>2674.661396</v>
      </c>
      <c r="AU29" s="69" t="n">
        <f aca="false">AU27*Inputs!$B$23</f>
        <v>2674.661396</v>
      </c>
      <c r="AV29" s="69" t="n">
        <f aca="false">AV27*Inputs!$B$23</f>
        <v>2674.661396</v>
      </c>
      <c r="AW29" s="69" t="n">
        <f aca="false">AW27*Inputs!$B$23</f>
        <v>2674.661396</v>
      </c>
      <c r="AX29" s="69" t="n">
        <f aca="false">AX27*Inputs!$B$23</f>
        <v>2674.661396</v>
      </c>
      <c r="AY29" s="69" t="n">
        <f aca="false">AY27*Inputs!$B$23</f>
        <v>2701.40800996</v>
      </c>
      <c r="AZ29" s="69" t="n">
        <f aca="false">AZ27*Inputs!$B$23</f>
        <v>2701.40800996</v>
      </c>
      <c r="BA29" s="69" t="n">
        <f aca="false">BA27*Inputs!$B$23</f>
        <v>2701.40800996</v>
      </c>
      <c r="BB29" s="69" t="n">
        <f aca="false">BB27*Inputs!$B$23</f>
        <v>2701.40800996</v>
      </c>
      <c r="BC29" s="69" t="n">
        <f aca="false">BC27*Inputs!$B$23</f>
        <v>2701.40800996</v>
      </c>
      <c r="BD29" s="69" t="n">
        <f aca="false">BD27*Inputs!$B$23</f>
        <v>2701.40800996</v>
      </c>
      <c r="BE29" s="69" t="n">
        <f aca="false">BE27*Inputs!$B$23</f>
        <v>2701.40800996</v>
      </c>
      <c r="BF29" s="69" t="n">
        <f aca="false">BF27*Inputs!$B$23</f>
        <v>2701.40800996</v>
      </c>
      <c r="BG29" s="69" t="n">
        <f aca="false">BG27*Inputs!$B$23</f>
        <v>2701.40800996</v>
      </c>
      <c r="BH29" s="69" t="n">
        <f aca="false">BH27*Inputs!$B$23</f>
        <v>2701.40800996</v>
      </c>
      <c r="BI29" s="69" t="n">
        <f aca="false">BI27*Inputs!$B$23</f>
        <v>2701.40800996</v>
      </c>
      <c r="BJ29" s="69" t="n">
        <f aca="false">BJ27*Inputs!$B$23</f>
        <v>2701.40800996</v>
      </c>
    </row>
    <row r="30" customFormat="false" ht="15" hidden="false" customHeight="false" outlineLevel="0" collapsed="false">
      <c r="A30" s="115" t="s">
        <v>44</v>
      </c>
      <c r="C30" s="70" t="n">
        <f aca="false">C27+C28+C29</f>
        <v>35428.8</v>
      </c>
      <c r="D30" s="70" t="n">
        <f aca="false">D27+D28+D29</f>
        <v>40595.5</v>
      </c>
      <c r="E30" s="70" t="n">
        <f aca="false">E27+E28+E29</f>
        <v>45762.2</v>
      </c>
      <c r="F30" s="70" t="n">
        <f aca="false">F27+F28+F29</f>
        <v>50928.9</v>
      </c>
      <c r="G30" s="70" t="n">
        <f aca="false">G27+G28+G29</f>
        <v>56095.6</v>
      </c>
      <c r="H30" s="70" t="n">
        <f aca="false">H27+H28+H29</f>
        <v>61262.3</v>
      </c>
      <c r="I30" s="70" t="n">
        <f aca="false">I27+I28+I29</f>
        <v>66429</v>
      </c>
      <c r="J30" s="70" t="n">
        <f aca="false">J27+J28+J29</f>
        <v>71595.7</v>
      </c>
      <c r="K30" s="70" t="n">
        <f aca="false">K27+K28+K29</f>
        <v>76762.4</v>
      </c>
      <c r="L30" s="70" t="n">
        <f aca="false">L27+L28+L29</f>
        <v>81929.1</v>
      </c>
      <c r="M30" s="70" t="n">
        <f aca="false">M27+M28+M29</f>
        <v>87095.8</v>
      </c>
      <c r="N30" s="70" t="n">
        <f aca="false">N27+N28+N29</f>
        <v>92262.5</v>
      </c>
      <c r="O30" s="70" t="n">
        <f aca="false">O27+O28+O29</f>
        <v>98403.492</v>
      </c>
      <c r="P30" s="70" t="n">
        <f aca="false">P27+P28+P29</f>
        <v>103621.859</v>
      </c>
      <c r="Q30" s="70" t="n">
        <f aca="false">Q27+Q28+Q29</f>
        <v>108840.226</v>
      </c>
      <c r="R30" s="70" t="n">
        <f aca="false">R27+R28+R29</f>
        <v>114058.593</v>
      </c>
      <c r="S30" s="70" t="n">
        <f aca="false">S27+S28+S29</f>
        <v>119276.96</v>
      </c>
      <c r="T30" s="70" t="n">
        <f aca="false">T27+T28+T29</f>
        <v>119276.96</v>
      </c>
      <c r="U30" s="70" t="n">
        <f aca="false">U27+U28+U29</f>
        <v>119276.96</v>
      </c>
      <c r="V30" s="70" t="n">
        <f aca="false">V27+V28+V29</f>
        <v>119276.96</v>
      </c>
      <c r="W30" s="70" t="n">
        <f aca="false">W27+W28+W29</f>
        <v>119276.96</v>
      </c>
      <c r="X30" s="70" t="n">
        <f aca="false">X27+X28+X29</f>
        <v>119276.96</v>
      </c>
      <c r="Y30" s="70" t="n">
        <f aca="false">Y27+Y28+Y29</f>
        <v>119276.96</v>
      </c>
      <c r="Z30" s="70" t="n">
        <f aca="false">Z27+Z28+Z29</f>
        <v>119276.96</v>
      </c>
      <c r="AA30" s="70" t="n">
        <f aca="false">AA27+AA28+AA29</f>
        <v>120469.7296</v>
      </c>
      <c r="AB30" s="70" t="n">
        <f aca="false">AB27+AB28+AB29</f>
        <v>120469.7296</v>
      </c>
      <c r="AC30" s="70" t="n">
        <f aca="false">AC27+AC28+AC29</f>
        <v>120469.7296</v>
      </c>
      <c r="AD30" s="70" t="n">
        <f aca="false">AD27+AD28+AD29</f>
        <v>120469.7296</v>
      </c>
      <c r="AE30" s="70" t="n">
        <f aca="false">AE27+AE28+AE29</f>
        <v>120469.7296</v>
      </c>
      <c r="AF30" s="70" t="n">
        <f aca="false">AF27+AF28+AF29</f>
        <v>120469.7296</v>
      </c>
      <c r="AG30" s="70" t="n">
        <f aca="false">AG27+AG28+AG29</f>
        <v>120469.7296</v>
      </c>
      <c r="AH30" s="70" t="n">
        <f aca="false">AH27+AH28+AH29</f>
        <v>120469.7296</v>
      </c>
      <c r="AI30" s="70" t="n">
        <f aca="false">AI27+AI28+AI29</f>
        <v>120469.7296</v>
      </c>
      <c r="AJ30" s="70" t="n">
        <f aca="false">AJ27+AJ28+AJ29</f>
        <v>120469.7296</v>
      </c>
      <c r="AK30" s="70" t="n">
        <f aca="false">AK27+AK28+AK29</f>
        <v>120469.7296</v>
      </c>
      <c r="AL30" s="70" t="n">
        <f aca="false">AL27+AL28+AL29</f>
        <v>120469.7296</v>
      </c>
      <c r="AM30" s="70" t="n">
        <f aca="false">AM27+AM28+AM29</f>
        <v>121674.426896</v>
      </c>
      <c r="AN30" s="70" t="n">
        <f aca="false">AN27+AN28+AN29</f>
        <v>121674.426896</v>
      </c>
      <c r="AO30" s="70" t="n">
        <f aca="false">AO27+AO28+AO29</f>
        <v>121674.426896</v>
      </c>
      <c r="AP30" s="70" t="n">
        <f aca="false">AP27+AP28+AP29</f>
        <v>121674.426896</v>
      </c>
      <c r="AQ30" s="70" t="n">
        <f aca="false">AQ27+AQ28+AQ29</f>
        <v>121674.426896</v>
      </c>
      <c r="AR30" s="70" t="n">
        <f aca="false">AR27+AR28+AR29</f>
        <v>121674.426896</v>
      </c>
      <c r="AS30" s="70" t="n">
        <f aca="false">AS27+AS28+AS29</f>
        <v>121674.426896</v>
      </c>
      <c r="AT30" s="70" t="n">
        <f aca="false">AT27+AT28+AT29</f>
        <v>121674.426896</v>
      </c>
      <c r="AU30" s="70" t="n">
        <f aca="false">AU27+AU28+AU29</f>
        <v>121674.426896</v>
      </c>
      <c r="AV30" s="70" t="n">
        <f aca="false">AV27+AV28+AV29</f>
        <v>121674.426896</v>
      </c>
      <c r="AW30" s="70" t="n">
        <f aca="false">AW27+AW28+AW29</f>
        <v>121674.426896</v>
      </c>
      <c r="AX30" s="70" t="n">
        <f aca="false">AX27+AX28+AX29</f>
        <v>121674.426896</v>
      </c>
      <c r="AY30" s="70" t="n">
        <f aca="false">AY27+AY28+AY29</f>
        <v>122891.17116496</v>
      </c>
      <c r="AZ30" s="70" t="n">
        <f aca="false">AZ27+AZ28+AZ29</f>
        <v>122891.17116496</v>
      </c>
      <c r="BA30" s="70" t="n">
        <f aca="false">BA27+BA28+BA29</f>
        <v>122891.17116496</v>
      </c>
      <c r="BB30" s="70" t="n">
        <f aca="false">BB27+BB28+BB29</f>
        <v>122891.17116496</v>
      </c>
      <c r="BC30" s="70" t="n">
        <f aca="false">BC27+BC28+BC29</f>
        <v>122891.17116496</v>
      </c>
      <c r="BD30" s="70" t="n">
        <f aca="false">BD27+BD28+BD29</f>
        <v>122891.17116496</v>
      </c>
      <c r="BE30" s="70" t="n">
        <f aca="false">BE27+BE28+BE29</f>
        <v>122891.17116496</v>
      </c>
      <c r="BF30" s="70" t="n">
        <f aca="false">BF27+BF28+BF29</f>
        <v>122891.17116496</v>
      </c>
      <c r="BG30" s="70" t="n">
        <f aca="false">BG27+BG28+BG29</f>
        <v>122891.17116496</v>
      </c>
      <c r="BH30" s="70" t="n">
        <f aca="false">BH27+BH28+BH29</f>
        <v>122891.17116496</v>
      </c>
      <c r="BI30" s="70" t="n">
        <f aca="false">BI27+BI28+BI29</f>
        <v>122891.17116496</v>
      </c>
      <c r="BJ30" s="70" t="n">
        <f aca="false">BJ27+BJ28+BJ29</f>
        <v>122891.17116496</v>
      </c>
    </row>
    <row r="32" customFormat="false" ht="15.75" hidden="false" customHeight="true" outlineLevel="0" collapsed="false">
      <c r="A32" s="7" t="s">
        <v>76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customFormat="false" ht="15" hidden="false" customHeight="false" outlineLevel="0" collapsed="false">
      <c r="A33" s="6" t="s">
        <v>422</v>
      </c>
      <c r="C33" s="69" t="n">
        <f aca="false">C120</f>
        <v>-37375</v>
      </c>
      <c r="D33" s="69" t="n">
        <f aca="false">D120</f>
        <v>-37375</v>
      </c>
      <c r="E33" s="69" t="n">
        <f aca="false">E120</f>
        <v>-37375</v>
      </c>
      <c r="F33" s="69" t="n">
        <f aca="false">F120</f>
        <v>-37375</v>
      </c>
      <c r="G33" s="69" t="n">
        <f aca="false">G120</f>
        <v>-37375</v>
      </c>
      <c r="H33" s="69" t="n">
        <f aca="false">H120</f>
        <v>-37375</v>
      </c>
      <c r="I33" s="69" t="n">
        <f aca="false">I120</f>
        <v>-37375</v>
      </c>
      <c r="J33" s="69" t="n">
        <f aca="false">J120</f>
        <v>-37375</v>
      </c>
      <c r="K33" s="69" t="n">
        <f aca="false">K120</f>
        <v>-37375</v>
      </c>
      <c r="L33" s="69" t="n">
        <f aca="false">L120</f>
        <v>-37375</v>
      </c>
      <c r="M33" s="69" t="n">
        <f aca="false">M120</f>
        <v>-37375</v>
      </c>
      <c r="N33" s="69" t="n">
        <f aca="false">N120</f>
        <v>-37375</v>
      </c>
      <c r="O33" s="69" t="n">
        <f aca="false">O120</f>
        <v>-38870</v>
      </c>
      <c r="P33" s="69" t="n">
        <f aca="false">P120</f>
        <v>-38870</v>
      </c>
      <c r="Q33" s="69" t="n">
        <f aca="false">Q120</f>
        <v>-38870</v>
      </c>
      <c r="R33" s="69" t="n">
        <f aca="false">R120</f>
        <v>-38870</v>
      </c>
      <c r="S33" s="69" t="n">
        <f aca="false">S120</f>
        <v>-38870</v>
      </c>
      <c r="T33" s="69" t="n">
        <f aca="false">T120</f>
        <v>-38870</v>
      </c>
      <c r="U33" s="69" t="n">
        <f aca="false">U120</f>
        <v>-38870</v>
      </c>
      <c r="V33" s="69" t="n">
        <f aca="false">V120</f>
        <v>-38870</v>
      </c>
      <c r="W33" s="69" t="n">
        <f aca="false">W120</f>
        <v>-38870</v>
      </c>
      <c r="X33" s="69" t="n">
        <f aca="false">X120</f>
        <v>-38870</v>
      </c>
      <c r="Y33" s="69" t="n">
        <f aca="false">Y120</f>
        <v>-38870</v>
      </c>
      <c r="Z33" s="69" t="n">
        <f aca="false">Z120</f>
        <v>-38870</v>
      </c>
      <c r="AA33" s="69" t="n">
        <f aca="false">AA120</f>
        <v>-40424.8</v>
      </c>
      <c r="AB33" s="69" t="n">
        <f aca="false">AB120</f>
        <v>-40424.8</v>
      </c>
      <c r="AC33" s="69" t="n">
        <f aca="false">AC120</f>
        <v>-40424.8</v>
      </c>
      <c r="AD33" s="69" t="n">
        <f aca="false">AD120</f>
        <v>-40424.8</v>
      </c>
      <c r="AE33" s="69" t="n">
        <f aca="false">AE120</f>
        <v>-40424.8</v>
      </c>
      <c r="AF33" s="69" t="n">
        <f aca="false">AF120</f>
        <v>-40424.8</v>
      </c>
      <c r="AG33" s="69" t="n">
        <f aca="false">AG120</f>
        <v>-40424.8</v>
      </c>
      <c r="AH33" s="69" t="n">
        <f aca="false">AH120</f>
        <v>-40424.8</v>
      </c>
      <c r="AI33" s="69" t="n">
        <f aca="false">AI120</f>
        <v>-40424.8</v>
      </c>
      <c r="AJ33" s="69" t="n">
        <f aca="false">AJ120</f>
        <v>-40424.8</v>
      </c>
      <c r="AK33" s="69" t="n">
        <f aca="false">AK120</f>
        <v>-40424.8</v>
      </c>
      <c r="AL33" s="69" t="n">
        <f aca="false">AL120</f>
        <v>-40424.8</v>
      </c>
      <c r="AM33" s="69" t="n">
        <f aca="false">AM120</f>
        <v>-42041.792</v>
      </c>
      <c r="AN33" s="69" t="n">
        <f aca="false">AN120</f>
        <v>-42041.792</v>
      </c>
      <c r="AO33" s="69" t="n">
        <f aca="false">AO120</f>
        <v>-42041.792</v>
      </c>
      <c r="AP33" s="69" t="n">
        <f aca="false">AP120</f>
        <v>-42041.792</v>
      </c>
      <c r="AQ33" s="69" t="n">
        <f aca="false">AQ120</f>
        <v>-42041.792</v>
      </c>
      <c r="AR33" s="69" t="n">
        <f aca="false">AR120</f>
        <v>-42041.792</v>
      </c>
      <c r="AS33" s="69" t="n">
        <f aca="false">AS120</f>
        <v>-42041.792</v>
      </c>
      <c r="AT33" s="69" t="n">
        <f aca="false">AT120</f>
        <v>-42041.792</v>
      </c>
      <c r="AU33" s="69" t="n">
        <f aca="false">AU120</f>
        <v>-42041.792</v>
      </c>
      <c r="AV33" s="69" t="n">
        <f aca="false">AV120</f>
        <v>-42041.792</v>
      </c>
      <c r="AW33" s="69" t="n">
        <f aca="false">AW120</f>
        <v>-42041.792</v>
      </c>
      <c r="AX33" s="69" t="n">
        <f aca="false">AX120</f>
        <v>-42041.792</v>
      </c>
      <c r="AY33" s="69" t="n">
        <f aca="false">AY120</f>
        <v>-43723.46368</v>
      </c>
      <c r="AZ33" s="69" t="n">
        <f aca="false">AZ120</f>
        <v>-43723.46368</v>
      </c>
      <c r="BA33" s="69" t="n">
        <f aca="false">BA120</f>
        <v>-43723.46368</v>
      </c>
      <c r="BB33" s="69" t="n">
        <f aca="false">BB120</f>
        <v>-43723.46368</v>
      </c>
      <c r="BC33" s="69" t="n">
        <f aca="false">BC120</f>
        <v>-43723.46368</v>
      </c>
      <c r="BD33" s="69" t="n">
        <f aca="false">BD120</f>
        <v>-43723.46368</v>
      </c>
      <c r="BE33" s="69" t="n">
        <f aca="false">BE120</f>
        <v>-43723.46368</v>
      </c>
      <c r="BF33" s="69" t="n">
        <f aca="false">BF120</f>
        <v>-43723.46368</v>
      </c>
      <c r="BG33" s="69" t="n">
        <f aca="false">BG120</f>
        <v>-43723.46368</v>
      </c>
      <c r="BH33" s="69" t="n">
        <f aca="false">BH120</f>
        <v>-43723.46368</v>
      </c>
      <c r="BI33" s="69" t="n">
        <f aca="false">BI120</f>
        <v>-43723.46368</v>
      </c>
      <c r="BJ33" s="69" t="n">
        <f aca="false">BJ120</f>
        <v>-43723.46368</v>
      </c>
    </row>
    <row r="34" customFormat="false" ht="15" hidden="false" customHeight="false" outlineLevel="0" collapsed="false">
      <c r="A34" s="6" t="s">
        <v>244</v>
      </c>
      <c r="C34" s="69" t="n">
        <f aca="false">-C28*(1-Inputs!$B$27)</f>
        <v>-8500.8</v>
      </c>
      <c r="D34" s="69" t="n">
        <f aca="false">-D28*(1-Inputs!$B$27)</f>
        <v>-9740.5</v>
      </c>
      <c r="E34" s="69" t="n">
        <f aca="false">-E28*(1-Inputs!$B$27)</f>
        <v>-10980.2</v>
      </c>
      <c r="F34" s="69" t="n">
        <f aca="false">-F28*(1-Inputs!$B$27)</f>
        <v>-12219.9</v>
      </c>
      <c r="G34" s="69" t="n">
        <f aca="false">-G28*(1-Inputs!$B$27)</f>
        <v>-13459.6</v>
      </c>
      <c r="H34" s="69" t="n">
        <f aca="false">-H28*(1-Inputs!$B$27)</f>
        <v>-14699.3</v>
      </c>
      <c r="I34" s="69" t="n">
        <f aca="false">-I28*(1-Inputs!$B$27)</f>
        <v>-15939</v>
      </c>
      <c r="J34" s="69" t="n">
        <f aca="false">-J28*(1-Inputs!$B$27)</f>
        <v>-17178.7</v>
      </c>
      <c r="K34" s="69" t="n">
        <f aca="false">-K28*(1-Inputs!$B$27)</f>
        <v>-18418.4</v>
      </c>
      <c r="L34" s="69" t="n">
        <f aca="false">-L28*(1-Inputs!$B$27)</f>
        <v>-19658.1</v>
      </c>
      <c r="M34" s="69" t="n">
        <f aca="false">-M28*(1-Inputs!$B$27)</f>
        <v>-20897.8</v>
      </c>
      <c r="N34" s="69" t="n">
        <f aca="false">-N28*(1-Inputs!$B$27)</f>
        <v>-22137.5</v>
      </c>
      <c r="O34" s="69" t="n">
        <f aca="false">-O28*(1-Inputs!$B$27)</f>
        <v>-23610.972</v>
      </c>
      <c r="P34" s="69" t="n">
        <f aca="false">-P28*(1-Inputs!$B$27)</f>
        <v>-24863.069</v>
      </c>
      <c r="Q34" s="69" t="n">
        <f aca="false">-Q28*(1-Inputs!$B$27)</f>
        <v>-26115.166</v>
      </c>
      <c r="R34" s="69" t="n">
        <f aca="false">-R28*(1-Inputs!$B$27)</f>
        <v>-27367.263</v>
      </c>
      <c r="S34" s="69" t="n">
        <f aca="false">-S28*(1-Inputs!$B$27)</f>
        <v>-28619.36</v>
      </c>
      <c r="T34" s="69" t="n">
        <f aca="false">-T28*(1-Inputs!$B$27)</f>
        <v>-28619.36</v>
      </c>
      <c r="U34" s="69" t="n">
        <f aca="false">-U28*(1-Inputs!$B$27)</f>
        <v>-28619.36</v>
      </c>
      <c r="V34" s="69" t="n">
        <f aca="false">-V28*(1-Inputs!$B$27)</f>
        <v>-28619.36</v>
      </c>
      <c r="W34" s="69" t="n">
        <f aca="false">-W28*(1-Inputs!$B$27)</f>
        <v>-28619.36</v>
      </c>
      <c r="X34" s="69" t="n">
        <f aca="false">-X28*(1-Inputs!$B$27)</f>
        <v>-28619.36</v>
      </c>
      <c r="Y34" s="69" t="n">
        <f aca="false">-Y28*(1-Inputs!$B$27)</f>
        <v>-28619.36</v>
      </c>
      <c r="Z34" s="69" t="n">
        <f aca="false">-Z28*(1-Inputs!$B$27)</f>
        <v>-28619.36</v>
      </c>
      <c r="AA34" s="69" t="n">
        <f aca="false">-AA28*(1-Inputs!$B$27)</f>
        <v>-28905.5536</v>
      </c>
      <c r="AB34" s="69" t="n">
        <f aca="false">-AB28*(1-Inputs!$B$27)</f>
        <v>-28905.5536</v>
      </c>
      <c r="AC34" s="69" t="n">
        <f aca="false">-AC28*(1-Inputs!$B$27)</f>
        <v>-28905.5536</v>
      </c>
      <c r="AD34" s="69" t="n">
        <f aca="false">-AD28*(1-Inputs!$B$27)</f>
        <v>-28905.5536</v>
      </c>
      <c r="AE34" s="69" t="n">
        <f aca="false">-AE28*(1-Inputs!$B$27)</f>
        <v>-28905.5536</v>
      </c>
      <c r="AF34" s="69" t="n">
        <f aca="false">-AF28*(1-Inputs!$B$27)</f>
        <v>-28905.5536</v>
      </c>
      <c r="AG34" s="69" t="n">
        <f aca="false">-AG28*(1-Inputs!$B$27)</f>
        <v>-28905.5536</v>
      </c>
      <c r="AH34" s="69" t="n">
        <f aca="false">-AH28*(1-Inputs!$B$27)</f>
        <v>-28905.5536</v>
      </c>
      <c r="AI34" s="69" t="n">
        <f aca="false">-AI28*(1-Inputs!$B$27)</f>
        <v>-28905.5536</v>
      </c>
      <c r="AJ34" s="69" t="n">
        <f aca="false">-AJ28*(1-Inputs!$B$27)</f>
        <v>-28905.5536</v>
      </c>
      <c r="AK34" s="69" t="n">
        <f aca="false">-AK28*(1-Inputs!$B$27)</f>
        <v>-28905.5536</v>
      </c>
      <c r="AL34" s="69" t="n">
        <f aca="false">-AL28*(1-Inputs!$B$27)</f>
        <v>-28905.5536</v>
      </c>
      <c r="AM34" s="69" t="n">
        <f aca="false">-AM28*(1-Inputs!$B$27)</f>
        <v>-29194.609136</v>
      </c>
      <c r="AN34" s="69" t="n">
        <f aca="false">-AN28*(1-Inputs!$B$27)</f>
        <v>-29194.609136</v>
      </c>
      <c r="AO34" s="69" t="n">
        <f aca="false">-AO28*(1-Inputs!$B$27)</f>
        <v>-29194.609136</v>
      </c>
      <c r="AP34" s="69" t="n">
        <f aca="false">-AP28*(1-Inputs!$B$27)</f>
        <v>-29194.609136</v>
      </c>
      <c r="AQ34" s="69" t="n">
        <f aca="false">-AQ28*(1-Inputs!$B$27)</f>
        <v>-29194.609136</v>
      </c>
      <c r="AR34" s="69" t="n">
        <f aca="false">-AR28*(1-Inputs!$B$27)</f>
        <v>-29194.609136</v>
      </c>
      <c r="AS34" s="69" t="n">
        <f aca="false">-AS28*(1-Inputs!$B$27)</f>
        <v>-29194.609136</v>
      </c>
      <c r="AT34" s="69" t="n">
        <f aca="false">-AT28*(1-Inputs!$B$27)</f>
        <v>-29194.609136</v>
      </c>
      <c r="AU34" s="69" t="n">
        <f aca="false">-AU28*(1-Inputs!$B$27)</f>
        <v>-29194.609136</v>
      </c>
      <c r="AV34" s="69" t="n">
        <f aca="false">-AV28*(1-Inputs!$B$27)</f>
        <v>-29194.609136</v>
      </c>
      <c r="AW34" s="69" t="n">
        <f aca="false">-AW28*(1-Inputs!$B$27)</f>
        <v>-29194.609136</v>
      </c>
      <c r="AX34" s="69" t="n">
        <f aca="false">-AX28*(1-Inputs!$B$27)</f>
        <v>-29194.609136</v>
      </c>
      <c r="AY34" s="69" t="n">
        <f aca="false">-AY28*(1-Inputs!$B$27)</f>
        <v>-29486.55522736</v>
      </c>
      <c r="AZ34" s="69" t="n">
        <f aca="false">-AZ28*(1-Inputs!$B$27)</f>
        <v>-29486.55522736</v>
      </c>
      <c r="BA34" s="69" t="n">
        <f aca="false">-BA28*(1-Inputs!$B$27)</f>
        <v>-29486.55522736</v>
      </c>
      <c r="BB34" s="69" t="n">
        <f aca="false">-BB28*(1-Inputs!$B$27)</f>
        <v>-29486.55522736</v>
      </c>
      <c r="BC34" s="69" t="n">
        <f aca="false">-BC28*(1-Inputs!$B$27)</f>
        <v>-29486.55522736</v>
      </c>
      <c r="BD34" s="69" t="n">
        <f aca="false">-BD28*(1-Inputs!$B$27)</f>
        <v>-29486.55522736</v>
      </c>
      <c r="BE34" s="69" t="n">
        <f aca="false">-BE28*(1-Inputs!$B$27)</f>
        <v>-29486.55522736</v>
      </c>
      <c r="BF34" s="69" t="n">
        <f aca="false">-BF28*(1-Inputs!$B$27)</f>
        <v>-29486.55522736</v>
      </c>
      <c r="BG34" s="69" t="n">
        <f aca="false">-BG28*(1-Inputs!$B$27)</f>
        <v>-29486.55522736</v>
      </c>
      <c r="BH34" s="69" t="n">
        <f aca="false">-BH28*(1-Inputs!$B$27)</f>
        <v>-29486.55522736</v>
      </c>
      <c r="BI34" s="69" t="n">
        <f aca="false">-BI28*(1-Inputs!$B$27)</f>
        <v>-29486.55522736</v>
      </c>
      <c r="BJ34" s="69" t="n">
        <f aca="false">-BJ28*(1-Inputs!$B$27)</f>
        <v>-29486.55522736</v>
      </c>
    </row>
    <row r="35" customFormat="false" ht="15" hidden="false" customHeight="false" outlineLevel="0" collapsed="false">
      <c r="A35" s="6" t="s">
        <v>423</v>
      </c>
      <c r="C35" s="69" t="n">
        <f aca="false">-C27*Inputs!$B$30</f>
        <v>-778.8</v>
      </c>
      <c r="D35" s="69" t="n">
        <f aca="false">-D27*Inputs!$B$30</f>
        <v>-892.375</v>
      </c>
      <c r="E35" s="69" t="n">
        <f aca="false">-E27*Inputs!$B$30</f>
        <v>-1005.95</v>
      </c>
      <c r="F35" s="69" t="n">
        <f aca="false">-F27*Inputs!$B$30</f>
        <v>-1119.525</v>
      </c>
      <c r="G35" s="69" t="n">
        <f aca="false">-G27*Inputs!$B$30</f>
        <v>-1233.1</v>
      </c>
      <c r="H35" s="69" t="n">
        <f aca="false">-H27*Inputs!$B$30</f>
        <v>-1346.675</v>
      </c>
      <c r="I35" s="69" t="n">
        <f aca="false">-I27*Inputs!$B$30</f>
        <v>-1460.25</v>
      </c>
      <c r="J35" s="69" t="n">
        <f aca="false">-J27*Inputs!$B$30</f>
        <v>-1573.825</v>
      </c>
      <c r="K35" s="69" t="n">
        <f aca="false">-K27*Inputs!$B$30</f>
        <v>-1687.4</v>
      </c>
      <c r="L35" s="69" t="n">
        <f aca="false">-L27*Inputs!$B$30</f>
        <v>-1800.975</v>
      </c>
      <c r="M35" s="69" t="n">
        <f aca="false">-M27*Inputs!$B$30</f>
        <v>-1914.55</v>
      </c>
      <c r="N35" s="69" t="n">
        <f aca="false">-N27*Inputs!$B$30</f>
        <v>-2028.125</v>
      </c>
      <c r="O35" s="69" t="n">
        <f aca="false">-O27*Inputs!$B$30</f>
        <v>-2163.117</v>
      </c>
      <c r="P35" s="69" t="n">
        <f aca="false">-P27*Inputs!$B$30</f>
        <v>-2277.82775</v>
      </c>
      <c r="Q35" s="69" t="n">
        <f aca="false">-Q27*Inputs!$B$30</f>
        <v>-2392.5385</v>
      </c>
      <c r="R35" s="69" t="n">
        <f aca="false">-R27*Inputs!$B$30</f>
        <v>-2507.24925</v>
      </c>
      <c r="S35" s="69" t="n">
        <f aca="false">-S27*Inputs!$B$30</f>
        <v>-2621.96</v>
      </c>
      <c r="T35" s="69" t="n">
        <f aca="false">-T27*Inputs!$B$30</f>
        <v>-2621.96</v>
      </c>
      <c r="U35" s="69" t="n">
        <f aca="false">-U27*Inputs!$B$30</f>
        <v>-2621.96</v>
      </c>
      <c r="V35" s="69" t="n">
        <f aca="false">-V27*Inputs!$B$30</f>
        <v>-2621.96</v>
      </c>
      <c r="W35" s="69" t="n">
        <f aca="false">-W27*Inputs!$B$30</f>
        <v>-2621.96</v>
      </c>
      <c r="X35" s="69" t="n">
        <f aca="false">-X27*Inputs!$B$30</f>
        <v>-2621.96</v>
      </c>
      <c r="Y35" s="69" t="n">
        <f aca="false">-Y27*Inputs!$B$30</f>
        <v>-2621.96</v>
      </c>
      <c r="Z35" s="69" t="n">
        <f aca="false">-Z27*Inputs!$B$30</f>
        <v>-2621.96</v>
      </c>
      <c r="AA35" s="69" t="n">
        <f aca="false">-AA27*Inputs!$B$30</f>
        <v>-2648.1796</v>
      </c>
      <c r="AB35" s="69" t="n">
        <f aca="false">-AB27*Inputs!$B$30</f>
        <v>-2648.1796</v>
      </c>
      <c r="AC35" s="69" t="n">
        <f aca="false">-AC27*Inputs!$B$30</f>
        <v>-2648.1796</v>
      </c>
      <c r="AD35" s="69" t="n">
        <f aca="false">-AD27*Inputs!$B$30</f>
        <v>-2648.1796</v>
      </c>
      <c r="AE35" s="69" t="n">
        <f aca="false">-AE27*Inputs!$B$30</f>
        <v>-2648.1796</v>
      </c>
      <c r="AF35" s="69" t="n">
        <f aca="false">-AF27*Inputs!$B$30</f>
        <v>-2648.1796</v>
      </c>
      <c r="AG35" s="69" t="n">
        <f aca="false">-AG27*Inputs!$B$30</f>
        <v>-2648.1796</v>
      </c>
      <c r="AH35" s="69" t="n">
        <f aca="false">-AH27*Inputs!$B$30</f>
        <v>-2648.1796</v>
      </c>
      <c r="AI35" s="69" t="n">
        <f aca="false">-AI27*Inputs!$B$30</f>
        <v>-2648.1796</v>
      </c>
      <c r="AJ35" s="69" t="n">
        <f aca="false">-AJ27*Inputs!$B$30</f>
        <v>-2648.1796</v>
      </c>
      <c r="AK35" s="69" t="n">
        <f aca="false">-AK27*Inputs!$B$30</f>
        <v>-2648.1796</v>
      </c>
      <c r="AL35" s="69" t="n">
        <f aca="false">-AL27*Inputs!$B$30</f>
        <v>-2648.1796</v>
      </c>
      <c r="AM35" s="69" t="n">
        <f aca="false">-AM27*Inputs!$B$30</f>
        <v>-2674.661396</v>
      </c>
      <c r="AN35" s="69" t="n">
        <f aca="false">-AN27*Inputs!$B$30</f>
        <v>-2674.661396</v>
      </c>
      <c r="AO35" s="69" t="n">
        <f aca="false">-AO27*Inputs!$B$30</f>
        <v>-2674.661396</v>
      </c>
      <c r="AP35" s="69" t="n">
        <f aca="false">-AP27*Inputs!$B$30</f>
        <v>-2674.661396</v>
      </c>
      <c r="AQ35" s="69" t="n">
        <f aca="false">-AQ27*Inputs!$B$30</f>
        <v>-2674.661396</v>
      </c>
      <c r="AR35" s="69" t="n">
        <f aca="false">-AR27*Inputs!$B$30</f>
        <v>-2674.661396</v>
      </c>
      <c r="AS35" s="69" t="n">
        <f aca="false">-AS27*Inputs!$B$30</f>
        <v>-2674.661396</v>
      </c>
      <c r="AT35" s="69" t="n">
        <f aca="false">-AT27*Inputs!$B$30</f>
        <v>-2674.661396</v>
      </c>
      <c r="AU35" s="69" t="n">
        <f aca="false">-AU27*Inputs!$B$30</f>
        <v>-2674.661396</v>
      </c>
      <c r="AV35" s="69" t="n">
        <f aca="false">-AV27*Inputs!$B$30</f>
        <v>-2674.661396</v>
      </c>
      <c r="AW35" s="69" t="n">
        <f aca="false">-AW27*Inputs!$B$30</f>
        <v>-2674.661396</v>
      </c>
      <c r="AX35" s="69" t="n">
        <f aca="false">-AX27*Inputs!$B$30</f>
        <v>-2674.661396</v>
      </c>
      <c r="AY35" s="69" t="n">
        <f aca="false">-AY27*Inputs!$B$30</f>
        <v>-2701.40800996</v>
      </c>
      <c r="AZ35" s="69" t="n">
        <f aca="false">-AZ27*Inputs!$B$30</f>
        <v>-2701.40800996</v>
      </c>
      <c r="BA35" s="69" t="n">
        <f aca="false">-BA27*Inputs!$B$30</f>
        <v>-2701.40800996</v>
      </c>
      <c r="BB35" s="69" t="n">
        <f aca="false">-BB27*Inputs!$B$30</f>
        <v>-2701.40800996</v>
      </c>
      <c r="BC35" s="69" t="n">
        <f aca="false">-BC27*Inputs!$B$30</f>
        <v>-2701.40800996</v>
      </c>
      <c r="BD35" s="69" t="n">
        <f aca="false">-BD27*Inputs!$B$30</f>
        <v>-2701.40800996</v>
      </c>
      <c r="BE35" s="69" t="n">
        <f aca="false">-BE27*Inputs!$B$30</f>
        <v>-2701.40800996</v>
      </c>
      <c r="BF35" s="69" t="n">
        <f aca="false">-BF27*Inputs!$B$30</f>
        <v>-2701.40800996</v>
      </c>
      <c r="BG35" s="69" t="n">
        <f aca="false">-BG27*Inputs!$B$30</f>
        <v>-2701.40800996</v>
      </c>
      <c r="BH35" s="69" t="n">
        <f aca="false">-BH27*Inputs!$B$30</f>
        <v>-2701.40800996</v>
      </c>
      <c r="BI35" s="69" t="n">
        <f aca="false">-BI27*Inputs!$B$30</f>
        <v>-2701.40800996</v>
      </c>
      <c r="BJ35" s="69" t="n">
        <f aca="false">-BJ27*Inputs!$B$30</f>
        <v>-2701.40800996</v>
      </c>
    </row>
    <row r="36" customFormat="false" ht="15" hidden="false" customHeight="false" outlineLevel="0" collapsed="false">
      <c r="A36" s="6" t="s">
        <v>424</v>
      </c>
      <c r="C36" s="69" t="n">
        <f aca="false">-C27*Inputs!$B$31</f>
        <v>-778.8</v>
      </c>
      <c r="D36" s="69" t="n">
        <f aca="false">-D27*Inputs!$B$31</f>
        <v>-892.375</v>
      </c>
      <c r="E36" s="69" t="n">
        <f aca="false">-E27*Inputs!$B$31</f>
        <v>-1005.95</v>
      </c>
      <c r="F36" s="69" t="n">
        <f aca="false">-F27*Inputs!$B$31</f>
        <v>-1119.525</v>
      </c>
      <c r="G36" s="69" t="n">
        <f aca="false">-G27*Inputs!$B$31</f>
        <v>-1233.1</v>
      </c>
      <c r="H36" s="69" t="n">
        <f aca="false">-H27*Inputs!$B$31</f>
        <v>-1346.675</v>
      </c>
      <c r="I36" s="69" t="n">
        <f aca="false">-I27*Inputs!$B$31</f>
        <v>-1460.25</v>
      </c>
      <c r="J36" s="69" t="n">
        <f aca="false">-J27*Inputs!$B$31</f>
        <v>-1573.825</v>
      </c>
      <c r="K36" s="69" t="n">
        <f aca="false">-K27*Inputs!$B$31</f>
        <v>-1687.4</v>
      </c>
      <c r="L36" s="69" t="n">
        <f aca="false">-L27*Inputs!$B$31</f>
        <v>-1800.975</v>
      </c>
      <c r="M36" s="69" t="n">
        <f aca="false">-M27*Inputs!$B$31</f>
        <v>-1914.55</v>
      </c>
      <c r="N36" s="69" t="n">
        <f aca="false">-N27*Inputs!$B$31</f>
        <v>-2028.125</v>
      </c>
      <c r="O36" s="69" t="n">
        <f aca="false">-O27*Inputs!$B$31</f>
        <v>-2163.117</v>
      </c>
      <c r="P36" s="69" t="n">
        <f aca="false">-P27*Inputs!$B$31</f>
        <v>-2277.82775</v>
      </c>
      <c r="Q36" s="69" t="n">
        <f aca="false">-Q27*Inputs!$B$31</f>
        <v>-2392.5385</v>
      </c>
      <c r="R36" s="69" t="n">
        <f aca="false">-R27*Inputs!$B$31</f>
        <v>-2507.24925</v>
      </c>
      <c r="S36" s="69" t="n">
        <f aca="false">-S27*Inputs!$B$31</f>
        <v>-2621.96</v>
      </c>
      <c r="T36" s="69" t="n">
        <f aca="false">-T27*Inputs!$B$31</f>
        <v>-2621.96</v>
      </c>
      <c r="U36" s="69" t="n">
        <f aca="false">-U27*Inputs!$B$31</f>
        <v>-2621.96</v>
      </c>
      <c r="V36" s="69" t="n">
        <f aca="false">-V27*Inputs!$B$31</f>
        <v>-2621.96</v>
      </c>
      <c r="W36" s="69" t="n">
        <f aca="false">-W27*Inputs!$B$31</f>
        <v>-2621.96</v>
      </c>
      <c r="X36" s="69" t="n">
        <f aca="false">-X27*Inputs!$B$31</f>
        <v>-2621.96</v>
      </c>
      <c r="Y36" s="69" t="n">
        <f aca="false">-Y27*Inputs!$B$31</f>
        <v>-2621.96</v>
      </c>
      <c r="Z36" s="69" t="n">
        <f aca="false">-Z27*Inputs!$B$31</f>
        <v>-2621.96</v>
      </c>
      <c r="AA36" s="69" t="n">
        <f aca="false">-AA27*Inputs!$B$31</f>
        <v>-2648.1796</v>
      </c>
      <c r="AB36" s="69" t="n">
        <f aca="false">-AB27*Inputs!$B$31</f>
        <v>-2648.1796</v>
      </c>
      <c r="AC36" s="69" t="n">
        <f aca="false">-AC27*Inputs!$B$31</f>
        <v>-2648.1796</v>
      </c>
      <c r="AD36" s="69" t="n">
        <f aca="false">-AD27*Inputs!$B$31</f>
        <v>-2648.1796</v>
      </c>
      <c r="AE36" s="69" t="n">
        <f aca="false">-AE27*Inputs!$B$31</f>
        <v>-2648.1796</v>
      </c>
      <c r="AF36" s="69" t="n">
        <f aca="false">-AF27*Inputs!$B$31</f>
        <v>-2648.1796</v>
      </c>
      <c r="AG36" s="69" t="n">
        <f aca="false">-AG27*Inputs!$B$31</f>
        <v>-2648.1796</v>
      </c>
      <c r="AH36" s="69" t="n">
        <f aca="false">-AH27*Inputs!$B$31</f>
        <v>-2648.1796</v>
      </c>
      <c r="AI36" s="69" t="n">
        <f aca="false">-AI27*Inputs!$B$31</f>
        <v>-2648.1796</v>
      </c>
      <c r="AJ36" s="69" t="n">
        <f aca="false">-AJ27*Inputs!$B$31</f>
        <v>-2648.1796</v>
      </c>
      <c r="AK36" s="69" t="n">
        <f aca="false">-AK27*Inputs!$B$31</f>
        <v>-2648.1796</v>
      </c>
      <c r="AL36" s="69" t="n">
        <f aca="false">-AL27*Inputs!$B$31</f>
        <v>-2648.1796</v>
      </c>
      <c r="AM36" s="69" t="n">
        <f aca="false">-AM27*Inputs!$B$31</f>
        <v>-2674.661396</v>
      </c>
      <c r="AN36" s="69" t="n">
        <f aca="false">-AN27*Inputs!$B$31</f>
        <v>-2674.661396</v>
      </c>
      <c r="AO36" s="69" t="n">
        <f aca="false">-AO27*Inputs!$B$31</f>
        <v>-2674.661396</v>
      </c>
      <c r="AP36" s="69" t="n">
        <f aca="false">-AP27*Inputs!$B$31</f>
        <v>-2674.661396</v>
      </c>
      <c r="AQ36" s="69" t="n">
        <f aca="false">-AQ27*Inputs!$B$31</f>
        <v>-2674.661396</v>
      </c>
      <c r="AR36" s="69" t="n">
        <f aca="false">-AR27*Inputs!$B$31</f>
        <v>-2674.661396</v>
      </c>
      <c r="AS36" s="69" t="n">
        <f aca="false">-AS27*Inputs!$B$31</f>
        <v>-2674.661396</v>
      </c>
      <c r="AT36" s="69" t="n">
        <f aca="false">-AT27*Inputs!$B$31</f>
        <v>-2674.661396</v>
      </c>
      <c r="AU36" s="69" t="n">
        <f aca="false">-AU27*Inputs!$B$31</f>
        <v>-2674.661396</v>
      </c>
      <c r="AV36" s="69" t="n">
        <f aca="false">-AV27*Inputs!$B$31</f>
        <v>-2674.661396</v>
      </c>
      <c r="AW36" s="69" t="n">
        <f aca="false">-AW27*Inputs!$B$31</f>
        <v>-2674.661396</v>
      </c>
      <c r="AX36" s="69" t="n">
        <f aca="false">-AX27*Inputs!$B$31</f>
        <v>-2674.661396</v>
      </c>
      <c r="AY36" s="69" t="n">
        <f aca="false">-AY27*Inputs!$B$31</f>
        <v>-2701.40800996</v>
      </c>
      <c r="AZ36" s="69" t="n">
        <f aca="false">-AZ27*Inputs!$B$31</f>
        <v>-2701.40800996</v>
      </c>
      <c r="BA36" s="69" t="n">
        <f aca="false">-BA27*Inputs!$B$31</f>
        <v>-2701.40800996</v>
      </c>
      <c r="BB36" s="69" t="n">
        <f aca="false">-BB27*Inputs!$B$31</f>
        <v>-2701.40800996</v>
      </c>
      <c r="BC36" s="69" t="n">
        <f aca="false">-BC27*Inputs!$B$31</f>
        <v>-2701.40800996</v>
      </c>
      <c r="BD36" s="69" t="n">
        <f aca="false">-BD27*Inputs!$B$31</f>
        <v>-2701.40800996</v>
      </c>
      <c r="BE36" s="69" t="n">
        <f aca="false">-BE27*Inputs!$B$31</f>
        <v>-2701.40800996</v>
      </c>
      <c r="BF36" s="69" t="n">
        <f aca="false">-BF27*Inputs!$B$31</f>
        <v>-2701.40800996</v>
      </c>
      <c r="BG36" s="69" t="n">
        <f aca="false">-BG27*Inputs!$B$31</f>
        <v>-2701.40800996</v>
      </c>
      <c r="BH36" s="69" t="n">
        <f aca="false">-BH27*Inputs!$B$31</f>
        <v>-2701.40800996</v>
      </c>
      <c r="BI36" s="69" t="n">
        <f aca="false">-BI27*Inputs!$B$31</f>
        <v>-2701.40800996</v>
      </c>
      <c r="BJ36" s="69" t="n">
        <f aca="false">-BJ27*Inputs!$B$31</f>
        <v>-2701.40800996</v>
      </c>
    </row>
    <row r="37" customFormat="false" ht="15" hidden="false" customHeight="false" outlineLevel="0" collapsed="false">
      <c r="A37" s="4" t="s">
        <v>76</v>
      </c>
      <c r="C37" s="75" t="n">
        <f aca="false">C33+C34+C35+C36</f>
        <v>-47433.4</v>
      </c>
      <c r="D37" s="75" t="n">
        <f aca="false">D33+D34+D35+D36</f>
        <v>-48900.25</v>
      </c>
      <c r="E37" s="75" t="n">
        <f aca="false">E33+E34+E35+E36</f>
        <v>-50367.1</v>
      </c>
      <c r="F37" s="75" t="n">
        <f aca="false">F33+F34+F35+F36</f>
        <v>-51833.95</v>
      </c>
      <c r="G37" s="75" t="n">
        <f aca="false">G33+G34+G35+G36</f>
        <v>-53300.8</v>
      </c>
      <c r="H37" s="75" t="n">
        <f aca="false">H33+H34+H35+H36</f>
        <v>-54767.65</v>
      </c>
      <c r="I37" s="75" t="n">
        <f aca="false">I33+I34+I35+I36</f>
        <v>-56234.5</v>
      </c>
      <c r="J37" s="75" t="n">
        <f aca="false">J33+J34+J35+J36</f>
        <v>-57701.35</v>
      </c>
      <c r="K37" s="75" t="n">
        <f aca="false">K33+K34+K35+K36</f>
        <v>-59168.2</v>
      </c>
      <c r="L37" s="75" t="n">
        <f aca="false">L33+L34+L35+L36</f>
        <v>-60635.05</v>
      </c>
      <c r="M37" s="75" t="n">
        <f aca="false">M33+M34+M35+M36</f>
        <v>-62101.9</v>
      </c>
      <c r="N37" s="75" t="n">
        <f aca="false">N33+N34+N35+N36</f>
        <v>-63568.75</v>
      </c>
      <c r="O37" s="75" t="n">
        <f aca="false">O33+O34+O35+O36</f>
        <v>-66807.206</v>
      </c>
      <c r="P37" s="75" t="n">
        <f aca="false">P33+P34+P35+P36</f>
        <v>-68288.7245</v>
      </c>
      <c r="Q37" s="75" t="n">
        <f aca="false">Q33+Q34+Q35+Q36</f>
        <v>-69770.243</v>
      </c>
      <c r="R37" s="75" t="n">
        <f aca="false">R33+R34+R35+R36</f>
        <v>-71251.7615</v>
      </c>
      <c r="S37" s="75" t="n">
        <f aca="false">S33+S34+S35+S36</f>
        <v>-72733.28</v>
      </c>
      <c r="T37" s="75" t="n">
        <f aca="false">T33+T34+T35+T36</f>
        <v>-72733.28</v>
      </c>
      <c r="U37" s="75" t="n">
        <f aca="false">U33+U34+U35+U36</f>
        <v>-72733.28</v>
      </c>
      <c r="V37" s="75" t="n">
        <f aca="false">V33+V34+V35+V36</f>
        <v>-72733.28</v>
      </c>
      <c r="W37" s="75" t="n">
        <f aca="false">W33+W34+W35+W36</f>
        <v>-72733.28</v>
      </c>
      <c r="X37" s="75" t="n">
        <f aca="false">X33+X34+X35+X36</f>
        <v>-72733.28</v>
      </c>
      <c r="Y37" s="75" t="n">
        <f aca="false">Y33+Y34+Y35+Y36</f>
        <v>-72733.28</v>
      </c>
      <c r="Z37" s="75" t="n">
        <f aca="false">Z33+Z34+Z35+Z36</f>
        <v>-72733.28</v>
      </c>
      <c r="AA37" s="75" t="n">
        <f aca="false">AA33+AA34+AA35+AA36</f>
        <v>-74626.7128</v>
      </c>
      <c r="AB37" s="75" t="n">
        <f aca="false">AB33+AB34+AB35+AB36</f>
        <v>-74626.7128</v>
      </c>
      <c r="AC37" s="75" t="n">
        <f aca="false">AC33+AC34+AC35+AC36</f>
        <v>-74626.7128</v>
      </c>
      <c r="AD37" s="75" t="n">
        <f aca="false">AD33+AD34+AD35+AD36</f>
        <v>-74626.7128</v>
      </c>
      <c r="AE37" s="75" t="n">
        <f aca="false">AE33+AE34+AE35+AE36</f>
        <v>-74626.7128</v>
      </c>
      <c r="AF37" s="75" t="n">
        <f aca="false">AF33+AF34+AF35+AF36</f>
        <v>-74626.7128</v>
      </c>
      <c r="AG37" s="75" t="n">
        <f aca="false">AG33+AG34+AG35+AG36</f>
        <v>-74626.7128</v>
      </c>
      <c r="AH37" s="75" t="n">
        <f aca="false">AH33+AH34+AH35+AH36</f>
        <v>-74626.7128</v>
      </c>
      <c r="AI37" s="75" t="n">
        <f aca="false">AI33+AI34+AI35+AI36</f>
        <v>-74626.7128</v>
      </c>
      <c r="AJ37" s="75" t="n">
        <f aca="false">AJ33+AJ34+AJ35+AJ36</f>
        <v>-74626.7128</v>
      </c>
      <c r="AK37" s="75" t="n">
        <f aca="false">AK33+AK34+AK35+AK36</f>
        <v>-74626.7128</v>
      </c>
      <c r="AL37" s="75" t="n">
        <f aca="false">AL33+AL34+AL35+AL36</f>
        <v>-74626.7128</v>
      </c>
      <c r="AM37" s="75" t="n">
        <f aca="false">AM33+AM34+AM35+AM36</f>
        <v>-76585.723928</v>
      </c>
      <c r="AN37" s="75" t="n">
        <f aca="false">AN33+AN34+AN35+AN36</f>
        <v>-76585.723928</v>
      </c>
      <c r="AO37" s="75" t="n">
        <f aca="false">AO33+AO34+AO35+AO36</f>
        <v>-76585.723928</v>
      </c>
      <c r="AP37" s="75" t="n">
        <f aca="false">AP33+AP34+AP35+AP36</f>
        <v>-76585.723928</v>
      </c>
      <c r="AQ37" s="75" t="n">
        <f aca="false">AQ33+AQ34+AQ35+AQ36</f>
        <v>-76585.723928</v>
      </c>
      <c r="AR37" s="75" t="n">
        <f aca="false">AR33+AR34+AR35+AR36</f>
        <v>-76585.723928</v>
      </c>
      <c r="AS37" s="75" t="n">
        <f aca="false">AS33+AS34+AS35+AS36</f>
        <v>-76585.723928</v>
      </c>
      <c r="AT37" s="75" t="n">
        <f aca="false">AT33+AT34+AT35+AT36</f>
        <v>-76585.723928</v>
      </c>
      <c r="AU37" s="75" t="n">
        <f aca="false">AU33+AU34+AU35+AU36</f>
        <v>-76585.723928</v>
      </c>
      <c r="AV37" s="75" t="n">
        <f aca="false">AV33+AV34+AV35+AV36</f>
        <v>-76585.723928</v>
      </c>
      <c r="AW37" s="75" t="n">
        <f aca="false">AW33+AW34+AW35+AW36</f>
        <v>-76585.723928</v>
      </c>
      <c r="AX37" s="75" t="n">
        <f aca="false">AX33+AX34+AX35+AX36</f>
        <v>-76585.723928</v>
      </c>
      <c r="AY37" s="75" t="n">
        <f aca="false">AY33+AY34+AY35+AY36</f>
        <v>-78612.83492728</v>
      </c>
      <c r="AZ37" s="75" t="n">
        <f aca="false">AZ33+AZ34+AZ35+AZ36</f>
        <v>-78612.83492728</v>
      </c>
      <c r="BA37" s="75" t="n">
        <f aca="false">BA33+BA34+BA35+BA36</f>
        <v>-78612.83492728</v>
      </c>
      <c r="BB37" s="75" t="n">
        <f aca="false">BB33+BB34+BB35+BB36</f>
        <v>-78612.83492728</v>
      </c>
      <c r="BC37" s="75" t="n">
        <f aca="false">BC33+BC34+BC35+BC36</f>
        <v>-78612.83492728</v>
      </c>
      <c r="BD37" s="75" t="n">
        <f aca="false">BD33+BD34+BD35+BD36</f>
        <v>-78612.83492728</v>
      </c>
      <c r="BE37" s="75" t="n">
        <f aca="false">BE33+BE34+BE35+BE36</f>
        <v>-78612.83492728</v>
      </c>
      <c r="BF37" s="75" t="n">
        <f aca="false">BF33+BF34+BF35+BF36</f>
        <v>-78612.83492728</v>
      </c>
      <c r="BG37" s="75" t="n">
        <f aca="false">BG33+BG34+BG35+BG36</f>
        <v>-78612.83492728</v>
      </c>
      <c r="BH37" s="75" t="n">
        <f aca="false">BH33+BH34+BH35+BH36</f>
        <v>-78612.83492728</v>
      </c>
      <c r="BI37" s="75" t="n">
        <f aca="false">BI33+BI34+BI35+BI36</f>
        <v>-78612.83492728</v>
      </c>
      <c r="BJ37" s="75" t="n">
        <f aca="false">BJ33+BJ34+BJ35+BJ36</f>
        <v>-78612.83492728</v>
      </c>
    </row>
    <row r="38" customFormat="false" ht="15" hidden="false" customHeight="false" outlineLevel="0" collapsed="false">
      <c r="A38" s="115" t="s">
        <v>45</v>
      </c>
      <c r="C38" s="70" t="n">
        <f aca="false">C30+C37</f>
        <v>-12004.6</v>
      </c>
      <c r="D38" s="70" t="n">
        <f aca="false">D30+D37</f>
        <v>-8304.75</v>
      </c>
      <c r="E38" s="70" t="n">
        <f aca="false">E30+E37</f>
        <v>-4604.9</v>
      </c>
      <c r="F38" s="70" t="n">
        <f aca="false">F30+F37</f>
        <v>-905.050000000018</v>
      </c>
      <c r="G38" s="70" t="n">
        <f aca="false">G30+G37</f>
        <v>2794.80000000001</v>
      </c>
      <c r="H38" s="70" t="n">
        <f aca="false">H30+H37</f>
        <v>6494.64999999999</v>
      </c>
      <c r="I38" s="70" t="n">
        <f aca="false">I30+I37</f>
        <v>10194.5</v>
      </c>
      <c r="J38" s="70" t="n">
        <f aca="false">J30+J37</f>
        <v>13894.35</v>
      </c>
      <c r="K38" s="70" t="n">
        <f aca="false">K30+K37</f>
        <v>17594.2</v>
      </c>
      <c r="L38" s="70" t="n">
        <f aca="false">L30+L37</f>
        <v>21294.05</v>
      </c>
      <c r="M38" s="70" t="n">
        <f aca="false">M30+M37</f>
        <v>24993.9</v>
      </c>
      <c r="N38" s="70" t="n">
        <f aca="false">N30+N37</f>
        <v>28693.75</v>
      </c>
      <c r="O38" s="70" t="n">
        <f aca="false">O30+O37</f>
        <v>31596.286</v>
      </c>
      <c r="P38" s="70" t="n">
        <f aca="false">P30+P37</f>
        <v>35333.1345</v>
      </c>
      <c r="Q38" s="70" t="n">
        <f aca="false">Q30+Q37</f>
        <v>39069.983</v>
      </c>
      <c r="R38" s="70" t="n">
        <f aca="false">R30+R37</f>
        <v>42806.8315</v>
      </c>
      <c r="S38" s="70" t="n">
        <f aca="false">S30+S37</f>
        <v>46543.68</v>
      </c>
      <c r="T38" s="70" t="n">
        <f aca="false">T30+T37</f>
        <v>46543.68</v>
      </c>
      <c r="U38" s="70" t="n">
        <f aca="false">U30+U37</f>
        <v>46543.68</v>
      </c>
      <c r="V38" s="70" t="n">
        <f aca="false">V30+V37</f>
        <v>46543.68</v>
      </c>
      <c r="W38" s="70" t="n">
        <f aca="false">W30+W37</f>
        <v>46543.68</v>
      </c>
      <c r="X38" s="70" t="n">
        <f aca="false">X30+X37</f>
        <v>46543.68</v>
      </c>
      <c r="Y38" s="70" t="n">
        <f aca="false">Y30+Y37</f>
        <v>46543.68</v>
      </c>
      <c r="Z38" s="70" t="n">
        <f aca="false">Z30+Z37</f>
        <v>46543.68</v>
      </c>
      <c r="AA38" s="70" t="n">
        <f aca="false">AA30+AA37</f>
        <v>45843.0168</v>
      </c>
      <c r="AB38" s="70" t="n">
        <f aca="false">AB30+AB37</f>
        <v>45843.0168</v>
      </c>
      <c r="AC38" s="70" t="n">
        <f aca="false">AC30+AC37</f>
        <v>45843.0168</v>
      </c>
      <c r="AD38" s="70" t="n">
        <f aca="false">AD30+AD37</f>
        <v>45843.0168</v>
      </c>
      <c r="AE38" s="70" t="n">
        <f aca="false">AE30+AE37</f>
        <v>45843.0168</v>
      </c>
      <c r="AF38" s="70" t="n">
        <f aca="false">AF30+AF37</f>
        <v>45843.0168</v>
      </c>
      <c r="AG38" s="70" t="n">
        <f aca="false">AG30+AG37</f>
        <v>45843.0168</v>
      </c>
      <c r="AH38" s="70" t="n">
        <f aca="false">AH30+AH37</f>
        <v>45843.0168</v>
      </c>
      <c r="AI38" s="70" t="n">
        <f aca="false">AI30+AI37</f>
        <v>45843.0168</v>
      </c>
      <c r="AJ38" s="70" t="n">
        <f aca="false">AJ30+AJ37</f>
        <v>45843.0168</v>
      </c>
      <c r="AK38" s="70" t="n">
        <f aca="false">AK30+AK37</f>
        <v>45843.0168</v>
      </c>
      <c r="AL38" s="70" t="n">
        <f aca="false">AL30+AL37</f>
        <v>45843.0168</v>
      </c>
      <c r="AM38" s="70" t="n">
        <f aca="false">AM30+AM37</f>
        <v>45088.702968</v>
      </c>
      <c r="AN38" s="70" t="n">
        <f aca="false">AN30+AN37</f>
        <v>45088.702968</v>
      </c>
      <c r="AO38" s="70" t="n">
        <f aca="false">AO30+AO37</f>
        <v>45088.702968</v>
      </c>
      <c r="AP38" s="70" t="n">
        <f aca="false">AP30+AP37</f>
        <v>45088.702968</v>
      </c>
      <c r="AQ38" s="70" t="n">
        <f aca="false">AQ30+AQ37</f>
        <v>45088.702968</v>
      </c>
      <c r="AR38" s="70" t="n">
        <f aca="false">AR30+AR37</f>
        <v>45088.702968</v>
      </c>
      <c r="AS38" s="70" t="n">
        <f aca="false">AS30+AS37</f>
        <v>45088.702968</v>
      </c>
      <c r="AT38" s="70" t="n">
        <f aca="false">AT30+AT37</f>
        <v>45088.702968</v>
      </c>
      <c r="AU38" s="70" t="n">
        <f aca="false">AU30+AU37</f>
        <v>45088.702968</v>
      </c>
      <c r="AV38" s="70" t="n">
        <f aca="false">AV30+AV37</f>
        <v>45088.702968</v>
      </c>
      <c r="AW38" s="70" t="n">
        <f aca="false">AW30+AW37</f>
        <v>45088.702968</v>
      </c>
      <c r="AX38" s="70" t="n">
        <f aca="false">AX30+AX37</f>
        <v>45088.702968</v>
      </c>
      <c r="AY38" s="70" t="n">
        <f aca="false">AY30+AY37</f>
        <v>44278.33623768</v>
      </c>
      <c r="AZ38" s="70" t="n">
        <f aca="false">AZ30+AZ37</f>
        <v>44278.33623768</v>
      </c>
      <c r="BA38" s="70" t="n">
        <f aca="false">BA30+BA37</f>
        <v>44278.33623768</v>
      </c>
      <c r="BB38" s="70" t="n">
        <f aca="false">BB30+BB37</f>
        <v>44278.33623768</v>
      </c>
      <c r="BC38" s="70" t="n">
        <f aca="false">BC30+BC37</f>
        <v>44278.33623768</v>
      </c>
      <c r="BD38" s="70" t="n">
        <f aca="false">BD30+BD37</f>
        <v>44278.33623768</v>
      </c>
      <c r="BE38" s="70" t="n">
        <f aca="false">BE30+BE37</f>
        <v>44278.33623768</v>
      </c>
      <c r="BF38" s="70" t="n">
        <f aca="false">BF30+BF37</f>
        <v>44278.33623768</v>
      </c>
      <c r="BG38" s="70" t="n">
        <f aca="false">BG30+BG37</f>
        <v>44278.33623768</v>
      </c>
      <c r="BH38" s="70" t="n">
        <f aca="false">BH30+BH37</f>
        <v>44278.33623768</v>
      </c>
      <c r="BI38" s="70" t="n">
        <f aca="false">BI30+BI37</f>
        <v>44278.33623768</v>
      </c>
      <c r="BJ38" s="70" t="n">
        <f aca="false">BJ30+BJ37</f>
        <v>44278.33623768</v>
      </c>
    </row>
    <row r="40" customFormat="false" ht="15.75" hidden="false" customHeight="true" outlineLevel="0" collapsed="false">
      <c r="A40" s="7" t="s">
        <v>47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customFormat="false" ht="15" hidden="false" customHeight="false" outlineLevel="0" collapsed="false">
      <c r="A41" s="6" t="s">
        <v>333</v>
      </c>
      <c r="C41" s="69" t="n">
        <f aca="false">C123-C120</f>
        <v>-17729.1666666667</v>
      </c>
      <c r="D41" s="69" t="n">
        <f aca="false">D123-D120</f>
        <v>-17729.1666666667</v>
      </c>
      <c r="E41" s="69" t="n">
        <f aca="false">E123-E120</f>
        <v>-17729.1666666667</v>
      </c>
      <c r="F41" s="69" t="n">
        <f aca="false">F123-F120</f>
        <v>-17729.1666666667</v>
      </c>
      <c r="G41" s="69" t="n">
        <f aca="false">G123-G120</f>
        <v>-17729.1666666667</v>
      </c>
      <c r="H41" s="69" t="n">
        <f aca="false">H123-H120</f>
        <v>-17729.1666666667</v>
      </c>
      <c r="I41" s="69" t="n">
        <f aca="false">I123-I120</f>
        <v>-17729.1666666667</v>
      </c>
      <c r="J41" s="69" t="n">
        <f aca="false">J123-J120</f>
        <v>-17729.1666666667</v>
      </c>
      <c r="K41" s="69" t="n">
        <f aca="false">K123-K120</f>
        <v>-17729.1666666667</v>
      </c>
      <c r="L41" s="69" t="n">
        <f aca="false">L123-L120</f>
        <v>-17729.1666666667</v>
      </c>
      <c r="M41" s="69" t="n">
        <f aca="false">M123-M120</f>
        <v>-17729.1666666667</v>
      </c>
      <c r="N41" s="69" t="n">
        <f aca="false">N123-N120</f>
        <v>-17729.1666666667</v>
      </c>
      <c r="O41" s="69" t="n">
        <f aca="false">O123-O120</f>
        <v>-18438.3333333333</v>
      </c>
      <c r="P41" s="69" t="n">
        <f aca="false">P123-P120</f>
        <v>-18438.3333333333</v>
      </c>
      <c r="Q41" s="69" t="n">
        <f aca="false">Q123-Q120</f>
        <v>-18438.3333333333</v>
      </c>
      <c r="R41" s="69" t="n">
        <f aca="false">R123-R120</f>
        <v>-18438.3333333333</v>
      </c>
      <c r="S41" s="69" t="n">
        <f aca="false">S123-S120</f>
        <v>-18438.3333333333</v>
      </c>
      <c r="T41" s="69" t="n">
        <f aca="false">T123-T120</f>
        <v>-18438.3333333333</v>
      </c>
      <c r="U41" s="69" t="n">
        <f aca="false">U123-U120</f>
        <v>-18438.3333333333</v>
      </c>
      <c r="V41" s="69" t="n">
        <f aca="false">V123-V120</f>
        <v>-18438.3333333333</v>
      </c>
      <c r="W41" s="69" t="n">
        <f aca="false">W123-W120</f>
        <v>-18438.3333333333</v>
      </c>
      <c r="X41" s="69" t="n">
        <f aca="false">X123-X120</f>
        <v>-18438.3333333333</v>
      </c>
      <c r="Y41" s="69" t="n">
        <f aca="false">Y123-Y120</f>
        <v>-18438.3333333333</v>
      </c>
      <c r="Z41" s="69" t="n">
        <f aca="false">Z123-Z120</f>
        <v>-18438.3333333333</v>
      </c>
      <c r="AA41" s="69" t="n">
        <f aca="false">AA123-AA120</f>
        <v>-19175.8666666667</v>
      </c>
      <c r="AB41" s="69" t="n">
        <f aca="false">AB123-AB120</f>
        <v>-19175.8666666667</v>
      </c>
      <c r="AC41" s="69" t="n">
        <f aca="false">AC123-AC120</f>
        <v>-19175.8666666667</v>
      </c>
      <c r="AD41" s="69" t="n">
        <f aca="false">AD123-AD120</f>
        <v>-19175.8666666667</v>
      </c>
      <c r="AE41" s="69" t="n">
        <f aca="false">AE123-AE120</f>
        <v>-19175.8666666667</v>
      </c>
      <c r="AF41" s="69" t="n">
        <f aca="false">AF123-AF120</f>
        <v>-19175.8666666667</v>
      </c>
      <c r="AG41" s="69" t="n">
        <f aca="false">AG123-AG120</f>
        <v>-19175.8666666667</v>
      </c>
      <c r="AH41" s="69" t="n">
        <f aca="false">AH123-AH120</f>
        <v>-19175.8666666667</v>
      </c>
      <c r="AI41" s="69" t="n">
        <f aca="false">AI123-AI120</f>
        <v>-19175.8666666667</v>
      </c>
      <c r="AJ41" s="69" t="n">
        <f aca="false">AJ123-AJ120</f>
        <v>-19175.8666666667</v>
      </c>
      <c r="AK41" s="69" t="n">
        <f aca="false">AK123-AK120</f>
        <v>-19175.8666666667</v>
      </c>
      <c r="AL41" s="69" t="n">
        <f aca="false">AL123-AL120</f>
        <v>-19175.8666666667</v>
      </c>
      <c r="AM41" s="69" t="n">
        <f aca="false">AM123-AM120</f>
        <v>-19942.9013333333</v>
      </c>
      <c r="AN41" s="69" t="n">
        <f aca="false">AN123-AN120</f>
        <v>-19942.9013333333</v>
      </c>
      <c r="AO41" s="69" t="n">
        <f aca="false">AO123-AO120</f>
        <v>-19942.9013333333</v>
      </c>
      <c r="AP41" s="69" t="n">
        <f aca="false">AP123-AP120</f>
        <v>-19942.9013333333</v>
      </c>
      <c r="AQ41" s="69" t="n">
        <f aca="false">AQ123-AQ120</f>
        <v>-19942.9013333333</v>
      </c>
      <c r="AR41" s="69" t="n">
        <f aca="false">AR123-AR120</f>
        <v>-19942.9013333333</v>
      </c>
      <c r="AS41" s="69" t="n">
        <f aca="false">AS123-AS120</f>
        <v>-19942.9013333333</v>
      </c>
      <c r="AT41" s="69" t="n">
        <f aca="false">AT123-AT120</f>
        <v>-19942.9013333333</v>
      </c>
      <c r="AU41" s="69" t="n">
        <f aca="false">AU123-AU120</f>
        <v>-19942.9013333333</v>
      </c>
      <c r="AV41" s="69" t="n">
        <f aca="false">AV123-AV120</f>
        <v>-19942.9013333333</v>
      </c>
      <c r="AW41" s="69" t="n">
        <f aca="false">AW123-AW120</f>
        <v>-19942.9013333333</v>
      </c>
      <c r="AX41" s="69" t="n">
        <f aca="false">AX123-AX120</f>
        <v>-19942.9013333333</v>
      </c>
      <c r="AY41" s="69" t="n">
        <f aca="false">AY123-AY120</f>
        <v>-20740.6173866667</v>
      </c>
      <c r="AZ41" s="69" t="n">
        <f aca="false">AZ123-AZ120</f>
        <v>-20740.6173866667</v>
      </c>
      <c r="BA41" s="69" t="n">
        <f aca="false">BA123-BA120</f>
        <v>-20740.6173866667</v>
      </c>
      <c r="BB41" s="69" t="n">
        <f aca="false">BB123-BB120</f>
        <v>-20740.6173866667</v>
      </c>
      <c r="BC41" s="69" t="n">
        <f aca="false">BC123-BC120</f>
        <v>-20740.6173866667</v>
      </c>
      <c r="BD41" s="69" t="n">
        <f aca="false">BD123-BD120</f>
        <v>-20740.6173866667</v>
      </c>
      <c r="BE41" s="69" t="n">
        <f aca="false">BE123-BE120</f>
        <v>-20740.6173866667</v>
      </c>
      <c r="BF41" s="69" t="n">
        <f aca="false">BF123-BF120</f>
        <v>-20740.6173866667</v>
      </c>
      <c r="BG41" s="69" t="n">
        <f aca="false">BG123-BG120</f>
        <v>-20740.6173866667</v>
      </c>
      <c r="BH41" s="69" t="n">
        <f aca="false">BH123-BH120</f>
        <v>-20740.6173866667</v>
      </c>
      <c r="BI41" s="69" t="n">
        <f aca="false">BI123-BI120</f>
        <v>-20740.6173866667</v>
      </c>
      <c r="BJ41" s="69" t="n">
        <f aca="false">BJ123-BJ120</f>
        <v>-20740.6173866667</v>
      </c>
    </row>
    <row r="42" customFormat="false" ht="15" hidden="false" customHeight="false" outlineLevel="0" collapsed="false">
      <c r="A42" s="6" t="s">
        <v>334</v>
      </c>
      <c r="C42" s="69" t="n">
        <f aca="false">-Inputs!$B$36*(1+Inputs!$B$37)^(C$7-1)*1</f>
        <v>-18000</v>
      </c>
      <c r="D42" s="69" t="n">
        <f aca="false">-Inputs!$B$36*(1+Inputs!$B$37)^(D$7-1)*1</f>
        <v>-18000</v>
      </c>
      <c r="E42" s="69" t="n">
        <f aca="false">-Inputs!$B$36*(1+Inputs!$B$37)^(E$7-1)*1</f>
        <v>-18000</v>
      </c>
      <c r="F42" s="69" t="n">
        <f aca="false">-Inputs!$B$36*(1+Inputs!$B$37)^(F$7-1)*1</f>
        <v>-18000</v>
      </c>
      <c r="G42" s="69" t="n">
        <f aca="false">-Inputs!$B$36*(1+Inputs!$B$37)^(G$7-1)*1</f>
        <v>-18000</v>
      </c>
      <c r="H42" s="69" t="n">
        <f aca="false">-Inputs!$B$36*(1+Inputs!$B$37)^(H$7-1)*1</f>
        <v>-18000</v>
      </c>
      <c r="I42" s="69" t="n">
        <f aca="false">-Inputs!$B$36*(1+Inputs!$B$37)^(I$7-1)*1</f>
        <v>-18000</v>
      </c>
      <c r="J42" s="69" t="n">
        <f aca="false">-Inputs!$B$36*(1+Inputs!$B$37)^(J$7-1)*1</f>
        <v>-18000</v>
      </c>
      <c r="K42" s="69" t="n">
        <f aca="false">-Inputs!$B$36*(1+Inputs!$B$37)^(K$7-1)*1</f>
        <v>-18000</v>
      </c>
      <c r="L42" s="69" t="n">
        <f aca="false">-Inputs!$B$36*(1+Inputs!$B$37)^(L$7-1)*1</f>
        <v>-18000</v>
      </c>
      <c r="M42" s="69" t="n">
        <f aca="false">-Inputs!$B$36*(1+Inputs!$B$37)^(M$7-1)*1</f>
        <v>-18000</v>
      </c>
      <c r="N42" s="69" t="n">
        <f aca="false">-Inputs!$B$36*(1+Inputs!$B$37)^(N$7-1)*1</f>
        <v>-18000</v>
      </c>
      <c r="O42" s="69" t="n">
        <f aca="false">-Inputs!$B$36*(1+Inputs!$B$37)^(O$7-1)*1</f>
        <v>-18540</v>
      </c>
      <c r="P42" s="69" t="n">
        <f aca="false">-Inputs!$B$36*(1+Inputs!$B$37)^(P$7-1)*1</f>
        <v>-18540</v>
      </c>
      <c r="Q42" s="69" t="n">
        <f aca="false">-Inputs!$B$36*(1+Inputs!$B$37)^(Q$7-1)*1</f>
        <v>-18540</v>
      </c>
      <c r="R42" s="69" t="n">
        <f aca="false">-Inputs!$B$36*(1+Inputs!$B$37)^(R$7-1)*1</f>
        <v>-18540</v>
      </c>
      <c r="S42" s="69" t="n">
        <f aca="false">-Inputs!$B$36*(1+Inputs!$B$37)^(S$7-1)*1</f>
        <v>-18540</v>
      </c>
      <c r="T42" s="69" t="n">
        <f aca="false">-Inputs!$B$36*(1+Inputs!$B$37)^(T$7-1)*1</f>
        <v>-18540</v>
      </c>
      <c r="U42" s="69" t="n">
        <f aca="false">-Inputs!$B$36*(1+Inputs!$B$37)^(U$7-1)*1</f>
        <v>-18540</v>
      </c>
      <c r="V42" s="69" t="n">
        <f aca="false">-Inputs!$B$36*(1+Inputs!$B$37)^(V$7-1)*1</f>
        <v>-18540</v>
      </c>
      <c r="W42" s="69" t="n">
        <f aca="false">-Inputs!$B$36*(1+Inputs!$B$37)^(W$7-1)*1</f>
        <v>-18540</v>
      </c>
      <c r="X42" s="69" t="n">
        <f aca="false">-Inputs!$B$36*(1+Inputs!$B$37)^(X$7-1)*1</f>
        <v>-18540</v>
      </c>
      <c r="Y42" s="69" t="n">
        <f aca="false">-Inputs!$B$36*(1+Inputs!$B$37)^(Y$7-1)*1</f>
        <v>-18540</v>
      </c>
      <c r="Z42" s="69" t="n">
        <f aca="false">-Inputs!$B$36*(1+Inputs!$B$37)^(Z$7-1)*1</f>
        <v>-18540</v>
      </c>
      <c r="AA42" s="69" t="n">
        <f aca="false">-Inputs!$B$36*(1+Inputs!$B$37)^(AA$7-1)*1</f>
        <v>-19096.2</v>
      </c>
      <c r="AB42" s="69" t="n">
        <f aca="false">-Inputs!$B$36*(1+Inputs!$B$37)^(AB$7-1)*1</f>
        <v>-19096.2</v>
      </c>
      <c r="AC42" s="69" t="n">
        <f aca="false">-Inputs!$B$36*(1+Inputs!$B$37)^(AC$7-1)*1</f>
        <v>-19096.2</v>
      </c>
      <c r="AD42" s="69" t="n">
        <f aca="false">-Inputs!$B$36*(1+Inputs!$B$37)^(AD$7-1)*1</f>
        <v>-19096.2</v>
      </c>
      <c r="AE42" s="69" t="n">
        <f aca="false">-Inputs!$B$36*(1+Inputs!$B$37)^(AE$7-1)*1</f>
        <v>-19096.2</v>
      </c>
      <c r="AF42" s="69" t="n">
        <f aca="false">-Inputs!$B$36*(1+Inputs!$B$37)^(AF$7-1)*1</f>
        <v>-19096.2</v>
      </c>
      <c r="AG42" s="69" t="n">
        <f aca="false">-Inputs!$B$36*(1+Inputs!$B$37)^(AG$7-1)*1</f>
        <v>-19096.2</v>
      </c>
      <c r="AH42" s="69" t="n">
        <f aca="false">-Inputs!$B$36*(1+Inputs!$B$37)^(AH$7-1)*1</f>
        <v>-19096.2</v>
      </c>
      <c r="AI42" s="69" t="n">
        <f aca="false">-Inputs!$B$36*(1+Inputs!$B$37)^(AI$7-1)*1</f>
        <v>-19096.2</v>
      </c>
      <c r="AJ42" s="69" t="n">
        <f aca="false">-Inputs!$B$36*(1+Inputs!$B$37)^(AJ$7-1)*1</f>
        <v>-19096.2</v>
      </c>
      <c r="AK42" s="69" t="n">
        <f aca="false">-Inputs!$B$36*(1+Inputs!$B$37)^(AK$7-1)*1</f>
        <v>-19096.2</v>
      </c>
      <c r="AL42" s="69" t="n">
        <f aca="false">-Inputs!$B$36*(1+Inputs!$B$37)^(AL$7-1)*1</f>
        <v>-19096.2</v>
      </c>
      <c r="AM42" s="69" t="n">
        <f aca="false">-Inputs!$B$36*(1+Inputs!$B$37)^(AM$7-1)*1</f>
        <v>-19669.086</v>
      </c>
      <c r="AN42" s="69" t="n">
        <f aca="false">-Inputs!$B$36*(1+Inputs!$B$37)^(AN$7-1)*1</f>
        <v>-19669.086</v>
      </c>
      <c r="AO42" s="69" t="n">
        <f aca="false">-Inputs!$B$36*(1+Inputs!$B$37)^(AO$7-1)*1</f>
        <v>-19669.086</v>
      </c>
      <c r="AP42" s="69" t="n">
        <f aca="false">-Inputs!$B$36*(1+Inputs!$B$37)^(AP$7-1)*1</f>
        <v>-19669.086</v>
      </c>
      <c r="AQ42" s="69" t="n">
        <f aca="false">-Inputs!$B$36*(1+Inputs!$B$37)^(AQ$7-1)*1</f>
        <v>-19669.086</v>
      </c>
      <c r="AR42" s="69" t="n">
        <f aca="false">-Inputs!$B$36*(1+Inputs!$B$37)^(AR$7-1)*1</f>
        <v>-19669.086</v>
      </c>
      <c r="AS42" s="69" t="n">
        <f aca="false">-Inputs!$B$36*(1+Inputs!$B$37)^(AS$7-1)*1</f>
        <v>-19669.086</v>
      </c>
      <c r="AT42" s="69" t="n">
        <f aca="false">-Inputs!$B$36*(1+Inputs!$B$37)^(AT$7-1)*1</f>
        <v>-19669.086</v>
      </c>
      <c r="AU42" s="69" t="n">
        <f aca="false">-Inputs!$B$36*(1+Inputs!$B$37)^(AU$7-1)*1</f>
        <v>-19669.086</v>
      </c>
      <c r="AV42" s="69" t="n">
        <f aca="false">-Inputs!$B$36*(1+Inputs!$B$37)^(AV$7-1)*1</f>
        <v>-19669.086</v>
      </c>
      <c r="AW42" s="69" t="n">
        <f aca="false">-Inputs!$B$36*(1+Inputs!$B$37)^(AW$7-1)*1</f>
        <v>-19669.086</v>
      </c>
      <c r="AX42" s="69" t="n">
        <f aca="false">-Inputs!$B$36*(1+Inputs!$B$37)^(AX$7-1)*1</f>
        <v>-19669.086</v>
      </c>
      <c r="AY42" s="69" t="n">
        <f aca="false">-Inputs!$B$36*(1+Inputs!$B$37)^(AY$7-1)*1</f>
        <v>-20259.15858</v>
      </c>
      <c r="AZ42" s="69" t="n">
        <f aca="false">-Inputs!$B$36*(1+Inputs!$B$37)^(AZ$7-1)*1</f>
        <v>-20259.15858</v>
      </c>
      <c r="BA42" s="69" t="n">
        <f aca="false">-Inputs!$B$36*(1+Inputs!$B$37)^(BA$7-1)*1</f>
        <v>-20259.15858</v>
      </c>
      <c r="BB42" s="69" t="n">
        <f aca="false">-Inputs!$B$36*(1+Inputs!$B$37)^(BB$7-1)*1</f>
        <v>-20259.15858</v>
      </c>
      <c r="BC42" s="69" t="n">
        <f aca="false">-Inputs!$B$36*(1+Inputs!$B$37)^(BC$7-1)*1</f>
        <v>-20259.15858</v>
      </c>
      <c r="BD42" s="69" t="n">
        <f aca="false">-Inputs!$B$36*(1+Inputs!$B$37)^(BD$7-1)*1</f>
        <v>-20259.15858</v>
      </c>
      <c r="BE42" s="69" t="n">
        <f aca="false">-Inputs!$B$36*(1+Inputs!$B$37)^(BE$7-1)*1</f>
        <v>-20259.15858</v>
      </c>
      <c r="BF42" s="69" t="n">
        <f aca="false">-Inputs!$B$36*(1+Inputs!$B$37)^(BF$7-1)*1</f>
        <v>-20259.15858</v>
      </c>
      <c r="BG42" s="69" t="n">
        <f aca="false">-Inputs!$B$36*(1+Inputs!$B$37)^(BG$7-1)*1</f>
        <v>-20259.15858</v>
      </c>
      <c r="BH42" s="69" t="n">
        <f aca="false">-Inputs!$B$36*(1+Inputs!$B$37)^(BH$7-1)*1</f>
        <v>-20259.15858</v>
      </c>
      <c r="BI42" s="69" t="n">
        <f aca="false">-Inputs!$B$36*(1+Inputs!$B$37)^(BI$7-1)*1</f>
        <v>-20259.15858</v>
      </c>
      <c r="BJ42" s="69" t="n">
        <f aca="false">-Inputs!$B$36*(1+Inputs!$B$37)^(BJ$7-1)*1</f>
        <v>-20259.15858</v>
      </c>
    </row>
    <row r="43" customFormat="false" ht="15" hidden="false" customHeight="false" outlineLevel="0" collapsed="false">
      <c r="A43" s="6" t="s">
        <v>335</v>
      </c>
      <c r="C43" s="69" t="n">
        <f aca="false">-Inputs!$B$38*(1+Inputs!$B$33)^(C$7-1)*1</f>
        <v>-4500</v>
      </c>
      <c r="D43" s="69" t="n">
        <f aca="false">-Inputs!$B$38*(1+Inputs!$B$33)^(D$7-1)*1</f>
        <v>-4500</v>
      </c>
      <c r="E43" s="69" t="n">
        <f aca="false">-Inputs!$B$38*(1+Inputs!$B$33)^(E$7-1)*1</f>
        <v>-4500</v>
      </c>
      <c r="F43" s="69" t="n">
        <f aca="false">-Inputs!$B$38*(1+Inputs!$B$33)^(F$7-1)*1</f>
        <v>-4500</v>
      </c>
      <c r="G43" s="69" t="n">
        <f aca="false">-Inputs!$B$38*(1+Inputs!$B$33)^(G$7-1)*1</f>
        <v>-4500</v>
      </c>
      <c r="H43" s="69" t="n">
        <f aca="false">-Inputs!$B$38*(1+Inputs!$B$33)^(H$7-1)*1</f>
        <v>-4500</v>
      </c>
      <c r="I43" s="69" t="n">
        <f aca="false">-Inputs!$B$38*(1+Inputs!$B$33)^(I$7-1)*1</f>
        <v>-4500</v>
      </c>
      <c r="J43" s="69" t="n">
        <f aca="false">-Inputs!$B$38*(1+Inputs!$B$33)^(J$7-1)*1</f>
        <v>-4500</v>
      </c>
      <c r="K43" s="69" t="n">
        <f aca="false">-Inputs!$B$38*(1+Inputs!$B$33)^(K$7-1)*1</f>
        <v>-4500</v>
      </c>
      <c r="L43" s="69" t="n">
        <f aca="false">-Inputs!$B$38*(1+Inputs!$B$33)^(L$7-1)*1</f>
        <v>-4500</v>
      </c>
      <c r="M43" s="69" t="n">
        <f aca="false">-Inputs!$B$38*(1+Inputs!$B$33)^(M$7-1)*1</f>
        <v>-4500</v>
      </c>
      <c r="N43" s="69" t="n">
        <f aca="false">-Inputs!$B$38*(1+Inputs!$B$33)^(N$7-1)*1</f>
        <v>-4500</v>
      </c>
      <c r="O43" s="69" t="n">
        <f aca="false">-Inputs!$B$38*(1+Inputs!$B$33)^(O$7-1)*1</f>
        <v>-4680</v>
      </c>
      <c r="P43" s="69" t="n">
        <f aca="false">-Inputs!$B$38*(1+Inputs!$B$33)^(P$7-1)*1</f>
        <v>-4680</v>
      </c>
      <c r="Q43" s="69" t="n">
        <f aca="false">-Inputs!$B$38*(1+Inputs!$B$33)^(Q$7-1)*1</f>
        <v>-4680</v>
      </c>
      <c r="R43" s="69" t="n">
        <f aca="false">-Inputs!$B$38*(1+Inputs!$B$33)^(R$7-1)*1</f>
        <v>-4680</v>
      </c>
      <c r="S43" s="69" t="n">
        <f aca="false">-Inputs!$B$38*(1+Inputs!$B$33)^(S$7-1)*1</f>
        <v>-4680</v>
      </c>
      <c r="T43" s="69" t="n">
        <f aca="false">-Inputs!$B$38*(1+Inputs!$B$33)^(T$7-1)*1</f>
        <v>-4680</v>
      </c>
      <c r="U43" s="69" t="n">
        <f aca="false">-Inputs!$B$38*(1+Inputs!$B$33)^(U$7-1)*1</f>
        <v>-4680</v>
      </c>
      <c r="V43" s="69" t="n">
        <f aca="false">-Inputs!$B$38*(1+Inputs!$B$33)^(V$7-1)*1</f>
        <v>-4680</v>
      </c>
      <c r="W43" s="69" t="n">
        <f aca="false">-Inputs!$B$38*(1+Inputs!$B$33)^(W$7-1)*1</f>
        <v>-4680</v>
      </c>
      <c r="X43" s="69" t="n">
        <f aca="false">-Inputs!$B$38*(1+Inputs!$B$33)^(X$7-1)*1</f>
        <v>-4680</v>
      </c>
      <c r="Y43" s="69" t="n">
        <f aca="false">-Inputs!$B$38*(1+Inputs!$B$33)^(Y$7-1)*1</f>
        <v>-4680</v>
      </c>
      <c r="Z43" s="69" t="n">
        <f aca="false">-Inputs!$B$38*(1+Inputs!$B$33)^(Z$7-1)*1</f>
        <v>-4680</v>
      </c>
      <c r="AA43" s="69" t="n">
        <f aca="false">-Inputs!$B$38*(1+Inputs!$B$33)^(AA$7-1)*1</f>
        <v>-4867.2</v>
      </c>
      <c r="AB43" s="69" t="n">
        <f aca="false">-Inputs!$B$38*(1+Inputs!$B$33)^(AB$7-1)*1</f>
        <v>-4867.2</v>
      </c>
      <c r="AC43" s="69" t="n">
        <f aca="false">-Inputs!$B$38*(1+Inputs!$B$33)^(AC$7-1)*1</f>
        <v>-4867.2</v>
      </c>
      <c r="AD43" s="69" t="n">
        <f aca="false">-Inputs!$B$38*(1+Inputs!$B$33)^(AD$7-1)*1</f>
        <v>-4867.2</v>
      </c>
      <c r="AE43" s="69" t="n">
        <f aca="false">-Inputs!$B$38*(1+Inputs!$B$33)^(AE$7-1)*1</f>
        <v>-4867.2</v>
      </c>
      <c r="AF43" s="69" t="n">
        <f aca="false">-Inputs!$B$38*(1+Inputs!$B$33)^(AF$7-1)*1</f>
        <v>-4867.2</v>
      </c>
      <c r="AG43" s="69" t="n">
        <f aca="false">-Inputs!$B$38*(1+Inputs!$B$33)^(AG$7-1)*1</f>
        <v>-4867.2</v>
      </c>
      <c r="AH43" s="69" t="n">
        <f aca="false">-Inputs!$B$38*(1+Inputs!$B$33)^(AH$7-1)*1</f>
        <v>-4867.2</v>
      </c>
      <c r="AI43" s="69" t="n">
        <f aca="false">-Inputs!$B$38*(1+Inputs!$B$33)^(AI$7-1)*1</f>
        <v>-4867.2</v>
      </c>
      <c r="AJ43" s="69" t="n">
        <f aca="false">-Inputs!$B$38*(1+Inputs!$B$33)^(AJ$7-1)*1</f>
        <v>-4867.2</v>
      </c>
      <c r="AK43" s="69" t="n">
        <f aca="false">-Inputs!$B$38*(1+Inputs!$B$33)^(AK$7-1)*1</f>
        <v>-4867.2</v>
      </c>
      <c r="AL43" s="69" t="n">
        <f aca="false">-Inputs!$B$38*(1+Inputs!$B$33)^(AL$7-1)*1</f>
        <v>-4867.2</v>
      </c>
      <c r="AM43" s="69" t="n">
        <f aca="false">-Inputs!$B$38*(1+Inputs!$B$33)^(AM$7-1)*1</f>
        <v>-5061.888</v>
      </c>
      <c r="AN43" s="69" t="n">
        <f aca="false">-Inputs!$B$38*(1+Inputs!$B$33)^(AN$7-1)*1</f>
        <v>-5061.888</v>
      </c>
      <c r="AO43" s="69" t="n">
        <f aca="false">-Inputs!$B$38*(1+Inputs!$B$33)^(AO$7-1)*1</f>
        <v>-5061.888</v>
      </c>
      <c r="AP43" s="69" t="n">
        <f aca="false">-Inputs!$B$38*(1+Inputs!$B$33)^(AP$7-1)*1</f>
        <v>-5061.888</v>
      </c>
      <c r="AQ43" s="69" t="n">
        <f aca="false">-Inputs!$B$38*(1+Inputs!$B$33)^(AQ$7-1)*1</f>
        <v>-5061.888</v>
      </c>
      <c r="AR43" s="69" t="n">
        <f aca="false">-Inputs!$B$38*(1+Inputs!$B$33)^(AR$7-1)*1</f>
        <v>-5061.888</v>
      </c>
      <c r="AS43" s="69" t="n">
        <f aca="false">-Inputs!$B$38*(1+Inputs!$B$33)^(AS$7-1)*1</f>
        <v>-5061.888</v>
      </c>
      <c r="AT43" s="69" t="n">
        <f aca="false">-Inputs!$B$38*(1+Inputs!$B$33)^(AT$7-1)*1</f>
        <v>-5061.888</v>
      </c>
      <c r="AU43" s="69" t="n">
        <f aca="false">-Inputs!$B$38*(1+Inputs!$B$33)^(AU$7-1)*1</f>
        <v>-5061.888</v>
      </c>
      <c r="AV43" s="69" t="n">
        <f aca="false">-Inputs!$B$38*(1+Inputs!$B$33)^(AV$7-1)*1</f>
        <v>-5061.888</v>
      </c>
      <c r="AW43" s="69" t="n">
        <f aca="false">-Inputs!$B$38*(1+Inputs!$B$33)^(AW$7-1)*1</f>
        <v>-5061.888</v>
      </c>
      <c r="AX43" s="69" t="n">
        <f aca="false">-Inputs!$B$38*(1+Inputs!$B$33)^(AX$7-1)*1</f>
        <v>-5061.888</v>
      </c>
      <c r="AY43" s="69" t="n">
        <f aca="false">-Inputs!$B$38*(1+Inputs!$B$33)^(AY$7-1)*1</f>
        <v>-5264.36352</v>
      </c>
      <c r="AZ43" s="69" t="n">
        <f aca="false">-Inputs!$B$38*(1+Inputs!$B$33)^(AZ$7-1)*1</f>
        <v>-5264.36352</v>
      </c>
      <c r="BA43" s="69" t="n">
        <f aca="false">-Inputs!$B$38*(1+Inputs!$B$33)^(BA$7-1)*1</f>
        <v>-5264.36352</v>
      </c>
      <c r="BB43" s="69" t="n">
        <f aca="false">-Inputs!$B$38*(1+Inputs!$B$33)^(BB$7-1)*1</f>
        <v>-5264.36352</v>
      </c>
      <c r="BC43" s="69" t="n">
        <f aca="false">-Inputs!$B$38*(1+Inputs!$B$33)^(BC$7-1)*1</f>
        <v>-5264.36352</v>
      </c>
      <c r="BD43" s="69" t="n">
        <f aca="false">-Inputs!$B$38*(1+Inputs!$B$33)^(BD$7-1)*1</f>
        <v>-5264.36352</v>
      </c>
      <c r="BE43" s="69" t="n">
        <f aca="false">-Inputs!$B$38*(1+Inputs!$B$33)^(BE$7-1)*1</f>
        <v>-5264.36352</v>
      </c>
      <c r="BF43" s="69" t="n">
        <f aca="false">-Inputs!$B$38*(1+Inputs!$B$33)^(BF$7-1)*1</f>
        <v>-5264.36352</v>
      </c>
      <c r="BG43" s="69" t="n">
        <f aca="false">-Inputs!$B$38*(1+Inputs!$B$33)^(BG$7-1)*1</f>
        <v>-5264.36352</v>
      </c>
      <c r="BH43" s="69" t="n">
        <f aca="false">-Inputs!$B$38*(1+Inputs!$B$33)^(BH$7-1)*1</f>
        <v>-5264.36352</v>
      </c>
      <c r="BI43" s="69" t="n">
        <f aca="false">-Inputs!$B$38*(1+Inputs!$B$33)^(BI$7-1)*1</f>
        <v>-5264.36352</v>
      </c>
      <c r="BJ43" s="69" t="n">
        <f aca="false">-Inputs!$B$38*(1+Inputs!$B$33)^(BJ$7-1)*1</f>
        <v>-5264.36352</v>
      </c>
    </row>
    <row r="44" customFormat="false" ht="15" hidden="false" customHeight="false" outlineLevel="0" collapsed="false">
      <c r="A44" s="6" t="s">
        <v>336</v>
      </c>
      <c r="C44" s="69" t="n">
        <f aca="false">-Inputs!$B$39*(1+Inputs!$B$33)^(C$7-1)*1</f>
        <v>-9000</v>
      </c>
      <c r="D44" s="69" t="n">
        <f aca="false">-Inputs!$B$39*(1+Inputs!$B$33)^(D$7-1)*1</f>
        <v>-9000</v>
      </c>
      <c r="E44" s="69" t="n">
        <f aca="false">-Inputs!$B$39*(1+Inputs!$B$33)^(E$7-1)*1</f>
        <v>-9000</v>
      </c>
      <c r="F44" s="69" t="n">
        <f aca="false">-Inputs!$B$39*(1+Inputs!$B$33)^(F$7-1)*1</f>
        <v>-9000</v>
      </c>
      <c r="G44" s="69" t="n">
        <f aca="false">-Inputs!$B$39*(1+Inputs!$B$33)^(G$7-1)*1</f>
        <v>-9000</v>
      </c>
      <c r="H44" s="69" t="n">
        <f aca="false">-Inputs!$B$39*(1+Inputs!$B$33)^(H$7-1)*1</f>
        <v>-9000</v>
      </c>
      <c r="I44" s="69" t="n">
        <f aca="false">-Inputs!$B$39*(1+Inputs!$B$33)^(I$7-1)*1</f>
        <v>-9000</v>
      </c>
      <c r="J44" s="69" t="n">
        <f aca="false">-Inputs!$B$39*(1+Inputs!$B$33)^(J$7-1)*1</f>
        <v>-9000</v>
      </c>
      <c r="K44" s="69" t="n">
        <f aca="false">-Inputs!$B$39*(1+Inputs!$B$33)^(K$7-1)*1</f>
        <v>-9000</v>
      </c>
      <c r="L44" s="69" t="n">
        <f aca="false">-Inputs!$B$39*(1+Inputs!$B$33)^(L$7-1)*1</f>
        <v>-9000</v>
      </c>
      <c r="M44" s="69" t="n">
        <f aca="false">-Inputs!$B$39*(1+Inputs!$B$33)^(M$7-1)*1</f>
        <v>-9000</v>
      </c>
      <c r="N44" s="69" t="n">
        <f aca="false">-Inputs!$B$39*(1+Inputs!$B$33)^(N$7-1)*1</f>
        <v>-9000</v>
      </c>
      <c r="O44" s="69" t="n">
        <f aca="false">-Inputs!$B$39*(1+Inputs!$B$33)^(O$7-1)*1</f>
        <v>-9360</v>
      </c>
      <c r="P44" s="69" t="n">
        <f aca="false">-Inputs!$B$39*(1+Inputs!$B$33)^(P$7-1)*1</f>
        <v>-9360</v>
      </c>
      <c r="Q44" s="69" t="n">
        <f aca="false">-Inputs!$B$39*(1+Inputs!$B$33)^(Q$7-1)*1</f>
        <v>-9360</v>
      </c>
      <c r="R44" s="69" t="n">
        <f aca="false">-Inputs!$B$39*(1+Inputs!$B$33)^(R$7-1)*1</f>
        <v>-9360</v>
      </c>
      <c r="S44" s="69" t="n">
        <f aca="false">-Inputs!$B$39*(1+Inputs!$B$33)^(S$7-1)*1</f>
        <v>-9360</v>
      </c>
      <c r="T44" s="69" t="n">
        <f aca="false">-Inputs!$B$39*(1+Inputs!$B$33)^(T$7-1)*1</f>
        <v>-9360</v>
      </c>
      <c r="U44" s="69" t="n">
        <f aca="false">-Inputs!$B$39*(1+Inputs!$B$33)^(U$7-1)*1</f>
        <v>-9360</v>
      </c>
      <c r="V44" s="69" t="n">
        <f aca="false">-Inputs!$B$39*(1+Inputs!$B$33)^(V$7-1)*1</f>
        <v>-9360</v>
      </c>
      <c r="W44" s="69" t="n">
        <f aca="false">-Inputs!$B$39*(1+Inputs!$B$33)^(W$7-1)*1</f>
        <v>-9360</v>
      </c>
      <c r="X44" s="69" t="n">
        <f aca="false">-Inputs!$B$39*(1+Inputs!$B$33)^(X$7-1)*1</f>
        <v>-9360</v>
      </c>
      <c r="Y44" s="69" t="n">
        <f aca="false">-Inputs!$B$39*(1+Inputs!$B$33)^(Y$7-1)*1</f>
        <v>-9360</v>
      </c>
      <c r="Z44" s="69" t="n">
        <f aca="false">-Inputs!$B$39*(1+Inputs!$B$33)^(Z$7-1)*1</f>
        <v>-9360</v>
      </c>
      <c r="AA44" s="69" t="n">
        <f aca="false">-Inputs!$B$39*(1+Inputs!$B$33)^(AA$7-1)*1</f>
        <v>-9734.4</v>
      </c>
      <c r="AB44" s="69" t="n">
        <f aca="false">-Inputs!$B$39*(1+Inputs!$B$33)^(AB$7-1)*1</f>
        <v>-9734.4</v>
      </c>
      <c r="AC44" s="69" t="n">
        <f aca="false">-Inputs!$B$39*(1+Inputs!$B$33)^(AC$7-1)*1</f>
        <v>-9734.4</v>
      </c>
      <c r="AD44" s="69" t="n">
        <f aca="false">-Inputs!$B$39*(1+Inputs!$B$33)^(AD$7-1)*1</f>
        <v>-9734.4</v>
      </c>
      <c r="AE44" s="69" t="n">
        <f aca="false">-Inputs!$B$39*(1+Inputs!$B$33)^(AE$7-1)*1</f>
        <v>-9734.4</v>
      </c>
      <c r="AF44" s="69" t="n">
        <f aca="false">-Inputs!$B$39*(1+Inputs!$B$33)^(AF$7-1)*1</f>
        <v>-9734.4</v>
      </c>
      <c r="AG44" s="69" t="n">
        <f aca="false">-Inputs!$B$39*(1+Inputs!$B$33)^(AG$7-1)*1</f>
        <v>-9734.4</v>
      </c>
      <c r="AH44" s="69" t="n">
        <f aca="false">-Inputs!$B$39*(1+Inputs!$B$33)^(AH$7-1)*1</f>
        <v>-9734.4</v>
      </c>
      <c r="AI44" s="69" t="n">
        <f aca="false">-Inputs!$B$39*(1+Inputs!$B$33)^(AI$7-1)*1</f>
        <v>-9734.4</v>
      </c>
      <c r="AJ44" s="69" t="n">
        <f aca="false">-Inputs!$B$39*(1+Inputs!$B$33)^(AJ$7-1)*1</f>
        <v>-9734.4</v>
      </c>
      <c r="AK44" s="69" t="n">
        <f aca="false">-Inputs!$B$39*(1+Inputs!$B$33)^(AK$7-1)*1</f>
        <v>-9734.4</v>
      </c>
      <c r="AL44" s="69" t="n">
        <f aca="false">-Inputs!$B$39*(1+Inputs!$B$33)^(AL$7-1)*1</f>
        <v>-9734.4</v>
      </c>
      <c r="AM44" s="69" t="n">
        <f aca="false">-Inputs!$B$39*(1+Inputs!$B$33)^(AM$7-1)*1</f>
        <v>-10123.776</v>
      </c>
      <c r="AN44" s="69" t="n">
        <f aca="false">-Inputs!$B$39*(1+Inputs!$B$33)^(AN$7-1)*1</f>
        <v>-10123.776</v>
      </c>
      <c r="AO44" s="69" t="n">
        <f aca="false">-Inputs!$B$39*(1+Inputs!$B$33)^(AO$7-1)*1</f>
        <v>-10123.776</v>
      </c>
      <c r="AP44" s="69" t="n">
        <f aca="false">-Inputs!$B$39*(1+Inputs!$B$33)^(AP$7-1)*1</f>
        <v>-10123.776</v>
      </c>
      <c r="AQ44" s="69" t="n">
        <f aca="false">-Inputs!$B$39*(1+Inputs!$B$33)^(AQ$7-1)*1</f>
        <v>-10123.776</v>
      </c>
      <c r="AR44" s="69" t="n">
        <f aca="false">-Inputs!$B$39*(1+Inputs!$B$33)^(AR$7-1)*1</f>
        <v>-10123.776</v>
      </c>
      <c r="AS44" s="69" t="n">
        <f aca="false">-Inputs!$B$39*(1+Inputs!$B$33)^(AS$7-1)*1</f>
        <v>-10123.776</v>
      </c>
      <c r="AT44" s="69" t="n">
        <f aca="false">-Inputs!$B$39*(1+Inputs!$B$33)^(AT$7-1)*1</f>
        <v>-10123.776</v>
      </c>
      <c r="AU44" s="69" t="n">
        <f aca="false">-Inputs!$B$39*(1+Inputs!$B$33)^(AU$7-1)*1</f>
        <v>-10123.776</v>
      </c>
      <c r="AV44" s="69" t="n">
        <f aca="false">-Inputs!$B$39*(1+Inputs!$B$33)^(AV$7-1)*1</f>
        <v>-10123.776</v>
      </c>
      <c r="AW44" s="69" t="n">
        <f aca="false">-Inputs!$B$39*(1+Inputs!$B$33)^(AW$7-1)*1</f>
        <v>-10123.776</v>
      </c>
      <c r="AX44" s="69" t="n">
        <f aca="false">-Inputs!$B$39*(1+Inputs!$B$33)^(AX$7-1)*1</f>
        <v>-10123.776</v>
      </c>
      <c r="AY44" s="69" t="n">
        <f aca="false">-Inputs!$B$39*(1+Inputs!$B$33)^(AY$7-1)*1</f>
        <v>-10528.72704</v>
      </c>
      <c r="AZ44" s="69" t="n">
        <f aca="false">-Inputs!$B$39*(1+Inputs!$B$33)^(AZ$7-1)*1</f>
        <v>-10528.72704</v>
      </c>
      <c r="BA44" s="69" t="n">
        <f aca="false">-Inputs!$B$39*(1+Inputs!$B$33)^(BA$7-1)*1</f>
        <v>-10528.72704</v>
      </c>
      <c r="BB44" s="69" t="n">
        <f aca="false">-Inputs!$B$39*(1+Inputs!$B$33)^(BB$7-1)*1</f>
        <v>-10528.72704</v>
      </c>
      <c r="BC44" s="69" t="n">
        <f aca="false">-Inputs!$B$39*(1+Inputs!$B$33)^(BC$7-1)*1</f>
        <v>-10528.72704</v>
      </c>
      <c r="BD44" s="69" t="n">
        <f aca="false">-Inputs!$B$39*(1+Inputs!$B$33)^(BD$7-1)*1</f>
        <v>-10528.72704</v>
      </c>
      <c r="BE44" s="69" t="n">
        <f aca="false">-Inputs!$B$39*(1+Inputs!$B$33)^(BE$7-1)*1</f>
        <v>-10528.72704</v>
      </c>
      <c r="BF44" s="69" t="n">
        <f aca="false">-Inputs!$B$39*(1+Inputs!$B$33)^(BF$7-1)*1</f>
        <v>-10528.72704</v>
      </c>
      <c r="BG44" s="69" t="n">
        <f aca="false">-Inputs!$B$39*(1+Inputs!$B$33)^(BG$7-1)*1</f>
        <v>-10528.72704</v>
      </c>
      <c r="BH44" s="69" t="n">
        <f aca="false">-Inputs!$B$39*(1+Inputs!$B$33)^(BH$7-1)*1</f>
        <v>-10528.72704</v>
      </c>
      <c r="BI44" s="69" t="n">
        <f aca="false">-Inputs!$B$39*(1+Inputs!$B$33)^(BI$7-1)*1</f>
        <v>-10528.72704</v>
      </c>
      <c r="BJ44" s="69" t="n">
        <f aca="false">-Inputs!$B$39*(1+Inputs!$B$33)^(BJ$7-1)*1</f>
        <v>-10528.72704</v>
      </c>
    </row>
    <row r="45" customFormat="false" ht="15" hidden="false" customHeight="false" outlineLevel="0" collapsed="false">
      <c r="A45" s="6" t="s">
        <v>337</v>
      </c>
      <c r="C45" s="69" t="n">
        <f aca="false">-Inputs!$B$40*(1+Inputs!$B$41)^(C$7-1)*1</f>
        <v>-7000</v>
      </c>
      <c r="D45" s="69" t="n">
        <f aca="false">-Inputs!$B$40*(1+Inputs!$B$41)^(D$7-1)*1</f>
        <v>-7000</v>
      </c>
      <c r="E45" s="69" t="n">
        <f aca="false">-Inputs!$B$40*(1+Inputs!$B$41)^(E$7-1)*1</f>
        <v>-7000</v>
      </c>
      <c r="F45" s="69" t="n">
        <f aca="false">-Inputs!$B$40*(1+Inputs!$B$41)^(F$7-1)*1</f>
        <v>-7000</v>
      </c>
      <c r="G45" s="69" t="n">
        <f aca="false">-Inputs!$B$40*(1+Inputs!$B$41)^(G$7-1)*1</f>
        <v>-7000</v>
      </c>
      <c r="H45" s="69" t="n">
        <f aca="false">-Inputs!$B$40*(1+Inputs!$B$41)^(H$7-1)*1</f>
        <v>-7000</v>
      </c>
      <c r="I45" s="69" t="n">
        <f aca="false">-Inputs!$B$40*(1+Inputs!$B$41)^(I$7-1)*1</f>
        <v>-7000</v>
      </c>
      <c r="J45" s="69" t="n">
        <f aca="false">-Inputs!$B$40*(1+Inputs!$B$41)^(J$7-1)*1</f>
        <v>-7000</v>
      </c>
      <c r="K45" s="69" t="n">
        <f aca="false">-Inputs!$B$40*(1+Inputs!$B$41)^(K$7-1)*1</f>
        <v>-7000</v>
      </c>
      <c r="L45" s="69" t="n">
        <f aca="false">-Inputs!$B$40*(1+Inputs!$B$41)^(L$7-1)*1</f>
        <v>-7000</v>
      </c>
      <c r="M45" s="69" t="n">
        <f aca="false">-Inputs!$B$40*(1+Inputs!$B$41)^(M$7-1)*1</f>
        <v>-7000</v>
      </c>
      <c r="N45" s="69" t="n">
        <f aca="false">-Inputs!$B$40*(1+Inputs!$B$41)^(N$7-1)*1</f>
        <v>-7000</v>
      </c>
      <c r="O45" s="69" t="n">
        <f aca="false">-Inputs!$B$40*(1+Inputs!$B$41)^(O$7-1)*1</f>
        <v>-4900</v>
      </c>
      <c r="P45" s="69" t="n">
        <f aca="false">-Inputs!$B$40*(1+Inputs!$B$41)^(P$7-1)*1</f>
        <v>-4900</v>
      </c>
      <c r="Q45" s="69" t="n">
        <f aca="false">-Inputs!$B$40*(1+Inputs!$B$41)^(Q$7-1)*1</f>
        <v>-4900</v>
      </c>
      <c r="R45" s="69" t="n">
        <f aca="false">-Inputs!$B$40*(1+Inputs!$B$41)^(R$7-1)*1</f>
        <v>-4900</v>
      </c>
      <c r="S45" s="69" t="n">
        <f aca="false">-Inputs!$B$40*(1+Inputs!$B$41)^(S$7-1)*1</f>
        <v>-4900</v>
      </c>
      <c r="T45" s="69" t="n">
        <f aca="false">-Inputs!$B$40*(1+Inputs!$B$41)^(T$7-1)*1</f>
        <v>-4900</v>
      </c>
      <c r="U45" s="69" t="n">
        <f aca="false">-Inputs!$B$40*(1+Inputs!$B$41)^(U$7-1)*1</f>
        <v>-4900</v>
      </c>
      <c r="V45" s="69" t="n">
        <f aca="false">-Inputs!$B$40*(1+Inputs!$B$41)^(V$7-1)*1</f>
        <v>-4900</v>
      </c>
      <c r="W45" s="69" t="n">
        <f aca="false">-Inputs!$B$40*(1+Inputs!$B$41)^(W$7-1)*1</f>
        <v>-4900</v>
      </c>
      <c r="X45" s="69" t="n">
        <f aca="false">-Inputs!$B$40*(1+Inputs!$B$41)^(X$7-1)*1</f>
        <v>-4900</v>
      </c>
      <c r="Y45" s="69" t="n">
        <f aca="false">-Inputs!$B$40*(1+Inputs!$B$41)^(Y$7-1)*1</f>
        <v>-4900</v>
      </c>
      <c r="Z45" s="69" t="n">
        <f aca="false">-Inputs!$B$40*(1+Inputs!$B$41)^(Z$7-1)*1</f>
        <v>-4900</v>
      </c>
      <c r="AA45" s="69" t="n">
        <f aca="false">-Inputs!$B$40*(1+Inputs!$B$41)^(AA$7-1)*1</f>
        <v>-3430</v>
      </c>
      <c r="AB45" s="69" t="n">
        <f aca="false">-Inputs!$B$40*(1+Inputs!$B$41)^(AB$7-1)*1</f>
        <v>-3430</v>
      </c>
      <c r="AC45" s="69" t="n">
        <f aca="false">-Inputs!$B$40*(1+Inputs!$B$41)^(AC$7-1)*1</f>
        <v>-3430</v>
      </c>
      <c r="AD45" s="69" t="n">
        <f aca="false">-Inputs!$B$40*(1+Inputs!$B$41)^(AD$7-1)*1</f>
        <v>-3430</v>
      </c>
      <c r="AE45" s="69" t="n">
        <f aca="false">-Inputs!$B$40*(1+Inputs!$B$41)^(AE$7-1)*1</f>
        <v>-3430</v>
      </c>
      <c r="AF45" s="69" t="n">
        <f aca="false">-Inputs!$B$40*(1+Inputs!$B$41)^(AF$7-1)*1</f>
        <v>-3430</v>
      </c>
      <c r="AG45" s="69" t="n">
        <f aca="false">-Inputs!$B$40*(1+Inputs!$B$41)^(AG$7-1)*1</f>
        <v>-3430</v>
      </c>
      <c r="AH45" s="69" t="n">
        <f aca="false">-Inputs!$B$40*(1+Inputs!$B$41)^(AH$7-1)*1</f>
        <v>-3430</v>
      </c>
      <c r="AI45" s="69" t="n">
        <f aca="false">-Inputs!$B$40*(1+Inputs!$B$41)^(AI$7-1)*1</f>
        <v>-3430</v>
      </c>
      <c r="AJ45" s="69" t="n">
        <f aca="false">-Inputs!$B$40*(1+Inputs!$B$41)^(AJ$7-1)*1</f>
        <v>-3430</v>
      </c>
      <c r="AK45" s="69" t="n">
        <f aca="false">-Inputs!$B$40*(1+Inputs!$B$41)^(AK$7-1)*1</f>
        <v>-3430</v>
      </c>
      <c r="AL45" s="69" t="n">
        <f aca="false">-Inputs!$B$40*(1+Inputs!$B$41)^(AL$7-1)*1</f>
        <v>-3430</v>
      </c>
      <c r="AM45" s="69" t="n">
        <f aca="false">-Inputs!$B$40*(1+Inputs!$B$41)^(AM$7-1)*1</f>
        <v>-2401</v>
      </c>
      <c r="AN45" s="69" t="n">
        <f aca="false">-Inputs!$B$40*(1+Inputs!$B$41)^(AN$7-1)*1</f>
        <v>-2401</v>
      </c>
      <c r="AO45" s="69" t="n">
        <f aca="false">-Inputs!$B$40*(1+Inputs!$B$41)^(AO$7-1)*1</f>
        <v>-2401</v>
      </c>
      <c r="AP45" s="69" t="n">
        <f aca="false">-Inputs!$B$40*(1+Inputs!$B$41)^(AP$7-1)*1</f>
        <v>-2401</v>
      </c>
      <c r="AQ45" s="69" t="n">
        <f aca="false">-Inputs!$B$40*(1+Inputs!$B$41)^(AQ$7-1)*1</f>
        <v>-2401</v>
      </c>
      <c r="AR45" s="69" t="n">
        <f aca="false">-Inputs!$B$40*(1+Inputs!$B$41)^(AR$7-1)*1</f>
        <v>-2401</v>
      </c>
      <c r="AS45" s="69" t="n">
        <f aca="false">-Inputs!$B$40*(1+Inputs!$B$41)^(AS$7-1)*1</f>
        <v>-2401</v>
      </c>
      <c r="AT45" s="69" t="n">
        <f aca="false">-Inputs!$B$40*(1+Inputs!$B$41)^(AT$7-1)*1</f>
        <v>-2401</v>
      </c>
      <c r="AU45" s="69" t="n">
        <f aca="false">-Inputs!$B$40*(1+Inputs!$B$41)^(AU$7-1)*1</f>
        <v>-2401</v>
      </c>
      <c r="AV45" s="69" t="n">
        <f aca="false">-Inputs!$B$40*(1+Inputs!$B$41)^(AV$7-1)*1</f>
        <v>-2401</v>
      </c>
      <c r="AW45" s="69" t="n">
        <f aca="false">-Inputs!$B$40*(1+Inputs!$B$41)^(AW$7-1)*1</f>
        <v>-2401</v>
      </c>
      <c r="AX45" s="69" t="n">
        <f aca="false">-Inputs!$B$40*(1+Inputs!$B$41)^(AX$7-1)*1</f>
        <v>-2401</v>
      </c>
      <c r="AY45" s="69" t="n">
        <f aca="false">-Inputs!$B$40*(1+Inputs!$B$41)^(AY$7-1)*1</f>
        <v>-1680.7</v>
      </c>
      <c r="AZ45" s="69" t="n">
        <f aca="false">-Inputs!$B$40*(1+Inputs!$B$41)^(AZ$7-1)*1</f>
        <v>-1680.7</v>
      </c>
      <c r="BA45" s="69" t="n">
        <f aca="false">-Inputs!$B$40*(1+Inputs!$B$41)^(BA$7-1)*1</f>
        <v>-1680.7</v>
      </c>
      <c r="BB45" s="69" t="n">
        <f aca="false">-Inputs!$B$40*(1+Inputs!$B$41)^(BB$7-1)*1</f>
        <v>-1680.7</v>
      </c>
      <c r="BC45" s="69" t="n">
        <f aca="false">-Inputs!$B$40*(1+Inputs!$B$41)^(BC$7-1)*1</f>
        <v>-1680.7</v>
      </c>
      <c r="BD45" s="69" t="n">
        <f aca="false">-Inputs!$B$40*(1+Inputs!$B$41)^(BD$7-1)*1</f>
        <v>-1680.7</v>
      </c>
      <c r="BE45" s="69" t="n">
        <f aca="false">-Inputs!$B$40*(1+Inputs!$B$41)^(BE$7-1)*1</f>
        <v>-1680.7</v>
      </c>
      <c r="BF45" s="69" t="n">
        <f aca="false">-Inputs!$B$40*(1+Inputs!$B$41)^(BF$7-1)*1</f>
        <v>-1680.7</v>
      </c>
      <c r="BG45" s="69" t="n">
        <f aca="false">-Inputs!$B$40*(1+Inputs!$B$41)^(BG$7-1)*1</f>
        <v>-1680.7</v>
      </c>
      <c r="BH45" s="69" t="n">
        <f aca="false">-Inputs!$B$40*(1+Inputs!$B$41)^(BH$7-1)*1</f>
        <v>-1680.7</v>
      </c>
      <c r="BI45" s="69" t="n">
        <f aca="false">-Inputs!$B$40*(1+Inputs!$B$41)^(BI$7-1)*1</f>
        <v>-1680.7</v>
      </c>
      <c r="BJ45" s="69" t="n">
        <f aca="false">-Inputs!$B$40*(1+Inputs!$B$41)^(BJ$7-1)*1</f>
        <v>-1680.7</v>
      </c>
    </row>
    <row r="46" customFormat="false" ht="15" hidden="false" customHeight="false" outlineLevel="0" collapsed="false">
      <c r="A46" s="6" t="s">
        <v>338</v>
      </c>
      <c r="C46" s="69" t="n">
        <f aca="false">-C30*Inputs!$B$32</f>
        <v>-1133.7216</v>
      </c>
      <c r="D46" s="69" t="n">
        <f aca="false">-D30*Inputs!$B$32</f>
        <v>-1299.056</v>
      </c>
      <c r="E46" s="69" t="n">
        <f aca="false">-E30*Inputs!$B$32</f>
        <v>-1464.3904</v>
      </c>
      <c r="F46" s="69" t="n">
        <f aca="false">-F30*Inputs!$B$32</f>
        <v>-1629.7248</v>
      </c>
      <c r="G46" s="69" t="n">
        <f aca="false">-G30*Inputs!$B$32</f>
        <v>-1795.0592</v>
      </c>
      <c r="H46" s="69" t="n">
        <f aca="false">-H30*Inputs!$B$32</f>
        <v>-1960.3936</v>
      </c>
      <c r="I46" s="69" t="n">
        <f aca="false">-I30*Inputs!$B$32</f>
        <v>-2125.728</v>
      </c>
      <c r="J46" s="69" t="n">
        <f aca="false">-J30*Inputs!$B$32</f>
        <v>-2291.0624</v>
      </c>
      <c r="K46" s="69" t="n">
        <f aca="false">-K30*Inputs!$B$32</f>
        <v>-2456.3968</v>
      </c>
      <c r="L46" s="69" t="n">
        <f aca="false">-L30*Inputs!$B$32</f>
        <v>-2621.7312</v>
      </c>
      <c r="M46" s="69" t="n">
        <f aca="false">-M30*Inputs!$B$32</f>
        <v>-2787.0656</v>
      </c>
      <c r="N46" s="69" t="n">
        <f aca="false">-N30*Inputs!$B$32</f>
        <v>-2952.4</v>
      </c>
      <c r="O46" s="69" t="n">
        <f aca="false">-O30*Inputs!$B$32</f>
        <v>-3148.911744</v>
      </c>
      <c r="P46" s="69" t="n">
        <f aca="false">-P30*Inputs!$B$32</f>
        <v>-3315.899488</v>
      </c>
      <c r="Q46" s="69" t="n">
        <f aca="false">-Q30*Inputs!$B$32</f>
        <v>-3482.887232</v>
      </c>
      <c r="R46" s="69" t="n">
        <f aca="false">-R30*Inputs!$B$32</f>
        <v>-3649.874976</v>
      </c>
      <c r="S46" s="69" t="n">
        <f aca="false">-S30*Inputs!$B$32</f>
        <v>-3816.86272</v>
      </c>
      <c r="T46" s="69" t="n">
        <f aca="false">-T30*Inputs!$B$32</f>
        <v>-3816.86272</v>
      </c>
      <c r="U46" s="69" t="n">
        <f aca="false">-U30*Inputs!$B$32</f>
        <v>-3816.86272</v>
      </c>
      <c r="V46" s="69" t="n">
        <f aca="false">-V30*Inputs!$B$32</f>
        <v>-3816.86272</v>
      </c>
      <c r="W46" s="69" t="n">
        <f aca="false">-W30*Inputs!$B$32</f>
        <v>-3816.86272</v>
      </c>
      <c r="X46" s="69" t="n">
        <f aca="false">-X30*Inputs!$B$32</f>
        <v>-3816.86272</v>
      </c>
      <c r="Y46" s="69" t="n">
        <f aca="false">-Y30*Inputs!$B$32</f>
        <v>-3816.86272</v>
      </c>
      <c r="Z46" s="69" t="n">
        <f aca="false">-Z30*Inputs!$B$32</f>
        <v>-3816.86272</v>
      </c>
      <c r="AA46" s="69" t="n">
        <f aca="false">-AA30*Inputs!$B$32</f>
        <v>-3855.0313472</v>
      </c>
      <c r="AB46" s="69" t="n">
        <f aca="false">-AB30*Inputs!$B$32</f>
        <v>-3855.0313472</v>
      </c>
      <c r="AC46" s="69" t="n">
        <f aca="false">-AC30*Inputs!$B$32</f>
        <v>-3855.0313472</v>
      </c>
      <c r="AD46" s="69" t="n">
        <f aca="false">-AD30*Inputs!$B$32</f>
        <v>-3855.0313472</v>
      </c>
      <c r="AE46" s="69" t="n">
        <f aca="false">-AE30*Inputs!$B$32</f>
        <v>-3855.0313472</v>
      </c>
      <c r="AF46" s="69" t="n">
        <f aca="false">-AF30*Inputs!$B$32</f>
        <v>-3855.0313472</v>
      </c>
      <c r="AG46" s="69" t="n">
        <f aca="false">-AG30*Inputs!$B$32</f>
        <v>-3855.0313472</v>
      </c>
      <c r="AH46" s="69" t="n">
        <f aca="false">-AH30*Inputs!$B$32</f>
        <v>-3855.0313472</v>
      </c>
      <c r="AI46" s="69" t="n">
        <f aca="false">-AI30*Inputs!$B$32</f>
        <v>-3855.0313472</v>
      </c>
      <c r="AJ46" s="69" t="n">
        <f aca="false">-AJ30*Inputs!$B$32</f>
        <v>-3855.0313472</v>
      </c>
      <c r="AK46" s="69" t="n">
        <f aca="false">-AK30*Inputs!$B$32</f>
        <v>-3855.0313472</v>
      </c>
      <c r="AL46" s="69" t="n">
        <f aca="false">-AL30*Inputs!$B$32</f>
        <v>-3855.0313472</v>
      </c>
      <c r="AM46" s="69" t="n">
        <f aca="false">-AM30*Inputs!$B$32</f>
        <v>-3893.581660672</v>
      </c>
      <c r="AN46" s="69" t="n">
        <f aca="false">-AN30*Inputs!$B$32</f>
        <v>-3893.581660672</v>
      </c>
      <c r="AO46" s="69" t="n">
        <f aca="false">-AO30*Inputs!$B$32</f>
        <v>-3893.581660672</v>
      </c>
      <c r="AP46" s="69" t="n">
        <f aca="false">-AP30*Inputs!$B$32</f>
        <v>-3893.581660672</v>
      </c>
      <c r="AQ46" s="69" t="n">
        <f aca="false">-AQ30*Inputs!$B$32</f>
        <v>-3893.581660672</v>
      </c>
      <c r="AR46" s="69" t="n">
        <f aca="false">-AR30*Inputs!$B$32</f>
        <v>-3893.581660672</v>
      </c>
      <c r="AS46" s="69" t="n">
        <f aca="false">-AS30*Inputs!$B$32</f>
        <v>-3893.581660672</v>
      </c>
      <c r="AT46" s="69" t="n">
        <f aca="false">-AT30*Inputs!$B$32</f>
        <v>-3893.581660672</v>
      </c>
      <c r="AU46" s="69" t="n">
        <f aca="false">-AU30*Inputs!$B$32</f>
        <v>-3893.581660672</v>
      </c>
      <c r="AV46" s="69" t="n">
        <f aca="false">-AV30*Inputs!$B$32</f>
        <v>-3893.581660672</v>
      </c>
      <c r="AW46" s="69" t="n">
        <f aca="false">-AW30*Inputs!$B$32</f>
        <v>-3893.581660672</v>
      </c>
      <c r="AX46" s="69" t="n">
        <f aca="false">-AX30*Inputs!$B$32</f>
        <v>-3893.581660672</v>
      </c>
      <c r="AY46" s="69" t="n">
        <f aca="false">-AY30*Inputs!$B$32</f>
        <v>-3932.51747727872</v>
      </c>
      <c r="AZ46" s="69" t="n">
        <f aca="false">-AZ30*Inputs!$B$32</f>
        <v>-3932.51747727872</v>
      </c>
      <c r="BA46" s="69" t="n">
        <f aca="false">-BA30*Inputs!$B$32</f>
        <v>-3932.51747727872</v>
      </c>
      <c r="BB46" s="69" t="n">
        <f aca="false">-BB30*Inputs!$B$32</f>
        <v>-3932.51747727872</v>
      </c>
      <c r="BC46" s="69" t="n">
        <f aca="false">-BC30*Inputs!$B$32</f>
        <v>-3932.51747727872</v>
      </c>
      <c r="BD46" s="69" t="n">
        <f aca="false">-BD30*Inputs!$B$32</f>
        <v>-3932.51747727872</v>
      </c>
      <c r="BE46" s="69" t="n">
        <f aca="false">-BE30*Inputs!$B$32</f>
        <v>-3932.51747727872</v>
      </c>
      <c r="BF46" s="69" t="n">
        <f aca="false">-BF30*Inputs!$B$32</f>
        <v>-3932.51747727872</v>
      </c>
      <c r="BG46" s="69" t="n">
        <f aca="false">-BG30*Inputs!$B$32</f>
        <v>-3932.51747727872</v>
      </c>
      <c r="BH46" s="69" t="n">
        <f aca="false">-BH30*Inputs!$B$32</f>
        <v>-3932.51747727872</v>
      </c>
      <c r="BI46" s="69" t="n">
        <f aca="false">-BI30*Inputs!$B$32</f>
        <v>-3932.51747727872</v>
      </c>
      <c r="BJ46" s="69" t="n">
        <f aca="false">-BJ30*Inputs!$B$32</f>
        <v>-3932.51747727872</v>
      </c>
    </row>
    <row r="47" customFormat="false" ht="15" hidden="false" customHeight="false" outlineLevel="0" collapsed="false">
      <c r="A47" s="115" t="s">
        <v>77</v>
      </c>
      <c r="C47" s="70" t="n">
        <f aca="false">C41+C42+C43+C44+C45+C46</f>
        <v>-57362.8882666667</v>
      </c>
      <c r="D47" s="70" t="n">
        <f aca="false">D41+D42+D43+D44+D45+D46</f>
        <v>-57528.2226666667</v>
      </c>
      <c r="E47" s="70" t="n">
        <f aca="false">E41+E42+E43+E44+E45+E46</f>
        <v>-57693.5570666667</v>
      </c>
      <c r="F47" s="70" t="n">
        <f aca="false">F41+F42+F43+F44+F45+F46</f>
        <v>-57858.8914666667</v>
      </c>
      <c r="G47" s="70" t="n">
        <f aca="false">G41+G42+G43+G44+G45+G46</f>
        <v>-58024.2258666667</v>
      </c>
      <c r="H47" s="70" t="n">
        <f aca="false">H41+H42+H43+H44+H45+H46</f>
        <v>-58189.5602666667</v>
      </c>
      <c r="I47" s="70" t="n">
        <f aca="false">I41+I42+I43+I44+I45+I46</f>
        <v>-58354.8946666667</v>
      </c>
      <c r="J47" s="70" t="n">
        <f aca="false">J41+J42+J43+J44+J45+J46</f>
        <v>-58520.2290666667</v>
      </c>
      <c r="K47" s="70" t="n">
        <f aca="false">K41+K42+K43+K44+K45+K46</f>
        <v>-58685.5634666667</v>
      </c>
      <c r="L47" s="70" t="n">
        <f aca="false">L41+L42+L43+L44+L45+L46</f>
        <v>-58850.8978666667</v>
      </c>
      <c r="M47" s="70" t="n">
        <f aca="false">M41+M42+M43+M44+M45+M46</f>
        <v>-59016.2322666667</v>
      </c>
      <c r="N47" s="70" t="n">
        <f aca="false">N41+N42+N43+N44+N45+N46</f>
        <v>-59181.5666666667</v>
      </c>
      <c r="O47" s="70" t="n">
        <f aca="false">O41+O42+O43+O44+O45+O46</f>
        <v>-59067.2450773333</v>
      </c>
      <c r="P47" s="70" t="n">
        <f aca="false">P41+P42+P43+P44+P45+P46</f>
        <v>-59234.2328213333</v>
      </c>
      <c r="Q47" s="70" t="n">
        <f aca="false">Q41+Q42+Q43+Q44+Q45+Q46</f>
        <v>-59401.2205653333</v>
      </c>
      <c r="R47" s="70" t="n">
        <f aca="false">R41+R42+R43+R44+R45+R46</f>
        <v>-59568.2083093333</v>
      </c>
      <c r="S47" s="70" t="n">
        <f aca="false">S41+S42+S43+S44+S45+S46</f>
        <v>-59735.1960533333</v>
      </c>
      <c r="T47" s="70" t="n">
        <f aca="false">T41+T42+T43+T44+T45+T46</f>
        <v>-59735.1960533333</v>
      </c>
      <c r="U47" s="70" t="n">
        <f aca="false">U41+U42+U43+U44+U45+U46</f>
        <v>-59735.1960533333</v>
      </c>
      <c r="V47" s="70" t="n">
        <f aca="false">V41+V42+V43+V44+V45+V46</f>
        <v>-59735.1960533333</v>
      </c>
      <c r="W47" s="70" t="n">
        <f aca="false">W41+W42+W43+W44+W45+W46</f>
        <v>-59735.1960533333</v>
      </c>
      <c r="X47" s="70" t="n">
        <f aca="false">X41+X42+X43+X44+X45+X46</f>
        <v>-59735.1960533333</v>
      </c>
      <c r="Y47" s="70" t="n">
        <f aca="false">Y41+Y42+Y43+Y44+Y45+Y46</f>
        <v>-59735.1960533333</v>
      </c>
      <c r="Z47" s="70" t="n">
        <f aca="false">Z41+Z42+Z43+Z44+Z45+Z46</f>
        <v>-59735.1960533333</v>
      </c>
      <c r="AA47" s="70" t="n">
        <f aca="false">AA41+AA42+AA43+AA44+AA45+AA46</f>
        <v>-60158.6980138667</v>
      </c>
      <c r="AB47" s="70" t="n">
        <f aca="false">AB41+AB42+AB43+AB44+AB45+AB46</f>
        <v>-60158.6980138667</v>
      </c>
      <c r="AC47" s="70" t="n">
        <f aca="false">AC41+AC42+AC43+AC44+AC45+AC46</f>
        <v>-60158.6980138667</v>
      </c>
      <c r="AD47" s="70" t="n">
        <f aca="false">AD41+AD42+AD43+AD44+AD45+AD46</f>
        <v>-60158.6980138667</v>
      </c>
      <c r="AE47" s="70" t="n">
        <f aca="false">AE41+AE42+AE43+AE44+AE45+AE46</f>
        <v>-60158.6980138667</v>
      </c>
      <c r="AF47" s="70" t="n">
        <f aca="false">AF41+AF42+AF43+AF44+AF45+AF46</f>
        <v>-60158.6980138667</v>
      </c>
      <c r="AG47" s="70" t="n">
        <f aca="false">AG41+AG42+AG43+AG44+AG45+AG46</f>
        <v>-60158.6980138667</v>
      </c>
      <c r="AH47" s="70" t="n">
        <f aca="false">AH41+AH42+AH43+AH44+AH45+AH46</f>
        <v>-60158.6980138667</v>
      </c>
      <c r="AI47" s="70" t="n">
        <f aca="false">AI41+AI42+AI43+AI44+AI45+AI46</f>
        <v>-60158.6980138667</v>
      </c>
      <c r="AJ47" s="70" t="n">
        <f aca="false">AJ41+AJ42+AJ43+AJ44+AJ45+AJ46</f>
        <v>-60158.6980138667</v>
      </c>
      <c r="AK47" s="70" t="n">
        <f aca="false">AK41+AK42+AK43+AK44+AK45+AK46</f>
        <v>-60158.6980138667</v>
      </c>
      <c r="AL47" s="70" t="n">
        <f aca="false">AL41+AL42+AL43+AL44+AL45+AL46</f>
        <v>-60158.6980138667</v>
      </c>
      <c r="AM47" s="70" t="n">
        <f aca="false">AM41+AM42+AM43+AM44+AM45+AM46</f>
        <v>-61092.2329940053</v>
      </c>
      <c r="AN47" s="70" t="n">
        <f aca="false">AN41+AN42+AN43+AN44+AN45+AN46</f>
        <v>-61092.2329940053</v>
      </c>
      <c r="AO47" s="70" t="n">
        <f aca="false">AO41+AO42+AO43+AO44+AO45+AO46</f>
        <v>-61092.2329940053</v>
      </c>
      <c r="AP47" s="70" t="n">
        <f aca="false">AP41+AP42+AP43+AP44+AP45+AP46</f>
        <v>-61092.2329940053</v>
      </c>
      <c r="AQ47" s="70" t="n">
        <f aca="false">AQ41+AQ42+AQ43+AQ44+AQ45+AQ46</f>
        <v>-61092.2329940053</v>
      </c>
      <c r="AR47" s="70" t="n">
        <f aca="false">AR41+AR42+AR43+AR44+AR45+AR46</f>
        <v>-61092.2329940053</v>
      </c>
      <c r="AS47" s="70" t="n">
        <f aca="false">AS41+AS42+AS43+AS44+AS45+AS46</f>
        <v>-61092.2329940053</v>
      </c>
      <c r="AT47" s="70" t="n">
        <f aca="false">AT41+AT42+AT43+AT44+AT45+AT46</f>
        <v>-61092.2329940053</v>
      </c>
      <c r="AU47" s="70" t="n">
        <f aca="false">AU41+AU42+AU43+AU44+AU45+AU46</f>
        <v>-61092.2329940053</v>
      </c>
      <c r="AV47" s="70" t="n">
        <f aca="false">AV41+AV42+AV43+AV44+AV45+AV46</f>
        <v>-61092.2329940053</v>
      </c>
      <c r="AW47" s="70" t="n">
        <f aca="false">AW41+AW42+AW43+AW44+AW45+AW46</f>
        <v>-61092.2329940053</v>
      </c>
      <c r="AX47" s="70" t="n">
        <f aca="false">AX41+AX42+AX43+AX44+AX45+AX46</f>
        <v>-61092.2329940053</v>
      </c>
      <c r="AY47" s="70" t="n">
        <f aca="false">AY41+AY42+AY43+AY44+AY45+AY46</f>
        <v>-62406.0840039454</v>
      </c>
      <c r="AZ47" s="70" t="n">
        <f aca="false">AZ41+AZ42+AZ43+AZ44+AZ45+AZ46</f>
        <v>-62406.0840039454</v>
      </c>
      <c r="BA47" s="70" t="n">
        <f aca="false">BA41+BA42+BA43+BA44+BA45+BA46</f>
        <v>-62406.0840039454</v>
      </c>
      <c r="BB47" s="70" t="n">
        <f aca="false">BB41+BB42+BB43+BB44+BB45+BB46</f>
        <v>-62406.0840039454</v>
      </c>
      <c r="BC47" s="70" t="n">
        <f aca="false">BC41+BC42+BC43+BC44+BC45+BC46</f>
        <v>-62406.0840039454</v>
      </c>
      <c r="BD47" s="70" t="n">
        <f aca="false">BD41+BD42+BD43+BD44+BD45+BD46</f>
        <v>-62406.0840039454</v>
      </c>
      <c r="BE47" s="70" t="n">
        <f aca="false">BE41+BE42+BE43+BE44+BE45+BE46</f>
        <v>-62406.0840039454</v>
      </c>
      <c r="BF47" s="70" t="n">
        <f aca="false">BF41+BF42+BF43+BF44+BF45+BF46</f>
        <v>-62406.0840039454</v>
      </c>
      <c r="BG47" s="70" t="n">
        <f aca="false">BG41+BG42+BG43+BG44+BG45+BG46</f>
        <v>-62406.0840039454</v>
      </c>
      <c r="BH47" s="70" t="n">
        <f aca="false">BH41+BH42+BH43+BH44+BH45+BH46</f>
        <v>-62406.0840039454</v>
      </c>
      <c r="BI47" s="70" t="n">
        <f aca="false">BI41+BI42+BI43+BI44+BI45+BI46</f>
        <v>-62406.0840039454</v>
      </c>
      <c r="BJ47" s="70" t="n">
        <f aca="false">BJ41+BJ42+BJ43+BJ44+BJ45+BJ46</f>
        <v>-62406.0840039454</v>
      </c>
    </row>
    <row r="48" customFormat="false" ht="15" hidden="false" customHeight="false" outlineLevel="0" collapsed="false">
      <c r="A48" s="115" t="s">
        <v>48</v>
      </c>
      <c r="C48" s="70" t="n">
        <f aca="false">C38+C47</f>
        <v>-69367.4882666667</v>
      </c>
      <c r="D48" s="70" t="n">
        <f aca="false">D38+D47</f>
        <v>-65832.9726666667</v>
      </c>
      <c r="E48" s="70" t="n">
        <f aca="false">E38+E47</f>
        <v>-62298.4570666667</v>
      </c>
      <c r="F48" s="70" t="n">
        <f aca="false">F38+F47</f>
        <v>-58763.9414666667</v>
      </c>
      <c r="G48" s="70" t="n">
        <f aca="false">G38+G47</f>
        <v>-55229.4258666667</v>
      </c>
      <c r="H48" s="70" t="n">
        <f aca="false">H38+H47</f>
        <v>-51694.9102666667</v>
      </c>
      <c r="I48" s="70" t="n">
        <f aca="false">I38+I47</f>
        <v>-48160.3946666667</v>
      </c>
      <c r="J48" s="70" t="n">
        <f aca="false">J38+J47</f>
        <v>-44625.8790666667</v>
      </c>
      <c r="K48" s="70" t="n">
        <f aca="false">K38+K47</f>
        <v>-41091.3634666667</v>
      </c>
      <c r="L48" s="70" t="n">
        <f aca="false">L38+L47</f>
        <v>-37556.8478666667</v>
      </c>
      <c r="M48" s="70" t="n">
        <f aca="false">M38+M47</f>
        <v>-34022.3322666667</v>
      </c>
      <c r="N48" s="70" t="n">
        <f aca="false">N38+N47</f>
        <v>-30487.8166666667</v>
      </c>
      <c r="O48" s="70" t="n">
        <f aca="false">O38+O47</f>
        <v>-27470.9590773333</v>
      </c>
      <c r="P48" s="70" t="n">
        <f aca="false">P38+P47</f>
        <v>-23901.0983213333</v>
      </c>
      <c r="Q48" s="70" t="n">
        <f aca="false">Q38+Q47</f>
        <v>-20331.2375653333</v>
      </c>
      <c r="R48" s="70" t="n">
        <f aca="false">R38+R47</f>
        <v>-16761.3768093333</v>
      </c>
      <c r="S48" s="70" t="n">
        <f aca="false">S38+S47</f>
        <v>-13191.5160533333</v>
      </c>
      <c r="T48" s="70" t="n">
        <f aca="false">T38+T47</f>
        <v>-13191.5160533333</v>
      </c>
      <c r="U48" s="70" t="n">
        <f aca="false">U38+U47</f>
        <v>-13191.5160533333</v>
      </c>
      <c r="V48" s="70" t="n">
        <f aca="false">V38+V47</f>
        <v>-13191.5160533333</v>
      </c>
      <c r="W48" s="70" t="n">
        <f aca="false">W38+W47</f>
        <v>-13191.5160533333</v>
      </c>
      <c r="X48" s="70" t="n">
        <f aca="false">X38+X47</f>
        <v>-13191.5160533333</v>
      </c>
      <c r="Y48" s="70" t="n">
        <f aca="false">Y38+Y47</f>
        <v>-13191.5160533333</v>
      </c>
      <c r="Z48" s="70" t="n">
        <f aca="false">Z38+Z47</f>
        <v>-13191.5160533333</v>
      </c>
      <c r="AA48" s="70" t="n">
        <f aca="false">AA38+AA47</f>
        <v>-14315.6812138667</v>
      </c>
      <c r="AB48" s="70" t="n">
        <f aca="false">AB38+AB47</f>
        <v>-14315.6812138667</v>
      </c>
      <c r="AC48" s="70" t="n">
        <f aca="false">AC38+AC47</f>
        <v>-14315.6812138667</v>
      </c>
      <c r="AD48" s="70" t="n">
        <f aca="false">AD38+AD47</f>
        <v>-14315.6812138667</v>
      </c>
      <c r="AE48" s="70" t="n">
        <f aca="false">AE38+AE47</f>
        <v>-14315.6812138667</v>
      </c>
      <c r="AF48" s="70" t="n">
        <f aca="false">AF38+AF47</f>
        <v>-14315.6812138667</v>
      </c>
      <c r="AG48" s="70" t="n">
        <f aca="false">AG38+AG47</f>
        <v>-14315.6812138667</v>
      </c>
      <c r="AH48" s="70" t="n">
        <f aca="false">AH38+AH47</f>
        <v>-14315.6812138667</v>
      </c>
      <c r="AI48" s="70" t="n">
        <f aca="false">AI38+AI47</f>
        <v>-14315.6812138667</v>
      </c>
      <c r="AJ48" s="70" t="n">
        <f aca="false">AJ38+AJ47</f>
        <v>-14315.6812138667</v>
      </c>
      <c r="AK48" s="70" t="n">
        <f aca="false">AK38+AK47</f>
        <v>-14315.6812138667</v>
      </c>
      <c r="AL48" s="70" t="n">
        <f aca="false">AL38+AL47</f>
        <v>-14315.6812138667</v>
      </c>
      <c r="AM48" s="70" t="n">
        <f aca="false">AM38+AM47</f>
        <v>-16003.5300260053</v>
      </c>
      <c r="AN48" s="70" t="n">
        <f aca="false">AN38+AN47</f>
        <v>-16003.5300260053</v>
      </c>
      <c r="AO48" s="70" t="n">
        <f aca="false">AO38+AO47</f>
        <v>-16003.5300260053</v>
      </c>
      <c r="AP48" s="70" t="n">
        <f aca="false">AP38+AP47</f>
        <v>-16003.5300260053</v>
      </c>
      <c r="AQ48" s="70" t="n">
        <f aca="false">AQ38+AQ47</f>
        <v>-16003.5300260053</v>
      </c>
      <c r="AR48" s="70" t="n">
        <f aca="false">AR38+AR47</f>
        <v>-16003.5300260053</v>
      </c>
      <c r="AS48" s="70" t="n">
        <f aca="false">AS38+AS47</f>
        <v>-16003.5300260053</v>
      </c>
      <c r="AT48" s="70" t="n">
        <f aca="false">AT38+AT47</f>
        <v>-16003.5300260053</v>
      </c>
      <c r="AU48" s="70" t="n">
        <f aca="false">AU38+AU47</f>
        <v>-16003.5300260053</v>
      </c>
      <c r="AV48" s="70" t="n">
        <f aca="false">AV38+AV47</f>
        <v>-16003.5300260053</v>
      </c>
      <c r="AW48" s="70" t="n">
        <f aca="false">AW38+AW47</f>
        <v>-16003.5300260053</v>
      </c>
      <c r="AX48" s="70" t="n">
        <f aca="false">AX38+AX47</f>
        <v>-16003.5300260053</v>
      </c>
      <c r="AY48" s="70" t="n">
        <f aca="false">AY38+AY47</f>
        <v>-18127.7477662654</v>
      </c>
      <c r="AZ48" s="70" t="n">
        <f aca="false">AZ38+AZ47</f>
        <v>-18127.7477662654</v>
      </c>
      <c r="BA48" s="70" t="n">
        <f aca="false">BA38+BA47</f>
        <v>-18127.7477662654</v>
      </c>
      <c r="BB48" s="70" t="n">
        <f aca="false">BB38+BB47</f>
        <v>-18127.7477662654</v>
      </c>
      <c r="BC48" s="70" t="n">
        <f aca="false">BC38+BC47</f>
        <v>-18127.7477662654</v>
      </c>
      <c r="BD48" s="70" t="n">
        <f aca="false">BD38+BD47</f>
        <v>-18127.7477662654</v>
      </c>
      <c r="BE48" s="70" t="n">
        <f aca="false">BE38+BE47</f>
        <v>-18127.7477662654</v>
      </c>
      <c r="BF48" s="70" t="n">
        <f aca="false">BF38+BF47</f>
        <v>-18127.7477662654</v>
      </c>
      <c r="BG48" s="70" t="n">
        <f aca="false">BG38+BG47</f>
        <v>-18127.7477662654</v>
      </c>
      <c r="BH48" s="70" t="n">
        <f aca="false">BH38+BH47</f>
        <v>-18127.7477662654</v>
      </c>
      <c r="BI48" s="70" t="n">
        <f aca="false">BI38+BI47</f>
        <v>-18127.7477662654</v>
      </c>
      <c r="BJ48" s="70" t="n">
        <f aca="false">BJ38+BJ47</f>
        <v>-18127.7477662654</v>
      </c>
    </row>
    <row r="50" customFormat="false" ht="15.75" hidden="false" customHeight="true" outlineLevel="0" collapsed="false">
      <c r="A50" s="7" t="s">
        <v>425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customFormat="false" ht="15" hidden="false" customHeight="false" outlineLevel="0" collapsed="false">
      <c r="A51" s="4" t="s">
        <v>79</v>
      </c>
      <c r="C51" s="75" t="n">
        <f aca="false">C48+C68</f>
        <v>-73346.6549333333</v>
      </c>
      <c r="D51" s="75" t="n">
        <f aca="false">D48+D68</f>
        <v>-69812.1393333333</v>
      </c>
      <c r="E51" s="75" t="n">
        <f aca="false">E48+E68</f>
        <v>-66277.6237333333</v>
      </c>
      <c r="F51" s="75" t="n">
        <f aca="false">F48+F68</f>
        <v>-62743.1081333334</v>
      </c>
      <c r="G51" s="75" t="n">
        <f aca="false">G48+G68</f>
        <v>-59208.5925333333</v>
      </c>
      <c r="H51" s="75" t="n">
        <f aca="false">H48+H68</f>
        <v>-55674.0769333333</v>
      </c>
      <c r="I51" s="75" t="n">
        <f aca="false">I48+I68</f>
        <v>-52139.5613333333</v>
      </c>
      <c r="J51" s="75" t="n">
        <f aca="false">J48+J68</f>
        <v>-48605.0457333333</v>
      </c>
      <c r="K51" s="75" t="n">
        <f aca="false">K48+K68</f>
        <v>-45070.5301333334</v>
      </c>
      <c r="L51" s="75" t="n">
        <f aca="false">L48+L68</f>
        <v>-41536.0145333333</v>
      </c>
      <c r="M51" s="75" t="n">
        <f aca="false">M48+M68</f>
        <v>-38001.4989333333</v>
      </c>
      <c r="N51" s="75" t="n">
        <f aca="false">N48+N68</f>
        <v>-34466.9833333333</v>
      </c>
      <c r="O51" s="75" t="n">
        <f aca="false">O48+O68</f>
        <v>-31658.4590773333</v>
      </c>
      <c r="P51" s="75" t="n">
        <f aca="false">P48+P68</f>
        <v>-28088.5983213333</v>
      </c>
      <c r="Q51" s="75" t="n">
        <f aca="false">Q48+Q68</f>
        <v>-24518.7375653333</v>
      </c>
      <c r="R51" s="75" t="n">
        <f aca="false">R48+R68</f>
        <v>-20948.8768093333</v>
      </c>
      <c r="S51" s="75" t="n">
        <f aca="false">S48+S68</f>
        <v>-17379.0160533333</v>
      </c>
      <c r="T51" s="75" t="n">
        <f aca="false">T48+T68</f>
        <v>-17379.0160533333</v>
      </c>
      <c r="U51" s="75" t="n">
        <f aca="false">U48+U68</f>
        <v>-17379.0160533333</v>
      </c>
      <c r="V51" s="75" t="n">
        <f aca="false">V48+V68</f>
        <v>-17379.0160533333</v>
      </c>
      <c r="W51" s="75" t="n">
        <f aca="false">W48+W68</f>
        <v>-17379.0160533333</v>
      </c>
      <c r="X51" s="75" t="n">
        <f aca="false">X48+X68</f>
        <v>-17379.0160533333</v>
      </c>
      <c r="Y51" s="75" t="n">
        <f aca="false">Y48+Y68</f>
        <v>-17379.0160533333</v>
      </c>
      <c r="Z51" s="75" t="n">
        <f aca="false">Z48+Z68</f>
        <v>-17379.0160533333</v>
      </c>
      <c r="AA51" s="75" t="n">
        <f aca="false">AA48+AA68</f>
        <v>-18711.5145472</v>
      </c>
      <c r="AB51" s="75" t="n">
        <f aca="false">AB48+AB68</f>
        <v>-18711.5145472</v>
      </c>
      <c r="AC51" s="75" t="n">
        <f aca="false">AC48+AC68</f>
        <v>-18711.5145472</v>
      </c>
      <c r="AD51" s="75" t="n">
        <f aca="false">AD48+AD68</f>
        <v>-18711.5145472</v>
      </c>
      <c r="AE51" s="75" t="n">
        <f aca="false">AE48+AE68</f>
        <v>-18711.5145472</v>
      </c>
      <c r="AF51" s="75" t="n">
        <f aca="false">AF48+AF68</f>
        <v>-18711.5145472</v>
      </c>
      <c r="AG51" s="75" t="n">
        <f aca="false">AG48+AG68</f>
        <v>-18711.5145472</v>
      </c>
      <c r="AH51" s="75" t="n">
        <f aca="false">AH48+AH68</f>
        <v>-18711.5145472</v>
      </c>
      <c r="AI51" s="75" t="n">
        <f aca="false">AI48+AI68</f>
        <v>-18711.5145472</v>
      </c>
      <c r="AJ51" s="75" t="n">
        <f aca="false">AJ48+AJ68</f>
        <v>-18711.5145472</v>
      </c>
      <c r="AK51" s="75" t="n">
        <f aca="false">AK48+AK68</f>
        <v>-18711.5145472</v>
      </c>
      <c r="AL51" s="75" t="n">
        <f aca="false">AL48+AL68</f>
        <v>-18711.5145472</v>
      </c>
      <c r="AM51" s="75" t="n">
        <f aca="false">AM48+AM68</f>
        <v>-20607.696692672</v>
      </c>
      <c r="AN51" s="75" t="n">
        <f aca="false">AN48+AN68</f>
        <v>-20607.696692672</v>
      </c>
      <c r="AO51" s="75" t="n">
        <f aca="false">AO48+AO68</f>
        <v>-20607.696692672</v>
      </c>
      <c r="AP51" s="75" t="n">
        <f aca="false">AP48+AP68</f>
        <v>-20607.696692672</v>
      </c>
      <c r="AQ51" s="75" t="n">
        <f aca="false">AQ48+AQ68</f>
        <v>-20607.696692672</v>
      </c>
      <c r="AR51" s="75" t="n">
        <f aca="false">AR48+AR68</f>
        <v>-20607.696692672</v>
      </c>
      <c r="AS51" s="75" t="n">
        <f aca="false">AS48+AS68</f>
        <v>-20607.696692672</v>
      </c>
      <c r="AT51" s="75" t="n">
        <f aca="false">AT48+AT68</f>
        <v>-20607.696692672</v>
      </c>
      <c r="AU51" s="75" t="n">
        <f aca="false">AU48+AU68</f>
        <v>-20607.696692672</v>
      </c>
      <c r="AV51" s="75" t="n">
        <f aca="false">AV48+AV68</f>
        <v>-20607.696692672</v>
      </c>
      <c r="AW51" s="75" t="n">
        <f aca="false">AW48+AW68</f>
        <v>-20607.696692672</v>
      </c>
      <c r="AX51" s="75" t="n">
        <f aca="false">AX48+AX68</f>
        <v>-20607.696692672</v>
      </c>
      <c r="AY51" s="75" t="n">
        <f aca="false">AY48+AY68</f>
        <v>-22940.2477662654</v>
      </c>
      <c r="AZ51" s="75" t="n">
        <f aca="false">AZ48+AZ68</f>
        <v>-22940.2477662654</v>
      </c>
      <c r="BA51" s="75" t="n">
        <f aca="false">BA48+BA68</f>
        <v>-22940.2477662654</v>
      </c>
      <c r="BB51" s="75" t="n">
        <f aca="false">BB48+BB68</f>
        <v>-22940.2477662654</v>
      </c>
      <c r="BC51" s="75" t="n">
        <f aca="false">BC48+BC68</f>
        <v>-22940.2477662654</v>
      </c>
      <c r="BD51" s="75" t="n">
        <f aca="false">BD48+BD68</f>
        <v>-22940.2477662654</v>
      </c>
      <c r="BE51" s="75" t="n">
        <f aca="false">BE48+BE68</f>
        <v>-22940.2477662654</v>
      </c>
      <c r="BF51" s="75" t="n">
        <f aca="false">BF48+BF68</f>
        <v>-22940.2477662654</v>
      </c>
      <c r="BG51" s="75" t="n">
        <f aca="false">BG48+BG68</f>
        <v>-22940.2477662654</v>
      </c>
      <c r="BH51" s="75" t="n">
        <f aca="false">BH48+BH68</f>
        <v>-22940.2477662654</v>
      </c>
      <c r="BI51" s="75" t="n">
        <f aca="false">BI48+BI68</f>
        <v>-22940.2477662654</v>
      </c>
      <c r="BJ51" s="75" t="n">
        <f aca="false">BJ48+BJ68</f>
        <v>-22940.2477662654</v>
      </c>
    </row>
    <row r="52" customFormat="false" ht="15" hidden="false" customHeight="false" outlineLevel="0" collapsed="false">
      <c r="A52" s="6" t="s">
        <v>426</v>
      </c>
      <c r="C52" s="69" t="n">
        <f aca="false">-(C73+C74+C76)/2*Inputs!$B$69/12</f>
        <v>-1875</v>
      </c>
      <c r="D52" s="69" t="n">
        <f aca="false">-(D73+D74+D76)/2*Inputs!$B$69/12</f>
        <v>-1863.83928571429</v>
      </c>
      <c r="E52" s="69" t="n">
        <f aca="false">-(E73+E74+E76)/2*Inputs!$B$69/12</f>
        <v>-1841.51785714286</v>
      </c>
      <c r="F52" s="69" t="n">
        <f aca="false">-(F73+F74+F76)/2*Inputs!$B$69/12</f>
        <v>-1819.19642857143</v>
      </c>
      <c r="G52" s="69" t="n">
        <f aca="false">-(G73+G74+G76)/2*Inputs!$B$69/12</f>
        <v>-1796.875</v>
      </c>
      <c r="H52" s="69" t="n">
        <f aca="false">-(H73+H74+H76)/2*Inputs!$B$69/12</f>
        <v>-1774.55357142857</v>
      </c>
      <c r="I52" s="69" t="n">
        <f aca="false">-(I73+I74+I76)/2*Inputs!$B$69/12</f>
        <v>-1752.23214285714</v>
      </c>
      <c r="J52" s="69" t="n">
        <f aca="false">-(J73+J74+J76)/2*Inputs!$B$69/12</f>
        <v>-1729.91071428571</v>
      </c>
      <c r="K52" s="69" t="n">
        <f aca="false">-(K73+K74+K76)/2*Inputs!$B$69/12</f>
        <v>-1707.58928571429</v>
      </c>
      <c r="L52" s="69" t="n">
        <f aca="false">-(L73+L74+L76)/2*Inputs!$B$69/12</f>
        <v>-1685.26785714286</v>
      </c>
      <c r="M52" s="69" t="n">
        <f aca="false">-(M73+M74+M76)/2*Inputs!$B$69/12</f>
        <v>-1662.94642857143</v>
      </c>
      <c r="N52" s="69" t="n">
        <f aca="false">-(N73+N74+N76)/2*Inputs!$B$69/12</f>
        <v>-1640.625</v>
      </c>
      <c r="O52" s="69" t="n">
        <f aca="false">-(O73+O74+O76)/2*Inputs!$B$69/12</f>
        <v>-1618.30357142857</v>
      </c>
      <c r="P52" s="69" t="n">
        <f aca="false">-(P73+P74+P76)/2*Inputs!$B$69/12</f>
        <v>-1595.98214285714</v>
      </c>
      <c r="Q52" s="69" t="n">
        <f aca="false">-(Q73+Q74+Q76)/2*Inputs!$B$69/12</f>
        <v>-1573.66071428571</v>
      </c>
      <c r="R52" s="69" t="n">
        <f aca="false">-(R73+R74+R76)/2*Inputs!$B$69/12</f>
        <v>-1551.33928571429</v>
      </c>
      <c r="S52" s="69" t="n">
        <f aca="false">-(S73+S74+S76)/2*Inputs!$B$69/12</f>
        <v>-1529.01785714286</v>
      </c>
      <c r="T52" s="69" t="n">
        <f aca="false">-(T73+T74+T76)/2*Inputs!$B$69/12</f>
        <v>-1506.69642857143</v>
      </c>
      <c r="U52" s="69" t="n">
        <f aca="false">-(U73+U74+U76)/2*Inputs!$B$69/12</f>
        <v>-1484.375</v>
      </c>
      <c r="V52" s="69" t="n">
        <f aca="false">-(V73+V74+V76)/2*Inputs!$B$69/12</f>
        <v>-1462.05357142857</v>
      </c>
      <c r="W52" s="69" t="n">
        <f aca="false">-(W73+W74+W76)/2*Inputs!$B$69/12</f>
        <v>-1439.73214285714</v>
      </c>
      <c r="X52" s="69" t="n">
        <f aca="false">-(X73+X74+X76)/2*Inputs!$B$69/12</f>
        <v>-1417.41071428571</v>
      </c>
      <c r="Y52" s="69" t="n">
        <f aca="false">-(Y73+Y74+Y76)/2*Inputs!$B$69/12</f>
        <v>-1395.08928571429</v>
      </c>
      <c r="Z52" s="69" t="n">
        <f aca="false">-(Z73+Z74+Z76)/2*Inputs!$B$69/12</f>
        <v>-1372.76785714286</v>
      </c>
      <c r="AA52" s="69" t="n">
        <f aca="false">-(AA73+AA74+AA76)/2*Inputs!$B$69/12</f>
        <v>-1350.44642857143</v>
      </c>
      <c r="AB52" s="69" t="n">
        <f aca="false">-(AB73+AB74+AB76)/2*Inputs!$B$69/12</f>
        <v>-1328.125</v>
      </c>
      <c r="AC52" s="69" t="n">
        <f aca="false">-(AC73+AC74+AC76)/2*Inputs!$B$69/12</f>
        <v>-1305.80357142857</v>
      </c>
      <c r="AD52" s="69" t="n">
        <f aca="false">-(AD73+AD74+AD76)/2*Inputs!$B$69/12</f>
        <v>-1283.48214285714</v>
      </c>
      <c r="AE52" s="69" t="n">
        <f aca="false">-(AE73+AE74+AE76)/2*Inputs!$B$69/12</f>
        <v>-1261.16071428572</v>
      </c>
      <c r="AF52" s="69" t="n">
        <f aca="false">-(AF73+AF74+AF76)/2*Inputs!$B$69/12</f>
        <v>-1238.83928571429</v>
      </c>
      <c r="AG52" s="69" t="n">
        <f aca="false">-(AG73+AG74+AG76)/2*Inputs!$B$69/12</f>
        <v>-1216.51785714286</v>
      </c>
      <c r="AH52" s="69" t="n">
        <f aca="false">-(AH73+AH74+AH76)/2*Inputs!$B$69/12</f>
        <v>-1194.19642857143</v>
      </c>
      <c r="AI52" s="69" t="n">
        <f aca="false">-(AI73+AI74+AI76)/2*Inputs!$B$69/12</f>
        <v>-1171.875</v>
      </c>
      <c r="AJ52" s="69" t="n">
        <f aca="false">-(AJ73+AJ74+AJ76)/2*Inputs!$B$69/12</f>
        <v>-1149.55357142857</v>
      </c>
      <c r="AK52" s="69" t="n">
        <f aca="false">-(AK73+AK74+AK76)/2*Inputs!$B$69/12</f>
        <v>-1127.23214285714</v>
      </c>
      <c r="AL52" s="69" t="n">
        <f aca="false">-(AL73+AL74+AL76)/2*Inputs!$B$69/12</f>
        <v>-1104.91071428572</v>
      </c>
      <c r="AM52" s="69" t="n">
        <f aca="false">-(AM73+AM74+AM76)/2*Inputs!$B$69/12</f>
        <v>-1082.58928571429</v>
      </c>
      <c r="AN52" s="69" t="n">
        <f aca="false">-(AN73+AN74+AN76)/2*Inputs!$B$69/12</f>
        <v>-1060.26785714286</v>
      </c>
      <c r="AO52" s="69" t="n">
        <f aca="false">-(AO73+AO74+AO76)/2*Inputs!$B$69/12</f>
        <v>-1037.94642857143</v>
      </c>
      <c r="AP52" s="69" t="n">
        <f aca="false">-(AP73+AP74+AP76)/2*Inputs!$B$69/12</f>
        <v>-1015.625</v>
      </c>
      <c r="AQ52" s="69" t="n">
        <f aca="false">-(AQ73+AQ74+AQ76)/2*Inputs!$B$69/12</f>
        <v>-993.303571428572</v>
      </c>
      <c r="AR52" s="69" t="n">
        <f aca="false">-(AR73+AR74+AR76)/2*Inputs!$B$69/12</f>
        <v>-970.982142857144</v>
      </c>
      <c r="AS52" s="69" t="n">
        <f aca="false">-(AS73+AS74+AS76)/2*Inputs!$B$69/12</f>
        <v>-948.660714285715</v>
      </c>
      <c r="AT52" s="69" t="n">
        <f aca="false">-(AT73+AT74+AT76)/2*Inputs!$B$69/12</f>
        <v>-926.339285714287</v>
      </c>
      <c r="AU52" s="69" t="n">
        <f aca="false">-(AU73+AU74+AU76)/2*Inputs!$B$69/12</f>
        <v>-904.017857142858</v>
      </c>
      <c r="AV52" s="69" t="n">
        <f aca="false">-(AV73+AV74+AV76)/2*Inputs!$B$69/12</f>
        <v>-881.69642857143</v>
      </c>
      <c r="AW52" s="69" t="n">
        <f aca="false">-(AW73+AW74+AW76)/2*Inputs!$B$69/12</f>
        <v>-859.375000000001</v>
      </c>
      <c r="AX52" s="69" t="n">
        <f aca="false">-(AX73+AX74+AX76)/2*Inputs!$B$69/12</f>
        <v>-837.053571428572</v>
      </c>
      <c r="AY52" s="69" t="n">
        <f aca="false">-(AY73+AY74+AY76)/2*Inputs!$B$69/12</f>
        <v>-814.732142857144</v>
      </c>
      <c r="AZ52" s="69" t="n">
        <f aca="false">-(AZ73+AZ74+AZ76)/2*Inputs!$B$69/12</f>
        <v>-792.410714285715</v>
      </c>
      <c r="BA52" s="69" t="n">
        <f aca="false">-(BA73+BA74+BA76)/2*Inputs!$B$69/12</f>
        <v>-770.089285714287</v>
      </c>
      <c r="BB52" s="69" t="n">
        <f aca="false">-(BB73+BB74+BB76)/2*Inputs!$B$69/12</f>
        <v>-747.767857142858</v>
      </c>
      <c r="BC52" s="69" t="n">
        <f aca="false">-(BC73+BC74+BC76)/2*Inputs!$B$69/12</f>
        <v>-725.44642857143</v>
      </c>
      <c r="BD52" s="69" t="n">
        <f aca="false">-(BD73+BD74+BD76)/2*Inputs!$B$69/12</f>
        <v>-703.125000000001</v>
      </c>
      <c r="BE52" s="69" t="n">
        <f aca="false">-(BE73+BE74+BE76)/2*Inputs!$B$69/12</f>
        <v>-680.803571428573</v>
      </c>
      <c r="BF52" s="69" t="n">
        <f aca="false">-(BF73+BF74+BF76)/2*Inputs!$B$69/12</f>
        <v>-658.482142857144</v>
      </c>
      <c r="BG52" s="69" t="n">
        <f aca="false">-(BG73+BG74+BG76)/2*Inputs!$B$69/12</f>
        <v>-636.160714285716</v>
      </c>
      <c r="BH52" s="69" t="n">
        <f aca="false">-(BH73+BH74+BH76)/2*Inputs!$B$69/12</f>
        <v>-613.839285714287</v>
      </c>
      <c r="BI52" s="69" t="n">
        <f aca="false">-(BI73+BI74+BI76)/2*Inputs!$B$69/12</f>
        <v>-591.517857142858</v>
      </c>
      <c r="BJ52" s="69" t="n">
        <f aca="false">-(BJ73+BJ74+BJ76)/2*Inputs!$B$69/12</f>
        <v>-569.19642857143</v>
      </c>
    </row>
    <row r="53" customFormat="false" ht="15" hidden="false" customHeight="false" outlineLevel="0" collapsed="false">
      <c r="A53" s="115" t="s">
        <v>81</v>
      </c>
      <c r="C53" s="70" t="n">
        <f aca="false">C51+C52</f>
        <v>-75221.6549333333</v>
      </c>
      <c r="D53" s="70" t="n">
        <f aca="false">D51+D52</f>
        <v>-71675.9786190476</v>
      </c>
      <c r="E53" s="70" t="n">
        <f aca="false">E51+E52</f>
        <v>-68119.1415904762</v>
      </c>
      <c r="F53" s="70" t="n">
        <f aca="false">F51+F52</f>
        <v>-64562.3045619048</v>
      </c>
      <c r="G53" s="70" t="n">
        <f aca="false">G51+G52</f>
        <v>-61005.4675333333</v>
      </c>
      <c r="H53" s="70" t="n">
        <f aca="false">H51+H52</f>
        <v>-57448.6305047619</v>
      </c>
      <c r="I53" s="70" t="n">
        <f aca="false">I51+I52</f>
        <v>-53891.7934761905</v>
      </c>
      <c r="J53" s="70" t="n">
        <f aca="false">J51+J52</f>
        <v>-50334.9564476191</v>
      </c>
      <c r="K53" s="70" t="n">
        <f aca="false">K51+K52</f>
        <v>-46778.1194190476</v>
      </c>
      <c r="L53" s="70" t="n">
        <f aca="false">L51+L52</f>
        <v>-43221.2823904762</v>
      </c>
      <c r="M53" s="70" t="n">
        <f aca="false">M51+M52</f>
        <v>-39664.4453619048</v>
      </c>
      <c r="N53" s="70" t="n">
        <f aca="false">N51+N52</f>
        <v>-36107.6083333333</v>
      </c>
      <c r="O53" s="70" t="n">
        <f aca="false">O51+O52</f>
        <v>-33276.7626487619</v>
      </c>
      <c r="P53" s="70" t="n">
        <f aca="false">P51+P52</f>
        <v>-29684.5804641905</v>
      </c>
      <c r="Q53" s="70" t="n">
        <f aca="false">Q51+Q52</f>
        <v>-26092.3982796191</v>
      </c>
      <c r="R53" s="70" t="n">
        <f aca="false">R51+R52</f>
        <v>-22500.2160950476</v>
      </c>
      <c r="S53" s="70" t="n">
        <f aca="false">S51+S52</f>
        <v>-18908.0339104762</v>
      </c>
      <c r="T53" s="70" t="n">
        <f aca="false">T51+T52</f>
        <v>-18885.7124819048</v>
      </c>
      <c r="U53" s="70" t="n">
        <f aca="false">U51+U52</f>
        <v>-18863.3910533333</v>
      </c>
      <c r="V53" s="70" t="n">
        <f aca="false">V51+V52</f>
        <v>-18841.0696247619</v>
      </c>
      <c r="W53" s="70" t="n">
        <f aca="false">W51+W52</f>
        <v>-18818.7481961905</v>
      </c>
      <c r="X53" s="70" t="n">
        <f aca="false">X51+X52</f>
        <v>-18796.4267676191</v>
      </c>
      <c r="Y53" s="70" t="n">
        <f aca="false">Y51+Y52</f>
        <v>-18774.1053390476</v>
      </c>
      <c r="Z53" s="70" t="n">
        <f aca="false">Z51+Z52</f>
        <v>-18751.7839104762</v>
      </c>
      <c r="AA53" s="70" t="n">
        <f aca="false">AA51+AA52</f>
        <v>-20061.9609757714</v>
      </c>
      <c r="AB53" s="70" t="n">
        <f aca="false">AB51+AB52</f>
        <v>-20039.6395472</v>
      </c>
      <c r="AC53" s="70" t="n">
        <f aca="false">AC51+AC52</f>
        <v>-20017.3181186286</v>
      </c>
      <c r="AD53" s="70" t="n">
        <f aca="false">AD51+AD52</f>
        <v>-19994.9966900571</v>
      </c>
      <c r="AE53" s="70" t="n">
        <f aca="false">AE51+AE52</f>
        <v>-19972.6752614857</v>
      </c>
      <c r="AF53" s="70" t="n">
        <f aca="false">AF51+AF52</f>
        <v>-19950.3538329143</v>
      </c>
      <c r="AG53" s="70" t="n">
        <f aca="false">AG51+AG52</f>
        <v>-19928.0324043429</v>
      </c>
      <c r="AH53" s="70" t="n">
        <f aca="false">AH51+AH52</f>
        <v>-19905.7109757714</v>
      </c>
      <c r="AI53" s="70" t="n">
        <f aca="false">AI51+AI52</f>
        <v>-19883.3895472</v>
      </c>
      <c r="AJ53" s="70" t="n">
        <f aca="false">AJ51+AJ52</f>
        <v>-19861.0681186286</v>
      </c>
      <c r="AK53" s="70" t="n">
        <f aca="false">AK51+AK52</f>
        <v>-19838.7466900571</v>
      </c>
      <c r="AL53" s="70" t="n">
        <f aca="false">AL51+AL52</f>
        <v>-19816.4252614857</v>
      </c>
      <c r="AM53" s="70" t="n">
        <f aca="false">AM51+AM52</f>
        <v>-21690.2859783863</v>
      </c>
      <c r="AN53" s="70" t="n">
        <f aca="false">AN51+AN52</f>
        <v>-21667.9645498149</v>
      </c>
      <c r="AO53" s="70" t="n">
        <f aca="false">AO51+AO52</f>
        <v>-21645.6431212434</v>
      </c>
      <c r="AP53" s="70" t="n">
        <f aca="false">AP51+AP52</f>
        <v>-21623.321692672</v>
      </c>
      <c r="AQ53" s="70" t="n">
        <f aca="false">AQ51+AQ52</f>
        <v>-21601.0002641006</v>
      </c>
      <c r="AR53" s="70" t="n">
        <f aca="false">AR51+AR52</f>
        <v>-21578.6788355291</v>
      </c>
      <c r="AS53" s="70" t="n">
        <f aca="false">AS51+AS52</f>
        <v>-21556.3574069577</v>
      </c>
      <c r="AT53" s="70" t="n">
        <f aca="false">AT51+AT52</f>
        <v>-21534.0359783863</v>
      </c>
      <c r="AU53" s="70" t="n">
        <f aca="false">AU51+AU52</f>
        <v>-21511.7145498149</v>
      </c>
      <c r="AV53" s="70" t="n">
        <f aca="false">AV51+AV52</f>
        <v>-21489.3931212434</v>
      </c>
      <c r="AW53" s="70" t="n">
        <f aca="false">AW51+AW52</f>
        <v>-21467.071692672</v>
      </c>
      <c r="AX53" s="70" t="n">
        <f aca="false">AX51+AX52</f>
        <v>-21444.7502641006</v>
      </c>
      <c r="AY53" s="70" t="n">
        <f aca="false">AY51+AY52</f>
        <v>-23754.9799091225</v>
      </c>
      <c r="AZ53" s="70" t="n">
        <f aca="false">AZ51+AZ52</f>
        <v>-23732.6584805511</v>
      </c>
      <c r="BA53" s="70" t="n">
        <f aca="false">BA51+BA52</f>
        <v>-23710.3370519797</v>
      </c>
      <c r="BB53" s="70" t="n">
        <f aca="false">BB51+BB52</f>
        <v>-23688.0156234083</v>
      </c>
      <c r="BC53" s="70" t="n">
        <f aca="false">BC51+BC52</f>
        <v>-23665.6941948368</v>
      </c>
      <c r="BD53" s="70" t="n">
        <f aca="false">BD51+BD52</f>
        <v>-23643.3727662654</v>
      </c>
      <c r="BE53" s="70" t="n">
        <f aca="false">BE51+BE52</f>
        <v>-23621.051337694</v>
      </c>
      <c r="BF53" s="70" t="n">
        <f aca="false">BF51+BF52</f>
        <v>-23598.7299091225</v>
      </c>
      <c r="BG53" s="70" t="n">
        <f aca="false">BG51+BG52</f>
        <v>-23576.4084805511</v>
      </c>
      <c r="BH53" s="70" t="n">
        <f aca="false">BH51+BH52</f>
        <v>-23554.0870519797</v>
      </c>
      <c r="BI53" s="70" t="n">
        <f aca="false">BI51+BI52</f>
        <v>-23531.7656234083</v>
      </c>
      <c r="BJ53" s="70" t="n">
        <f aca="false">BJ51+BJ52</f>
        <v>-23509.4441948368</v>
      </c>
    </row>
    <row r="54" customFormat="false" ht="15" hidden="false" customHeight="false" outlineLevel="0" collapsed="false">
      <c r="A54" s="118" t="s">
        <v>427</v>
      </c>
      <c r="C54" s="69" t="n">
        <f aca="false">C53</f>
        <v>-75221.6549333333</v>
      </c>
      <c r="D54" s="69" t="n">
        <f aca="false">C54+D53</f>
        <v>-146897.633552381</v>
      </c>
      <c r="E54" s="69" t="n">
        <f aca="false">D54+E53</f>
        <v>-215016.775142857</v>
      </c>
      <c r="F54" s="69" t="n">
        <f aca="false">E54+F53</f>
        <v>-279579.079704762</v>
      </c>
      <c r="G54" s="69" t="n">
        <f aca="false">F54+G53</f>
        <v>-340584.547238095</v>
      </c>
      <c r="H54" s="69" t="n">
        <f aca="false">G54+H53</f>
        <v>-398033.177742857</v>
      </c>
      <c r="I54" s="69" t="n">
        <f aca="false">H54+I53</f>
        <v>-451924.971219048</v>
      </c>
      <c r="J54" s="69" t="n">
        <f aca="false">I54+J53</f>
        <v>-502259.927666667</v>
      </c>
      <c r="K54" s="69" t="n">
        <f aca="false">J54+K53</f>
        <v>-549038.047085714</v>
      </c>
      <c r="L54" s="69" t="n">
        <f aca="false">K54+L53</f>
        <v>-592259.329476191</v>
      </c>
      <c r="M54" s="69" t="n">
        <f aca="false">L54+M53</f>
        <v>-631923.774838095</v>
      </c>
      <c r="N54" s="69" t="n">
        <f aca="false">M54+N53</f>
        <v>-668031.383171429</v>
      </c>
      <c r="O54" s="69" t="n">
        <f aca="false">N54+O53</f>
        <v>-701308.145820191</v>
      </c>
      <c r="P54" s="69" t="n">
        <f aca="false">O54+P53</f>
        <v>-730992.726284381</v>
      </c>
      <c r="Q54" s="69" t="n">
        <f aca="false">P54+Q53</f>
        <v>-757085.124564</v>
      </c>
      <c r="R54" s="69" t="n">
        <f aca="false">Q54+R53</f>
        <v>-779585.340659048</v>
      </c>
      <c r="S54" s="69" t="n">
        <f aca="false">R54+S53</f>
        <v>-798493.374569524</v>
      </c>
      <c r="T54" s="69" t="n">
        <f aca="false">S54+T53</f>
        <v>-817379.087051429</v>
      </c>
      <c r="U54" s="69" t="n">
        <f aca="false">T54+U53</f>
        <v>-836242.478104762</v>
      </c>
      <c r="V54" s="69" t="n">
        <f aca="false">U54+V53</f>
        <v>-855083.547729524</v>
      </c>
      <c r="W54" s="69" t="n">
        <f aca="false">V54+W53</f>
        <v>-873902.295925715</v>
      </c>
      <c r="X54" s="69" t="n">
        <f aca="false">W54+X53</f>
        <v>-892698.722693334</v>
      </c>
      <c r="Y54" s="69" t="n">
        <f aca="false">X54+Y53</f>
        <v>-911472.828032381</v>
      </c>
      <c r="Z54" s="69" t="n">
        <f aca="false">Y54+Z53</f>
        <v>-930224.611942858</v>
      </c>
      <c r="AA54" s="69" t="n">
        <f aca="false">Z54+AA53</f>
        <v>-950286.572918629</v>
      </c>
      <c r="AB54" s="69" t="n">
        <f aca="false">AA54+AB53</f>
        <v>-970326.212465829</v>
      </c>
      <c r="AC54" s="69" t="n">
        <f aca="false">AB54+AC53</f>
        <v>-990343.530584457</v>
      </c>
      <c r="AD54" s="69" t="n">
        <f aca="false">AC54+AD53</f>
        <v>-1010338.52727451</v>
      </c>
      <c r="AE54" s="69" t="n">
        <f aca="false">AD54+AE53</f>
        <v>-1030311.202536</v>
      </c>
      <c r="AF54" s="69" t="n">
        <f aca="false">AE54+AF53</f>
        <v>-1050261.55636891</v>
      </c>
      <c r="AG54" s="69" t="n">
        <f aca="false">AF54+AG53</f>
        <v>-1070189.58877326</v>
      </c>
      <c r="AH54" s="69" t="n">
        <f aca="false">AG54+AH53</f>
        <v>-1090095.29974903</v>
      </c>
      <c r="AI54" s="69" t="n">
        <f aca="false">AH54+AI53</f>
        <v>-1109978.68929623</v>
      </c>
      <c r="AJ54" s="69" t="n">
        <f aca="false">AI54+AJ53</f>
        <v>-1129839.75741486</v>
      </c>
      <c r="AK54" s="69" t="n">
        <f aca="false">AJ54+AK53</f>
        <v>-1149678.50410491</v>
      </c>
      <c r="AL54" s="69" t="n">
        <f aca="false">AK54+AL53</f>
        <v>-1169494.9293664</v>
      </c>
      <c r="AM54" s="69" t="n">
        <f aca="false">AL54+AM53</f>
        <v>-1191185.21534479</v>
      </c>
      <c r="AN54" s="69" t="n">
        <f aca="false">AM54+AN53</f>
        <v>-1212853.1798946</v>
      </c>
      <c r="AO54" s="69" t="n">
        <f aca="false">AN54+AO53</f>
        <v>-1234498.82301585</v>
      </c>
      <c r="AP54" s="69" t="n">
        <f aca="false">AO54+AP53</f>
        <v>-1256122.14470852</v>
      </c>
      <c r="AQ54" s="69" t="n">
        <f aca="false">AP54+AQ53</f>
        <v>-1277723.14497262</v>
      </c>
      <c r="AR54" s="69" t="n">
        <f aca="false">AQ54+AR53</f>
        <v>-1299301.82380815</v>
      </c>
      <c r="AS54" s="69" t="n">
        <f aca="false">AR54+AS53</f>
        <v>-1320858.1812151</v>
      </c>
      <c r="AT54" s="69" t="n">
        <f aca="false">AS54+AT53</f>
        <v>-1342392.21719349</v>
      </c>
      <c r="AU54" s="69" t="n">
        <f aca="false">AT54+AU53</f>
        <v>-1363903.93174331</v>
      </c>
      <c r="AV54" s="69" t="n">
        <f aca="false">AU54+AV53</f>
        <v>-1385393.32486455</v>
      </c>
      <c r="AW54" s="69" t="n">
        <f aca="false">AV54+AW53</f>
        <v>-1406860.39655722</v>
      </c>
      <c r="AX54" s="69" t="n">
        <f aca="false">AW54+AX53</f>
        <v>-1428305.14682132</v>
      </c>
      <c r="AY54" s="69" t="n">
        <f aca="false">AX54+AY53</f>
        <v>-1452060.12673044</v>
      </c>
      <c r="AZ54" s="69" t="n">
        <f aca="false">AY54+AZ53</f>
        <v>-1475792.785211</v>
      </c>
      <c r="BA54" s="69" t="n">
        <f aca="false">AZ54+BA53</f>
        <v>-1499503.12226297</v>
      </c>
      <c r="BB54" s="69" t="n">
        <f aca="false">BA54+BB53</f>
        <v>-1523191.13788638</v>
      </c>
      <c r="BC54" s="69" t="n">
        <f aca="false">BB54+BC53</f>
        <v>-1546856.83208122</v>
      </c>
      <c r="BD54" s="69" t="n">
        <f aca="false">BC54+BD53</f>
        <v>-1570500.20484749</v>
      </c>
      <c r="BE54" s="69" t="n">
        <f aca="false">BD54+BE53</f>
        <v>-1594121.25618518</v>
      </c>
      <c r="BF54" s="69" t="n">
        <f aca="false">BE54+BF53</f>
        <v>-1617719.9860943</v>
      </c>
      <c r="BG54" s="69" t="n">
        <f aca="false">BF54+BG53</f>
        <v>-1641296.39457485</v>
      </c>
      <c r="BH54" s="69" t="n">
        <f aca="false">BG54+BH53</f>
        <v>-1664850.48162683</v>
      </c>
      <c r="BI54" s="69" t="n">
        <f aca="false">BH54+BI53</f>
        <v>-1688382.24725024</v>
      </c>
      <c r="BJ54" s="69" t="n">
        <f aca="false">BI54+BJ53</f>
        <v>-1711891.69144508</v>
      </c>
    </row>
    <row r="55" customFormat="false" ht="15" hidden="false" customHeight="false" outlineLevel="0" collapsed="false">
      <c r="A55" s="118" t="s">
        <v>428</v>
      </c>
      <c r="C55" s="69" t="n">
        <f aca="false">MAX(0,C54)</f>
        <v>0</v>
      </c>
      <c r="D55" s="69" t="n">
        <f aca="false">MAX(C55,D54)</f>
        <v>0</v>
      </c>
      <c r="E55" s="69" t="n">
        <f aca="false">MAX(D55,E54)</f>
        <v>0</v>
      </c>
      <c r="F55" s="69" t="n">
        <f aca="false">MAX(E55,F54)</f>
        <v>0</v>
      </c>
      <c r="G55" s="69" t="n">
        <f aca="false">MAX(F55,G54)</f>
        <v>0</v>
      </c>
      <c r="H55" s="69" t="n">
        <f aca="false">MAX(G55,H54)</f>
        <v>0</v>
      </c>
      <c r="I55" s="69" t="n">
        <f aca="false">MAX(H55,I54)</f>
        <v>0</v>
      </c>
      <c r="J55" s="69" t="n">
        <f aca="false">MAX(I55,J54)</f>
        <v>0</v>
      </c>
      <c r="K55" s="69" t="n">
        <f aca="false">MAX(J55,K54)</f>
        <v>0</v>
      </c>
      <c r="L55" s="69" t="n">
        <f aca="false">MAX(K55,L54)</f>
        <v>0</v>
      </c>
      <c r="M55" s="69" t="n">
        <f aca="false">MAX(L55,M54)</f>
        <v>0</v>
      </c>
      <c r="N55" s="69" t="n">
        <f aca="false">MAX(M55,N54)</f>
        <v>0</v>
      </c>
      <c r="O55" s="69" t="n">
        <f aca="false">MAX(N55,O54)</f>
        <v>0</v>
      </c>
      <c r="P55" s="69" t="n">
        <f aca="false">MAX(O55,P54)</f>
        <v>0</v>
      </c>
      <c r="Q55" s="69" t="n">
        <f aca="false">MAX(P55,Q54)</f>
        <v>0</v>
      </c>
      <c r="R55" s="69" t="n">
        <f aca="false">MAX(Q55,R54)</f>
        <v>0</v>
      </c>
      <c r="S55" s="69" t="n">
        <f aca="false">MAX(R55,S54)</f>
        <v>0</v>
      </c>
      <c r="T55" s="69" t="n">
        <f aca="false">MAX(S55,T54)</f>
        <v>0</v>
      </c>
      <c r="U55" s="69" t="n">
        <f aca="false">MAX(T55,U54)</f>
        <v>0</v>
      </c>
      <c r="V55" s="69" t="n">
        <f aca="false">MAX(U55,V54)</f>
        <v>0</v>
      </c>
      <c r="W55" s="69" t="n">
        <f aca="false">MAX(V55,W54)</f>
        <v>0</v>
      </c>
      <c r="X55" s="69" t="n">
        <f aca="false">MAX(W55,X54)</f>
        <v>0</v>
      </c>
      <c r="Y55" s="69" t="n">
        <f aca="false">MAX(X55,Y54)</f>
        <v>0</v>
      </c>
      <c r="Z55" s="69" t="n">
        <f aca="false">MAX(Y55,Z54)</f>
        <v>0</v>
      </c>
      <c r="AA55" s="69" t="n">
        <f aca="false">MAX(Z55,AA54)</f>
        <v>0</v>
      </c>
      <c r="AB55" s="69" t="n">
        <f aca="false">MAX(AA55,AB54)</f>
        <v>0</v>
      </c>
      <c r="AC55" s="69" t="n">
        <f aca="false">MAX(AB55,AC54)</f>
        <v>0</v>
      </c>
      <c r="AD55" s="69" t="n">
        <f aca="false">MAX(AC55,AD54)</f>
        <v>0</v>
      </c>
      <c r="AE55" s="69" t="n">
        <f aca="false">MAX(AD55,AE54)</f>
        <v>0</v>
      </c>
      <c r="AF55" s="69" t="n">
        <f aca="false">MAX(AE55,AF54)</f>
        <v>0</v>
      </c>
      <c r="AG55" s="69" t="n">
        <f aca="false">MAX(AF55,AG54)</f>
        <v>0</v>
      </c>
      <c r="AH55" s="69" t="n">
        <f aca="false">MAX(AG55,AH54)</f>
        <v>0</v>
      </c>
      <c r="AI55" s="69" t="n">
        <f aca="false">MAX(AH55,AI54)</f>
        <v>0</v>
      </c>
      <c r="AJ55" s="69" t="n">
        <f aca="false">MAX(AI55,AJ54)</f>
        <v>0</v>
      </c>
      <c r="AK55" s="69" t="n">
        <f aca="false">MAX(AJ55,AK54)</f>
        <v>0</v>
      </c>
      <c r="AL55" s="69" t="n">
        <f aca="false">MAX(AK55,AL54)</f>
        <v>0</v>
      </c>
      <c r="AM55" s="69" t="n">
        <f aca="false">MAX(AL55,AM54)</f>
        <v>0</v>
      </c>
      <c r="AN55" s="69" t="n">
        <f aca="false">MAX(AM55,AN54)</f>
        <v>0</v>
      </c>
      <c r="AO55" s="69" t="n">
        <f aca="false">MAX(AN55,AO54)</f>
        <v>0</v>
      </c>
      <c r="AP55" s="69" t="n">
        <f aca="false">MAX(AO55,AP54)</f>
        <v>0</v>
      </c>
      <c r="AQ55" s="69" t="n">
        <f aca="false">MAX(AP55,AQ54)</f>
        <v>0</v>
      </c>
      <c r="AR55" s="69" t="n">
        <f aca="false">MAX(AQ55,AR54)</f>
        <v>0</v>
      </c>
      <c r="AS55" s="69" t="n">
        <f aca="false">MAX(AR55,AS54)</f>
        <v>0</v>
      </c>
      <c r="AT55" s="69" t="n">
        <f aca="false">MAX(AS55,AT54)</f>
        <v>0</v>
      </c>
      <c r="AU55" s="69" t="n">
        <f aca="false">MAX(AT55,AU54)</f>
        <v>0</v>
      </c>
      <c r="AV55" s="69" t="n">
        <f aca="false">MAX(AU55,AV54)</f>
        <v>0</v>
      </c>
      <c r="AW55" s="69" t="n">
        <f aca="false">MAX(AV55,AW54)</f>
        <v>0</v>
      </c>
      <c r="AX55" s="69" t="n">
        <f aca="false">MAX(AW55,AX54)</f>
        <v>0</v>
      </c>
      <c r="AY55" s="69" t="n">
        <f aca="false">MAX(AX55,AY54)</f>
        <v>0</v>
      </c>
      <c r="AZ55" s="69" t="n">
        <f aca="false">MAX(AY55,AZ54)</f>
        <v>0</v>
      </c>
      <c r="BA55" s="69" t="n">
        <f aca="false">MAX(AZ55,BA54)</f>
        <v>0</v>
      </c>
      <c r="BB55" s="69" t="n">
        <f aca="false">MAX(BA55,BB54)</f>
        <v>0</v>
      </c>
      <c r="BC55" s="69" t="n">
        <f aca="false">MAX(BB55,BC54)</f>
        <v>0</v>
      </c>
      <c r="BD55" s="69" t="n">
        <f aca="false">MAX(BC55,BD54)</f>
        <v>0</v>
      </c>
      <c r="BE55" s="69" t="n">
        <f aca="false">MAX(BD55,BE54)</f>
        <v>0</v>
      </c>
      <c r="BF55" s="69" t="n">
        <f aca="false">MAX(BE55,BF54)</f>
        <v>0</v>
      </c>
      <c r="BG55" s="69" t="n">
        <f aca="false">MAX(BF55,BG54)</f>
        <v>0</v>
      </c>
      <c r="BH55" s="69" t="n">
        <f aca="false">MAX(BG55,BH54)</f>
        <v>0</v>
      </c>
      <c r="BI55" s="69" t="n">
        <f aca="false">MAX(BH55,BI54)</f>
        <v>0</v>
      </c>
      <c r="BJ55" s="69" t="n">
        <f aca="false">MAX(BI55,BJ54)</f>
        <v>0</v>
      </c>
    </row>
    <row r="56" customFormat="false" ht="15" hidden="false" customHeight="false" outlineLevel="0" collapsed="false">
      <c r="A56" s="6" t="s">
        <v>82</v>
      </c>
      <c r="C56" s="69" t="n">
        <f aca="false">-C55*Inputs!$B$79</f>
        <v>-0</v>
      </c>
      <c r="D56" s="69" t="n">
        <f aca="false">-(D55-C55)*Inputs!$B$79</f>
        <v>-0</v>
      </c>
      <c r="E56" s="69" t="n">
        <f aca="false">-(E55-D55)*Inputs!$B$79</f>
        <v>-0</v>
      </c>
      <c r="F56" s="69" t="n">
        <f aca="false">-(F55-E55)*Inputs!$B$79</f>
        <v>-0</v>
      </c>
      <c r="G56" s="69" t="n">
        <f aca="false">-(G55-F55)*Inputs!$B$79</f>
        <v>-0</v>
      </c>
      <c r="H56" s="69" t="n">
        <f aca="false">-(H55-G55)*Inputs!$B$79</f>
        <v>-0</v>
      </c>
      <c r="I56" s="69" t="n">
        <f aca="false">-(I55-H55)*Inputs!$B$79</f>
        <v>-0</v>
      </c>
      <c r="J56" s="69" t="n">
        <f aca="false">-(J55-I55)*Inputs!$B$79</f>
        <v>-0</v>
      </c>
      <c r="K56" s="69" t="n">
        <f aca="false">-(K55-J55)*Inputs!$B$79</f>
        <v>-0</v>
      </c>
      <c r="L56" s="69" t="n">
        <f aca="false">-(L55-K55)*Inputs!$B$79</f>
        <v>-0</v>
      </c>
      <c r="M56" s="69" t="n">
        <f aca="false">-(M55-L55)*Inputs!$B$79</f>
        <v>-0</v>
      </c>
      <c r="N56" s="69" t="n">
        <f aca="false">-(N55-M55)*Inputs!$B$79</f>
        <v>-0</v>
      </c>
      <c r="O56" s="69" t="n">
        <f aca="false">-(O55-N55)*Inputs!$B$79</f>
        <v>-0</v>
      </c>
      <c r="P56" s="69" t="n">
        <f aca="false">-(P55-O55)*Inputs!$B$79</f>
        <v>-0</v>
      </c>
      <c r="Q56" s="69" t="n">
        <f aca="false">-(Q55-P55)*Inputs!$B$79</f>
        <v>-0</v>
      </c>
      <c r="R56" s="69" t="n">
        <f aca="false">-(R55-Q55)*Inputs!$B$79</f>
        <v>-0</v>
      </c>
      <c r="S56" s="69" t="n">
        <f aca="false">-(S55-R55)*Inputs!$B$79</f>
        <v>-0</v>
      </c>
      <c r="T56" s="69" t="n">
        <f aca="false">-(T55-S55)*Inputs!$B$79</f>
        <v>-0</v>
      </c>
      <c r="U56" s="69" t="n">
        <f aca="false">-(U55-T55)*Inputs!$B$79</f>
        <v>-0</v>
      </c>
      <c r="V56" s="69" t="n">
        <f aca="false">-(V55-U55)*Inputs!$B$79</f>
        <v>-0</v>
      </c>
      <c r="W56" s="69" t="n">
        <f aca="false">-(W55-V55)*Inputs!$B$79</f>
        <v>-0</v>
      </c>
      <c r="X56" s="69" t="n">
        <f aca="false">-(X55-W55)*Inputs!$B$79</f>
        <v>-0</v>
      </c>
      <c r="Y56" s="69" t="n">
        <f aca="false">-(Y55-X55)*Inputs!$B$79</f>
        <v>-0</v>
      </c>
      <c r="Z56" s="69" t="n">
        <f aca="false">-(Z55-Y55)*Inputs!$B$79</f>
        <v>-0</v>
      </c>
      <c r="AA56" s="69" t="n">
        <f aca="false">-(AA55-Z55)*Inputs!$B$79</f>
        <v>-0</v>
      </c>
      <c r="AB56" s="69" t="n">
        <f aca="false">-(AB55-AA55)*Inputs!$B$79</f>
        <v>-0</v>
      </c>
      <c r="AC56" s="69" t="n">
        <f aca="false">-(AC55-AB55)*Inputs!$B$79</f>
        <v>-0</v>
      </c>
      <c r="AD56" s="69" t="n">
        <f aca="false">-(AD55-AC55)*Inputs!$B$79</f>
        <v>-0</v>
      </c>
      <c r="AE56" s="69" t="n">
        <f aca="false">-(AE55-AD55)*Inputs!$B$79</f>
        <v>-0</v>
      </c>
      <c r="AF56" s="69" t="n">
        <f aca="false">-(AF55-AE55)*Inputs!$B$79</f>
        <v>-0</v>
      </c>
      <c r="AG56" s="69" t="n">
        <f aca="false">-(AG55-AF55)*Inputs!$B$79</f>
        <v>-0</v>
      </c>
      <c r="AH56" s="69" t="n">
        <f aca="false">-(AH55-AG55)*Inputs!$B$79</f>
        <v>-0</v>
      </c>
      <c r="AI56" s="69" t="n">
        <f aca="false">-(AI55-AH55)*Inputs!$B$79</f>
        <v>-0</v>
      </c>
      <c r="AJ56" s="69" t="n">
        <f aca="false">-(AJ55-AI55)*Inputs!$B$79</f>
        <v>-0</v>
      </c>
      <c r="AK56" s="69" t="n">
        <f aca="false">-(AK55-AJ55)*Inputs!$B$79</f>
        <v>-0</v>
      </c>
      <c r="AL56" s="69" t="n">
        <f aca="false">-(AL55-AK55)*Inputs!$B$79</f>
        <v>-0</v>
      </c>
      <c r="AM56" s="69" t="n">
        <f aca="false">-(AM55-AL55)*Inputs!$B$79</f>
        <v>-0</v>
      </c>
      <c r="AN56" s="69" t="n">
        <f aca="false">-(AN55-AM55)*Inputs!$B$79</f>
        <v>-0</v>
      </c>
      <c r="AO56" s="69" t="n">
        <f aca="false">-(AO55-AN55)*Inputs!$B$79</f>
        <v>-0</v>
      </c>
      <c r="AP56" s="69" t="n">
        <f aca="false">-(AP55-AO55)*Inputs!$B$79</f>
        <v>-0</v>
      </c>
      <c r="AQ56" s="69" t="n">
        <f aca="false">-(AQ55-AP55)*Inputs!$B$79</f>
        <v>-0</v>
      </c>
      <c r="AR56" s="69" t="n">
        <f aca="false">-(AR55-AQ55)*Inputs!$B$79</f>
        <v>-0</v>
      </c>
      <c r="AS56" s="69" t="n">
        <f aca="false">-(AS55-AR55)*Inputs!$B$79</f>
        <v>-0</v>
      </c>
      <c r="AT56" s="69" t="n">
        <f aca="false">-(AT55-AS55)*Inputs!$B$79</f>
        <v>-0</v>
      </c>
      <c r="AU56" s="69" t="n">
        <f aca="false">-(AU55-AT55)*Inputs!$B$79</f>
        <v>-0</v>
      </c>
      <c r="AV56" s="69" t="n">
        <f aca="false">-(AV55-AU55)*Inputs!$B$79</f>
        <v>-0</v>
      </c>
      <c r="AW56" s="69" t="n">
        <f aca="false">-(AW55-AV55)*Inputs!$B$79</f>
        <v>-0</v>
      </c>
      <c r="AX56" s="69" t="n">
        <f aca="false">-(AX55-AW55)*Inputs!$B$79</f>
        <v>-0</v>
      </c>
      <c r="AY56" s="69" t="n">
        <f aca="false">-(AY55-AX55)*Inputs!$B$79</f>
        <v>-0</v>
      </c>
      <c r="AZ56" s="69" t="n">
        <f aca="false">-(AZ55-AY55)*Inputs!$B$79</f>
        <v>-0</v>
      </c>
      <c r="BA56" s="69" t="n">
        <f aca="false">-(BA55-AZ55)*Inputs!$B$79</f>
        <v>-0</v>
      </c>
      <c r="BB56" s="69" t="n">
        <f aca="false">-(BB55-BA55)*Inputs!$B$79</f>
        <v>-0</v>
      </c>
      <c r="BC56" s="69" t="n">
        <f aca="false">-(BC55-BB55)*Inputs!$B$79</f>
        <v>-0</v>
      </c>
      <c r="BD56" s="69" t="n">
        <f aca="false">-(BD55-BC55)*Inputs!$B$79</f>
        <v>-0</v>
      </c>
      <c r="BE56" s="69" t="n">
        <f aca="false">-(BE55-BD55)*Inputs!$B$79</f>
        <v>-0</v>
      </c>
      <c r="BF56" s="69" t="n">
        <f aca="false">-(BF55-BE55)*Inputs!$B$79</f>
        <v>-0</v>
      </c>
      <c r="BG56" s="69" t="n">
        <f aca="false">-(BG55-BF55)*Inputs!$B$79</f>
        <v>-0</v>
      </c>
      <c r="BH56" s="69" t="n">
        <f aca="false">-(BH55-BG55)*Inputs!$B$79</f>
        <v>-0</v>
      </c>
      <c r="BI56" s="69" t="n">
        <f aca="false">-(BI55-BH55)*Inputs!$B$79</f>
        <v>-0</v>
      </c>
      <c r="BJ56" s="69" t="n">
        <f aca="false">-(BJ55-BI55)*Inputs!$B$79</f>
        <v>-0</v>
      </c>
    </row>
    <row r="57" customFormat="false" ht="15" hidden="false" customHeight="false" outlineLevel="0" collapsed="false">
      <c r="A57" s="115" t="s">
        <v>50</v>
      </c>
      <c r="C57" s="70" t="n">
        <f aca="false">C53+C56</f>
        <v>-75221.6549333333</v>
      </c>
      <c r="D57" s="70" t="n">
        <f aca="false">D53+D56</f>
        <v>-71675.9786190476</v>
      </c>
      <c r="E57" s="70" t="n">
        <f aca="false">E53+E56</f>
        <v>-68119.1415904762</v>
      </c>
      <c r="F57" s="70" t="n">
        <f aca="false">F53+F56</f>
        <v>-64562.3045619048</v>
      </c>
      <c r="G57" s="70" t="n">
        <f aca="false">G53+G56</f>
        <v>-61005.4675333333</v>
      </c>
      <c r="H57" s="70" t="n">
        <f aca="false">H53+H56</f>
        <v>-57448.6305047619</v>
      </c>
      <c r="I57" s="70" t="n">
        <f aca="false">I53+I56</f>
        <v>-53891.7934761905</v>
      </c>
      <c r="J57" s="70" t="n">
        <f aca="false">J53+J56</f>
        <v>-50334.9564476191</v>
      </c>
      <c r="K57" s="70" t="n">
        <f aca="false">K53+K56</f>
        <v>-46778.1194190476</v>
      </c>
      <c r="L57" s="70" t="n">
        <f aca="false">L53+L56</f>
        <v>-43221.2823904762</v>
      </c>
      <c r="M57" s="70" t="n">
        <f aca="false">M53+M56</f>
        <v>-39664.4453619048</v>
      </c>
      <c r="N57" s="70" t="n">
        <f aca="false">N53+N56</f>
        <v>-36107.6083333333</v>
      </c>
      <c r="O57" s="70" t="n">
        <f aca="false">O53+O56</f>
        <v>-33276.7626487619</v>
      </c>
      <c r="P57" s="70" t="n">
        <f aca="false">P53+P56</f>
        <v>-29684.5804641905</v>
      </c>
      <c r="Q57" s="70" t="n">
        <f aca="false">Q53+Q56</f>
        <v>-26092.3982796191</v>
      </c>
      <c r="R57" s="70" t="n">
        <f aca="false">R53+R56</f>
        <v>-22500.2160950476</v>
      </c>
      <c r="S57" s="70" t="n">
        <f aca="false">S53+S56</f>
        <v>-18908.0339104762</v>
      </c>
      <c r="T57" s="70" t="n">
        <f aca="false">T53+T56</f>
        <v>-18885.7124819048</v>
      </c>
      <c r="U57" s="70" t="n">
        <f aca="false">U53+U56</f>
        <v>-18863.3910533333</v>
      </c>
      <c r="V57" s="70" t="n">
        <f aca="false">V53+V56</f>
        <v>-18841.0696247619</v>
      </c>
      <c r="W57" s="70" t="n">
        <f aca="false">W53+W56</f>
        <v>-18818.7481961905</v>
      </c>
      <c r="X57" s="70" t="n">
        <f aca="false">X53+X56</f>
        <v>-18796.4267676191</v>
      </c>
      <c r="Y57" s="70" t="n">
        <f aca="false">Y53+Y56</f>
        <v>-18774.1053390476</v>
      </c>
      <c r="Z57" s="70" t="n">
        <f aca="false">Z53+Z56</f>
        <v>-18751.7839104762</v>
      </c>
      <c r="AA57" s="70" t="n">
        <f aca="false">AA53+AA56</f>
        <v>-20061.9609757714</v>
      </c>
      <c r="AB57" s="70" t="n">
        <f aca="false">AB53+AB56</f>
        <v>-20039.6395472</v>
      </c>
      <c r="AC57" s="70" t="n">
        <f aca="false">AC53+AC56</f>
        <v>-20017.3181186286</v>
      </c>
      <c r="AD57" s="70" t="n">
        <f aca="false">AD53+AD56</f>
        <v>-19994.9966900571</v>
      </c>
      <c r="AE57" s="70" t="n">
        <f aca="false">AE53+AE56</f>
        <v>-19972.6752614857</v>
      </c>
      <c r="AF57" s="70" t="n">
        <f aca="false">AF53+AF56</f>
        <v>-19950.3538329143</v>
      </c>
      <c r="AG57" s="70" t="n">
        <f aca="false">AG53+AG56</f>
        <v>-19928.0324043429</v>
      </c>
      <c r="AH57" s="70" t="n">
        <f aca="false">AH53+AH56</f>
        <v>-19905.7109757714</v>
      </c>
      <c r="AI57" s="70" t="n">
        <f aca="false">AI53+AI56</f>
        <v>-19883.3895472</v>
      </c>
      <c r="AJ57" s="70" t="n">
        <f aca="false">AJ53+AJ56</f>
        <v>-19861.0681186286</v>
      </c>
      <c r="AK57" s="70" t="n">
        <f aca="false">AK53+AK56</f>
        <v>-19838.7466900571</v>
      </c>
      <c r="AL57" s="70" t="n">
        <f aca="false">AL53+AL56</f>
        <v>-19816.4252614857</v>
      </c>
      <c r="AM57" s="70" t="n">
        <f aca="false">AM53+AM56</f>
        <v>-21690.2859783863</v>
      </c>
      <c r="AN57" s="70" t="n">
        <f aca="false">AN53+AN56</f>
        <v>-21667.9645498149</v>
      </c>
      <c r="AO57" s="70" t="n">
        <f aca="false">AO53+AO56</f>
        <v>-21645.6431212434</v>
      </c>
      <c r="AP57" s="70" t="n">
        <f aca="false">AP53+AP56</f>
        <v>-21623.321692672</v>
      </c>
      <c r="AQ57" s="70" t="n">
        <f aca="false">AQ53+AQ56</f>
        <v>-21601.0002641006</v>
      </c>
      <c r="AR57" s="70" t="n">
        <f aca="false">AR53+AR56</f>
        <v>-21578.6788355291</v>
      </c>
      <c r="AS57" s="70" t="n">
        <f aca="false">AS53+AS56</f>
        <v>-21556.3574069577</v>
      </c>
      <c r="AT57" s="70" t="n">
        <f aca="false">AT53+AT56</f>
        <v>-21534.0359783863</v>
      </c>
      <c r="AU57" s="70" t="n">
        <f aca="false">AU53+AU56</f>
        <v>-21511.7145498149</v>
      </c>
      <c r="AV57" s="70" t="n">
        <f aca="false">AV53+AV56</f>
        <v>-21489.3931212434</v>
      </c>
      <c r="AW57" s="70" t="n">
        <f aca="false">AW53+AW56</f>
        <v>-21467.071692672</v>
      </c>
      <c r="AX57" s="70" t="n">
        <f aca="false">AX53+AX56</f>
        <v>-21444.7502641006</v>
      </c>
      <c r="AY57" s="70" t="n">
        <f aca="false">AY53+AY56</f>
        <v>-23754.9799091225</v>
      </c>
      <c r="AZ57" s="70" t="n">
        <f aca="false">AZ53+AZ56</f>
        <v>-23732.6584805511</v>
      </c>
      <c r="BA57" s="70" t="n">
        <f aca="false">BA53+BA56</f>
        <v>-23710.3370519797</v>
      </c>
      <c r="BB57" s="70" t="n">
        <f aca="false">BB53+BB56</f>
        <v>-23688.0156234083</v>
      </c>
      <c r="BC57" s="70" t="n">
        <f aca="false">BC53+BC56</f>
        <v>-23665.6941948368</v>
      </c>
      <c r="BD57" s="70" t="n">
        <f aca="false">BD53+BD56</f>
        <v>-23643.3727662654</v>
      </c>
      <c r="BE57" s="70" t="n">
        <f aca="false">BE53+BE56</f>
        <v>-23621.051337694</v>
      </c>
      <c r="BF57" s="70" t="n">
        <f aca="false">BF53+BF56</f>
        <v>-23598.7299091225</v>
      </c>
      <c r="BG57" s="70" t="n">
        <f aca="false">BG53+BG56</f>
        <v>-23576.4084805511</v>
      </c>
      <c r="BH57" s="70" t="n">
        <f aca="false">BH53+BH56</f>
        <v>-23554.0870519797</v>
      </c>
      <c r="BI57" s="70" t="n">
        <f aca="false">BI53+BI56</f>
        <v>-23531.7656234083</v>
      </c>
      <c r="BJ57" s="70" t="n">
        <f aca="false">BJ53+BJ56</f>
        <v>-23509.4441948368</v>
      </c>
    </row>
    <row r="59" customFormat="false" ht="15.75" hidden="false" customHeight="true" outlineLevel="0" collapsed="false">
      <c r="A59" s="7" t="s">
        <v>429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customFormat="false" ht="15" hidden="false" customHeight="false" outlineLevel="0" collapsed="false">
      <c r="A60" s="6" t="s">
        <v>430</v>
      </c>
      <c r="C60" s="69" t="n">
        <f aca="false">IF(C$6=1,Inputs!$B$15*Inputs!$B$44,0)</f>
        <v>132000</v>
      </c>
      <c r="D60" s="69" t="n">
        <f aca="false">IF(D$6=1,Inputs!$B$15*Inputs!$B$44,0)</f>
        <v>0</v>
      </c>
      <c r="E60" s="69" t="n">
        <f aca="false">IF(E$6=1,Inputs!$B$15*Inputs!$B$44,0)</f>
        <v>0</v>
      </c>
      <c r="F60" s="69" t="n">
        <f aca="false">IF(F$6=1,Inputs!$B$15*Inputs!$B$44,0)</f>
        <v>0</v>
      </c>
      <c r="G60" s="69" t="n">
        <f aca="false">IF(G$6=1,Inputs!$B$15*Inputs!$B$44,0)</f>
        <v>0</v>
      </c>
      <c r="H60" s="69" t="n">
        <f aca="false">IF(H$6=1,Inputs!$B$15*Inputs!$B$44,0)</f>
        <v>0</v>
      </c>
      <c r="I60" s="69" t="n">
        <f aca="false">IF(I$6=1,Inputs!$B$15*Inputs!$B$44,0)</f>
        <v>0</v>
      </c>
      <c r="J60" s="69" t="n">
        <f aca="false">IF(J$6=1,Inputs!$B$15*Inputs!$B$44,0)</f>
        <v>0</v>
      </c>
      <c r="K60" s="69" t="n">
        <f aca="false">IF(K$6=1,Inputs!$B$15*Inputs!$B$44,0)</f>
        <v>0</v>
      </c>
      <c r="L60" s="69" t="n">
        <f aca="false">IF(L$6=1,Inputs!$B$15*Inputs!$B$44,0)</f>
        <v>0</v>
      </c>
      <c r="M60" s="69" t="n">
        <f aca="false">IF(M$6=1,Inputs!$B$15*Inputs!$B$44,0)</f>
        <v>0</v>
      </c>
      <c r="N60" s="69" t="n">
        <f aca="false">IF(N$6=1,Inputs!$B$15*Inputs!$B$44,0)</f>
        <v>0</v>
      </c>
      <c r="O60" s="69" t="n">
        <f aca="false">IF(O$6=1,Inputs!$B$15*Inputs!$B$44,0)</f>
        <v>0</v>
      </c>
      <c r="P60" s="69" t="n">
        <f aca="false">IF(P$6=1,Inputs!$B$15*Inputs!$B$44,0)</f>
        <v>0</v>
      </c>
      <c r="Q60" s="69" t="n">
        <f aca="false">IF(Q$6=1,Inputs!$B$15*Inputs!$B$44,0)</f>
        <v>0</v>
      </c>
      <c r="R60" s="69" t="n">
        <f aca="false">IF(R$6=1,Inputs!$B$15*Inputs!$B$44,0)</f>
        <v>0</v>
      </c>
      <c r="S60" s="69" t="n">
        <f aca="false">IF(S$6=1,Inputs!$B$15*Inputs!$B$44,0)</f>
        <v>0</v>
      </c>
      <c r="T60" s="69" t="n">
        <f aca="false">IF(T$6=1,Inputs!$B$15*Inputs!$B$44,0)</f>
        <v>0</v>
      </c>
      <c r="U60" s="69" t="n">
        <f aca="false">IF(U$6=1,Inputs!$B$15*Inputs!$B$44,0)</f>
        <v>0</v>
      </c>
      <c r="V60" s="69" t="n">
        <f aca="false">IF(V$6=1,Inputs!$B$15*Inputs!$B$44,0)</f>
        <v>0</v>
      </c>
      <c r="W60" s="69" t="n">
        <f aca="false">IF(W$6=1,Inputs!$B$15*Inputs!$B$44,0)</f>
        <v>0</v>
      </c>
      <c r="X60" s="69" t="n">
        <f aca="false">IF(X$6=1,Inputs!$B$15*Inputs!$B$44,0)</f>
        <v>0</v>
      </c>
      <c r="Y60" s="69" t="n">
        <f aca="false">IF(Y$6=1,Inputs!$B$15*Inputs!$B$44,0)</f>
        <v>0</v>
      </c>
      <c r="Z60" s="69" t="n">
        <f aca="false">IF(Z$6=1,Inputs!$B$15*Inputs!$B$44,0)</f>
        <v>0</v>
      </c>
      <c r="AA60" s="69" t="n">
        <f aca="false">IF(AA$6=1,Inputs!$B$15*Inputs!$B$44,0)</f>
        <v>0</v>
      </c>
      <c r="AB60" s="69" t="n">
        <f aca="false">IF(AB$6=1,Inputs!$B$15*Inputs!$B$44,0)</f>
        <v>0</v>
      </c>
      <c r="AC60" s="69" t="n">
        <f aca="false">IF(AC$6=1,Inputs!$B$15*Inputs!$B$44,0)</f>
        <v>0</v>
      </c>
      <c r="AD60" s="69" t="n">
        <f aca="false">IF(AD$6=1,Inputs!$B$15*Inputs!$B$44,0)</f>
        <v>0</v>
      </c>
      <c r="AE60" s="69" t="n">
        <f aca="false">IF(AE$6=1,Inputs!$B$15*Inputs!$B$44,0)</f>
        <v>0</v>
      </c>
      <c r="AF60" s="69" t="n">
        <f aca="false">IF(AF$6=1,Inputs!$B$15*Inputs!$B$44,0)</f>
        <v>0</v>
      </c>
      <c r="AG60" s="69" t="n">
        <f aca="false">IF(AG$6=1,Inputs!$B$15*Inputs!$B$44,0)</f>
        <v>0</v>
      </c>
      <c r="AH60" s="69" t="n">
        <f aca="false">IF(AH$6=1,Inputs!$B$15*Inputs!$B$44,0)</f>
        <v>0</v>
      </c>
      <c r="AI60" s="69" t="n">
        <f aca="false">IF(AI$6=1,Inputs!$B$15*Inputs!$B$44,0)</f>
        <v>0</v>
      </c>
      <c r="AJ60" s="69" t="n">
        <f aca="false">IF(AJ$6=1,Inputs!$B$15*Inputs!$B$44,0)</f>
        <v>0</v>
      </c>
      <c r="AK60" s="69" t="n">
        <f aca="false">IF(AK$6=1,Inputs!$B$15*Inputs!$B$44,0)</f>
        <v>0</v>
      </c>
      <c r="AL60" s="69" t="n">
        <f aca="false">IF(AL$6=1,Inputs!$B$15*Inputs!$B$44,0)</f>
        <v>0</v>
      </c>
      <c r="AM60" s="69" t="n">
        <f aca="false">IF(AM$6=1,Inputs!$B$15*Inputs!$B$44,0)</f>
        <v>0</v>
      </c>
      <c r="AN60" s="69" t="n">
        <f aca="false">IF(AN$6=1,Inputs!$B$15*Inputs!$B$44,0)</f>
        <v>0</v>
      </c>
      <c r="AO60" s="69" t="n">
        <f aca="false">IF(AO$6=1,Inputs!$B$15*Inputs!$B$44,0)</f>
        <v>0</v>
      </c>
      <c r="AP60" s="69" t="n">
        <f aca="false">IF(AP$6=1,Inputs!$B$15*Inputs!$B$44,0)</f>
        <v>0</v>
      </c>
      <c r="AQ60" s="69" t="n">
        <f aca="false">IF(AQ$6=1,Inputs!$B$15*Inputs!$B$44,0)</f>
        <v>0</v>
      </c>
      <c r="AR60" s="69" t="n">
        <f aca="false">IF(AR$6=1,Inputs!$B$15*Inputs!$B$44,0)</f>
        <v>0</v>
      </c>
      <c r="AS60" s="69" t="n">
        <f aca="false">IF(AS$6=1,Inputs!$B$15*Inputs!$B$44,0)</f>
        <v>0</v>
      </c>
      <c r="AT60" s="69" t="n">
        <f aca="false">IF(AT$6=1,Inputs!$B$15*Inputs!$B$44,0)</f>
        <v>0</v>
      </c>
      <c r="AU60" s="69" t="n">
        <f aca="false">IF(AU$6=1,Inputs!$B$15*Inputs!$B$44,0)</f>
        <v>0</v>
      </c>
      <c r="AV60" s="69" t="n">
        <f aca="false">IF(AV$6=1,Inputs!$B$15*Inputs!$B$44,0)</f>
        <v>0</v>
      </c>
      <c r="AW60" s="69" t="n">
        <f aca="false">IF(AW$6=1,Inputs!$B$15*Inputs!$B$44,0)</f>
        <v>0</v>
      </c>
      <c r="AX60" s="69" t="n">
        <f aca="false">IF(AX$6=1,Inputs!$B$15*Inputs!$B$44,0)</f>
        <v>0</v>
      </c>
      <c r="AY60" s="69" t="n">
        <f aca="false">IF(AY$6=1,Inputs!$B$15*Inputs!$B$44,0)</f>
        <v>0</v>
      </c>
      <c r="AZ60" s="69" t="n">
        <f aca="false">IF(AZ$6=1,Inputs!$B$15*Inputs!$B$44,0)</f>
        <v>0</v>
      </c>
      <c r="BA60" s="69" t="n">
        <f aca="false">IF(BA$6=1,Inputs!$B$15*Inputs!$B$44,0)</f>
        <v>0</v>
      </c>
      <c r="BB60" s="69" t="n">
        <f aca="false">IF(BB$6=1,Inputs!$B$15*Inputs!$B$44,0)</f>
        <v>0</v>
      </c>
      <c r="BC60" s="69" t="n">
        <f aca="false">IF(BC$6=1,Inputs!$B$15*Inputs!$B$44,0)</f>
        <v>0</v>
      </c>
      <c r="BD60" s="69" t="n">
        <f aca="false">IF(BD$6=1,Inputs!$B$15*Inputs!$B$44,0)</f>
        <v>0</v>
      </c>
      <c r="BE60" s="69" t="n">
        <f aca="false">IF(BE$6=1,Inputs!$B$15*Inputs!$B$44,0)</f>
        <v>0</v>
      </c>
      <c r="BF60" s="69" t="n">
        <f aca="false">IF(BF$6=1,Inputs!$B$15*Inputs!$B$44,0)</f>
        <v>0</v>
      </c>
      <c r="BG60" s="69" t="n">
        <f aca="false">IF(BG$6=1,Inputs!$B$15*Inputs!$B$44,0)</f>
        <v>0</v>
      </c>
      <c r="BH60" s="69" t="n">
        <f aca="false">IF(BH$6=1,Inputs!$B$15*Inputs!$B$44,0)</f>
        <v>0</v>
      </c>
      <c r="BI60" s="69" t="n">
        <f aca="false">IF(BI$6=1,Inputs!$B$15*Inputs!$B$44,0)</f>
        <v>0</v>
      </c>
      <c r="BJ60" s="69" t="n">
        <f aca="false">IF(BJ$6=1,Inputs!$B$15*Inputs!$B$44,0)</f>
        <v>0</v>
      </c>
    </row>
    <row r="61" customFormat="false" ht="15" hidden="false" customHeight="false" outlineLevel="0" collapsed="false">
      <c r="A61" s="6" t="s">
        <v>431</v>
      </c>
      <c r="C61" s="69" t="n">
        <f aca="false">IF(C$6=1,Inputs!$B$45,0)</f>
        <v>70000</v>
      </c>
      <c r="D61" s="69" t="n">
        <f aca="false">IF(D$6=1,Inputs!$B$45,0)</f>
        <v>0</v>
      </c>
      <c r="E61" s="69" t="n">
        <f aca="false">IF(E$6=1,Inputs!$B$45,0)</f>
        <v>0</v>
      </c>
      <c r="F61" s="69" t="n">
        <f aca="false">IF(F$6=1,Inputs!$B$45,0)</f>
        <v>0</v>
      </c>
      <c r="G61" s="69" t="n">
        <f aca="false">IF(G$6=1,Inputs!$B$45,0)</f>
        <v>0</v>
      </c>
      <c r="H61" s="69" t="n">
        <f aca="false">IF(H$6=1,Inputs!$B$45,0)</f>
        <v>0</v>
      </c>
      <c r="I61" s="69" t="n">
        <f aca="false">IF(I$6=1,Inputs!$B$45,0)</f>
        <v>0</v>
      </c>
      <c r="J61" s="69" t="n">
        <f aca="false">IF(J$6=1,Inputs!$B$45,0)</f>
        <v>0</v>
      </c>
      <c r="K61" s="69" t="n">
        <f aca="false">IF(K$6=1,Inputs!$B$45,0)</f>
        <v>0</v>
      </c>
      <c r="L61" s="69" t="n">
        <f aca="false">IF(L$6=1,Inputs!$B$45,0)</f>
        <v>0</v>
      </c>
      <c r="M61" s="69" t="n">
        <f aca="false">IF(M$6=1,Inputs!$B$45,0)</f>
        <v>0</v>
      </c>
      <c r="N61" s="69" t="n">
        <f aca="false">IF(N$6=1,Inputs!$B$45,0)</f>
        <v>0</v>
      </c>
      <c r="O61" s="69" t="n">
        <f aca="false">IF(O$6=1,Inputs!$B$45,0)</f>
        <v>0</v>
      </c>
      <c r="P61" s="69" t="n">
        <f aca="false">IF(P$6=1,Inputs!$B$45,0)</f>
        <v>0</v>
      </c>
      <c r="Q61" s="69" t="n">
        <f aca="false">IF(Q$6=1,Inputs!$B$45,0)</f>
        <v>0</v>
      </c>
      <c r="R61" s="69" t="n">
        <f aca="false">IF(R$6=1,Inputs!$B$45,0)</f>
        <v>0</v>
      </c>
      <c r="S61" s="69" t="n">
        <f aca="false">IF(S$6=1,Inputs!$B$45,0)</f>
        <v>0</v>
      </c>
      <c r="T61" s="69" t="n">
        <f aca="false">IF(T$6=1,Inputs!$B$45,0)</f>
        <v>0</v>
      </c>
      <c r="U61" s="69" t="n">
        <f aca="false">IF(U$6=1,Inputs!$B$45,0)</f>
        <v>0</v>
      </c>
      <c r="V61" s="69" t="n">
        <f aca="false">IF(V$6=1,Inputs!$B$45,0)</f>
        <v>0</v>
      </c>
      <c r="W61" s="69" t="n">
        <f aca="false">IF(W$6=1,Inputs!$B$45,0)</f>
        <v>0</v>
      </c>
      <c r="X61" s="69" t="n">
        <f aca="false">IF(X$6=1,Inputs!$B$45,0)</f>
        <v>0</v>
      </c>
      <c r="Y61" s="69" t="n">
        <f aca="false">IF(Y$6=1,Inputs!$B$45,0)</f>
        <v>0</v>
      </c>
      <c r="Z61" s="69" t="n">
        <f aca="false">IF(Z$6=1,Inputs!$B$45,0)</f>
        <v>0</v>
      </c>
      <c r="AA61" s="69" t="n">
        <f aca="false">IF(AA$6=1,Inputs!$B$45,0)</f>
        <v>0</v>
      </c>
      <c r="AB61" s="69" t="n">
        <f aca="false">IF(AB$6=1,Inputs!$B$45,0)</f>
        <v>0</v>
      </c>
      <c r="AC61" s="69" t="n">
        <f aca="false">IF(AC$6=1,Inputs!$B$45,0)</f>
        <v>0</v>
      </c>
      <c r="AD61" s="69" t="n">
        <f aca="false">IF(AD$6=1,Inputs!$B$45,0)</f>
        <v>0</v>
      </c>
      <c r="AE61" s="69" t="n">
        <f aca="false">IF(AE$6=1,Inputs!$B$45,0)</f>
        <v>0</v>
      </c>
      <c r="AF61" s="69" t="n">
        <f aca="false">IF(AF$6=1,Inputs!$B$45,0)</f>
        <v>0</v>
      </c>
      <c r="AG61" s="69" t="n">
        <f aca="false">IF(AG$6=1,Inputs!$B$45,0)</f>
        <v>0</v>
      </c>
      <c r="AH61" s="69" t="n">
        <f aca="false">IF(AH$6=1,Inputs!$B$45,0)</f>
        <v>0</v>
      </c>
      <c r="AI61" s="69" t="n">
        <f aca="false">IF(AI$6=1,Inputs!$B$45,0)</f>
        <v>0</v>
      </c>
      <c r="AJ61" s="69" t="n">
        <f aca="false">IF(AJ$6=1,Inputs!$B$45,0)</f>
        <v>0</v>
      </c>
      <c r="AK61" s="69" t="n">
        <f aca="false">IF(AK$6=1,Inputs!$B$45,0)</f>
        <v>0</v>
      </c>
      <c r="AL61" s="69" t="n">
        <f aca="false">IF(AL$6=1,Inputs!$B$45,0)</f>
        <v>0</v>
      </c>
      <c r="AM61" s="69" t="n">
        <f aca="false">IF(AM$6=1,Inputs!$B$45,0)</f>
        <v>0</v>
      </c>
      <c r="AN61" s="69" t="n">
        <f aca="false">IF(AN$6=1,Inputs!$B$45,0)</f>
        <v>0</v>
      </c>
      <c r="AO61" s="69" t="n">
        <f aca="false">IF(AO$6=1,Inputs!$B$45,0)</f>
        <v>0</v>
      </c>
      <c r="AP61" s="69" t="n">
        <f aca="false">IF(AP$6=1,Inputs!$B$45,0)</f>
        <v>0</v>
      </c>
      <c r="AQ61" s="69" t="n">
        <f aca="false">IF(AQ$6=1,Inputs!$B$45,0)</f>
        <v>0</v>
      </c>
      <c r="AR61" s="69" t="n">
        <f aca="false">IF(AR$6=1,Inputs!$B$45,0)</f>
        <v>0</v>
      </c>
      <c r="AS61" s="69" t="n">
        <f aca="false">IF(AS$6=1,Inputs!$B$45,0)</f>
        <v>0</v>
      </c>
      <c r="AT61" s="69" t="n">
        <f aca="false">IF(AT$6=1,Inputs!$B$45,0)</f>
        <v>0</v>
      </c>
      <c r="AU61" s="69" t="n">
        <f aca="false">IF(AU$6=1,Inputs!$B$45,0)</f>
        <v>0</v>
      </c>
      <c r="AV61" s="69" t="n">
        <f aca="false">IF(AV$6=1,Inputs!$B$45,0)</f>
        <v>0</v>
      </c>
      <c r="AW61" s="69" t="n">
        <f aca="false">IF(AW$6=1,Inputs!$B$45,0)</f>
        <v>0</v>
      </c>
      <c r="AX61" s="69" t="n">
        <f aca="false">IF(AX$6=1,Inputs!$B$45,0)</f>
        <v>0</v>
      </c>
      <c r="AY61" s="69" t="n">
        <f aca="false">IF(AY$6=1,Inputs!$B$45,0)</f>
        <v>0</v>
      </c>
      <c r="AZ61" s="69" t="n">
        <f aca="false">IF(AZ$6=1,Inputs!$B$45,0)</f>
        <v>0</v>
      </c>
      <c r="BA61" s="69" t="n">
        <f aca="false">IF(BA$6=1,Inputs!$B$45,0)</f>
        <v>0</v>
      </c>
      <c r="BB61" s="69" t="n">
        <f aca="false">IF(BB$6=1,Inputs!$B$45,0)</f>
        <v>0</v>
      </c>
      <c r="BC61" s="69" t="n">
        <f aca="false">IF(BC$6=1,Inputs!$B$45,0)</f>
        <v>0</v>
      </c>
      <c r="BD61" s="69" t="n">
        <f aca="false">IF(BD$6=1,Inputs!$B$45,0)</f>
        <v>0</v>
      </c>
      <c r="BE61" s="69" t="n">
        <f aca="false">IF(BE$6=1,Inputs!$B$45,0)</f>
        <v>0</v>
      </c>
      <c r="BF61" s="69" t="n">
        <f aca="false">IF(BF$6=1,Inputs!$B$45,0)</f>
        <v>0</v>
      </c>
      <c r="BG61" s="69" t="n">
        <f aca="false">IF(BG$6=1,Inputs!$B$45,0)</f>
        <v>0</v>
      </c>
      <c r="BH61" s="69" t="n">
        <f aca="false">IF(BH$6=1,Inputs!$B$45,0)</f>
        <v>0</v>
      </c>
      <c r="BI61" s="69" t="n">
        <f aca="false">IF(BI$6=1,Inputs!$B$45,0)</f>
        <v>0</v>
      </c>
      <c r="BJ61" s="69" t="n">
        <f aca="false">IF(BJ$6=1,Inputs!$B$45,0)</f>
        <v>0</v>
      </c>
    </row>
    <row r="62" customFormat="false" ht="15" hidden="false" customHeight="false" outlineLevel="0" collapsed="false">
      <c r="A62" s="6" t="s">
        <v>432</v>
      </c>
      <c r="C62" s="69" t="n">
        <f aca="false">IF(C$6=1,Inputs!$B$46,0)</f>
        <v>180000</v>
      </c>
      <c r="D62" s="69" t="n">
        <f aca="false">IF(D$6=1,Inputs!$B$46,0)</f>
        <v>0</v>
      </c>
      <c r="E62" s="69" t="n">
        <f aca="false">IF(E$6=1,Inputs!$B$46,0)</f>
        <v>0</v>
      </c>
      <c r="F62" s="69" t="n">
        <f aca="false">IF(F$6=1,Inputs!$B$46,0)</f>
        <v>0</v>
      </c>
      <c r="G62" s="69" t="n">
        <f aca="false">IF(G$6=1,Inputs!$B$46,0)</f>
        <v>0</v>
      </c>
      <c r="H62" s="69" t="n">
        <f aca="false">IF(H$6=1,Inputs!$B$46,0)</f>
        <v>0</v>
      </c>
      <c r="I62" s="69" t="n">
        <f aca="false">IF(I$6=1,Inputs!$B$46,0)</f>
        <v>0</v>
      </c>
      <c r="J62" s="69" t="n">
        <f aca="false">IF(J$6=1,Inputs!$B$46,0)</f>
        <v>0</v>
      </c>
      <c r="K62" s="69" t="n">
        <f aca="false">IF(K$6=1,Inputs!$B$46,0)</f>
        <v>0</v>
      </c>
      <c r="L62" s="69" t="n">
        <f aca="false">IF(L$6=1,Inputs!$B$46,0)</f>
        <v>0</v>
      </c>
      <c r="M62" s="69" t="n">
        <f aca="false">IF(M$6=1,Inputs!$B$46,0)</f>
        <v>0</v>
      </c>
      <c r="N62" s="69" t="n">
        <f aca="false">IF(N$6=1,Inputs!$B$46,0)</f>
        <v>0</v>
      </c>
      <c r="O62" s="69" t="n">
        <f aca="false">IF(O$6=1,Inputs!$B$46,0)</f>
        <v>0</v>
      </c>
      <c r="P62" s="69" t="n">
        <f aca="false">IF(P$6=1,Inputs!$B$46,0)</f>
        <v>0</v>
      </c>
      <c r="Q62" s="69" t="n">
        <f aca="false">IF(Q$6=1,Inputs!$B$46,0)</f>
        <v>0</v>
      </c>
      <c r="R62" s="69" t="n">
        <f aca="false">IF(R$6=1,Inputs!$B$46,0)</f>
        <v>0</v>
      </c>
      <c r="S62" s="69" t="n">
        <f aca="false">IF(S$6=1,Inputs!$B$46,0)</f>
        <v>0</v>
      </c>
      <c r="T62" s="69" t="n">
        <f aca="false">IF(T$6=1,Inputs!$B$46,0)</f>
        <v>0</v>
      </c>
      <c r="U62" s="69" t="n">
        <f aca="false">IF(U$6=1,Inputs!$B$46,0)</f>
        <v>0</v>
      </c>
      <c r="V62" s="69" t="n">
        <f aca="false">IF(V$6=1,Inputs!$B$46,0)</f>
        <v>0</v>
      </c>
      <c r="W62" s="69" t="n">
        <f aca="false">IF(W$6=1,Inputs!$B$46,0)</f>
        <v>0</v>
      </c>
      <c r="X62" s="69" t="n">
        <f aca="false">IF(X$6=1,Inputs!$B$46,0)</f>
        <v>0</v>
      </c>
      <c r="Y62" s="69" t="n">
        <f aca="false">IF(Y$6=1,Inputs!$B$46,0)</f>
        <v>0</v>
      </c>
      <c r="Z62" s="69" t="n">
        <f aca="false">IF(Z$6=1,Inputs!$B$46,0)</f>
        <v>0</v>
      </c>
      <c r="AA62" s="69" t="n">
        <f aca="false">IF(AA$6=1,Inputs!$B$46,0)</f>
        <v>0</v>
      </c>
      <c r="AB62" s="69" t="n">
        <f aca="false">IF(AB$6=1,Inputs!$B$46,0)</f>
        <v>0</v>
      </c>
      <c r="AC62" s="69" t="n">
        <f aca="false">IF(AC$6=1,Inputs!$B$46,0)</f>
        <v>0</v>
      </c>
      <c r="AD62" s="69" t="n">
        <f aca="false">IF(AD$6=1,Inputs!$B$46,0)</f>
        <v>0</v>
      </c>
      <c r="AE62" s="69" t="n">
        <f aca="false">IF(AE$6=1,Inputs!$B$46,0)</f>
        <v>0</v>
      </c>
      <c r="AF62" s="69" t="n">
        <f aca="false">IF(AF$6=1,Inputs!$B$46,0)</f>
        <v>0</v>
      </c>
      <c r="AG62" s="69" t="n">
        <f aca="false">IF(AG$6=1,Inputs!$B$46,0)</f>
        <v>0</v>
      </c>
      <c r="AH62" s="69" t="n">
        <f aca="false">IF(AH$6=1,Inputs!$B$46,0)</f>
        <v>0</v>
      </c>
      <c r="AI62" s="69" t="n">
        <f aca="false">IF(AI$6=1,Inputs!$B$46,0)</f>
        <v>0</v>
      </c>
      <c r="AJ62" s="69" t="n">
        <f aca="false">IF(AJ$6=1,Inputs!$B$46,0)</f>
        <v>0</v>
      </c>
      <c r="AK62" s="69" t="n">
        <f aca="false">IF(AK$6=1,Inputs!$B$46,0)</f>
        <v>0</v>
      </c>
      <c r="AL62" s="69" t="n">
        <f aca="false">IF(AL$6=1,Inputs!$B$46,0)</f>
        <v>0</v>
      </c>
      <c r="AM62" s="69" t="n">
        <f aca="false">IF(AM$6=1,Inputs!$B$46,0)</f>
        <v>0</v>
      </c>
      <c r="AN62" s="69" t="n">
        <f aca="false">IF(AN$6=1,Inputs!$B$46,0)</f>
        <v>0</v>
      </c>
      <c r="AO62" s="69" t="n">
        <f aca="false">IF(AO$6=1,Inputs!$B$46,0)</f>
        <v>0</v>
      </c>
      <c r="AP62" s="69" t="n">
        <f aca="false">IF(AP$6=1,Inputs!$B$46,0)</f>
        <v>0</v>
      </c>
      <c r="AQ62" s="69" t="n">
        <f aca="false">IF(AQ$6=1,Inputs!$B$46,0)</f>
        <v>0</v>
      </c>
      <c r="AR62" s="69" t="n">
        <f aca="false">IF(AR$6=1,Inputs!$B$46,0)</f>
        <v>0</v>
      </c>
      <c r="AS62" s="69" t="n">
        <f aca="false">IF(AS$6=1,Inputs!$B$46,0)</f>
        <v>0</v>
      </c>
      <c r="AT62" s="69" t="n">
        <f aca="false">IF(AT$6=1,Inputs!$B$46,0)</f>
        <v>0</v>
      </c>
      <c r="AU62" s="69" t="n">
        <f aca="false">IF(AU$6=1,Inputs!$B$46,0)</f>
        <v>0</v>
      </c>
      <c r="AV62" s="69" t="n">
        <f aca="false">IF(AV$6=1,Inputs!$B$46,0)</f>
        <v>0</v>
      </c>
      <c r="AW62" s="69" t="n">
        <f aca="false">IF(AW$6=1,Inputs!$B$46,0)</f>
        <v>0</v>
      </c>
      <c r="AX62" s="69" t="n">
        <f aca="false">IF(AX$6=1,Inputs!$B$46,0)</f>
        <v>0</v>
      </c>
      <c r="AY62" s="69" t="n">
        <f aca="false">IF(AY$6=1,Inputs!$B$46,0)</f>
        <v>0</v>
      </c>
      <c r="AZ62" s="69" t="n">
        <f aca="false">IF(AZ$6=1,Inputs!$B$46,0)</f>
        <v>0</v>
      </c>
      <c r="BA62" s="69" t="n">
        <f aca="false">IF(BA$6=1,Inputs!$B$46,0)</f>
        <v>0</v>
      </c>
      <c r="BB62" s="69" t="n">
        <f aca="false">IF(BB$6=1,Inputs!$B$46,0)</f>
        <v>0</v>
      </c>
      <c r="BC62" s="69" t="n">
        <f aca="false">IF(BC$6=1,Inputs!$B$46,0)</f>
        <v>0</v>
      </c>
      <c r="BD62" s="69" t="n">
        <f aca="false">IF(BD$6=1,Inputs!$B$46,0)</f>
        <v>0</v>
      </c>
      <c r="BE62" s="69" t="n">
        <f aca="false">IF(BE$6=1,Inputs!$B$46,0)</f>
        <v>0</v>
      </c>
      <c r="BF62" s="69" t="n">
        <f aca="false">IF(BF$6=1,Inputs!$B$46,0)</f>
        <v>0</v>
      </c>
      <c r="BG62" s="69" t="n">
        <f aca="false">IF(BG$6=1,Inputs!$B$46,0)</f>
        <v>0</v>
      </c>
      <c r="BH62" s="69" t="n">
        <f aca="false">IF(BH$6=1,Inputs!$B$46,0)</f>
        <v>0</v>
      </c>
      <c r="BI62" s="69" t="n">
        <f aca="false">IF(BI$6=1,Inputs!$B$46,0)</f>
        <v>0</v>
      </c>
      <c r="BJ62" s="69" t="n">
        <f aca="false">IF(BJ$6=1,Inputs!$B$46,0)</f>
        <v>0</v>
      </c>
    </row>
    <row r="63" customFormat="false" ht="15" hidden="false" customHeight="false" outlineLevel="0" collapsed="false">
      <c r="A63" s="6" t="s">
        <v>433</v>
      </c>
      <c r="C63" s="69" t="n">
        <f aca="false">IF(C$6=1,Inputs!$B$47,0)</f>
        <v>0</v>
      </c>
      <c r="D63" s="69" t="n">
        <f aca="false">IF(D$6=1,Inputs!$B$47,0)</f>
        <v>0</v>
      </c>
      <c r="E63" s="69" t="n">
        <f aca="false">IF(E$6=1,Inputs!$B$47,0)</f>
        <v>0</v>
      </c>
      <c r="F63" s="69" t="n">
        <f aca="false">IF(F$6=1,Inputs!$B$47,0)</f>
        <v>0</v>
      </c>
      <c r="G63" s="69" t="n">
        <f aca="false">IF(G$6=1,Inputs!$B$47,0)</f>
        <v>0</v>
      </c>
      <c r="H63" s="69" t="n">
        <f aca="false">IF(H$6=1,Inputs!$B$47,0)</f>
        <v>0</v>
      </c>
      <c r="I63" s="69" t="n">
        <f aca="false">IF(I$6=1,Inputs!$B$47,0)</f>
        <v>0</v>
      </c>
      <c r="J63" s="69" t="n">
        <f aca="false">IF(J$6=1,Inputs!$B$47,0)</f>
        <v>0</v>
      </c>
      <c r="K63" s="69" t="n">
        <f aca="false">IF(K$6=1,Inputs!$B$47,0)</f>
        <v>0</v>
      </c>
      <c r="L63" s="69" t="n">
        <f aca="false">IF(L$6=1,Inputs!$B$47,0)</f>
        <v>0</v>
      </c>
      <c r="M63" s="69" t="n">
        <f aca="false">IF(M$6=1,Inputs!$B$47,0)</f>
        <v>0</v>
      </c>
      <c r="N63" s="69" t="n">
        <f aca="false">IF(N$6=1,Inputs!$B$47,0)</f>
        <v>0</v>
      </c>
      <c r="O63" s="69" t="n">
        <f aca="false">IF(O$6=1,Inputs!$B$47,0)</f>
        <v>0</v>
      </c>
      <c r="P63" s="69" t="n">
        <f aca="false">IF(P$6=1,Inputs!$B$47,0)</f>
        <v>0</v>
      </c>
      <c r="Q63" s="69" t="n">
        <f aca="false">IF(Q$6=1,Inputs!$B$47,0)</f>
        <v>0</v>
      </c>
      <c r="R63" s="69" t="n">
        <f aca="false">IF(R$6=1,Inputs!$B$47,0)</f>
        <v>0</v>
      </c>
      <c r="S63" s="69" t="n">
        <f aca="false">IF(S$6=1,Inputs!$B$47,0)</f>
        <v>0</v>
      </c>
      <c r="T63" s="69" t="n">
        <f aca="false">IF(T$6=1,Inputs!$B$47,0)</f>
        <v>0</v>
      </c>
      <c r="U63" s="69" t="n">
        <f aca="false">IF(U$6=1,Inputs!$B$47,0)</f>
        <v>0</v>
      </c>
      <c r="V63" s="69" t="n">
        <f aca="false">IF(V$6=1,Inputs!$B$47,0)</f>
        <v>0</v>
      </c>
      <c r="W63" s="69" t="n">
        <f aca="false">IF(W$6=1,Inputs!$B$47,0)</f>
        <v>0</v>
      </c>
      <c r="X63" s="69" t="n">
        <f aca="false">IF(X$6=1,Inputs!$B$47,0)</f>
        <v>0</v>
      </c>
      <c r="Y63" s="69" t="n">
        <f aca="false">IF(Y$6=1,Inputs!$B$47,0)</f>
        <v>0</v>
      </c>
      <c r="Z63" s="69" t="n">
        <f aca="false">IF(Z$6=1,Inputs!$B$47,0)</f>
        <v>0</v>
      </c>
      <c r="AA63" s="69" t="n">
        <f aca="false">IF(AA$6=1,Inputs!$B$47,0)</f>
        <v>0</v>
      </c>
      <c r="AB63" s="69" t="n">
        <f aca="false">IF(AB$6=1,Inputs!$B$47,0)</f>
        <v>0</v>
      </c>
      <c r="AC63" s="69" t="n">
        <f aca="false">IF(AC$6=1,Inputs!$B$47,0)</f>
        <v>0</v>
      </c>
      <c r="AD63" s="69" t="n">
        <f aca="false">IF(AD$6=1,Inputs!$B$47,0)</f>
        <v>0</v>
      </c>
      <c r="AE63" s="69" t="n">
        <f aca="false">IF(AE$6=1,Inputs!$B$47,0)</f>
        <v>0</v>
      </c>
      <c r="AF63" s="69" t="n">
        <f aca="false">IF(AF$6=1,Inputs!$B$47,0)</f>
        <v>0</v>
      </c>
      <c r="AG63" s="69" t="n">
        <f aca="false">IF(AG$6=1,Inputs!$B$47,0)</f>
        <v>0</v>
      </c>
      <c r="AH63" s="69" t="n">
        <f aca="false">IF(AH$6=1,Inputs!$B$47,0)</f>
        <v>0</v>
      </c>
      <c r="AI63" s="69" t="n">
        <f aca="false">IF(AI$6=1,Inputs!$B$47,0)</f>
        <v>0</v>
      </c>
      <c r="AJ63" s="69" t="n">
        <f aca="false">IF(AJ$6=1,Inputs!$B$47,0)</f>
        <v>0</v>
      </c>
      <c r="AK63" s="69" t="n">
        <f aca="false">IF(AK$6=1,Inputs!$B$47,0)</f>
        <v>0</v>
      </c>
      <c r="AL63" s="69" t="n">
        <f aca="false">IF(AL$6=1,Inputs!$B$47,0)</f>
        <v>0</v>
      </c>
      <c r="AM63" s="69" t="n">
        <f aca="false">IF(AM$6=1,Inputs!$B$47,0)</f>
        <v>0</v>
      </c>
      <c r="AN63" s="69" t="n">
        <f aca="false">IF(AN$6=1,Inputs!$B$47,0)</f>
        <v>0</v>
      </c>
      <c r="AO63" s="69" t="n">
        <f aca="false">IF(AO$6=1,Inputs!$B$47,0)</f>
        <v>0</v>
      </c>
      <c r="AP63" s="69" t="n">
        <f aca="false">IF(AP$6=1,Inputs!$B$47,0)</f>
        <v>0</v>
      </c>
      <c r="AQ63" s="69" t="n">
        <f aca="false">IF(AQ$6=1,Inputs!$B$47,0)</f>
        <v>0</v>
      </c>
      <c r="AR63" s="69" t="n">
        <f aca="false">IF(AR$6=1,Inputs!$B$47,0)</f>
        <v>0</v>
      </c>
      <c r="AS63" s="69" t="n">
        <f aca="false">IF(AS$6=1,Inputs!$B$47,0)</f>
        <v>0</v>
      </c>
      <c r="AT63" s="69" t="n">
        <f aca="false">IF(AT$6=1,Inputs!$B$47,0)</f>
        <v>0</v>
      </c>
      <c r="AU63" s="69" t="n">
        <f aca="false">IF(AU$6=1,Inputs!$B$47,0)</f>
        <v>0</v>
      </c>
      <c r="AV63" s="69" t="n">
        <f aca="false">IF(AV$6=1,Inputs!$B$47,0)</f>
        <v>0</v>
      </c>
      <c r="AW63" s="69" t="n">
        <f aca="false">IF(AW$6=1,Inputs!$B$47,0)</f>
        <v>0</v>
      </c>
      <c r="AX63" s="69" t="n">
        <f aca="false">IF(AX$6=1,Inputs!$B$47,0)</f>
        <v>0</v>
      </c>
      <c r="AY63" s="69" t="n">
        <f aca="false">IF(AY$6=1,Inputs!$B$47,0)</f>
        <v>0</v>
      </c>
      <c r="AZ63" s="69" t="n">
        <f aca="false">IF(AZ$6=1,Inputs!$B$47,0)</f>
        <v>0</v>
      </c>
      <c r="BA63" s="69" t="n">
        <f aca="false">IF(BA$6=1,Inputs!$B$47,0)</f>
        <v>0</v>
      </c>
      <c r="BB63" s="69" t="n">
        <f aca="false">IF(BB$6=1,Inputs!$B$47,0)</f>
        <v>0</v>
      </c>
      <c r="BC63" s="69" t="n">
        <f aca="false">IF(BC$6=1,Inputs!$B$47,0)</f>
        <v>0</v>
      </c>
      <c r="BD63" s="69" t="n">
        <f aca="false">IF(BD$6=1,Inputs!$B$47,0)</f>
        <v>0</v>
      </c>
      <c r="BE63" s="69" t="n">
        <f aca="false">IF(BE$6=1,Inputs!$B$47,0)</f>
        <v>0</v>
      </c>
      <c r="BF63" s="69" t="n">
        <f aca="false">IF(BF$6=1,Inputs!$B$47,0)</f>
        <v>0</v>
      </c>
      <c r="BG63" s="69" t="n">
        <f aca="false">IF(BG$6=1,Inputs!$B$47,0)</f>
        <v>0</v>
      </c>
      <c r="BH63" s="69" t="n">
        <f aca="false">IF(BH$6=1,Inputs!$B$47,0)</f>
        <v>0</v>
      </c>
      <c r="BI63" s="69" t="n">
        <f aca="false">IF(BI$6=1,Inputs!$B$47,0)</f>
        <v>0</v>
      </c>
      <c r="BJ63" s="69" t="n">
        <f aca="false">IF(BJ$6=1,Inputs!$B$47,0)</f>
        <v>0</v>
      </c>
    </row>
    <row r="64" customFormat="false" ht="15" hidden="false" customHeight="false" outlineLevel="0" collapsed="false">
      <c r="A64" s="6" t="s">
        <v>434</v>
      </c>
      <c r="C64" s="69" t="n">
        <f aca="false">IF(AND(C$7&gt;1,MOD(C$6-1,12)=0),Inputs!$B$48,0)</f>
        <v>0</v>
      </c>
      <c r="D64" s="69" t="n">
        <f aca="false">IF(AND(D$7&gt;1,MOD(D$6-1,12)=0),Inputs!$B$48,0)</f>
        <v>0</v>
      </c>
      <c r="E64" s="69" t="n">
        <f aca="false">IF(AND(E$7&gt;1,MOD(E$6-1,12)=0),Inputs!$B$48,0)</f>
        <v>0</v>
      </c>
      <c r="F64" s="69" t="n">
        <f aca="false">IF(AND(F$7&gt;1,MOD(F$6-1,12)=0),Inputs!$B$48,0)</f>
        <v>0</v>
      </c>
      <c r="G64" s="69" t="n">
        <f aca="false">IF(AND(G$7&gt;1,MOD(G$6-1,12)=0),Inputs!$B$48,0)</f>
        <v>0</v>
      </c>
      <c r="H64" s="69" t="n">
        <f aca="false">IF(AND(H$7&gt;1,MOD(H$6-1,12)=0),Inputs!$B$48,0)</f>
        <v>0</v>
      </c>
      <c r="I64" s="69" t="n">
        <f aca="false">IF(AND(I$7&gt;1,MOD(I$6-1,12)=0),Inputs!$B$48,0)</f>
        <v>0</v>
      </c>
      <c r="J64" s="69" t="n">
        <f aca="false">IF(AND(J$7&gt;1,MOD(J$6-1,12)=0),Inputs!$B$48,0)</f>
        <v>0</v>
      </c>
      <c r="K64" s="69" t="n">
        <f aca="false">IF(AND(K$7&gt;1,MOD(K$6-1,12)=0),Inputs!$B$48,0)</f>
        <v>0</v>
      </c>
      <c r="L64" s="69" t="n">
        <f aca="false">IF(AND(L$7&gt;1,MOD(L$6-1,12)=0),Inputs!$B$48,0)</f>
        <v>0</v>
      </c>
      <c r="M64" s="69" t="n">
        <f aca="false">IF(AND(M$7&gt;1,MOD(M$6-1,12)=0),Inputs!$B$48,0)</f>
        <v>0</v>
      </c>
      <c r="N64" s="69" t="n">
        <f aca="false">IF(AND(N$7&gt;1,MOD(N$6-1,12)=0),Inputs!$B$48,0)</f>
        <v>0</v>
      </c>
      <c r="O64" s="69" t="n">
        <f aca="false">IF(AND(O$7&gt;1,MOD(O$6-1,12)=0),Inputs!$B$48,0)</f>
        <v>20000</v>
      </c>
      <c r="P64" s="69" t="n">
        <f aca="false">IF(AND(P$7&gt;1,MOD(P$6-1,12)=0),Inputs!$B$48,0)</f>
        <v>0</v>
      </c>
      <c r="Q64" s="69" t="n">
        <f aca="false">IF(AND(Q$7&gt;1,MOD(Q$6-1,12)=0),Inputs!$B$48,0)</f>
        <v>0</v>
      </c>
      <c r="R64" s="69" t="n">
        <f aca="false">IF(AND(R$7&gt;1,MOD(R$6-1,12)=0),Inputs!$B$48,0)</f>
        <v>0</v>
      </c>
      <c r="S64" s="69" t="n">
        <f aca="false">IF(AND(S$7&gt;1,MOD(S$6-1,12)=0),Inputs!$B$48,0)</f>
        <v>0</v>
      </c>
      <c r="T64" s="69" t="n">
        <f aca="false">IF(AND(T$7&gt;1,MOD(T$6-1,12)=0),Inputs!$B$48,0)</f>
        <v>0</v>
      </c>
      <c r="U64" s="69" t="n">
        <f aca="false">IF(AND(U$7&gt;1,MOD(U$6-1,12)=0),Inputs!$B$48,0)</f>
        <v>0</v>
      </c>
      <c r="V64" s="69" t="n">
        <f aca="false">IF(AND(V$7&gt;1,MOD(V$6-1,12)=0),Inputs!$B$48,0)</f>
        <v>0</v>
      </c>
      <c r="W64" s="69" t="n">
        <f aca="false">IF(AND(W$7&gt;1,MOD(W$6-1,12)=0),Inputs!$B$48,0)</f>
        <v>0</v>
      </c>
      <c r="X64" s="69" t="n">
        <f aca="false">IF(AND(X$7&gt;1,MOD(X$6-1,12)=0),Inputs!$B$48,0)</f>
        <v>0</v>
      </c>
      <c r="Y64" s="69" t="n">
        <f aca="false">IF(AND(Y$7&gt;1,MOD(Y$6-1,12)=0),Inputs!$B$48,0)</f>
        <v>0</v>
      </c>
      <c r="Z64" s="69" t="n">
        <f aca="false">IF(AND(Z$7&gt;1,MOD(Z$6-1,12)=0),Inputs!$B$48,0)</f>
        <v>0</v>
      </c>
      <c r="AA64" s="69" t="n">
        <f aca="false">IF(AND(AA$7&gt;1,MOD(AA$6-1,12)=0),Inputs!$B$48,0)</f>
        <v>20000</v>
      </c>
      <c r="AB64" s="69" t="n">
        <f aca="false">IF(AND(AB$7&gt;1,MOD(AB$6-1,12)=0),Inputs!$B$48,0)</f>
        <v>0</v>
      </c>
      <c r="AC64" s="69" t="n">
        <f aca="false">IF(AND(AC$7&gt;1,MOD(AC$6-1,12)=0),Inputs!$B$48,0)</f>
        <v>0</v>
      </c>
      <c r="AD64" s="69" t="n">
        <f aca="false">IF(AND(AD$7&gt;1,MOD(AD$6-1,12)=0),Inputs!$B$48,0)</f>
        <v>0</v>
      </c>
      <c r="AE64" s="69" t="n">
        <f aca="false">IF(AND(AE$7&gt;1,MOD(AE$6-1,12)=0),Inputs!$B$48,0)</f>
        <v>0</v>
      </c>
      <c r="AF64" s="69" t="n">
        <f aca="false">IF(AND(AF$7&gt;1,MOD(AF$6-1,12)=0),Inputs!$B$48,0)</f>
        <v>0</v>
      </c>
      <c r="AG64" s="69" t="n">
        <f aca="false">IF(AND(AG$7&gt;1,MOD(AG$6-1,12)=0),Inputs!$B$48,0)</f>
        <v>0</v>
      </c>
      <c r="AH64" s="69" t="n">
        <f aca="false">IF(AND(AH$7&gt;1,MOD(AH$6-1,12)=0),Inputs!$B$48,0)</f>
        <v>0</v>
      </c>
      <c r="AI64" s="69" t="n">
        <f aca="false">IF(AND(AI$7&gt;1,MOD(AI$6-1,12)=0),Inputs!$B$48,0)</f>
        <v>0</v>
      </c>
      <c r="AJ64" s="69" t="n">
        <f aca="false">IF(AND(AJ$7&gt;1,MOD(AJ$6-1,12)=0),Inputs!$B$48,0)</f>
        <v>0</v>
      </c>
      <c r="AK64" s="69" t="n">
        <f aca="false">IF(AND(AK$7&gt;1,MOD(AK$6-1,12)=0),Inputs!$B$48,0)</f>
        <v>0</v>
      </c>
      <c r="AL64" s="69" t="n">
        <f aca="false">IF(AND(AL$7&gt;1,MOD(AL$6-1,12)=0),Inputs!$B$48,0)</f>
        <v>0</v>
      </c>
      <c r="AM64" s="69" t="n">
        <f aca="false">IF(AND(AM$7&gt;1,MOD(AM$6-1,12)=0),Inputs!$B$48,0)</f>
        <v>20000</v>
      </c>
      <c r="AN64" s="69" t="n">
        <f aca="false">IF(AND(AN$7&gt;1,MOD(AN$6-1,12)=0),Inputs!$B$48,0)</f>
        <v>0</v>
      </c>
      <c r="AO64" s="69" t="n">
        <f aca="false">IF(AND(AO$7&gt;1,MOD(AO$6-1,12)=0),Inputs!$B$48,0)</f>
        <v>0</v>
      </c>
      <c r="AP64" s="69" t="n">
        <f aca="false">IF(AND(AP$7&gt;1,MOD(AP$6-1,12)=0),Inputs!$B$48,0)</f>
        <v>0</v>
      </c>
      <c r="AQ64" s="69" t="n">
        <f aca="false">IF(AND(AQ$7&gt;1,MOD(AQ$6-1,12)=0),Inputs!$B$48,0)</f>
        <v>0</v>
      </c>
      <c r="AR64" s="69" t="n">
        <f aca="false">IF(AND(AR$7&gt;1,MOD(AR$6-1,12)=0),Inputs!$B$48,0)</f>
        <v>0</v>
      </c>
      <c r="AS64" s="69" t="n">
        <f aca="false">IF(AND(AS$7&gt;1,MOD(AS$6-1,12)=0),Inputs!$B$48,0)</f>
        <v>0</v>
      </c>
      <c r="AT64" s="69" t="n">
        <f aca="false">IF(AND(AT$7&gt;1,MOD(AT$6-1,12)=0),Inputs!$B$48,0)</f>
        <v>0</v>
      </c>
      <c r="AU64" s="69" t="n">
        <f aca="false">IF(AND(AU$7&gt;1,MOD(AU$6-1,12)=0),Inputs!$B$48,0)</f>
        <v>0</v>
      </c>
      <c r="AV64" s="69" t="n">
        <f aca="false">IF(AND(AV$7&gt;1,MOD(AV$6-1,12)=0),Inputs!$B$48,0)</f>
        <v>0</v>
      </c>
      <c r="AW64" s="69" t="n">
        <f aca="false">IF(AND(AW$7&gt;1,MOD(AW$6-1,12)=0),Inputs!$B$48,0)</f>
        <v>0</v>
      </c>
      <c r="AX64" s="69" t="n">
        <f aca="false">IF(AND(AX$7&gt;1,MOD(AX$6-1,12)=0),Inputs!$B$48,0)</f>
        <v>0</v>
      </c>
      <c r="AY64" s="69" t="n">
        <f aca="false">IF(AND(AY$7&gt;1,MOD(AY$6-1,12)=0),Inputs!$B$48,0)</f>
        <v>20000</v>
      </c>
      <c r="AZ64" s="69" t="n">
        <f aca="false">IF(AND(AZ$7&gt;1,MOD(AZ$6-1,12)=0),Inputs!$B$48,0)</f>
        <v>0</v>
      </c>
      <c r="BA64" s="69" t="n">
        <f aca="false">IF(AND(BA$7&gt;1,MOD(BA$6-1,12)=0),Inputs!$B$48,0)</f>
        <v>0</v>
      </c>
      <c r="BB64" s="69" t="n">
        <f aca="false">IF(AND(BB$7&gt;1,MOD(BB$6-1,12)=0),Inputs!$B$48,0)</f>
        <v>0</v>
      </c>
      <c r="BC64" s="69" t="n">
        <f aca="false">IF(AND(BC$7&gt;1,MOD(BC$6-1,12)=0),Inputs!$B$48,0)</f>
        <v>0</v>
      </c>
      <c r="BD64" s="69" t="n">
        <f aca="false">IF(AND(BD$7&gt;1,MOD(BD$6-1,12)=0),Inputs!$B$48,0)</f>
        <v>0</v>
      </c>
      <c r="BE64" s="69" t="n">
        <f aca="false">IF(AND(BE$7&gt;1,MOD(BE$6-1,12)=0),Inputs!$B$48,0)</f>
        <v>0</v>
      </c>
      <c r="BF64" s="69" t="n">
        <f aca="false">IF(AND(BF$7&gt;1,MOD(BF$6-1,12)=0),Inputs!$B$48,0)</f>
        <v>0</v>
      </c>
      <c r="BG64" s="69" t="n">
        <f aca="false">IF(AND(BG$7&gt;1,MOD(BG$6-1,12)=0),Inputs!$B$48,0)</f>
        <v>0</v>
      </c>
      <c r="BH64" s="69" t="n">
        <f aca="false">IF(AND(BH$7&gt;1,MOD(BH$6-1,12)=0),Inputs!$B$48,0)</f>
        <v>0</v>
      </c>
      <c r="BI64" s="69" t="n">
        <f aca="false">IF(AND(BI$7&gt;1,MOD(BI$6-1,12)=0),Inputs!$B$48,0)</f>
        <v>0</v>
      </c>
      <c r="BJ64" s="69" t="n">
        <f aca="false">IF(AND(BJ$7&gt;1,MOD(BJ$6-1,12)=0),Inputs!$B$48,0)</f>
        <v>0</v>
      </c>
    </row>
    <row r="65" customFormat="false" ht="15" hidden="false" customHeight="false" outlineLevel="0" collapsed="false">
      <c r="A65" s="4" t="s">
        <v>84</v>
      </c>
      <c r="C65" s="75" t="n">
        <f aca="false">C60+C61+C62+C63+C64</f>
        <v>382000</v>
      </c>
      <c r="D65" s="75" t="n">
        <f aca="false">D60+D61+D62+D63+D64</f>
        <v>0</v>
      </c>
      <c r="E65" s="75" t="n">
        <f aca="false">E60+E61+E62+E63+E64</f>
        <v>0</v>
      </c>
      <c r="F65" s="75" t="n">
        <f aca="false">F60+F61+F62+F63+F64</f>
        <v>0</v>
      </c>
      <c r="G65" s="75" t="n">
        <f aca="false">G60+G61+G62+G63+G64</f>
        <v>0</v>
      </c>
      <c r="H65" s="75" t="n">
        <f aca="false">H60+H61+H62+H63+H64</f>
        <v>0</v>
      </c>
      <c r="I65" s="75" t="n">
        <f aca="false">I60+I61+I62+I63+I64</f>
        <v>0</v>
      </c>
      <c r="J65" s="75" t="n">
        <f aca="false">J60+J61+J62+J63+J64</f>
        <v>0</v>
      </c>
      <c r="K65" s="75" t="n">
        <f aca="false">K60+K61+K62+K63+K64</f>
        <v>0</v>
      </c>
      <c r="L65" s="75" t="n">
        <f aca="false">L60+L61+L62+L63+L64</f>
        <v>0</v>
      </c>
      <c r="M65" s="75" t="n">
        <f aca="false">M60+M61+M62+M63+M64</f>
        <v>0</v>
      </c>
      <c r="N65" s="75" t="n">
        <f aca="false">N60+N61+N62+N63+N64</f>
        <v>0</v>
      </c>
      <c r="O65" s="75" t="n">
        <f aca="false">O60+O61+O62+O63+O64</f>
        <v>20000</v>
      </c>
      <c r="P65" s="75" t="n">
        <f aca="false">P60+P61+P62+P63+P64</f>
        <v>0</v>
      </c>
      <c r="Q65" s="75" t="n">
        <f aca="false">Q60+Q61+Q62+Q63+Q64</f>
        <v>0</v>
      </c>
      <c r="R65" s="75" t="n">
        <f aca="false">R60+R61+R62+R63+R64</f>
        <v>0</v>
      </c>
      <c r="S65" s="75" t="n">
        <f aca="false">S60+S61+S62+S63+S64</f>
        <v>0</v>
      </c>
      <c r="T65" s="75" t="n">
        <f aca="false">T60+T61+T62+T63+T64</f>
        <v>0</v>
      </c>
      <c r="U65" s="75" t="n">
        <f aca="false">U60+U61+U62+U63+U64</f>
        <v>0</v>
      </c>
      <c r="V65" s="75" t="n">
        <f aca="false">V60+V61+V62+V63+V64</f>
        <v>0</v>
      </c>
      <c r="W65" s="75" t="n">
        <f aca="false">W60+W61+W62+W63+W64</f>
        <v>0</v>
      </c>
      <c r="X65" s="75" t="n">
        <f aca="false">X60+X61+X62+X63+X64</f>
        <v>0</v>
      </c>
      <c r="Y65" s="75" t="n">
        <f aca="false">Y60+Y61+Y62+Y63+Y64</f>
        <v>0</v>
      </c>
      <c r="Z65" s="75" t="n">
        <f aca="false">Z60+Z61+Z62+Z63+Z64</f>
        <v>0</v>
      </c>
      <c r="AA65" s="75" t="n">
        <f aca="false">AA60+AA61+AA62+AA63+AA64</f>
        <v>20000</v>
      </c>
      <c r="AB65" s="75" t="n">
        <f aca="false">AB60+AB61+AB62+AB63+AB64</f>
        <v>0</v>
      </c>
      <c r="AC65" s="75" t="n">
        <f aca="false">AC60+AC61+AC62+AC63+AC64</f>
        <v>0</v>
      </c>
      <c r="AD65" s="75" t="n">
        <f aca="false">AD60+AD61+AD62+AD63+AD64</f>
        <v>0</v>
      </c>
      <c r="AE65" s="75" t="n">
        <f aca="false">AE60+AE61+AE62+AE63+AE64</f>
        <v>0</v>
      </c>
      <c r="AF65" s="75" t="n">
        <f aca="false">AF60+AF61+AF62+AF63+AF64</f>
        <v>0</v>
      </c>
      <c r="AG65" s="75" t="n">
        <f aca="false">AG60+AG61+AG62+AG63+AG64</f>
        <v>0</v>
      </c>
      <c r="AH65" s="75" t="n">
        <f aca="false">AH60+AH61+AH62+AH63+AH64</f>
        <v>0</v>
      </c>
      <c r="AI65" s="75" t="n">
        <f aca="false">AI60+AI61+AI62+AI63+AI64</f>
        <v>0</v>
      </c>
      <c r="AJ65" s="75" t="n">
        <f aca="false">AJ60+AJ61+AJ62+AJ63+AJ64</f>
        <v>0</v>
      </c>
      <c r="AK65" s="75" t="n">
        <f aca="false">AK60+AK61+AK62+AK63+AK64</f>
        <v>0</v>
      </c>
      <c r="AL65" s="75" t="n">
        <f aca="false">AL60+AL61+AL62+AL63+AL64</f>
        <v>0</v>
      </c>
      <c r="AM65" s="75" t="n">
        <f aca="false">AM60+AM61+AM62+AM63+AM64</f>
        <v>20000</v>
      </c>
      <c r="AN65" s="75" t="n">
        <f aca="false">AN60+AN61+AN62+AN63+AN64</f>
        <v>0</v>
      </c>
      <c r="AO65" s="75" t="n">
        <f aca="false">AO60+AO61+AO62+AO63+AO64</f>
        <v>0</v>
      </c>
      <c r="AP65" s="75" t="n">
        <f aca="false">AP60+AP61+AP62+AP63+AP64</f>
        <v>0</v>
      </c>
      <c r="AQ65" s="75" t="n">
        <f aca="false">AQ60+AQ61+AQ62+AQ63+AQ64</f>
        <v>0</v>
      </c>
      <c r="AR65" s="75" t="n">
        <f aca="false">AR60+AR61+AR62+AR63+AR64</f>
        <v>0</v>
      </c>
      <c r="AS65" s="75" t="n">
        <f aca="false">AS60+AS61+AS62+AS63+AS64</f>
        <v>0</v>
      </c>
      <c r="AT65" s="75" t="n">
        <f aca="false">AT60+AT61+AT62+AT63+AT64</f>
        <v>0</v>
      </c>
      <c r="AU65" s="75" t="n">
        <f aca="false">AU60+AU61+AU62+AU63+AU64</f>
        <v>0</v>
      </c>
      <c r="AV65" s="75" t="n">
        <f aca="false">AV60+AV61+AV62+AV63+AV64</f>
        <v>0</v>
      </c>
      <c r="AW65" s="75" t="n">
        <f aca="false">AW60+AW61+AW62+AW63+AW64</f>
        <v>0</v>
      </c>
      <c r="AX65" s="75" t="n">
        <f aca="false">AX60+AX61+AX62+AX63+AX64</f>
        <v>0</v>
      </c>
      <c r="AY65" s="75" t="n">
        <f aca="false">AY60+AY61+AY62+AY63+AY64</f>
        <v>20000</v>
      </c>
      <c r="AZ65" s="75" t="n">
        <f aca="false">AZ60+AZ61+AZ62+AZ63+AZ64</f>
        <v>0</v>
      </c>
      <c r="BA65" s="75" t="n">
        <f aca="false">BA60+BA61+BA62+BA63+BA64</f>
        <v>0</v>
      </c>
      <c r="BB65" s="75" t="n">
        <f aca="false">BB60+BB61+BB62+BB63+BB64</f>
        <v>0</v>
      </c>
      <c r="BC65" s="75" t="n">
        <f aca="false">BC60+BC61+BC62+BC63+BC64</f>
        <v>0</v>
      </c>
      <c r="BD65" s="75" t="n">
        <f aca="false">BD60+BD61+BD62+BD63+BD64</f>
        <v>0</v>
      </c>
      <c r="BE65" s="75" t="n">
        <f aca="false">BE60+BE61+BE62+BE63+BE64</f>
        <v>0</v>
      </c>
      <c r="BF65" s="75" t="n">
        <f aca="false">BF60+BF61+BF62+BF63+BF64</f>
        <v>0</v>
      </c>
      <c r="BG65" s="75" t="n">
        <f aca="false">BG60+BG61+BG62+BG63+BG64</f>
        <v>0</v>
      </c>
      <c r="BH65" s="75" t="n">
        <f aca="false">BH60+BH61+BH62+BH63+BH64</f>
        <v>0</v>
      </c>
      <c r="BI65" s="75" t="n">
        <f aca="false">BI60+BI61+BI62+BI63+BI64</f>
        <v>0</v>
      </c>
      <c r="BJ65" s="75" t="n">
        <f aca="false">BJ60+BJ61+BJ62+BJ63+BJ64</f>
        <v>0</v>
      </c>
    </row>
    <row r="66" customFormat="false" ht="15" hidden="false" customHeight="false" outlineLevel="0" collapsed="false">
      <c r="A66" s="6" t="s">
        <v>435</v>
      </c>
      <c r="C66" s="69" t="n">
        <f aca="false">C65</f>
        <v>382000</v>
      </c>
      <c r="D66" s="69" t="n">
        <f aca="false">C66+D65</f>
        <v>382000</v>
      </c>
      <c r="E66" s="69" t="n">
        <f aca="false">D66+E65</f>
        <v>382000</v>
      </c>
      <c r="F66" s="69" t="n">
        <f aca="false">E66+F65</f>
        <v>382000</v>
      </c>
      <c r="G66" s="69" t="n">
        <f aca="false">F66+G65</f>
        <v>382000</v>
      </c>
      <c r="H66" s="69" t="n">
        <f aca="false">G66+H65</f>
        <v>382000</v>
      </c>
      <c r="I66" s="69" t="n">
        <f aca="false">H66+I65</f>
        <v>382000</v>
      </c>
      <c r="J66" s="69" t="n">
        <f aca="false">I66+J65</f>
        <v>382000</v>
      </c>
      <c r="K66" s="69" t="n">
        <f aca="false">J66+K65</f>
        <v>382000</v>
      </c>
      <c r="L66" s="69" t="n">
        <f aca="false">K66+L65</f>
        <v>382000</v>
      </c>
      <c r="M66" s="69" t="n">
        <f aca="false">L66+M65</f>
        <v>382000</v>
      </c>
      <c r="N66" s="69" t="n">
        <f aca="false">M66+N65</f>
        <v>382000</v>
      </c>
      <c r="O66" s="69" t="n">
        <f aca="false">N66+O65</f>
        <v>402000</v>
      </c>
      <c r="P66" s="69" t="n">
        <f aca="false">O66+P65</f>
        <v>402000</v>
      </c>
      <c r="Q66" s="69" t="n">
        <f aca="false">P66+Q65</f>
        <v>402000</v>
      </c>
      <c r="R66" s="69" t="n">
        <f aca="false">Q66+R65</f>
        <v>402000</v>
      </c>
      <c r="S66" s="69" t="n">
        <f aca="false">R66+S65</f>
        <v>402000</v>
      </c>
      <c r="T66" s="69" t="n">
        <f aca="false">S66+T65</f>
        <v>402000</v>
      </c>
      <c r="U66" s="69" t="n">
        <f aca="false">T66+U65</f>
        <v>402000</v>
      </c>
      <c r="V66" s="69" t="n">
        <f aca="false">U66+V65</f>
        <v>402000</v>
      </c>
      <c r="W66" s="69" t="n">
        <f aca="false">V66+W65</f>
        <v>402000</v>
      </c>
      <c r="X66" s="69" t="n">
        <f aca="false">W66+X65</f>
        <v>402000</v>
      </c>
      <c r="Y66" s="69" t="n">
        <f aca="false">X66+Y65</f>
        <v>402000</v>
      </c>
      <c r="Z66" s="69" t="n">
        <f aca="false">Y66+Z65</f>
        <v>402000</v>
      </c>
      <c r="AA66" s="69" t="n">
        <f aca="false">Z66+AA65</f>
        <v>422000</v>
      </c>
      <c r="AB66" s="69" t="n">
        <f aca="false">AA66+AB65</f>
        <v>422000</v>
      </c>
      <c r="AC66" s="69" t="n">
        <f aca="false">AB66+AC65</f>
        <v>422000</v>
      </c>
      <c r="AD66" s="69" t="n">
        <f aca="false">AC66+AD65</f>
        <v>422000</v>
      </c>
      <c r="AE66" s="69" t="n">
        <f aca="false">AD66+AE65</f>
        <v>422000</v>
      </c>
      <c r="AF66" s="69" t="n">
        <f aca="false">AE66+AF65</f>
        <v>422000</v>
      </c>
      <c r="AG66" s="69" t="n">
        <f aca="false">AF66+AG65</f>
        <v>422000</v>
      </c>
      <c r="AH66" s="69" t="n">
        <f aca="false">AG66+AH65</f>
        <v>422000</v>
      </c>
      <c r="AI66" s="69" t="n">
        <f aca="false">AH66+AI65</f>
        <v>422000</v>
      </c>
      <c r="AJ66" s="69" t="n">
        <f aca="false">AI66+AJ65</f>
        <v>422000</v>
      </c>
      <c r="AK66" s="69" t="n">
        <f aca="false">AJ66+AK65</f>
        <v>422000</v>
      </c>
      <c r="AL66" s="69" t="n">
        <f aca="false">AK66+AL65</f>
        <v>422000</v>
      </c>
      <c r="AM66" s="69" t="n">
        <f aca="false">AL66+AM65</f>
        <v>442000</v>
      </c>
      <c r="AN66" s="69" t="n">
        <f aca="false">AM66+AN65</f>
        <v>442000</v>
      </c>
      <c r="AO66" s="69" t="n">
        <f aca="false">AN66+AO65</f>
        <v>442000</v>
      </c>
      <c r="AP66" s="69" t="n">
        <f aca="false">AO66+AP65</f>
        <v>442000</v>
      </c>
      <c r="AQ66" s="69" t="n">
        <f aca="false">AP66+AQ65</f>
        <v>442000</v>
      </c>
      <c r="AR66" s="69" t="n">
        <f aca="false">AQ66+AR65</f>
        <v>442000</v>
      </c>
      <c r="AS66" s="69" t="n">
        <f aca="false">AR66+AS65</f>
        <v>442000</v>
      </c>
      <c r="AT66" s="69" t="n">
        <f aca="false">AS66+AT65</f>
        <v>442000</v>
      </c>
      <c r="AU66" s="69" t="n">
        <f aca="false">AT66+AU65</f>
        <v>442000</v>
      </c>
      <c r="AV66" s="69" t="n">
        <f aca="false">AU66+AV65</f>
        <v>442000</v>
      </c>
      <c r="AW66" s="69" t="n">
        <f aca="false">AV66+AW65</f>
        <v>442000</v>
      </c>
      <c r="AX66" s="69" t="n">
        <f aca="false">AW66+AX65</f>
        <v>442000</v>
      </c>
      <c r="AY66" s="69" t="n">
        <f aca="false">AX66+AY65</f>
        <v>462000</v>
      </c>
      <c r="AZ66" s="69" t="n">
        <f aca="false">AY66+AZ65</f>
        <v>462000</v>
      </c>
      <c r="BA66" s="69" t="n">
        <f aca="false">AZ66+BA65</f>
        <v>462000</v>
      </c>
      <c r="BB66" s="69" t="n">
        <f aca="false">BA66+BB65</f>
        <v>462000</v>
      </c>
      <c r="BC66" s="69" t="n">
        <f aca="false">BB66+BC65</f>
        <v>462000</v>
      </c>
      <c r="BD66" s="69" t="n">
        <f aca="false">BC66+BD65</f>
        <v>462000</v>
      </c>
      <c r="BE66" s="69" t="n">
        <f aca="false">BD66+BE65</f>
        <v>462000</v>
      </c>
      <c r="BF66" s="69" t="n">
        <f aca="false">BE66+BF65</f>
        <v>462000</v>
      </c>
      <c r="BG66" s="69" t="n">
        <f aca="false">BF66+BG65</f>
        <v>462000</v>
      </c>
      <c r="BH66" s="69" t="n">
        <f aca="false">BG66+BH65</f>
        <v>462000</v>
      </c>
      <c r="BI66" s="69" t="n">
        <f aca="false">BH66+BI65</f>
        <v>462000</v>
      </c>
      <c r="BJ66" s="69" t="n">
        <f aca="false">BI66+BJ65</f>
        <v>462000</v>
      </c>
    </row>
    <row r="67" customFormat="false" ht="15" hidden="false" customHeight="false" outlineLevel="0" collapsed="false">
      <c r="A67" s="6" t="s">
        <v>436</v>
      </c>
      <c r="C67" s="69" t="n">
        <f aca="false">C63</f>
        <v>0</v>
      </c>
      <c r="D67" s="69" t="n">
        <f aca="false">C67+D63</f>
        <v>0</v>
      </c>
      <c r="E67" s="69" t="n">
        <f aca="false">D67+E63</f>
        <v>0</v>
      </c>
      <c r="F67" s="69" t="n">
        <f aca="false">E67+F63</f>
        <v>0</v>
      </c>
      <c r="G67" s="69" t="n">
        <f aca="false">F67+G63</f>
        <v>0</v>
      </c>
      <c r="H67" s="69" t="n">
        <f aca="false">G67+H63</f>
        <v>0</v>
      </c>
      <c r="I67" s="69" t="n">
        <f aca="false">H67+I63</f>
        <v>0</v>
      </c>
      <c r="J67" s="69" t="n">
        <f aca="false">I67+J63</f>
        <v>0</v>
      </c>
      <c r="K67" s="69" t="n">
        <f aca="false">J67+K63</f>
        <v>0</v>
      </c>
      <c r="L67" s="69" t="n">
        <f aca="false">K67+L63</f>
        <v>0</v>
      </c>
      <c r="M67" s="69" t="n">
        <f aca="false">L67+M63</f>
        <v>0</v>
      </c>
      <c r="N67" s="69" t="n">
        <f aca="false">M67+N63</f>
        <v>0</v>
      </c>
      <c r="O67" s="69" t="n">
        <f aca="false">N67+O63</f>
        <v>0</v>
      </c>
      <c r="P67" s="69" t="n">
        <f aca="false">O67+P63</f>
        <v>0</v>
      </c>
      <c r="Q67" s="69" t="n">
        <f aca="false">P67+Q63</f>
        <v>0</v>
      </c>
      <c r="R67" s="69" t="n">
        <f aca="false">Q67+R63</f>
        <v>0</v>
      </c>
      <c r="S67" s="69" t="n">
        <f aca="false">R67+S63</f>
        <v>0</v>
      </c>
      <c r="T67" s="69" t="n">
        <f aca="false">S67+T63</f>
        <v>0</v>
      </c>
      <c r="U67" s="69" t="n">
        <f aca="false">T67+U63</f>
        <v>0</v>
      </c>
      <c r="V67" s="69" t="n">
        <f aca="false">U67+V63</f>
        <v>0</v>
      </c>
      <c r="W67" s="69" t="n">
        <f aca="false">V67+W63</f>
        <v>0</v>
      </c>
      <c r="X67" s="69" t="n">
        <f aca="false">W67+X63</f>
        <v>0</v>
      </c>
      <c r="Y67" s="69" t="n">
        <f aca="false">X67+Y63</f>
        <v>0</v>
      </c>
      <c r="Z67" s="69" t="n">
        <f aca="false">Y67+Z63</f>
        <v>0</v>
      </c>
      <c r="AA67" s="69" t="n">
        <f aca="false">Z67+AA63</f>
        <v>0</v>
      </c>
      <c r="AB67" s="69" t="n">
        <f aca="false">AA67+AB63</f>
        <v>0</v>
      </c>
      <c r="AC67" s="69" t="n">
        <f aca="false">AB67+AC63</f>
        <v>0</v>
      </c>
      <c r="AD67" s="69" t="n">
        <f aca="false">AC67+AD63</f>
        <v>0</v>
      </c>
      <c r="AE67" s="69" t="n">
        <f aca="false">AD67+AE63</f>
        <v>0</v>
      </c>
      <c r="AF67" s="69" t="n">
        <f aca="false">AE67+AF63</f>
        <v>0</v>
      </c>
      <c r="AG67" s="69" t="n">
        <f aca="false">AF67+AG63</f>
        <v>0</v>
      </c>
      <c r="AH67" s="69" t="n">
        <f aca="false">AG67+AH63</f>
        <v>0</v>
      </c>
      <c r="AI67" s="69" t="n">
        <f aca="false">AH67+AI63</f>
        <v>0</v>
      </c>
      <c r="AJ67" s="69" t="n">
        <f aca="false">AI67+AJ63</f>
        <v>0</v>
      </c>
      <c r="AK67" s="69" t="n">
        <f aca="false">AJ67+AK63</f>
        <v>0</v>
      </c>
      <c r="AL67" s="69" t="n">
        <f aca="false">AK67+AL63</f>
        <v>0</v>
      </c>
      <c r="AM67" s="69" t="n">
        <f aca="false">AL67+AM63</f>
        <v>0</v>
      </c>
      <c r="AN67" s="69" t="n">
        <f aca="false">AM67+AN63</f>
        <v>0</v>
      </c>
      <c r="AO67" s="69" t="n">
        <f aca="false">AN67+AO63</f>
        <v>0</v>
      </c>
      <c r="AP67" s="69" t="n">
        <f aca="false">AO67+AP63</f>
        <v>0</v>
      </c>
      <c r="AQ67" s="69" t="n">
        <f aca="false">AP67+AQ63</f>
        <v>0</v>
      </c>
      <c r="AR67" s="69" t="n">
        <f aca="false">AQ67+AR63</f>
        <v>0</v>
      </c>
      <c r="AS67" s="69" t="n">
        <f aca="false">AR67+AS63</f>
        <v>0</v>
      </c>
      <c r="AT67" s="69" t="n">
        <f aca="false">AS67+AT63</f>
        <v>0</v>
      </c>
      <c r="AU67" s="69" t="n">
        <f aca="false">AT67+AU63</f>
        <v>0</v>
      </c>
      <c r="AV67" s="69" t="n">
        <f aca="false">AU67+AV63</f>
        <v>0</v>
      </c>
      <c r="AW67" s="69" t="n">
        <f aca="false">AV67+AW63</f>
        <v>0</v>
      </c>
      <c r="AX67" s="69" t="n">
        <f aca="false">AW67+AX63</f>
        <v>0</v>
      </c>
      <c r="AY67" s="69" t="n">
        <f aca="false">AX67+AY63</f>
        <v>0</v>
      </c>
      <c r="AZ67" s="69" t="n">
        <f aca="false">AY67+AZ63</f>
        <v>0</v>
      </c>
      <c r="BA67" s="69" t="n">
        <f aca="false">AZ67+BA63</f>
        <v>0</v>
      </c>
      <c r="BB67" s="69" t="n">
        <f aca="false">BA67+BB63</f>
        <v>0</v>
      </c>
      <c r="BC67" s="69" t="n">
        <f aca="false">BB67+BC63</f>
        <v>0</v>
      </c>
      <c r="BD67" s="69" t="n">
        <f aca="false">BC67+BD63</f>
        <v>0</v>
      </c>
      <c r="BE67" s="69" t="n">
        <f aca="false">BD67+BE63</f>
        <v>0</v>
      </c>
      <c r="BF67" s="69" t="n">
        <f aca="false">BE67+BF63</f>
        <v>0</v>
      </c>
      <c r="BG67" s="69" t="n">
        <f aca="false">BF67+BG63</f>
        <v>0</v>
      </c>
      <c r="BH67" s="69" t="n">
        <f aca="false">BG67+BH63</f>
        <v>0</v>
      </c>
      <c r="BI67" s="69" t="n">
        <f aca="false">BH67+BI63</f>
        <v>0</v>
      </c>
      <c r="BJ67" s="69" t="n">
        <f aca="false">BI67+BJ63</f>
        <v>0</v>
      </c>
    </row>
    <row r="68" customFormat="false" ht="15" hidden="false" customHeight="false" outlineLevel="0" collapsed="false">
      <c r="A68" s="6" t="s">
        <v>78</v>
      </c>
      <c r="C68" s="69" t="n">
        <f aca="false">-MIN((C66-C67)/MAX(1,Inputs!$B$78*12),C65-C67)</f>
        <v>-3979.16666666667</v>
      </c>
      <c r="D68" s="69" t="n">
        <f aca="false">-MIN((D66-D67)/MAX(1,Inputs!$B$78*12),C70+D65-D67)</f>
        <v>-3979.16666666667</v>
      </c>
      <c r="E68" s="69" t="n">
        <f aca="false">-MIN((E66-E67)/MAX(1,Inputs!$B$78*12),D70+E65-E67)</f>
        <v>-3979.16666666667</v>
      </c>
      <c r="F68" s="69" t="n">
        <f aca="false">-MIN((F66-F67)/MAX(1,Inputs!$B$78*12),E70+F65-F67)</f>
        <v>-3979.16666666667</v>
      </c>
      <c r="G68" s="69" t="n">
        <f aca="false">-MIN((G66-G67)/MAX(1,Inputs!$B$78*12),F70+G65-G67)</f>
        <v>-3979.16666666667</v>
      </c>
      <c r="H68" s="69" t="n">
        <f aca="false">-MIN((H66-H67)/MAX(1,Inputs!$B$78*12),G70+H65-H67)</f>
        <v>-3979.16666666667</v>
      </c>
      <c r="I68" s="69" t="n">
        <f aca="false">-MIN((I66-I67)/MAX(1,Inputs!$B$78*12),H70+I65-I67)</f>
        <v>-3979.16666666667</v>
      </c>
      <c r="J68" s="69" t="n">
        <f aca="false">-MIN((J66-J67)/MAX(1,Inputs!$B$78*12),I70+J65-J67)</f>
        <v>-3979.16666666667</v>
      </c>
      <c r="K68" s="69" t="n">
        <f aca="false">-MIN((K66-K67)/MAX(1,Inputs!$B$78*12),J70+K65-K67)</f>
        <v>-3979.16666666667</v>
      </c>
      <c r="L68" s="69" t="n">
        <f aca="false">-MIN((L66-L67)/MAX(1,Inputs!$B$78*12),K70+L65-L67)</f>
        <v>-3979.16666666667</v>
      </c>
      <c r="M68" s="69" t="n">
        <f aca="false">-MIN((M66-M67)/MAX(1,Inputs!$B$78*12),L70+M65-M67)</f>
        <v>-3979.16666666667</v>
      </c>
      <c r="N68" s="69" t="n">
        <f aca="false">-MIN((N66-N67)/MAX(1,Inputs!$B$78*12),M70+N65-N67)</f>
        <v>-3979.16666666667</v>
      </c>
      <c r="O68" s="69" t="n">
        <f aca="false">-MIN((O66-O67)/MAX(1,Inputs!$B$78*12),N70+O65-O67)</f>
        <v>-4187.5</v>
      </c>
      <c r="P68" s="69" t="n">
        <f aca="false">-MIN((P66-P67)/MAX(1,Inputs!$B$78*12),O70+P65-P67)</f>
        <v>-4187.5</v>
      </c>
      <c r="Q68" s="69" t="n">
        <f aca="false">-MIN((Q66-Q67)/MAX(1,Inputs!$B$78*12),P70+Q65-Q67)</f>
        <v>-4187.5</v>
      </c>
      <c r="R68" s="69" t="n">
        <f aca="false">-MIN((R66-R67)/MAX(1,Inputs!$B$78*12),Q70+R65-R67)</f>
        <v>-4187.5</v>
      </c>
      <c r="S68" s="69" t="n">
        <f aca="false">-MIN((S66-S67)/MAX(1,Inputs!$B$78*12),R70+S65-S67)</f>
        <v>-4187.5</v>
      </c>
      <c r="T68" s="69" t="n">
        <f aca="false">-MIN((T66-T67)/MAX(1,Inputs!$B$78*12),S70+T65-T67)</f>
        <v>-4187.5</v>
      </c>
      <c r="U68" s="69" t="n">
        <f aca="false">-MIN((U66-U67)/MAX(1,Inputs!$B$78*12),T70+U65-U67)</f>
        <v>-4187.5</v>
      </c>
      <c r="V68" s="69" t="n">
        <f aca="false">-MIN((V66-V67)/MAX(1,Inputs!$B$78*12),U70+V65-V67)</f>
        <v>-4187.5</v>
      </c>
      <c r="W68" s="69" t="n">
        <f aca="false">-MIN((W66-W67)/MAX(1,Inputs!$B$78*12),V70+W65-W67)</f>
        <v>-4187.5</v>
      </c>
      <c r="X68" s="69" t="n">
        <f aca="false">-MIN((X66-X67)/MAX(1,Inputs!$B$78*12),W70+X65-X67)</f>
        <v>-4187.5</v>
      </c>
      <c r="Y68" s="69" t="n">
        <f aca="false">-MIN((Y66-Y67)/MAX(1,Inputs!$B$78*12),X70+Y65-Y67)</f>
        <v>-4187.5</v>
      </c>
      <c r="Z68" s="69" t="n">
        <f aca="false">-MIN((Z66-Z67)/MAX(1,Inputs!$B$78*12),Y70+Z65-Z67)</f>
        <v>-4187.5</v>
      </c>
      <c r="AA68" s="69" t="n">
        <f aca="false">-MIN((AA66-AA67)/MAX(1,Inputs!$B$78*12),Z70+AA65-AA67)</f>
        <v>-4395.83333333333</v>
      </c>
      <c r="AB68" s="69" t="n">
        <f aca="false">-MIN((AB66-AB67)/MAX(1,Inputs!$B$78*12),AA70+AB65-AB67)</f>
        <v>-4395.83333333333</v>
      </c>
      <c r="AC68" s="69" t="n">
        <f aca="false">-MIN((AC66-AC67)/MAX(1,Inputs!$B$78*12),AB70+AC65-AC67)</f>
        <v>-4395.83333333333</v>
      </c>
      <c r="AD68" s="69" t="n">
        <f aca="false">-MIN((AD66-AD67)/MAX(1,Inputs!$B$78*12),AC70+AD65-AD67)</f>
        <v>-4395.83333333333</v>
      </c>
      <c r="AE68" s="69" t="n">
        <f aca="false">-MIN((AE66-AE67)/MAX(1,Inputs!$B$78*12),AD70+AE65-AE67)</f>
        <v>-4395.83333333333</v>
      </c>
      <c r="AF68" s="69" t="n">
        <f aca="false">-MIN((AF66-AF67)/MAX(1,Inputs!$B$78*12),AE70+AF65-AF67)</f>
        <v>-4395.83333333333</v>
      </c>
      <c r="AG68" s="69" t="n">
        <f aca="false">-MIN((AG66-AG67)/MAX(1,Inputs!$B$78*12),AF70+AG65-AG67)</f>
        <v>-4395.83333333333</v>
      </c>
      <c r="AH68" s="69" t="n">
        <f aca="false">-MIN((AH66-AH67)/MAX(1,Inputs!$B$78*12),AG70+AH65-AH67)</f>
        <v>-4395.83333333333</v>
      </c>
      <c r="AI68" s="69" t="n">
        <f aca="false">-MIN((AI66-AI67)/MAX(1,Inputs!$B$78*12),AH70+AI65-AI67)</f>
        <v>-4395.83333333333</v>
      </c>
      <c r="AJ68" s="69" t="n">
        <f aca="false">-MIN((AJ66-AJ67)/MAX(1,Inputs!$B$78*12),AI70+AJ65-AJ67)</f>
        <v>-4395.83333333333</v>
      </c>
      <c r="AK68" s="69" t="n">
        <f aca="false">-MIN((AK66-AK67)/MAX(1,Inputs!$B$78*12),AJ70+AK65-AK67)</f>
        <v>-4395.83333333333</v>
      </c>
      <c r="AL68" s="69" t="n">
        <f aca="false">-MIN((AL66-AL67)/MAX(1,Inputs!$B$78*12),AK70+AL65-AL67)</f>
        <v>-4395.83333333333</v>
      </c>
      <c r="AM68" s="69" t="n">
        <f aca="false">-MIN((AM66-AM67)/MAX(1,Inputs!$B$78*12),AL70+AM65-AM67)</f>
        <v>-4604.16666666667</v>
      </c>
      <c r="AN68" s="69" t="n">
        <f aca="false">-MIN((AN66-AN67)/MAX(1,Inputs!$B$78*12),AM70+AN65-AN67)</f>
        <v>-4604.16666666667</v>
      </c>
      <c r="AO68" s="69" t="n">
        <f aca="false">-MIN((AO66-AO67)/MAX(1,Inputs!$B$78*12),AN70+AO65-AO67)</f>
        <v>-4604.16666666667</v>
      </c>
      <c r="AP68" s="69" t="n">
        <f aca="false">-MIN((AP66-AP67)/MAX(1,Inputs!$B$78*12),AO70+AP65-AP67)</f>
        <v>-4604.16666666667</v>
      </c>
      <c r="AQ68" s="69" t="n">
        <f aca="false">-MIN((AQ66-AQ67)/MAX(1,Inputs!$B$78*12),AP70+AQ65-AQ67)</f>
        <v>-4604.16666666667</v>
      </c>
      <c r="AR68" s="69" t="n">
        <f aca="false">-MIN((AR66-AR67)/MAX(1,Inputs!$B$78*12),AQ70+AR65-AR67)</f>
        <v>-4604.16666666667</v>
      </c>
      <c r="AS68" s="69" t="n">
        <f aca="false">-MIN((AS66-AS67)/MAX(1,Inputs!$B$78*12),AR70+AS65-AS67)</f>
        <v>-4604.16666666667</v>
      </c>
      <c r="AT68" s="69" t="n">
        <f aca="false">-MIN((AT66-AT67)/MAX(1,Inputs!$B$78*12),AS70+AT65-AT67)</f>
        <v>-4604.16666666667</v>
      </c>
      <c r="AU68" s="69" t="n">
        <f aca="false">-MIN((AU66-AU67)/MAX(1,Inputs!$B$78*12),AT70+AU65-AU67)</f>
        <v>-4604.16666666667</v>
      </c>
      <c r="AV68" s="69" t="n">
        <f aca="false">-MIN((AV66-AV67)/MAX(1,Inputs!$B$78*12),AU70+AV65-AV67)</f>
        <v>-4604.16666666667</v>
      </c>
      <c r="AW68" s="69" t="n">
        <f aca="false">-MIN((AW66-AW67)/MAX(1,Inputs!$B$78*12),AV70+AW65-AW67)</f>
        <v>-4604.16666666667</v>
      </c>
      <c r="AX68" s="69" t="n">
        <f aca="false">-MIN((AX66-AX67)/MAX(1,Inputs!$B$78*12),AW70+AX65-AX67)</f>
        <v>-4604.16666666667</v>
      </c>
      <c r="AY68" s="69" t="n">
        <f aca="false">-MIN((AY66-AY67)/MAX(1,Inputs!$B$78*12),AX70+AY65-AY67)</f>
        <v>-4812.5</v>
      </c>
      <c r="AZ68" s="69" t="n">
        <f aca="false">-MIN((AZ66-AZ67)/MAX(1,Inputs!$B$78*12),AY70+AZ65-AZ67)</f>
        <v>-4812.5</v>
      </c>
      <c r="BA68" s="69" t="n">
        <f aca="false">-MIN((BA66-BA67)/MAX(1,Inputs!$B$78*12),AZ70+BA65-BA67)</f>
        <v>-4812.5</v>
      </c>
      <c r="BB68" s="69" t="n">
        <f aca="false">-MIN((BB66-BB67)/MAX(1,Inputs!$B$78*12),BA70+BB65-BB67)</f>
        <v>-4812.5</v>
      </c>
      <c r="BC68" s="69" t="n">
        <f aca="false">-MIN((BC66-BC67)/MAX(1,Inputs!$B$78*12),BB70+BC65-BC67)</f>
        <v>-4812.5</v>
      </c>
      <c r="BD68" s="69" t="n">
        <f aca="false">-MIN((BD66-BD67)/MAX(1,Inputs!$B$78*12),BC70+BD65-BD67)</f>
        <v>-4812.5</v>
      </c>
      <c r="BE68" s="69" t="n">
        <f aca="false">-MIN((BE66-BE67)/MAX(1,Inputs!$B$78*12),BD70+BE65-BE67)</f>
        <v>-4812.5</v>
      </c>
      <c r="BF68" s="69" t="n">
        <f aca="false">-MIN((BF66-BF67)/MAX(1,Inputs!$B$78*12),BE70+BF65-BF67)</f>
        <v>-4812.5</v>
      </c>
      <c r="BG68" s="69" t="n">
        <f aca="false">-MIN((BG66-BG67)/MAX(1,Inputs!$B$78*12),BF70+BG65-BG67)</f>
        <v>-4812.5</v>
      </c>
      <c r="BH68" s="69" t="n">
        <f aca="false">-MIN((BH66-BH67)/MAX(1,Inputs!$B$78*12),BG70+BH65-BH67)</f>
        <v>-4812.5</v>
      </c>
      <c r="BI68" s="69" t="n">
        <f aca="false">-MIN((BI66-BI67)/MAX(1,Inputs!$B$78*12),BH70+BI65-BI67)</f>
        <v>-4812.5</v>
      </c>
      <c r="BJ68" s="69" t="n">
        <f aca="false">-MIN((BJ66-BJ67)/MAX(1,Inputs!$B$78*12),BI70+BJ65-BJ67)</f>
        <v>-4812.5</v>
      </c>
    </row>
    <row r="69" customFormat="false" ht="15" hidden="false" customHeight="false" outlineLevel="0" collapsed="false">
      <c r="A69" s="6" t="s">
        <v>437</v>
      </c>
      <c r="C69" s="69" t="n">
        <f aca="false">C68</f>
        <v>-3979.16666666667</v>
      </c>
      <c r="D69" s="69" t="n">
        <f aca="false">C69+D68</f>
        <v>-7958.33333333333</v>
      </c>
      <c r="E69" s="69" t="n">
        <f aca="false">D69+E68</f>
        <v>-11937.5</v>
      </c>
      <c r="F69" s="69" t="n">
        <f aca="false">E69+F68</f>
        <v>-15916.6666666667</v>
      </c>
      <c r="G69" s="69" t="n">
        <f aca="false">F69+G68</f>
        <v>-19895.8333333333</v>
      </c>
      <c r="H69" s="69" t="n">
        <f aca="false">G69+H68</f>
        <v>-23875</v>
      </c>
      <c r="I69" s="69" t="n">
        <f aca="false">H69+I68</f>
        <v>-27854.1666666667</v>
      </c>
      <c r="J69" s="69" t="n">
        <f aca="false">I69+J68</f>
        <v>-31833.3333333333</v>
      </c>
      <c r="K69" s="69" t="n">
        <f aca="false">J69+K68</f>
        <v>-35812.5</v>
      </c>
      <c r="L69" s="69" t="n">
        <f aca="false">K69+L68</f>
        <v>-39791.6666666667</v>
      </c>
      <c r="M69" s="69" t="n">
        <f aca="false">L69+M68</f>
        <v>-43770.8333333333</v>
      </c>
      <c r="N69" s="69" t="n">
        <f aca="false">M69+N68</f>
        <v>-47750</v>
      </c>
      <c r="O69" s="69" t="n">
        <f aca="false">N69+O68</f>
        <v>-51937.5</v>
      </c>
      <c r="P69" s="69" t="n">
        <f aca="false">O69+P68</f>
        <v>-56125</v>
      </c>
      <c r="Q69" s="69" t="n">
        <f aca="false">P69+Q68</f>
        <v>-60312.5</v>
      </c>
      <c r="R69" s="69" t="n">
        <f aca="false">Q69+R68</f>
        <v>-64500</v>
      </c>
      <c r="S69" s="69" t="n">
        <f aca="false">R69+S68</f>
        <v>-68687.5</v>
      </c>
      <c r="T69" s="69" t="n">
        <f aca="false">S69+T68</f>
        <v>-72875</v>
      </c>
      <c r="U69" s="69" t="n">
        <f aca="false">T69+U68</f>
        <v>-77062.5</v>
      </c>
      <c r="V69" s="69" t="n">
        <f aca="false">U69+V68</f>
        <v>-81250</v>
      </c>
      <c r="W69" s="69" t="n">
        <f aca="false">V69+W68</f>
        <v>-85437.5</v>
      </c>
      <c r="X69" s="69" t="n">
        <f aca="false">W69+X68</f>
        <v>-89625</v>
      </c>
      <c r="Y69" s="69" t="n">
        <f aca="false">X69+Y68</f>
        <v>-93812.5</v>
      </c>
      <c r="Z69" s="69" t="n">
        <f aca="false">Y69+Z68</f>
        <v>-98000</v>
      </c>
      <c r="AA69" s="69" t="n">
        <f aca="false">Z69+AA68</f>
        <v>-102395.833333333</v>
      </c>
      <c r="AB69" s="69" t="n">
        <f aca="false">AA69+AB68</f>
        <v>-106791.666666667</v>
      </c>
      <c r="AC69" s="69" t="n">
        <f aca="false">AB69+AC68</f>
        <v>-111187.5</v>
      </c>
      <c r="AD69" s="69" t="n">
        <f aca="false">AC69+AD68</f>
        <v>-115583.333333333</v>
      </c>
      <c r="AE69" s="69" t="n">
        <f aca="false">AD69+AE68</f>
        <v>-119979.166666667</v>
      </c>
      <c r="AF69" s="69" t="n">
        <f aca="false">AE69+AF68</f>
        <v>-124375</v>
      </c>
      <c r="AG69" s="69" t="n">
        <f aca="false">AF69+AG68</f>
        <v>-128770.833333333</v>
      </c>
      <c r="AH69" s="69" t="n">
        <f aca="false">AG69+AH68</f>
        <v>-133166.666666667</v>
      </c>
      <c r="AI69" s="69" t="n">
        <f aca="false">AH69+AI68</f>
        <v>-137562.5</v>
      </c>
      <c r="AJ69" s="69" t="n">
        <f aca="false">AI69+AJ68</f>
        <v>-141958.333333333</v>
      </c>
      <c r="AK69" s="69" t="n">
        <f aca="false">AJ69+AK68</f>
        <v>-146354.166666667</v>
      </c>
      <c r="AL69" s="69" t="n">
        <f aca="false">AK69+AL68</f>
        <v>-150750</v>
      </c>
      <c r="AM69" s="69" t="n">
        <f aca="false">AL69+AM68</f>
        <v>-155354.166666667</v>
      </c>
      <c r="AN69" s="69" t="n">
        <f aca="false">AM69+AN68</f>
        <v>-159958.333333333</v>
      </c>
      <c r="AO69" s="69" t="n">
        <f aca="false">AN69+AO68</f>
        <v>-164562.5</v>
      </c>
      <c r="AP69" s="69" t="n">
        <f aca="false">AO69+AP68</f>
        <v>-169166.666666667</v>
      </c>
      <c r="AQ69" s="69" t="n">
        <f aca="false">AP69+AQ68</f>
        <v>-173770.833333333</v>
      </c>
      <c r="AR69" s="69" t="n">
        <f aca="false">AQ69+AR68</f>
        <v>-178375</v>
      </c>
      <c r="AS69" s="69" t="n">
        <f aca="false">AR69+AS68</f>
        <v>-182979.166666667</v>
      </c>
      <c r="AT69" s="69" t="n">
        <f aca="false">AS69+AT68</f>
        <v>-187583.333333333</v>
      </c>
      <c r="AU69" s="69" t="n">
        <f aca="false">AT69+AU68</f>
        <v>-192187.5</v>
      </c>
      <c r="AV69" s="69" t="n">
        <f aca="false">AU69+AV68</f>
        <v>-196791.666666667</v>
      </c>
      <c r="AW69" s="69" t="n">
        <f aca="false">AV69+AW68</f>
        <v>-201395.833333333</v>
      </c>
      <c r="AX69" s="69" t="n">
        <f aca="false">AW69+AX68</f>
        <v>-206000</v>
      </c>
      <c r="AY69" s="69" t="n">
        <f aca="false">AX69+AY68</f>
        <v>-210812.5</v>
      </c>
      <c r="AZ69" s="69" t="n">
        <f aca="false">AY69+AZ68</f>
        <v>-215625</v>
      </c>
      <c r="BA69" s="69" t="n">
        <f aca="false">AZ69+BA68</f>
        <v>-220437.5</v>
      </c>
      <c r="BB69" s="69" t="n">
        <f aca="false">BA69+BB68</f>
        <v>-225250</v>
      </c>
      <c r="BC69" s="69" t="n">
        <f aca="false">BB69+BC68</f>
        <v>-230062.5</v>
      </c>
      <c r="BD69" s="69" t="n">
        <f aca="false">BC69+BD68</f>
        <v>-234875</v>
      </c>
      <c r="BE69" s="69" t="n">
        <f aca="false">BD69+BE68</f>
        <v>-239687.5</v>
      </c>
      <c r="BF69" s="69" t="n">
        <f aca="false">BE69+BF68</f>
        <v>-244500</v>
      </c>
      <c r="BG69" s="69" t="n">
        <f aca="false">BF69+BG68</f>
        <v>-249312.5</v>
      </c>
      <c r="BH69" s="69" t="n">
        <f aca="false">BG69+BH68</f>
        <v>-254125</v>
      </c>
      <c r="BI69" s="69" t="n">
        <f aca="false">BH69+BI68</f>
        <v>-258937.5</v>
      </c>
      <c r="BJ69" s="69" t="n">
        <f aca="false">BI69+BJ68</f>
        <v>-263750</v>
      </c>
    </row>
    <row r="70" customFormat="false" ht="15" hidden="false" customHeight="false" outlineLevel="0" collapsed="false">
      <c r="A70" s="4" t="s">
        <v>92</v>
      </c>
      <c r="C70" s="75" t="n">
        <f aca="false">C66+C69</f>
        <v>378020.833333333</v>
      </c>
      <c r="D70" s="75" t="n">
        <f aca="false">D66+D69</f>
        <v>374041.666666667</v>
      </c>
      <c r="E70" s="75" t="n">
        <f aca="false">E66+E69</f>
        <v>370062.5</v>
      </c>
      <c r="F70" s="75" t="n">
        <f aca="false">F66+F69</f>
        <v>366083.333333333</v>
      </c>
      <c r="G70" s="75" t="n">
        <f aca="false">G66+G69</f>
        <v>362104.166666667</v>
      </c>
      <c r="H70" s="75" t="n">
        <f aca="false">H66+H69</f>
        <v>358125</v>
      </c>
      <c r="I70" s="75" t="n">
        <f aca="false">I66+I69</f>
        <v>354145.833333333</v>
      </c>
      <c r="J70" s="75" t="n">
        <f aca="false">J66+J69</f>
        <v>350166.666666667</v>
      </c>
      <c r="K70" s="75" t="n">
        <f aca="false">K66+K69</f>
        <v>346187.5</v>
      </c>
      <c r="L70" s="75" t="n">
        <f aca="false">L66+L69</f>
        <v>342208.333333333</v>
      </c>
      <c r="M70" s="75" t="n">
        <f aca="false">M66+M69</f>
        <v>338229.166666667</v>
      </c>
      <c r="N70" s="75" t="n">
        <f aca="false">N66+N69</f>
        <v>334250</v>
      </c>
      <c r="O70" s="75" t="n">
        <f aca="false">O66+O69</f>
        <v>350062.5</v>
      </c>
      <c r="P70" s="75" t="n">
        <f aca="false">P66+P69</f>
        <v>345875</v>
      </c>
      <c r="Q70" s="75" t="n">
        <f aca="false">Q66+Q69</f>
        <v>341687.5</v>
      </c>
      <c r="R70" s="75" t="n">
        <f aca="false">R66+R69</f>
        <v>337500</v>
      </c>
      <c r="S70" s="75" t="n">
        <f aca="false">S66+S69</f>
        <v>333312.5</v>
      </c>
      <c r="T70" s="75" t="n">
        <f aca="false">T66+T69</f>
        <v>329125</v>
      </c>
      <c r="U70" s="75" t="n">
        <f aca="false">U66+U69</f>
        <v>324937.5</v>
      </c>
      <c r="V70" s="75" t="n">
        <f aca="false">V66+V69</f>
        <v>320750</v>
      </c>
      <c r="W70" s="75" t="n">
        <f aca="false">W66+W69</f>
        <v>316562.5</v>
      </c>
      <c r="X70" s="75" t="n">
        <f aca="false">X66+X69</f>
        <v>312375</v>
      </c>
      <c r="Y70" s="75" t="n">
        <f aca="false">Y66+Y69</f>
        <v>308187.5</v>
      </c>
      <c r="Z70" s="75" t="n">
        <f aca="false">Z66+Z69</f>
        <v>304000</v>
      </c>
      <c r="AA70" s="75" t="n">
        <f aca="false">AA66+AA69</f>
        <v>319604.166666667</v>
      </c>
      <c r="AB70" s="75" t="n">
        <f aca="false">AB66+AB69</f>
        <v>315208.333333333</v>
      </c>
      <c r="AC70" s="75" t="n">
        <f aca="false">AC66+AC69</f>
        <v>310812.5</v>
      </c>
      <c r="AD70" s="75" t="n">
        <f aca="false">AD66+AD69</f>
        <v>306416.666666667</v>
      </c>
      <c r="AE70" s="75" t="n">
        <f aca="false">AE66+AE69</f>
        <v>302020.833333333</v>
      </c>
      <c r="AF70" s="75" t="n">
        <f aca="false">AF66+AF69</f>
        <v>297625</v>
      </c>
      <c r="AG70" s="75" t="n">
        <f aca="false">AG66+AG69</f>
        <v>293229.166666667</v>
      </c>
      <c r="AH70" s="75" t="n">
        <f aca="false">AH66+AH69</f>
        <v>288833.333333333</v>
      </c>
      <c r="AI70" s="75" t="n">
        <f aca="false">AI66+AI69</f>
        <v>284437.5</v>
      </c>
      <c r="AJ70" s="75" t="n">
        <f aca="false">AJ66+AJ69</f>
        <v>280041.666666667</v>
      </c>
      <c r="AK70" s="75" t="n">
        <f aca="false">AK66+AK69</f>
        <v>275645.833333333</v>
      </c>
      <c r="AL70" s="75" t="n">
        <f aca="false">AL66+AL69</f>
        <v>271250</v>
      </c>
      <c r="AM70" s="75" t="n">
        <f aca="false">AM66+AM69</f>
        <v>286645.833333333</v>
      </c>
      <c r="AN70" s="75" t="n">
        <f aca="false">AN66+AN69</f>
        <v>282041.666666667</v>
      </c>
      <c r="AO70" s="75" t="n">
        <f aca="false">AO66+AO69</f>
        <v>277437.5</v>
      </c>
      <c r="AP70" s="75" t="n">
        <f aca="false">AP66+AP69</f>
        <v>272833.333333333</v>
      </c>
      <c r="AQ70" s="75" t="n">
        <f aca="false">AQ66+AQ69</f>
        <v>268229.166666667</v>
      </c>
      <c r="AR70" s="75" t="n">
        <f aca="false">AR66+AR69</f>
        <v>263625</v>
      </c>
      <c r="AS70" s="75" t="n">
        <f aca="false">AS66+AS69</f>
        <v>259020.833333333</v>
      </c>
      <c r="AT70" s="75" t="n">
        <f aca="false">AT66+AT69</f>
        <v>254416.666666667</v>
      </c>
      <c r="AU70" s="75" t="n">
        <f aca="false">AU66+AU69</f>
        <v>249812.5</v>
      </c>
      <c r="AV70" s="75" t="n">
        <f aca="false">AV66+AV69</f>
        <v>245208.333333333</v>
      </c>
      <c r="AW70" s="75" t="n">
        <f aca="false">AW66+AW69</f>
        <v>240604.166666667</v>
      </c>
      <c r="AX70" s="75" t="n">
        <f aca="false">AX66+AX69</f>
        <v>236000</v>
      </c>
      <c r="AY70" s="75" t="n">
        <f aca="false">AY66+AY69</f>
        <v>251187.5</v>
      </c>
      <c r="AZ70" s="75" t="n">
        <f aca="false">AZ66+AZ69</f>
        <v>246375</v>
      </c>
      <c r="BA70" s="75" t="n">
        <f aca="false">BA66+BA69</f>
        <v>241562.5</v>
      </c>
      <c r="BB70" s="75" t="n">
        <f aca="false">BB66+BB69</f>
        <v>236750</v>
      </c>
      <c r="BC70" s="75" t="n">
        <f aca="false">BC66+BC69</f>
        <v>231937.5</v>
      </c>
      <c r="BD70" s="75" t="n">
        <f aca="false">BD66+BD69</f>
        <v>227125</v>
      </c>
      <c r="BE70" s="75" t="n">
        <f aca="false">BE66+BE69</f>
        <v>222312.5</v>
      </c>
      <c r="BF70" s="75" t="n">
        <f aca="false">BF66+BF69</f>
        <v>217500</v>
      </c>
      <c r="BG70" s="75" t="n">
        <f aca="false">BG66+BG69</f>
        <v>212687.5</v>
      </c>
      <c r="BH70" s="75" t="n">
        <f aca="false">BH66+BH69</f>
        <v>207875</v>
      </c>
      <c r="BI70" s="75" t="n">
        <f aca="false">BI66+BI69</f>
        <v>203062.5</v>
      </c>
      <c r="BJ70" s="75" t="n">
        <f aca="false">BJ66+BJ69</f>
        <v>198250</v>
      </c>
    </row>
    <row r="72" customFormat="false" ht="15.75" hidden="false" customHeight="true" outlineLevel="0" collapsed="false">
      <c r="A72" s="7" t="s">
        <v>438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customFormat="false" ht="15" hidden="false" customHeight="false" outlineLevel="0" collapsed="false">
      <c r="A73" s="6" t="s">
        <v>439</v>
      </c>
      <c r="C73" s="69" t="n">
        <f aca="false">0</f>
        <v>0</v>
      </c>
      <c r="D73" s="69" t="n">
        <f aca="false">C76</f>
        <v>250000</v>
      </c>
      <c r="E73" s="69" t="n">
        <f aca="false">D76</f>
        <v>247023.80952381</v>
      </c>
      <c r="F73" s="69" t="n">
        <f aca="false">E76</f>
        <v>244047.619047619</v>
      </c>
      <c r="G73" s="69" t="n">
        <f aca="false">F76</f>
        <v>241071.428571429</v>
      </c>
      <c r="H73" s="69" t="n">
        <f aca="false">G76</f>
        <v>238095.238095238</v>
      </c>
      <c r="I73" s="69" t="n">
        <f aca="false">H76</f>
        <v>235119.047619048</v>
      </c>
      <c r="J73" s="69" t="n">
        <f aca="false">I76</f>
        <v>232142.857142857</v>
      </c>
      <c r="K73" s="69" t="n">
        <f aca="false">J76</f>
        <v>229166.666666667</v>
      </c>
      <c r="L73" s="69" t="n">
        <f aca="false">K76</f>
        <v>226190.476190476</v>
      </c>
      <c r="M73" s="69" t="n">
        <f aca="false">L76</f>
        <v>223214.285714286</v>
      </c>
      <c r="N73" s="69" t="n">
        <f aca="false">M76</f>
        <v>220238.095238095</v>
      </c>
      <c r="O73" s="69" t="n">
        <f aca="false">N76</f>
        <v>217261.904761905</v>
      </c>
      <c r="P73" s="69" t="n">
        <f aca="false">O76</f>
        <v>214285.714285714</v>
      </c>
      <c r="Q73" s="69" t="n">
        <f aca="false">P76</f>
        <v>211309.523809524</v>
      </c>
      <c r="R73" s="69" t="n">
        <f aca="false">Q76</f>
        <v>208333.333333333</v>
      </c>
      <c r="S73" s="69" t="n">
        <f aca="false">R76</f>
        <v>205357.142857143</v>
      </c>
      <c r="T73" s="69" t="n">
        <f aca="false">S76</f>
        <v>202380.952380952</v>
      </c>
      <c r="U73" s="69" t="n">
        <f aca="false">T76</f>
        <v>199404.761904762</v>
      </c>
      <c r="V73" s="69" t="n">
        <f aca="false">U76</f>
        <v>196428.571428571</v>
      </c>
      <c r="W73" s="69" t="n">
        <f aca="false">V76</f>
        <v>193452.380952381</v>
      </c>
      <c r="X73" s="69" t="n">
        <f aca="false">W76</f>
        <v>190476.190476191</v>
      </c>
      <c r="Y73" s="69" t="n">
        <f aca="false">X76</f>
        <v>187500</v>
      </c>
      <c r="Z73" s="69" t="n">
        <f aca="false">Y76</f>
        <v>184523.80952381</v>
      </c>
      <c r="AA73" s="69" t="n">
        <f aca="false">Z76</f>
        <v>181547.619047619</v>
      </c>
      <c r="AB73" s="69" t="n">
        <f aca="false">AA76</f>
        <v>178571.428571429</v>
      </c>
      <c r="AC73" s="69" t="n">
        <f aca="false">AB76</f>
        <v>175595.238095238</v>
      </c>
      <c r="AD73" s="69" t="n">
        <f aca="false">AC76</f>
        <v>172619.047619048</v>
      </c>
      <c r="AE73" s="69" t="n">
        <f aca="false">AD76</f>
        <v>169642.857142857</v>
      </c>
      <c r="AF73" s="69" t="n">
        <f aca="false">AE76</f>
        <v>166666.666666667</v>
      </c>
      <c r="AG73" s="69" t="n">
        <f aca="false">AF76</f>
        <v>163690.476190476</v>
      </c>
      <c r="AH73" s="69" t="n">
        <f aca="false">AG76</f>
        <v>160714.285714286</v>
      </c>
      <c r="AI73" s="69" t="n">
        <f aca="false">AH76</f>
        <v>157738.095238095</v>
      </c>
      <c r="AJ73" s="69" t="n">
        <f aca="false">AI76</f>
        <v>154761.904761905</v>
      </c>
      <c r="AK73" s="69" t="n">
        <f aca="false">AJ76</f>
        <v>151785.714285714</v>
      </c>
      <c r="AL73" s="69" t="n">
        <f aca="false">AK76</f>
        <v>148809.523809524</v>
      </c>
      <c r="AM73" s="69" t="n">
        <f aca="false">AL76</f>
        <v>145833.333333333</v>
      </c>
      <c r="AN73" s="69" t="n">
        <f aca="false">AM76</f>
        <v>142857.142857143</v>
      </c>
      <c r="AO73" s="69" t="n">
        <f aca="false">AN76</f>
        <v>139880.952380952</v>
      </c>
      <c r="AP73" s="69" t="n">
        <f aca="false">AO76</f>
        <v>136904.761904762</v>
      </c>
      <c r="AQ73" s="69" t="n">
        <f aca="false">AP76</f>
        <v>133928.571428572</v>
      </c>
      <c r="AR73" s="69" t="n">
        <f aca="false">AQ76</f>
        <v>130952.380952381</v>
      </c>
      <c r="AS73" s="69" t="n">
        <f aca="false">AR76</f>
        <v>127976.190476191</v>
      </c>
      <c r="AT73" s="69" t="n">
        <f aca="false">AS76</f>
        <v>125000</v>
      </c>
      <c r="AU73" s="69" t="n">
        <f aca="false">AT76</f>
        <v>122023.80952381</v>
      </c>
      <c r="AV73" s="69" t="n">
        <f aca="false">AU76</f>
        <v>119047.619047619</v>
      </c>
      <c r="AW73" s="69" t="n">
        <f aca="false">AV76</f>
        <v>116071.428571429</v>
      </c>
      <c r="AX73" s="69" t="n">
        <f aca="false">AW76</f>
        <v>113095.238095238</v>
      </c>
      <c r="AY73" s="69" t="n">
        <f aca="false">AX76</f>
        <v>110119.047619048</v>
      </c>
      <c r="AZ73" s="69" t="n">
        <f aca="false">AY76</f>
        <v>107142.857142857</v>
      </c>
      <c r="BA73" s="69" t="n">
        <f aca="false">AZ76</f>
        <v>104166.666666667</v>
      </c>
      <c r="BB73" s="69" t="n">
        <f aca="false">BA76</f>
        <v>101190.476190476</v>
      </c>
      <c r="BC73" s="69" t="n">
        <f aca="false">BB76</f>
        <v>98214.2857142859</v>
      </c>
      <c r="BD73" s="69" t="n">
        <f aca="false">BC76</f>
        <v>95238.0952380954</v>
      </c>
      <c r="BE73" s="69" t="n">
        <f aca="false">BD76</f>
        <v>92261.9047619049</v>
      </c>
      <c r="BF73" s="69" t="n">
        <f aca="false">BE76</f>
        <v>89285.7142857144</v>
      </c>
      <c r="BG73" s="69" t="n">
        <f aca="false">BF76</f>
        <v>86309.523809524</v>
      </c>
      <c r="BH73" s="69" t="n">
        <f aca="false">BG76</f>
        <v>83333.3333333335</v>
      </c>
      <c r="BI73" s="69" t="n">
        <f aca="false">BH76</f>
        <v>80357.142857143</v>
      </c>
      <c r="BJ73" s="69" t="n">
        <f aca="false">BI76</f>
        <v>77380.9523809525</v>
      </c>
    </row>
    <row r="74" customFormat="false" ht="15" hidden="false" customHeight="false" outlineLevel="0" collapsed="false">
      <c r="A74" s="6" t="s">
        <v>85</v>
      </c>
      <c r="C74" s="69" t="n">
        <f aca="false">IF(C$6=1,Inputs!$B$68,0)</f>
        <v>250000</v>
      </c>
      <c r="D74" s="69" t="n">
        <f aca="false">IF(D$6=1,Inputs!$B$68,0)</f>
        <v>0</v>
      </c>
      <c r="E74" s="69" t="n">
        <f aca="false">IF(E$6=1,Inputs!$B$68,0)</f>
        <v>0</v>
      </c>
      <c r="F74" s="69" t="n">
        <f aca="false">IF(F$6=1,Inputs!$B$68,0)</f>
        <v>0</v>
      </c>
      <c r="G74" s="69" t="n">
        <f aca="false">IF(G$6=1,Inputs!$B$68,0)</f>
        <v>0</v>
      </c>
      <c r="H74" s="69" t="n">
        <f aca="false">IF(H$6=1,Inputs!$B$68,0)</f>
        <v>0</v>
      </c>
      <c r="I74" s="69" t="n">
        <f aca="false">IF(I$6=1,Inputs!$B$68,0)</f>
        <v>0</v>
      </c>
      <c r="J74" s="69" t="n">
        <f aca="false">IF(J$6=1,Inputs!$B$68,0)</f>
        <v>0</v>
      </c>
      <c r="K74" s="69" t="n">
        <f aca="false">IF(K$6=1,Inputs!$B$68,0)</f>
        <v>0</v>
      </c>
      <c r="L74" s="69" t="n">
        <f aca="false">IF(L$6=1,Inputs!$B$68,0)</f>
        <v>0</v>
      </c>
      <c r="M74" s="69" t="n">
        <f aca="false">IF(M$6=1,Inputs!$B$68,0)</f>
        <v>0</v>
      </c>
      <c r="N74" s="69" t="n">
        <f aca="false">IF(N$6=1,Inputs!$B$68,0)</f>
        <v>0</v>
      </c>
      <c r="O74" s="69" t="n">
        <f aca="false">IF(O$6=1,Inputs!$B$68,0)</f>
        <v>0</v>
      </c>
      <c r="P74" s="69" t="n">
        <f aca="false">IF(P$6=1,Inputs!$B$68,0)</f>
        <v>0</v>
      </c>
      <c r="Q74" s="69" t="n">
        <f aca="false">IF(Q$6=1,Inputs!$B$68,0)</f>
        <v>0</v>
      </c>
      <c r="R74" s="69" t="n">
        <f aca="false">IF(R$6=1,Inputs!$B$68,0)</f>
        <v>0</v>
      </c>
      <c r="S74" s="69" t="n">
        <f aca="false">IF(S$6=1,Inputs!$B$68,0)</f>
        <v>0</v>
      </c>
      <c r="T74" s="69" t="n">
        <f aca="false">IF(T$6=1,Inputs!$B$68,0)</f>
        <v>0</v>
      </c>
      <c r="U74" s="69" t="n">
        <f aca="false">IF(U$6=1,Inputs!$B$68,0)</f>
        <v>0</v>
      </c>
      <c r="V74" s="69" t="n">
        <f aca="false">IF(V$6=1,Inputs!$B$68,0)</f>
        <v>0</v>
      </c>
      <c r="W74" s="69" t="n">
        <f aca="false">IF(W$6=1,Inputs!$B$68,0)</f>
        <v>0</v>
      </c>
      <c r="X74" s="69" t="n">
        <f aca="false">IF(X$6=1,Inputs!$B$68,0)</f>
        <v>0</v>
      </c>
      <c r="Y74" s="69" t="n">
        <f aca="false">IF(Y$6=1,Inputs!$B$68,0)</f>
        <v>0</v>
      </c>
      <c r="Z74" s="69" t="n">
        <f aca="false">IF(Z$6=1,Inputs!$B$68,0)</f>
        <v>0</v>
      </c>
      <c r="AA74" s="69" t="n">
        <f aca="false">IF(AA$6=1,Inputs!$B$68,0)</f>
        <v>0</v>
      </c>
      <c r="AB74" s="69" t="n">
        <f aca="false">IF(AB$6=1,Inputs!$B$68,0)</f>
        <v>0</v>
      </c>
      <c r="AC74" s="69" t="n">
        <f aca="false">IF(AC$6=1,Inputs!$B$68,0)</f>
        <v>0</v>
      </c>
      <c r="AD74" s="69" t="n">
        <f aca="false">IF(AD$6=1,Inputs!$B$68,0)</f>
        <v>0</v>
      </c>
      <c r="AE74" s="69" t="n">
        <f aca="false">IF(AE$6=1,Inputs!$B$68,0)</f>
        <v>0</v>
      </c>
      <c r="AF74" s="69" t="n">
        <f aca="false">IF(AF$6=1,Inputs!$B$68,0)</f>
        <v>0</v>
      </c>
      <c r="AG74" s="69" t="n">
        <f aca="false">IF(AG$6=1,Inputs!$B$68,0)</f>
        <v>0</v>
      </c>
      <c r="AH74" s="69" t="n">
        <f aca="false">IF(AH$6=1,Inputs!$B$68,0)</f>
        <v>0</v>
      </c>
      <c r="AI74" s="69" t="n">
        <f aca="false">IF(AI$6=1,Inputs!$B$68,0)</f>
        <v>0</v>
      </c>
      <c r="AJ74" s="69" t="n">
        <f aca="false">IF(AJ$6=1,Inputs!$B$68,0)</f>
        <v>0</v>
      </c>
      <c r="AK74" s="69" t="n">
        <f aca="false">IF(AK$6=1,Inputs!$B$68,0)</f>
        <v>0</v>
      </c>
      <c r="AL74" s="69" t="n">
        <f aca="false">IF(AL$6=1,Inputs!$B$68,0)</f>
        <v>0</v>
      </c>
      <c r="AM74" s="69" t="n">
        <f aca="false">IF(AM$6=1,Inputs!$B$68,0)</f>
        <v>0</v>
      </c>
      <c r="AN74" s="69" t="n">
        <f aca="false">IF(AN$6=1,Inputs!$B$68,0)</f>
        <v>0</v>
      </c>
      <c r="AO74" s="69" t="n">
        <f aca="false">IF(AO$6=1,Inputs!$B$68,0)</f>
        <v>0</v>
      </c>
      <c r="AP74" s="69" t="n">
        <f aca="false">IF(AP$6=1,Inputs!$B$68,0)</f>
        <v>0</v>
      </c>
      <c r="AQ74" s="69" t="n">
        <f aca="false">IF(AQ$6=1,Inputs!$B$68,0)</f>
        <v>0</v>
      </c>
      <c r="AR74" s="69" t="n">
        <f aca="false">IF(AR$6=1,Inputs!$B$68,0)</f>
        <v>0</v>
      </c>
      <c r="AS74" s="69" t="n">
        <f aca="false">IF(AS$6=1,Inputs!$B$68,0)</f>
        <v>0</v>
      </c>
      <c r="AT74" s="69" t="n">
        <f aca="false">IF(AT$6=1,Inputs!$B$68,0)</f>
        <v>0</v>
      </c>
      <c r="AU74" s="69" t="n">
        <f aca="false">IF(AU$6=1,Inputs!$B$68,0)</f>
        <v>0</v>
      </c>
      <c r="AV74" s="69" t="n">
        <f aca="false">IF(AV$6=1,Inputs!$B$68,0)</f>
        <v>0</v>
      </c>
      <c r="AW74" s="69" t="n">
        <f aca="false">IF(AW$6=1,Inputs!$B$68,0)</f>
        <v>0</v>
      </c>
      <c r="AX74" s="69" t="n">
        <f aca="false">IF(AX$6=1,Inputs!$B$68,0)</f>
        <v>0</v>
      </c>
      <c r="AY74" s="69" t="n">
        <f aca="false">IF(AY$6=1,Inputs!$B$68,0)</f>
        <v>0</v>
      </c>
      <c r="AZ74" s="69" t="n">
        <f aca="false">IF(AZ$6=1,Inputs!$B$68,0)</f>
        <v>0</v>
      </c>
      <c r="BA74" s="69" t="n">
        <f aca="false">IF(BA$6=1,Inputs!$B$68,0)</f>
        <v>0</v>
      </c>
      <c r="BB74" s="69" t="n">
        <f aca="false">IF(BB$6=1,Inputs!$B$68,0)</f>
        <v>0</v>
      </c>
      <c r="BC74" s="69" t="n">
        <f aca="false">IF(BC$6=1,Inputs!$B$68,0)</f>
        <v>0</v>
      </c>
      <c r="BD74" s="69" t="n">
        <f aca="false">IF(BD$6=1,Inputs!$B$68,0)</f>
        <v>0</v>
      </c>
      <c r="BE74" s="69" t="n">
        <f aca="false">IF(BE$6=1,Inputs!$B$68,0)</f>
        <v>0</v>
      </c>
      <c r="BF74" s="69" t="n">
        <f aca="false">IF(BF$6=1,Inputs!$B$68,0)</f>
        <v>0</v>
      </c>
      <c r="BG74" s="69" t="n">
        <f aca="false">IF(BG$6=1,Inputs!$B$68,0)</f>
        <v>0</v>
      </c>
      <c r="BH74" s="69" t="n">
        <f aca="false">IF(BH$6=1,Inputs!$B$68,0)</f>
        <v>0</v>
      </c>
      <c r="BI74" s="69" t="n">
        <f aca="false">IF(BI$6=1,Inputs!$B$68,0)</f>
        <v>0</v>
      </c>
      <c r="BJ74" s="69" t="n">
        <f aca="false">IF(BJ$6=1,Inputs!$B$68,0)</f>
        <v>0</v>
      </c>
    </row>
    <row r="75" customFormat="false" ht="15" hidden="false" customHeight="false" outlineLevel="0" collapsed="false">
      <c r="A75" s="6" t="s">
        <v>86</v>
      </c>
      <c r="C75" s="69" t="n">
        <f aca="false">-MIN(C73,Inputs!$B$68/MAX(1,Inputs!$B$70*12))</f>
        <v>-0</v>
      </c>
      <c r="D75" s="69" t="n">
        <f aca="false">-MIN(D73,Inputs!$B$68/MAX(1,Inputs!$B$70*12))</f>
        <v>-2976.19047619048</v>
      </c>
      <c r="E75" s="69" t="n">
        <f aca="false">-MIN(E73,Inputs!$B$68/MAX(1,Inputs!$B$70*12))</f>
        <v>-2976.19047619048</v>
      </c>
      <c r="F75" s="69" t="n">
        <f aca="false">-MIN(F73,Inputs!$B$68/MAX(1,Inputs!$B$70*12))</f>
        <v>-2976.19047619048</v>
      </c>
      <c r="G75" s="69" t="n">
        <f aca="false">-MIN(G73,Inputs!$B$68/MAX(1,Inputs!$B$70*12))</f>
        <v>-2976.19047619048</v>
      </c>
      <c r="H75" s="69" t="n">
        <f aca="false">-MIN(H73,Inputs!$B$68/MAX(1,Inputs!$B$70*12))</f>
        <v>-2976.19047619048</v>
      </c>
      <c r="I75" s="69" t="n">
        <f aca="false">-MIN(I73,Inputs!$B$68/MAX(1,Inputs!$B$70*12))</f>
        <v>-2976.19047619048</v>
      </c>
      <c r="J75" s="69" t="n">
        <f aca="false">-MIN(J73,Inputs!$B$68/MAX(1,Inputs!$B$70*12))</f>
        <v>-2976.19047619048</v>
      </c>
      <c r="K75" s="69" t="n">
        <f aca="false">-MIN(K73,Inputs!$B$68/MAX(1,Inputs!$B$70*12))</f>
        <v>-2976.19047619048</v>
      </c>
      <c r="L75" s="69" t="n">
        <f aca="false">-MIN(L73,Inputs!$B$68/MAX(1,Inputs!$B$70*12))</f>
        <v>-2976.19047619048</v>
      </c>
      <c r="M75" s="69" t="n">
        <f aca="false">-MIN(M73,Inputs!$B$68/MAX(1,Inputs!$B$70*12))</f>
        <v>-2976.19047619048</v>
      </c>
      <c r="N75" s="69" t="n">
        <f aca="false">-MIN(N73,Inputs!$B$68/MAX(1,Inputs!$B$70*12))</f>
        <v>-2976.19047619048</v>
      </c>
      <c r="O75" s="69" t="n">
        <f aca="false">-MIN(O73,Inputs!$B$68/MAX(1,Inputs!$B$70*12))</f>
        <v>-2976.19047619048</v>
      </c>
      <c r="P75" s="69" t="n">
        <f aca="false">-MIN(P73,Inputs!$B$68/MAX(1,Inputs!$B$70*12))</f>
        <v>-2976.19047619048</v>
      </c>
      <c r="Q75" s="69" t="n">
        <f aca="false">-MIN(Q73,Inputs!$B$68/MAX(1,Inputs!$B$70*12))</f>
        <v>-2976.19047619048</v>
      </c>
      <c r="R75" s="69" t="n">
        <f aca="false">-MIN(R73,Inputs!$B$68/MAX(1,Inputs!$B$70*12))</f>
        <v>-2976.19047619048</v>
      </c>
      <c r="S75" s="69" t="n">
        <f aca="false">-MIN(S73,Inputs!$B$68/MAX(1,Inputs!$B$70*12))</f>
        <v>-2976.19047619048</v>
      </c>
      <c r="T75" s="69" t="n">
        <f aca="false">-MIN(T73,Inputs!$B$68/MAX(1,Inputs!$B$70*12))</f>
        <v>-2976.19047619048</v>
      </c>
      <c r="U75" s="69" t="n">
        <f aca="false">-MIN(U73,Inputs!$B$68/MAX(1,Inputs!$B$70*12))</f>
        <v>-2976.19047619048</v>
      </c>
      <c r="V75" s="69" t="n">
        <f aca="false">-MIN(V73,Inputs!$B$68/MAX(1,Inputs!$B$70*12))</f>
        <v>-2976.19047619048</v>
      </c>
      <c r="W75" s="69" t="n">
        <f aca="false">-MIN(W73,Inputs!$B$68/MAX(1,Inputs!$B$70*12))</f>
        <v>-2976.19047619048</v>
      </c>
      <c r="X75" s="69" t="n">
        <f aca="false">-MIN(X73,Inputs!$B$68/MAX(1,Inputs!$B$70*12))</f>
        <v>-2976.19047619048</v>
      </c>
      <c r="Y75" s="69" t="n">
        <f aca="false">-MIN(Y73,Inputs!$B$68/MAX(1,Inputs!$B$70*12))</f>
        <v>-2976.19047619048</v>
      </c>
      <c r="Z75" s="69" t="n">
        <f aca="false">-MIN(Z73,Inputs!$B$68/MAX(1,Inputs!$B$70*12))</f>
        <v>-2976.19047619048</v>
      </c>
      <c r="AA75" s="69" t="n">
        <f aca="false">-MIN(AA73,Inputs!$B$68/MAX(1,Inputs!$B$70*12))</f>
        <v>-2976.19047619048</v>
      </c>
      <c r="AB75" s="69" t="n">
        <f aca="false">-MIN(AB73,Inputs!$B$68/MAX(1,Inputs!$B$70*12))</f>
        <v>-2976.19047619048</v>
      </c>
      <c r="AC75" s="69" t="n">
        <f aca="false">-MIN(AC73,Inputs!$B$68/MAX(1,Inputs!$B$70*12))</f>
        <v>-2976.19047619048</v>
      </c>
      <c r="AD75" s="69" t="n">
        <f aca="false">-MIN(AD73,Inputs!$B$68/MAX(1,Inputs!$B$70*12))</f>
        <v>-2976.19047619048</v>
      </c>
      <c r="AE75" s="69" t="n">
        <f aca="false">-MIN(AE73,Inputs!$B$68/MAX(1,Inputs!$B$70*12))</f>
        <v>-2976.19047619048</v>
      </c>
      <c r="AF75" s="69" t="n">
        <f aca="false">-MIN(AF73,Inputs!$B$68/MAX(1,Inputs!$B$70*12))</f>
        <v>-2976.19047619048</v>
      </c>
      <c r="AG75" s="69" t="n">
        <f aca="false">-MIN(AG73,Inputs!$B$68/MAX(1,Inputs!$B$70*12))</f>
        <v>-2976.19047619048</v>
      </c>
      <c r="AH75" s="69" t="n">
        <f aca="false">-MIN(AH73,Inputs!$B$68/MAX(1,Inputs!$B$70*12))</f>
        <v>-2976.19047619048</v>
      </c>
      <c r="AI75" s="69" t="n">
        <f aca="false">-MIN(AI73,Inputs!$B$68/MAX(1,Inputs!$B$70*12))</f>
        <v>-2976.19047619048</v>
      </c>
      <c r="AJ75" s="69" t="n">
        <f aca="false">-MIN(AJ73,Inputs!$B$68/MAX(1,Inputs!$B$70*12))</f>
        <v>-2976.19047619048</v>
      </c>
      <c r="AK75" s="69" t="n">
        <f aca="false">-MIN(AK73,Inputs!$B$68/MAX(1,Inputs!$B$70*12))</f>
        <v>-2976.19047619048</v>
      </c>
      <c r="AL75" s="69" t="n">
        <f aca="false">-MIN(AL73,Inputs!$B$68/MAX(1,Inputs!$B$70*12))</f>
        <v>-2976.19047619048</v>
      </c>
      <c r="AM75" s="69" t="n">
        <f aca="false">-MIN(AM73,Inputs!$B$68/MAX(1,Inputs!$B$70*12))</f>
        <v>-2976.19047619048</v>
      </c>
      <c r="AN75" s="69" t="n">
        <f aca="false">-MIN(AN73,Inputs!$B$68/MAX(1,Inputs!$B$70*12))</f>
        <v>-2976.19047619048</v>
      </c>
      <c r="AO75" s="69" t="n">
        <f aca="false">-MIN(AO73,Inputs!$B$68/MAX(1,Inputs!$B$70*12))</f>
        <v>-2976.19047619048</v>
      </c>
      <c r="AP75" s="69" t="n">
        <f aca="false">-MIN(AP73,Inputs!$B$68/MAX(1,Inputs!$B$70*12))</f>
        <v>-2976.19047619048</v>
      </c>
      <c r="AQ75" s="69" t="n">
        <f aca="false">-MIN(AQ73,Inputs!$B$68/MAX(1,Inputs!$B$70*12))</f>
        <v>-2976.19047619048</v>
      </c>
      <c r="AR75" s="69" t="n">
        <f aca="false">-MIN(AR73,Inputs!$B$68/MAX(1,Inputs!$B$70*12))</f>
        <v>-2976.19047619048</v>
      </c>
      <c r="AS75" s="69" t="n">
        <f aca="false">-MIN(AS73,Inputs!$B$68/MAX(1,Inputs!$B$70*12))</f>
        <v>-2976.19047619048</v>
      </c>
      <c r="AT75" s="69" t="n">
        <f aca="false">-MIN(AT73,Inputs!$B$68/MAX(1,Inputs!$B$70*12))</f>
        <v>-2976.19047619048</v>
      </c>
      <c r="AU75" s="69" t="n">
        <f aca="false">-MIN(AU73,Inputs!$B$68/MAX(1,Inputs!$B$70*12))</f>
        <v>-2976.19047619048</v>
      </c>
      <c r="AV75" s="69" t="n">
        <f aca="false">-MIN(AV73,Inputs!$B$68/MAX(1,Inputs!$B$70*12))</f>
        <v>-2976.19047619048</v>
      </c>
      <c r="AW75" s="69" t="n">
        <f aca="false">-MIN(AW73,Inputs!$B$68/MAX(1,Inputs!$B$70*12))</f>
        <v>-2976.19047619048</v>
      </c>
      <c r="AX75" s="69" t="n">
        <f aca="false">-MIN(AX73,Inputs!$B$68/MAX(1,Inputs!$B$70*12))</f>
        <v>-2976.19047619048</v>
      </c>
      <c r="AY75" s="69" t="n">
        <f aca="false">-MIN(AY73,Inputs!$B$68/MAX(1,Inputs!$B$70*12))</f>
        <v>-2976.19047619048</v>
      </c>
      <c r="AZ75" s="69" t="n">
        <f aca="false">-MIN(AZ73,Inputs!$B$68/MAX(1,Inputs!$B$70*12))</f>
        <v>-2976.19047619048</v>
      </c>
      <c r="BA75" s="69" t="n">
        <f aca="false">-MIN(BA73,Inputs!$B$68/MAX(1,Inputs!$B$70*12))</f>
        <v>-2976.19047619048</v>
      </c>
      <c r="BB75" s="69" t="n">
        <f aca="false">-MIN(BB73,Inputs!$B$68/MAX(1,Inputs!$B$70*12))</f>
        <v>-2976.19047619048</v>
      </c>
      <c r="BC75" s="69" t="n">
        <f aca="false">-MIN(BC73,Inputs!$B$68/MAX(1,Inputs!$B$70*12))</f>
        <v>-2976.19047619048</v>
      </c>
      <c r="BD75" s="69" t="n">
        <f aca="false">-MIN(BD73,Inputs!$B$68/MAX(1,Inputs!$B$70*12))</f>
        <v>-2976.19047619048</v>
      </c>
      <c r="BE75" s="69" t="n">
        <f aca="false">-MIN(BE73,Inputs!$B$68/MAX(1,Inputs!$B$70*12))</f>
        <v>-2976.19047619048</v>
      </c>
      <c r="BF75" s="69" t="n">
        <f aca="false">-MIN(BF73,Inputs!$B$68/MAX(1,Inputs!$B$70*12))</f>
        <v>-2976.19047619048</v>
      </c>
      <c r="BG75" s="69" t="n">
        <f aca="false">-MIN(BG73,Inputs!$B$68/MAX(1,Inputs!$B$70*12))</f>
        <v>-2976.19047619048</v>
      </c>
      <c r="BH75" s="69" t="n">
        <f aca="false">-MIN(BH73,Inputs!$B$68/MAX(1,Inputs!$B$70*12))</f>
        <v>-2976.19047619048</v>
      </c>
      <c r="BI75" s="69" t="n">
        <f aca="false">-MIN(BI73,Inputs!$B$68/MAX(1,Inputs!$B$70*12))</f>
        <v>-2976.19047619048</v>
      </c>
      <c r="BJ75" s="69" t="n">
        <f aca="false">-MIN(BJ73,Inputs!$B$68/MAX(1,Inputs!$B$70*12))</f>
        <v>-2976.19047619048</v>
      </c>
    </row>
    <row r="76" customFormat="false" ht="15" hidden="false" customHeight="false" outlineLevel="0" collapsed="false">
      <c r="A76" s="4" t="s">
        <v>440</v>
      </c>
      <c r="C76" s="75" t="n">
        <f aca="false">C73+C74+C75</f>
        <v>250000</v>
      </c>
      <c r="D76" s="75" t="n">
        <f aca="false">D73+D74+D75</f>
        <v>247023.80952381</v>
      </c>
      <c r="E76" s="75" t="n">
        <f aca="false">E73+E74+E75</f>
        <v>244047.619047619</v>
      </c>
      <c r="F76" s="75" t="n">
        <f aca="false">F73+F74+F75</f>
        <v>241071.428571429</v>
      </c>
      <c r="G76" s="75" t="n">
        <f aca="false">G73+G74+G75</f>
        <v>238095.238095238</v>
      </c>
      <c r="H76" s="75" t="n">
        <f aca="false">H73+H74+H75</f>
        <v>235119.047619048</v>
      </c>
      <c r="I76" s="75" t="n">
        <f aca="false">I73+I74+I75</f>
        <v>232142.857142857</v>
      </c>
      <c r="J76" s="75" t="n">
        <f aca="false">J73+J74+J75</f>
        <v>229166.666666667</v>
      </c>
      <c r="K76" s="75" t="n">
        <f aca="false">K73+K74+K75</f>
        <v>226190.476190476</v>
      </c>
      <c r="L76" s="75" t="n">
        <f aca="false">L73+L74+L75</f>
        <v>223214.285714286</v>
      </c>
      <c r="M76" s="75" t="n">
        <f aca="false">M73+M74+M75</f>
        <v>220238.095238095</v>
      </c>
      <c r="N76" s="75" t="n">
        <f aca="false">N73+N74+N75</f>
        <v>217261.904761905</v>
      </c>
      <c r="O76" s="75" t="n">
        <f aca="false">O73+O74+O75</f>
        <v>214285.714285714</v>
      </c>
      <c r="P76" s="75" t="n">
        <f aca="false">P73+P74+P75</f>
        <v>211309.523809524</v>
      </c>
      <c r="Q76" s="75" t="n">
        <f aca="false">Q73+Q74+Q75</f>
        <v>208333.333333333</v>
      </c>
      <c r="R76" s="75" t="n">
        <f aca="false">R73+R74+R75</f>
        <v>205357.142857143</v>
      </c>
      <c r="S76" s="75" t="n">
        <f aca="false">S73+S74+S75</f>
        <v>202380.952380952</v>
      </c>
      <c r="T76" s="75" t="n">
        <f aca="false">T73+T74+T75</f>
        <v>199404.761904762</v>
      </c>
      <c r="U76" s="75" t="n">
        <f aca="false">U73+U74+U75</f>
        <v>196428.571428571</v>
      </c>
      <c r="V76" s="75" t="n">
        <f aca="false">V73+V74+V75</f>
        <v>193452.380952381</v>
      </c>
      <c r="W76" s="75" t="n">
        <f aca="false">W73+W74+W75</f>
        <v>190476.190476191</v>
      </c>
      <c r="X76" s="75" t="n">
        <f aca="false">X73+X74+X75</f>
        <v>187500</v>
      </c>
      <c r="Y76" s="75" t="n">
        <f aca="false">Y73+Y74+Y75</f>
        <v>184523.80952381</v>
      </c>
      <c r="Z76" s="75" t="n">
        <f aca="false">Z73+Z74+Z75</f>
        <v>181547.619047619</v>
      </c>
      <c r="AA76" s="75" t="n">
        <f aca="false">AA73+AA74+AA75</f>
        <v>178571.428571429</v>
      </c>
      <c r="AB76" s="75" t="n">
        <f aca="false">AB73+AB74+AB75</f>
        <v>175595.238095238</v>
      </c>
      <c r="AC76" s="75" t="n">
        <f aca="false">AC73+AC74+AC75</f>
        <v>172619.047619048</v>
      </c>
      <c r="AD76" s="75" t="n">
        <f aca="false">AD73+AD74+AD75</f>
        <v>169642.857142857</v>
      </c>
      <c r="AE76" s="75" t="n">
        <f aca="false">AE73+AE74+AE75</f>
        <v>166666.666666667</v>
      </c>
      <c r="AF76" s="75" t="n">
        <f aca="false">AF73+AF74+AF75</f>
        <v>163690.476190476</v>
      </c>
      <c r="AG76" s="75" t="n">
        <f aca="false">AG73+AG74+AG75</f>
        <v>160714.285714286</v>
      </c>
      <c r="AH76" s="75" t="n">
        <f aca="false">AH73+AH74+AH75</f>
        <v>157738.095238095</v>
      </c>
      <c r="AI76" s="75" t="n">
        <f aca="false">AI73+AI74+AI75</f>
        <v>154761.904761905</v>
      </c>
      <c r="AJ76" s="75" t="n">
        <f aca="false">AJ73+AJ74+AJ75</f>
        <v>151785.714285714</v>
      </c>
      <c r="AK76" s="75" t="n">
        <f aca="false">AK73+AK74+AK75</f>
        <v>148809.523809524</v>
      </c>
      <c r="AL76" s="75" t="n">
        <f aca="false">AL73+AL74+AL75</f>
        <v>145833.333333333</v>
      </c>
      <c r="AM76" s="75" t="n">
        <f aca="false">AM73+AM74+AM75</f>
        <v>142857.142857143</v>
      </c>
      <c r="AN76" s="75" t="n">
        <f aca="false">AN73+AN74+AN75</f>
        <v>139880.952380952</v>
      </c>
      <c r="AO76" s="75" t="n">
        <f aca="false">AO73+AO74+AO75</f>
        <v>136904.761904762</v>
      </c>
      <c r="AP76" s="75" t="n">
        <f aca="false">AP73+AP74+AP75</f>
        <v>133928.571428572</v>
      </c>
      <c r="AQ76" s="75" t="n">
        <f aca="false">AQ73+AQ74+AQ75</f>
        <v>130952.380952381</v>
      </c>
      <c r="AR76" s="75" t="n">
        <f aca="false">AR73+AR74+AR75</f>
        <v>127976.190476191</v>
      </c>
      <c r="AS76" s="75" t="n">
        <f aca="false">AS73+AS74+AS75</f>
        <v>125000</v>
      </c>
      <c r="AT76" s="75" t="n">
        <f aca="false">AT73+AT74+AT75</f>
        <v>122023.80952381</v>
      </c>
      <c r="AU76" s="75" t="n">
        <f aca="false">AU73+AU74+AU75</f>
        <v>119047.619047619</v>
      </c>
      <c r="AV76" s="75" t="n">
        <f aca="false">AV73+AV74+AV75</f>
        <v>116071.428571429</v>
      </c>
      <c r="AW76" s="75" t="n">
        <f aca="false">AW73+AW74+AW75</f>
        <v>113095.238095238</v>
      </c>
      <c r="AX76" s="75" t="n">
        <f aca="false">AX73+AX74+AX75</f>
        <v>110119.047619048</v>
      </c>
      <c r="AY76" s="75" t="n">
        <f aca="false">AY73+AY74+AY75</f>
        <v>107142.857142857</v>
      </c>
      <c r="AZ76" s="75" t="n">
        <f aca="false">AZ73+AZ74+AZ75</f>
        <v>104166.666666667</v>
      </c>
      <c r="BA76" s="75" t="n">
        <f aca="false">BA73+BA74+BA75</f>
        <v>101190.476190476</v>
      </c>
      <c r="BB76" s="75" t="n">
        <f aca="false">BB73+BB74+BB75</f>
        <v>98214.2857142859</v>
      </c>
      <c r="BC76" s="75" t="n">
        <f aca="false">BC73+BC74+BC75</f>
        <v>95238.0952380954</v>
      </c>
      <c r="BD76" s="75" t="n">
        <f aca="false">BD73+BD74+BD75</f>
        <v>92261.9047619049</v>
      </c>
      <c r="BE76" s="75" t="n">
        <f aca="false">BE73+BE74+BE75</f>
        <v>89285.7142857144</v>
      </c>
      <c r="BF76" s="75" t="n">
        <f aca="false">BF73+BF74+BF75</f>
        <v>86309.523809524</v>
      </c>
      <c r="BG76" s="75" t="n">
        <f aca="false">BG73+BG74+BG75</f>
        <v>83333.3333333335</v>
      </c>
      <c r="BH76" s="75" t="n">
        <f aca="false">BH73+BH74+BH75</f>
        <v>80357.142857143</v>
      </c>
      <c r="BI76" s="75" t="n">
        <f aca="false">BI73+BI74+BI75</f>
        <v>77380.9523809525</v>
      </c>
      <c r="BJ76" s="75" t="n">
        <f aca="false">BJ73+BJ74+BJ75</f>
        <v>74404.7619047621</v>
      </c>
    </row>
    <row r="78" customFormat="false" ht="15.75" hidden="false" customHeight="true" outlineLevel="0" collapsed="false">
      <c r="A78" s="7" t="s">
        <v>317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customFormat="false" ht="15" hidden="false" customHeight="false" outlineLevel="0" collapsed="false">
      <c r="A79" s="6" t="s">
        <v>90</v>
      </c>
      <c r="C79" s="69" t="n">
        <f aca="false">C30*Inputs!$B$73/30</f>
        <v>3542.88</v>
      </c>
      <c r="D79" s="69" t="n">
        <f aca="false">D30*Inputs!$B$73/30</f>
        <v>4059.55</v>
      </c>
      <c r="E79" s="69" t="n">
        <f aca="false">E30*Inputs!$B$73/30</f>
        <v>4576.22</v>
      </c>
      <c r="F79" s="69" t="n">
        <f aca="false">F30*Inputs!$B$73/30</f>
        <v>5092.89</v>
      </c>
      <c r="G79" s="69" t="n">
        <f aca="false">G30*Inputs!$B$73/30</f>
        <v>5609.56</v>
      </c>
      <c r="H79" s="69" t="n">
        <f aca="false">H30*Inputs!$B$73/30</f>
        <v>6126.23</v>
      </c>
      <c r="I79" s="69" t="n">
        <f aca="false">I30*Inputs!$B$73/30</f>
        <v>6642.9</v>
      </c>
      <c r="J79" s="69" t="n">
        <f aca="false">J30*Inputs!$B$73/30</f>
        <v>7159.57</v>
      </c>
      <c r="K79" s="69" t="n">
        <f aca="false">K30*Inputs!$B$73/30</f>
        <v>7676.24</v>
      </c>
      <c r="L79" s="69" t="n">
        <f aca="false">L30*Inputs!$B$73/30</f>
        <v>8192.91</v>
      </c>
      <c r="M79" s="69" t="n">
        <f aca="false">M30*Inputs!$B$73/30</f>
        <v>8709.58</v>
      </c>
      <c r="N79" s="69" t="n">
        <f aca="false">N30*Inputs!$B$73/30</f>
        <v>9226.25</v>
      </c>
      <c r="O79" s="69" t="n">
        <f aca="false">O30*Inputs!$B$73/30</f>
        <v>9840.3492</v>
      </c>
      <c r="P79" s="69" t="n">
        <f aca="false">P30*Inputs!$B$73/30</f>
        <v>10362.1859</v>
      </c>
      <c r="Q79" s="69" t="n">
        <f aca="false">Q30*Inputs!$B$73/30</f>
        <v>10884.0226</v>
      </c>
      <c r="R79" s="69" t="n">
        <f aca="false">R30*Inputs!$B$73/30</f>
        <v>11405.8593</v>
      </c>
      <c r="S79" s="69" t="n">
        <f aca="false">S30*Inputs!$B$73/30</f>
        <v>11927.696</v>
      </c>
      <c r="T79" s="69" t="n">
        <f aca="false">T30*Inputs!$B$73/30</f>
        <v>11927.696</v>
      </c>
      <c r="U79" s="69" t="n">
        <f aca="false">U30*Inputs!$B$73/30</f>
        <v>11927.696</v>
      </c>
      <c r="V79" s="69" t="n">
        <f aca="false">V30*Inputs!$B$73/30</f>
        <v>11927.696</v>
      </c>
      <c r="W79" s="69" t="n">
        <f aca="false">W30*Inputs!$B$73/30</f>
        <v>11927.696</v>
      </c>
      <c r="X79" s="69" t="n">
        <f aca="false">X30*Inputs!$B$73/30</f>
        <v>11927.696</v>
      </c>
      <c r="Y79" s="69" t="n">
        <f aca="false">Y30*Inputs!$B$73/30</f>
        <v>11927.696</v>
      </c>
      <c r="Z79" s="69" t="n">
        <f aca="false">Z30*Inputs!$B$73/30</f>
        <v>11927.696</v>
      </c>
      <c r="AA79" s="69" t="n">
        <f aca="false">AA30*Inputs!$B$73/30</f>
        <v>12046.97296</v>
      </c>
      <c r="AB79" s="69" t="n">
        <f aca="false">AB30*Inputs!$B$73/30</f>
        <v>12046.97296</v>
      </c>
      <c r="AC79" s="69" t="n">
        <f aca="false">AC30*Inputs!$B$73/30</f>
        <v>12046.97296</v>
      </c>
      <c r="AD79" s="69" t="n">
        <f aca="false">AD30*Inputs!$B$73/30</f>
        <v>12046.97296</v>
      </c>
      <c r="AE79" s="69" t="n">
        <f aca="false">AE30*Inputs!$B$73/30</f>
        <v>12046.97296</v>
      </c>
      <c r="AF79" s="69" t="n">
        <f aca="false">AF30*Inputs!$B$73/30</f>
        <v>12046.97296</v>
      </c>
      <c r="AG79" s="69" t="n">
        <f aca="false">AG30*Inputs!$B$73/30</f>
        <v>12046.97296</v>
      </c>
      <c r="AH79" s="69" t="n">
        <f aca="false">AH30*Inputs!$B$73/30</f>
        <v>12046.97296</v>
      </c>
      <c r="AI79" s="69" t="n">
        <f aca="false">AI30*Inputs!$B$73/30</f>
        <v>12046.97296</v>
      </c>
      <c r="AJ79" s="69" t="n">
        <f aca="false">AJ30*Inputs!$B$73/30</f>
        <v>12046.97296</v>
      </c>
      <c r="AK79" s="69" t="n">
        <f aca="false">AK30*Inputs!$B$73/30</f>
        <v>12046.97296</v>
      </c>
      <c r="AL79" s="69" t="n">
        <f aca="false">AL30*Inputs!$B$73/30</f>
        <v>12046.97296</v>
      </c>
      <c r="AM79" s="69" t="n">
        <f aca="false">AM30*Inputs!$B$73/30</f>
        <v>12167.4426896</v>
      </c>
      <c r="AN79" s="69" t="n">
        <f aca="false">AN30*Inputs!$B$73/30</f>
        <v>12167.4426896</v>
      </c>
      <c r="AO79" s="69" t="n">
        <f aca="false">AO30*Inputs!$B$73/30</f>
        <v>12167.4426896</v>
      </c>
      <c r="AP79" s="69" t="n">
        <f aca="false">AP30*Inputs!$B$73/30</f>
        <v>12167.4426896</v>
      </c>
      <c r="AQ79" s="69" t="n">
        <f aca="false">AQ30*Inputs!$B$73/30</f>
        <v>12167.4426896</v>
      </c>
      <c r="AR79" s="69" t="n">
        <f aca="false">AR30*Inputs!$B$73/30</f>
        <v>12167.4426896</v>
      </c>
      <c r="AS79" s="69" t="n">
        <f aca="false">AS30*Inputs!$B$73/30</f>
        <v>12167.4426896</v>
      </c>
      <c r="AT79" s="69" t="n">
        <f aca="false">AT30*Inputs!$B$73/30</f>
        <v>12167.4426896</v>
      </c>
      <c r="AU79" s="69" t="n">
        <f aca="false">AU30*Inputs!$B$73/30</f>
        <v>12167.4426896</v>
      </c>
      <c r="AV79" s="69" t="n">
        <f aca="false">AV30*Inputs!$B$73/30</f>
        <v>12167.4426896</v>
      </c>
      <c r="AW79" s="69" t="n">
        <f aca="false">AW30*Inputs!$B$73/30</f>
        <v>12167.4426896</v>
      </c>
      <c r="AX79" s="69" t="n">
        <f aca="false">AX30*Inputs!$B$73/30</f>
        <v>12167.4426896</v>
      </c>
      <c r="AY79" s="69" t="n">
        <f aca="false">AY30*Inputs!$B$73/30</f>
        <v>12289.117116496</v>
      </c>
      <c r="AZ79" s="69" t="n">
        <f aca="false">AZ30*Inputs!$B$73/30</f>
        <v>12289.117116496</v>
      </c>
      <c r="BA79" s="69" t="n">
        <f aca="false">BA30*Inputs!$B$73/30</f>
        <v>12289.117116496</v>
      </c>
      <c r="BB79" s="69" t="n">
        <f aca="false">BB30*Inputs!$B$73/30</f>
        <v>12289.117116496</v>
      </c>
      <c r="BC79" s="69" t="n">
        <f aca="false">BC30*Inputs!$B$73/30</f>
        <v>12289.117116496</v>
      </c>
      <c r="BD79" s="69" t="n">
        <f aca="false">BD30*Inputs!$B$73/30</f>
        <v>12289.117116496</v>
      </c>
      <c r="BE79" s="69" t="n">
        <f aca="false">BE30*Inputs!$B$73/30</f>
        <v>12289.117116496</v>
      </c>
      <c r="BF79" s="69" t="n">
        <f aca="false">BF30*Inputs!$B$73/30</f>
        <v>12289.117116496</v>
      </c>
      <c r="BG79" s="69" t="n">
        <f aca="false">BG30*Inputs!$B$73/30</f>
        <v>12289.117116496</v>
      </c>
      <c r="BH79" s="69" t="n">
        <f aca="false">BH30*Inputs!$B$73/30</f>
        <v>12289.117116496</v>
      </c>
      <c r="BI79" s="69" t="n">
        <f aca="false">BI30*Inputs!$B$73/30</f>
        <v>12289.117116496</v>
      </c>
      <c r="BJ79" s="69" t="n">
        <f aca="false">BJ30*Inputs!$B$73/30</f>
        <v>12289.117116496</v>
      </c>
    </row>
    <row r="80" customFormat="false" ht="15" hidden="false" customHeight="false" outlineLevel="0" collapsed="false">
      <c r="A80" s="6" t="s">
        <v>91</v>
      </c>
      <c r="C80" s="69" t="n">
        <f aca="false">-C37*Inputs!$B$74/30</f>
        <v>12648.9066666667</v>
      </c>
      <c r="D80" s="69" t="n">
        <f aca="false">-D37*Inputs!$B$74/30</f>
        <v>13040.0666666667</v>
      </c>
      <c r="E80" s="69" t="n">
        <f aca="false">-E37*Inputs!$B$74/30</f>
        <v>13431.2266666667</v>
      </c>
      <c r="F80" s="69" t="n">
        <f aca="false">-F37*Inputs!$B$74/30</f>
        <v>13822.3866666667</v>
      </c>
      <c r="G80" s="69" t="n">
        <f aca="false">-G37*Inputs!$B$74/30</f>
        <v>14213.5466666667</v>
      </c>
      <c r="H80" s="69" t="n">
        <f aca="false">-H37*Inputs!$B$74/30</f>
        <v>14604.7066666667</v>
      </c>
      <c r="I80" s="69" t="n">
        <f aca="false">-I37*Inputs!$B$74/30</f>
        <v>14995.8666666667</v>
      </c>
      <c r="J80" s="69" t="n">
        <f aca="false">-J37*Inputs!$B$74/30</f>
        <v>15387.0266666667</v>
      </c>
      <c r="K80" s="69" t="n">
        <f aca="false">-K37*Inputs!$B$74/30</f>
        <v>15778.1866666667</v>
      </c>
      <c r="L80" s="69" t="n">
        <f aca="false">-L37*Inputs!$B$74/30</f>
        <v>16169.3466666667</v>
      </c>
      <c r="M80" s="69" t="n">
        <f aca="false">-M37*Inputs!$B$74/30</f>
        <v>16560.5066666667</v>
      </c>
      <c r="N80" s="69" t="n">
        <f aca="false">-N37*Inputs!$B$74/30</f>
        <v>16951.6666666667</v>
      </c>
      <c r="O80" s="69" t="n">
        <f aca="false">-O37*Inputs!$B$74/30</f>
        <v>17815.2549333333</v>
      </c>
      <c r="P80" s="69" t="n">
        <f aca="false">-P37*Inputs!$B$74/30</f>
        <v>18210.3265333333</v>
      </c>
      <c r="Q80" s="69" t="n">
        <f aca="false">-Q37*Inputs!$B$74/30</f>
        <v>18605.3981333333</v>
      </c>
      <c r="R80" s="69" t="n">
        <f aca="false">-R37*Inputs!$B$74/30</f>
        <v>19000.4697333333</v>
      </c>
      <c r="S80" s="69" t="n">
        <f aca="false">-S37*Inputs!$B$74/30</f>
        <v>19395.5413333333</v>
      </c>
      <c r="T80" s="69" t="n">
        <f aca="false">-T37*Inputs!$B$74/30</f>
        <v>19395.5413333333</v>
      </c>
      <c r="U80" s="69" t="n">
        <f aca="false">-U37*Inputs!$B$74/30</f>
        <v>19395.5413333333</v>
      </c>
      <c r="V80" s="69" t="n">
        <f aca="false">-V37*Inputs!$B$74/30</f>
        <v>19395.5413333333</v>
      </c>
      <c r="W80" s="69" t="n">
        <f aca="false">-W37*Inputs!$B$74/30</f>
        <v>19395.5413333333</v>
      </c>
      <c r="X80" s="69" t="n">
        <f aca="false">-X37*Inputs!$B$74/30</f>
        <v>19395.5413333333</v>
      </c>
      <c r="Y80" s="69" t="n">
        <f aca="false">-Y37*Inputs!$B$74/30</f>
        <v>19395.5413333333</v>
      </c>
      <c r="Z80" s="69" t="n">
        <f aca="false">-Z37*Inputs!$B$74/30</f>
        <v>19395.5413333333</v>
      </c>
      <c r="AA80" s="69" t="n">
        <f aca="false">-AA37*Inputs!$B$74/30</f>
        <v>19900.4567466667</v>
      </c>
      <c r="AB80" s="69" t="n">
        <f aca="false">-AB37*Inputs!$B$74/30</f>
        <v>19900.4567466667</v>
      </c>
      <c r="AC80" s="69" t="n">
        <f aca="false">-AC37*Inputs!$B$74/30</f>
        <v>19900.4567466667</v>
      </c>
      <c r="AD80" s="69" t="n">
        <f aca="false">-AD37*Inputs!$B$74/30</f>
        <v>19900.4567466667</v>
      </c>
      <c r="AE80" s="69" t="n">
        <f aca="false">-AE37*Inputs!$B$74/30</f>
        <v>19900.4567466667</v>
      </c>
      <c r="AF80" s="69" t="n">
        <f aca="false">-AF37*Inputs!$B$74/30</f>
        <v>19900.4567466667</v>
      </c>
      <c r="AG80" s="69" t="n">
        <f aca="false">-AG37*Inputs!$B$74/30</f>
        <v>19900.4567466667</v>
      </c>
      <c r="AH80" s="69" t="n">
        <f aca="false">-AH37*Inputs!$B$74/30</f>
        <v>19900.4567466667</v>
      </c>
      <c r="AI80" s="69" t="n">
        <f aca="false">-AI37*Inputs!$B$74/30</f>
        <v>19900.4567466667</v>
      </c>
      <c r="AJ80" s="69" t="n">
        <f aca="false">-AJ37*Inputs!$B$74/30</f>
        <v>19900.4567466667</v>
      </c>
      <c r="AK80" s="69" t="n">
        <f aca="false">-AK37*Inputs!$B$74/30</f>
        <v>19900.4567466667</v>
      </c>
      <c r="AL80" s="69" t="n">
        <f aca="false">-AL37*Inputs!$B$74/30</f>
        <v>19900.4567466667</v>
      </c>
      <c r="AM80" s="69" t="n">
        <f aca="false">-AM37*Inputs!$B$74/30</f>
        <v>20422.8597141333</v>
      </c>
      <c r="AN80" s="69" t="n">
        <f aca="false">-AN37*Inputs!$B$74/30</f>
        <v>20422.8597141333</v>
      </c>
      <c r="AO80" s="69" t="n">
        <f aca="false">-AO37*Inputs!$B$74/30</f>
        <v>20422.8597141333</v>
      </c>
      <c r="AP80" s="69" t="n">
        <f aca="false">-AP37*Inputs!$B$74/30</f>
        <v>20422.8597141333</v>
      </c>
      <c r="AQ80" s="69" t="n">
        <f aca="false">-AQ37*Inputs!$B$74/30</f>
        <v>20422.8597141333</v>
      </c>
      <c r="AR80" s="69" t="n">
        <f aca="false">-AR37*Inputs!$B$74/30</f>
        <v>20422.8597141333</v>
      </c>
      <c r="AS80" s="69" t="n">
        <f aca="false">-AS37*Inputs!$B$74/30</f>
        <v>20422.8597141333</v>
      </c>
      <c r="AT80" s="69" t="n">
        <f aca="false">-AT37*Inputs!$B$74/30</f>
        <v>20422.8597141333</v>
      </c>
      <c r="AU80" s="69" t="n">
        <f aca="false">-AU37*Inputs!$B$74/30</f>
        <v>20422.8597141333</v>
      </c>
      <c r="AV80" s="69" t="n">
        <f aca="false">-AV37*Inputs!$B$74/30</f>
        <v>20422.8597141333</v>
      </c>
      <c r="AW80" s="69" t="n">
        <f aca="false">-AW37*Inputs!$B$74/30</f>
        <v>20422.8597141333</v>
      </c>
      <c r="AX80" s="69" t="n">
        <f aca="false">-AX37*Inputs!$B$74/30</f>
        <v>20422.8597141333</v>
      </c>
      <c r="AY80" s="69" t="n">
        <f aca="false">-AY37*Inputs!$B$74/30</f>
        <v>20963.4226472747</v>
      </c>
      <c r="AZ80" s="69" t="n">
        <f aca="false">-AZ37*Inputs!$B$74/30</f>
        <v>20963.4226472747</v>
      </c>
      <c r="BA80" s="69" t="n">
        <f aca="false">-BA37*Inputs!$B$74/30</f>
        <v>20963.4226472747</v>
      </c>
      <c r="BB80" s="69" t="n">
        <f aca="false">-BB37*Inputs!$B$74/30</f>
        <v>20963.4226472747</v>
      </c>
      <c r="BC80" s="69" t="n">
        <f aca="false">-BC37*Inputs!$B$74/30</f>
        <v>20963.4226472747</v>
      </c>
      <c r="BD80" s="69" t="n">
        <f aca="false">-BD37*Inputs!$B$74/30</f>
        <v>20963.4226472747</v>
      </c>
      <c r="BE80" s="69" t="n">
        <f aca="false">-BE37*Inputs!$B$74/30</f>
        <v>20963.4226472747</v>
      </c>
      <c r="BF80" s="69" t="n">
        <f aca="false">-BF37*Inputs!$B$74/30</f>
        <v>20963.4226472747</v>
      </c>
      <c r="BG80" s="69" t="n">
        <f aca="false">-BG37*Inputs!$B$74/30</f>
        <v>20963.4226472747</v>
      </c>
      <c r="BH80" s="69" t="n">
        <f aca="false">-BH37*Inputs!$B$74/30</f>
        <v>20963.4226472747</v>
      </c>
      <c r="BI80" s="69" t="n">
        <f aca="false">-BI37*Inputs!$B$74/30</f>
        <v>20963.4226472747</v>
      </c>
      <c r="BJ80" s="69" t="n">
        <f aca="false">-BJ37*Inputs!$B$74/30</f>
        <v>20963.4226472747</v>
      </c>
    </row>
    <row r="81" customFormat="false" ht="15" hidden="false" customHeight="false" outlineLevel="0" collapsed="false">
      <c r="A81" s="6" t="s">
        <v>94</v>
      </c>
      <c r="C81" s="69" t="n">
        <f aca="false">-C37*Inputs!$B$75/30</f>
        <v>39527.8333333333</v>
      </c>
      <c r="D81" s="69" t="n">
        <f aca="false">-D37*Inputs!$B$75/30</f>
        <v>40750.2083333333</v>
      </c>
      <c r="E81" s="69" t="n">
        <f aca="false">-E37*Inputs!$B$75/30</f>
        <v>41972.5833333333</v>
      </c>
      <c r="F81" s="69" t="n">
        <f aca="false">-F37*Inputs!$B$75/30</f>
        <v>43194.9583333333</v>
      </c>
      <c r="G81" s="69" t="n">
        <f aca="false">-G37*Inputs!$B$75/30</f>
        <v>44417.3333333333</v>
      </c>
      <c r="H81" s="69" t="n">
        <f aca="false">-H37*Inputs!$B$75/30</f>
        <v>45639.7083333333</v>
      </c>
      <c r="I81" s="69" t="n">
        <f aca="false">-I37*Inputs!$B$75/30</f>
        <v>46862.0833333333</v>
      </c>
      <c r="J81" s="69" t="n">
        <f aca="false">-J37*Inputs!$B$75/30</f>
        <v>48084.4583333333</v>
      </c>
      <c r="K81" s="69" t="n">
        <f aca="false">-K37*Inputs!$B$75/30</f>
        <v>49306.8333333333</v>
      </c>
      <c r="L81" s="69" t="n">
        <f aca="false">-L37*Inputs!$B$75/30</f>
        <v>50529.2083333333</v>
      </c>
      <c r="M81" s="69" t="n">
        <f aca="false">-M37*Inputs!$B$75/30</f>
        <v>51751.5833333333</v>
      </c>
      <c r="N81" s="69" t="n">
        <f aca="false">-N37*Inputs!$B$75/30</f>
        <v>52973.9583333333</v>
      </c>
      <c r="O81" s="69" t="n">
        <f aca="false">-O37*Inputs!$B$75/30</f>
        <v>55672.6716666667</v>
      </c>
      <c r="P81" s="69" t="n">
        <f aca="false">-P37*Inputs!$B$75/30</f>
        <v>56907.2704166667</v>
      </c>
      <c r="Q81" s="69" t="n">
        <f aca="false">-Q37*Inputs!$B$75/30</f>
        <v>58141.8691666667</v>
      </c>
      <c r="R81" s="69" t="n">
        <f aca="false">-R37*Inputs!$B$75/30</f>
        <v>59376.4679166667</v>
      </c>
      <c r="S81" s="69" t="n">
        <f aca="false">-S37*Inputs!$B$75/30</f>
        <v>60611.0666666667</v>
      </c>
      <c r="T81" s="69" t="n">
        <f aca="false">-T37*Inputs!$B$75/30</f>
        <v>60611.0666666667</v>
      </c>
      <c r="U81" s="69" t="n">
        <f aca="false">-U37*Inputs!$B$75/30</f>
        <v>60611.0666666667</v>
      </c>
      <c r="V81" s="69" t="n">
        <f aca="false">-V37*Inputs!$B$75/30</f>
        <v>60611.0666666667</v>
      </c>
      <c r="W81" s="69" t="n">
        <f aca="false">-W37*Inputs!$B$75/30</f>
        <v>60611.0666666667</v>
      </c>
      <c r="X81" s="69" t="n">
        <f aca="false">-X37*Inputs!$B$75/30</f>
        <v>60611.0666666667</v>
      </c>
      <c r="Y81" s="69" t="n">
        <f aca="false">-Y37*Inputs!$B$75/30</f>
        <v>60611.0666666667</v>
      </c>
      <c r="Z81" s="69" t="n">
        <f aca="false">-Z37*Inputs!$B$75/30</f>
        <v>60611.0666666667</v>
      </c>
      <c r="AA81" s="69" t="n">
        <f aca="false">-AA37*Inputs!$B$75/30</f>
        <v>62188.9273333333</v>
      </c>
      <c r="AB81" s="69" t="n">
        <f aca="false">-AB37*Inputs!$B$75/30</f>
        <v>62188.9273333333</v>
      </c>
      <c r="AC81" s="69" t="n">
        <f aca="false">-AC37*Inputs!$B$75/30</f>
        <v>62188.9273333333</v>
      </c>
      <c r="AD81" s="69" t="n">
        <f aca="false">-AD37*Inputs!$B$75/30</f>
        <v>62188.9273333333</v>
      </c>
      <c r="AE81" s="69" t="n">
        <f aca="false">-AE37*Inputs!$B$75/30</f>
        <v>62188.9273333333</v>
      </c>
      <c r="AF81" s="69" t="n">
        <f aca="false">-AF37*Inputs!$B$75/30</f>
        <v>62188.9273333333</v>
      </c>
      <c r="AG81" s="69" t="n">
        <f aca="false">-AG37*Inputs!$B$75/30</f>
        <v>62188.9273333333</v>
      </c>
      <c r="AH81" s="69" t="n">
        <f aca="false">-AH37*Inputs!$B$75/30</f>
        <v>62188.9273333333</v>
      </c>
      <c r="AI81" s="69" t="n">
        <f aca="false">-AI37*Inputs!$B$75/30</f>
        <v>62188.9273333333</v>
      </c>
      <c r="AJ81" s="69" t="n">
        <f aca="false">-AJ37*Inputs!$B$75/30</f>
        <v>62188.9273333333</v>
      </c>
      <c r="AK81" s="69" t="n">
        <f aca="false">-AK37*Inputs!$B$75/30</f>
        <v>62188.9273333333</v>
      </c>
      <c r="AL81" s="69" t="n">
        <f aca="false">-AL37*Inputs!$B$75/30</f>
        <v>62188.9273333333</v>
      </c>
      <c r="AM81" s="69" t="n">
        <f aca="false">-AM37*Inputs!$B$75/30</f>
        <v>63821.4366066667</v>
      </c>
      <c r="AN81" s="69" t="n">
        <f aca="false">-AN37*Inputs!$B$75/30</f>
        <v>63821.4366066667</v>
      </c>
      <c r="AO81" s="69" t="n">
        <f aca="false">-AO37*Inputs!$B$75/30</f>
        <v>63821.4366066667</v>
      </c>
      <c r="AP81" s="69" t="n">
        <f aca="false">-AP37*Inputs!$B$75/30</f>
        <v>63821.4366066667</v>
      </c>
      <c r="AQ81" s="69" t="n">
        <f aca="false">-AQ37*Inputs!$B$75/30</f>
        <v>63821.4366066667</v>
      </c>
      <c r="AR81" s="69" t="n">
        <f aca="false">-AR37*Inputs!$B$75/30</f>
        <v>63821.4366066667</v>
      </c>
      <c r="AS81" s="69" t="n">
        <f aca="false">-AS37*Inputs!$B$75/30</f>
        <v>63821.4366066667</v>
      </c>
      <c r="AT81" s="69" t="n">
        <f aca="false">-AT37*Inputs!$B$75/30</f>
        <v>63821.4366066667</v>
      </c>
      <c r="AU81" s="69" t="n">
        <f aca="false">-AU37*Inputs!$B$75/30</f>
        <v>63821.4366066667</v>
      </c>
      <c r="AV81" s="69" t="n">
        <f aca="false">-AV37*Inputs!$B$75/30</f>
        <v>63821.4366066667</v>
      </c>
      <c r="AW81" s="69" t="n">
        <f aca="false">-AW37*Inputs!$B$75/30</f>
        <v>63821.4366066667</v>
      </c>
      <c r="AX81" s="69" t="n">
        <f aca="false">-AX37*Inputs!$B$75/30</f>
        <v>63821.4366066667</v>
      </c>
      <c r="AY81" s="69" t="n">
        <f aca="false">-AY37*Inputs!$B$75/30</f>
        <v>65510.6957727333</v>
      </c>
      <c r="AZ81" s="69" t="n">
        <f aca="false">-AZ37*Inputs!$B$75/30</f>
        <v>65510.6957727333</v>
      </c>
      <c r="BA81" s="69" t="n">
        <f aca="false">-BA37*Inputs!$B$75/30</f>
        <v>65510.6957727333</v>
      </c>
      <c r="BB81" s="69" t="n">
        <f aca="false">-BB37*Inputs!$B$75/30</f>
        <v>65510.6957727333</v>
      </c>
      <c r="BC81" s="69" t="n">
        <f aca="false">-BC37*Inputs!$B$75/30</f>
        <v>65510.6957727333</v>
      </c>
      <c r="BD81" s="69" t="n">
        <f aca="false">-BD37*Inputs!$B$75/30</f>
        <v>65510.6957727333</v>
      </c>
      <c r="BE81" s="69" t="n">
        <f aca="false">-BE37*Inputs!$B$75/30</f>
        <v>65510.6957727333</v>
      </c>
      <c r="BF81" s="69" t="n">
        <f aca="false">-BF37*Inputs!$B$75/30</f>
        <v>65510.6957727333</v>
      </c>
      <c r="BG81" s="69" t="n">
        <f aca="false">-BG37*Inputs!$B$75/30</f>
        <v>65510.6957727333</v>
      </c>
      <c r="BH81" s="69" t="n">
        <f aca="false">-BH37*Inputs!$B$75/30</f>
        <v>65510.6957727333</v>
      </c>
      <c r="BI81" s="69" t="n">
        <f aca="false">-BI37*Inputs!$B$75/30</f>
        <v>65510.6957727333</v>
      </c>
      <c r="BJ81" s="69" t="n">
        <f aca="false">-BJ37*Inputs!$B$75/30</f>
        <v>65510.6957727333</v>
      </c>
    </row>
    <row r="82" customFormat="false" ht="15" hidden="false" customHeight="false" outlineLevel="0" collapsed="false">
      <c r="A82" s="6" t="s">
        <v>340</v>
      </c>
      <c r="C82" s="69" t="n">
        <f aca="false">-C79</f>
        <v>-3542.88</v>
      </c>
      <c r="D82" s="69" t="n">
        <f aca="false">C79-D79</f>
        <v>-516.67</v>
      </c>
      <c r="E82" s="69" t="n">
        <f aca="false">D79-E79</f>
        <v>-516.669999999999</v>
      </c>
      <c r="F82" s="69" t="n">
        <f aca="false">E79-F79</f>
        <v>-516.669999999999</v>
      </c>
      <c r="G82" s="69" t="n">
        <f aca="false">F79-G79</f>
        <v>-516.670000000003</v>
      </c>
      <c r="H82" s="69" t="n">
        <f aca="false">G79-H79</f>
        <v>-516.669999999999</v>
      </c>
      <c r="I82" s="69" t="n">
        <f aca="false">H79-I79</f>
        <v>-516.669999999999</v>
      </c>
      <c r="J82" s="69" t="n">
        <f aca="false">I79-J79</f>
        <v>-516.669999999999</v>
      </c>
      <c r="K82" s="69" t="n">
        <f aca="false">J79-K79</f>
        <v>-516.67</v>
      </c>
      <c r="L82" s="69" t="n">
        <f aca="false">K79-L79</f>
        <v>-516.670000000003</v>
      </c>
      <c r="M82" s="69" t="n">
        <f aca="false">L79-M79</f>
        <v>-516.669999999998</v>
      </c>
      <c r="N82" s="69" t="n">
        <f aca="false">M79-N79</f>
        <v>-516.67</v>
      </c>
      <c r="O82" s="69" t="n">
        <f aca="false">N79-O79</f>
        <v>-614.099200000001</v>
      </c>
      <c r="P82" s="69" t="n">
        <f aca="false">O79-P79</f>
        <v>-521.8367</v>
      </c>
      <c r="Q82" s="69" t="n">
        <f aca="false">P79-Q79</f>
        <v>-521.836699999998</v>
      </c>
      <c r="R82" s="69" t="n">
        <f aca="false">Q79-R79</f>
        <v>-521.836700000002</v>
      </c>
      <c r="S82" s="69" t="n">
        <f aca="false">R79-S79</f>
        <v>-521.8367</v>
      </c>
      <c r="T82" s="69" t="n">
        <f aca="false">S79-T79</f>
        <v>0</v>
      </c>
      <c r="U82" s="69" t="n">
        <f aca="false">T79-U79</f>
        <v>0</v>
      </c>
      <c r="V82" s="69" t="n">
        <f aca="false">U79-V79</f>
        <v>0</v>
      </c>
      <c r="W82" s="69" t="n">
        <f aca="false">V79-W79</f>
        <v>0</v>
      </c>
      <c r="X82" s="69" t="n">
        <f aca="false">W79-X79</f>
        <v>0</v>
      </c>
      <c r="Y82" s="69" t="n">
        <f aca="false">X79-Y79</f>
        <v>0</v>
      </c>
      <c r="Z82" s="69" t="n">
        <f aca="false">Y79-Z79</f>
        <v>0</v>
      </c>
      <c r="AA82" s="69" t="n">
        <f aca="false">Z79-AA79</f>
        <v>-119.276960000001</v>
      </c>
      <c r="AB82" s="69" t="n">
        <f aca="false">AA79-AB79</f>
        <v>0</v>
      </c>
      <c r="AC82" s="69" t="n">
        <f aca="false">AB79-AC79</f>
        <v>0</v>
      </c>
      <c r="AD82" s="69" t="n">
        <f aca="false">AC79-AD79</f>
        <v>0</v>
      </c>
      <c r="AE82" s="69" t="n">
        <f aca="false">AD79-AE79</f>
        <v>0</v>
      </c>
      <c r="AF82" s="69" t="n">
        <f aca="false">AE79-AF79</f>
        <v>0</v>
      </c>
      <c r="AG82" s="69" t="n">
        <f aca="false">AF79-AG79</f>
        <v>0</v>
      </c>
      <c r="AH82" s="69" t="n">
        <f aca="false">AG79-AH79</f>
        <v>0</v>
      </c>
      <c r="AI82" s="69" t="n">
        <f aca="false">AH79-AI79</f>
        <v>0</v>
      </c>
      <c r="AJ82" s="69" t="n">
        <f aca="false">AI79-AJ79</f>
        <v>0</v>
      </c>
      <c r="AK82" s="69" t="n">
        <f aca="false">AJ79-AK79</f>
        <v>0</v>
      </c>
      <c r="AL82" s="69" t="n">
        <f aca="false">AK79-AL79</f>
        <v>0</v>
      </c>
      <c r="AM82" s="69" t="n">
        <f aca="false">AL79-AM79</f>
        <v>-120.469729599999</v>
      </c>
      <c r="AN82" s="69" t="n">
        <f aca="false">AM79-AN79</f>
        <v>0</v>
      </c>
      <c r="AO82" s="69" t="n">
        <f aca="false">AN79-AO79</f>
        <v>0</v>
      </c>
      <c r="AP82" s="69" t="n">
        <f aca="false">AO79-AP79</f>
        <v>0</v>
      </c>
      <c r="AQ82" s="69" t="n">
        <f aca="false">AP79-AQ79</f>
        <v>0</v>
      </c>
      <c r="AR82" s="69" t="n">
        <f aca="false">AQ79-AR79</f>
        <v>0</v>
      </c>
      <c r="AS82" s="69" t="n">
        <f aca="false">AR79-AS79</f>
        <v>0</v>
      </c>
      <c r="AT82" s="69" t="n">
        <f aca="false">AS79-AT79</f>
        <v>0</v>
      </c>
      <c r="AU82" s="69" t="n">
        <f aca="false">AT79-AU79</f>
        <v>0</v>
      </c>
      <c r="AV82" s="69" t="n">
        <f aca="false">AU79-AV79</f>
        <v>0</v>
      </c>
      <c r="AW82" s="69" t="n">
        <f aca="false">AV79-AW79</f>
        <v>0</v>
      </c>
      <c r="AX82" s="69" t="n">
        <f aca="false">AW79-AX79</f>
        <v>0</v>
      </c>
      <c r="AY82" s="69" t="n">
        <f aca="false">AX79-AY79</f>
        <v>-121.674426895997</v>
      </c>
      <c r="AZ82" s="69" t="n">
        <f aca="false">AY79-AZ79</f>
        <v>0</v>
      </c>
      <c r="BA82" s="69" t="n">
        <f aca="false">AZ79-BA79</f>
        <v>0</v>
      </c>
      <c r="BB82" s="69" t="n">
        <f aca="false">BA79-BB79</f>
        <v>0</v>
      </c>
      <c r="BC82" s="69" t="n">
        <f aca="false">BB79-BC79</f>
        <v>0</v>
      </c>
      <c r="BD82" s="69" t="n">
        <f aca="false">BC79-BD79</f>
        <v>0</v>
      </c>
      <c r="BE82" s="69" t="n">
        <f aca="false">BD79-BE79</f>
        <v>0</v>
      </c>
      <c r="BF82" s="69" t="n">
        <f aca="false">BE79-BF79</f>
        <v>0</v>
      </c>
      <c r="BG82" s="69" t="n">
        <f aca="false">BF79-BG79</f>
        <v>0</v>
      </c>
      <c r="BH82" s="69" t="n">
        <f aca="false">BG79-BH79</f>
        <v>0</v>
      </c>
      <c r="BI82" s="69" t="n">
        <f aca="false">BH79-BI79</f>
        <v>0</v>
      </c>
      <c r="BJ82" s="69" t="n">
        <f aca="false">BI79-BJ79</f>
        <v>0</v>
      </c>
    </row>
    <row r="83" customFormat="false" ht="15" hidden="false" customHeight="false" outlineLevel="0" collapsed="false">
      <c r="A83" s="6" t="s">
        <v>341</v>
      </c>
      <c r="C83" s="69" t="n">
        <f aca="false">-C80</f>
        <v>-12648.9066666667</v>
      </c>
      <c r="D83" s="69" t="n">
        <f aca="false">C80-D80</f>
        <v>-391.159999999998</v>
      </c>
      <c r="E83" s="69" t="n">
        <f aca="false">D80-E80</f>
        <v>-391.159999999996</v>
      </c>
      <c r="F83" s="69" t="n">
        <f aca="false">E80-F80</f>
        <v>-391.160000000004</v>
      </c>
      <c r="G83" s="69" t="n">
        <f aca="false">F80-G80</f>
        <v>-391.16</v>
      </c>
      <c r="H83" s="69" t="n">
        <f aca="false">G80-H80</f>
        <v>-391.160000000002</v>
      </c>
      <c r="I83" s="69" t="n">
        <f aca="false">H80-I80</f>
        <v>-391.159999999998</v>
      </c>
      <c r="J83" s="69" t="n">
        <f aca="false">I80-J80</f>
        <v>-391.159999999998</v>
      </c>
      <c r="K83" s="69" t="n">
        <f aca="false">J80-K80</f>
        <v>-391.160000000002</v>
      </c>
      <c r="L83" s="69" t="n">
        <f aca="false">K80-L80</f>
        <v>-391.160000000002</v>
      </c>
      <c r="M83" s="69" t="n">
        <f aca="false">L80-M80</f>
        <v>-391.16</v>
      </c>
      <c r="N83" s="69" t="n">
        <f aca="false">M80-N80</f>
        <v>-391.16</v>
      </c>
      <c r="O83" s="69" t="n">
        <f aca="false">N80-O80</f>
        <v>-863.588266666666</v>
      </c>
      <c r="P83" s="69" t="n">
        <f aca="false">O80-P80</f>
        <v>-395.071599999999</v>
      </c>
      <c r="Q83" s="69" t="n">
        <f aca="false">P80-Q80</f>
        <v>-395.071599999996</v>
      </c>
      <c r="R83" s="69" t="n">
        <f aca="false">Q80-R80</f>
        <v>-395.071600000003</v>
      </c>
      <c r="S83" s="69" t="n">
        <f aca="false">R80-S80</f>
        <v>-395.071600000007</v>
      </c>
      <c r="T83" s="69" t="n">
        <f aca="false">S80-T80</f>
        <v>0</v>
      </c>
      <c r="U83" s="69" t="n">
        <f aca="false">T80-U80</f>
        <v>0</v>
      </c>
      <c r="V83" s="69" t="n">
        <f aca="false">U80-V80</f>
        <v>0</v>
      </c>
      <c r="W83" s="69" t="n">
        <f aca="false">V80-W80</f>
        <v>0</v>
      </c>
      <c r="X83" s="69" t="n">
        <f aca="false">W80-X80</f>
        <v>0</v>
      </c>
      <c r="Y83" s="69" t="n">
        <f aca="false">X80-Y80</f>
        <v>0</v>
      </c>
      <c r="Z83" s="69" t="n">
        <f aca="false">Y80-Z80</f>
        <v>0</v>
      </c>
      <c r="AA83" s="69" t="n">
        <f aca="false">Z80-AA80</f>
        <v>-504.915413333332</v>
      </c>
      <c r="AB83" s="69" t="n">
        <f aca="false">AA80-AB80</f>
        <v>0</v>
      </c>
      <c r="AC83" s="69" t="n">
        <f aca="false">AB80-AC80</f>
        <v>0</v>
      </c>
      <c r="AD83" s="69" t="n">
        <f aca="false">AC80-AD80</f>
        <v>0</v>
      </c>
      <c r="AE83" s="69" t="n">
        <f aca="false">AD80-AE80</f>
        <v>0</v>
      </c>
      <c r="AF83" s="69" t="n">
        <f aca="false">AE80-AF80</f>
        <v>0</v>
      </c>
      <c r="AG83" s="69" t="n">
        <f aca="false">AF80-AG80</f>
        <v>0</v>
      </c>
      <c r="AH83" s="69" t="n">
        <f aca="false">AG80-AH80</f>
        <v>0</v>
      </c>
      <c r="AI83" s="69" t="n">
        <f aca="false">AH80-AI80</f>
        <v>0</v>
      </c>
      <c r="AJ83" s="69" t="n">
        <f aca="false">AI80-AJ80</f>
        <v>0</v>
      </c>
      <c r="AK83" s="69" t="n">
        <f aca="false">AJ80-AK80</f>
        <v>0</v>
      </c>
      <c r="AL83" s="69" t="n">
        <f aca="false">AK80-AL80</f>
        <v>0</v>
      </c>
      <c r="AM83" s="69" t="n">
        <f aca="false">AL80-AM80</f>
        <v>-522.402967466664</v>
      </c>
      <c r="AN83" s="69" t="n">
        <f aca="false">AM80-AN80</f>
        <v>0</v>
      </c>
      <c r="AO83" s="69" t="n">
        <f aca="false">AN80-AO80</f>
        <v>0</v>
      </c>
      <c r="AP83" s="69" t="n">
        <f aca="false">AO80-AP80</f>
        <v>0</v>
      </c>
      <c r="AQ83" s="69" t="n">
        <f aca="false">AP80-AQ80</f>
        <v>0</v>
      </c>
      <c r="AR83" s="69" t="n">
        <f aca="false">AQ80-AR80</f>
        <v>0</v>
      </c>
      <c r="AS83" s="69" t="n">
        <f aca="false">AR80-AS80</f>
        <v>0</v>
      </c>
      <c r="AT83" s="69" t="n">
        <f aca="false">AS80-AT80</f>
        <v>0</v>
      </c>
      <c r="AU83" s="69" t="n">
        <f aca="false">AT80-AU80</f>
        <v>0</v>
      </c>
      <c r="AV83" s="69" t="n">
        <f aca="false">AU80-AV80</f>
        <v>0</v>
      </c>
      <c r="AW83" s="69" t="n">
        <f aca="false">AV80-AW80</f>
        <v>0</v>
      </c>
      <c r="AX83" s="69" t="n">
        <f aca="false">AW80-AX80</f>
        <v>0</v>
      </c>
      <c r="AY83" s="69" t="n">
        <f aca="false">AX80-AY80</f>
        <v>-540.562933141333</v>
      </c>
      <c r="AZ83" s="69" t="n">
        <f aca="false">AY80-AZ80</f>
        <v>0</v>
      </c>
      <c r="BA83" s="69" t="n">
        <f aca="false">AZ80-BA80</f>
        <v>0</v>
      </c>
      <c r="BB83" s="69" t="n">
        <f aca="false">BA80-BB80</f>
        <v>0</v>
      </c>
      <c r="BC83" s="69" t="n">
        <f aca="false">BB80-BC80</f>
        <v>0</v>
      </c>
      <c r="BD83" s="69" t="n">
        <f aca="false">BC80-BD80</f>
        <v>0</v>
      </c>
      <c r="BE83" s="69" t="n">
        <f aca="false">BD80-BE80</f>
        <v>0</v>
      </c>
      <c r="BF83" s="69" t="n">
        <f aca="false">BE80-BF80</f>
        <v>0</v>
      </c>
      <c r="BG83" s="69" t="n">
        <f aca="false">BF80-BG80</f>
        <v>0</v>
      </c>
      <c r="BH83" s="69" t="n">
        <f aca="false">BG80-BH80</f>
        <v>0</v>
      </c>
      <c r="BI83" s="69" t="n">
        <f aca="false">BH80-BI80</f>
        <v>0</v>
      </c>
      <c r="BJ83" s="69" t="n">
        <f aca="false">BI80-BJ80</f>
        <v>0</v>
      </c>
    </row>
    <row r="84" customFormat="false" ht="15" hidden="false" customHeight="false" outlineLevel="0" collapsed="false">
      <c r="A84" s="6" t="s">
        <v>342</v>
      </c>
      <c r="C84" s="69" t="n">
        <f aca="false">C81</f>
        <v>39527.8333333333</v>
      </c>
      <c r="D84" s="69" t="n">
        <f aca="false">D81-C81</f>
        <v>1222.37499999999</v>
      </c>
      <c r="E84" s="69" t="n">
        <f aca="false">E81-D81</f>
        <v>1222.37499999999</v>
      </c>
      <c r="F84" s="69" t="n">
        <f aca="false">F81-E81</f>
        <v>1222.37500000001</v>
      </c>
      <c r="G84" s="69" t="n">
        <f aca="false">G81-F81</f>
        <v>1222.375</v>
      </c>
      <c r="H84" s="69" t="n">
        <f aca="false">H81-G81</f>
        <v>1222.37500000001</v>
      </c>
      <c r="I84" s="69" t="n">
        <f aca="false">I81-H81</f>
        <v>1222.37499999999</v>
      </c>
      <c r="J84" s="69" t="n">
        <f aca="false">J81-I81</f>
        <v>1222.37499999999</v>
      </c>
      <c r="K84" s="69" t="n">
        <f aca="false">K81-J81</f>
        <v>1222.37500000001</v>
      </c>
      <c r="L84" s="69" t="n">
        <f aca="false">L81-K81</f>
        <v>1222.375</v>
      </c>
      <c r="M84" s="69" t="n">
        <f aca="false">M81-L81</f>
        <v>1222.37500000001</v>
      </c>
      <c r="N84" s="69" t="n">
        <f aca="false">N81-M81</f>
        <v>1222.37499999999</v>
      </c>
      <c r="O84" s="69" t="n">
        <f aca="false">O81-N81</f>
        <v>2698.71333333333</v>
      </c>
      <c r="P84" s="69" t="n">
        <f aca="false">P81-O81</f>
        <v>1234.59874999999</v>
      </c>
      <c r="Q84" s="69" t="n">
        <f aca="false">Q81-P81</f>
        <v>1234.59875</v>
      </c>
      <c r="R84" s="69" t="n">
        <f aca="false">R81-Q81</f>
        <v>1234.59875</v>
      </c>
      <c r="S84" s="69" t="n">
        <f aca="false">S81-R81</f>
        <v>1234.59875000001</v>
      </c>
      <c r="T84" s="69" t="n">
        <f aca="false">T81-S81</f>
        <v>0</v>
      </c>
      <c r="U84" s="69" t="n">
        <f aca="false">U81-T81</f>
        <v>0</v>
      </c>
      <c r="V84" s="69" t="n">
        <f aca="false">V81-U81</f>
        <v>0</v>
      </c>
      <c r="W84" s="69" t="n">
        <f aca="false">W81-V81</f>
        <v>0</v>
      </c>
      <c r="X84" s="69" t="n">
        <f aca="false">X81-W81</f>
        <v>0</v>
      </c>
      <c r="Y84" s="69" t="n">
        <f aca="false">Y81-X81</f>
        <v>0</v>
      </c>
      <c r="Z84" s="69" t="n">
        <f aca="false">Z81-Y81</f>
        <v>0</v>
      </c>
      <c r="AA84" s="69" t="n">
        <f aca="false">AA81-Z81</f>
        <v>1577.86066666667</v>
      </c>
      <c r="AB84" s="69" t="n">
        <f aca="false">AB81-AA81</f>
        <v>0</v>
      </c>
      <c r="AC84" s="69" t="n">
        <f aca="false">AC81-AB81</f>
        <v>0</v>
      </c>
      <c r="AD84" s="69" t="n">
        <f aca="false">AD81-AC81</f>
        <v>0</v>
      </c>
      <c r="AE84" s="69" t="n">
        <f aca="false">AE81-AD81</f>
        <v>0</v>
      </c>
      <c r="AF84" s="69" t="n">
        <f aca="false">AF81-AE81</f>
        <v>0</v>
      </c>
      <c r="AG84" s="69" t="n">
        <f aca="false">AG81-AF81</f>
        <v>0</v>
      </c>
      <c r="AH84" s="69" t="n">
        <f aca="false">AH81-AG81</f>
        <v>0</v>
      </c>
      <c r="AI84" s="69" t="n">
        <f aca="false">AI81-AH81</f>
        <v>0</v>
      </c>
      <c r="AJ84" s="69" t="n">
        <f aca="false">AJ81-AI81</f>
        <v>0</v>
      </c>
      <c r="AK84" s="69" t="n">
        <f aca="false">AK81-AJ81</f>
        <v>0</v>
      </c>
      <c r="AL84" s="69" t="n">
        <f aca="false">AL81-AK81</f>
        <v>0</v>
      </c>
      <c r="AM84" s="69" t="n">
        <f aca="false">AM81-AL81</f>
        <v>1632.50927333333</v>
      </c>
      <c r="AN84" s="69" t="n">
        <f aca="false">AN81-AM81</f>
        <v>0</v>
      </c>
      <c r="AO84" s="69" t="n">
        <f aca="false">AO81-AN81</f>
        <v>0</v>
      </c>
      <c r="AP84" s="69" t="n">
        <f aca="false">AP81-AO81</f>
        <v>0</v>
      </c>
      <c r="AQ84" s="69" t="n">
        <f aca="false">AQ81-AP81</f>
        <v>0</v>
      </c>
      <c r="AR84" s="69" t="n">
        <f aca="false">AR81-AQ81</f>
        <v>0</v>
      </c>
      <c r="AS84" s="69" t="n">
        <f aca="false">AS81-AR81</f>
        <v>0</v>
      </c>
      <c r="AT84" s="69" t="n">
        <f aca="false">AT81-AS81</f>
        <v>0</v>
      </c>
      <c r="AU84" s="69" t="n">
        <f aca="false">AU81-AT81</f>
        <v>0</v>
      </c>
      <c r="AV84" s="69" t="n">
        <f aca="false">AV81-AU81</f>
        <v>0</v>
      </c>
      <c r="AW84" s="69" t="n">
        <f aca="false">AW81-AV81</f>
        <v>0</v>
      </c>
      <c r="AX84" s="69" t="n">
        <f aca="false">AX81-AW81</f>
        <v>0</v>
      </c>
      <c r="AY84" s="69" t="n">
        <f aca="false">AY81-AX81</f>
        <v>1689.25916606666</v>
      </c>
      <c r="AZ84" s="69" t="n">
        <f aca="false">AZ81-AY81</f>
        <v>0</v>
      </c>
      <c r="BA84" s="69" t="n">
        <f aca="false">BA81-AZ81</f>
        <v>0</v>
      </c>
      <c r="BB84" s="69" t="n">
        <f aca="false">BB81-BA81</f>
        <v>0</v>
      </c>
      <c r="BC84" s="69" t="n">
        <f aca="false">BC81-BB81</f>
        <v>0</v>
      </c>
      <c r="BD84" s="69" t="n">
        <f aca="false">BD81-BC81</f>
        <v>0</v>
      </c>
      <c r="BE84" s="69" t="n">
        <f aca="false">BE81-BD81</f>
        <v>0</v>
      </c>
      <c r="BF84" s="69" t="n">
        <f aca="false">BF81-BE81</f>
        <v>0</v>
      </c>
      <c r="BG84" s="69" t="n">
        <f aca="false">BG81-BF81</f>
        <v>0</v>
      </c>
      <c r="BH84" s="69" t="n">
        <f aca="false">BH81-BG81</f>
        <v>0</v>
      </c>
      <c r="BI84" s="69" t="n">
        <f aca="false">BI81-BH81</f>
        <v>0</v>
      </c>
      <c r="BJ84" s="69" t="n">
        <f aca="false">BJ81-BI81</f>
        <v>0</v>
      </c>
    </row>
    <row r="86" customFormat="false" ht="15.75" hidden="false" customHeight="true" outlineLevel="0" collapsed="false">
      <c r="A86" s="7" t="s">
        <v>441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customFormat="false" ht="15" hidden="false" customHeight="false" outlineLevel="0" collapsed="false">
      <c r="A87" s="4" t="s">
        <v>52</v>
      </c>
      <c r="C87" s="75" t="n">
        <f aca="false">C57-C68+C82+C83+C84</f>
        <v>-47906.4416</v>
      </c>
      <c r="D87" s="75" t="n">
        <f aca="false">D57-D68+D82+D83+D84</f>
        <v>-67382.266952381</v>
      </c>
      <c r="E87" s="75" t="n">
        <f aca="false">E57-E68+E82+E83+E84</f>
        <v>-63825.4299238095</v>
      </c>
      <c r="F87" s="75" t="n">
        <f aca="false">F57-F68+F82+F83+F84</f>
        <v>-60268.5928952381</v>
      </c>
      <c r="G87" s="75" t="n">
        <f aca="false">G57-G68+G82+G83+G84</f>
        <v>-56711.7558666667</v>
      </c>
      <c r="H87" s="75" t="n">
        <f aca="false">H57-H68+H82+H83+H84</f>
        <v>-53154.9188380953</v>
      </c>
      <c r="I87" s="75" t="n">
        <f aca="false">I57-I68+I82+I83+I84</f>
        <v>-49598.0818095238</v>
      </c>
      <c r="J87" s="75" t="n">
        <f aca="false">J57-J68+J82+J83+J84</f>
        <v>-46041.2447809524</v>
      </c>
      <c r="K87" s="75" t="n">
        <f aca="false">K57-K68+K82+K83+K84</f>
        <v>-42484.407752381</v>
      </c>
      <c r="L87" s="75" t="n">
        <f aca="false">L57-L68+L82+L83+L84</f>
        <v>-38927.5707238095</v>
      </c>
      <c r="M87" s="75" t="n">
        <f aca="false">M57-M68+M82+M83+M84</f>
        <v>-35370.7336952381</v>
      </c>
      <c r="N87" s="75" t="n">
        <f aca="false">N57-N68+N82+N83+N84</f>
        <v>-31813.8966666667</v>
      </c>
      <c r="O87" s="75" t="n">
        <f aca="false">O57-O68+O82+O83+O84</f>
        <v>-27868.2367820952</v>
      </c>
      <c r="P87" s="75" t="n">
        <f aca="false">P57-P68+P82+P83+P84</f>
        <v>-25179.3900141905</v>
      </c>
      <c r="Q87" s="75" t="n">
        <f aca="false">Q57-Q68+Q82+Q83+Q84</f>
        <v>-21587.2078296191</v>
      </c>
      <c r="R87" s="75" t="n">
        <f aca="false">R57-R68+R82+R83+R84</f>
        <v>-17995.0256450476</v>
      </c>
      <c r="S87" s="75" t="n">
        <f aca="false">S57-S68+S82+S83+S84</f>
        <v>-14402.8434604762</v>
      </c>
      <c r="T87" s="75" t="n">
        <f aca="false">T57-T68+T82+T83+T84</f>
        <v>-14698.2124819048</v>
      </c>
      <c r="U87" s="75" t="n">
        <f aca="false">U57-U68+U82+U83+U84</f>
        <v>-14675.8910533333</v>
      </c>
      <c r="V87" s="75" t="n">
        <f aca="false">V57-V68+V82+V83+V84</f>
        <v>-14653.5696247619</v>
      </c>
      <c r="W87" s="75" t="n">
        <f aca="false">W57-W68+W82+W83+W84</f>
        <v>-14631.2481961905</v>
      </c>
      <c r="X87" s="75" t="n">
        <f aca="false">X57-X68+X82+X83+X84</f>
        <v>-14608.9267676191</v>
      </c>
      <c r="Y87" s="75" t="n">
        <f aca="false">Y57-Y68+Y82+Y83+Y84</f>
        <v>-14586.6053390476</v>
      </c>
      <c r="Z87" s="75" t="n">
        <f aca="false">Z57-Z68+Z82+Z83+Z84</f>
        <v>-14564.2839104762</v>
      </c>
      <c r="AA87" s="75" t="n">
        <f aca="false">AA57-AA68+AA82+AA83+AA84</f>
        <v>-14712.4593491048</v>
      </c>
      <c r="AB87" s="75" t="n">
        <f aca="false">AB57-AB68+AB82+AB83+AB84</f>
        <v>-15643.8062138667</v>
      </c>
      <c r="AC87" s="75" t="n">
        <f aca="false">AC57-AC68+AC82+AC83+AC84</f>
        <v>-15621.4847852952</v>
      </c>
      <c r="AD87" s="75" t="n">
        <f aca="false">AD57-AD68+AD82+AD83+AD84</f>
        <v>-15599.1633567238</v>
      </c>
      <c r="AE87" s="75" t="n">
        <f aca="false">AE57-AE68+AE82+AE83+AE84</f>
        <v>-15576.8419281524</v>
      </c>
      <c r="AF87" s="75" t="n">
        <f aca="false">AF57-AF68+AF82+AF83+AF84</f>
        <v>-15554.520499581</v>
      </c>
      <c r="AG87" s="75" t="n">
        <f aca="false">AG57-AG68+AG82+AG83+AG84</f>
        <v>-15532.1990710095</v>
      </c>
      <c r="AH87" s="75" t="n">
        <f aca="false">AH57-AH68+AH82+AH83+AH84</f>
        <v>-15509.8776424381</v>
      </c>
      <c r="AI87" s="75" t="n">
        <f aca="false">AI57-AI68+AI82+AI83+AI84</f>
        <v>-15487.5562138667</v>
      </c>
      <c r="AJ87" s="75" t="n">
        <f aca="false">AJ57-AJ68+AJ82+AJ83+AJ84</f>
        <v>-15465.2347852952</v>
      </c>
      <c r="AK87" s="75" t="n">
        <f aca="false">AK57-AK68+AK82+AK83+AK84</f>
        <v>-15442.9133567238</v>
      </c>
      <c r="AL87" s="75" t="n">
        <f aca="false">AL57-AL68+AL82+AL83+AL84</f>
        <v>-15420.5919281524</v>
      </c>
      <c r="AM87" s="75" t="n">
        <f aca="false">AM57-AM68+AM82+AM83+AM84</f>
        <v>-16096.482735453</v>
      </c>
      <c r="AN87" s="75" t="n">
        <f aca="false">AN57-AN68+AN82+AN83+AN84</f>
        <v>-17063.7978831482</v>
      </c>
      <c r="AO87" s="75" t="n">
        <f aca="false">AO57-AO68+AO82+AO83+AO84</f>
        <v>-17041.4764545768</v>
      </c>
      <c r="AP87" s="75" t="n">
        <f aca="false">AP57-AP68+AP82+AP83+AP84</f>
        <v>-17019.1550260053</v>
      </c>
      <c r="AQ87" s="75" t="n">
        <f aca="false">AQ57-AQ68+AQ82+AQ83+AQ84</f>
        <v>-16996.8335974339</v>
      </c>
      <c r="AR87" s="75" t="n">
        <f aca="false">AR57-AR68+AR82+AR83+AR84</f>
        <v>-16974.5121688625</v>
      </c>
      <c r="AS87" s="75" t="n">
        <f aca="false">AS57-AS68+AS82+AS83+AS84</f>
        <v>-16952.190740291</v>
      </c>
      <c r="AT87" s="75" t="n">
        <f aca="false">AT57-AT68+AT82+AT83+AT84</f>
        <v>-16929.8693117196</v>
      </c>
      <c r="AU87" s="75" t="n">
        <f aca="false">AU57-AU68+AU82+AU83+AU84</f>
        <v>-16907.5478831482</v>
      </c>
      <c r="AV87" s="75" t="n">
        <f aca="false">AV57-AV68+AV82+AV83+AV84</f>
        <v>-16885.2264545768</v>
      </c>
      <c r="AW87" s="75" t="n">
        <f aca="false">AW57-AW68+AW82+AW83+AW84</f>
        <v>-16862.9050260053</v>
      </c>
      <c r="AX87" s="75" t="n">
        <f aca="false">AX57-AX68+AX82+AX83+AX84</f>
        <v>-16840.5835974339</v>
      </c>
      <c r="AY87" s="75" t="n">
        <f aca="false">AY57-AY68+AY82+AY83+AY84</f>
        <v>-17915.4581030932</v>
      </c>
      <c r="AZ87" s="75" t="n">
        <f aca="false">AZ57-AZ68+AZ82+AZ83+AZ84</f>
        <v>-18920.1584805511</v>
      </c>
      <c r="BA87" s="75" t="n">
        <f aca="false">BA57-BA68+BA82+BA83+BA84</f>
        <v>-18897.8370519797</v>
      </c>
      <c r="BB87" s="75" t="n">
        <f aca="false">BB57-BB68+BB82+BB83+BB84</f>
        <v>-18875.5156234083</v>
      </c>
      <c r="BC87" s="75" t="n">
        <f aca="false">BC57-BC68+BC82+BC83+BC84</f>
        <v>-18853.1941948368</v>
      </c>
      <c r="BD87" s="75" t="n">
        <f aca="false">BD57-BD68+BD82+BD83+BD84</f>
        <v>-18830.8727662654</v>
      </c>
      <c r="BE87" s="75" t="n">
        <f aca="false">BE57-BE68+BE82+BE83+BE84</f>
        <v>-18808.551337694</v>
      </c>
      <c r="BF87" s="75" t="n">
        <f aca="false">BF57-BF68+BF82+BF83+BF84</f>
        <v>-18786.2299091225</v>
      </c>
      <c r="BG87" s="75" t="n">
        <f aca="false">BG57-BG68+BG82+BG83+BG84</f>
        <v>-18763.9084805511</v>
      </c>
      <c r="BH87" s="75" t="n">
        <f aca="false">BH57-BH68+BH82+BH83+BH84</f>
        <v>-18741.5870519797</v>
      </c>
      <c r="BI87" s="75" t="n">
        <f aca="false">BI57-BI68+BI82+BI83+BI84</f>
        <v>-18719.2656234083</v>
      </c>
      <c r="BJ87" s="75" t="n">
        <f aca="false">BJ57-BJ68+BJ82+BJ83+BJ84</f>
        <v>-18696.9441948368</v>
      </c>
    </row>
    <row r="88" customFormat="false" ht="15" hidden="false" customHeight="false" outlineLevel="0" collapsed="false">
      <c r="A88" s="6" t="s">
        <v>442</v>
      </c>
      <c r="C88" s="69" t="n">
        <f aca="false">-C65</f>
        <v>-382000</v>
      </c>
      <c r="D88" s="69" t="n">
        <f aca="false">-D65</f>
        <v>-0</v>
      </c>
      <c r="E88" s="69" t="n">
        <f aca="false">-E65</f>
        <v>-0</v>
      </c>
      <c r="F88" s="69" t="n">
        <f aca="false">-F65</f>
        <v>-0</v>
      </c>
      <c r="G88" s="69" t="n">
        <f aca="false">-G65</f>
        <v>-0</v>
      </c>
      <c r="H88" s="69" t="n">
        <f aca="false">-H65</f>
        <v>-0</v>
      </c>
      <c r="I88" s="69" t="n">
        <f aca="false">-I65</f>
        <v>-0</v>
      </c>
      <c r="J88" s="69" t="n">
        <f aca="false">-J65</f>
        <v>-0</v>
      </c>
      <c r="K88" s="69" t="n">
        <f aca="false">-K65</f>
        <v>-0</v>
      </c>
      <c r="L88" s="69" t="n">
        <f aca="false">-L65</f>
        <v>-0</v>
      </c>
      <c r="M88" s="69" t="n">
        <f aca="false">-M65</f>
        <v>-0</v>
      </c>
      <c r="N88" s="69" t="n">
        <f aca="false">-N65</f>
        <v>-0</v>
      </c>
      <c r="O88" s="69" t="n">
        <f aca="false">-O65</f>
        <v>-20000</v>
      </c>
      <c r="P88" s="69" t="n">
        <f aca="false">-P65</f>
        <v>-0</v>
      </c>
      <c r="Q88" s="69" t="n">
        <f aca="false">-Q65</f>
        <v>-0</v>
      </c>
      <c r="R88" s="69" t="n">
        <f aca="false">-R65</f>
        <v>-0</v>
      </c>
      <c r="S88" s="69" t="n">
        <f aca="false">-S65</f>
        <v>-0</v>
      </c>
      <c r="T88" s="69" t="n">
        <f aca="false">-T65</f>
        <v>-0</v>
      </c>
      <c r="U88" s="69" t="n">
        <f aca="false">-U65</f>
        <v>-0</v>
      </c>
      <c r="V88" s="69" t="n">
        <f aca="false">-V65</f>
        <v>-0</v>
      </c>
      <c r="W88" s="69" t="n">
        <f aca="false">-W65</f>
        <v>-0</v>
      </c>
      <c r="X88" s="69" t="n">
        <f aca="false">-X65</f>
        <v>-0</v>
      </c>
      <c r="Y88" s="69" t="n">
        <f aca="false">-Y65</f>
        <v>-0</v>
      </c>
      <c r="Z88" s="69" t="n">
        <f aca="false">-Z65</f>
        <v>-0</v>
      </c>
      <c r="AA88" s="69" t="n">
        <f aca="false">-AA65</f>
        <v>-20000</v>
      </c>
      <c r="AB88" s="69" t="n">
        <f aca="false">-AB65</f>
        <v>-0</v>
      </c>
      <c r="AC88" s="69" t="n">
        <f aca="false">-AC65</f>
        <v>-0</v>
      </c>
      <c r="AD88" s="69" t="n">
        <f aca="false">-AD65</f>
        <v>-0</v>
      </c>
      <c r="AE88" s="69" t="n">
        <f aca="false">-AE65</f>
        <v>-0</v>
      </c>
      <c r="AF88" s="69" t="n">
        <f aca="false">-AF65</f>
        <v>-0</v>
      </c>
      <c r="AG88" s="69" t="n">
        <f aca="false">-AG65</f>
        <v>-0</v>
      </c>
      <c r="AH88" s="69" t="n">
        <f aca="false">-AH65</f>
        <v>-0</v>
      </c>
      <c r="AI88" s="69" t="n">
        <f aca="false">-AI65</f>
        <v>-0</v>
      </c>
      <c r="AJ88" s="69" t="n">
        <f aca="false">-AJ65</f>
        <v>-0</v>
      </c>
      <c r="AK88" s="69" t="n">
        <f aca="false">-AK65</f>
        <v>-0</v>
      </c>
      <c r="AL88" s="69" t="n">
        <f aca="false">-AL65</f>
        <v>-0</v>
      </c>
      <c r="AM88" s="69" t="n">
        <f aca="false">-AM65</f>
        <v>-20000</v>
      </c>
      <c r="AN88" s="69" t="n">
        <f aca="false">-AN65</f>
        <v>-0</v>
      </c>
      <c r="AO88" s="69" t="n">
        <f aca="false">-AO65</f>
        <v>-0</v>
      </c>
      <c r="AP88" s="69" t="n">
        <f aca="false">-AP65</f>
        <v>-0</v>
      </c>
      <c r="AQ88" s="69" t="n">
        <f aca="false">-AQ65</f>
        <v>-0</v>
      </c>
      <c r="AR88" s="69" t="n">
        <f aca="false">-AR65</f>
        <v>-0</v>
      </c>
      <c r="AS88" s="69" t="n">
        <f aca="false">-AS65</f>
        <v>-0</v>
      </c>
      <c r="AT88" s="69" t="n">
        <f aca="false">-AT65</f>
        <v>-0</v>
      </c>
      <c r="AU88" s="69" t="n">
        <f aca="false">-AU65</f>
        <v>-0</v>
      </c>
      <c r="AV88" s="69" t="n">
        <f aca="false">-AV65</f>
        <v>-0</v>
      </c>
      <c r="AW88" s="69" t="n">
        <f aca="false">-AW65</f>
        <v>-0</v>
      </c>
      <c r="AX88" s="69" t="n">
        <f aca="false">-AX65</f>
        <v>-0</v>
      </c>
      <c r="AY88" s="69" t="n">
        <f aca="false">-AY65</f>
        <v>-20000</v>
      </c>
      <c r="AZ88" s="69" t="n">
        <f aca="false">-AZ65</f>
        <v>-0</v>
      </c>
      <c r="BA88" s="69" t="n">
        <f aca="false">-BA65</f>
        <v>-0</v>
      </c>
      <c r="BB88" s="69" t="n">
        <f aca="false">-BB65</f>
        <v>-0</v>
      </c>
      <c r="BC88" s="69" t="n">
        <f aca="false">-BC65</f>
        <v>-0</v>
      </c>
      <c r="BD88" s="69" t="n">
        <f aca="false">-BD65</f>
        <v>-0</v>
      </c>
      <c r="BE88" s="69" t="n">
        <f aca="false">-BE65</f>
        <v>-0</v>
      </c>
      <c r="BF88" s="69" t="n">
        <f aca="false">-BF65</f>
        <v>-0</v>
      </c>
      <c r="BG88" s="69" t="n">
        <f aca="false">-BG65</f>
        <v>-0</v>
      </c>
      <c r="BH88" s="69" t="n">
        <f aca="false">-BH65</f>
        <v>-0</v>
      </c>
      <c r="BI88" s="69" t="n">
        <f aca="false">-BI65</f>
        <v>-0</v>
      </c>
      <c r="BJ88" s="69" t="n">
        <f aca="false">-BJ65</f>
        <v>-0</v>
      </c>
    </row>
    <row r="89" customFormat="false" ht="15" hidden="false" customHeight="false" outlineLevel="0" collapsed="false">
      <c r="A89" s="6" t="s">
        <v>64</v>
      </c>
      <c r="C89" s="69" t="n">
        <f aca="false">IF(C$6=1,Inputs!$B$67,0)</f>
        <v>480000</v>
      </c>
      <c r="D89" s="69" t="n">
        <f aca="false">IF(D$6=1,Inputs!$B$67,0)</f>
        <v>0</v>
      </c>
      <c r="E89" s="69" t="n">
        <f aca="false">IF(E$6=1,Inputs!$B$67,0)</f>
        <v>0</v>
      </c>
      <c r="F89" s="69" t="n">
        <f aca="false">IF(F$6=1,Inputs!$B$67,0)</f>
        <v>0</v>
      </c>
      <c r="G89" s="69" t="n">
        <f aca="false">IF(G$6=1,Inputs!$B$67,0)</f>
        <v>0</v>
      </c>
      <c r="H89" s="69" t="n">
        <f aca="false">IF(H$6=1,Inputs!$B$67,0)</f>
        <v>0</v>
      </c>
      <c r="I89" s="69" t="n">
        <f aca="false">IF(I$6=1,Inputs!$B$67,0)</f>
        <v>0</v>
      </c>
      <c r="J89" s="69" t="n">
        <f aca="false">IF(J$6=1,Inputs!$B$67,0)</f>
        <v>0</v>
      </c>
      <c r="K89" s="69" t="n">
        <f aca="false">IF(K$6=1,Inputs!$B$67,0)</f>
        <v>0</v>
      </c>
      <c r="L89" s="69" t="n">
        <f aca="false">IF(L$6=1,Inputs!$B$67,0)</f>
        <v>0</v>
      </c>
      <c r="M89" s="69" t="n">
        <f aca="false">IF(M$6=1,Inputs!$B$67,0)</f>
        <v>0</v>
      </c>
      <c r="N89" s="69" t="n">
        <f aca="false">IF(N$6=1,Inputs!$B$67,0)</f>
        <v>0</v>
      </c>
      <c r="O89" s="69" t="n">
        <f aca="false">IF(O$6=1,Inputs!$B$67,0)</f>
        <v>0</v>
      </c>
      <c r="P89" s="69" t="n">
        <f aca="false">IF(P$6=1,Inputs!$B$67,0)</f>
        <v>0</v>
      </c>
      <c r="Q89" s="69" t="n">
        <f aca="false">IF(Q$6=1,Inputs!$B$67,0)</f>
        <v>0</v>
      </c>
      <c r="R89" s="69" t="n">
        <f aca="false">IF(R$6=1,Inputs!$B$67,0)</f>
        <v>0</v>
      </c>
      <c r="S89" s="69" t="n">
        <f aca="false">IF(S$6=1,Inputs!$B$67,0)</f>
        <v>0</v>
      </c>
      <c r="T89" s="69" t="n">
        <f aca="false">IF(T$6=1,Inputs!$B$67,0)</f>
        <v>0</v>
      </c>
      <c r="U89" s="69" t="n">
        <f aca="false">IF(U$6=1,Inputs!$B$67,0)</f>
        <v>0</v>
      </c>
      <c r="V89" s="69" t="n">
        <f aca="false">IF(V$6=1,Inputs!$B$67,0)</f>
        <v>0</v>
      </c>
      <c r="W89" s="69" t="n">
        <f aca="false">IF(W$6=1,Inputs!$B$67,0)</f>
        <v>0</v>
      </c>
      <c r="X89" s="69" t="n">
        <f aca="false">IF(X$6=1,Inputs!$B$67,0)</f>
        <v>0</v>
      </c>
      <c r="Y89" s="69" t="n">
        <f aca="false">IF(Y$6=1,Inputs!$B$67,0)</f>
        <v>0</v>
      </c>
      <c r="Z89" s="69" t="n">
        <f aca="false">IF(Z$6=1,Inputs!$B$67,0)</f>
        <v>0</v>
      </c>
      <c r="AA89" s="69" t="n">
        <f aca="false">IF(AA$6=1,Inputs!$B$67,0)</f>
        <v>0</v>
      </c>
      <c r="AB89" s="69" t="n">
        <f aca="false">IF(AB$6=1,Inputs!$B$67,0)</f>
        <v>0</v>
      </c>
      <c r="AC89" s="69" t="n">
        <f aca="false">IF(AC$6=1,Inputs!$B$67,0)</f>
        <v>0</v>
      </c>
      <c r="AD89" s="69" t="n">
        <f aca="false">IF(AD$6=1,Inputs!$B$67,0)</f>
        <v>0</v>
      </c>
      <c r="AE89" s="69" t="n">
        <f aca="false">IF(AE$6=1,Inputs!$B$67,0)</f>
        <v>0</v>
      </c>
      <c r="AF89" s="69" t="n">
        <f aca="false">IF(AF$6=1,Inputs!$B$67,0)</f>
        <v>0</v>
      </c>
      <c r="AG89" s="69" t="n">
        <f aca="false">IF(AG$6=1,Inputs!$B$67,0)</f>
        <v>0</v>
      </c>
      <c r="AH89" s="69" t="n">
        <f aca="false">IF(AH$6=1,Inputs!$B$67,0)</f>
        <v>0</v>
      </c>
      <c r="AI89" s="69" t="n">
        <f aca="false">IF(AI$6=1,Inputs!$B$67,0)</f>
        <v>0</v>
      </c>
      <c r="AJ89" s="69" t="n">
        <f aca="false">IF(AJ$6=1,Inputs!$B$67,0)</f>
        <v>0</v>
      </c>
      <c r="AK89" s="69" t="n">
        <f aca="false">IF(AK$6=1,Inputs!$B$67,0)</f>
        <v>0</v>
      </c>
      <c r="AL89" s="69" t="n">
        <f aca="false">IF(AL$6=1,Inputs!$B$67,0)</f>
        <v>0</v>
      </c>
      <c r="AM89" s="69" t="n">
        <f aca="false">IF(AM$6=1,Inputs!$B$67,0)</f>
        <v>0</v>
      </c>
      <c r="AN89" s="69" t="n">
        <f aca="false">IF(AN$6=1,Inputs!$B$67,0)</f>
        <v>0</v>
      </c>
      <c r="AO89" s="69" t="n">
        <f aca="false">IF(AO$6=1,Inputs!$B$67,0)</f>
        <v>0</v>
      </c>
      <c r="AP89" s="69" t="n">
        <f aca="false">IF(AP$6=1,Inputs!$B$67,0)</f>
        <v>0</v>
      </c>
      <c r="AQ89" s="69" t="n">
        <f aca="false">IF(AQ$6=1,Inputs!$B$67,0)</f>
        <v>0</v>
      </c>
      <c r="AR89" s="69" t="n">
        <f aca="false">IF(AR$6=1,Inputs!$B$67,0)</f>
        <v>0</v>
      </c>
      <c r="AS89" s="69" t="n">
        <f aca="false">IF(AS$6=1,Inputs!$B$67,0)</f>
        <v>0</v>
      </c>
      <c r="AT89" s="69" t="n">
        <f aca="false">IF(AT$6=1,Inputs!$B$67,0)</f>
        <v>0</v>
      </c>
      <c r="AU89" s="69" t="n">
        <f aca="false">IF(AU$6=1,Inputs!$B$67,0)</f>
        <v>0</v>
      </c>
      <c r="AV89" s="69" t="n">
        <f aca="false">IF(AV$6=1,Inputs!$B$67,0)</f>
        <v>0</v>
      </c>
      <c r="AW89" s="69" t="n">
        <f aca="false">IF(AW$6=1,Inputs!$B$67,0)</f>
        <v>0</v>
      </c>
      <c r="AX89" s="69" t="n">
        <f aca="false">IF(AX$6=1,Inputs!$B$67,0)</f>
        <v>0</v>
      </c>
      <c r="AY89" s="69" t="n">
        <f aca="false">IF(AY$6=1,Inputs!$B$67,0)</f>
        <v>0</v>
      </c>
      <c r="AZ89" s="69" t="n">
        <f aca="false">IF(AZ$6=1,Inputs!$B$67,0)</f>
        <v>0</v>
      </c>
      <c r="BA89" s="69" t="n">
        <f aca="false">IF(BA$6=1,Inputs!$B$67,0)</f>
        <v>0</v>
      </c>
      <c r="BB89" s="69" t="n">
        <f aca="false">IF(BB$6=1,Inputs!$B$67,0)</f>
        <v>0</v>
      </c>
      <c r="BC89" s="69" t="n">
        <f aca="false">IF(BC$6=1,Inputs!$B$67,0)</f>
        <v>0</v>
      </c>
      <c r="BD89" s="69" t="n">
        <f aca="false">IF(BD$6=1,Inputs!$B$67,0)</f>
        <v>0</v>
      </c>
      <c r="BE89" s="69" t="n">
        <f aca="false">IF(BE$6=1,Inputs!$B$67,0)</f>
        <v>0</v>
      </c>
      <c r="BF89" s="69" t="n">
        <f aca="false">IF(BF$6=1,Inputs!$B$67,0)</f>
        <v>0</v>
      </c>
      <c r="BG89" s="69" t="n">
        <f aca="false">IF(BG$6=1,Inputs!$B$67,0)</f>
        <v>0</v>
      </c>
      <c r="BH89" s="69" t="n">
        <f aca="false">IF(BH$6=1,Inputs!$B$67,0)</f>
        <v>0</v>
      </c>
      <c r="BI89" s="69" t="n">
        <f aca="false">IF(BI$6=1,Inputs!$B$67,0)</f>
        <v>0</v>
      </c>
      <c r="BJ89" s="69" t="n">
        <f aca="false">IF(BJ$6=1,Inputs!$B$67,0)</f>
        <v>0</v>
      </c>
    </row>
    <row r="90" customFormat="false" ht="15" hidden="false" customHeight="false" outlineLevel="0" collapsed="false">
      <c r="A90" s="6" t="s">
        <v>54</v>
      </c>
      <c r="C90" s="69" t="n">
        <f aca="false">C89+C74+C75</f>
        <v>730000</v>
      </c>
      <c r="D90" s="69" t="n">
        <f aca="false">D89+D74+D75</f>
        <v>-2976.19047619048</v>
      </c>
      <c r="E90" s="69" t="n">
        <f aca="false">E89+E74+E75</f>
        <v>-2976.19047619048</v>
      </c>
      <c r="F90" s="69" t="n">
        <f aca="false">F89+F74+F75</f>
        <v>-2976.19047619048</v>
      </c>
      <c r="G90" s="69" t="n">
        <f aca="false">G89+G74+G75</f>
        <v>-2976.19047619048</v>
      </c>
      <c r="H90" s="69" t="n">
        <f aca="false">H89+H74+H75</f>
        <v>-2976.19047619048</v>
      </c>
      <c r="I90" s="69" t="n">
        <f aca="false">I89+I74+I75</f>
        <v>-2976.19047619048</v>
      </c>
      <c r="J90" s="69" t="n">
        <f aca="false">J89+J74+J75</f>
        <v>-2976.19047619048</v>
      </c>
      <c r="K90" s="69" t="n">
        <f aca="false">K89+K74+K75</f>
        <v>-2976.19047619048</v>
      </c>
      <c r="L90" s="69" t="n">
        <f aca="false">L89+L74+L75</f>
        <v>-2976.19047619048</v>
      </c>
      <c r="M90" s="69" t="n">
        <f aca="false">M89+M74+M75</f>
        <v>-2976.19047619048</v>
      </c>
      <c r="N90" s="69" t="n">
        <f aca="false">N89+N74+N75</f>
        <v>-2976.19047619048</v>
      </c>
      <c r="O90" s="69" t="n">
        <f aca="false">O89+O74+O75</f>
        <v>-2976.19047619048</v>
      </c>
      <c r="P90" s="69" t="n">
        <f aca="false">P89+P74+P75</f>
        <v>-2976.19047619048</v>
      </c>
      <c r="Q90" s="69" t="n">
        <f aca="false">Q89+Q74+Q75</f>
        <v>-2976.19047619048</v>
      </c>
      <c r="R90" s="69" t="n">
        <f aca="false">R89+R74+R75</f>
        <v>-2976.19047619048</v>
      </c>
      <c r="S90" s="69" t="n">
        <f aca="false">S89+S74+S75</f>
        <v>-2976.19047619048</v>
      </c>
      <c r="T90" s="69" t="n">
        <f aca="false">T89+T74+T75</f>
        <v>-2976.19047619048</v>
      </c>
      <c r="U90" s="69" t="n">
        <f aca="false">U89+U74+U75</f>
        <v>-2976.19047619048</v>
      </c>
      <c r="V90" s="69" t="n">
        <f aca="false">V89+V74+V75</f>
        <v>-2976.19047619048</v>
      </c>
      <c r="W90" s="69" t="n">
        <f aca="false">W89+W74+W75</f>
        <v>-2976.19047619048</v>
      </c>
      <c r="X90" s="69" t="n">
        <f aca="false">X89+X74+X75</f>
        <v>-2976.19047619048</v>
      </c>
      <c r="Y90" s="69" t="n">
        <f aca="false">Y89+Y74+Y75</f>
        <v>-2976.19047619048</v>
      </c>
      <c r="Z90" s="69" t="n">
        <f aca="false">Z89+Z74+Z75</f>
        <v>-2976.19047619048</v>
      </c>
      <c r="AA90" s="69" t="n">
        <f aca="false">AA89+AA74+AA75</f>
        <v>-2976.19047619048</v>
      </c>
      <c r="AB90" s="69" t="n">
        <f aca="false">AB89+AB74+AB75</f>
        <v>-2976.19047619048</v>
      </c>
      <c r="AC90" s="69" t="n">
        <f aca="false">AC89+AC74+AC75</f>
        <v>-2976.19047619048</v>
      </c>
      <c r="AD90" s="69" t="n">
        <f aca="false">AD89+AD74+AD75</f>
        <v>-2976.19047619048</v>
      </c>
      <c r="AE90" s="69" t="n">
        <f aca="false">AE89+AE74+AE75</f>
        <v>-2976.19047619048</v>
      </c>
      <c r="AF90" s="69" t="n">
        <f aca="false">AF89+AF74+AF75</f>
        <v>-2976.19047619048</v>
      </c>
      <c r="AG90" s="69" t="n">
        <f aca="false">AG89+AG74+AG75</f>
        <v>-2976.19047619048</v>
      </c>
      <c r="AH90" s="69" t="n">
        <f aca="false">AH89+AH74+AH75</f>
        <v>-2976.19047619048</v>
      </c>
      <c r="AI90" s="69" t="n">
        <f aca="false">AI89+AI74+AI75</f>
        <v>-2976.19047619048</v>
      </c>
      <c r="AJ90" s="69" t="n">
        <f aca="false">AJ89+AJ74+AJ75</f>
        <v>-2976.19047619048</v>
      </c>
      <c r="AK90" s="69" t="n">
        <f aca="false">AK89+AK74+AK75</f>
        <v>-2976.19047619048</v>
      </c>
      <c r="AL90" s="69" t="n">
        <f aca="false">AL89+AL74+AL75</f>
        <v>-2976.19047619048</v>
      </c>
      <c r="AM90" s="69" t="n">
        <f aca="false">AM89+AM74+AM75</f>
        <v>-2976.19047619048</v>
      </c>
      <c r="AN90" s="69" t="n">
        <f aca="false">AN89+AN74+AN75</f>
        <v>-2976.19047619048</v>
      </c>
      <c r="AO90" s="69" t="n">
        <f aca="false">AO89+AO74+AO75</f>
        <v>-2976.19047619048</v>
      </c>
      <c r="AP90" s="69" t="n">
        <f aca="false">AP89+AP74+AP75</f>
        <v>-2976.19047619048</v>
      </c>
      <c r="AQ90" s="69" t="n">
        <f aca="false">AQ89+AQ74+AQ75</f>
        <v>-2976.19047619048</v>
      </c>
      <c r="AR90" s="69" t="n">
        <f aca="false">AR89+AR74+AR75</f>
        <v>-2976.19047619048</v>
      </c>
      <c r="AS90" s="69" t="n">
        <f aca="false">AS89+AS74+AS75</f>
        <v>-2976.19047619048</v>
      </c>
      <c r="AT90" s="69" t="n">
        <f aca="false">AT89+AT74+AT75</f>
        <v>-2976.19047619048</v>
      </c>
      <c r="AU90" s="69" t="n">
        <f aca="false">AU89+AU74+AU75</f>
        <v>-2976.19047619048</v>
      </c>
      <c r="AV90" s="69" t="n">
        <f aca="false">AV89+AV74+AV75</f>
        <v>-2976.19047619048</v>
      </c>
      <c r="AW90" s="69" t="n">
        <f aca="false">AW89+AW74+AW75</f>
        <v>-2976.19047619048</v>
      </c>
      <c r="AX90" s="69" t="n">
        <f aca="false">AX89+AX74+AX75</f>
        <v>-2976.19047619048</v>
      </c>
      <c r="AY90" s="69" t="n">
        <f aca="false">AY89+AY74+AY75</f>
        <v>-2976.19047619048</v>
      </c>
      <c r="AZ90" s="69" t="n">
        <f aca="false">AZ89+AZ74+AZ75</f>
        <v>-2976.19047619048</v>
      </c>
      <c r="BA90" s="69" t="n">
        <f aca="false">BA89+BA74+BA75</f>
        <v>-2976.19047619048</v>
      </c>
      <c r="BB90" s="69" t="n">
        <f aca="false">BB89+BB74+BB75</f>
        <v>-2976.19047619048</v>
      </c>
      <c r="BC90" s="69" t="n">
        <f aca="false">BC89+BC74+BC75</f>
        <v>-2976.19047619048</v>
      </c>
      <c r="BD90" s="69" t="n">
        <f aca="false">BD89+BD74+BD75</f>
        <v>-2976.19047619048</v>
      </c>
      <c r="BE90" s="69" t="n">
        <f aca="false">BE89+BE74+BE75</f>
        <v>-2976.19047619048</v>
      </c>
      <c r="BF90" s="69" t="n">
        <f aca="false">BF89+BF74+BF75</f>
        <v>-2976.19047619048</v>
      </c>
      <c r="BG90" s="69" t="n">
        <f aca="false">BG89+BG74+BG75</f>
        <v>-2976.19047619048</v>
      </c>
      <c r="BH90" s="69" t="n">
        <f aca="false">BH89+BH74+BH75</f>
        <v>-2976.19047619048</v>
      </c>
      <c r="BI90" s="69" t="n">
        <f aca="false">BI89+BI74+BI75</f>
        <v>-2976.19047619048</v>
      </c>
      <c r="BJ90" s="69" t="n">
        <f aca="false">BJ89+BJ74+BJ75</f>
        <v>-2976.19047619048</v>
      </c>
    </row>
    <row r="91" customFormat="false" ht="15" hidden="false" customHeight="false" outlineLevel="0" collapsed="false">
      <c r="A91" s="115" t="s">
        <v>443</v>
      </c>
      <c r="C91" s="70" t="n">
        <f aca="false">C87+C88+C90</f>
        <v>300093.5584</v>
      </c>
      <c r="D91" s="70" t="n">
        <f aca="false">D87+D88+D90</f>
        <v>-70358.4574285715</v>
      </c>
      <c r="E91" s="70" t="n">
        <f aca="false">E87+E88+E90</f>
        <v>-66801.6204</v>
      </c>
      <c r="F91" s="70" t="n">
        <f aca="false">F87+F88+F90</f>
        <v>-63244.7833714286</v>
      </c>
      <c r="G91" s="70" t="n">
        <f aca="false">G87+G88+G90</f>
        <v>-59687.9463428572</v>
      </c>
      <c r="H91" s="70" t="n">
        <f aca="false">H87+H88+H90</f>
        <v>-56131.1093142857</v>
      </c>
      <c r="I91" s="70" t="n">
        <f aca="false">I87+I88+I90</f>
        <v>-52574.2722857143</v>
      </c>
      <c r="J91" s="70" t="n">
        <f aca="false">J87+J88+J90</f>
        <v>-49017.4352571429</v>
      </c>
      <c r="K91" s="70" t="n">
        <f aca="false">K87+K88+K90</f>
        <v>-45460.5982285714</v>
      </c>
      <c r="L91" s="70" t="n">
        <f aca="false">L87+L88+L90</f>
        <v>-41903.7612</v>
      </c>
      <c r="M91" s="70" t="n">
        <f aca="false">M87+M88+M90</f>
        <v>-38346.9241714286</v>
      </c>
      <c r="N91" s="70" t="n">
        <f aca="false">N87+N88+N90</f>
        <v>-34790.0871428572</v>
      </c>
      <c r="O91" s="70" t="n">
        <f aca="false">O87+O88+O90</f>
        <v>-50844.4272582857</v>
      </c>
      <c r="P91" s="70" t="n">
        <f aca="false">P87+P88+P90</f>
        <v>-28155.580490381</v>
      </c>
      <c r="Q91" s="70" t="n">
        <f aca="false">Q87+Q88+Q90</f>
        <v>-24563.3983058095</v>
      </c>
      <c r="R91" s="70" t="n">
        <f aca="false">R87+R88+R90</f>
        <v>-20971.2161212381</v>
      </c>
      <c r="S91" s="70" t="n">
        <f aca="false">S87+S88+S90</f>
        <v>-17379.0339366667</v>
      </c>
      <c r="T91" s="70" t="n">
        <f aca="false">T87+T88+T90</f>
        <v>-17674.4029580952</v>
      </c>
      <c r="U91" s="70" t="n">
        <f aca="false">U87+U88+U90</f>
        <v>-17652.0815295238</v>
      </c>
      <c r="V91" s="70" t="n">
        <f aca="false">V87+V88+V90</f>
        <v>-17629.7601009524</v>
      </c>
      <c r="W91" s="70" t="n">
        <f aca="false">W87+W88+W90</f>
        <v>-17607.438672381</v>
      </c>
      <c r="X91" s="70" t="n">
        <f aca="false">X87+X88+X90</f>
        <v>-17585.1172438095</v>
      </c>
      <c r="Y91" s="70" t="n">
        <f aca="false">Y87+Y88+Y90</f>
        <v>-17562.7958152381</v>
      </c>
      <c r="Z91" s="70" t="n">
        <f aca="false">Z87+Z88+Z90</f>
        <v>-17540.4743866667</v>
      </c>
      <c r="AA91" s="70" t="n">
        <f aca="false">AA87+AA88+AA90</f>
        <v>-37688.6498252952</v>
      </c>
      <c r="AB91" s="70" t="n">
        <f aca="false">AB87+AB88+AB90</f>
        <v>-18619.9966900571</v>
      </c>
      <c r="AC91" s="70" t="n">
        <f aca="false">AC87+AC88+AC90</f>
        <v>-18597.6752614857</v>
      </c>
      <c r="AD91" s="70" t="n">
        <f aca="false">AD87+AD88+AD90</f>
        <v>-18575.3538329143</v>
      </c>
      <c r="AE91" s="70" t="n">
        <f aca="false">AE87+AE88+AE90</f>
        <v>-18553.0324043429</v>
      </c>
      <c r="AF91" s="70" t="n">
        <f aca="false">AF87+AF88+AF90</f>
        <v>-18530.7109757714</v>
      </c>
      <c r="AG91" s="70" t="n">
        <f aca="false">AG87+AG88+AG90</f>
        <v>-18508.3895472</v>
      </c>
      <c r="AH91" s="70" t="n">
        <f aca="false">AH87+AH88+AH90</f>
        <v>-18486.0681186286</v>
      </c>
      <c r="AI91" s="70" t="n">
        <f aca="false">AI87+AI88+AI90</f>
        <v>-18463.7466900571</v>
      </c>
      <c r="AJ91" s="70" t="n">
        <f aca="false">AJ87+AJ88+AJ90</f>
        <v>-18441.4252614857</v>
      </c>
      <c r="AK91" s="70" t="n">
        <f aca="false">AK87+AK88+AK90</f>
        <v>-18419.1038329143</v>
      </c>
      <c r="AL91" s="70" t="n">
        <f aca="false">AL87+AL88+AL90</f>
        <v>-18396.7824043429</v>
      </c>
      <c r="AM91" s="70" t="n">
        <f aca="false">AM87+AM88+AM90</f>
        <v>-39072.6732116434</v>
      </c>
      <c r="AN91" s="70" t="n">
        <f aca="false">AN87+AN88+AN90</f>
        <v>-20039.9883593387</v>
      </c>
      <c r="AO91" s="70" t="n">
        <f aca="false">AO87+AO88+AO90</f>
        <v>-20017.6669307672</v>
      </c>
      <c r="AP91" s="70" t="n">
        <f aca="false">AP87+AP88+AP90</f>
        <v>-19995.3455021958</v>
      </c>
      <c r="AQ91" s="70" t="n">
        <f aca="false">AQ87+AQ88+AQ90</f>
        <v>-19973.0240736244</v>
      </c>
      <c r="AR91" s="70" t="n">
        <f aca="false">AR87+AR88+AR90</f>
        <v>-19950.702645053</v>
      </c>
      <c r="AS91" s="70" t="n">
        <f aca="false">AS87+AS88+AS90</f>
        <v>-19928.3812164815</v>
      </c>
      <c r="AT91" s="70" t="n">
        <f aca="false">AT87+AT88+AT90</f>
        <v>-19906.0597879101</v>
      </c>
      <c r="AU91" s="70" t="n">
        <f aca="false">AU87+AU88+AU90</f>
        <v>-19883.7383593387</v>
      </c>
      <c r="AV91" s="70" t="n">
        <f aca="false">AV87+AV88+AV90</f>
        <v>-19861.4169307672</v>
      </c>
      <c r="AW91" s="70" t="n">
        <f aca="false">AW87+AW88+AW90</f>
        <v>-19839.0955021958</v>
      </c>
      <c r="AX91" s="70" t="n">
        <f aca="false">AX87+AX88+AX90</f>
        <v>-19816.7740736244</v>
      </c>
      <c r="AY91" s="70" t="n">
        <f aca="false">AY87+AY88+AY90</f>
        <v>-40891.6485792837</v>
      </c>
      <c r="AZ91" s="70" t="n">
        <f aca="false">AZ87+AZ88+AZ90</f>
        <v>-21896.3489567416</v>
      </c>
      <c r="BA91" s="70" t="n">
        <f aca="false">BA87+BA88+BA90</f>
        <v>-21874.0275281702</v>
      </c>
      <c r="BB91" s="70" t="n">
        <f aca="false">BB87+BB88+BB90</f>
        <v>-21851.7060995987</v>
      </c>
      <c r="BC91" s="70" t="n">
        <f aca="false">BC87+BC88+BC90</f>
        <v>-21829.3846710273</v>
      </c>
      <c r="BD91" s="70" t="n">
        <f aca="false">BD87+BD88+BD90</f>
        <v>-21807.0632424559</v>
      </c>
      <c r="BE91" s="70" t="n">
        <f aca="false">BE87+BE88+BE90</f>
        <v>-21784.7418138844</v>
      </c>
      <c r="BF91" s="70" t="n">
        <f aca="false">BF87+BF88+BF90</f>
        <v>-21762.420385313</v>
      </c>
      <c r="BG91" s="70" t="n">
        <f aca="false">BG87+BG88+BG90</f>
        <v>-21740.0989567416</v>
      </c>
      <c r="BH91" s="70" t="n">
        <f aca="false">BH87+BH88+BH90</f>
        <v>-21717.7775281702</v>
      </c>
      <c r="BI91" s="70" t="n">
        <f aca="false">BI87+BI88+BI90</f>
        <v>-21695.4560995987</v>
      </c>
      <c r="BJ91" s="70" t="n">
        <f aca="false">BJ87+BJ88+BJ90</f>
        <v>-21673.1346710273</v>
      </c>
    </row>
    <row r="92" customFormat="false" ht="15" hidden="false" customHeight="false" outlineLevel="0" collapsed="false">
      <c r="A92" s="6" t="s">
        <v>343</v>
      </c>
      <c r="C92" s="69" t="n">
        <f aca="false">0</f>
        <v>0</v>
      </c>
      <c r="D92" s="69" t="n">
        <f aca="false">C93</f>
        <v>300093.5584</v>
      </c>
      <c r="E92" s="69" t="n">
        <f aca="false">D93</f>
        <v>229735.100971429</v>
      </c>
      <c r="F92" s="69" t="n">
        <f aca="false">E93</f>
        <v>162933.480571429</v>
      </c>
      <c r="G92" s="69" t="n">
        <f aca="false">F93</f>
        <v>99688.6971999999</v>
      </c>
      <c r="H92" s="69" t="n">
        <f aca="false">G93</f>
        <v>40000.7508571428</v>
      </c>
      <c r="I92" s="69" t="n">
        <f aca="false">H93</f>
        <v>-16130.3584571429</v>
      </c>
      <c r="J92" s="69" t="n">
        <f aca="false">I93</f>
        <v>-68704.6307428572</v>
      </c>
      <c r="K92" s="69" t="n">
        <f aca="false">J93</f>
        <v>-117722.066</v>
      </c>
      <c r="L92" s="69" t="n">
        <f aca="false">K93</f>
        <v>-163182.664228572</v>
      </c>
      <c r="M92" s="69" t="n">
        <f aca="false">L93</f>
        <v>-205086.425428572</v>
      </c>
      <c r="N92" s="69" t="n">
        <f aca="false">M93</f>
        <v>-243433.3496</v>
      </c>
      <c r="O92" s="69" t="n">
        <f aca="false">N93</f>
        <v>-278223.436742857</v>
      </c>
      <c r="P92" s="69" t="n">
        <f aca="false">O93</f>
        <v>-329067.864001143</v>
      </c>
      <c r="Q92" s="69" t="n">
        <f aca="false">P93</f>
        <v>-357223.444491524</v>
      </c>
      <c r="R92" s="69" t="n">
        <f aca="false">Q93</f>
        <v>-381786.842797334</v>
      </c>
      <c r="S92" s="69" t="n">
        <f aca="false">R93</f>
        <v>-402758.058918572</v>
      </c>
      <c r="T92" s="69" t="n">
        <f aca="false">S93</f>
        <v>-420137.092855238</v>
      </c>
      <c r="U92" s="69" t="n">
        <f aca="false">T93</f>
        <v>-437811.495813334</v>
      </c>
      <c r="V92" s="69" t="n">
        <f aca="false">U93</f>
        <v>-455463.577342857</v>
      </c>
      <c r="W92" s="69" t="n">
        <f aca="false">V93</f>
        <v>-473093.33744381</v>
      </c>
      <c r="X92" s="69" t="n">
        <f aca="false">W93</f>
        <v>-490700.776116191</v>
      </c>
      <c r="Y92" s="69" t="n">
        <f aca="false">X93</f>
        <v>-508285.89336</v>
      </c>
      <c r="Z92" s="69" t="n">
        <f aca="false">Y93</f>
        <v>-525848.689175238</v>
      </c>
      <c r="AA92" s="69" t="n">
        <f aca="false">Z93</f>
        <v>-543389.163561905</v>
      </c>
      <c r="AB92" s="69" t="n">
        <f aca="false">AA93</f>
        <v>-581077.8133872</v>
      </c>
      <c r="AC92" s="69" t="n">
        <f aca="false">AB93</f>
        <v>-599697.810077257</v>
      </c>
      <c r="AD92" s="69" t="n">
        <f aca="false">AC93</f>
        <v>-618295.485338743</v>
      </c>
      <c r="AE92" s="69" t="n">
        <f aca="false">AD93</f>
        <v>-636870.839171657</v>
      </c>
      <c r="AF92" s="69" t="n">
        <f aca="false">AE93</f>
        <v>-655423.871576</v>
      </c>
      <c r="AG92" s="69" t="n">
        <f aca="false">AF93</f>
        <v>-673954.582551772</v>
      </c>
      <c r="AH92" s="69" t="n">
        <f aca="false">AG93</f>
        <v>-692462.972098972</v>
      </c>
      <c r="AI92" s="69" t="n">
        <f aca="false">AH93</f>
        <v>-710949.0402176</v>
      </c>
      <c r="AJ92" s="69" t="n">
        <f aca="false">AI93</f>
        <v>-729412.786907657</v>
      </c>
      <c r="AK92" s="69" t="n">
        <f aca="false">AJ93</f>
        <v>-747854.212169143</v>
      </c>
      <c r="AL92" s="69" t="n">
        <f aca="false">AK93</f>
        <v>-766273.316002057</v>
      </c>
      <c r="AM92" s="69" t="n">
        <f aca="false">AL93</f>
        <v>-784670.0984064</v>
      </c>
      <c r="AN92" s="69" t="n">
        <f aca="false">AM93</f>
        <v>-823742.771618044</v>
      </c>
      <c r="AO92" s="69" t="n">
        <f aca="false">AN93</f>
        <v>-843782.759977383</v>
      </c>
      <c r="AP92" s="69" t="n">
        <f aca="false">AO93</f>
        <v>-863800.42690815</v>
      </c>
      <c r="AQ92" s="69" t="n">
        <f aca="false">AP93</f>
        <v>-883795.772410346</v>
      </c>
      <c r="AR92" s="69" t="n">
        <f aca="false">AQ93</f>
        <v>-903768.79648397</v>
      </c>
      <c r="AS92" s="69" t="n">
        <f aca="false">AR93</f>
        <v>-923719.499129023</v>
      </c>
      <c r="AT92" s="69" t="n">
        <f aca="false">AS93</f>
        <v>-943647.880345504</v>
      </c>
      <c r="AU92" s="69" t="n">
        <f aca="false">AT93</f>
        <v>-963553.940133415</v>
      </c>
      <c r="AV92" s="69" t="n">
        <f aca="false">AU93</f>
        <v>-983437.678492753</v>
      </c>
      <c r="AW92" s="69" t="n">
        <f aca="false">AV93</f>
        <v>-1003299.09542352</v>
      </c>
      <c r="AX92" s="69" t="n">
        <f aca="false">AW93</f>
        <v>-1023138.19092572</v>
      </c>
      <c r="AY92" s="69" t="n">
        <f aca="false">AX93</f>
        <v>-1042954.96499934</v>
      </c>
      <c r="AZ92" s="69" t="n">
        <f aca="false">AY93</f>
        <v>-1083846.61357862</v>
      </c>
      <c r="BA92" s="69" t="n">
        <f aca="false">AZ93</f>
        <v>-1105742.96253537</v>
      </c>
      <c r="BB92" s="69" t="n">
        <f aca="false">BA93</f>
        <v>-1127616.99006354</v>
      </c>
      <c r="BC92" s="69" t="n">
        <f aca="false">BB93</f>
        <v>-1149468.69616313</v>
      </c>
      <c r="BD92" s="69" t="n">
        <f aca="false">BC93</f>
        <v>-1171298.08083416</v>
      </c>
      <c r="BE92" s="69" t="n">
        <f aca="false">BD93</f>
        <v>-1193105.14407662</v>
      </c>
      <c r="BF92" s="69" t="n">
        <f aca="false">BE93</f>
        <v>-1214889.8858905</v>
      </c>
      <c r="BG92" s="69" t="n">
        <f aca="false">BF93</f>
        <v>-1236652.30627582</v>
      </c>
      <c r="BH92" s="69" t="n">
        <f aca="false">BG93</f>
        <v>-1258392.40523256</v>
      </c>
      <c r="BI92" s="69" t="n">
        <f aca="false">BH93</f>
        <v>-1280110.18276073</v>
      </c>
      <c r="BJ92" s="69" t="n">
        <f aca="false">BI93</f>
        <v>-1301805.63886033</v>
      </c>
    </row>
    <row r="93" customFormat="false" ht="15" hidden="false" customHeight="false" outlineLevel="0" collapsed="false">
      <c r="A93" s="115" t="s">
        <v>87</v>
      </c>
      <c r="C93" s="70" t="n">
        <f aca="false">C92+C91</f>
        <v>300093.5584</v>
      </c>
      <c r="D93" s="70" t="n">
        <f aca="false">D92+D91</f>
        <v>229735.100971429</v>
      </c>
      <c r="E93" s="70" t="n">
        <f aca="false">E92+E91</f>
        <v>162933.480571429</v>
      </c>
      <c r="F93" s="70" t="n">
        <f aca="false">F92+F91</f>
        <v>99688.6971999999</v>
      </c>
      <c r="G93" s="70" t="n">
        <f aca="false">G92+G91</f>
        <v>40000.7508571428</v>
      </c>
      <c r="H93" s="70" t="n">
        <f aca="false">H92+H91</f>
        <v>-16130.3584571429</v>
      </c>
      <c r="I93" s="70" t="n">
        <f aca="false">I92+I91</f>
        <v>-68704.6307428572</v>
      </c>
      <c r="J93" s="70" t="n">
        <f aca="false">J92+J91</f>
        <v>-117722.066</v>
      </c>
      <c r="K93" s="70" t="n">
        <f aca="false">K92+K91</f>
        <v>-163182.664228572</v>
      </c>
      <c r="L93" s="70" t="n">
        <f aca="false">L92+L91</f>
        <v>-205086.425428572</v>
      </c>
      <c r="M93" s="70" t="n">
        <f aca="false">M92+M91</f>
        <v>-243433.3496</v>
      </c>
      <c r="N93" s="70" t="n">
        <f aca="false">N92+N91</f>
        <v>-278223.436742857</v>
      </c>
      <c r="O93" s="70" t="n">
        <f aca="false">O92+O91</f>
        <v>-329067.864001143</v>
      </c>
      <c r="P93" s="70" t="n">
        <f aca="false">P92+P91</f>
        <v>-357223.444491524</v>
      </c>
      <c r="Q93" s="70" t="n">
        <f aca="false">Q92+Q91</f>
        <v>-381786.842797334</v>
      </c>
      <c r="R93" s="70" t="n">
        <f aca="false">R92+R91</f>
        <v>-402758.058918572</v>
      </c>
      <c r="S93" s="70" t="n">
        <f aca="false">S92+S91</f>
        <v>-420137.092855238</v>
      </c>
      <c r="T93" s="70" t="n">
        <f aca="false">T92+T91</f>
        <v>-437811.495813334</v>
      </c>
      <c r="U93" s="70" t="n">
        <f aca="false">U92+U91</f>
        <v>-455463.577342857</v>
      </c>
      <c r="V93" s="70" t="n">
        <f aca="false">V92+V91</f>
        <v>-473093.33744381</v>
      </c>
      <c r="W93" s="70" t="n">
        <f aca="false">W92+W91</f>
        <v>-490700.776116191</v>
      </c>
      <c r="X93" s="70" t="n">
        <f aca="false">X92+X91</f>
        <v>-508285.89336</v>
      </c>
      <c r="Y93" s="70" t="n">
        <f aca="false">Y92+Y91</f>
        <v>-525848.689175238</v>
      </c>
      <c r="Z93" s="70" t="n">
        <f aca="false">Z92+Z91</f>
        <v>-543389.163561905</v>
      </c>
      <c r="AA93" s="70" t="n">
        <f aca="false">AA92+AA91</f>
        <v>-581077.8133872</v>
      </c>
      <c r="AB93" s="70" t="n">
        <f aca="false">AB92+AB91</f>
        <v>-599697.810077257</v>
      </c>
      <c r="AC93" s="70" t="n">
        <f aca="false">AC92+AC91</f>
        <v>-618295.485338743</v>
      </c>
      <c r="AD93" s="70" t="n">
        <f aca="false">AD92+AD91</f>
        <v>-636870.839171657</v>
      </c>
      <c r="AE93" s="70" t="n">
        <f aca="false">AE92+AE91</f>
        <v>-655423.871576</v>
      </c>
      <c r="AF93" s="70" t="n">
        <f aca="false">AF92+AF91</f>
        <v>-673954.582551772</v>
      </c>
      <c r="AG93" s="70" t="n">
        <f aca="false">AG92+AG91</f>
        <v>-692462.972098972</v>
      </c>
      <c r="AH93" s="70" t="n">
        <f aca="false">AH92+AH91</f>
        <v>-710949.0402176</v>
      </c>
      <c r="AI93" s="70" t="n">
        <f aca="false">AI92+AI91</f>
        <v>-729412.786907657</v>
      </c>
      <c r="AJ93" s="70" t="n">
        <f aca="false">AJ92+AJ91</f>
        <v>-747854.212169143</v>
      </c>
      <c r="AK93" s="70" t="n">
        <f aca="false">AK92+AK91</f>
        <v>-766273.316002057</v>
      </c>
      <c r="AL93" s="70" t="n">
        <f aca="false">AL92+AL91</f>
        <v>-784670.0984064</v>
      </c>
      <c r="AM93" s="70" t="n">
        <f aca="false">AM92+AM91</f>
        <v>-823742.771618044</v>
      </c>
      <c r="AN93" s="70" t="n">
        <f aca="false">AN92+AN91</f>
        <v>-843782.759977383</v>
      </c>
      <c r="AO93" s="70" t="n">
        <f aca="false">AO92+AO91</f>
        <v>-863800.42690815</v>
      </c>
      <c r="AP93" s="70" t="n">
        <f aca="false">AP92+AP91</f>
        <v>-883795.772410346</v>
      </c>
      <c r="AQ93" s="70" t="n">
        <f aca="false">AQ92+AQ91</f>
        <v>-903768.79648397</v>
      </c>
      <c r="AR93" s="70" t="n">
        <f aca="false">AR92+AR91</f>
        <v>-923719.499129023</v>
      </c>
      <c r="AS93" s="70" t="n">
        <f aca="false">AS92+AS91</f>
        <v>-943647.880345504</v>
      </c>
      <c r="AT93" s="70" t="n">
        <f aca="false">AT92+AT91</f>
        <v>-963553.940133415</v>
      </c>
      <c r="AU93" s="70" t="n">
        <f aca="false">AU92+AU91</f>
        <v>-983437.678492753</v>
      </c>
      <c r="AV93" s="70" t="n">
        <f aca="false">AV92+AV91</f>
        <v>-1003299.09542352</v>
      </c>
      <c r="AW93" s="70" t="n">
        <f aca="false">AW92+AW91</f>
        <v>-1023138.19092572</v>
      </c>
      <c r="AX93" s="70" t="n">
        <f aca="false">AX92+AX91</f>
        <v>-1042954.96499934</v>
      </c>
      <c r="AY93" s="70" t="n">
        <f aca="false">AY92+AY91</f>
        <v>-1083846.61357862</v>
      </c>
      <c r="AZ93" s="70" t="n">
        <f aca="false">AZ92+AZ91</f>
        <v>-1105742.96253537</v>
      </c>
      <c r="BA93" s="70" t="n">
        <f aca="false">BA92+BA91</f>
        <v>-1127616.99006354</v>
      </c>
      <c r="BB93" s="70" t="n">
        <f aca="false">BB92+BB91</f>
        <v>-1149468.69616313</v>
      </c>
      <c r="BC93" s="70" t="n">
        <f aca="false">BC92+BC91</f>
        <v>-1171298.08083416</v>
      </c>
      <c r="BD93" s="70" t="n">
        <f aca="false">BD92+BD91</f>
        <v>-1193105.14407662</v>
      </c>
      <c r="BE93" s="70" t="n">
        <f aca="false">BE92+BE91</f>
        <v>-1214889.8858905</v>
      </c>
      <c r="BF93" s="70" t="n">
        <f aca="false">BF92+BF91</f>
        <v>-1236652.30627582</v>
      </c>
      <c r="BG93" s="70" t="n">
        <f aca="false">BG92+BG91</f>
        <v>-1258392.40523256</v>
      </c>
      <c r="BH93" s="70" t="n">
        <f aca="false">BH92+BH91</f>
        <v>-1280110.18276073</v>
      </c>
      <c r="BI93" s="70" t="n">
        <f aca="false">BI92+BI91</f>
        <v>-1301805.63886033</v>
      </c>
      <c r="BJ93" s="70" t="n">
        <f aca="false">BJ92+BJ91</f>
        <v>-1323478.77353135</v>
      </c>
    </row>
    <row r="94" customFormat="false" ht="15" hidden="false" customHeight="false" outlineLevel="0" collapsed="false">
      <c r="A94" s="118" t="s">
        <v>444</v>
      </c>
      <c r="C94" s="120" t="n">
        <f aca="false">IF(C48&gt;0,1,0)</f>
        <v>0</v>
      </c>
      <c r="D94" s="120" t="n">
        <f aca="false">IF(D48&gt;0,1,0)</f>
        <v>0</v>
      </c>
      <c r="E94" s="120" t="n">
        <f aca="false">IF(E48&gt;0,1,0)</f>
        <v>0</v>
      </c>
      <c r="F94" s="120" t="n">
        <f aca="false">IF(F48&gt;0,1,0)</f>
        <v>0</v>
      </c>
      <c r="G94" s="120" t="n">
        <f aca="false">IF(G48&gt;0,1,0)</f>
        <v>0</v>
      </c>
      <c r="H94" s="120" t="n">
        <f aca="false">IF(H48&gt;0,1,0)</f>
        <v>0</v>
      </c>
      <c r="I94" s="120" t="n">
        <f aca="false">IF(I48&gt;0,1,0)</f>
        <v>0</v>
      </c>
      <c r="J94" s="120" t="n">
        <f aca="false">IF(J48&gt;0,1,0)</f>
        <v>0</v>
      </c>
      <c r="K94" s="120" t="n">
        <f aca="false">IF(K48&gt;0,1,0)</f>
        <v>0</v>
      </c>
      <c r="L94" s="120" t="n">
        <f aca="false">IF(L48&gt;0,1,0)</f>
        <v>0</v>
      </c>
      <c r="M94" s="120" t="n">
        <f aca="false">IF(M48&gt;0,1,0)</f>
        <v>0</v>
      </c>
      <c r="N94" s="120" t="n">
        <f aca="false">IF(N48&gt;0,1,0)</f>
        <v>0</v>
      </c>
      <c r="O94" s="120" t="n">
        <f aca="false">IF(O48&gt;0,1,0)</f>
        <v>0</v>
      </c>
      <c r="P94" s="120" t="n">
        <f aca="false">IF(P48&gt;0,1,0)</f>
        <v>0</v>
      </c>
      <c r="Q94" s="120" t="n">
        <f aca="false">IF(Q48&gt;0,1,0)</f>
        <v>0</v>
      </c>
      <c r="R94" s="120" t="n">
        <f aca="false">IF(R48&gt;0,1,0)</f>
        <v>0</v>
      </c>
      <c r="S94" s="120" t="n">
        <f aca="false">IF(S48&gt;0,1,0)</f>
        <v>0</v>
      </c>
      <c r="T94" s="120" t="n">
        <f aca="false">IF(T48&gt;0,1,0)</f>
        <v>0</v>
      </c>
      <c r="U94" s="120" t="n">
        <f aca="false">IF(U48&gt;0,1,0)</f>
        <v>0</v>
      </c>
      <c r="V94" s="120" t="n">
        <f aca="false">IF(V48&gt;0,1,0)</f>
        <v>0</v>
      </c>
      <c r="W94" s="120" t="n">
        <f aca="false">IF(W48&gt;0,1,0)</f>
        <v>0</v>
      </c>
      <c r="X94" s="120" t="n">
        <f aca="false">IF(X48&gt;0,1,0)</f>
        <v>0</v>
      </c>
      <c r="Y94" s="120" t="n">
        <f aca="false">IF(Y48&gt;0,1,0)</f>
        <v>0</v>
      </c>
      <c r="Z94" s="120" t="n">
        <f aca="false">IF(Z48&gt;0,1,0)</f>
        <v>0</v>
      </c>
      <c r="AA94" s="120" t="n">
        <f aca="false">IF(AA48&gt;0,1,0)</f>
        <v>0</v>
      </c>
      <c r="AB94" s="120" t="n">
        <f aca="false">IF(AB48&gt;0,1,0)</f>
        <v>0</v>
      </c>
      <c r="AC94" s="120" t="n">
        <f aca="false">IF(AC48&gt;0,1,0)</f>
        <v>0</v>
      </c>
      <c r="AD94" s="120" t="n">
        <f aca="false">IF(AD48&gt;0,1,0)</f>
        <v>0</v>
      </c>
      <c r="AE94" s="120" t="n">
        <f aca="false">IF(AE48&gt;0,1,0)</f>
        <v>0</v>
      </c>
      <c r="AF94" s="120" t="n">
        <f aca="false">IF(AF48&gt;0,1,0)</f>
        <v>0</v>
      </c>
      <c r="AG94" s="120" t="n">
        <f aca="false">IF(AG48&gt;0,1,0)</f>
        <v>0</v>
      </c>
      <c r="AH94" s="120" t="n">
        <f aca="false">IF(AH48&gt;0,1,0)</f>
        <v>0</v>
      </c>
      <c r="AI94" s="120" t="n">
        <f aca="false">IF(AI48&gt;0,1,0)</f>
        <v>0</v>
      </c>
      <c r="AJ94" s="120" t="n">
        <f aca="false">IF(AJ48&gt;0,1,0)</f>
        <v>0</v>
      </c>
      <c r="AK94" s="120" t="n">
        <f aca="false">IF(AK48&gt;0,1,0)</f>
        <v>0</v>
      </c>
      <c r="AL94" s="120" t="n">
        <f aca="false">IF(AL48&gt;0,1,0)</f>
        <v>0</v>
      </c>
      <c r="AM94" s="120" t="n">
        <f aca="false">IF(AM48&gt;0,1,0)</f>
        <v>0</v>
      </c>
      <c r="AN94" s="120" t="n">
        <f aca="false">IF(AN48&gt;0,1,0)</f>
        <v>0</v>
      </c>
      <c r="AO94" s="120" t="n">
        <f aca="false">IF(AO48&gt;0,1,0)</f>
        <v>0</v>
      </c>
      <c r="AP94" s="120" t="n">
        <f aca="false">IF(AP48&gt;0,1,0)</f>
        <v>0</v>
      </c>
      <c r="AQ94" s="120" t="n">
        <f aca="false">IF(AQ48&gt;0,1,0)</f>
        <v>0</v>
      </c>
      <c r="AR94" s="120" t="n">
        <f aca="false">IF(AR48&gt;0,1,0)</f>
        <v>0</v>
      </c>
      <c r="AS94" s="120" t="n">
        <f aca="false">IF(AS48&gt;0,1,0)</f>
        <v>0</v>
      </c>
      <c r="AT94" s="120" t="n">
        <f aca="false">IF(AT48&gt;0,1,0)</f>
        <v>0</v>
      </c>
      <c r="AU94" s="120" t="n">
        <f aca="false">IF(AU48&gt;0,1,0)</f>
        <v>0</v>
      </c>
      <c r="AV94" s="120" t="n">
        <f aca="false">IF(AV48&gt;0,1,0)</f>
        <v>0</v>
      </c>
      <c r="AW94" s="120" t="n">
        <f aca="false">IF(AW48&gt;0,1,0)</f>
        <v>0</v>
      </c>
      <c r="AX94" s="120" t="n">
        <f aca="false">IF(AX48&gt;0,1,0)</f>
        <v>0</v>
      </c>
      <c r="AY94" s="120" t="n">
        <f aca="false">IF(AY48&gt;0,1,0)</f>
        <v>0</v>
      </c>
      <c r="AZ94" s="120" t="n">
        <f aca="false">IF(AZ48&gt;0,1,0)</f>
        <v>0</v>
      </c>
      <c r="BA94" s="120" t="n">
        <f aca="false">IF(BA48&gt;0,1,0)</f>
        <v>0</v>
      </c>
      <c r="BB94" s="120" t="n">
        <f aca="false">IF(BB48&gt;0,1,0)</f>
        <v>0</v>
      </c>
      <c r="BC94" s="120" t="n">
        <f aca="false">IF(BC48&gt;0,1,0)</f>
        <v>0</v>
      </c>
      <c r="BD94" s="120" t="n">
        <f aca="false">IF(BD48&gt;0,1,0)</f>
        <v>0</v>
      </c>
      <c r="BE94" s="120" t="n">
        <f aca="false">IF(BE48&gt;0,1,0)</f>
        <v>0</v>
      </c>
      <c r="BF94" s="120" t="n">
        <f aca="false">IF(BF48&gt;0,1,0)</f>
        <v>0</v>
      </c>
      <c r="BG94" s="120" t="n">
        <f aca="false">IF(BG48&gt;0,1,0)</f>
        <v>0</v>
      </c>
      <c r="BH94" s="120" t="n">
        <f aca="false">IF(BH48&gt;0,1,0)</f>
        <v>0</v>
      </c>
      <c r="BI94" s="120" t="n">
        <f aca="false">IF(BI48&gt;0,1,0)</f>
        <v>0</v>
      </c>
      <c r="BJ94" s="120" t="n">
        <f aca="false">IF(BJ48&gt;0,1,0)</f>
        <v>0</v>
      </c>
    </row>
    <row r="96" customFormat="false" ht="15.75" hidden="false" customHeight="true" outlineLevel="0" collapsed="false">
      <c r="A96" s="7" t="s">
        <v>445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customFormat="false" ht="15" hidden="false" customHeight="false" outlineLevel="0" collapsed="false">
      <c r="A97" s="118" t="s">
        <v>446</v>
      </c>
      <c r="C97" s="120" t="n">
        <f aca="false">IF(C57&gt;0,1,0)</f>
        <v>0</v>
      </c>
      <c r="D97" s="120" t="n">
        <f aca="false">IF(D57&gt;0,1,0)</f>
        <v>0</v>
      </c>
      <c r="E97" s="120" t="n">
        <f aca="false">IF(E57&gt;0,1,0)</f>
        <v>0</v>
      </c>
      <c r="F97" s="120" t="n">
        <f aca="false">IF(F57&gt;0,1,0)</f>
        <v>0</v>
      </c>
      <c r="G97" s="120" t="n">
        <f aca="false">IF(G57&gt;0,1,0)</f>
        <v>0</v>
      </c>
      <c r="H97" s="120" t="n">
        <f aca="false">IF(H57&gt;0,1,0)</f>
        <v>0</v>
      </c>
      <c r="I97" s="120" t="n">
        <f aca="false">IF(I57&gt;0,1,0)</f>
        <v>0</v>
      </c>
      <c r="J97" s="120" t="n">
        <f aca="false">IF(J57&gt;0,1,0)</f>
        <v>0</v>
      </c>
      <c r="K97" s="120" t="n">
        <f aca="false">IF(K57&gt;0,1,0)</f>
        <v>0</v>
      </c>
      <c r="L97" s="120" t="n">
        <f aca="false">IF(L57&gt;0,1,0)</f>
        <v>0</v>
      </c>
      <c r="M97" s="120" t="n">
        <f aca="false">IF(M57&gt;0,1,0)</f>
        <v>0</v>
      </c>
      <c r="N97" s="120" t="n">
        <f aca="false">IF(N57&gt;0,1,0)</f>
        <v>0</v>
      </c>
      <c r="O97" s="120" t="n">
        <f aca="false">IF(O57&gt;0,1,0)</f>
        <v>0</v>
      </c>
      <c r="P97" s="120" t="n">
        <f aca="false">IF(P57&gt;0,1,0)</f>
        <v>0</v>
      </c>
      <c r="Q97" s="120" t="n">
        <f aca="false">IF(Q57&gt;0,1,0)</f>
        <v>0</v>
      </c>
      <c r="R97" s="120" t="n">
        <f aca="false">IF(R57&gt;0,1,0)</f>
        <v>0</v>
      </c>
      <c r="S97" s="120" t="n">
        <f aca="false">IF(S57&gt;0,1,0)</f>
        <v>0</v>
      </c>
      <c r="T97" s="120" t="n">
        <f aca="false">IF(T57&gt;0,1,0)</f>
        <v>0</v>
      </c>
      <c r="U97" s="120" t="n">
        <f aca="false">IF(U57&gt;0,1,0)</f>
        <v>0</v>
      </c>
      <c r="V97" s="120" t="n">
        <f aca="false">IF(V57&gt;0,1,0)</f>
        <v>0</v>
      </c>
      <c r="W97" s="120" t="n">
        <f aca="false">IF(W57&gt;0,1,0)</f>
        <v>0</v>
      </c>
      <c r="X97" s="120" t="n">
        <f aca="false">IF(X57&gt;0,1,0)</f>
        <v>0</v>
      </c>
      <c r="Y97" s="120" t="n">
        <f aca="false">IF(Y57&gt;0,1,0)</f>
        <v>0</v>
      </c>
      <c r="Z97" s="120" t="n">
        <f aca="false">IF(Z57&gt;0,1,0)</f>
        <v>0</v>
      </c>
      <c r="AA97" s="120" t="n">
        <f aca="false">IF(AA57&gt;0,1,0)</f>
        <v>0</v>
      </c>
      <c r="AB97" s="120" t="n">
        <f aca="false">IF(AB57&gt;0,1,0)</f>
        <v>0</v>
      </c>
      <c r="AC97" s="120" t="n">
        <f aca="false">IF(AC57&gt;0,1,0)</f>
        <v>0</v>
      </c>
      <c r="AD97" s="120" t="n">
        <f aca="false">IF(AD57&gt;0,1,0)</f>
        <v>0</v>
      </c>
      <c r="AE97" s="120" t="n">
        <f aca="false">IF(AE57&gt;0,1,0)</f>
        <v>0</v>
      </c>
      <c r="AF97" s="120" t="n">
        <f aca="false">IF(AF57&gt;0,1,0)</f>
        <v>0</v>
      </c>
      <c r="AG97" s="120" t="n">
        <f aca="false">IF(AG57&gt;0,1,0)</f>
        <v>0</v>
      </c>
      <c r="AH97" s="120" t="n">
        <f aca="false">IF(AH57&gt;0,1,0)</f>
        <v>0</v>
      </c>
      <c r="AI97" s="120" t="n">
        <f aca="false">IF(AI57&gt;0,1,0)</f>
        <v>0</v>
      </c>
      <c r="AJ97" s="120" t="n">
        <f aca="false">IF(AJ57&gt;0,1,0)</f>
        <v>0</v>
      </c>
      <c r="AK97" s="120" t="n">
        <f aca="false">IF(AK57&gt;0,1,0)</f>
        <v>0</v>
      </c>
      <c r="AL97" s="120" t="n">
        <f aca="false">IF(AL57&gt;0,1,0)</f>
        <v>0</v>
      </c>
      <c r="AM97" s="120" t="n">
        <f aca="false">IF(AM57&gt;0,1,0)</f>
        <v>0</v>
      </c>
      <c r="AN97" s="120" t="n">
        <f aca="false">IF(AN57&gt;0,1,0)</f>
        <v>0</v>
      </c>
      <c r="AO97" s="120" t="n">
        <f aca="false">IF(AO57&gt;0,1,0)</f>
        <v>0</v>
      </c>
      <c r="AP97" s="120" t="n">
        <f aca="false">IF(AP57&gt;0,1,0)</f>
        <v>0</v>
      </c>
      <c r="AQ97" s="120" t="n">
        <f aca="false">IF(AQ57&gt;0,1,0)</f>
        <v>0</v>
      </c>
      <c r="AR97" s="120" t="n">
        <f aca="false">IF(AR57&gt;0,1,0)</f>
        <v>0</v>
      </c>
      <c r="AS97" s="120" t="n">
        <f aca="false">IF(AS57&gt;0,1,0)</f>
        <v>0</v>
      </c>
      <c r="AT97" s="120" t="n">
        <f aca="false">IF(AT57&gt;0,1,0)</f>
        <v>0</v>
      </c>
      <c r="AU97" s="120" t="n">
        <f aca="false">IF(AU57&gt;0,1,0)</f>
        <v>0</v>
      </c>
      <c r="AV97" s="120" t="n">
        <f aca="false">IF(AV57&gt;0,1,0)</f>
        <v>0</v>
      </c>
      <c r="AW97" s="120" t="n">
        <f aca="false">IF(AW57&gt;0,1,0)</f>
        <v>0</v>
      </c>
      <c r="AX97" s="120" t="n">
        <f aca="false">IF(AX57&gt;0,1,0)</f>
        <v>0</v>
      </c>
      <c r="AY97" s="120" t="n">
        <f aca="false">IF(AY57&gt;0,1,0)</f>
        <v>0</v>
      </c>
      <c r="AZ97" s="120" t="n">
        <f aca="false">IF(AZ57&gt;0,1,0)</f>
        <v>0</v>
      </c>
      <c r="BA97" s="120" t="n">
        <f aca="false">IF(BA57&gt;0,1,0)</f>
        <v>0</v>
      </c>
      <c r="BB97" s="120" t="n">
        <f aca="false">IF(BB57&gt;0,1,0)</f>
        <v>0</v>
      </c>
      <c r="BC97" s="120" t="n">
        <f aca="false">IF(BC57&gt;0,1,0)</f>
        <v>0</v>
      </c>
      <c r="BD97" s="120" t="n">
        <f aca="false">IF(BD57&gt;0,1,0)</f>
        <v>0</v>
      </c>
      <c r="BE97" s="120" t="n">
        <f aca="false">IF(BE57&gt;0,1,0)</f>
        <v>0</v>
      </c>
      <c r="BF97" s="120" t="n">
        <f aca="false">IF(BF57&gt;0,1,0)</f>
        <v>0</v>
      </c>
      <c r="BG97" s="120" t="n">
        <f aca="false">IF(BG57&gt;0,1,0)</f>
        <v>0</v>
      </c>
      <c r="BH97" s="120" t="n">
        <f aca="false">IF(BH57&gt;0,1,0)</f>
        <v>0</v>
      </c>
      <c r="BI97" s="120" t="n">
        <f aca="false">IF(BI57&gt;0,1,0)</f>
        <v>0</v>
      </c>
      <c r="BJ97" s="120" t="n">
        <f aca="false">IF(BJ57&gt;0,1,0)</f>
        <v>0</v>
      </c>
    </row>
    <row r="98" customFormat="false" ht="15" hidden="false" customHeight="false" outlineLevel="0" collapsed="false">
      <c r="A98" s="6" t="s">
        <v>447</v>
      </c>
      <c r="C98" s="69" t="n">
        <f aca="false">C87+C88</f>
        <v>-429906.4416</v>
      </c>
      <c r="D98" s="69" t="n">
        <f aca="false">D87+D88</f>
        <v>-67382.266952381</v>
      </c>
      <c r="E98" s="69" t="n">
        <f aca="false">E87+E88</f>
        <v>-63825.4299238095</v>
      </c>
      <c r="F98" s="69" t="n">
        <f aca="false">F87+F88</f>
        <v>-60268.5928952381</v>
      </c>
      <c r="G98" s="69" t="n">
        <f aca="false">G87+G88</f>
        <v>-56711.7558666667</v>
      </c>
      <c r="H98" s="69" t="n">
        <f aca="false">H87+H88</f>
        <v>-53154.9188380953</v>
      </c>
      <c r="I98" s="69" t="n">
        <f aca="false">I87+I88</f>
        <v>-49598.0818095238</v>
      </c>
      <c r="J98" s="69" t="n">
        <f aca="false">J87+J88</f>
        <v>-46041.2447809524</v>
      </c>
      <c r="K98" s="69" t="n">
        <f aca="false">K87+K88</f>
        <v>-42484.407752381</v>
      </c>
      <c r="L98" s="69" t="n">
        <f aca="false">L87+L88</f>
        <v>-38927.5707238095</v>
      </c>
      <c r="M98" s="69" t="n">
        <f aca="false">M87+M88</f>
        <v>-35370.7336952381</v>
      </c>
      <c r="N98" s="69" t="n">
        <f aca="false">N87+N88</f>
        <v>-31813.8966666667</v>
      </c>
      <c r="O98" s="69" t="n">
        <f aca="false">O87+O88</f>
        <v>-47868.2367820953</v>
      </c>
      <c r="P98" s="69" t="n">
        <f aca="false">P87+P88</f>
        <v>-25179.3900141905</v>
      </c>
      <c r="Q98" s="69" t="n">
        <f aca="false">Q87+Q88</f>
        <v>-21587.2078296191</v>
      </c>
      <c r="R98" s="69" t="n">
        <f aca="false">R87+R88</f>
        <v>-17995.0256450476</v>
      </c>
      <c r="S98" s="69" t="n">
        <f aca="false">S87+S88</f>
        <v>-14402.8434604762</v>
      </c>
      <c r="T98" s="69" t="n">
        <f aca="false">T87+T88</f>
        <v>-14698.2124819048</v>
      </c>
      <c r="U98" s="69" t="n">
        <f aca="false">U87+U88</f>
        <v>-14675.8910533333</v>
      </c>
      <c r="V98" s="69" t="n">
        <f aca="false">V87+V88</f>
        <v>-14653.5696247619</v>
      </c>
      <c r="W98" s="69" t="n">
        <f aca="false">W87+W88</f>
        <v>-14631.2481961905</v>
      </c>
      <c r="X98" s="69" t="n">
        <f aca="false">X87+X88</f>
        <v>-14608.9267676191</v>
      </c>
      <c r="Y98" s="69" t="n">
        <f aca="false">Y87+Y88</f>
        <v>-14586.6053390476</v>
      </c>
      <c r="Z98" s="69" t="n">
        <f aca="false">Z87+Z88</f>
        <v>-14564.2839104762</v>
      </c>
      <c r="AA98" s="69" t="n">
        <f aca="false">AA87+AA88</f>
        <v>-34712.4593491048</v>
      </c>
      <c r="AB98" s="69" t="n">
        <f aca="false">AB87+AB88</f>
        <v>-15643.8062138667</v>
      </c>
      <c r="AC98" s="69" t="n">
        <f aca="false">AC87+AC88</f>
        <v>-15621.4847852952</v>
      </c>
      <c r="AD98" s="69" t="n">
        <f aca="false">AD87+AD88</f>
        <v>-15599.1633567238</v>
      </c>
      <c r="AE98" s="69" t="n">
        <f aca="false">AE87+AE88</f>
        <v>-15576.8419281524</v>
      </c>
      <c r="AF98" s="69" t="n">
        <f aca="false">AF87+AF88</f>
        <v>-15554.520499581</v>
      </c>
      <c r="AG98" s="69" t="n">
        <f aca="false">AG87+AG88</f>
        <v>-15532.1990710095</v>
      </c>
      <c r="AH98" s="69" t="n">
        <f aca="false">AH87+AH88</f>
        <v>-15509.8776424381</v>
      </c>
      <c r="AI98" s="69" t="n">
        <f aca="false">AI87+AI88</f>
        <v>-15487.5562138667</v>
      </c>
      <c r="AJ98" s="69" t="n">
        <f aca="false">AJ87+AJ88</f>
        <v>-15465.2347852952</v>
      </c>
      <c r="AK98" s="69" t="n">
        <f aca="false">AK87+AK88</f>
        <v>-15442.9133567238</v>
      </c>
      <c r="AL98" s="69" t="n">
        <f aca="false">AL87+AL88</f>
        <v>-15420.5919281524</v>
      </c>
      <c r="AM98" s="69" t="n">
        <f aca="false">AM87+AM88</f>
        <v>-36096.482735453</v>
      </c>
      <c r="AN98" s="69" t="n">
        <f aca="false">AN87+AN88</f>
        <v>-17063.7978831482</v>
      </c>
      <c r="AO98" s="69" t="n">
        <f aca="false">AO87+AO88</f>
        <v>-17041.4764545768</v>
      </c>
      <c r="AP98" s="69" t="n">
        <f aca="false">AP87+AP88</f>
        <v>-17019.1550260053</v>
      </c>
      <c r="AQ98" s="69" t="n">
        <f aca="false">AQ87+AQ88</f>
        <v>-16996.8335974339</v>
      </c>
      <c r="AR98" s="69" t="n">
        <f aca="false">AR87+AR88</f>
        <v>-16974.5121688625</v>
      </c>
      <c r="AS98" s="69" t="n">
        <f aca="false">AS87+AS88</f>
        <v>-16952.190740291</v>
      </c>
      <c r="AT98" s="69" t="n">
        <f aca="false">AT87+AT88</f>
        <v>-16929.8693117196</v>
      </c>
      <c r="AU98" s="69" t="n">
        <f aca="false">AU87+AU88</f>
        <v>-16907.5478831482</v>
      </c>
      <c r="AV98" s="69" t="n">
        <f aca="false">AV87+AV88</f>
        <v>-16885.2264545768</v>
      </c>
      <c r="AW98" s="69" t="n">
        <f aca="false">AW87+AW88</f>
        <v>-16862.9050260053</v>
      </c>
      <c r="AX98" s="69" t="n">
        <f aca="false">AX87+AX88</f>
        <v>-16840.5835974339</v>
      </c>
      <c r="AY98" s="69" t="n">
        <f aca="false">AY87+AY88</f>
        <v>-37915.4581030932</v>
      </c>
      <c r="AZ98" s="69" t="n">
        <f aca="false">AZ87+AZ88</f>
        <v>-18920.1584805511</v>
      </c>
      <c r="BA98" s="69" t="n">
        <f aca="false">BA87+BA88</f>
        <v>-18897.8370519797</v>
      </c>
      <c r="BB98" s="69" t="n">
        <f aca="false">BB87+BB88</f>
        <v>-18875.5156234083</v>
      </c>
      <c r="BC98" s="69" t="n">
        <f aca="false">BC87+BC88</f>
        <v>-18853.1941948368</v>
      </c>
      <c r="BD98" s="69" t="n">
        <f aca="false">BD87+BD88</f>
        <v>-18830.8727662654</v>
      </c>
      <c r="BE98" s="69" t="n">
        <f aca="false">BE87+BE88</f>
        <v>-18808.551337694</v>
      </c>
      <c r="BF98" s="69" t="n">
        <f aca="false">BF87+BF88</f>
        <v>-18786.2299091225</v>
      </c>
      <c r="BG98" s="69" t="n">
        <f aca="false">BG87+BG88</f>
        <v>-18763.9084805511</v>
      </c>
      <c r="BH98" s="69" t="n">
        <f aca="false">BH87+BH88</f>
        <v>-18741.5870519797</v>
      </c>
      <c r="BI98" s="69" t="n">
        <f aca="false">BI87+BI88</f>
        <v>-18719.2656234083</v>
      </c>
      <c r="BJ98" s="69" t="n">
        <f aca="false">BJ87+BJ88</f>
        <v>-18696.9441948368</v>
      </c>
    </row>
    <row r="99" customFormat="false" ht="15" hidden="false" customHeight="false" outlineLevel="0" collapsed="false">
      <c r="A99" s="6" t="s">
        <v>448</v>
      </c>
      <c r="C99" s="69" t="n">
        <f aca="false">C98</f>
        <v>-429906.4416</v>
      </c>
      <c r="D99" s="69" t="n">
        <f aca="false">C99+D98</f>
        <v>-497288.708552381</v>
      </c>
      <c r="E99" s="69" t="n">
        <f aca="false">D99+E98</f>
        <v>-561114.138476191</v>
      </c>
      <c r="F99" s="69" t="n">
        <f aca="false">E99+F98</f>
        <v>-621382.731371429</v>
      </c>
      <c r="G99" s="69" t="n">
        <f aca="false">F99+G98</f>
        <v>-678094.487238095</v>
      </c>
      <c r="H99" s="69" t="n">
        <f aca="false">G99+H98</f>
        <v>-731249.406076191</v>
      </c>
      <c r="I99" s="69" t="n">
        <f aca="false">H99+I98</f>
        <v>-780847.487885714</v>
      </c>
      <c r="J99" s="69" t="n">
        <f aca="false">I99+J98</f>
        <v>-826888.732666667</v>
      </c>
      <c r="K99" s="69" t="n">
        <f aca="false">J99+K98</f>
        <v>-869373.140419048</v>
      </c>
      <c r="L99" s="69" t="n">
        <f aca="false">K99+L98</f>
        <v>-908300.711142857</v>
      </c>
      <c r="M99" s="69" t="n">
        <f aca="false">L99+M98</f>
        <v>-943671.444838095</v>
      </c>
      <c r="N99" s="69" t="n">
        <f aca="false">M99+N98</f>
        <v>-975485.341504762</v>
      </c>
      <c r="O99" s="69" t="n">
        <f aca="false">N99+O98</f>
        <v>-1023353.57828686</v>
      </c>
      <c r="P99" s="69" t="n">
        <f aca="false">O99+P98</f>
        <v>-1048532.96830105</v>
      </c>
      <c r="Q99" s="69" t="n">
        <f aca="false">P99+Q98</f>
        <v>-1070120.17613067</v>
      </c>
      <c r="R99" s="69" t="n">
        <f aca="false">Q99+R98</f>
        <v>-1088115.20177571</v>
      </c>
      <c r="S99" s="69" t="n">
        <f aca="false">R99+S98</f>
        <v>-1102518.04523619</v>
      </c>
      <c r="T99" s="69" t="n">
        <f aca="false">S99+T98</f>
        <v>-1117216.2577181</v>
      </c>
      <c r="U99" s="69" t="n">
        <f aca="false">T99+U98</f>
        <v>-1131892.14877143</v>
      </c>
      <c r="V99" s="69" t="n">
        <f aca="false">U99+V98</f>
        <v>-1146545.71839619</v>
      </c>
      <c r="W99" s="69" t="n">
        <f aca="false">V99+W98</f>
        <v>-1161176.96659238</v>
      </c>
      <c r="X99" s="69" t="n">
        <f aca="false">W99+X98</f>
        <v>-1175785.89336</v>
      </c>
      <c r="Y99" s="69" t="n">
        <f aca="false">X99+Y98</f>
        <v>-1190372.49869905</v>
      </c>
      <c r="Z99" s="69" t="n">
        <f aca="false">Y99+Z98</f>
        <v>-1204936.78260952</v>
      </c>
      <c r="AA99" s="69" t="n">
        <f aca="false">Z99+AA98</f>
        <v>-1239649.24195863</v>
      </c>
      <c r="AB99" s="69" t="n">
        <f aca="false">AA99+AB98</f>
        <v>-1255293.0481725</v>
      </c>
      <c r="AC99" s="69" t="n">
        <f aca="false">AB99+AC98</f>
        <v>-1270914.53295779</v>
      </c>
      <c r="AD99" s="69" t="n">
        <f aca="false">AC99+AD98</f>
        <v>-1286513.69631451</v>
      </c>
      <c r="AE99" s="69" t="n">
        <f aca="false">AD99+AE98</f>
        <v>-1302090.53824267</v>
      </c>
      <c r="AF99" s="69" t="n">
        <f aca="false">AE99+AF98</f>
        <v>-1317645.05874225</v>
      </c>
      <c r="AG99" s="69" t="n">
        <f aca="false">AF99+AG98</f>
        <v>-1333177.25781326</v>
      </c>
      <c r="AH99" s="69" t="n">
        <f aca="false">AG99+AH98</f>
        <v>-1348687.1354557</v>
      </c>
      <c r="AI99" s="69" t="n">
        <f aca="false">AH99+AI98</f>
        <v>-1364174.69166956</v>
      </c>
      <c r="AJ99" s="69" t="n">
        <f aca="false">AI99+AJ98</f>
        <v>-1379639.92645486</v>
      </c>
      <c r="AK99" s="69" t="n">
        <f aca="false">AJ99+AK98</f>
        <v>-1395082.83981158</v>
      </c>
      <c r="AL99" s="69" t="n">
        <f aca="false">AK99+AL98</f>
        <v>-1410503.43173973</v>
      </c>
      <c r="AM99" s="69" t="n">
        <f aca="false">AL99+AM98</f>
        <v>-1446599.91447519</v>
      </c>
      <c r="AN99" s="69" t="n">
        <f aca="false">AM99+AN98</f>
        <v>-1463663.71235833</v>
      </c>
      <c r="AO99" s="69" t="n">
        <f aca="false">AN99+AO98</f>
        <v>-1480705.18881291</v>
      </c>
      <c r="AP99" s="69" t="n">
        <f aca="false">AO99+AP98</f>
        <v>-1497724.34383892</v>
      </c>
      <c r="AQ99" s="69" t="n">
        <f aca="false">AP99+AQ98</f>
        <v>-1514721.17743635</v>
      </c>
      <c r="AR99" s="69" t="n">
        <f aca="false">AQ99+AR98</f>
        <v>-1531695.68960521</v>
      </c>
      <c r="AS99" s="69" t="n">
        <f aca="false">AR99+AS98</f>
        <v>-1548647.8803455</v>
      </c>
      <c r="AT99" s="69" t="n">
        <f aca="false">AS99+AT98</f>
        <v>-1565577.74965722</v>
      </c>
      <c r="AU99" s="69" t="n">
        <f aca="false">AT99+AU98</f>
        <v>-1582485.29754037</v>
      </c>
      <c r="AV99" s="69" t="n">
        <f aca="false">AU99+AV98</f>
        <v>-1599370.52399495</v>
      </c>
      <c r="AW99" s="69" t="n">
        <f aca="false">AV99+AW98</f>
        <v>-1616233.42902095</v>
      </c>
      <c r="AX99" s="69" t="n">
        <f aca="false">AW99+AX98</f>
        <v>-1633074.01261839</v>
      </c>
      <c r="AY99" s="69" t="n">
        <f aca="false">AX99+AY98</f>
        <v>-1670989.47072148</v>
      </c>
      <c r="AZ99" s="69" t="n">
        <f aca="false">AY99+AZ98</f>
        <v>-1689909.62920203</v>
      </c>
      <c r="BA99" s="69" t="n">
        <f aca="false">AZ99+BA98</f>
        <v>-1708807.46625401</v>
      </c>
      <c r="BB99" s="69" t="n">
        <f aca="false">BA99+BB98</f>
        <v>-1727682.98187742</v>
      </c>
      <c r="BC99" s="69" t="n">
        <f aca="false">BB99+BC98</f>
        <v>-1746536.17607226</v>
      </c>
      <c r="BD99" s="69" t="n">
        <f aca="false">BC99+BD98</f>
        <v>-1765367.04883852</v>
      </c>
      <c r="BE99" s="69" t="n">
        <f aca="false">BD99+BE98</f>
        <v>-1784175.60017622</v>
      </c>
      <c r="BF99" s="69" t="n">
        <f aca="false">BE99+BF98</f>
        <v>-1802961.83008534</v>
      </c>
      <c r="BG99" s="69" t="n">
        <f aca="false">BF99+BG98</f>
        <v>-1821725.73856589</v>
      </c>
      <c r="BH99" s="69" t="n">
        <f aca="false">BG99+BH98</f>
        <v>-1840467.32561787</v>
      </c>
      <c r="BI99" s="69" t="n">
        <f aca="false">BH99+BI98</f>
        <v>-1859186.59124128</v>
      </c>
      <c r="BJ99" s="69" t="n">
        <f aca="false">BI99+BJ98</f>
        <v>-1877883.53543611</v>
      </c>
    </row>
    <row r="100" customFormat="false" ht="15" hidden="false" customHeight="false" outlineLevel="0" collapsed="false">
      <c r="A100" s="118" t="s">
        <v>449</v>
      </c>
      <c r="C100" s="69" t="n">
        <f aca="false">C99</f>
        <v>-429906.4416</v>
      </c>
      <c r="D100" s="69" t="n">
        <f aca="false">MIN(C100,D99)</f>
        <v>-497288.708552381</v>
      </c>
      <c r="E100" s="69" t="n">
        <f aca="false">MIN(D100,E99)</f>
        <v>-561114.138476191</v>
      </c>
      <c r="F100" s="69" t="n">
        <f aca="false">MIN(E100,F99)</f>
        <v>-621382.731371429</v>
      </c>
      <c r="G100" s="69" t="n">
        <f aca="false">MIN(F100,G99)</f>
        <v>-678094.487238095</v>
      </c>
      <c r="H100" s="69" t="n">
        <f aca="false">MIN(G100,H99)</f>
        <v>-731249.406076191</v>
      </c>
      <c r="I100" s="69" t="n">
        <f aca="false">MIN(H100,I99)</f>
        <v>-780847.487885714</v>
      </c>
      <c r="J100" s="69" t="n">
        <f aca="false">MIN(I100,J99)</f>
        <v>-826888.732666667</v>
      </c>
      <c r="K100" s="69" t="n">
        <f aca="false">MIN(J100,K99)</f>
        <v>-869373.140419048</v>
      </c>
      <c r="L100" s="69" t="n">
        <f aca="false">MIN(K100,L99)</f>
        <v>-908300.711142857</v>
      </c>
      <c r="M100" s="69" t="n">
        <f aca="false">MIN(L100,M99)</f>
        <v>-943671.444838095</v>
      </c>
      <c r="N100" s="69" t="n">
        <f aca="false">MIN(M100,N99)</f>
        <v>-975485.341504762</v>
      </c>
      <c r="O100" s="69" t="n">
        <f aca="false">MIN(N100,O99)</f>
        <v>-1023353.57828686</v>
      </c>
      <c r="P100" s="69" t="n">
        <f aca="false">MIN(O100,P99)</f>
        <v>-1048532.96830105</v>
      </c>
      <c r="Q100" s="69" t="n">
        <f aca="false">MIN(P100,Q99)</f>
        <v>-1070120.17613067</v>
      </c>
      <c r="R100" s="69" t="n">
        <f aca="false">MIN(Q100,R99)</f>
        <v>-1088115.20177571</v>
      </c>
      <c r="S100" s="69" t="n">
        <f aca="false">MIN(R100,S99)</f>
        <v>-1102518.04523619</v>
      </c>
      <c r="T100" s="69" t="n">
        <f aca="false">MIN(S100,T99)</f>
        <v>-1117216.2577181</v>
      </c>
      <c r="U100" s="69" t="n">
        <f aca="false">MIN(T100,U99)</f>
        <v>-1131892.14877143</v>
      </c>
      <c r="V100" s="69" t="n">
        <f aca="false">MIN(U100,V99)</f>
        <v>-1146545.71839619</v>
      </c>
      <c r="W100" s="69" t="n">
        <f aca="false">MIN(V100,W99)</f>
        <v>-1161176.96659238</v>
      </c>
      <c r="X100" s="69" t="n">
        <f aca="false">MIN(W100,X99)</f>
        <v>-1175785.89336</v>
      </c>
      <c r="Y100" s="69" t="n">
        <f aca="false">MIN(X100,Y99)</f>
        <v>-1190372.49869905</v>
      </c>
      <c r="Z100" s="69" t="n">
        <f aca="false">MIN(Y100,Z99)</f>
        <v>-1204936.78260952</v>
      </c>
      <c r="AA100" s="69" t="n">
        <f aca="false">MIN(Z100,AA99)</f>
        <v>-1239649.24195863</v>
      </c>
      <c r="AB100" s="69" t="n">
        <f aca="false">MIN(AA100,AB99)</f>
        <v>-1255293.0481725</v>
      </c>
      <c r="AC100" s="69" t="n">
        <f aca="false">MIN(AB100,AC99)</f>
        <v>-1270914.53295779</v>
      </c>
      <c r="AD100" s="69" t="n">
        <f aca="false">MIN(AC100,AD99)</f>
        <v>-1286513.69631451</v>
      </c>
      <c r="AE100" s="69" t="n">
        <f aca="false">MIN(AD100,AE99)</f>
        <v>-1302090.53824267</v>
      </c>
      <c r="AF100" s="69" t="n">
        <f aca="false">MIN(AE100,AF99)</f>
        <v>-1317645.05874225</v>
      </c>
      <c r="AG100" s="69" t="n">
        <f aca="false">MIN(AF100,AG99)</f>
        <v>-1333177.25781326</v>
      </c>
      <c r="AH100" s="69" t="n">
        <f aca="false">MIN(AG100,AH99)</f>
        <v>-1348687.1354557</v>
      </c>
      <c r="AI100" s="69" t="n">
        <f aca="false">MIN(AH100,AI99)</f>
        <v>-1364174.69166956</v>
      </c>
      <c r="AJ100" s="69" t="n">
        <f aca="false">MIN(AI100,AJ99)</f>
        <v>-1379639.92645486</v>
      </c>
      <c r="AK100" s="69" t="n">
        <f aca="false">MIN(AJ100,AK99)</f>
        <v>-1395082.83981158</v>
      </c>
      <c r="AL100" s="69" t="n">
        <f aca="false">MIN(AK100,AL99)</f>
        <v>-1410503.43173973</v>
      </c>
      <c r="AM100" s="69" t="n">
        <f aca="false">MIN(AL100,AM99)</f>
        <v>-1446599.91447519</v>
      </c>
      <c r="AN100" s="69" t="n">
        <f aca="false">MIN(AM100,AN99)</f>
        <v>-1463663.71235833</v>
      </c>
      <c r="AO100" s="69" t="n">
        <f aca="false">MIN(AN100,AO99)</f>
        <v>-1480705.18881291</v>
      </c>
      <c r="AP100" s="69" t="n">
        <f aca="false">MIN(AO100,AP99)</f>
        <v>-1497724.34383892</v>
      </c>
      <c r="AQ100" s="69" t="n">
        <f aca="false">MIN(AP100,AQ99)</f>
        <v>-1514721.17743635</v>
      </c>
      <c r="AR100" s="69" t="n">
        <f aca="false">MIN(AQ100,AR99)</f>
        <v>-1531695.68960521</v>
      </c>
      <c r="AS100" s="69" t="n">
        <f aca="false">MIN(AR100,AS99)</f>
        <v>-1548647.8803455</v>
      </c>
      <c r="AT100" s="69" t="n">
        <f aca="false">MIN(AS100,AT99)</f>
        <v>-1565577.74965722</v>
      </c>
      <c r="AU100" s="69" t="n">
        <f aca="false">MIN(AT100,AU99)</f>
        <v>-1582485.29754037</v>
      </c>
      <c r="AV100" s="69" t="n">
        <f aca="false">MIN(AU100,AV99)</f>
        <v>-1599370.52399495</v>
      </c>
      <c r="AW100" s="69" t="n">
        <f aca="false">MIN(AV100,AW99)</f>
        <v>-1616233.42902095</v>
      </c>
      <c r="AX100" s="69" t="n">
        <f aca="false">MIN(AW100,AX99)</f>
        <v>-1633074.01261839</v>
      </c>
      <c r="AY100" s="69" t="n">
        <f aca="false">MIN(AX100,AY99)</f>
        <v>-1670989.47072148</v>
      </c>
      <c r="AZ100" s="69" t="n">
        <f aca="false">MIN(AY100,AZ99)</f>
        <v>-1689909.62920203</v>
      </c>
      <c r="BA100" s="69" t="n">
        <f aca="false">MIN(AZ100,BA99)</f>
        <v>-1708807.46625401</v>
      </c>
      <c r="BB100" s="69" t="n">
        <f aca="false">MIN(BA100,BB99)</f>
        <v>-1727682.98187742</v>
      </c>
      <c r="BC100" s="69" t="n">
        <f aca="false">MIN(BB100,BC99)</f>
        <v>-1746536.17607226</v>
      </c>
      <c r="BD100" s="69" t="n">
        <f aca="false">MIN(BC100,BD99)</f>
        <v>-1765367.04883852</v>
      </c>
      <c r="BE100" s="69" t="n">
        <f aca="false">MIN(BD100,BE99)</f>
        <v>-1784175.60017622</v>
      </c>
      <c r="BF100" s="69" t="n">
        <f aca="false">MIN(BE100,BF99)</f>
        <v>-1802961.83008534</v>
      </c>
      <c r="BG100" s="69" t="n">
        <f aca="false">MIN(BF100,BG99)</f>
        <v>-1821725.73856589</v>
      </c>
      <c r="BH100" s="69" t="n">
        <f aca="false">MIN(BG100,BH99)</f>
        <v>-1840467.32561787</v>
      </c>
      <c r="BI100" s="69" t="n">
        <f aca="false">MIN(BH100,BI99)</f>
        <v>-1859186.59124128</v>
      </c>
      <c r="BJ100" s="69" t="n">
        <f aca="false">MIN(BI100,BJ99)</f>
        <v>-1877883.53543611</v>
      </c>
    </row>
    <row r="101" customFormat="false" ht="15" hidden="false" customHeight="false" outlineLevel="0" collapsed="false">
      <c r="A101" s="118" t="s">
        <v>450</v>
      </c>
      <c r="C101" s="120" t="n">
        <f aca="false">IF(AND(C99&gt;=0,C100&lt;0),1,0)</f>
        <v>0</v>
      </c>
      <c r="D101" s="120" t="n">
        <f aca="false">IF(AND(D99&gt;=0,D100&lt;0),1,0)</f>
        <v>0</v>
      </c>
      <c r="E101" s="120" t="n">
        <f aca="false">IF(AND(E99&gt;=0,E100&lt;0),1,0)</f>
        <v>0</v>
      </c>
      <c r="F101" s="120" t="n">
        <f aca="false">IF(AND(F99&gt;=0,F100&lt;0),1,0)</f>
        <v>0</v>
      </c>
      <c r="G101" s="120" t="n">
        <f aca="false">IF(AND(G99&gt;=0,G100&lt;0),1,0)</f>
        <v>0</v>
      </c>
      <c r="H101" s="120" t="n">
        <f aca="false">IF(AND(H99&gt;=0,H100&lt;0),1,0)</f>
        <v>0</v>
      </c>
      <c r="I101" s="120" t="n">
        <f aca="false">IF(AND(I99&gt;=0,I100&lt;0),1,0)</f>
        <v>0</v>
      </c>
      <c r="J101" s="120" t="n">
        <f aca="false">IF(AND(J99&gt;=0,J100&lt;0),1,0)</f>
        <v>0</v>
      </c>
      <c r="K101" s="120" t="n">
        <f aca="false">IF(AND(K99&gt;=0,K100&lt;0),1,0)</f>
        <v>0</v>
      </c>
      <c r="L101" s="120" t="n">
        <f aca="false">IF(AND(L99&gt;=0,L100&lt;0),1,0)</f>
        <v>0</v>
      </c>
      <c r="M101" s="120" t="n">
        <f aca="false">IF(AND(M99&gt;=0,M100&lt;0),1,0)</f>
        <v>0</v>
      </c>
      <c r="N101" s="120" t="n">
        <f aca="false">IF(AND(N99&gt;=0,N100&lt;0),1,0)</f>
        <v>0</v>
      </c>
      <c r="O101" s="120" t="n">
        <f aca="false">IF(AND(O99&gt;=0,O100&lt;0),1,0)</f>
        <v>0</v>
      </c>
      <c r="P101" s="120" t="n">
        <f aca="false">IF(AND(P99&gt;=0,P100&lt;0),1,0)</f>
        <v>0</v>
      </c>
      <c r="Q101" s="120" t="n">
        <f aca="false">IF(AND(Q99&gt;=0,Q100&lt;0),1,0)</f>
        <v>0</v>
      </c>
      <c r="R101" s="120" t="n">
        <f aca="false">IF(AND(R99&gt;=0,R100&lt;0),1,0)</f>
        <v>0</v>
      </c>
      <c r="S101" s="120" t="n">
        <f aca="false">IF(AND(S99&gt;=0,S100&lt;0),1,0)</f>
        <v>0</v>
      </c>
      <c r="T101" s="120" t="n">
        <f aca="false">IF(AND(T99&gt;=0,T100&lt;0),1,0)</f>
        <v>0</v>
      </c>
      <c r="U101" s="120" t="n">
        <f aca="false">IF(AND(U99&gt;=0,U100&lt;0),1,0)</f>
        <v>0</v>
      </c>
      <c r="V101" s="120" t="n">
        <f aca="false">IF(AND(V99&gt;=0,V100&lt;0),1,0)</f>
        <v>0</v>
      </c>
      <c r="W101" s="120" t="n">
        <f aca="false">IF(AND(W99&gt;=0,W100&lt;0),1,0)</f>
        <v>0</v>
      </c>
      <c r="X101" s="120" t="n">
        <f aca="false">IF(AND(X99&gt;=0,X100&lt;0),1,0)</f>
        <v>0</v>
      </c>
      <c r="Y101" s="120" t="n">
        <f aca="false">IF(AND(Y99&gt;=0,Y100&lt;0),1,0)</f>
        <v>0</v>
      </c>
      <c r="Z101" s="120" t="n">
        <f aca="false">IF(AND(Z99&gt;=0,Z100&lt;0),1,0)</f>
        <v>0</v>
      </c>
      <c r="AA101" s="120" t="n">
        <f aca="false">IF(AND(AA99&gt;=0,AA100&lt;0),1,0)</f>
        <v>0</v>
      </c>
      <c r="AB101" s="120" t="n">
        <f aca="false">IF(AND(AB99&gt;=0,AB100&lt;0),1,0)</f>
        <v>0</v>
      </c>
      <c r="AC101" s="120" t="n">
        <f aca="false">IF(AND(AC99&gt;=0,AC100&lt;0),1,0)</f>
        <v>0</v>
      </c>
      <c r="AD101" s="120" t="n">
        <f aca="false">IF(AND(AD99&gt;=0,AD100&lt;0),1,0)</f>
        <v>0</v>
      </c>
      <c r="AE101" s="120" t="n">
        <f aca="false">IF(AND(AE99&gt;=0,AE100&lt;0),1,0)</f>
        <v>0</v>
      </c>
      <c r="AF101" s="120" t="n">
        <f aca="false">IF(AND(AF99&gt;=0,AF100&lt;0),1,0)</f>
        <v>0</v>
      </c>
      <c r="AG101" s="120" t="n">
        <f aca="false">IF(AND(AG99&gt;=0,AG100&lt;0),1,0)</f>
        <v>0</v>
      </c>
      <c r="AH101" s="120" t="n">
        <f aca="false">IF(AND(AH99&gt;=0,AH100&lt;0),1,0)</f>
        <v>0</v>
      </c>
      <c r="AI101" s="120" t="n">
        <f aca="false">IF(AND(AI99&gt;=0,AI100&lt;0),1,0)</f>
        <v>0</v>
      </c>
      <c r="AJ101" s="120" t="n">
        <f aca="false">IF(AND(AJ99&gt;=0,AJ100&lt;0),1,0)</f>
        <v>0</v>
      </c>
      <c r="AK101" s="120" t="n">
        <f aca="false">IF(AND(AK99&gt;=0,AK100&lt;0),1,0)</f>
        <v>0</v>
      </c>
      <c r="AL101" s="120" t="n">
        <f aca="false">IF(AND(AL99&gt;=0,AL100&lt;0),1,0)</f>
        <v>0</v>
      </c>
      <c r="AM101" s="120" t="n">
        <f aca="false">IF(AND(AM99&gt;=0,AM100&lt;0),1,0)</f>
        <v>0</v>
      </c>
      <c r="AN101" s="120" t="n">
        <f aca="false">IF(AND(AN99&gt;=0,AN100&lt;0),1,0)</f>
        <v>0</v>
      </c>
      <c r="AO101" s="120" t="n">
        <f aca="false">IF(AND(AO99&gt;=0,AO100&lt;0),1,0)</f>
        <v>0</v>
      </c>
      <c r="AP101" s="120" t="n">
        <f aca="false">IF(AND(AP99&gt;=0,AP100&lt;0),1,0)</f>
        <v>0</v>
      </c>
      <c r="AQ101" s="120" t="n">
        <f aca="false">IF(AND(AQ99&gt;=0,AQ100&lt;0),1,0)</f>
        <v>0</v>
      </c>
      <c r="AR101" s="120" t="n">
        <f aca="false">IF(AND(AR99&gt;=0,AR100&lt;0),1,0)</f>
        <v>0</v>
      </c>
      <c r="AS101" s="120" t="n">
        <f aca="false">IF(AND(AS99&gt;=0,AS100&lt;0),1,0)</f>
        <v>0</v>
      </c>
      <c r="AT101" s="120" t="n">
        <f aca="false">IF(AND(AT99&gt;=0,AT100&lt;0),1,0)</f>
        <v>0</v>
      </c>
      <c r="AU101" s="120" t="n">
        <f aca="false">IF(AND(AU99&gt;=0,AU100&lt;0),1,0)</f>
        <v>0</v>
      </c>
      <c r="AV101" s="120" t="n">
        <f aca="false">IF(AND(AV99&gt;=0,AV100&lt;0),1,0)</f>
        <v>0</v>
      </c>
      <c r="AW101" s="120" t="n">
        <f aca="false">IF(AND(AW99&gt;=0,AW100&lt;0),1,0)</f>
        <v>0</v>
      </c>
      <c r="AX101" s="120" t="n">
        <f aca="false">IF(AND(AX99&gt;=0,AX100&lt;0),1,0)</f>
        <v>0</v>
      </c>
      <c r="AY101" s="120" t="n">
        <f aca="false">IF(AND(AY99&gt;=0,AY100&lt;0),1,0)</f>
        <v>0</v>
      </c>
      <c r="AZ101" s="120" t="n">
        <f aca="false">IF(AND(AZ99&gt;=0,AZ100&lt;0),1,0)</f>
        <v>0</v>
      </c>
      <c r="BA101" s="120" t="n">
        <f aca="false">IF(AND(BA99&gt;=0,BA100&lt;0),1,0)</f>
        <v>0</v>
      </c>
      <c r="BB101" s="120" t="n">
        <f aca="false">IF(AND(BB99&gt;=0,BB100&lt;0),1,0)</f>
        <v>0</v>
      </c>
      <c r="BC101" s="120" t="n">
        <f aca="false">IF(AND(BC99&gt;=0,BC100&lt;0),1,0)</f>
        <v>0</v>
      </c>
      <c r="BD101" s="120" t="n">
        <f aca="false">IF(AND(BD99&gt;=0,BD100&lt;0),1,0)</f>
        <v>0</v>
      </c>
      <c r="BE101" s="120" t="n">
        <f aca="false">IF(AND(BE99&gt;=0,BE100&lt;0),1,0)</f>
        <v>0</v>
      </c>
      <c r="BF101" s="120" t="n">
        <f aca="false">IF(AND(BF99&gt;=0,BF100&lt;0),1,0)</f>
        <v>0</v>
      </c>
      <c r="BG101" s="120" t="n">
        <f aca="false">IF(AND(BG99&gt;=0,BG100&lt;0),1,0)</f>
        <v>0</v>
      </c>
      <c r="BH101" s="120" t="n">
        <f aca="false">IF(AND(BH99&gt;=0,BH100&lt;0),1,0)</f>
        <v>0</v>
      </c>
      <c r="BI101" s="120" t="n">
        <f aca="false">IF(AND(BI99&gt;=0,BI100&lt;0),1,0)</f>
        <v>0</v>
      </c>
      <c r="BJ101" s="120" t="n">
        <f aca="false">IF(AND(BJ99&gt;=0,BJ100&lt;0),1,0)</f>
        <v>0</v>
      </c>
    </row>
    <row r="102" customFormat="false" ht="15" hidden="false" customHeight="false" outlineLevel="0" collapsed="false">
      <c r="A102" s="6" t="s">
        <v>451</v>
      </c>
      <c r="C102" s="69" t="n">
        <f aca="false">C87-C52*(1-Inputs!$B$79)+C88</f>
        <v>-428425.1916</v>
      </c>
      <c r="D102" s="69" t="n">
        <f aca="false">D87-D52*(1-Inputs!$B$79)+D88</f>
        <v>-65909.8339166667</v>
      </c>
      <c r="E102" s="69" t="n">
        <f aca="false">E87-E52*(1-Inputs!$B$79)+E88</f>
        <v>-62370.6308166667</v>
      </c>
      <c r="F102" s="69" t="n">
        <f aca="false">F87-F52*(1-Inputs!$B$79)+F88</f>
        <v>-58831.4277166667</v>
      </c>
      <c r="G102" s="69" t="n">
        <f aca="false">G87-G52*(1-Inputs!$B$79)+G88</f>
        <v>-55292.2246166667</v>
      </c>
      <c r="H102" s="69" t="n">
        <f aca="false">H87-H52*(1-Inputs!$B$79)+H88</f>
        <v>-51753.0215166667</v>
      </c>
      <c r="I102" s="69" t="n">
        <f aca="false">I87-I52*(1-Inputs!$B$79)+I88</f>
        <v>-48213.8184166667</v>
      </c>
      <c r="J102" s="69" t="n">
        <f aca="false">J87-J52*(1-Inputs!$B$79)+J88</f>
        <v>-44674.6153166667</v>
      </c>
      <c r="K102" s="69" t="n">
        <f aca="false">K87-K52*(1-Inputs!$B$79)+K88</f>
        <v>-41135.4122166667</v>
      </c>
      <c r="L102" s="69" t="n">
        <f aca="false">L87-L52*(1-Inputs!$B$79)+L88</f>
        <v>-37596.2091166667</v>
      </c>
      <c r="M102" s="69" t="n">
        <f aca="false">M87-M52*(1-Inputs!$B$79)+M88</f>
        <v>-34057.0060166667</v>
      </c>
      <c r="N102" s="69" t="n">
        <f aca="false">N87-N52*(1-Inputs!$B$79)+N88</f>
        <v>-30517.8029166667</v>
      </c>
      <c r="O102" s="69" t="n">
        <f aca="false">O87-O52*(1-Inputs!$B$79)+O88</f>
        <v>-46589.7769606667</v>
      </c>
      <c r="P102" s="69" t="n">
        <f aca="false">P87-P52*(1-Inputs!$B$79)+P88</f>
        <v>-23918.5641213334</v>
      </c>
      <c r="Q102" s="69" t="n">
        <f aca="false">Q87-Q52*(1-Inputs!$B$79)+Q88</f>
        <v>-20344.0158653333</v>
      </c>
      <c r="R102" s="69" t="n">
        <f aca="false">R87-R52*(1-Inputs!$B$79)+R88</f>
        <v>-16769.4676093333</v>
      </c>
      <c r="S102" s="69" t="n">
        <f aca="false">S87-S52*(1-Inputs!$B$79)+S88</f>
        <v>-13194.9193533333</v>
      </c>
      <c r="T102" s="69" t="n">
        <f aca="false">T87-T52*(1-Inputs!$B$79)+T88</f>
        <v>-13507.9223033333</v>
      </c>
      <c r="U102" s="69" t="n">
        <f aca="false">U87-U52*(1-Inputs!$B$79)+U88</f>
        <v>-13503.2348033333</v>
      </c>
      <c r="V102" s="69" t="n">
        <f aca="false">V87-V52*(1-Inputs!$B$79)+V88</f>
        <v>-13498.5473033333</v>
      </c>
      <c r="W102" s="69" t="n">
        <f aca="false">W87-W52*(1-Inputs!$B$79)+W88</f>
        <v>-13493.8598033333</v>
      </c>
      <c r="X102" s="69" t="n">
        <f aca="false">X87-X52*(1-Inputs!$B$79)+X88</f>
        <v>-13489.1723033333</v>
      </c>
      <c r="Y102" s="69" t="n">
        <f aca="false">Y87-Y52*(1-Inputs!$B$79)+Y88</f>
        <v>-13484.4848033333</v>
      </c>
      <c r="Z102" s="69" t="n">
        <f aca="false">Z87-Z52*(1-Inputs!$B$79)+Z88</f>
        <v>-13479.7973033333</v>
      </c>
      <c r="AA102" s="69" t="n">
        <f aca="false">AA87-AA52*(1-Inputs!$B$79)+AA88</f>
        <v>-33645.6066705333</v>
      </c>
      <c r="AB102" s="69" t="n">
        <f aca="false">AB87-AB52*(1-Inputs!$B$79)+AB88</f>
        <v>-14594.5874638667</v>
      </c>
      <c r="AC102" s="69" t="n">
        <f aca="false">AC87-AC52*(1-Inputs!$B$79)+AC88</f>
        <v>-14589.8999638667</v>
      </c>
      <c r="AD102" s="69" t="n">
        <f aca="false">AD87-AD52*(1-Inputs!$B$79)+AD88</f>
        <v>-14585.2124638667</v>
      </c>
      <c r="AE102" s="69" t="n">
        <f aca="false">AE87-AE52*(1-Inputs!$B$79)+AE88</f>
        <v>-14580.5249638667</v>
      </c>
      <c r="AF102" s="69" t="n">
        <f aca="false">AF87-AF52*(1-Inputs!$B$79)+AF88</f>
        <v>-14575.8374638667</v>
      </c>
      <c r="AG102" s="69" t="n">
        <f aca="false">AG87-AG52*(1-Inputs!$B$79)+AG88</f>
        <v>-14571.1499638667</v>
      </c>
      <c r="AH102" s="69" t="n">
        <f aca="false">AH87-AH52*(1-Inputs!$B$79)+AH88</f>
        <v>-14566.4624638667</v>
      </c>
      <c r="AI102" s="69" t="n">
        <f aca="false">AI87-AI52*(1-Inputs!$B$79)+AI88</f>
        <v>-14561.7749638667</v>
      </c>
      <c r="AJ102" s="69" t="n">
        <f aca="false">AJ87-AJ52*(1-Inputs!$B$79)+AJ88</f>
        <v>-14557.0874638667</v>
      </c>
      <c r="AK102" s="69" t="n">
        <f aca="false">AK87-AK52*(1-Inputs!$B$79)+AK88</f>
        <v>-14552.3999638667</v>
      </c>
      <c r="AL102" s="69" t="n">
        <f aca="false">AL87-AL52*(1-Inputs!$B$79)+AL88</f>
        <v>-14547.7124638667</v>
      </c>
      <c r="AM102" s="69" t="n">
        <f aca="false">AM87-AM52*(1-Inputs!$B$79)+AM88</f>
        <v>-35241.2371997387</v>
      </c>
      <c r="AN102" s="69" t="n">
        <f aca="false">AN87-AN52*(1-Inputs!$B$79)+AN88</f>
        <v>-16226.1862760053</v>
      </c>
      <c r="AO102" s="69" t="n">
        <f aca="false">AO87-AO52*(1-Inputs!$B$79)+AO88</f>
        <v>-16221.4987760053</v>
      </c>
      <c r="AP102" s="69" t="n">
        <f aca="false">AP87-AP52*(1-Inputs!$B$79)+AP88</f>
        <v>-16216.8112760053</v>
      </c>
      <c r="AQ102" s="69" t="n">
        <f aca="false">AQ87-AQ52*(1-Inputs!$B$79)+AQ88</f>
        <v>-16212.1237760053</v>
      </c>
      <c r="AR102" s="69" t="n">
        <f aca="false">AR87-AR52*(1-Inputs!$B$79)+AR88</f>
        <v>-16207.4362760053</v>
      </c>
      <c r="AS102" s="69" t="n">
        <f aca="false">AS87-AS52*(1-Inputs!$B$79)+AS88</f>
        <v>-16202.7487760053</v>
      </c>
      <c r="AT102" s="69" t="n">
        <f aca="false">AT87-AT52*(1-Inputs!$B$79)+AT88</f>
        <v>-16198.0612760053</v>
      </c>
      <c r="AU102" s="69" t="n">
        <f aca="false">AU87-AU52*(1-Inputs!$B$79)+AU88</f>
        <v>-16193.3737760053</v>
      </c>
      <c r="AV102" s="69" t="n">
        <f aca="false">AV87-AV52*(1-Inputs!$B$79)+AV88</f>
        <v>-16188.6862760053</v>
      </c>
      <c r="AW102" s="69" t="n">
        <f aca="false">AW87-AW52*(1-Inputs!$B$79)+AW88</f>
        <v>-16183.9987760053</v>
      </c>
      <c r="AX102" s="69" t="n">
        <f aca="false">AX87-AX52*(1-Inputs!$B$79)+AX88</f>
        <v>-16179.3112760053</v>
      </c>
      <c r="AY102" s="69" t="n">
        <f aca="false">AY87-AY52*(1-Inputs!$B$79)+AY88</f>
        <v>-37271.8197102361</v>
      </c>
      <c r="AZ102" s="69" t="n">
        <f aca="false">AZ87-AZ52*(1-Inputs!$B$79)+AZ88</f>
        <v>-18294.1540162654</v>
      </c>
      <c r="BA102" s="69" t="n">
        <f aca="false">BA87-BA52*(1-Inputs!$B$79)+BA88</f>
        <v>-18289.4665162654</v>
      </c>
      <c r="BB102" s="69" t="n">
        <f aca="false">BB87-BB52*(1-Inputs!$B$79)+BB88</f>
        <v>-18284.7790162654</v>
      </c>
      <c r="BC102" s="69" t="n">
        <f aca="false">BC87-BC52*(1-Inputs!$B$79)+BC88</f>
        <v>-18280.0915162654</v>
      </c>
      <c r="BD102" s="69" t="n">
        <f aca="false">BD87-BD52*(1-Inputs!$B$79)+BD88</f>
        <v>-18275.4040162654</v>
      </c>
      <c r="BE102" s="69" t="n">
        <f aca="false">BE87-BE52*(1-Inputs!$B$79)+BE88</f>
        <v>-18270.7165162654</v>
      </c>
      <c r="BF102" s="69" t="n">
        <f aca="false">BF87-BF52*(1-Inputs!$B$79)+BF88</f>
        <v>-18266.0290162654</v>
      </c>
      <c r="BG102" s="69" t="n">
        <f aca="false">BG87-BG52*(1-Inputs!$B$79)+BG88</f>
        <v>-18261.3415162654</v>
      </c>
      <c r="BH102" s="69" t="n">
        <f aca="false">BH87-BH52*(1-Inputs!$B$79)+BH88</f>
        <v>-18256.6540162654</v>
      </c>
      <c r="BI102" s="69" t="n">
        <f aca="false">BI87-BI52*(1-Inputs!$B$79)+BI88</f>
        <v>-18251.9665162654</v>
      </c>
      <c r="BJ102" s="69" t="n">
        <f aca="false">BJ87-BJ52*(1-Inputs!$B$79)+BJ88</f>
        <v>-18247.2790162654</v>
      </c>
    </row>
    <row r="104" customFormat="false" ht="15.75" hidden="false" customHeight="true" outlineLevel="0" collapsed="false">
      <c r="A104" s="7" t="s">
        <v>452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customFormat="false" ht="15" hidden="false" customHeight="false" outlineLevel="0" collapsed="false">
      <c r="A105" s="6" t="s">
        <v>97</v>
      </c>
      <c r="C105" s="69" t="n">
        <f aca="false">C89</f>
        <v>480000</v>
      </c>
      <c r="D105" s="69" t="n">
        <f aca="false">C105+D89</f>
        <v>480000</v>
      </c>
      <c r="E105" s="69" t="n">
        <f aca="false">D105+E89</f>
        <v>480000</v>
      </c>
      <c r="F105" s="69" t="n">
        <f aca="false">E105+F89</f>
        <v>480000</v>
      </c>
      <c r="G105" s="69" t="n">
        <f aca="false">F105+G89</f>
        <v>480000</v>
      </c>
      <c r="H105" s="69" t="n">
        <f aca="false">G105+H89</f>
        <v>480000</v>
      </c>
      <c r="I105" s="69" t="n">
        <f aca="false">H105+I89</f>
        <v>480000</v>
      </c>
      <c r="J105" s="69" t="n">
        <f aca="false">I105+J89</f>
        <v>480000</v>
      </c>
      <c r="K105" s="69" t="n">
        <f aca="false">J105+K89</f>
        <v>480000</v>
      </c>
      <c r="L105" s="69" t="n">
        <f aca="false">K105+L89</f>
        <v>480000</v>
      </c>
      <c r="M105" s="69" t="n">
        <f aca="false">L105+M89</f>
        <v>480000</v>
      </c>
      <c r="N105" s="69" t="n">
        <f aca="false">M105+N89</f>
        <v>480000</v>
      </c>
      <c r="O105" s="69" t="n">
        <f aca="false">N105+O89</f>
        <v>480000</v>
      </c>
      <c r="P105" s="69" t="n">
        <f aca="false">O105+P89</f>
        <v>480000</v>
      </c>
      <c r="Q105" s="69" t="n">
        <f aca="false">P105+Q89</f>
        <v>480000</v>
      </c>
      <c r="R105" s="69" t="n">
        <f aca="false">Q105+R89</f>
        <v>480000</v>
      </c>
      <c r="S105" s="69" t="n">
        <f aca="false">R105+S89</f>
        <v>480000</v>
      </c>
      <c r="T105" s="69" t="n">
        <f aca="false">S105+T89</f>
        <v>480000</v>
      </c>
      <c r="U105" s="69" t="n">
        <f aca="false">T105+U89</f>
        <v>480000</v>
      </c>
      <c r="V105" s="69" t="n">
        <f aca="false">U105+V89</f>
        <v>480000</v>
      </c>
      <c r="W105" s="69" t="n">
        <f aca="false">V105+W89</f>
        <v>480000</v>
      </c>
      <c r="X105" s="69" t="n">
        <f aca="false">W105+X89</f>
        <v>480000</v>
      </c>
      <c r="Y105" s="69" t="n">
        <f aca="false">X105+Y89</f>
        <v>480000</v>
      </c>
      <c r="Z105" s="69" t="n">
        <f aca="false">Y105+Z89</f>
        <v>480000</v>
      </c>
      <c r="AA105" s="69" t="n">
        <f aca="false">Z105+AA89</f>
        <v>480000</v>
      </c>
      <c r="AB105" s="69" t="n">
        <f aca="false">AA105+AB89</f>
        <v>480000</v>
      </c>
      <c r="AC105" s="69" t="n">
        <f aca="false">AB105+AC89</f>
        <v>480000</v>
      </c>
      <c r="AD105" s="69" t="n">
        <f aca="false">AC105+AD89</f>
        <v>480000</v>
      </c>
      <c r="AE105" s="69" t="n">
        <f aca="false">AD105+AE89</f>
        <v>480000</v>
      </c>
      <c r="AF105" s="69" t="n">
        <f aca="false">AE105+AF89</f>
        <v>480000</v>
      </c>
      <c r="AG105" s="69" t="n">
        <f aca="false">AF105+AG89</f>
        <v>480000</v>
      </c>
      <c r="AH105" s="69" t="n">
        <f aca="false">AG105+AH89</f>
        <v>480000</v>
      </c>
      <c r="AI105" s="69" t="n">
        <f aca="false">AH105+AI89</f>
        <v>480000</v>
      </c>
      <c r="AJ105" s="69" t="n">
        <f aca="false">AI105+AJ89</f>
        <v>480000</v>
      </c>
      <c r="AK105" s="69" t="n">
        <f aca="false">AJ105+AK89</f>
        <v>480000</v>
      </c>
      <c r="AL105" s="69" t="n">
        <f aca="false">AK105+AL89</f>
        <v>480000</v>
      </c>
      <c r="AM105" s="69" t="n">
        <f aca="false">AL105+AM89</f>
        <v>480000</v>
      </c>
      <c r="AN105" s="69" t="n">
        <f aca="false">AM105+AN89</f>
        <v>480000</v>
      </c>
      <c r="AO105" s="69" t="n">
        <f aca="false">AN105+AO89</f>
        <v>480000</v>
      </c>
      <c r="AP105" s="69" t="n">
        <f aca="false">AO105+AP89</f>
        <v>480000</v>
      </c>
      <c r="AQ105" s="69" t="n">
        <f aca="false">AP105+AQ89</f>
        <v>480000</v>
      </c>
      <c r="AR105" s="69" t="n">
        <f aca="false">AQ105+AR89</f>
        <v>480000</v>
      </c>
      <c r="AS105" s="69" t="n">
        <f aca="false">AR105+AS89</f>
        <v>480000</v>
      </c>
      <c r="AT105" s="69" t="n">
        <f aca="false">AS105+AT89</f>
        <v>480000</v>
      </c>
      <c r="AU105" s="69" t="n">
        <f aca="false">AT105+AU89</f>
        <v>480000</v>
      </c>
      <c r="AV105" s="69" t="n">
        <f aca="false">AU105+AV89</f>
        <v>480000</v>
      </c>
      <c r="AW105" s="69" t="n">
        <f aca="false">AV105+AW89</f>
        <v>480000</v>
      </c>
      <c r="AX105" s="69" t="n">
        <f aca="false">AW105+AX89</f>
        <v>480000</v>
      </c>
      <c r="AY105" s="69" t="n">
        <f aca="false">AX105+AY89</f>
        <v>480000</v>
      </c>
      <c r="AZ105" s="69" t="n">
        <f aca="false">AY105+AZ89</f>
        <v>480000</v>
      </c>
      <c r="BA105" s="69" t="n">
        <f aca="false">AZ105+BA89</f>
        <v>480000</v>
      </c>
      <c r="BB105" s="69" t="n">
        <f aca="false">BA105+BB89</f>
        <v>480000</v>
      </c>
      <c r="BC105" s="69" t="n">
        <f aca="false">BB105+BC89</f>
        <v>480000</v>
      </c>
      <c r="BD105" s="69" t="n">
        <f aca="false">BC105+BD89</f>
        <v>480000</v>
      </c>
      <c r="BE105" s="69" t="n">
        <f aca="false">BD105+BE89</f>
        <v>480000</v>
      </c>
      <c r="BF105" s="69" t="n">
        <f aca="false">BE105+BF89</f>
        <v>480000</v>
      </c>
      <c r="BG105" s="69" t="n">
        <f aca="false">BF105+BG89</f>
        <v>480000</v>
      </c>
      <c r="BH105" s="69" t="n">
        <f aca="false">BG105+BH89</f>
        <v>480000</v>
      </c>
      <c r="BI105" s="69" t="n">
        <f aca="false">BH105+BI89</f>
        <v>480000</v>
      </c>
      <c r="BJ105" s="69" t="n">
        <f aca="false">BI105+BJ89</f>
        <v>480000</v>
      </c>
    </row>
    <row r="106" customFormat="false" ht="15" hidden="false" customHeight="false" outlineLevel="0" collapsed="false">
      <c r="A106" s="6" t="s">
        <v>98</v>
      </c>
      <c r="C106" s="69" t="n">
        <f aca="false">C57</f>
        <v>-75221.6549333333</v>
      </c>
      <c r="D106" s="69" t="n">
        <f aca="false">C106+D57</f>
        <v>-146897.633552381</v>
      </c>
      <c r="E106" s="69" t="n">
        <f aca="false">D106+E57</f>
        <v>-215016.775142857</v>
      </c>
      <c r="F106" s="69" t="n">
        <f aca="false">E106+F57</f>
        <v>-279579.079704762</v>
      </c>
      <c r="G106" s="69" t="n">
        <f aca="false">F106+G57</f>
        <v>-340584.547238095</v>
      </c>
      <c r="H106" s="69" t="n">
        <f aca="false">G106+H57</f>
        <v>-398033.177742857</v>
      </c>
      <c r="I106" s="69" t="n">
        <f aca="false">H106+I57</f>
        <v>-451924.971219048</v>
      </c>
      <c r="J106" s="69" t="n">
        <f aca="false">I106+J57</f>
        <v>-502259.927666667</v>
      </c>
      <c r="K106" s="69" t="n">
        <f aca="false">J106+K57</f>
        <v>-549038.047085714</v>
      </c>
      <c r="L106" s="69" t="n">
        <f aca="false">K106+L57</f>
        <v>-592259.329476191</v>
      </c>
      <c r="M106" s="69" t="n">
        <f aca="false">L106+M57</f>
        <v>-631923.774838095</v>
      </c>
      <c r="N106" s="69" t="n">
        <f aca="false">M106+N57</f>
        <v>-668031.383171429</v>
      </c>
      <c r="O106" s="69" t="n">
        <f aca="false">N106+O57</f>
        <v>-701308.145820191</v>
      </c>
      <c r="P106" s="69" t="n">
        <f aca="false">O106+P57</f>
        <v>-730992.726284381</v>
      </c>
      <c r="Q106" s="69" t="n">
        <f aca="false">P106+Q57</f>
        <v>-757085.124564</v>
      </c>
      <c r="R106" s="69" t="n">
        <f aca="false">Q106+R57</f>
        <v>-779585.340659048</v>
      </c>
      <c r="S106" s="69" t="n">
        <f aca="false">R106+S57</f>
        <v>-798493.374569524</v>
      </c>
      <c r="T106" s="69" t="n">
        <f aca="false">S106+T57</f>
        <v>-817379.087051429</v>
      </c>
      <c r="U106" s="69" t="n">
        <f aca="false">T106+U57</f>
        <v>-836242.478104762</v>
      </c>
      <c r="V106" s="69" t="n">
        <f aca="false">U106+V57</f>
        <v>-855083.547729524</v>
      </c>
      <c r="W106" s="69" t="n">
        <f aca="false">V106+W57</f>
        <v>-873902.295925715</v>
      </c>
      <c r="X106" s="69" t="n">
        <f aca="false">W106+X57</f>
        <v>-892698.722693334</v>
      </c>
      <c r="Y106" s="69" t="n">
        <f aca="false">X106+Y57</f>
        <v>-911472.828032381</v>
      </c>
      <c r="Z106" s="69" t="n">
        <f aca="false">Y106+Z57</f>
        <v>-930224.611942858</v>
      </c>
      <c r="AA106" s="69" t="n">
        <f aca="false">Z106+AA57</f>
        <v>-950286.572918629</v>
      </c>
      <c r="AB106" s="69" t="n">
        <f aca="false">AA106+AB57</f>
        <v>-970326.212465829</v>
      </c>
      <c r="AC106" s="69" t="n">
        <f aca="false">AB106+AC57</f>
        <v>-990343.530584457</v>
      </c>
      <c r="AD106" s="69" t="n">
        <f aca="false">AC106+AD57</f>
        <v>-1010338.52727451</v>
      </c>
      <c r="AE106" s="69" t="n">
        <f aca="false">AD106+AE57</f>
        <v>-1030311.202536</v>
      </c>
      <c r="AF106" s="69" t="n">
        <f aca="false">AE106+AF57</f>
        <v>-1050261.55636891</v>
      </c>
      <c r="AG106" s="69" t="n">
        <f aca="false">AF106+AG57</f>
        <v>-1070189.58877326</v>
      </c>
      <c r="AH106" s="69" t="n">
        <f aca="false">AG106+AH57</f>
        <v>-1090095.29974903</v>
      </c>
      <c r="AI106" s="69" t="n">
        <f aca="false">AH106+AI57</f>
        <v>-1109978.68929623</v>
      </c>
      <c r="AJ106" s="69" t="n">
        <f aca="false">AI106+AJ57</f>
        <v>-1129839.75741486</v>
      </c>
      <c r="AK106" s="69" t="n">
        <f aca="false">AJ106+AK57</f>
        <v>-1149678.50410491</v>
      </c>
      <c r="AL106" s="69" t="n">
        <f aca="false">AK106+AL57</f>
        <v>-1169494.9293664</v>
      </c>
      <c r="AM106" s="69" t="n">
        <f aca="false">AL106+AM57</f>
        <v>-1191185.21534479</v>
      </c>
      <c r="AN106" s="69" t="n">
        <f aca="false">AM106+AN57</f>
        <v>-1212853.1798946</v>
      </c>
      <c r="AO106" s="69" t="n">
        <f aca="false">AN106+AO57</f>
        <v>-1234498.82301585</v>
      </c>
      <c r="AP106" s="69" t="n">
        <f aca="false">AO106+AP57</f>
        <v>-1256122.14470852</v>
      </c>
      <c r="AQ106" s="69" t="n">
        <f aca="false">AP106+AQ57</f>
        <v>-1277723.14497262</v>
      </c>
      <c r="AR106" s="69" t="n">
        <f aca="false">AQ106+AR57</f>
        <v>-1299301.82380815</v>
      </c>
      <c r="AS106" s="69" t="n">
        <f aca="false">AR106+AS57</f>
        <v>-1320858.1812151</v>
      </c>
      <c r="AT106" s="69" t="n">
        <f aca="false">AS106+AT57</f>
        <v>-1342392.21719349</v>
      </c>
      <c r="AU106" s="69" t="n">
        <f aca="false">AT106+AU57</f>
        <v>-1363903.93174331</v>
      </c>
      <c r="AV106" s="69" t="n">
        <f aca="false">AU106+AV57</f>
        <v>-1385393.32486455</v>
      </c>
      <c r="AW106" s="69" t="n">
        <f aca="false">AV106+AW57</f>
        <v>-1406860.39655722</v>
      </c>
      <c r="AX106" s="69" t="n">
        <f aca="false">AW106+AX57</f>
        <v>-1428305.14682132</v>
      </c>
      <c r="AY106" s="69" t="n">
        <f aca="false">AX106+AY57</f>
        <v>-1452060.12673044</v>
      </c>
      <c r="AZ106" s="69" t="n">
        <f aca="false">AY106+AZ57</f>
        <v>-1475792.785211</v>
      </c>
      <c r="BA106" s="69" t="n">
        <f aca="false">AZ106+BA57</f>
        <v>-1499503.12226297</v>
      </c>
      <c r="BB106" s="69" t="n">
        <f aca="false">BA106+BB57</f>
        <v>-1523191.13788638</v>
      </c>
      <c r="BC106" s="69" t="n">
        <f aca="false">BB106+BC57</f>
        <v>-1546856.83208122</v>
      </c>
      <c r="BD106" s="69" t="n">
        <f aca="false">BC106+BD57</f>
        <v>-1570500.20484749</v>
      </c>
      <c r="BE106" s="69" t="n">
        <f aca="false">BD106+BE57</f>
        <v>-1594121.25618518</v>
      </c>
      <c r="BF106" s="69" t="n">
        <f aca="false">BE106+BF57</f>
        <v>-1617719.9860943</v>
      </c>
      <c r="BG106" s="69" t="n">
        <f aca="false">BF106+BG57</f>
        <v>-1641296.39457485</v>
      </c>
      <c r="BH106" s="69" t="n">
        <f aca="false">BG106+BH57</f>
        <v>-1664850.48162683</v>
      </c>
      <c r="BI106" s="69" t="n">
        <f aca="false">BH106+BI57</f>
        <v>-1688382.24725024</v>
      </c>
      <c r="BJ106" s="69" t="n">
        <f aca="false">BI106+BJ57</f>
        <v>-1711891.69144508</v>
      </c>
    </row>
    <row r="107" customFormat="false" ht="15" hidden="false" customHeight="false" outlineLevel="0" collapsed="false">
      <c r="A107" s="4" t="s">
        <v>93</v>
      </c>
      <c r="C107" s="75" t="n">
        <f aca="false">C93+C79+C80+C70</f>
        <v>694306.1784</v>
      </c>
      <c r="D107" s="75" t="n">
        <f aca="false">D93+D79+D80+D70</f>
        <v>620876.384304762</v>
      </c>
      <c r="E107" s="75" t="n">
        <f aca="false">E93+E79+E80+E70</f>
        <v>551003.427238095</v>
      </c>
      <c r="F107" s="75" t="n">
        <f aca="false">F93+F79+F80+F70</f>
        <v>484687.3072</v>
      </c>
      <c r="G107" s="75" t="n">
        <f aca="false">G93+G79+G80+G70</f>
        <v>421928.024190476</v>
      </c>
      <c r="H107" s="75" t="n">
        <f aca="false">H93+H79+H80+H70</f>
        <v>362725.578209524</v>
      </c>
      <c r="I107" s="75" t="n">
        <f aca="false">I93+I79+I80+I70</f>
        <v>307079.969257143</v>
      </c>
      <c r="J107" s="75" t="n">
        <f aca="false">J93+J79+J80+J70</f>
        <v>254991.197333333</v>
      </c>
      <c r="K107" s="75" t="n">
        <f aca="false">K93+K79+K80+K70</f>
        <v>206459.262438095</v>
      </c>
      <c r="L107" s="75" t="n">
        <f aca="false">L93+L79+L80+L70</f>
        <v>161484.164571428</v>
      </c>
      <c r="M107" s="75" t="n">
        <f aca="false">M93+M79+M80+M70</f>
        <v>120065.903733333</v>
      </c>
      <c r="N107" s="75" t="n">
        <f aca="false">N93+N79+N80+N70</f>
        <v>82204.4799238094</v>
      </c>
      <c r="O107" s="75" t="n">
        <f aca="false">O93+O79+O80+O70</f>
        <v>48650.2401321903</v>
      </c>
      <c r="P107" s="75" t="n">
        <f aca="false">P93+P79+P80+P70</f>
        <v>17224.0679418093</v>
      </c>
      <c r="Q107" s="75" t="n">
        <f aca="false">Q93+Q79+Q80+Q70</f>
        <v>-10609.9220640002</v>
      </c>
      <c r="R107" s="75" t="n">
        <f aca="false">R93+R79+R80+R70</f>
        <v>-34851.7298852383</v>
      </c>
      <c r="S107" s="75" t="n">
        <f aca="false">S93+S79+S80+S70</f>
        <v>-55501.3555219049</v>
      </c>
      <c r="T107" s="75" t="n">
        <f aca="false">T93+T79+T80+T70</f>
        <v>-77363.2584800002</v>
      </c>
      <c r="U107" s="75" t="n">
        <f aca="false">U93+U79+U80+U70</f>
        <v>-99202.840009524</v>
      </c>
      <c r="V107" s="75" t="n">
        <f aca="false">V93+V79+V80+V70</f>
        <v>-121020.100110476</v>
      </c>
      <c r="W107" s="75" t="n">
        <f aca="false">W93+W79+W80+W70</f>
        <v>-142815.038782857</v>
      </c>
      <c r="X107" s="75" t="n">
        <f aca="false">X93+X79+X80+X70</f>
        <v>-164587.656026667</v>
      </c>
      <c r="Y107" s="75" t="n">
        <f aca="false">Y93+Y79+Y80+Y70</f>
        <v>-186337.951841905</v>
      </c>
      <c r="Z107" s="75" t="n">
        <f aca="false">Z93+Z79+Z80+Z70</f>
        <v>-208065.926228572</v>
      </c>
      <c r="AA107" s="75" t="n">
        <f aca="false">AA93+AA79+AA80+AA70</f>
        <v>-229526.217013867</v>
      </c>
      <c r="AB107" s="75" t="n">
        <f aca="false">AB93+AB79+AB80+AB70</f>
        <v>-252542.047037257</v>
      </c>
      <c r="AC107" s="75" t="n">
        <f aca="false">AC93+AC79+AC80+AC70</f>
        <v>-275535.555632076</v>
      </c>
      <c r="AD107" s="75" t="n">
        <f aca="false">AD93+AD79+AD80+AD70</f>
        <v>-298506.742798324</v>
      </c>
      <c r="AE107" s="75" t="n">
        <f aca="false">AE93+AE79+AE80+AE70</f>
        <v>-321455.608536</v>
      </c>
      <c r="AF107" s="75" t="n">
        <f aca="false">AF93+AF79+AF80+AF70</f>
        <v>-344382.152845105</v>
      </c>
      <c r="AG107" s="75" t="n">
        <f aca="false">AG93+AG79+AG80+AG70</f>
        <v>-367286.375725638</v>
      </c>
      <c r="AH107" s="75" t="n">
        <f aca="false">AH93+AH79+AH80+AH70</f>
        <v>-390168.2771776</v>
      </c>
      <c r="AI107" s="75" t="n">
        <f aca="false">AI93+AI79+AI80+AI70</f>
        <v>-413027.857200991</v>
      </c>
      <c r="AJ107" s="75" t="n">
        <f aca="false">AJ93+AJ79+AJ80+AJ70</f>
        <v>-435865.11579581</v>
      </c>
      <c r="AK107" s="75" t="n">
        <f aca="false">AK93+AK79+AK80+AK70</f>
        <v>-458680.052962057</v>
      </c>
      <c r="AL107" s="75" t="n">
        <f aca="false">AL93+AL79+AL80+AL70</f>
        <v>-481472.668699734</v>
      </c>
      <c r="AM107" s="75" t="n">
        <f aca="false">AM93+AM79+AM80+AM70</f>
        <v>-504506.635880977</v>
      </c>
      <c r="AN107" s="75" t="n">
        <f aca="false">AN93+AN79+AN80+AN70</f>
        <v>-529150.790906983</v>
      </c>
      <c r="AO107" s="75" t="n">
        <f aca="false">AO93+AO79+AO80+AO70</f>
        <v>-553772.624504416</v>
      </c>
      <c r="AP107" s="75" t="n">
        <f aca="false">AP93+AP79+AP80+AP70</f>
        <v>-578372.136673279</v>
      </c>
      <c r="AQ107" s="75" t="n">
        <f aca="false">AQ93+AQ79+AQ80+AQ70</f>
        <v>-602949.32741357</v>
      </c>
      <c r="AR107" s="75" t="n">
        <f aca="false">AR93+AR79+AR80+AR70</f>
        <v>-627504.196725289</v>
      </c>
      <c r="AS107" s="75" t="n">
        <f aca="false">AS93+AS79+AS80+AS70</f>
        <v>-652036.744608438</v>
      </c>
      <c r="AT107" s="75" t="n">
        <f aca="false">AT93+AT79+AT80+AT70</f>
        <v>-676546.971063014</v>
      </c>
      <c r="AU107" s="75" t="n">
        <f aca="false">AU93+AU79+AU80+AU70</f>
        <v>-701034.87608902</v>
      </c>
      <c r="AV107" s="75" t="n">
        <f aca="false">AV93+AV79+AV80+AV70</f>
        <v>-725500.459686454</v>
      </c>
      <c r="AW107" s="75" t="n">
        <f aca="false">AW93+AW79+AW80+AW70</f>
        <v>-749943.721855316</v>
      </c>
      <c r="AX107" s="75" t="n">
        <f aca="false">AX93+AX79+AX80+AX70</f>
        <v>-774364.662595607</v>
      </c>
      <c r="AY107" s="75" t="n">
        <f aca="false">AY93+AY79+AY80+AY70</f>
        <v>-799406.573814854</v>
      </c>
      <c r="AZ107" s="75" t="n">
        <f aca="false">AZ93+AZ79+AZ80+AZ70</f>
        <v>-826115.422771595</v>
      </c>
      <c r="BA107" s="75" t="n">
        <f aca="false">BA93+BA79+BA80+BA70</f>
        <v>-852801.950299766</v>
      </c>
      <c r="BB107" s="75" t="n">
        <f aca="false">BB93+BB79+BB80+BB70</f>
        <v>-879466.156399364</v>
      </c>
      <c r="BC107" s="75" t="n">
        <f aca="false">BC93+BC79+BC80+BC70</f>
        <v>-906108.041070392</v>
      </c>
      <c r="BD107" s="75" t="n">
        <f aca="false">BD93+BD79+BD80+BD70</f>
        <v>-932727.604312848</v>
      </c>
      <c r="BE107" s="75" t="n">
        <f aca="false">BE93+BE79+BE80+BE70</f>
        <v>-959324.846126732</v>
      </c>
      <c r="BF107" s="75" t="n">
        <f aca="false">BF93+BF79+BF80+BF70</f>
        <v>-985899.766512045</v>
      </c>
      <c r="BG107" s="75" t="n">
        <f aca="false">BG93+BG79+BG80+BG70</f>
        <v>-1012452.36546879</v>
      </c>
      <c r="BH107" s="75" t="n">
        <f aca="false">BH93+BH79+BH80+BH70</f>
        <v>-1038982.64299696</v>
      </c>
      <c r="BI107" s="75" t="n">
        <f aca="false">BI93+BI79+BI80+BI70</f>
        <v>-1065490.59909656</v>
      </c>
      <c r="BJ107" s="75" t="n">
        <f aca="false">BJ93+BJ79+BJ80+BJ70</f>
        <v>-1091976.23376758</v>
      </c>
    </row>
    <row r="108" customFormat="false" ht="15" hidden="false" customHeight="false" outlineLevel="0" collapsed="false">
      <c r="A108" s="6" t="s">
        <v>96</v>
      </c>
      <c r="C108" s="69" t="n">
        <f aca="false">C81+C76</f>
        <v>289527.833333333</v>
      </c>
      <c r="D108" s="69" t="n">
        <f aca="false">D81+D76</f>
        <v>287774.017857143</v>
      </c>
      <c r="E108" s="69" t="n">
        <f aca="false">E81+E76</f>
        <v>286020.202380952</v>
      </c>
      <c r="F108" s="69" t="n">
        <f aca="false">F81+F76</f>
        <v>284266.386904762</v>
      </c>
      <c r="G108" s="69" t="n">
        <f aca="false">G81+G76</f>
        <v>282512.571428571</v>
      </c>
      <c r="H108" s="69" t="n">
        <f aca="false">H81+H76</f>
        <v>280758.755952381</v>
      </c>
      <c r="I108" s="69" t="n">
        <f aca="false">I81+I76</f>
        <v>279004.940476191</v>
      </c>
      <c r="J108" s="69" t="n">
        <f aca="false">J81+J76</f>
        <v>277251.125</v>
      </c>
      <c r="K108" s="69" t="n">
        <f aca="false">K81+K76</f>
        <v>275497.30952381</v>
      </c>
      <c r="L108" s="69" t="n">
        <f aca="false">L81+L76</f>
        <v>273743.494047619</v>
      </c>
      <c r="M108" s="69" t="n">
        <f aca="false">M81+M76</f>
        <v>271989.678571429</v>
      </c>
      <c r="N108" s="69" t="n">
        <f aca="false">N81+N76</f>
        <v>270235.863095238</v>
      </c>
      <c r="O108" s="69" t="n">
        <f aca="false">O81+O76</f>
        <v>269958.385952381</v>
      </c>
      <c r="P108" s="69" t="n">
        <f aca="false">P81+P76</f>
        <v>268216.794226191</v>
      </c>
      <c r="Q108" s="69" t="n">
        <f aca="false">Q81+Q76</f>
        <v>266475.2025</v>
      </c>
      <c r="R108" s="69" t="n">
        <f aca="false">R81+R76</f>
        <v>264733.61077381</v>
      </c>
      <c r="S108" s="69" t="n">
        <f aca="false">S81+S76</f>
        <v>262992.019047619</v>
      </c>
      <c r="T108" s="69" t="n">
        <f aca="false">T81+T76</f>
        <v>260015.828571429</v>
      </c>
      <c r="U108" s="69" t="n">
        <f aca="false">U81+U76</f>
        <v>257039.638095238</v>
      </c>
      <c r="V108" s="69" t="n">
        <f aca="false">V81+V76</f>
        <v>254063.447619048</v>
      </c>
      <c r="W108" s="69" t="n">
        <f aca="false">W81+W76</f>
        <v>251087.257142857</v>
      </c>
      <c r="X108" s="69" t="n">
        <f aca="false">X81+X76</f>
        <v>248111.066666667</v>
      </c>
      <c r="Y108" s="69" t="n">
        <f aca="false">Y81+Y76</f>
        <v>245134.876190476</v>
      </c>
      <c r="Z108" s="69" t="n">
        <f aca="false">Z81+Z76</f>
        <v>242158.685714286</v>
      </c>
      <c r="AA108" s="69" t="n">
        <f aca="false">AA81+AA76</f>
        <v>240760.355904762</v>
      </c>
      <c r="AB108" s="69" t="n">
        <f aca="false">AB81+AB76</f>
        <v>237784.165428572</v>
      </c>
      <c r="AC108" s="69" t="n">
        <f aca="false">AC81+AC76</f>
        <v>234807.974952381</v>
      </c>
      <c r="AD108" s="69" t="n">
        <f aca="false">AD81+AD76</f>
        <v>231831.784476191</v>
      </c>
      <c r="AE108" s="69" t="n">
        <f aca="false">AE81+AE76</f>
        <v>228855.594</v>
      </c>
      <c r="AF108" s="69" t="n">
        <f aca="false">AF81+AF76</f>
        <v>225879.40352381</v>
      </c>
      <c r="AG108" s="69" t="n">
        <f aca="false">AG81+AG76</f>
        <v>222903.213047619</v>
      </c>
      <c r="AH108" s="69" t="n">
        <f aca="false">AH81+AH76</f>
        <v>219927.022571429</v>
      </c>
      <c r="AI108" s="69" t="n">
        <f aca="false">AI81+AI76</f>
        <v>216950.832095238</v>
      </c>
      <c r="AJ108" s="69" t="n">
        <f aca="false">AJ81+AJ76</f>
        <v>213974.641619048</v>
      </c>
      <c r="AK108" s="69" t="n">
        <f aca="false">AK81+AK76</f>
        <v>210998.451142857</v>
      </c>
      <c r="AL108" s="69" t="n">
        <f aca="false">AL81+AL76</f>
        <v>208022.260666667</v>
      </c>
      <c r="AM108" s="69" t="n">
        <f aca="false">AM81+AM76</f>
        <v>206678.57946381</v>
      </c>
      <c r="AN108" s="69" t="n">
        <f aca="false">AN81+AN76</f>
        <v>203702.388987619</v>
      </c>
      <c r="AO108" s="69" t="n">
        <f aca="false">AO81+AO76</f>
        <v>200726.198511429</v>
      </c>
      <c r="AP108" s="69" t="n">
        <f aca="false">AP81+AP76</f>
        <v>197750.008035238</v>
      </c>
      <c r="AQ108" s="69" t="n">
        <f aca="false">AQ81+AQ76</f>
        <v>194773.817559048</v>
      </c>
      <c r="AR108" s="69" t="n">
        <f aca="false">AR81+AR76</f>
        <v>191797.627082857</v>
      </c>
      <c r="AS108" s="69" t="n">
        <f aca="false">AS81+AS76</f>
        <v>188821.436606667</v>
      </c>
      <c r="AT108" s="69" t="n">
        <f aca="false">AT81+AT76</f>
        <v>185845.246130476</v>
      </c>
      <c r="AU108" s="69" t="n">
        <f aca="false">AU81+AU76</f>
        <v>182869.055654286</v>
      </c>
      <c r="AV108" s="69" t="n">
        <f aca="false">AV81+AV76</f>
        <v>179892.865178095</v>
      </c>
      <c r="AW108" s="69" t="n">
        <f aca="false">AW81+AW76</f>
        <v>176916.674701905</v>
      </c>
      <c r="AX108" s="69" t="n">
        <f aca="false">AX81+AX76</f>
        <v>173940.484225714</v>
      </c>
      <c r="AY108" s="69" t="n">
        <f aca="false">AY81+AY76</f>
        <v>172653.552915591</v>
      </c>
      <c r="AZ108" s="69" t="n">
        <f aca="false">AZ81+AZ76</f>
        <v>169677.3624394</v>
      </c>
      <c r="BA108" s="69" t="n">
        <f aca="false">BA81+BA76</f>
        <v>166701.17196321</v>
      </c>
      <c r="BB108" s="69" t="n">
        <f aca="false">BB81+BB76</f>
        <v>163724.981487019</v>
      </c>
      <c r="BC108" s="69" t="n">
        <f aca="false">BC81+BC76</f>
        <v>160748.791010829</v>
      </c>
      <c r="BD108" s="69" t="n">
        <f aca="false">BD81+BD76</f>
        <v>157772.600534638</v>
      </c>
      <c r="BE108" s="69" t="n">
        <f aca="false">BE81+BE76</f>
        <v>154796.410058448</v>
      </c>
      <c r="BF108" s="69" t="n">
        <f aca="false">BF81+BF76</f>
        <v>151820.219582257</v>
      </c>
      <c r="BG108" s="69" t="n">
        <f aca="false">BG81+BG76</f>
        <v>148844.029106067</v>
      </c>
      <c r="BH108" s="69" t="n">
        <f aca="false">BH81+BH76</f>
        <v>145867.838629876</v>
      </c>
      <c r="BI108" s="69" t="n">
        <f aca="false">BI81+BI76</f>
        <v>142891.648153686</v>
      </c>
      <c r="BJ108" s="69" t="n">
        <f aca="false">BJ81+BJ76</f>
        <v>139915.457677495</v>
      </c>
    </row>
    <row r="109" customFormat="false" ht="15" hidden="false" customHeight="false" outlineLevel="0" collapsed="false">
      <c r="A109" s="6" t="s">
        <v>99</v>
      </c>
      <c r="C109" s="69" t="n">
        <f aca="false">C105+C106</f>
        <v>404778.345066667</v>
      </c>
      <c r="D109" s="69" t="n">
        <f aca="false">D105+D106</f>
        <v>333102.366447619</v>
      </c>
      <c r="E109" s="69" t="n">
        <f aca="false">E105+E106</f>
        <v>264983.224857143</v>
      </c>
      <c r="F109" s="69" t="n">
        <f aca="false">F105+F106</f>
        <v>200420.920295238</v>
      </c>
      <c r="G109" s="69" t="n">
        <f aca="false">G105+G106</f>
        <v>139415.452761905</v>
      </c>
      <c r="H109" s="69" t="n">
        <f aca="false">H105+H106</f>
        <v>81966.8222571428</v>
      </c>
      <c r="I109" s="69" t="n">
        <f aca="false">I105+I106</f>
        <v>28075.0287809523</v>
      </c>
      <c r="J109" s="69" t="n">
        <f aca="false">J105+J106</f>
        <v>-22259.9276666668</v>
      </c>
      <c r="K109" s="69" t="n">
        <f aca="false">K105+K106</f>
        <v>-69038.0470857144</v>
      </c>
      <c r="L109" s="69" t="n">
        <f aca="false">L105+L106</f>
        <v>-112259.329476191</v>
      </c>
      <c r="M109" s="69" t="n">
        <f aca="false">M105+M106</f>
        <v>-151923.774838095</v>
      </c>
      <c r="N109" s="69" t="n">
        <f aca="false">N105+N106</f>
        <v>-188031.383171429</v>
      </c>
      <c r="O109" s="69" t="n">
        <f aca="false">O105+O106</f>
        <v>-221308.145820191</v>
      </c>
      <c r="P109" s="69" t="n">
        <f aca="false">P105+P106</f>
        <v>-250992.726284381</v>
      </c>
      <c r="Q109" s="69" t="n">
        <f aca="false">Q105+Q106</f>
        <v>-277085.124564</v>
      </c>
      <c r="R109" s="69" t="n">
        <f aca="false">R105+R106</f>
        <v>-299585.340659048</v>
      </c>
      <c r="S109" s="69" t="n">
        <f aca="false">S105+S106</f>
        <v>-318493.374569524</v>
      </c>
      <c r="T109" s="69" t="n">
        <f aca="false">T105+T106</f>
        <v>-337379.087051429</v>
      </c>
      <c r="U109" s="69" t="n">
        <f aca="false">U105+U106</f>
        <v>-356242.478104762</v>
      </c>
      <c r="V109" s="69" t="n">
        <f aca="false">V105+V106</f>
        <v>-375083.547729524</v>
      </c>
      <c r="W109" s="69" t="n">
        <f aca="false">W105+W106</f>
        <v>-393902.295925715</v>
      </c>
      <c r="X109" s="69" t="n">
        <f aca="false">X105+X106</f>
        <v>-412698.722693334</v>
      </c>
      <c r="Y109" s="69" t="n">
        <f aca="false">Y105+Y106</f>
        <v>-431472.828032381</v>
      </c>
      <c r="Z109" s="69" t="n">
        <f aca="false">Z105+Z106</f>
        <v>-450224.611942858</v>
      </c>
      <c r="AA109" s="69" t="n">
        <f aca="false">AA105+AA106</f>
        <v>-470286.572918629</v>
      </c>
      <c r="AB109" s="69" t="n">
        <f aca="false">AB105+AB106</f>
        <v>-490326.212465829</v>
      </c>
      <c r="AC109" s="69" t="n">
        <f aca="false">AC105+AC106</f>
        <v>-510343.530584457</v>
      </c>
      <c r="AD109" s="69" t="n">
        <f aca="false">AD105+AD106</f>
        <v>-530338.527274515</v>
      </c>
      <c r="AE109" s="69" t="n">
        <f aca="false">AE105+AE106</f>
        <v>-550311.202536</v>
      </c>
      <c r="AF109" s="69" t="n">
        <f aca="false">AF105+AF106</f>
        <v>-570261.556368915</v>
      </c>
      <c r="AG109" s="69" t="n">
        <f aca="false">AG105+AG106</f>
        <v>-590189.588773258</v>
      </c>
      <c r="AH109" s="69" t="n">
        <f aca="false">AH105+AH106</f>
        <v>-610095.299749029</v>
      </c>
      <c r="AI109" s="69" t="n">
        <f aca="false">AI105+AI106</f>
        <v>-629978.689296229</v>
      </c>
      <c r="AJ109" s="69" t="n">
        <f aca="false">AJ105+AJ106</f>
        <v>-649839.757414858</v>
      </c>
      <c r="AK109" s="69" t="n">
        <f aca="false">AK105+AK106</f>
        <v>-669678.504104915</v>
      </c>
      <c r="AL109" s="69" t="n">
        <f aca="false">AL105+AL106</f>
        <v>-689494.929366401</v>
      </c>
      <c r="AM109" s="69" t="n">
        <f aca="false">AM105+AM106</f>
        <v>-711185.215344787</v>
      </c>
      <c r="AN109" s="69" t="n">
        <f aca="false">AN105+AN106</f>
        <v>-732853.179894602</v>
      </c>
      <c r="AO109" s="69" t="n">
        <f aca="false">AO105+AO106</f>
        <v>-754498.823015845</v>
      </c>
      <c r="AP109" s="69" t="n">
        <f aca="false">AP105+AP106</f>
        <v>-776122.144708517</v>
      </c>
      <c r="AQ109" s="69" t="n">
        <f aca="false">AQ105+AQ106</f>
        <v>-797723.144972618</v>
      </c>
      <c r="AR109" s="69" t="n">
        <f aca="false">AR105+AR106</f>
        <v>-819301.823808147</v>
      </c>
      <c r="AS109" s="69" t="n">
        <f aca="false">AS105+AS106</f>
        <v>-840858.181215104</v>
      </c>
      <c r="AT109" s="69" t="n">
        <f aca="false">AT105+AT106</f>
        <v>-862392.217193491</v>
      </c>
      <c r="AU109" s="69" t="n">
        <f aca="false">AU105+AU106</f>
        <v>-883903.931743305</v>
      </c>
      <c r="AV109" s="69" t="n">
        <f aca="false">AV105+AV106</f>
        <v>-905393.324864549</v>
      </c>
      <c r="AW109" s="69" t="n">
        <f aca="false">AW105+AW106</f>
        <v>-926860.396557221</v>
      </c>
      <c r="AX109" s="69" t="n">
        <f aca="false">AX105+AX106</f>
        <v>-948305.146821322</v>
      </c>
      <c r="AY109" s="69" t="n">
        <f aca="false">AY105+AY106</f>
        <v>-972060.126730444</v>
      </c>
      <c r="AZ109" s="69" t="n">
        <f aca="false">AZ105+AZ106</f>
        <v>-995792.785210995</v>
      </c>
      <c r="BA109" s="69" t="n">
        <f aca="false">BA105+BA106</f>
        <v>-1019503.12226297</v>
      </c>
      <c r="BB109" s="69" t="n">
        <f aca="false">BB105+BB106</f>
        <v>-1043191.13788638</v>
      </c>
      <c r="BC109" s="69" t="n">
        <f aca="false">BC105+BC106</f>
        <v>-1066856.83208122</v>
      </c>
      <c r="BD109" s="69" t="n">
        <f aca="false">BD105+BD106</f>
        <v>-1090500.20484749</v>
      </c>
      <c r="BE109" s="69" t="n">
        <f aca="false">BE105+BE106</f>
        <v>-1114121.25618518</v>
      </c>
      <c r="BF109" s="69" t="n">
        <f aca="false">BF105+BF106</f>
        <v>-1137719.9860943</v>
      </c>
      <c r="BG109" s="69" t="n">
        <f aca="false">BG105+BG106</f>
        <v>-1161296.39457485</v>
      </c>
      <c r="BH109" s="69" t="n">
        <f aca="false">BH105+BH106</f>
        <v>-1184850.48162683</v>
      </c>
      <c r="BI109" s="69" t="n">
        <f aca="false">BI105+BI106</f>
        <v>-1208382.24725024</v>
      </c>
      <c r="BJ109" s="69" t="n">
        <f aca="false">BJ105+BJ106</f>
        <v>-1231891.69144508</v>
      </c>
    </row>
    <row r="110" customFormat="false" ht="15" hidden="false" customHeight="false" outlineLevel="0" collapsed="false">
      <c r="A110" s="4" t="s">
        <v>100</v>
      </c>
      <c r="C110" s="75" t="n">
        <f aca="false">C108+C109</f>
        <v>694306.1784</v>
      </c>
      <c r="D110" s="75" t="n">
        <f aca="false">D108+D109</f>
        <v>620876.384304762</v>
      </c>
      <c r="E110" s="75" t="n">
        <f aca="false">E108+E109</f>
        <v>551003.427238095</v>
      </c>
      <c r="F110" s="75" t="n">
        <f aca="false">F108+F109</f>
        <v>484687.3072</v>
      </c>
      <c r="G110" s="75" t="n">
        <f aca="false">G108+G109</f>
        <v>421928.024190476</v>
      </c>
      <c r="H110" s="75" t="n">
        <f aca="false">H108+H109</f>
        <v>362725.578209524</v>
      </c>
      <c r="I110" s="75" t="n">
        <f aca="false">I108+I109</f>
        <v>307079.969257143</v>
      </c>
      <c r="J110" s="75" t="n">
        <f aca="false">J108+J109</f>
        <v>254991.197333333</v>
      </c>
      <c r="K110" s="75" t="n">
        <f aca="false">K108+K109</f>
        <v>206459.262438095</v>
      </c>
      <c r="L110" s="75" t="n">
        <f aca="false">L108+L109</f>
        <v>161484.164571428</v>
      </c>
      <c r="M110" s="75" t="n">
        <f aca="false">M108+M109</f>
        <v>120065.903733333</v>
      </c>
      <c r="N110" s="75" t="n">
        <f aca="false">N108+N109</f>
        <v>82204.4799238094</v>
      </c>
      <c r="O110" s="75" t="n">
        <f aca="false">O108+O109</f>
        <v>48650.2401321903</v>
      </c>
      <c r="P110" s="75" t="n">
        <f aca="false">P108+P109</f>
        <v>17224.0679418094</v>
      </c>
      <c r="Q110" s="75" t="n">
        <f aca="false">Q108+Q109</f>
        <v>-10609.9220640002</v>
      </c>
      <c r="R110" s="75" t="n">
        <f aca="false">R108+R109</f>
        <v>-34851.7298852383</v>
      </c>
      <c r="S110" s="75" t="n">
        <f aca="false">S108+S109</f>
        <v>-55501.355521905</v>
      </c>
      <c r="T110" s="75" t="n">
        <f aca="false">T108+T109</f>
        <v>-77363.2584800002</v>
      </c>
      <c r="U110" s="75" t="n">
        <f aca="false">U108+U109</f>
        <v>-99202.840009524</v>
      </c>
      <c r="V110" s="75" t="n">
        <f aca="false">V108+V109</f>
        <v>-121020.100110476</v>
      </c>
      <c r="W110" s="75" t="n">
        <f aca="false">W108+W109</f>
        <v>-142815.038782857</v>
      </c>
      <c r="X110" s="75" t="n">
        <f aca="false">X108+X109</f>
        <v>-164587.656026667</v>
      </c>
      <c r="Y110" s="75" t="n">
        <f aca="false">Y108+Y109</f>
        <v>-186337.951841905</v>
      </c>
      <c r="Z110" s="75" t="n">
        <f aca="false">Z108+Z109</f>
        <v>-208065.926228572</v>
      </c>
      <c r="AA110" s="75" t="n">
        <f aca="false">AA108+AA109</f>
        <v>-229526.217013867</v>
      </c>
      <c r="AB110" s="75" t="n">
        <f aca="false">AB108+AB109</f>
        <v>-252542.047037257</v>
      </c>
      <c r="AC110" s="75" t="n">
        <f aca="false">AC108+AC109</f>
        <v>-275535.555632076</v>
      </c>
      <c r="AD110" s="75" t="n">
        <f aca="false">AD108+AD109</f>
        <v>-298506.742798324</v>
      </c>
      <c r="AE110" s="75" t="n">
        <f aca="false">AE108+AE109</f>
        <v>-321455.608536</v>
      </c>
      <c r="AF110" s="75" t="n">
        <f aca="false">AF108+AF109</f>
        <v>-344382.152845105</v>
      </c>
      <c r="AG110" s="75" t="n">
        <f aca="false">AG108+AG109</f>
        <v>-367286.375725638</v>
      </c>
      <c r="AH110" s="75" t="n">
        <f aca="false">AH108+AH109</f>
        <v>-390168.2771776</v>
      </c>
      <c r="AI110" s="75" t="n">
        <f aca="false">AI108+AI109</f>
        <v>-413027.857200991</v>
      </c>
      <c r="AJ110" s="75" t="n">
        <f aca="false">AJ108+AJ109</f>
        <v>-435865.11579581</v>
      </c>
      <c r="AK110" s="75" t="n">
        <f aca="false">AK108+AK109</f>
        <v>-458680.052962058</v>
      </c>
      <c r="AL110" s="75" t="n">
        <f aca="false">AL108+AL109</f>
        <v>-481472.668699734</v>
      </c>
      <c r="AM110" s="75" t="n">
        <f aca="false">AM108+AM109</f>
        <v>-504506.635880977</v>
      </c>
      <c r="AN110" s="75" t="n">
        <f aca="false">AN108+AN109</f>
        <v>-529150.790906982</v>
      </c>
      <c r="AO110" s="75" t="n">
        <f aca="false">AO108+AO109</f>
        <v>-553772.624504416</v>
      </c>
      <c r="AP110" s="75" t="n">
        <f aca="false">AP108+AP109</f>
        <v>-578372.136673279</v>
      </c>
      <c r="AQ110" s="75" t="n">
        <f aca="false">AQ108+AQ109</f>
        <v>-602949.32741357</v>
      </c>
      <c r="AR110" s="75" t="n">
        <f aca="false">AR108+AR109</f>
        <v>-627504.196725289</v>
      </c>
      <c r="AS110" s="75" t="n">
        <f aca="false">AS108+AS109</f>
        <v>-652036.744608438</v>
      </c>
      <c r="AT110" s="75" t="n">
        <f aca="false">AT108+AT109</f>
        <v>-676546.971063014</v>
      </c>
      <c r="AU110" s="75" t="n">
        <f aca="false">AU108+AU109</f>
        <v>-701034.87608902</v>
      </c>
      <c r="AV110" s="75" t="n">
        <f aca="false">AV108+AV109</f>
        <v>-725500.459686454</v>
      </c>
      <c r="AW110" s="75" t="n">
        <f aca="false">AW108+AW109</f>
        <v>-749943.721855316</v>
      </c>
      <c r="AX110" s="75" t="n">
        <f aca="false">AX108+AX109</f>
        <v>-774364.662595607</v>
      </c>
      <c r="AY110" s="75" t="n">
        <f aca="false">AY108+AY109</f>
        <v>-799406.573814853</v>
      </c>
      <c r="AZ110" s="75" t="n">
        <f aca="false">AZ108+AZ109</f>
        <v>-826115.422771595</v>
      </c>
      <c r="BA110" s="75" t="n">
        <f aca="false">BA108+BA109</f>
        <v>-852801.950299765</v>
      </c>
      <c r="BB110" s="75" t="n">
        <f aca="false">BB108+BB109</f>
        <v>-879466.156399364</v>
      </c>
      <c r="BC110" s="75" t="n">
        <f aca="false">BC108+BC109</f>
        <v>-906108.041070391</v>
      </c>
      <c r="BD110" s="75" t="n">
        <f aca="false">BD108+BD109</f>
        <v>-932727.604312847</v>
      </c>
      <c r="BE110" s="75" t="n">
        <f aca="false">BE108+BE109</f>
        <v>-959324.846126731</v>
      </c>
      <c r="BF110" s="75" t="n">
        <f aca="false">BF108+BF109</f>
        <v>-985899.766512044</v>
      </c>
      <c r="BG110" s="75" t="n">
        <f aca="false">BG108+BG109</f>
        <v>-1012452.36546879</v>
      </c>
      <c r="BH110" s="75" t="n">
        <f aca="false">BH108+BH109</f>
        <v>-1038982.64299696</v>
      </c>
      <c r="BI110" s="75" t="n">
        <f aca="false">BI108+BI109</f>
        <v>-1065490.59909655</v>
      </c>
      <c r="BJ110" s="75" t="n">
        <f aca="false">BJ108+BJ109</f>
        <v>-1091976.23376758</v>
      </c>
    </row>
    <row r="111" customFormat="false" ht="15" hidden="false" customHeight="false" outlineLevel="0" collapsed="false">
      <c r="A111" s="6" t="s">
        <v>453</v>
      </c>
      <c r="C111" s="69" t="n">
        <f aca="false">C107-C110</f>
        <v>0</v>
      </c>
      <c r="D111" s="69" t="n">
        <f aca="false">D107-D110</f>
        <v>0</v>
      </c>
      <c r="E111" s="69" t="n">
        <f aca="false">E107-E110</f>
        <v>0</v>
      </c>
      <c r="F111" s="69" t="n">
        <f aca="false">F107-F110</f>
        <v>0</v>
      </c>
      <c r="G111" s="69" t="n">
        <f aca="false">G107-G110</f>
        <v>0</v>
      </c>
      <c r="H111" s="69" t="n">
        <f aca="false">H107-H110</f>
        <v>0</v>
      </c>
      <c r="I111" s="69" t="n">
        <f aca="false">I107-I110</f>
        <v>0</v>
      </c>
      <c r="J111" s="69" t="n">
        <f aca="false">J107-J110</f>
        <v>0</v>
      </c>
      <c r="K111" s="69" t="n">
        <f aca="false">K107-K110</f>
        <v>0</v>
      </c>
      <c r="L111" s="69" t="n">
        <f aca="false">L107-L110</f>
        <v>0</v>
      </c>
      <c r="M111" s="69" t="n">
        <f aca="false">M107-M110</f>
        <v>0</v>
      </c>
      <c r="N111" s="69" t="n">
        <f aca="false">N107-N110</f>
        <v>0</v>
      </c>
      <c r="O111" s="69" t="n">
        <f aca="false">O107-O110</f>
        <v>0</v>
      </c>
      <c r="P111" s="69" t="n">
        <f aca="false">P107-P110</f>
        <v>0</v>
      </c>
      <c r="Q111" s="69" t="n">
        <f aca="false">Q107-Q110</f>
        <v>-5.82076609134674E-011</v>
      </c>
      <c r="R111" s="69" t="n">
        <f aca="false">R107-R110</f>
        <v>0</v>
      </c>
      <c r="S111" s="69" t="n">
        <f aca="false">S107-S110</f>
        <v>0</v>
      </c>
      <c r="T111" s="69" t="n">
        <f aca="false">T107-T110</f>
        <v>0</v>
      </c>
      <c r="U111" s="69" t="n">
        <f aca="false">U107-U110</f>
        <v>0</v>
      </c>
      <c r="V111" s="69" t="n">
        <f aca="false">V107-V110</f>
        <v>0</v>
      </c>
      <c r="W111" s="69" t="n">
        <f aca="false">W107-W110</f>
        <v>0</v>
      </c>
      <c r="X111" s="69" t="n">
        <f aca="false">X107-X110</f>
        <v>0</v>
      </c>
      <c r="Y111" s="69" t="n">
        <f aca="false">Y107-Y110</f>
        <v>0</v>
      </c>
      <c r="Z111" s="69" t="n">
        <f aca="false">Z107-Z110</f>
        <v>0</v>
      </c>
      <c r="AA111" s="69" t="n">
        <f aca="false">AA107-AA110</f>
        <v>0</v>
      </c>
      <c r="AB111" s="69" t="n">
        <f aca="false">AB107-AB110</f>
        <v>0</v>
      </c>
      <c r="AC111" s="69" t="n">
        <f aca="false">AC107-AC110</f>
        <v>0</v>
      </c>
      <c r="AD111" s="69" t="n">
        <f aca="false">AD107-AD110</f>
        <v>0</v>
      </c>
      <c r="AE111" s="69" t="n">
        <f aca="false">AE107-AE110</f>
        <v>0</v>
      </c>
      <c r="AF111" s="69" t="n">
        <f aca="false">AF107-AF110</f>
        <v>0</v>
      </c>
      <c r="AG111" s="69" t="n">
        <f aca="false">AG107-AG110</f>
        <v>0</v>
      </c>
      <c r="AH111" s="69" t="n">
        <f aca="false">AH107-AH110</f>
        <v>0</v>
      </c>
      <c r="AI111" s="69" t="n">
        <f aca="false">AI107-AI110</f>
        <v>0</v>
      </c>
      <c r="AJ111" s="69" t="n">
        <f aca="false">AJ107-AJ110</f>
        <v>0</v>
      </c>
      <c r="AK111" s="69" t="n">
        <f aca="false">AK107-AK110</f>
        <v>0</v>
      </c>
      <c r="AL111" s="69" t="n">
        <f aca="false">AL107-AL110</f>
        <v>0</v>
      </c>
      <c r="AM111" s="69" t="n">
        <f aca="false">AM107-AM110</f>
        <v>0</v>
      </c>
      <c r="AN111" s="69" t="n">
        <f aca="false">AN107-AN110</f>
        <v>0</v>
      </c>
      <c r="AO111" s="69" t="n">
        <f aca="false">AO107-AO110</f>
        <v>0</v>
      </c>
      <c r="AP111" s="69" t="n">
        <f aca="false">AP107-AP110</f>
        <v>0</v>
      </c>
      <c r="AQ111" s="69" t="n">
        <f aca="false">AQ107-AQ110</f>
        <v>0</v>
      </c>
      <c r="AR111" s="69" t="n">
        <f aca="false">AR107-AR110</f>
        <v>0</v>
      </c>
      <c r="AS111" s="69" t="n">
        <f aca="false">AS107-AS110</f>
        <v>0</v>
      </c>
      <c r="AT111" s="69" t="n">
        <f aca="false">AT107-AT110</f>
        <v>0</v>
      </c>
      <c r="AU111" s="69" t="n">
        <f aca="false">AU107-AU110</f>
        <v>0</v>
      </c>
      <c r="AV111" s="69" t="n">
        <f aca="false">AV107-AV110</f>
        <v>0</v>
      </c>
      <c r="AW111" s="69" t="n">
        <f aca="false">AW107-AW110</f>
        <v>0</v>
      </c>
      <c r="AX111" s="69" t="n">
        <f aca="false">AX107-AX110</f>
        <v>0</v>
      </c>
      <c r="AY111" s="69" t="n">
        <f aca="false">AY107-AY110</f>
        <v>0</v>
      </c>
      <c r="AZ111" s="69" t="n">
        <f aca="false">AZ107-AZ110</f>
        <v>0</v>
      </c>
      <c r="BA111" s="69" t="n">
        <f aca="false">BA107-BA110</f>
        <v>0</v>
      </c>
      <c r="BB111" s="69" t="n">
        <f aca="false">BB107-BB110</f>
        <v>0</v>
      </c>
      <c r="BC111" s="69" t="n">
        <f aca="false">BC107-BC110</f>
        <v>0</v>
      </c>
      <c r="BD111" s="69" t="n">
        <f aca="false">BD107-BD110</f>
        <v>0</v>
      </c>
      <c r="BE111" s="69" t="n">
        <f aca="false">BE107-BE110</f>
        <v>0</v>
      </c>
      <c r="BF111" s="69" t="n">
        <f aca="false">BF107-BF110</f>
        <v>0</v>
      </c>
      <c r="BG111" s="69" t="n">
        <f aca="false">BG107-BG110</f>
        <v>0</v>
      </c>
      <c r="BH111" s="69" t="n">
        <f aca="false">BH107-BH110</f>
        <v>0</v>
      </c>
      <c r="BI111" s="69" t="n">
        <f aca="false">BI107-BI110</f>
        <v>0</v>
      </c>
      <c r="BJ111" s="69" t="n">
        <f aca="false">BJ107-BJ110</f>
        <v>0</v>
      </c>
    </row>
    <row r="113" customFormat="false" ht="15.75" hidden="false" customHeight="true" outlineLevel="0" collapsed="false">
      <c r="A113" s="7" t="s">
        <v>455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customFormat="false" ht="15" hidden="false" customHeight="false" outlineLevel="0" collapsed="false">
      <c r="A114" s="6" t="s">
        <v>456</v>
      </c>
      <c r="C114" s="119" t="n">
        <f aca="false">Inputs!$B$51*(1+Inputs!$B$53)^(C$7-1)*MAX(0,MIN(1,C$6*1-Inputs!$B$54+1))/1</f>
        <v>5</v>
      </c>
      <c r="D114" s="119" t="n">
        <f aca="false">Inputs!$B$51*(1+Inputs!$B$53)^(D$7-1)*MAX(0,MIN(1,D$6*1-Inputs!$B$54+1))/1</f>
        <v>5</v>
      </c>
      <c r="E114" s="119" t="n">
        <f aca="false">Inputs!$B$51*(1+Inputs!$B$53)^(E$7-1)*MAX(0,MIN(1,E$6*1-Inputs!$B$54+1))/1</f>
        <v>5</v>
      </c>
      <c r="F114" s="119" t="n">
        <f aca="false">Inputs!$B$51*(1+Inputs!$B$53)^(F$7-1)*MAX(0,MIN(1,F$6*1-Inputs!$B$54+1))/1</f>
        <v>5</v>
      </c>
      <c r="G114" s="119" t="n">
        <f aca="false">Inputs!$B$51*(1+Inputs!$B$53)^(G$7-1)*MAX(0,MIN(1,G$6*1-Inputs!$B$54+1))/1</f>
        <v>5</v>
      </c>
      <c r="H114" s="119" t="n">
        <f aca="false">Inputs!$B$51*(1+Inputs!$B$53)^(H$7-1)*MAX(0,MIN(1,H$6*1-Inputs!$B$54+1))/1</f>
        <v>5</v>
      </c>
      <c r="I114" s="119" t="n">
        <f aca="false">Inputs!$B$51*(1+Inputs!$B$53)^(I$7-1)*MAX(0,MIN(1,I$6*1-Inputs!$B$54+1))/1</f>
        <v>5</v>
      </c>
      <c r="J114" s="119" t="n">
        <f aca="false">Inputs!$B$51*(1+Inputs!$B$53)^(J$7-1)*MAX(0,MIN(1,J$6*1-Inputs!$B$54+1))/1</f>
        <v>5</v>
      </c>
      <c r="K114" s="119" t="n">
        <f aca="false">Inputs!$B$51*(1+Inputs!$B$53)^(K$7-1)*MAX(0,MIN(1,K$6*1-Inputs!$B$54+1))/1</f>
        <v>5</v>
      </c>
      <c r="L114" s="119" t="n">
        <f aca="false">Inputs!$B$51*(1+Inputs!$B$53)^(L$7-1)*MAX(0,MIN(1,L$6*1-Inputs!$B$54+1))/1</f>
        <v>5</v>
      </c>
      <c r="M114" s="119" t="n">
        <f aca="false">Inputs!$B$51*(1+Inputs!$B$53)^(M$7-1)*MAX(0,MIN(1,M$6*1-Inputs!$B$54+1))/1</f>
        <v>5</v>
      </c>
      <c r="N114" s="119" t="n">
        <f aca="false">Inputs!$B$51*(1+Inputs!$B$53)^(N$7-1)*MAX(0,MIN(1,N$6*1-Inputs!$B$54+1))/1</f>
        <v>5</v>
      </c>
      <c r="O114" s="119" t="n">
        <f aca="false">Inputs!$B$51*(1+Inputs!$B$53)^(O$7-1)*MAX(0,MIN(1,O$6*1-Inputs!$B$54+1))/1</f>
        <v>5</v>
      </c>
      <c r="P114" s="119" t="n">
        <f aca="false">Inputs!$B$51*(1+Inputs!$B$53)^(P$7-1)*MAX(0,MIN(1,P$6*1-Inputs!$B$54+1))/1</f>
        <v>5</v>
      </c>
      <c r="Q114" s="119" t="n">
        <f aca="false">Inputs!$B$51*(1+Inputs!$B$53)^(Q$7-1)*MAX(0,MIN(1,Q$6*1-Inputs!$B$54+1))/1</f>
        <v>5</v>
      </c>
      <c r="R114" s="119" t="n">
        <f aca="false">Inputs!$B$51*(1+Inputs!$B$53)^(R$7-1)*MAX(0,MIN(1,R$6*1-Inputs!$B$54+1))/1</f>
        <v>5</v>
      </c>
      <c r="S114" s="119" t="n">
        <f aca="false">Inputs!$B$51*(1+Inputs!$B$53)^(S$7-1)*MAX(0,MIN(1,S$6*1-Inputs!$B$54+1))/1</f>
        <v>5</v>
      </c>
      <c r="T114" s="119" t="n">
        <f aca="false">Inputs!$B$51*(1+Inputs!$B$53)^(T$7-1)*MAX(0,MIN(1,T$6*1-Inputs!$B$54+1))/1</f>
        <v>5</v>
      </c>
      <c r="U114" s="119" t="n">
        <f aca="false">Inputs!$B$51*(1+Inputs!$B$53)^(U$7-1)*MAX(0,MIN(1,U$6*1-Inputs!$B$54+1))/1</f>
        <v>5</v>
      </c>
      <c r="V114" s="119" t="n">
        <f aca="false">Inputs!$B$51*(1+Inputs!$B$53)^(V$7-1)*MAX(0,MIN(1,V$6*1-Inputs!$B$54+1))/1</f>
        <v>5</v>
      </c>
      <c r="W114" s="119" t="n">
        <f aca="false">Inputs!$B$51*(1+Inputs!$B$53)^(W$7-1)*MAX(0,MIN(1,W$6*1-Inputs!$B$54+1))/1</f>
        <v>5</v>
      </c>
      <c r="X114" s="119" t="n">
        <f aca="false">Inputs!$B$51*(1+Inputs!$B$53)^(X$7-1)*MAX(0,MIN(1,X$6*1-Inputs!$B$54+1))/1</f>
        <v>5</v>
      </c>
      <c r="Y114" s="119" t="n">
        <f aca="false">Inputs!$B$51*(1+Inputs!$B$53)^(Y$7-1)*MAX(0,MIN(1,Y$6*1-Inputs!$B$54+1))/1</f>
        <v>5</v>
      </c>
      <c r="Z114" s="119" t="n">
        <f aca="false">Inputs!$B$51*(1+Inputs!$B$53)^(Z$7-1)*MAX(0,MIN(1,Z$6*1-Inputs!$B$54+1))/1</f>
        <v>5</v>
      </c>
      <c r="AA114" s="119" t="n">
        <f aca="false">Inputs!$B$51*(1+Inputs!$B$53)^(AA$7-1)*MAX(0,MIN(1,AA$6*1-Inputs!$B$54+1))/1</f>
        <v>5</v>
      </c>
      <c r="AB114" s="119" t="n">
        <f aca="false">Inputs!$B$51*(1+Inputs!$B$53)^(AB$7-1)*MAX(0,MIN(1,AB$6*1-Inputs!$B$54+1))/1</f>
        <v>5</v>
      </c>
      <c r="AC114" s="119" t="n">
        <f aca="false">Inputs!$B$51*(1+Inputs!$B$53)^(AC$7-1)*MAX(0,MIN(1,AC$6*1-Inputs!$B$54+1))/1</f>
        <v>5</v>
      </c>
      <c r="AD114" s="119" t="n">
        <f aca="false">Inputs!$B$51*(1+Inputs!$B$53)^(AD$7-1)*MAX(0,MIN(1,AD$6*1-Inputs!$B$54+1))/1</f>
        <v>5</v>
      </c>
      <c r="AE114" s="119" t="n">
        <f aca="false">Inputs!$B$51*(1+Inputs!$B$53)^(AE$7-1)*MAX(0,MIN(1,AE$6*1-Inputs!$B$54+1))/1</f>
        <v>5</v>
      </c>
      <c r="AF114" s="119" t="n">
        <f aca="false">Inputs!$B$51*(1+Inputs!$B$53)^(AF$7-1)*MAX(0,MIN(1,AF$6*1-Inputs!$B$54+1))/1</f>
        <v>5</v>
      </c>
      <c r="AG114" s="119" t="n">
        <f aca="false">Inputs!$B$51*(1+Inputs!$B$53)^(AG$7-1)*MAX(0,MIN(1,AG$6*1-Inputs!$B$54+1))/1</f>
        <v>5</v>
      </c>
      <c r="AH114" s="119" t="n">
        <f aca="false">Inputs!$B$51*(1+Inputs!$B$53)^(AH$7-1)*MAX(0,MIN(1,AH$6*1-Inputs!$B$54+1))/1</f>
        <v>5</v>
      </c>
      <c r="AI114" s="119" t="n">
        <f aca="false">Inputs!$B$51*(1+Inputs!$B$53)^(AI$7-1)*MAX(0,MIN(1,AI$6*1-Inputs!$B$54+1))/1</f>
        <v>5</v>
      </c>
      <c r="AJ114" s="119" t="n">
        <f aca="false">Inputs!$B$51*(1+Inputs!$B$53)^(AJ$7-1)*MAX(0,MIN(1,AJ$6*1-Inputs!$B$54+1))/1</f>
        <v>5</v>
      </c>
      <c r="AK114" s="119" t="n">
        <f aca="false">Inputs!$B$51*(1+Inputs!$B$53)^(AK$7-1)*MAX(0,MIN(1,AK$6*1-Inputs!$B$54+1))/1</f>
        <v>5</v>
      </c>
      <c r="AL114" s="119" t="n">
        <f aca="false">Inputs!$B$51*(1+Inputs!$B$53)^(AL$7-1)*MAX(0,MIN(1,AL$6*1-Inputs!$B$54+1))/1</f>
        <v>5</v>
      </c>
      <c r="AM114" s="119" t="n">
        <f aca="false">Inputs!$B$51*(1+Inputs!$B$53)^(AM$7-1)*MAX(0,MIN(1,AM$6*1-Inputs!$B$54+1))/1</f>
        <v>5</v>
      </c>
      <c r="AN114" s="119" t="n">
        <f aca="false">Inputs!$B$51*(1+Inputs!$B$53)^(AN$7-1)*MAX(0,MIN(1,AN$6*1-Inputs!$B$54+1))/1</f>
        <v>5</v>
      </c>
      <c r="AO114" s="119" t="n">
        <f aca="false">Inputs!$B$51*(1+Inputs!$B$53)^(AO$7-1)*MAX(0,MIN(1,AO$6*1-Inputs!$B$54+1))/1</f>
        <v>5</v>
      </c>
      <c r="AP114" s="119" t="n">
        <f aca="false">Inputs!$B$51*(1+Inputs!$B$53)^(AP$7-1)*MAX(0,MIN(1,AP$6*1-Inputs!$B$54+1))/1</f>
        <v>5</v>
      </c>
      <c r="AQ114" s="119" t="n">
        <f aca="false">Inputs!$B$51*(1+Inputs!$B$53)^(AQ$7-1)*MAX(0,MIN(1,AQ$6*1-Inputs!$B$54+1))/1</f>
        <v>5</v>
      </c>
      <c r="AR114" s="119" t="n">
        <f aca="false">Inputs!$B$51*(1+Inputs!$B$53)^(AR$7-1)*MAX(0,MIN(1,AR$6*1-Inputs!$B$54+1))/1</f>
        <v>5</v>
      </c>
      <c r="AS114" s="119" t="n">
        <f aca="false">Inputs!$B$51*(1+Inputs!$B$53)^(AS$7-1)*MAX(0,MIN(1,AS$6*1-Inputs!$B$54+1))/1</f>
        <v>5</v>
      </c>
      <c r="AT114" s="119" t="n">
        <f aca="false">Inputs!$B$51*(1+Inputs!$B$53)^(AT$7-1)*MAX(0,MIN(1,AT$6*1-Inputs!$B$54+1))/1</f>
        <v>5</v>
      </c>
      <c r="AU114" s="119" t="n">
        <f aca="false">Inputs!$B$51*(1+Inputs!$B$53)^(AU$7-1)*MAX(0,MIN(1,AU$6*1-Inputs!$B$54+1))/1</f>
        <v>5</v>
      </c>
      <c r="AV114" s="119" t="n">
        <f aca="false">Inputs!$B$51*(1+Inputs!$B$53)^(AV$7-1)*MAX(0,MIN(1,AV$6*1-Inputs!$B$54+1))/1</f>
        <v>5</v>
      </c>
      <c r="AW114" s="119" t="n">
        <f aca="false">Inputs!$B$51*(1+Inputs!$B$53)^(AW$7-1)*MAX(0,MIN(1,AW$6*1-Inputs!$B$54+1))/1</f>
        <v>5</v>
      </c>
      <c r="AX114" s="119" t="n">
        <f aca="false">Inputs!$B$51*(1+Inputs!$B$53)^(AX$7-1)*MAX(0,MIN(1,AX$6*1-Inputs!$B$54+1))/1</f>
        <v>5</v>
      </c>
      <c r="AY114" s="119" t="n">
        <f aca="false">Inputs!$B$51*(1+Inputs!$B$53)^(AY$7-1)*MAX(0,MIN(1,AY$6*1-Inputs!$B$54+1))/1</f>
        <v>5</v>
      </c>
      <c r="AZ114" s="119" t="n">
        <f aca="false">Inputs!$B$51*(1+Inputs!$B$53)^(AZ$7-1)*MAX(0,MIN(1,AZ$6*1-Inputs!$B$54+1))/1</f>
        <v>5</v>
      </c>
      <c r="BA114" s="119" t="n">
        <f aca="false">Inputs!$B$51*(1+Inputs!$B$53)^(BA$7-1)*MAX(0,MIN(1,BA$6*1-Inputs!$B$54+1))/1</f>
        <v>5</v>
      </c>
      <c r="BB114" s="119" t="n">
        <f aca="false">Inputs!$B$51*(1+Inputs!$B$53)^(BB$7-1)*MAX(0,MIN(1,BB$6*1-Inputs!$B$54+1))/1</f>
        <v>5</v>
      </c>
      <c r="BC114" s="119" t="n">
        <f aca="false">Inputs!$B$51*(1+Inputs!$B$53)^(BC$7-1)*MAX(0,MIN(1,BC$6*1-Inputs!$B$54+1))/1</f>
        <v>5</v>
      </c>
      <c r="BD114" s="119" t="n">
        <f aca="false">Inputs!$B$51*(1+Inputs!$B$53)^(BD$7-1)*MAX(0,MIN(1,BD$6*1-Inputs!$B$54+1))/1</f>
        <v>5</v>
      </c>
      <c r="BE114" s="119" t="n">
        <f aca="false">Inputs!$B$51*(1+Inputs!$B$53)^(BE$7-1)*MAX(0,MIN(1,BE$6*1-Inputs!$B$54+1))/1</f>
        <v>5</v>
      </c>
      <c r="BF114" s="119" t="n">
        <f aca="false">Inputs!$B$51*(1+Inputs!$B$53)^(BF$7-1)*MAX(0,MIN(1,BF$6*1-Inputs!$B$54+1))/1</f>
        <v>5</v>
      </c>
      <c r="BG114" s="119" t="n">
        <f aca="false">Inputs!$B$51*(1+Inputs!$B$53)^(BG$7-1)*MAX(0,MIN(1,BG$6*1-Inputs!$B$54+1))/1</f>
        <v>5</v>
      </c>
      <c r="BH114" s="119" t="n">
        <f aca="false">Inputs!$B$51*(1+Inputs!$B$53)^(BH$7-1)*MAX(0,MIN(1,BH$6*1-Inputs!$B$54+1))/1</f>
        <v>5</v>
      </c>
      <c r="BI114" s="119" t="n">
        <f aca="false">Inputs!$B$51*(1+Inputs!$B$53)^(BI$7-1)*MAX(0,MIN(1,BI$6*1-Inputs!$B$54+1))/1</f>
        <v>5</v>
      </c>
      <c r="BJ114" s="119" t="n">
        <f aca="false">Inputs!$B$51*(1+Inputs!$B$53)^(BJ$7-1)*MAX(0,MIN(1,BJ$6*1-Inputs!$B$54+1))/1</f>
        <v>5</v>
      </c>
    </row>
    <row r="115" customFormat="false" ht="15" hidden="false" customHeight="false" outlineLevel="0" collapsed="false">
      <c r="A115" s="6" t="s">
        <v>457</v>
      </c>
      <c r="C115" s="119" t="n">
        <f aca="false">Inputs!$B$55*(1+Inputs!$B$57)^(C$7-1)*MAX(0,MIN(1,C$6*1-Inputs!$B$58+1))/1</f>
        <v>2</v>
      </c>
      <c r="D115" s="119" t="n">
        <f aca="false">Inputs!$B$55*(1+Inputs!$B$57)^(D$7-1)*MAX(0,MIN(1,D$6*1-Inputs!$B$58+1))/1</f>
        <v>2</v>
      </c>
      <c r="E115" s="119" t="n">
        <f aca="false">Inputs!$B$55*(1+Inputs!$B$57)^(E$7-1)*MAX(0,MIN(1,E$6*1-Inputs!$B$58+1))/1</f>
        <v>2</v>
      </c>
      <c r="F115" s="119" t="n">
        <f aca="false">Inputs!$B$55*(1+Inputs!$B$57)^(F$7-1)*MAX(0,MIN(1,F$6*1-Inputs!$B$58+1))/1</f>
        <v>2</v>
      </c>
      <c r="G115" s="119" t="n">
        <f aca="false">Inputs!$B$55*(1+Inputs!$B$57)^(G$7-1)*MAX(0,MIN(1,G$6*1-Inputs!$B$58+1))/1</f>
        <v>2</v>
      </c>
      <c r="H115" s="119" t="n">
        <f aca="false">Inputs!$B$55*(1+Inputs!$B$57)^(H$7-1)*MAX(0,MIN(1,H$6*1-Inputs!$B$58+1))/1</f>
        <v>2</v>
      </c>
      <c r="I115" s="119" t="n">
        <f aca="false">Inputs!$B$55*(1+Inputs!$B$57)^(I$7-1)*MAX(0,MIN(1,I$6*1-Inputs!$B$58+1))/1</f>
        <v>2</v>
      </c>
      <c r="J115" s="119" t="n">
        <f aca="false">Inputs!$B$55*(1+Inputs!$B$57)^(J$7-1)*MAX(0,MIN(1,J$6*1-Inputs!$B$58+1))/1</f>
        <v>2</v>
      </c>
      <c r="K115" s="119" t="n">
        <f aca="false">Inputs!$B$55*(1+Inputs!$B$57)^(K$7-1)*MAX(0,MIN(1,K$6*1-Inputs!$B$58+1))/1</f>
        <v>2</v>
      </c>
      <c r="L115" s="119" t="n">
        <f aca="false">Inputs!$B$55*(1+Inputs!$B$57)^(L$7-1)*MAX(0,MIN(1,L$6*1-Inputs!$B$58+1))/1</f>
        <v>2</v>
      </c>
      <c r="M115" s="119" t="n">
        <f aca="false">Inputs!$B$55*(1+Inputs!$B$57)^(M$7-1)*MAX(0,MIN(1,M$6*1-Inputs!$B$58+1))/1</f>
        <v>2</v>
      </c>
      <c r="N115" s="119" t="n">
        <f aca="false">Inputs!$B$55*(1+Inputs!$B$57)^(N$7-1)*MAX(0,MIN(1,N$6*1-Inputs!$B$58+1))/1</f>
        <v>2</v>
      </c>
      <c r="O115" s="119" t="n">
        <f aca="false">Inputs!$B$55*(1+Inputs!$B$57)^(O$7-1)*MAX(0,MIN(1,O$6*1-Inputs!$B$58+1))/1</f>
        <v>2</v>
      </c>
      <c r="P115" s="119" t="n">
        <f aca="false">Inputs!$B$55*(1+Inputs!$B$57)^(P$7-1)*MAX(0,MIN(1,P$6*1-Inputs!$B$58+1))/1</f>
        <v>2</v>
      </c>
      <c r="Q115" s="119" t="n">
        <f aca="false">Inputs!$B$55*(1+Inputs!$B$57)^(Q$7-1)*MAX(0,MIN(1,Q$6*1-Inputs!$B$58+1))/1</f>
        <v>2</v>
      </c>
      <c r="R115" s="119" t="n">
        <f aca="false">Inputs!$B$55*(1+Inputs!$B$57)^(R$7-1)*MAX(0,MIN(1,R$6*1-Inputs!$B$58+1))/1</f>
        <v>2</v>
      </c>
      <c r="S115" s="119" t="n">
        <f aca="false">Inputs!$B$55*(1+Inputs!$B$57)^(S$7-1)*MAX(0,MIN(1,S$6*1-Inputs!$B$58+1))/1</f>
        <v>2</v>
      </c>
      <c r="T115" s="119" t="n">
        <f aca="false">Inputs!$B$55*(1+Inputs!$B$57)^(T$7-1)*MAX(0,MIN(1,T$6*1-Inputs!$B$58+1))/1</f>
        <v>2</v>
      </c>
      <c r="U115" s="119" t="n">
        <f aca="false">Inputs!$B$55*(1+Inputs!$B$57)^(U$7-1)*MAX(0,MIN(1,U$6*1-Inputs!$B$58+1))/1</f>
        <v>2</v>
      </c>
      <c r="V115" s="119" t="n">
        <f aca="false">Inputs!$B$55*(1+Inputs!$B$57)^(V$7-1)*MAX(0,MIN(1,V$6*1-Inputs!$B$58+1))/1</f>
        <v>2</v>
      </c>
      <c r="W115" s="119" t="n">
        <f aca="false">Inputs!$B$55*(1+Inputs!$B$57)^(W$7-1)*MAX(0,MIN(1,W$6*1-Inputs!$B$58+1))/1</f>
        <v>2</v>
      </c>
      <c r="X115" s="119" t="n">
        <f aca="false">Inputs!$B$55*(1+Inputs!$B$57)^(X$7-1)*MAX(0,MIN(1,X$6*1-Inputs!$B$58+1))/1</f>
        <v>2</v>
      </c>
      <c r="Y115" s="119" t="n">
        <f aca="false">Inputs!$B$55*(1+Inputs!$B$57)^(Y$7-1)*MAX(0,MIN(1,Y$6*1-Inputs!$B$58+1))/1</f>
        <v>2</v>
      </c>
      <c r="Z115" s="119" t="n">
        <f aca="false">Inputs!$B$55*(1+Inputs!$B$57)^(Z$7-1)*MAX(0,MIN(1,Z$6*1-Inputs!$B$58+1))/1</f>
        <v>2</v>
      </c>
      <c r="AA115" s="119" t="n">
        <f aca="false">Inputs!$B$55*(1+Inputs!$B$57)^(AA$7-1)*MAX(0,MIN(1,AA$6*1-Inputs!$B$58+1))/1</f>
        <v>2</v>
      </c>
      <c r="AB115" s="119" t="n">
        <f aca="false">Inputs!$B$55*(1+Inputs!$B$57)^(AB$7-1)*MAX(0,MIN(1,AB$6*1-Inputs!$B$58+1))/1</f>
        <v>2</v>
      </c>
      <c r="AC115" s="119" t="n">
        <f aca="false">Inputs!$B$55*(1+Inputs!$B$57)^(AC$7-1)*MAX(0,MIN(1,AC$6*1-Inputs!$B$58+1))/1</f>
        <v>2</v>
      </c>
      <c r="AD115" s="119" t="n">
        <f aca="false">Inputs!$B$55*(1+Inputs!$B$57)^(AD$7-1)*MAX(0,MIN(1,AD$6*1-Inputs!$B$58+1))/1</f>
        <v>2</v>
      </c>
      <c r="AE115" s="119" t="n">
        <f aca="false">Inputs!$B$55*(1+Inputs!$B$57)^(AE$7-1)*MAX(0,MIN(1,AE$6*1-Inputs!$B$58+1))/1</f>
        <v>2</v>
      </c>
      <c r="AF115" s="119" t="n">
        <f aca="false">Inputs!$B$55*(1+Inputs!$B$57)^(AF$7-1)*MAX(0,MIN(1,AF$6*1-Inputs!$B$58+1))/1</f>
        <v>2</v>
      </c>
      <c r="AG115" s="119" t="n">
        <f aca="false">Inputs!$B$55*(1+Inputs!$B$57)^(AG$7-1)*MAX(0,MIN(1,AG$6*1-Inputs!$B$58+1))/1</f>
        <v>2</v>
      </c>
      <c r="AH115" s="119" t="n">
        <f aca="false">Inputs!$B$55*(1+Inputs!$B$57)^(AH$7-1)*MAX(0,MIN(1,AH$6*1-Inputs!$B$58+1))/1</f>
        <v>2</v>
      </c>
      <c r="AI115" s="119" t="n">
        <f aca="false">Inputs!$B$55*(1+Inputs!$B$57)^(AI$7-1)*MAX(0,MIN(1,AI$6*1-Inputs!$B$58+1))/1</f>
        <v>2</v>
      </c>
      <c r="AJ115" s="119" t="n">
        <f aca="false">Inputs!$B$55*(1+Inputs!$B$57)^(AJ$7-1)*MAX(0,MIN(1,AJ$6*1-Inputs!$B$58+1))/1</f>
        <v>2</v>
      </c>
      <c r="AK115" s="119" t="n">
        <f aca="false">Inputs!$B$55*(1+Inputs!$B$57)^(AK$7-1)*MAX(0,MIN(1,AK$6*1-Inputs!$B$58+1))/1</f>
        <v>2</v>
      </c>
      <c r="AL115" s="119" t="n">
        <f aca="false">Inputs!$B$55*(1+Inputs!$B$57)^(AL$7-1)*MAX(0,MIN(1,AL$6*1-Inputs!$B$58+1))/1</f>
        <v>2</v>
      </c>
      <c r="AM115" s="119" t="n">
        <f aca="false">Inputs!$B$55*(1+Inputs!$B$57)^(AM$7-1)*MAX(0,MIN(1,AM$6*1-Inputs!$B$58+1))/1</f>
        <v>2</v>
      </c>
      <c r="AN115" s="119" t="n">
        <f aca="false">Inputs!$B$55*(1+Inputs!$B$57)^(AN$7-1)*MAX(0,MIN(1,AN$6*1-Inputs!$B$58+1))/1</f>
        <v>2</v>
      </c>
      <c r="AO115" s="119" t="n">
        <f aca="false">Inputs!$B$55*(1+Inputs!$B$57)^(AO$7-1)*MAX(0,MIN(1,AO$6*1-Inputs!$B$58+1))/1</f>
        <v>2</v>
      </c>
      <c r="AP115" s="119" t="n">
        <f aca="false">Inputs!$B$55*(1+Inputs!$B$57)^(AP$7-1)*MAX(0,MIN(1,AP$6*1-Inputs!$B$58+1))/1</f>
        <v>2</v>
      </c>
      <c r="AQ115" s="119" t="n">
        <f aca="false">Inputs!$B$55*(1+Inputs!$B$57)^(AQ$7-1)*MAX(0,MIN(1,AQ$6*1-Inputs!$B$58+1))/1</f>
        <v>2</v>
      </c>
      <c r="AR115" s="119" t="n">
        <f aca="false">Inputs!$B$55*(1+Inputs!$B$57)^(AR$7-1)*MAX(0,MIN(1,AR$6*1-Inputs!$B$58+1))/1</f>
        <v>2</v>
      </c>
      <c r="AS115" s="119" t="n">
        <f aca="false">Inputs!$B$55*(1+Inputs!$B$57)^(AS$7-1)*MAX(0,MIN(1,AS$6*1-Inputs!$B$58+1))/1</f>
        <v>2</v>
      </c>
      <c r="AT115" s="119" t="n">
        <f aca="false">Inputs!$B$55*(1+Inputs!$B$57)^(AT$7-1)*MAX(0,MIN(1,AT$6*1-Inputs!$B$58+1))/1</f>
        <v>2</v>
      </c>
      <c r="AU115" s="119" t="n">
        <f aca="false">Inputs!$B$55*(1+Inputs!$B$57)^(AU$7-1)*MAX(0,MIN(1,AU$6*1-Inputs!$B$58+1))/1</f>
        <v>2</v>
      </c>
      <c r="AV115" s="119" t="n">
        <f aca="false">Inputs!$B$55*(1+Inputs!$B$57)^(AV$7-1)*MAX(0,MIN(1,AV$6*1-Inputs!$B$58+1))/1</f>
        <v>2</v>
      </c>
      <c r="AW115" s="119" t="n">
        <f aca="false">Inputs!$B$55*(1+Inputs!$B$57)^(AW$7-1)*MAX(0,MIN(1,AW$6*1-Inputs!$B$58+1))/1</f>
        <v>2</v>
      </c>
      <c r="AX115" s="119" t="n">
        <f aca="false">Inputs!$B$55*(1+Inputs!$B$57)^(AX$7-1)*MAX(0,MIN(1,AX$6*1-Inputs!$B$58+1))/1</f>
        <v>2</v>
      </c>
      <c r="AY115" s="119" t="n">
        <f aca="false">Inputs!$B$55*(1+Inputs!$B$57)^(AY$7-1)*MAX(0,MIN(1,AY$6*1-Inputs!$B$58+1))/1</f>
        <v>2</v>
      </c>
      <c r="AZ115" s="119" t="n">
        <f aca="false">Inputs!$B$55*(1+Inputs!$B$57)^(AZ$7-1)*MAX(0,MIN(1,AZ$6*1-Inputs!$B$58+1))/1</f>
        <v>2</v>
      </c>
      <c r="BA115" s="119" t="n">
        <f aca="false">Inputs!$B$55*(1+Inputs!$B$57)^(BA$7-1)*MAX(0,MIN(1,BA$6*1-Inputs!$B$58+1))/1</f>
        <v>2</v>
      </c>
      <c r="BB115" s="119" t="n">
        <f aca="false">Inputs!$B$55*(1+Inputs!$B$57)^(BB$7-1)*MAX(0,MIN(1,BB$6*1-Inputs!$B$58+1))/1</f>
        <v>2</v>
      </c>
      <c r="BC115" s="119" t="n">
        <f aca="false">Inputs!$B$55*(1+Inputs!$B$57)^(BC$7-1)*MAX(0,MIN(1,BC$6*1-Inputs!$B$58+1))/1</f>
        <v>2</v>
      </c>
      <c r="BD115" s="119" t="n">
        <f aca="false">Inputs!$B$55*(1+Inputs!$B$57)^(BD$7-1)*MAX(0,MIN(1,BD$6*1-Inputs!$B$58+1))/1</f>
        <v>2</v>
      </c>
      <c r="BE115" s="119" t="n">
        <f aca="false">Inputs!$B$55*(1+Inputs!$B$57)^(BE$7-1)*MAX(0,MIN(1,BE$6*1-Inputs!$B$58+1))/1</f>
        <v>2</v>
      </c>
      <c r="BF115" s="119" t="n">
        <f aca="false">Inputs!$B$55*(1+Inputs!$B$57)^(BF$7-1)*MAX(0,MIN(1,BF$6*1-Inputs!$B$58+1))/1</f>
        <v>2</v>
      </c>
      <c r="BG115" s="119" t="n">
        <f aca="false">Inputs!$B$55*(1+Inputs!$B$57)^(BG$7-1)*MAX(0,MIN(1,BG$6*1-Inputs!$B$58+1))/1</f>
        <v>2</v>
      </c>
      <c r="BH115" s="119" t="n">
        <f aca="false">Inputs!$B$55*(1+Inputs!$B$57)^(BH$7-1)*MAX(0,MIN(1,BH$6*1-Inputs!$B$58+1))/1</f>
        <v>2</v>
      </c>
      <c r="BI115" s="119" t="n">
        <f aca="false">Inputs!$B$55*(1+Inputs!$B$57)^(BI$7-1)*MAX(0,MIN(1,BI$6*1-Inputs!$B$58+1))/1</f>
        <v>2</v>
      </c>
      <c r="BJ115" s="119" t="n">
        <f aca="false">Inputs!$B$55*(1+Inputs!$B$57)^(BJ$7-1)*MAX(0,MIN(1,BJ$6*1-Inputs!$B$58+1))/1</f>
        <v>2</v>
      </c>
    </row>
    <row r="116" customFormat="false" ht="15" hidden="false" customHeight="false" outlineLevel="0" collapsed="false">
      <c r="A116" s="6" t="s">
        <v>458</v>
      </c>
      <c r="C116" s="119" t="n">
        <f aca="false">Inputs!$B$59*(1+Inputs!$B$61)^(C$7-1)*MAX(0,MIN(1,C$6*1-Inputs!$B$62+1))/1</f>
        <v>1</v>
      </c>
      <c r="D116" s="119" t="n">
        <f aca="false">Inputs!$B$59*(1+Inputs!$B$61)^(D$7-1)*MAX(0,MIN(1,D$6*1-Inputs!$B$62+1))/1</f>
        <v>1</v>
      </c>
      <c r="E116" s="119" t="n">
        <f aca="false">Inputs!$B$59*(1+Inputs!$B$61)^(E$7-1)*MAX(0,MIN(1,E$6*1-Inputs!$B$62+1))/1</f>
        <v>1</v>
      </c>
      <c r="F116" s="119" t="n">
        <f aca="false">Inputs!$B$59*(1+Inputs!$B$61)^(F$7-1)*MAX(0,MIN(1,F$6*1-Inputs!$B$62+1))/1</f>
        <v>1</v>
      </c>
      <c r="G116" s="119" t="n">
        <f aca="false">Inputs!$B$59*(1+Inputs!$B$61)^(G$7-1)*MAX(0,MIN(1,G$6*1-Inputs!$B$62+1))/1</f>
        <v>1</v>
      </c>
      <c r="H116" s="119" t="n">
        <f aca="false">Inputs!$B$59*(1+Inputs!$B$61)^(H$7-1)*MAX(0,MIN(1,H$6*1-Inputs!$B$62+1))/1</f>
        <v>1</v>
      </c>
      <c r="I116" s="119" t="n">
        <f aca="false">Inputs!$B$59*(1+Inputs!$B$61)^(I$7-1)*MAX(0,MIN(1,I$6*1-Inputs!$B$62+1))/1</f>
        <v>1</v>
      </c>
      <c r="J116" s="119" t="n">
        <f aca="false">Inputs!$B$59*(1+Inputs!$B$61)^(J$7-1)*MAX(0,MIN(1,J$6*1-Inputs!$B$62+1))/1</f>
        <v>1</v>
      </c>
      <c r="K116" s="119" t="n">
        <f aca="false">Inputs!$B$59*(1+Inputs!$B$61)^(K$7-1)*MAX(0,MIN(1,K$6*1-Inputs!$B$62+1))/1</f>
        <v>1</v>
      </c>
      <c r="L116" s="119" t="n">
        <f aca="false">Inputs!$B$59*(1+Inputs!$B$61)^(L$7-1)*MAX(0,MIN(1,L$6*1-Inputs!$B$62+1))/1</f>
        <v>1</v>
      </c>
      <c r="M116" s="119" t="n">
        <f aca="false">Inputs!$B$59*(1+Inputs!$B$61)^(M$7-1)*MAX(0,MIN(1,M$6*1-Inputs!$B$62+1))/1</f>
        <v>1</v>
      </c>
      <c r="N116" s="119" t="n">
        <f aca="false">Inputs!$B$59*(1+Inputs!$B$61)^(N$7-1)*MAX(0,MIN(1,N$6*1-Inputs!$B$62+1))/1</f>
        <v>1</v>
      </c>
      <c r="O116" s="119" t="n">
        <f aca="false">Inputs!$B$59*(1+Inputs!$B$61)^(O$7-1)*MAX(0,MIN(1,O$6*1-Inputs!$B$62+1))/1</f>
        <v>1</v>
      </c>
      <c r="P116" s="119" t="n">
        <f aca="false">Inputs!$B$59*(1+Inputs!$B$61)^(P$7-1)*MAX(0,MIN(1,P$6*1-Inputs!$B$62+1))/1</f>
        <v>1</v>
      </c>
      <c r="Q116" s="119" t="n">
        <f aca="false">Inputs!$B$59*(1+Inputs!$B$61)^(Q$7-1)*MAX(0,MIN(1,Q$6*1-Inputs!$B$62+1))/1</f>
        <v>1</v>
      </c>
      <c r="R116" s="119" t="n">
        <f aca="false">Inputs!$B$59*(1+Inputs!$B$61)^(R$7-1)*MAX(0,MIN(1,R$6*1-Inputs!$B$62+1))/1</f>
        <v>1</v>
      </c>
      <c r="S116" s="119" t="n">
        <f aca="false">Inputs!$B$59*(1+Inputs!$B$61)^(S$7-1)*MAX(0,MIN(1,S$6*1-Inputs!$B$62+1))/1</f>
        <v>1</v>
      </c>
      <c r="T116" s="119" t="n">
        <f aca="false">Inputs!$B$59*(1+Inputs!$B$61)^(T$7-1)*MAX(0,MIN(1,T$6*1-Inputs!$B$62+1))/1</f>
        <v>1</v>
      </c>
      <c r="U116" s="119" t="n">
        <f aca="false">Inputs!$B$59*(1+Inputs!$B$61)^(U$7-1)*MAX(0,MIN(1,U$6*1-Inputs!$B$62+1))/1</f>
        <v>1</v>
      </c>
      <c r="V116" s="119" t="n">
        <f aca="false">Inputs!$B$59*(1+Inputs!$B$61)^(V$7-1)*MAX(0,MIN(1,V$6*1-Inputs!$B$62+1))/1</f>
        <v>1</v>
      </c>
      <c r="W116" s="119" t="n">
        <f aca="false">Inputs!$B$59*(1+Inputs!$B$61)^(W$7-1)*MAX(0,MIN(1,W$6*1-Inputs!$B$62+1))/1</f>
        <v>1</v>
      </c>
      <c r="X116" s="119" t="n">
        <f aca="false">Inputs!$B$59*(1+Inputs!$B$61)^(X$7-1)*MAX(0,MIN(1,X$6*1-Inputs!$B$62+1))/1</f>
        <v>1</v>
      </c>
      <c r="Y116" s="119" t="n">
        <f aca="false">Inputs!$B$59*(1+Inputs!$B$61)^(Y$7-1)*MAX(0,MIN(1,Y$6*1-Inputs!$B$62+1))/1</f>
        <v>1</v>
      </c>
      <c r="Z116" s="119" t="n">
        <f aca="false">Inputs!$B$59*(1+Inputs!$B$61)^(Z$7-1)*MAX(0,MIN(1,Z$6*1-Inputs!$B$62+1))/1</f>
        <v>1</v>
      </c>
      <c r="AA116" s="119" t="n">
        <f aca="false">Inputs!$B$59*(1+Inputs!$B$61)^(AA$7-1)*MAX(0,MIN(1,AA$6*1-Inputs!$B$62+1))/1</f>
        <v>1</v>
      </c>
      <c r="AB116" s="119" t="n">
        <f aca="false">Inputs!$B$59*(1+Inputs!$B$61)^(AB$7-1)*MAX(0,MIN(1,AB$6*1-Inputs!$B$62+1))/1</f>
        <v>1</v>
      </c>
      <c r="AC116" s="119" t="n">
        <f aca="false">Inputs!$B$59*(1+Inputs!$B$61)^(AC$7-1)*MAX(0,MIN(1,AC$6*1-Inputs!$B$62+1))/1</f>
        <v>1</v>
      </c>
      <c r="AD116" s="119" t="n">
        <f aca="false">Inputs!$B$59*(1+Inputs!$B$61)^(AD$7-1)*MAX(0,MIN(1,AD$6*1-Inputs!$B$62+1))/1</f>
        <v>1</v>
      </c>
      <c r="AE116" s="119" t="n">
        <f aca="false">Inputs!$B$59*(1+Inputs!$B$61)^(AE$7-1)*MAX(0,MIN(1,AE$6*1-Inputs!$B$62+1))/1</f>
        <v>1</v>
      </c>
      <c r="AF116" s="119" t="n">
        <f aca="false">Inputs!$B$59*(1+Inputs!$B$61)^(AF$7-1)*MAX(0,MIN(1,AF$6*1-Inputs!$B$62+1))/1</f>
        <v>1</v>
      </c>
      <c r="AG116" s="119" t="n">
        <f aca="false">Inputs!$B$59*(1+Inputs!$B$61)^(AG$7-1)*MAX(0,MIN(1,AG$6*1-Inputs!$B$62+1))/1</f>
        <v>1</v>
      </c>
      <c r="AH116" s="119" t="n">
        <f aca="false">Inputs!$B$59*(1+Inputs!$B$61)^(AH$7-1)*MAX(0,MIN(1,AH$6*1-Inputs!$B$62+1))/1</f>
        <v>1</v>
      </c>
      <c r="AI116" s="119" t="n">
        <f aca="false">Inputs!$B$59*(1+Inputs!$B$61)^(AI$7-1)*MAX(0,MIN(1,AI$6*1-Inputs!$B$62+1))/1</f>
        <v>1</v>
      </c>
      <c r="AJ116" s="119" t="n">
        <f aca="false">Inputs!$B$59*(1+Inputs!$B$61)^(AJ$7-1)*MAX(0,MIN(1,AJ$6*1-Inputs!$B$62+1))/1</f>
        <v>1</v>
      </c>
      <c r="AK116" s="119" t="n">
        <f aca="false">Inputs!$B$59*(1+Inputs!$B$61)^(AK$7-1)*MAX(0,MIN(1,AK$6*1-Inputs!$B$62+1))/1</f>
        <v>1</v>
      </c>
      <c r="AL116" s="119" t="n">
        <f aca="false">Inputs!$B$59*(1+Inputs!$B$61)^(AL$7-1)*MAX(0,MIN(1,AL$6*1-Inputs!$B$62+1))/1</f>
        <v>1</v>
      </c>
      <c r="AM116" s="119" t="n">
        <f aca="false">Inputs!$B$59*(1+Inputs!$B$61)^(AM$7-1)*MAX(0,MIN(1,AM$6*1-Inputs!$B$62+1))/1</f>
        <v>1</v>
      </c>
      <c r="AN116" s="119" t="n">
        <f aca="false">Inputs!$B$59*(1+Inputs!$B$61)^(AN$7-1)*MAX(0,MIN(1,AN$6*1-Inputs!$B$62+1))/1</f>
        <v>1</v>
      </c>
      <c r="AO116" s="119" t="n">
        <f aca="false">Inputs!$B$59*(1+Inputs!$B$61)^(AO$7-1)*MAX(0,MIN(1,AO$6*1-Inputs!$B$62+1))/1</f>
        <v>1</v>
      </c>
      <c r="AP116" s="119" t="n">
        <f aca="false">Inputs!$B$59*(1+Inputs!$B$61)^(AP$7-1)*MAX(0,MIN(1,AP$6*1-Inputs!$B$62+1))/1</f>
        <v>1</v>
      </c>
      <c r="AQ116" s="119" t="n">
        <f aca="false">Inputs!$B$59*(1+Inputs!$B$61)^(AQ$7-1)*MAX(0,MIN(1,AQ$6*1-Inputs!$B$62+1))/1</f>
        <v>1</v>
      </c>
      <c r="AR116" s="119" t="n">
        <f aca="false">Inputs!$B$59*(1+Inputs!$B$61)^(AR$7-1)*MAX(0,MIN(1,AR$6*1-Inputs!$B$62+1))/1</f>
        <v>1</v>
      </c>
      <c r="AS116" s="119" t="n">
        <f aca="false">Inputs!$B$59*(1+Inputs!$B$61)^(AS$7-1)*MAX(0,MIN(1,AS$6*1-Inputs!$B$62+1))/1</f>
        <v>1</v>
      </c>
      <c r="AT116" s="119" t="n">
        <f aca="false">Inputs!$B$59*(1+Inputs!$B$61)^(AT$7-1)*MAX(0,MIN(1,AT$6*1-Inputs!$B$62+1))/1</f>
        <v>1</v>
      </c>
      <c r="AU116" s="119" t="n">
        <f aca="false">Inputs!$B$59*(1+Inputs!$B$61)^(AU$7-1)*MAX(0,MIN(1,AU$6*1-Inputs!$B$62+1))/1</f>
        <v>1</v>
      </c>
      <c r="AV116" s="119" t="n">
        <f aca="false">Inputs!$B$59*(1+Inputs!$B$61)^(AV$7-1)*MAX(0,MIN(1,AV$6*1-Inputs!$B$62+1))/1</f>
        <v>1</v>
      </c>
      <c r="AW116" s="119" t="n">
        <f aca="false">Inputs!$B$59*(1+Inputs!$B$61)^(AW$7-1)*MAX(0,MIN(1,AW$6*1-Inputs!$B$62+1))/1</f>
        <v>1</v>
      </c>
      <c r="AX116" s="119" t="n">
        <f aca="false">Inputs!$B$59*(1+Inputs!$B$61)^(AX$7-1)*MAX(0,MIN(1,AX$6*1-Inputs!$B$62+1))/1</f>
        <v>1</v>
      </c>
      <c r="AY116" s="119" t="n">
        <f aca="false">Inputs!$B$59*(1+Inputs!$B$61)^(AY$7-1)*MAX(0,MIN(1,AY$6*1-Inputs!$B$62+1))/1</f>
        <v>1</v>
      </c>
      <c r="AZ116" s="119" t="n">
        <f aca="false">Inputs!$B$59*(1+Inputs!$B$61)^(AZ$7-1)*MAX(0,MIN(1,AZ$6*1-Inputs!$B$62+1))/1</f>
        <v>1</v>
      </c>
      <c r="BA116" s="119" t="n">
        <f aca="false">Inputs!$B$59*(1+Inputs!$B$61)^(BA$7-1)*MAX(0,MIN(1,BA$6*1-Inputs!$B$62+1))/1</f>
        <v>1</v>
      </c>
      <c r="BB116" s="119" t="n">
        <f aca="false">Inputs!$B$59*(1+Inputs!$B$61)^(BB$7-1)*MAX(0,MIN(1,BB$6*1-Inputs!$B$62+1))/1</f>
        <v>1</v>
      </c>
      <c r="BC116" s="119" t="n">
        <f aca="false">Inputs!$B$59*(1+Inputs!$B$61)^(BC$7-1)*MAX(0,MIN(1,BC$6*1-Inputs!$B$62+1))/1</f>
        <v>1</v>
      </c>
      <c r="BD116" s="119" t="n">
        <f aca="false">Inputs!$B$59*(1+Inputs!$B$61)^(BD$7-1)*MAX(0,MIN(1,BD$6*1-Inputs!$B$62+1))/1</f>
        <v>1</v>
      </c>
      <c r="BE116" s="119" t="n">
        <f aca="false">Inputs!$B$59*(1+Inputs!$B$61)^(BE$7-1)*MAX(0,MIN(1,BE$6*1-Inputs!$B$62+1))/1</f>
        <v>1</v>
      </c>
      <c r="BF116" s="119" t="n">
        <f aca="false">Inputs!$B$59*(1+Inputs!$B$61)^(BF$7-1)*MAX(0,MIN(1,BF$6*1-Inputs!$B$62+1))/1</f>
        <v>1</v>
      </c>
      <c r="BG116" s="119" t="n">
        <f aca="false">Inputs!$B$59*(1+Inputs!$B$61)^(BG$7-1)*MAX(0,MIN(1,BG$6*1-Inputs!$B$62+1))/1</f>
        <v>1</v>
      </c>
      <c r="BH116" s="119" t="n">
        <f aca="false">Inputs!$B$59*(1+Inputs!$B$61)^(BH$7-1)*MAX(0,MIN(1,BH$6*1-Inputs!$B$62+1))/1</f>
        <v>1</v>
      </c>
      <c r="BI116" s="119" t="n">
        <f aca="false">Inputs!$B$59*(1+Inputs!$B$61)^(BI$7-1)*MAX(0,MIN(1,BI$6*1-Inputs!$B$62+1))/1</f>
        <v>1</v>
      </c>
      <c r="BJ116" s="119" t="n">
        <f aca="false">Inputs!$B$59*(1+Inputs!$B$61)^(BJ$7-1)*MAX(0,MIN(1,BJ$6*1-Inputs!$B$62+1))/1</f>
        <v>1</v>
      </c>
    </row>
    <row r="117" customFormat="false" ht="15" hidden="false" customHeight="false" outlineLevel="0" collapsed="false">
      <c r="A117" s="115" t="s">
        <v>459</v>
      </c>
      <c r="C117" s="124" t="n">
        <f aca="false">C114+C115+C116</f>
        <v>8</v>
      </c>
      <c r="D117" s="124" t="n">
        <f aca="false">D114+D115+D116</f>
        <v>8</v>
      </c>
      <c r="E117" s="124" t="n">
        <f aca="false">E114+E115+E116</f>
        <v>8</v>
      </c>
      <c r="F117" s="124" t="n">
        <f aca="false">F114+F115+F116</f>
        <v>8</v>
      </c>
      <c r="G117" s="124" t="n">
        <f aca="false">G114+G115+G116</f>
        <v>8</v>
      </c>
      <c r="H117" s="124" t="n">
        <f aca="false">H114+H115+H116</f>
        <v>8</v>
      </c>
      <c r="I117" s="124" t="n">
        <f aca="false">I114+I115+I116</f>
        <v>8</v>
      </c>
      <c r="J117" s="124" t="n">
        <f aca="false">J114+J115+J116</f>
        <v>8</v>
      </c>
      <c r="K117" s="124" t="n">
        <f aca="false">K114+K115+K116</f>
        <v>8</v>
      </c>
      <c r="L117" s="124" t="n">
        <f aca="false">L114+L115+L116</f>
        <v>8</v>
      </c>
      <c r="M117" s="124" t="n">
        <f aca="false">M114+M115+M116</f>
        <v>8</v>
      </c>
      <c r="N117" s="124" t="n">
        <f aca="false">N114+N115+N116</f>
        <v>8</v>
      </c>
      <c r="O117" s="124" t="n">
        <f aca="false">O114+O115+O116</f>
        <v>8</v>
      </c>
      <c r="P117" s="124" t="n">
        <f aca="false">P114+P115+P116</f>
        <v>8</v>
      </c>
      <c r="Q117" s="124" t="n">
        <f aca="false">Q114+Q115+Q116</f>
        <v>8</v>
      </c>
      <c r="R117" s="124" t="n">
        <f aca="false">R114+R115+R116</f>
        <v>8</v>
      </c>
      <c r="S117" s="124" t="n">
        <f aca="false">S114+S115+S116</f>
        <v>8</v>
      </c>
      <c r="T117" s="124" t="n">
        <f aca="false">T114+T115+T116</f>
        <v>8</v>
      </c>
      <c r="U117" s="124" t="n">
        <f aca="false">U114+U115+U116</f>
        <v>8</v>
      </c>
      <c r="V117" s="124" t="n">
        <f aca="false">V114+V115+V116</f>
        <v>8</v>
      </c>
      <c r="W117" s="124" t="n">
        <f aca="false">W114+W115+W116</f>
        <v>8</v>
      </c>
      <c r="X117" s="124" t="n">
        <f aca="false">X114+X115+X116</f>
        <v>8</v>
      </c>
      <c r="Y117" s="124" t="n">
        <f aca="false">Y114+Y115+Y116</f>
        <v>8</v>
      </c>
      <c r="Z117" s="124" t="n">
        <f aca="false">Z114+Z115+Z116</f>
        <v>8</v>
      </c>
      <c r="AA117" s="124" t="n">
        <f aca="false">AA114+AA115+AA116</f>
        <v>8</v>
      </c>
      <c r="AB117" s="124" t="n">
        <f aca="false">AB114+AB115+AB116</f>
        <v>8</v>
      </c>
      <c r="AC117" s="124" t="n">
        <f aca="false">AC114+AC115+AC116</f>
        <v>8</v>
      </c>
      <c r="AD117" s="124" t="n">
        <f aca="false">AD114+AD115+AD116</f>
        <v>8</v>
      </c>
      <c r="AE117" s="124" t="n">
        <f aca="false">AE114+AE115+AE116</f>
        <v>8</v>
      </c>
      <c r="AF117" s="124" t="n">
        <f aca="false">AF114+AF115+AF116</f>
        <v>8</v>
      </c>
      <c r="AG117" s="124" t="n">
        <f aca="false">AG114+AG115+AG116</f>
        <v>8</v>
      </c>
      <c r="AH117" s="124" t="n">
        <f aca="false">AH114+AH115+AH116</f>
        <v>8</v>
      </c>
      <c r="AI117" s="124" t="n">
        <f aca="false">AI114+AI115+AI116</f>
        <v>8</v>
      </c>
      <c r="AJ117" s="124" t="n">
        <f aca="false">AJ114+AJ115+AJ116</f>
        <v>8</v>
      </c>
      <c r="AK117" s="124" t="n">
        <f aca="false">AK114+AK115+AK116</f>
        <v>8</v>
      </c>
      <c r="AL117" s="124" t="n">
        <f aca="false">AL114+AL115+AL116</f>
        <v>8</v>
      </c>
      <c r="AM117" s="124" t="n">
        <f aca="false">AM114+AM115+AM116</f>
        <v>8</v>
      </c>
      <c r="AN117" s="124" t="n">
        <f aca="false">AN114+AN115+AN116</f>
        <v>8</v>
      </c>
      <c r="AO117" s="124" t="n">
        <f aca="false">AO114+AO115+AO116</f>
        <v>8</v>
      </c>
      <c r="AP117" s="124" t="n">
        <f aca="false">AP114+AP115+AP116</f>
        <v>8</v>
      </c>
      <c r="AQ117" s="124" t="n">
        <f aca="false">AQ114+AQ115+AQ116</f>
        <v>8</v>
      </c>
      <c r="AR117" s="124" t="n">
        <f aca="false">AR114+AR115+AR116</f>
        <v>8</v>
      </c>
      <c r="AS117" s="124" t="n">
        <f aca="false">AS114+AS115+AS116</f>
        <v>8</v>
      </c>
      <c r="AT117" s="124" t="n">
        <f aca="false">AT114+AT115+AT116</f>
        <v>8</v>
      </c>
      <c r="AU117" s="124" t="n">
        <f aca="false">AU114+AU115+AU116</f>
        <v>8</v>
      </c>
      <c r="AV117" s="124" t="n">
        <f aca="false">AV114+AV115+AV116</f>
        <v>8</v>
      </c>
      <c r="AW117" s="124" t="n">
        <f aca="false">AW114+AW115+AW116</f>
        <v>8</v>
      </c>
      <c r="AX117" s="124" t="n">
        <f aca="false">AX114+AX115+AX116</f>
        <v>8</v>
      </c>
      <c r="AY117" s="124" t="n">
        <f aca="false">AY114+AY115+AY116</f>
        <v>8</v>
      </c>
      <c r="AZ117" s="124" t="n">
        <f aca="false">AZ114+AZ115+AZ116</f>
        <v>8</v>
      </c>
      <c r="BA117" s="124" t="n">
        <f aca="false">BA114+BA115+BA116</f>
        <v>8</v>
      </c>
      <c r="BB117" s="124" t="n">
        <f aca="false">BB114+BB115+BB116</f>
        <v>8</v>
      </c>
      <c r="BC117" s="124" t="n">
        <f aca="false">BC114+BC115+BC116</f>
        <v>8</v>
      </c>
      <c r="BD117" s="124" t="n">
        <f aca="false">BD114+BD115+BD116</f>
        <v>8</v>
      </c>
      <c r="BE117" s="124" t="n">
        <f aca="false">BE114+BE115+BE116</f>
        <v>8</v>
      </c>
      <c r="BF117" s="124" t="n">
        <f aca="false">BF114+BF115+BF116</f>
        <v>8</v>
      </c>
      <c r="BG117" s="124" t="n">
        <f aca="false">BG114+BG115+BG116</f>
        <v>8</v>
      </c>
      <c r="BH117" s="124" t="n">
        <f aca="false">BH114+BH115+BH116</f>
        <v>8</v>
      </c>
      <c r="BI117" s="124" t="n">
        <f aca="false">BI114+BI115+BI116</f>
        <v>8</v>
      </c>
      <c r="BJ117" s="124" t="n">
        <f aca="false">BJ114+BJ115+BJ116</f>
        <v>8</v>
      </c>
    </row>
    <row r="119" customFormat="false" ht="15.75" hidden="false" customHeight="true" outlineLevel="0" collapsed="false">
      <c r="A119" s="7" t="s">
        <v>460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customFormat="false" ht="15" hidden="false" customHeight="false" outlineLevel="0" collapsed="false">
      <c r="A120" s="6" t="s">
        <v>461</v>
      </c>
      <c r="C120" s="69" t="n">
        <f aca="false">-C114*Inputs!$B$52/12*1*(1+Inputs!$B$63)*(1+Inputs!$B$64)^(C$7-1)</f>
        <v>-37375</v>
      </c>
      <c r="D120" s="69" t="n">
        <f aca="false">-D114*Inputs!$B$52/12*1*(1+Inputs!$B$63)*(1+Inputs!$B$64)^(D$7-1)</f>
        <v>-37375</v>
      </c>
      <c r="E120" s="69" t="n">
        <f aca="false">-E114*Inputs!$B$52/12*1*(1+Inputs!$B$63)*(1+Inputs!$B$64)^(E$7-1)</f>
        <v>-37375</v>
      </c>
      <c r="F120" s="69" t="n">
        <f aca="false">-F114*Inputs!$B$52/12*1*(1+Inputs!$B$63)*(1+Inputs!$B$64)^(F$7-1)</f>
        <v>-37375</v>
      </c>
      <c r="G120" s="69" t="n">
        <f aca="false">-G114*Inputs!$B$52/12*1*(1+Inputs!$B$63)*(1+Inputs!$B$64)^(G$7-1)</f>
        <v>-37375</v>
      </c>
      <c r="H120" s="69" t="n">
        <f aca="false">-H114*Inputs!$B$52/12*1*(1+Inputs!$B$63)*(1+Inputs!$B$64)^(H$7-1)</f>
        <v>-37375</v>
      </c>
      <c r="I120" s="69" t="n">
        <f aca="false">-I114*Inputs!$B$52/12*1*(1+Inputs!$B$63)*(1+Inputs!$B$64)^(I$7-1)</f>
        <v>-37375</v>
      </c>
      <c r="J120" s="69" t="n">
        <f aca="false">-J114*Inputs!$B$52/12*1*(1+Inputs!$B$63)*(1+Inputs!$B$64)^(J$7-1)</f>
        <v>-37375</v>
      </c>
      <c r="K120" s="69" t="n">
        <f aca="false">-K114*Inputs!$B$52/12*1*(1+Inputs!$B$63)*(1+Inputs!$B$64)^(K$7-1)</f>
        <v>-37375</v>
      </c>
      <c r="L120" s="69" t="n">
        <f aca="false">-L114*Inputs!$B$52/12*1*(1+Inputs!$B$63)*(1+Inputs!$B$64)^(L$7-1)</f>
        <v>-37375</v>
      </c>
      <c r="M120" s="69" t="n">
        <f aca="false">-M114*Inputs!$B$52/12*1*(1+Inputs!$B$63)*(1+Inputs!$B$64)^(M$7-1)</f>
        <v>-37375</v>
      </c>
      <c r="N120" s="69" t="n">
        <f aca="false">-N114*Inputs!$B$52/12*1*(1+Inputs!$B$63)*(1+Inputs!$B$64)^(N$7-1)</f>
        <v>-37375</v>
      </c>
      <c r="O120" s="69" t="n">
        <f aca="false">-O114*Inputs!$B$52/12*1*(1+Inputs!$B$63)*(1+Inputs!$B$64)^(O$7-1)</f>
        <v>-38870</v>
      </c>
      <c r="P120" s="69" t="n">
        <f aca="false">-P114*Inputs!$B$52/12*1*(1+Inputs!$B$63)*(1+Inputs!$B$64)^(P$7-1)</f>
        <v>-38870</v>
      </c>
      <c r="Q120" s="69" t="n">
        <f aca="false">-Q114*Inputs!$B$52/12*1*(1+Inputs!$B$63)*(1+Inputs!$B$64)^(Q$7-1)</f>
        <v>-38870</v>
      </c>
      <c r="R120" s="69" t="n">
        <f aca="false">-R114*Inputs!$B$52/12*1*(1+Inputs!$B$63)*(1+Inputs!$B$64)^(R$7-1)</f>
        <v>-38870</v>
      </c>
      <c r="S120" s="69" t="n">
        <f aca="false">-S114*Inputs!$B$52/12*1*(1+Inputs!$B$63)*(1+Inputs!$B$64)^(S$7-1)</f>
        <v>-38870</v>
      </c>
      <c r="T120" s="69" t="n">
        <f aca="false">-T114*Inputs!$B$52/12*1*(1+Inputs!$B$63)*(1+Inputs!$B$64)^(T$7-1)</f>
        <v>-38870</v>
      </c>
      <c r="U120" s="69" t="n">
        <f aca="false">-U114*Inputs!$B$52/12*1*(1+Inputs!$B$63)*(1+Inputs!$B$64)^(U$7-1)</f>
        <v>-38870</v>
      </c>
      <c r="V120" s="69" t="n">
        <f aca="false">-V114*Inputs!$B$52/12*1*(1+Inputs!$B$63)*(1+Inputs!$B$64)^(V$7-1)</f>
        <v>-38870</v>
      </c>
      <c r="W120" s="69" t="n">
        <f aca="false">-W114*Inputs!$B$52/12*1*(1+Inputs!$B$63)*(1+Inputs!$B$64)^(W$7-1)</f>
        <v>-38870</v>
      </c>
      <c r="X120" s="69" t="n">
        <f aca="false">-X114*Inputs!$B$52/12*1*(1+Inputs!$B$63)*(1+Inputs!$B$64)^(X$7-1)</f>
        <v>-38870</v>
      </c>
      <c r="Y120" s="69" t="n">
        <f aca="false">-Y114*Inputs!$B$52/12*1*(1+Inputs!$B$63)*(1+Inputs!$B$64)^(Y$7-1)</f>
        <v>-38870</v>
      </c>
      <c r="Z120" s="69" t="n">
        <f aca="false">-Z114*Inputs!$B$52/12*1*(1+Inputs!$B$63)*(1+Inputs!$B$64)^(Z$7-1)</f>
        <v>-38870</v>
      </c>
      <c r="AA120" s="69" t="n">
        <f aca="false">-AA114*Inputs!$B$52/12*1*(1+Inputs!$B$63)*(1+Inputs!$B$64)^(AA$7-1)</f>
        <v>-40424.8</v>
      </c>
      <c r="AB120" s="69" t="n">
        <f aca="false">-AB114*Inputs!$B$52/12*1*(1+Inputs!$B$63)*(1+Inputs!$B$64)^(AB$7-1)</f>
        <v>-40424.8</v>
      </c>
      <c r="AC120" s="69" t="n">
        <f aca="false">-AC114*Inputs!$B$52/12*1*(1+Inputs!$B$63)*(1+Inputs!$B$64)^(AC$7-1)</f>
        <v>-40424.8</v>
      </c>
      <c r="AD120" s="69" t="n">
        <f aca="false">-AD114*Inputs!$B$52/12*1*(1+Inputs!$B$63)*(1+Inputs!$B$64)^(AD$7-1)</f>
        <v>-40424.8</v>
      </c>
      <c r="AE120" s="69" t="n">
        <f aca="false">-AE114*Inputs!$B$52/12*1*(1+Inputs!$B$63)*(1+Inputs!$B$64)^(AE$7-1)</f>
        <v>-40424.8</v>
      </c>
      <c r="AF120" s="69" t="n">
        <f aca="false">-AF114*Inputs!$B$52/12*1*(1+Inputs!$B$63)*(1+Inputs!$B$64)^(AF$7-1)</f>
        <v>-40424.8</v>
      </c>
      <c r="AG120" s="69" t="n">
        <f aca="false">-AG114*Inputs!$B$52/12*1*(1+Inputs!$B$63)*(1+Inputs!$B$64)^(AG$7-1)</f>
        <v>-40424.8</v>
      </c>
      <c r="AH120" s="69" t="n">
        <f aca="false">-AH114*Inputs!$B$52/12*1*(1+Inputs!$B$63)*(1+Inputs!$B$64)^(AH$7-1)</f>
        <v>-40424.8</v>
      </c>
      <c r="AI120" s="69" t="n">
        <f aca="false">-AI114*Inputs!$B$52/12*1*(1+Inputs!$B$63)*(1+Inputs!$B$64)^(AI$7-1)</f>
        <v>-40424.8</v>
      </c>
      <c r="AJ120" s="69" t="n">
        <f aca="false">-AJ114*Inputs!$B$52/12*1*(1+Inputs!$B$63)*(1+Inputs!$B$64)^(AJ$7-1)</f>
        <v>-40424.8</v>
      </c>
      <c r="AK120" s="69" t="n">
        <f aca="false">-AK114*Inputs!$B$52/12*1*(1+Inputs!$B$63)*(1+Inputs!$B$64)^(AK$7-1)</f>
        <v>-40424.8</v>
      </c>
      <c r="AL120" s="69" t="n">
        <f aca="false">-AL114*Inputs!$B$52/12*1*(1+Inputs!$B$63)*(1+Inputs!$B$64)^(AL$7-1)</f>
        <v>-40424.8</v>
      </c>
      <c r="AM120" s="69" t="n">
        <f aca="false">-AM114*Inputs!$B$52/12*1*(1+Inputs!$B$63)*(1+Inputs!$B$64)^(AM$7-1)</f>
        <v>-42041.792</v>
      </c>
      <c r="AN120" s="69" t="n">
        <f aca="false">-AN114*Inputs!$B$52/12*1*(1+Inputs!$B$63)*(1+Inputs!$B$64)^(AN$7-1)</f>
        <v>-42041.792</v>
      </c>
      <c r="AO120" s="69" t="n">
        <f aca="false">-AO114*Inputs!$B$52/12*1*(1+Inputs!$B$63)*(1+Inputs!$B$64)^(AO$7-1)</f>
        <v>-42041.792</v>
      </c>
      <c r="AP120" s="69" t="n">
        <f aca="false">-AP114*Inputs!$B$52/12*1*(1+Inputs!$B$63)*(1+Inputs!$B$64)^(AP$7-1)</f>
        <v>-42041.792</v>
      </c>
      <c r="AQ120" s="69" t="n">
        <f aca="false">-AQ114*Inputs!$B$52/12*1*(1+Inputs!$B$63)*(1+Inputs!$B$64)^(AQ$7-1)</f>
        <v>-42041.792</v>
      </c>
      <c r="AR120" s="69" t="n">
        <f aca="false">-AR114*Inputs!$B$52/12*1*(1+Inputs!$B$63)*(1+Inputs!$B$64)^(AR$7-1)</f>
        <v>-42041.792</v>
      </c>
      <c r="AS120" s="69" t="n">
        <f aca="false">-AS114*Inputs!$B$52/12*1*(1+Inputs!$B$63)*(1+Inputs!$B$64)^(AS$7-1)</f>
        <v>-42041.792</v>
      </c>
      <c r="AT120" s="69" t="n">
        <f aca="false">-AT114*Inputs!$B$52/12*1*(1+Inputs!$B$63)*(1+Inputs!$B$64)^(AT$7-1)</f>
        <v>-42041.792</v>
      </c>
      <c r="AU120" s="69" t="n">
        <f aca="false">-AU114*Inputs!$B$52/12*1*(1+Inputs!$B$63)*(1+Inputs!$B$64)^(AU$7-1)</f>
        <v>-42041.792</v>
      </c>
      <c r="AV120" s="69" t="n">
        <f aca="false">-AV114*Inputs!$B$52/12*1*(1+Inputs!$B$63)*(1+Inputs!$B$64)^(AV$7-1)</f>
        <v>-42041.792</v>
      </c>
      <c r="AW120" s="69" t="n">
        <f aca="false">-AW114*Inputs!$B$52/12*1*(1+Inputs!$B$63)*(1+Inputs!$B$64)^(AW$7-1)</f>
        <v>-42041.792</v>
      </c>
      <c r="AX120" s="69" t="n">
        <f aca="false">-AX114*Inputs!$B$52/12*1*(1+Inputs!$B$63)*(1+Inputs!$B$64)^(AX$7-1)</f>
        <v>-42041.792</v>
      </c>
      <c r="AY120" s="69" t="n">
        <f aca="false">-AY114*Inputs!$B$52/12*1*(1+Inputs!$B$63)*(1+Inputs!$B$64)^(AY$7-1)</f>
        <v>-43723.46368</v>
      </c>
      <c r="AZ120" s="69" t="n">
        <f aca="false">-AZ114*Inputs!$B$52/12*1*(1+Inputs!$B$63)*(1+Inputs!$B$64)^(AZ$7-1)</f>
        <v>-43723.46368</v>
      </c>
      <c r="BA120" s="69" t="n">
        <f aca="false">-BA114*Inputs!$B$52/12*1*(1+Inputs!$B$63)*(1+Inputs!$B$64)^(BA$7-1)</f>
        <v>-43723.46368</v>
      </c>
      <c r="BB120" s="69" t="n">
        <f aca="false">-BB114*Inputs!$B$52/12*1*(1+Inputs!$B$63)*(1+Inputs!$B$64)^(BB$7-1)</f>
        <v>-43723.46368</v>
      </c>
      <c r="BC120" s="69" t="n">
        <f aca="false">-BC114*Inputs!$B$52/12*1*(1+Inputs!$B$63)*(1+Inputs!$B$64)^(BC$7-1)</f>
        <v>-43723.46368</v>
      </c>
      <c r="BD120" s="69" t="n">
        <f aca="false">-BD114*Inputs!$B$52/12*1*(1+Inputs!$B$63)*(1+Inputs!$B$64)^(BD$7-1)</f>
        <v>-43723.46368</v>
      </c>
      <c r="BE120" s="69" t="n">
        <f aca="false">-BE114*Inputs!$B$52/12*1*(1+Inputs!$B$63)*(1+Inputs!$B$64)^(BE$7-1)</f>
        <v>-43723.46368</v>
      </c>
      <c r="BF120" s="69" t="n">
        <f aca="false">-BF114*Inputs!$B$52/12*1*(1+Inputs!$B$63)*(1+Inputs!$B$64)^(BF$7-1)</f>
        <v>-43723.46368</v>
      </c>
      <c r="BG120" s="69" t="n">
        <f aca="false">-BG114*Inputs!$B$52/12*1*(1+Inputs!$B$63)*(1+Inputs!$B$64)^(BG$7-1)</f>
        <v>-43723.46368</v>
      </c>
      <c r="BH120" s="69" t="n">
        <f aca="false">-BH114*Inputs!$B$52/12*1*(1+Inputs!$B$63)*(1+Inputs!$B$64)^(BH$7-1)</f>
        <v>-43723.46368</v>
      </c>
      <c r="BI120" s="69" t="n">
        <f aca="false">-BI114*Inputs!$B$52/12*1*(1+Inputs!$B$63)*(1+Inputs!$B$64)^(BI$7-1)</f>
        <v>-43723.46368</v>
      </c>
      <c r="BJ120" s="69" t="n">
        <f aca="false">-BJ114*Inputs!$B$52/12*1*(1+Inputs!$B$63)*(1+Inputs!$B$64)^(BJ$7-1)</f>
        <v>-43723.46368</v>
      </c>
    </row>
    <row r="121" customFormat="false" ht="15" hidden="false" customHeight="false" outlineLevel="0" collapsed="false">
      <c r="A121" s="6" t="s">
        <v>462</v>
      </c>
      <c r="C121" s="69" t="n">
        <f aca="false">-C115*Inputs!$B$56/12*1*(1+Inputs!$B$63)*(1+Inputs!$B$64)^(C$7-1)</f>
        <v>-9583.33333333333</v>
      </c>
      <c r="D121" s="69" t="n">
        <f aca="false">-D115*Inputs!$B$56/12*1*(1+Inputs!$B$63)*(1+Inputs!$B$64)^(D$7-1)</f>
        <v>-9583.33333333333</v>
      </c>
      <c r="E121" s="69" t="n">
        <f aca="false">-E115*Inputs!$B$56/12*1*(1+Inputs!$B$63)*(1+Inputs!$B$64)^(E$7-1)</f>
        <v>-9583.33333333333</v>
      </c>
      <c r="F121" s="69" t="n">
        <f aca="false">-F115*Inputs!$B$56/12*1*(1+Inputs!$B$63)*(1+Inputs!$B$64)^(F$7-1)</f>
        <v>-9583.33333333333</v>
      </c>
      <c r="G121" s="69" t="n">
        <f aca="false">-G115*Inputs!$B$56/12*1*(1+Inputs!$B$63)*(1+Inputs!$B$64)^(G$7-1)</f>
        <v>-9583.33333333333</v>
      </c>
      <c r="H121" s="69" t="n">
        <f aca="false">-H115*Inputs!$B$56/12*1*(1+Inputs!$B$63)*(1+Inputs!$B$64)^(H$7-1)</f>
        <v>-9583.33333333333</v>
      </c>
      <c r="I121" s="69" t="n">
        <f aca="false">-I115*Inputs!$B$56/12*1*(1+Inputs!$B$63)*(1+Inputs!$B$64)^(I$7-1)</f>
        <v>-9583.33333333333</v>
      </c>
      <c r="J121" s="69" t="n">
        <f aca="false">-J115*Inputs!$B$56/12*1*(1+Inputs!$B$63)*(1+Inputs!$B$64)^(J$7-1)</f>
        <v>-9583.33333333333</v>
      </c>
      <c r="K121" s="69" t="n">
        <f aca="false">-K115*Inputs!$B$56/12*1*(1+Inputs!$B$63)*(1+Inputs!$B$64)^(K$7-1)</f>
        <v>-9583.33333333333</v>
      </c>
      <c r="L121" s="69" t="n">
        <f aca="false">-L115*Inputs!$B$56/12*1*(1+Inputs!$B$63)*(1+Inputs!$B$64)^(L$7-1)</f>
        <v>-9583.33333333333</v>
      </c>
      <c r="M121" s="69" t="n">
        <f aca="false">-M115*Inputs!$B$56/12*1*(1+Inputs!$B$63)*(1+Inputs!$B$64)^(M$7-1)</f>
        <v>-9583.33333333333</v>
      </c>
      <c r="N121" s="69" t="n">
        <f aca="false">-N115*Inputs!$B$56/12*1*(1+Inputs!$B$63)*(1+Inputs!$B$64)^(N$7-1)</f>
        <v>-9583.33333333333</v>
      </c>
      <c r="O121" s="69" t="n">
        <f aca="false">-O115*Inputs!$B$56/12*1*(1+Inputs!$B$63)*(1+Inputs!$B$64)^(O$7-1)</f>
        <v>-9966.66666666667</v>
      </c>
      <c r="P121" s="69" t="n">
        <f aca="false">-P115*Inputs!$B$56/12*1*(1+Inputs!$B$63)*(1+Inputs!$B$64)^(P$7-1)</f>
        <v>-9966.66666666667</v>
      </c>
      <c r="Q121" s="69" t="n">
        <f aca="false">-Q115*Inputs!$B$56/12*1*(1+Inputs!$B$63)*(1+Inputs!$B$64)^(Q$7-1)</f>
        <v>-9966.66666666667</v>
      </c>
      <c r="R121" s="69" t="n">
        <f aca="false">-R115*Inputs!$B$56/12*1*(1+Inputs!$B$63)*(1+Inputs!$B$64)^(R$7-1)</f>
        <v>-9966.66666666667</v>
      </c>
      <c r="S121" s="69" t="n">
        <f aca="false">-S115*Inputs!$B$56/12*1*(1+Inputs!$B$63)*(1+Inputs!$B$64)^(S$7-1)</f>
        <v>-9966.66666666667</v>
      </c>
      <c r="T121" s="69" t="n">
        <f aca="false">-T115*Inputs!$B$56/12*1*(1+Inputs!$B$63)*(1+Inputs!$B$64)^(T$7-1)</f>
        <v>-9966.66666666667</v>
      </c>
      <c r="U121" s="69" t="n">
        <f aca="false">-U115*Inputs!$B$56/12*1*(1+Inputs!$B$63)*(1+Inputs!$B$64)^(U$7-1)</f>
        <v>-9966.66666666667</v>
      </c>
      <c r="V121" s="69" t="n">
        <f aca="false">-V115*Inputs!$B$56/12*1*(1+Inputs!$B$63)*(1+Inputs!$B$64)^(V$7-1)</f>
        <v>-9966.66666666667</v>
      </c>
      <c r="W121" s="69" t="n">
        <f aca="false">-W115*Inputs!$B$56/12*1*(1+Inputs!$B$63)*(1+Inputs!$B$64)^(W$7-1)</f>
        <v>-9966.66666666667</v>
      </c>
      <c r="X121" s="69" t="n">
        <f aca="false">-X115*Inputs!$B$56/12*1*(1+Inputs!$B$63)*(1+Inputs!$B$64)^(X$7-1)</f>
        <v>-9966.66666666667</v>
      </c>
      <c r="Y121" s="69" t="n">
        <f aca="false">-Y115*Inputs!$B$56/12*1*(1+Inputs!$B$63)*(1+Inputs!$B$64)^(Y$7-1)</f>
        <v>-9966.66666666667</v>
      </c>
      <c r="Z121" s="69" t="n">
        <f aca="false">-Z115*Inputs!$B$56/12*1*(1+Inputs!$B$63)*(1+Inputs!$B$64)^(Z$7-1)</f>
        <v>-9966.66666666667</v>
      </c>
      <c r="AA121" s="69" t="n">
        <f aca="false">-AA115*Inputs!$B$56/12*1*(1+Inputs!$B$63)*(1+Inputs!$B$64)^(AA$7-1)</f>
        <v>-10365.3333333333</v>
      </c>
      <c r="AB121" s="69" t="n">
        <f aca="false">-AB115*Inputs!$B$56/12*1*(1+Inputs!$B$63)*(1+Inputs!$B$64)^(AB$7-1)</f>
        <v>-10365.3333333333</v>
      </c>
      <c r="AC121" s="69" t="n">
        <f aca="false">-AC115*Inputs!$B$56/12*1*(1+Inputs!$B$63)*(1+Inputs!$B$64)^(AC$7-1)</f>
        <v>-10365.3333333333</v>
      </c>
      <c r="AD121" s="69" t="n">
        <f aca="false">-AD115*Inputs!$B$56/12*1*(1+Inputs!$B$63)*(1+Inputs!$B$64)^(AD$7-1)</f>
        <v>-10365.3333333333</v>
      </c>
      <c r="AE121" s="69" t="n">
        <f aca="false">-AE115*Inputs!$B$56/12*1*(1+Inputs!$B$63)*(1+Inputs!$B$64)^(AE$7-1)</f>
        <v>-10365.3333333333</v>
      </c>
      <c r="AF121" s="69" t="n">
        <f aca="false">-AF115*Inputs!$B$56/12*1*(1+Inputs!$B$63)*(1+Inputs!$B$64)^(AF$7-1)</f>
        <v>-10365.3333333333</v>
      </c>
      <c r="AG121" s="69" t="n">
        <f aca="false">-AG115*Inputs!$B$56/12*1*(1+Inputs!$B$63)*(1+Inputs!$B$64)^(AG$7-1)</f>
        <v>-10365.3333333333</v>
      </c>
      <c r="AH121" s="69" t="n">
        <f aca="false">-AH115*Inputs!$B$56/12*1*(1+Inputs!$B$63)*(1+Inputs!$B$64)^(AH$7-1)</f>
        <v>-10365.3333333333</v>
      </c>
      <c r="AI121" s="69" t="n">
        <f aca="false">-AI115*Inputs!$B$56/12*1*(1+Inputs!$B$63)*(1+Inputs!$B$64)^(AI$7-1)</f>
        <v>-10365.3333333333</v>
      </c>
      <c r="AJ121" s="69" t="n">
        <f aca="false">-AJ115*Inputs!$B$56/12*1*(1+Inputs!$B$63)*(1+Inputs!$B$64)^(AJ$7-1)</f>
        <v>-10365.3333333333</v>
      </c>
      <c r="AK121" s="69" t="n">
        <f aca="false">-AK115*Inputs!$B$56/12*1*(1+Inputs!$B$63)*(1+Inputs!$B$64)^(AK$7-1)</f>
        <v>-10365.3333333333</v>
      </c>
      <c r="AL121" s="69" t="n">
        <f aca="false">-AL115*Inputs!$B$56/12*1*(1+Inputs!$B$63)*(1+Inputs!$B$64)^(AL$7-1)</f>
        <v>-10365.3333333333</v>
      </c>
      <c r="AM121" s="69" t="n">
        <f aca="false">-AM115*Inputs!$B$56/12*1*(1+Inputs!$B$63)*(1+Inputs!$B$64)^(AM$7-1)</f>
        <v>-10779.9466666667</v>
      </c>
      <c r="AN121" s="69" t="n">
        <f aca="false">-AN115*Inputs!$B$56/12*1*(1+Inputs!$B$63)*(1+Inputs!$B$64)^(AN$7-1)</f>
        <v>-10779.9466666667</v>
      </c>
      <c r="AO121" s="69" t="n">
        <f aca="false">-AO115*Inputs!$B$56/12*1*(1+Inputs!$B$63)*(1+Inputs!$B$64)^(AO$7-1)</f>
        <v>-10779.9466666667</v>
      </c>
      <c r="AP121" s="69" t="n">
        <f aca="false">-AP115*Inputs!$B$56/12*1*(1+Inputs!$B$63)*(1+Inputs!$B$64)^(AP$7-1)</f>
        <v>-10779.9466666667</v>
      </c>
      <c r="AQ121" s="69" t="n">
        <f aca="false">-AQ115*Inputs!$B$56/12*1*(1+Inputs!$B$63)*(1+Inputs!$B$64)^(AQ$7-1)</f>
        <v>-10779.9466666667</v>
      </c>
      <c r="AR121" s="69" t="n">
        <f aca="false">-AR115*Inputs!$B$56/12*1*(1+Inputs!$B$63)*(1+Inputs!$B$64)^(AR$7-1)</f>
        <v>-10779.9466666667</v>
      </c>
      <c r="AS121" s="69" t="n">
        <f aca="false">-AS115*Inputs!$B$56/12*1*(1+Inputs!$B$63)*(1+Inputs!$B$64)^(AS$7-1)</f>
        <v>-10779.9466666667</v>
      </c>
      <c r="AT121" s="69" t="n">
        <f aca="false">-AT115*Inputs!$B$56/12*1*(1+Inputs!$B$63)*(1+Inputs!$B$64)^(AT$7-1)</f>
        <v>-10779.9466666667</v>
      </c>
      <c r="AU121" s="69" t="n">
        <f aca="false">-AU115*Inputs!$B$56/12*1*(1+Inputs!$B$63)*(1+Inputs!$B$64)^(AU$7-1)</f>
        <v>-10779.9466666667</v>
      </c>
      <c r="AV121" s="69" t="n">
        <f aca="false">-AV115*Inputs!$B$56/12*1*(1+Inputs!$B$63)*(1+Inputs!$B$64)^(AV$7-1)</f>
        <v>-10779.9466666667</v>
      </c>
      <c r="AW121" s="69" t="n">
        <f aca="false">-AW115*Inputs!$B$56/12*1*(1+Inputs!$B$63)*(1+Inputs!$B$64)^(AW$7-1)</f>
        <v>-10779.9466666667</v>
      </c>
      <c r="AX121" s="69" t="n">
        <f aca="false">-AX115*Inputs!$B$56/12*1*(1+Inputs!$B$63)*(1+Inputs!$B$64)^(AX$7-1)</f>
        <v>-10779.9466666667</v>
      </c>
      <c r="AY121" s="69" t="n">
        <f aca="false">-AY115*Inputs!$B$56/12*1*(1+Inputs!$B$63)*(1+Inputs!$B$64)^(AY$7-1)</f>
        <v>-11211.1445333333</v>
      </c>
      <c r="AZ121" s="69" t="n">
        <f aca="false">-AZ115*Inputs!$B$56/12*1*(1+Inputs!$B$63)*(1+Inputs!$B$64)^(AZ$7-1)</f>
        <v>-11211.1445333333</v>
      </c>
      <c r="BA121" s="69" t="n">
        <f aca="false">-BA115*Inputs!$B$56/12*1*(1+Inputs!$B$63)*(1+Inputs!$B$64)^(BA$7-1)</f>
        <v>-11211.1445333333</v>
      </c>
      <c r="BB121" s="69" t="n">
        <f aca="false">-BB115*Inputs!$B$56/12*1*(1+Inputs!$B$63)*(1+Inputs!$B$64)^(BB$7-1)</f>
        <v>-11211.1445333333</v>
      </c>
      <c r="BC121" s="69" t="n">
        <f aca="false">-BC115*Inputs!$B$56/12*1*(1+Inputs!$B$63)*(1+Inputs!$B$64)^(BC$7-1)</f>
        <v>-11211.1445333333</v>
      </c>
      <c r="BD121" s="69" t="n">
        <f aca="false">-BD115*Inputs!$B$56/12*1*(1+Inputs!$B$63)*(1+Inputs!$B$64)^(BD$7-1)</f>
        <v>-11211.1445333333</v>
      </c>
      <c r="BE121" s="69" t="n">
        <f aca="false">-BE115*Inputs!$B$56/12*1*(1+Inputs!$B$63)*(1+Inputs!$B$64)^(BE$7-1)</f>
        <v>-11211.1445333333</v>
      </c>
      <c r="BF121" s="69" t="n">
        <f aca="false">-BF115*Inputs!$B$56/12*1*(1+Inputs!$B$63)*(1+Inputs!$B$64)^(BF$7-1)</f>
        <v>-11211.1445333333</v>
      </c>
      <c r="BG121" s="69" t="n">
        <f aca="false">-BG115*Inputs!$B$56/12*1*(1+Inputs!$B$63)*(1+Inputs!$B$64)^(BG$7-1)</f>
        <v>-11211.1445333333</v>
      </c>
      <c r="BH121" s="69" t="n">
        <f aca="false">-BH115*Inputs!$B$56/12*1*(1+Inputs!$B$63)*(1+Inputs!$B$64)^(BH$7-1)</f>
        <v>-11211.1445333333</v>
      </c>
      <c r="BI121" s="69" t="n">
        <f aca="false">-BI115*Inputs!$B$56/12*1*(1+Inputs!$B$63)*(1+Inputs!$B$64)^(BI$7-1)</f>
        <v>-11211.1445333333</v>
      </c>
      <c r="BJ121" s="69" t="n">
        <f aca="false">-BJ115*Inputs!$B$56/12*1*(1+Inputs!$B$63)*(1+Inputs!$B$64)^(BJ$7-1)</f>
        <v>-11211.1445333333</v>
      </c>
    </row>
    <row r="122" customFormat="false" ht="15" hidden="false" customHeight="false" outlineLevel="0" collapsed="false">
      <c r="A122" s="6" t="s">
        <v>463</v>
      </c>
      <c r="C122" s="69" t="n">
        <f aca="false">-C116*Inputs!$B$60/12*1*(1+Inputs!$B$63)*(1+Inputs!$B$64)^(C$7-1)</f>
        <v>-8145.83333333333</v>
      </c>
      <c r="D122" s="69" t="n">
        <f aca="false">-D116*Inputs!$B$60/12*1*(1+Inputs!$B$63)*(1+Inputs!$B$64)^(D$7-1)</f>
        <v>-8145.83333333333</v>
      </c>
      <c r="E122" s="69" t="n">
        <f aca="false">-E116*Inputs!$B$60/12*1*(1+Inputs!$B$63)*(1+Inputs!$B$64)^(E$7-1)</f>
        <v>-8145.83333333333</v>
      </c>
      <c r="F122" s="69" t="n">
        <f aca="false">-F116*Inputs!$B$60/12*1*(1+Inputs!$B$63)*(1+Inputs!$B$64)^(F$7-1)</f>
        <v>-8145.83333333333</v>
      </c>
      <c r="G122" s="69" t="n">
        <f aca="false">-G116*Inputs!$B$60/12*1*(1+Inputs!$B$63)*(1+Inputs!$B$64)^(G$7-1)</f>
        <v>-8145.83333333333</v>
      </c>
      <c r="H122" s="69" t="n">
        <f aca="false">-H116*Inputs!$B$60/12*1*(1+Inputs!$B$63)*(1+Inputs!$B$64)^(H$7-1)</f>
        <v>-8145.83333333333</v>
      </c>
      <c r="I122" s="69" t="n">
        <f aca="false">-I116*Inputs!$B$60/12*1*(1+Inputs!$B$63)*(1+Inputs!$B$64)^(I$7-1)</f>
        <v>-8145.83333333333</v>
      </c>
      <c r="J122" s="69" t="n">
        <f aca="false">-J116*Inputs!$B$60/12*1*(1+Inputs!$B$63)*(1+Inputs!$B$64)^(J$7-1)</f>
        <v>-8145.83333333333</v>
      </c>
      <c r="K122" s="69" t="n">
        <f aca="false">-K116*Inputs!$B$60/12*1*(1+Inputs!$B$63)*(1+Inputs!$B$64)^(K$7-1)</f>
        <v>-8145.83333333333</v>
      </c>
      <c r="L122" s="69" t="n">
        <f aca="false">-L116*Inputs!$B$60/12*1*(1+Inputs!$B$63)*(1+Inputs!$B$64)^(L$7-1)</f>
        <v>-8145.83333333333</v>
      </c>
      <c r="M122" s="69" t="n">
        <f aca="false">-M116*Inputs!$B$60/12*1*(1+Inputs!$B$63)*(1+Inputs!$B$64)^(M$7-1)</f>
        <v>-8145.83333333333</v>
      </c>
      <c r="N122" s="69" t="n">
        <f aca="false">-N116*Inputs!$B$60/12*1*(1+Inputs!$B$63)*(1+Inputs!$B$64)^(N$7-1)</f>
        <v>-8145.83333333333</v>
      </c>
      <c r="O122" s="69" t="n">
        <f aca="false">-O116*Inputs!$B$60/12*1*(1+Inputs!$B$63)*(1+Inputs!$B$64)^(O$7-1)</f>
        <v>-8471.66666666667</v>
      </c>
      <c r="P122" s="69" t="n">
        <f aca="false">-P116*Inputs!$B$60/12*1*(1+Inputs!$B$63)*(1+Inputs!$B$64)^(P$7-1)</f>
        <v>-8471.66666666667</v>
      </c>
      <c r="Q122" s="69" t="n">
        <f aca="false">-Q116*Inputs!$B$60/12*1*(1+Inputs!$B$63)*(1+Inputs!$B$64)^(Q$7-1)</f>
        <v>-8471.66666666667</v>
      </c>
      <c r="R122" s="69" t="n">
        <f aca="false">-R116*Inputs!$B$60/12*1*(1+Inputs!$B$63)*(1+Inputs!$B$64)^(R$7-1)</f>
        <v>-8471.66666666667</v>
      </c>
      <c r="S122" s="69" t="n">
        <f aca="false">-S116*Inputs!$B$60/12*1*(1+Inputs!$B$63)*(1+Inputs!$B$64)^(S$7-1)</f>
        <v>-8471.66666666667</v>
      </c>
      <c r="T122" s="69" t="n">
        <f aca="false">-T116*Inputs!$B$60/12*1*(1+Inputs!$B$63)*(1+Inputs!$B$64)^(T$7-1)</f>
        <v>-8471.66666666667</v>
      </c>
      <c r="U122" s="69" t="n">
        <f aca="false">-U116*Inputs!$B$60/12*1*(1+Inputs!$B$63)*(1+Inputs!$B$64)^(U$7-1)</f>
        <v>-8471.66666666667</v>
      </c>
      <c r="V122" s="69" t="n">
        <f aca="false">-V116*Inputs!$B$60/12*1*(1+Inputs!$B$63)*(1+Inputs!$B$64)^(V$7-1)</f>
        <v>-8471.66666666667</v>
      </c>
      <c r="W122" s="69" t="n">
        <f aca="false">-W116*Inputs!$B$60/12*1*(1+Inputs!$B$63)*(1+Inputs!$B$64)^(W$7-1)</f>
        <v>-8471.66666666667</v>
      </c>
      <c r="X122" s="69" t="n">
        <f aca="false">-X116*Inputs!$B$60/12*1*(1+Inputs!$B$63)*(1+Inputs!$B$64)^(X$7-1)</f>
        <v>-8471.66666666667</v>
      </c>
      <c r="Y122" s="69" t="n">
        <f aca="false">-Y116*Inputs!$B$60/12*1*(1+Inputs!$B$63)*(1+Inputs!$B$64)^(Y$7-1)</f>
        <v>-8471.66666666667</v>
      </c>
      <c r="Z122" s="69" t="n">
        <f aca="false">-Z116*Inputs!$B$60/12*1*(1+Inputs!$B$63)*(1+Inputs!$B$64)^(Z$7-1)</f>
        <v>-8471.66666666667</v>
      </c>
      <c r="AA122" s="69" t="n">
        <f aca="false">-AA116*Inputs!$B$60/12*1*(1+Inputs!$B$63)*(1+Inputs!$B$64)^(AA$7-1)</f>
        <v>-8810.53333333333</v>
      </c>
      <c r="AB122" s="69" t="n">
        <f aca="false">-AB116*Inputs!$B$60/12*1*(1+Inputs!$B$63)*(1+Inputs!$B$64)^(AB$7-1)</f>
        <v>-8810.53333333333</v>
      </c>
      <c r="AC122" s="69" t="n">
        <f aca="false">-AC116*Inputs!$B$60/12*1*(1+Inputs!$B$63)*(1+Inputs!$B$64)^(AC$7-1)</f>
        <v>-8810.53333333333</v>
      </c>
      <c r="AD122" s="69" t="n">
        <f aca="false">-AD116*Inputs!$B$60/12*1*(1+Inputs!$B$63)*(1+Inputs!$B$64)^(AD$7-1)</f>
        <v>-8810.53333333333</v>
      </c>
      <c r="AE122" s="69" t="n">
        <f aca="false">-AE116*Inputs!$B$60/12*1*(1+Inputs!$B$63)*(1+Inputs!$B$64)^(AE$7-1)</f>
        <v>-8810.53333333333</v>
      </c>
      <c r="AF122" s="69" t="n">
        <f aca="false">-AF116*Inputs!$B$60/12*1*(1+Inputs!$B$63)*(1+Inputs!$B$64)^(AF$7-1)</f>
        <v>-8810.53333333333</v>
      </c>
      <c r="AG122" s="69" t="n">
        <f aca="false">-AG116*Inputs!$B$60/12*1*(1+Inputs!$B$63)*(1+Inputs!$B$64)^(AG$7-1)</f>
        <v>-8810.53333333333</v>
      </c>
      <c r="AH122" s="69" t="n">
        <f aca="false">-AH116*Inputs!$B$60/12*1*(1+Inputs!$B$63)*(1+Inputs!$B$64)^(AH$7-1)</f>
        <v>-8810.53333333333</v>
      </c>
      <c r="AI122" s="69" t="n">
        <f aca="false">-AI116*Inputs!$B$60/12*1*(1+Inputs!$B$63)*(1+Inputs!$B$64)^(AI$7-1)</f>
        <v>-8810.53333333333</v>
      </c>
      <c r="AJ122" s="69" t="n">
        <f aca="false">-AJ116*Inputs!$B$60/12*1*(1+Inputs!$B$63)*(1+Inputs!$B$64)^(AJ$7-1)</f>
        <v>-8810.53333333333</v>
      </c>
      <c r="AK122" s="69" t="n">
        <f aca="false">-AK116*Inputs!$B$60/12*1*(1+Inputs!$B$63)*(1+Inputs!$B$64)^(AK$7-1)</f>
        <v>-8810.53333333333</v>
      </c>
      <c r="AL122" s="69" t="n">
        <f aca="false">-AL116*Inputs!$B$60/12*1*(1+Inputs!$B$63)*(1+Inputs!$B$64)^(AL$7-1)</f>
        <v>-8810.53333333333</v>
      </c>
      <c r="AM122" s="69" t="n">
        <f aca="false">-AM116*Inputs!$B$60/12*1*(1+Inputs!$B$63)*(1+Inputs!$B$64)^(AM$7-1)</f>
        <v>-9162.95466666667</v>
      </c>
      <c r="AN122" s="69" t="n">
        <f aca="false">-AN116*Inputs!$B$60/12*1*(1+Inputs!$B$63)*(1+Inputs!$B$64)^(AN$7-1)</f>
        <v>-9162.95466666667</v>
      </c>
      <c r="AO122" s="69" t="n">
        <f aca="false">-AO116*Inputs!$B$60/12*1*(1+Inputs!$B$63)*(1+Inputs!$B$64)^(AO$7-1)</f>
        <v>-9162.95466666667</v>
      </c>
      <c r="AP122" s="69" t="n">
        <f aca="false">-AP116*Inputs!$B$60/12*1*(1+Inputs!$B$63)*(1+Inputs!$B$64)^(AP$7-1)</f>
        <v>-9162.95466666667</v>
      </c>
      <c r="AQ122" s="69" t="n">
        <f aca="false">-AQ116*Inputs!$B$60/12*1*(1+Inputs!$B$63)*(1+Inputs!$B$64)^(AQ$7-1)</f>
        <v>-9162.95466666667</v>
      </c>
      <c r="AR122" s="69" t="n">
        <f aca="false">-AR116*Inputs!$B$60/12*1*(1+Inputs!$B$63)*(1+Inputs!$B$64)^(AR$7-1)</f>
        <v>-9162.95466666667</v>
      </c>
      <c r="AS122" s="69" t="n">
        <f aca="false">-AS116*Inputs!$B$60/12*1*(1+Inputs!$B$63)*(1+Inputs!$B$64)^(AS$7-1)</f>
        <v>-9162.95466666667</v>
      </c>
      <c r="AT122" s="69" t="n">
        <f aca="false">-AT116*Inputs!$B$60/12*1*(1+Inputs!$B$63)*(1+Inputs!$B$64)^(AT$7-1)</f>
        <v>-9162.95466666667</v>
      </c>
      <c r="AU122" s="69" t="n">
        <f aca="false">-AU116*Inputs!$B$60/12*1*(1+Inputs!$B$63)*(1+Inputs!$B$64)^(AU$7-1)</f>
        <v>-9162.95466666667</v>
      </c>
      <c r="AV122" s="69" t="n">
        <f aca="false">-AV116*Inputs!$B$60/12*1*(1+Inputs!$B$63)*(1+Inputs!$B$64)^(AV$7-1)</f>
        <v>-9162.95466666667</v>
      </c>
      <c r="AW122" s="69" t="n">
        <f aca="false">-AW116*Inputs!$B$60/12*1*(1+Inputs!$B$63)*(1+Inputs!$B$64)^(AW$7-1)</f>
        <v>-9162.95466666667</v>
      </c>
      <c r="AX122" s="69" t="n">
        <f aca="false">-AX116*Inputs!$B$60/12*1*(1+Inputs!$B$63)*(1+Inputs!$B$64)^(AX$7-1)</f>
        <v>-9162.95466666667</v>
      </c>
      <c r="AY122" s="69" t="n">
        <f aca="false">-AY116*Inputs!$B$60/12*1*(1+Inputs!$B$63)*(1+Inputs!$B$64)^(AY$7-1)</f>
        <v>-9529.47285333333</v>
      </c>
      <c r="AZ122" s="69" t="n">
        <f aca="false">-AZ116*Inputs!$B$60/12*1*(1+Inputs!$B$63)*(1+Inputs!$B$64)^(AZ$7-1)</f>
        <v>-9529.47285333333</v>
      </c>
      <c r="BA122" s="69" t="n">
        <f aca="false">-BA116*Inputs!$B$60/12*1*(1+Inputs!$B$63)*(1+Inputs!$B$64)^(BA$7-1)</f>
        <v>-9529.47285333333</v>
      </c>
      <c r="BB122" s="69" t="n">
        <f aca="false">-BB116*Inputs!$B$60/12*1*(1+Inputs!$B$63)*(1+Inputs!$B$64)^(BB$7-1)</f>
        <v>-9529.47285333333</v>
      </c>
      <c r="BC122" s="69" t="n">
        <f aca="false">-BC116*Inputs!$B$60/12*1*(1+Inputs!$B$63)*(1+Inputs!$B$64)^(BC$7-1)</f>
        <v>-9529.47285333333</v>
      </c>
      <c r="BD122" s="69" t="n">
        <f aca="false">-BD116*Inputs!$B$60/12*1*(1+Inputs!$B$63)*(1+Inputs!$B$64)^(BD$7-1)</f>
        <v>-9529.47285333333</v>
      </c>
      <c r="BE122" s="69" t="n">
        <f aca="false">-BE116*Inputs!$B$60/12*1*(1+Inputs!$B$63)*(1+Inputs!$B$64)^(BE$7-1)</f>
        <v>-9529.47285333333</v>
      </c>
      <c r="BF122" s="69" t="n">
        <f aca="false">-BF116*Inputs!$B$60/12*1*(1+Inputs!$B$63)*(1+Inputs!$B$64)^(BF$7-1)</f>
        <v>-9529.47285333333</v>
      </c>
      <c r="BG122" s="69" t="n">
        <f aca="false">-BG116*Inputs!$B$60/12*1*(1+Inputs!$B$63)*(1+Inputs!$B$64)^(BG$7-1)</f>
        <v>-9529.47285333333</v>
      </c>
      <c r="BH122" s="69" t="n">
        <f aca="false">-BH116*Inputs!$B$60/12*1*(1+Inputs!$B$63)*(1+Inputs!$B$64)^(BH$7-1)</f>
        <v>-9529.47285333333</v>
      </c>
      <c r="BI122" s="69" t="n">
        <f aca="false">-BI116*Inputs!$B$60/12*1*(1+Inputs!$B$63)*(1+Inputs!$B$64)^(BI$7-1)</f>
        <v>-9529.47285333333</v>
      </c>
      <c r="BJ122" s="69" t="n">
        <f aca="false">-BJ116*Inputs!$B$60/12*1*(1+Inputs!$B$63)*(1+Inputs!$B$64)^(BJ$7-1)</f>
        <v>-9529.47285333333</v>
      </c>
    </row>
    <row r="123" customFormat="false" ht="15" hidden="false" customHeight="false" outlineLevel="0" collapsed="false">
      <c r="A123" s="115" t="s">
        <v>464</v>
      </c>
      <c r="C123" s="70" t="n">
        <f aca="false">C120+C121+C122</f>
        <v>-55104.1666666667</v>
      </c>
      <c r="D123" s="70" t="n">
        <f aca="false">D120+D121+D122</f>
        <v>-55104.1666666667</v>
      </c>
      <c r="E123" s="70" t="n">
        <f aca="false">E120+E121+E122</f>
        <v>-55104.1666666667</v>
      </c>
      <c r="F123" s="70" t="n">
        <f aca="false">F120+F121+F122</f>
        <v>-55104.1666666667</v>
      </c>
      <c r="G123" s="70" t="n">
        <f aca="false">G120+G121+G122</f>
        <v>-55104.1666666667</v>
      </c>
      <c r="H123" s="70" t="n">
        <f aca="false">H120+H121+H122</f>
        <v>-55104.1666666667</v>
      </c>
      <c r="I123" s="70" t="n">
        <f aca="false">I120+I121+I122</f>
        <v>-55104.1666666667</v>
      </c>
      <c r="J123" s="70" t="n">
        <f aca="false">J120+J121+J122</f>
        <v>-55104.1666666667</v>
      </c>
      <c r="K123" s="70" t="n">
        <f aca="false">K120+K121+K122</f>
        <v>-55104.1666666667</v>
      </c>
      <c r="L123" s="70" t="n">
        <f aca="false">L120+L121+L122</f>
        <v>-55104.1666666667</v>
      </c>
      <c r="M123" s="70" t="n">
        <f aca="false">M120+M121+M122</f>
        <v>-55104.1666666667</v>
      </c>
      <c r="N123" s="70" t="n">
        <f aca="false">N120+N121+N122</f>
        <v>-55104.1666666667</v>
      </c>
      <c r="O123" s="70" t="n">
        <f aca="false">O120+O121+O122</f>
        <v>-57308.3333333333</v>
      </c>
      <c r="P123" s="70" t="n">
        <f aca="false">P120+P121+P122</f>
        <v>-57308.3333333333</v>
      </c>
      <c r="Q123" s="70" t="n">
        <f aca="false">Q120+Q121+Q122</f>
        <v>-57308.3333333333</v>
      </c>
      <c r="R123" s="70" t="n">
        <f aca="false">R120+R121+R122</f>
        <v>-57308.3333333333</v>
      </c>
      <c r="S123" s="70" t="n">
        <f aca="false">S120+S121+S122</f>
        <v>-57308.3333333333</v>
      </c>
      <c r="T123" s="70" t="n">
        <f aca="false">T120+T121+T122</f>
        <v>-57308.3333333333</v>
      </c>
      <c r="U123" s="70" t="n">
        <f aca="false">U120+U121+U122</f>
        <v>-57308.3333333333</v>
      </c>
      <c r="V123" s="70" t="n">
        <f aca="false">V120+V121+V122</f>
        <v>-57308.3333333333</v>
      </c>
      <c r="W123" s="70" t="n">
        <f aca="false">W120+W121+W122</f>
        <v>-57308.3333333333</v>
      </c>
      <c r="X123" s="70" t="n">
        <f aca="false">X120+X121+X122</f>
        <v>-57308.3333333333</v>
      </c>
      <c r="Y123" s="70" t="n">
        <f aca="false">Y120+Y121+Y122</f>
        <v>-57308.3333333333</v>
      </c>
      <c r="Z123" s="70" t="n">
        <f aca="false">Z120+Z121+Z122</f>
        <v>-57308.3333333333</v>
      </c>
      <c r="AA123" s="70" t="n">
        <f aca="false">AA120+AA121+AA122</f>
        <v>-59600.6666666667</v>
      </c>
      <c r="AB123" s="70" t="n">
        <f aca="false">AB120+AB121+AB122</f>
        <v>-59600.6666666667</v>
      </c>
      <c r="AC123" s="70" t="n">
        <f aca="false">AC120+AC121+AC122</f>
        <v>-59600.6666666667</v>
      </c>
      <c r="AD123" s="70" t="n">
        <f aca="false">AD120+AD121+AD122</f>
        <v>-59600.6666666667</v>
      </c>
      <c r="AE123" s="70" t="n">
        <f aca="false">AE120+AE121+AE122</f>
        <v>-59600.6666666667</v>
      </c>
      <c r="AF123" s="70" t="n">
        <f aca="false">AF120+AF121+AF122</f>
        <v>-59600.6666666667</v>
      </c>
      <c r="AG123" s="70" t="n">
        <f aca="false">AG120+AG121+AG122</f>
        <v>-59600.6666666667</v>
      </c>
      <c r="AH123" s="70" t="n">
        <f aca="false">AH120+AH121+AH122</f>
        <v>-59600.6666666667</v>
      </c>
      <c r="AI123" s="70" t="n">
        <f aca="false">AI120+AI121+AI122</f>
        <v>-59600.6666666667</v>
      </c>
      <c r="AJ123" s="70" t="n">
        <f aca="false">AJ120+AJ121+AJ122</f>
        <v>-59600.6666666667</v>
      </c>
      <c r="AK123" s="70" t="n">
        <f aca="false">AK120+AK121+AK122</f>
        <v>-59600.6666666667</v>
      </c>
      <c r="AL123" s="70" t="n">
        <f aca="false">AL120+AL121+AL122</f>
        <v>-59600.6666666667</v>
      </c>
      <c r="AM123" s="70" t="n">
        <f aca="false">AM120+AM121+AM122</f>
        <v>-61984.6933333333</v>
      </c>
      <c r="AN123" s="70" t="n">
        <f aca="false">AN120+AN121+AN122</f>
        <v>-61984.6933333333</v>
      </c>
      <c r="AO123" s="70" t="n">
        <f aca="false">AO120+AO121+AO122</f>
        <v>-61984.6933333333</v>
      </c>
      <c r="AP123" s="70" t="n">
        <f aca="false">AP120+AP121+AP122</f>
        <v>-61984.6933333333</v>
      </c>
      <c r="AQ123" s="70" t="n">
        <f aca="false">AQ120+AQ121+AQ122</f>
        <v>-61984.6933333333</v>
      </c>
      <c r="AR123" s="70" t="n">
        <f aca="false">AR120+AR121+AR122</f>
        <v>-61984.6933333333</v>
      </c>
      <c r="AS123" s="70" t="n">
        <f aca="false">AS120+AS121+AS122</f>
        <v>-61984.6933333333</v>
      </c>
      <c r="AT123" s="70" t="n">
        <f aca="false">AT120+AT121+AT122</f>
        <v>-61984.6933333333</v>
      </c>
      <c r="AU123" s="70" t="n">
        <f aca="false">AU120+AU121+AU122</f>
        <v>-61984.6933333333</v>
      </c>
      <c r="AV123" s="70" t="n">
        <f aca="false">AV120+AV121+AV122</f>
        <v>-61984.6933333333</v>
      </c>
      <c r="AW123" s="70" t="n">
        <f aca="false">AW120+AW121+AW122</f>
        <v>-61984.6933333333</v>
      </c>
      <c r="AX123" s="70" t="n">
        <f aca="false">AX120+AX121+AX122</f>
        <v>-61984.6933333333</v>
      </c>
      <c r="AY123" s="70" t="n">
        <f aca="false">AY120+AY121+AY122</f>
        <v>-64464.0810666667</v>
      </c>
      <c r="AZ123" s="70" t="n">
        <f aca="false">AZ120+AZ121+AZ122</f>
        <v>-64464.0810666667</v>
      </c>
      <c r="BA123" s="70" t="n">
        <f aca="false">BA120+BA121+BA122</f>
        <v>-64464.0810666667</v>
      </c>
      <c r="BB123" s="70" t="n">
        <f aca="false">BB120+BB121+BB122</f>
        <v>-64464.0810666667</v>
      </c>
      <c r="BC123" s="70" t="n">
        <f aca="false">BC120+BC121+BC122</f>
        <v>-64464.0810666667</v>
      </c>
      <c r="BD123" s="70" t="n">
        <f aca="false">BD120+BD121+BD122</f>
        <v>-64464.0810666667</v>
      </c>
      <c r="BE123" s="70" t="n">
        <f aca="false">BE120+BE121+BE122</f>
        <v>-64464.0810666667</v>
      </c>
      <c r="BF123" s="70" t="n">
        <f aca="false">BF120+BF121+BF122</f>
        <v>-64464.0810666667</v>
      </c>
      <c r="BG123" s="70" t="n">
        <f aca="false">BG120+BG121+BG122</f>
        <v>-64464.0810666667</v>
      </c>
      <c r="BH123" s="70" t="n">
        <f aca="false">BH120+BH121+BH122</f>
        <v>-64464.0810666667</v>
      </c>
      <c r="BI123" s="70" t="n">
        <f aca="false">BI120+BI121+BI122</f>
        <v>-64464.0810666667</v>
      </c>
      <c r="BJ123" s="70" t="n">
        <f aca="false">BJ120+BJ121+BJ122</f>
        <v>-64464.0810666667</v>
      </c>
    </row>
    <row r="126" customFormat="false" ht="15.75" hidden="false" customHeight="true" outlineLevel="0" collapsed="false">
      <c r="A126" s="7" t="s">
        <v>468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customFormat="false" ht="15" hidden="false" customHeight="false" outlineLevel="0" collapsed="false">
      <c r="A127" s="33" t="s">
        <v>347</v>
      </c>
      <c r="C127" s="52" t="s">
        <v>348</v>
      </c>
      <c r="D127" s="52" t="s">
        <v>349</v>
      </c>
      <c r="E127" s="52" t="s">
        <v>350</v>
      </c>
      <c r="F127" s="52" t="s">
        <v>351</v>
      </c>
      <c r="G127" s="52" t="s">
        <v>352</v>
      </c>
      <c r="H127" s="52" t="s">
        <v>353</v>
      </c>
      <c r="I127" s="52" t="s">
        <v>354</v>
      </c>
      <c r="J127" s="52" t="s">
        <v>355</v>
      </c>
      <c r="K127" s="52" t="s">
        <v>356</v>
      </c>
      <c r="L127" s="52" t="s">
        <v>357</v>
      </c>
      <c r="M127" s="52" t="s">
        <v>358</v>
      </c>
      <c r="N127" s="52" t="s">
        <v>359</v>
      </c>
      <c r="O127" s="52" t="s">
        <v>360</v>
      </c>
      <c r="P127" s="52" t="s">
        <v>361</v>
      </c>
      <c r="Q127" s="52" t="s">
        <v>362</v>
      </c>
      <c r="R127" s="52" t="s">
        <v>363</v>
      </c>
      <c r="S127" s="52" t="s">
        <v>364</v>
      </c>
      <c r="T127" s="52" t="s">
        <v>365</v>
      </c>
      <c r="U127" s="52" t="s">
        <v>366</v>
      </c>
      <c r="V127" s="52" t="s">
        <v>367</v>
      </c>
      <c r="W127" s="52" t="s">
        <v>368</v>
      </c>
      <c r="X127" s="52" t="s">
        <v>369</v>
      </c>
      <c r="Y127" s="52" t="s">
        <v>370</v>
      </c>
      <c r="Z127" s="52" t="s">
        <v>371</v>
      </c>
      <c r="AA127" s="52" t="s">
        <v>372</v>
      </c>
      <c r="AB127" s="52" t="s">
        <v>373</v>
      </c>
      <c r="AC127" s="52" t="s">
        <v>374</v>
      </c>
      <c r="AD127" s="52" t="s">
        <v>375</v>
      </c>
      <c r="AE127" s="52" t="s">
        <v>376</v>
      </c>
      <c r="AF127" s="52" t="s">
        <v>377</v>
      </c>
      <c r="AG127" s="52" t="s">
        <v>378</v>
      </c>
      <c r="AH127" s="52" t="s">
        <v>379</v>
      </c>
      <c r="AI127" s="52" t="s">
        <v>380</v>
      </c>
      <c r="AJ127" s="52" t="s">
        <v>381</v>
      </c>
      <c r="AK127" s="52" t="s">
        <v>382</v>
      </c>
      <c r="AL127" s="52" t="s">
        <v>383</v>
      </c>
      <c r="AM127" s="52" t="s">
        <v>384</v>
      </c>
      <c r="AN127" s="52" t="s">
        <v>385</v>
      </c>
      <c r="AO127" s="52" t="s">
        <v>386</v>
      </c>
      <c r="AP127" s="52" t="s">
        <v>387</v>
      </c>
      <c r="AQ127" s="52" t="s">
        <v>388</v>
      </c>
      <c r="AR127" s="52" t="s">
        <v>389</v>
      </c>
      <c r="AS127" s="52" t="s">
        <v>390</v>
      </c>
      <c r="AT127" s="52" t="s">
        <v>391</v>
      </c>
      <c r="AU127" s="52" t="s">
        <v>392</v>
      </c>
      <c r="AV127" s="52" t="s">
        <v>393</v>
      </c>
      <c r="AW127" s="52" t="s">
        <v>394</v>
      </c>
      <c r="AX127" s="52" t="s">
        <v>395</v>
      </c>
      <c r="AY127" s="52" t="s">
        <v>396</v>
      </c>
      <c r="AZ127" s="52" t="s">
        <v>397</v>
      </c>
      <c r="BA127" s="52" t="s">
        <v>398</v>
      </c>
      <c r="BB127" s="52" t="s">
        <v>399</v>
      </c>
      <c r="BC127" s="52" t="s">
        <v>400</v>
      </c>
      <c r="BD127" s="52" t="s">
        <v>401</v>
      </c>
      <c r="BE127" s="52" t="s">
        <v>402</v>
      </c>
      <c r="BF127" s="52" t="s">
        <v>403</v>
      </c>
      <c r="BG127" s="52" t="s">
        <v>404</v>
      </c>
      <c r="BH127" s="52" t="s">
        <v>405</v>
      </c>
      <c r="BI127" s="52" t="s">
        <v>406</v>
      </c>
      <c r="BJ127" s="52" t="s">
        <v>407</v>
      </c>
    </row>
    <row r="128" customFormat="false" ht="15" hidden="false" customHeight="false" outlineLevel="0" collapsed="false">
      <c r="A128" s="74" t="s">
        <v>408</v>
      </c>
      <c r="C128" s="74" t="n">
        <v>1</v>
      </c>
      <c r="D128" s="74" t="n">
        <v>2</v>
      </c>
      <c r="E128" s="74" t="n">
        <v>3</v>
      </c>
      <c r="F128" s="74" t="n">
        <v>4</v>
      </c>
      <c r="G128" s="74" t="n">
        <v>5</v>
      </c>
      <c r="H128" s="74" t="n">
        <v>6</v>
      </c>
      <c r="I128" s="74" t="n">
        <v>7</v>
      </c>
      <c r="J128" s="74" t="n">
        <v>8</v>
      </c>
      <c r="K128" s="74" t="n">
        <v>9</v>
      </c>
      <c r="L128" s="74" t="n">
        <v>10</v>
      </c>
      <c r="M128" s="74" t="n">
        <v>11</v>
      </c>
      <c r="N128" s="74" t="n">
        <v>12</v>
      </c>
      <c r="O128" s="74" t="n">
        <v>13</v>
      </c>
      <c r="P128" s="74" t="n">
        <v>14</v>
      </c>
      <c r="Q128" s="74" t="n">
        <v>15</v>
      </c>
      <c r="R128" s="74" t="n">
        <v>16</v>
      </c>
      <c r="S128" s="74" t="n">
        <v>17</v>
      </c>
      <c r="T128" s="74" t="n">
        <v>18</v>
      </c>
      <c r="U128" s="74" t="n">
        <v>19</v>
      </c>
      <c r="V128" s="74" t="n">
        <v>20</v>
      </c>
      <c r="W128" s="74" t="n">
        <v>21</v>
      </c>
      <c r="X128" s="74" t="n">
        <v>22</v>
      </c>
      <c r="Y128" s="74" t="n">
        <v>23</v>
      </c>
      <c r="Z128" s="74" t="n">
        <v>24</v>
      </c>
      <c r="AA128" s="74" t="n">
        <v>25</v>
      </c>
      <c r="AB128" s="74" t="n">
        <v>26</v>
      </c>
      <c r="AC128" s="74" t="n">
        <v>27</v>
      </c>
      <c r="AD128" s="74" t="n">
        <v>28</v>
      </c>
      <c r="AE128" s="74" t="n">
        <v>29</v>
      </c>
      <c r="AF128" s="74" t="n">
        <v>30</v>
      </c>
      <c r="AG128" s="74" t="n">
        <v>31</v>
      </c>
      <c r="AH128" s="74" t="n">
        <v>32</v>
      </c>
      <c r="AI128" s="74" t="n">
        <v>33</v>
      </c>
      <c r="AJ128" s="74" t="n">
        <v>34</v>
      </c>
      <c r="AK128" s="74" t="n">
        <v>35</v>
      </c>
      <c r="AL128" s="74" t="n">
        <v>36</v>
      </c>
      <c r="AM128" s="74" t="n">
        <v>37</v>
      </c>
      <c r="AN128" s="74" t="n">
        <v>38</v>
      </c>
      <c r="AO128" s="74" t="n">
        <v>39</v>
      </c>
      <c r="AP128" s="74" t="n">
        <v>40</v>
      </c>
      <c r="AQ128" s="74" t="n">
        <v>41</v>
      </c>
      <c r="AR128" s="74" t="n">
        <v>42</v>
      </c>
      <c r="AS128" s="74" t="n">
        <v>43</v>
      </c>
      <c r="AT128" s="74" t="n">
        <v>44</v>
      </c>
      <c r="AU128" s="74" t="n">
        <v>45</v>
      </c>
      <c r="AV128" s="74" t="n">
        <v>46</v>
      </c>
      <c r="AW128" s="74" t="n">
        <v>47</v>
      </c>
      <c r="AX128" s="74" t="n">
        <v>48</v>
      </c>
      <c r="AY128" s="74" t="n">
        <v>49</v>
      </c>
      <c r="AZ128" s="74" t="n">
        <v>50</v>
      </c>
      <c r="BA128" s="74" t="n">
        <v>51</v>
      </c>
      <c r="BB128" s="74" t="n">
        <v>52</v>
      </c>
      <c r="BC128" s="74" t="n">
        <v>53</v>
      </c>
      <c r="BD128" s="74" t="n">
        <v>54</v>
      </c>
      <c r="BE128" s="74" t="n">
        <v>55</v>
      </c>
      <c r="BF128" s="74" t="n">
        <v>56</v>
      </c>
      <c r="BG128" s="74" t="n">
        <v>57</v>
      </c>
      <c r="BH128" s="74" t="n">
        <v>58</v>
      </c>
      <c r="BI128" s="74" t="n">
        <v>59</v>
      </c>
      <c r="BJ128" s="74" t="n">
        <v>60</v>
      </c>
    </row>
    <row r="129" customFormat="false" ht="15" hidden="false" customHeight="false" outlineLevel="0" collapsed="false">
      <c r="A129" s="74" t="s">
        <v>154</v>
      </c>
      <c r="C129" s="74" t="n">
        <f aca="false">ROUNDUP(C128*1/12,0)</f>
        <v>1</v>
      </c>
      <c r="D129" s="74" t="n">
        <f aca="false">ROUNDUP(D128*1/12,0)</f>
        <v>1</v>
      </c>
      <c r="E129" s="74" t="n">
        <f aca="false">ROUNDUP(E128*1/12,0)</f>
        <v>1</v>
      </c>
      <c r="F129" s="74" t="n">
        <f aca="false">ROUNDUP(F128*1/12,0)</f>
        <v>1</v>
      </c>
      <c r="G129" s="74" t="n">
        <f aca="false">ROUNDUP(G128*1/12,0)</f>
        <v>1</v>
      </c>
      <c r="H129" s="74" t="n">
        <f aca="false">ROUNDUP(H128*1/12,0)</f>
        <v>1</v>
      </c>
      <c r="I129" s="74" t="n">
        <f aca="false">ROUNDUP(I128*1/12,0)</f>
        <v>1</v>
      </c>
      <c r="J129" s="74" t="n">
        <f aca="false">ROUNDUP(J128*1/12,0)</f>
        <v>1</v>
      </c>
      <c r="K129" s="74" t="n">
        <f aca="false">ROUNDUP(K128*1/12,0)</f>
        <v>1</v>
      </c>
      <c r="L129" s="74" t="n">
        <f aca="false">ROUNDUP(L128*1/12,0)</f>
        <v>1</v>
      </c>
      <c r="M129" s="74" t="n">
        <f aca="false">ROUNDUP(M128*1/12,0)</f>
        <v>1</v>
      </c>
      <c r="N129" s="74" t="n">
        <f aca="false">ROUNDUP(N128*1/12,0)</f>
        <v>1</v>
      </c>
      <c r="O129" s="74" t="n">
        <f aca="false">ROUNDUP(O128*1/12,0)</f>
        <v>2</v>
      </c>
      <c r="P129" s="74" t="n">
        <f aca="false">ROUNDUP(P128*1/12,0)</f>
        <v>2</v>
      </c>
      <c r="Q129" s="74" t="n">
        <f aca="false">ROUNDUP(Q128*1/12,0)</f>
        <v>2</v>
      </c>
      <c r="R129" s="74" t="n">
        <f aca="false">ROUNDUP(R128*1/12,0)</f>
        <v>2</v>
      </c>
      <c r="S129" s="74" t="n">
        <f aca="false">ROUNDUP(S128*1/12,0)</f>
        <v>2</v>
      </c>
      <c r="T129" s="74" t="n">
        <f aca="false">ROUNDUP(T128*1/12,0)</f>
        <v>2</v>
      </c>
      <c r="U129" s="74" t="n">
        <f aca="false">ROUNDUP(U128*1/12,0)</f>
        <v>2</v>
      </c>
      <c r="V129" s="74" t="n">
        <f aca="false">ROUNDUP(V128*1/12,0)</f>
        <v>2</v>
      </c>
      <c r="W129" s="74" t="n">
        <f aca="false">ROUNDUP(W128*1/12,0)</f>
        <v>2</v>
      </c>
      <c r="X129" s="74" t="n">
        <f aca="false">ROUNDUP(X128*1/12,0)</f>
        <v>2</v>
      </c>
      <c r="Y129" s="74" t="n">
        <f aca="false">ROUNDUP(Y128*1/12,0)</f>
        <v>2</v>
      </c>
      <c r="Z129" s="74" t="n">
        <f aca="false">ROUNDUP(Z128*1/12,0)</f>
        <v>2</v>
      </c>
      <c r="AA129" s="74" t="n">
        <f aca="false">ROUNDUP(AA128*1/12,0)</f>
        <v>3</v>
      </c>
      <c r="AB129" s="74" t="n">
        <f aca="false">ROUNDUP(AB128*1/12,0)</f>
        <v>3</v>
      </c>
      <c r="AC129" s="74" t="n">
        <f aca="false">ROUNDUP(AC128*1/12,0)</f>
        <v>3</v>
      </c>
      <c r="AD129" s="74" t="n">
        <f aca="false">ROUNDUP(AD128*1/12,0)</f>
        <v>3</v>
      </c>
      <c r="AE129" s="74" t="n">
        <f aca="false">ROUNDUP(AE128*1/12,0)</f>
        <v>3</v>
      </c>
      <c r="AF129" s="74" t="n">
        <f aca="false">ROUNDUP(AF128*1/12,0)</f>
        <v>3</v>
      </c>
      <c r="AG129" s="74" t="n">
        <f aca="false">ROUNDUP(AG128*1/12,0)</f>
        <v>3</v>
      </c>
      <c r="AH129" s="74" t="n">
        <f aca="false">ROUNDUP(AH128*1/12,0)</f>
        <v>3</v>
      </c>
      <c r="AI129" s="74" t="n">
        <f aca="false">ROUNDUP(AI128*1/12,0)</f>
        <v>3</v>
      </c>
      <c r="AJ129" s="74" t="n">
        <f aca="false">ROUNDUP(AJ128*1/12,0)</f>
        <v>3</v>
      </c>
      <c r="AK129" s="74" t="n">
        <f aca="false">ROUNDUP(AK128*1/12,0)</f>
        <v>3</v>
      </c>
      <c r="AL129" s="74" t="n">
        <f aca="false">ROUNDUP(AL128*1/12,0)</f>
        <v>3</v>
      </c>
      <c r="AM129" s="74" t="n">
        <f aca="false">ROUNDUP(AM128*1/12,0)</f>
        <v>4</v>
      </c>
      <c r="AN129" s="74" t="n">
        <f aca="false">ROUNDUP(AN128*1/12,0)</f>
        <v>4</v>
      </c>
      <c r="AO129" s="74" t="n">
        <f aca="false">ROUNDUP(AO128*1/12,0)</f>
        <v>4</v>
      </c>
      <c r="AP129" s="74" t="n">
        <f aca="false">ROUNDUP(AP128*1/12,0)</f>
        <v>4</v>
      </c>
      <c r="AQ129" s="74" t="n">
        <f aca="false">ROUNDUP(AQ128*1/12,0)</f>
        <v>4</v>
      </c>
      <c r="AR129" s="74" t="n">
        <f aca="false">ROUNDUP(AR128*1/12,0)</f>
        <v>4</v>
      </c>
      <c r="AS129" s="74" t="n">
        <f aca="false">ROUNDUP(AS128*1/12,0)</f>
        <v>4</v>
      </c>
      <c r="AT129" s="74" t="n">
        <f aca="false">ROUNDUP(AT128*1/12,0)</f>
        <v>4</v>
      </c>
      <c r="AU129" s="74" t="n">
        <f aca="false">ROUNDUP(AU128*1/12,0)</f>
        <v>4</v>
      </c>
      <c r="AV129" s="74" t="n">
        <f aca="false">ROUNDUP(AV128*1/12,0)</f>
        <v>4</v>
      </c>
      <c r="AW129" s="74" t="n">
        <f aca="false">ROUNDUP(AW128*1/12,0)</f>
        <v>4</v>
      </c>
      <c r="AX129" s="74" t="n">
        <f aca="false">ROUNDUP(AX128*1/12,0)</f>
        <v>4</v>
      </c>
      <c r="AY129" s="74" t="n">
        <f aca="false">ROUNDUP(AY128*1/12,0)</f>
        <v>5</v>
      </c>
      <c r="AZ129" s="74" t="n">
        <f aca="false">ROUNDUP(AZ128*1/12,0)</f>
        <v>5</v>
      </c>
      <c r="BA129" s="74" t="n">
        <f aca="false">ROUNDUP(BA128*1/12,0)</f>
        <v>5</v>
      </c>
      <c r="BB129" s="74" t="n">
        <f aca="false">ROUNDUP(BB128*1/12,0)</f>
        <v>5</v>
      </c>
      <c r="BC129" s="74" t="n">
        <f aca="false">ROUNDUP(BC128*1/12,0)</f>
        <v>5</v>
      </c>
      <c r="BD129" s="74" t="n">
        <f aca="false">ROUNDUP(BD128*1/12,0)</f>
        <v>5</v>
      </c>
      <c r="BE129" s="74" t="n">
        <f aca="false">ROUNDUP(BE128*1/12,0)</f>
        <v>5</v>
      </c>
      <c r="BF129" s="74" t="n">
        <f aca="false">ROUNDUP(BF128*1/12,0)</f>
        <v>5</v>
      </c>
      <c r="BG129" s="74" t="n">
        <f aca="false">ROUNDUP(BG128*1/12,0)</f>
        <v>5</v>
      </c>
      <c r="BH129" s="74" t="n">
        <f aca="false">ROUNDUP(BH128*1/12,0)</f>
        <v>5</v>
      </c>
      <c r="BI129" s="74" t="n">
        <f aca="false">ROUNDUP(BI128*1/12,0)</f>
        <v>5</v>
      </c>
      <c r="BJ129" s="74" t="n">
        <f aca="false">ROUNDUP(BJ128*1/12,0)</f>
        <v>5</v>
      </c>
    </row>
    <row r="131" customFormat="false" ht="15.75" hidden="false" customHeight="true" outlineLevel="0" collapsed="false">
      <c r="A131" s="7" t="s">
        <v>409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customFormat="false" ht="15" hidden="false" customHeight="false" outlineLevel="0" collapsed="false">
      <c r="A132" s="118" t="s">
        <v>410</v>
      </c>
      <c r="C132" s="119" t="n">
        <f aca="false">MAX(0,MIN(1,Inputs!$C$11-(C$128-1)*1))</f>
        <v>1</v>
      </c>
      <c r="D132" s="119" t="n">
        <f aca="false">MAX(0,MIN(1,Inputs!$C$11-(D$128-1)*1))</f>
        <v>1</v>
      </c>
      <c r="E132" s="119" t="n">
        <f aca="false">MAX(0,MIN(1,Inputs!$C$11-(E$128-1)*1))</f>
        <v>1</v>
      </c>
      <c r="F132" s="119" t="n">
        <f aca="false">MAX(0,MIN(1,Inputs!$C$11-(F$128-1)*1))</f>
        <v>1</v>
      </c>
      <c r="G132" s="119" t="n">
        <f aca="false">MAX(0,MIN(1,Inputs!$C$11-(G$128-1)*1))</f>
        <v>1</v>
      </c>
      <c r="H132" s="119" t="n">
        <f aca="false">MAX(0,MIN(1,Inputs!$C$11-(H$128-1)*1))</f>
        <v>1</v>
      </c>
      <c r="I132" s="119" t="n">
        <f aca="false">MAX(0,MIN(1,Inputs!$C$11-(I$128-1)*1))</f>
        <v>1</v>
      </c>
      <c r="J132" s="119" t="n">
        <f aca="false">MAX(0,MIN(1,Inputs!$C$11-(J$128-1)*1))</f>
        <v>1</v>
      </c>
      <c r="K132" s="119" t="n">
        <f aca="false">MAX(0,MIN(1,Inputs!$C$11-(K$128-1)*1))</f>
        <v>1</v>
      </c>
      <c r="L132" s="119" t="n">
        <f aca="false">MAX(0,MIN(1,Inputs!$C$11-(L$128-1)*1))</f>
        <v>1</v>
      </c>
      <c r="M132" s="119" t="n">
        <f aca="false">MAX(0,MIN(1,Inputs!$C$11-(M$128-1)*1))</f>
        <v>1</v>
      </c>
      <c r="N132" s="119" t="n">
        <f aca="false">MAX(0,MIN(1,Inputs!$C$11-(N$128-1)*1))</f>
        <v>1</v>
      </c>
      <c r="O132" s="119" t="n">
        <f aca="false">MAX(0,MIN(1,Inputs!$C$11-(O$128-1)*1))</f>
        <v>0</v>
      </c>
      <c r="P132" s="119" t="n">
        <f aca="false">MAX(0,MIN(1,Inputs!$C$11-(P$128-1)*1))</f>
        <v>0</v>
      </c>
      <c r="Q132" s="119" t="n">
        <f aca="false">MAX(0,MIN(1,Inputs!$C$11-(Q$128-1)*1))</f>
        <v>0</v>
      </c>
      <c r="R132" s="119" t="n">
        <f aca="false">MAX(0,MIN(1,Inputs!$C$11-(R$128-1)*1))</f>
        <v>0</v>
      </c>
      <c r="S132" s="119" t="n">
        <f aca="false">MAX(0,MIN(1,Inputs!$C$11-(S$128-1)*1))</f>
        <v>0</v>
      </c>
      <c r="T132" s="119" t="n">
        <f aca="false">MAX(0,MIN(1,Inputs!$C$11-(T$128-1)*1))</f>
        <v>0</v>
      </c>
      <c r="U132" s="119" t="n">
        <f aca="false">MAX(0,MIN(1,Inputs!$C$11-(U$128-1)*1))</f>
        <v>0</v>
      </c>
      <c r="V132" s="119" t="n">
        <f aca="false">MAX(0,MIN(1,Inputs!$C$11-(V$128-1)*1))</f>
        <v>0</v>
      </c>
      <c r="W132" s="119" t="n">
        <f aca="false">MAX(0,MIN(1,Inputs!$C$11-(W$128-1)*1))</f>
        <v>0</v>
      </c>
      <c r="X132" s="119" t="n">
        <f aca="false">MAX(0,MIN(1,Inputs!$C$11-(X$128-1)*1))</f>
        <v>0</v>
      </c>
      <c r="Y132" s="119" t="n">
        <f aca="false">MAX(0,MIN(1,Inputs!$C$11-(Y$128-1)*1))</f>
        <v>0</v>
      </c>
      <c r="Z132" s="119" t="n">
        <f aca="false">MAX(0,MIN(1,Inputs!$C$11-(Z$128-1)*1))</f>
        <v>0</v>
      </c>
      <c r="AA132" s="119" t="n">
        <f aca="false">MAX(0,MIN(1,Inputs!$C$11-(AA$128-1)*1))</f>
        <v>0</v>
      </c>
      <c r="AB132" s="119" t="n">
        <f aca="false">MAX(0,MIN(1,Inputs!$C$11-(AB$128-1)*1))</f>
        <v>0</v>
      </c>
      <c r="AC132" s="119" t="n">
        <f aca="false">MAX(0,MIN(1,Inputs!$C$11-(AC$128-1)*1))</f>
        <v>0</v>
      </c>
      <c r="AD132" s="119" t="n">
        <f aca="false">MAX(0,MIN(1,Inputs!$C$11-(AD$128-1)*1))</f>
        <v>0</v>
      </c>
      <c r="AE132" s="119" t="n">
        <f aca="false">MAX(0,MIN(1,Inputs!$C$11-(AE$128-1)*1))</f>
        <v>0</v>
      </c>
      <c r="AF132" s="119" t="n">
        <f aca="false">MAX(0,MIN(1,Inputs!$C$11-(AF$128-1)*1))</f>
        <v>0</v>
      </c>
      <c r="AG132" s="119" t="n">
        <f aca="false">MAX(0,MIN(1,Inputs!$C$11-(AG$128-1)*1))</f>
        <v>0</v>
      </c>
      <c r="AH132" s="119" t="n">
        <f aca="false">MAX(0,MIN(1,Inputs!$C$11-(AH$128-1)*1))</f>
        <v>0</v>
      </c>
      <c r="AI132" s="119" t="n">
        <f aca="false">MAX(0,MIN(1,Inputs!$C$11-(AI$128-1)*1))</f>
        <v>0</v>
      </c>
      <c r="AJ132" s="119" t="n">
        <f aca="false">MAX(0,MIN(1,Inputs!$C$11-(AJ$128-1)*1))</f>
        <v>0</v>
      </c>
      <c r="AK132" s="119" t="n">
        <f aca="false">MAX(0,MIN(1,Inputs!$C$11-(AK$128-1)*1))</f>
        <v>0</v>
      </c>
      <c r="AL132" s="119" t="n">
        <f aca="false">MAX(0,MIN(1,Inputs!$C$11-(AL$128-1)*1))</f>
        <v>0</v>
      </c>
      <c r="AM132" s="119" t="n">
        <f aca="false">MAX(0,MIN(1,Inputs!$C$11-(AM$128-1)*1))</f>
        <v>0</v>
      </c>
      <c r="AN132" s="119" t="n">
        <f aca="false">MAX(0,MIN(1,Inputs!$C$11-(AN$128-1)*1))</f>
        <v>0</v>
      </c>
      <c r="AO132" s="119" t="n">
        <f aca="false">MAX(0,MIN(1,Inputs!$C$11-(AO$128-1)*1))</f>
        <v>0</v>
      </c>
      <c r="AP132" s="119" t="n">
        <f aca="false">MAX(0,MIN(1,Inputs!$C$11-(AP$128-1)*1))</f>
        <v>0</v>
      </c>
      <c r="AQ132" s="119" t="n">
        <f aca="false">MAX(0,MIN(1,Inputs!$C$11-(AQ$128-1)*1))</f>
        <v>0</v>
      </c>
      <c r="AR132" s="119" t="n">
        <f aca="false">MAX(0,MIN(1,Inputs!$C$11-(AR$128-1)*1))</f>
        <v>0</v>
      </c>
      <c r="AS132" s="119" t="n">
        <f aca="false">MAX(0,MIN(1,Inputs!$C$11-(AS$128-1)*1))</f>
        <v>0</v>
      </c>
      <c r="AT132" s="119" t="n">
        <f aca="false">MAX(0,MIN(1,Inputs!$C$11-(AT$128-1)*1))</f>
        <v>0</v>
      </c>
      <c r="AU132" s="119" t="n">
        <f aca="false">MAX(0,MIN(1,Inputs!$C$11-(AU$128-1)*1))</f>
        <v>0</v>
      </c>
      <c r="AV132" s="119" t="n">
        <f aca="false">MAX(0,MIN(1,Inputs!$C$11-(AV$128-1)*1))</f>
        <v>0</v>
      </c>
      <c r="AW132" s="119" t="n">
        <f aca="false">MAX(0,MIN(1,Inputs!$C$11-(AW$128-1)*1))</f>
        <v>0</v>
      </c>
      <c r="AX132" s="119" t="n">
        <f aca="false">MAX(0,MIN(1,Inputs!$C$11-(AX$128-1)*1))</f>
        <v>0</v>
      </c>
      <c r="AY132" s="119" t="n">
        <f aca="false">MAX(0,MIN(1,Inputs!$C$11-(AY$128-1)*1))</f>
        <v>0</v>
      </c>
      <c r="AZ132" s="119" t="n">
        <f aca="false">MAX(0,MIN(1,Inputs!$C$11-(AZ$128-1)*1))</f>
        <v>0</v>
      </c>
      <c r="BA132" s="119" t="n">
        <f aca="false">MAX(0,MIN(1,Inputs!$C$11-(BA$128-1)*1))</f>
        <v>0</v>
      </c>
      <c r="BB132" s="119" t="n">
        <f aca="false">MAX(0,MIN(1,Inputs!$C$11-(BB$128-1)*1))</f>
        <v>0</v>
      </c>
      <c r="BC132" s="119" t="n">
        <f aca="false">MAX(0,MIN(1,Inputs!$C$11-(BC$128-1)*1))</f>
        <v>0</v>
      </c>
      <c r="BD132" s="119" t="n">
        <f aca="false">MAX(0,MIN(1,Inputs!$C$11-(BD$128-1)*1))</f>
        <v>0</v>
      </c>
      <c r="BE132" s="119" t="n">
        <f aca="false">MAX(0,MIN(1,Inputs!$C$11-(BE$128-1)*1))</f>
        <v>0</v>
      </c>
      <c r="BF132" s="119" t="n">
        <f aca="false">MAX(0,MIN(1,Inputs!$C$11-(BF$128-1)*1))</f>
        <v>0</v>
      </c>
      <c r="BG132" s="119" t="n">
        <f aca="false">MAX(0,MIN(1,Inputs!$C$11-(BG$128-1)*1))</f>
        <v>0</v>
      </c>
      <c r="BH132" s="119" t="n">
        <f aca="false">MAX(0,MIN(1,Inputs!$C$11-(BH$128-1)*1))</f>
        <v>0</v>
      </c>
      <c r="BI132" s="119" t="n">
        <f aca="false">MAX(0,MIN(1,Inputs!$C$11-(BI$128-1)*1))</f>
        <v>0</v>
      </c>
      <c r="BJ132" s="119" t="n">
        <f aca="false">MAX(0,MIN(1,Inputs!$C$11-(BJ$128-1)*1))</f>
        <v>0</v>
      </c>
    </row>
    <row r="133" customFormat="false" ht="15" hidden="false" customHeight="false" outlineLevel="0" collapsed="false">
      <c r="A133" s="38" t="s">
        <v>411</v>
      </c>
      <c r="C133" s="76" t="n">
        <f aca="false">IF(Inputs!$C$11&lt;=0,1,(C132*Inputs!$C$12+(1-Inputs!$C$12)/MAX(1,Inputs!$C$11)*(C132*(C$128-1)*1+C132*(C132-1)/2)+1-C132)/1)</f>
        <v>0.4</v>
      </c>
      <c r="D133" s="76" t="n">
        <f aca="false">IF(Inputs!$C$11&lt;=0,1,(D132*Inputs!$C$12+(1-Inputs!$C$12)/MAX(1,Inputs!$C$11)*(D132*(D$128-1)*1+D132*(D132-1)/2)+1-D132)/1)</f>
        <v>0.45</v>
      </c>
      <c r="E133" s="76" t="n">
        <f aca="false">IF(Inputs!$C$11&lt;=0,1,(E132*Inputs!$C$12+(1-Inputs!$C$12)/MAX(1,Inputs!$C$11)*(E132*(E$128-1)*1+E132*(E132-1)/2)+1-E132)/1)</f>
        <v>0.5</v>
      </c>
      <c r="F133" s="76" t="n">
        <f aca="false">IF(Inputs!$C$11&lt;=0,1,(F132*Inputs!$C$12+(1-Inputs!$C$12)/MAX(1,Inputs!$C$11)*(F132*(F$128-1)*1+F132*(F132-1)/2)+1-F132)/1)</f>
        <v>0.55</v>
      </c>
      <c r="G133" s="76" t="n">
        <f aca="false">IF(Inputs!$C$11&lt;=0,1,(G132*Inputs!$C$12+(1-Inputs!$C$12)/MAX(1,Inputs!$C$11)*(G132*(G$128-1)*1+G132*(G132-1)/2)+1-G132)/1)</f>
        <v>0.6</v>
      </c>
      <c r="H133" s="76" t="n">
        <f aca="false">IF(Inputs!$C$11&lt;=0,1,(H132*Inputs!$C$12+(1-Inputs!$C$12)/MAX(1,Inputs!$C$11)*(H132*(H$128-1)*1+H132*(H132-1)/2)+1-H132)/1)</f>
        <v>0.65</v>
      </c>
      <c r="I133" s="76" t="n">
        <f aca="false">IF(Inputs!$C$11&lt;=0,1,(I132*Inputs!$C$12+(1-Inputs!$C$12)/MAX(1,Inputs!$C$11)*(I132*(I$128-1)*1+I132*(I132-1)/2)+1-I132)/1)</f>
        <v>0.7</v>
      </c>
      <c r="J133" s="76" t="n">
        <f aca="false">IF(Inputs!$C$11&lt;=0,1,(J132*Inputs!$C$12+(1-Inputs!$C$12)/MAX(1,Inputs!$C$11)*(J132*(J$128-1)*1+J132*(J132-1)/2)+1-J132)/1)</f>
        <v>0.75</v>
      </c>
      <c r="K133" s="76" t="n">
        <f aca="false">IF(Inputs!$C$11&lt;=0,1,(K132*Inputs!$C$12+(1-Inputs!$C$12)/MAX(1,Inputs!$C$11)*(K132*(K$128-1)*1+K132*(K132-1)/2)+1-K132)/1)</f>
        <v>0.8</v>
      </c>
      <c r="L133" s="76" t="n">
        <f aca="false">IF(Inputs!$C$11&lt;=0,1,(L132*Inputs!$C$12+(1-Inputs!$C$12)/MAX(1,Inputs!$C$11)*(L132*(L$128-1)*1+L132*(L132-1)/2)+1-L132)/1)</f>
        <v>0.85</v>
      </c>
      <c r="M133" s="76" t="n">
        <f aca="false">IF(Inputs!$C$11&lt;=0,1,(M132*Inputs!$C$12+(1-Inputs!$C$12)/MAX(1,Inputs!$C$11)*(M132*(M$128-1)*1+M132*(M132-1)/2)+1-M132)/1)</f>
        <v>0.9</v>
      </c>
      <c r="N133" s="76" t="n">
        <f aca="false">IF(Inputs!$C$11&lt;=0,1,(N132*Inputs!$C$12+(1-Inputs!$C$12)/MAX(1,Inputs!$C$11)*(N132*(N$128-1)*1+N132*(N132-1)/2)+1-N132)/1)</f>
        <v>0.95</v>
      </c>
      <c r="O133" s="76" t="n">
        <f aca="false">IF(Inputs!$C$11&lt;=0,1,(O132*Inputs!$C$12+(1-Inputs!$C$12)/MAX(1,Inputs!$C$11)*(O132*(O$128-1)*1+O132*(O132-1)/2)+1-O132)/1)</f>
        <v>1</v>
      </c>
      <c r="P133" s="76" t="n">
        <f aca="false">IF(Inputs!$C$11&lt;=0,1,(P132*Inputs!$C$12+(1-Inputs!$C$12)/MAX(1,Inputs!$C$11)*(P132*(P$128-1)*1+P132*(P132-1)/2)+1-P132)/1)</f>
        <v>1</v>
      </c>
      <c r="Q133" s="76" t="n">
        <f aca="false">IF(Inputs!$C$11&lt;=0,1,(Q132*Inputs!$C$12+(1-Inputs!$C$12)/MAX(1,Inputs!$C$11)*(Q132*(Q$128-1)*1+Q132*(Q132-1)/2)+1-Q132)/1)</f>
        <v>1</v>
      </c>
      <c r="R133" s="76" t="n">
        <f aca="false">IF(Inputs!$C$11&lt;=0,1,(R132*Inputs!$C$12+(1-Inputs!$C$12)/MAX(1,Inputs!$C$11)*(R132*(R$128-1)*1+R132*(R132-1)/2)+1-R132)/1)</f>
        <v>1</v>
      </c>
      <c r="S133" s="76" t="n">
        <f aca="false">IF(Inputs!$C$11&lt;=0,1,(S132*Inputs!$C$12+(1-Inputs!$C$12)/MAX(1,Inputs!$C$11)*(S132*(S$128-1)*1+S132*(S132-1)/2)+1-S132)/1)</f>
        <v>1</v>
      </c>
      <c r="T133" s="76" t="n">
        <f aca="false">IF(Inputs!$C$11&lt;=0,1,(T132*Inputs!$C$12+(1-Inputs!$C$12)/MAX(1,Inputs!$C$11)*(T132*(T$128-1)*1+T132*(T132-1)/2)+1-T132)/1)</f>
        <v>1</v>
      </c>
      <c r="U133" s="76" t="n">
        <f aca="false">IF(Inputs!$C$11&lt;=0,1,(U132*Inputs!$C$12+(1-Inputs!$C$12)/MAX(1,Inputs!$C$11)*(U132*(U$128-1)*1+U132*(U132-1)/2)+1-U132)/1)</f>
        <v>1</v>
      </c>
      <c r="V133" s="76" t="n">
        <f aca="false">IF(Inputs!$C$11&lt;=0,1,(V132*Inputs!$C$12+(1-Inputs!$C$12)/MAX(1,Inputs!$C$11)*(V132*(V$128-1)*1+V132*(V132-1)/2)+1-V132)/1)</f>
        <v>1</v>
      </c>
      <c r="W133" s="76" t="n">
        <f aca="false">IF(Inputs!$C$11&lt;=0,1,(W132*Inputs!$C$12+(1-Inputs!$C$12)/MAX(1,Inputs!$C$11)*(W132*(W$128-1)*1+W132*(W132-1)/2)+1-W132)/1)</f>
        <v>1</v>
      </c>
      <c r="X133" s="76" t="n">
        <f aca="false">IF(Inputs!$C$11&lt;=0,1,(X132*Inputs!$C$12+(1-Inputs!$C$12)/MAX(1,Inputs!$C$11)*(X132*(X$128-1)*1+X132*(X132-1)/2)+1-X132)/1)</f>
        <v>1</v>
      </c>
      <c r="Y133" s="76" t="n">
        <f aca="false">IF(Inputs!$C$11&lt;=0,1,(Y132*Inputs!$C$12+(1-Inputs!$C$12)/MAX(1,Inputs!$C$11)*(Y132*(Y$128-1)*1+Y132*(Y132-1)/2)+1-Y132)/1)</f>
        <v>1</v>
      </c>
      <c r="Z133" s="76" t="n">
        <f aca="false">IF(Inputs!$C$11&lt;=0,1,(Z132*Inputs!$C$12+(1-Inputs!$C$12)/MAX(1,Inputs!$C$11)*(Z132*(Z$128-1)*1+Z132*(Z132-1)/2)+1-Z132)/1)</f>
        <v>1</v>
      </c>
      <c r="AA133" s="76" t="n">
        <f aca="false">IF(Inputs!$C$11&lt;=0,1,(AA132*Inputs!$C$12+(1-Inputs!$C$12)/MAX(1,Inputs!$C$11)*(AA132*(AA$128-1)*1+AA132*(AA132-1)/2)+1-AA132)/1)</f>
        <v>1</v>
      </c>
      <c r="AB133" s="76" t="n">
        <f aca="false">IF(Inputs!$C$11&lt;=0,1,(AB132*Inputs!$C$12+(1-Inputs!$C$12)/MAX(1,Inputs!$C$11)*(AB132*(AB$128-1)*1+AB132*(AB132-1)/2)+1-AB132)/1)</f>
        <v>1</v>
      </c>
      <c r="AC133" s="76" t="n">
        <f aca="false">IF(Inputs!$C$11&lt;=0,1,(AC132*Inputs!$C$12+(1-Inputs!$C$12)/MAX(1,Inputs!$C$11)*(AC132*(AC$128-1)*1+AC132*(AC132-1)/2)+1-AC132)/1)</f>
        <v>1</v>
      </c>
      <c r="AD133" s="76" t="n">
        <f aca="false">IF(Inputs!$C$11&lt;=0,1,(AD132*Inputs!$C$12+(1-Inputs!$C$12)/MAX(1,Inputs!$C$11)*(AD132*(AD$128-1)*1+AD132*(AD132-1)/2)+1-AD132)/1)</f>
        <v>1</v>
      </c>
      <c r="AE133" s="76" t="n">
        <f aca="false">IF(Inputs!$C$11&lt;=0,1,(AE132*Inputs!$C$12+(1-Inputs!$C$12)/MAX(1,Inputs!$C$11)*(AE132*(AE$128-1)*1+AE132*(AE132-1)/2)+1-AE132)/1)</f>
        <v>1</v>
      </c>
      <c r="AF133" s="76" t="n">
        <f aca="false">IF(Inputs!$C$11&lt;=0,1,(AF132*Inputs!$C$12+(1-Inputs!$C$12)/MAX(1,Inputs!$C$11)*(AF132*(AF$128-1)*1+AF132*(AF132-1)/2)+1-AF132)/1)</f>
        <v>1</v>
      </c>
      <c r="AG133" s="76" t="n">
        <f aca="false">IF(Inputs!$C$11&lt;=0,1,(AG132*Inputs!$C$12+(1-Inputs!$C$12)/MAX(1,Inputs!$C$11)*(AG132*(AG$128-1)*1+AG132*(AG132-1)/2)+1-AG132)/1)</f>
        <v>1</v>
      </c>
      <c r="AH133" s="76" t="n">
        <f aca="false">IF(Inputs!$C$11&lt;=0,1,(AH132*Inputs!$C$12+(1-Inputs!$C$12)/MAX(1,Inputs!$C$11)*(AH132*(AH$128-1)*1+AH132*(AH132-1)/2)+1-AH132)/1)</f>
        <v>1</v>
      </c>
      <c r="AI133" s="76" t="n">
        <f aca="false">IF(Inputs!$C$11&lt;=0,1,(AI132*Inputs!$C$12+(1-Inputs!$C$12)/MAX(1,Inputs!$C$11)*(AI132*(AI$128-1)*1+AI132*(AI132-1)/2)+1-AI132)/1)</f>
        <v>1</v>
      </c>
      <c r="AJ133" s="76" t="n">
        <f aca="false">IF(Inputs!$C$11&lt;=0,1,(AJ132*Inputs!$C$12+(1-Inputs!$C$12)/MAX(1,Inputs!$C$11)*(AJ132*(AJ$128-1)*1+AJ132*(AJ132-1)/2)+1-AJ132)/1)</f>
        <v>1</v>
      </c>
      <c r="AK133" s="76" t="n">
        <f aca="false">IF(Inputs!$C$11&lt;=0,1,(AK132*Inputs!$C$12+(1-Inputs!$C$12)/MAX(1,Inputs!$C$11)*(AK132*(AK$128-1)*1+AK132*(AK132-1)/2)+1-AK132)/1)</f>
        <v>1</v>
      </c>
      <c r="AL133" s="76" t="n">
        <f aca="false">IF(Inputs!$C$11&lt;=0,1,(AL132*Inputs!$C$12+(1-Inputs!$C$12)/MAX(1,Inputs!$C$11)*(AL132*(AL$128-1)*1+AL132*(AL132-1)/2)+1-AL132)/1)</f>
        <v>1</v>
      </c>
      <c r="AM133" s="76" t="n">
        <f aca="false">IF(Inputs!$C$11&lt;=0,1,(AM132*Inputs!$C$12+(1-Inputs!$C$12)/MAX(1,Inputs!$C$11)*(AM132*(AM$128-1)*1+AM132*(AM132-1)/2)+1-AM132)/1)</f>
        <v>1</v>
      </c>
      <c r="AN133" s="76" t="n">
        <f aca="false">IF(Inputs!$C$11&lt;=0,1,(AN132*Inputs!$C$12+(1-Inputs!$C$12)/MAX(1,Inputs!$C$11)*(AN132*(AN$128-1)*1+AN132*(AN132-1)/2)+1-AN132)/1)</f>
        <v>1</v>
      </c>
      <c r="AO133" s="76" t="n">
        <f aca="false">IF(Inputs!$C$11&lt;=0,1,(AO132*Inputs!$C$12+(1-Inputs!$C$12)/MAX(1,Inputs!$C$11)*(AO132*(AO$128-1)*1+AO132*(AO132-1)/2)+1-AO132)/1)</f>
        <v>1</v>
      </c>
      <c r="AP133" s="76" t="n">
        <f aca="false">IF(Inputs!$C$11&lt;=0,1,(AP132*Inputs!$C$12+(1-Inputs!$C$12)/MAX(1,Inputs!$C$11)*(AP132*(AP$128-1)*1+AP132*(AP132-1)/2)+1-AP132)/1)</f>
        <v>1</v>
      </c>
      <c r="AQ133" s="76" t="n">
        <f aca="false">IF(Inputs!$C$11&lt;=0,1,(AQ132*Inputs!$C$12+(1-Inputs!$C$12)/MAX(1,Inputs!$C$11)*(AQ132*(AQ$128-1)*1+AQ132*(AQ132-1)/2)+1-AQ132)/1)</f>
        <v>1</v>
      </c>
      <c r="AR133" s="76" t="n">
        <f aca="false">IF(Inputs!$C$11&lt;=0,1,(AR132*Inputs!$C$12+(1-Inputs!$C$12)/MAX(1,Inputs!$C$11)*(AR132*(AR$128-1)*1+AR132*(AR132-1)/2)+1-AR132)/1)</f>
        <v>1</v>
      </c>
      <c r="AS133" s="76" t="n">
        <f aca="false">IF(Inputs!$C$11&lt;=0,1,(AS132*Inputs!$C$12+(1-Inputs!$C$12)/MAX(1,Inputs!$C$11)*(AS132*(AS$128-1)*1+AS132*(AS132-1)/2)+1-AS132)/1)</f>
        <v>1</v>
      </c>
      <c r="AT133" s="76" t="n">
        <f aca="false">IF(Inputs!$C$11&lt;=0,1,(AT132*Inputs!$C$12+(1-Inputs!$C$12)/MAX(1,Inputs!$C$11)*(AT132*(AT$128-1)*1+AT132*(AT132-1)/2)+1-AT132)/1)</f>
        <v>1</v>
      </c>
      <c r="AU133" s="76" t="n">
        <f aca="false">IF(Inputs!$C$11&lt;=0,1,(AU132*Inputs!$C$12+(1-Inputs!$C$12)/MAX(1,Inputs!$C$11)*(AU132*(AU$128-1)*1+AU132*(AU132-1)/2)+1-AU132)/1)</f>
        <v>1</v>
      </c>
      <c r="AV133" s="76" t="n">
        <f aca="false">IF(Inputs!$C$11&lt;=0,1,(AV132*Inputs!$C$12+(1-Inputs!$C$12)/MAX(1,Inputs!$C$11)*(AV132*(AV$128-1)*1+AV132*(AV132-1)/2)+1-AV132)/1)</f>
        <v>1</v>
      </c>
      <c r="AW133" s="76" t="n">
        <f aca="false">IF(Inputs!$C$11&lt;=0,1,(AW132*Inputs!$C$12+(1-Inputs!$C$12)/MAX(1,Inputs!$C$11)*(AW132*(AW$128-1)*1+AW132*(AW132-1)/2)+1-AW132)/1)</f>
        <v>1</v>
      </c>
      <c r="AX133" s="76" t="n">
        <f aca="false">IF(Inputs!$C$11&lt;=0,1,(AX132*Inputs!$C$12+(1-Inputs!$C$12)/MAX(1,Inputs!$C$11)*(AX132*(AX$128-1)*1+AX132*(AX132-1)/2)+1-AX132)/1)</f>
        <v>1</v>
      </c>
      <c r="AY133" s="76" t="n">
        <f aca="false">IF(Inputs!$C$11&lt;=0,1,(AY132*Inputs!$C$12+(1-Inputs!$C$12)/MAX(1,Inputs!$C$11)*(AY132*(AY$128-1)*1+AY132*(AY132-1)/2)+1-AY132)/1)</f>
        <v>1</v>
      </c>
      <c r="AZ133" s="76" t="n">
        <f aca="false">IF(Inputs!$C$11&lt;=0,1,(AZ132*Inputs!$C$12+(1-Inputs!$C$12)/MAX(1,Inputs!$C$11)*(AZ132*(AZ$128-1)*1+AZ132*(AZ132-1)/2)+1-AZ132)/1)</f>
        <v>1</v>
      </c>
      <c r="BA133" s="76" t="n">
        <f aca="false">IF(Inputs!$C$11&lt;=0,1,(BA132*Inputs!$C$12+(1-Inputs!$C$12)/MAX(1,Inputs!$C$11)*(BA132*(BA$128-1)*1+BA132*(BA132-1)/2)+1-BA132)/1)</f>
        <v>1</v>
      </c>
      <c r="BB133" s="76" t="n">
        <f aca="false">IF(Inputs!$C$11&lt;=0,1,(BB132*Inputs!$C$12+(1-Inputs!$C$12)/MAX(1,Inputs!$C$11)*(BB132*(BB$128-1)*1+BB132*(BB132-1)/2)+1-BB132)/1)</f>
        <v>1</v>
      </c>
      <c r="BC133" s="76" t="n">
        <f aca="false">IF(Inputs!$C$11&lt;=0,1,(BC132*Inputs!$C$12+(1-Inputs!$C$12)/MAX(1,Inputs!$C$11)*(BC132*(BC$128-1)*1+BC132*(BC132-1)/2)+1-BC132)/1)</f>
        <v>1</v>
      </c>
      <c r="BD133" s="76" t="n">
        <f aca="false">IF(Inputs!$C$11&lt;=0,1,(BD132*Inputs!$C$12+(1-Inputs!$C$12)/MAX(1,Inputs!$C$11)*(BD132*(BD$128-1)*1+BD132*(BD132-1)/2)+1-BD132)/1)</f>
        <v>1</v>
      </c>
      <c r="BE133" s="76" t="n">
        <f aca="false">IF(Inputs!$C$11&lt;=0,1,(BE132*Inputs!$C$12+(1-Inputs!$C$12)/MAX(1,Inputs!$C$11)*(BE132*(BE$128-1)*1+BE132*(BE132-1)/2)+1-BE132)/1)</f>
        <v>1</v>
      </c>
      <c r="BF133" s="76" t="n">
        <f aca="false">IF(Inputs!$C$11&lt;=0,1,(BF132*Inputs!$C$12+(1-Inputs!$C$12)/MAX(1,Inputs!$C$11)*(BF132*(BF$128-1)*1+BF132*(BF132-1)/2)+1-BF132)/1)</f>
        <v>1</v>
      </c>
      <c r="BG133" s="76" t="n">
        <f aca="false">IF(Inputs!$C$11&lt;=0,1,(BG132*Inputs!$C$12+(1-Inputs!$C$12)/MAX(1,Inputs!$C$11)*(BG132*(BG$128-1)*1+BG132*(BG132-1)/2)+1-BG132)/1)</f>
        <v>1</v>
      </c>
      <c r="BH133" s="76" t="n">
        <f aca="false">IF(Inputs!$C$11&lt;=0,1,(BH132*Inputs!$C$12+(1-Inputs!$C$12)/MAX(1,Inputs!$C$11)*(BH132*(BH$128-1)*1+BH132*(BH132-1)/2)+1-BH132)/1)</f>
        <v>1</v>
      </c>
      <c r="BI133" s="76" t="n">
        <f aca="false">IF(Inputs!$C$11&lt;=0,1,(BI132*Inputs!$C$12+(1-Inputs!$C$12)/MAX(1,Inputs!$C$11)*(BI132*(BI$128-1)*1+BI132*(BI132-1)/2)+1-BI132)/1)</f>
        <v>1</v>
      </c>
      <c r="BJ133" s="76" t="n">
        <f aca="false">IF(Inputs!$C$11&lt;=0,1,(BJ132*Inputs!$C$12+(1-Inputs!$C$12)/MAX(1,Inputs!$C$11)*(BJ132*(BJ$128-1)*1+BJ132*(BJ132-1)/2)+1-BJ132)/1)</f>
        <v>1</v>
      </c>
    </row>
    <row r="134" customFormat="false" ht="15" hidden="false" customHeight="false" outlineLevel="0" collapsed="false">
      <c r="A134" s="6" t="s">
        <v>412</v>
      </c>
      <c r="C134" s="120" t="n">
        <f aca="false">Inputs!$C$7*(1+Inputs!$C$8)^(C$129-1)*Inputs!$C$10*1*C133</f>
        <v>135</v>
      </c>
      <c r="D134" s="120" t="n">
        <f aca="false">Inputs!$C$7*(1+Inputs!$C$8)^(D$129-1)*Inputs!$C$10*1*D133</f>
        <v>151.875</v>
      </c>
      <c r="E134" s="120" t="n">
        <f aca="false">Inputs!$C$7*(1+Inputs!$C$8)^(E$129-1)*Inputs!$C$10*1*E133</f>
        <v>168.75</v>
      </c>
      <c r="F134" s="120" t="n">
        <f aca="false">Inputs!$C$7*(1+Inputs!$C$8)^(F$129-1)*Inputs!$C$10*1*F133</f>
        <v>185.625</v>
      </c>
      <c r="G134" s="120" t="n">
        <f aca="false">Inputs!$C$7*(1+Inputs!$C$8)^(G$129-1)*Inputs!$C$10*1*G133</f>
        <v>202.5</v>
      </c>
      <c r="H134" s="120" t="n">
        <f aca="false">Inputs!$C$7*(1+Inputs!$C$8)^(H$129-1)*Inputs!$C$10*1*H133</f>
        <v>219.375</v>
      </c>
      <c r="I134" s="120" t="n">
        <f aca="false">Inputs!$C$7*(1+Inputs!$C$8)^(I$129-1)*Inputs!$C$10*1*I133</f>
        <v>236.25</v>
      </c>
      <c r="J134" s="120" t="n">
        <f aca="false">Inputs!$C$7*(1+Inputs!$C$8)^(J$129-1)*Inputs!$C$10*1*J133</f>
        <v>253.125</v>
      </c>
      <c r="K134" s="120" t="n">
        <f aca="false">Inputs!$C$7*(1+Inputs!$C$8)^(K$129-1)*Inputs!$C$10*1*K133</f>
        <v>270</v>
      </c>
      <c r="L134" s="120" t="n">
        <f aca="false">Inputs!$C$7*(1+Inputs!$C$8)^(L$129-1)*Inputs!$C$10*1*L133</f>
        <v>286.875</v>
      </c>
      <c r="M134" s="120" t="n">
        <f aca="false">Inputs!$C$7*(1+Inputs!$C$8)^(M$129-1)*Inputs!$C$10*1*M133</f>
        <v>303.75</v>
      </c>
      <c r="N134" s="120" t="n">
        <f aca="false">Inputs!$C$7*(1+Inputs!$C$8)^(N$129-1)*Inputs!$C$10*1*N133</f>
        <v>320.625</v>
      </c>
      <c r="O134" s="120" t="n">
        <f aca="false">Inputs!$C$7*(1+Inputs!$C$8)^(O$129-1)*Inputs!$C$10*1*O133</f>
        <v>347.625</v>
      </c>
      <c r="P134" s="120" t="n">
        <f aca="false">Inputs!$C$7*(1+Inputs!$C$8)^(P$129-1)*Inputs!$C$10*1*P133</f>
        <v>347.625</v>
      </c>
      <c r="Q134" s="120" t="n">
        <f aca="false">Inputs!$C$7*(1+Inputs!$C$8)^(Q$129-1)*Inputs!$C$10*1*Q133</f>
        <v>347.625</v>
      </c>
      <c r="R134" s="120" t="n">
        <f aca="false">Inputs!$C$7*(1+Inputs!$C$8)^(R$129-1)*Inputs!$C$10*1*R133</f>
        <v>347.625</v>
      </c>
      <c r="S134" s="120" t="n">
        <f aca="false">Inputs!$C$7*(1+Inputs!$C$8)^(S$129-1)*Inputs!$C$10*1*S133</f>
        <v>347.625</v>
      </c>
      <c r="T134" s="120" t="n">
        <f aca="false">Inputs!$C$7*(1+Inputs!$C$8)^(T$129-1)*Inputs!$C$10*1*T133</f>
        <v>347.625</v>
      </c>
      <c r="U134" s="120" t="n">
        <f aca="false">Inputs!$C$7*(1+Inputs!$C$8)^(U$129-1)*Inputs!$C$10*1*U133</f>
        <v>347.625</v>
      </c>
      <c r="V134" s="120" t="n">
        <f aca="false">Inputs!$C$7*(1+Inputs!$C$8)^(V$129-1)*Inputs!$C$10*1*V133</f>
        <v>347.625</v>
      </c>
      <c r="W134" s="120" t="n">
        <f aca="false">Inputs!$C$7*(1+Inputs!$C$8)^(W$129-1)*Inputs!$C$10*1*W133</f>
        <v>347.625</v>
      </c>
      <c r="X134" s="120" t="n">
        <f aca="false">Inputs!$C$7*(1+Inputs!$C$8)^(X$129-1)*Inputs!$C$10*1*X133</f>
        <v>347.625</v>
      </c>
      <c r="Y134" s="120" t="n">
        <f aca="false">Inputs!$C$7*(1+Inputs!$C$8)^(Y$129-1)*Inputs!$C$10*1*Y133</f>
        <v>347.625</v>
      </c>
      <c r="Z134" s="120" t="n">
        <f aca="false">Inputs!$C$7*(1+Inputs!$C$8)^(Z$129-1)*Inputs!$C$10*1*Z133</f>
        <v>347.625</v>
      </c>
      <c r="AA134" s="120" t="n">
        <f aca="false">Inputs!$C$7*(1+Inputs!$C$8)^(AA$129-1)*Inputs!$C$10*1*AA133</f>
        <v>358.05375</v>
      </c>
      <c r="AB134" s="120" t="n">
        <f aca="false">Inputs!$C$7*(1+Inputs!$C$8)^(AB$129-1)*Inputs!$C$10*1*AB133</f>
        <v>358.05375</v>
      </c>
      <c r="AC134" s="120" t="n">
        <f aca="false">Inputs!$C$7*(1+Inputs!$C$8)^(AC$129-1)*Inputs!$C$10*1*AC133</f>
        <v>358.05375</v>
      </c>
      <c r="AD134" s="120" t="n">
        <f aca="false">Inputs!$C$7*(1+Inputs!$C$8)^(AD$129-1)*Inputs!$C$10*1*AD133</f>
        <v>358.05375</v>
      </c>
      <c r="AE134" s="120" t="n">
        <f aca="false">Inputs!$C$7*(1+Inputs!$C$8)^(AE$129-1)*Inputs!$C$10*1*AE133</f>
        <v>358.05375</v>
      </c>
      <c r="AF134" s="120" t="n">
        <f aca="false">Inputs!$C$7*(1+Inputs!$C$8)^(AF$129-1)*Inputs!$C$10*1*AF133</f>
        <v>358.05375</v>
      </c>
      <c r="AG134" s="120" t="n">
        <f aca="false">Inputs!$C$7*(1+Inputs!$C$8)^(AG$129-1)*Inputs!$C$10*1*AG133</f>
        <v>358.05375</v>
      </c>
      <c r="AH134" s="120" t="n">
        <f aca="false">Inputs!$C$7*(1+Inputs!$C$8)^(AH$129-1)*Inputs!$C$10*1*AH133</f>
        <v>358.05375</v>
      </c>
      <c r="AI134" s="120" t="n">
        <f aca="false">Inputs!$C$7*(1+Inputs!$C$8)^(AI$129-1)*Inputs!$C$10*1*AI133</f>
        <v>358.05375</v>
      </c>
      <c r="AJ134" s="120" t="n">
        <f aca="false">Inputs!$C$7*(1+Inputs!$C$8)^(AJ$129-1)*Inputs!$C$10*1*AJ133</f>
        <v>358.05375</v>
      </c>
      <c r="AK134" s="120" t="n">
        <f aca="false">Inputs!$C$7*(1+Inputs!$C$8)^(AK$129-1)*Inputs!$C$10*1*AK133</f>
        <v>358.05375</v>
      </c>
      <c r="AL134" s="120" t="n">
        <f aca="false">Inputs!$C$7*(1+Inputs!$C$8)^(AL$129-1)*Inputs!$C$10*1*AL133</f>
        <v>358.05375</v>
      </c>
      <c r="AM134" s="120" t="n">
        <f aca="false">Inputs!$C$7*(1+Inputs!$C$8)^(AM$129-1)*Inputs!$C$10*1*AM133</f>
        <v>368.7953625</v>
      </c>
      <c r="AN134" s="120" t="n">
        <f aca="false">Inputs!$C$7*(1+Inputs!$C$8)^(AN$129-1)*Inputs!$C$10*1*AN133</f>
        <v>368.7953625</v>
      </c>
      <c r="AO134" s="120" t="n">
        <f aca="false">Inputs!$C$7*(1+Inputs!$C$8)^(AO$129-1)*Inputs!$C$10*1*AO133</f>
        <v>368.7953625</v>
      </c>
      <c r="AP134" s="120" t="n">
        <f aca="false">Inputs!$C$7*(1+Inputs!$C$8)^(AP$129-1)*Inputs!$C$10*1*AP133</f>
        <v>368.7953625</v>
      </c>
      <c r="AQ134" s="120" t="n">
        <f aca="false">Inputs!$C$7*(1+Inputs!$C$8)^(AQ$129-1)*Inputs!$C$10*1*AQ133</f>
        <v>368.7953625</v>
      </c>
      <c r="AR134" s="120" t="n">
        <f aca="false">Inputs!$C$7*(1+Inputs!$C$8)^(AR$129-1)*Inputs!$C$10*1*AR133</f>
        <v>368.7953625</v>
      </c>
      <c r="AS134" s="120" t="n">
        <f aca="false">Inputs!$C$7*(1+Inputs!$C$8)^(AS$129-1)*Inputs!$C$10*1*AS133</f>
        <v>368.7953625</v>
      </c>
      <c r="AT134" s="120" t="n">
        <f aca="false">Inputs!$C$7*(1+Inputs!$C$8)^(AT$129-1)*Inputs!$C$10*1*AT133</f>
        <v>368.7953625</v>
      </c>
      <c r="AU134" s="120" t="n">
        <f aca="false">Inputs!$C$7*(1+Inputs!$C$8)^(AU$129-1)*Inputs!$C$10*1*AU133</f>
        <v>368.7953625</v>
      </c>
      <c r="AV134" s="120" t="n">
        <f aca="false">Inputs!$C$7*(1+Inputs!$C$8)^(AV$129-1)*Inputs!$C$10*1*AV133</f>
        <v>368.7953625</v>
      </c>
      <c r="AW134" s="120" t="n">
        <f aca="false">Inputs!$C$7*(1+Inputs!$C$8)^(AW$129-1)*Inputs!$C$10*1*AW133</f>
        <v>368.7953625</v>
      </c>
      <c r="AX134" s="120" t="n">
        <f aca="false">Inputs!$C$7*(1+Inputs!$C$8)^(AX$129-1)*Inputs!$C$10*1*AX133</f>
        <v>368.7953625</v>
      </c>
      <c r="AY134" s="120" t="n">
        <f aca="false">Inputs!$C$7*(1+Inputs!$C$8)^(AY$129-1)*Inputs!$C$10*1*AY133</f>
        <v>379.859223375</v>
      </c>
      <c r="AZ134" s="120" t="n">
        <f aca="false">Inputs!$C$7*(1+Inputs!$C$8)^(AZ$129-1)*Inputs!$C$10*1*AZ133</f>
        <v>379.859223375</v>
      </c>
      <c r="BA134" s="120" t="n">
        <f aca="false">Inputs!$C$7*(1+Inputs!$C$8)^(BA$129-1)*Inputs!$C$10*1*BA133</f>
        <v>379.859223375</v>
      </c>
      <c r="BB134" s="120" t="n">
        <f aca="false">Inputs!$C$7*(1+Inputs!$C$8)^(BB$129-1)*Inputs!$C$10*1*BB133</f>
        <v>379.859223375</v>
      </c>
      <c r="BC134" s="120" t="n">
        <f aca="false">Inputs!$C$7*(1+Inputs!$C$8)^(BC$129-1)*Inputs!$C$10*1*BC133</f>
        <v>379.859223375</v>
      </c>
      <c r="BD134" s="120" t="n">
        <f aca="false">Inputs!$C$7*(1+Inputs!$C$8)^(BD$129-1)*Inputs!$C$10*1*BD133</f>
        <v>379.859223375</v>
      </c>
      <c r="BE134" s="120" t="n">
        <f aca="false">Inputs!$C$7*(1+Inputs!$C$8)^(BE$129-1)*Inputs!$C$10*1*BE133</f>
        <v>379.859223375</v>
      </c>
      <c r="BF134" s="120" t="n">
        <f aca="false">Inputs!$C$7*(1+Inputs!$C$8)^(BF$129-1)*Inputs!$C$10*1*BF133</f>
        <v>379.859223375</v>
      </c>
      <c r="BG134" s="120" t="n">
        <f aca="false">Inputs!$C$7*(1+Inputs!$C$8)^(BG$129-1)*Inputs!$C$10*1*BG133</f>
        <v>379.859223375</v>
      </c>
      <c r="BH134" s="120" t="n">
        <f aca="false">Inputs!$C$7*(1+Inputs!$C$8)^(BH$129-1)*Inputs!$C$10*1*BH133</f>
        <v>379.859223375</v>
      </c>
      <c r="BI134" s="120" t="n">
        <f aca="false">Inputs!$C$7*(1+Inputs!$C$8)^(BI$129-1)*Inputs!$C$10*1*BI133</f>
        <v>379.859223375</v>
      </c>
      <c r="BJ134" s="120" t="n">
        <f aca="false">Inputs!$C$7*(1+Inputs!$C$8)^(BJ$129-1)*Inputs!$C$10*1*BJ133</f>
        <v>379.859223375</v>
      </c>
    </row>
    <row r="135" customFormat="false" ht="15" hidden="false" customHeight="false" outlineLevel="0" collapsed="false">
      <c r="A135" s="6" t="s">
        <v>413</v>
      </c>
      <c r="C135" s="120" t="n">
        <f aca="false">C134*Inputs!$C$9</f>
        <v>270</v>
      </c>
      <c r="D135" s="120" t="n">
        <f aca="false">D134*Inputs!$C$9</f>
        <v>303.75</v>
      </c>
      <c r="E135" s="120" t="n">
        <f aca="false">E134*Inputs!$C$9</f>
        <v>337.5</v>
      </c>
      <c r="F135" s="120" t="n">
        <f aca="false">F134*Inputs!$C$9</f>
        <v>371.25</v>
      </c>
      <c r="G135" s="120" t="n">
        <f aca="false">G134*Inputs!$C$9</f>
        <v>405</v>
      </c>
      <c r="H135" s="120" t="n">
        <f aca="false">H134*Inputs!$C$9</f>
        <v>438.75</v>
      </c>
      <c r="I135" s="120" t="n">
        <f aca="false">I134*Inputs!$C$9</f>
        <v>472.5</v>
      </c>
      <c r="J135" s="120" t="n">
        <f aca="false">J134*Inputs!$C$9</f>
        <v>506.25</v>
      </c>
      <c r="K135" s="120" t="n">
        <f aca="false">K134*Inputs!$C$9</f>
        <v>540</v>
      </c>
      <c r="L135" s="120" t="n">
        <f aca="false">L134*Inputs!$C$9</f>
        <v>573.75</v>
      </c>
      <c r="M135" s="120" t="n">
        <f aca="false">M134*Inputs!$C$9</f>
        <v>607.5</v>
      </c>
      <c r="N135" s="120" t="n">
        <f aca="false">N134*Inputs!$C$9</f>
        <v>641.25</v>
      </c>
      <c r="O135" s="120" t="n">
        <f aca="false">O134*Inputs!$C$9</f>
        <v>695.25</v>
      </c>
      <c r="P135" s="120" t="n">
        <f aca="false">P134*Inputs!$C$9</f>
        <v>695.25</v>
      </c>
      <c r="Q135" s="120" t="n">
        <f aca="false">Q134*Inputs!$C$9</f>
        <v>695.25</v>
      </c>
      <c r="R135" s="120" t="n">
        <f aca="false">R134*Inputs!$C$9</f>
        <v>695.25</v>
      </c>
      <c r="S135" s="120" t="n">
        <f aca="false">S134*Inputs!$C$9</f>
        <v>695.25</v>
      </c>
      <c r="T135" s="120" t="n">
        <f aca="false">T134*Inputs!$C$9</f>
        <v>695.25</v>
      </c>
      <c r="U135" s="120" t="n">
        <f aca="false">U134*Inputs!$C$9</f>
        <v>695.25</v>
      </c>
      <c r="V135" s="120" t="n">
        <f aca="false">V134*Inputs!$C$9</f>
        <v>695.25</v>
      </c>
      <c r="W135" s="120" t="n">
        <f aca="false">W134*Inputs!$C$9</f>
        <v>695.25</v>
      </c>
      <c r="X135" s="120" t="n">
        <f aca="false">X134*Inputs!$C$9</f>
        <v>695.25</v>
      </c>
      <c r="Y135" s="120" t="n">
        <f aca="false">Y134*Inputs!$C$9</f>
        <v>695.25</v>
      </c>
      <c r="Z135" s="120" t="n">
        <f aca="false">Z134*Inputs!$C$9</f>
        <v>695.25</v>
      </c>
      <c r="AA135" s="120" t="n">
        <f aca="false">AA134*Inputs!$C$9</f>
        <v>716.1075</v>
      </c>
      <c r="AB135" s="120" t="n">
        <f aca="false">AB134*Inputs!$C$9</f>
        <v>716.1075</v>
      </c>
      <c r="AC135" s="120" t="n">
        <f aca="false">AC134*Inputs!$C$9</f>
        <v>716.1075</v>
      </c>
      <c r="AD135" s="120" t="n">
        <f aca="false">AD134*Inputs!$C$9</f>
        <v>716.1075</v>
      </c>
      <c r="AE135" s="120" t="n">
        <f aca="false">AE134*Inputs!$C$9</f>
        <v>716.1075</v>
      </c>
      <c r="AF135" s="120" t="n">
        <f aca="false">AF134*Inputs!$C$9</f>
        <v>716.1075</v>
      </c>
      <c r="AG135" s="120" t="n">
        <f aca="false">AG134*Inputs!$C$9</f>
        <v>716.1075</v>
      </c>
      <c r="AH135" s="120" t="n">
        <f aca="false">AH134*Inputs!$C$9</f>
        <v>716.1075</v>
      </c>
      <c r="AI135" s="120" t="n">
        <f aca="false">AI134*Inputs!$C$9</f>
        <v>716.1075</v>
      </c>
      <c r="AJ135" s="120" t="n">
        <f aca="false">AJ134*Inputs!$C$9</f>
        <v>716.1075</v>
      </c>
      <c r="AK135" s="120" t="n">
        <f aca="false">AK134*Inputs!$C$9</f>
        <v>716.1075</v>
      </c>
      <c r="AL135" s="120" t="n">
        <f aca="false">AL134*Inputs!$C$9</f>
        <v>716.1075</v>
      </c>
      <c r="AM135" s="120" t="n">
        <f aca="false">AM134*Inputs!$C$9</f>
        <v>737.590725</v>
      </c>
      <c r="AN135" s="120" t="n">
        <f aca="false">AN134*Inputs!$C$9</f>
        <v>737.590725</v>
      </c>
      <c r="AO135" s="120" t="n">
        <f aca="false">AO134*Inputs!$C$9</f>
        <v>737.590725</v>
      </c>
      <c r="AP135" s="120" t="n">
        <f aca="false">AP134*Inputs!$C$9</f>
        <v>737.590725</v>
      </c>
      <c r="AQ135" s="120" t="n">
        <f aca="false">AQ134*Inputs!$C$9</f>
        <v>737.590725</v>
      </c>
      <c r="AR135" s="120" t="n">
        <f aca="false">AR134*Inputs!$C$9</f>
        <v>737.590725</v>
      </c>
      <c r="AS135" s="120" t="n">
        <f aca="false">AS134*Inputs!$C$9</f>
        <v>737.590725</v>
      </c>
      <c r="AT135" s="120" t="n">
        <f aca="false">AT134*Inputs!$C$9</f>
        <v>737.590725</v>
      </c>
      <c r="AU135" s="120" t="n">
        <f aca="false">AU134*Inputs!$C$9</f>
        <v>737.590725</v>
      </c>
      <c r="AV135" s="120" t="n">
        <f aca="false">AV134*Inputs!$C$9</f>
        <v>737.590725</v>
      </c>
      <c r="AW135" s="120" t="n">
        <f aca="false">AW134*Inputs!$C$9</f>
        <v>737.590725</v>
      </c>
      <c r="AX135" s="120" t="n">
        <f aca="false">AX134*Inputs!$C$9</f>
        <v>737.590725</v>
      </c>
      <c r="AY135" s="120" t="n">
        <f aca="false">AY134*Inputs!$C$9</f>
        <v>759.71844675</v>
      </c>
      <c r="AZ135" s="120" t="n">
        <f aca="false">AZ134*Inputs!$C$9</f>
        <v>759.71844675</v>
      </c>
      <c r="BA135" s="120" t="n">
        <f aca="false">BA134*Inputs!$C$9</f>
        <v>759.71844675</v>
      </c>
      <c r="BB135" s="120" t="n">
        <f aca="false">BB134*Inputs!$C$9</f>
        <v>759.71844675</v>
      </c>
      <c r="BC135" s="120" t="n">
        <f aca="false">BC134*Inputs!$C$9</f>
        <v>759.71844675</v>
      </c>
      <c r="BD135" s="120" t="n">
        <f aca="false">BD134*Inputs!$C$9</f>
        <v>759.71844675</v>
      </c>
      <c r="BE135" s="120" t="n">
        <f aca="false">BE134*Inputs!$C$9</f>
        <v>759.71844675</v>
      </c>
      <c r="BF135" s="120" t="n">
        <f aca="false">BF134*Inputs!$C$9</f>
        <v>759.71844675</v>
      </c>
      <c r="BG135" s="120" t="n">
        <f aca="false">BG134*Inputs!$C$9</f>
        <v>759.71844675</v>
      </c>
      <c r="BH135" s="120" t="n">
        <f aca="false">BH134*Inputs!$C$9</f>
        <v>759.71844675</v>
      </c>
      <c r="BI135" s="120" t="n">
        <f aca="false">BI134*Inputs!$C$9</f>
        <v>759.71844675</v>
      </c>
      <c r="BJ135" s="120" t="n">
        <f aca="false">BJ134*Inputs!$C$9</f>
        <v>759.71844675</v>
      </c>
    </row>
    <row r="137" customFormat="false" ht="15.75" hidden="false" customHeight="true" outlineLevel="0" collapsed="false">
      <c r="A137" s="7" t="s">
        <v>414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customFormat="false" ht="15" hidden="false" customHeight="false" outlineLevel="0" collapsed="false">
      <c r="A138" s="6" t="s">
        <v>415</v>
      </c>
      <c r="C138" s="119" t="n">
        <f aca="false">C236</f>
        <v>5</v>
      </c>
      <c r="D138" s="119" t="n">
        <f aca="false">D236</f>
        <v>5</v>
      </c>
      <c r="E138" s="119" t="n">
        <f aca="false">E236</f>
        <v>5</v>
      </c>
      <c r="F138" s="119" t="n">
        <f aca="false">F236</f>
        <v>5</v>
      </c>
      <c r="G138" s="119" t="n">
        <f aca="false">G236</f>
        <v>5</v>
      </c>
      <c r="H138" s="119" t="n">
        <f aca="false">H236</f>
        <v>5</v>
      </c>
      <c r="I138" s="119" t="n">
        <f aca="false">I236</f>
        <v>5</v>
      </c>
      <c r="J138" s="119" t="n">
        <f aca="false">J236</f>
        <v>5</v>
      </c>
      <c r="K138" s="119" t="n">
        <f aca="false">K236</f>
        <v>5</v>
      </c>
      <c r="L138" s="119" t="n">
        <f aca="false">L236</f>
        <v>5</v>
      </c>
      <c r="M138" s="119" t="n">
        <f aca="false">M236</f>
        <v>5</v>
      </c>
      <c r="N138" s="119" t="n">
        <f aca="false">N236</f>
        <v>5</v>
      </c>
      <c r="O138" s="119" t="n">
        <f aca="false">O236</f>
        <v>5</v>
      </c>
      <c r="P138" s="119" t="n">
        <f aca="false">P236</f>
        <v>5</v>
      </c>
      <c r="Q138" s="119" t="n">
        <f aca="false">Q236</f>
        <v>5</v>
      </c>
      <c r="R138" s="119" t="n">
        <f aca="false">R236</f>
        <v>5</v>
      </c>
      <c r="S138" s="119" t="n">
        <f aca="false">S236</f>
        <v>5</v>
      </c>
      <c r="T138" s="119" t="n">
        <f aca="false">T236</f>
        <v>5</v>
      </c>
      <c r="U138" s="119" t="n">
        <f aca="false">U236</f>
        <v>5</v>
      </c>
      <c r="V138" s="119" t="n">
        <f aca="false">V236</f>
        <v>5</v>
      </c>
      <c r="W138" s="119" t="n">
        <f aca="false">W236</f>
        <v>5</v>
      </c>
      <c r="X138" s="119" t="n">
        <f aca="false">X236</f>
        <v>5</v>
      </c>
      <c r="Y138" s="119" t="n">
        <f aca="false">Y236</f>
        <v>5</v>
      </c>
      <c r="Z138" s="119" t="n">
        <f aca="false">Z236</f>
        <v>5</v>
      </c>
      <c r="AA138" s="119" t="n">
        <f aca="false">AA236</f>
        <v>5</v>
      </c>
      <c r="AB138" s="119" t="n">
        <f aca="false">AB236</f>
        <v>5</v>
      </c>
      <c r="AC138" s="119" t="n">
        <f aca="false">AC236</f>
        <v>5</v>
      </c>
      <c r="AD138" s="119" t="n">
        <f aca="false">AD236</f>
        <v>5</v>
      </c>
      <c r="AE138" s="119" t="n">
        <f aca="false">AE236</f>
        <v>5</v>
      </c>
      <c r="AF138" s="119" t="n">
        <f aca="false">AF236</f>
        <v>5</v>
      </c>
      <c r="AG138" s="119" t="n">
        <f aca="false">AG236</f>
        <v>5</v>
      </c>
      <c r="AH138" s="119" t="n">
        <f aca="false">AH236</f>
        <v>5</v>
      </c>
      <c r="AI138" s="119" t="n">
        <f aca="false">AI236</f>
        <v>5</v>
      </c>
      <c r="AJ138" s="119" t="n">
        <f aca="false">AJ236</f>
        <v>5</v>
      </c>
      <c r="AK138" s="119" t="n">
        <f aca="false">AK236</f>
        <v>5</v>
      </c>
      <c r="AL138" s="119" t="n">
        <f aca="false">AL236</f>
        <v>5</v>
      </c>
      <c r="AM138" s="119" t="n">
        <f aca="false">AM236</f>
        <v>5</v>
      </c>
      <c r="AN138" s="119" t="n">
        <f aca="false">AN236</f>
        <v>5</v>
      </c>
      <c r="AO138" s="119" t="n">
        <f aca="false">AO236</f>
        <v>5</v>
      </c>
      <c r="AP138" s="119" t="n">
        <f aca="false">AP236</f>
        <v>5</v>
      </c>
      <c r="AQ138" s="119" t="n">
        <f aca="false">AQ236</f>
        <v>5</v>
      </c>
      <c r="AR138" s="119" t="n">
        <f aca="false">AR236</f>
        <v>5</v>
      </c>
      <c r="AS138" s="119" t="n">
        <f aca="false">AS236</f>
        <v>5</v>
      </c>
      <c r="AT138" s="119" t="n">
        <f aca="false">AT236</f>
        <v>5</v>
      </c>
      <c r="AU138" s="119" t="n">
        <f aca="false">AU236</f>
        <v>5</v>
      </c>
      <c r="AV138" s="119" t="n">
        <f aca="false">AV236</f>
        <v>5</v>
      </c>
      <c r="AW138" s="119" t="n">
        <f aca="false">AW236</f>
        <v>5</v>
      </c>
      <c r="AX138" s="119" t="n">
        <f aca="false">AX236</f>
        <v>5</v>
      </c>
      <c r="AY138" s="119" t="n">
        <f aca="false">AY236</f>
        <v>5</v>
      </c>
      <c r="AZ138" s="119" t="n">
        <f aca="false">AZ236</f>
        <v>5</v>
      </c>
      <c r="BA138" s="119" t="n">
        <f aca="false">BA236</f>
        <v>5</v>
      </c>
      <c r="BB138" s="119" t="n">
        <f aca="false">BB236</f>
        <v>5</v>
      </c>
      <c r="BC138" s="119" t="n">
        <f aca="false">BC236</f>
        <v>5</v>
      </c>
      <c r="BD138" s="119" t="n">
        <f aca="false">BD236</f>
        <v>5</v>
      </c>
      <c r="BE138" s="119" t="n">
        <f aca="false">BE236</f>
        <v>5</v>
      </c>
      <c r="BF138" s="119" t="n">
        <f aca="false">BF236</f>
        <v>5</v>
      </c>
      <c r="BG138" s="119" t="n">
        <f aca="false">BG236</f>
        <v>5</v>
      </c>
      <c r="BH138" s="119" t="n">
        <f aca="false">BH236</f>
        <v>5</v>
      </c>
      <c r="BI138" s="119" t="n">
        <f aca="false">BI236</f>
        <v>5</v>
      </c>
      <c r="BJ138" s="119" t="n">
        <f aca="false">BJ236</f>
        <v>5</v>
      </c>
    </row>
    <row r="139" customFormat="false" ht="15" hidden="false" customHeight="false" outlineLevel="0" collapsed="false">
      <c r="A139" s="6" t="s">
        <v>416</v>
      </c>
      <c r="C139" s="120" t="n">
        <f aca="false">Inputs!$C$15*Inputs!$C$16*Inputs!$C$10*1</f>
        <v>975</v>
      </c>
      <c r="D139" s="120" t="n">
        <f aca="false">Inputs!$C$15*Inputs!$C$16*Inputs!$C$10*1</f>
        <v>975</v>
      </c>
      <c r="E139" s="120" t="n">
        <f aca="false">Inputs!$C$15*Inputs!$C$16*Inputs!$C$10*1</f>
        <v>975</v>
      </c>
      <c r="F139" s="120" t="n">
        <f aca="false">Inputs!$C$15*Inputs!$C$16*Inputs!$C$10*1</f>
        <v>975</v>
      </c>
      <c r="G139" s="120" t="n">
        <f aca="false">Inputs!$C$15*Inputs!$C$16*Inputs!$C$10*1</f>
        <v>975</v>
      </c>
      <c r="H139" s="120" t="n">
        <f aca="false">Inputs!$C$15*Inputs!$C$16*Inputs!$C$10*1</f>
        <v>975</v>
      </c>
      <c r="I139" s="120" t="n">
        <f aca="false">Inputs!$C$15*Inputs!$C$16*Inputs!$C$10*1</f>
        <v>975</v>
      </c>
      <c r="J139" s="120" t="n">
        <f aca="false">Inputs!$C$15*Inputs!$C$16*Inputs!$C$10*1</f>
        <v>975</v>
      </c>
      <c r="K139" s="120" t="n">
        <f aca="false">Inputs!$C$15*Inputs!$C$16*Inputs!$C$10*1</f>
        <v>975</v>
      </c>
      <c r="L139" s="120" t="n">
        <f aca="false">Inputs!$C$15*Inputs!$C$16*Inputs!$C$10*1</f>
        <v>975</v>
      </c>
      <c r="M139" s="120" t="n">
        <f aca="false">Inputs!$C$15*Inputs!$C$16*Inputs!$C$10*1</f>
        <v>975</v>
      </c>
      <c r="N139" s="120" t="n">
        <f aca="false">Inputs!$C$15*Inputs!$C$16*Inputs!$C$10*1</f>
        <v>975</v>
      </c>
      <c r="O139" s="120" t="n">
        <f aca="false">Inputs!$C$15*Inputs!$C$16*Inputs!$C$10*1</f>
        <v>975</v>
      </c>
      <c r="P139" s="120" t="n">
        <f aca="false">Inputs!$C$15*Inputs!$C$16*Inputs!$C$10*1</f>
        <v>975</v>
      </c>
      <c r="Q139" s="120" t="n">
        <f aca="false">Inputs!$C$15*Inputs!$C$16*Inputs!$C$10*1</f>
        <v>975</v>
      </c>
      <c r="R139" s="120" t="n">
        <f aca="false">Inputs!$C$15*Inputs!$C$16*Inputs!$C$10*1</f>
        <v>975</v>
      </c>
      <c r="S139" s="120" t="n">
        <f aca="false">Inputs!$C$15*Inputs!$C$16*Inputs!$C$10*1</f>
        <v>975</v>
      </c>
      <c r="T139" s="120" t="n">
        <f aca="false">Inputs!$C$15*Inputs!$C$16*Inputs!$C$10*1</f>
        <v>975</v>
      </c>
      <c r="U139" s="120" t="n">
        <f aca="false">Inputs!$C$15*Inputs!$C$16*Inputs!$C$10*1</f>
        <v>975</v>
      </c>
      <c r="V139" s="120" t="n">
        <f aca="false">Inputs!$C$15*Inputs!$C$16*Inputs!$C$10*1</f>
        <v>975</v>
      </c>
      <c r="W139" s="120" t="n">
        <f aca="false">Inputs!$C$15*Inputs!$C$16*Inputs!$C$10*1</f>
        <v>975</v>
      </c>
      <c r="X139" s="120" t="n">
        <f aca="false">Inputs!$C$15*Inputs!$C$16*Inputs!$C$10*1</f>
        <v>975</v>
      </c>
      <c r="Y139" s="120" t="n">
        <f aca="false">Inputs!$C$15*Inputs!$C$16*Inputs!$C$10*1</f>
        <v>975</v>
      </c>
      <c r="Z139" s="120" t="n">
        <f aca="false">Inputs!$C$15*Inputs!$C$16*Inputs!$C$10*1</f>
        <v>975</v>
      </c>
      <c r="AA139" s="120" t="n">
        <f aca="false">Inputs!$C$15*Inputs!$C$16*Inputs!$C$10*1</f>
        <v>975</v>
      </c>
      <c r="AB139" s="120" t="n">
        <f aca="false">Inputs!$C$15*Inputs!$C$16*Inputs!$C$10*1</f>
        <v>975</v>
      </c>
      <c r="AC139" s="120" t="n">
        <f aca="false">Inputs!$C$15*Inputs!$C$16*Inputs!$C$10*1</f>
        <v>975</v>
      </c>
      <c r="AD139" s="120" t="n">
        <f aca="false">Inputs!$C$15*Inputs!$C$16*Inputs!$C$10*1</f>
        <v>975</v>
      </c>
      <c r="AE139" s="120" t="n">
        <f aca="false">Inputs!$C$15*Inputs!$C$16*Inputs!$C$10*1</f>
        <v>975</v>
      </c>
      <c r="AF139" s="120" t="n">
        <f aca="false">Inputs!$C$15*Inputs!$C$16*Inputs!$C$10*1</f>
        <v>975</v>
      </c>
      <c r="AG139" s="120" t="n">
        <f aca="false">Inputs!$C$15*Inputs!$C$16*Inputs!$C$10*1</f>
        <v>975</v>
      </c>
      <c r="AH139" s="120" t="n">
        <f aca="false">Inputs!$C$15*Inputs!$C$16*Inputs!$C$10*1</f>
        <v>975</v>
      </c>
      <c r="AI139" s="120" t="n">
        <f aca="false">Inputs!$C$15*Inputs!$C$16*Inputs!$C$10*1</f>
        <v>975</v>
      </c>
      <c r="AJ139" s="120" t="n">
        <f aca="false">Inputs!$C$15*Inputs!$C$16*Inputs!$C$10*1</f>
        <v>975</v>
      </c>
      <c r="AK139" s="120" t="n">
        <f aca="false">Inputs!$C$15*Inputs!$C$16*Inputs!$C$10*1</f>
        <v>975</v>
      </c>
      <c r="AL139" s="120" t="n">
        <f aca="false">Inputs!$C$15*Inputs!$C$16*Inputs!$C$10*1</f>
        <v>975</v>
      </c>
      <c r="AM139" s="120" t="n">
        <f aca="false">Inputs!$C$15*Inputs!$C$16*Inputs!$C$10*1</f>
        <v>975</v>
      </c>
      <c r="AN139" s="120" t="n">
        <f aca="false">Inputs!$C$15*Inputs!$C$16*Inputs!$C$10*1</f>
        <v>975</v>
      </c>
      <c r="AO139" s="120" t="n">
        <f aca="false">Inputs!$C$15*Inputs!$C$16*Inputs!$C$10*1</f>
        <v>975</v>
      </c>
      <c r="AP139" s="120" t="n">
        <f aca="false">Inputs!$C$15*Inputs!$C$16*Inputs!$C$10*1</f>
        <v>975</v>
      </c>
      <c r="AQ139" s="120" t="n">
        <f aca="false">Inputs!$C$15*Inputs!$C$16*Inputs!$C$10*1</f>
        <v>975</v>
      </c>
      <c r="AR139" s="120" t="n">
        <f aca="false">Inputs!$C$15*Inputs!$C$16*Inputs!$C$10*1</f>
        <v>975</v>
      </c>
      <c r="AS139" s="120" t="n">
        <f aca="false">Inputs!$C$15*Inputs!$C$16*Inputs!$C$10*1</f>
        <v>975</v>
      </c>
      <c r="AT139" s="120" t="n">
        <f aca="false">Inputs!$C$15*Inputs!$C$16*Inputs!$C$10*1</f>
        <v>975</v>
      </c>
      <c r="AU139" s="120" t="n">
        <f aca="false">Inputs!$C$15*Inputs!$C$16*Inputs!$C$10*1</f>
        <v>975</v>
      </c>
      <c r="AV139" s="120" t="n">
        <f aca="false">Inputs!$C$15*Inputs!$C$16*Inputs!$C$10*1</f>
        <v>975</v>
      </c>
      <c r="AW139" s="120" t="n">
        <f aca="false">Inputs!$C$15*Inputs!$C$16*Inputs!$C$10*1</f>
        <v>975</v>
      </c>
      <c r="AX139" s="120" t="n">
        <f aca="false">Inputs!$C$15*Inputs!$C$16*Inputs!$C$10*1</f>
        <v>975</v>
      </c>
      <c r="AY139" s="120" t="n">
        <f aca="false">Inputs!$C$15*Inputs!$C$16*Inputs!$C$10*1</f>
        <v>975</v>
      </c>
      <c r="AZ139" s="120" t="n">
        <f aca="false">Inputs!$C$15*Inputs!$C$16*Inputs!$C$10*1</f>
        <v>975</v>
      </c>
      <c r="BA139" s="120" t="n">
        <f aca="false">Inputs!$C$15*Inputs!$C$16*Inputs!$C$10*1</f>
        <v>975</v>
      </c>
      <c r="BB139" s="120" t="n">
        <f aca="false">Inputs!$C$15*Inputs!$C$16*Inputs!$C$10*1</f>
        <v>975</v>
      </c>
      <c r="BC139" s="120" t="n">
        <f aca="false">Inputs!$C$15*Inputs!$C$16*Inputs!$C$10*1</f>
        <v>975</v>
      </c>
      <c r="BD139" s="120" t="n">
        <f aca="false">Inputs!$C$15*Inputs!$C$16*Inputs!$C$10*1</f>
        <v>975</v>
      </c>
      <c r="BE139" s="120" t="n">
        <f aca="false">Inputs!$C$15*Inputs!$C$16*Inputs!$C$10*1</f>
        <v>975</v>
      </c>
      <c r="BF139" s="120" t="n">
        <f aca="false">Inputs!$C$15*Inputs!$C$16*Inputs!$C$10*1</f>
        <v>975</v>
      </c>
      <c r="BG139" s="120" t="n">
        <f aca="false">Inputs!$C$15*Inputs!$C$16*Inputs!$C$10*1</f>
        <v>975</v>
      </c>
      <c r="BH139" s="120" t="n">
        <f aca="false">Inputs!$C$15*Inputs!$C$16*Inputs!$C$10*1</f>
        <v>975</v>
      </c>
      <c r="BI139" s="120" t="n">
        <f aca="false">Inputs!$C$15*Inputs!$C$16*Inputs!$C$10*1</f>
        <v>975</v>
      </c>
      <c r="BJ139" s="120" t="n">
        <f aca="false">Inputs!$C$15*Inputs!$C$16*Inputs!$C$10*1</f>
        <v>975</v>
      </c>
    </row>
    <row r="140" customFormat="false" ht="15" hidden="false" customHeight="false" outlineLevel="0" collapsed="false">
      <c r="A140" s="6" t="s">
        <v>417</v>
      </c>
      <c r="C140" s="120" t="n">
        <f aca="false">C138*Inputs!$C$17*Inputs!$C$18*Inputs!$C$10*1</f>
        <v>880</v>
      </c>
      <c r="D140" s="120" t="n">
        <f aca="false">D138*Inputs!$C$17*Inputs!$C$18*Inputs!$C$10*1</f>
        <v>880</v>
      </c>
      <c r="E140" s="120" t="n">
        <f aca="false">E138*Inputs!$C$17*Inputs!$C$18*Inputs!$C$10*1</f>
        <v>880</v>
      </c>
      <c r="F140" s="120" t="n">
        <f aca="false">F138*Inputs!$C$17*Inputs!$C$18*Inputs!$C$10*1</f>
        <v>880</v>
      </c>
      <c r="G140" s="120" t="n">
        <f aca="false">G138*Inputs!$C$17*Inputs!$C$18*Inputs!$C$10*1</f>
        <v>880</v>
      </c>
      <c r="H140" s="120" t="n">
        <f aca="false">H138*Inputs!$C$17*Inputs!$C$18*Inputs!$C$10*1</f>
        <v>880</v>
      </c>
      <c r="I140" s="120" t="n">
        <f aca="false">I138*Inputs!$C$17*Inputs!$C$18*Inputs!$C$10*1</f>
        <v>880</v>
      </c>
      <c r="J140" s="120" t="n">
        <f aca="false">J138*Inputs!$C$17*Inputs!$C$18*Inputs!$C$10*1</f>
        <v>880</v>
      </c>
      <c r="K140" s="120" t="n">
        <f aca="false">K138*Inputs!$C$17*Inputs!$C$18*Inputs!$C$10*1</f>
        <v>880</v>
      </c>
      <c r="L140" s="120" t="n">
        <f aca="false">L138*Inputs!$C$17*Inputs!$C$18*Inputs!$C$10*1</f>
        <v>880</v>
      </c>
      <c r="M140" s="120" t="n">
        <f aca="false">M138*Inputs!$C$17*Inputs!$C$18*Inputs!$C$10*1</f>
        <v>880</v>
      </c>
      <c r="N140" s="120" t="n">
        <f aca="false">N138*Inputs!$C$17*Inputs!$C$18*Inputs!$C$10*1</f>
        <v>880</v>
      </c>
      <c r="O140" s="120" t="n">
        <f aca="false">O138*Inputs!$C$17*Inputs!$C$18*Inputs!$C$10*1</f>
        <v>880</v>
      </c>
      <c r="P140" s="120" t="n">
        <f aca="false">P138*Inputs!$C$17*Inputs!$C$18*Inputs!$C$10*1</f>
        <v>880</v>
      </c>
      <c r="Q140" s="120" t="n">
        <f aca="false">Q138*Inputs!$C$17*Inputs!$C$18*Inputs!$C$10*1</f>
        <v>880</v>
      </c>
      <c r="R140" s="120" t="n">
        <f aca="false">R138*Inputs!$C$17*Inputs!$C$18*Inputs!$C$10*1</f>
        <v>880</v>
      </c>
      <c r="S140" s="120" t="n">
        <f aca="false">S138*Inputs!$C$17*Inputs!$C$18*Inputs!$C$10*1</f>
        <v>880</v>
      </c>
      <c r="T140" s="120" t="n">
        <f aca="false">T138*Inputs!$C$17*Inputs!$C$18*Inputs!$C$10*1</f>
        <v>880</v>
      </c>
      <c r="U140" s="120" t="n">
        <f aca="false">U138*Inputs!$C$17*Inputs!$C$18*Inputs!$C$10*1</f>
        <v>880</v>
      </c>
      <c r="V140" s="120" t="n">
        <f aca="false">V138*Inputs!$C$17*Inputs!$C$18*Inputs!$C$10*1</f>
        <v>880</v>
      </c>
      <c r="W140" s="120" t="n">
        <f aca="false">W138*Inputs!$C$17*Inputs!$C$18*Inputs!$C$10*1</f>
        <v>880</v>
      </c>
      <c r="X140" s="120" t="n">
        <f aca="false">X138*Inputs!$C$17*Inputs!$C$18*Inputs!$C$10*1</f>
        <v>880</v>
      </c>
      <c r="Y140" s="120" t="n">
        <f aca="false">Y138*Inputs!$C$17*Inputs!$C$18*Inputs!$C$10*1</f>
        <v>880</v>
      </c>
      <c r="Z140" s="120" t="n">
        <f aca="false">Z138*Inputs!$C$17*Inputs!$C$18*Inputs!$C$10*1</f>
        <v>880</v>
      </c>
      <c r="AA140" s="120" t="n">
        <f aca="false">AA138*Inputs!$C$17*Inputs!$C$18*Inputs!$C$10*1</f>
        <v>880</v>
      </c>
      <c r="AB140" s="120" t="n">
        <f aca="false">AB138*Inputs!$C$17*Inputs!$C$18*Inputs!$C$10*1</f>
        <v>880</v>
      </c>
      <c r="AC140" s="120" t="n">
        <f aca="false">AC138*Inputs!$C$17*Inputs!$C$18*Inputs!$C$10*1</f>
        <v>880</v>
      </c>
      <c r="AD140" s="120" t="n">
        <f aca="false">AD138*Inputs!$C$17*Inputs!$C$18*Inputs!$C$10*1</f>
        <v>880</v>
      </c>
      <c r="AE140" s="120" t="n">
        <f aca="false">AE138*Inputs!$C$17*Inputs!$C$18*Inputs!$C$10*1</f>
        <v>880</v>
      </c>
      <c r="AF140" s="120" t="n">
        <f aca="false">AF138*Inputs!$C$17*Inputs!$C$18*Inputs!$C$10*1</f>
        <v>880</v>
      </c>
      <c r="AG140" s="120" t="n">
        <f aca="false">AG138*Inputs!$C$17*Inputs!$C$18*Inputs!$C$10*1</f>
        <v>880</v>
      </c>
      <c r="AH140" s="120" t="n">
        <f aca="false">AH138*Inputs!$C$17*Inputs!$C$18*Inputs!$C$10*1</f>
        <v>880</v>
      </c>
      <c r="AI140" s="120" t="n">
        <f aca="false">AI138*Inputs!$C$17*Inputs!$C$18*Inputs!$C$10*1</f>
        <v>880</v>
      </c>
      <c r="AJ140" s="120" t="n">
        <f aca="false">AJ138*Inputs!$C$17*Inputs!$C$18*Inputs!$C$10*1</f>
        <v>880</v>
      </c>
      <c r="AK140" s="120" t="n">
        <f aca="false">AK138*Inputs!$C$17*Inputs!$C$18*Inputs!$C$10*1</f>
        <v>880</v>
      </c>
      <c r="AL140" s="120" t="n">
        <f aca="false">AL138*Inputs!$C$17*Inputs!$C$18*Inputs!$C$10*1</f>
        <v>880</v>
      </c>
      <c r="AM140" s="120" t="n">
        <f aca="false">AM138*Inputs!$C$17*Inputs!$C$18*Inputs!$C$10*1</f>
        <v>880</v>
      </c>
      <c r="AN140" s="120" t="n">
        <f aca="false">AN138*Inputs!$C$17*Inputs!$C$18*Inputs!$C$10*1</f>
        <v>880</v>
      </c>
      <c r="AO140" s="120" t="n">
        <f aca="false">AO138*Inputs!$C$17*Inputs!$C$18*Inputs!$C$10*1</f>
        <v>880</v>
      </c>
      <c r="AP140" s="120" t="n">
        <f aca="false">AP138*Inputs!$C$17*Inputs!$C$18*Inputs!$C$10*1</f>
        <v>880</v>
      </c>
      <c r="AQ140" s="120" t="n">
        <f aca="false">AQ138*Inputs!$C$17*Inputs!$C$18*Inputs!$C$10*1</f>
        <v>880</v>
      </c>
      <c r="AR140" s="120" t="n">
        <f aca="false">AR138*Inputs!$C$17*Inputs!$C$18*Inputs!$C$10*1</f>
        <v>880</v>
      </c>
      <c r="AS140" s="120" t="n">
        <f aca="false">AS138*Inputs!$C$17*Inputs!$C$18*Inputs!$C$10*1</f>
        <v>880</v>
      </c>
      <c r="AT140" s="120" t="n">
        <f aca="false">AT138*Inputs!$C$17*Inputs!$C$18*Inputs!$C$10*1</f>
        <v>880</v>
      </c>
      <c r="AU140" s="120" t="n">
        <f aca="false">AU138*Inputs!$C$17*Inputs!$C$18*Inputs!$C$10*1</f>
        <v>880</v>
      </c>
      <c r="AV140" s="120" t="n">
        <f aca="false">AV138*Inputs!$C$17*Inputs!$C$18*Inputs!$C$10*1</f>
        <v>880</v>
      </c>
      <c r="AW140" s="120" t="n">
        <f aca="false">AW138*Inputs!$C$17*Inputs!$C$18*Inputs!$C$10*1</f>
        <v>880</v>
      </c>
      <c r="AX140" s="120" t="n">
        <f aca="false">AX138*Inputs!$C$17*Inputs!$C$18*Inputs!$C$10*1</f>
        <v>880</v>
      </c>
      <c r="AY140" s="120" t="n">
        <f aca="false">AY138*Inputs!$C$17*Inputs!$C$18*Inputs!$C$10*1</f>
        <v>880</v>
      </c>
      <c r="AZ140" s="120" t="n">
        <f aca="false">AZ138*Inputs!$C$17*Inputs!$C$18*Inputs!$C$10*1</f>
        <v>880</v>
      </c>
      <c r="BA140" s="120" t="n">
        <f aca="false">BA138*Inputs!$C$17*Inputs!$C$18*Inputs!$C$10*1</f>
        <v>880</v>
      </c>
      <c r="BB140" s="120" t="n">
        <f aca="false">BB138*Inputs!$C$17*Inputs!$C$18*Inputs!$C$10*1</f>
        <v>880</v>
      </c>
      <c r="BC140" s="120" t="n">
        <f aca="false">BC138*Inputs!$C$17*Inputs!$C$18*Inputs!$C$10*1</f>
        <v>880</v>
      </c>
      <c r="BD140" s="120" t="n">
        <f aca="false">BD138*Inputs!$C$17*Inputs!$C$18*Inputs!$C$10*1</f>
        <v>880</v>
      </c>
      <c r="BE140" s="120" t="n">
        <f aca="false">BE138*Inputs!$C$17*Inputs!$C$18*Inputs!$C$10*1</f>
        <v>880</v>
      </c>
      <c r="BF140" s="120" t="n">
        <f aca="false">BF138*Inputs!$C$17*Inputs!$C$18*Inputs!$C$10*1</f>
        <v>880</v>
      </c>
      <c r="BG140" s="120" t="n">
        <f aca="false">BG138*Inputs!$C$17*Inputs!$C$18*Inputs!$C$10*1</f>
        <v>880</v>
      </c>
      <c r="BH140" s="120" t="n">
        <f aca="false">BH138*Inputs!$C$17*Inputs!$C$18*Inputs!$C$10*1</f>
        <v>880</v>
      </c>
      <c r="BI140" s="120" t="n">
        <f aca="false">BI138*Inputs!$C$17*Inputs!$C$18*Inputs!$C$10*1</f>
        <v>880</v>
      </c>
      <c r="BJ140" s="120" t="n">
        <f aca="false">BJ138*Inputs!$C$17*Inputs!$C$18*Inputs!$C$10*1</f>
        <v>880</v>
      </c>
    </row>
    <row r="141" customFormat="false" ht="15" hidden="false" customHeight="false" outlineLevel="0" collapsed="false">
      <c r="A141" s="6" t="s">
        <v>235</v>
      </c>
      <c r="C141" s="120" t="n">
        <f aca="false">MIN(C139,C140)</f>
        <v>880</v>
      </c>
      <c r="D141" s="120" t="n">
        <f aca="false">MIN(D139,D140)</f>
        <v>880</v>
      </c>
      <c r="E141" s="120" t="n">
        <f aca="false">MIN(E139,E140)</f>
        <v>880</v>
      </c>
      <c r="F141" s="120" t="n">
        <f aca="false">MIN(F139,F140)</f>
        <v>880</v>
      </c>
      <c r="G141" s="120" t="n">
        <f aca="false">MIN(G139,G140)</f>
        <v>880</v>
      </c>
      <c r="H141" s="120" t="n">
        <f aca="false">MIN(H139,H140)</f>
        <v>880</v>
      </c>
      <c r="I141" s="120" t="n">
        <f aca="false">MIN(I139,I140)</f>
        <v>880</v>
      </c>
      <c r="J141" s="120" t="n">
        <f aca="false">MIN(J139,J140)</f>
        <v>880</v>
      </c>
      <c r="K141" s="120" t="n">
        <f aca="false">MIN(K139,K140)</f>
        <v>880</v>
      </c>
      <c r="L141" s="120" t="n">
        <f aca="false">MIN(L139,L140)</f>
        <v>880</v>
      </c>
      <c r="M141" s="120" t="n">
        <f aca="false">MIN(M139,M140)</f>
        <v>880</v>
      </c>
      <c r="N141" s="120" t="n">
        <f aca="false">MIN(N139,N140)</f>
        <v>880</v>
      </c>
      <c r="O141" s="120" t="n">
        <f aca="false">MIN(O139,O140)</f>
        <v>880</v>
      </c>
      <c r="P141" s="120" t="n">
        <f aca="false">MIN(P139,P140)</f>
        <v>880</v>
      </c>
      <c r="Q141" s="120" t="n">
        <f aca="false">MIN(Q139,Q140)</f>
        <v>880</v>
      </c>
      <c r="R141" s="120" t="n">
        <f aca="false">MIN(R139,R140)</f>
        <v>880</v>
      </c>
      <c r="S141" s="120" t="n">
        <f aca="false">MIN(S139,S140)</f>
        <v>880</v>
      </c>
      <c r="T141" s="120" t="n">
        <f aca="false">MIN(T139,T140)</f>
        <v>880</v>
      </c>
      <c r="U141" s="120" t="n">
        <f aca="false">MIN(U139,U140)</f>
        <v>880</v>
      </c>
      <c r="V141" s="120" t="n">
        <f aca="false">MIN(V139,V140)</f>
        <v>880</v>
      </c>
      <c r="W141" s="120" t="n">
        <f aca="false">MIN(W139,W140)</f>
        <v>880</v>
      </c>
      <c r="X141" s="120" t="n">
        <f aca="false">MIN(X139,X140)</f>
        <v>880</v>
      </c>
      <c r="Y141" s="120" t="n">
        <f aca="false">MIN(Y139,Y140)</f>
        <v>880</v>
      </c>
      <c r="Z141" s="120" t="n">
        <f aca="false">MIN(Z139,Z140)</f>
        <v>880</v>
      </c>
      <c r="AA141" s="120" t="n">
        <f aca="false">MIN(AA139,AA140)</f>
        <v>880</v>
      </c>
      <c r="AB141" s="120" t="n">
        <f aca="false">MIN(AB139,AB140)</f>
        <v>880</v>
      </c>
      <c r="AC141" s="120" t="n">
        <f aca="false">MIN(AC139,AC140)</f>
        <v>880</v>
      </c>
      <c r="AD141" s="120" t="n">
        <f aca="false">MIN(AD139,AD140)</f>
        <v>880</v>
      </c>
      <c r="AE141" s="120" t="n">
        <f aca="false">MIN(AE139,AE140)</f>
        <v>880</v>
      </c>
      <c r="AF141" s="120" t="n">
        <f aca="false">MIN(AF139,AF140)</f>
        <v>880</v>
      </c>
      <c r="AG141" s="120" t="n">
        <f aca="false">MIN(AG139,AG140)</f>
        <v>880</v>
      </c>
      <c r="AH141" s="120" t="n">
        <f aca="false">MIN(AH139,AH140)</f>
        <v>880</v>
      </c>
      <c r="AI141" s="120" t="n">
        <f aca="false">MIN(AI139,AI140)</f>
        <v>880</v>
      </c>
      <c r="AJ141" s="120" t="n">
        <f aca="false">MIN(AJ139,AJ140)</f>
        <v>880</v>
      </c>
      <c r="AK141" s="120" t="n">
        <f aca="false">MIN(AK139,AK140)</f>
        <v>880</v>
      </c>
      <c r="AL141" s="120" t="n">
        <f aca="false">MIN(AL139,AL140)</f>
        <v>880</v>
      </c>
      <c r="AM141" s="120" t="n">
        <f aca="false">MIN(AM139,AM140)</f>
        <v>880</v>
      </c>
      <c r="AN141" s="120" t="n">
        <f aca="false">MIN(AN139,AN140)</f>
        <v>880</v>
      </c>
      <c r="AO141" s="120" t="n">
        <f aca="false">MIN(AO139,AO140)</f>
        <v>880</v>
      </c>
      <c r="AP141" s="120" t="n">
        <f aca="false">MIN(AP139,AP140)</f>
        <v>880</v>
      </c>
      <c r="AQ141" s="120" t="n">
        <f aca="false">MIN(AQ139,AQ140)</f>
        <v>880</v>
      </c>
      <c r="AR141" s="120" t="n">
        <f aca="false">MIN(AR139,AR140)</f>
        <v>880</v>
      </c>
      <c r="AS141" s="120" t="n">
        <f aca="false">MIN(AS139,AS140)</f>
        <v>880</v>
      </c>
      <c r="AT141" s="120" t="n">
        <f aca="false">MIN(AT139,AT140)</f>
        <v>880</v>
      </c>
      <c r="AU141" s="120" t="n">
        <f aca="false">MIN(AU139,AU140)</f>
        <v>880</v>
      </c>
      <c r="AV141" s="120" t="n">
        <f aca="false">MIN(AV139,AV140)</f>
        <v>880</v>
      </c>
      <c r="AW141" s="120" t="n">
        <f aca="false">MIN(AW139,AW140)</f>
        <v>880</v>
      </c>
      <c r="AX141" s="120" t="n">
        <f aca="false">MIN(AX139,AX140)</f>
        <v>880</v>
      </c>
      <c r="AY141" s="120" t="n">
        <f aca="false">MIN(AY139,AY140)</f>
        <v>880</v>
      </c>
      <c r="AZ141" s="120" t="n">
        <f aca="false">MIN(AZ139,AZ140)</f>
        <v>880</v>
      </c>
      <c r="BA141" s="120" t="n">
        <f aca="false">MIN(BA139,BA140)</f>
        <v>880</v>
      </c>
      <c r="BB141" s="120" t="n">
        <f aca="false">MIN(BB139,BB140)</f>
        <v>880</v>
      </c>
      <c r="BC141" s="120" t="n">
        <f aca="false">MIN(BC139,BC140)</f>
        <v>880</v>
      </c>
      <c r="BD141" s="120" t="n">
        <f aca="false">MIN(BD139,BD140)</f>
        <v>880</v>
      </c>
      <c r="BE141" s="120" t="n">
        <f aca="false">MIN(BE139,BE140)</f>
        <v>880</v>
      </c>
      <c r="BF141" s="120" t="n">
        <f aca="false">MIN(BF139,BF140)</f>
        <v>880</v>
      </c>
      <c r="BG141" s="120" t="n">
        <f aca="false">MIN(BG139,BG140)</f>
        <v>880</v>
      </c>
      <c r="BH141" s="120" t="n">
        <f aca="false">MIN(BH139,BH140)</f>
        <v>880</v>
      </c>
      <c r="BI141" s="120" t="n">
        <f aca="false">MIN(BI139,BI140)</f>
        <v>880</v>
      </c>
      <c r="BJ141" s="120" t="n">
        <f aca="false">MIN(BJ139,BJ140)</f>
        <v>880</v>
      </c>
    </row>
    <row r="142" customFormat="false" ht="15" hidden="false" customHeight="false" outlineLevel="0" collapsed="false">
      <c r="A142" s="4" t="s">
        <v>418</v>
      </c>
      <c r="C142" s="122" t="n">
        <f aca="false">MIN(C135,C141)</f>
        <v>270</v>
      </c>
      <c r="D142" s="122" t="n">
        <f aca="false">MIN(D135,D141)</f>
        <v>303.75</v>
      </c>
      <c r="E142" s="122" t="n">
        <f aca="false">MIN(E135,E141)</f>
        <v>337.5</v>
      </c>
      <c r="F142" s="122" t="n">
        <f aca="false">MIN(F135,F141)</f>
        <v>371.25</v>
      </c>
      <c r="G142" s="122" t="n">
        <f aca="false">MIN(G135,G141)</f>
        <v>405</v>
      </c>
      <c r="H142" s="122" t="n">
        <f aca="false">MIN(H135,H141)</f>
        <v>438.75</v>
      </c>
      <c r="I142" s="122" t="n">
        <f aca="false">MIN(I135,I141)</f>
        <v>472.5</v>
      </c>
      <c r="J142" s="122" t="n">
        <f aca="false">MIN(J135,J141)</f>
        <v>506.25</v>
      </c>
      <c r="K142" s="122" t="n">
        <f aca="false">MIN(K135,K141)</f>
        <v>540</v>
      </c>
      <c r="L142" s="122" t="n">
        <f aca="false">MIN(L135,L141)</f>
        <v>573.75</v>
      </c>
      <c r="M142" s="122" t="n">
        <f aca="false">MIN(M135,M141)</f>
        <v>607.5</v>
      </c>
      <c r="N142" s="122" t="n">
        <f aca="false">MIN(N135,N141)</f>
        <v>641.25</v>
      </c>
      <c r="O142" s="122" t="n">
        <f aca="false">MIN(O135,O141)</f>
        <v>695.25</v>
      </c>
      <c r="P142" s="122" t="n">
        <f aca="false">MIN(P135,P141)</f>
        <v>695.25</v>
      </c>
      <c r="Q142" s="122" t="n">
        <f aca="false">MIN(Q135,Q141)</f>
        <v>695.25</v>
      </c>
      <c r="R142" s="122" t="n">
        <f aca="false">MIN(R135,R141)</f>
        <v>695.25</v>
      </c>
      <c r="S142" s="122" t="n">
        <f aca="false">MIN(S135,S141)</f>
        <v>695.25</v>
      </c>
      <c r="T142" s="122" t="n">
        <f aca="false">MIN(T135,T141)</f>
        <v>695.25</v>
      </c>
      <c r="U142" s="122" t="n">
        <f aca="false">MIN(U135,U141)</f>
        <v>695.25</v>
      </c>
      <c r="V142" s="122" t="n">
        <f aca="false">MIN(V135,V141)</f>
        <v>695.25</v>
      </c>
      <c r="W142" s="122" t="n">
        <f aca="false">MIN(W135,W141)</f>
        <v>695.25</v>
      </c>
      <c r="X142" s="122" t="n">
        <f aca="false">MIN(X135,X141)</f>
        <v>695.25</v>
      </c>
      <c r="Y142" s="122" t="n">
        <f aca="false">MIN(Y135,Y141)</f>
        <v>695.25</v>
      </c>
      <c r="Z142" s="122" t="n">
        <f aca="false">MIN(Z135,Z141)</f>
        <v>695.25</v>
      </c>
      <c r="AA142" s="122" t="n">
        <f aca="false">MIN(AA135,AA141)</f>
        <v>716.1075</v>
      </c>
      <c r="AB142" s="122" t="n">
        <f aca="false">MIN(AB135,AB141)</f>
        <v>716.1075</v>
      </c>
      <c r="AC142" s="122" t="n">
        <f aca="false">MIN(AC135,AC141)</f>
        <v>716.1075</v>
      </c>
      <c r="AD142" s="122" t="n">
        <f aca="false">MIN(AD135,AD141)</f>
        <v>716.1075</v>
      </c>
      <c r="AE142" s="122" t="n">
        <f aca="false">MIN(AE135,AE141)</f>
        <v>716.1075</v>
      </c>
      <c r="AF142" s="122" t="n">
        <f aca="false">MIN(AF135,AF141)</f>
        <v>716.1075</v>
      </c>
      <c r="AG142" s="122" t="n">
        <f aca="false">MIN(AG135,AG141)</f>
        <v>716.1075</v>
      </c>
      <c r="AH142" s="122" t="n">
        <f aca="false">MIN(AH135,AH141)</f>
        <v>716.1075</v>
      </c>
      <c r="AI142" s="122" t="n">
        <f aca="false">MIN(AI135,AI141)</f>
        <v>716.1075</v>
      </c>
      <c r="AJ142" s="122" t="n">
        <f aca="false">MIN(AJ135,AJ141)</f>
        <v>716.1075</v>
      </c>
      <c r="AK142" s="122" t="n">
        <f aca="false">MIN(AK135,AK141)</f>
        <v>716.1075</v>
      </c>
      <c r="AL142" s="122" t="n">
        <f aca="false">MIN(AL135,AL141)</f>
        <v>716.1075</v>
      </c>
      <c r="AM142" s="122" t="n">
        <f aca="false">MIN(AM135,AM141)</f>
        <v>737.590725</v>
      </c>
      <c r="AN142" s="122" t="n">
        <f aca="false">MIN(AN135,AN141)</f>
        <v>737.590725</v>
      </c>
      <c r="AO142" s="122" t="n">
        <f aca="false">MIN(AO135,AO141)</f>
        <v>737.590725</v>
      </c>
      <c r="AP142" s="122" t="n">
        <f aca="false">MIN(AP135,AP141)</f>
        <v>737.590725</v>
      </c>
      <c r="AQ142" s="122" t="n">
        <f aca="false">MIN(AQ135,AQ141)</f>
        <v>737.590725</v>
      </c>
      <c r="AR142" s="122" t="n">
        <f aca="false">MIN(AR135,AR141)</f>
        <v>737.590725</v>
      </c>
      <c r="AS142" s="122" t="n">
        <f aca="false">MIN(AS135,AS141)</f>
        <v>737.590725</v>
      </c>
      <c r="AT142" s="122" t="n">
        <f aca="false">MIN(AT135,AT141)</f>
        <v>737.590725</v>
      </c>
      <c r="AU142" s="122" t="n">
        <f aca="false">MIN(AU135,AU141)</f>
        <v>737.590725</v>
      </c>
      <c r="AV142" s="122" t="n">
        <f aca="false">MIN(AV135,AV141)</f>
        <v>737.590725</v>
      </c>
      <c r="AW142" s="122" t="n">
        <f aca="false">MIN(AW135,AW141)</f>
        <v>737.590725</v>
      </c>
      <c r="AX142" s="122" t="n">
        <f aca="false">MIN(AX135,AX141)</f>
        <v>737.590725</v>
      </c>
      <c r="AY142" s="122" t="n">
        <f aca="false">MIN(AY135,AY141)</f>
        <v>759.71844675</v>
      </c>
      <c r="AZ142" s="122" t="n">
        <f aca="false">MIN(AZ135,AZ141)</f>
        <v>759.71844675</v>
      </c>
      <c r="BA142" s="122" t="n">
        <f aca="false">MIN(BA135,BA141)</f>
        <v>759.71844675</v>
      </c>
      <c r="BB142" s="122" t="n">
        <f aca="false">MIN(BB135,BB141)</f>
        <v>759.71844675</v>
      </c>
      <c r="BC142" s="122" t="n">
        <f aca="false">MIN(BC135,BC141)</f>
        <v>759.71844675</v>
      </c>
      <c r="BD142" s="122" t="n">
        <f aca="false">MIN(BD135,BD141)</f>
        <v>759.71844675</v>
      </c>
      <c r="BE142" s="122" t="n">
        <f aca="false">MIN(BE135,BE141)</f>
        <v>759.71844675</v>
      </c>
      <c r="BF142" s="122" t="n">
        <f aca="false">MIN(BF135,BF141)</f>
        <v>759.71844675</v>
      </c>
      <c r="BG142" s="122" t="n">
        <f aca="false">MIN(BG135,BG141)</f>
        <v>759.71844675</v>
      </c>
      <c r="BH142" s="122" t="n">
        <f aca="false">MIN(BH135,BH141)</f>
        <v>759.71844675</v>
      </c>
      <c r="BI142" s="122" t="n">
        <f aca="false">MIN(BI135,BI141)</f>
        <v>759.71844675</v>
      </c>
      <c r="BJ142" s="122" t="n">
        <f aca="false">MIN(BJ135,BJ141)</f>
        <v>759.71844675</v>
      </c>
    </row>
    <row r="143" customFormat="false" ht="15" hidden="false" customHeight="false" outlineLevel="0" collapsed="false">
      <c r="A143" s="6" t="s">
        <v>237</v>
      </c>
      <c r="C143" s="120" t="n">
        <f aca="false">C135-C142</f>
        <v>0</v>
      </c>
      <c r="D143" s="120" t="n">
        <f aca="false">D135-D142</f>
        <v>0</v>
      </c>
      <c r="E143" s="120" t="n">
        <f aca="false">E135-E142</f>
        <v>0</v>
      </c>
      <c r="F143" s="120" t="n">
        <f aca="false">F135-F142</f>
        <v>0</v>
      </c>
      <c r="G143" s="120" t="n">
        <f aca="false">G135-G142</f>
        <v>0</v>
      </c>
      <c r="H143" s="120" t="n">
        <f aca="false">H135-H142</f>
        <v>0</v>
      </c>
      <c r="I143" s="120" t="n">
        <f aca="false">I135-I142</f>
        <v>0</v>
      </c>
      <c r="J143" s="120" t="n">
        <f aca="false">J135-J142</f>
        <v>0</v>
      </c>
      <c r="K143" s="120" t="n">
        <f aca="false">K135-K142</f>
        <v>0</v>
      </c>
      <c r="L143" s="120" t="n">
        <f aca="false">L135-L142</f>
        <v>0</v>
      </c>
      <c r="M143" s="120" t="n">
        <f aca="false">M135-M142</f>
        <v>0</v>
      </c>
      <c r="N143" s="120" t="n">
        <f aca="false">N135-N142</f>
        <v>0</v>
      </c>
      <c r="O143" s="120" t="n">
        <f aca="false">O135-O142</f>
        <v>0</v>
      </c>
      <c r="P143" s="120" t="n">
        <f aca="false">P135-P142</f>
        <v>0</v>
      </c>
      <c r="Q143" s="120" t="n">
        <f aca="false">Q135-Q142</f>
        <v>0</v>
      </c>
      <c r="R143" s="120" t="n">
        <f aca="false">R135-R142</f>
        <v>0</v>
      </c>
      <c r="S143" s="120" t="n">
        <f aca="false">S135-S142</f>
        <v>0</v>
      </c>
      <c r="T143" s="120" t="n">
        <f aca="false">T135-T142</f>
        <v>0</v>
      </c>
      <c r="U143" s="120" t="n">
        <f aca="false">U135-U142</f>
        <v>0</v>
      </c>
      <c r="V143" s="120" t="n">
        <f aca="false">V135-V142</f>
        <v>0</v>
      </c>
      <c r="W143" s="120" t="n">
        <f aca="false">W135-W142</f>
        <v>0</v>
      </c>
      <c r="X143" s="120" t="n">
        <f aca="false">X135-X142</f>
        <v>0</v>
      </c>
      <c r="Y143" s="120" t="n">
        <f aca="false">Y135-Y142</f>
        <v>0</v>
      </c>
      <c r="Z143" s="120" t="n">
        <f aca="false">Z135-Z142</f>
        <v>0</v>
      </c>
      <c r="AA143" s="120" t="n">
        <f aca="false">AA135-AA142</f>
        <v>0</v>
      </c>
      <c r="AB143" s="120" t="n">
        <f aca="false">AB135-AB142</f>
        <v>0</v>
      </c>
      <c r="AC143" s="120" t="n">
        <f aca="false">AC135-AC142</f>
        <v>0</v>
      </c>
      <c r="AD143" s="120" t="n">
        <f aca="false">AD135-AD142</f>
        <v>0</v>
      </c>
      <c r="AE143" s="120" t="n">
        <f aca="false">AE135-AE142</f>
        <v>0</v>
      </c>
      <c r="AF143" s="120" t="n">
        <f aca="false">AF135-AF142</f>
        <v>0</v>
      </c>
      <c r="AG143" s="120" t="n">
        <f aca="false">AG135-AG142</f>
        <v>0</v>
      </c>
      <c r="AH143" s="120" t="n">
        <f aca="false">AH135-AH142</f>
        <v>0</v>
      </c>
      <c r="AI143" s="120" t="n">
        <f aca="false">AI135-AI142</f>
        <v>0</v>
      </c>
      <c r="AJ143" s="120" t="n">
        <f aca="false">AJ135-AJ142</f>
        <v>0</v>
      </c>
      <c r="AK143" s="120" t="n">
        <f aca="false">AK135-AK142</f>
        <v>0</v>
      </c>
      <c r="AL143" s="120" t="n">
        <f aca="false">AL135-AL142</f>
        <v>0</v>
      </c>
      <c r="AM143" s="120" t="n">
        <f aca="false">AM135-AM142</f>
        <v>0</v>
      </c>
      <c r="AN143" s="120" t="n">
        <f aca="false">AN135-AN142</f>
        <v>0</v>
      </c>
      <c r="AO143" s="120" t="n">
        <f aca="false">AO135-AO142</f>
        <v>0</v>
      </c>
      <c r="AP143" s="120" t="n">
        <f aca="false">AP135-AP142</f>
        <v>0</v>
      </c>
      <c r="AQ143" s="120" t="n">
        <f aca="false">AQ135-AQ142</f>
        <v>0</v>
      </c>
      <c r="AR143" s="120" t="n">
        <f aca="false">AR135-AR142</f>
        <v>0</v>
      </c>
      <c r="AS143" s="120" t="n">
        <f aca="false">AS135-AS142</f>
        <v>0</v>
      </c>
      <c r="AT143" s="120" t="n">
        <f aca="false">AT135-AT142</f>
        <v>0</v>
      </c>
      <c r="AU143" s="120" t="n">
        <f aca="false">AU135-AU142</f>
        <v>0</v>
      </c>
      <c r="AV143" s="120" t="n">
        <f aca="false">AV135-AV142</f>
        <v>0</v>
      </c>
      <c r="AW143" s="120" t="n">
        <f aca="false">AW135-AW142</f>
        <v>0</v>
      </c>
      <c r="AX143" s="120" t="n">
        <f aca="false">AX135-AX142</f>
        <v>0</v>
      </c>
      <c r="AY143" s="120" t="n">
        <f aca="false">AY135-AY142</f>
        <v>0</v>
      </c>
      <c r="AZ143" s="120" t="n">
        <f aca="false">AZ135-AZ142</f>
        <v>0</v>
      </c>
      <c r="BA143" s="120" t="n">
        <f aca="false">BA135-BA142</f>
        <v>0</v>
      </c>
      <c r="BB143" s="120" t="n">
        <f aca="false">BB135-BB142</f>
        <v>0</v>
      </c>
      <c r="BC143" s="120" t="n">
        <f aca="false">BC135-BC142</f>
        <v>0</v>
      </c>
      <c r="BD143" s="120" t="n">
        <f aca="false">BD135-BD142</f>
        <v>0</v>
      </c>
      <c r="BE143" s="120" t="n">
        <f aca="false">BE135-BE142</f>
        <v>0</v>
      </c>
      <c r="BF143" s="120" t="n">
        <f aca="false">BF135-BF142</f>
        <v>0</v>
      </c>
      <c r="BG143" s="120" t="n">
        <f aca="false">BG135-BG142</f>
        <v>0</v>
      </c>
      <c r="BH143" s="120" t="n">
        <f aca="false">BH135-BH142</f>
        <v>0</v>
      </c>
      <c r="BI143" s="120" t="n">
        <f aca="false">BI135-BI142</f>
        <v>0</v>
      </c>
      <c r="BJ143" s="120" t="n">
        <f aca="false">BJ135-BJ142</f>
        <v>0</v>
      </c>
    </row>
    <row r="144" customFormat="false" ht="15" hidden="false" customHeight="false" outlineLevel="0" collapsed="false">
      <c r="A144" s="38" t="s">
        <v>419</v>
      </c>
      <c r="C144" s="76" t="n">
        <f aca="false">MIN(1,C142/MAX(1,C135))</f>
        <v>1</v>
      </c>
      <c r="D144" s="76" t="n">
        <f aca="false">MIN(1,D142/MAX(1,D135))</f>
        <v>1</v>
      </c>
      <c r="E144" s="76" t="n">
        <f aca="false">MIN(1,E142/MAX(1,E135))</f>
        <v>1</v>
      </c>
      <c r="F144" s="76" t="n">
        <f aca="false">MIN(1,F142/MAX(1,F135))</f>
        <v>1</v>
      </c>
      <c r="G144" s="76" t="n">
        <f aca="false">MIN(1,G142/MAX(1,G135))</f>
        <v>1</v>
      </c>
      <c r="H144" s="76" t="n">
        <f aca="false">MIN(1,H142/MAX(1,H135))</f>
        <v>1</v>
      </c>
      <c r="I144" s="76" t="n">
        <f aca="false">MIN(1,I142/MAX(1,I135))</f>
        <v>1</v>
      </c>
      <c r="J144" s="76" t="n">
        <f aca="false">MIN(1,J142/MAX(1,J135))</f>
        <v>1</v>
      </c>
      <c r="K144" s="76" t="n">
        <f aca="false">MIN(1,K142/MAX(1,K135))</f>
        <v>1</v>
      </c>
      <c r="L144" s="76" t="n">
        <f aca="false">MIN(1,L142/MAX(1,L135))</f>
        <v>1</v>
      </c>
      <c r="M144" s="76" t="n">
        <f aca="false">MIN(1,M142/MAX(1,M135))</f>
        <v>1</v>
      </c>
      <c r="N144" s="76" t="n">
        <f aca="false">MIN(1,N142/MAX(1,N135))</f>
        <v>1</v>
      </c>
      <c r="O144" s="76" t="n">
        <f aca="false">MIN(1,O142/MAX(1,O135))</f>
        <v>1</v>
      </c>
      <c r="P144" s="76" t="n">
        <f aca="false">MIN(1,P142/MAX(1,P135))</f>
        <v>1</v>
      </c>
      <c r="Q144" s="76" t="n">
        <f aca="false">MIN(1,Q142/MAX(1,Q135))</f>
        <v>1</v>
      </c>
      <c r="R144" s="76" t="n">
        <f aca="false">MIN(1,R142/MAX(1,R135))</f>
        <v>1</v>
      </c>
      <c r="S144" s="76" t="n">
        <f aca="false">MIN(1,S142/MAX(1,S135))</f>
        <v>1</v>
      </c>
      <c r="T144" s="76" t="n">
        <f aca="false">MIN(1,T142/MAX(1,T135))</f>
        <v>1</v>
      </c>
      <c r="U144" s="76" t="n">
        <f aca="false">MIN(1,U142/MAX(1,U135))</f>
        <v>1</v>
      </c>
      <c r="V144" s="76" t="n">
        <f aca="false">MIN(1,V142/MAX(1,V135))</f>
        <v>1</v>
      </c>
      <c r="W144" s="76" t="n">
        <f aca="false">MIN(1,W142/MAX(1,W135))</f>
        <v>1</v>
      </c>
      <c r="X144" s="76" t="n">
        <f aca="false">MIN(1,X142/MAX(1,X135))</f>
        <v>1</v>
      </c>
      <c r="Y144" s="76" t="n">
        <f aca="false">MIN(1,Y142/MAX(1,Y135))</f>
        <v>1</v>
      </c>
      <c r="Z144" s="76" t="n">
        <f aca="false">MIN(1,Z142/MAX(1,Z135))</f>
        <v>1</v>
      </c>
      <c r="AA144" s="76" t="n">
        <f aca="false">MIN(1,AA142/MAX(1,AA135))</f>
        <v>1</v>
      </c>
      <c r="AB144" s="76" t="n">
        <f aca="false">MIN(1,AB142/MAX(1,AB135))</f>
        <v>1</v>
      </c>
      <c r="AC144" s="76" t="n">
        <f aca="false">MIN(1,AC142/MAX(1,AC135))</f>
        <v>1</v>
      </c>
      <c r="AD144" s="76" t="n">
        <f aca="false">MIN(1,AD142/MAX(1,AD135))</f>
        <v>1</v>
      </c>
      <c r="AE144" s="76" t="n">
        <f aca="false">MIN(1,AE142/MAX(1,AE135))</f>
        <v>1</v>
      </c>
      <c r="AF144" s="76" t="n">
        <f aca="false">MIN(1,AF142/MAX(1,AF135))</f>
        <v>1</v>
      </c>
      <c r="AG144" s="76" t="n">
        <f aca="false">MIN(1,AG142/MAX(1,AG135))</f>
        <v>1</v>
      </c>
      <c r="AH144" s="76" t="n">
        <f aca="false">MIN(1,AH142/MAX(1,AH135))</f>
        <v>1</v>
      </c>
      <c r="AI144" s="76" t="n">
        <f aca="false">MIN(1,AI142/MAX(1,AI135))</f>
        <v>1</v>
      </c>
      <c r="AJ144" s="76" t="n">
        <f aca="false">MIN(1,AJ142/MAX(1,AJ135))</f>
        <v>1</v>
      </c>
      <c r="AK144" s="76" t="n">
        <f aca="false">MIN(1,AK142/MAX(1,AK135))</f>
        <v>1</v>
      </c>
      <c r="AL144" s="76" t="n">
        <f aca="false">MIN(1,AL142/MAX(1,AL135))</f>
        <v>1</v>
      </c>
      <c r="AM144" s="76" t="n">
        <f aca="false">MIN(1,AM142/MAX(1,AM135))</f>
        <v>1</v>
      </c>
      <c r="AN144" s="76" t="n">
        <f aca="false">MIN(1,AN142/MAX(1,AN135))</f>
        <v>1</v>
      </c>
      <c r="AO144" s="76" t="n">
        <f aca="false">MIN(1,AO142/MAX(1,AO135))</f>
        <v>1</v>
      </c>
      <c r="AP144" s="76" t="n">
        <f aca="false">MIN(1,AP142/MAX(1,AP135))</f>
        <v>1</v>
      </c>
      <c r="AQ144" s="76" t="n">
        <f aca="false">MIN(1,AQ142/MAX(1,AQ135))</f>
        <v>1</v>
      </c>
      <c r="AR144" s="76" t="n">
        <f aca="false">MIN(1,AR142/MAX(1,AR135))</f>
        <v>1</v>
      </c>
      <c r="AS144" s="76" t="n">
        <f aca="false">MIN(1,AS142/MAX(1,AS135))</f>
        <v>1</v>
      </c>
      <c r="AT144" s="76" t="n">
        <f aca="false">MIN(1,AT142/MAX(1,AT135))</f>
        <v>1</v>
      </c>
      <c r="AU144" s="76" t="n">
        <f aca="false">MIN(1,AU142/MAX(1,AU135))</f>
        <v>1</v>
      </c>
      <c r="AV144" s="76" t="n">
        <f aca="false">MIN(1,AV142/MAX(1,AV135))</f>
        <v>1</v>
      </c>
      <c r="AW144" s="76" t="n">
        <f aca="false">MIN(1,AW142/MAX(1,AW135))</f>
        <v>1</v>
      </c>
      <c r="AX144" s="76" t="n">
        <f aca="false">MIN(1,AX142/MAX(1,AX135))</f>
        <v>1</v>
      </c>
      <c r="AY144" s="76" t="n">
        <f aca="false">MIN(1,AY142/MAX(1,AY135))</f>
        <v>1</v>
      </c>
      <c r="AZ144" s="76" t="n">
        <f aca="false">MIN(1,AZ142/MAX(1,AZ135))</f>
        <v>1</v>
      </c>
      <c r="BA144" s="76" t="n">
        <f aca="false">MIN(1,BA142/MAX(1,BA135))</f>
        <v>1</v>
      </c>
      <c r="BB144" s="76" t="n">
        <f aca="false">MIN(1,BB142/MAX(1,BB135))</f>
        <v>1</v>
      </c>
      <c r="BC144" s="76" t="n">
        <f aca="false">MIN(1,BC142/MAX(1,BC135))</f>
        <v>1</v>
      </c>
      <c r="BD144" s="76" t="n">
        <f aca="false">MIN(1,BD142/MAX(1,BD135))</f>
        <v>1</v>
      </c>
      <c r="BE144" s="76" t="n">
        <f aca="false">MIN(1,BE142/MAX(1,BE135))</f>
        <v>1</v>
      </c>
      <c r="BF144" s="76" t="n">
        <f aca="false">MIN(1,BF142/MAX(1,BF135))</f>
        <v>1</v>
      </c>
      <c r="BG144" s="76" t="n">
        <f aca="false">MIN(1,BG142/MAX(1,BG135))</f>
        <v>1</v>
      </c>
      <c r="BH144" s="76" t="n">
        <f aca="false">MIN(1,BH142/MAX(1,BH135))</f>
        <v>1</v>
      </c>
      <c r="BI144" s="76" t="n">
        <f aca="false">MIN(1,BI142/MAX(1,BI135))</f>
        <v>1</v>
      </c>
      <c r="BJ144" s="76" t="n">
        <f aca="false">MIN(1,BJ142/MAX(1,BJ135))</f>
        <v>1</v>
      </c>
    </row>
    <row r="145" customFormat="false" ht="15" hidden="false" customHeight="false" outlineLevel="0" collapsed="false">
      <c r="A145" s="6" t="s">
        <v>234</v>
      </c>
      <c r="C145" s="120" t="n">
        <f aca="false">C134*C144</f>
        <v>135</v>
      </c>
      <c r="D145" s="120" t="n">
        <f aca="false">D134*D144</f>
        <v>151.875</v>
      </c>
      <c r="E145" s="120" t="n">
        <f aca="false">E134*E144</f>
        <v>168.75</v>
      </c>
      <c r="F145" s="120" t="n">
        <f aca="false">F134*F144</f>
        <v>185.625</v>
      </c>
      <c r="G145" s="120" t="n">
        <f aca="false">G134*G144</f>
        <v>202.5</v>
      </c>
      <c r="H145" s="120" t="n">
        <f aca="false">H134*H144</f>
        <v>219.375</v>
      </c>
      <c r="I145" s="120" t="n">
        <f aca="false">I134*I144</f>
        <v>236.25</v>
      </c>
      <c r="J145" s="120" t="n">
        <f aca="false">J134*J144</f>
        <v>253.125</v>
      </c>
      <c r="K145" s="120" t="n">
        <f aca="false">K134*K144</f>
        <v>270</v>
      </c>
      <c r="L145" s="120" t="n">
        <f aca="false">L134*L144</f>
        <v>286.875</v>
      </c>
      <c r="M145" s="120" t="n">
        <f aca="false">M134*M144</f>
        <v>303.75</v>
      </c>
      <c r="N145" s="120" t="n">
        <f aca="false">N134*N144</f>
        <v>320.625</v>
      </c>
      <c r="O145" s="120" t="n">
        <f aca="false">O134*O144</f>
        <v>347.625</v>
      </c>
      <c r="P145" s="120" t="n">
        <f aca="false">P134*P144</f>
        <v>347.625</v>
      </c>
      <c r="Q145" s="120" t="n">
        <f aca="false">Q134*Q144</f>
        <v>347.625</v>
      </c>
      <c r="R145" s="120" t="n">
        <f aca="false">R134*R144</f>
        <v>347.625</v>
      </c>
      <c r="S145" s="120" t="n">
        <f aca="false">S134*S144</f>
        <v>347.625</v>
      </c>
      <c r="T145" s="120" t="n">
        <f aca="false">T134*T144</f>
        <v>347.625</v>
      </c>
      <c r="U145" s="120" t="n">
        <f aca="false">U134*U144</f>
        <v>347.625</v>
      </c>
      <c r="V145" s="120" t="n">
        <f aca="false">V134*V144</f>
        <v>347.625</v>
      </c>
      <c r="W145" s="120" t="n">
        <f aca="false">W134*W144</f>
        <v>347.625</v>
      </c>
      <c r="X145" s="120" t="n">
        <f aca="false">X134*X144</f>
        <v>347.625</v>
      </c>
      <c r="Y145" s="120" t="n">
        <f aca="false">Y134*Y144</f>
        <v>347.625</v>
      </c>
      <c r="Z145" s="120" t="n">
        <f aca="false">Z134*Z144</f>
        <v>347.625</v>
      </c>
      <c r="AA145" s="120" t="n">
        <f aca="false">AA134*AA144</f>
        <v>358.05375</v>
      </c>
      <c r="AB145" s="120" t="n">
        <f aca="false">AB134*AB144</f>
        <v>358.05375</v>
      </c>
      <c r="AC145" s="120" t="n">
        <f aca="false">AC134*AC144</f>
        <v>358.05375</v>
      </c>
      <c r="AD145" s="120" t="n">
        <f aca="false">AD134*AD144</f>
        <v>358.05375</v>
      </c>
      <c r="AE145" s="120" t="n">
        <f aca="false">AE134*AE144</f>
        <v>358.05375</v>
      </c>
      <c r="AF145" s="120" t="n">
        <f aca="false">AF134*AF144</f>
        <v>358.05375</v>
      </c>
      <c r="AG145" s="120" t="n">
        <f aca="false">AG134*AG144</f>
        <v>358.05375</v>
      </c>
      <c r="AH145" s="120" t="n">
        <f aca="false">AH134*AH144</f>
        <v>358.05375</v>
      </c>
      <c r="AI145" s="120" t="n">
        <f aca="false">AI134*AI144</f>
        <v>358.05375</v>
      </c>
      <c r="AJ145" s="120" t="n">
        <f aca="false">AJ134*AJ144</f>
        <v>358.05375</v>
      </c>
      <c r="AK145" s="120" t="n">
        <f aca="false">AK134*AK144</f>
        <v>358.05375</v>
      </c>
      <c r="AL145" s="120" t="n">
        <f aca="false">AL134*AL144</f>
        <v>358.05375</v>
      </c>
      <c r="AM145" s="120" t="n">
        <f aca="false">AM134*AM144</f>
        <v>368.7953625</v>
      </c>
      <c r="AN145" s="120" t="n">
        <f aca="false">AN134*AN144</f>
        <v>368.7953625</v>
      </c>
      <c r="AO145" s="120" t="n">
        <f aca="false">AO134*AO144</f>
        <v>368.7953625</v>
      </c>
      <c r="AP145" s="120" t="n">
        <f aca="false">AP134*AP144</f>
        <v>368.7953625</v>
      </c>
      <c r="AQ145" s="120" t="n">
        <f aca="false">AQ134*AQ144</f>
        <v>368.7953625</v>
      </c>
      <c r="AR145" s="120" t="n">
        <f aca="false">AR134*AR144</f>
        <v>368.7953625</v>
      </c>
      <c r="AS145" s="120" t="n">
        <f aca="false">AS134*AS144</f>
        <v>368.7953625</v>
      </c>
      <c r="AT145" s="120" t="n">
        <f aca="false">AT134*AT144</f>
        <v>368.7953625</v>
      </c>
      <c r="AU145" s="120" t="n">
        <f aca="false">AU134*AU144</f>
        <v>368.7953625</v>
      </c>
      <c r="AV145" s="120" t="n">
        <f aca="false">AV134*AV144</f>
        <v>368.7953625</v>
      </c>
      <c r="AW145" s="120" t="n">
        <f aca="false">AW134*AW144</f>
        <v>368.7953625</v>
      </c>
      <c r="AX145" s="120" t="n">
        <f aca="false">AX134*AX144</f>
        <v>368.7953625</v>
      </c>
      <c r="AY145" s="120" t="n">
        <f aca="false">AY134*AY144</f>
        <v>379.859223375</v>
      </c>
      <c r="AZ145" s="120" t="n">
        <f aca="false">AZ134*AZ144</f>
        <v>379.859223375</v>
      </c>
      <c r="BA145" s="120" t="n">
        <f aca="false">BA134*BA144</f>
        <v>379.859223375</v>
      </c>
      <c r="BB145" s="120" t="n">
        <f aca="false">BB134*BB144</f>
        <v>379.859223375</v>
      </c>
      <c r="BC145" s="120" t="n">
        <f aca="false">BC134*BC144</f>
        <v>379.859223375</v>
      </c>
      <c r="BD145" s="120" t="n">
        <f aca="false">BD134*BD144</f>
        <v>379.859223375</v>
      </c>
      <c r="BE145" s="120" t="n">
        <f aca="false">BE134*BE144</f>
        <v>379.859223375</v>
      </c>
      <c r="BF145" s="120" t="n">
        <f aca="false">BF134*BF144</f>
        <v>379.859223375</v>
      </c>
      <c r="BG145" s="120" t="n">
        <f aca="false">BG134*BG144</f>
        <v>379.859223375</v>
      </c>
      <c r="BH145" s="120" t="n">
        <f aca="false">BH134*BH144</f>
        <v>379.859223375</v>
      </c>
      <c r="BI145" s="120" t="n">
        <f aca="false">BI134*BI144</f>
        <v>379.859223375</v>
      </c>
      <c r="BJ145" s="120" t="n">
        <f aca="false">BJ134*BJ144</f>
        <v>379.859223375</v>
      </c>
    </row>
    <row r="147" customFormat="false" ht="15.75" hidden="false" customHeight="true" outlineLevel="0" collapsed="false">
      <c r="A147" s="7" t="s">
        <v>44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customFormat="false" ht="15" hidden="false" customHeight="false" outlineLevel="0" collapsed="false">
      <c r="A148" s="6" t="s">
        <v>420</v>
      </c>
      <c r="C148" s="123" t="n">
        <f aca="false">Inputs!$C$21*(1+Inputs!$C$22)^(C$129-1)</f>
        <v>125</v>
      </c>
      <c r="D148" s="123" t="n">
        <f aca="false">Inputs!$C$21*(1+Inputs!$C$22)^(D$129-1)</f>
        <v>125</v>
      </c>
      <c r="E148" s="123" t="n">
        <f aca="false">Inputs!$C$21*(1+Inputs!$C$22)^(E$129-1)</f>
        <v>125</v>
      </c>
      <c r="F148" s="123" t="n">
        <f aca="false">Inputs!$C$21*(1+Inputs!$C$22)^(F$129-1)</f>
        <v>125</v>
      </c>
      <c r="G148" s="123" t="n">
        <f aca="false">Inputs!$C$21*(1+Inputs!$C$22)^(G$129-1)</f>
        <v>125</v>
      </c>
      <c r="H148" s="123" t="n">
        <f aca="false">Inputs!$C$21*(1+Inputs!$C$22)^(H$129-1)</f>
        <v>125</v>
      </c>
      <c r="I148" s="123" t="n">
        <f aca="false">Inputs!$C$21*(1+Inputs!$C$22)^(I$129-1)</f>
        <v>125</v>
      </c>
      <c r="J148" s="123" t="n">
        <f aca="false">Inputs!$C$21*(1+Inputs!$C$22)^(J$129-1)</f>
        <v>125</v>
      </c>
      <c r="K148" s="123" t="n">
        <f aca="false">Inputs!$C$21*(1+Inputs!$C$22)^(K$129-1)</f>
        <v>125</v>
      </c>
      <c r="L148" s="123" t="n">
        <f aca="false">Inputs!$C$21*(1+Inputs!$C$22)^(L$129-1)</f>
        <v>125</v>
      </c>
      <c r="M148" s="123" t="n">
        <f aca="false">Inputs!$C$21*(1+Inputs!$C$22)^(M$129-1)</f>
        <v>125</v>
      </c>
      <c r="N148" s="123" t="n">
        <f aca="false">Inputs!$C$21*(1+Inputs!$C$22)^(N$129-1)</f>
        <v>125</v>
      </c>
      <c r="O148" s="123" t="n">
        <f aca="false">Inputs!$C$21*(1+Inputs!$C$22)^(O$129-1)</f>
        <v>128.75</v>
      </c>
      <c r="P148" s="123" t="n">
        <f aca="false">Inputs!$C$21*(1+Inputs!$C$22)^(P$129-1)</f>
        <v>128.75</v>
      </c>
      <c r="Q148" s="123" t="n">
        <f aca="false">Inputs!$C$21*(1+Inputs!$C$22)^(Q$129-1)</f>
        <v>128.75</v>
      </c>
      <c r="R148" s="123" t="n">
        <f aca="false">Inputs!$C$21*(1+Inputs!$C$22)^(R$129-1)</f>
        <v>128.75</v>
      </c>
      <c r="S148" s="123" t="n">
        <f aca="false">Inputs!$C$21*(1+Inputs!$C$22)^(S$129-1)</f>
        <v>128.75</v>
      </c>
      <c r="T148" s="123" t="n">
        <f aca="false">Inputs!$C$21*(1+Inputs!$C$22)^(T$129-1)</f>
        <v>128.75</v>
      </c>
      <c r="U148" s="123" t="n">
        <f aca="false">Inputs!$C$21*(1+Inputs!$C$22)^(U$129-1)</f>
        <v>128.75</v>
      </c>
      <c r="V148" s="123" t="n">
        <f aca="false">Inputs!$C$21*(1+Inputs!$C$22)^(V$129-1)</f>
        <v>128.75</v>
      </c>
      <c r="W148" s="123" t="n">
        <f aca="false">Inputs!$C$21*(1+Inputs!$C$22)^(W$129-1)</f>
        <v>128.75</v>
      </c>
      <c r="X148" s="123" t="n">
        <f aca="false">Inputs!$C$21*(1+Inputs!$C$22)^(X$129-1)</f>
        <v>128.75</v>
      </c>
      <c r="Y148" s="123" t="n">
        <f aca="false">Inputs!$C$21*(1+Inputs!$C$22)^(Y$129-1)</f>
        <v>128.75</v>
      </c>
      <c r="Z148" s="123" t="n">
        <f aca="false">Inputs!$C$21*(1+Inputs!$C$22)^(Z$129-1)</f>
        <v>128.75</v>
      </c>
      <c r="AA148" s="123" t="n">
        <f aca="false">Inputs!$C$21*(1+Inputs!$C$22)^(AA$129-1)</f>
        <v>132.6125</v>
      </c>
      <c r="AB148" s="123" t="n">
        <f aca="false">Inputs!$C$21*(1+Inputs!$C$22)^(AB$129-1)</f>
        <v>132.6125</v>
      </c>
      <c r="AC148" s="123" t="n">
        <f aca="false">Inputs!$C$21*(1+Inputs!$C$22)^(AC$129-1)</f>
        <v>132.6125</v>
      </c>
      <c r="AD148" s="123" t="n">
        <f aca="false">Inputs!$C$21*(1+Inputs!$C$22)^(AD$129-1)</f>
        <v>132.6125</v>
      </c>
      <c r="AE148" s="123" t="n">
        <f aca="false">Inputs!$C$21*(1+Inputs!$C$22)^(AE$129-1)</f>
        <v>132.6125</v>
      </c>
      <c r="AF148" s="123" t="n">
        <f aca="false">Inputs!$C$21*(1+Inputs!$C$22)^(AF$129-1)</f>
        <v>132.6125</v>
      </c>
      <c r="AG148" s="123" t="n">
        <f aca="false">Inputs!$C$21*(1+Inputs!$C$22)^(AG$129-1)</f>
        <v>132.6125</v>
      </c>
      <c r="AH148" s="123" t="n">
        <f aca="false">Inputs!$C$21*(1+Inputs!$C$22)^(AH$129-1)</f>
        <v>132.6125</v>
      </c>
      <c r="AI148" s="123" t="n">
        <f aca="false">Inputs!$C$21*(1+Inputs!$C$22)^(AI$129-1)</f>
        <v>132.6125</v>
      </c>
      <c r="AJ148" s="123" t="n">
        <f aca="false">Inputs!$C$21*(1+Inputs!$C$22)^(AJ$129-1)</f>
        <v>132.6125</v>
      </c>
      <c r="AK148" s="123" t="n">
        <f aca="false">Inputs!$C$21*(1+Inputs!$C$22)^(AK$129-1)</f>
        <v>132.6125</v>
      </c>
      <c r="AL148" s="123" t="n">
        <f aca="false">Inputs!$C$21*(1+Inputs!$C$22)^(AL$129-1)</f>
        <v>132.6125</v>
      </c>
      <c r="AM148" s="123" t="n">
        <f aca="false">Inputs!$C$21*(1+Inputs!$C$22)^(AM$129-1)</f>
        <v>136.590875</v>
      </c>
      <c r="AN148" s="123" t="n">
        <f aca="false">Inputs!$C$21*(1+Inputs!$C$22)^(AN$129-1)</f>
        <v>136.590875</v>
      </c>
      <c r="AO148" s="123" t="n">
        <f aca="false">Inputs!$C$21*(1+Inputs!$C$22)^(AO$129-1)</f>
        <v>136.590875</v>
      </c>
      <c r="AP148" s="123" t="n">
        <f aca="false">Inputs!$C$21*(1+Inputs!$C$22)^(AP$129-1)</f>
        <v>136.590875</v>
      </c>
      <c r="AQ148" s="123" t="n">
        <f aca="false">Inputs!$C$21*(1+Inputs!$C$22)^(AQ$129-1)</f>
        <v>136.590875</v>
      </c>
      <c r="AR148" s="123" t="n">
        <f aca="false">Inputs!$C$21*(1+Inputs!$C$22)^(AR$129-1)</f>
        <v>136.590875</v>
      </c>
      <c r="AS148" s="123" t="n">
        <f aca="false">Inputs!$C$21*(1+Inputs!$C$22)^(AS$129-1)</f>
        <v>136.590875</v>
      </c>
      <c r="AT148" s="123" t="n">
        <f aca="false">Inputs!$C$21*(1+Inputs!$C$22)^(AT$129-1)</f>
        <v>136.590875</v>
      </c>
      <c r="AU148" s="123" t="n">
        <f aca="false">Inputs!$C$21*(1+Inputs!$C$22)^(AU$129-1)</f>
        <v>136.590875</v>
      </c>
      <c r="AV148" s="123" t="n">
        <f aca="false">Inputs!$C$21*(1+Inputs!$C$22)^(AV$129-1)</f>
        <v>136.590875</v>
      </c>
      <c r="AW148" s="123" t="n">
        <f aca="false">Inputs!$C$21*(1+Inputs!$C$22)^(AW$129-1)</f>
        <v>136.590875</v>
      </c>
      <c r="AX148" s="123" t="n">
        <f aca="false">Inputs!$C$21*(1+Inputs!$C$22)^(AX$129-1)</f>
        <v>136.590875</v>
      </c>
      <c r="AY148" s="123" t="n">
        <f aca="false">Inputs!$C$21*(1+Inputs!$C$22)^(AY$129-1)</f>
        <v>140.68860125</v>
      </c>
      <c r="AZ148" s="123" t="n">
        <f aca="false">Inputs!$C$21*(1+Inputs!$C$22)^(AZ$129-1)</f>
        <v>140.68860125</v>
      </c>
      <c r="BA148" s="123" t="n">
        <f aca="false">Inputs!$C$21*(1+Inputs!$C$22)^(BA$129-1)</f>
        <v>140.68860125</v>
      </c>
      <c r="BB148" s="123" t="n">
        <f aca="false">Inputs!$C$21*(1+Inputs!$C$22)^(BB$129-1)</f>
        <v>140.68860125</v>
      </c>
      <c r="BC148" s="123" t="n">
        <f aca="false">Inputs!$C$21*(1+Inputs!$C$22)^(BC$129-1)</f>
        <v>140.68860125</v>
      </c>
      <c r="BD148" s="123" t="n">
        <f aca="false">Inputs!$C$21*(1+Inputs!$C$22)^(BD$129-1)</f>
        <v>140.68860125</v>
      </c>
      <c r="BE148" s="123" t="n">
        <f aca="false">Inputs!$C$21*(1+Inputs!$C$22)^(BE$129-1)</f>
        <v>140.68860125</v>
      </c>
      <c r="BF148" s="123" t="n">
        <f aca="false">Inputs!$C$21*(1+Inputs!$C$22)^(BF$129-1)</f>
        <v>140.68860125</v>
      </c>
      <c r="BG148" s="123" t="n">
        <f aca="false">Inputs!$C$21*(1+Inputs!$C$22)^(BG$129-1)</f>
        <v>140.68860125</v>
      </c>
      <c r="BH148" s="123" t="n">
        <f aca="false">Inputs!$C$21*(1+Inputs!$C$22)^(BH$129-1)</f>
        <v>140.68860125</v>
      </c>
      <c r="BI148" s="123" t="n">
        <f aca="false">Inputs!$C$21*(1+Inputs!$C$22)^(BI$129-1)</f>
        <v>140.68860125</v>
      </c>
      <c r="BJ148" s="123" t="n">
        <f aca="false">Inputs!$C$21*(1+Inputs!$C$22)^(BJ$129-1)</f>
        <v>140.68860125</v>
      </c>
    </row>
    <row r="149" customFormat="false" ht="15" hidden="false" customHeight="false" outlineLevel="0" collapsed="false">
      <c r="A149" s="6" t="s">
        <v>238</v>
      </c>
      <c r="C149" s="69" t="n">
        <f aca="false">C142*C148</f>
        <v>33750</v>
      </c>
      <c r="D149" s="69" t="n">
        <f aca="false">D142*D148</f>
        <v>37968.75</v>
      </c>
      <c r="E149" s="69" t="n">
        <f aca="false">E142*E148</f>
        <v>42187.5</v>
      </c>
      <c r="F149" s="69" t="n">
        <f aca="false">F142*F148</f>
        <v>46406.25</v>
      </c>
      <c r="G149" s="69" t="n">
        <f aca="false">G142*G148</f>
        <v>50625</v>
      </c>
      <c r="H149" s="69" t="n">
        <f aca="false">H142*H148</f>
        <v>54843.75</v>
      </c>
      <c r="I149" s="69" t="n">
        <f aca="false">I142*I148</f>
        <v>59062.5</v>
      </c>
      <c r="J149" s="69" t="n">
        <f aca="false">J142*J148</f>
        <v>63281.25</v>
      </c>
      <c r="K149" s="69" t="n">
        <f aca="false">K142*K148</f>
        <v>67500</v>
      </c>
      <c r="L149" s="69" t="n">
        <f aca="false">L142*L148</f>
        <v>71718.75</v>
      </c>
      <c r="M149" s="69" t="n">
        <f aca="false">M142*M148</f>
        <v>75937.5</v>
      </c>
      <c r="N149" s="69" t="n">
        <f aca="false">N142*N148</f>
        <v>80156.25</v>
      </c>
      <c r="O149" s="69" t="n">
        <f aca="false">O142*O148</f>
        <v>89513.4375</v>
      </c>
      <c r="P149" s="69" t="n">
        <f aca="false">P142*P148</f>
        <v>89513.4375</v>
      </c>
      <c r="Q149" s="69" t="n">
        <f aca="false">Q142*Q148</f>
        <v>89513.4375</v>
      </c>
      <c r="R149" s="69" t="n">
        <f aca="false">R142*R148</f>
        <v>89513.4375</v>
      </c>
      <c r="S149" s="69" t="n">
        <f aca="false">S142*S148</f>
        <v>89513.4375</v>
      </c>
      <c r="T149" s="69" t="n">
        <f aca="false">T142*T148</f>
        <v>89513.4375</v>
      </c>
      <c r="U149" s="69" t="n">
        <f aca="false">U142*U148</f>
        <v>89513.4375</v>
      </c>
      <c r="V149" s="69" t="n">
        <f aca="false">V142*V148</f>
        <v>89513.4375</v>
      </c>
      <c r="W149" s="69" t="n">
        <f aca="false">W142*W148</f>
        <v>89513.4375</v>
      </c>
      <c r="X149" s="69" t="n">
        <f aca="false">X142*X148</f>
        <v>89513.4375</v>
      </c>
      <c r="Y149" s="69" t="n">
        <f aca="false">Y142*Y148</f>
        <v>89513.4375</v>
      </c>
      <c r="Z149" s="69" t="n">
        <f aca="false">Z142*Z148</f>
        <v>89513.4375</v>
      </c>
      <c r="AA149" s="69" t="n">
        <f aca="false">AA142*AA148</f>
        <v>94964.80584375</v>
      </c>
      <c r="AB149" s="69" t="n">
        <f aca="false">AB142*AB148</f>
        <v>94964.80584375</v>
      </c>
      <c r="AC149" s="69" t="n">
        <f aca="false">AC142*AC148</f>
        <v>94964.80584375</v>
      </c>
      <c r="AD149" s="69" t="n">
        <f aca="false">AD142*AD148</f>
        <v>94964.80584375</v>
      </c>
      <c r="AE149" s="69" t="n">
        <f aca="false">AE142*AE148</f>
        <v>94964.80584375</v>
      </c>
      <c r="AF149" s="69" t="n">
        <f aca="false">AF142*AF148</f>
        <v>94964.80584375</v>
      </c>
      <c r="AG149" s="69" t="n">
        <f aca="false">AG142*AG148</f>
        <v>94964.80584375</v>
      </c>
      <c r="AH149" s="69" t="n">
        <f aca="false">AH142*AH148</f>
        <v>94964.80584375</v>
      </c>
      <c r="AI149" s="69" t="n">
        <f aca="false">AI142*AI148</f>
        <v>94964.80584375</v>
      </c>
      <c r="AJ149" s="69" t="n">
        <f aca="false">AJ142*AJ148</f>
        <v>94964.80584375</v>
      </c>
      <c r="AK149" s="69" t="n">
        <f aca="false">AK142*AK148</f>
        <v>94964.80584375</v>
      </c>
      <c r="AL149" s="69" t="n">
        <f aca="false">AL142*AL148</f>
        <v>94964.80584375</v>
      </c>
      <c r="AM149" s="69" t="n">
        <f aca="false">AM142*AM148</f>
        <v>100748.162519634</v>
      </c>
      <c r="AN149" s="69" t="n">
        <f aca="false">AN142*AN148</f>
        <v>100748.162519634</v>
      </c>
      <c r="AO149" s="69" t="n">
        <f aca="false">AO142*AO148</f>
        <v>100748.162519634</v>
      </c>
      <c r="AP149" s="69" t="n">
        <f aca="false">AP142*AP148</f>
        <v>100748.162519634</v>
      </c>
      <c r="AQ149" s="69" t="n">
        <f aca="false">AQ142*AQ148</f>
        <v>100748.162519634</v>
      </c>
      <c r="AR149" s="69" t="n">
        <f aca="false">AR142*AR148</f>
        <v>100748.162519634</v>
      </c>
      <c r="AS149" s="69" t="n">
        <f aca="false">AS142*AS148</f>
        <v>100748.162519634</v>
      </c>
      <c r="AT149" s="69" t="n">
        <f aca="false">AT142*AT148</f>
        <v>100748.162519634</v>
      </c>
      <c r="AU149" s="69" t="n">
        <f aca="false">AU142*AU148</f>
        <v>100748.162519634</v>
      </c>
      <c r="AV149" s="69" t="n">
        <f aca="false">AV142*AV148</f>
        <v>100748.162519634</v>
      </c>
      <c r="AW149" s="69" t="n">
        <f aca="false">AW142*AW148</f>
        <v>100748.162519634</v>
      </c>
      <c r="AX149" s="69" t="n">
        <f aca="false">AX142*AX148</f>
        <v>100748.162519634</v>
      </c>
      <c r="AY149" s="69" t="n">
        <f aca="false">AY142*AY148</f>
        <v>106883.72561708</v>
      </c>
      <c r="AZ149" s="69" t="n">
        <f aca="false">AZ142*AZ148</f>
        <v>106883.72561708</v>
      </c>
      <c r="BA149" s="69" t="n">
        <f aca="false">BA142*BA148</f>
        <v>106883.72561708</v>
      </c>
      <c r="BB149" s="69" t="n">
        <f aca="false">BB142*BB148</f>
        <v>106883.72561708</v>
      </c>
      <c r="BC149" s="69" t="n">
        <f aca="false">BC142*BC148</f>
        <v>106883.72561708</v>
      </c>
      <c r="BD149" s="69" t="n">
        <f aca="false">BD142*BD148</f>
        <v>106883.72561708</v>
      </c>
      <c r="BE149" s="69" t="n">
        <f aca="false">BE142*BE148</f>
        <v>106883.72561708</v>
      </c>
      <c r="BF149" s="69" t="n">
        <f aca="false">BF142*BF148</f>
        <v>106883.72561708</v>
      </c>
      <c r="BG149" s="69" t="n">
        <f aca="false">BG142*BG148</f>
        <v>106883.72561708</v>
      </c>
      <c r="BH149" s="69" t="n">
        <f aca="false">BH142*BH148</f>
        <v>106883.72561708</v>
      </c>
      <c r="BI149" s="69" t="n">
        <f aca="false">BI142*BI148</f>
        <v>106883.72561708</v>
      </c>
      <c r="BJ149" s="69" t="n">
        <f aca="false">BJ142*BJ148</f>
        <v>106883.72561708</v>
      </c>
    </row>
    <row r="150" customFormat="false" ht="15" hidden="false" customHeight="false" outlineLevel="0" collapsed="false">
      <c r="A150" s="6" t="s">
        <v>239</v>
      </c>
      <c r="C150" s="69" t="n">
        <f aca="false">C142*Inputs!$C$26*(1+Inputs!$C$22)^(C$129-1)</f>
        <v>27000</v>
      </c>
      <c r="D150" s="69" t="n">
        <f aca="false">D142*Inputs!$C$26*(1+Inputs!$C$22)^(D$129-1)</f>
        <v>30375</v>
      </c>
      <c r="E150" s="69" t="n">
        <f aca="false">E142*Inputs!$C$26*(1+Inputs!$C$22)^(E$129-1)</f>
        <v>33750</v>
      </c>
      <c r="F150" s="69" t="n">
        <f aca="false">F142*Inputs!$C$26*(1+Inputs!$C$22)^(F$129-1)</f>
        <v>37125</v>
      </c>
      <c r="G150" s="69" t="n">
        <f aca="false">G142*Inputs!$C$26*(1+Inputs!$C$22)^(G$129-1)</f>
        <v>40500</v>
      </c>
      <c r="H150" s="69" t="n">
        <f aca="false">H142*Inputs!$C$26*(1+Inputs!$C$22)^(H$129-1)</f>
        <v>43875</v>
      </c>
      <c r="I150" s="69" t="n">
        <f aca="false">I142*Inputs!$C$26*(1+Inputs!$C$22)^(I$129-1)</f>
        <v>47250</v>
      </c>
      <c r="J150" s="69" t="n">
        <f aca="false">J142*Inputs!$C$26*(1+Inputs!$C$22)^(J$129-1)</f>
        <v>50625</v>
      </c>
      <c r="K150" s="69" t="n">
        <f aca="false">K142*Inputs!$C$26*(1+Inputs!$C$22)^(K$129-1)</f>
        <v>54000</v>
      </c>
      <c r="L150" s="69" t="n">
        <f aca="false">L142*Inputs!$C$26*(1+Inputs!$C$22)^(L$129-1)</f>
        <v>57375</v>
      </c>
      <c r="M150" s="69" t="n">
        <f aca="false">M142*Inputs!$C$26*(1+Inputs!$C$22)^(M$129-1)</f>
        <v>60750</v>
      </c>
      <c r="N150" s="69" t="n">
        <f aca="false">N142*Inputs!$C$26*(1+Inputs!$C$22)^(N$129-1)</f>
        <v>64125</v>
      </c>
      <c r="O150" s="69" t="n">
        <f aca="false">O142*Inputs!$C$26*(1+Inputs!$C$22)^(O$129-1)</f>
        <v>71610.75</v>
      </c>
      <c r="P150" s="69" t="n">
        <f aca="false">P142*Inputs!$C$26*(1+Inputs!$C$22)^(P$129-1)</f>
        <v>71610.75</v>
      </c>
      <c r="Q150" s="69" t="n">
        <f aca="false">Q142*Inputs!$C$26*(1+Inputs!$C$22)^(Q$129-1)</f>
        <v>71610.75</v>
      </c>
      <c r="R150" s="69" t="n">
        <f aca="false">R142*Inputs!$C$26*(1+Inputs!$C$22)^(R$129-1)</f>
        <v>71610.75</v>
      </c>
      <c r="S150" s="69" t="n">
        <f aca="false">S142*Inputs!$C$26*(1+Inputs!$C$22)^(S$129-1)</f>
        <v>71610.75</v>
      </c>
      <c r="T150" s="69" t="n">
        <f aca="false">T142*Inputs!$C$26*(1+Inputs!$C$22)^(T$129-1)</f>
        <v>71610.75</v>
      </c>
      <c r="U150" s="69" t="n">
        <f aca="false">U142*Inputs!$C$26*(1+Inputs!$C$22)^(U$129-1)</f>
        <v>71610.75</v>
      </c>
      <c r="V150" s="69" t="n">
        <f aca="false">V142*Inputs!$C$26*(1+Inputs!$C$22)^(V$129-1)</f>
        <v>71610.75</v>
      </c>
      <c r="W150" s="69" t="n">
        <f aca="false">W142*Inputs!$C$26*(1+Inputs!$C$22)^(W$129-1)</f>
        <v>71610.75</v>
      </c>
      <c r="X150" s="69" t="n">
        <f aca="false">X142*Inputs!$C$26*(1+Inputs!$C$22)^(X$129-1)</f>
        <v>71610.75</v>
      </c>
      <c r="Y150" s="69" t="n">
        <f aca="false">Y142*Inputs!$C$26*(1+Inputs!$C$22)^(Y$129-1)</f>
        <v>71610.75</v>
      </c>
      <c r="Z150" s="69" t="n">
        <f aca="false">Z142*Inputs!$C$26*(1+Inputs!$C$22)^(Z$129-1)</f>
        <v>71610.75</v>
      </c>
      <c r="AA150" s="69" t="n">
        <f aca="false">AA142*Inputs!$C$26*(1+Inputs!$C$22)^(AA$129-1)</f>
        <v>75971.844675</v>
      </c>
      <c r="AB150" s="69" t="n">
        <f aca="false">AB142*Inputs!$C$26*(1+Inputs!$C$22)^(AB$129-1)</f>
        <v>75971.844675</v>
      </c>
      <c r="AC150" s="69" t="n">
        <f aca="false">AC142*Inputs!$C$26*(1+Inputs!$C$22)^(AC$129-1)</f>
        <v>75971.844675</v>
      </c>
      <c r="AD150" s="69" t="n">
        <f aca="false">AD142*Inputs!$C$26*(1+Inputs!$C$22)^(AD$129-1)</f>
        <v>75971.844675</v>
      </c>
      <c r="AE150" s="69" t="n">
        <f aca="false">AE142*Inputs!$C$26*(1+Inputs!$C$22)^(AE$129-1)</f>
        <v>75971.844675</v>
      </c>
      <c r="AF150" s="69" t="n">
        <f aca="false">AF142*Inputs!$C$26*(1+Inputs!$C$22)^(AF$129-1)</f>
        <v>75971.844675</v>
      </c>
      <c r="AG150" s="69" t="n">
        <f aca="false">AG142*Inputs!$C$26*(1+Inputs!$C$22)^(AG$129-1)</f>
        <v>75971.844675</v>
      </c>
      <c r="AH150" s="69" t="n">
        <f aca="false">AH142*Inputs!$C$26*(1+Inputs!$C$22)^(AH$129-1)</f>
        <v>75971.844675</v>
      </c>
      <c r="AI150" s="69" t="n">
        <f aca="false">AI142*Inputs!$C$26*(1+Inputs!$C$22)^(AI$129-1)</f>
        <v>75971.844675</v>
      </c>
      <c r="AJ150" s="69" t="n">
        <f aca="false">AJ142*Inputs!$C$26*(1+Inputs!$C$22)^(AJ$129-1)</f>
        <v>75971.844675</v>
      </c>
      <c r="AK150" s="69" t="n">
        <f aca="false">AK142*Inputs!$C$26*(1+Inputs!$C$22)^(AK$129-1)</f>
        <v>75971.844675</v>
      </c>
      <c r="AL150" s="69" t="n">
        <f aca="false">AL142*Inputs!$C$26*(1+Inputs!$C$22)^(AL$129-1)</f>
        <v>75971.844675</v>
      </c>
      <c r="AM150" s="69" t="n">
        <f aca="false">AM142*Inputs!$C$26*(1+Inputs!$C$22)^(AM$129-1)</f>
        <v>80598.5300157075</v>
      </c>
      <c r="AN150" s="69" t="n">
        <f aca="false">AN142*Inputs!$C$26*(1+Inputs!$C$22)^(AN$129-1)</f>
        <v>80598.5300157075</v>
      </c>
      <c r="AO150" s="69" t="n">
        <f aca="false">AO142*Inputs!$C$26*(1+Inputs!$C$22)^(AO$129-1)</f>
        <v>80598.5300157075</v>
      </c>
      <c r="AP150" s="69" t="n">
        <f aca="false">AP142*Inputs!$C$26*(1+Inputs!$C$22)^(AP$129-1)</f>
        <v>80598.5300157075</v>
      </c>
      <c r="AQ150" s="69" t="n">
        <f aca="false">AQ142*Inputs!$C$26*(1+Inputs!$C$22)^(AQ$129-1)</f>
        <v>80598.5300157075</v>
      </c>
      <c r="AR150" s="69" t="n">
        <f aca="false">AR142*Inputs!$C$26*(1+Inputs!$C$22)^(AR$129-1)</f>
        <v>80598.5300157075</v>
      </c>
      <c r="AS150" s="69" t="n">
        <f aca="false">AS142*Inputs!$C$26*(1+Inputs!$C$22)^(AS$129-1)</f>
        <v>80598.5300157075</v>
      </c>
      <c r="AT150" s="69" t="n">
        <f aca="false">AT142*Inputs!$C$26*(1+Inputs!$C$22)^(AT$129-1)</f>
        <v>80598.5300157075</v>
      </c>
      <c r="AU150" s="69" t="n">
        <f aca="false">AU142*Inputs!$C$26*(1+Inputs!$C$22)^(AU$129-1)</f>
        <v>80598.5300157075</v>
      </c>
      <c r="AV150" s="69" t="n">
        <f aca="false">AV142*Inputs!$C$26*(1+Inputs!$C$22)^(AV$129-1)</f>
        <v>80598.5300157075</v>
      </c>
      <c r="AW150" s="69" t="n">
        <f aca="false">AW142*Inputs!$C$26*(1+Inputs!$C$22)^(AW$129-1)</f>
        <v>80598.5300157075</v>
      </c>
      <c r="AX150" s="69" t="n">
        <f aca="false">AX142*Inputs!$C$26*(1+Inputs!$C$22)^(AX$129-1)</f>
        <v>80598.5300157075</v>
      </c>
      <c r="AY150" s="69" t="n">
        <f aca="false">AY142*Inputs!$C$26*(1+Inputs!$C$22)^(AY$129-1)</f>
        <v>85506.9804936641</v>
      </c>
      <c r="AZ150" s="69" t="n">
        <f aca="false">AZ142*Inputs!$C$26*(1+Inputs!$C$22)^(AZ$129-1)</f>
        <v>85506.9804936641</v>
      </c>
      <c r="BA150" s="69" t="n">
        <f aca="false">BA142*Inputs!$C$26*(1+Inputs!$C$22)^(BA$129-1)</f>
        <v>85506.9804936641</v>
      </c>
      <c r="BB150" s="69" t="n">
        <f aca="false">BB142*Inputs!$C$26*(1+Inputs!$C$22)^(BB$129-1)</f>
        <v>85506.9804936641</v>
      </c>
      <c r="BC150" s="69" t="n">
        <f aca="false">BC142*Inputs!$C$26*(1+Inputs!$C$22)^(BC$129-1)</f>
        <v>85506.9804936641</v>
      </c>
      <c r="BD150" s="69" t="n">
        <f aca="false">BD142*Inputs!$C$26*(1+Inputs!$C$22)^(BD$129-1)</f>
        <v>85506.9804936641</v>
      </c>
      <c r="BE150" s="69" t="n">
        <f aca="false">BE142*Inputs!$C$26*(1+Inputs!$C$22)^(BE$129-1)</f>
        <v>85506.9804936641</v>
      </c>
      <c r="BF150" s="69" t="n">
        <f aca="false">BF142*Inputs!$C$26*(1+Inputs!$C$22)^(BF$129-1)</f>
        <v>85506.9804936641</v>
      </c>
      <c r="BG150" s="69" t="n">
        <f aca="false">BG142*Inputs!$C$26*(1+Inputs!$C$22)^(BG$129-1)</f>
        <v>85506.9804936641</v>
      </c>
      <c r="BH150" s="69" t="n">
        <f aca="false">BH142*Inputs!$C$26*(1+Inputs!$C$22)^(BH$129-1)</f>
        <v>85506.9804936641</v>
      </c>
      <c r="BI150" s="69" t="n">
        <f aca="false">BI142*Inputs!$C$26*(1+Inputs!$C$22)^(BI$129-1)</f>
        <v>85506.9804936641</v>
      </c>
      <c r="BJ150" s="69" t="n">
        <f aca="false">BJ142*Inputs!$C$26*(1+Inputs!$C$22)^(BJ$129-1)</f>
        <v>85506.9804936641</v>
      </c>
    </row>
    <row r="151" customFormat="false" ht="15" hidden="false" customHeight="false" outlineLevel="0" collapsed="false">
      <c r="A151" s="6" t="s">
        <v>421</v>
      </c>
      <c r="C151" s="69" t="n">
        <f aca="false">C149*Inputs!$C$23</f>
        <v>1687.5</v>
      </c>
      <c r="D151" s="69" t="n">
        <f aca="false">D149*Inputs!$C$23</f>
        <v>1898.4375</v>
      </c>
      <c r="E151" s="69" t="n">
        <f aca="false">E149*Inputs!$C$23</f>
        <v>2109.375</v>
      </c>
      <c r="F151" s="69" t="n">
        <f aca="false">F149*Inputs!$C$23</f>
        <v>2320.3125</v>
      </c>
      <c r="G151" s="69" t="n">
        <f aca="false">G149*Inputs!$C$23</f>
        <v>2531.25</v>
      </c>
      <c r="H151" s="69" t="n">
        <f aca="false">H149*Inputs!$C$23</f>
        <v>2742.1875</v>
      </c>
      <c r="I151" s="69" t="n">
        <f aca="false">I149*Inputs!$C$23</f>
        <v>2953.125</v>
      </c>
      <c r="J151" s="69" t="n">
        <f aca="false">J149*Inputs!$C$23</f>
        <v>3164.0625</v>
      </c>
      <c r="K151" s="69" t="n">
        <f aca="false">K149*Inputs!$C$23</f>
        <v>3375</v>
      </c>
      <c r="L151" s="69" t="n">
        <f aca="false">L149*Inputs!$C$23</f>
        <v>3585.9375</v>
      </c>
      <c r="M151" s="69" t="n">
        <f aca="false">M149*Inputs!$C$23</f>
        <v>3796.875</v>
      </c>
      <c r="N151" s="69" t="n">
        <f aca="false">N149*Inputs!$C$23</f>
        <v>4007.8125</v>
      </c>
      <c r="O151" s="69" t="n">
        <f aca="false">O149*Inputs!$C$23</f>
        <v>4475.671875</v>
      </c>
      <c r="P151" s="69" t="n">
        <f aca="false">P149*Inputs!$C$23</f>
        <v>4475.671875</v>
      </c>
      <c r="Q151" s="69" t="n">
        <f aca="false">Q149*Inputs!$C$23</f>
        <v>4475.671875</v>
      </c>
      <c r="R151" s="69" t="n">
        <f aca="false">R149*Inputs!$C$23</f>
        <v>4475.671875</v>
      </c>
      <c r="S151" s="69" t="n">
        <f aca="false">S149*Inputs!$C$23</f>
        <v>4475.671875</v>
      </c>
      <c r="T151" s="69" t="n">
        <f aca="false">T149*Inputs!$C$23</f>
        <v>4475.671875</v>
      </c>
      <c r="U151" s="69" t="n">
        <f aca="false">U149*Inputs!$C$23</f>
        <v>4475.671875</v>
      </c>
      <c r="V151" s="69" t="n">
        <f aca="false">V149*Inputs!$C$23</f>
        <v>4475.671875</v>
      </c>
      <c r="W151" s="69" t="n">
        <f aca="false">W149*Inputs!$C$23</f>
        <v>4475.671875</v>
      </c>
      <c r="X151" s="69" t="n">
        <f aca="false">X149*Inputs!$C$23</f>
        <v>4475.671875</v>
      </c>
      <c r="Y151" s="69" t="n">
        <f aca="false">Y149*Inputs!$C$23</f>
        <v>4475.671875</v>
      </c>
      <c r="Z151" s="69" t="n">
        <f aca="false">Z149*Inputs!$C$23</f>
        <v>4475.671875</v>
      </c>
      <c r="AA151" s="69" t="n">
        <f aca="false">AA149*Inputs!$C$23</f>
        <v>4748.2402921875</v>
      </c>
      <c r="AB151" s="69" t="n">
        <f aca="false">AB149*Inputs!$C$23</f>
        <v>4748.2402921875</v>
      </c>
      <c r="AC151" s="69" t="n">
        <f aca="false">AC149*Inputs!$C$23</f>
        <v>4748.2402921875</v>
      </c>
      <c r="AD151" s="69" t="n">
        <f aca="false">AD149*Inputs!$C$23</f>
        <v>4748.2402921875</v>
      </c>
      <c r="AE151" s="69" t="n">
        <f aca="false">AE149*Inputs!$C$23</f>
        <v>4748.2402921875</v>
      </c>
      <c r="AF151" s="69" t="n">
        <f aca="false">AF149*Inputs!$C$23</f>
        <v>4748.2402921875</v>
      </c>
      <c r="AG151" s="69" t="n">
        <f aca="false">AG149*Inputs!$C$23</f>
        <v>4748.2402921875</v>
      </c>
      <c r="AH151" s="69" t="n">
        <f aca="false">AH149*Inputs!$C$23</f>
        <v>4748.2402921875</v>
      </c>
      <c r="AI151" s="69" t="n">
        <f aca="false">AI149*Inputs!$C$23</f>
        <v>4748.2402921875</v>
      </c>
      <c r="AJ151" s="69" t="n">
        <f aca="false">AJ149*Inputs!$C$23</f>
        <v>4748.2402921875</v>
      </c>
      <c r="AK151" s="69" t="n">
        <f aca="false">AK149*Inputs!$C$23</f>
        <v>4748.2402921875</v>
      </c>
      <c r="AL151" s="69" t="n">
        <f aca="false">AL149*Inputs!$C$23</f>
        <v>4748.2402921875</v>
      </c>
      <c r="AM151" s="69" t="n">
        <f aca="false">AM149*Inputs!$C$23</f>
        <v>5037.40812598172</v>
      </c>
      <c r="AN151" s="69" t="n">
        <f aca="false">AN149*Inputs!$C$23</f>
        <v>5037.40812598172</v>
      </c>
      <c r="AO151" s="69" t="n">
        <f aca="false">AO149*Inputs!$C$23</f>
        <v>5037.40812598172</v>
      </c>
      <c r="AP151" s="69" t="n">
        <f aca="false">AP149*Inputs!$C$23</f>
        <v>5037.40812598172</v>
      </c>
      <c r="AQ151" s="69" t="n">
        <f aca="false">AQ149*Inputs!$C$23</f>
        <v>5037.40812598172</v>
      </c>
      <c r="AR151" s="69" t="n">
        <f aca="false">AR149*Inputs!$C$23</f>
        <v>5037.40812598172</v>
      </c>
      <c r="AS151" s="69" t="n">
        <f aca="false">AS149*Inputs!$C$23</f>
        <v>5037.40812598172</v>
      </c>
      <c r="AT151" s="69" t="n">
        <f aca="false">AT149*Inputs!$C$23</f>
        <v>5037.40812598172</v>
      </c>
      <c r="AU151" s="69" t="n">
        <f aca="false">AU149*Inputs!$C$23</f>
        <v>5037.40812598172</v>
      </c>
      <c r="AV151" s="69" t="n">
        <f aca="false">AV149*Inputs!$C$23</f>
        <v>5037.40812598172</v>
      </c>
      <c r="AW151" s="69" t="n">
        <f aca="false">AW149*Inputs!$C$23</f>
        <v>5037.40812598172</v>
      </c>
      <c r="AX151" s="69" t="n">
        <f aca="false">AX149*Inputs!$C$23</f>
        <v>5037.40812598172</v>
      </c>
      <c r="AY151" s="69" t="n">
        <f aca="false">AY149*Inputs!$C$23</f>
        <v>5344.18628085401</v>
      </c>
      <c r="AZ151" s="69" t="n">
        <f aca="false">AZ149*Inputs!$C$23</f>
        <v>5344.18628085401</v>
      </c>
      <c r="BA151" s="69" t="n">
        <f aca="false">BA149*Inputs!$C$23</f>
        <v>5344.18628085401</v>
      </c>
      <c r="BB151" s="69" t="n">
        <f aca="false">BB149*Inputs!$C$23</f>
        <v>5344.18628085401</v>
      </c>
      <c r="BC151" s="69" t="n">
        <f aca="false">BC149*Inputs!$C$23</f>
        <v>5344.18628085401</v>
      </c>
      <c r="BD151" s="69" t="n">
        <f aca="false">BD149*Inputs!$C$23</f>
        <v>5344.18628085401</v>
      </c>
      <c r="BE151" s="69" t="n">
        <f aca="false">BE149*Inputs!$C$23</f>
        <v>5344.18628085401</v>
      </c>
      <c r="BF151" s="69" t="n">
        <f aca="false">BF149*Inputs!$C$23</f>
        <v>5344.18628085401</v>
      </c>
      <c r="BG151" s="69" t="n">
        <f aca="false">BG149*Inputs!$C$23</f>
        <v>5344.18628085401</v>
      </c>
      <c r="BH151" s="69" t="n">
        <f aca="false">BH149*Inputs!$C$23</f>
        <v>5344.18628085401</v>
      </c>
      <c r="BI151" s="69" t="n">
        <f aca="false">BI149*Inputs!$C$23</f>
        <v>5344.18628085401</v>
      </c>
      <c r="BJ151" s="69" t="n">
        <f aca="false">BJ149*Inputs!$C$23</f>
        <v>5344.18628085401</v>
      </c>
    </row>
    <row r="152" customFormat="false" ht="15" hidden="false" customHeight="false" outlineLevel="0" collapsed="false">
      <c r="A152" s="115" t="s">
        <v>44</v>
      </c>
      <c r="C152" s="70" t="n">
        <f aca="false">C149+C150+C151</f>
        <v>62437.5</v>
      </c>
      <c r="D152" s="70" t="n">
        <f aca="false">D149+D150+D151</f>
        <v>70242.1875</v>
      </c>
      <c r="E152" s="70" t="n">
        <f aca="false">E149+E150+E151</f>
        <v>78046.875</v>
      </c>
      <c r="F152" s="70" t="n">
        <f aca="false">F149+F150+F151</f>
        <v>85851.5625</v>
      </c>
      <c r="G152" s="70" t="n">
        <f aca="false">G149+G150+G151</f>
        <v>93656.25</v>
      </c>
      <c r="H152" s="70" t="n">
        <f aca="false">H149+H150+H151</f>
        <v>101460.9375</v>
      </c>
      <c r="I152" s="70" t="n">
        <f aca="false">I149+I150+I151</f>
        <v>109265.625</v>
      </c>
      <c r="J152" s="70" t="n">
        <f aca="false">J149+J150+J151</f>
        <v>117070.3125</v>
      </c>
      <c r="K152" s="70" t="n">
        <f aca="false">K149+K150+K151</f>
        <v>124875</v>
      </c>
      <c r="L152" s="70" t="n">
        <f aca="false">L149+L150+L151</f>
        <v>132679.6875</v>
      </c>
      <c r="M152" s="70" t="n">
        <f aca="false">M149+M150+M151</f>
        <v>140484.375</v>
      </c>
      <c r="N152" s="70" t="n">
        <f aca="false">N149+N150+N151</f>
        <v>148289.0625</v>
      </c>
      <c r="O152" s="70" t="n">
        <f aca="false">O149+O150+O151</f>
        <v>165599.859375</v>
      </c>
      <c r="P152" s="70" t="n">
        <f aca="false">P149+P150+P151</f>
        <v>165599.859375</v>
      </c>
      <c r="Q152" s="70" t="n">
        <f aca="false">Q149+Q150+Q151</f>
        <v>165599.859375</v>
      </c>
      <c r="R152" s="70" t="n">
        <f aca="false">R149+R150+R151</f>
        <v>165599.859375</v>
      </c>
      <c r="S152" s="70" t="n">
        <f aca="false">S149+S150+S151</f>
        <v>165599.859375</v>
      </c>
      <c r="T152" s="70" t="n">
        <f aca="false">T149+T150+T151</f>
        <v>165599.859375</v>
      </c>
      <c r="U152" s="70" t="n">
        <f aca="false">U149+U150+U151</f>
        <v>165599.859375</v>
      </c>
      <c r="V152" s="70" t="n">
        <f aca="false">V149+V150+V151</f>
        <v>165599.859375</v>
      </c>
      <c r="W152" s="70" t="n">
        <f aca="false">W149+W150+W151</f>
        <v>165599.859375</v>
      </c>
      <c r="X152" s="70" t="n">
        <f aca="false">X149+X150+X151</f>
        <v>165599.859375</v>
      </c>
      <c r="Y152" s="70" t="n">
        <f aca="false">Y149+Y150+Y151</f>
        <v>165599.859375</v>
      </c>
      <c r="Z152" s="70" t="n">
        <f aca="false">Z149+Z150+Z151</f>
        <v>165599.859375</v>
      </c>
      <c r="AA152" s="70" t="n">
        <f aca="false">AA149+AA150+AA151</f>
        <v>175684.890810937</v>
      </c>
      <c r="AB152" s="70" t="n">
        <f aca="false">AB149+AB150+AB151</f>
        <v>175684.890810937</v>
      </c>
      <c r="AC152" s="70" t="n">
        <f aca="false">AC149+AC150+AC151</f>
        <v>175684.890810937</v>
      </c>
      <c r="AD152" s="70" t="n">
        <f aca="false">AD149+AD150+AD151</f>
        <v>175684.890810937</v>
      </c>
      <c r="AE152" s="70" t="n">
        <f aca="false">AE149+AE150+AE151</f>
        <v>175684.890810937</v>
      </c>
      <c r="AF152" s="70" t="n">
        <f aca="false">AF149+AF150+AF151</f>
        <v>175684.890810937</v>
      </c>
      <c r="AG152" s="70" t="n">
        <f aca="false">AG149+AG150+AG151</f>
        <v>175684.890810937</v>
      </c>
      <c r="AH152" s="70" t="n">
        <f aca="false">AH149+AH150+AH151</f>
        <v>175684.890810937</v>
      </c>
      <c r="AI152" s="70" t="n">
        <f aca="false">AI149+AI150+AI151</f>
        <v>175684.890810937</v>
      </c>
      <c r="AJ152" s="70" t="n">
        <f aca="false">AJ149+AJ150+AJ151</f>
        <v>175684.890810937</v>
      </c>
      <c r="AK152" s="70" t="n">
        <f aca="false">AK149+AK150+AK151</f>
        <v>175684.890810937</v>
      </c>
      <c r="AL152" s="70" t="n">
        <f aca="false">AL149+AL150+AL151</f>
        <v>175684.890810937</v>
      </c>
      <c r="AM152" s="70" t="n">
        <f aca="false">AM149+AM150+AM151</f>
        <v>186384.100661324</v>
      </c>
      <c r="AN152" s="70" t="n">
        <f aca="false">AN149+AN150+AN151</f>
        <v>186384.100661324</v>
      </c>
      <c r="AO152" s="70" t="n">
        <f aca="false">AO149+AO150+AO151</f>
        <v>186384.100661324</v>
      </c>
      <c r="AP152" s="70" t="n">
        <f aca="false">AP149+AP150+AP151</f>
        <v>186384.100661324</v>
      </c>
      <c r="AQ152" s="70" t="n">
        <f aca="false">AQ149+AQ150+AQ151</f>
        <v>186384.100661324</v>
      </c>
      <c r="AR152" s="70" t="n">
        <f aca="false">AR149+AR150+AR151</f>
        <v>186384.100661324</v>
      </c>
      <c r="AS152" s="70" t="n">
        <f aca="false">AS149+AS150+AS151</f>
        <v>186384.100661324</v>
      </c>
      <c r="AT152" s="70" t="n">
        <f aca="false">AT149+AT150+AT151</f>
        <v>186384.100661324</v>
      </c>
      <c r="AU152" s="70" t="n">
        <f aca="false">AU149+AU150+AU151</f>
        <v>186384.100661324</v>
      </c>
      <c r="AV152" s="70" t="n">
        <f aca="false">AV149+AV150+AV151</f>
        <v>186384.100661324</v>
      </c>
      <c r="AW152" s="70" t="n">
        <f aca="false">AW149+AW150+AW151</f>
        <v>186384.100661324</v>
      </c>
      <c r="AX152" s="70" t="n">
        <f aca="false">AX149+AX150+AX151</f>
        <v>186384.100661324</v>
      </c>
      <c r="AY152" s="70" t="n">
        <f aca="false">AY149+AY150+AY151</f>
        <v>197734.892391598</v>
      </c>
      <c r="AZ152" s="70" t="n">
        <f aca="false">AZ149+AZ150+AZ151</f>
        <v>197734.892391598</v>
      </c>
      <c r="BA152" s="70" t="n">
        <f aca="false">BA149+BA150+BA151</f>
        <v>197734.892391598</v>
      </c>
      <c r="BB152" s="70" t="n">
        <f aca="false">BB149+BB150+BB151</f>
        <v>197734.892391598</v>
      </c>
      <c r="BC152" s="70" t="n">
        <f aca="false">BC149+BC150+BC151</f>
        <v>197734.892391598</v>
      </c>
      <c r="BD152" s="70" t="n">
        <f aca="false">BD149+BD150+BD151</f>
        <v>197734.892391598</v>
      </c>
      <c r="BE152" s="70" t="n">
        <f aca="false">BE149+BE150+BE151</f>
        <v>197734.892391598</v>
      </c>
      <c r="BF152" s="70" t="n">
        <f aca="false">BF149+BF150+BF151</f>
        <v>197734.892391598</v>
      </c>
      <c r="BG152" s="70" t="n">
        <f aca="false">BG149+BG150+BG151</f>
        <v>197734.892391598</v>
      </c>
      <c r="BH152" s="70" t="n">
        <f aca="false">BH149+BH150+BH151</f>
        <v>197734.892391598</v>
      </c>
      <c r="BI152" s="70" t="n">
        <f aca="false">BI149+BI150+BI151</f>
        <v>197734.892391598</v>
      </c>
      <c r="BJ152" s="70" t="n">
        <f aca="false">BJ149+BJ150+BJ151</f>
        <v>197734.892391598</v>
      </c>
    </row>
    <row r="154" customFormat="false" ht="15.75" hidden="false" customHeight="true" outlineLevel="0" collapsed="false">
      <c r="A154" s="7" t="s">
        <v>76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customFormat="false" ht="15" hidden="false" customHeight="false" outlineLevel="0" collapsed="false">
      <c r="A155" s="6" t="s">
        <v>422</v>
      </c>
      <c r="C155" s="69" t="n">
        <f aca="false">C242</f>
        <v>-37375</v>
      </c>
      <c r="D155" s="69" t="n">
        <f aca="false">D242</f>
        <v>-37375</v>
      </c>
      <c r="E155" s="69" t="n">
        <f aca="false">E242</f>
        <v>-37375</v>
      </c>
      <c r="F155" s="69" t="n">
        <f aca="false">F242</f>
        <v>-37375</v>
      </c>
      <c r="G155" s="69" t="n">
        <f aca="false">G242</f>
        <v>-37375</v>
      </c>
      <c r="H155" s="69" t="n">
        <f aca="false">H242</f>
        <v>-37375</v>
      </c>
      <c r="I155" s="69" t="n">
        <f aca="false">I242</f>
        <v>-37375</v>
      </c>
      <c r="J155" s="69" t="n">
        <f aca="false">J242</f>
        <v>-37375</v>
      </c>
      <c r="K155" s="69" t="n">
        <f aca="false">K242</f>
        <v>-37375</v>
      </c>
      <c r="L155" s="69" t="n">
        <f aca="false">L242</f>
        <v>-37375</v>
      </c>
      <c r="M155" s="69" t="n">
        <f aca="false">M242</f>
        <v>-37375</v>
      </c>
      <c r="N155" s="69" t="n">
        <f aca="false">N242</f>
        <v>-37375</v>
      </c>
      <c r="O155" s="69" t="n">
        <f aca="false">O242</f>
        <v>-38496.25</v>
      </c>
      <c r="P155" s="69" t="n">
        <f aca="false">P242</f>
        <v>-38496.25</v>
      </c>
      <c r="Q155" s="69" t="n">
        <f aca="false">Q242</f>
        <v>-38496.25</v>
      </c>
      <c r="R155" s="69" t="n">
        <f aca="false">R242</f>
        <v>-38496.25</v>
      </c>
      <c r="S155" s="69" t="n">
        <f aca="false">S242</f>
        <v>-38496.25</v>
      </c>
      <c r="T155" s="69" t="n">
        <f aca="false">T242</f>
        <v>-38496.25</v>
      </c>
      <c r="U155" s="69" t="n">
        <f aca="false">U242</f>
        <v>-38496.25</v>
      </c>
      <c r="V155" s="69" t="n">
        <f aca="false">V242</f>
        <v>-38496.25</v>
      </c>
      <c r="W155" s="69" t="n">
        <f aca="false">W242</f>
        <v>-38496.25</v>
      </c>
      <c r="X155" s="69" t="n">
        <f aca="false">X242</f>
        <v>-38496.25</v>
      </c>
      <c r="Y155" s="69" t="n">
        <f aca="false">Y242</f>
        <v>-38496.25</v>
      </c>
      <c r="Z155" s="69" t="n">
        <f aca="false">Z242</f>
        <v>-38496.25</v>
      </c>
      <c r="AA155" s="69" t="n">
        <f aca="false">AA242</f>
        <v>-39651.1375</v>
      </c>
      <c r="AB155" s="69" t="n">
        <f aca="false">AB242</f>
        <v>-39651.1375</v>
      </c>
      <c r="AC155" s="69" t="n">
        <f aca="false">AC242</f>
        <v>-39651.1375</v>
      </c>
      <c r="AD155" s="69" t="n">
        <f aca="false">AD242</f>
        <v>-39651.1375</v>
      </c>
      <c r="AE155" s="69" t="n">
        <f aca="false">AE242</f>
        <v>-39651.1375</v>
      </c>
      <c r="AF155" s="69" t="n">
        <f aca="false">AF242</f>
        <v>-39651.1375</v>
      </c>
      <c r="AG155" s="69" t="n">
        <f aca="false">AG242</f>
        <v>-39651.1375</v>
      </c>
      <c r="AH155" s="69" t="n">
        <f aca="false">AH242</f>
        <v>-39651.1375</v>
      </c>
      <c r="AI155" s="69" t="n">
        <f aca="false">AI242</f>
        <v>-39651.1375</v>
      </c>
      <c r="AJ155" s="69" t="n">
        <f aca="false">AJ242</f>
        <v>-39651.1375</v>
      </c>
      <c r="AK155" s="69" t="n">
        <f aca="false">AK242</f>
        <v>-39651.1375</v>
      </c>
      <c r="AL155" s="69" t="n">
        <f aca="false">AL242</f>
        <v>-39651.1375</v>
      </c>
      <c r="AM155" s="69" t="n">
        <f aca="false">AM242</f>
        <v>-40840.671625</v>
      </c>
      <c r="AN155" s="69" t="n">
        <f aca="false">AN242</f>
        <v>-40840.671625</v>
      </c>
      <c r="AO155" s="69" t="n">
        <f aca="false">AO242</f>
        <v>-40840.671625</v>
      </c>
      <c r="AP155" s="69" t="n">
        <f aca="false">AP242</f>
        <v>-40840.671625</v>
      </c>
      <c r="AQ155" s="69" t="n">
        <f aca="false">AQ242</f>
        <v>-40840.671625</v>
      </c>
      <c r="AR155" s="69" t="n">
        <f aca="false">AR242</f>
        <v>-40840.671625</v>
      </c>
      <c r="AS155" s="69" t="n">
        <f aca="false">AS242</f>
        <v>-40840.671625</v>
      </c>
      <c r="AT155" s="69" t="n">
        <f aca="false">AT242</f>
        <v>-40840.671625</v>
      </c>
      <c r="AU155" s="69" t="n">
        <f aca="false">AU242</f>
        <v>-40840.671625</v>
      </c>
      <c r="AV155" s="69" t="n">
        <f aca="false">AV242</f>
        <v>-40840.671625</v>
      </c>
      <c r="AW155" s="69" t="n">
        <f aca="false">AW242</f>
        <v>-40840.671625</v>
      </c>
      <c r="AX155" s="69" t="n">
        <f aca="false">AX242</f>
        <v>-40840.671625</v>
      </c>
      <c r="AY155" s="69" t="n">
        <f aca="false">AY242</f>
        <v>-42065.89177375</v>
      </c>
      <c r="AZ155" s="69" t="n">
        <f aca="false">AZ242</f>
        <v>-42065.89177375</v>
      </c>
      <c r="BA155" s="69" t="n">
        <f aca="false">BA242</f>
        <v>-42065.89177375</v>
      </c>
      <c r="BB155" s="69" t="n">
        <f aca="false">BB242</f>
        <v>-42065.89177375</v>
      </c>
      <c r="BC155" s="69" t="n">
        <f aca="false">BC242</f>
        <v>-42065.89177375</v>
      </c>
      <c r="BD155" s="69" t="n">
        <f aca="false">BD242</f>
        <v>-42065.89177375</v>
      </c>
      <c r="BE155" s="69" t="n">
        <f aca="false">BE242</f>
        <v>-42065.89177375</v>
      </c>
      <c r="BF155" s="69" t="n">
        <f aca="false">BF242</f>
        <v>-42065.89177375</v>
      </c>
      <c r="BG155" s="69" t="n">
        <f aca="false">BG242</f>
        <v>-42065.89177375</v>
      </c>
      <c r="BH155" s="69" t="n">
        <f aca="false">BH242</f>
        <v>-42065.89177375</v>
      </c>
      <c r="BI155" s="69" t="n">
        <f aca="false">BI242</f>
        <v>-42065.89177375</v>
      </c>
      <c r="BJ155" s="69" t="n">
        <f aca="false">BJ242</f>
        <v>-42065.89177375</v>
      </c>
    </row>
    <row r="156" customFormat="false" ht="15" hidden="false" customHeight="false" outlineLevel="0" collapsed="false">
      <c r="A156" s="6" t="s">
        <v>244</v>
      </c>
      <c r="C156" s="69" t="n">
        <f aca="false">-C150*(1-Inputs!$C$27)</f>
        <v>-14310</v>
      </c>
      <c r="D156" s="69" t="n">
        <f aca="false">-D150*(1-Inputs!$C$27)</f>
        <v>-16098.75</v>
      </c>
      <c r="E156" s="69" t="n">
        <f aca="false">-E150*(1-Inputs!$C$27)</f>
        <v>-17887.5</v>
      </c>
      <c r="F156" s="69" t="n">
        <f aca="false">-F150*(1-Inputs!$C$27)</f>
        <v>-19676.25</v>
      </c>
      <c r="G156" s="69" t="n">
        <f aca="false">-G150*(1-Inputs!$C$27)</f>
        <v>-21465</v>
      </c>
      <c r="H156" s="69" t="n">
        <f aca="false">-H150*(1-Inputs!$C$27)</f>
        <v>-23253.75</v>
      </c>
      <c r="I156" s="69" t="n">
        <f aca="false">-I150*(1-Inputs!$C$27)</f>
        <v>-25042.5</v>
      </c>
      <c r="J156" s="69" t="n">
        <f aca="false">-J150*(1-Inputs!$C$27)</f>
        <v>-26831.25</v>
      </c>
      <c r="K156" s="69" t="n">
        <f aca="false">-K150*(1-Inputs!$C$27)</f>
        <v>-28620</v>
      </c>
      <c r="L156" s="69" t="n">
        <f aca="false">-L150*(1-Inputs!$C$27)</f>
        <v>-30408.75</v>
      </c>
      <c r="M156" s="69" t="n">
        <f aca="false">-M150*(1-Inputs!$C$27)</f>
        <v>-32197.5</v>
      </c>
      <c r="N156" s="69" t="n">
        <f aca="false">-N150*(1-Inputs!$C$27)</f>
        <v>-33986.25</v>
      </c>
      <c r="O156" s="69" t="n">
        <f aca="false">-O150*(1-Inputs!$C$27)</f>
        <v>-37953.6975</v>
      </c>
      <c r="P156" s="69" t="n">
        <f aca="false">-P150*(1-Inputs!$C$27)</f>
        <v>-37953.6975</v>
      </c>
      <c r="Q156" s="69" t="n">
        <f aca="false">-Q150*(1-Inputs!$C$27)</f>
        <v>-37953.6975</v>
      </c>
      <c r="R156" s="69" t="n">
        <f aca="false">-R150*(1-Inputs!$C$27)</f>
        <v>-37953.6975</v>
      </c>
      <c r="S156" s="69" t="n">
        <f aca="false">-S150*(1-Inputs!$C$27)</f>
        <v>-37953.6975</v>
      </c>
      <c r="T156" s="69" t="n">
        <f aca="false">-T150*(1-Inputs!$C$27)</f>
        <v>-37953.6975</v>
      </c>
      <c r="U156" s="69" t="n">
        <f aca="false">-U150*(1-Inputs!$C$27)</f>
        <v>-37953.6975</v>
      </c>
      <c r="V156" s="69" t="n">
        <f aca="false">-V150*(1-Inputs!$C$27)</f>
        <v>-37953.6975</v>
      </c>
      <c r="W156" s="69" t="n">
        <f aca="false">-W150*(1-Inputs!$C$27)</f>
        <v>-37953.6975</v>
      </c>
      <c r="X156" s="69" t="n">
        <f aca="false">-X150*(1-Inputs!$C$27)</f>
        <v>-37953.6975</v>
      </c>
      <c r="Y156" s="69" t="n">
        <f aca="false">-Y150*(1-Inputs!$C$27)</f>
        <v>-37953.6975</v>
      </c>
      <c r="Z156" s="69" t="n">
        <f aca="false">-Z150*(1-Inputs!$C$27)</f>
        <v>-37953.6975</v>
      </c>
      <c r="AA156" s="69" t="n">
        <f aca="false">-AA150*(1-Inputs!$C$27)</f>
        <v>-40265.07767775</v>
      </c>
      <c r="AB156" s="69" t="n">
        <f aca="false">-AB150*(1-Inputs!$C$27)</f>
        <v>-40265.07767775</v>
      </c>
      <c r="AC156" s="69" t="n">
        <f aca="false">-AC150*(1-Inputs!$C$27)</f>
        <v>-40265.07767775</v>
      </c>
      <c r="AD156" s="69" t="n">
        <f aca="false">-AD150*(1-Inputs!$C$27)</f>
        <v>-40265.07767775</v>
      </c>
      <c r="AE156" s="69" t="n">
        <f aca="false">-AE150*(1-Inputs!$C$27)</f>
        <v>-40265.07767775</v>
      </c>
      <c r="AF156" s="69" t="n">
        <f aca="false">-AF150*(1-Inputs!$C$27)</f>
        <v>-40265.07767775</v>
      </c>
      <c r="AG156" s="69" t="n">
        <f aca="false">-AG150*(1-Inputs!$C$27)</f>
        <v>-40265.07767775</v>
      </c>
      <c r="AH156" s="69" t="n">
        <f aca="false">-AH150*(1-Inputs!$C$27)</f>
        <v>-40265.07767775</v>
      </c>
      <c r="AI156" s="69" t="n">
        <f aca="false">-AI150*(1-Inputs!$C$27)</f>
        <v>-40265.07767775</v>
      </c>
      <c r="AJ156" s="69" t="n">
        <f aca="false">-AJ150*(1-Inputs!$C$27)</f>
        <v>-40265.07767775</v>
      </c>
      <c r="AK156" s="69" t="n">
        <f aca="false">-AK150*(1-Inputs!$C$27)</f>
        <v>-40265.07767775</v>
      </c>
      <c r="AL156" s="69" t="n">
        <f aca="false">-AL150*(1-Inputs!$C$27)</f>
        <v>-40265.07767775</v>
      </c>
      <c r="AM156" s="69" t="n">
        <f aca="false">-AM150*(1-Inputs!$C$27)</f>
        <v>-42717.220908325</v>
      </c>
      <c r="AN156" s="69" t="n">
        <f aca="false">-AN150*(1-Inputs!$C$27)</f>
        <v>-42717.220908325</v>
      </c>
      <c r="AO156" s="69" t="n">
        <f aca="false">-AO150*(1-Inputs!$C$27)</f>
        <v>-42717.220908325</v>
      </c>
      <c r="AP156" s="69" t="n">
        <f aca="false">-AP150*(1-Inputs!$C$27)</f>
        <v>-42717.220908325</v>
      </c>
      <c r="AQ156" s="69" t="n">
        <f aca="false">-AQ150*(1-Inputs!$C$27)</f>
        <v>-42717.220908325</v>
      </c>
      <c r="AR156" s="69" t="n">
        <f aca="false">-AR150*(1-Inputs!$C$27)</f>
        <v>-42717.220908325</v>
      </c>
      <c r="AS156" s="69" t="n">
        <f aca="false">-AS150*(1-Inputs!$C$27)</f>
        <v>-42717.220908325</v>
      </c>
      <c r="AT156" s="69" t="n">
        <f aca="false">-AT150*(1-Inputs!$C$27)</f>
        <v>-42717.220908325</v>
      </c>
      <c r="AU156" s="69" t="n">
        <f aca="false">-AU150*(1-Inputs!$C$27)</f>
        <v>-42717.220908325</v>
      </c>
      <c r="AV156" s="69" t="n">
        <f aca="false">-AV150*(1-Inputs!$C$27)</f>
        <v>-42717.220908325</v>
      </c>
      <c r="AW156" s="69" t="n">
        <f aca="false">-AW150*(1-Inputs!$C$27)</f>
        <v>-42717.220908325</v>
      </c>
      <c r="AX156" s="69" t="n">
        <f aca="false">-AX150*(1-Inputs!$C$27)</f>
        <v>-42717.220908325</v>
      </c>
      <c r="AY156" s="69" t="n">
        <f aca="false">-AY150*(1-Inputs!$C$27)</f>
        <v>-45318.699661642</v>
      </c>
      <c r="AZ156" s="69" t="n">
        <f aca="false">-AZ150*(1-Inputs!$C$27)</f>
        <v>-45318.699661642</v>
      </c>
      <c r="BA156" s="69" t="n">
        <f aca="false">-BA150*(1-Inputs!$C$27)</f>
        <v>-45318.699661642</v>
      </c>
      <c r="BB156" s="69" t="n">
        <f aca="false">-BB150*(1-Inputs!$C$27)</f>
        <v>-45318.699661642</v>
      </c>
      <c r="BC156" s="69" t="n">
        <f aca="false">-BC150*(1-Inputs!$C$27)</f>
        <v>-45318.699661642</v>
      </c>
      <c r="BD156" s="69" t="n">
        <f aca="false">-BD150*(1-Inputs!$C$27)</f>
        <v>-45318.699661642</v>
      </c>
      <c r="BE156" s="69" t="n">
        <f aca="false">-BE150*(1-Inputs!$C$27)</f>
        <v>-45318.699661642</v>
      </c>
      <c r="BF156" s="69" t="n">
        <f aca="false">-BF150*(1-Inputs!$C$27)</f>
        <v>-45318.699661642</v>
      </c>
      <c r="BG156" s="69" t="n">
        <f aca="false">-BG150*(1-Inputs!$C$27)</f>
        <v>-45318.699661642</v>
      </c>
      <c r="BH156" s="69" t="n">
        <f aca="false">-BH150*(1-Inputs!$C$27)</f>
        <v>-45318.699661642</v>
      </c>
      <c r="BI156" s="69" t="n">
        <f aca="false">-BI150*(1-Inputs!$C$27)</f>
        <v>-45318.699661642</v>
      </c>
      <c r="BJ156" s="69" t="n">
        <f aca="false">-BJ150*(1-Inputs!$C$27)</f>
        <v>-45318.699661642</v>
      </c>
    </row>
    <row r="157" customFormat="false" ht="15" hidden="false" customHeight="false" outlineLevel="0" collapsed="false">
      <c r="A157" s="6" t="s">
        <v>423</v>
      </c>
      <c r="C157" s="69" t="n">
        <f aca="false">-C149*Inputs!$C$30</f>
        <v>-1181.25</v>
      </c>
      <c r="D157" s="69" t="n">
        <f aca="false">-D149*Inputs!$C$30</f>
        <v>-1328.90625</v>
      </c>
      <c r="E157" s="69" t="n">
        <f aca="false">-E149*Inputs!$C$30</f>
        <v>-1476.5625</v>
      </c>
      <c r="F157" s="69" t="n">
        <f aca="false">-F149*Inputs!$C$30</f>
        <v>-1624.21875</v>
      </c>
      <c r="G157" s="69" t="n">
        <f aca="false">-G149*Inputs!$C$30</f>
        <v>-1771.875</v>
      </c>
      <c r="H157" s="69" t="n">
        <f aca="false">-H149*Inputs!$C$30</f>
        <v>-1919.53125</v>
      </c>
      <c r="I157" s="69" t="n">
        <f aca="false">-I149*Inputs!$C$30</f>
        <v>-2067.1875</v>
      </c>
      <c r="J157" s="69" t="n">
        <f aca="false">-J149*Inputs!$C$30</f>
        <v>-2214.84375</v>
      </c>
      <c r="K157" s="69" t="n">
        <f aca="false">-K149*Inputs!$C$30</f>
        <v>-2362.5</v>
      </c>
      <c r="L157" s="69" t="n">
        <f aca="false">-L149*Inputs!$C$30</f>
        <v>-2510.15625</v>
      </c>
      <c r="M157" s="69" t="n">
        <f aca="false">-M149*Inputs!$C$30</f>
        <v>-2657.8125</v>
      </c>
      <c r="N157" s="69" t="n">
        <f aca="false">-N149*Inputs!$C$30</f>
        <v>-2805.46875</v>
      </c>
      <c r="O157" s="69" t="n">
        <f aca="false">-O149*Inputs!$C$30</f>
        <v>-3132.9703125</v>
      </c>
      <c r="P157" s="69" t="n">
        <f aca="false">-P149*Inputs!$C$30</f>
        <v>-3132.9703125</v>
      </c>
      <c r="Q157" s="69" t="n">
        <f aca="false">-Q149*Inputs!$C$30</f>
        <v>-3132.9703125</v>
      </c>
      <c r="R157" s="69" t="n">
        <f aca="false">-R149*Inputs!$C$30</f>
        <v>-3132.9703125</v>
      </c>
      <c r="S157" s="69" t="n">
        <f aca="false">-S149*Inputs!$C$30</f>
        <v>-3132.9703125</v>
      </c>
      <c r="T157" s="69" t="n">
        <f aca="false">-T149*Inputs!$C$30</f>
        <v>-3132.9703125</v>
      </c>
      <c r="U157" s="69" t="n">
        <f aca="false">-U149*Inputs!$C$30</f>
        <v>-3132.9703125</v>
      </c>
      <c r="V157" s="69" t="n">
        <f aca="false">-V149*Inputs!$C$30</f>
        <v>-3132.9703125</v>
      </c>
      <c r="W157" s="69" t="n">
        <f aca="false">-W149*Inputs!$C$30</f>
        <v>-3132.9703125</v>
      </c>
      <c r="X157" s="69" t="n">
        <f aca="false">-X149*Inputs!$C$30</f>
        <v>-3132.9703125</v>
      </c>
      <c r="Y157" s="69" t="n">
        <f aca="false">-Y149*Inputs!$C$30</f>
        <v>-3132.9703125</v>
      </c>
      <c r="Z157" s="69" t="n">
        <f aca="false">-Z149*Inputs!$C$30</f>
        <v>-3132.9703125</v>
      </c>
      <c r="AA157" s="69" t="n">
        <f aca="false">-AA149*Inputs!$C$30</f>
        <v>-3323.76820453125</v>
      </c>
      <c r="AB157" s="69" t="n">
        <f aca="false">-AB149*Inputs!$C$30</f>
        <v>-3323.76820453125</v>
      </c>
      <c r="AC157" s="69" t="n">
        <f aca="false">-AC149*Inputs!$C$30</f>
        <v>-3323.76820453125</v>
      </c>
      <c r="AD157" s="69" t="n">
        <f aca="false">-AD149*Inputs!$C$30</f>
        <v>-3323.76820453125</v>
      </c>
      <c r="AE157" s="69" t="n">
        <f aca="false">-AE149*Inputs!$C$30</f>
        <v>-3323.76820453125</v>
      </c>
      <c r="AF157" s="69" t="n">
        <f aca="false">-AF149*Inputs!$C$30</f>
        <v>-3323.76820453125</v>
      </c>
      <c r="AG157" s="69" t="n">
        <f aca="false">-AG149*Inputs!$C$30</f>
        <v>-3323.76820453125</v>
      </c>
      <c r="AH157" s="69" t="n">
        <f aca="false">-AH149*Inputs!$C$30</f>
        <v>-3323.76820453125</v>
      </c>
      <c r="AI157" s="69" t="n">
        <f aca="false">-AI149*Inputs!$C$30</f>
        <v>-3323.76820453125</v>
      </c>
      <c r="AJ157" s="69" t="n">
        <f aca="false">-AJ149*Inputs!$C$30</f>
        <v>-3323.76820453125</v>
      </c>
      <c r="AK157" s="69" t="n">
        <f aca="false">-AK149*Inputs!$C$30</f>
        <v>-3323.76820453125</v>
      </c>
      <c r="AL157" s="69" t="n">
        <f aca="false">-AL149*Inputs!$C$30</f>
        <v>-3323.76820453125</v>
      </c>
      <c r="AM157" s="69" t="n">
        <f aca="false">-AM149*Inputs!$C$30</f>
        <v>-3526.1856881872</v>
      </c>
      <c r="AN157" s="69" t="n">
        <f aca="false">-AN149*Inputs!$C$30</f>
        <v>-3526.1856881872</v>
      </c>
      <c r="AO157" s="69" t="n">
        <f aca="false">-AO149*Inputs!$C$30</f>
        <v>-3526.1856881872</v>
      </c>
      <c r="AP157" s="69" t="n">
        <f aca="false">-AP149*Inputs!$C$30</f>
        <v>-3526.1856881872</v>
      </c>
      <c r="AQ157" s="69" t="n">
        <f aca="false">-AQ149*Inputs!$C$30</f>
        <v>-3526.1856881872</v>
      </c>
      <c r="AR157" s="69" t="n">
        <f aca="false">-AR149*Inputs!$C$30</f>
        <v>-3526.1856881872</v>
      </c>
      <c r="AS157" s="69" t="n">
        <f aca="false">-AS149*Inputs!$C$30</f>
        <v>-3526.1856881872</v>
      </c>
      <c r="AT157" s="69" t="n">
        <f aca="false">-AT149*Inputs!$C$30</f>
        <v>-3526.1856881872</v>
      </c>
      <c r="AU157" s="69" t="n">
        <f aca="false">-AU149*Inputs!$C$30</f>
        <v>-3526.1856881872</v>
      </c>
      <c r="AV157" s="69" t="n">
        <f aca="false">-AV149*Inputs!$C$30</f>
        <v>-3526.1856881872</v>
      </c>
      <c r="AW157" s="69" t="n">
        <f aca="false">-AW149*Inputs!$C$30</f>
        <v>-3526.1856881872</v>
      </c>
      <c r="AX157" s="69" t="n">
        <f aca="false">-AX149*Inputs!$C$30</f>
        <v>-3526.1856881872</v>
      </c>
      <c r="AY157" s="69" t="n">
        <f aca="false">-AY149*Inputs!$C$30</f>
        <v>-3740.9303965978</v>
      </c>
      <c r="AZ157" s="69" t="n">
        <f aca="false">-AZ149*Inputs!$C$30</f>
        <v>-3740.9303965978</v>
      </c>
      <c r="BA157" s="69" t="n">
        <f aca="false">-BA149*Inputs!$C$30</f>
        <v>-3740.9303965978</v>
      </c>
      <c r="BB157" s="69" t="n">
        <f aca="false">-BB149*Inputs!$C$30</f>
        <v>-3740.9303965978</v>
      </c>
      <c r="BC157" s="69" t="n">
        <f aca="false">-BC149*Inputs!$C$30</f>
        <v>-3740.9303965978</v>
      </c>
      <c r="BD157" s="69" t="n">
        <f aca="false">-BD149*Inputs!$C$30</f>
        <v>-3740.9303965978</v>
      </c>
      <c r="BE157" s="69" t="n">
        <f aca="false">-BE149*Inputs!$C$30</f>
        <v>-3740.9303965978</v>
      </c>
      <c r="BF157" s="69" t="n">
        <f aca="false">-BF149*Inputs!$C$30</f>
        <v>-3740.9303965978</v>
      </c>
      <c r="BG157" s="69" t="n">
        <f aca="false">-BG149*Inputs!$C$30</f>
        <v>-3740.9303965978</v>
      </c>
      <c r="BH157" s="69" t="n">
        <f aca="false">-BH149*Inputs!$C$30</f>
        <v>-3740.9303965978</v>
      </c>
      <c r="BI157" s="69" t="n">
        <f aca="false">-BI149*Inputs!$C$30</f>
        <v>-3740.9303965978</v>
      </c>
      <c r="BJ157" s="69" t="n">
        <f aca="false">-BJ149*Inputs!$C$30</f>
        <v>-3740.9303965978</v>
      </c>
    </row>
    <row r="158" customFormat="false" ht="15" hidden="false" customHeight="false" outlineLevel="0" collapsed="false">
      <c r="A158" s="6" t="s">
        <v>424</v>
      </c>
      <c r="C158" s="69" t="n">
        <f aca="false">-C149*Inputs!$C$31</f>
        <v>-1012.5</v>
      </c>
      <c r="D158" s="69" t="n">
        <f aca="false">-D149*Inputs!$C$31</f>
        <v>-1139.0625</v>
      </c>
      <c r="E158" s="69" t="n">
        <f aca="false">-E149*Inputs!$C$31</f>
        <v>-1265.625</v>
      </c>
      <c r="F158" s="69" t="n">
        <f aca="false">-F149*Inputs!$C$31</f>
        <v>-1392.1875</v>
      </c>
      <c r="G158" s="69" t="n">
        <f aca="false">-G149*Inputs!$C$31</f>
        <v>-1518.75</v>
      </c>
      <c r="H158" s="69" t="n">
        <f aca="false">-H149*Inputs!$C$31</f>
        <v>-1645.3125</v>
      </c>
      <c r="I158" s="69" t="n">
        <f aca="false">-I149*Inputs!$C$31</f>
        <v>-1771.875</v>
      </c>
      <c r="J158" s="69" t="n">
        <f aca="false">-J149*Inputs!$C$31</f>
        <v>-1898.4375</v>
      </c>
      <c r="K158" s="69" t="n">
        <f aca="false">-K149*Inputs!$C$31</f>
        <v>-2025</v>
      </c>
      <c r="L158" s="69" t="n">
        <f aca="false">-L149*Inputs!$C$31</f>
        <v>-2151.5625</v>
      </c>
      <c r="M158" s="69" t="n">
        <f aca="false">-M149*Inputs!$C$31</f>
        <v>-2278.125</v>
      </c>
      <c r="N158" s="69" t="n">
        <f aca="false">-N149*Inputs!$C$31</f>
        <v>-2404.6875</v>
      </c>
      <c r="O158" s="69" t="n">
        <f aca="false">-O149*Inputs!$C$31</f>
        <v>-2685.403125</v>
      </c>
      <c r="P158" s="69" t="n">
        <f aca="false">-P149*Inputs!$C$31</f>
        <v>-2685.403125</v>
      </c>
      <c r="Q158" s="69" t="n">
        <f aca="false">-Q149*Inputs!$C$31</f>
        <v>-2685.403125</v>
      </c>
      <c r="R158" s="69" t="n">
        <f aca="false">-R149*Inputs!$C$31</f>
        <v>-2685.403125</v>
      </c>
      <c r="S158" s="69" t="n">
        <f aca="false">-S149*Inputs!$C$31</f>
        <v>-2685.403125</v>
      </c>
      <c r="T158" s="69" t="n">
        <f aca="false">-T149*Inputs!$C$31</f>
        <v>-2685.403125</v>
      </c>
      <c r="U158" s="69" t="n">
        <f aca="false">-U149*Inputs!$C$31</f>
        <v>-2685.403125</v>
      </c>
      <c r="V158" s="69" t="n">
        <f aca="false">-V149*Inputs!$C$31</f>
        <v>-2685.403125</v>
      </c>
      <c r="W158" s="69" t="n">
        <f aca="false">-W149*Inputs!$C$31</f>
        <v>-2685.403125</v>
      </c>
      <c r="X158" s="69" t="n">
        <f aca="false">-X149*Inputs!$C$31</f>
        <v>-2685.403125</v>
      </c>
      <c r="Y158" s="69" t="n">
        <f aca="false">-Y149*Inputs!$C$31</f>
        <v>-2685.403125</v>
      </c>
      <c r="Z158" s="69" t="n">
        <f aca="false">-Z149*Inputs!$C$31</f>
        <v>-2685.403125</v>
      </c>
      <c r="AA158" s="69" t="n">
        <f aca="false">-AA149*Inputs!$C$31</f>
        <v>-2848.9441753125</v>
      </c>
      <c r="AB158" s="69" t="n">
        <f aca="false">-AB149*Inputs!$C$31</f>
        <v>-2848.9441753125</v>
      </c>
      <c r="AC158" s="69" t="n">
        <f aca="false">-AC149*Inputs!$C$31</f>
        <v>-2848.9441753125</v>
      </c>
      <c r="AD158" s="69" t="n">
        <f aca="false">-AD149*Inputs!$C$31</f>
        <v>-2848.9441753125</v>
      </c>
      <c r="AE158" s="69" t="n">
        <f aca="false">-AE149*Inputs!$C$31</f>
        <v>-2848.9441753125</v>
      </c>
      <c r="AF158" s="69" t="n">
        <f aca="false">-AF149*Inputs!$C$31</f>
        <v>-2848.9441753125</v>
      </c>
      <c r="AG158" s="69" t="n">
        <f aca="false">-AG149*Inputs!$C$31</f>
        <v>-2848.9441753125</v>
      </c>
      <c r="AH158" s="69" t="n">
        <f aca="false">-AH149*Inputs!$C$31</f>
        <v>-2848.9441753125</v>
      </c>
      <c r="AI158" s="69" t="n">
        <f aca="false">-AI149*Inputs!$C$31</f>
        <v>-2848.9441753125</v>
      </c>
      <c r="AJ158" s="69" t="n">
        <f aca="false">-AJ149*Inputs!$C$31</f>
        <v>-2848.9441753125</v>
      </c>
      <c r="AK158" s="69" t="n">
        <f aca="false">-AK149*Inputs!$C$31</f>
        <v>-2848.9441753125</v>
      </c>
      <c r="AL158" s="69" t="n">
        <f aca="false">-AL149*Inputs!$C$31</f>
        <v>-2848.9441753125</v>
      </c>
      <c r="AM158" s="69" t="n">
        <f aca="false">-AM149*Inputs!$C$31</f>
        <v>-3022.44487558903</v>
      </c>
      <c r="AN158" s="69" t="n">
        <f aca="false">-AN149*Inputs!$C$31</f>
        <v>-3022.44487558903</v>
      </c>
      <c r="AO158" s="69" t="n">
        <f aca="false">-AO149*Inputs!$C$31</f>
        <v>-3022.44487558903</v>
      </c>
      <c r="AP158" s="69" t="n">
        <f aca="false">-AP149*Inputs!$C$31</f>
        <v>-3022.44487558903</v>
      </c>
      <c r="AQ158" s="69" t="n">
        <f aca="false">-AQ149*Inputs!$C$31</f>
        <v>-3022.44487558903</v>
      </c>
      <c r="AR158" s="69" t="n">
        <f aca="false">-AR149*Inputs!$C$31</f>
        <v>-3022.44487558903</v>
      </c>
      <c r="AS158" s="69" t="n">
        <f aca="false">-AS149*Inputs!$C$31</f>
        <v>-3022.44487558903</v>
      </c>
      <c r="AT158" s="69" t="n">
        <f aca="false">-AT149*Inputs!$C$31</f>
        <v>-3022.44487558903</v>
      </c>
      <c r="AU158" s="69" t="n">
        <f aca="false">-AU149*Inputs!$C$31</f>
        <v>-3022.44487558903</v>
      </c>
      <c r="AV158" s="69" t="n">
        <f aca="false">-AV149*Inputs!$C$31</f>
        <v>-3022.44487558903</v>
      </c>
      <c r="AW158" s="69" t="n">
        <f aca="false">-AW149*Inputs!$C$31</f>
        <v>-3022.44487558903</v>
      </c>
      <c r="AX158" s="69" t="n">
        <f aca="false">-AX149*Inputs!$C$31</f>
        <v>-3022.44487558903</v>
      </c>
      <c r="AY158" s="69" t="n">
        <f aca="false">-AY149*Inputs!$C$31</f>
        <v>-3206.5117685124</v>
      </c>
      <c r="AZ158" s="69" t="n">
        <f aca="false">-AZ149*Inputs!$C$31</f>
        <v>-3206.5117685124</v>
      </c>
      <c r="BA158" s="69" t="n">
        <f aca="false">-BA149*Inputs!$C$31</f>
        <v>-3206.5117685124</v>
      </c>
      <c r="BB158" s="69" t="n">
        <f aca="false">-BB149*Inputs!$C$31</f>
        <v>-3206.5117685124</v>
      </c>
      <c r="BC158" s="69" t="n">
        <f aca="false">-BC149*Inputs!$C$31</f>
        <v>-3206.5117685124</v>
      </c>
      <c r="BD158" s="69" t="n">
        <f aca="false">-BD149*Inputs!$C$31</f>
        <v>-3206.5117685124</v>
      </c>
      <c r="BE158" s="69" t="n">
        <f aca="false">-BE149*Inputs!$C$31</f>
        <v>-3206.5117685124</v>
      </c>
      <c r="BF158" s="69" t="n">
        <f aca="false">-BF149*Inputs!$C$31</f>
        <v>-3206.5117685124</v>
      </c>
      <c r="BG158" s="69" t="n">
        <f aca="false">-BG149*Inputs!$C$31</f>
        <v>-3206.5117685124</v>
      </c>
      <c r="BH158" s="69" t="n">
        <f aca="false">-BH149*Inputs!$C$31</f>
        <v>-3206.5117685124</v>
      </c>
      <c r="BI158" s="69" t="n">
        <f aca="false">-BI149*Inputs!$C$31</f>
        <v>-3206.5117685124</v>
      </c>
      <c r="BJ158" s="69" t="n">
        <f aca="false">-BJ149*Inputs!$C$31</f>
        <v>-3206.5117685124</v>
      </c>
    </row>
    <row r="159" customFormat="false" ht="15" hidden="false" customHeight="false" outlineLevel="0" collapsed="false">
      <c r="A159" s="4" t="s">
        <v>76</v>
      </c>
      <c r="C159" s="75" t="n">
        <f aca="false">C155+C156+C157+C158</f>
        <v>-53878.75</v>
      </c>
      <c r="D159" s="75" t="n">
        <f aca="false">D155+D156+D157+D158</f>
        <v>-55941.71875</v>
      </c>
      <c r="E159" s="75" t="n">
        <f aca="false">E155+E156+E157+E158</f>
        <v>-58004.6875</v>
      </c>
      <c r="F159" s="75" t="n">
        <f aca="false">F155+F156+F157+F158</f>
        <v>-60067.65625</v>
      </c>
      <c r="G159" s="75" t="n">
        <f aca="false">G155+G156+G157+G158</f>
        <v>-62130.625</v>
      </c>
      <c r="H159" s="75" t="n">
        <f aca="false">H155+H156+H157+H158</f>
        <v>-64193.59375</v>
      </c>
      <c r="I159" s="75" t="n">
        <f aca="false">I155+I156+I157+I158</f>
        <v>-66256.5625</v>
      </c>
      <c r="J159" s="75" t="n">
        <f aca="false">J155+J156+J157+J158</f>
        <v>-68319.53125</v>
      </c>
      <c r="K159" s="75" t="n">
        <f aca="false">K155+K156+K157+K158</f>
        <v>-70382.5</v>
      </c>
      <c r="L159" s="75" t="n">
        <f aca="false">L155+L156+L157+L158</f>
        <v>-72445.46875</v>
      </c>
      <c r="M159" s="75" t="n">
        <f aca="false">M155+M156+M157+M158</f>
        <v>-74508.4375</v>
      </c>
      <c r="N159" s="75" t="n">
        <f aca="false">N155+N156+N157+N158</f>
        <v>-76571.40625</v>
      </c>
      <c r="O159" s="75" t="n">
        <f aca="false">O155+O156+O157+O158</f>
        <v>-82268.3209375</v>
      </c>
      <c r="P159" s="75" t="n">
        <f aca="false">P155+P156+P157+P158</f>
        <v>-82268.3209375</v>
      </c>
      <c r="Q159" s="75" t="n">
        <f aca="false">Q155+Q156+Q157+Q158</f>
        <v>-82268.3209375</v>
      </c>
      <c r="R159" s="75" t="n">
        <f aca="false">R155+R156+R157+R158</f>
        <v>-82268.3209375</v>
      </c>
      <c r="S159" s="75" t="n">
        <f aca="false">S155+S156+S157+S158</f>
        <v>-82268.3209375</v>
      </c>
      <c r="T159" s="75" t="n">
        <f aca="false">T155+T156+T157+T158</f>
        <v>-82268.3209375</v>
      </c>
      <c r="U159" s="75" t="n">
        <f aca="false">U155+U156+U157+U158</f>
        <v>-82268.3209375</v>
      </c>
      <c r="V159" s="75" t="n">
        <f aca="false">V155+V156+V157+V158</f>
        <v>-82268.3209375</v>
      </c>
      <c r="W159" s="75" t="n">
        <f aca="false">W155+W156+W157+W158</f>
        <v>-82268.3209375</v>
      </c>
      <c r="X159" s="75" t="n">
        <f aca="false">X155+X156+X157+X158</f>
        <v>-82268.3209375</v>
      </c>
      <c r="Y159" s="75" t="n">
        <f aca="false">Y155+Y156+Y157+Y158</f>
        <v>-82268.3209375</v>
      </c>
      <c r="Z159" s="75" t="n">
        <f aca="false">Z155+Z156+Z157+Z158</f>
        <v>-82268.3209375</v>
      </c>
      <c r="AA159" s="75" t="n">
        <f aca="false">AA155+AA156+AA157+AA158</f>
        <v>-86088.9275575938</v>
      </c>
      <c r="AB159" s="75" t="n">
        <f aca="false">AB155+AB156+AB157+AB158</f>
        <v>-86088.9275575938</v>
      </c>
      <c r="AC159" s="75" t="n">
        <f aca="false">AC155+AC156+AC157+AC158</f>
        <v>-86088.9275575938</v>
      </c>
      <c r="AD159" s="75" t="n">
        <f aca="false">AD155+AD156+AD157+AD158</f>
        <v>-86088.9275575938</v>
      </c>
      <c r="AE159" s="75" t="n">
        <f aca="false">AE155+AE156+AE157+AE158</f>
        <v>-86088.9275575938</v>
      </c>
      <c r="AF159" s="75" t="n">
        <f aca="false">AF155+AF156+AF157+AF158</f>
        <v>-86088.9275575938</v>
      </c>
      <c r="AG159" s="75" t="n">
        <f aca="false">AG155+AG156+AG157+AG158</f>
        <v>-86088.9275575938</v>
      </c>
      <c r="AH159" s="75" t="n">
        <f aca="false">AH155+AH156+AH157+AH158</f>
        <v>-86088.9275575938</v>
      </c>
      <c r="AI159" s="75" t="n">
        <f aca="false">AI155+AI156+AI157+AI158</f>
        <v>-86088.9275575938</v>
      </c>
      <c r="AJ159" s="75" t="n">
        <f aca="false">AJ155+AJ156+AJ157+AJ158</f>
        <v>-86088.9275575938</v>
      </c>
      <c r="AK159" s="75" t="n">
        <f aca="false">AK155+AK156+AK157+AK158</f>
        <v>-86088.9275575938</v>
      </c>
      <c r="AL159" s="75" t="n">
        <f aca="false">AL155+AL156+AL157+AL158</f>
        <v>-86088.9275575938</v>
      </c>
      <c r="AM159" s="75" t="n">
        <f aca="false">AM155+AM156+AM157+AM158</f>
        <v>-90106.5230971012</v>
      </c>
      <c r="AN159" s="75" t="n">
        <f aca="false">AN155+AN156+AN157+AN158</f>
        <v>-90106.5230971012</v>
      </c>
      <c r="AO159" s="75" t="n">
        <f aca="false">AO155+AO156+AO157+AO158</f>
        <v>-90106.5230971012</v>
      </c>
      <c r="AP159" s="75" t="n">
        <f aca="false">AP155+AP156+AP157+AP158</f>
        <v>-90106.5230971012</v>
      </c>
      <c r="AQ159" s="75" t="n">
        <f aca="false">AQ155+AQ156+AQ157+AQ158</f>
        <v>-90106.5230971012</v>
      </c>
      <c r="AR159" s="75" t="n">
        <f aca="false">AR155+AR156+AR157+AR158</f>
        <v>-90106.5230971012</v>
      </c>
      <c r="AS159" s="75" t="n">
        <f aca="false">AS155+AS156+AS157+AS158</f>
        <v>-90106.5230971012</v>
      </c>
      <c r="AT159" s="75" t="n">
        <f aca="false">AT155+AT156+AT157+AT158</f>
        <v>-90106.5230971012</v>
      </c>
      <c r="AU159" s="75" t="n">
        <f aca="false">AU155+AU156+AU157+AU158</f>
        <v>-90106.5230971012</v>
      </c>
      <c r="AV159" s="75" t="n">
        <f aca="false">AV155+AV156+AV157+AV158</f>
        <v>-90106.5230971012</v>
      </c>
      <c r="AW159" s="75" t="n">
        <f aca="false">AW155+AW156+AW157+AW158</f>
        <v>-90106.5230971012</v>
      </c>
      <c r="AX159" s="75" t="n">
        <f aca="false">AX155+AX156+AX157+AX158</f>
        <v>-90106.5230971012</v>
      </c>
      <c r="AY159" s="75" t="n">
        <f aca="false">AY155+AY156+AY157+AY158</f>
        <v>-94332.0336005022</v>
      </c>
      <c r="AZ159" s="75" t="n">
        <f aca="false">AZ155+AZ156+AZ157+AZ158</f>
        <v>-94332.0336005022</v>
      </c>
      <c r="BA159" s="75" t="n">
        <f aca="false">BA155+BA156+BA157+BA158</f>
        <v>-94332.0336005022</v>
      </c>
      <c r="BB159" s="75" t="n">
        <f aca="false">BB155+BB156+BB157+BB158</f>
        <v>-94332.0336005022</v>
      </c>
      <c r="BC159" s="75" t="n">
        <f aca="false">BC155+BC156+BC157+BC158</f>
        <v>-94332.0336005022</v>
      </c>
      <c r="BD159" s="75" t="n">
        <f aca="false">BD155+BD156+BD157+BD158</f>
        <v>-94332.0336005022</v>
      </c>
      <c r="BE159" s="75" t="n">
        <f aca="false">BE155+BE156+BE157+BE158</f>
        <v>-94332.0336005022</v>
      </c>
      <c r="BF159" s="75" t="n">
        <f aca="false">BF155+BF156+BF157+BF158</f>
        <v>-94332.0336005022</v>
      </c>
      <c r="BG159" s="75" t="n">
        <f aca="false">BG155+BG156+BG157+BG158</f>
        <v>-94332.0336005022</v>
      </c>
      <c r="BH159" s="75" t="n">
        <f aca="false">BH155+BH156+BH157+BH158</f>
        <v>-94332.0336005022</v>
      </c>
      <c r="BI159" s="75" t="n">
        <f aca="false">BI155+BI156+BI157+BI158</f>
        <v>-94332.0336005022</v>
      </c>
      <c r="BJ159" s="75" t="n">
        <f aca="false">BJ155+BJ156+BJ157+BJ158</f>
        <v>-94332.0336005022</v>
      </c>
    </row>
    <row r="160" customFormat="false" ht="15" hidden="false" customHeight="false" outlineLevel="0" collapsed="false">
      <c r="A160" s="115" t="s">
        <v>45</v>
      </c>
      <c r="C160" s="70" t="n">
        <f aca="false">C152+C159</f>
        <v>8558.74999999999</v>
      </c>
      <c r="D160" s="70" t="n">
        <f aca="false">D152+D159</f>
        <v>14300.46875</v>
      </c>
      <c r="E160" s="70" t="n">
        <f aca="false">E152+E159</f>
        <v>20042.1875</v>
      </c>
      <c r="F160" s="70" t="n">
        <f aca="false">F152+F159</f>
        <v>25783.90625</v>
      </c>
      <c r="G160" s="70" t="n">
        <f aca="false">G152+G159</f>
        <v>31525.625</v>
      </c>
      <c r="H160" s="70" t="n">
        <f aca="false">H152+H159</f>
        <v>37267.34375</v>
      </c>
      <c r="I160" s="70" t="n">
        <f aca="false">I152+I159</f>
        <v>43009.0625</v>
      </c>
      <c r="J160" s="70" t="n">
        <f aca="false">J152+J159</f>
        <v>48750.78125</v>
      </c>
      <c r="K160" s="70" t="n">
        <f aca="false">K152+K159</f>
        <v>54492.5</v>
      </c>
      <c r="L160" s="70" t="n">
        <f aca="false">L152+L159</f>
        <v>60234.21875</v>
      </c>
      <c r="M160" s="70" t="n">
        <f aca="false">M152+M159</f>
        <v>65975.9375</v>
      </c>
      <c r="N160" s="70" t="n">
        <f aca="false">N152+N159</f>
        <v>71717.65625</v>
      </c>
      <c r="O160" s="70" t="n">
        <f aca="false">O152+O159</f>
        <v>83331.5384375</v>
      </c>
      <c r="P160" s="70" t="n">
        <f aca="false">P152+P159</f>
        <v>83331.5384375</v>
      </c>
      <c r="Q160" s="70" t="n">
        <f aca="false">Q152+Q159</f>
        <v>83331.5384375</v>
      </c>
      <c r="R160" s="70" t="n">
        <f aca="false">R152+R159</f>
        <v>83331.5384375</v>
      </c>
      <c r="S160" s="70" t="n">
        <f aca="false">S152+S159</f>
        <v>83331.5384375</v>
      </c>
      <c r="T160" s="70" t="n">
        <f aca="false">T152+T159</f>
        <v>83331.5384375</v>
      </c>
      <c r="U160" s="70" t="n">
        <f aca="false">U152+U159</f>
        <v>83331.5384375</v>
      </c>
      <c r="V160" s="70" t="n">
        <f aca="false">V152+V159</f>
        <v>83331.5384375</v>
      </c>
      <c r="W160" s="70" t="n">
        <f aca="false">W152+W159</f>
        <v>83331.5384375</v>
      </c>
      <c r="X160" s="70" t="n">
        <f aca="false">X152+X159</f>
        <v>83331.5384375</v>
      </c>
      <c r="Y160" s="70" t="n">
        <f aca="false">Y152+Y159</f>
        <v>83331.5384375</v>
      </c>
      <c r="Z160" s="70" t="n">
        <f aca="false">Z152+Z159</f>
        <v>83331.5384375</v>
      </c>
      <c r="AA160" s="70" t="n">
        <f aca="false">AA152+AA159</f>
        <v>89595.9632533437</v>
      </c>
      <c r="AB160" s="70" t="n">
        <f aca="false">AB152+AB159</f>
        <v>89595.9632533437</v>
      </c>
      <c r="AC160" s="70" t="n">
        <f aca="false">AC152+AC159</f>
        <v>89595.9632533437</v>
      </c>
      <c r="AD160" s="70" t="n">
        <f aca="false">AD152+AD159</f>
        <v>89595.9632533437</v>
      </c>
      <c r="AE160" s="70" t="n">
        <f aca="false">AE152+AE159</f>
        <v>89595.9632533437</v>
      </c>
      <c r="AF160" s="70" t="n">
        <f aca="false">AF152+AF159</f>
        <v>89595.9632533437</v>
      </c>
      <c r="AG160" s="70" t="n">
        <f aca="false">AG152+AG159</f>
        <v>89595.9632533437</v>
      </c>
      <c r="AH160" s="70" t="n">
        <f aca="false">AH152+AH159</f>
        <v>89595.9632533437</v>
      </c>
      <c r="AI160" s="70" t="n">
        <f aca="false">AI152+AI159</f>
        <v>89595.9632533437</v>
      </c>
      <c r="AJ160" s="70" t="n">
        <f aca="false">AJ152+AJ159</f>
        <v>89595.9632533437</v>
      </c>
      <c r="AK160" s="70" t="n">
        <f aca="false">AK152+AK159</f>
        <v>89595.9632533437</v>
      </c>
      <c r="AL160" s="70" t="n">
        <f aca="false">AL152+AL159</f>
        <v>89595.9632533437</v>
      </c>
      <c r="AM160" s="70" t="n">
        <f aca="false">AM152+AM159</f>
        <v>96277.5775642224</v>
      </c>
      <c r="AN160" s="70" t="n">
        <f aca="false">AN152+AN159</f>
        <v>96277.5775642224</v>
      </c>
      <c r="AO160" s="70" t="n">
        <f aca="false">AO152+AO159</f>
        <v>96277.5775642224</v>
      </c>
      <c r="AP160" s="70" t="n">
        <f aca="false">AP152+AP159</f>
        <v>96277.5775642224</v>
      </c>
      <c r="AQ160" s="70" t="n">
        <f aca="false">AQ152+AQ159</f>
        <v>96277.5775642224</v>
      </c>
      <c r="AR160" s="70" t="n">
        <f aca="false">AR152+AR159</f>
        <v>96277.5775642224</v>
      </c>
      <c r="AS160" s="70" t="n">
        <f aca="false">AS152+AS159</f>
        <v>96277.5775642224</v>
      </c>
      <c r="AT160" s="70" t="n">
        <f aca="false">AT152+AT159</f>
        <v>96277.5775642224</v>
      </c>
      <c r="AU160" s="70" t="n">
        <f aca="false">AU152+AU159</f>
        <v>96277.5775642224</v>
      </c>
      <c r="AV160" s="70" t="n">
        <f aca="false">AV152+AV159</f>
        <v>96277.5775642224</v>
      </c>
      <c r="AW160" s="70" t="n">
        <f aca="false">AW152+AW159</f>
        <v>96277.5775642224</v>
      </c>
      <c r="AX160" s="70" t="n">
        <f aca="false">AX152+AX159</f>
        <v>96277.5775642224</v>
      </c>
      <c r="AY160" s="70" t="n">
        <f aca="false">AY152+AY159</f>
        <v>103402.858791096</v>
      </c>
      <c r="AZ160" s="70" t="n">
        <f aca="false">AZ152+AZ159</f>
        <v>103402.858791096</v>
      </c>
      <c r="BA160" s="70" t="n">
        <f aca="false">BA152+BA159</f>
        <v>103402.858791096</v>
      </c>
      <c r="BB160" s="70" t="n">
        <f aca="false">BB152+BB159</f>
        <v>103402.858791096</v>
      </c>
      <c r="BC160" s="70" t="n">
        <f aca="false">BC152+BC159</f>
        <v>103402.858791096</v>
      </c>
      <c r="BD160" s="70" t="n">
        <f aca="false">BD152+BD159</f>
        <v>103402.858791096</v>
      </c>
      <c r="BE160" s="70" t="n">
        <f aca="false">BE152+BE159</f>
        <v>103402.858791096</v>
      </c>
      <c r="BF160" s="70" t="n">
        <f aca="false">BF152+BF159</f>
        <v>103402.858791096</v>
      </c>
      <c r="BG160" s="70" t="n">
        <f aca="false">BG152+BG159</f>
        <v>103402.858791096</v>
      </c>
      <c r="BH160" s="70" t="n">
        <f aca="false">BH152+BH159</f>
        <v>103402.858791096</v>
      </c>
      <c r="BI160" s="70" t="n">
        <f aca="false">BI152+BI159</f>
        <v>103402.858791096</v>
      </c>
      <c r="BJ160" s="70" t="n">
        <f aca="false">BJ152+BJ159</f>
        <v>103402.858791096</v>
      </c>
    </row>
    <row r="162" customFormat="false" ht="15.75" hidden="false" customHeight="true" outlineLevel="0" collapsed="false">
      <c r="A162" s="7" t="s">
        <v>47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customFormat="false" ht="15" hidden="false" customHeight="false" outlineLevel="0" collapsed="false">
      <c r="A163" s="6" t="s">
        <v>333</v>
      </c>
      <c r="C163" s="69" t="n">
        <f aca="false">C245-C242</f>
        <v>-17729.1666666667</v>
      </c>
      <c r="D163" s="69" t="n">
        <f aca="false">D245-D242</f>
        <v>-17729.1666666667</v>
      </c>
      <c r="E163" s="69" t="n">
        <f aca="false">E245-E242</f>
        <v>-17729.1666666667</v>
      </c>
      <c r="F163" s="69" t="n">
        <f aca="false">F245-F242</f>
        <v>-17729.1666666667</v>
      </c>
      <c r="G163" s="69" t="n">
        <f aca="false">G245-G242</f>
        <v>-17729.1666666667</v>
      </c>
      <c r="H163" s="69" t="n">
        <f aca="false">H245-H242</f>
        <v>-17729.1666666667</v>
      </c>
      <c r="I163" s="69" t="n">
        <f aca="false">I245-I242</f>
        <v>-17729.1666666667</v>
      </c>
      <c r="J163" s="69" t="n">
        <f aca="false">J245-J242</f>
        <v>-17729.1666666667</v>
      </c>
      <c r="K163" s="69" t="n">
        <f aca="false">K245-K242</f>
        <v>-17729.1666666667</v>
      </c>
      <c r="L163" s="69" t="n">
        <f aca="false">L245-L242</f>
        <v>-17729.1666666667</v>
      </c>
      <c r="M163" s="69" t="n">
        <f aca="false">M245-M242</f>
        <v>-17729.1666666667</v>
      </c>
      <c r="N163" s="69" t="n">
        <f aca="false">N245-N242</f>
        <v>-17729.1666666667</v>
      </c>
      <c r="O163" s="69" t="n">
        <f aca="false">O245-O242</f>
        <v>-18261.0416666667</v>
      </c>
      <c r="P163" s="69" t="n">
        <f aca="false">P245-P242</f>
        <v>-18261.0416666667</v>
      </c>
      <c r="Q163" s="69" t="n">
        <f aca="false">Q245-Q242</f>
        <v>-18261.0416666667</v>
      </c>
      <c r="R163" s="69" t="n">
        <f aca="false">R245-R242</f>
        <v>-18261.0416666667</v>
      </c>
      <c r="S163" s="69" t="n">
        <f aca="false">S245-S242</f>
        <v>-18261.0416666667</v>
      </c>
      <c r="T163" s="69" t="n">
        <f aca="false">T245-T242</f>
        <v>-18261.0416666667</v>
      </c>
      <c r="U163" s="69" t="n">
        <f aca="false">U245-U242</f>
        <v>-18261.0416666667</v>
      </c>
      <c r="V163" s="69" t="n">
        <f aca="false">V245-V242</f>
        <v>-18261.0416666667</v>
      </c>
      <c r="W163" s="69" t="n">
        <f aca="false">W245-W242</f>
        <v>-18261.0416666667</v>
      </c>
      <c r="X163" s="69" t="n">
        <f aca="false">X245-X242</f>
        <v>-18261.0416666667</v>
      </c>
      <c r="Y163" s="69" t="n">
        <f aca="false">Y245-Y242</f>
        <v>-18261.0416666667</v>
      </c>
      <c r="Z163" s="69" t="n">
        <f aca="false">Z245-Z242</f>
        <v>-18261.0416666667</v>
      </c>
      <c r="AA163" s="69" t="n">
        <f aca="false">AA245-AA242</f>
        <v>-18808.8729166667</v>
      </c>
      <c r="AB163" s="69" t="n">
        <f aca="false">AB245-AB242</f>
        <v>-18808.8729166667</v>
      </c>
      <c r="AC163" s="69" t="n">
        <f aca="false">AC245-AC242</f>
        <v>-18808.8729166667</v>
      </c>
      <c r="AD163" s="69" t="n">
        <f aca="false">AD245-AD242</f>
        <v>-18808.8729166667</v>
      </c>
      <c r="AE163" s="69" t="n">
        <f aca="false">AE245-AE242</f>
        <v>-18808.8729166667</v>
      </c>
      <c r="AF163" s="69" t="n">
        <f aca="false">AF245-AF242</f>
        <v>-18808.8729166667</v>
      </c>
      <c r="AG163" s="69" t="n">
        <f aca="false">AG245-AG242</f>
        <v>-18808.8729166667</v>
      </c>
      <c r="AH163" s="69" t="n">
        <f aca="false">AH245-AH242</f>
        <v>-18808.8729166667</v>
      </c>
      <c r="AI163" s="69" t="n">
        <f aca="false">AI245-AI242</f>
        <v>-18808.8729166667</v>
      </c>
      <c r="AJ163" s="69" t="n">
        <f aca="false">AJ245-AJ242</f>
        <v>-18808.8729166667</v>
      </c>
      <c r="AK163" s="69" t="n">
        <f aca="false">AK245-AK242</f>
        <v>-18808.8729166667</v>
      </c>
      <c r="AL163" s="69" t="n">
        <f aca="false">AL245-AL242</f>
        <v>-18808.8729166667</v>
      </c>
      <c r="AM163" s="69" t="n">
        <f aca="false">AM245-AM242</f>
        <v>-19373.1391041667</v>
      </c>
      <c r="AN163" s="69" t="n">
        <f aca="false">AN245-AN242</f>
        <v>-19373.1391041667</v>
      </c>
      <c r="AO163" s="69" t="n">
        <f aca="false">AO245-AO242</f>
        <v>-19373.1391041667</v>
      </c>
      <c r="AP163" s="69" t="n">
        <f aca="false">AP245-AP242</f>
        <v>-19373.1391041667</v>
      </c>
      <c r="AQ163" s="69" t="n">
        <f aca="false">AQ245-AQ242</f>
        <v>-19373.1391041667</v>
      </c>
      <c r="AR163" s="69" t="n">
        <f aca="false">AR245-AR242</f>
        <v>-19373.1391041667</v>
      </c>
      <c r="AS163" s="69" t="n">
        <f aca="false">AS245-AS242</f>
        <v>-19373.1391041667</v>
      </c>
      <c r="AT163" s="69" t="n">
        <f aca="false">AT245-AT242</f>
        <v>-19373.1391041667</v>
      </c>
      <c r="AU163" s="69" t="n">
        <f aca="false">AU245-AU242</f>
        <v>-19373.1391041667</v>
      </c>
      <c r="AV163" s="69" t="n">
        <f aca="false">AV245-AV242</f>
        <v>-19373.1391041667</v>
      </c>
      <c r="AW163" s="69" t="n">
        <f aca="false">AW245-AW242</f>
        <v>-19373.1391041667</v>
      </c>
      <c r="AX163" s="69" t="n">
        <f aca="false">AX245-AX242</f>
        <v>-19373.1391041667</v>
      </c>
      <c r="AY163" s="69" t="n">
        <f aca="false">AY245-AY242</f>
        <v>-19954.3332772917</v>
      </c>
      <c r="AZ163" s="69" t="n">
        <f aca="false">AZ245-AZ242</f>
        <v>-19954.3332772917</v>
      </c>
      <c r="BA163" s="69" t="n">
        <f aca="false">BA245-BA242</f>
        <v>-19954.3332772917</v>
      </c>
      <c r="BB163" s="69" t="n">
        <f aca="false">BB245-BB242</f>
        <v>-19954.3332772917</v>
      </c>
      <c r="BC163" s="69" t="n">
        <f aca="false">BC245-BC242</f>
        <v>-19954.3332772917</v>
      </c>
      <c r="BD163" s="69" t="n">
        <f aca="false">BD245-BD242</f>
        <v>-19954.3332772917</v>
      </c>
      <c r="BE163" s="69" t="n">
        <f aca="false">BE245-BE242</f>
        <v>-19954.3332772917</v>
      </c>
      <c r="BF163" s="69" t="n">
        <f aca="false">BF245-BF242</f>
        <v>-19954.3332772917</v>
      </c>
      <c r="BG163" s="69" t="n">
        <f aca="false">BG245-BG242</f>
        <v>-19954.3332772917</v>
      </c>
      <c r="BH163" s="69" t="n">
        <f aca="false">BH245-BH242</f>
        <v>-19954.3332772917</v>
      </c>
      <c r="BI163" s="69" t="n">
        <f aca="false">BI245-BI242</f>
        <v>-19954.3332772917</v>
      </c>
      <c r="BJ163" s="69" t="n">
        <f aca="false">BJ245-BJ242</f>
        <v>-19954.3332772917</v>
      </c>
    </row>
    <row r="164" customFormat="false" ht="15" hidden="false" customHeight="false" outlineLevel="0" collapsed="false">
      <c r="A164" s="6" t="s">
        <v>334</v>
      </c>
      <c r="C164" s="69" t="n">
        <f aca="false">-Inputs!$C$36*(1+Inputs!$C$37)^(C$129-1)*1</f>
        <v>-18000</v>
      </c>
      <c r="D164" s="69" t="n">
        <f aca="false">-Inputs!$C$36*(1+Inputs!$C$37)^(D$129-1)*1</f>
        <v>-18000</v>
      </c>
      <c r="E164" s="69" t="n">
        <f aca="false">-Inputs!$C$36*(1+Inputs!$C$37)^(E$129-1)*1</f>
        <v>-18000</v>
      </c>
      <c r="F164" s="69" t="n">
        <f aca="false">-Inputs!$C$36*(1+Inputs!$C$37)^(F$129-1)*1</f>
        <v>-18000</v>
      </c>
      <c r="G164" s="69" t="n">
        <f aca="false">-Inputs!$C$36*(1+Inputs!$C$37)^(G$129-1)*1</f>
        <v>-18000</v>
      </c>
      <c r="H164" s="69" t="n">
        <f aca="false">-Inputs!$C$36*(1+Inputs!$C$37)^(H$129-1)*1</f>
        <v>-18000</v>
      </c>
      <c r="I164" s="69" t="n">
        <f aca="false">-Inputs!$C$36*(1+Inputs!$C$37)^(I$129-1)*1</f>
        <v>-18000</v>
      </c>
      <c r="J164" s="69" t="n">
        <f aca="false">-Inputs!$C$36*(1+Inputs!$C$37)^(J$129-1)*1</f>
        <v>-18000</v>
      </c>
      <c r="K164" s="69" t="n">
        <f aca="false">-Inputs!$C$36*(1+Inputs!$C$37)^(K$129-1)*1</f>
        <v>-18000</v>
      </c>
      <c r="L164" s="69" t="n">
        <f aca="false">-Inputs!$C$36*(1+Inputs!$C$37)^(L$129-1)*1</f>
        <v>-18000</v>
      </c>
      <c r="M164" s="69" t="n">
        <f aca="false">-Inputs!$C$36*(1+Inputs!$C$37)^(M$129-1)*1</f>
        <v>-18000</v>
      </c>
      <c r="N164" s="69" t="n">
        <f aca="false">-Inputs!$C$36*(1+Inputs!$C$37)^(N$129-1)*1</f>
        <v>-18000</v>
      </c>
      <c r="O164" s="69" t="n">
        <f aca="false">-Inputs!$C$36*(1+Inputs!$C$37)^(O$129-1)*1</f>
        <v>-18540</v>
      </c>
      <c r="P164" s="69" t="n">
        <f aca="false">-Inputs!$C$36*(1+Inputs!$C$37)^(P$129-1)*1</f>
        <v>-18540</v>
      </c>
      <c r="Q164" s="69" t="n">
        <f aca="false">-Inputs!$C$36*(1+Inputs!$C$37)^(Q$129-1)*1</f>
        <v>-18540</v>
      </c>
      <c r="R164" s="69" t="n">
        <f aca="false">-Inputs!$C$36*(1+Inputs!$C$37)^(R$129-1)*1</f>
        <v>-18540</v>
      </c>
      <c r="S164" s="69" t="n">
        <f aca="false">-Inputs!$C$36*(1+Inputs!$C$37)^(S$129-1)*1</f>
        <v>-18540</v>
      </c>
      <c r="T164" s="69" t="n">
        <f aca="false">-Inputs!$C$36*(1+Inputs!$C$37)^(T$129-1)*1</f>
        <v>-18540</v>
      </c>
      <c r="U164" s="69" t="n">
        <f aca="false">-Inputs!$C$36*(1+Inputs!$C$37)^(U$129-1)*1</f>
        <v>-18540</v>
      </c>
      <c r="V164" s="69" t="n">
        <f aca="false">-Inputs!$C$36*(1+Inputs!$C$37)^(V$129-1)*1</f>
        <v>-18540</v>
      </c>
      <c r="W164" s="69" t="n">
        <f aca="false">-Inputs!$C$36*(1+Inputs!$C$37)^(W$129-1)*1</f>
        <v>-18540</v>
      </c>
      <c r="X164" s="69" t="n">
        <f aca="false">-Inputs!$C$36*(1+Inputs!$C$37)^(X$129-1)*1</f>
        <v>-18540</v>
      </c>
      <c r="Y164" s="69" t="n">
        <f aca="false">-Inputs!$C$36*(1+Inputs!$C$37)^(Y$129-1)*1</f>
        <v>-18540</v>
      </c>
      <c r="Z164" s="69" t="n">
        <f aca="false">-Inputs!$C$36*(1+Inputs!$C$37)^(Z$129-1)*1</f>
        <v>-18540</v>
      </c>
      <c r="AA164" s="69" t="n">
        <f aca="false">-Inputs!$C$36*(1+Inputs!$C$37)^(AA$129-1)*1</f>
        <v>-19096.2</v>
      </c>
      <c r="AB164" s="69" t="n">
        <f aca="false">-Inputs!$C$36*(1+Inputs!$C$37)^(AB$129-1)*1</f>
        <v>-19096.2</v>
      </c>
      <c r="AC164" s="69" t="n">
        <f aca="false">-Inputs!$C$36*(1+Inputs!$C$37)^(AC$129-1)*1</f>
        <v>-19096.2</v>
      </c>
      <c r="AD164" s="69" t="n">
        <f aca="false">-Inputs!$C$36*(1+Inputs!$C$37)^(AD$129-1)*1</f>
        <v>-19096.2</v>
      </c>
      <c r="AE164" s="69" t="n">
        <f aca="false">-Inputs!$C$36*(1+Inputs!$C$37)^(AE$129-1)*1</f>
        <v>-19096.2</v>
      </c>
      <c r="AF164" s="69" t="n">
        <f aca="false">-Inputs!$C$36*(1+Inputs!$C$37)^(AF$129-1)*1</f>
        <v>-19096.2</v>
      </c>
      <c r="AG164" s="69" t="n">
        <f aca="false">-Inputs!$C$36*(1+Inputs!$C$37)^(AG$129-1)*1</f>
        <v>-19096.2</v>
      </c>
      <c r="AH164" s="69" t="n">
        <f aca="false">-Inputs!$C$36*(1+Inputs!$C$37)^(AH$129-1)*1</f>
        <v>-19096.2</v>
      </c>
      <c r="AI164" s="69" t="n">
        <f aca="false">-Inputs!$C$36*(1+Inputs!$C$37)^(AI$129-1)*1</f>
        <v>-19096.2</v>
      </c>
      <c r="AJ164" s="69" t="n">
        <f aca="false">-Inputs!$C$36*(1+Inputs!$C$37)^(AJ$129-1)*1</f>
        <v>-19096.2</v>
      </c>
      <c r="AK164" s="69" t="n">
        <f aca="false">-Inputs!$C$36*(1+Inputs!$C$37)^(AK$129-1)*1</f>
        <v>-19096.2</v>
      </c>
      <c r="AL164" s="69" t="n">
        <f aca="false">-Inputs!$C$36*(1+Inputs!$C$37)^(AL$129-1)*1</f>
        <v>-19096.2</v>
      </c>
      <c r="AM164" s="69" t="n">
        <f aca="false">-Inputs!$C$36*(1+Inputs!$C$37)^(AM$129-1)*1</f>
        <v>-19669.086</v>
      </c>
      <c r="AN164" s="69" t="n">
        <f aca="false">-Inputs!$C$36*(1+Inputs!$C$37)^(AN$129-1)*1</f>
        <v>-19669.086</v>
      </c>
      <c r="AO164" s="69" t="n">
        <f aca="false">-Inputs!$C$36*(1+Inputs!$C$37)^(AO$129-1)*1</f>
        <v>-19669.086</v>
      </c>
      <c r="AP164" s="69" t="n">
        <f aca="false">-Inputs!$C$36*(1+Inputs!$C$37)^(AP$129-1)*1</f>
        <v>-19669.086</v>
      </c>
      <c r="AQ164" s="69" t="n">
        <f aca="false">-Inputs!$C$36*(1+Inputs!$C$37)^(AQ$129-1)*1</f>
        <v>-19669.086</v>
      </c>
      <c r="AR164" s="69" t="n">
        <f aca="false">-Inputs!$C$36*(1+Inputs!$C$37)^(AR$129-1)*1</f>
        <v>-19669.086</v>
      </c>
      <c r="AS164" s="69" t="n">
        <f aca="false">-Inputs!$C$36*(1+Inputs!$C$37)^(AS$129-1)*1</f>
        <v>-19669.086</v>
      </c>
      <c r="AT164" s="69" t="n">
        <f aca="false">-Inputs!$C$36*(1+Inputs!$C$37)^(AT$129-1)*1</f>
        <v>-19669.086</v>
      </c>
      <c r="AU164" s="69" t="n">
        <f aca="false">-Inputs!$C$36*(1+Inputs!$C$37)^(AU$129-1)*1</f>
        <v>-19669.086</v>
      </c>
      <c r="AV164" s="69" t="n">
        <f aca="false">-Inputs!$C$36*(1+Inputs!$C$37)^(AV$129-1)*1</f>
        <v>-19669.086</v>
      </c>
      <c r="AW164" s="69" t="n">
        <f aca="false">-Inputs!$C$36*(1+Inputs!$C$37)^(AW$129-1)*1</f>
        <v>-19669.086</v>
      </c>
      <c r="AX164" s="69" t="n">
        <f aca="false">-Inputs!$C$36*(1+Inputs!$C$37)^(AX$129-1)*1</f>
        <v>-19669.086</v>
      </c>
      <c r="AY164" s="69" t="n">
        <f aca="false">-Inputs!$C$36*(1+Inputs!$C$37)^(AY$129-1)*1</f>
        <v>-20259.15858</v>
      </c>
      <c r="AZ164" s="69" t="n">
        <f aca="false">-Inputs!$C$36*(1+Inputs!$C$37)^(AZ$129-1)*1</f>
        <v>-20259.15858</v>
      </c>
      <c r="BA164" s="69" t="n">
        <f aca="false">-Inputs!$C$36*(1+Inputs!$C$37)^(BA$129-1)*1</f>
        <v>-20259.15858</v>
      </c>
      <c r="BB164" s="69" t="n">
        <f aca="false">-Inputs!$C$36*(1+Inputs!$C$37)^(BB$129-1)*1</f>
        <v>-20259.15858</v>
      </c>
      <c r="BC164" s="69" t="n">
        <f aca="false">-Inputs!$C$36*(1+Inputs!$C$37)^(BC$129-1)*1</f>
        <v>-20259.15858</v>
      </c>
      <c r="BD164" s="69" t="n">
        <f aca="false">-Inputs!$C$36*(1+Inputs!$C$37)^(BD$129-1)*1</f>
        <v>-20259.15858</v>
      </c>
      <c r="BE164" s="69" t="n">
        <f aca="false">-Inputs!$C$36*(1+Inputs!$C$37)^(BE$129-1)*1</f>
        <v>-20259.15858</v>
      </c>
      <c r="BF164" s="69" t="n">
        <f aca="false">-Inputs!$C$36*(1+Inputs!$C$37)^(BF$129-1)*1</f>
        <v>-20259.15858</v>
      </c>
      <c r="BG164" s="69" t="n">
        <f aca="false">-Inputs!$C$36*(1+Inputs!$C$37)^(BG$129-1)*1</f>
        <v>-20259.15858</v>
      </c>
      <c r="BH164" s="69" t="n">
        <f aca="false">-Inputs!$C$36*(1+Inputs!$C$37)^(BH$129-1)*1</f>
        <v>-20259.15858</v>
      </c>
      <c r="BI164" s="69" t="n">
        <f aca="false">-Inputs!$C$36*(1+Inputs!$C$37)^(BI$129-1)*1</f>
        <v>-20259.15858</v>
      </c>
      <c r="BJ164" s="69" t="n">
        <f aca="false">-Inputs!$C$36*(1+Inputs!$C$37)^(BJ$129-1)*1</f>
        <v>-20259.15858</v>
      </c>
    </row>
    <row r="165" customFormat="false" ht="15" hidden="false" customHeight="false" outlineLevel="0" collapsed="false">
      <c r="A165" s="6" t="s">
        <v>335</v>
      </c>
      <c r="C165" s="69" t="n">
        <f aca="false">-Inputs!$C$38*(1+Inputs!$C$33)^(C$129-1)*1</f>
        <v>-4500</v>
      </c>
      <c r="D165" s="69" t="n">
        <f aca="false">-Inputs!$C$38*(1+Inputs!$C$33)^(D$129-1)*1</f>
        <v>-4500</v>
      </c>
      <c r="E165" s="69" t="n">
        <f aca="false">-Inputs!$C$38*(1+Inputs!$C$33)^(E$129-1)*1</f>
        <v>-4500</v>
      </c>
      <c r="F165" s="69" t="n">
        <f aca="false">-Inputs!$C$38*(1+Inputs!$C$33)^(F$129-1)*1</f>
        <v>-4500</v>
      </c>
      <c r="G165" s="69" t="n">
        <f aca="false">-Inputs!$C$38*(1+Inputs!$C$33)^(G$129-1)*1</f>
        <v>-4500</v>
      </c>
      <c r="H165" s="69" t="n">
        <f aca="false">-Inputs!$C$38*(1+Inputs!$C$33)^(H$129-1)*1</f>
        <v>-4500</v>
      </c>
      <c r="I165" s="69" t="n">
        <f aca="false">-Inputs!$C$38*(1+Inputs!$C$33)^(I$129-1)*1</f>
        <v>-4500</v>
      </c>
      <c r="J165" s="69" t="n">
        <f aca="false">-Inputs!$C$38*(1+Inputs!$C$33)^(J$129-1)*1</f>
        <v>-4500</v>
      </c>
      <c r="K165" s="69" t="n">
        <f aca="false">-Inputs!$C$38*(1+Inputs!$C$33)^(K$129-1)*1</f>
        <v>-4500</v>
      </c>
      <c r="L165" s="69" t="n">
        <f aca="false">-Inputs!$C$38*(1+Inputs!$C$33)^(L$129-1)*1</f>
        <v>-4500</v>
      </c>
      <c r="M165" s="69" t="n">
        <f aca="false">-Inputs!$C$38*(1+Inputs!$C$33)^(M$129-1)*1</f>
        <v>-4500</v>
      </c>
      <c r="N165" s="69" t="n">
        <f aca="false">-Inputs!$C$38*(1+Inputs!$C$33)^(N$129-1)*1</f>
        <v>-4500</v>
      </c>
      <c r="O165" s="69" t="n">
        <f aca="false">-Inputs!$C$38*(1+Inputs!$C$33)^(O$129-1)*1</f>
        <v>-4635</v>
      </c>
      <c r="P165" s="69" t="n">
        <f aca="false">-Inputs!$C$38*(1+Inputs!$C$33)^(P$129-1)*1</f>
        <v>-4635</v>
      </c>
      <c r="Q165" s="69" t="n">
        <f aca="false">-Inputs!$C$38*(1+Inputs!$C$33)^(Q$129-1)*1</f>
        <v>-4635</v>
      </c>
      <c r="R165" s="69" t="n">
        <f aca="false">-Inputs!$C$38*(1+Inputs!$C$33)^(R$129-1)*1</f>
        <v>-4635</v>
      </c>
      <c r="S165" s="69" t="n">
        <f aca="false">-Inputs!$C$38*(1+Inputs!$C$33)^(S$129-1)*1</f>
        <v>-4635</v>
      </c>
      <c r="T165" s="69" t="n">
        <f aca="false">-Inputs!$C$38*(1+Inputs!$C$33)^(T$129-1)*1</f>
        <v>-4635</v>
      </c>
      <c r="U165" s="69" t="n">
        <f aca="false">-Inputs!$C$38*(1+Inputs!$C$33)^(U$129-1)*1</f>
        <v>-4635</v>
      </c>
      <c r="V165" s="69" t="n">
        <f aca="false">-Inputs!$C$38*(1+Inputs!$C$33)^(V$129-1)*1</f>
        <v>-4635</v>
      </c>
      <c r="W165" s="69" t="n">
        <f aca="false">-Inputs!$C$38*(1+Inputs!$C$33)^(W$129-1)*1</f>
        <v>-4635</v>
      </c>
      <c r="X165" s="69" t="n">
        <f aca="false">-Inputs!$C$38*(1+Inputs!$C$33)^(X$129-1)*1</f>
        <v>-4635</v>
      </c>
      <c r="Y165" s="69" t="n">
        <f aca="false">-Inputs!$C$38*(1+Inputs!$C$33)^(Y$129-1)*1</f>
        <v>-4635</v>
      </c>
      <c r="Z165" s="69" t="n">
        <f aca="false">-Inputs!$C$38*(1+Inputs!$C$33)^(Z$129-1)*1</f>
        <v>-4635</v>
      </c>
      <c r="AA165" s="69" t="n">
        <f aca="false">-Inputs!$C$38*(1+Inputs!$C$33)^(AA$129-1)*1</f>
        <v>-4774.05</v>
      </c>
      <c r="AB165" s="69" t="n">
        <f aca="false">-Inputs!$C$38*(1+Inputs!$C$33)^(AB$129-1)*1</f>
        <v>-4774.05</v>
      </c>
      <c r="AC165" s="69" t="n">
        <f aca="false">-Inputs!$C$38*(1+Inputs!$C$33)^(AC$129-1)*1</f>
        <v>-4774.05</v>
      </c>
      <c r="AD165" s="69" t="n">
        <f aca="false">-Inputs!$C$38*(1+Inputs!$C$33)^(AD$129-1)*1</f>
        <v>-4774.05</v>
      </c>
      <c r="AE165" s="69" t="n">
        <f aca="false">-Inputs!$C$38*(1+Inputs!$C$33)^(AE$129-1)*1</f>
        <v>-4774.05</v>
      </c>
      <c r="AF165" s="69" t="n">
        <f aca="false">-Inputs!$C$38*(1+Inputs!$C$33)^(AF$129-1)*1</f>
        <v>-4774.05</v>
      </c>
      <c r="AG165" s="69" t="n">
        <f aca="false">-Inputs!$C$38*(1+Inputs!$C$33)^(AG$129-1)*1</f>
        <v>-4774.05</v>
      </c>
      <c r="AH165" s="69" t="n">
        <f aca="false">-Inputs!$C$38*(1+Inputs!$C$33)^(AH$129-1)*1</f>
        <v>-4774.05</v>
      </c>
      <c r="AI165" s="69" t="n">
        <f aca="false">-Inputs!$C$38*(1+Inputs!$C$33)^(AI$129-1)*1</f>
        <v>-4774.05</v>
      </c>
      <c r="AJ165" s="69" t="n">
        <f aca="false">-Inputs!$C$38*(1+Inputs!$C$33)^(AJ$129-1)*1</f>
        <v>-4774.05</v>
      </c>
      <c r="AK165" s="69" t="n">
        <f aca="false">-Inputs!$C$38*(1+Inputs!$C$33)^(AK$129-1)*1</f>
        <v>-4774.05</v>
      </c>
      <c r="AL165" s="69" t="n">
        <f aca="false">-Inputs!$C$38*(1+Inputs!$C$33)^(AL$129-1)*1</f>
        <v>-4774.05</v>
      </c>
      <c r="AM165" s="69" t="n">
        <f aca="false">-Inputs!$C$38*(1+Inputs!$C$33)^(AM$129-1)*1</f>
        <v>-4917.2715</v>
      </c>
      <c r="AN165" s="69" t="n">
        <f aca="false">-Inputs!$C$38*(1+Inputs!$C$33)^(AN$129-1)*1</f>
        <v>-4917.2715</v>
      </c>
      <c r="AO165" s="69" t="n">
        <f aca="false">-Inputs!$C$38*(1+Inputs!$C$33)^(AO$129-1)*1</f>
        <v>-4917.2715</v>
      </c>
      <c r="AP165" s="69" t="n">
        <f aca="false">-Inputs!$C$38*(1+Inputs!$C$33)^(AP$129-1)*1</f>
        <v>-4917.2715</v>
      </c>
      <c r="AQ165" s="69" t="n">
        <f aca="false">-Inputs!$C$38*(1+Inputs!$C$33)^(AQ$129-1)*1</f>
        <v>-4917.2715</v>
      </c>
      <c r="AR165" s="69" t="n">
        <f aca="false">-Inputs!$C$38*(1+Inputs!$C$33)^(AR$129-1)*1</f>
        <v>-4917.2715</v>
      </c>
      <c r="AS165" s="69" t="n">
        <f aca="false">-Inputs!$C$38*(1+Inputs!$C$33)^(AS$129-1)*1</f>
        <v>-4917.2715</v>
      </c>
      <c r="AT165" s="69" t="n">
        <f aca="false">-Inputs!$C$38*(1+Inputs!$C$33)^(AT$129-1)*1</f>
        <v>-4917.2715</v>
      </c>
      <c r="AU165" s="69" t="n">
        <f aca="false">-Inputs!$C$38*(1+Inputs!$C$33)^(AU$129-1)*1</f>
        <v>-4917.2715</v>
      </c>
      <c r="AV165" s="69" t="n">
        <f aca="false">-Inputs!$C$38*(1+Inputs!$C$33)^(AV$129-1)*1</f>
        <v>-4917.2715</v>
      </c>
      <c r="AW165" s="69" t="n">
        <f aca="false">-Inputs!$C$38*(1+Inputs!$C$33)^(AW$129-1)*1</f>
        <v>-4917.2715</v>
      </c>
      <c r="AX165" s="69" t="n">
        <f aca="false">-Inputs!$C$38*(1+Inputs!$C$33)^(AX$129-1)*1</f>
        <v>-4917.2715</v>
      </c>
      <c r="AY165" s="69" t="n">
        <f aca="false">-Inputs!$C$38*(1+Inputs!$C$33)^(AY$129-1)*1</f>
        <v>-5064.789645</v>
      </c>
      <c r="AZ165" s="69" t="n">
        <f aca="false">-Inputs!$C$38*(1+Inputs!$C$33)^(AZ$129-1)*1</f>
        <v>-5064.789645</v>
      </c>
      <c r="BA165" s="69" t="n">
        <f aca="false">-Inputs!$C$38*(1+Inputs!$C$33)^(BA$129-1)*1</f>
        <v>-5064.789645</v>
      </c>
      <c r="BB165" s="69" t="n">
        <f aca="false">-Inputs!$C$38*(1+Inputs!$C$33)^(BB$129-1)*1</f>
        <v>-5064.789645</v>
      </c>
      <c r="BC165" s="69" t="n">
        <f aca="false">-Inputs!$C$38*(1+Inputs!$C$33)^(BC$129-1)*1</f>
        <v>-5064.789645</v>
      </c>
      <c r="BD165" s="69" t="n">
        <f aca="false">-Inputs!$C$38*(1+Inputs!$C$33)^(BD$129-1)*1</f>
        <v>-5064.789645</v>
      </c>
      <c r="BE165" s="69" t="n">
        <f aca="false">-Inputs!$C$38*(1+Inputs!$C$33)^(BE$129-1)*1</f>
        <v>-5064.789645</v>
      </c>
      <c r="BF165" s="69" t="n">
        <f aca="false">-Inputs!$C$38*(1+Inputs!$C$33)^(BF$129-1)*1</f>
        <v>-5064.789645</v>
      </c>
      <c r="BG165" s="69" t="n">
        <f aca="false">-Inputs!$C$38*(1+Inputs!$C$33)^(BG$129-1)*1</f>
        <v>-5064.789645</v>
      </c>
      <c r="BH165" s="69" t="n">
        <f aca="false">-Inputs!$C$38*(1+Inputs!$C$33)^(BH$129-1)*1</f>
        <v>-5064.789645</v>
      </c>
      <c r="BI165" s="69" t="n">
        <f aca="false">-Inputs!$C$38*(1+Inputs!$C$33)^(BI$129-1)*1</f>
        <v>-5064.789645</v>
      </c>
      <c r="BJ165" s="69" t="n">
        <f aca="false">-Inputs!$C$38*(1+Inputs!$C$33)^(BJ$129-1)*1</f>
        <v>-5064.789645</v>
      </c>
    </row>
    <row r="166" customFormat="false" ht="15" hidden="false" customHeight="false" outlineLevel="0" collapsed="false">
      <c r="A166" s="6" t="s">
        <v>336</v>
      </c>
      <c r="C166" s="69" t="n">
        <f aca="false">-Inputs!$C$39*(1+Inputs!$C$33)^(C$129-1)*1</f>
        <v>-9000</v>
      </c>
      <c r="D166" s="69" t="n">
        <f aca="false">-Inputs!$C$39*(1+Inputs!$C$33)^(D$129-1)*1</f>
        <v>-9000</v>
      </c>
      <c r="E166" s="69" t="n">
        <f aca="false">-Inputs!$C$39*(1+Inputs!$C$33)^(E$129-1)*1</f>
        <v>-9000</v>
      </c>
      <c r="F166" s="69" t="n">
        <f aca="false">-Inputs!$C$39*(1+Inputs!$C$33)^(F$129-1)*1</f>
        <v>-9000</v>
      </c>
      <c r="G166" s="69" t="n">
        <f aca="false">-Inputs!$C$39*(1+Inputs!$C$33)^(G$129-1)*1</f>
        <v>-9000</v>
      </c>
      <c r="H166" s="69" t="n">
        <f aca="false">-Inputs!$C$39*(1+Inputs!$C$33)^(H$129-1)*1</f>
        <v>-9000</v>
      </c>
      <c r="I166" s="69" t="n">
        <f aca="false">-Inputs!$C$39*(1+Inputs!$C$33)^(I$129-1)*1</f>
        <v>-9000</v>
      </c>
      <c r="J166" s="69" t="n">
        <f aca="false">-Inputs!$C$39*(1+Inputs!$C$33)^(J$129-1)*1</f>
        <v>-9000</v>
      </c>
      <c r="K166" s="69" t="n">
        <f aca="false">-Inputs!$C$39*(1+Inputs!$C$33)^(K$129-1)*1</f>
        <v>-9000</v>
      </c>
      <c r="L166" s="69" t="n">
        <f aca="false">-Inputs!$C$39*(1+Inputs!$C$33)^(L$129-1)*1</f>
        <v>-9000</v>
      </c>
      <c r="M166" s="69" t="n">
        <f aca="false">-Inputs!$C$39*(1+Inputs!$C$33)^(M$129-1)*1</f>
        <v>-9000</v>
      </c>
      <c r="N166" s="69" t="n">
        <f aca="false">-Inputs!$C$39*(1+Inputs!$C$33)^(N$129-1)*1</f>
        <v>-9000</v>
      </c>
      <c r="O166" s="69" t="n">
        <f aca="false">-Inputs!$C$39*(1+Inputs!$C$33)^(O$129-1)*1</f>
        <v>-9270</v>
      </c>
      <c r="P166" s="69" t="n">
        <f aca="false">-Inputs!$C$39*(1+Inputs!$C$33)^(P$129-1)*1</f>
        <v>-9270</v>
      </c>
      <c r="Q166" s="69" t="n">
        <f aca="false">-Inputs!$C$39*(1+Inputs!$C$33)^(Q$129-1)*1</f>
        <v>-9270</v>
      </c>
      <c r="R166" s="69" t="n">
        <f aca="false">-Inputs!$C$39*(1+Inputs!$C$33)^(R$129-1)*1</f>
        <v>-9270</v>
      </c>
      <c r="S166" s="69" t="n">
        <f aca="false">-Inputs!$C$39*(1+Inputs!$C$33)^(S$129-1)*1</f>
        <v>-9270</v>
      </c>
      <c r="T166" s="69" t="n">
        <f aca="false">-Inputs!$C$39*(1+Inputs!$C$33)^(T$129-1)*1</f>
        <v>-9270</v>
      </c>
      <c r="U166" s="69" t="n">
        <f aca="false">-Inputs!$C$39*(1+Inputs!$C$33)^(U$129-1)*1</f>
        <v>-9270</v>
      </c>
      <c r="V166" s="69" t="n">
        <f aca="false">-Inputs!$C$39*(1+Inputs!$C$33)^(V$129-1)*1</f>
        <v>-9270</v>
      </c>
      <c r="W166" s="69" t="n">
        <f aca="false">-Inputs!$C$39*(1+Inputs!$C$33)^(W$129-1)*1</f>
        <v>-9270</v>
      </c>
      <c r="X166" s="69" t="n">
        <f aca="false">-Inputs!$C$39*(1+Inputs!$C$33)^(X$129-1)*1</f>
        <v>-9270</v>
      </c>
      <c r="Y166" s="69" t="n">
        <f aca="false">-Inputs!$C$39*(1+Inputs!$C$33)^(Y$129-1)*1</f>
        <v>-9270</v>
      </c>
      <c r="Z166" s="69" t="n">
        <f aca="false">-Inputs!$C$39*(1+Inputs!$C$33)^(Z$129-1)*1</f>
        <v>-9270</v>
      </c>
      <c r="AA166" s="69" t="n">
        <f aca="false">-Inputs!$C$39*(1+Inputs!$C$33)^(AA$129-1)*1</f>
        <v>-9548.1</v>
      </c>
      <c r="AB166" s="69" t="n">
        <f aca="false">-Inputs!$C$39*(1+Inputs!$C$33)^(AB$129-1)*1</f>
        <v>-9548.1</v>
      </c>
      <c r="AC166" s="69" t="n">
        <f aca="false">-Inputs!$C$39*(1+Inputs!$C$33)^(AC$129-1)*1</f>
        <v>-9548.1</v>
      </c>
      <c r="AD166" s="69" t="n">
        <f aca="false">-Inputs!$C$39*(1+Inputs!$C$33)^(AD$129-1)*1</f>
        <v>-9548.1</v>
      </c>
      <c r="AE166" s="69" t="n">
        <f aca="false">-Inputs!$C$39*(1+Inputs!$C$33)^(AE$129-1)*1</f>
        <v>-9548.1</v>
      </c>
      <c r="AF166" s="69" t="n">
        <f aca="false">-Inputs!$C$39*(1+Inputs!$C$33)^(AF$129-1)*1</f>
        <v>-9548.1</v>
      </c>
      <c r="AG166" s="69" t="n">
        <f aca="false">-Inputs!$C$39*(1+Inputs!$C$33)^(AG$129-1)*1</f>
        <v>-9548.1</v>
      </c>
      <c r="AH166" s="69" t="n">
        <f aca="false">-Inputs!$C$39*(1+Inputs!$C$33)^(AH$129-1)*1</f>
        <v>-9548.1</v>
      </c>
      <c r="AI166" s="69" t="n">
        <f aca="false">-Inputs!$C$39*(1+Inputs!$C$33)^(AI$129-1)*1</f>
        <v>-9548.1</v>
      </c>
      <c r="AJ166" s="69" t="n">
        <f aca="false">-Inputs!$C$39*(1+Inputs!$C$33)^(AJ$129-1)*1</f>
        <v>-9548.1</v>
      </c>
      <c r="AK166" s="69" t="n">
        <f aca="false">-Inputs!$C$39*(1+Inputs!$C$33)^(AK$129-1)*1</f>
        <v>-9548.1</v>
      </c>
      <c r="AL166" s="69" t="n">
        <f aca="false">-Inputs!$C$39*(1+Inputs!$C$33)^(AL$129-1)*1</f>
        <v>-9548.1</v>
      </c>
      <c r="AM166" s="69" t="n">
        <f aca="false">-Inputs!$C$39*(1+Inputs!$C$33)^(AM$129-1)*1</f>
        <v>-9834.543</v>
      </c>
      <c r="AN166" s="69" t="n">
        <f aca="false">-Inputs!$C$39*(1+Inputs!$C$33)^(AN$129-1)*1</f>
        <v>-9834.543</v>
      </c>
      <c r="AO166" s="69" t="n">
        <f aca="false">-Inputs!$C$39*(1+Inputs!$C$33)^(AO$129-1)*1</f>
        <v>-9834.543</v>
      </c>
      <c r="AP166" s="69" t="n">
        <f aca="false">-Inputs!$C$39*(1+Inputs!$C$33)^(AP$129-1)*1</f>
        <v>-9834.543</v>
      </c>
      <c r="AQ166" s="69" t="n">
        <f aca="false">-Inputs!$C$39*(1+Inputs!$C$33)^(AQ$129-1)*1</f>
        <v>-9834.543</v>
      </c>
      <c r="AR166" s="69" t="n">
        <f aca="false">-Inputs!$C$39*(1+Inputs!$C$33)^(AR$129-1)*1</f>
        <v>-9834.543</v>
      </c>
      <c r="AS166" s="69" t="n">
        <f aca="false">-Inputs!$C$39*(1+Inputs!$C$33)^(AS$129-1)*1</f>
        <v>-9834.543</v>
      </c>
      <c r="AT166" s="69" t="n">
        <f aca="false">-Inputs!$C$39*(1+Inputs!$C$33)^(AT$129-1)*1</f>
        <v>-9834.543</v>
      </c>
      <c r="AU166" s="69" t="n">
        <f aca="false">-Inputs!$C$39*(1+Inputs!$C$33)^(AU$129-1)*1</f>
        <v>-9834.543</v>
      </c>
      <c r="AV166" s="69" t="n">
        <f aca="false">-Inputs!$C$39*(1+Inputs!$C$33)^(AV$129-1)*1</f>
        <v>-9834.543</v>
      </c>
      <c r="AW166" s="69" t="n">
        <f aca="false">-Inputs!$C$39*(1+Inputs!$C$33)^(AW$129-1)*1</f>
        <v>-9834.543</v>
      </c>
      <c r="AX166" s="69" t="n">
        <f aca="false">-Inputs!$C$39*(1+Inputs!$C$33)^(AX$129-1)*1</f>
        <v>-9834.543</v>
      </c>
      <c r="AY166" s="69" t="n">
        <f aca="false">-Inputs!$C$39*(1+Inputs!$C$33)^(AY$129-1)*1</f>
        <v>-10129.57929</v>
      </c>
      <c r="AZ166" s="69" t="n">
        <f aca="false">-Inputs!$C$39*(1+Inputs!$C$33)^(AZ$129-1)*1</f>
        <v>-10129.57929</v>
      </c>
      <c r="BA166" s="69" t="n">
        <f aca="false">-Inputs!$C$39*(1+Inputs!$C$33)^(BA$129-1)*1</f>
        <v>-10129.57929</v>
      </c>
      <c r="BB166" s="69" t="n">
        <f aca="false">-Inputs!$C$39*(1+Inputs!$C$33)^(BB$129-1)*1</f>
        <v>-10129.57929</v>
      </c>
      <c r="BC166" s="69" t="n">
        <f aca="false">-Inputs!$C$39*(1+Inputs!$C$33)^(BC$129-1)*1</f>
        <v>-10129.57929</v>
      </c>
      <c r="BD166" s="69" t="n">
        <f aca="false">-Inputs!$C$39*(1+Inputs!$C$33)^(BD$129-1)*1</f>
        <v>-10129.57929</v>
      </c>
      <c r="BE166" s="69" t="n">
        <f aca="false">-Inputs!$C$39*(1+Inputs!$C$33)^(BE$129-1)*1</f>
        <v>-10129.57929</v>
      </c>
      <c r="BF166" s="69" t="n">
        <f aca="false">-Inputs!$C$39*(1+Inputs!$C$33)^(BF$129-1)*1</f>
        <v>-10129.57929</v>
      </c>
      <c r="BG166" s="69" t="n">
        <f aca="false">-Inputs!$C$39*(1+Inputs!$C$33)^(BG$129-1)*1</f>
        <v>-10129.57929</v>
      </c>
      <c r="BH166" s="69" t="n">
        <f aca="false">-Inputs!$C$39*(1+Inputs!$C$33)^(BH$129-1)*1</f>
        <v>-10129.57929</v>
      </c>
      <c r="BI166" s="69" t="n">
        <f aca="false">-Inputs!$C$39*(1+Inputs!$C$33)^(BI$129-1)*1</f>
        <v>-10129.57929</v>
      </c>
      <c r="BJ166" s="69" t="n">
        <f aca="false">-Inputs!$C$39*(1+Inputs!$C$33)^(BJ$129-1)*1</f>
        <v>-10129.57929</v>
      </c>
    </row>
    <row r="167" customFormat="false" ht="15" hidden="false" customHeight="false" outlineLevel="0" collapsed="false">
      <c r="A167" s="6" t="s">
        <v>337</v>
      </c>
      <c r="C167" s="69" t="n">
        <f aca="false">-Inputs!$C$40*(1+Inputs!$C$41)^(C$129-1)*1</f>
        <v>-7000</v>
      </c>
      <c r="D167" s="69" t="n">
        <f aca="false">-Inputs!$C$40*(1+Inputs!$C$41)^(D$129-1)*1</f>
        <v>-7000</v>
      </c>
      <c r="E167" s="69" t="n">
        <f aca="false">-Inputs!$C$40*(1+Inputs!$C$41)^(E$129-1)*1</f>
        <v>-7000</v>
      </c>
      <c r="F167" s="69" t="n">
        <f aca="false">-Inputs!$C$40*(1+Inputs!$C$41)^(F$129-1)*1</f>
        <v>-7000</v>
      </c>
      <c r="G167" s="69" t="n">
        <f aca="false">-Inputs!$C$40*(1+Inputs!$C$41)^(G$129-1)*1</f>
        <v>-7000</v>
      </c>
      <c r="H167" s="69" t="n">
        <f aca="false">-Inputs!$C$40*(1+Inputs!$C$41)^(H$129-1)*1</f>
        <v>-7000</v>
      </c>
      <c r="I167" s="69" t="n">
        <f aca="false">-Inputs!$C$40*(1+Inputs!$C$41)^(I$129-1)*1</f>
        <v>-7000</v>
      </c>
      <c r="J167" s="69" t="n">
        <f aca="false">-Inputs!$C$40*(1+Inputs!$C$41)^(J$129-1)*1</f>
        <v>-7000</v>
      </c>
      <c r="K167" s="69" t="n">
        <f aca="false">-Inputs!$C$40*(1+Inputs!$C$41)^(K$129-1)*1</f>
        <v>-7000</v>
      </c>
      <c r="L167" s="69" t="n">
        <f aca="false">-Inputs!$C$40*(1+Inputs!$C$41)^(L$129-1)*1</f>
        <v>-7000</v>
      </c>
      <c r="M167" s="69" t="n">
        <f aca="false">-Inputs!$C$40*(1+Inputs!$C$41)^(M$129-1)*1</f>
        <v>-7000</v>
      </c>
      <c r="N167" s="69" t="n">
        <f aca="false">-Inputs!$C$40*(1+Inputs!$C$41)^(N$129-1)*1</f>
        <v>-7000</v>
      </c>
      <c r="O167" s="69" t="n">
        <f aca="false">-Inputs!$C$40*(1+Inputs!$C$41)^(O$129-1)*1</f>
        <v>-5600</v>
      </c>
      <c r="P167" s="69" t="n">
        <f aca="false">-Inputs!$C$40*(1+Inputs!$C$41)^(P$129-1)*1</f>
        <v>-5600</v>
      </c>
      <c r="Q167" s="69" t="n">
        <f aca="false">-Inputs!$C$40*(1+Inputs!$C$41)^(Q$129-1)*1</f>
        <v>-5600</v>
      </c>
      <c r="R167" s="69" t="n">
        <f aca="false">-Inputs!$C$40*(1+Inputs!$C$41)^(R$129-1)*1</f>
        <v>-5600</v>
      </c>
      <c r="S167" s="69" t="n">
        <f aca="false">-Inputs!$C$40*(1+Inputs!$C$41)^(S$129-1)*1</f>
        <v>-5600</v>
      </c>
      <c r="T167" s="69" t="n">
        <f aca="false">-Inputs!$C$40*(1+Inputs!$C$41)^(T$129-1)*1</f>
        <v>-5600</v>
      </c>
      <c r="U167" s="69" t="n">
        <f aca="false">-Inputs!$C$40*(1+Inputs!$C$41)^(U$129-1)*1</f>
        <v>-5600</v>
      </c>
      <c r="V167" s="69" t="n">
        <f aca="false">-Inputs!$C$40*(1+Inputs!$C$41)^(V$129-1)*1</f>
        <v>-5600</v>
      </c>
      <c r="W167" s="69" t="n">
        <f aca="false">-Inputs!$C$40*(1+Inputs!$C$41)^(W$129-1)*1</f>
        <v>-5600</v>
      </c>
      <c r="X167" s="69" t="n">
        <f aca="false">-Inputs!$C$40*(1+Inputs!$C$41)^(X$129-1)*1</f>
        <v>-5600</v>
      </c>
      <c r="Y167" s="69" t="n">
        <f aca="false">-Inputs!$C$40*(1+Inputs!$C$41)^(Y$129-1)*1</f>
        <v>-5600</v>
      </c>
      <c r="Z167" s="69" t="n">
        <f aca="false">-Inputs!$C$40*(1+Inputs!$C$41)^(Z$129-1)*1</f>
        <v>-5600</v>
      </c>
      <c r="AA167" s="69" t="n">
        <f aca="false">-Inputs!$C$40*(1+Inputs!$C$41)^(AA$129-1)*1</f>
        <v>-4480</v>
      </c>
      <c r="AB167" s="69" t="n">
        <f aca="false">-Inputs!$C$40*(1+Inputs!$C$41)^(AB$129-1)*1</f>
        <v>-4480</v>
      </c>
      <c r="AC167" s="69" t="n">
        <f aca="false">-Inputs!$C$40*(1+Inputs!$C$41)^(AC$129-1)*1</f>
        <v>-4480</v>
      </c>
      <c r="AD167" s="69" t="n">
        <f aca="false">-Inputs!$C$40*(1+Inputs!$C$41)^(AD$129-1)*1</f>
        <v>-4480</v>
      </c>
      <c r="AE167" s="69" t="n">
        <f aca="false">-Inputs!$C$40*(1+Inputs!$C$41)^(AE$129-1)*1</f>
        <v>-4480</v>
      </c>
      <c r="AF167" s="69" t="n">
        <f aca="false">-Inputs!$C$40*(1+Inputs!$C$41)^(AF$129-1)*1</f>
        <v>-4480</v>
      </c>
      <c r="AG167" s="69" t="n">
        <f aca="false">-Inputs!$C$40*(1+Inputs!$C$41)^(AG$129-1)*1</f>
        <v>-4480</v>
      </c>
      <c r="AH167" s="69" t="n">
        <f aca="false">-Inputs!$C$40*(1+Inputs!$C$41)^(AH$129-1)*1</f>
        <v>-4480</v>
      </c>
      <c r="AI167" s="69" t="n">
        <f aca="false">-Inputs!$C$40*(1+Inputs!$C$41)^(AI$129-1)*1</f>
        <v>-4480</v>
      </c>
      <c r="AJ167" s="69" t="n">
        <f aca="false">-Inputs!$C$40*(1+Inputs!$C$41)^(AJ$129-1)*1</f>
        <v>-4480</v>
      </c>
      <c r="AK167" s="69" t="n">
        <f aca="false">-Inputs!$C$40*(1+Inputs!$C$41)^(AK$129-1)*1</f>
        <v>-4480</v>
      </c>
      <c r="AL167" s="69" t="n">
        <f aca="false">-Inputs!$C$40*(1+Inputs!$C$41)^(AL$129-1)*1</f>
        <v>-4480</v>
      </c>
      <c r="AM167" s="69" t="n">
        <f aca="false">-Inputs!$C$40*(1+Inputs!$C$41)^(AM$129-1)*1</f>
        <v>-3584</v>
      </c>
      <c r="AN167" s="69" t="n">
        <f aca="false">-Inputs!$C$40*(1+Inputs!$C$41)^(AN$129-1)*1</f>
        <v>-3584</v>
      </c>
      <c r="AO167" s="69" t="n">
        <f aca="false">-Inputs!$C$40*(1+Inputs!$C$41)^(AO$129-1)*1</f>
        <v>-3584</v>
      </c>
      <c r="AP167" s="69" t="n">
        <f aca="false">-Inputs!$C$40*(1+Inputs!$C$41)^(AP$129-1)*1</f>
        <v>-3584</v>
      </c>
      <c r="AQ167" s="69" t="n">
        <f aca="false">-Inputs!$C$40*(1+Inputs!$C$41)^(AQ$129-1)*1</f>
        <v>-3584</v>
      </c>
      <c r="AR167" s="69" t="n">
        <f aca="false">-Inputs!$C$40*(1+Inputs!$C$41)^(AR$129-1)*1</f>
        <v>-3584</v>
      </c>
      <c r="AS167" s="69" t="n">
        <f aca="false">-Inputs!$C$40*(1+Inputs!$C$41)^(AS$129-1)*1</f>
        <v>-3584</v>
      </c>
      <c r="AT167" s="69" t="n">
        <f aca="false">-Inputs!$C$40*(1+Inputs!$C$41)^(AT$129-1)*1</f>
        <v>-3584</v>
      </c>
      <c r="AU167" s="69" t="n">
        <f aca="false">-Inputs!$C$40*(1+Inputs!$C$41)^(AU$129-1)*1</f>
        <v>-3584</v>
      </c>
      <c r="AV167" s="69" t="n">
        <f aca="false">-Inputs!$C$40*(1+Inputs!$C$41)^(AV$129-1)*1</f>
        <v>-3584</v>
      </c>
      <c r="AW167" s="69" t="n">
        <f aca="false">-Inputs!$C$40*(1+Inputs!$C$41)^(AW$129-1)*1</f>
        <v>-3584</v>
      </c>
      <c r="AX167" s="69" t="n">
        <f aca="false">-Inputs!$C$40*(1+Inputs!$C$41)^(AX$129-1)*1</f>
        <v>-3584</v>
      </c>
      <c r="AY167" s="69" t="n">
        <f aca="false">-Inputs!$C$40*(1+Inputs!$C$41)^(AY$129-1)*1</f>
        <v>-2867.2</v>
      </c>
      <c r="AZ167" s="69" t="n">
        <f aca="false">-Inputs!$C$40*(1+Inputs!$C$41)^(AZ$129-1)*1</f>
        <v>-2867.2</v>
      </c>
      <c r="BA167" s="69" t="n">
        <f aca="false">-Inputs!$C$40*(1+Inputs!$C$41)^(BA$129-1)*1</f>
        <v>-2867.2</v>
      </c>
      <c r="BB167" s="69" t="n">
        <f aca="false">-Inputs!$C$40*(1+Inputs!$C$41)^(BB$129-1)*1</f>
        <v>-2867.2</v>
      </c>
      <c r="BC167" s="69" t="n">
        <f aca="false">-Inputs!$C$40*(1+Inputs!$C$41)^(BC$129-1)*1</f>
        <v>-2867.2</v>
      </c>
      <c r="BD167" s="69" t="n">
        <f aca="false">-Inputs!$C$40*(1+Inputs!$C$41)^(BD$129-1)*1</f>
        <v>-2867.2</v>
      </c>
      <c r="BE167" s="69" t="n">
        <f aca="false">-Inputs!$C$40*(1+Inputs!$C$41)^(BE$129-1)*1</f>
        <v>-2867.2</v>
      </c>
      <c r="BF167" s="69" t="n">
        <f aca="false">-Inputs!$C$40*(1+Inputs!$C$41)^(BF$129-1)*1</f>
        <v>-2867.2</v>
      </c>
      <c r="BG167" s="69" t="n">
        <f aca="false">-Inputs!$C$40*(1+Inputs!$C$41)^(BG$129-1)*1</f>
        <v>-2867.2</v>
      </c>
      <c r="BH167" s="69" t="n">
        <f aca="false">-Inputs!$C$40*(1+Inputs!$C$41)^(BH$129-1)*1</f>
        <v>-2867.2</v>
      </c>
      <c r="BI167" s="69" t="n">
        <f aca="false">-Inputs!$C$40*(1+Inputs!$C$41)^(BI$129-1)*1</f>
        <v>-2867.2</v>
      </c>
      <c r="BJ167" s="69" t="n">
        <f aca="false">-Inputs!$C$40*(1+Inputs!$C$41)^(BJ$129-1)*1</f>
        <v>-2867.2</v>
      </c>
    </row>
    <row r="168" customFormat="false" ht="15" hidden="false" customHeight="false" outlineLevel="0" collapsed="false">
      <c r="A168" s="6" t="s">
        <v>338</v>
      </c>
      <c r="C168" s="69" t="n">
        <f aca="false">-C152*Inputs!$C$32</f>
        <v>-1873.125</v>
      </c>
      <c r="D168" s="69" t="n">
        <f aca="false">-D152*Inputs!$C$32</f>
        <v>-2107.265625</v>
      </c>
      <c r="E168" s="69" t="n">
        <f aca="false">-E152*Inputs!$C$32</f>
        <v>-2341.40625</v>
      </c>
      <c r="F168" s="69" t="n">
        <f aca="false">-F152*Inputs!$C$32</f>
        <v>-2575.546875</v>
      </c>
      <c r="G168" s="69" t="n">
        <f aca="false">-G152*Inputs!$C$32</f>
        <v>-2809.6875</v>
      </c>
      <c r="H168" s="69" t="n">
        <f aca="false">-H152*Inputs!$C$32</f>
        <v>-3043.828125</v>
      </c>
      <c r="I168" s="69" t="n">
        <f aca="false">-I152*Inputs!$C$32</f>
        <v>-3277.96875</v>
      </c>
      <c r="J168" s="69" t="n">
        <f aca="false">-J152*Inputs!$C$32</f>
        <v>-3512.109375</v>
      </c>
      <c r="K168" s="69" t="n">
        <f aca="false">-K152*Inputs!$C$32</f>
        <v>-3746.25</v>
      </c>
      <c r="L168" s="69" t="n">
        <f aca="false">-L152*Inputs!$C$32</f>
        <v>-3980.390625</v>
      </c>
      <c r="M168" s="69" t="n">
        <f aca="false">-M152*Inputs!$C$32</f>
        <v>-4214.53125</v>
      </c>
      <c r="N168" s="69" t="n">
        <f aca="false">-N152*Inputs!$C$32</f>
        <v>-4448.671875</v>
      </c>
      <c r="O168" s="69" t="n">
        <f aca="false">-O152*Inputs!$C$32</f>
        <v>-4967.99578125</v>
      </c>
      <c r="P168" s="69" t="n">
        <f aca="false">-P152*Inputs!$C$32</f>
        <v>-4967.99578125</v>
      </c>
      <c r="Q168" s="69" t="n">
        <f aca="false">-Q152*Inputs!$C$32</f>
        <v>-4967.99578125</v>
      </c>
      <c r="R168" s="69" t="n">
        <f aca="false">-R152*Inputs!$C$32</f>
        <v>-4967.99578125</v>
      </c>
      <c r="S168" s="69" t="n">
        <f aca="false">-S152*Inputs!$C$32</f>
        <v>-4967.99578125</v>
      </c>
      <c r="T168" s="69" t="n">
        <f aca="false">-T152*Inputs!$C$32</f>
        <v>-4967.99578125</v>
      </c>
      <c r="U168" s="69" t="n">
        <f aca="false">-U152*Inputs!$C$32</f>
        <v>-4967.99578125</v>
      </c>
      <c r="V168" s="69" t="n">
        <f aca="false">-V152*Inputs!$C$32</f>
        <v>-4967.99578125</v>
      </c>
      <c r="W168" s="69" t="n">
        <f aca="false">-W152*Inputs!$C$32</f>
        <v>-4967.99578125</v>
      </c>
      <c r="X168" s="69" t="n">
        <f aca="false">-X152*Inputs!$C$32</f>
        <v>-4967.99578125</v>
      </c>
      <c r="Y168" s="69" t="n">
        <f aca="false">-Y152*Inputs!$C$32</f>
        <v>-4967.99578125</v>
      </c>
      <c r="Z168" s="69" t="n">
        <f aca="false">-Z152*Inputs!$C$32</f>
        <v>-4967.99578125</v>
      </c>
      <c r="AA168" s="69" t="n">
        <f aca="false">-AA152*Inputs!$C$32</f>
        <v>-5270.54672432812</v>
      </c>
      <c r="AB168" s="69" t="n">
        <f aca="false">-AB152*Inputs!$C$32</f>
        <v>-5270.54672432812</v>
      </c>
      <c r="AC168" s="69" t="n">
        <f aca="false">-AC152*Inputs!$C$32</f>
        <v>-5270.54672432812</v>
      </c>
      <c r="AD168" s="69" t="n">
        <f aca="false">-AD152*Inputs!$C$32</f>
        <v>-5270.54672432812</v>
      </c>
      <c r="AE168" s="69" t="n">
        <f aca="false">-AE152*Inputs!$C$32</f>
        <v>-5270.54672432812</v>
      </c>
      <c r="AF168" s="69" t="n">
        <f aca="false">-AF152*Inputs!$C$32</f>
        <v>-5270.54672432812</v>
      </c>
      <c r="AG168" s="69" t="n">
        <f aca="false">-AG152*Inputs!$C$32</f>
        <v>-5270.54672432812</v>
      </c>
      <c r="AH168" s="69" t="n">
        <f aca="false">-AH152*Inputs!$C$32</f>
        <v>-5270.54672432812</v>
      </c>
      <c r="AI168" s="69" t="n">
        <f aca="false">-AI152*Inputs!$C$32</f>
        <v>-5270.54672432812</v>
      </c>
      <c r="AJ168" s="69" t="n">
        <f aca="false">-AJ152*Inputs!$C$32</f>
        <v>-5270.54672432812</v>
      </c>
      <c r="AK168" s="69" t="n">
        <f aca="false">-AK152*Inputs!$C$32</f>
        <v>-5270.54672432812</v>
      </c>
      <c r="AL168" s="69" t="n">
        <f aca="false">-AL152*Inputs!$C$32</f>
        <v>-5270.54672432812</v>
      </c>
      <c r="AM168" s="69" t="n">
        <f aca="false">-AM152*Inputs!$C$32</f>
        <v>-5591.52301983971</v>
      </c>
      <c r="AN168" s="69" t="n">
        <f aca="false">-AN152*Inputs!$C$32</f>
        <v>-5591.52301983971</v>
      </c>
      <c r="AO168" s="69" t="n">
        <f aca="false">-AO152*Inputs!$C$32</f>
        <v>-5591.52301983971</v>
      </c>
      <c r="AP168" s="69" t="n">
        <f aca="false">-AP152*Inputs!$C$32</f>
        <v>-5591.52301983971</v>
      </c>
      <c r="AQ168" s="69" t="n">
        <f aca="false">-AQ152*Inputs!$C$32</f>
        <v>-5591.52301983971</v>
      </c>
      <c r="AR168" s="69" t="n">
        <f aca="false">-AR152*Inputs!$C$32</f>
        <v>-5591.52301983971</v>
      </c>
      <c r="AS168" s="69" t="n">
        <f aca="false">-AS152*Inputs!$C$32</f>
        <v>-5591.52301983971</v>
      </c>
      <c r="AT168" s="69" t="n">
        <f aca="false">-AT152*Inputs!$C$32</f>
        <v>-5591.52301983971</v>
      </c>
      <c r="AU168" s="69" t="n">
        <f aca="false">-AU152*Inputs!$C$32</f>
        <v>-5591.52301983971</v>
      </c>
      <c r="AV168" s="69" t="n">
        <f aca="false">-AV152*Inputs!$C$32</f>
        <v>-5591.52301983971</v>
      </c>
      <c r="AW168" s="69" t="n">
        <f aca="false">-AW152*Inputs!$C$32</f>
        <v>-5591.52301983971</v>
      </c>
      <c r="AX168" s="69" t="n">
        <f aca="false">-AX152*Inputs!$C$32</f>
        <v>-5591.52301983971</v>
      </c>
      <c r="AY168" s="69" t="n">
        <f aca="false">-AY152*Inputs!$C$32</f>
        <v>-5932.04677174795</v>
      </c>
      <c r="AZ168" s="69" t="n">
        <f aca="false">-AZ152*Inputs!$C$32</f>
        <v>-5932.04677174795</v>
      </c>
      <c r="BA168" s="69" t="n">
        <f aca="false">-BA152*Inputs!$C$32</f>
        <v>-5932.04677174795</v>
      </c>
      <c r="BB168" s="69" t="n">
        <f aca="false">-BB152*Inputs!$C$32</f>
        <v>-5932.04677174795</v>
      </c>
      <c r="BC168" s="69" t="n">
        <f aca="false">-BC152*Inputs!$C$32</f>
        <v>-5932.04677174795</v>
      </c>
      <c r="BD168" s="69" t="n">
        <f aca="false">-BD152*Inputs!$C$32</f>
        <v>-5932.04677174795</v>
      </c>
      <c r="BE168" s="69" t="n">
        <f aca="false">-BE152*Inputs!$C$32</f>
        <v>-5932.04677174795</v>
      </c>
      <c r="BF168" s="69" t="n">
        <f aca="false">-BF152*Inputs!$C$32</f>
        <v>-5932.04677174795</v>
      </c>
      <c r="BG168" s="69" t="n">
        <f aca="false">-BG152*Inputs!$C$32</f>
        <v>-5932.04677174795</v>
      </c>
      <c r="BH168" s="69" t="n">
        <f aca="false">-BH152*Inputs!$C$32</f>
        <v>-5932.04677174795</v>
      </c>
      <c r="BI168" s="69" t="n">
        <f aca="false">-BI152*Inputs!$C$32</f>
        <v>-5932.04677174795</v>
      </c>
      <c r="BJ168" s="69" t="n">
        <f aca="false">-BJ152*Inputs!$C$32</f>
        <v>-5932.04677174795</v>
      </c>
    </row>
    <row r="169" customFormat="false" ht="15" hidden="false" customHeight="false" outlineLevel="0" collapsed="false">
      <c r="A169" s="115" t="s">
        <v>77</v>
      </c>
      <c r="C169" s="70" t="n">
        <f aca="false">C163+C164+C165+C166+C167+C168</f>
        <v>-58102.2916666667</v>
      </c>
      <c r="D169" s="70" t="n">
        <f aca="false">D163+D164+D165+D166+D167+D168</f>
        <v>-58336.4322916667</v>
      </c>
      <c r="E169" s="70" t="n">
        <f aca="false">E163+E164+E165+E166+E167+E168</f>
        <v>-58570.5729166667</v>
      </c>
      <c r="F169" s="70" t="n">
        <f aca="false">F163+F164+F165+F166+F167+F168</f>
        <v>-58804.7135416667</v>
      </c>
      <c r="G169" s="70" t="n">
        <f aca="false">G163+G164+G165+G166+G167+G168</f>
        <v>-59038.8541666667</v>
      </c>
      <c r="H169" s="70" t="n">
        <f aca="false">H163+H164+H165+H166+H167+H168</f>
        <v>-59272.9947916667</v>
      </c>
      <c r="I169" s="70" t="n">
        <f aca="false">I163+I164+I165+I166+I167+I168</f>
        <v>-59507.1354166667</v>
      </c>
      <c r="J169" s="70" t="n">
        <f aca="false">J163+J164+J165+J166+J167+J168</f>
        <v>-59741.2760416667</v>
      </c>
      <c r="K169" s="70" t="n">
        <f aca="false">K163+K164+K165+K166+K167+K168</f>
        <v>-59975.4166666667</v>
      </c>
      <c r="L169" s="70" t="n">
        <f aca="false">L163+L164+L165+L166+L167+L168</f>
        <v>-60209.5572916667</v>
      </c>
      <c r="M169" s="70" t="n">
        <f aca="false">M163+M164+M165+M166+M167+M168</f>
        <v>-60443.6979166667</v>
      </c>
      <c r="N169" s="70" t="n">
        <f aca="false">N163+N164+N165+N166+N167+N168</f>
        <v>-60677.8385416667</v>
      </c>
      <c r="O169" s="70" t="n">
        <f aca="false">O163+O164+O165+O166+O167+O168</f>
        <v>-61274.0374479167</v>
      </c>
      <c r="P169" s="70" t="n">
        <f aca="false">P163+P164+P165+P166+P167+P168</f>
        <v>-61274.0374479167</v>
      </c>
      <c r="Q169" s="70" t="n">
        <f aca="false">Q163+Q164+Q165+Q166+Q167+Q168</f>
        <v>-61274.0374479167</v>
      </c>
      <c r="R169" s="70" t="n">
        <f aca="false">R163+R164+R165+R166+R167+R168</f>
        <v>-61274.0374479167</v>
      </c>
      <c r="S169" s="70" t="n">
        <f aca="false">S163+S164+S165+S166+S167+S168</f>
        <v>-61274.0374479167</v>
      </c>
      <c r="T169" s="70" t="n">
        <f aca="false">T163+T164+T165+T166+T167+T168</f>
        <v>-61274.0374479167</v>
      </c>
      <c r="U169" s="70" t="n">
        <f aca="false">U163+U164+U165+U166+U167+U168</f>
        <v>-61274.0374479167</v>
      </c>
      <c r="V169" s="70" t="n">
        <f aca="false">V163+V164+V165+V166+V167+V168</f>
        <v>-61274.0374479167</v>
      </c>
      <c r="W169" s="70" t="n">
        <f aca="false">W163+W164+W165+W166+W167+W168</f>
        <v>-61274.0374479167</v>
      </c>
      <c r="X169" s="70" t="n">
        <f aca="false">X163+X164+X165+X166+X167+X168</f>
        <v>-61274.0374479167</v>
      </c>
      <c r="Y169" s="70" t="n">
        <f aca="false">Y163+Y164+Y165+Y166+Y167+Y168</f>
        <v>-61274.0374479167</v>
      </c>
      <c r="Z169" s="70" t="n">
        <f aca="false">Z163+Z164+Z165+Z166+Z167+Z168</f>
        <v>-61274.0374479167</v>
      </c>
      <c r="AA169" s="70" t="n">
        <f aca="false">AA163+AA164+AA165+AA166+AA167+AA168</f>
        <v>-61977.7696409948</v>
      </c>
      <c r="AB169" s="70" t="n">
        <f aca="false">AB163+AB164+AB165+AB166+AB167+AB168</f>
        <v>-61977.7696409948</v>
      </c>
      <c r="AC169" s="70" t="n">
        <f aca="false">AC163+AC164+AC165+AC166+AC167+AC168</f>
        <v>-61977.7696409948</v>
      </c>
      <c r="AD169" s="70" t="n">
        <f aca="false">AD163+AD164+AD165+AD166+AD167+AD168</f>
        <v>-61977.7696409948</v>
      </c>
      <c r="AE169" s="70" t="n">
        <f aca="false">AE163+AE164+AE165+AE166+AE167+AE168</f>
        <v>-61977.7696409948</v>
      </c>
      <c r="AF169" s="70" t="n">
        <f aca="false">AF163+AF164+AF165+AF166+AF167+AF168</f>
        <v>-61977.7696409948</v>
      </c>
      <c r="AG169" s="70" t="n">
        <f aca="false">AG163+AG164+AG165+AG166+AG167+AG168</f>
        <v>-61977.7696409948</v>
      </c>
      <c r="AH169" s="70" t="n">
        <f aca="false">AH163+AH164+AH165+AH166+AH167+AH168</f>
        <v>-61977.7696409948</v>
      </c>
      <c r="AI169" s="70" t="n">
        <f aca="false">AI163+AI164+AI165+AI166+AI167+AI168</f>
        <v>-61977.7696409948</v>
      </c>
      <c r="AJ169" s="70" t="n">
        <f aca="false">AJ163+AJ164+AJ165+AJ166+AJ167+AJ168</f>
        <v>-61977.7696409948</v>
      </c>
      <c r="AK169" s="70" t="n">
        <f aca="false">AK163+AK164+AK165+AK166+AK167+AK168</f>
        <v>-61977.7696409948</v>
      </c>
      <c r="AL169" s="70" t="n">
        <f aca="false">AL163+AL164+AL165+AL166+AL167+AL168</f>
        <v>-61977.7696409948</v>
      </c>
      <c r="AM169" s="70" t="n">
        <f aca="false">AM163+AM164+AM165+AM166+AM167+AM168</f>
        <v>-62969.5626240064</v>
      </c>
      <c r="AN169" s="70" t="n">
        <f aca="false">AN163+AN164+AN165+AN166+AN167+AN168</f>
        <v>-62969.5626240064</v>
      </c>
      <c r="AO169" s="70" t="n">
        <f aca="false">AO163+AO164+AO165+AO166+AO167+AO168</f>
        <v>-62969.5626240064</v>
      </c>
      <c r="AP169" s="70" t="n">
        <f aca="false">AP163+AP164+AP165+AP166+AP167+AP168</f>
        <v>-62969.5626240064</v>
      </c>
      <c r="AQ169" s="70" t="n">
        <f aca="false">AQ163+AQ164+AQ165+AQ166+AQ167+AQ168</f>
        <v>-62969.5626240064</v>
      </c>
      <c r="AR169" s="70" t="n">
        <f aca="false">AR163+AR164+AR165+AR166+AR167+AR168</f>
        <v>-62969.5626240064</v>
      </c>
      <c r="AS169" s="70" t="n">
        <f aca="false">AS163+AS164+AS165+AS166+AS167+AS168</f>
        <v>-62969.5626240064</v>
      </c>
      <c r="AT169" s="70" t="n">
        <f aca="false">AT163+AT164+AT165+AT166+AT167+AT168</f>
        <v>-62969.5626240064</v>
      </c>
      <c r="AU169" s="70" t="n">
        <f aca="false">AU163+AU164+AU165+AU166+AU167+AU168</f>
        <v>-62969.5626240064</v>
      </c>
      <c r="AV169" s="70" t="n">
        <f aca="false">AV163+AV164+AV165+AV166+AV167+AV168</f>
        <v>-62969.5626240064</v>
      </c>
      <c r="AW169" s="70" t="n">
        <f aca="false">AW163+AW164+AW165+AW166+AW167+AW168</f>
        <v>-62969.5626240064</v>
      </c>
      <c r="AX169" s="70" t="n">
        <f aca="false">AX163+AX164+AX165+AX166+AX167+AX168</f>
        <v>-62969.5626240064</v>
      </c>
      <c r="AY169" s="70" t="n">
        <f aca="false">AY163+AY164+AY165+AY166+AY167+AY168</f>
        <v>-64207.1075640396</v>
      </c>
      <c r="AZ169" s="70" t="n">
        <f aca="false">AZ163+AZ164+AZ165+AZ166+AZ167+AZ168</f>
        <v>-64207.1075640396</v>
      </c>
      <c r="BA169" s="70" t="n">
        <f aca="false">BA163+BA164+BA165+BA166+BA167+BA168</f>
        <v>-64207.1075640396</v>
      </c>
      <c r="BB169" s="70" t="n">
        <f aca="false">BB163+BB164+BB165+BB166+BB167+BB168</f>
        <v>-64207.1075640396</v>
      </c>
      <c r="BC169" s="70" t="n">
        <f aca="false">BC163+BC164+BC165+BC166+BC167+BC168</f>
        <v>-64207.1075640396</v>
      </c>
      <c r="BD169" s="70" t="n">
        <f aca="false">BD163+BD164+BD165+BD166+BD167+BD168</f>
        <v>-64207.1075640396</v>
      </c>
      <c r="BE169" s="70" t="n">
        <f aca="false">BE163+BE164+BE165+BE166+BE167+BE168</f>
        <v>-64207.1075640396</v>
      </c>
      <c r="BF169" s="70" t="n">
        <f aca="false">BF163+BF164+BF165+BF166+BF167+BF168</f>
        <v>-64207.1075640396</v>
      </c>
      <c r="BG169" s="70" t="n">
        <f aca="false">BG163+BG164+BG165+BG166+BG167+BG168</f>
        <v>-64207.1075640396</v>
      </c>
      <c r="BH169" s="70" t="n">
        <f aca="false">BH163+BH164+BH165+BH166+BH167+BH168</f>
        <v>-64207.1075640396</v>
      </c>
      <c r="BI169" s="70" t="n">
        <f aca="false">BI163+BI164+BI165+BI166+BI167+BI168</f>
        <v>-64207.1075640396</v>
      </c>
      <c r="BJ169" s="70" t="n">
        <f aca="false">BJ163+BJ164+BJ165+BJ166+BJ167+BJ168</f>
        <v>-64207.1075640396</v>
      </c>
    </row>
    <row r="170" customFormat="false" ht="15" hidden="false" customHeight="false" outlineLevel="0" collapsed="false">
      <c r="A170" s="115" t="s">
        <v>48</v>
      </c>
      <c r="C170" s="70" t="n">
        <f aca="false">C160+C169</f>
        <v>-49543.5416666667</v>
      </c>
      <c r="D170" s="70" t="n">
        <f aca="false">D160+D169</f>
        <v>-44035.9635416667</v>
      </c>
      <c r="E170" s="70" t="n">
        <f aca="false">E160+E169</f>
        <v>-38528.3854166667</v>
      </c>
      <c r="F170" s="70" t="n">
        <f aca="false">F160+F169</f>
        <v>-33020.8072916667</v>
      </c>
      <c r="G170" s="70" t="n">
        <f aca="false">G160+G169</f>
        <v>-27513.2291666667</v>
      </c>
      <c r="H170" s="70" t="n">
        <f aca="false">H160+H169</f>
        <v>-22005.6510416667</v>
      </c>
      <c r="I170" s="70" t="n">
        <f aca="false">I160+I169</f>
        <v>-16498.0729166667</v>
      </c>
      <c r="J170" s="70" t="n">
        <f aca="false">J160+J169</f>
        <v>-10990.4947916667</v>
      </c>
      <c r="K170" s="70" t="n">
        <f aca="false">K160+K169</f>
        <v>-5482.91666666667</v>
      </c>
      <c r="L170" s="70" t="n">
        <f aca="false">L160+L169</f>
        <v>24.661458333343</v>
      </c>
      <c r="M170" s="70" t="n">
        <f aca="false">M160+M169</f>
        <v>5532.2395833333</v>
      </c>
      <c r="N170" s="70" t="n">
        <f aca="false">N160+N169</f>
        <v>11039.8177083333</v>
      </c>
      <c r="O170" s="70" t="n">
        <f aca="false">O160+O169</f>
        <v>22057.5009895833</v>
      </c>
      <c r="P170" s="70" t="n">
        <f aca="false">P160+P169</f>
        <v>22057.5009895833</v>
      </c>
      <c r="Q170" s="70" t="n">
        <f aca="false">Q160+Q169</f>
        <v>22057.5009895833</v>
      </c>
      <c r="R170" s="70" t="n">
        <f aca="false">R160+R169</f>
        <v>22057.5009895833</v>
      </c>
      <c r="S170" s="70" t="n">
        <f aca="false">S160+S169</f>
        <v>22057.5009895833</v>
      </c>
      <c r="T170" s="70" t="n">
        <f aca="false">T160+T169</f>
        <v>22057.5009895833</v>
      </c>
      <c r="U170" s="70" t="n">
        <f aca="false">U160+U169</f>
        <v>22057.5009895833</v>
      </c>
      <c r="V170" s="70" t="n">
        <f aca="false">V160+V169</f>
        <v>22057.5009895833</v>
      </c>
      <c r="W170" s="70" t="n">
        <f aca="false">W160+W169</f>
        <v>22057.5009895833</v>
      </c>
      <c r="X170" s="70" t="n">
        <f aca="false">X160+X169</f>
        <v>22057.5009895833</v>
      </c>
      <c r="Y170" s="70" t="n">
        <f aca="false">Y160+Y169</f>
        <v>22057.5009895833</v>
      </c>
      <c r="Z170" s="70" t="n">
        <f aca="false">Z160+Z169</f>
        <v>22057.5009895833</v>
      </c>
      <c r="AA170" s="70" t="n">
        <f aca="false">AA160+AA169</f>
        <v>27618.1936123489</v>
      </c>
      <c r="AB170" s="70" t="n">
        <f aca="false">AB160+AB169</f>
        <v>27618.1936123489</v>
      </c>
      <c r="AC170" s="70" t="n">
        <f aca="false">AC160+AC169</f>
        <v>27618.1936123489</v>
      </c>
      <c r="AD170" s="70" t="n">
        <f aca="false">AD160+AD169</f>
        <v>27618.1936123489</v>
      </c>
      <c r="AE170" s="70" t="n">
        <f aca="false">AE160+AE169</f>
        <v>27618.1936123489</v>
      </c>
      <c r="AF170" s="70" t="n">
        <f aca="false">AF160+AF169</f>
        <v>27618.1936123489</v>
      </c>
      <c r="AG170" s="70" t="n">
        <f aca="false">AG160+AG169</f>
        <v>27618.1936123489</v>
      </c>
      <c r="AH170" s="70" t="n">
        <f aca="false">AH160+AH169</f>
        <v>27618.1936123489</v>
      </c>
      <c r="AI170" s="70" t="n">
        <f aca="false">AI160+AI169</f>
        <v>27618.1936123489</v>
      </c>
      <c r="AJ170" s="70" t="n">
        <f aca="false">AJ160+AJ169</f>
        <v>27618.1936123489</v>
      </c>
      <c r="AK170" s="70" t="n">
        <f aca="false">AK160+AK169</f>
        <v>27618.1936123489</v>
      </c>
      <c r="AL170" s="70" t="n">
        <f aca="false">AL160+AL169</f>
        <v>27618.1936123489</v>
      </c>
      <c r="AM170" s="70" t="n">
        <f aca="false">AM160+AM169</f>
        <v>33308.014940216</v>
      </c>
      <c r="AN170" s="70" t="n">
        <f aca="false">AN160+AN169</f>
        <v>33308.014940216</v>
      </c>
      <c r="AO170" s="70" t="n">
        <f aca="false">AO160+AO169</f>
        <v>33308.014940216</v>
      </c>
      <c r="AP170" s="70" t="n">
        <f aca="false">AP160+AP169</f>
        <v>33308.014940216</v>
      </c>
      <c r="AQ170" s="70" t="n">
        <f aca="false">AQ160+AQ169</f>
        <v>33308.014940216</v>
      </c>
      <c r="AR170" s="70" t="n">
        <f aca="false">AR160+AR169</f>
        <v>33308.014940216</v>
      </c>
      <c r="AS170" s="70" t="n">
        <f aca="false">AS160+AS169</f>
        <v>33308.014940216</v>
      </c>
      <c r="AT170" s="70" t="n">
        <f aca="false">AT160+AT169</f>
        <v>33308.014940216</v>
      </c>
      <c r="AU170" s="70" t="n">
        <f aca="false">AU160+AU169</f>
        <v>33308.014940216</v>
      </c>
      <c r="AV170" s="70" t="n">
        <f aca="false">AV160+AV169</f>
        <v>33308.014940216</v>
      </c>
      <c r="AW170" s="70" t="n">
        <f aca="false">AW160+AW169</f>
        <v>33308.014940216</v>
      </c>
      <c r="AX170" s="70" t="n">
        <f aca="false">AX160+AX169</f>
        <v>33308.014940216</v>
      </c>
      <c r="AY170" s="70" t="n">
        <f aca="false">AY160+AY169</f>
        <v>39195.7512270564</v>
      </c>
      <c r="AZ170" s="70" t="n">
        <f aca="false">AZ160+AZ169</f>
        <v>39195.7512270564</v>
      </c>
      <c r="BA170" s="70" t="n">
        <f aca="false">BA160+BA169</f>
        <v>39195.7512270564</v>
      </c>
      <c r="BB170" s="70" t="n">
        <f aca="false">BB160+BB169</f>
        <v>39195.7512270564</v>
      </c>
      <c r="BC170" s="70" t="n">
        <f aca="false">BC160+BC169</f>
        <v>39195.7512270564</v>
      </c>
      <c r="BD170" s="70" t="n">
        <f aca="false">BD160+BD169</f>
        <v>39195.7512270564</v>
      </c>
      <c r="BE170" s="70" t="n">
        <f aca="false">BE160+BE169</f>
        <v>39195.7512270564</v>
      </c>
      <c r="BF170" s="70" t="n">
        <f aca="false">BF160+BF169</f>
        <v>39195.7512270564</v>
      </c>
      <c r="BG170" s="70" t="n">
        <f aca="false">BG160+BG169</f>
        <v>39195.7512270564</v>
      </c>
      <c r="BH170" s="70" t="n">
        <f aca="false">BH160+BH169</f>
        <v>39195.7512270564</v>
      </c>
      <c r="BI170" s="70" t="n">
        <f aca="false">BI160+BI169</f>
        <v>39195.7512270564</v>
      </c>
      <c r="BJ170" s="70" t="n">
        <f aca="false">BJ160+BJ169</f>
        <v>39195.7512270564</v>
      </c>
    </row>
    <row r="172" customFormat="false" ht="15.75" hidden="false" customHeight="true" outlineLevel="0" collapsed="false">
      <c r="A172" s="7" t="s">
        <v>425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customFormat="false" ht="15" hidden="false" customHeight="false" outlineLevel="0" collapsed="false">
      <c r="A173" s="4" t="s">
        <v>79</v>
      </c>
      <c r="C173" s="75" t="n">
        <f aca="false">C170+C190</f>
        <v>-53522.7083333334</v>
      </c>
      <c r="D173" s="75" t="n">
        <f aca="false">D170+D190</f>
        <v>-48015.1302083334</v>
      </c>
      <c r="E173" s="75" t="n">
        <f aca="false">E170+E190</f>
        <v>-42507.5520833333</v>
      </c>
      <c r="F173" s="75" t="n">
        <f aca="false">F170+F190</f>
        <v>-36999.9739583333</v>
      </c>
      <c r="G173" s="75" t="n">
        <f aca="false">G170+G190</f>
        <v>-31492.3958333333</v>
      </c>
      <c r="H173" s="75" t="n">
        <f aca="false">H170+H190</f>
        <v>-25984.8177083334</v>
      </c>
      <c r="I173" s="75" t="n">
        <f aca="false">I170+I190</f>
        <v>-20477.2395833334</v>
      </c>
      <c r="J173" s="75" t="n">
        <f aca="false">J170+J190</f>
        <v>-14969.6614583333</v>
      </c>
      <c r="K173" s="75" t="n">
        <f aca="false">K170+K190</f>
        <v>-9462.08333333334</v>
      </c>
      <c r="L173" s="75" t="n">
        <f aca="false">L170+L190</f>
        <v>-3954.50520833332</v>
      </c>
      <c r="M173" s="75" t="n">
        <f aca="false">M170+M190</f>
        <v>1553.07291666663</v>
      </c>
      <c r="N173" s="75" t="n">
        <f aca="false">N170+N190</f>
        <v>7060.65104166666</v>
      </c>
      <c r="O173" s="75" t="n">
        <f aca="false">O170+O190</f>
        <v>17870.0009895833</v>
      </c>
      <c r="P173" s="75" t="n">
        <f aca="false">P170+P190</f>
        <v>17870.0009895833</v>
      </c>
      <c r="Q173" s="75" t="n">
        <f aca="false">Q170+Q190</f>
        <v>17870.0009895833</v>
      </c>
      <c r="R173" s="75" t="n">
        <f aca="false">R170+R190</f>
        <v>17870.0009895833</v>
      </c>
      <c r="S173" s="75" t="n">
        <f aca="false">S170+S190</f>
        <v>17870.0009895833</v>
      </c>
      <c r="T173" s="75" t="n">
        <f aca="false">T170+T190</f>
        <v>17870.0009895833</v>
      </c>
      <c r="U173" s="75" t="n">
        <f aca="false">U170+U190</f>
        <v>17870.0009895833</v>
      </c>
      <c r="V173" s="75" t="n">
        <f aca="false">V170+V190</f>
        <v>17870.0009895833</v>
      </c>
      <c r="W173" s="75" t="n">
        <f aca="false">W170+W190</f>
        <v>17870.0009895833</v>
      </c>
      <c r="X173" s="75" t="n">
        <f aca="false">X170+X190</f>
        <v>17870.0009895833</v>
      </c>
      <c r="Y173" s="75" t="n">
        <f aca="false">Y170+Y190</f>
        <v>17870.0009895833</v>
      </c>
      <c r="Z173" s="75" t="n">
        <f aca="false">Z170+Z190</f>
        <v>17870.0009895833</v>
      </c>
      <c r="AA173" s="75" t="n">
        <f aca="false">AA170+AA190</f>
        <v>23222.3602790156</v>
      </c>
      <c r="AB173" s="75" t="n">
        <f aca="false">AB170+AB190</f>
        <v>23222.3602790156</v>
      </c>
      <c r="AC173" s="75" t="n">
        <f aca="false">AC170+AC190</f>
        <v>23222.3602790156</v>
      </c>
      <c r="AD173" s="75" t="n">
        <f aca="false">AD170+AD190</f>
        <v>23222.3602790156</v>
      </c>
      <c r="AE173" s="75" t="n">
        <f aca="false">AE170+AE190</f>
        <v>23222.3602790156</v>
      </c>
      <c r="AF173" s="75" t="n">
        <f aca="false">AF170+AF190</f>
        <v>23222.3602790156</v>
      </c>
      <c r="AG173" s="75" t="n">
        <f aca="false">AG170+AG190</f>
        <v>23222.3602790156</v>
      </c>
      <c r="AH173" s="75" t="n">
        <f aca="false">AH170+AH190</f>
        <v>23222.3602790156</v>
      </c>
      <c r="AI173" s="75" t="n">
        <f aca="false">AI170+AI190</f>
        <v>23222.3602790156</v>
      </c>
      <c r="AJ173" s="75" t="n">
        <f aca="false">AJ170+AJ190</f>
        <v>23222.3602790156</v>
      </c>
      <c r="AK173" s="75" t="n">
        <f aca="false">AK170+AK190</f>
        <v>23222.3602790156</v>
      </c>
      <c r="AL173" s="75" t="n">
        <f aca="false">AL170+AL190</f>
        <v>23222.3602790156</v>
      </c>
      <c r="AM173" s="75" t="n">
        <f aca="false">AM170+AM190</f>
        <v>28703.8482735494</v>
      </c>
      <c r="AN173" s="75" t="n">
        <f aca="false">AN170+AN190</f>
        <v>28703.8482735494</v>
      </c>
      <c r="AO173" s="75" t="n">
        <f aca="false">AO170+AO190</f>
        <v>28703.8482735494</v>
      </c>
      <c r="AP173" s="75" t="n">
        <f aca="false">AP170+AP190</f>
        <v>28703.8482735494</v>
      </c>
      <c r="AQ173" s="75" t="n">
        <f aca="false">AQ170+AQ190</f>
        <v>28703.8482735494</v>
      </c>
      <c r="AR173" s="75" t="n">
        <f aca="false">AR170+AR190</f>
        <v>28703.8482735494</v>
      </c>
      <c r="AS173" s="75" t="n">
        <f aca="false">AS170+AS190</f>
        <v>28703.8482735494</v>
      </c>
      <c r="AT173" s="75" t="n">
        <f aca="false">AT170+AT190</f>
        <v>28703.8482735494</v>
      </c>
      <c r="AU173" s="75" t="n">
        <f aca="false">AU170+AU190</f>
        <v>28703.8482735494</v>
      </c>
      <c r="AV173" s="75" t="n">
        <f aca="false">AV170+AV190</f>
        <v>28703.8482735494</v>
      </c>
      <c r="AW173" s="75" t="n">
        <f aca="false">AW170+AW190</f>
        <v>28703.8482735494</v>
      </c>
      <c r="AX173" s="75" t="n">
        <f aca="false">AX170+AX190</f>
        <v>28703.8482735494</v>
      </c>
      <c r="AY173" s="75" t="n">
        <f aca="false">AY170+AY190</f>
        <v>34383.2512270564</v>
      </c>
      <c r="AZ173" s="75" t="n">
        <f aca="false">AZ170+AZ190</f>
        <v>34383.2512270564</v>
      </c>
      <c r="BA173" s="75" t="n">
        <f aca="false">BA170+BA190</f>
        <v>34383.2512270564</v>
      </c>
      <c r="BB173" s="75" t="n">
        <f aca="false">BB170+BB190</f>
        <v>34383.2512270564</v>
      </c>
      <c r="BC173" s="75" t="n">
        <f aca="false">BC170+BC190</f>
        <v>34383.2512270564</v>
      </c>
      <c r="BD173" s="75" t="n">
        <f aca="false">BD170+BD190</f>
        <v>34383.2512270564</v>
      </c>
      <c r="BE173" s="75" t="n">
        <f aca="false">BE170+BE190</f>
        <v>34383.2512270564</v>
      </c>
      <c r="BF173" s="75" t="n">
        <f aca="false">BF170+BF190</f>
        <v>34383.2512270564</v>
      </c>
      <c r="BG173" s="75" t="n">
        <f aca="false">BG170+BG190</f>
        <v>34383.2512270564</v>
      </c>
      <c r="BH173" s="75" t="n">
        <f aca="false">BH170+BH190</f>
        <v>34383.2512270564</v>
      </c>
      <c r="BI173" s="75" t="n">
        <f aca="false">BI170+BI190</f>
        <v>34383.2512270564</v>
      </c>
      <c r="BJ173" s="75" t="n">
        <f aca="false">BJ170+BJ190</f>
        <v>34383.2512270564</v>
      </c>
    </row>
    <row r="174" customFormat="false" ht="15" hidden="false" customHeight="false" outlineLevel="0" collapsed="false">
      <c r="A174" s="6" t="s">
        <v>426</v>
      </c>
      <c r="C174" s="69" t="n">
        <f aca="false">-(C195+C196+C198)/2*Inputs!$C$69/12</f>
        <v>-1875</v>
      </c>
      <c r="D174" s="69" t="n">
        <f aca="false">-(D195+D196+D198)/2*Inputs!$C$69/12</f>
        <v>-1863.83928571429</v>
      </c>
      <c r="E174" s="69" t="n">
        <f aca="false">-(E195+E196+E198)/2*Inputs!$C$69/12</f>
        <v>-1841.51785714286</v>
      </c>
      <c r="F174" s="69" t="n">
        <f aca="false">-(F195+F196+F198)/2*Inputs!$C$69/12</f>
        <v>-1819.19642857143</v>
      </c>
      <c r="G174" s="69" t="n">
        <f aca="false">-(G195+G196+G198)/2*Inputs!$C$69/12</f>
        <v>-1796.875</v>
      </c>
      <c r="H174" s="69" t="n">
        <f aca="false">-(H195+H196+H198)/2*Inputs!$C$69/12</f>
        <v>-1774.55357142857</v>
      </c>
      <c r="I174" s="69" t="n">
        <f aca="false">-(I195+I196+I198)/2*Inputs!$C$69/12</f>
        <v>-1752.23214285714</v>
      </c>
      <c r="J174" s="69" t="n">
        <f aca="false">-(J195+J196+J198)/2*Inputs!$C$69/12</f>
        <v>-1729.91071428571</v>
      </c>
      <c r="K174" s="69" t="n">
        <f aca="false">-(K195+K196+K198)/2*Inputs!$C$69/12</f>
        <v>-1707.58928571429</v>
      </c>
      <c r="L174" s="69" t="n">
        <f aca="false">-(L195+L196+L198)/2*Inputs!$C$69/12</f>
        <v>-1685.26785714286</v>
      </c>
      <c r="M174" s="69" t="n">
        <f aca="false">-(M195+M196+M198)/2*Inputs!$C$69/12</f>
        <v>-1662.94642857143</v>
      </c>
      <c r="N174" s="69" t="n">
        <f aca="false">-(N195+N196+N198)/2*Inputs!$C$69/12</f>
        <v>-1640.625</v>
      </c>
      <c r="O174" s="69" t="n">
        <f aca="false">-(O195+O196+O198)/2*Inputs!$C$69/12</f>
        <v>-1618.30357142857</v>
      </c>
      <c r="P174" s="69" t="n">
        <f aca="false">-(P195+P196+P198)/2*Inputs!$C$69/12</f>
        <v>-1595.98214285714</v>
      </c>
      <c r="Q174" s="69" t="n">
        <f aca="false">-(Q195+Q196+Q198)/2*Inputs!$C$69/12</f>
        <v>-1573.66071428571</v>
      </c>
      <c r="R174" s="69" t="n">
        <f aca="false">-(R195+R196+R198)/2*Inputs!$C$69/12</f>
        <v>-1551.33928571429</v>
      </c>
      <c r="S174" s="69" t="n">
        <f aca="false">-(S195+S196+S198)/2*Inputs!$C$69/12</f>
        <v>-1529.01785714286</v>
      </c>
      <c r="T174" s="69" t="n">
        <f aca="false">-(T195+T196+T198)/2*Inputs!$C$69/12</f>
        <v>-1506.69642857143</v>
      </c>
      <c r="U174" s="69" t="n">
        <f aca="false">-(U195+U196+U198)/2*Inputs!$C$69/12</f>
        <v>-1484.375</v>
      </c>
      <c r="V174" s="69" t="n">
        <f aca="false">-(V195+V196+V198)/2*Inputs!$C$69/12</f>
        <v>-1462.05357142857</v>
      </c>
      <c r="W174" s="69" t="n">
        <f aca="false">-(W195+W196+W198)/2*Inputs!$C$69/12</f>
        <v>-1439.73214285714</v>
      </c>
      <c r="X174" s="69" t="n">
        <f aca="false">-(X195+X196+X198)/2*Inputs!$C$69/12</f>
        <v>-1417.41071428571</v>
      </c>
      <c r="Y174" s="69" t="n">
        <f aca="false">-(Y195+Y196+Y198)/2*Inputs!$C$69/12</f>
        <v>-1395.08928571429</v>
      </c>
      <c r="Z174" s="69" t="n">
        <f aca="false">-(Z195+Z196+Z198)/2*Inputs!$C$69/12</f>
        <v>-1372.76785714286</v>
      </c>
      <c r="AA174" s="69" t="n">
        <f aca="false">-(AA195+AA196+AA198)/2*Inputs!$C$69/12</f>
        <v>-1350.44642857143</v>
      </c>
      <c r="AB174" s="69" t="n">
        <f aca="false">-(AB195+AB196+AB198)/2*Inputs!$C$69/12</f>
        <v>-1328.125</v>
      </c>
      <c r="AC174" s="69" t="n">
        <f aca="false">-(AC195+AC196+AC198)/2*Inputs!$C$69/12</f>
        <v>-1305.80357142857</v>
      </c>
      <c r="AD174" s="69" t="n">
        <f aca="false">-(AD195+AD196+AD198)/2*Inputs!$C$69/12</f>
        <v>-1283.48214285714</v>
      </c>
      <c r="AE174" s="69" t="n">
        <f aca="false">-(AE195+AE196+AE198)/2*Inputs!$C$69/12</f>
        <v>-1261.16071428572</v>
      </c>
      <c r="AF174" s="69" t="n">
        <f aca="false">-(AF195+AF196+AF198)/2*Inputs!$C$69/12</f>
        <v>-1238.83928571429</v>
      </c>
      <c r="AG174" s="69" t="n">
        <f aca="false">-(AG195+AG196+AG198)/2*Inputs!$C$69/12</f>
        <v>-1216.51785714286</v>
      </c>
      <c r="AH174" s="69" t="n">
        <f aca="false">-(AH195+AH196+AH198)/2*Inputs!$C$69/12</f>
        <v>-1194.19642857143</v>
      </c>
      <c r="AI174" s="69" t="n">
        <f aca="false">-(AI195+AI196+AI198)/2*Inputs!$C$69/12</f>
        <v>-1171.875</v>
      </c>
      <c r="AJ174" s="69" t="n">
        <f aca="false">-(AJ195+AJ196+AJ198)/2*Inputs!$C$69/12</f>
        <v>-1149.55357142857</v>
      </c>
      <c r="AK174" s="69" t="n">
        <f aca="false">-(AK195+AK196+AK198)/2*Inputs!$C$69/12</f>
        <v>-1127.23214285714</v>
      </c>
      <c r="AL174" s="69" t="n">
        <f aca="false">-(AL195+AL196+AL198)/2*Inputs!$C$69/12</f>
        <v>-1104.91071428572</v>
      </c>
      <c r="AM174" s="69" t="n">
        <f aca="false">-(AM195+AM196+AM198)/2*Inputs!$C$69/12</f>
        <v>-1082.58928571429</v>
      </c>
      <c r="AN174" s="69" t="n">
        <f aca="false">-(AN195+AN196+AN198)/2*Inputs!$C$69/12</f>
        <v>-1060.26785714286</v>
      </c>
      <c r="AO174" s="69" t="n">
        <f aca="false">-(AO195+AO196+AO198)/2*Inputs!$C$69/12</f>
        <v>-1037.94642857143</v>
      </c>
      <c r="AP174" s="69" t="n">
        <f aca="false">-(AP195+AP196+AP198)/2*Inputs!$C$69/12</f>
        <v>-1015.625</v>
      </c>
      <c r="AQ174" s="69" t="n">
        <f aca="false">-(AQ195+AQ196+AQ198)/2*Inputs!$C$69/12</f>
        <v>-993.303571428572</v>
      </c>
      <c r="AR174" s="69" t="n">
        <f aca="false">-(AR195+AR196+AR198)/2*Inputs!$C$69/12</f>
        <v>-970.982142857144</v>
      </c>
      <c r="AS174" s="69" t="n">
        <f aca="false">-(AS195+AS196+AS198)/2*Inputs!$C$69/12</f>
        <v>-948.660714285715</v>
      </c>
      <c r="AT174" s="69" t="n">
        <f aca="false">-(AT195+AT196+AT198)/2*Inputs!$C$69/12</f>
        <v>-926.339285714287</v>
      </c>
      <c r="AU174" s="69" t="n">
        <f aca="false">-(AU195+AU196+AU198)/2*Inputs!$C$69/12</f>
        <v>-904.017857142858</v>
      </c>
      <c r="AV174" s="69" t="n">
        <f aca="false">-(AV195+AV196+AV198)/2*Inputs!$C$69/12</f>
        <v>-881.69642857143</v>
      </c>
      <c r="AW174" s="69" t="n">
        <f aca="false">-(AW195+AW196+AW198)/2*Inputs!$C$69/12</f>
        <v>-859.375000000001</v>
      </c>
      <c r="AX174" s="69" t="n">
        <f aca="false">-(AX195+AX196+AX198)/2*Inputs!$C$69/12</f>
        <v>-837.053571428572</v>
      </c>
      <c r="AY174" s="69" t="n">
        <f aca="false">-(AY195+AY196+AY198)/2*Inputs!$C$69/12</f>
        <v>-814.732142857144</v>
      </c>
      <c r="AZ174" s="69" t="n">
        <f aca="false">-(AZ195+AZ196+AZ198)/2*Inputs!$C$69/12</f>
        <v>-792.410714285715</v>
      </c>
      <c r="BA174" s="69" t="n">
        <f aca="false">-(BA195+BA196+BA198)/2*Inputs!$C$69/12</f>
        <v>-770.089285714287</v>
      </c>
      <c r="BB174" s="69" t="n">
        <f aca="false">-(BB195+BB196+BB198)/2*Inputs!$C$69/12</f>
        <v>-747.767857142858</v>
      </c>
      <c r="BC174" s="69" t="n">
        <f aca="false">-(BC195+BC196+BC198)/2*Inputs!$C$69/12</f>
        <v>-725.44642857143</v>
      </c>
      <c r="BD174" s="69" t="n">
        <f aca="false">-(BD195+BD196+BD198)/2*Inputs!$C$69/12</f>
        <v>-703.125000000001</v>
      </c>
      <c r="BE174" s="69" t="n">
        <f aca="false">-(BE195+BE196+BE198)/2*Inputs!$C$69/12</f>
        <v>-680.803571428573</v>
      </c>
      <c r="BF174" s="69" t="n">
        <f aca="false">-(BF195+BF196+BF198)/2*Inputs!$C$69/12</f>
        <v>-658.482142857144</v>
      </c>
      <c r="BG174" s="69" t="n">
        <f aca="false">-(BG195+BG196+BG198)/2*Inputs!$C$69/12</f>
        <v>-636.160714285716</v>
      </c>
      <c r="BH174" s="69" t="n">
        <f aca="false">-(BH195+BH196+BH198)/2*Inputs!$C$69/12</f>
        <v>-613.839285714287</v>
      </c>
      <c r="BI174" s="69" t="n">
        <f aca="false">-(BI195+BI196+BI198)/2*Inputs!$C$69/12</f>
        <v>-591.517857142858</v>
      </c>
      <c r="BJ174" s="69" t="n">
        <f aca="false">-(BJ195+BJ196+BJ198)/2*Inputs!$C$69/12</f>
        <v>-569.19642857143</v>
      </c>
    </row>
    <row r="175" customFormat="false" ht="15" hidden="false" customHeight="false" outlineLevel="0" collapsed="false">
      <c r="A175" s="115" t="s">
        <v>81</v>
      </c>
      <c r="C175" s="70" t="n">
        <f aca="false">C173+C174</f>
        <v>-55397.7083333334</v>
      </c>
      <c r="D175" s="70" t="n">
        <f aca="false">D173+D174</f>
        <v>-49878.9694940476</v>
      </c>
      <c r="E175" s="70" t="n">
        <f aca="false">E173+E174</f>
        <v>-44349.0699404762</v>
      </c>
      <c r="F175" s="70" t="n">
        <f aca="false">F173+F174</f>
        <v>-38819.1703869048</v>
      </c>
      <c r="G175" s="70" t="n">
        <f aca="false">G173+G174</f>
        <v>-33289.2708333333</v>
      </c>
      <c r="H175" s="70" t="n">
        <f aca="false">H173+H174</f>
        <v>-27759.3712797619</v>
      </c>
      <c r="I175" s="70" t="n">
        <f aca="false">I173+I174</f>
        <v>-22229.4717261905</v>
      </c>
      <c r="J175" s="70" t="n">
        <f aca="false">J173+J174</f>
        <v>-16699.5721726191</v>
      </c>
      <c r="K175" s="70" t="n">
        <f aca="false">K173+K174</f>
        <v>-11169.6726190476</v>
      </c>
      <c r="L175" s="70" t="n">
        <f aca="false">L173+L174</f>
        <v>-5639.77306547618</v>
      </c>
      <c r="M175" s="70" t="n">
        <f aca="false">M173+M174</f>
        <v>-109.873511904796</v>
      </c>
      <c r="N175" s="70" t="n">
        <f aca="false">N173+N174</f>
        <v>5420.02604166666</v>
      </c>
      <c r="O175" s="70" t="n">
        <f aca="false">O173+O174</f>
        <v>16251.6974181548</v>
      </c>
      <c r="P175" s="70" t="n">
        <f aca="false">P173+P174</f>
        <v>16274.0188467262</v>
      </c>
      <c r="Q175" s="70" t="n">
        <f aca="false">Q173+Q174</f>
        <v>16296.3402752976</v>
      </c>
      <c r="R175" s="70" t="n">
        <f aca="false">R173+R174</f>
        <v>16318.661703869</v>
      </c>
      <c r="S175" s="70" t="n">
        <f aca="false">S173+S174</f>
        <v>16340.9831324405</v>
      </c>
      <c r="T175" s="70" t="n">
        <f aca="false">T173+T174</f>
        <v>16363.3045610119</v>
      </c>
      <c r="U175" s="70" t="n">
        <f aca="false">U173+U174</f>
        <v>16385.6259895833</v>
      </c>
      <c r="V175" s="70" t="n">
        <f aca="false">V173+V174</f>
        <v>16407.9474181548</v>
      </c>
      <c r="W175" s="70" t="n">
        <f aca="false">W173+W174</f>
        <v>16430.2688467262</v>
      </c>
      <c r="X175" s="70" t="n">
        <f aca="false">X173+X174</f>
        <v>16452.5902752976</v>
      </c>
      <c r="Y175" s="70" t="n">
        <f aca="false">Y173+Y174</f>
        <v>16474.911703869</v>
      </c>
      <c r="Z175" s="70" t="n">
        <f aca="false">Z173+Z174</f>
        <v>16497.2331324405</v>
      </c>
      <c r="AA175" s="70" t="n">
        <f aca="false">AA173+AA174</f>
        <v>21871.9138504442</v>
      </c>
      <c r="AB175" s="70" t="n">
        <f aca="false">AB173+AB174</f>
        <v>21894.2352790156</v>
      </c>
      <c r="AC175" s="70" t="n">
        <f aca="false">AC173+AC174</f>
        <v>21916.556707587</v>
      </c>
      <c r="AD175" s="70" t="n">
        <f aca="false">AD173+AD174</f>
        <v>21938.8781361585</v>
      </c>
      <c r="AE175" s="70" t="n">
        <f aca="false">AE173+AE174</f>
        <v>21961.1995647299</v>
      </c>
      <c r="AF175" s="70" t="n">
        <f aca="false">AF173+AF174</f>
        <v>21983.5209933013</v>
      </c>
      <c r="AG175" s="70" t="n">
        <f aca="false">AG173+AG174</f>
        <v>22005.8424218727</v>
      </c>
      <c r="AH175" s="70" t="n">
        <f aca="false">AH173+AH174</f>
        <v>22028.1638504442</v>
      </c>
      <c r="AI175" s="70" t="n">
        <f aca="false">AI173+AI174</f>
        <v>22050.4852790156</v>
      </c>
      <c r="AJ175" s="70" t="n">
        <f aca="false">AJ173+AJ174</f>
        <v>22072.806707587</v>
      </c>
      <c r="AK175" s="70" t="n">
        <f aca="false">AK173+AK174</f>
        <v>22095.1281361585</v>
      </c>
      <c r="AL175" s="70" t="n">
        <f aca="false">AL173+AL174</f>
        <v>22117.4495647299</v>
      </c>
      <c r="AM175" s="70" t="n">
        <f aca="false">AM173+AM174</f>
        <v>27621.2589878351</v>
      </c>
      <c r="AN175" s="70" t="n">
        <f aca="false">AN173+AN174</f>
        <v>27643.5804164065</v>
      </c>
      <c r="AO175" s="70" t="n">
        <f aca="false">AO173+AO174</f>
        <v>27665.9018449779</v>
      </c>
      <c r="AP175" s="70" t="n">
        <f aca="false">AP173+AP174</f>
        <v>27688.2232735494</v>
      </c>
      <c r="AQ175" s="70" t="n">
        <f aca="false">AQ173+AQ174</f>
        <v>27710.5447021208</v>
      </c>
      <c r="AR175" s="70" t="n">
        <f aca="false">AR173+AR174</f>
        <v>27732.8661306922</v>
      </c>
      <c r="AS175" s="70" t="n">
        <f aca="false">AS173+AS174</f>
        <v>27755.1875592636</v>
      </c>
      <c r="AT175" s="70" t="n">
        <f aca="false">AT173+AT174</f>
        <v>27777.5089878351</v>
      </c>
      <c r="AU175" s="70" t="n">
        <f aca="false">AU173+AU174</f>
        <v>27799.8304164065</v>
      </c>
      <c r="AV175" s="70" t="n">
        <f aca="false">AV173+AV174</f>
        <v>27822.1518449779</v>
      </c>
      <c r="AW175" s="70" t="n">
        <f aca="false">AW173+AW174</f>
        <v>27844.4732735494</v>
      </c>
      <c r="AX175" s="70" t="n">
        <f aca="false">AX173+AX174</f>
        <v>27866.7947021208</v>
      </c>
      <c r="AY175" s="70" t="n">
        <f aca="false">AY173+AY174</f>
        <v>33568.5190841993</v>
      </c>
      <c r="AZ175" s="70" t="n">
        <f aca="false">AZ173+AZ174</f>
        <v>33590.8405127707</v>
      </c>
      <c r="BA175" s="70" t="n">
        <f aca="false">BA173+BA174</f>
        <v>33613.1619413421</v>
      </c>
      <c r="BB175" s="70" t="n">
        <f aca="false">BB173+BB174</f>
        <v>33635.4833699136</v>
      </c>
      <c r="BC175" s="70" t="n">
        <f aca="false">BC173+BC174</f>
        <v>33657.804798485</v>
      </c>
      <c r="BD175" s="70" t="n">
        <f aca="false">BD173+BD174</f>
        <v>33680.1262270564</v>
      </c>
      <c r="BE175" s="70" t="n">
        <f aca="false">BE173+BE174</f>
        <v>33702.4476556279</v>
      </c>
      <c r="BF175" s="70" t="n">
        <f aca="false">BF173+BF174</f>
        <v>33724.7690841993</v>
      </c>
      <c r="BG175" s="70" t="n">
        <f aca="false">BG173+BG174</f>
        <v>33747.0905127707</v>
      </c>
      <c r="BH175" s="70" t="n">
        <f aca="false">BH173+BH174</f>
        <v>33769.4119413421</v>
      </c>
      <c r="BI175" s="70" t="n">
        <f aca="false">BI173+BI174</f>
        <v>33791.7333699136</v>
      </c>
      <c r="BJ175" s="70" t="n">
        <f aca="false">BJ173+BJ174</f>
        <v>33814.054798485</v>
      </c>
    </row>
    <row r="176" customFormat="false" ht="15" hidden="false" customHeight="false" outlineLevel="0" collapsed="false">
      <c r="A176" s="118" t="s">
        <v>427</v>
      </c>
      <c r="C176" s="69" t="n">
        <f aca="false">C175</f>
        <v>-55397.7083333334</v>
      </c>
      <c r="D176" s="69" t="n">
        <f aca="false">C176+D175</f>
        <v>-105276.677827381</v>
      </c>
      <c r="E176" s="69" t="n">
        <f aca="false">D176+E175</f>
        <v>-149625.747767857</v>
      </c>
      <c r="F176" s="69" t="n">
        <f aca="false">E176+F175</f>
        <v>-188444.918154762</v>
      </c>
      <c r="G176" s="69" t="n">
        <f aca="false">F176+G175</f>
        <v>-221734.188988095</v>
      </c>
      <c r="H176" s="69" t="n">
        <f aca="false">G176+H175</f>
        <v>-249493.560267857</v>
      </c>
      <c r="I176" s="69" t="n">
        <f aca="false">H176+I175</f>
        <v>-271723.031994048</v>
      </c>
      <c r="J176" s="69" t="n">
        <f aca="false">I176+J175</f>
        <v>-288422.604166667</v>
      </c>
      <c r="K176" s="69" t="n">
        <f aca="false">J176+K175</f>
        <v>-299592.276785714</v>
      </c>
      <c r="L176" s="69" t="n">
        <f aca="false">K176+L175</f>
        <v>-305232.049851191</v>
      </c>
      <c r="M176" s="69" t="n">
        <f aca="false">L176+M175</f>
        <v>-305341.923363095</v>
      </c>
      <c r="N176" s="69" t="n">
        <f aca="false">M176+N175</f>
        <v>-299921.897321429</v>
      </c>
      <c r="O176" s="69" t="n">
        <f aca="false">N176+O175</f>
        <v>-283670.199903274</v>
      </c>
      <c r="P176" s="69" t="n">
        <f aca="false">O176+P175</f>
        <v>-267396.181056548</v>
      </c>
      <c r="Q176" s="69" t="n">
        <f aca="false">P176+Q175</f>
        <v>-251099.84078125</v>
      </c>
      <c r="R176" s="69" t="n">
        <f aca="false">Q176+R175</f>
        <v>-234781.179077381</v>
      </c>
      <c r="S176" s="69" t="n">
        <f aca="false">R176+S175</f>
        <v>-218440.195944941</v>
      </c>
      <c r="T176" s="69" t="n">
        <f aca="false">S176+T175</f>
        <v>-202076.891383929</v>
      </c>
      <c r="U176" s="69" t="n">
        <f aca="false">T176+U175</f>
        <v>-185691.265394345</v>
      </c>
      <c r="V176" s="69" t="n">
        <f aca="false">U176+V175</f>
        <v>-169283.317976191</v>
      </c>
      <c r="W176" s="69" t="n">
        <f aca="false">V176+W175</f>
        <v>-152853.049129464</v>
      </c>
      <c r="X176" s="69" t="n">
        <f aca="false">W176+X175</f>
        <v>-136400.458854167</v>
      </c>
      <c r="Y176" s="69" t="n">
        <f aca="false">X176+Y175</f>
        <v>-119925.547150298</v>
      </c>
      <c r="Z176" s="69" t="n">
        <f aca="false">Y176+Z175</f>
        <v>-103428.314017857</v>
      </c>
      <c r="AA176" s="69" t="n">
        <f aca="false">Z176+AA175</f>
        <v>-81556.4001674131</v>
      </c>
      <c r="AB176" s="69" t="n">
        <f aca="false">AA176+AB175</f>
        <v>-59662.1648883975</v>
      </c>
      <c r="AC176" s="69" t="n">
        <f aca="false">AB176+AC175</f>
        <v>-37745.6081808105</v>
      </c>
      <c r="AD176" s="69" t="n">
        <f aca="false">AC176+AD175</f>
        <v>-15806.730044652</v>
      </c>
      <c r="AE176" s="69" t="n">
        <f aca="false">AD176+AE175</f>
        <v>6154.46952007784</v>
      </c>
      <c r="AF176" s="69" t="n">
        <f aca="false">AE176+AF175</f>
        <v>28137.9905133792</v>
      </c>
      <c r="AG176" s="69" t="n">
        <f aca="false">AF176+AG175</f>
        <v>50143.8329352519</v>
      </c>
      <c r="AH176" s="69" t="n">
        <f aca="false">AG176+AH175</f>
        <v>72171.9967856961</v>
      </c>
      <c r="AI176" s="69" t="n">
        <f aca="false">AH176+AI175</f>
        <v>94222.4820647117</v>
      </c>
      <c r="AJ176" s="69" t="n">
        <f aca="false">AI176+AJ175</f>
        <v>116295.288772299</v>
      </c>
      <c r="AK176" s="69" t="n">
        <f aca="false">AJ176+AK175</f>
        <v>138390.416908457</v>
      </c>
      <c r="AL176" s="69" t="n">
        <f aca="false">AK176+AL175</f>
        <v>160507.866473187</v>
      </c>
      <c r="AM176" s="69" t="n">
        <f aca="false">AL176+AM175</f>
        <v>188129.125461022</v>
      </c>
      <c r="AN176" s="69" t="n">
        <f aca="false">AM176+AN175</f>
        <v>215772.705877429</v>
      </c>
      <c r="AO176" s="69" t="n">
        <f aca="false">AN176+AO175</f>
        <v>243438.607722406</v>
      </c>
      <c r="AP176" s="69" t="n">
        <f aca="false">AO176+AP175</f>
        <v>271126.830995956</v>
      </c>
      <c r="AQ176" s="69" t="n">
        <f aca="false">AP176+AQ175</f>
        <v>298837.375698077</v>
      </c>
      <c r="AR176" s="69" t="n">
        <f aca="false">AQ176+AR175</f>
        <v>326570.241828769</v>
      </c>
      <c r="AS176" s="69" t="n">
        <f aca="false">AR176+AS175</f>
        <v>354325.429388032</v>
      </c>
      <c r="AT176" s="69" t="n">
        <f aca="false">AS176+AT175</f>
        <v>382102.938375868</v>
      </c>
      <c r="AU176" s="69" t="n">
        <f aca="false">AT176+AU175</f>
        <v>409902.768792274</v>
      </c>
      <c r="AV176" s="69" t="n">
        <f aca="false">AU176+AV175</f>
        <v>437724.920637252</v>
      </c>
      <c r="AW176" s="69" t="n">
        <f aca="false">AV176+AW175</f>
        <v>465569.393910801</v>
      </c>
      <c r="AX176" s="69" t="n">
        <f aca="false">AW176+AX175</f>
        <v>493436.188612922</v>
      </c>
      <c r="AY176" s="69" t="n">
        <f aca="false">AX176+AY175</f>
        <v>527004.707697121</v>
      </c>
      <c r="AZ176" s="69" t="n">
        <f aca="false">AY176+AZ175</f>
        <v>560595.548209892</v>
      </c>
      <c r="BA176" s="69" t="n">
        <f aca="false">AZ176+BA175</f>
        <v>594208.710151234</v>
      </c>
      <c r="BB176" s="69" t="n">
        <f aca="false">BA176+BB175</f>
        <v>627844.193521148</v>
      </c>
      <c r="BC176" s="69" t="n">
        <f aca="false">BB176+BC175</f>
        <v>661501.998319633</v>
      </c>
      <c r="BD176" s="69" t="n">
        <f aca="false">BC176+BD175</f>
        <v>695182.124546689</v>
      </c>
      <c r="BE176" s="69" t="n">
        <f aca="false">BD176+BE175</f>
        <v>728884.572202317</v>
      </c>
      <c r="BF176" s="69" t="n">
        <f aca="false">BE176+BF175</f>
        <v>762609.341286516</v>
      </c>
      <c r="BG176" s="69" t="n">
        <f aca="false">BF176+BG175</f>
        <v>796356.431799287</v>
      </c>
      <c r="BH176" s="69" t="n">
        <f aca="false">BG176+BH175</f>
        <v>830125.843740629</v>
      </c>
      <c r="BI176" s="69" t="n">
        <f aca="false">BH176+BI175</f>
        <v>863917.577110543</v>
      </c>
      <c r="BJ176" s="69" t="n">
        <f aca="false">BI176+BJ175</f>
        <v>897731.631909028</v>
      </c>
    </row>
    <row r="177" customFormat="false" ht="15" hidden="false" customHeight="false" outlineLevel="0" collapsed="false">
      <c r="A177" s="118" t="s">
        <v>428</v>
      </c>
      <c r="C177" s="69" t="n">
        <f aca="false">MAX(0,C176)</f>
        <v>0</v>
      </c>
      <c r="D177" s="69" t="n">
        <f aca="false">MAX(C177,D176)</f>
        <v>0</v>
      </c>
      <c r="E177" s="69" t="n">
        <f aca="false">MAX(D177,E176)</f>
        <v>0</v>
      </c>
      <c r="F177" s="69" t="n">
        <f aca="false">MAX(E177,F176)</f>
        <v>0</v>
      </c>
      <c r="G177" s="69" t="n">
        <f aca="false">MAX(F177,G176)</f>
        <v>0</v>
      </c>
      <c r="H177" s="69" t="n">
        <f aca="false">MAX(G177,H176)</f>
        <v>0</v>
      </c>
      <c r="I177" s="69" t="n">
        <f aca="false">MAX(H177,I176)</f>
        <v>0</v>
      </c>
      <c r="J177" s="69" t="n">
        <f aca="false">MAX(I177,J176)</f>
        <v>0</v>
      </c>
      <c r="K177" s="69" t="n">
        <f aca="false">MAX(J177,K176)</f>
        <v>0</v>
      </c>
      <c r="L177" s="69" t="n">
        <f aca="false">MAX(K177,L176)</f>
        <v>0</v>
      </c>
      <c r="M177" s="69" t="n">
        <f aca="false">MAX(L177,M176)</f>
        <v>0</v>
      </c>
      <c r="N177" s="69" t="n">
        <f aca="false">MAX(M177,N176)</f>
        <v>0</v>
      </c>
      <c r="O177" s="69" t="n">
        <f aca="false">MAX(N177,O176)</f>
        <v>0</v>
      </c>
      <c r="P177" s="69" t="n">
        <f aca="false">MAX(O177,P176)</f>
        <v>0</v>
      </c>
      <c r="Q177" s="69" t="n">
        <f aca="false">MAX(P177,Q176)</f>
        <v>0</v>
      </c>
      <c r="R177" s="69" t="n">
        <f aca="false">MAX(Q177,R176)</f>
        <v>0</v>
      </c>
      <c r="S177" s="69" t="n">
        <f aca="false">MAX(R177,S176)</f>
        <v>0</v>
      </c>
      <c r="T177" s="69" t="n">
        <f aca="false">MAX(S177,T176)</f>
        <v>0</v>
      </c>
      <c r="U177" s="69" t="n">
        <f aca="false">MAX(T177,U176)</f>
        <v>0</v>
      </c>
      <c r="V177" s="69" t="n">
        <f aca="false">MAX(U177,V176)</f>
        <v>0</v>
      </c>
      <c r="W177" s="69" t="n">
        <f aca="false">MAX(V177,W176)</f>
        <v>0</v>
      </c>
      <c r="X177" s="69" t="n">
        <f aca="false">MAX(W177,X176)</f>
        <v>0</v>
      </c>
      <c r="Y177" s="69" t="n">
        <f aca="false">MAX(X177,Y176)</f>
        <v>0</v>
      </c>
      <c r="Z177" s="69" t="n">
        <f aca="false">MAX(Y177,Z176)</f>
        <v>0</v>
      </c>
      <c r="AA177" s="69" t="n">
        <f aca="false">MAX(Z177,AA176)</f>
        <v>0</v>
      </c>
      <c r="AB177" s="69" t="n">
        <f aca="false">MAX(AA177,AB176)</f>
        <v>0</v>
      </c>
      <c r="AC177" s="69" t="n">
        <f aca="false">MAX(AB177,AC176)</f>
        <v>0</v>
      </c>
      <c r="AD177" s="69" t="n">
        <f aca="false">MAX(AC177,AD176)</f>
        <v>0</v>
      </c>
      <c r="AE177" s="69" t="n">
        <f aca="false">MAX(AD177,AE176)</f>
        <v>6154.46952007784</v>
      </c>
      <c r="AF177" s="69" t="n">
        <f aca="false">MAX(AE177,AF176)</f>
        <v>28137.9905133792</v>
      </c>
      <c r="AG177" s="69" t="n">
        <f aca="false">MAX(AF177,AG176)</f>
        <v>50143.8329352519</v>
      </c>
      <c r="AH177" s="69" t="n">
        <f aca="false">MAX(AG177,AH176)</f>
        <v>72171.9967856961</v>
      </c>
      <c r="AI177" s="69" t="n">
        <f aca="false">MAX(AH177,AI176)</f>
        <v>94222.4820647117</v>
      </c>
      <c r="AJ177" s="69" t="n">
        <f aca="false">MAX(AI177,AJ176)</f>
        <v>116295.288772299</v>
      </c>
      <c r="AK177" s="69" t="n">
        <f aca="false">MAX(AJ177,AK176)</f>
        <v>138390.416908457</v>
      </c>
      <c r="AL177" s="69" t="n">
        <f aca="false">MAX(AK177,AL176)</f>
        <v>160507.866473187</v>
      </c>
      <c r="AM177" s="69" t="n">
        <f aca="false">MAX(AL177,AM176)</f>
        <v>188129.125461022</v>
      </c>
      <c r="AN177" s="69" t="n">
        <f aca="false">MAX(AM177,AN176)</f>
        <v>215772.705877429</v>
      </c>
      <c r="AO177" s="69" t="n">
        <f aca="false">MAX(AN177,AO176)</f>
        <v>243438.607722406</v>
      </c>
      <c r="AP177" s="69" t="n">
        <f aca="false">MAX(AO177,AP176)</f>
        <v>271126.830995956</v>
      </c>
      <c r="AQ177" s="69" t="n">
        <f aca="false">MAX(AP177,AQ176)</f>
        <v>298837.375698077</v>
      </c>
      <c r="AR177" s="69" t="n">
        <f aca="false">MAX(AQ177,AR176)</f>
        <v>326570.241828769</v>
      </c>
      <c r="AS177" s="69" t="n">
        <f aca="false">MAX(AR177,AS176)</f>
        <v>354325.429388032</v>
      </c>
      <c r="AT177" s="69" t="n">
        <f aca="false">MAX(AS177,AT176)</f>
        <v>382102.938375868</v>
      </c>
      <c r="AU177" s="69" t="n">
        <f aca="false">MAX(AT177,AU176)</f>
        <v>409902.768792274</v>
      </c>
      <c r="AV177" s="69" t="n">
        <f aca="false">MAX(AU177,AV176)</f>
        <v>437724.920637252</v>
      </c>
      <c r="AW177" s="69" t="n">
        <f aca="false">MAX(AV177,AW176)</f>
        <v>465569.393910801</v>
      </c>
      <c r="AX177" s="69" t="n">
        <f aca="false">MAX(AW177,AX176)</f>
        <v>493436.188612922</v>
      </c>
      <c r="AY177" s="69" t="n">
        <f aca="false">MAX(AX177,AY176)</f>
        <v>527004.707697121</v>
      </c>
      <c r="AZ177" s="69" t="n">
        <f aca="false">MAX(AY177,AZ176)</f>
        <v>560595.548209892</v>
      </c>
      <c r="BA177" s="69" t="n">
        <f aca="false">MAX(AZ177,BA176)</f>
        <v>594208.710151234</v>
      </c>
      <c r="BB177" s="69" t="n">
        <f aca="false">MAX(BA177,BB176)</f>
        <v>627844.193521148</v>
      </c>
      <c r="BC177" s="69" t="n">
        <f aca="false">MAX(BB177,BC176)</f>
        <v>661501.998319633</v>
      </c>
      <c r="BD177" s="69" t="n">
        <f aca="false">MAX(BC177,BD176)</f>
        <v>695182.124546689</v>
      </c>
      <c r="BE177" s="69" t="n">
        <f aca="false">MAX(BD177,BE176)</f>
        <v>728884.572202317</v>
      </c>
      <c r="BF177" s="69" t="n">
        <f aca="false">MAX(BE177,BF176)</f>
        <v>762609.341286516</v>
      </c>
      <c r="BG177" s="69" t="n">
        <f aca="false">MAX(BF177,BG176)</f>
        <v>796356.431799287</v>
      </c>
      <c r="BH177" s="69" t="n">
        <f aca="false">MAX(BG177,BH176)</f>
        <v>830125.843740629</v>
      </c>
      <c r="BI177" s="69" t="n">
        <f aca="false">MAX(BH177,BI176)</f>
        <v>863917.577110543</v>
      </c>
      <c r="BJ177" s="69" t="n">
        <f aca="false">MAX(BI177,BJ176)</f>
        <v>897731.631909028</v>
      </c>
    </row>
    <row r="178" customFormat="false" ht="15" hidden="false" customHeight="false" outlineLevel="0" collapsed="false">
      <c r="A178" s="6" t="s">
        <v>82</v>
      </c>
      <c r="C178" s="69" t="n">
        <f aca="false">-C177*Inputs!$C$79</f>
        <v>-0</v>
      </c>
      <c r="D178" s="69" t="n">
        <f aca="false">-(D177-C177)*Inputs!$C$79</f>
        <v>-0</v>
      </c>
      <c r="E178" s="69" t="n">
        <f aca="false">-(E177-D177)*Inputs!$C$79</f>
        <v>-0</v>
      </c>
      <c r="F178" s="69" t="n">
        <f aca="false">-(F177-E177)*Inputs!$C$79</f>
        <v>-0</v>
      </c>
      <c r="G178" s="69" t="n">
        <f aca="false">-(G177-F177)*Inputs!$C$79</f>
        <v>-0</v>
      </c>
      <c r="H178" s="69" t="n">
        <f aca="false">-(H177-G177)*Inputs!$C$79</f>
        <v>-0</v>
      </c>
      <c r="I178" s="69" t="n">
        <f aca="false">-(I177-H177)*Inputs!$C$79</f>
        <v>-0</v>
      </c>
      <c r="J178" s="69" t="n">
        <f aca="false">-(J177-I177)*Inputs!$C$79</f>
        <v>-0</v>
      </c>
      <c r="K178" s="69" t="n">
        <f aca="false">-(K177-J177)*Inputs!$C$79</f>
        <v>-0</v>
      </c>
      <c r="L178" s="69" t="n">
        <f aca="false">-(L177-K177)*Inputs!$C$79</f>
        <v>-0</v>
      </c>
      <c r="M178" s="69" t="n">
        <f aca="false">-(M177-L177)*Inputs!$C$79</f>
        <v>-0</v>
      </c>
      <c r="N178" s="69" t="n">
        <f aca="false">-(N177-M177)*Inputs!$C$79</f>
        <v>-0</v>
      </c>
      <c r="O178" s="69" t="n">
        <f aca="false">-(O177-N177)*Inputs!$C$79</f>
        <v>-0</v>
      </c>
      <c r="P178" s="69" t="n">
        <f aca="false">-(P177-O177)*Inputs!$C$79</f>
        <v>-0</v>
      </c>
      <c r="Q178" s="69" t="n">
        <f aca="false">-(Q177-P177)*Inputs!$C$79</f>
        <v>-0</v>
      </c>
      <c r="R178" s="69" t="n">
        <f aca="false">-(R177-Q177)*Inputs!$C$79</f>
        <v>-0</v>
      </c>
      <c r="S178" s="69" t="n">
        <f aca="false">-(S177-R177)*Inputs!$C$79</f>
        <v>-0</v>
      </c>
      <c r="T178" s="69" t="n">
        <f aca="false">-(T177-S177)*Inputs!$C$79</f>
        <v>-0</v>
      </c>
      <c r="U178" s="69" t="n">
        <f aca="false">-(U177-T177)*Inputs!$C$79</f>
        <v>-0</v>
      </c>
      <c r="V178" s="69" t="n">
        <f aca="false">-(V177-U177)*Inputs!$C$79</f>
        <v>-0</v>
      </c>
      <c r="W178" s="69" t="n">
        <f aca="false">-(W177-V177)*Inputs!$C$79</f>
        <v>-0</v>
      </c>
      <c r="X178" s="69" t="n">
        <f aca="false">-(X177-W177)*Inputs!$C$79</f>
        <v>-0</v>
      </c>
      <c r="Y178" s="69" t="n">
        <f aca="false">-(Y177-X177)*Inputs!$C$79</f>
        <v>-0</v>
      </c>
      <c r="Z178" s="69" t="n">
        <f aca="false">-(Z177-Y177)*Inputs!$C$79</f>
        <v>-0</v>
      </c>
      <c r="AA178" s="69" t="n">
        <f aca="false">-(AA177-Z177)*Inputs!$C$79</f>
        <v>-0</v>
      </c>
      <c r="AB178" s="69" t="n">
        <f aca="false">-(AB177-AA177)*Inputs!$C$79</f>
        <v>-0</v>
      </c>
      <c r="AC178" s="69" t="n">
        <f aca="false">-(AC177-AB177)*Inputs!$C$79</f>
        <v>-0</v>
      </c>
      <c r="AD178" s="69" t="n">
        <f aca="false">-(AD177-AC177)*Inputs!$C$79</f>
        <v>-0</v>
      </c>
      <c r="AE178" s="69" t="n">
        <f aca="false">-(AE177-AD177)*Inputs!$C$79</f>
        <v>-1292.43859921635</v>
      </c>
      <c r="AF178" s="69" t="n">
        <f aca="false">-(AF177-AE177)*Inputs!$C$79</f>
        <v>-4616.53940859328</v>
      </c>
      <c r="AG178" s="69" t="n">
        <f aca="false">-(AG177-AF177)*Inputs!$C$79</f>
        <v>-4621.22690859328</v>
      </c>
      <c r="AH178" s="69" t="n">
        <f aca="false">-(AH177-AG177)*Inputs!$C$79</f>
        <v>-4625.91440859328</v>
      </c>
      <c r="AI178" s="69" t="n">
        <f aca="false">-(AI177-AH177)*Inputs!$C$79</f>
        <v>-4630.60190859328</v>
      </c>
      <c r="AJ178" s="69" t="n">
        <f aca="false">-(AJ177-AI177)*Inputs!$C$79</f>
        <v>-4635.28940859327</v>
      </c>
      <c r="AK178" s="69" t="n">
        <f aca="false">-(AK177-AJ177)*Inputs!$C$79</f>
        <v>-4639.97690859327</v>
      </c>
      <c r="AL178" s="69" t="n">
        <f aca="false">-(AL177-AK177)*Inputs!$C$79</f>
        <v>-4644.66440859327</v>
      </c>
      <c r="AM178" s="69" t="n">
        <f aca="false">-(AM177-AL177)*Inputs!$C$79</f>
        <v>-5800.46438744536</v>
      </c>
      <c r="AN178" s="69" t="n">
        <f aca="false">-(AN177-AM177)*Inputs!$C$79</f>
        <v>-5805.15188744536</v>
      </c>
      <c r="AO178" s="69" t="n">
        <f aca="false">-(AO177-AN177)*Inputs!$C$79</f>
        <v>-5809.83938744536</v>
      </c>
      <c r="AP178" s="69" t="n">
        <f aca="false">-(AP177-AO177)*Inputs!$C$79</f>
        <v>-5814.52688744536</v>
      </c>
      <c r="AQ178" s="69" t="n">
        <f aca="false">-(AQ177-AP177)*Inputs!$C$79</f>
        <v>-5819.21438744536</v>
      </c>
      <c r="AR178" s="69" t="n">
        <f aca="false">-(AR177-AQ177)*Inputs!$C$79</f>
        <v>-5823.90188744536</v>
      </c>
      <c r="AS178" s="69" t="n">
        <f aca="false">-(AS177-AR177)*Inputs!$C$79</f>
        <v>-5828.58938744537</v>
      </c>
      <c r="AT178" s="69" t="n">
        <f aca="false">-(AT177-AS177)*Inputs!$C$79</f>
        <v>-5833.27688744537</v>
      </c>
      <c r="AU178" s="69" t="n">
        <f aca="false">-(AU177-AT177)*Inputs!$C$79</f>
        <v>-5837.96438744537</v>
      </c>
      <c r="AV178" s="69" t="n">
        <f aca="false">-(AV177-AU177)*Inputs!$C$79</f>
        <v>-5842.65188744536</v>
      </c>
      <c r="AW178" s="69" t="n">
        <f aca="false">-(AW177-AV177)*Inputs!$C$79</f>
        <v>-5847.33938744536</v>
      </c>
      <c r="AX178" s="69" t="n">
        <f aca="false">-(AX177-AW177)*Inputs!$C$79</f>
        <v>-5852.02688744536</v>
      </c>
      <c r="AY178" s="69" t="n">
        <f aca="false">-(AY177-AX177)*Inputs!$C$79</f>
        <v>-7049.38900768185</v>
      </c>
      <c r="AZ178" s="69" t="n">
        <f aca="false">-(AZ177-AY177)*Inputs!$C$79</f>
        <v>-7054.07650768185</v>
      </c>
      <c r="BA178" s="69" t="n">
        <f aca="false">-(BA177-AZ177)*Inputs!$C$79</f>
        <v>-7058.76400768186</v>
      </c>
      <c r="BB178" s="69" t="n">
        <f aca="false">-(BB177-BA177)*Inputs!$C$79</f>
        <v>-7063.45150768184</v>
      </c>
      <c r="BC178" s="69" t="n">
        <f aca="false">-(BC177-BB177)*Inputs!$C$79</f>
        <v>-7068.13900768185</v>
      </c>
      <c r="BD178" s="69" t="n">
        <f aca="false">-(BD177-BC177)*Inputs!$C$79</f>
        <v>-7072.82650768186</v>
      </c>
      <c r="BE178" s="69" t="n">
        <f aca="false">-(BE177-BD177)*Inputs!$C$79</f>
        <v>-7077.51400768185</v>
      </c>
      <c r="BF178" s="69" t="n">
        <f aca="false">-(BF177-BE177)*Inputs!$C$79</f>
        <v>-7082.20150768186</v>
      </c>
      <c r="BG178" s="69" t="n">
        <f aca="false">-(BG177-BF177)*Inputs!$C$79</f>
        <v>-7086.88900768185</v>
      </c>
      <c r="BH178" s="69" t="n">
        <f aca="false">-(BH177-BG177)*Inputs!$C$79</f>
        <v>-7091.57650768186</v>
      </c>
      <c r="BI178" s="69" t="n">
        <f aca="false">-(BI177-BH177)*Inputs!$C$79</f>
        <v>-7096.26400768184</v>
      </c>
      <c r="BJ178" s="69" t="n">
        <f aca="false">-(BJ177-BI177)*Inputs!$C$79</f>
        <v>-7100.95150768185</v>
      </c>
    </row>
    <row r="179" customFormat="false" ht="15" hidden="false" customHeight="false" outlineLevel="0" collapsed="false">
      <c r="A179" s="115" t="s">
        <v>50</v>
      </c>
      <c r="C179" s="70" t="n">
        <f aca="false">C175+C178</f>
        <v>-55397.7083333334</v>
      </c>
      <c r="D179" s="70" t="n">
        <f aca="false">D175+D178</f>
        <v>-49878.9694940476</v>
      </c>
      <c r="E179" s="70" t="n">
        <f aca="false">E175+E178</f>
        <v>-44349.0699404762</v>
      </c>
      <c r="F179" s="70" t="n">
        <f aca="false">F175+F178</f>
        <v>-38819.1703869048</v>
      </c>
      <c r="G179" s="70" t="n">
        <f aca="false">G175+G178</f>
        <v>-33289.2708333333</v>
      </c>
      <c r="H179" s="70" t="n">
        <f aca="false">H175+H178</f>
        <v>-27759.3712797619</v>
      </c>
      <c r="I179" s="70" t="n">
        <f aca="false">I175+I178</f>
        <v>-22229.4717261905</v>
      </c>
      <c r="J179" s="70" t="n">
        <f aca="false">J175+J178</f>
        <v>-16699.5721726191</v>
      </c>
      <c r="K179" s="70" t="n">
        <f aca="false">K175+K178</f>
        <v>-11169.6726190476</v>
      </c>
      <c r="L179" s="70" t="n">
        <f aca="false">L175+L178</f>
        <v>-5639.77306547618</v>
      </c>
      <c r="M179" s="70" t="n">
        <f aca="false">M175+M178</f>
        <v>-109.873511904796</v>
      </c>
      <c r="N179" s="70" t="n">
        <f aca="false">N175+N178</f>
        <v>5420.02604166666</v>
      </c>
      <c r="O179" s="70" t="n">
        <f aca="false">O175+O178</f>
        <v>16251.6974181548</v>
      </c>
      <c r="P179" s="70" t="n">
        <f aca="false">P175+P178</f>
        <v>16274.0188467262</v>
      </c>
      <c r="Q179" s="70" t="n">
        <f aca="false">Q175+Q178</f>
        <v>16296.3402752976</v>
      </c>
      <c r="R179" s="70" t="n">
        <f aca="false">R175+R178</f>
        <v>16318.661703869</v>
      </c>
      <c r="S179" s="70" t="n">
        <f aca="false">S175+S178</f>
        <v>16340.9831324405</v>
      </c>
      <c r="T179" s="70" t="n">
        <f aca="false">T175+T178</f>
        <v>16363.3045610119</v>
      </c>
      <c r="U179" s="70" t="n">
        <f aca="false">U175+U178</f>
        <v>16385.6259895833</v>
      </c>
      <c r="V179" s="70" t="n">
        <f aca="false">V175+V178</f>
        <v>16407.9474181548</v>
      </c>
      <c r="W179" s="70" t="n">
        <f aca="false">W175+W178</f>
        <v>16430.2688467262</v>
      </c>
      <c r="X179" s="70" t="n">
        <f aca="false">X175+X178</f>
        <v>16452.5902752976</v>
      </c>
      <c r="Y179" s="70" t="n">
        <f aca="false">Y175+Y178</f>
        <v>16474.911703869</v>
      </c>
      <c r="Z179" s="70" t="n">
        <f aca="false">Z175+Z178</f>
        <v>16497.2331324405</v>
      </c>
      <c r="AA179" s="70" t="n">
        <f aca="false">AA175+AA178</f>
        <v>21871.9138504442</v>
      </c>
      <c r="AB179" s="70" t="n">
        <f aca="false">AB175+AB178</f>
        <v>21894.2352790156</v>
      </c>
      <c r="AC179" s="70" t="n">
        <f aca="false">AC175+AC178</f>
        <v>21916.556707587</v>
      </c>
      <c r="AD179" s="70" t="n">
        <f aca="false">AD175+AD178</f>
        <v>21938.8781361585</v>
      </c>
      <c r="AE179" s="70" t="n">
        <f aca="false">AE175+AE178</f>
        <v>20668.7609655135</v>
      </c>
      <c r="AF179" s="70" t="n">
        <f aca="false">AF175+AF178</f>
        <v>17366.981584708</v>
      </c>
      <c r="AG179" s="70" t="n">
        <f aca="false">AG175+AG178</f>
        <v>17384.6155132795</v>
      </c>
      <c r="AH179" s="70" t="n">
        <f aca="false">AH175+AH178</f>
        <v>17402.2494418509</v>
      </c>
      <c r="AI179" s="70" t="n">
        <f aca="false">AI175+AI178</f>
        <v>17419.8833704223</v>
      </c>
      <c r="AJ179" s="70" t="n">
        <f aca="false">AJ175+AJ178</f>
        <v>17437.5172989938</v>
      </c>
      <c r="AK179" s="70" t="n">
        <f aca="false">AK175+AK178</f>
        <v>17455.1512275652</v>
      </c>
      <c r="AL179" s="70" t="n">
        <f aca="false">AL175+AL178</f>
        <v>17472.7851561366</v>
      </c>
      <c r="AM179" s="70" t="n">
        <f aca="false">AM175+AM178</f>
        <v>21820.7946003897</v>
      </c>
      <c r="AN179" s="70" t="n">
        <f aca="false">AN175+AN178</f>
        <v>21838.4285289611</v>
      </c>
      <c r="AO179" s="70" t="n">
        <f aca="false">AO175+AO178</f>
        <v>21856.0624575326</v>
      </c>
      <c r="AP179" s="70" t="n">
        <f aca="false">AP175+AP178</f>
        <v>21873.696386104</v>
      </c>
      <c r="AQ179" s="70" t="n">
        <f aca="false">AQ175+AQ178</f>
        <v>21891.3303146754</v>
      </c>
      <c r="AR179" s="70" t="n">
        <f aca="false">AR175+AR178</f>
        <v>21908.9642432468</v>
      </c>
      <c r="AS179" s="70" t="n">
        <f aca="false">AS175+AS178</f>
        <v>21926.5981718183</v>
      </c>
      <c r="AT179" s="70" t="n">
        <f aca="false">AT175+AT178</f>
        <v>21944.2321003897</v>
      </c>
      <c r="AU179" s="70" t="n">
        <f aca="false">AU175+AU178</f>
        <v>21961.8660289611</v>
      </c>
      <c r="AV179" s="70" t="n">
        <f aca="false">AV175+AV178</f>
        <v>21979.4999575326</v>
      </c>
      <c r="AW179" s="70" t="n">
        <f aca="false">AW175+AW178</f>
        <v>21997.133886104</v>
      </c>
      <c r="AX179" s="70" t="n">
        <f aca="false">AX175+AX178</f>
        <v>22014.7678146754</v>
      </c>
      <c r="AY179" s="70" t="n">
        <f aca="false">AY175+AY178</f>
        <v>26519.1300765174</v>
      </c>
      <c r="AZ179" s="70" t="n">
        <f aca="false">AZ175+AZ178</f>
        <v>26536.7640050889</v>
      </c>
      <c r="BA179" s="70" t="n">
        <f aca="false">BA175+BA178</f>
        <v>26554.3979336603</v>
      </c>
      <c r="BB179" s="70" t="n">
        <f aca="false">BB175+BB178</f>
        <v>26572.0318622317</v>
      </c>
      <c r="BC179" s="70" t="n">
        <f aca="false">BC175+BC178</f>
        <v>26589.6657908032</v>
      </c>
      <c r="BD179" s="70" t="n">
        <f aca="false">BD175+BD178</f>
        <v>26607.2997193746</v>
      </c>
      <c r="BE179" s="70" t="n">
        <f aca="false">BE175+BE178</f>
        <v>26624.933647946</v>
      </c>
      <c r="BF179" s="70" t="n">
        <f aca="false">BF175+BF178</f>
        <v>26642.5675765174</v>
      </c>
      <c r="BG179" s="70" t="n">
        <f aca="false">BG175+BG178</f>
        <v>26660.2015050889</v>
      </c>
      <c r="BH179" s="70" t="n">
        <f aca="false">BH175+BH178</f>
        <v>26677.8354336603</v>
      </c>
      <c r="BI179" s="70" t="n">
        <f aca="false">BI175+BI178</f>
        <v>26695.4693622317</v>
      </c>
      <c r="BJ179" s="70" t="n">
        <f aca="false">BJ175+BJ178</f>
        <v>26713.1032908032</v>
      </c>
    </row>
    <row r="181" customFormat="false" ht="15.75" hidden="false" customHeight="true" outlineLevel="0" collapsed="false">
      <c r="A181" s="7" t="s">
        <v>429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customFormat="false" ht="15" hidden="false" customHeight="false" outlineLevel="0" collapsed="false">
      <c r="A182" s="6" t="s">
        <v>430</v>
      </c>
      <c r="C182" s="69" t="n">
        <f aca="false">IF(C$128=1,Inputs!$C$15*Inputs!$C$44,0)</f>
        <v>132000</v>
      </c>
      <c r="D182" s="69" t="n">
        <f aca="false">IF(D$128=1,Inputs!$C$15*Inputs!$C$44,0)</f>
        <v>0</v>
      </c>
      <c r="E182" s="69" t="n">
        <f aca="false">IF(E$128=1,Inputs!$C$15*Inputs!$C$44,0)</f>
        <v>0</v>
      </c>
      <c r="F182" s="69" t="n">
        <f aca="false">IF(F$128=1,Inputs!$C$15*Inputs!$C$44,0)</f>
        <v>0</v>
      </c>
      <c r="G182" s="69" t="n">
        <f aca="false">IF(G$128=1,Inputs!$C$15*Inputs!$C$44,0)</f>
        <v>0</v>
      </c>
      <c r="H182" s="69" t="n">
        <f aca="false">IF(H$128=1,Inputs!$C$15*Inputs!$C$44,0)</f>
        <v>0</v>
      </c>
      <c r="I182" s="69" t="n">
        <f aca="false">IF(I$128=1,Inputs!$C$15*Inputs!$C$44,0)</f>
        <v>0</v>
      </c>
      <c r="J182" s="69" t="n">
        <f aca="false">IF(J$128=1,Inputs!$C$15*Inputs!$C$44,0)</f>
        <v>0</v>
      </c>
      <c r="K182" s="69" t="n">
        <f aca="false">IF(K$128=1,Inputs!$C$15*Inputs!$C$44,0)</f>
        <v>0</v>
      </c>
      <c r="L182" s="69" t="n">
        <f aca="false">IF(L$128=1,Inputs!$C$15*Inputs!$C$44,0)</f>
        <v>0</v>
      </c>
      <c r="M182" s="69" t="n">
        <f aca="false">IF(M$128=1,Inputs!$C$15*Inputs!$C$44,0)</f>
        <v>0</v>
      </c>
      <c r="N182" s="69" t="n">
        <f aca="false">IF(N$128=1,Inputs!$C$15*Inputs!$C$44,0)</f>
        <v>0</v>
      </c>
      <c r="O182" s="69" t="n">
        <f aca="false">IF(O$128=1,Inputs!$C$15*Inputs!$C$44,0)</f>
        <v>0</v>
      </c>
      <c r="P182" s="69" t="n">
        <f aca="false">IF(P$128=1,Inputs!$C$15*Inputs!$C$44,0)</f>
        <v>0</v>
      </c>
      <c r="Q182" s="69" t="n">
        <f aca="false">IF(Q$128=1,Inputs!$C$15*Inputs!$C$44,0)</f>
        <v>0</v>
      </c>
      <c r="R182" s="69" t="n">
        <f aca="false">IF(R$128=1,Inputs!$C$15*Inputs!$C$44,0)</f>
        <v>0</v>
      </c>
      <c r="S182" s="69" t="n">
        <f aca="false">IF(S$128=1,Inputs!$C$15*Inputs!$C$44,0)</f>
        <v>0</v>
      </c>
      <c r="T182" s="69" t="n">
        <f aca="false">IF(T$128=1,Inputs!$C$15*Inputs!$C$44,0)</f>
        <v>0</v>
      </c>
      <c r="U182" s="69" t="n">
        <f aca="false">IF(U$128=1,Inputs!$C$15*Inputs!$C$44,0)</f>
        <v>0</v>
      </c>
      <c r="V182" s="69" t="n">
        <f aca="false">IF(V$128=1,Inputs!$C$15*Inputs!$C$44,0)</f>
        <v>0</v>
      </c>
      <c r="W182" s="69" t="n">
        <f aca="false">IF(W$128=1,Inputs!$C$15*Inputs!$C$44,0)</f>
        <v>0</v>
      </c>
      <c r="X182" s="69" t="n">
        <f aca="false">IF(X$128=1,Inputs!$C$15*Inputs!$C$44,0)</f>
        <v>0</v>
      </c>
      <c r="Y182" s="69" t="n">
        <f aca="false">IF(Y$128=1,Inputs!$C$15*Inputs!$C$44,0)</f>
        <v>0</v>
      </c>
      <c r="Z182" s="69" t="n">
        <f aca="false">IF(Z$128=1,Inputs!$C$15*Inputs!$C$44,0)</f>
        <v>0</v>
      </c>
      <c r="AA182" s="69" t="n">
        <f aca="false">IF(AA$128=1,Inputs!$C$15*Inputs!$C$44,0)</f>
        <v>0</v>
      </c>
      <c r="AB182" s="69" t="n">
        <f aca="false">IF(AB$128=1,Inputs!$C$15*Inputs!$C$44,0)</f>
        <v>0</v>
      </c>
      <c r="AC182" s="69" t="n">
        <f aca="false">IF(AC$128=1,Inputs!$C$15*Inputs!$C$44,0)</f>
        <v>0</v>
      </c>
      <c r="AD182" s="69" t="n">
        <f aca="false">IF(AD$128=1,Inputs!$C$15*Inputs!$C$44,0)</f>
        <v>0</v>
      </c>
      <c r="AE182" s="69" t="n">
        <f aca="false">IF(AE$128=1,Inputs!$C$15*Inputs!$C$44,0)</f>
        <v>0</v>
      </c>
      <c r="AF182" s="69" t="n">
        <f aca="false">IF(AF$128=1,Inputs!$C$15*Inputs!$C$44,0)</f>
        <v>0</v>
      </c>
      <c r="AG182" s="69" t="n">
        <f aca="false">IF(AG$128=1,Inputs!$C$15*Inputs!$C$44,0)</f>
        <v>0</v>
      </c>
      <c r="AH182" s="69" t="n">
        <f aca="false">IF(AH$128=1,Inputs!$C$15*Inputs!$C$44,0)</f>
        <v>0</v>
      </c>
      <c r="AI182" s="69" t="n">
        <f aca="false">IF(AI$128=1,Inputs!$C$15*Inputs!$C$44,0)</f>
        <v>0</v>
      </c>
      <c r="AJ182" s="69" t="n">
        <f aca="false">IF(AJ$128=1,Inputs!$C$15*Inputs!$C$44,0)</f>
        <v>0</v>
      </c>
      <c r="AK182" s="69" t="n">
        <f aca="false">IF(AK$128=1,Inputs!$C$15*Inputs!$C$44,0)</f>
        <v>0</v>
      </c>
      <c r="AL182" s="69" t="n">
        <f aca="false">IF(AL$128=1,Inputs!$C$15*Inputs!$C$44,0)</f>
        <v>0</v>
      </c>
      <c r="AM182" s="69" t="n">
        <f aca="false">IF(AM$128=1,Inputs!$C$15*Inputs!$C$44,0)</f>
        <v>0</v>
      </c>
      <c r="AN182" s="69" t="n">
        <f aca="false">IF(AN$128=1,Inputs!$C$15*Inputs!$C$44,0)</f>
        <v>0</v>
      </c>
      <c r="AO182" s="69" t="n">
        <f aca="false">IF(AO$128=1,Inputs!$C$15*Inputs!$C$44,0)</f>
        <v>0</v>
      </c>
      <c r="AP182" s="69" t="n">
        <f aca="false">IF(AP$128=1,Inputs!$C$15*Inputs!$C$44,0)</f>
        <v>0</v>
      </c>
      <c r="AQ182" s="69" t="n">
        <f aca="false">IF(AQ$128=1,Inputs!$C$15*Inputs!$C$44,0)</f>
        <v>0</v>
      </c>
      <c r="AR182" s="69" t="n">
        <f aca="false">IF(AR$128=1,Inputs!$C$15*Inputs!$C$44,0)</f>
        <v>0</v>
      </c>
      <c r="AS182" s="69" t="n">
        <f aca="false">IF(AS$128=1,Inputs!$C$15*Inputs!$C$44,0)</f>
        <v>0</v>
      </c>
      <c r="AT182" s="69" t="n">
        <f aca="false">IF(AT$128=1,Inputs!$C$15*Inputs!$C$44,0)</f>
        <v>0</v>
      </c>
      <c r="AU182" s="69" t="n">
        <f aca="false">IF(AU$128=1,Inputs!$C$15*Inputs!$C$44,0)</f>
        <v>0</v>
      </c>
      <c r="AV182" s="69" t="n">
        <f aca="false">IF(AV$128=1,Inputs!$C$15*Inputs!$C$44,0)</f>
        <v>0</v>
      </c>
      <c r="AW182" s="69" t="n">
        <f aca="false">IF(AW$128=1,Inputs!$C$15*Inputs!$C$44,0)</f>
        <v>0</v>
      </c>
      <c r="AX182" s="69" t="n">
        <f aca="false">IF(AX$128=1,Inputs!$C$15*Inputs!$C$44,0)</f>
        <v>0</v>
      </c>
      <c r="AY182" s="69" t="n">
        <f aca="false">IF(AY$128=1,Inputs!$C$15*Inputs!$C$44,0)</f>
        <v>0</v>
      </c>
      <c r="AZ182" s="69" t="n">
        <f aca="false">IF(AZ$128=1,Inputs!$C$15*Inputs!$C$44,0)</f>
        <v>0</v>
      </c>
      <c r="BA182" s="69" t="n">
        <f aca="false">IF(BA$128=1,Inputs!$C$15*Inputs!$C$44,0)</f>
        <v>0</v>
      </c>
      <c r="BB182" s="69" t="n">
        <f aca="false">IF(BB$128=1,Inputs!$C$15*Inputs!$C$44,0)</f>
        <v>0</v>
      </c>
      <c r="BC182" s="69" t="n">
        <f aca="false">IF(BC$128=1,Inputs!$C$15*Inputs!$C$44,0)</f>
        <v>0</v>
      </c>
      <c r="BD182" s="69" t="n">
        <f aca="false">IF(BD$128=1,Inputs!$C$15*Inputs!$C$44,0)</f>
        <v>0</v>
      </c>
      <c r="BE182" s="69" t="n">
        <f aca="false">IF(BE$128=1,Inputs!$C$15*Inputs!$C$44,0)</f>
        <v>0</v>
      </c>
      <c r="BF182" s="69" t="n">
        <f aca="false">IF(BF$128=1,Inputs!$C$15*Inputs!$C$44,0)</f>
        <v>0</v>
      </c>
      <c r="BG182" s="69" t="n">
        <f aca="false">IF(BG$128=1,Inputs!$C$15*Inputs!$C$44,0)</f>
        <v>0</v>
      </c>
      <c r="BH182" s="69" t="n">
        <f aca="false">IF(BH$128=1,Inputs!$C$15*Inputs!$C$44,0)</f>
        <v>0</v>
      </c>
      <c r="BI182" s="69" t="n">
        <f aca="false">IF(BI$128=1,Inputs!$C$15*Inputs!$C$44,0)</f>
        <v>0</v>
      </c>
      <c r="BJ182" s="69" t="n">
        <f aca="false">IF(BJ$128=1,Inputs!$C$15*Inputs!$C$44,0)</f>
        <v>0</v>
      </c>
    </row>
    <row r="183" customFormat="false" ht="15" hidden="false" customHeight="false" outlineLevel="0" collapsed="false">
      <c r="A183" s="6" t="s">
        <v>431</v>
      </c>
      <c r="C183" s="69" t="n">
        <f aca="false">IF(C$128=1,Inputs!$C$45,0)</f>
        <v>70000</v>
      </c>
      <c r="D183" s="69" t="n">
        <f aca="false">IF(D$128=1,Inputs!$C$45,0)</f>
        <v>0</v>
      </c>
      <c r="E183" s="69" t="n">
        <f aca="false">IF(E$128=1,Inputs!$C$45,0)</f>
        <v>0</v>
      </c>
      <c r="F183" s="69" t="n">
        <f aca="false">IF(F$128=1,Inputs!$C$45,0)</f>
        <v>0</v>
      </c>
      <c r="G183" s="69" t="n">
        <f aca="false">IF(G$128=1,Inputs!$C$45,0)</f>
        <v>0</v>
      </c>
      <c r="H183" s="69" t="n">
        <f aca="false">IF(H$128=1,Inputs!$C$45,0)</f>
        <v>0</v>
      </c>
      <c r="I183" s="69" t="n">
        <f aca="false">IF(I$128=1,Inputs!$C$45,0)</f>
        <v>0</v>
      </c>
      <c r="J183" s="69" t="n">
        <f aca="false">IF(J$128=1,Inputs!$C$45,0)</f>
        <v>0</v>
      </c>
      <c r="K183" s="69" t="n">
        <f aca="false">IF(K$128=1,Inputs!$C$45,0)</f>
        <v>0</v>
      </c>
      <c r="L183" s="69" t="n">
        <f aca="false">IF(L$128=1,Inputs!$C$45,0)</f>
        <v>0</v>
      </c>
      <c r="M183" s="69" t="n">
        <f aca="false">IF(M$128=1,Inputs!$C$45,0)</f>
        <v>0</v>
      </c>
      <c r="N183" s="69" t="n">
        <f aca="false">IF(N$128=1,Inputs!$C$45,0)</f>
        <v>0</v>
      </c>
      <c r="O183" s="69" t="n">
        <f aca="false">IF(O$128=1,Inputs!$C$45,0)</f>
        <v>0</v>
      </c>
      <c r="P183" s="69" t="n">
        <f aca="false">IF(P$128=1,Inputs!$C$45,0)</f>
        <v>0</v>
      </c>
      <c r="Q183" s="69" t="n">
        <f aca="false">IF(Q$128=1,Inputs!$C$45,0)</f>
        <v>0</v>
      </c>
      <c r="R183" s="69" t="n">
        <f aca="false">IF(R$128=1,Inputs!$C$45,0)</f>
        <v>0</v>
      </c>
      <c r="S183" s="69" t="n">
        <f aca="false">IF(S$128=1,Inputs!$C$45,0)</f>
        <v>0</v>
      </c>
      <c r="T183" s="69" t="n">
        <f aca="false">IF(T$128=1,Inputs!$C$45,0)</f>
        <v>0</v>
      </c>
      <c r="U183" s="69" t="n">
        <f aca="false">IF(U$128=1,Inputs!$C$45,0)</f>
        <v>0</v>
      </c>
      <c r="V183" s="69" t="n">
        <f aca="false">IF(V$128=1,Inputs!$C$45,0)</f>
        <v>0</v>
      </c>
      <c r="W183" s="69" t="n">
        <f aca="false">IF(W$128=1,Inputs!$C$45,0)</f>
        <v>0</v>
      </c>
      <c r="X183" s="69" t="n">
        <f aca="false">IF(X$128=1,Inputs!$C$45,0)</f>
        <v>0</v>
      </c>
      <c r="Y183" s="69" t="n">
        <f aca="false">IF(Y$128=1,Inputs!$C$45,0)</f>
        <v>0</v>
      </c>
      <c r="Z183" s="69" t="n">
        <f aca="false">IF(Z$128=1,Inputs!$C$45,0)</f>
        <v>0</v>
      </c>
      <c r="AA183" s="69" t="n">
        <f aca="false">IF(AA$128=1,Inputs!$C$45,0)</f>
        <v>0</v>
      </c>
      <c r="AB183" s="69" t="n">
        <f aca="false">IF(AB$128=1,Inputs!$C$45,0)</f>
        <v>0</v>
      </c>
      <c r="AC183" s="69" t="n">
        <f aca="false">IF(AC$128=1,Inputs!$C$45,0)</f>
        <v>0</v>
      </c>
      <c r="AD183" s="69" t="n">
        <f aca="false">IF(AD$128=1,Inputs!$C$45,0)</f>
        <v>0</v>
      </c>
      <c r="AE183" s="69" t="n">
        <f aca="false">IF(AE$128=1,Inputs!$C$45,0)</f>
        <v>0</v>
      </c>
      <c r="AF183" s="69" t="n">
        <f aca="false">IF(AF$128=1,Inputs!$C$45,0)</f>
        <v>0</v>
      </c>
      <c r="AG183" s="69" t="n">
        <f aca="false">IF(AG$128=1,Inputs!$C$45,0)</f>
        <v>0</v>
      </c>
      <c r="AH183" s="69" t="n">
        <f aca="false">IF(AH$128=1,Inputs!$C$45,0)</f>
        <v>0</v>
      </c>
      <c r="AI183" s="69" t="n">
        <f aca="false">IF(AI$128=1,Inputs!$C$45,0)</f>
        <v>0</v>
      </c>
      <c r="AJ183" s="69" t="n">
        <f aca="false">IF(AJ$128=1,Inputs!$C$45,0)</f>
        <v>0</v>
      </c>
      <c r="AK183" s="69" t="n">
        <f aca="false">IF(AK$128=1,Inputs!$C$45,0)</f>
        <v>0</v>
      </c>
      <c r="AL183" s="69" t="n">
        <f aca="false">IF(AL$128=1,Inputs!$C$45,0)</f>
        <v>0</v>
      </c>
      <c r="AM183" s="69" t="n">
        <f aca="false">IF(AM$128=1,Inputs!$C$45,0)</f>
        <v>0</v>
      </c>
      <c r="AN183" s="69" t="n">
        <f aca="false">IF(AN$128=1,Inputs!$C$45,0)</f>
        <v>0</v>
      </c>
      <c r="AO183" s="69" t="n">
        <f aca="false">IF(AO$128=1,Inputs!$C$45,0)</f>
        <v>0</v>
      </c>
      <c r="AP183" s="69" t="n">
        <f aca="false">IF(AP$128=1,Inputs!$C$45,0)</f>
        <v>0</v>
      </c>
      <c r="AQ183" s="69" t="n">
        <f aca="false">IF(AQ$128=1,Inputs!$C$45,0)</f>
        <v>0</v>
      </c>
      <c r="AR183" s="69" t="n">
        <f aca="false">IF(AR$128=1,Inputs!$C$45,0)</f>
        <v>0</v>
      </c>
      <c r="AS183" s="69" t="n">
        <f aca="false">IF(AS$128=1,Inputs!$C$45,0)</f>
        <v>0</v>
      </c>
      <c r="AT183" s="69" t="n">
        <f aca="false">IF(AT$128=1,Inputs!$C$45,0)</f>
        <v>0</v>
      </c>
      <c r="AU183" s="69" t="n">
        <f aca="false">IF(AU$128=1,Inputs!$C$45,0)</f>
        <v>0</v>
      </c>
      <c r="AV183" s="69" t="n">
        <f aca="false">IF(AV$128=1,Inputs!$C$45,0)</f>
        <v>0</v>
      </c>
      <c r="AW183" s="69" t="n">
        <f aca="false">IF(AW$128=1,Inputs!$C$45,0)</f>
        <v>0</v>
      </c>
      <c r="AX183" s="69" t="n">
        <f aca="false">IF(AX$128=1,Inputs!$C$45,0)</f>
        <v>0</v>
      </c>
      <c r="AY183" s="69" t="n">
        <f aca="false">IF(AY$128=1,Inputs!$C$45,0)</f>
        <v>0</v>
      </c>
      <c r="AZ183" s="69" t="n">
        <f aca="false">IF(AZ$128=1,Inputs!$C$45,0)</f>
        <v>0</v>
      </c>
      <c r="BA183" s="69" t="n">
        <f aca="false">IF(BA$128=1,Inputs!$C$45,0)</f>
        <v>0</v>
      </c>
      <c r="BB183" s="69" t="n">
        <f aca="false">IF(BB$128=1,Inputs!$C$45,0)</f>
        <v>0</v>
      </c>
      <c r="BC183" s="69" t="n">
        <f aca="false">IF(BC$128=1,Inputs!$C$45,0)</f>
        <v>0</v>
      </c>
      <c r="BD183" s="69" t="n">
        <f aca="false">IF(BD$128=1,Inputs!$C$45,0)</f>
        <v>0</v>
      </c>
      <c r="BE183" s="69" t="n">
        <f aca="false">IF(BE$128=1,Inputs!$C$45,0)</f>
        <v>0</v>
      </c>
      <c r="BF183" s="69" t="n">
        <f aca="false">IF(BF$128=1,Inputs!$C$45,0)</f>
        <v>0</v>
      </c>
      <c r="BG183" s="69" t="n">
        <f aca="false">IF(BG$128=1,Inputs!$C$45,0)</f>
        <v>0</v>
      </c>
      <c r="BH183" s="69" t="n">
        <f aca="false">IF(BH$128=1,Inputs!$C$45,0)</f>
        <v>0</v>
      </c>
      <c r="BI183" s="69" t="n">
        <f aca="false">IF(BI$128=1,Inputs!$C$45,0)</f>
        <v>0</v>
      </c>
      <c r="BJ183" s="69" t="n">
        <f aca="false">IF(BJ$128=1,Inputs!$C$45,0)</f>
        <v>0</v>
      </c>
    </row>
    <row r="184" customFormat="false" ht="15" hidden="false" customHeight="false" outlineLevel="0" collapsed="false">
      <c r="A184" s="6" t="s">
        <v>432</v>
      </c>
      <c r="C184" s="69" t="n">
        <f aca="false">IF(C$128=1,Inputs!$C$46,0)</f>
        <v>180000</v>
      </c>
      <c r="D184" s="69" t="n">
        <f aca="false">IF(D$128=1,Inputs!$C$46,0)</f>
        <v>0</v>
      </c>
      <c r="E184" s="69" t="n">
        <f aca="false">IF(E$128=1,Inputs!$C$46,0)</f>
        <v>0</v>
      </c>
      <c r="F184" s="69" t="n">
        <f aca="false">IF(F$128=1,Inputs!$C$46,0)</f>
        <v>0</v>
      </c>
      <c r="G184" s="69" t="n">
        <f aca="false">IF(G$128=1,Inputs!$C$46,0)</f>
        <v>0</v>
      </c>
      <c r="H184" s="69" t="n">
        <f aca="false">IF(H$128=1,Inputs!$C$46,0)</f>
        <v>0</v>
      </c>
      <c r="I184" s="69" t="n">
        <f aca="false">IF(I$128=1,Inputs!$C$46,0)</f>
        <v>0</v>
      </c>
      <c r="J184" s="69" t="n">
        <f aca="false">IF(J$128=1,Inputs!$C$46,0)</f>
        <v>0</v>
      </c>
      <c r="K184" s="69" t="n">
        <f aca="false">IF(K$128=1,Inputs!$C$46,0)</f>
        <v>0</v>
      </c>
      <c r="L184" s="69" t="n">
        <f aca="false">IF(L$128=1,Inputs!$C$46,0)</f>
        <v>0</v>
      </c>
      <c r="M184" s="69" t="n">
        <f aca="false">IF(M$128=1,Inputs!$C$46,0)</f>
        <v>0</v>
      </c>
      <c r="N184" s="69" t="n">
        <f aca="false">IF(N$128=1,Inputs!$C$46,0)</f>
        <v>0</v>
      </c>
      <c r="O184" s="69" t="n">
        <f aca="false">IF(O$128=1,Inputs!$C$46,0)</f>
        <v>0</v>
      </c>
      <c r="P184" s="69" t="n">
        <f aca="false">IF(P$128=1,Inputs!$C$46,0)</f>
        <v>0</v>
      </c>
      <c r="Q184" s="69" t="n">
        <f aca="false">IF(Q$128=1,Inputs!$C$46,0)</f>
        <v>0</v>
      </c>
      <c r="R184" s="69" t="n">
        <f aca="false">IF(R$128=1,Inputs!$C$46,0)</f>
        <v>0</v>
      </c>
      <c r="S184" s="69" t="n">
        <f aca="false">IF(S$128=1,Inputs!$C$46,0)</f>
        <v>0</v>
      </c>
      <c r="T184" s="69" t="n">
        <f aca="false">IF(T$128=1,Inputs!$C$46,0)</f>
        <v>0</v>
      </c>
      <c r="U184" s="69" t="n">
        <f aca="false">IF(U$128=1,Inputs!$C$46,0)</f>
        <v>0</v>
      </c>
      <c r="V184" s="69" t="n">
        <f aca="false">IF(V$128=1,Inputs!$C$46,0)</f>
        <v>0</v>
      </c>
      <c r="W184" s="69" t="n">
        <f aca="false">IF(W$128=1,Inputs!$C$46,0)</f>
        <v>0</v>
      </c>
      <c r="X184" s="69" t="n">
        <f aca="false">IF(X$128=1,Inputs!$C$46,0)</f>
        <v>0</v>
      </c>
      <c r="Y184" s="69" t="n">
        <f aca="false">IF(Y$128=1,Inputs!$C$46,0)</f>
        <v>0</v>
      </c>
      <c r="Z184" s="69" t="n">
        <f aca="false">IF(Z$128=1,Inputs!$C$46,0)</f>
        <v>0</v>
      </c>
      <c r="AA184" s="69" t="n">
        <f aca="false">IF(AA$128=1,Inputs!$C$46,0)</f>
        <v>0</v>
      </c>
      <c r="AB184" s="69" t="n">
        <f aca="false">IF(AB$128=1,Inputs!$C$46,0)</f>
        <v>0</v>
      </c>
      <c r="AC184" s="69" t="n">
        <f aca="false">IF(AC$128=1,Inputs!$C$46,0)</f>
        <v>0</v>
      </c>
      <c r="AD184" s="69" t="n">
        <f aca="false">IF(AD$128=1,Inputs!$C$46,0)</f>
        <v>0</v>
      </c>
      <c r="AE184" s="69" t="n">
        <f aca="false">IF(AE$128=1,Inputs!$C$46,0)</f>
        <v>0</v>
      </c>
      <c r="AF184" s="69" t="n">
        <f aca="false">IF(AF$128=1,Inputs!$C$46,0)</f>
        <v>0</v>
      </c>
      <c r="AG184" s="69" t="n">
        <f aca="false">IF(AG$128=1,Inputs!$C$46,0)</f>
        <v>0</v>
      </c>
      <c r="AH184" s="69" t="n">
        <f aca="false">IF(AH$128=1,Inputs!$C$46,0)</f>
        <v>0</v>
      </c>
      <c r="AI184" s="69" t="n">
        <f aca="false">IF(AI$128=1,Inputs!$C$46,0)</f>
        <v>0</v>
      </c>
      <c r="AJ184" s="69" t="n">
        <f aca="false">IF(AJ$128=1,Inputs!$C$46,0)</f>
        <v>0</v>
      </c>
      <c r="AK184" s="69" t="n">
        <f aca="false">IF(AK$128=1,Inputs!$C$46,0)</f>
        <v>0</v>
      </c>
      <c r="AL184" s="69" t="n">
        <f aca="false">IF(AL$128=1,Inputs!$C$46,0)</f>
        <v>0</v>
      </c>
      <c r="AM184" s="69" t="n">
        <f aca="false">IF(AM$128=1,Inputs!$C$46,0)</f>
        <v>0</v>
      </c>
      <c r="AN184" s="69" t="n">
        <f aca="false">IF(AN$128=1,Inputs!$C$46,0)</f>
        <v>0</v>
      </c>
      <c r="AO184" s="69" t="n">
        <f aca="false">IF(AO$128=1,Inputs!$C$46,0)</f>
        <v>0</v>
      </c>
      <c r="AP184" s="69" t="n">
        <f aca="false">IF(AP$128=1,Inputs!$C$46,0)</f>
        <v>0</v>
      </c>
      <c r="AQ184" s="69" t="n">
        <f aca="false">IF(AQ$128=1,Inputs!$C$46,0)</f>
        <v>0</v>
      </c>
      <c r="AR184" s="69" t="n">
        <f aca="false">IF(AR$128=1,Inputs!$C$46,0)</f>
        <v>0</v>
      </c>
      <c r="AS184" s="69" t="n">
        <f aca="false">IF(AS$128=1,Inputs!$C$46,0)</f>
        <v>0</v>
      </c>
      <c r="AT184" s="69" t="n">
        <f aca="false">IF(AT$128=1,Inputs!$C$46,0)</f>
        <v>0</v>
      </c>
      <c r="AU184" s="69" t="n">
        <f aca="false">IF(AU$128=1,Inputs!$C$46,0)</f>
        <v>0</v>
      </c>
      <c r="AV184" s="69" t="n">
        <f aca="false">IF(AV$128=1,Inputs!$C$46,0)</f>
        <v>0</v>
      </c>
      <c r="AW184" s="69" t="n">
        <f aca="false">IF(AW$128=1,Inputs!$C$46,0)</f>
        <v>0</v>
      </c>
      <c r="AX184" s="69" t="n">
        <f aca="false">IF(AX$128=1,Inputs!$C$46,0)</f>
        <v>0</v>
      </c>
      <c r="AY184" s="69" t="n">
        <f aca="false">IF(AY$128=1,Inputs!$C$46,0)</f>
        <v>0</v>
      </c>
      <c r="AZ184" s="69" t="n">
        <f aca="false">IF(AZ$128=1,Inputs!$C$46,0)</f>
        <v>0</v>
      </c>
      <c r="BA184" s="69" t="n">
        <f aca="false">IF(BA$128=1,Inputs!$C$46,0)</f>
        <v>0</v>
      </c>
      <c r="BB184" s="69" t="n">
        <f aca="false">IF(BB$128=1,Inputs!$C$46,0)</f>
        <v>0</v>
      </c>
      <c r="BC184" s="69" t="n">
        <f aca="false">IF(BC$128=1,Inputs!$C$46,0)</f>
        <v>0</v>
      </c>
      <c r="BD184" s="69" t="n">
        <f aca="false">IF(BD$128=1,Inputs!$C$46,0)</f>
        <v>0</v>
      </c>
      <c r="BE184" s="69" t="n">
        <f aca="false">IF(BE$128=1,Inputs!$C$46,0)</f>
        <v>0</v>
      </c>
      <c r="BF184" s="69" t="n">
        <f aca="false">IF(BF$128=1,Inputs!$C$46,0)</f>
        <v>0</v>
      </c>
      <c r="BG184" s="69" t="n">
        <f aca="false">IF(BG$128=1,Inputs!$C$46,0)</f>
        <v>0</v>
      </c>
      <c r="BH184" s="69" t="n">
        <f aca="false">IF(BH$128=1,Inputs!$C$46,0)</f>
        <v>0</v>
      </c>
      <c r="BI184" s="69" t="n">
        <f aca="false">IF(BI$128=1,Inputs!$C$46,0)</f>
        <v>0</v>
      </c>
      <c r="BJ184" s="69" t="n">
        <f aca="false">IF(BJ$128=1,Inputs!$C$46,0)</f>
        <v>0</v>
      </c>
    </row>
    <row r="185" customFormat="false" ht="15" hidden="false" customHeight="false" outlineLevel="0" collapsed="false">
      <c r="A185" s="6" t="s">
        <v>433</v>
      </c>
      <c r="C185" s="69" t="n">
        <f aca="false">IF(C$128=1,Inputs!$C$47,0)</f>
        <v>0</v>
      </c>
      <c r="D185" s="69" t="n">
        <f aca="false">IF(D$128=1,Inputs!$C$47,0)</f>
        <v>0</v>
      </c>
      <c r="E185" s="69" t="n">
        <f aca="false">IF(E$128=1,Inputs!$C$47,0)</f>
        <v>0</v>
      </c>
      <c r="F185" s="69" t="n">
        <f aca="false">IF(F$128=1,Inputs!$C$47,0)</f>
        <v>0</v>
      </c>
      <c r="G185" s="69" t="n">
        <f aca="false">IF(G$128=1,Inputs!$C$47,0)</f>
        <v>0</v>
      </c>
      <c r="H185" s="69" t="n">
        <f aca="false">IF(H$128=1,Inputs!$C$47,0)</f>
        <v>0</v>
      </c>
      <c r="I185" s="69" t="n">
        <f aca="false">IF(I$128=1,Inputs!$C$47,0)</f>
        <v>0</v>
      </c>
      <c r="J185" s="69" t="n">
        <f aca="false">IF(J$128=1,Inputs!$C$47,0)</f>
        <v>0</v>
      </c>
      <c r="K185" s="69" t="n">
        <f aca="false">IF(K$128=1,Inputs!$C$47,0)</f>
        <v>0</v>
      </c>
      <c r="L185" s="69" t="n">
        <f aca="false">IF(L$128=1,Inputs!$C$47,0)</f>
        <v>0</v>
      </c>
      <c r="M185" s="69" t="n">
        <f aca="false">IF(M$128=1,Inputs!$C$47,0)</f>
        <v>0</v>
      </c>
      <c r="N185" s="69" t="n">
        <f aca="false">IF(N$128=1,Inputs!$C$47,0)</f>
        <v>0</v>
      </c>
      <c r="O185" s="69" t="n">
        <f aca="false">IF(O$128=1,Inputs!$C$47,0)</f>
        <v>0</v>
      </c>
      <c r="P185" s="69" t="n">
        <f aca="false">IF(P$128=1,Inputs!$C$47,0)</f>
        <v>0</v>
      </c>
      <c r="Q185" s="69" t="n">
        <f aca="false">IF(Q$128=1,Inputs!$C$47,0)</f>
        <v>0</v>
      </c>
      <c r="R185" s="69" t="n">
        <f aca="false">IF(R$128=1,Inputs!$C$47,0)</f>
        <v>0</v>
      </c>
      <c r="S185" s="69" t="n">
        <f aca="false">IF(S$128=1,Inputs!$C$47,0)</f>
        <v>0</v>
      </c>
      <c r="T185" s="69" t="n">
        <f aca="false">IF(T$128=1,Inputs!$C$47,0)</f>
        <v>0</v>
      </c>
      <c r="U185" s="69" t="n">
        <f aca="false">IF(U$128=1,Inputs!$C$47,0)</f>
        <v>0</v>
      </c>
      <c r="V185" s="69" t="n">
        <f aca="false">IF(V$128=1,Inputs!$C$47,0)</f>
        <v>0</v>
      </c>
      <c r="W185" s="69" t="n">
        <f aca="false">IF(W$128=1,Inputs!$C$47,0)</f>
        <v>0</v>
      </c>
      <c r="X185" s="69" t="n">
        <f aca="false">IF(X$128=1,Inputs!$C$47,0)</f>
        <v>0</v>
      </c>
      <c r="Y185" s="69" t="n">
        <f aca="false">IF(Y$128=1,Inputs!$C$47,0)</f>
        <v>0</v>
      </c>
      <c r="Z185" s="69" t="n">
        <f aca="false">IF(Z$128=1,Inputs!$C$47,0)</f>
        <v>0</v>
      </c>
      <c r="AA185" s="69" t="n">
        <f aca="false">IF(AA$128=1,Inputs!$C$47,0)</f>
        <v>0</v>
      </c>
      <c r="AB185" s="69" t="n">
        <f aca="false">IF(AB$128=1,Inputs!$C$47,0)</f>
        <v>0</v>
      </c>
      <c r="AC185" s="69" t="n">
        <f aca="false">IF(AC$128=1,Inputs!$C$47,0)</f>
        <v>0</v>
      </c>
      <c r="AD185" s="69" t="n">
        <f aca="false">IF(AD$128=1,Inputs!$C$47,0)</f>
        <v>0</v>
      </c>
      <c r="AE185" s="69" t="n">
        <f aca="false">IF(AE$128=1,Inputs!$C$47,0)</f>
        <v>0</v>
      </c>
      <c r="AF185" s="69" t="n">
        <f aca="false">IF(AF$128=1,Inputs!$C$47,0)</f>
        <v>0</v>
      </c>
      <c r="AG185" s="69" t="n">
        <f aca="false">IF(AG$128=1,Inputs!$C$47,0)</f>
        <v>0</v>
      </c>
      <c r="AH185" s="69" t="n">
        <f aca="false">IF(AH$128=1,Inputs!$C$47,0)</f>
        <v>0</v>
      </c>
      <c r="AI185" s="69" t="n">
        <f aca="false">IF(AI$128=1,Inputs!$C$47,0)</f>
        <v>0</v>
      </c>
      <c r="AJ185" s="69" t="n">
        <f aca="false">IF(AJ$128=1,Inputs!$C$47,0)</f>
        <v>0</v>
      </c>
      <c r="AK185" s="69" t="n">
        <f aca="false">IF(AK$128=1,Inputs!$C$47,0)</f>
        <v>0</v>
      </c>
      <c r="AL185" s="69" t="n">
        <f aca="false">IF(AL$128=1,Inputs!$C$47,0)</f>
        <v>0</v>
      </c>
      <c r="AM185" s="69" t="n">
        <f aca="false">IF(AM$128=1,Inputs!$C$47,0)</f>
        <v>0</v>
      </c>
      <c r="AN185" s="69" t="n">
        <f aca="false">IF(AN$128=1,Inputs!$C$47,0)</f>
        <v>0</v>
      </c>
      <c r="AO185" s="69" t="n">
        <f aca="false">IF(AO$128=1,Inputs!$C$47,0)</f>
        <v>0</v>
      </c>
      <c r="AP185" s="69" t="n">
        <f aca="false">IF(AP$128=1,Inputs!$C$47,0)</f>
        <v>0</v>
      </c>
      <c r="AQ185" s="69" t="n">
        <f aca="false">IF(AQ$128=1,Inputs!$C$47,0)</f>
        <v>0</v>
      </c>
      <c r="AR185" s="69" t="n">
        <f aca="false">IF(AR$128=1,Inputs!$C$47,0)</f>
        <v>0</v>
      </c>
      <c r="AS185" s="69" t="n">
        <f aca="false">IF(AS$128=1,Inputs!$C$47,0)</f>
        <v>0</v>
      </c>
      <c r="AT185" s="69" t="n">
        <f aca="false">IF(AT$128=1,Inputs!$C$47,0)</f>
        <v>0</v>
      </c>
      <c r="AU185" s="69" t="n">
        <f aca="false">IF(AU$128=1,Inputs!$C$47,0)</f>
        <v>0</v>
      </c>
      <c r="AV185" s="69" t="n">
        <f aca="false">IF(AV$128=1,Inputs!$C$47,0)</f>
        <v>0</v>
      </c>
      <c r="AW185" s="69" t="n">
        <f aca="false">IF(AW$128=1,Inputs!$C$47,0)</f>
        <v>0</v>
      </c>
      <c r="AX185" s="69" t="n">
        <f aca="false">IF(AX$128=1,Inputs!$C$47,0)</f>
        <v>0</v>
      </c>
      <c r="AY185" s="69" t="n">
        <f aca="false">IF(AY$128=1,Inputs!$C$47,0)</f>
        <v>0</v>
      </c>
      <c r="AZ185" s="69" t="n">
        <f aca="false">IF(AZ$128=1,Inputs!$C$47,0)</f>
        <v>0</v>
      </c>
      <c r="BA185" s="69" t="n">
        <f aca="false">IF(BA$128=1,Inputs!$C$47,0)</f>
        <v>0</v>
      </c>
      <c r="BB185" s="69" t="n">
        <f aca="false">IF(BB$128=1,Inputs!$C$47,0)</f>
        <v>0</v>
      </c>
      <c r="BC185" s="69" t="n">
        <f aca="false">IF(BC$128=1,Inputs!$C$47,0)</f>
        <v>0</v>
      </c>
      <c r="BD185" s="69" t="n">
        <f aca="false">IF(BD$128=1,Inputs!$C$47,0)</f>
        <v>0</v>
      </c>
      <c r="BE185" s="69" t="n">
        <f aca="false">IF(BE$128=1,Inputs!$C$47,0)</f>
        <v>0</v>
      </c>
      <c r="BF185" s="69" t="n">
        <f aca="false">IF(BF$128=1,Inputs!$C$47,0)</f>
        <v>0</v>
      </c>
      <c r="BG185" s="69" t="n">
        <f aca="false">IF(BG$128=1,Inputs!$C$47,0)</f>
        <v>0</v>
      </c>
      <c r="BH185" s="69" t="n">
        <f aca="false">IF(BH$128=1,Inputs!$C$47,0)</f>
        <v>0</v>
      </c>
      <c r="BI185" s="69" t="n">
        <f aca="false">IF(BI$128=1,Inputs!$C$47,0)</f>
        <v>0</v>
      </c>
      <c r="BJ185" s="69" t="n">
        <f aca="false">IF(BJ$128=1,Inputs!$C$47,0)</f>
        <v>0</v>
      </c>
    </row>
    <row r="186" customFormat="false" ht="15" hidden="false" customHeight="false" outlineLevel="0" collapsed="false">
      <c r="A186" s="6" t="s">
        <v>434</v>
      </c>
      <c r="C186" s="69" t="n">
        <f aca="false">IF(AND(C$129&gt;1,MOD(C$128-1,12)=0),Inputs!$C$48,0)</f>
        <v>0</v>
      </c>
      <c r="D186" s="69" t="n">
        <f aca="false">IF(AND(D$129&gt;1,MOD(D$128-1,12)=0),Inputs!$C$48,0)</f>
        <v>0</v>
      </c>
      <c r="E186" s="69" t="n">
        <f aca="false">IF(AND(E$129&gt;1,MOD(E$128-1,12)=0),Inputs!$C$48,0)</f>
        <v>0</v>
      </c>
      <c r="F186" s="69" t="n">
        <f aca="false">IF(AND(F$129&gt;1,MOD(F$128-1,12)=0),Inputs!$C$48,0)</f>
        <v>0</v>
      </c>
      <c r="G186" s="69" t="n">
        <f aca="false">IF(AND(G$129&gt;1,MOD(G$128-1,12)=0),Inputs!$C$48,0)</f>
        <v>0</v>
      </c>
      <c r="H186" s="69" t="n">
        <f aca="false">IF(AND(H$129&gt;1,MOD(H$128-1,12)=0),Inputs!$C$48,0)</f>
        <v>0</v>
      </c>
      <c r="I186" s="69" t="n">
        <f aca="false">IF(AND(I$129&gt;1,MOD(I$128-1,12)=0),Inputs!$C$48,0)</f>
        <v>0</v>
      </c>
      <c r="J186" s="69" t="n">
        <f aca="false">IF(AND(J$129&gt;1,MOD(J$128-1,12)=0),Inputs!$C$48,0)</f>
        <v>0</v>
      </c>
      <c r="K186" s="69" t="n">
        <f aca="false">IF(AND(K$129&gt;1,MOD(K$128-1,12)=0),Inputs!$C$48,0)</f>
        <v>0</v>
      </c>
      <c r="L186" s="69" t="n">
        <f aca="false">IF(AND(L$129&gt;1,MOD(L$128-1,12)=0),Inputs!$C$48,0)</f>
        <v>0</v>
      </c>
      <c r="M186" s="69" t="n">
        <f aca="false">IF(AND(M$129&gt;1,MOD(M$128-1,12)=0),Inputs!$C$48,0)</f>
        <v>0</v>
      </c>
      <c r="N186" s="69" t="n">
        <f aca="false">IF(AND(N$129&gt;1,MOD(N$128-1,12)=0),Inputs!$C$48,0)</f>
        <v>0</v>
      </c>
      <c r="O186" s="69" t="n">
        <f aca="false">IF(AND(O$129&gt;1,MOD(O$128-1,12)=0),Inputs!$C$48,0)</f>
        <v>20000</v>
      </c>
      <c r="P186" s="69" t="n">
        <f aca="false">IF(AND(P$129&gt;1,MOD(P$128-1,12)=0),Inputs!$C$48,0)</f>
        <v>0</v>
      </c>
      <c r="Q186" s="69" t="n">
        <f aca="false">IF(AND(Q$129&gt;1,MOD(Q$128-1,12)=0),Inputs!$C$48,0)</f>
        <v>0</v>
      </c>
      <c r="R186" s="69" t="n">
        <f aca="false">IF(AND(R$129&gt;1,MOD(R$128-1,12)=0),Inputs!$C$48,0)</f>
        <v>0</v>
      </c>
      <c r="S186" s="69" t="n">
        <f aca="false">IF(AND(S$129&gt;1,MOD(S$128-1,12)=0),Inputs!$C$48,0)</f>
        <v>0</v>
      </c>
      <c r="T186" s="69" t="n">
        <f aca="false">IF(AND(T$129&gt;1,MOD(T$128-1,12)=0),Inputs!$C$48,0)</f>
        <v>0</v>
      </c>
      <c r="U186" s="69" t="n">
        <f aca="false">IF(AND(U$129&gt;1,MOD(U$128-1,12)=0),Inputs!$C$48,0)</f>
        <v>0</v>
      </c>
      <c r="V186" s="69" t="n">
        <f aca="false">IF(AND(V$129&gt;1,MOD(V$128-1,12)=0),Inputs!$C$48,0)</f>
        <v>0</v>
      </c>
      <c r="W186" s="69" t="n">
        <f aca="false">IF(AND(W$129&gt;1,MOD(W$128-1,12)=0),Inputs!$C$48,0)</f>
        <v>0</v>
      </c>
      <c r="X186" s="69" t="n">
        <f aca="false">IF(AND(X$129&gt;1,MOD(X$128-1,12)=0),Inputs!$C$48,0)</f>
        <v>0</v>
      </c>
      <c r="Y186" s="69" t="n">
        <f aca="false">IF(AND(Y$129&gt;1,MOD(Y$128-1,12)=0),Inputs!$C$48,0)</f>
        <v>0</v>
      </c>
      <c r="Z186" s="69" t="n">
        <f aca="false">IF(AND(Z$129&gt;1,MOD(Z$128-1,12)=0),Inputs!$C$48,0)</f>
        <v>0</v>
      </c>
      <c r="AA186" s="69" t="n">
        <f aca="false">IF(AND(AA$129&gt;1,MOD(AA$128-1,12)=0),Inputs!$C$48,0)</f>
        <v>20000</v>
      </c>
      <c r="AB186" s="69" t="n">
        <f aca="false">IF(AND(AB$129&gt;1,MOD(AB$128-1,12)=0),Inputs!$C$48,0)</f>
        <v>0</v>
      </c>
      <c r="AC186" s="69" t="n">
        <f aca="false">IF(AND(AC$129&gt;1,MOD(AC$128-1,12)=0),Inputs!$C$48,0)</f>
        <v>0</v>
      </c>
      <c r="AD186" s="69" t="n">
        <f aca="false">IF(AND(AD$129&gt;1,MOD(AD$128-1,12)=0),Inputs!$C$48,0)</f>
        <v>0</v>
      </c>
      <c r="AE186" s="69" t="n">
        <f aca="false">IF(AND(AE$129&gt;1,MOD(AE$128-1,12)=0),Inputs!$C$48,0)</f>
        <v>0</v>
      </c>
      <c r="AF186" s="69" t="n">
        <f aca="false">IF(AND(AF$129&gt;1,MOD(AF$128-1,12)=0),Inputs!$C$48,0)</f>
        <v>0</v>
      </c>
      <c r="AG186" s="69" t="n">
        <f aca="false">IF(AND(AG$129&gt;1,MOD(AG$128-1,12)=0),Inputs!$C$48,0)</f>
        <v>0</v>
      </c>
      <c r="AH186" s="69" t="n">
        <f aca="false">IF(AND(AH$129&gt;1,MOD(AH$128-1,12)=0),Inputs!$C$48,0)</f>
        <v>0</v>
      </c>
      <c r="AI186" s="69" t="n">
        <f aca="false">IF(AND(AI$129&gt;1,MOD(AI$128-1,12)=0),Inputs!$C$48,0)</f>
        <v>0</v>
      </c>
      <c r="AJ186" s="69" t="n">
        <f aca="false">IF(AND(AJ$129&gt;1,MOD(AJ$128-1,12)=0),Inputs!$C$48,0)</f>
        <v>0</v>
      </c>
      <c r="AK186" s="69" t="n">
        <f aca="false">IF(AND(AK$129&gt;1,MOD(AK$128-1,12)=0),Inputs!$C$48,0)</f>
        <v>0</v>
      </c>
      <c r="AL186" s="69" t="n">
        <f aca="false">IF(AND(AL$129&gt;1,MOD(AL$128-1,12)=0),Inputs!$C$48,0)</f>
        <v>0</v>
      </c>
      <c r="AM186" s="69" t="n">
        <f aca="false">IF(AND(AM$129&gt;1,MOD(AM$128-1,12)=0),Inputs!$C$48,0)</f>
        <v>20000</v>
      </c>
      <c r="AN186" s="69" t="n">
        <f aca="false">IF(AND(AN$129&gt;1,MOD(AN$128-1,12)=0),Inputs!$C$48,0)</f>
        <v>0</v>
      </c>
      <c r="AO186" s="69" t="n">
        <f aca="false">IF(AND(AO$129&gt;1,MOD(AO$128-1,12)=0),Inputs!$C$48,0)</f>
        <v>0</v>
      </c>
      <c r="AP186" s="69" t="n">
        <f aca="false">IF(AND(AP$129&gt;1,MOD(AP$128-1,12)=0),Inputs!$C$48,0)</f>
        <v>0</v>
      </c>
      <c r="AQ186" s="69" t="n">
        <f aca="false">IF(AND(AQ$129&gt;1,MOD(AQ$128-1,12)=0),Inputs!$C$48,0)</f>
        <v>0</v>
      </c>
      <c r="AR186" s="69" t="n">
        <f aca="false">IF(AND(AR$129&gt;1,MOD(AR$128-1,12)=0),Inputs!$C$48,0)</f>
        <v>0</v>
      </c>
      <c r="AS186" s="69" t="n">
        <f aca="false">IF(AND(AS$129&gt;1,MOD(AS$128-1,12)=0),Inputs!$C$48,0)</f>
        <v>0</v>
      </c>
      <c r="AT186" s="69" t="n">
        <f aca="false">IF(AND(AT$129&gt;1,MOD(AT$128-1,12)=0),Inputs!$C$48,0)</f>
        <v>0</v>
      </c>
      <c r="AU186" s="69" t="n">
        <f aca="false">IF(AND(AU$129&gt;1,MOD(AU$128-1,12)=0),Inputs!$C$48,0)</f>
        <v>0</v>
      </c>
      <c r="AV186" s="69" t="n">
        <f aca="false">IF(AND(AV$129&gt;1,MOD(AV$128-1,12)=0),Inputs!$C$48,0)</f>
        <v>0</v>
      </c>
      <c r="AW186" s="69" t="n">
        <f aca="false">IF(AND(AW$129&gt;1,MOD(AW$128-1,12)=0),Inputs!$C$48,0)</f>
        <v>0</v>
      </c>
      <c r="AX186" s="69" t="n">
        <f aca="false">IF(AND(AX$129&gt;1,MOD(AX$128-1,12)=0),Inputs!$C$48,0)</f>
        <v>0</v>
      </c>
      <c r="AY186" s="69" t="n">
        <f aca="false">IF(AND(AY$129&gt;1,MOD(AY$128-1,12)=0),Inputs!$C$48,0)</f>
        <v>20000</v>
      </c>
      <c r="AZ186" s="69" t="n">
        <f aca="false">IF(AND(AZ$129&gt;1,MOD(AZ$128-1,12)=0),Inputs!$C$48,0)</f>
        <v>0</v>
      </c>
      <c r="BA186" s="69" t="n">
        <f aca="false">IF(AND(BA$129&gt;1,MOD(BA$128-1,12)=0),Inputs!$C$48,0)</f>
        <v>0</v>
      </c>
      <c r="BB186" s="69" t="n">
        <f aca="false">IF(AND(BB$129&gt;1,MOD(BB$128-1,12)=0),Inputs!$C$48,0)</f>
        <v>0</v>
      </c>
      <c r="BC186" s="69" t="n">
        <f aca="false">IF(AND(BC$129&gt;1,MOD(BC$128-1,12)=0),Inputs!$C$48,0)</f>
        <v>0</v>
      </c>
      <c r="BD186" s="69" t="n">
        <f aca="false">IF(AND(BD$129&gt;1,MOD(BD$128-1,12)=0),Inputs!$C$48,0)</f>
        <v>0</v>
      </c>
      <c r="BE186" s="69" t="n">
        <f aca="false">IF(AND(BE$129&gt;1,MOD(BE$128-1,12)=0),Inputs!$C$48,0)</f>
        <v>0</v>
      </c>
      <c r="BF186" s="69" t="n">
        <f aca="false">IF(AND(BF$129&gt;1,MOD(BF$128-1,12)=0),Inputs!$C$48,0)</f>
        <v>0</v>
      </c>
      <c r="BG186" s="69" t="n">
        <f aca="false">IF(AND(BG$129&gt;1,MOD(BG$128-1,12)=0),Inputs!$C$48,0)</f>
        <v>0</v>
      </c>
      <c r="BH186" s="69" t="n">
        <f aca="false">IF(AND(BH$129&gt;1,MOD(BH$128-1,12)=0),Inputs!$C$48,0)</f>
        <v>0</v>
      </c>
      <c r="BI186" s="69" t="n">
        <f aca="false">IF(AND(BI$129&gt;1,MOD(BI$128-1,12)=0),Inputs!$C$48,0)</f>
        <v>0</v>
      </c>
      <c r="BJ186" s="69" t="n">
        <f aca="false">IF(AND(BJ$129&gt;1,MOD(BJ$128-1,12)=0),Inputs!$C$48,0)</f>
        <v>0</v>
      </c>
    </row>
    <row r="187" customFormat="false" ht="15" hidden="false" customHeight="false" outlineLevel="0" collapsed="false">
      <c r="A187" s="4" t="s">
        <v>84</v>
      </c>
      <c r="C187" s="75" t="n">
        <f aca="false">C182+C183+C184+C185+C186</f>
        <v>382000</v>
      </c>
      <c r="D187" s="75" t="n">
        <f aca="false">D182+D183+D184+D185+D186</f>
        <v>0</v>
      </c>
      <c r="E187" s="75" t="n">
        <f aca="false">E182+E183+E184+E185+E186</f>
        <v>0</v>
      </c>
      <c r="F187" s="75" t="n">
        <f aca="false">F182+F183+F184+F185+F186</f>
        <v>0</v>
      </c>
      <c r="G187" s="75" t="n">
        <f aca="false">G182+G183+G184+G185+G186</f>
        <v>0</v>
      </c>
      <c r="H187" s="75" t="n">
        <f aca="false">H182+H183+H184+H185+H186</f>
        <v>0</v>
      </c>
      <c r="I187" s="75" t="n">
        <f aca="false">I182+I183+I184+I185+I186</f>
        <v>0</v>
      </c>
      <c r="J187" s="75" t="n">
        <f aca="false">J182+J183+J184+J185+J186</f>
        <v>0</v>
      </c>
      <c r="K187" s="75" t="n">
        <f aca="false">K182+K183+K184+K185+K186</f>
        <v>0</v>
      </c>
      <c r="L187" s="75" t="n">
        <f aca="false">L182+L183+L184+L185+L186</f>
        <v>0</v>
      </c>
      <c r="M187" s="75" t="n">
        <f aca="false">M182+M183+M184+M185+M186</f>
        <v>0</v>
      </c>
      <c r="N187" s="75" t="n">
        <f aca="false">N182+N183+N184+N185+N186</f>
        <v>0</v>
      </c>
      <c r="O187" s="75" t="n">
        <f aca="false">O182+O183+O184+O185+O186</f>
        <v>20000</v>
      </c>
      <c r="P187" s="75" t="n">
        <f aca="false">P182+P183+P184+P185+P186</f>
        <v>0</v>
      </c>
      <c r="Q187" s="75" t="n">
        <f aca="false">Q182+Q183+Q184+Q185+Q186</f>
        <v>0</v>
      </c>
      <c r="R187" s="75" t="n">
        <f aca="false">R182+R183+R184+R185+R186</f>
        <v>0</v>
      </c>
      <c r="S187" s="75" t="n">
        <f aca="false">S182+S183+S184+S185+S186</f>
        <v>0</v>
      </c>
      <c r="T187" s="75" t="n">
        <f aca="false">T182+T183+T184+T185+T186</f>
        <v>0</v>
      </c>
      <c r="U187" s="75" t="n">
        <f aca="false">U182+U183+U184+U185+U186</f>
        <v>0</v>
      </c>
      <c r="V187" s="75" t="n">
        <f aca="false">V182+V183+V184+V185+V186</f>
        <v>0</v>
      </c>
      <c r="W187" s="75" t="n">
        <f aca="false">W182+W183+W184+W185+W186</f>
        <v>0</v>
      </c>
      <c r="X187" s="75" t="n">
        <f aca="false">X182+X183+X184+X185+X186</f>
        <v>0</v>
      </c>
      <c r="Y187" s="75" t="n">
        <f aca="false">Y182+Y183+Y184+Y185+Y186</f>
        <v>0</v>
      </c>
      <c r="Z187" s="75" t="n">
        <f aca="false">Z182+Z183+Z184+Z185+Z186</f>
        <v>0</v>
      </c>
      <c r="AA187" s="75" t="n">
        <f aca="false">AA182+AA183+AA184+AA185+AA186</f>
        <v>20000</v>
      </c>
      <c r="AB187" s="75" t="n">
        <f aca="false">AB182+AB183+AB184+AB185+AB186</f>
        <v>0</v>
      </c>
      <c r="AC187" s="75" t="n">
        <f aca="false">AC182+AC183+AC184+AC185+AC186</f>
        <v>0</v>
      </c>
      <c r="AD187" s="75" t="n">
        <f aca="false">AD182+AD183+AD184+AD185+AD186</f>
        <v>0</v>
      </c>
      <c r="AE187" s="75" t="n">
        <f aca="false">AE182+AE183+AE184+AE185+AE186</f>
        <v>0</v>
      </c>
      <c r="AF187" s="75" t="n">
        <f aca="false">AF182+AF183+AF184+AF185+AF186</f>
        <v>0</v>
      </c>
      <c r="AG187" s="75" t="n">
        <f aca="false">AG182+AG183+AG184+AG185+AG186</f>
        <v>0</v>
      </c>
      <c r="AH187" s="75" t="n">
        <f aca="false">AH182+AH183+AH184+AH185+AH186</f>
        <v>0</v>
      </c>
      <c r="AI187" s="75" t="n">
        <f aca="false">AI182+AI183+AI184+AI185+AI186</f>
        <v>0</v>
      </c>
      <c r="AJ187" s="75" t="n">
        <f aca="false">AJ182+AJ183+AJ184+AJ185+AJ186</f>
        <v>0</v>
      </c>
      <c r="AK187" s="75" t="n">
        <f aca="false">AK182+AK183+AK184+AK185+AK186</f>
        <v>0</v>
      </c>
      <c r="AL187" s="75" t="n">
        <f aca="false">AL182+AL183+AL184+AL185+AL186</f>
        <v>0</v>
      </c>
      <c r="AM187" s="75" t="n">
        <f aca="false">AM182+AM183+AM184+AM185+AM186</f>
        <v>20000</v>
      </c>
      <c r="AN187" s="75" t="n">
        <f aca="false">AN182+AN183+AN184+AN185+AN186</f>
        <v>0</v>
      </c>
      <c r="AO187" s="75" t="n">
        <f aca="false">AO182+AO183+AO184+AO185+AO186</f>
        <v>0</v>
      </c>
      <c r="AP187" s="75" t="n">
        <f aca="false">AP182+AP183+AP184+AP185+AP186</f>
        <v>0</v>
      </c>
      <c r="AQ187" s="75" t="n">
        <f aca="false">AQ182+AQ183+AQ184+AQ185+AQ186</f>
        <v>0</v>
      </c>
      <c r="AR187" s="75" t="n">
        <f aca="false">AR182+AR183+AR184+AR185+AR186</f>
        <v>0</v>
      </c>
      <c r="AS187" s="75" t="n">
        <f aca="false">AS182+AS183+AS184+AS185+AS186</f>
        <v>0</v>
      </c>
      <c r="AT187" s="75" t="n">
        <f aca="false">AT182+AT183+AT184+AT185+AT186</f>
        <v>0</v>
      </c>
      <c r="AU187" s="75" t="n">
        <f aca="false">AU182+AU183+AU184+AU185+AU186</f>
        <v>0</v>
      </c>
      <c r="AV187" s="75" t="n">
        <f aca="false">AV182+AV183+AV184+AV185+AV186</f>
        <v>0</v>
      </c>
      <c r="AW187" s="75" t="n">
        <f aca="false">AW182+AW183+AW184+AW185+AW186</f>
        <v>0</v>
      </c>
      <c r="AX187" s="75" t="n">
        <f aca="false">AX182+AX183+AX184+AX185+AX186</f>
        <v>0</v>
      </c>
      <c r="AY187" s="75" t="n">
        <f aca="false">AY182+AY183+AY184+AY185+AY186</f>
        <v>20000</v>
      </c>
      <c r="AZ187" s="75" t="n">
        <f aca="false">AZ182+AZ183+AZ184+AZ185+AZ186</f>
        <v>0</v>
      </c>
      <c r="BA187" s="75" t="n">
        <f aca="false">BA182+BA183+BA184+BA185+BA186</f>
        <v>0</v>
      </c>
      <c r="BB187" s="75" t="n">
        <f aca="false">BB182+BB183+BB184+BB185+BB186</f>
        <v>0</v>
      </c>
      <c r="BC187" s="75" t="n">
        <f aca="false">BC182+BC183+BC184+BC185+BC186</f>
        <v>0</v>
      </c>
      <c r="BD187" s="75" t="n">
        <f aca="false">BD182+BD183+BD184+BD185+BD186</f>
        <v>0</v>
      </c>
      <c r="BE187" s="75" t="n">
        <f aca="false">BE182+BE183+BE184+BE185+BE186</f>
        <v>0</v>
      </c>
      <c r="BF187" s="75" t="n">
        <f aca="false">BF182+BF183+BF184+BF185+BF186</f>
        <v>0</v>
      </c>
      <c r="BG187" s="75" t="n">
        <f aca="false">BG182+BG183+BG184+BG185+BG186</f>
        <v>0</v>
      </c>
      <c r="BH187" s="75" t="n">
        <f aca="false">BH182+BH183+BH184+BH185+BH186</f>
        <v>0</v>
      </c>
      <c r="BI187" s="75" t="n">
        <f aca="false">BI182+BI183+BI184+BI185+BI186</f>
        <v>0</v>
      </c>
      <c r="BJ187" s="75" t="n">
        <f aca="false">BJ182+BJ183+BJ184+BJ185+BJ186</f>
        <v>0</v>
      </c>
    </row>
    <row r="188" customFormat="false" ht="15" hidden="false" customHeight="false" outlineLevel="0" collapsed="false">
      <c r="A188" s="6" t="s">
        <v>435</v>
      </c>
      <c r="C188" s="69" t="n">
        <f aca="false">C187</f>
        <v>382000</v>
      </c>
      <c r="D188" s="69" t="n">
        <f aca="false">C188+D187</f>
        <v>382000</v>
      </c>
      <c r="E188" s="69" t="n">
        <f aca="false">D188+E187</f>
        <v>382000</v>
      </c>
      <c r="F188" s="69" t="n">
        <f aca="false">E188+F187</f>
        <v>382000</v>
      </c>
      <c r="G188" s="69" t="n">
        <f aca="false">F188+G187</f>
        <v>382000</v>
      </c>
      <c r="H188" s="69" t="n">
        <f aca="false">G188+H187</f>
        <v>382000</v>
      </c>
      <c r="I188" s="69" t="n">
        <f aca="false">H188+I187</f>
        <v>382000</v>
      </c>
      <c r="J188" s="69" t="n">
        <f aca="false">I188+J187</f>
        <v>382000</v>
      </c>
      <c r="K188" s="69" t="n">
        <f aca="false">J188+K187</f>
        <v>382000</v>
      </c>
      <c r="L188" s="69" t="n">
        <f aca="false">K188+L187</f>
        <v>382000</v>
      </c>
      <c r="M188" s="69" t="n">
        <f aca="false">L188+M187</f>
        <v>382000</v>
      </c>
      <c r="N188" s="69" t="n">
        <f aca="false">M188+N187</f>
        <v>382000</v>
      </c>
      <c r="O188" s="69" t="n">
        <f aca="false">N188+O187</f>
        <v>402000</v>
      </c>
      <c r="P188" s="69" t="n">
        <f aca="false">O188+P187</f>
        <v>402000</v>
      </c>
      <c r="Q188" s="69" t="n">
        <f aca="false">P188+Q187</f>
        <v>402000</v>
      </c>
      <c r="R188" s="69" t="n">
        <f aca="false">Q188+R187</f>
        <v>402000</v>
      </c>
      <c r="S188" s="69" t="n">
        <f aca="false">R188+S187</f>
        <v>402000</v>
      </c>
      <c r="T188" s="69" t="n">
        <f aca="false">S188+T187</f>
        <v>402000</v>
      </c>
      <c r="U188" s="69" t="n">
        <f aca="false">T188+U187</f>
        <v>402000</v>
      </c>
      <c r="V188" s="69" t="n">
        <f aca="false">U188+V187</f>
        <v>402000</v>
      </c>
      <c r="W188" s="69" t="n">
        <f aca="false">V188+W187</f>
        <v>402000</v>
      </c>
      <c r="X188" s="69" t="n">
        <f aca="false">W188+X187</f>
        <v>402000</v>
      </c>
      <c r="Y188" s="69" t="n">
        <f aca="false">X188+Y187</f>
        <v>402000</v>
      </c>
      <c r="Z188" s="69" t="n">
        <f aca="false">Y188+Z187</f>
        <v>402000</v>
      </c>
      <c r="AA188" s="69" t="n">
        <f aca="false">Z188+AA187</f>
        <v>422000</v>
      </c>
      <c r="AB188" s="69" t="n">
        <f aca="false">AA188+AB187</f>
        <v>422000</v>
      </c>
      <c r="AC188" s="69" t="n">
        <f aca="false">AB188+AC187</f>
        <v>422000</v>
      </c>
      <c r="AD188" s="69" t="n">
        <f aca="false">AC188+AD187</f>
        <v>422000</v>
      </c>
      <c r="AE188" s="69" t="n">
        <f aca="false">AD188+AE187</f>
        <v>422000</v>
      </c>
      <c r="AF188" s="69" t="n">
        <f aca="false">AE188+AF187</f>
        <v>422000</v>
      </c>
      <c r="AG188" s="69" t="n">
        <f aca="false">AF188+AG187</f>
        <v>422000</v>
      </c>
      <c r="AH188" s="69" t="n">
        <f aca="false">AG188+AH187</f>
        <v>422000</v>
      </c>
      <c r="AI188" s="69" t="n">
        <f aca="false">AH188+AI187</f>
        <v>422000</v>
      </c>
      <c r="AJ188" s="69" t="n">
        <f aca="false">AI188+AJ187</f>
        <v>422000</v>
      </c>
      <c r="AK188" s="69" t="n">
        <f aca="false">AJ188+AK187</f>
        <v>422000</v>
      </c>
      <c r="AL188" s="69" t="n">
        <f aca="false">AK188+AL187</f>
        <v>422000</v>
      </c>
      <c r="AM188" s="69" t="n">
        <f aca="false">AL188+AM187</f>
        <v>442000</v>
      </c>
      <c r="AN188" s="69" t="n">
        <f aca="false">AM188+AN187</f>
        <v>442000</v>
      </c>
      <c r="AO188" s="69" t="n">
        <f aca="false">AN188+AO187</f>
        <v>442000</v>
      </c>
      <c r="AP188" s="69" t="n">
        <f aca="false">AO188+AP187</f>
        <v>442000</v>
      </c>
      <c r="AQ188" s="69" t="n">
        <f aca="false">AP188+AQ187</f>
        <v>442000</v>
      </c>
      <c r="AR188" s="69" t="n">
        <f aca="false">AQ188+AR187</f>
        <v>442000</v>
      </c>
      <c r="AS188" s="69" t="n">
        <f aca="false">AR188+AS187</f>
        <v>442000</v>
      </c>
      <c r="AT188" s="69" t="n">
        <f aca="false">AS188+AT187</f>
        <v>442000</v>
      </c>
      <c r="AU188" s="69" t="n">
        <f aca="false">AT188+AU187</f>
        <v>442000</v>
      </c>
      <c r="AV188" s="69" t="n">
        <f aca="false">AU188+AV187</f>
        <v>442000</v>
      </c>
      <c r="AW188" s="69" t="n">
        <f aca="false">AV188+AW187</f>
        <v>442000</v>
      </c>
      <c r="AX188" s="69" t="n">
        <f aca="false">AW188+AX187</f>
        <v>442000</v>
      </c>
      <c r="AY188" s="69" t="n">
        <f aca="false">AX188+AY187</f>
        <v>462000</v>
      </c>
      <c r="AZ188" s="69" t="n">
        <f aca="false">AY188+AZ187</f>
        <v>462000</v>
      </c>
      <c r="BA188" s="69" t="n">
        <f aca="false">AZ188+BA187</f>
        <v>462000</v>
      </c>
      <c r="BB188" s="69" t="n">
        <f aca="false">BA188+BB187</f>
        <v>462000</v>
      </c>
      <c r="BC188" s="69" t="n">
        <f aca="false">BB188+BC187</f>
        <v>462000</v>
      </c>
      <c r="BD188" s="69" t="n">
        <f aca="false">BC188+BD187</f>
        <v>462000</v>
      </c>
      <c r="BE188" s="69" t="n">
        <f aca="false">BD188+BE187</f>
        <v>462000</v>
      </c>
      <c r="BF188" s="69" t="n">
        <f aca="false">BE188+BF187</f>
        <v>462000</v>
      </c>
      <c r="BG188" s="69" t="n">
        <f aca="false">BF188+BG187</f>
        <v>462000</v>
      </c>
      <c r="BH188" s="69" t="n">
        <f aca="false">BG188+BH187</f>
        <v>462000</v>
      </c>
      <c r="BI188" s="69" t="n">
        <f aca="false">BH188+BI187</f>
        <v>462000</v>
      </c>
      <c r="BJ188" s="69" t="n">
        <f aca="false">BI188+BJ187</f>
        <v>462000</v>
      </c>
    </row>
    <row r="189" customFormat="false" ht="15" hidden="false" customHeight="false" outlineLevel="0" collapsed="false">
      <c r="A189" s="6" t="s">
        <v>436</v>
      </c>
      <c r="C189" s="69" t="n">
        <f aca="false">C185</f>
        <v>0</v>
      </c>
      <c r="D189" s="69" t="n">
        <f aca="false">C189+D185</f>
        <v>0</v>
      </c>
      <c r="E189" s="69" t="n">
        <f aca="false">D189+E185</f>
        <v>0</v>
      </c>
      <c r="F189" s="69" t="n">
        <f aca="false">E189+F185</f>
        <v>0</v>
      </c>
      <c r="G189" s="69" t="n">
        <f aca="false">F189+G185</f>
        <v>0</v>
      </c>
      <c r="H189" s="69" t="n">
        <f aca="false">G189+H185</f>
        <v>0</v>
      </c>
      <c r="I189" s="69" t="n">
        <f aca="false">H189+I185</f>
        <v>0</v>
      </c>
      <c r="J189" s="69" t="n">
        <f aca="false">I189+J185</f>
        <v>0</v>
      </c>
      <c r="K189" s="69" t="n">
        <f aca="false">J189+K185</f>
        <v>0</v>
      </c>
      <c r="L189" s="69" t="n">
        <f aca="false">K189+L185</f>
        <v>0</v>
      </c>
      <c r="M189" s="69" t="n">
        <f aca="false">L189+M185</f>
        <v>0</v>
      </c>
      <c r="N189" s="69" t="n">
        <f aca="false">M189+N185</f>
        <v>0</v>
      </c>
      <c r="O189" s="69" t="n">
        <f aca="false">N189+O185</f>
        <v>0</v>
      </c>
      <c r="P189" s="69" t="n">
        <f aca="false">O189+P185</f>
        <v>0</v>
      </c>
      <c r="Q189" s="69" t="n">
        <f aca="false">P189+Q185</f>
        <v>0</v>
      </c>
      <c r="R189" s="69" t="n">
        <f aca="false">Q189+R185</f>
        <v>0</v>
      </c>
      <c r="S189" s="69" t="n">
        <f aca="false">R189+S185</f>
        <v>0</v>
      </c>
      <c r="T189" s="69" t="n">
        <f aca="false">S189+T185</f>
        <v>0</v>
      </c>
      <c r="U189" s="69" t="n">
        <f aca="false">T189+U185</f>
        <v>0</v>
      </c>
      <c r="V189" s="69" t="n">
        <f aca="false">U189+V185</f>
        <v>0</v>
      </c>
      <c r="W189" s="69" t="n">
        <f aca="false">V189+W185</f>
        <v>0</v>
      </c>
      <c r="X189" s="69" t="n">
        <f aca="false">W189+X185</f>
        <v>0</v>
      </c>
      <c r="Y189" s="69" t="n">
        <f aca="false">X189+Y185</f>
        <v>0</v>
      </c>
      <c r="Z189" s="69" t="n">
        <f aca="false">Y189+Z185</f>
        <v>0</v>
      </c>
      <c r="AA189" s="69" t="n">
        <f aca="false">Z189+AA185</f>
        <v>0</v>
      </c>
      <c r="AB189" s="69" t="n">
        <f aca="false">AA189+AB185</f>
        <v>0</v>
      </c>
      <c r="AC189" s="69" t="n">
        <f aca="false">AB189+AC185</f>
        <v>0</v>
      </c>
      <c r="AD189" s="69" t="n">
        <f aca="false">AC189+AD185</f>
        <v>0</v>
      </c>
      <c r="AE189" s="69" t="n">
        <f aca="false">AD189+AE185</f>
        <v>0</v>
      </c>
      <c r="AF189" s="69" t="n">
        <f aca="false">AE189+AF185</f>
        <v>0</v>
      </c>
      <c r="AG189" s="69" t="n">
        <f aca="false">AF189+AG185</f>
        <v>0</v>
      </c>
      <c r="AH189" s="69" t="n">
        <f aca="false">AG189+AH185</f>
        <v>0</v>
      </c>
      <c r="AI189" s="69" t="n">
        <f aca="false">AH189+AI185</f>
        <v>0</v>
      </c>
      <c r="AJ189" s="69" t="n">
        <f aca="false">AI189+AJ185</f>
        <v>0</v>
      </c>
      <c r="AK189" s="69" t="n">
        <f aca="false">AJ189+AK185</f>
        <v>0</v>
      </c>
      <c r="AL189" s="69" t="n">
        <f aca="false">AK189+AL185</f>
        <v>0</v>
      </c>
      <c r="AM189" s="69" t="n">
        <f aca="false">AL189+AM185</f>
        <v>0</v>
      </c>
      <c r="AN189" s="69" t="n">
        <f aca="false">AM189+AN185</f>
        <v>0</v>
      </c>
      <c r="AO189" s="69" t="n">
        <f aca="false">AN189+AO185</f>
        <v>0</v>
      </c>
      <c r="AP189" s="69" t="n">
        <f aca="false">AO189+AP185</f>
        <v>0</v>
      </c>
      <c r="AQ189" s="69" t="n">
        <f aca="false">AP189+AQ185</f>
        <v>0</v>
      </c>
      <c r="AR189" s="69" t="n">
        <f aca="false">AQ189+AR185</f>
        <v>0</v>
      </c>
      <c r="AS189" s="69" t="n">
        <f aca="false">AR189+AS185</f>
        <v>0</v>
      </c>
      <c r="AT189" s="69" t="n">
        <f aca="false">AS189+AT185</f>
        <v>0</v>
      </c>
      <c r="AU189" s="69" t="n">
        <f aca="false">AT189+AU185</f>
        <v>0</v>
      </c>
      <c r="AV189" s="69" t="n">
        <f aca="false">AU189+AV185</f>
        <v>0</v>
      </c>
      <c r="AW189" s="69" t="n">
        <f aca="false">AV189+AW185</f>
        <v>0</v>
      </c>
      <c r="AX189" s="69" t="n">
        <f aca="false">AW189+AX185</f>
        <v>0</v>
      </c>
      <c r="AY189" s="69" t="n">
        <f aca="false">AX189+AY185</f>
        <v>0</v>
      </c>
      <c r="AZ189" s="69" t="n">
        <f aca="false">AY189+AZ185</f>
        <v>0</v>
      </c>
      <c r="BA189" s="69" t="n">
        <f aca="false">AZ189+BA185</f>
        <v>0</v>
      </c>
      <c r="BB189" s="69" t="n">
        <f aca="false">BA189+BB185</f>
        <v>0</v>
      </c>
      <c r="BC189" s="69" t="n">
        <f aca="false">BB189+BC185</f>
        <v>0</v>
      </c>
      <c r="BD189" s="69" t="n">
        <f aca="false">BC189+BD185</f>
        <v>0</v>
      </c>
      <c r="BE189" s="69" t="n">
        <f aca="false">BD189+BE185</f>
        <v>0</v>
      </c>
      <c r="BF189" s="69" t="n">
        <f aca="false">BE189+BF185</f>
        <v>0</v>
      </c>
      <c r="BG189" s="69" t="n">
        <f aca="false">BF189+BG185</f>
        <v>0</v>
      </c>
      <c r="BH189" s="69" t="n">
        <f aca="false">BG189+BH185</f>
        <v>0</v>
      </c>
      <c r="BI189" s="69" t="n">
        <f aca="false">BH189+BI185</f>
        <v>0</v>
      </c>
      <c r="BJ189" s="69" t="n">
        <f aca="false">BI189+BJ185</f>
        <v>0</v>
      </c>
    </row>
    <row r="190" customFormat="false" ht="15" hidden="false" customHeight="false" outlineLevel="0" collapsed="false">
      <c r="A190" s="6" t="s">
        <v>78</v>
      </c>
      <c r="C190" s="69" t="n">
        <f aca="false">-MIN((C188-C189)/MAX(1,Inputs!$C$78*12),C187-C189)</f>
        <v>-3979.16666666667</v>
      </c>
      <c r="D190" s="69" t="n">
        <f aca="false">-MIN((D188-D189)/MAX(1,Inputs!$C$78*12),C192+D187-D189)</f>
        <v>-3979.16666666667</v>
      </c>
      <c r="E190" s="69" t="n">
        <f aca="false">-MIN((E188-E189)/MAX(1,Inputs!$C$78*12),D192+E187-E189)</f>
        <v>-3979.16666666667</v>
      </c>
      <c r="F190" s="69" t="n">
        <f aca="false">-MIN((F188-F189)/MAX(1,Inputs!$C$78*12),E192+F187-F189)</f>
        <v>-3979.16666666667</v>
      </c>
      <c r="G190" s="69" t="n">
        <f aca="false">-MIN((G188-G189)/MAX(1,Inputs!$C$78*12),F192+G187-G189)</f>
        <v>-3979.16666666667</v>
      </c>
      <c r="H190" s="69" t="n">
        <f aca="false">-MIN((H188-H189)/MAX(1,Inputs!$C$78*12),G192+H187-H189)</f>
        <v>-3979.16666666667</v>
      </c>
      <c r="I190" s="69" t="n">
        <f aca="false">-MIN((I188-I189)/MAX(1,Inputs!$C$78*12),H192+I187-I189)</f>
        <v>-3979.16666666667</v>
      </c>
      <c r="J190" s="69" t="n">
        <f aca="false">-MIN((J188-J189)/MAX(1,Inputs!$C$78*12),I192+J187-J189)</f>
        <v>-3979.16666666667</v>
      </c>
      <c r="K190" s="69" t="n">
        <f aca="false">-MIN((K188-K189)/MAX(1,Inputs!$C$78*12),J192+K187-K189)</f>
        <v>-3979.16666666667</v>
      </c>
      <c r="L190" s="69" t="n">
        <f aca="false">-MIN((L188-L189)/MAX(1,Inputs!$C$78*12),K192+L187-L189)</f>
        <v>-3979.16666666667</v>
      </c>
      <c r="M190" s="69" t="n">
        <f aca="false">-MIN((M188-M189)/MAX(1,Inputs!$C$78*12),L192+M187-M189)</f>
        <v>-3979.16666666667</v>
      </c>
      <c r="N190" s="69" t="n">
        <f aca="false">-MIN((N188-N189)/MAX(1,Inputs!$C$78*12),M192+N187-N189)</f>
        <v>-3979.16666666667</v>
      </c>
      <c r="O190" s="69" t="n">
        <f aca="false">-MIN((O188-O189)/MAX(1,Inputs!$C$78*12),N192+O187-O189)</f>
        <v>-4187.5</v>
      </c>
      <c r="P190" s="69" t="n">
        <f aca="false">-MIN((P188-P189)/MAX(1,Inputs!$C$78*12),O192+P187-P189)</f>
        <v>-4187.5</v>
      </c>
      <c r="Q190" s="69" t="n">
        <f aca="false">-MIN((Q188-Q189)/MAX(1,Inputs!$C$78*12),P192+Q187-Q189)</f>
        <v>-4187.5</v>
      </c>
      <c r="R190" s="69" t="n">
        <f aca="false">-MIN((R188-R189)/MAX(1,Inputs!$C$78*12),Q192+R187-R189)</f>
        <v>-4187.5</v>
      </c>
      <c r="S190" s="69" t="n">
        <f aca="false">-MIN((S188-S189)/MAX(1,Inputs!$C$78*12),R192+S187-S189)</f>
        <v>-4187.5</v>
      </c>
      <c r="T190" s="69" t="n">
        <f aca="false">-MIN((T188-T189)/MAX(1,Inputs!$C$78*12),S192+T187-T189)</f>
        <v>-4187.5</v>
      </c>
      <c r="U190" s="69" t="n">
        <f aca="false">-MIN((U188-U189)/MAX(1,Inputs!$C$78*12),T192+U187-U189)</f>
        <v>-4187.5</v>
      </c>
      <c r="V190" s="69" t="n">
        <f aca="false">-MIN((V188-V189)/MAX(1,Inputs!$C$78*12),U192+V187-V189)</f>
        <v>-4187.5</v>
      </c>
      <c r="W190" s="69" t="n">
        <f aca="false">-MIN((W188-W189)/MAX(1,Inputs!$C$78*12),V192+W187-W189)</f>
        <v>-4187.5</v>
      </c>
      <c r="X190" s="69" t="n">
        <f aca="false">-MIN((X188-X189)/MAX(1,Inputs!$C$78*12),W192+X187-X189)</f>
        <v>-4187.5</v>
      </c>
      <c r="Y190" s="69" t="n">
        <f aca="false">-MIN((Y188-Y189)/MAX(1,Inputs!$C$78*12),X192+Y187-Y189)</f>
        <v>-4187.5</v>
      </c>
      <c r="Z190" s="69" t="n">
        <f aca="false">-MIN((Z188-Z189)/MAX(1,Inputs!$C$78*12),Y192+Z187-Z189)</f>
        <v>-4187.5</v>
      </c>
      <c r="AA190" s="69" t="n">
        <f aca="false">-MIN((AA188-AA189)/MAX(1,Inputs!$C$78*12),Z192+AA187-AA189)</f>
        <v>-4395.83333333333</v>
      </c>
      <c r="AB190" s="69" t="n">
        <f aca="false">-MIN((AB188-AB189)/MAX(1,Inputs!$C$78*12),AA192+AB187-AB189)</f>
        <v>-4395.83333333333</v>
      </c>
      <c r="AC190" s="69" t="n">
        <f aca="false">-MIN((AC188-AC189)/MAX(1,Inputs!$C$78*12),AB192+AC187-AC189)</f>
        <v>-4395.83333333333</v>
      </c>
      <c r="AD190" s="69" t="n">
        <f aca="false">-MIN((AD188-AD189)/MAX(1,Inputs!$C$78*12),AC192+AD187-AD189)</f>
        <v>-4395.83333333333</v>
      </c>
      <c r="AE190" s="69" t="n">
        <f aca="false">-MIN((AE188-AE189)/MAX(1,Inputs!$C$78*12),AD192+AE187-AE189)</f>
        <v>-4395.83333333333</v>
      </c>
      <c r="AF190" s="69" t="n">
        <f aca="false">-MIN((AF188-AF189)/MAX(1,Inputs!$C$78*12),AE192+AF187-AF189)</f>
        <v>-4395.83333333333</v>
      </c>
      <c r="AG190" s="69" t="n">
        <f aca="false">-MIN((AG188-AG189)/MAX(1,Inputs!$C$78*12),AF192+AG187-AG189)</f>
        <v>-4395.83333333333</v>
      </c>
      <c r="AH190" s="69" t="n">
        <f aca="false">-MIN((AH188-AH189)/MAX(1,Inputs!$C$78*12),AG192+AH187-AH189)</f>
        <v>-4395.83333333333</v>
      </c>
      <c r="AI190" s="69" t="n">
        <f aca="false">-MIN((AI188-AI189)/MAX(1,Inputs!$C$78*12),AH192+AI187-AI189)</f>
        <v>-4395.83333333333</v>
      </c>
      <c r="AJ190" s="69" t="n">
        <f aca="false">-MIN((AJ188-AJ189)/MAX(1,Inputs!$C$78*12),AI192+AJ187-AJ189)</f>
        <v>-4395.83333333333</v>
      </c>
      <c r="AK190" s="69" t="n">
        <f aca="false">-MIN((AK188-AK189)/MAX(1,Inputs!$C$78*12),AJ192+AK187-AK189)</f>
        <v>-4395.83333333333</v>
      </c>
      <c r="AL190" s="69" t="n">
        <f aca="false">-MIN((AL188-AL189)/MAX(1,Inputs!$C$78*12),AK192+AL187-AL189)</f>
        <v>-4395.83333333333</v>
      </c>
      <c r="AM190" s="69" t="n">
        <f aca="false">-MIN((AM188-AM189)/MAX(1,Inputs!$C$78*12),AL192+AM187-AM189)</f>
        <v>-4604.16666666667</v>
      </c>
      <c r="AN190" s="69" t="n">
        <f aca="false">-MIN((AN188-AN189)/MAX(1,Inputs!$C$78*12),AM192+AN187-AN189)</f>
        <v>-4604.16666666667</v>
      </c>
      <c r="AO190" s="69" t="n">
        <f aca="false">-MIN((AO188-AO189)/MAX(1,Inputs!$C$78*12),AN192+AO187-AO189)</f>
        <v>-4604.16666666667</v>
      </c>
      <c r="AP190" s="69" t="n">
        <f aca="false">-MIN((AP188-AP189)/MAX(1,Inputs!$C$78*12),AO192+AP187-AP189)</f>
        <v>-4604.16666666667</v>
      </c>
      <c r="AQ190" s="69" t="n">
        <f aca="false">-MIN((AQ188-AQ189)/MAX(1,Inputs!$C$78*12),AP192+AQ187-AQ189)</f>
        <v>-4604.16666666667</v>
      </c>
      <c r="AR190" s="69" t="n">
        <f aca="false">-MIN((AR188-AR189)/MAX(1,Inputs!$C$78*12),AQ192+AR187-AR189)</f>
        <v>-4604.16666666667</v>
      </c>
      <c r="AS190" s="69" t="n">
        <f aca="false">-MIN((AS188-AS189)/MAX(1,Inputs!$C$78*12),AR192+AS187-AS189)</f>
        <v>-4604.16666666667</v>
      </c>
      <c r="AT190" s="69" t="n">
        <f aca="false">-MIN((AT188-AT189)/MAX(1,Inputs!$C$78*12),AS192+AT187-AT189)</f>
        <v>-4604.16666666667</v>
      </c>
      <c r="AU190" s="69" t="n">
        <f aca="false">-MIN((AU188-AU189)/MAX(1,Inputs!$C$78*12),AT192+AU187-AU189)</f>
        <v>-4604.16666666667</v>
      </c>
      <c r="AV190" s="69" t="n">
        <f aca="false">-MIN((AV188-AV189)/MAX(1,Inputs!$C$78*12),AU192+AV187-AV189)</f>
        <v>-4604.16666666667</v>
      </c>
      <c r="AW190" s="69" t="n">
        <f aca="false">-MIN((AW188-AW189)/MAX(1,Inputs!$C$78*12),AV192+AW187-AW189)</f>
        <v>-4604.16666666667</v>
      </c>
      <c r="AX190" s="69" t="n">
        <f aca="false">-MIN((AX188-AX189)/MAX(1,Inputs!$C$78*12),AW192+AX187-AX189)</f>
        <v>-4604.16666666667</v>
      </c>
      <c r="AY190" s="69" t="n">
        <f aca="false">-MIN((AY188-AY189)/MAX(1,Inputs!$C$78*12),AX192+AY187-AY189)</f>
        <v>-4812.5</v>
      </c>
      <c r="AZ190" s="69" t="n">
        <f aca="false">-MIN((AZ188-AZ189)/MAX(1,Inputs!$C$78*12),AY192+AZ187-AZ189)</f>
        <v>-4812.5</v>
      </c>
      <c r="BA190" s="69" t="n">
        <f aca="false">-MIN((BA188-BA189)/MAX(1,Inputs!$C$78*12),AZ192+BA187-BA189)</f>
        <v>-4812.5</v>
      </c>
      <c r="BB190" s="69" t="n">
        <f aca="false">-MIN((BB188-BB189)/MAX(1,Inputs!$C$78*12),BA192+BB187-BB189)</f>
        <v>-4812.5</v>
      </c>
      <c r="BC190" s="69" t="n">
        <f aca="false">-MIN((BC188-BC189)/MAX(1,Inputs!$C$78*12),BB192+BC187-BC189)</f>
        <v>-4812.5</v>
      </c>
      <c r="BD190" s="69" t="n">
        <f aca="false">-MIN((BD188-BD189)/MAX(1,Inputs!$C$78*12),BC192+BD187-BD189)</f>
        <v>-4812.5</v>
      </c>
      <c r="BE190" s="69" t="n">
        <f aca="false">-MIN((BE188-BE189)/MAX(1,Inputs!$C$78*12),BD192+BE187-BE189)</f>
        <v>-4812.5</v>
      </c>
      <c r="BF190" s="69" t="n">
        <f aca="false">-MIN((BF188-BF189)/MAX(1,Inputs!$C$78*12),BE192+BF187-BF189)</f>
        <v>-4812.5</v>
      </c>
      <c r="BG190" s="69" t="n">
        <f aca="false">-MIN((BG188-BG189)/MAX(1,Inputs!$C$78*12),BF192+BG187-BG189)</f>
        <v>-4812.5</v>
      </c>
      <c r="BH190" s="69" t="n">
        <f aca="false">-MIN((BH188-BH189)/MAX(1,Inputs!$C$78*12),BG192+BH187-BH189)</f>
        <v>-4812.5</v>
      </c>
      <c r="BI190" s="69" t="n">
        <f aca="false">-MIN((BI188-BI189)/MAX(1,Inputs!$C$78*12),BH192+BI187-BI189)</f>
        <v>-4812.5</v>
      </c>
      <c r="BJ190" s="69" t="n">
        <f aca="false">-MIN((BJ188-BJ189)/MAX(1,Inputs!$C$78*12),BI192+BJ187-BJ189)</f>
        <v>-4812.5</v>
      </c>
    </row>
    <row r="191" customFormat="false" ht="15" hidden="false" customHeight="false" outlineLevel="0" collapsed="false">
      <c r="A191" s="6" t="s">
        <v>437</v>
      </c>
      <c r="C191" s="69" t="n">
        <f aca="false">C190</f>
        <v>-3979.16666666667</v>
      </c>
      <c r="D191" s="69" t="n">
        <f aca="false">C191+D190</f>
        <v>-7958.33333333333</v>
      </c>
      <c r="E191" s="69" t="n">
        <f aca="false">D191+E190</f>
        <v>-11937.5</v>
      </c>
      <c r="F191" s="69" t="n">
        <f aca="false">E191+F190</f>
        <v>-15916.6666666667</v>
      </c>
      <c r="G191" s="69" t="n">
        <f aca="false">F191+G190</f>
        <v>-19895.8333333333</v>
      </c>
      <c r="H191" s="69" t="n">
        <f aca="false">G191+H190</f>
        <v>-23875</v>
      </c>
      <c r="I191" s="69" t="n">
        <f aca="false">H191+I190</f>
        <v>-27854.1666666667</v>
      </c>
      <c r="J191" s="69" t="n">
        <f aca="false">I191+J190</f>
        <v>-31833.3333333333</v>
      </c>
      <c r="K191" s="69" t="n">
        <f aca="false">J191+K190</f>
        <v>-35812.5</v>
      </c>
      <c r="L191" s="69" t="n">
        <f aca="false">K191+L190</f>
        <v>-39791.6666666667</v>
      </c>
      <c r="M191" s="69" t="n">
        <f aca="false">L191+M190</f>
        <v>-43770.8333333333</v>
      </c>
      <c r="N191" s="69" t="n">
        <f aca="false">M191+N190</f>
        <v>-47750</v>
      </c>
      <c r="O191" s="69" t="n">
        <f aca="false">N191+O190</f>
        <v>-51937.5</v>
      </c>
      <c r="P191" s="69" t="n">
        <f aca="false">O191+P190</f>
        <v>-56125</v>
      </c>
      <c r="Q191" s="69" t="n">
        <f aca="false">P191+Q190</f>
        <v>-60312.5</v>
      </c>
      <c r="R191" s="69" t="n">
        <f aca="false">Q191+R190</f>
        <v>-64500</v>
      </c>
      <c r="S191" s="69" t="n">
        <f aca="false">R191+S190</f>
        <v>-68687.5</v>
      </c>
      <c r="T191" s="69" t="n">
        <f aca="false">S191+T190</f>
        <v>-72875</v>
      </c>
      <c r="U191" s="69" t="n">
        <f aca="false">T191+U190</f>
        <v>-77062.5</v>
      </c>
      <c r="V191" s="69" t="n">
        <f aca="false">U191+V190</f>
        <v>-81250</v>
      </c>
      <c r="W191" s="69" t="n">
        <f aca="false">V191+W190</f>
        <v>-85437.5</v>
      </c>
      <c r="X191" s="69" t="n">
        <f aca="false">W191+X190</f>
        <v>-89625</v>
      </c>
      <c r="Y191" s="69" t="n">
        <f aca="false">X191+Y190</f>
        <v>-93812.5</v>
      </c>
      <c r="Z191" s="69" t="n">
        <f aca="false">Y191+Z190</f>
        <v>-98000</v>
      </c>
      <c r="AA191" s="69" t="n">
        <f aca="false">Z191+AA190</f>
        <v>-102395.833333333</v>
      </c>
      <c r="AB191" s="69" t="n">
        <f aca="false">AA191+AB190</f>
        <v>-106791.666666667</v>
      </c>
      <c r="AC191" s="69" t="n">
        <f aca="false">AB191+AC190</f>
        <v>-111187.5</v>
      </c>
      <c r="AD191" s="69" t="n">
        <f aca="false">AC191+AD190</f>
        <v>-115583.333333333</v>
      </c>
      <c r="AE191" s="69" t="n">
        <f aca="false">AD191+AE190</f>
        <v>-119979.166666667</v>
      </c>
      <c r="AF191" s="69" t="n">
        <f aca="false">AE191+AF190</f>
        <v>-124375</v>
      </c>
      <c r="AG191" s="69" t="n">
        <f aca="false">AF191+AG190</f>
        <v>-128770.833333333</v>
      </c>
      <c r="AH191" s="69" t="n">
        <f aca="false">AG191+AH190</f>
        <v>-133166.666666667</v>
      </c>
      <c r="AI191" s="69" t="n">
        <f aca="false">AH191+AI190</f>
        <v>-137562.5</v>
      </c>
      <c r="AJ191" s="69" t="n">
        <f aca="false">AI191+AJ190</f>
        <v>-141958.333333333</v>
      </c>
      <c r="AK191" s="69" t="n">
        <f aca="false">AJ191+AK190</f>
        <v>-146354.166666667</v>
      </c>
      <c r="AL191" s="69" t="n">
        <f aca="false">AK191+AL190</f>
        <v>-150750</v>
      </c>
      <c r="AM191" s="69" t="n">
        <f aca="false">AL191+AM190</f>
        <v>-155354.166666667</v>
      </c>
      <c r="AN191" s="69" t="n">
        <f aca="false">AM191+AN190</f>
        <v>-159958.333333333</v>
      </c>
      <c r="AO191" s="69" t="n">
        <f aca="false">AN191+AO190</f>
        <v>-164562.5</v>
      </c>
      <c r="AP191" s="69" t="n">
        <f aca="false">AO191+AP190</f>
        <v>-169166.666666667</v>
      </c>
      <c r="AQ191" s="69" t="n">
        <f aca="false">AP191+AQ190</f>
        <v>-173770.833333333</v>
      </c>
      <c r="AR191" s="69" t="n">
        <f aca="false">AQ191+AR190</f>
        <v>-178375</v>
      </c>
      <c r="AS191" s="69" t="n">
        <f aca="false">AR191+AS190</f>
        <v>-182979.166666667</v>
      </c>
      <c r="AT191" s="69" t="n">
        <f aca="false">AS191+AT190</f>
        <v>-187583.333333333</v>
      </c>
      <c r="AU191" s="69" t="n">
        <f aca="false">AT191+AU190</f>
        <v>-192187.5</v>
      </c>
      <c r="AV191" s="69" t="n">
        <f aca="false">AU191+AV190</f>
        <v>-196791.666666667</v>
      </c>
      <c r="AW191" s="69" t="n">
        <f aca="false">AV191+AW190</f>
        <v>-201395.833333333</v>
      </c>
      <c r="AX191" s="69" t="n">
        <f aca="false">AW191+AX190</f>
        <v>-206000</v>
      </c>
      <c r="AY191" s="69" t="n">
        <f aca="false">AX191+AY190</f>
        <v>-210812.5</v>
      </c>
      <c r="AZ191" s="69" t="n">
        <f aca="false">AY191+AZ190</f>
        <v>-215625</v>
      </c>
      <c r="BA191" s="69" t="n">
        <f aca="false">AZ191+BA190</f>
        <v>-220437.5</v>
      </c>
      <c r="BB191" s="69" t="n">
        <f aca="false">BA191+BB190</f>
        <v>-225250</v>
      </c>
      <c r="BC191" s="69" t="n">
        <f aca="false">BB191+BC190</f>
        <v>-230062.5</v>
      </c>
      <c r="BD191" s="69" t="n">
        <f aca="false">BC191+BD190</f>
        <v>-234875</v>
      </c>
      <c r="BE191" s="69" t="n">
        <f aca="false">BD191+BE190</f>
        <v>-239687.5</v>
      </c>
      <c r="BF191" s="69" t="n">
        <f aca="false">BE191+BF190</f>
        <v>-244500</v>
      </c>
      <c r="BG191" s="69" t="n">
        <f aca="false">BF191+BG190</f>
        <v>-249312.5</v>
      </c>
      <c r="BH191" s="69" t="n">
        <f aca="false">BG191+BH190</f>
        <v>-254125</v>
      </c>
      <c r="BI191" s="69" t="n">
        <f aca="false">BH191+BI190</f>
        <v>-258937.5</v>
      </c>
      <c r="BJ191" s="69" t="n">
        <f aca="false">BI191+BJ190</f>
        <v>-263750</v>
      </c>
    </row>
    <row r="192" customFormat="false" ht="15" hidden="false" customHeight="false" outlineLevel="0" collapsed="false">
      <c r="A192" s="4" t="s">
        <v>92</v>
      </c>
      <c r="C192" s="75" t="n">
        <f aca="false">C188+C191</f>
        <v>378020.833333333</v>
      </c>
      <c r="D192" s="75" t="n">
        <f aca="false">D188+D191</f>
        <v>374041.666666667</v>
      </c>
      <c r="E192" s="75" t="n">
        <f aca="false">E188+E191</f>
        <v>370062.5</v>
      </c>
      <c r="F192" s="75" t="n">
        <f aca="false">F188+F191</f>
        <v>366083.333333333</v>
      </c>
      <c r="G192" s="75" t="n">
        <f aca="false">G188+G191</f>
        <v>362104.166666667</v>
      </c>
      <c r="H192" s="75" t="n">
        <f aca="false">H188+H191</f>
        <v>358125</v>
      </c>
      <c r="I192" s="75" t="n">
        <f aca="false">I188+I191</f>
        <v>354145.833333333</v>
      </c>
      <c r="J192" s="75" t="n">
        <f aca="false">J188+J191</f>
        <v>350166.666666667</v>
      </c>
      <c r="K192" s="75" t="n">
        <f aca="false">K188+K191</f>
        <v>346187.5</v>
      </c>
      <c r="L192" s="75" t="n">
        <f aca="false">L188+L191</f>
        <v>342208.333333333</v>
      </c>
      <c r="M192" s="75" t="n">
        <f aca="false">M188+M191</f>
        <v>338229.166666667</v>
      </c>
      <c r="N192" s="75" t="n">
        <f aca="false">N188+N191</f>
        <v>334250</v>
      </c>
      <c r="O192" s="75" t="n">
        <f aca="false">O188+O191</f>
        <v>350062.5</v>
      </c>
      <c r="P192" s="75" t="n">
        <f aca="false">P188+P191</f>
        <v>345875</v>
      </c>
      <c r="Q192" s="75" t="n">
        <f aca="false">Q188+Q191</f>
        <v>341687.5</v>
      </c>
      <c r="R192" s="75" t="n">
        <f aca="false">R188+R191</f>
        <v>337500</v>
      </c>
      <c r="S192" s="75" t="n">
        <f aca="false">S188+S191</f>
        <v>333312.5</v>
      </c>
      <c r="T192" s="75" t="n">
        <f aca="false">T188+T191</f>
        <v>329125</v>
      </c>
      <c r="U192" s="75" t="n">
        <f aca="false">U188+U191</f>
        <v>324937.5</v>
      </c>
      <c r="V192" s="75" t="n">
        <f aca="false">V188+V191</f>
        <v>320750</v>
      </c>
      <c r="W192" s="75" t="n">
        <f aca="false">W188+W191</f>
        <v>316562.5</v>
      </c>
      <c r="X192" s="75" t="n">
        <f aca="false">X188+X191</f>
        <v>312375</v>
      </c>
      <c r="Y192" s="75" t="n">
        <f aca="false">Y188+Y191</f>
        <v>308187.5</v>
      </c>
      <c r="Z192" s="75" t="n">
        <f aca="false">Z188+Z191</f>
        <v>304000</v>
      </c>
      <c r="AA192" s="75" t="n">
        <f aca="false">AA188+AA191</f>
        <v>319604.166666667</v>
      </c>
      <c r="AB192" s="75" t="n">
        <f aca="false">AB188+AB191</f>
        <v>315208.333333333</v>
      </c>
      <c r="AC192" s="75" t="n">
        <f aca="false">AC188+AC191</f>
        <v>310812.5</v>
      </c>
      <c r="AD192" s="75" t="n">
        <f aca="false">AD188+AD191</f>
        <v>306416.666666667</v>
      </c>
      <c r="AE192" s="75" t="n">
        <f aca="false">AE188+AE191</f>
        <v>302020.833333333</v>
      </c>
      <c r="AF192" s="75" t="n">
        <f aca="false">AF188+AF191</f>
        <v>297625</v>
      </c>
      <c r="AG192" s="75" t="n">
        <f aca="false">AG188+AG191</f>
        <v>293229.166666667</v>
      </c>
      <c r="AH192" s="75" t="n">
        <f aca="false">AH188+AH191</f>
        <v>288833.333333333</v>
      </c>
      <c r="AI192" s="75" t="n">
        <f aca="false">AI188+AI191</f>
        <v>284437.5</v>
      </c>
      <c r="AJ192" s="75" t="n">
        <f aca="false">AJ188+AJ191</f>
        <v>280041.666666667</v>
      </c>
      <c r="AK192" s="75" t="n">
        <f aca="false">AK188+AK191</f>
        <v>275645.833333333</v>
      </c>
      <c r="AL192" s="75" t="n">
        <f aca="false">AL188+AL191</f>
        <v>271250</v>
      </c>
      <c r="AM192" s="75" t="n">
        <f aca="false">AM188+AM191</f>
        <v>286645.833333333</v>
      </c>
      <c r="AN192" s="75" t="n">
        <f aca="false">AN188+AN191</f>
        <v>282041.666666667</v>
      </c>
      <c r="AO192" s="75" t="n">
        <f aca="false">AO188+AO191</f>
        <v>277437.5</v>
      </c>
      <c r="AP192" s="75" t="n">
        <f aca="false">AP188+AP191</f>
        <v>272833.333333333</v>
      </c>
      <c r="AQ192" s="75" t="n">
        <f aca="false">AQ188+AQ191</f>
        <v>268229.166666667</v>
      </c>
      <c r="AR192" s="75" t="n">
        <f aca="false">AR188+AR191</f>
        <v>263625</v>
      </c>
      <c r="AS192" s="75" t="n">
        <f aca="false">AS188+AS191</f>
        <v>259020.833333333</v>
      </c>
      <c r="AT192" s="75" t="n">
        <f aca="false">AT188+AT191</f>
        <v>254416.666666667</v>
      </c>
      <c r="AU192" s="75" t="n">
        <f aca="false">AU188+AU191</f>
        <v>249812.5</v>
      </c>
      <c r="AV192" s="75" t="n">
        <f aca="false">AV188+AV191</f>
        <v>245208.333333333</v>
      </c>
      <c r="AW192" s="75" t="n">
        <f aca="false">AW188+AW191</f>
        <v>240604.166666667</v>
      </c>
      <c r="AX192" s="75" t="n">
        <f aca="false">AX188+AX191</f>
        <v>236000</v>
      </c>
      <c r="AY192" s="75" t="n">
        <f aca="false">AY188+AY191</f>
        <v>251187.5</v>
      </c>
      <c r="AZ192" s="75" t="n">
        <f aca="false">AZ188+AZ191</f>
        <v>246375</v>
      </c>
      <c r="BA192" s="75" t="n">
        <f aca="false">BA188+BA191</f>
        <v>241562.5</v>
      </c>
      <c r="BB192" s="75" t="n">
        <f aca="false">BB188+BB191</f>
        <v>236750</v>
      </c>
      <c r="BC192" s="75" t="n">
        <f aca="false">BC188+BC191</f>
        <v>231937.5</v>
      </c>
      <c r="BD192" s="75" t="n">
        <f aca="false">BD188+BD191</f>
        <v>227125</v>
      </c>
      <c r="BE192" s="75" t="n">
        <f aca="false">BE188+BE191</f>
        <v>222312.5</v>
      </c>
      <c r="BF192" s="75" t="n">
        <f aca="false">BF188+BF191</f>
        <v>217500</v>
      </c>
      <c r="BG192" s="75" t="n">
        <f aca="false">BG188+BG191</f>
        <v>212687.5</v>
      </c>
      <c r="BH192" s="75" t="n">
        <f aca="false">BH188+BH191</f>
        <v>207875</v>
      </c>
      <c r="BI192" s="75" t="n">
        <f aca="false">BI188+BI191</f>
        <v>203062.5</v>
      </c>
      <c r="BJ192" s="75" t="n">
        <f aca="false">BJ188+BJ191</f>
        <v>198250</v>
      </c>
    </row>
    <row r="194" customFormat="false" ht="15.75" hidden="false" customHeight="true" outlineLevel="0" collapsed="false">
      <c r="A194" s="7" t="s">
        <v>438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customFormat="false" ht="15" hidden="false" customHeight="false" outlineLevel="0" collapsed="false">
      <c r="A195" s="6" t="s">
        <v>439</v>
      </c>
      <c r="C195" s="69" t="n">
        <f aca="false">0</f>
        <v>0</v>
      </c>
      <c r="D195" s="69" t="n">
        <f aca="false">C198</f>
        <v>250000</v>
      </c>
      <c r="E195" s="69" t="n">
        <f aca="false">D198</f>
        <v>247023.80952381</v>
      </c>
      <c r="F195" s="69" t="n">
        <f aca="false">E198</f>
        <v>244047.619047619</v>
      </c>
      <c r="G195" s="69" t="n">
        <f aca="false">F198</f>
        <v>241071.428571429</v>
      </c>
      <c r="H195" s="69" t="n">
        <f aca="false">G198</f>
        <v>238095.238095238</v>
      </c>
      <c r="I195" s="69" t="n">
        <f aca="false">H198</f>
        <v>235119.047619048</v>
      </c>
      <c r="J195" s="69" t="n">
        <f aca="false">I198</f>
        <v>232142.857142857</v>
      </c>
      <c r="K195" s="69" t="n">
        <f aca="false">J198</f>
        <v>229166.666666667</v>
      </c>
      <c r="L195" s="69" t="n">
        <f aca="false">K198</f>
        <v>226190.476190476</v>
      </c>
      <c r="M195" s="69" t="n">
        <f aca="false">L198</f>
        <v>223214.285714286</v>
      </c>
      <c r="N195" s="69" t="n">
        <f aca="false">M198</f>
        <v>220238.095238095</v>
      </c>
      <c r="O195" s="69" t="n">
        <f aca="false">N198</f>
        <v>217261.904761905</v>
      </c>
      <c r="P195" s="69" t="n">
        <f aca="false">O198</f>
        <v>214285.714285714</v>
      </c>
      <c r="Q195" s="69" t="n">
        <f aca="false">P198</f>
        <v>211309.523809524</v>
      </c>
      <c r="R195" s="69" t="n">
        <f aca="false">Q198</f>
        <v>208333.333333333</v>
      </c>
      <c r="S195" s="69" t="n">
        <f aca="false">R198</f>
        <v>205357.142857143</v>
      </c>
      <c r="T195" s="69" t="n">
        <f aca="false">S198</f>
        <v>202380.952380952</v>
      </c>
      <c r="U195" s="69" t="n">
        <f aca="false">T198</f>
        <v>199404.761904762</v>
      </c>
      <c r="V195" s="69" t="n">
        <f aca="false">U198</f>
        <v>196428.571428571</v>
      </c>
      <c r="W195" s="69" t="n">
        <f aca="false">V198</f>
        <v>193452.380952381</v>
      </c>
      <c r="X195" s="69" t="n">
        <f aca="false">W198</f>
        <v>190476.190476191</v>
      </c>
      <c r="Y195" s="69" t="n">
        <f aca="false">X198</f>
        <v>187500</v>
      </c>
      <c r="Z195" s="69" t="n">
        <f aca="false">Y198</f>
        <v>184523.80952381</v>
      </c>
      <c r="AA195" s="69" t="n">
        <f aca="false">Z198</f>
        <v>181547.619047619</v>
      </c>
      <c r="AB195" s="69" t="n">
        <f aca="false">AA198</f>
        <v>178571.428571429</v>
      </c>
      <c r="AC195" s="69" t="n">
        <f aca="false">AB198</f>
        <v>175595.238095238</v>
      </c>
      <c r="AD195" s="69" t="n">
        <f aca="false">AC198</f>
        <v>172619.047619048</v>
      </c>
      <c r="AE195" s="69" t="n">
        <f aca="false">AD198</f>
        <v>169642.857142857</v>
      </c>
      <c r="AF195" s="69" t="n">
        <f aca="false">AE198</f>
        <v>166666.666666667</v>
      </c>
      <c r="AG195" s="69" t="n">
        <f aca="false">AF198</f>
        <v>163690.476190476</v>
      </c>
      <c r="AH195" s="69" t="n">
        <f aca="false">AG198</f>
        <v>160714.285714286</v>
      </c>
      <c r="AI195" s="69" t="n">
        <f aca="false">AH198</f>
        <v>157738.095238095</v>
      </c>
      <c r="AJ195" s="69" t="n">
        <f aca="false">AI198</f>
        <v>154761.904761905</v>
      </c>
      <c r="AK195" s="69" t="n">
        <f aca="false">AJ198</f>
        <v>151785.714285714</v>
      </c>
      <c r="AL195" s="69" t="n">
        <f aca="false">AK198</f>
        <v>148809.523809524</v>
      </c>
      <c r="AM195" s="69" t="n">
        <f aca="false">AL198</f>
        <v>145833.333333333</v>
      </c>
      <c r="AN195" s="69" t="n">
        <f aca="false">AM198</f>
        <v>142857.142857143</v>
      </c>
      <c r="AO195" s="69" t="n">
        <f aca="false">AN198</f>
        <v>139880.952380952</v>
      </c>
      <c r="AP195" s="69" t="n">
        <f aca="false">AO198</f>
        <v>136904.761904762</v>
      </c>
      <c r="AQ195" s="69" t="n">
        <f aca="false">AP198</f>
        <v>133928.571428572</v>
      </c>
      <c r="AR195" s="69" t="n">
        <f aca="false">AQ198</f>
        <v>130952.380952381</v>
      </c>
      <c r="AS195" s="69" t="n">
        <f aca="false">AR198</f>
        <v>127976.190476191</v>
      </c>
      <c r="AT195" s="69" t="n">
        <f aca="false">AS198</f>
        <v>125000</v>
      </c>
      <c r="AU195" s="69" t="n">
        <f aca="false">AT198</f>
        <v>122023.80952381</v>
      </c>
      <c r="AV195" s="69" t="n">
        <f aca="false">AU198</f>
        <v>119047.619047619</v>
      </c>
      <c r="AW195" s="69" t="n">
        <f aca="false">AV198</f>
        <v>116071.428571429</v>
      </c>
      <c r="AX195" s="69" t="n">
        <f aca="false">AW198</f>
        <v>113095.238095238</v>
      </c>
      <c r="AY195" s="69" t="n">
        <f aca="false">AX198</f>
        <v>110119.047619048</v>
      </c>
      <c r="AZ195" s="69" t="n">
        <f aca="false">AY198</f>
        <v>107142.857142857</v>
      </c>
      <c r="BA195" s="69" t="n">
        <f aca="false">AZ198</f>
        <v>104166.666666667</v>
      </c>
      <c r="BB195" s="69" t="n">
        <f aca="false">BA198</f>
        <v>101190.476190476</v>
      </c>
      <c r="BC195" s="69" t="n">
        <f aca="false">BB198</f>
        <v>98214.2857142859</v>
      </c>
      <c r="BD195" s="69" t="n">
        <f aca="false">BC198</f>
        <v>95238.0952380954</v>
      </c>
      <c r="BE195" s="69" t="n">
        <f aca="false">BD198</f>
        <v>92261.9047619049</v>
      </c>
      <c r="BF195" s="69" t="n">
        <f aca="false">BE198</f>
        <v>89285.7142857144</v>
      </c>
      <c r="BG195" s="69" t="n">
        <f aca="false">BF198</f>
        <v>86309.523809524</v>
      </c>
      <c r="BH195" s="69" t="n">
        <f aca="false">BG198</f>
        <v>83333.3333333335</v>
      </c>
      <c r="BI195" s="69" t="n">
        <f aca="false">BH198</f>
        <v>80357.142857143</v>
      </c>
      <c r="BJ195" s="69" t="n">
        <f aca="false">BI198</f>
        <v>77380.9523809525</v>
      </c>
    </row>
    <row r="196" customFormat="false" ht="15" hidden="false" customHeight="false" outlineLevel="0" collapsed="false">
      <c r="A196" s="6" t="s">
        <v>85</v>
      </c>
      <c r="C196" s="69" t="n">
        <f aca="false">IF(C$128=1,Inputs!$C$68,0)</f>
        <v>250000</v>
      </c>
      <c r="D196" s="69" t="n">
        <f aca="false">IF(D$128=1,Inputs!$C$68,0)</f>
        <v>0</v>
      </c>
      <c r="E196" s="69" t="n">
        <f aca="false">IF(E$128=1,Inputs!$C$68,0)</f>
        <v>0</v>
      </c>
      <c r="F196" s="69" t="n">
        <f aca="false">IF(F$128=1,Inputs!$C$68,0)</f>
        <v>0</v>
      </c>
      <c r="G196" s="69" t="n">
        <f aca="false">IF(G$128=1,Inputs!$C$68,0)</f>
        <v>0</v>
      </c>
      <c r="H196" s="69" t="n">
        <f aca="false">IF(H$128=1,Inputs!$C$68,0)</f>
        <v>0</v>
      </c>
      <c r="I196" s="69" t="n">
        <f aca="false">IF(I$128=1,Inputs!$C$68,0)</f>
        <v>0</v>
      </c>
      <c r="J196" s="69" t="n">
        <f aca="false">IF(J$128=1,Inputs!$C$68,0)</f>
        <v>0</v>
      </c>
      <c r="K196" s="69" t="n">
        <f aca="false">IF(K$128=1,Inputs!$C$68,0)</f>
        <v>0</v>
      </c>
      <c r="L196" s="69" t="n">
        <f aca="false">IF(L$128=1,Inputs!$C$68,0)</f>
        <v>0</v>
      </c>
      <c r="M196" s="69" t="n">
        <f aca="false">IF(M$128=1,Inputs!$C$68,0)</f>
        <v>0</v>
      </c>
      <c r="N196" s="69" t="n">
        <f aca="false">IF(N$128=1,Inputs!$C$68,0)</f>
        <v>0</v>
      </c>
      <c r="O196" s="69" t="n">
        <f aca="false">IF(O$128=1,Inputs!$C$68,0)</f>
        <v>0</v>
      </c>
      <c r="P196" s="69" t="n">
        <f aca="false">IF(P$128=1,Inputs!$C$68,0)</f>
        <v>0</v>
      </c>
      <c r="Q196" s="69" t="n">
        <f aca="false">IF(Q$128=1,Inputs!$C$68,0)</f>
        <v>0</v>
      </c>
      <c r="R196" s="69" t="n">
        <f aca="false">IF(R$128=1,Inputs!$C$68,0)</f>
        <v>0</v>
      </c>
      <c r="S196" s="69" t="n">
        <f aca="false">IF(S$128=1,Inputs!$C$68,0)</f>
        <v>0</v>
      </c>
      <c r="T196" s="69" t="n">
        <f aca="false">IF(T$128=1,Inputs!$C$68,0)</f>
        <v>0</v>
      </c>
      <c r="U196" s="69" t="n">
        <f aca="false">IF(U$128=1,Inputs!$C$68,0)</f>
        <v>0</v>
      </c>
      <c r="V196" s="69" t="n">
        <f aca="false">IF(V$128=1,Inputs!$C$68,0)</f>
        <v>0</v>
      </c>
      <c r="W196" s="69" t="n">
        <f aca="false">IF(W$128=1,Inputs!$C$68,0)</f>
        <v>0</v>
      </c>
      <c r="X196" s="69" t="n">
        <f aca="false">IF(X$128=1,Inputs!$C$68,0)</f>
        <v>0</v>
      </c>
      <c r="Y196" s="69" t="n">
        <f aca="false">IF(Y$128=1,Inputs!$C$68,0)</f>
        <v>0</v>
      </c>
      <c r="Z196" s="69" t="n">
        <f aca="false">IF(Z$128=1,Inputs!$C$68,0)</f>
        <v>0</v>
      </c>
      <c r="AA196" s="69" t="n">
        <f aca="false">IF(AA$128=1,Inputs!$C$68,0)</f>
        <v>0</v>
      </c>
      <c r="AB196" s="69" t="n">
        <f aca="false">IF(AB$128=1,Inputs!$C$68,0)</f>
        <v>0</v>
      </c>
      <c r="AC196" s="69" t="n">
        <f aca="false">IF(AC$128=1,Inputs!$C$68,0)</f>
        <v>0</v>
      </c>
      <c r="AD196" s="69" t="n">
        <f aca="false">IF(AD$128=1,Inputs!$C$68,0)</f>
        <v>0</v>
      </c>
      <c r="AE196" s="69" t="n">
        <f aca="false">IF(AE$128=1,Inputs!$C$68,0)</f>
        <v>0</v>
      </c>
      <c r="AF196" s="69" t="n">
        <f aca="false">IF(AF$128=1,Inputs!$C$68,0)</f>
        <v>0</v>
      </c>
      <c r="AG196" s="69" t="n">
        <f aca="false">IF(AG$128=1,Inputs!$C$68,0)</f>
        <v>0</v>
      </c>
      <c r="AH196" s="69" t="n">
        <f aca="false">IF(AH$128=1,Inputs!$C$68,0)</f>
        <v>0</v>
      </c>
      <c r="AI196" s="69" t="n">
        <f aca="false">IF(AI$128=1,Inputs!$C$68,0)</f>
        <v>0</v>
      </c>
      <c r="AJ196" s="69" t="n">
        <f aca="false">IF(AJ$128=1,Inputs!$C$68,0)</f>
        <v>0</v>
      </c>
      <c r="AK196" s="69" t="n">
        <f aca="false">IF(AK$128=1,Inputs!$C$68,0)</f>
        <v>0</v>
      </c>
      <c r="AL196" s="69" t="n">
        <f aca="false">IF(AL$128=1,Inputs!$C$68,0)</f>
        <v>0</v>
      </c>
      <c r="AM196" s="69" t="n">
        <f aca="false">IF(AM$128=1,Inputs!$C$68,0)</f>
        <v>0</v>
      </c>
      <c r="AN196" s="69" t="n">
        <f aca="false">IF(AN$128=1,Inputs!$C$68,0)</f>
        <v>0</v>
      </c>
      <c r="AO196" s="69" t="n">
        <f aca="false">IF(AO$128=1,Inputs!$C$68,0)</f>
        <v>0</v>
      </c>
      <c r="AP196" s="69" t="n">
        <f aca="false">IF(AP$128=1,Inputs!$C$68,0)</f>
        <v>0</v>
      </c>
      <c r="AQ196" s="69" t="n">
        <f aca="false">IF(AQ$128=1,Inputs!$C$68,0)</f>
        <v>0</v>
      </c>
      <c r="AR196" s="69" t="n">
        <f aca="false">IF(AR$128=1,Inputs!$C$68,0)</f>
        <v>0</v>
      </c>
      <c r="AS196" s="69" t="n">
        <f aca="false">IF(AS$128=1,Inputs!$C$68,0)</f>
        <v>0</v>
      </c>
      <c r="AT196" s="69" t="n">
        <f aca="false">IF(AT$128=1,Inputs!$C$68,0)</f>
        <v>0</v>
      </c>
      <c r="AU196" s="69" t="n">
        <f aca="false">IF(AU$128=1,Inputs!$C$68,0)</f>
        <v>0</v>
      </c>
      <c r="AV196" s="69" t="n">
        <f aca="false">IF(AV$128=1,Inputs!$C$68,0)</f>
        <v>0</v>
      </c>
      <c r="AW196" s="69" t="n">
        <f aca="false">IF(AW$128=1,Inputs!$C$68,0)</f>
        <v>0</v>
      </c>
      <c r="AX196" s="69" t="n">
        <f aca="false">IF(AX$128=1,Inputs!$C$68,0)</f>
        <v>0</v>
      </c>
      <c r="AY196" s="69" t="n">
        <f aca="false">IF(AY$128=1,Inputs!$C$68,0)</f>
        <v>0</v>
      </c>
      <c r="AZ196" s="69" t="n">
        <f aca="false">IF(AZ$128=1,Inputs!$C$68,0)</f>
        <v>0</v>
      </c>
      <c r="BA196" s="69" t="n">
        <f aca="false">IF(BA$128=1,Inputs!$C$68,0)</f>
        <v>0</v>
      </c>
      <c r="BB196" s="69" t="n">
        <f aca="false">IF(BB$128=1,Inputs!$C$68,0)</f>
        <v>0</v>
      </c>
      <c r="BC196" s="69" t="n">
        <f aca="false">IF(BC$128=1,Inputs!$C$68,0)</f>
        <v>0</v>
      </c>
      <c r="BD196" s="69" t="n">
        <f aca="false">IF(BD$128=1,Inputs!$C$68,0)</f>
        <v>0</v>
      </c>
      <c r="BE196" s="69" t="n">
        <f aca="false">IF(BE$128=1,Inputs!$C$68,0)</f>
        <v>0</v>
      </c>
      <c r="BF196" s="69" t="n">
        <f aca="false">IF(BF$128=1,Inputs!$C$68,0)</f>
        <v>0</v>
      </c>
      <c r="BG196" s="69" t="n">
        <f aca="false">IF(BG$128=1,Inputs!$C$68,0)</f>
        <v>0</v>
      </c>
      <c r="BH196" s="69" t="n">
        <f aca="false">IF(BH$128=1,Inputs!$C$68,0)</f>
        <v>0</v>
      </c>
      <c r="BI196" s="69" t="n">
        <f aca="false">IF(BI$128=1,Inputs!$C$68,0)</f>
        <v>0</v>
      </c>
      <c r="BJ196" s="69" t="n">
        <f aca="false">IF(BJ$128=1,Inputs!$C$68,0)</f>
        <v>0</v>
      </c>
    </row>
    <row r="197" customFormat="false" ht="15" hidden="false" customHeight="false" outlineLevel="0" collapsed="false">
      <c r="A197" s="6" t="s">
        <v>86</v>
      </c>
      <c r="C197" s="69" t="n">
        <f aca="false">-MIN(C195,Inputs!$C$68/MAX(1,Inputs!$C$70*12))</f>
        <v>-0</v>
      </c>
      <c r="D197" s="69" t="n">
        <f aca="false">-MIN(D195,Inputs!$C$68/MAX(1,Inputs!$C$70*12))</f>
        <v>-2976.19047619048</v>
      </c>
      <c r="E197" s="69" t="n">
        <f aca="false">-MIN(E195,Inputs!$C$68/MAX(1,Inputs!$C$70*12))</f>
        <v>-2976.19047619048</v>
      </c>
      <c r="F197" s="69" t="n">
        <f aca="false">-MIN(F195,Inputs!$C$68/MAX(1,Inputs!$C$70*12))</f>
        <v>-2976.19047619048</v>
      </c>
      <c r="G197" s="69" t="n">
        <f aca="false">-MIN(G195,Inputs!$C$68/MAX(1,Inputs!$C$70*12))</f>
        <v>-2976.19047619048</v>
      </c>
      <c r="H197" s="69" t="n">
        <f aca="false">-MIN(H195,Inputs!$C$68/MAX(1,Inputs!$C$70*12))</f>
        <v>-2976.19047619048</v>
      </c>
      <c r="I197" s="69" t="n">
        <f aca="false">-MIN(I195,Inputs!$C$68/MAX(1,Inputs!$C$70*12))</f>
        <v>-2976.19047619048</v>
      </c>
      <c r="J197" s="69" t="n">
        <f aca="false">-MIN(J195,Inputs!$C$68/MAX(1,Inputs!$C$70*12))</f>
        <v>-2976.19047619048</v>
      </c>
      <c r="K197" s="69" t="n">
        <f aca="false">-MIN(K195,Inputs!$C$68/MAX(1,Inputs!$C$70*12))</f>
        <v>-2976.19047619048</v>
      </c>
      <c r="L197" s="69" t="n">
        <f aca="false">-MIN(L195,Inputs!$C$68/MAX(1,Inputs!$C$70*12))</f>
        <v>-2976.19047619048</v>
      </c>
      <c r="M197" s="69" t="n">
        <f aca="false">-MIN(M195,Inputs!$C$68/MAX(1,Inputs!$C$70*12))</f>
        <v>-2976.19047619048</v>
      </c>
      <c r="N197" s="69" t="n">
        <f aca="false">-MIN(N195,Inputs!$C$68/MAX(1,Inputs!$C$70*12))</f>
        <v>-2976.19047619048</v>
      </c>
      <c r="O197" s="69" t="n">
        <f aca="false">-MIN(O195,Inputs!$C$68/MAX(1,Inputs!$C$70*12))</f>
        <v>-2976.19047619048</v>
      </c>
      <c r="P197" s="69" t="n">
        <f aca="false">-MIN(P195,Inputs!$C$68/MAX(1,Inputs!$C$70*12))</f>
        <v>-2976.19047619048</v>
      </c>
      <c r="Q197" s="69" t="n">
        <f aca="false">-MIN(Q195,Inputs!$C$68/MAX(1,Inputs!$C$70*12))</f>
        <v>-2976.19047619048</v>
      </c>
      <c r="R197" s="69" t="n">
        <f aca="false">-MIN(R195,Inputs!$C$68/MAX(1,Inputs!$C$70*12))</f>
        <v>-2976.19047619048</v>
      </c>
      <c r="S197" s="69" t="n">
        <f aca="false">-MIN(S195,Inputs!$C$68/MAX(1,Inputs!$C$70*12))</f>
        <v>-2976.19047619048</v>
      </c>
      <c r="T197" s="69" t="n">
        <f aca="false">-MIN(T195,Inputs!$C$68/MAX(1,Inputs!$C$70*12))</f>
        <v>-2976.19047619048</v>
      </c>
      <c r="U197" s="69" t="n">
        <f aca="false">-MIN(U195,Inputs!$C$68/MAX(1,Inputs!$C$70*12))</f>
        <v>-2976.19047619048</v>
      </c>
      <c r="V197" s="69" t="n">
        <f aca="false">-MIN(V195,Inputs!$C$68/MAX(1,Inputs!$C$70*12))</f>
        <v>-2976.19047619048</v>
      </c>
      <c r="W197" s="69" t="n">
        <f aca="false">-MIN(W195,Inputs!$C$68/MAX(1,Inputs!$C$70*12))</f>
        <v>-2976.19047619048</v>
      </c>
      <c r="X197" s="69" t="n">
        <f aca="false">-MIN(X195,Inputs!$C$68/MAX(1,Inputs!$C$70*12))</f>
        <v>-2976.19047619048</v>
      </c>
      <c r="Y197" s="69" t="n">
        <f aca="false">-MIN(Y195,Inputs!$C$68/MAX(1,Inputs!$C$70*12))</f>
        <v>-2976.19047619048</v>
      </c>
      <c r="Z197" s="69" t="n">
        <f aca="false">-MIN(Z195,Inputs!$C$68/MAX(1,Inputs!$C$70*12))</f>
        <v>-2976.19047619048</v>
      </c>
      <c r="AA197" s="69" t="n">
        <f aca="false">-MIN(AA195,Inputs!$C$68/MAX(1,Inputs!$C$70*12))</f>
        <v>-2976.19047619048</v>
      </c>
      <c r="AB197" s="69" t="n">
        <f aca="false">-MIN(AB195,Inputs!$C$68/MAX(1,Inputs!$C$70*12))</f>
        <v>-2976.19047619048</v>
      </c>
      <c r="AC197" s="69" t="n">
        <f aca="false">-MIN(AC195,Inputs!$C$68/MAX(1,Inputs!$C$70*12))</f>
        <v>-2976.19047619048</v>
      </c>
      <c r="AD197" s="69" t="n">
        <f aca="false">-MIN(AD195,Inputs!$C$68/MAX(1,Inputs!$C$70*12))</f>
        <v>-2976.19047619048</v>
      </c>
      <c r="AE197" s="69" t="n">
        <f aca="false">-MIN(AE195,Inputs!$C$68/MAX(1,Inputs!$C$70*12))</f>
        <v>-2976.19047619048</v>
      </c>
      <c r="AF197" s="69" t="n">
        <f aca="false">-MIN(AF195,Inputs!$C$68/MAX(1,Inputs!$C$70*12))</f>
        <v>-2976.19047619048</v>
      </c>
      <c r="AG197" s="69" t="n">
        <f aca="false">-MIN(AG195,Inputs!$C$68/MAX(1,Inputs!$C$70*12))</f>
        <v>-2976.19047619048</v>
      </c>
      <c r="AH197" s="69" t="n">
        <f aca="false">-MIN(AH195,Inputs!$C$68/MAX(1,Inputs!$C$70*12))</f>
        <v>-2976.19047619048</v>
      </c>
      <c r="AI197" s="69" t="n">
        <f aca="false">-MIN(AI195,Inputs!$C$68/MAX(1,Inputs!$C$70*12))</f>
        <v>-2976.19047619048</v>
      </c>
      <c r="AJ197" s="69" t="n">
        <f aca="false">-MIN(AJ195,Inputs!$C$68/MAX(1,Inputs!$C$70*12))</f>
        <v>-2976.19047619048</v>
      </c>
      <c r="AK197" s="69" t="n">
        <f aca="false">-MIN(AK195,Inputs!$C$68/MAX(1,Inputs!$C$70*12))</f>
        <v>-2976.19047619048</v>
      </c>
      <c r="AL197" s="69" t="n">
        <f aca="false">-MIN(AL195,Inputs!$C$68/MAX(1,Inputs!$C$70*12))</f>
        <v>-2976.19047619048</v>
      </c>
      <c r="AM197" s="69" t="n">
        <f aca="false">-MIN(AM195,Inputs!$C$68/MAX(1,Inputs!$C$70*12))</f>
        <v>-2976.19047619048</v>
      </c>
      <c r="AN197" s="69" t="n">
        <f aca="false">-MIN(AN195,Inputs!$C$68/MAX(1,Inputs!$C$70*12))</f>
        <v>-2976.19047619048</v>
      </c>
      <c r="AO197" s="69" t="n">
        <f aca="false">-MIN(AO195,Inputs!$C$68/MAX(1,Inputs!$C$70*12))</f>
        <v>-2976.19047619048</v>
      </c>
      <c r="AP197" s="69" t="n">
        <f aca="false">-MIN(AP195,Inputs!$C$68/MAX(1,Inputs!$C$70*12))</f>
        <v>-2976.19047619048</v>
      </c>
      <c r="AQ197" s="69" t="n">
        <f aca="false">-MIN(AQ195,Inputs!$C$68/MAX(1,Inputs!$C$70*12))</f>
        <v>-2976.19047619048</v>
      </c>
      <c r="AR197" s="69" t="n">
        <f aca="false">-MIN(AR195,Inputs!$C$68/MAX(1,Inputs!$C$70*12))</f>
        <v>-2976.19047619048</v>
      </c>
      <c r="AS197" s="69" t="n">
        <f aca="false">-MIN(AS195,Inputs!$C$68/MAX(1,Inputs!$C$70*12))</f>
        <v>-2976.19047619048</v>
      </c>
      <c r="AT197" s="69" t="n">
        <f aca="false">-MIN(AT195,Inputs!$C$68/MAX(1,Inputs!$C$70*12))</f>
        <v>-2976.19047619048</v>
      </c>
      <c r="AU197" s="69" t="n">
        <f aca="false">-MIN(AU195,Inputs!$C$68/MAX(1,Inputs!$C$70*12))</f>
        <v>-2976.19047619048</v>
      </c>
      <c r="AV197" s="69" t="n">
        <f aca="false">-MIN(AV195,Inputs!$C$68/MAX(1,Inputs!$C$70*12))</f>
        <v>-2976.19047619048</v>
      </c>
      <c r="AW197" s="69" t="n">
        <f aca="false">-MIN(AW195,Inputs!$C$68/MAX(1,Inputs!$C$70*12))</f>
        <v>-2976.19047619048</v>
      </c>
      <c r="AX197" s="69" t="n">
        <f aca="false">-MIN(AX195,Inputs!$C$68/MAX(1,Inputs!$C$70*12))</f>
        <v>-2976.19047619048</v>
      </c>
      <c r="AY197" s="69" t="n">
        <f aca="false">-MIN(AY195,Inputs!$C$68/MAX(1,Inputs!$C$70*12))</f>
        <v>-2976.19047619048</v>
      </c>
      <c r="AZ197" s="69" t="n">
        <f aca="false">-MIN(AZ195,Inputs!$C$68/MAX(1,Inputs!$C$70*12))</f>
        <v>-2976.19047619048</v>
      </c>
      <c r="BA197" s="69" t="n">
        <f aca="false">-MIN(BA195,Inputs!$C$68/MAX(1,Inputs!$C$70*12))</f>
        <v>-2976.19047619048</v>
      </c>
      <c r="BB197" s="69" t="n">
        <f aca="false">-MIN(BB195,Inputs!$C$68/MAX(1,Inputs!$C$70*12))</f>
        <v>-2976.19047619048</v>
      </c>
      <c r="BC197" s="69" t="n">
        <f aca="false">-MIN(BC195,Inputs!$C$68/MAX(1,Inputs!$C$70*12))</f>
        <v>-2976.19047619048</v>
      </c>
      <c r="BD197" s="69" t="n">
        <f aca="false">-MIN(BD195,Inputs!$C$68/MAX(1,Inputs!$C$70*12))</f>
        <v>-2976.19047619048</v>
      </c>
      <c r="BE197" s="69" t="n">
        <f aca="false">-MIN(BE195,Inputs!$C$68/MAX(1,Inputs!$C$70*12))</f>
        <v>-2976.19047619048</v>
      </c>
      <c r="BF197" s="69" t="n">
        <f aca="false">-MIN(BF195,Inputs!$C$68/MAX(1,Inputs!$C$70*12))</f>
        <v>-2976.19047619048</v>
      </c>
      <c r="BG197" s="69" t="n">
        <f aca="false">-MIN(BG195,Inputs!$C$68/MAX(1,Inputs!$C$70*12))</f>
        <v>-2976.19047619048</v>
      </c>
      <c r="BH197" s="69" t="n">
        <f aca="false">-MIN(BH195,Inputs!$C$68/MAX(1,Inputs!$C$70*12))</f>
        <v>-2976.19047619048</v>
      </c>
      <c r="BI197" s="69" t="n">
        <f aca="false">-MIN(BI195,Inputs!$C$68/MAX(1,Inputs!$C$70*12))</f>
        <v>-2976.19047619048</v>
      </c>
      <c r="BJ197" s="69" t="n">
        <f aca="false">-MIN(BJ195,Inputs!$C$68/MAX(1,Inputs!$C$70*12))</f>
        <v>-2976.19047619048</v>
      </c>
    </row>
    <row r="198" customFormat="false" ht="15" hidden="false" customHeight="false" outlineLevel="0" collapsed="false">
      <c r="A198" s="4" t="s">
        <v>440</v>
      </c>
      <c r="C198" s="75" t="n">
        <f aca="false">C195+C196+C197</f>
        <v>250000</v>
      </c>
      <c r="D198" s="75" t="n">
        <f aca="false">D195+D196+D197</f>
        <v>247023.80952381</v>
      </c>
      <c r="E198" s="75" t="n">
        <f aca="false">E195+E196+E197</f>
        <v>244047.619047619</v>
      </c>
      <c r="F198" s="75" t="n">
        <f aca="false">F195+F196+F197</f>
        <v>241071.428571429</v>
      </c>
      <c r="G198" s="75" t="n">
        <f aca="false">G195+G196+G197</f>
        <v>238095.238095238</v>
      </c>
      <c r="H198" s="75" t="n">
        <f aca="false">H195+H196+H197</f>
        <v>235119.047619048</v>
      </c>
      <c r="I198" s="75" t="n">
        <f aca="false">I195+I196+I197</f>
        <v>232142.857142857</v>
      </c>
      <c r="J198" s="75" t="n">
        <f aca="false">J195+J196+J197</f>
        <v>229166.666666667</v>
      </c>
      <c r="K198" s="75" t="n">
        <f aca="false">K195+K196+K197</f>
        <v>226190.476190476</v>
      </c>
      <c r="L198" s="75" t="n">
        <f aca="false">L195+L196+L197</f>
        <v>223214.285714286</v>
      </c>
      <c r="M198" s="75" t="n">
        <f aca="false">M195+M196+M197</f>
        <v>220238.095238095</v>
      </c>
      <c r="N198" s="75" t="n">
        <f aca="false">N195+N196+N197</f>
        <v>217261.904761905</v>
      </c>
      <c r="O198" s="75" t="n">
        <f aca="false">O195+O196+O197</f>
        <v>214285.714285714</v>
      </c>
      <c r="P198" s="75" t="n">
        <f aca="false">P195+P196+P197</f>
        <v>211309.523809524</v>
      </c>
      <c r="Q198" s="75" t="n">
        <f aca="false">Q195+Q196+Q197</f>
        <v>208333.333333333</v>
      </c>
      <c r="R198" s="75" t="n">
        <f aca="false">R195+R196+R197</f>
        <v>205357.142857143</v>
      </c>
      <c r="S198" s="75" t="n">
        <f aca="false">S195+S196+S197</f>
        <v>202380.952380952</v>
      </c>
      <c r="T198" s="75" t="n">
        <f aca="false">T195+T196+T197</f>
        <v>199404.761904762</v>
      </c>
      <c r="U198" s="75" t="n">
        <f aca="false">U195+U196+U197</f>
        <v>196428.571428571</v>
      </c>
      <c r="V198" s="75" t="n">
        <f aca="false">V195+V196+V197</f>
        <v>193452.380952381</v>
      </c>
      <c r="W198" s="75" t="n">
        <f aca="false">W195+W196+W197</f>
        <v>190476.190476191</v>
      </c>
      <c r="X198" s="75" t="n">
        <f aca="false">X195+X196+X197</f>
        <v>187500</v>
      </c>
      <c r="Y198" s="75" t="n">
        <f aca="false">Y195+Y196+Y197</f>
        <v>184523.80952381</v>
      </c>
      <c r="Z198" s="75" t="n">
        <f aca="false">Z195+Z196+Z197</f>
        <v>181547.619047619</v>
      </c>
      <c r="AA198" s="75" t="n">
        <f aca="false">AA195+AA196+AA197</f>
        <v>178571.428571429</v>
      </c>
      <c r="AB198" s="75" t="n">
        <f aca="false">AB195+AB196+AB197</f>
        <v>175595.238095238</v>
      </c>
      <c r="AC198" s="75" t="n">
        <f aca="false">AC195+AC196+AC197</f>
        <v>172619.047619048</v>
      </c>
      <c r="AD198" s="75" t="n">
        <f aca="false">AD195+AD196+AD197</f>
        <v>169642.857142857</v>
      </c>
      <c r="AE198" s="75" t="n">
        <f aca="false">AE195+AE196+AE197</f>
        <v>166666.666666667</v>
      </c>
      <c r="AF198" s="75" t="n">
        <f aca="false">AF195+AF196+AF197</f>
        <v>163690.476190476</v>
      </c>
      <c r="AG198" s="75" t="n">
        <f aca="false">AG195+AG196+AG197</f>
        <v>160714.285714286</v>
      </c>
      <c r="AH198" s="75" t="n">
        <f aca="false">AH195+AH196+AH197</f>
        <v>157738.095238095</v>
      </c>
      <c r="AI198" s="75" t="n">
        <f aca="false">AI195+AI196+AI197</f>
        <v>154761.904761905</v>
      </c>
      <c r="AJ198" s="75" t="n">
        <f aca="false">AJ195+AJ196+AJ197</f>
        <v>151785.714285714</v>
      </c>
      <c r="AK198" s="75" t="n">
        <f aca="false">AK195+AK196+AK197</f>
        <v>148809.523809524</v>
      </c>
      <c r="AL198" s="75" t="n">
        <f aca="false">AL195+AL196+AL197</f>
        <v>145833.333333333</v>
      </c>
      <c r="AM198" s="75" t="n">
        <f aca="false">AM195+AM196+AM197</f>
        <v>142857.142857143</v>
      </c>
      <c r="AN198" s="75" t="n">
        <f aca="false">AN195+AN196+AN197</f>
        <v>139880.952380952</v>
      </c>
      <c r="AO198" s="75" t="n">
        <f aca="false">AO195+AO196+AO197</f>
        <v>136904.761904762</v>
      </c>
      <c r="AP198" s="75" t="n">
        <f aca="false">AP195+AP196+AP197</f>
        <v>133928.571428572</v>
      </c>
      <c r="AQ198" s="75" t="n">
        <f aca="false">AQ195+AQ196+AQ197</f>
        <v>130952.380952381</v>
      </c>
      <c r="AR198" s="75" t="n">
        <f aca="false">AR195+AR196+AR197</f>
        <v>127976.190476191</v>
      </c>
      <c r="AS198" s="75" t="n">
        <f aca="false">AS195+AS196+AS197</f>
        <v>125000</v>
      </c>
      <c r="AT198" s="75" t="n">
        <f aca="false">AT195+AT196+AT197</f>
        <v>122023.80952381</v>
      </c>
      <c r="AU198" s="75" t="n">
        <f aca="false">AU195+AU196+AU197</f>
        <v>119047.619047619</v>
      </c>
      <c r="AV198" s="75" t="n">
        <f aca="false">AV195+AV196+AV197</f>
        <v>116071.428571429</v>
      </c>
      <c r="AW198" s="75" t="n">
        <f aca="false">AW195+AW196+AW197</f>
        <v>113095.238095238</v>
      </c>
      <c r="AX198" s="75" t="n">
        <f aca="false">AX195+AX196+AX197</f>
        <v>110119.047619048</v>
      </c>
      <c r="AY198" s="75" t="n">
        <f aca="false">AY195+AY196+AY197</f>
        <v>107142.857142857</v>
      </c>
      <c r="AZ198" s="75" t="n">
        <f aca="false">AZ195+AZ196+AZ197</f>
        <v>104166.666666667</v>
      </c>
      <c r="BA198" s="75" t="n">
        <f aca="false">BA195+BA196+BA197</f>
        <v>101190.476190476</v>
      </c>
      <c r="BB198" s="75" t="n">
        <f aca="false">BB195+BB196+BB197</f>
        <v>98214.2857142859</v>
      </c>
      <c r="BC198" s="75" t="n">
        <f aca="false">BC195+BC196+BC197</f>
        <v>95238.0952380954</v>
      </c>
      <c r="BD198" s="75" t="n">
        <f aca="false">BD195+BD196+BD197</f>
        <v>92261.9047619049</v>
      </c>
      <c r="BE198" s="75" t="n">
        <f aca="false">BE195+BE196+BE197</f>
        <v>89285.7142857144</v>
      </c>
      <c r="BF198" s="75" t="n">
        <f aca="false">BF195+BF196+BF197</f>
        <v>86309.523809524</v>
      </c>
      <c r="BG198" s="75" t="n">
        <f aca="false">BG195+BG196+BG197</f>
        <v>83333.3333333335</v>
      </c>
      <c r="BH198" s="75" t="n">
        <f aca="false">BH195+BH196+BH197</f>
        <v>80357.142857143</v>
      </c>
      <c r="BI198" s="75" t="n">
        <f aca="false">BI195+BI196+BI197</f>
        <v>77380.9523809525</v>
      </c>
      <c r="BJ198" s="75" t="n">
        <f aca="false">BJ195+BJ196+BJ197</f>
        <v>74404.7619047621</v>
      </c>
    </row>
    <row r="200" customFormat="false" ht="15.75" hidden="false" customHeight="true" outlineLevel="0" collapsed="false">
      <c r="A200" s="7" t="s">
        <v>317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customFormat="false" ht="15" hidden="false" customHeight="false" outlineLevel="0" collapsed="false">
      <c r="A201" s="6" t="s">
        <v>90</v>
      </c>
      <c r="C201" s="69" t="n">
        <f aca="false">C152*Inputs!$C$73/30</f>
        <v>6243.75</v>
      </c>
      <c r="D201" s="69" t="n">
        <f aca="false">D152*Inputs!$C$73/30</f>
        <v>7024.21875</v>
      </c>
      <c r="E201" s="69" t="n">
        <f aca="false">E152*Inputs!$C$73/30</f>
        <v>7804.6875</v>
      </c>
      <c r="F201" s="69" t="n">
        <f aca="false">F152*Inputs!$C$73/30</f>
        <v>8585.15625</v>
      </c>
      <c r="G201" s="69" t="n">
        <f aca="false">G152*Inputs!$C$73/30</f>
        <v>9365.625</v>
      </c>
      <c r="H201" s="69" t="n">
        <f aca="false">H152*Inputs!$C$73/30</f>
        <v>10146.09375</v>
      </c>
      <c r="I201" s="69" t="n">
        <f aca="false">I152*Inputs!$C$73/30</f>
        <v>10926.5625</v>
      </c>
      <c r="J201" s="69" t="n">
        <f aca="false">J152*Inputs!$C$73/30</f>
        <v>11707.03125</v>
      </c>
      <c r="K201" s="69" t="n">
        <f aca="false">K152*Inputs!$C$73/30</f>
        <v>12487.5</v>
      </c>
      <c r="L201" s="69" t="n">
        <f aca="false">L152*Inputs!$C$73/30</f>
        <v>13267.96875</v>
      </c>
      <c r="M201" s="69" t="n">
        <f aca="false">M152*Inputs!$C$73/30</f>
        <v>14048.4375</v>
      </c>
      <c r="N201" s="69" t="n">
        <f aca="false">N152*Inputs!$C$73/30</f>
        <v>14828.90625</v>
      </c>
      <c r="O201" s="69" t="n">
        <f aca="false">O152*Inputs!$C$73/30</f>
        <v>16559.9859375</v>
      </c>
      <c r="P201" s="69" t="n">
        <f aca="false">P152*Inputs!$C$73/30</f>
        <v>16559.9859375</v>
      </c>
      <c r="Q201" s="69" t="n">
        <f aca="false">Q152*Inputs!$C$73/30</f>
        <v>16559.9859375</v>
      </c>
      <c r="R201" s="69" t="n">
        <f aca="false">R152*Inputs!$C$73/30</f>
        <v>16559.9859375</v>
      </c>
      <c r="S201" s="69" t="n">
        <f aca="false">S152*Inputs!$C$73/30</f>
        <v>16559.9859375</v>
      </c>
      <c r="T201" s="69" t="n">
        <f aca="false">T152*Inputs!$C$73/30</f>
        <v>16559.9859375</v>
      </c>
      <c r="U201" s="69" t="n">
        <f aca="false">U152*Inputs!$C$73/30</f>
        <v>16559.9859375</v>
      </c>
      <c r="V201" s="69" t="n">
        <f aca="false">V152*Inputs!$C$73/30</f>
        <v>16559.9859375</v>
      </c>
      <c r="W201" s="69" t="n">
        <f aca="false">W152*Inputs!$C$73/30</f>
        <v>16559.9859375</v>
      </c>
      <c r="X201" s="69" t="n">
        <f aca="false">X152*Inputs!$C$73/30</f>
        <v>16559.9859375</v>
      </c>
      <c r="Y201" s="69" t="n">
        <f aca="false">Y152*Inputs!$C$73/30</f>
        <v>16559.9859375</v>
      </c>
      <c r="Z201" s="69" t="n">
        <f aca="false">Z152*Inputs!$C$73/30</f>
        <v>16559.9859375</v>
      </c>
      <c r="AA201" s="69" t="n">
        <f aca="false">AA152*Inputs!$C$73/30</f>
        <v>17568.4890810937</v>
      </c>
      <c r="AB201" s="69" t="n">
        <f aca="false">AB152*Inputs!$C$73/30</f>
        <v>17568.4890810937</v>
      </c>
      <c r="AC201" s="69" t="n">
        <f aca="false">AC152*Inputs!$C$73/30</f>
        <v>17568.4890810937</v>
      </c>
      <c r="AD201" s="69" t="n">
        <f aca="false">AD152*Inputs!$C$73/30</f>
        <v>17568.4890810937</v>
      </c>
      <c r="AE201" s="69" t="n">
        <f aca="false">AE152*Inputs!$C$73/30</f>
        <v>17568.4890810937</v>
      </c>
      <c r="AF201" s="69" t="n">
        <f aca="false">AF152*Inputs!$C$73/30</f>
        <v>17568.4890810937</v>
      </c>
      <c r="AG201" s="69" t="n">
        <f aca="false">AG152*Inputs!$C$73/30</f>
        <v>17568.4890810937</v>
      </c>
      <c r="AH201" s="69" t="n">
        <f aca="false">AH152*Inputs!$C$73/30</f>
        <v>17568.4890810937</v>
      </c>
      <c r="AI201" s="69" t="n">
        <f aca="false">AI152*Inputs!$C$73/30</f>
        <v>17568.4890810937</v>
      </c>
      <c r="AJ201" s="69" t="n">
        <f aca="false">AJ152*Inputs!$C$73/30</f>
        <v>17568.4890810937</v>
      </c>
      <c r="AK201" s="69" t="n">
        <f aca="false">AK152*Inputs!$C$73/30</f>
        <v>17568.4890810937</v>
      </c>
      <c r="AL201" s="69" t="n">
        <f aca="false">AL152*Inputs!$C$73/30</f>
        <v>17568.4890810937</v>
      </c>
      <c r="AM201" s="69" t="n">
        <f aca="false">AM152*Inputs!$C$73/30</f>
        <v>18638.4100661324</v>
      </c>
      <c r="AN201" s="69" t="n">
        <f aca="false">AN152*Inputs!$C$73/30</f>
        <v>18638.4100661324</v>
      </c>
      <c r="AO201" s="69" t="n">
        <f aca="false">AO152*Inputs!$C$73/30</f>
        <v>18638.4100661324</v>
      </c>
      <c r="AP201" s="69" t="n">
        <f aca="false">AP152*Inputs!$C$73/30</f>
        <v>18638.4100661324</v>
      </c>
      <c r="AQ201" s="69" t="n">
        <f aca="false">AQ152*Inputs!$C$73/30</f>
        <v>18638.4100661324</v>
      </c>
      <c r="AR201" s="69" t="n">
        <f aca="false">AR152*Inputs!$C$73/30</f>
        <v>18638.4100661324</v>
      </c>
      <c r="AS201" s="69" t="n">
        <f aca="false">AS152*Inputs!$C$73/30</f>
        <v>18638.4100661324</v>
      </c>
      <c r="AT201" s="69" t="n">
        <f aca="false">AT152*Inputs!$C$73/30</f>
        <v>18638.4100661324</v>
      </c>
      <c r="AU201" s="69" t="n">
        <f aca="false">AU152*Inputs!$C$73/30</f>
        <v>18638.4100661324</v>
      </c>
      <c r="AV201" s="69" t="n">
        <f aca="false">AV152*Inputs!$C$73/30</f>
        <v>18638.4100661324</v>
      </c>
      <c r="AW201" s="69" t="n">
        <f aca="false">AW152*Inputs!$C$73/30</f>
        <v>18638.4100661324</v>
      </c>
      <c r="AX201" s="69" t="n">
        <f aca="false">AX152*Inputs!$C$73/30</f>
        <v>18638.4100661324</v>
      </c>
      <c r="AY201" s="69" t="n">
        <f aca="false">AY152*Inputs!$C$73/30</f>
        <v>19773.4892391598</v>
      </c>
      <c r="AZ201" s="69" t="n">
        <f aca="false">AZ152*Inputs!$C$73/30</f>
        <v>19773.4892391598</v>
      </c>
      <c r="BA201" s="69" t="n">
        <f aca="false">BA152*Inputs!$C$73/30</f>
        <v>19773.4892391598</v>
      </c>
      <c r="BB201" s="69" t="n">
        <f aca="false">BB152*Inputs!$C$73/30</f>
        <v>19773.4892391598</v>
      </c>
      <c r="BC201" s="69" t="n">
        <f aca="false">BC152*Inputs!$C$73/30</f>
        <v>19773.4892391598</v>
      </c>
      <c r="BD201" s="69" t="n">
        <f aca="false">BD152*Inputs!$C$73/30</f>
        <v>19773.4892391598</v>
      </c>
      <c r="BE201" s="69" t="n">
        <f aca="false">BE152*Inputs!$C$73/30</f>
        <v>19773.4892391598</v>
      </c>
      <c r="BF201" s="69" t="n">
        <f aca="false">BF152*Inputs!$C$73/30</f>
        <v>19773.4892391598</v>
      </c>
      <c r="BG201" s="69" t="n">
        <f aca="false">BG152*Inputs!$C$73/30</f>
        <v>19773.4892391598</v>
      </c>
      <c r="BH201" s="69" t="n">
        <f aca="false">BH152*Inputs!$C$73/30</f>
        <v>19773.4892391598</v>
      </c>
      <c r="BI201" s="69" t="n">
        <f aca="false">BI152*Inputs!$C$73/30</f>
        <v>19773.4892391598</v>
      </c>
      <c r="BJ201" s="69" t="n">
        <f aca="false">BJ152*Inputs!$C$73/30</f>
        <v>19773.4892391598</v>
      </c>
    </row>
    <row r="202" customFormat="false" ht="15" hidden="false" customHeight="false" outlineLevel="0" collapsed="false">
      <c r="A202" s="6" t="s">
        <v>91</v>
      </c>
      <c r="C202" s="69" t="n">
        <f aca="false">-C159*Inputs!$C$74/30</f>
        <v>14367.6666666667</v>
      </c>
      <c r="D202" s="69" t="n">
        <f aca="false">-D159*Inputs!$C$74/30</f>
        <v>14917.7916666667</v>
      </c>
      <c r="E202" s="69" t="n">
        <f aca="false">-E159*Inputs!$C$74/30</f>
        <v>15467.9166666667</v>
      </c>
      <c r="F202" s="69" t="n">
        <f aca="false">-F159*Inputs!$C$74/30</f>
        <v>16018.0416666667</v>
      </c>
      <c r="G202" s="69" t="n">
        <f aca="false">-G159*Inputs!$C$74/30</f>
        <v>16568.1666666667</v>
      </c>
      <c r="H202" s="69" t="n">
        <f aca="false">-H159*Inputs!$C$74/30</f>
        <v>17118.2916666667</v>
      </c>
      <c r="I202" s="69" t="n">
        <f aca="false">-I159*Inputs!$C$74/30</f>
        <v>17668.4166666667</v>
      </c>
      <c r="J202" s="69" t="n">
        <f aca="false">-J159*Inputs!$C$74/30</f>
        <v>18218.5416666667</v>
      </c>
      <c r="K202" s="69" t="n">
        <f aca="false">-K159*Inputs!$C$74/30</f>
        <v>18768.6666666667</v>
      </c>
      <c r="L202" s="69" t="n">
        <f aca="false">-L159*Inputs!$C$74/30</f>
        <v>19318.7916666667</v>
      </c>
      <c r="M202" s="69" t="n">
        <f aca="false">-M159*Inputs!$C$74/30</f>
        <v>19868.9166666667</v>
      </c>
      <c r="N202" s="69" t="n">
        <f aca="false">-N159*Inputs!$C$74/30</f>
        <v>20419.0416666667</v>
      </c>
      <c r="O202" s="69" t="n">
        <f aca="false">-O159*Inputs!$C$74/30</f>
        <v>21938.2189166667</v>
      </c>
      <c r="P202" s="69" t="n">
        <f aca="false">-P159*Inputs!$C$74/30</f>
        <v>21938.2189166667</v>
      </c>
      <c r="Q202" s="69" t="n">
        <f aca="false">-Q159*Inputs!$C$74/30</f>
        <v>21938.2189166667</v>
      </c>
      <c r="R202" s="69" t="n">
        <f aca="false">-R159*Inputs!$C$74/30</f>
        <v>21938.2189166667</v>
      </c>
      <c r="S202" s="69" t="n">
        <f aca="false">-S159*Inputs!$C$74/30</f>
        <v>21938.2189166667</v>
      </c>
      <c r="T202" s="69" t="n">
        <f aca="false">-T159*Inputs!$C$74/30</f>
        <v>21938.2189166667</v>
      </c>
      <c r="U202" s="69" t="n">
        <f aca="false">-U159*Inputs!$C$74/30</f>
        <v>21938.2189166667</v>
      </c>
      <c r="V202" s="69" t="n">
        <f aca="false">-V159*Inputs!$C$74/30</f>
        <v>21938.2189166667</v>
      </c>
      <c r="W202" s="69" t="n">
        <f aca="false">-W159*Inputs!$C$74/30</f>
        <v>21938.2189166667</v>
      </c>
      <c r="X202" s="69" t="n">
        <f aca="false">-X159*Inputs!$C$74/30</f>
        <v>21938.2189166667</v>
      </c>
      <c r="Y202" s="69" t="n">
        <f aca="false">-Y159*Inputs!$C$74/30</f>
        <v>21938.2189166667</v>
      </c>
      <c r="Z202" s="69" t="n">
        <f aca="false">-Z159*Inputs!$C$74/30</f>
        <v>21938.2189166667</v>
      </c>
      <c r="AA202" s="69" t="n">
        <f aca="false">-AA159*Inputs!$C$74/30</f>
        <v>22957.0473486917</v>
      </c>
      <c r="AB202" s="69" t="n">
        <f aca="false">-AB159*Inputs!$C$74/30</f>
        <v>22957.0473486917</v>
      </c>
      <c r="AC202" s="69" t="n">
        <f aca="false">-AC159*Inputs!$C$74/30</f>
        <v>22957.0473486917</v>
      </c>
      <c r="AD202" s="69" t="n">
        <f aca="false">-AD159*Inputs!$C$74/30</f>
        <v>22957.0473486917</v>
      </c>
      <c r="AE202" s="69" t="n">
        <f aca="false">-AE159*Inputs!$C$74/30</f>
        <v>22957.0473486917</v>
      </c>
      <c r="AF202" s="69" t="n">
        <f aca="false">-AF159*Inputs!$C$74/30</f>
        <v>22957.0473486917</v>
      </c>
      <c r="AG202" s="69" t="n">
        <f aca="false">-AG159*Inputs!$C$74/30</f>
        <v>22957.0473486917</v>
      </c>
      <c r="AH202" s="69" t="n">
        <f aca="false">-AH159*Inputs!$C$74/30</f>
        <v>22957.0473486917</v>
      </c>
      <c r="AI202" s="69" t="n">
        <f aca="false">-AI159*Inputs!$C$74/30</f>
        <v>22957.0473486917</v>
      </c>
      <c r="AJ202" s="69" t="n">
        <f aca="false">-AJ159*Inputs!$C$74/30</f>
        <v>22957.0473486917</v>
      </c>
      <c r="AK202" s="69" t="n">
        <f aca="false">-AK159*Inputs!$C$74/30</f>
        <v>22957.0473486917</v>
      </c>
      <c r="AL202" s="69" t="n">
        <f aca="false">-AL159*Inputs!$C$74/30</f>
        <v>22957.0473486917</v>
      </c>
      <c r="AM202" s="69" t="n">
        <f aca="false">-AM159*Inputs!$C$74/30</f>
        <v>24028.406159227</v>
      </c>
      <c r="AN202" s="69" t="n">
        <f aca="false">-AN159*Inputs!$C$74/30</f>
        <v>24028.406159227</v>
      </c>
      <c r="AO202" s="69" t="n">
        <f aca="false">-AO159*Inputs!$C$74/30</f>
        <v>24028.406159227</v>
      </c>
      <c r="AP202" s="69" t="n">
        <f aca="false">-AP159*Inputs!$C$74/30</f>
        <v>24028.406159227</v>
      </c>
      <c r="AQ202" s="69" t="n">
        <f aca="false">-AQ159*Inputs!$C$74/30</f>
        <v>24028.406159227</v>
      </c>
      <c r="AR202" s="69" t="n">
        <f aca="false">-AR159*Inputs!$C$74/30</f>
        <v>24028.406159227</v>
      </c>
      <c r="AS202" s="69" t="n">
        <f aca="false">-AS159*Inputs!$C$74/30</f>
        <v>24028.406159227</v>
      </c>
      <c r="AT202" s="69" t="n">
        <f aca="false">-AT159*Inputs!$C$74/30</f>
        <v>24028.406159227</v>
      </c>
      <c r="AU202" s="69" t="n">
        <f aca="false">-AU159*Inputs!$C$74/30</f>
        <v>24028.406159227</v>
      </c>
      <c r="AV202" s="69" t="n">
        <f aca="false">-AV159*Inputs!$C$74/30</f>
        <v>24028.406159227</v>
      </c>
      <c r="AW202" s="69" t="n">
        <f aca="false">-AW159*Inputs!$C$74/30</f>
        <v>24028.406159227</v>
      </c>
      <c r="AX202" s="69" t="n">
        <f aca="false">-AX159*Inputs!$C$74/30</f>
        <v>24028.406159227</v>
      </c>
      <c r="AY202" s="69" t="n">
        <f aca="false">-AY159*Inputs!$C$74/30</f>
        <v>25155.2089601339</v>
      </c>
      <c r="AZ202" s="69" t="n">
        <f aca="false">-AZ159*Inputs!$C$74/30</f>
        <v>25155.2089601339</v>
      </c>
      <c r="BA202" s="69" t="n">
        <f aca="false">-BA159*Inputs!$C$74/30</f>
        <v>25155.2089601339</v>
      </c>
      <c r="BB202" s="69" t="n">
        <f aca="false">-BB159*Inputs!$C$74/30</f>
        <v>25155.2089601339</v>
      </c>
      <c r="BC202" s="69" t="n">
        <f aca="false">-BC159*Inputs!$C$74/30</f>
        <v>25155.2089601339</v>
      </c>
      <c r="BD202" s="69" t="n">
        <f aca="false">-BD159*Inputs!$C$74/30</f>
        <v>25155.2089601339</v>
      </c>
      <c r="BE202" s="69" t="n">
        <f aca="false">-BE159*Inputs!$C$74/30</f>
        <v>25155.2089601339</v>
      </c>
      <c r="BF202" s="69" t="n">
        <f aca="false">-BF159*Inputs!$C$74/30</f>
        <v>25155.2089601339</v>
      </c>
      <c r="BG202" s="69" t="n">
        <f aca="false">-BG159*Inputs!$C$74/30</f>
        <v>25155.2089601339</v>
      </c>
      <c r="BH202" s="69" t="n">
        <f aca="false">-BH159*Inputs!$C$74/30</f>
        <v>25155.2089601339</v>
      </c>
      <c r="BI202" s="69" t="n">
        <f aca="false">-BI159*Inputs!$C$74/30</f>
        <v>25155.2089601339</v>
      </c>
      <c r="BJ202" s="69" t="n">
        <f aca="false">-BJ159*Inputs!$C$74/30</f>
        <v>25155.2089601339</v>
      </c>
    </row>
    <row r="203" customFormat="false" ht="15" hidden="false" customHeight="false" outlineLevel="0" collapsed="false">
      <c r="A203" s="6" t="s">
        <v>94</v>
      </c>
      <c r="C203" s="69" t="n">
        <f aca="false">-C159*Inputs!$C$75/30</f>
        <v>44898.9583333333</v>
      </c>
      <c r="D203" s="69" t="n">
        <f aca="false">-D159*Inputs!$C$75/30</f>
        <v>46618.0989583333</v>
      </c>
      <c r="E203" s="69" t="n">
        <f aca="false">-E159*Inputs!$C$75/30</f>
        <v>48337.2395833333</v>
      </c>
      <c r="F203" s="69" t="n">
        <f aca="false">-F159*Inputs!$C$75/30</f>
        <v>50056.3802083333</v>
      </c>
      <c r="G203" s="69" t="n">
        <f aca="false">-G159*Inputs!$C$75/30</f>
        <v>51775.5208333333</v>
      </c>
      <c r="H203" s="69" t="n">
        <f aca="false">-H159*Inputs!$C$75/30</f>
        <v>53494.6614583333</v>
      </c>
      <c r="I203" s="69" t="n">
        <f aca="false">-I159*Inputs!$C$75/30</f>
        <v>55213.8020833333</v>
      </c>
      <c r="J203" s="69" t="n">
        <f aca="false">-J159*Inputs!$C$75/30</f>
        <v>56932.9427083333</v>
      </c>
      <c r="K203" s="69" t="n">
        <f aca="false">-K159*Inputs!$C$75/30</f>
        <v>58652.0833333333</v>
      </c>
      <c r="L203" s="69" t="n">
        <f aca="false">-L159*Inputs!$C$75/30</f>
        <v>60371.2239583334</v>
      </c>
      <c r="M203" s="69" t="n">
        <f aca="false">-M159*Inputs!$C$75/30</f>
        <v>62090.3645833333</v>
      </c>
      <c r="N203" s="69" t="n">
        <f aca="false">-N159*Inputs!$C$75/30</f>
        <v>63809.5052083333</v>
      </c>
      <c r="O203" s="69" t="n">
        <f aca="false">-O159*Inputs!$C$75/30</f>
        <v>68556.9341145833</v>
      </c>
      <c r="P203" s="69" t="n">
        <f aca="false">-P159*Inputs!$C$75/30</f>
        <v>68556.9341145833</v>
      </c>
      <c r="Q203" s="69" t="n">
        <f aca="false">-Q159*Inputs!$C$75/30</f>
        <v>68556.9341145833</v>
      </c>
      <c r="R203" s="69" t="n">
        <f aca="false">-R159*Inputs!$C$75/30</f>
        <v>68556.9341145833</v>
      </c>
      <c r="S203" s="69" t="n">
        <f aca="false">-S159*Inputs!$C$75/30</f>
        <v>68556.9341145833</v>
      </c>
      <c r="T203" s="69" t="n">
        <f aca="false">-T159*Inputs!$C$75/30</f>
        <v>68556.9341145833</v>
      </c>
      <c r="U203" s="69" t="n">
        <f aca="false">-U159*Inputs!$C$75/30</f>
        <v>68556.9341145833</v>
      </c>
      <c r="V203" s="69" t="n">
        <f aca="false">-V159*Inputs!$C$75/30</f>
        <v>68556.9341145833</v>
      </c>
      <c r="W203" s="69" t="n">
        <f aca="false">-W159*Inputs!$C$75/30</f>
        <v>68556.9341145833</v>
      </c>
      <c r="X203" s="69" t="n">
        <f aca="false">-X159*Inputs!$C$75/30</f>
        <v>68556.9341145833</v>
      </c>
      <c r="Y203" s="69" t="n">
        <f aca="false">-Y159*Inputs!$C$75/30</f>
        <v>68556.9341145833</v>
      </c>
      <c r="Z203" s="69" t="n">
        <f aca="false">-Z159*Inputs!$C$75/30</f>
        <v>68556.9341145833</v>
      </c>
      <c r="AA203" s="69" t="n">
        <f aca="false">-AA159*Inputs!$C$75/30</f>
        <v>71740.7729646615</v>
      </c>
      <c r="AB203" s="69" t="n">
        <f aca="false">-AB159*Inputs!$C$75/30</f>
        <v>71740.7729646615</v>
      </c>
      <c r="AC203" s="69" t="n">
        <f aca="false">-AC159*Inputs!$C$75/30</f>
        <v>71740.7729646615</v>
      </c>
      <c r="AD203" s="69" t="n">
        <f aca="false">-AD159*Inputs!$C$75/30</f>
        <v>71740.7729646615</v>
      </c>
      <c r="AE203" s="69" t="n">
        <f aca="false">-AE159*Inputs!$C$75/30</f>
        <v>71740.7729646615</v>
      </c>
      <c r="AF203" s="69" t="n">
        <f aca="false">-AF159*Inputs!$C$75/30</f>
        <v>71740.7729646615</v>
      </c>
      <c r="AG203" s="69" t="n">
        <f aca="false">-AG159*Inputs!$C$75/30</f>
        <v>71740.7729646615</v>
      </c>
      <c r="AH203" s="69" t="n">
        <f aca="false">-AH159*Inputs!$C$75/30</f>
        <v>71740.7729646615</v>
      </c>
      <c r="AI203" s="69" t="n">
        <f aca="false">-AI159*Inputs!$C$75/30</f>
        <v>71740.7729646615</v>
      </c>
      <c r="AJ203" s="69" t="n">
        <f aca="false">-AJ159*Inputs!$C$75/30</f>
        <v>71740.7729646615</v>
      </c>
      <c r="AK203" s="69" t="n">
        <f aca="false">-AK159*Inputs!$C$75/30</f>
        <v>71740.7729646615</v>
      </c>
      <c r="AL203" s="69" t="n">
        <f aca="false">-AL159*Inputs!$C$75/30</f>
        <v>71740.7729646615</v>
      </c>
      <c r="AM203" s="69" t="n">
        <f aca="false">-AM159*Inputs!$C$75/30</f>
        <v>75088.7692475844</v>
      </c>
      <c r="AN203" s="69" t="n">
        <f aca="false">-AN159*Inputs!$C$75/30</f>
        <v>75088.7692475844</v>
      </c>
      <c r="AO203" s="69" t="n">
        <f aca="false">-AO159*Inputs!$C$75/30</f>
        <v>75088.7692475844</v>
      </c>
      <c r="AP203" s="69" t="n">
        <f aca="false">-AP159*Inputs!$C$75/30</f>
        <v>75088.7692475844</v>
      </c>
      <c r="AQ203" s="69" t="n">
        <f aca="false">-AQ159*Inputs!$C$75/30</f>
        <v>75088.7692475844</v>
      </c>
      <c r="AR203" s="69" t="n">
        <f aca="false">-AR159*Inputs!$C$75/30</f>
        <v>75088.7692475844</v>
      </c>
      <c r="AS203" s="69" t="n">
        <f aca="false">-AS159*Inputs!$C$75/30</f>
        <v>75088.7692475844</v>
      </c>
      <c r="AT203" s="69" t="n">
        <f aca="false">-AT159*Inputs!$C$75/30</f>
        <v>75088.7692475844</v>
      </c>
      <c r="AU203" s="69" t="n">
        <f aca="false">-AU159*Inputs!$C$75/30</f>
        <v>75088.7692475844</v>
      </c>
      <c r="AV203" s="69" t="n">
        <f aca="false">-AV159*Inputs!$C$75/30</f>
        <v>75088.7692475844</v>
      </c>
      <c r="AW203" s="69" t="n">
        <f aca="false">-AW159*Inputs!$C$75/30</f>
        <v>75088.7692475844</v>
      </c>
      <c r="AX203" s="69" t="n">
        <f aca="false">-AX159*Inputs!$C$75/30</f>
        <v>75088.7692475844</v>
      </c>
      <c r="AY203" s="69" t="n">
        <f aca="false">-AY159*Inputs!$C$75/30</f>
        <v>78610.0280004185</v>
      </c>
      <c r="AZ203" s="69" t="n">
        <f aca="false">-AZ159*Inputs!$C$75/30</f>
        <v>78610.0280004185</v>
      </c>
      <c r="BA203" s="69" t="n">
        <f aca="false">-BA159*Inputs!$C$75/30</f>
        <v>78610.0280004185</v>
      </c>
      <c r="BB203" s="69" t="n">
        <f aca="false">-BB159*Inputs!$C$75/30</f>
        <v>78610.0280004185</v>
      </c>
      <c r="BC203" s="69" t="n">
        <f aca="false">-BC159*Inputs!$C$75/30</f>
        <v>78610.0280004185</v>
      </c>
      <c r="BD203" s="69" t="n">
        <f aca="false">-BD159*Inputs!$C$75/30</f>
        <v>78610.0280004185</v>
      </c>
      <c r="BE203" s="69" t="n">
        <f aca="false">-BE159*Inputs!$C$75/30</f>
        <v>78610.0280004185</v>
      </c>
      <c r="BF203" s="69" t="n">
        <f aca="false">-BF159*Inputs!$C$75/30</f>
        <v>78610.0280004185</v>
      </c>
      <c r="BG203" s="69" t="n">
        <f aca="false">-BG159*Inputs!$C$75/30</f>
        <v>78610.0280004185</v>
      </c>
      <c r="BH203" s="69" t="n">
        <f aca="false">-BH159*Inputs!$C$75/30</f>
        <v>78610.0280004185</v>
      </c>
      <c r="BI203" s="69" t="n">
        <f aca="false">-BI159*Inputs!$C$75/30</f>
        <v>78610.0280004185</v>
      </c>
      <c r="BJ203" s="69" t="n">
        <f aca="false">-BJ159*Inputs!$C$75/30</f>
        <v>78610.0280004185</v>
      </c>
    </row>
    <row r="204" customFormat="false" ht="15" hidden="false" customHeight="false" outlineLevel="0" collapsed="false">
      <c r="A204" s="6" t="s">
        <v>340</v>
      </c>
      <c r="C204" s="69" t="n">
        <f aca="false">-C201</f>
        <v>-6243.75</v>
      </c>
      <c r="D204" s="69" t="n">
        <f aca="false">C201-D201</f>
        <v>-780.46875</v>
      </c>
      <c r="E204" s="69" t="n">
        <f aca="false">D201-E201</f>
        <v>-780.468750000002</v>
      </c>
      <c r="F204" s="69" t="n">
        <f aca="false">E201-F201</f>
        <v>-780.468750000002</v>
      </c>
      <c r="G204" s="69" t="n">
        <f aca="false">F201-G201</f>
        <v>-780.46875</v>
      </c>
      <c r="H204" s="69" t="n">
        <f aca="false">G201-H201</f>
        <v>-780.468749999996</v>
      </c>
      <c r="I204" s="69" t="n">
        <f aca="false">H201-I201</f>
        <v>-780.46875</v>
      </c>
      <c r="J204" s="69" t="n">
        <f aca="false">I201-J201</f>
        <v>-780.468750000002</v>
      </c>
      <c r="K204" s="69" t="n">
        <f aca="false">J201-K201</f>
        <v>-780.46875</v>
      </c>
      <c r="L204" s="69" t="n">
        <f aca="false">K201-L201</f>
        <v>-780.468750000004</v>
      </c>
      <c r="M204" s="69" t="n">
        <f aca="false">L201-M201</f>
        <v>-780.468749999993</v>
      </c>
      <c r="N204" s="69" t="n">
        <f aca="false">M201-N201</f>
        <v>-780.468750000004</v>
      </c>
      <c r="O204" s="69" t="n">
        <f aca="false">N201-O201</f>
        <v>-1731.0796875</v>
      </c>
      <c r="P204" s="69" t="n">
        <f aca="false">O201-P201</f>
        <v>0</v>
      </c>
      <c r="Q204" s="69" t="n">
        <f aca="false">P201-Q201</f>
        <v>0</v>
      </c>
      <c r="R204" s="69" t="n">
        <f aca="false">Q201-R201</f>
        <v>0</v>
      </c>
      <c r="S204" s="69" t="n">
        <f aca="false">R201-S201</f>
        <v>0</v>
      </c>
      <c r="T204" s="69" t="n">
        <f aca="false">S201-T201</f>
        <v>0</v>
      </c>
      <c r="U204" s="69" t="n">
        <f aca="false">T201-U201</f>
        <v>0</v>
      </c>
      <c r="V204" s="69" t="n">
        <f aca="false">U201-V201</f>
        <v>0</v>
      </c>
      <c r="W204" s="69" t="n">
        <f aca="false">V201-W201</f>
        <v>0</v>
      </c>
      <c r="X204" s="69" t="n">
        <f aca="false">W201-X201</f>
        <v>0</v>
      </c>
      <c r="Y204" s="69" t="n">
        <f aca="false">X201-Y201</f>
        <v>0</v>
      </c>
      <c r="Z204" s="69" t="n">
        <f aca="false">Y201-Z201</f>
        <v>0</v>
      </c>
      <c r="AA204" s="69" t="n">
        <f aca="false">Z201-AA201</f>
        <v>-1008.50314359375</v>
      </c>
      <c r="AB204" s="69" t="n">
        <f aca="false">AA201-AB201</f>
        <v>0</v>
      </c>
      <c r="AC204" s="69" t="n">
        <f aca="false">AB201-AC201</f>
        <v>0</v>
      </c>
      <c r="AD204" s="69" t="n">
        <f aca="false">AC201-AD201</f>
        <v>0</v>
      </c>
      <c r="AE204" s="69" t="n">
        <f aca="false">AD201-AE201</f>
        <v>0</v>
      </c>
      <c r="AF204" s="69" t="n">
        <f aca="false">AE201-AF201</f>
        <v>0</v>
      </c>
      <c r="AG204" s="69" t="n">
        <f aca="false">AF201-AG201</f>
        <v>0</v>
      </c>
      <c r="AH204" s="69" t="n">
        <f aca="false">AG201-AH201</f>
        <v>0</v>
      </c>
      <c r="AI204" s="69" t="n">
        <f aca="false">AH201-AI201</f>
        <v>0</v>
      </c>
      <c r="AJ204" s="69" t="n">
        <f aca="false">AI201-AJ201</f>
        <v>0</v>
      </c>
      <c r="AK204" s="69" t="n">
        <f aca="false">AJ201-AK201</f>
        <v>0</v>
      </c>
      <c r="AL204" s="69" t="n">
        <f aca="false">AK201-AL201</f>
        <v>0</v>
      </c>
      <c r="AM204" s="69" t="n">
        <f aca="false">AL201-AM201</f>
        <v>-1069.92098503861</v>
      </c>
      <c r="AN204" s="69" t="n">
        <f aca="false">AM201-AN201</f>
        <v>0</v>
      </c>
      <c r="AO204" s="69" t="n">
        <f aca="false">AN201-AO201</f>
        <v>0</v>
      </c>
      <c r="AP204" s="69" t="n">
        <f aca="false">AO201-AP201</f>
        <v>0</v>
      </c>
      <c r="AQ204" s="69" t="n">
        <f aca="false">AP201-AQ201</f>
        <v>0</v>
      </c>
      <c r="AR204" s="69" t="n">
        <f aca="false">AQ201-AR201</f>
        <v>0</v>
      </c>
      <c r="AS204" s="69" t="n">
        <f aca="false">AR201-AS201</f>
        <v>0</v>
      </c>
      <c r="AT204" s="69" t="n">
        <f aca="false">AS201-AT201</f>
        <v>0</v>
      </c>
      <c r="AU204" s="69" t="n">
        <f aca="false">AT201-AU201</f>
        <v>0</v>
      </c>
      <c r="AV204" s="69" t="n">
        <f aca="false">AU201-AV201</f>
        <v>0</v>
      </c>
      <c r="AW204" s="69" t="n">
        <f aca="false">AV201-AW201</f>
        <v>0</v>
      </c>
      <c r="AX204" s="69" t="n">
        <f aca="false">AW201-AX201</f>
        <v>0</v>
      </c>
      <c r="AY204" s="69" t="n">
        <f aca="false">AX201-AY201</f>
        <v>-1135.07917302746</v>
      </c>
      <c r="AZ204" s="69" t="n">
        <f aca="false">AY201-AZ201</f>
        <v>0</v>
      </c>
      <c r="BA204" s="69" t="n">
        <f aca="false">AZ201-BA201</f>
        <v>0</v>
      </c>
      <c r="BB204" s="69" t="n">
        <f aca="false">BA201-BB201</f>
        <v>0</v>
      </c>
      <c r="BC204" s="69" t="n">
        <f aca="false">BB201-BC201</f>
        <v>0</v>
      </c>
      <c r="BD204" s="69" t="n">
        <f aca="false">BC201-BD201</f>
        <v>0</v>
      </c>
      <c r="BE204" s="69" t="n">
        <f aca="false">BD201-BE201</f>
        <v>0</v>
      </c>
      <c r="BF204" s="69" t="n">
        <f aca="false">BE201-BF201</f>
        <v>0</v>
      </c>
      <c r="BG204" s="69" t="n">
        <f aca="false">BF201-BG201</f>
        <v>0</v>
      </c>
      <c r="BH204" s="69" t="n">
        <f aca="false">BG201-BH201</f>
        <v>0</v>
      </c>
      <c r="BI204" s="69" t="n">
        <f aca="false">BH201-BI201</f>
        <v>0</v>
      </c>
      <c r="BJ204" s="69" t="n">
        <f aca="false">BI201-BJ201</f>
        <v>0</v>
      </c>
    </row>
    <row r="205" customFormat="false" ht="15" hidden="false" customHeight="false" outlineLevel="0" collapsed="false">
      <c r="A205" s="6" t="s">
        <v>341</v>
      </c>
      <c r="C205" s="69" t="n">
        <f aca="false">-C202</f>
        <v>-14367.6666666667</v>
      </c>
      <c r="D205" s="69" t="n">
        <f aca="false">C202-D202</f>
        <v>-550.125</v>
      </c>
      <c r="E205" s="69" t="n">
        <f aca="false">D202-E202</f>
        <v>-550.125</v>
      </c>
      <c r="F205" s="69" t="n">
        <f aca="false">E202-F202</f>
        <v>-550.125</v>
      </c>
      <c r="G205" s="69" t="n">
        <f aca="false">F202-G202</f>
        <v>-550.125000000002</v>
      </c>
      <c r="H205" s="69" t="n">
        <f aca="false">G202-H202</f>
        <v>-550.125</v>
      </c>
      <c r="I205" s="69" t="n">
        <f aca="false">H202-I202</f>
        <v>-550.125</v>
      </c>
      <c r="J205" s="69" t="n">
        <f aca="false">I202-J202</f>
        <v>-550.125</v>
      </c>
      <c r="K205" s="69" t="n">
        <f aca="false">J202-K202</f>
        <v>-550.125</v>
      </c>
      <c r="L205" s="69" t="n">
        <f aca="false">K202-L202</f>
        <v>-550.125000000004</v>
      </c>
      <c r="M205" s="69" t="n">
        <f aca="false">L202-M202</f>
        <v>-550.124999999996</v>
      </c>
      <c r="N205" s="69" t="n">
        <f aca="false">M202-N202</f>
        <v>-550.125</v>
      </c>
      <c r="O205" s="69" t="n">
        <f aca="false">N202-O202</f>
        <v>-1519.17725</v>
      </c>
      <c r="P205" s="69" t="n">
        <f aca="false">O202-P202</f>
        <v>0</v>
      </c>
      <c r="Q205" s="69" t="n">
        <f aca="false">P202-Q202</f>
        <v>0</v>
      </c>
      <c r="R205" s="69" t="n">
        <f aca="false">Q202-R202</f>
        <v>0</v>
      </c>
      <c r="S205" s="69" t="n">
        <f aca="false">R202-S202</f>
        <v>0</v>
      </c>
      <c r="T205" s="69" t="n">
        <f aca="false">S202-T202</f>
        <v>0</v>
      </c>
      <c r="U205" s="69" t="n">
        <f aca="false">T202-U202</f>
        <v>0</v>
      </c>
      <c r="V205" s="69" t="n">
        <f aca="false">U202-V202</f>
        <v>0</v>
      </c>
      <c r="W205" s="69" t="n">
        <f aca="false">V202-W202</f>
        <v>0</v>
      </c>
      <c r="X205" s="69" t="n">
        <f aca="false">W202-X202</f>
        <v>0</v>
      </c>
      <c r="Y205" s="69" t="n">
        <f aca="false">X202-Y202</f>
        <v>0</v>
      </c>
      <c r="Z205" s="69" t="n">
        <f aca="false">Y202-Z202</f>
        <v>0</v>
      </c>
      <c r="AA205" s="69" t="n">
        <f aca="false">Z202-AA202</f>
        <v>-1018.828432025</v>
      </c>
      <c r="AB205" s="69" t="n">
        <f aca="false">AA202-AB202</f>
        <v>0</v>
      </c>
      <c r="AC205" s="69" t="n">
        <f aca="false">AB202-AC202</f>
        <v>0</v>
      </c>
      <c r="AD205" s="69" t="n">
        <f aca="false">AC202-AD202</f>
        <v>0</v>
      </c>
      <c r="AE205" s="69" t="n">
        <f aca="false">AD202-AE202</f>
        <v>0</v>
      </c>
      <c r="AF205" s="69" t="n">
        <f aca="false">AE202-AF202</f>
        <v>0</v>
      </c>
      <c r="AG205" s="69" t="n">
        <f aca="false">AF202-AG202</f>
        <v>0</v>
      </c>
      <c r="AH205" s="69" t="n">
        <f aca="false">AG202-AH202</f>
        <v>0</v>
      </c>
      <c r="AI205" s="69" t="n">
        <f aca="false">AH202-AI202</f>
        <v>0</v>
      </c>
      <c r="AJ205" s="69" t="n">
        <f aca="false">AI202-AJ202</f>
        <v>0</v>
      </c>
      <c r="AK205" s="69" t="n">
        <f aca="false">AJ202-AK202</f>
        <v>0</v>
      </c>
      <c r="AL205" s="69" t="n">
        <f aca="false">AK202-AL202</f>
        <v>0</v>
      </c>
      <c r="AM205" s="69" t="n">
        <f aca="false">AL202-AM202</f>
        <v>-1071.35881053533</v>
      </c>
      <c r="AN205" s="69" t="n">
        <f aca="false">AM202-AN202</f>
        <v>0</v>
      </c>
      <c r="AO205" s="69" t="n">
        <f aca="false">AN202-AO202</f>
        <v>0</v>
      </c>
      <c r="AP205" s="69" t="n">
        <f aca="false">AO202-AP202</f>
        <v>0</v>
      </c>
      <c r="AQ205" s="69" t="n">
        <f aca="false">AP202-AQ202</f>
        <v>0</v>
      </c>
      <c r="AR205" s="69" t="n">
        <f aca="false">AQ202-AR202</f>
        <v>0</v>
      </c>
      <c r="AS205" s="69" t="n">
        <f aca="false">AR202-AS202</f>
        <v>0</v>
      </c>
      <c r="AT205" s="69" t="n">
        <f aca="false">AS202-AT202</f>
        <v>0</v>
      </c>
      <c r="AU205" s="69" t="n">
        <f aca="false">AT202-AU202</f>
        <v>0</v>
      </c>
      <c r="AV205" s="69" t="n">
        <f aca="false">AU202-AV202</f>
        <v>0</v>
      </c>
      <c r="AW205" s="69" t="n">
        <f aca="false">AV202-AW202</f>
        <v>0</v>
      </c>
      <c r="AX205" s="69" t="n">
        <f aca="false">AW202-AX202</f>
        <v>0</v>
      </c>
      <c r="AY205" s="69" t="n">
        <f aca="false">AX202-AY202</f>
        <v>-1126.80280090692</v>
      </c>
      <c r="AZ205" s="69" t="n">
        <f aca="false">AY202-AZ202</f>
        <v>0</v>
      </c>
      <c r="BA205" s="69" t="n">
        <f aca="false">AZ202-BA202</f>
        <v>0</v>
      </c>
      <c r="BB205" s="69" t="n">
        <f aca="false">BA202-BB202</f>
        <v>0</v>
      </c>
      <c r="BC205" s="69" t="n">
        <f aca="false">BB202-BC202</f>
        <v>0</v>
      </c>
      <c r="BD205" s="69" t="n">
        <f aca="false">BC202-BD202</f>
        <v>0</v>
      </c>
      <c r="BE205" s="69" t="n">
        <f aca="false">BD202-BE202</f>
        <v>0</v>
      </c>
      <c r="BF205" s="69" t="n">
        <f aca="false">BE202-BF202</f>
        <v>0</v>
      </c>
      <c r="BG205" s="69" t="n">
        <f aca="false">BF202-BG202</f>
        <v>0</v>
      </c>
      <c r="BH205" s="69" t="n">
        <f aca="false">BG202-BH202</f>
        <v>0</v>
      </c>
      <c r="BI205" s="69" t="n">
        <f aca="false">BH202-BI202</f>
        <v>0</v>
      </c>
      <c r="BJ205" s="69" t="n">
        <f aca="false">BI202-BJ202</f>
        <v>0</v>
      </c>
    </row>
    <row r="206" customFormat="false" ht="15" hidden="false" customHeight="false" outlineLevel="0" collapsed="false">
      <c r="A206" s="6" t="s">
        <v>342</v>
      </c>
      <c r="C206" s="69" t="n">
        <f aca="false">C203</f>
        <v>44898.9583333333</v>
      </c>
      <c r="D206" s="69" t="n">
        <f aca="false">D203-C203</f>
        <v>1719.140625</v>
      </c>
      <c r="E206" s="69" t="n">
        <f aca="false">E203-D203</f>
        <v>1719.140625</v>
      </c>
      <c r="F206" s="69" t="n">
        <f aca="false">F203-E203</f>
        <v>1719.140625</v>
      </c>
      <c r="G206" s="69" t="n">
        <f aca="false">G203-F203</f>
        <v>1719.140625</v>
      </c>
      <c r="H206" s="69" t="n">
        <f aca="false">H203-G203</f>
        <v>1719.140625</v>
      </c>
      <c r="I206" s="69" t="n">
        <f aca="false">I203-H203</f>
        <v>1719.140625</v>
      </c>
      <c r="J206" s="69" t="n">
        <f aca="false">J203-I203</f>
        <v>1719.140625</v>
      </c>
      <c r="K206" s="69" t="n">
        <f aca="false">K203-J203</f>
        <v>1719.140625</v>
      </c>
      <c r="L206" s="69" t="n">
        <f aca="false">L203-K203</f>
        <v>1719.14062500001</v>
      </c>
      <c r="M206" s="69" t="n">
        <f aca="false">M203-L203</f>
        <v>1719.14062499999</v>
      </c>
      <c r="N206" s="69" t="n">
        <f aca="false">N203-M203</f>
        <v>1719.140625</v>
      </c>
      <c r="O206" s="69" t="n">
        <f aca="false">O203-N203</f>
        <v>4747.42890625</v>
      </c>
      <c r="P206" s="69" t="n">
        <f aca="false">P203-O203</f>
        <v>0</v>
      </c>
      <c r="Q206" s="69" t="n">
        <f aca="false">Q203-P203</f>
        <v>0</v>
      </c>
      <c r="R206" s="69" t="n">
        <f aca="false">R203-Q203</f>
        <v>0</v>
      </c>
      <c r="S206" s="69" t="n">
        <f aca="false">S203-R203</f>
        <v>0</v>
      </c>
      <c r="T206" s="69" t="n">
        <f aca="false">T203-S203</f>
        <v>0</v>
      </c>
      <c r="U206" s="69" t="n">
        <f aca="false">U203-T203</f>
        <v>0</v>
      </c>
      <c r="V206" s="69" t="n">
        <f aca="false">V203-U203</f>
        <v>0</v>
      </c>
      <c r="W206" s="69" t="n">
        <f aca="false">W203-V203</f>
        <v>0</v>
      </c>
      <c r="X206" s="69" t="n">
        <f aca="false">X203-W203</f>
        <v>0</v>
      </c>
      <c r="Y206" s="69" t="n">
        <f aca="false">Y203-X203</f>
        <v>0</v>
      </c>
      <c r="Z206" s="69" t="n">
        <f aca="false">Z203-Y203</f>
        <v>0</v>
      </c>
      <c r="AA206" s="69" t="n">
        <f aca="false">AA203-Z203</f>
        <v>3183.83885007813</v>
      </c>
      <c r="AB206" s="69" t="n">
        <f aca="false">AB203-AA203</f>
        <v>0</v>
      </c>
      <c r="AC206" s="69" t="n">
        <f aca="false">AC203-AB203</f>
        <v>0</v>
      </c>
      <c r="AD206" s="69" t="n">
        <f aca="false">AD203-AC203</f>
        <v>0</v>
      </c>
      <c r="AE206" s="69" t="n">
        <f aca="false">AE203-AD203</f>
        <v>0</v>
      </c>
      <c r="AF206" s="69" t="n">
        <f aca="false">AF203-AE203</f>
        <v>0</v>
      </c>
      <c r="AG206" s="69" t="n">
        <f aca="false">AG203-AF203</f>
        <v>0</v>
      </c>
      <c r="AH206" s="69" t="n">
        <f aca="false">AH203-AG203</f>
        <v>0</v>
      </c>
      <c r="AI206" s="69" t="n">
        <f aca="false">AI203-AH203</f>
        <v>0</v>
      </c>
      <c r="AJ206" s="69" t="n">
        <f aca="false">AJ203-AI203</f>
        <v>0</v>
      </c>
      <c r="AK206" s="69" t="n">
        <f aca="false">AK203-AJ203</f>
        <v>0</v>
      </c>
      <c r="AL206" s="69" t="n">
        <f aca="false">AL203-AK203</f>
        <v>0</v>
      </c>
      <c r="AM206" s="69" t="n">
        <f aca="false">AM203-AL203</f>
        <v>3347.99628292289</v>
      </c>
      <c r="AN206" s="69" t="n">
        <f aca="false">AN203-AM203</f>
        <v>0</v>
      </c>
      <c r="AO206" s="69" t="n">
        <f aca="false">AO203-AN203</f>
        <v>0</v>
      </c>
      <c r="AP206" s="69" t="n">
        <f aca="false">AP203-AO203</f>
        <v>0</v>
      </c>
      <c r="AQ206" s="69" t="n">
        <f aca="false">AQ203-AP203</f>
        <v>0</v>
      </c>
      <c r="AR206" s="69" t="n">
        <f aca="false">AR203-AQ203</f>
        <v>0</v>
      </c>
      <c r="AS206" s="69" t="n">
        <f aca="false">AS203-AR203</f>
        <v>0</v>
      </c>
      <c r="AT206" s="69" t="n">
        <f aca="false">AT203-AS203</f>
        <v>0</v>
      </c>
      <c r="AU206" s="69" t="n">
        <f aca="false">AU203-AT203</f>
        <v>0</v>
      </c>
      <c r="AV206" s="69" t="n">
        <f aca="false">AV203-AU203</f>
        <v>0</v>
      </c>
      <c r="AW206" s="69" t="n">
        <f aca="false">AW203-AV203</f>
        <v>0</v>
      </c>
      <c r="AX206" s="69" t="n">
        <f aca="false">AX203-AW203</f>
        <v>0</v>
      </c>
      <c r="AY206" s="69" t="n">
        <f aca="false">AY203-AX203</f>
        <v>3521.25875283415</v>
      </c>
      <c r="AZ206" s="69" t="n">
        <f aca="false">AZ203-AY203</f>
        <v>0</v>
      </c>
      <c r="BA206" s="69" t="n">
        <f aca="false">BA203-AZ203</f>
        <v>0</v>
      </c>
      <c r="BB206" s="69" t="n">
        <f aca="false">BB203-BA203</f>
        <v>0</v>
      </c>
      <c r="BC206" s="69" t="n">
        <f aca="false">BC203-BB203</f>
        <v>0</v>
      </c>
      <c r="BD206" s="69" t="n">
        <f aca="false">BD203-BC203</f>
        <v>0</v>
      </c>
      <c r="BE206" s="69" t="n">
        <f aca="false">BE203-BD203</f>
        <v>0</v>
      </c>
      <c r="BF206" s="69" t="n">
        <f aca="false">BF203-BE203</f>
        <v>0</v>
      </c>
      <c r="BG206" s="69" t="n">
        <f aca="false">BG203-BF203</f>
        <v>0</v>
      </c>
      <c r="BH206" s="69" t="n">
        <f aca="false">BH203-BG203</f>
        <v>0</v>
      </c>
      <c r="BI206" s="69" t="n">
        <f aca="false">BI203-BH203</f>
        <v>0</v>
      </c>
      <c r="BJ206" s="69" t="n">
        <f aca="false">BJ203-BI203</f>
        <v>0</v>
      </c>
    </row>
    <row r="208" customFormat="false" ht="15.75" hidden="false" customHeight="true" outlineLevel="0" collapsed="false">
      <c r="A208" s="7" t="s">
        <v>441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customFormat="false" ht="15" hidden="false" customHeight="false" outlineLevel="0" collapsed="false">
      <c r="A209" s="4" t="s">
        <v>52</v>
      </c>
      <c r="C209" s="75" t="n">
        <f aca="false">C179-C190+C204+C205+C206</f>
        <v>-27131</v>
      </c>
      <c r="D209" s="75" t="n">
        <f aca="false">D179-D190+D204+D205+D206</f>
        <v>-45511.255952381</v>
      </c>
      <c r="E209" s="75" t="n">
        <f aca="false">E179-E190+E204+E205+E206</f>
        <v>-39981.3563988095</v>
      </c>
      <c r="F209" s="75" t="n">
        <f aca="false">F179-F190+F204+F205+F206</f>
        <v>-34451.4568452381</v>
      </c>
      <c r="G209" s="75" t="n">
        <f aca="false">G179-G190+G204+G205+G206</f>
        <v>-28921.5572916667</v>
      </c>
      <c r="H209" s="75" t="n">
        <f aca="false">H179-H190+H204+H205+H206</f>
        <v>-23391.6577380953</v>
      </c>
      <c r="I209" s="75" t="n">
        <f aca="false">I179-I190+I204+I205+I206</f>
        <v>-17861.7581845238</v>
      </c>
      <c r="J209" s="75" t="n">
        <f aca="false">J179-J190+J204+J205+J206</f>
        <v>-12331.8586309524</v>
      </c>
      <c r="K209" s="75" t="n">
        <f aca="false">K179-K190+K204+K205+K206</f>
        <v>-6801.95907738096</v>
      </c>
      <c r="L209" s="75" t="n">
        <f aca="false">L179-L190+L204+L205+L206</f>
        <v>-1272.05952380951</v>
      </c>
      <c r="M209" s="75" t="n">
        <f aca="false">M179-M190+M204+M205+M206</f>
        <v>4257.84002976187</v>
      </c>
      <c r="N209" s="75" t="n">
        <f aca="false">N179-N190+N204+N205+N206</f>
        <v>9787.73958333333</v>
      </c>
      <c r="O209" s="75" t="n">
        <f aca="false">O179-O190+O204+O205+O206</f>
        <v>21936.3693869048</v>
      </c>
      <c r="P209" s="75" t="n">
        <f aca="false">P179-P190+P204+P205+P206</f>
        <v>20461.5188467262</v>
      </c>
      <c r="Q209" s="75" t="n">
        <f aca="false">Q179-Q190+Q204+Q205+Q206</f>
        <v>20483.8402752976</v>
      </c>
      <c r="R209" s="75" t="n">
        <f aca="false">R179-R190+R204+R205+R206</f>
        <v>20506.161703869</v>
      </c>
      <c r="S209" s="75" t="n">
        <f aca="false">S179-S190+S204+S205+S206</f>
        <v>20528.4831324405</v>
      </c>
      <c r="T209" s="75" t="n">
        <f aca="false">T179-T190+T204+T205+T206</f>
        <v>20550.8045610119</v>
      </c>
      <c r="U209" s="75" t="n">
        <f aca="false">U179-U190+U204+U205+U206</f>
        <v>20573.1259895833</v>
      </c>
      <c r="V209" s="75" t="n">
        <f aca="false">V179-V190+V204+V205+V206</f>
        <v>20595.4474181548</v>
      </c>
      <c r="W209" s="75" t="n">
        <f aca="false">W179-W190+W204+W205+W206</f>
        <v>20617.7688467262</v>
      </c>
      <c r="X209" s="75" t="n">
        <f aca="false">X179-X190+X204+X205+X206</f>
        <v>20640.0902752976</v>
      </c>
      <c r="Y209" s="75" t="n">
        <f aca="false">Y179-Y190+Y204+Y205+Y206</f>
        <v>20662.411703869</v>
      </c>
      <c r="Z209" s="75" t="n">
        <f aca="false">Z179-Z190+Z204+Z205+Z206</f>
        <v>20684.7331324405</v>
      </c>
      <c r="AA209" s="75" t="n">
        <f aca="false">AA179-AA190+AA204+AA205+AA206</f>
        <v>27424.2544582369</v>
      </c>
      <c r="AB209" s="75" t="n">
        <f aca="false">AB179-AB190+AB204+AB205+AB206</f>
        <v>26290.0686123489</v>
      </c>
      <c r="AC209" s="75" t="n">
        <f aca="false">AC179-AC190+AC204+AC205+AC206</f>
        <v>26312.3900409204</v>
      </c>
      <c r="AD209" s="75" t="n">
        <f aca="false">AD179-AD190+AD204+AD205+AD206</f>
        <v>26334.7114694918</v>
      </c>
      <c r="AE209" s="75" t="n">
        <f aca="false">AE179-AE190+AE204+AE205+AE206</f>
        <v>25064.5942988469</v>
      </c>
      <c r="AF209" s="75" t="n">
        <f aca="false">AF179-AF190+AF204+AF205+AF206</f>
        <v>21762.8149180414</v>
      </c>
      <c r="AG209" s="75" t="n">
        <f aca="false">AG179-AG190+AG204+AG205+AG206</f>
        <v>21780.4488466128</v>
      </c>
      <c r="AH209" s="75" t="n">
        <f aca="false">AH179-AH190+AH204+AH205+AH206</f>
        <v>21798.0827751842</v>
      </c>
      <c r="AI209" s="75" t="n">
        <f aca="false">AI179-AI190+AI204+AI205+AI206</f>
        <v>21815.7167037557</v>
      </c>
      <c r="AJ209" s="75" t="n">
        <f aca="false">AJ179-AJ190+AJ204+AJ205+AJ206</f>
        <v>21833.3506323271</v>
      </c>
      <c r="AK209" s="75" t="n">
        <f aca="false">AK179-AK190+AK204+AK205+AK206</f>
        <v>21850.9845608985</v>
      </c>
      <c r="AL209" s="75" t="n">
        <f aca="false">AL179-AL190+AL204+AL205+AL206</f>
        <v>21868.6184894699</v>
      </c>
      <c r="AM209" s="75" t="n">
        <f aca="false">AM179-AM190+AM204+AM205+AM206</f>
        <v>27631.6777544053</v>
      </c>
      <c r="AN209" s="75" t="n">
        <f aca="false">AN179-AN190+AN204+AN205+AN206</f>
        <v>26442.5951956278</v>
      </c>
      <c r="AO209" s="75" t="n">
        <f aca="false">AO179-AO190+AO204+AO205+AO206</f>
        <v>26460.2291241992</v>
      </c>
      <c r="AP209" s="75" t="n">
        <f aca="false">AP179-AP190+AP204+AP205+AP206</f>
        <v>26477.8630527707</v>
      </c>
      <c r="AQ209" s="75" t="n">
        <f aca="false">AQ179-AQ190+AQ204+AQ205+AQ206</f>
        <v>26495.4969813421</v>
      </c>
      <c r="AR209" s="75" t="n">
        <f aca="false">AR179-AR190+AR204+AR205+AR206</f>
        <v>26513.1309099135</v>
      </c>
      <c r="AS209" s="75" t="n">
        <f aca="false">AS179-AS190+AS204+AS205+AS206</f>
        <v>26530.7648384849</v>
      </c>
      <c r="AT209" s="75" t="n">
        <f aca="false">AT179-AT190+AT204+AT205+AT206</f>
        <v>26548.3987670564</v>
      </c>
      <c r="AU209" s="75" t="n">
        <f aca="false">AU179-AU190+AU204+AU205+AU206</f>
        <v>26566.0326956278</v>
      </c>
      <c r="AV209" s="75" t="n">
        <f aca="false">AV179-AV190+AV204+AV205+AV206</f>
        <v>26583.6666241992</v>
      </c>
      <c r="AW209" s="75" t="n">
        <f aca="false">AW179-AW190+AW204+AW205+AW206</f>
        <v>26601.3005527707</v>
      </c>
      <c r="AX209" s="75" t="n">
        <f aca="false">AX179-AX190+AX204+AX205+AX206</f>
        <v>26618.9344813421</v>
      </c>
      <c r="AY209" s="75" t="n">
        <f aca="false">AY179-AY190+AY204+AY205+AY206</f>
        <v>32591.0068554172</v>
      </c>
      <c r="AZ209" s="75" t="n">
        <f aca="false">AZ179-AZ190+AZ204+AZ205+AZ206</f>
        <v>31349.2640050889</v>
      </c>
      <c r="BA209" s="75" t="n">
        <f aca="false">BA179-BA190+BA204+BA205+BA206</f>
        <v>31366.8979336603</v>
      </c>
      <c r="BB209" s="75" t="n">
        <f aca="false">BB179-BB190+BB204+BB205+BB206</f>
        <v>31384.5318622317</v>
      </c>
      <c r="BC209" s="75" t="n">
        <f aca="false">BC179-BC190+BC204+BC205+BC206</f>
        <v>31402.1657908032</v>
      </c>
      <c r="BD209" s="75" t="n">
        <f aca="false">BD179-BD190+BD204+BD205+BD206</f>
        <v>31419.7997193746</v>
      </c>
      <c r="BE209" s="75" t="n">
        <f aca="false">BE179-BE190+BE204+BE205+BE206</f>
        <v>31437.433647946</v>
      </c>
      <c r="BF209" s="75" t="n">
        <f aca="false">BF179-BF190+BF204+BF205+BF206</f>
        <v>31455.0675765174</v>
      </c>
      <c r="BG209" s="75" t="n">
        <f aca="false">BG179-BG190+BG204+BG205+BG206</f>
        <v>31472.7015050889</v>
      </c>
      <c r="BH209" s="75" t="n">
        <f aca="false">BH179-BH190+BH204+BH205+BH206</f>
        <v>31490.3354336603</v>
      </c>
      <c r="BI209" s="75" t="n">
        <f aca="false">BI179-BI190+BI204+BI205+BI206</f>
        <v>31507.9693622317</v>
      </c>
      <c r="BJ209" s="75" t="n">
        <f aca="false">BJ179-BJ190+BJ204+BJ205+BJ206</f>
        <v>31525.6032908032</v>
      </c>
    </row>
    <row r="210" customFormat="false" ht="15" hidden="false" customHeight="false" outlineLevel="0" collapsed="false">
      <c r="A210" s="6" t="s">
        <v>442</v>
      </c>
      <c r="C210" s="69" t="n">
        <f aca="false">-C187</f>
        <v>-382000</v>
      </c>
      <c r="D210" s="69" t="n">
        <f aca="false">-D187</f>
        <v>-0</v>
      </c>
      <c r="E210" s="69" t="n">
        <f aca="false">-E187</f>
        <v>-0</v>
      </c>
      <c r="F210" s="69" t="n">
        <f aca="false">-F187</f>
        <v>-0</v>
      </c>
      <c r="G210" s="69" t="n">
        <f aca="false">-G187</f>
        <v>-0</v>
      </c>
      <c r="H210" s="69" t="n">
        <f aca="false">-H187</f>
        <v>-0</v>
      </c>
      <c r="I210" s="69" t="n">
        <f aca="false">-I187</f>
        <v>-0</v>
      </c>
      <c r="J210" s="69" t="n">
        <f aca="false">-J187</f>
        <v>-0</v>
      </c>
      <c r="K210" s="69" t="n">
        <f aca="false">-K187</f>
        <v>-0</v>
      </c>
      <c r="L210" s="69" t="n">
        <f aca="false">-L187</f>
        <v>-0</v>
      </c>
      <c r="M210" s="69" t="n">
        <f aca="false">-M187</f>
        <v>-0</v>
      </c>
      <c r="N210" s="69" t="n">
        <f aca="false">-N187</f>
        <v>-0</v>
      </c>
      <c r="O210" s="69" t="n">
        <f aca="false">-O187</f>
        <v>-20000</v>
      </c>
      <c r="P210" s="69" t="n">
        <f aca="false">-P187</f>
        <v>-0</v>
      </c>
      <c r="Q210" s="69" t="n">
        <f aca="false">-Q187</f>
        <v>-0</v>
      </c>
      <c r="R210" s="69" t="n">
        <f aca="false">-R187</f>
        <v>-0</v>
      </c>
      <c r="S210" s="69" t="n">
        <f aca="false">-S187</f>
        <v>-0</v>
      </c>
      <c r="T210" s="69" t="n">
        <f aca="false">-T187</f>
        <v>-0</v>
      </c>
      <c r="U210" s="69" t="n">
        <f aca="false">-U187</f>
        <v>-0</v>
      </c>
      <c r="V210" s="69" t="n">
        <f aca="false">-V187</f>
        <v>-0</v>
      </c>
      <c r="W210" s="69" t="n">
        <f aca="false">-W187</f>
        <v>-0</v>
      </c>
      <c r="X210" s="69" t="n">
        <f aca="false">-X187</f>
        <v>-0</v>
      </c>
      <c r="Y210" s="69" t="n">
        <f aca="false">-Y187</f>
        <v>-0</v>
      </c>
      <c r="Z210" s="69" t="n">
        <f aca="false">-Z187</f>
        <v>-0</v>
      </c>
      <c r="AA210" s="69" t="n">
        <f aca="false">-AA187</f>
        <v>-20000</v>
      </c>
      <c r="AB210" s="69" t="n">
        <f aca="false">-AB187</f>
        <v>-0</v>
      </c>
      <c r="AC210" s="69" t="n">
        <f aca="false">-AC187</f>
        <v>-0</v>
      </c>
      <c r="AD210" s="69" t="n">
        <f aca="false">-AD187</f>
        <v>-0</v>
      </c>
      <c r="AE210" s="69" t="n">
        <f aca="false">-AE187</f>
        <v>-0</v>
      </c>
      <c r="AF210" s="69" t="n">
        <f aca="false">-AF187</f>
        <v>-0</v>
      </c>
      <c r="AG210" s="69" t="n">
        <f aca="false">-AG187</f>
        <v>-0</v>
      </c>
      <c r="AH210" s="69" t="n">
        <f aca="false">-AH187</f>
        <v>-0</v>
      </c>
      <c r="AI210" s="69" t="n">
        <f aca="false">-AI187</f>
        <v>-0</v>
      </c>
      <c r="AJ210" s="69" t="n">
        <f aca="false">-AJ187</f>
        <v>-0</v>
      </c>
      <c r="AK210" s="69" t="n">
        <f aca="false">-AK187</f>
        <v>-0</v>
      </c>
      <c r="AL210" s="69" t="n">
        <f aca="false">-AL187</f>
        <v>-0</v>
      </c>
      <c r="AM210" s="69" t="n">
        <f aca="false">-AM187</f>
        <v>-20000</v>
      </c>
      <c r="AN210" s="69" t="n">
        <f aca="false">-AN187</f>
        <v>-0</v>
      </c>
      <c r="AO210" s="69" t="n">
        <f aca="false">-AO187</f>
        <v>-0</v>
      </c>
      <c r="AP210" s="69" t="n">
        <f aca="false">-AP187</f>
        <v>-0</v>
      </c>
      <c r="AQ210" s="69" t="n">
        <f aca="false">-AQ187</f>
        <v>-0</v>
      </c>
      <c r="AR210" s="69" t="n">
        <f aca="false">-AR187</f>
        <v>-0</v>
      </c>
      <c r="AS210" s="69" t="n">
        <f aca="false">-AS187</f>
        <v>-0</v>
      </c>
      <c r="AT210" s="69" t="n">
        <f aca="false">-AT187</f>
        <v>-0</v>
      </c>
      <c r="AU210" s="69" t="n">
        <f aca="false">-AU187</f>
        <v>-0</v>
      </c>
      <c r="AV210" s="69" t="n">
        <f aca="false">-AV187</f>
        <v>-0</v>
      </c>
      <c r="AW210" s="69" t="n">
        <f aca="false">-AW187</f>
        <v>-0</v>
      </c>
      <c r="AX210" s="69" t="n">
        <f aca="false">-AX187</f>
        <v>-0</v>
      </c>
      <c r="AY210" s="69" t="n">
        <f aca="false">-AY187</f>
        <v>-20000</v>
      </c>
      <c r="AZ210" s="69" t="n">
        <f aca="false">-AZ187</f>
        <v>-0</v>
      </c>
      <c r="BA210" s="69" t="n">
        <f aca="false">-BA187</f>
        <v>-0</v>
      </c>
      <c r="BB210" s="69" t="n">
        <f aca="false">-BB187</f>
        <v>-0</v>
      </c>
      <c r="BC210" s="69" t="n">
        <f aca="false">-BC187</f>
        <v>-0</v>
      </c>
      <c r="BD210" s="69" t="n">
        <f aca="false">-BD187</f>
        <v>-0</v>
      </c>
      <c r="BE210" s="69" t="n">
        <f aca="false">-BE187</f>
        <v>-0</v>
      </c>
      <c r="BF210" s="69" t="n">
        <f aca="false">-BF187</f>
        <v>-0</v>
      </c>
      <c r="BG210" s="69" t="n">
        <f aca="false">-BG187</f>
        <v>-0</v>
      </c>
      <c r="BH210" s="69" t="n">
        <f aca="false">-BH187</f>
        <v>-0</v>
      </c>
      <c r="BI210" s="69" t="n">
        <f aca="false">-BI187</f>
        <v>-0</v>
      </c>
      <c r="BJ210" s="69" t="n">
        <f aca="false">-BJ187</f>
        <v>-0</v>
      </c>
    </row>
    <row r="211" customFormat="false" ht="15" hidden="false" customHeight="false" outlineLevel="0" collapsed="false">
      <c r="A211" s="6" t="s">
        <v>64</v>
      </c>
      <c r="C211" s="69" t="n">
        <f aca="false">IF(C$128=1,Inputs!$C$67,0)</f>
        <v>480000</v>
      </c>
      <c r="D211" s="69" t="n">
        <f aca="false">IF(D$128=1,Inputs!$C$67,0)</f>
        <v>0</v>
      </c>
      <c r="E211" s="69" t="n">
        <f aca="false">IF(E$128=1,Inputs!$C$67,0)</f>
        <v>0</v>
      </c>
      <c r="F211" s="69" t="n">
        <f aca="false">IF(F$128=1,Inputs!$C$67,0)</f>
        <v>0</v>
      </c>
      <c r="G211" s="69" t="n">
        <f aca="false">IF(G$128=1,Inputs!$C$67,0)</f>
        <v>0</v>
      </c>
      <c r="H211" s="69" t="n">
        <f aca="false">IF(H$128=1,Inputs!$C$67,0)</f>
        <v>0</v>
      </c>
      <c r="I211" s="69" t="n">
        <f aca="false">IF(I$128=1,Inputs!$C$67,0)</f>
        <v>0</v>
      </c>
      <c r="J211" s="69" t="n">
        <f aca="false">IF(J$128=1,Inputs!$C$67,0)</f>
        <v>0</v>
      </c>
      <c r="K211" s="69" t="n">
        <f aca="false">IF(K$128=1,Inputs!$C$67,0)</f>
        <v>0</v>
      </c>
      <c r="L211" s="69" t="n">
        <f aca="false">IF(L$128=1,Inputs!$C$67,0)</f>
        <v>0</v>
      </c>
      <c r="M211" s="69" t="n">
        <f aca="false">IF(M$128=1,Inputs!$C$67,0)</f>
        <v>0</v>
      </c>
      <c r="N211" s="69" t="n">
        <f aca="false">IF(N$128=1,Inputs!$C$67,0)</f>
        <v>0</v>
      </c>
      <c r="O211" s="69" t="n">
        <f aca="false">IF(O$128=1,Inputs!$C$67,0)</f>
        <v>0</v>
      </c>
      <c r="P211" s="69" t="n">
        <f aca="false">IF(P$128=1,Inputs!$C$67,0)</f>
        <v>0</v>
      </c>
      <c r="Q211" s="69" t="n">
        <f aca="false">IF(Q$128=1,Inputs!$C$67,0)</f>
        <v>0</v>
      </c>
      <c r="R211" s="69" t="n">
        <f aca="false">IF(R$128=1,Inputs!$C$67,0)</f>
        <v>0</v>
      </c>
      <c r="S211" s="69" t="n">
        <f aca="false">IF(S$128=1,Inputs!$C$67,0)</f>
        <v>0</v>
      </c>
      <c r="T211" s="69" t="n">
        <f aca="false">IF(T$128=1,Inputs!$C$67,0)</f>
        <v>0</v>
      </c>
      <c r="U211" s="69" t="n">
        <f aca="false">IF(U$128=1,Inputs!$C$67,0)</f>
        <v>0</v>
      </c>
      <c r="V211" s="69" t="n">
        <f aca="false">IF(V$128=1,Inputs!$C$67,0)</f>
        <v>0</v>
      </c>
      <c r="W211" s="69" t="n">
        <f aca="false">IF(W$128=1,Inputs!$C$67,0)</f>
        <v>0</v>
      </c>
      <c r="X211" s="69" t="n">
        <f aca="false">IF(X$128=1,Inputs!$C$67,0)</f>
        <v>0</v>
      </c>
      <c r="Y211" s="69" t="n">
        <f aca="false">IF(Y$128=1,Inputs!$C$67,0)</f>
        <v>0</v>
      </c>
      <c r="Z211" s="69" t="n">
        <f aca="false">IF(Z$128=1,Inputs!$C$67,0)</f>
        <v>0</v>
      </c>
      <c r="AA211" s="69" t="n">
        <f aca="false">IF(AA$128=1,Inputs!$C$67,0)</f>
        <v>0</v>
      </c>
      <c r="AB211" s="69" t="n">
        <f aca="false">IF(AB$128=1,Inputs!$C$67,0)</f>
        <v>0</v>
      </c>
      <c r="AC211" s="69" t="n">
        <f aca="false">IF(AC$128=1,Inputs!$C$67,0)</f>
        <v>0</v>
      </c>
      <c r="AD211" s="69" t="n">
        <f aca="false">IF(AD$128=1,Inputs!$C$67,0)</f>
        <v>0</v>
      </c>
      <c r="AE211" s="69" t="n">
        <f aca="false">IF(AE$128=1,Inputs!$C$67,0)</f>
        <v>0</v>
      </c>
      <c r="AF211" s="69" t="n">
        <f aca="false">IF(AF$128=1,Inputs!$C$67,0)</f>
        <v>0</v>
      </c>
      <c r="AG211" s="69" t="n">
        <f aca="false">IF(AG$128=1,Inputs!$C$67,0)</f>
        <v>0</v>
      </c>
      <c r="AH211" s="69" t="n">
        <f aca="false">IF(AH$128=1,Inputs!$C$67,0)</f>
        <v>0</v>
      </c>
      <c r="AI211" s="69" t="n">
        <f aca="false">IF(AI$128=1,Inputs!$C$67,0)</f>
        <v>0</v>
      </c>
      <c r="AJ211" s="69" t="n">
        <f aca="false">IF(AJ$128=1,Inputs!$C$67,0)</f>
        <v>0</v>
      </c>
      <c r="AK211" s="69" t="n">
        <f aca="false">IF(AK$128=1,Inputs!$C$67,0)</f>
        <v>0</v>
      </c>
      <c r="AL211" s="69" t="n">
        <f aca="false">IF(AL$128=1,Inputs!$C$67,0)</f>
        <v>0</v>
      </c>
      <c r="AM211" s="69" t="n">
        <f aca="false">IF(AM$128=1,Inputs!$C$67,0)</f>
        <v>0</v>
      </c>
      <c r="AN211" s="69" t="n">
        <f aca="false">IF(AN$128=1,Inputs!$C$67,0)</f>
        <v>0</v>
      </c>
      <c r="AO211" s="69" t="n">
        <f aca="false">IF(AO$128=1,Inputs!$C$67,0)</f>
        <v>0</v>
      </c>
      <c r="AP211" s="69" t="n">
        <f aca="false">IF(AP$128=1,Inputs!$C$67,0)</f>
        <v>0</v>
      </c>
      <c r="AQ211" s="69" t="n">
        <f aca="false">IF(AQ$128=1,Inputs!$C$67,0)</f>
        <v>0</v>
      </c>
      <c r="AR211" s="69" t="n">
        <f aca="false">IF(AR$128=1,Inputs!$C$67,0)</f>
        <v>0</v>
      </c>
      <c r="AS211" s="69" t="n">
        <f aca="false">IF(AS$128=1,Inputs!$C$67,0)</f>
        <v>0</v>
      </c>
      <c r="AT211" s="69" t="n">
        <f aca="false">IF(AT$128=1,Inputs!$C$67,0)</f>
        <v>0</v>
      </c>
      <c r="AU211" s="69" t="n">
        <f aca="false">IF(AU$128=1,Inputs!$C$67,0)</f>
        <v>0</v>
      </c>
      <c r="AV211" s="69" t="n">
        <f aca="false">IF(AV$128=1,Inputs!$C$67,0)</f>
        <v>0</v>
      </c>
      <c r="AW211" s="69" t="n">
        <f aca="false">IF(AW$128=1,Inputs!$C$67,0)</f>
        <v>0</v>
      </c>
      <c r="AX211" s="69" t="n">
        <f aca="false">IF(AX$128=1,Inputs!$C$67,0)</f>
        <v>0</v>
      </c>
      <c r="AY211" s="69" t="n">
        <f aca="false">IF(AY$128=1,Inputs!$C$67,0)</f>
        <v>0</v>
      </c>
      <c r="AZ211" s="69" t="n">
        <f aca="false">IF(AZ$128=1,Inputs!$C$67,0)</f>
        <v>0</v>
      </c>
      <c r="BA211" s="69" t="n">
        <f aca="false">IF(BA$128=1,Inputs!$C$67,0)</f>
        <v>0</v>
      </c>
      <c r="BB211" s="69" t="n">
        <f aca="false">IF(BB$128=1,Inputs!$C$67,0)</f>
        <v>0</v>
      </c>
      <c r="BC211" s="69" t="n">
        <f aca="false">IF(BC$128=1,Inputs!$C$67,0)</f>
        <v>0</v>
      </c>
      <c r="BD211" s="69" t="n">
        <f aca="false">IF(BD$128=1,Inputs!$C$67,0)</f>
        <v>0</v>
      </c>
      <c r="BE211" s="69" t="n">
        <f aca="false">IF(BE$128=1,Inputs!$C$67,0)</f>
        <v>0</v>
      </c>
      <c r="BF211" s="69" t="n">
        <f aca="false">IF(BF$128=1,Inputs!$C$67,0)</f>
        <v>0</v>
      </c>
      <c r="BG211" s="69" t="n">
        <f aca="false">IF(BG$128=1,Inputs!$C$67,0)</f>
        <v>0</v>
      </c>
      <c r="BH211" s="69" t="n">
        <f aca="false">IF(BH$128=1,Inputs!$C$67,0)</f>
        <v>0</v>
      </c>
      <c r="BI211" s="69" t="n">
        <f aca="false">IF(BI$128=1,Inputs!$C$67,0)</f>
        <v>0</v>
      </c>
      <c r="BJ211" s="69" t="n">
        <f aca="false">IF(BJ$128=1,Inputs!$C$67,0)</f>
        <v>0</v>
      </c>
    </row>
    <row r="212" customFormat="false" ht="15" hidden="false" customHeight="false" outlineLevel="0" collapsed="false">
      <c r="A212" s="6" t="s">
        <v>54</v>
      </c>
      <c r="C212" s="69" t="n">
        <f aca="false">C211+C196+C197</f>
        <v>730000</v>
      </c>
      <c r="D212" s="69" t="n">
        <f aca="false">D211+D196+D197</f>
        <v>-2976.19047619048</v>
      </c>
      <c r="E212" s="69" t="n">
        <f aca="false">E211+E196+E197</f>
        <v>-2976.19047619048</v>
      </c>
      <c r="F212" s="69" t="n">
        <f aca="false">F211+F196+F197</f>
        <v>-2976.19047619048</v>
      </c>
      <c r="G212" s="69" t="n">
        <f aca="false">G211+G196+G197</f>
        <v>-2976.19047619048</v>
      </c>
      <c r="H212" s="69" t="n">
        <f aca="false">H211+H196+H197</f>
        <v>-2976.19047619048</v>
      </c>
      <c r="I212" s="69" t="n">
        <f aca="false">I211+I196+I197</f>
        <v>-2976.19047619048</v>
      </c>
      <c r="J212" s="69" t="n">
        <f aca="false">J211+J196+J197</f>
        <v>-2976.19047619048</v>
      </c>
      <c r="K212" s="69" t="n">
        <f aca="false">K211+K196+K197</f>
        <v>-2976.19047619048</v>
      </c>
      <c r="L212" s="69" t="n">
        <f aca="false">L211+L196+L197</f>
        <v>-2976.19047619048</v>
      </c>
      <c r="M212" s="69" t="n">
        <f aca="false">M211+M196+M197</f>
        <v>-2976.19047619048</v>
      </c>
      <c r="N212" s="69" t="n">
        <f aca="false">N211+N196+N197</f>
        <v>-2976.19047619048</v>
      </c>
      <c r="O212" s="69" t="n">
        <f aca="false">O211+O196+O197</f>
        <v>-2976.19047619048</v>
      </c>
      <c r="P212" s="69" t="n">
        <f aca="false">P211+P196+P197</f>
        <v>-2976.19047619048</v>
      </c>
      <c r="Q212" s="69" t="n">
        <f aca="false">Q211+Q196+Q197</f>
        <v>-2976.19047619048</v>
      </c>
      <c r="R212" s="69" t="n">
        <f aca="false">R211+R196+R197</f>
        <v>-2976.19047619048</v>
      </c>
      <c r="S212" s="69" t="n">
        <f aca="false">S211+S196+S197</f>
        <v>-2976.19047619048</v>
      </c>
      <c r="T212" s="69" t="n">
        <f aca="false">T211+T196+T197</f>
        <v>-2976.19047619048</v>
      </c>
      <c r="U212" s="69" t="n">
        <f aca="false">U211+U196+U197</f>
        <v>-2976.19047619048</v>
      </c>
      <c r="V212" s="69" t="n">
        <f aca="false">V211+V196+V197</f>
        <v>-2976.19047619048</v>
      </c>
      <c r="W212" s="69" t="n">
        <f aca="false">W211+W196+W197</f>
        <v>-2976.19047619048</v>
      </c>
      <c r="X212" s="69" t="n">
        <f aca="false">X211+X196+X197</f>
        <v>-2976.19047619048</v>
      </c>
      <c r="Y212" s="69" t="n">
        <f aca="false">Y211+Y196+Y197</f>
        <v>-2976.19047619048</v>
      </c>
      <c r="Z212" s="69" t="n">
        <f aca="false">Z211+Z196+Z197</f>
        <v>-2976.19047619048</v>
      </c>
      <c r="AA212" s="69" t="n">
        <f aca="false">AA211+AA196+AA197</f>
        <v>-2976.19047619048</v>
      </c>
      <c r="AB212" s="69" t="n">
        <f aca="false">AB211+AB196+AB197</f>
        <v>-2976.19047619048</v>
      </c>
      <c r="AC212" s="69" t="n">
        <f aca="false">AC211+AC196+AC197</f>
        <v>-2976.19047619048</v>
      </c>
      <c r="AD212" s="69" t="n">
        <f aca="false">AD211+AD196+AD197</f>
        <v>-2976.19047619048</v>
      </c>
      <c r="AE212" s="69" t="n">
        <f aca="false">AE211+AE196+AE197</f>
        <v>-2976.19047619048</v>
      </c>
      <c r="AF212" s="69" t="n">
        <f aca="false">AF211+AF196+AF197</f>
        <v>-2976.19047619048</v>
      </c>
      <c r="AG212" s="69" t="n">
        <f aca="false">AG211+AG196+AG197</f>
        <v>-2976.19047619048</v>
      </c>
      <c r="AH212" s="69" t="n">
        <f aca="false">AH211+AH196+AH197</f>
        <v>-2976.19047619048</v>
      </c>
      <c r="AI212" s="69" t="n">
        <f aca="false">AI211+AI196+AI197</f>
        <v>-2976.19047619048</v>
      </c>
      <c r="AJ212" s="69" t="n">
        <f aca="false">AJ211+AJ196+AJ197</f>
        <v>-2976.19047619048</v>
      </c>
      <c r="AK212" s="69" t="n">
        <f aca="false">AK211+AK196+AK197</f>
        <v>-2976.19047619048</v>
      </c>
      <c r="AL212" s="69" t="n">
        <f aca="false">AL211+AL196+AL197</f>
        <v>-2976.19047619048</v>
      </c>
      <c r="AM212" s="69" t="n">
        <f aca="false">AM211+AM196+AM197</f>
        <v>-2976.19047619048</v>
      </c>
      <c r="AN212" s="69" t="n">
        <f aca="false">AN211+AN196+AN197</f>
        <v>-2976.19047619048</v>
      </c>
      <c r="AO212" s="69" t="n">
        <f aca="false">AO211+AO196+AO197</f>
        <v>-2976.19047619048</v>
      </c>
      <c r="AP212" s="69" t="n">
        <f aca="false">AP211+AP196+AP197</f>
        <v>-2976.19047619048</v>
      </c>
      <c r="AQ212" s="69" t="n">
        <f aca="false">AQ211+AQ196+AQ197</f>
        <v>-2976.19047619048</v>
      </c>
      <c r="AR212" s="69" t="n">
        <f aca="false">AR211+AR196+AR197</f>
        <v>-2976.19047619048</v>
      </c>
      <c r="AS212" s="69" t="n">
        <f aca="false">AS211+AS196+AS197</f>
        <v>-2976.19047619048</v>
      </c>
      <c r="AT212" s="69" t="n">
        <f aca="false">AT211+AT196+AT197</f>
        <v>-2976.19047619048</v>
      </c>
      <c r="AU212" s="69" t="n">
        <f aca="false">AU211+AU196+AU197</f>
        <v>-2976.19047619048</v>
      </c>
      <c r="AV212" s="69" t="n">
        <f aca="false">AV211+AV196+AV197</f>
        <v>-2976.19047619048</v>
      </c>
      <c r="AW212" s="69" t="n">
        <f aca="false">AW211+AW196+AW197</f>
        <v>-2976.19047619048</v>
      </c>
      <c r="AX212" s="69" t="n">
        <f aca="false">AX211+AX196+AX197</f>
        <v>-2976.19047619048</v>
      </c>
      <c r="AY212" s="69" t="n">
        <f aca="false">AY211+AY196+AY197</f>
        <v>-2976.19047619048</v>
      </c>
      <c r="AZ212" s="69" t="n">
        <f aca="false">AZ211+AZ196+AZ197</f>
        <v>-2976.19047619048</v>
      </c>
      <c r="BA212" s="69" t="n">
        <f aca="false">BA211+BA196+BA197</f>
        <v>-2976.19047619048</v>
      </c>
      <c r="BB212" s="69" t="n">
        <f aca="false">BB211+BB196+BB197</f>
        <v>-2976.19047619048</v>
      </c>
      <c r="BC212" s="69" t="n">
        <f aca="false">BC211+BC196+BC197</f>
        <v>-2976.19047619048</v>
      </c>
      <c r="BD212" s="69" t="n">
        <f aca="false">BD211+BD196+BD197</f>
        <v>-2976.19047619048</v>
      </c>
      <c r="BE212" s="69" t="n">
        <f aca="false">BE211+BE196+BE197</f>
        <v>-2976.19047619048</v>
      </c>
      <c r="BF212" s="69" t="n">
        <f aca="false">BF211+BF196+BF197</f>
        <v>-2976.19047619048</v>
      </c>
      <c r="BG212" s="69" t="n">
        <f aca="false">BG211+BG196+BG197</f>
        <v>-2976.19047619048</v>
      </c>
      <c r="BH212" s="69" t="n">
        <f aca="false">BH211+BH196+BH197</f>
        <v>-2976.19047619048</v>
      </c>
      <c r="BI212" s="69" t="n">
        <f aca="false">BI211+BI196+BI197</f>
        <v>-2976.19047619048</v>
      </c>
      <c r="BJ212" s="69" t="n">
        <f aca="false">BJ211+BJ196+BJ197</f>
        <v>-2976.19047619048</v>
      </c>
    </row>
    <row r="213" customFormat="false" ht="15" hidden="false" customHeight="false" outlineLevel="0" collapsed="false">
      <c r="A213" s="115" t="s">
        <v>443</v>
      </c>
      <c r="C213" s="70" t="n">
        <f aca="false">C209+C210+C212</f>
        <v>320869</v>
      </c>
      <c r="D213" s="70" t="n">
        <f aca="false">D209+D210+D212</f>
        <v>-48487.4464285714</v>
      </c>
      <c r="E213" s="70" t="n">
        <f aca="false">E209+E210+E212</f>
        <v>-42957.546875</v>
      </c>
      <c r="F213" s="70" t="n">
        <f aca="false">F209+F210+F212</f>
        <v>-37427.6473214286</v>
      </c>
      <c r="G213" s="70" t="n">
        <f aca="false">G209+G210+G212</f>
        <v>-31897.7477678571</v>
      </c>
      <c r="H213" s="70" t="n">
        <f aca="false">H209+H210+H212</f>
        <v>-26367.8482142857</v>
      </c>
      <c r="I213" s="70" t="n">
        <f aca="false">I209+I210+I212</f>
        <v>-20837.9486607143</v>
      </c>
      <c r="J213" s="70" t="n">
        <f aca="false">J209+J210+J212</f>
        <v>-15308.0491071429</v>
      </c>
      <c r="K213" s="70" t="n">
        <f aca="false">K209+K210+K212</f>
        <v>-9778.14955357144</v>
      </c>
      <c r="L213" s="70" t="n">
        <f aca="false">L209+L210+L212</f>
        <v>-4248.24999999998</v>
      </c>
      <c r="M213" s="70" t="n">
        <f aca="false">M209+M210+M212</f>
        <v>1281.64955357139</v>
      </c>
      <c r="N213" s="70" t="n">
        <f aca="false">N209+N210+N212</f>
        <v>6811.54910714285</v>
      </c>
      <c r="O213" s="70" t="n">
        <f aca="false">O209+O210+O212</f>
        <v>-1039.82108928573</v>
      </c>
      <c r="P213" s="70" t="n">
        <f aca="false">P209+P210+P212</f>
        <v>17485.3283705357</v>
      </c>
      <c r="Q213" s="70" t="n">
        <f aca="false">Q209+Q210+Q212</f>
        <v>17507.6497991071</v>
      </c>
      <c r="R213" s="70" t="n">
        <f aca="false">R209+R210+R212</f>
        <v>17529.9712276786</v>
      </c>
      <c r="S213" s="70" t="n">
        <f aca="false">S209+S210+S212</f>
        <v>17552.29265625</v>
      </c>
      <c r="T213" s="70" t="n">
        <f aca="false">T209+T210+T212</f>
        <v>17574.6140848214</v>
      </c>
      <c r="U213" s="70" t="n">
        <f aca="false">U209+U210+U212</f>
        <v>17596.9355133929</v>
      </c>
      <c r="V213" s="70" t="n">
        <f aca="false">V209+V210+V212</f>
        <v>17619.2569419643</v>
      </c>
      <c r="W213" s="70" t="n">
        <f aca="false">W209+W210+W212</f>
        <v>17641.5783705357</v>
      </c>
      <c r="X213" s="70" t="n">
        <f aca="false">X209+X210+X212</f>
        <v>17663.8997991071</v>
      </c>
      <c r="Y213" s="70" t="n">
        <f aca="false">Y209+Y210+Y212</f>
        <v>17686.2212276786</v>
      </c>
      <c r="Z213" s="70" t="n">
        <f aca="false">Z209+Z210+Z212</f>
        <v>17708.54265625</v>
      </c>
      <c r="AA213" s="70" t="n">
        <f aca="false">AA209+AA210+AA212</f>
        <v>4448.06398204641</v>
      </c>
      <c r="AB213" s="70" t="n">
        <f aca="false">AB209+AB210+AB212</f>
        <v>23313.8781361585</v>
      </c>
      <c r="AC213" s="70" t="n">
        <f aca="false">AC209+AC210+AC212</f>
        <v>23336.1995647299</v>
      </c>
      <c r="AD213" s="70" t="n">
        <f aca="false">AD209+AD210+AD212</f>
        <v>23358.5209933013</v>
      </c>
      <c r="AE213" s="70" t="n">
        <f aca="false">AE209+AE210+AE212</f>
        <v>22088.4038226564</v>
      </c>
      <c r="AF213" s="70" t="n">
        <f aca="false">AF209+AF210+AF212</f>
        <v>18786.6244418509</v>
      </c>
      <c r="AG213" s="70" t="n">
        <f aca="false">AG209+AG210+AG212</f>
        <v>18804.2583704223</v>
      </c>
      <c r="AH213" s="70" t="n">
        <f aca="false">AH209+AH210+AH212</f>
        <v>18821.8922989938</v>
      </c>
      <c r="AI213" s="70" t="n">
        <f aca="false">AI209+AI210+AI212</f>
        <v>18839.5262275652</v>
      </c>
      <c r="AJ213" s="70" t="n">
        <f aca="false">AJ209+AJ210+AJ212</f>
        <v>18857.1601561366</v>
      </c>
      <c r="AK213" s="70" t="n">
        <f aca="false">AK209+AK210+AK212</f>
        <v>18874.794084708</v>
      </c>
      <c r="AL213" s="70" t="n">
        <f aca="false">AL209+AL210+AL212</f>
        <v>18892.4280132795</v>
      </c>
      <c r="AM213" s="70" t="n">
        <f aca="false">AM209+AM210+AM212</f>
        <v>4655.48727821484</v>
      </c>
      <c r="AN213" s="70" t="n">
        <f aca="false">AN209+AN210+AN212</f>
        <v>23466.4047194373</v>
      </c>
      <c r="AO213" s="70" t="n">
        <f aca="false">AO209+AO210+AO212</f>
        <v>23484.0386480087</v>
      </c>
      <c r="AP213" s="70" t="n">
        <f aca="false">AP209+AP210+AP212</f>
        <v>23501.6725765802</v>
      </c>
      <c r="AQ213" s="70" t="n">
        <f aca="false">AQ209+AQ210+AQ212</f>
        <v>23519.3065051516</v>
      </c>
      <c r="AR213" s="70" t="n">
        <f aca="false">AR209+AR210+AR212</f>
        <v>23536.940433723</v>
      </c>
      <c r="AS213" s="70" t="n">
        <f aca="false">AS209+AS210+AS212</f>
        <v>23554.5743622945</v>
      </c>
      <c r="AT213" s="70" t="n">
        <f aca="false">AT209+AT210+AT212</f>
        <v>23572.2082908659</v>
      </c>
      <c r="AU213" s="70" t="n">
        <f aca="false">AU209+AU210+AU212</f>
        <v>23589.8422194373</v>
      </c>
      <c r="AV213" s="70" t="n">
        <f aca="false">AV209+AV210+AV212</f>
        <v>23607.4761480087</v>
      </c>
      <c r="AW213" s="70" t="n">
        <f aca="false">AW209+AW210+AW212</f>
        <v>23625.1100765802</v>
      </c>
      <c r="AX213" s="70" t="n">
        <f aca="false">AX209+AX210+AX212</f>
        <v>23642.7440051516</v>
      </c>
      <c r="AY213" s="70" t="n">
        <f aca="false">AY209+AY210+AY212</f>
        <v>9614.81637922673</v>
      </c>
      <c r="AZ213" s="70" t="n">
        <f aca="false">AZ209+AZ210+AZ212</f>
        <v>28373.0735288984</v>
      </c>
      <c r="BA213" s="70" t="n">
        <f aca="false">BA209+BA210+BA212</f>
        <v>28390.7074574698</v>
      </c>
      <c r="BB213" s="70" t="n">
        <f aca="false">BB209+BB210+BB212</f>
        <v>28408.3413860413</v>
      </c>
      <c r="BC213" s="70" t="n">
        <f aca="false">BC209+BC210+BC212</f>
        <v>28425.9753146127</v>
      </c>
      <c r="BD213" s="70" t="n">
        <f aca="false">BD209+BD210+BD212</f>
        <v>28443.6092431841</v>
      </c>
      <c r="BE213" s="70" t="n">
        <f aca="false">BE209+BE210+BE212</f>
        <v>28461.2431717555</v>
      </c>
      <c r="BF213" s="70" t="n">
        <f aca="false">BF209+BF210+BF212</f>
        <v>28478.877100327</v>
      </c>
      <c r="BG213" s="70" t="n">
        <f aca="false">BG209+BG210+BG212</f>
        <v>28496.5110288984</v>
      </c>
      <c r="BH213" s="70" t="n">
        <f aca="false">BH209+BH210+BH212</f>
        <v>28514.1449574698</v>
      </c>
      <c r="BI213" s="70" t="n">
        <f aca="false">BI209+BI210+BI212</f>
        <v>28531.7788860413</v>
      </c>
      <c r="BJ213" s="70" t="n">
        <f aca="false">BJ209+BJ210+BJ212</f>
        <v>28549.4128146127</v>
      </c>
    </row>
    <row r="214" customFormat="false" ht="15" hidden="false" customHeight="false" outlineLevel="0" collapsed="false">
      <c r="A214" s="6" t="s">
        <v>343</v>
      </c>
      <c r="C214" s="69" t="n">
        <f aca="false">0</f>
        <v>0</v>
      </c>
      <c r="D214" s="69" t="n">
        <f aca="false">C215</f>
        <v>320869</v>
      </c>
      <c r="E214" s="69" t="n">
        <f aca="false">D215</f>
        <v>272381.553571429</v>
      </c>
      <c r="F214" s="69" t="n">
        <f aca="false">E215</f>
        <v>229424.006696429</v>
      </c>
      <c r="G214" s="69" t="n">
        <f aca="false">F215</f>
        <v>191996.359375</v>
      </c>
      <c r="H214" s="69" t="n">
        <f aca="false">G215</f>
        <v>160098.611607143</v>
      </c>
      <c r="I214" s="69" t="n">
        <f aca="false">H215</f>
        <v>133730.763392857</v>
      </c>
      <c r="J214" s="69" t="n">
        <f aca="false">I215</f>
        <v>112892.814732143</v>
      </c>
      <c r="K214" s="69" t="n">
        <f aca="false">J215</f>
        <v>97584.765625</v>
      </c>
      <c r="L214" s="69" t="n">
        <f aca="false">K215</f>
        <v>87806.6160714286</v>
      </c>
      <c r="M214" s="69" t="n">
        <f aca="false">L215</f>
        <v>83558.3660714286</v>
      </c>
      <c r="N214" s="69" t="n">
        <f aca="false">M215</f>
        <v>84840.015625</v>
      </c>
      <c r="O214" s="69" t="n">
        <f aca="false">N215</f>
        <v>91651.5647321428</v>
      </c>
      <c r="P214" s="69" t="n">
        <f aca="false">O215</f>
        <v>90611.7436428571</v>
      </c>
      <c r="Q214" s="69" t="n">
        <f aca="false">P215</f>
        <v>108097.072013393</v>
      </c>
      <c r="R214" s="69" t="n">
        <f aca="false">Q215</f>
        <v>125604.7218125</v>
      </c>
      <c r="S214" s="69" t="n">
        <f aca="false">R215</f>
        <v>143134.693040178</v>
      </c>
      <c r="T214" s="69" t="n">
        <f aca="false">S215</f>
        <v>160686.985696428</v>
      </c>
      <c r="U214" s="69" t="n">
        <f aca="false">T215</f>
        <v>178261.59978125</v>
      </c>
      <c r="V214" s="69" t="n">
        <f aca="false">U215</f>
        <v>195858.535294643</v>
      </c>
      <c r="W214" s="69" t="n">
        <f aca="false">V215</f>
        <v>213477.792236607</v>
      </c>
      <c r="X214" s="69" t="n">
        <f aca="false">W215</f>
        <v>231119.370607143</v>
      </c>
      <c r="Y214" s="69" t="n">
        <f aca="false">X215</f>
        <v>248783.27040625</v>
      </c>
      <c r="Z214" s="69" t="n">
        <f aca="false">Y215</f>
        <v>266469.491633928</v>
      </c>
      <c r="AA214" s="69" t="n">
        <f aca="false">Z215</f>
        <v>284178.034290178</v>
      </c>
      <c r="AB214" s="69" t="n">
        <f aca="false">AA215</f>
        <v>288626.098272225</v>
      </c>
      <c r="AC214" s="69" t="n">
        <f aca="false">AB215</f>
        <v>311939.976408383</v>
      </c>
      <c r="AD214" s="69" t="n">
        <f aca="false">AC215</f>
        <v>335276.175973113</v>
      </c>
      <c r="AE214" s="69" t="n">
        <f aca="false">AD215</f>
        <v>358634.696966414</v>
      </c>
      <c r="AF214" s="69" t="n">
        <f aca="false">AE215</f>
        <v>380723.100789071</v>
      </c>
      <c r="AG214" s="69" t="n">
        <f aca="false">AF215</f>
        <v>399509.725230922</v>
      </c>
      <c r="AH214" s="69" t="n">
        <f aca="false">AG215</f>
        <v>418313.983601344</v>
      </c>
      <c r="AI214" s="69" t="n">
        <f aca="false">AH215</f>
        <v>437135.875900338</v>
      </c>
      <c r="AJ214" s="69" t="n">
        <f aca="false">AI215</f>
        <v>455975.402127903</v>
      </c>
      <c r="AK214" s="69" t="n">
        <f aca="false">AJ215</f>
        <v>474832.56228404</v>
      </c>
      <c r="AL214" s="69" t="n">
        <f aca="false">AK215</f>
        <v>493707.356368748</v>
      </c>
      <c r="AM214" s="69" t="n">
        <f aca="false">AL215</f>
        <v>512599.784382027</v>
      </c>
      <c r="AN214" s="69" t="n">
        <f aca="false">AM215</f>
        <v>517255.271660242</v>
      </c>
      <c r="AO214" s="69" t="n">
        <f aca="false">AN215</f>
        <v>540721.676379679</v>
      </c>
      <c r="AP214" s="69" t="n">
        <f aca="false">AO215</f>
        <v>564205.715027688</v>
      </c>
      <c r="AQ214" s="69" t="n">
        <f aca="false">AP215</f>
        <v>587707.387604268</v>
      </c>
      <c r="AR214" s="69" t="n">
        <f aca="false">AQ215</f>
        <v>611226.69410942</v>
      </c>
      <c r="AS214" s="69" t="n">
        <f aca="false">AR215</f>
        <v>634763.634543143</v>
      </c>
      <c r="AT214" s="69" t="n">
        <f aca="false">AS215</f>
        <v>658318.208905437</v>
      </c>
      <c r="AU214" s="69" t="n">
        <f aca="false">AT215</f>
        <v>681890.417196303</v>
      </c>
      <c r="AV214" s="69" t="n">
        <f aca="false">AU215</f>
        <v>705480.259415741</v>
      </c>
      <c r="AW214" s="69" t="n">
        <f aca="false">AV215</f>
        <v>729087.735563749</v>
      </c>
      <c r="AX214" s="69" t="n">
        <f aca="false">AW215</f>
        <v>752712.845640329</v>
      </c>
      <c r="AY214" s="69" t="n">
        <f aca="false">AX215</f>
        <v>776355.589645481</v>
      </c>
      <c r="AZ214" s="69" t="n">
        <f aca="false">AY215</f>
        <v>785970.406024708</v>
      </c>
      <c r="BA214" s="69" t="n">
        <f aca="false">AZ215</f>
        <v>814343.479553606</v>
      </c>
      <c r="BB214" s="69" t="n">
        <f aca="false">BA215</f>
        <v>842734.187011076</v>
      </c>
      <c r="BC214" s="69" t="n">
        <f aca="false">BB215</f>
        <v>871142.528397117</v>
      </c>
      <c r="BD214" s="69" t="n">
        <f aca="false">BC215</f>
        <v>899568.50371173</v>
      </c>
      <c r="BE214" s="69" t="n">
        <f aca="false">BD215</f>
        <v>928012.112954914</v>
      </c>
      <c r="BF214" s="69" t="n">
        <f aca="false">BE215</f>
        <v>956473.356126669</v>
      </c>
      <c r="BG214" s="69" t="n">
        <f aca="false">BF215</f>
        <v>984952.233226996</v>
      </c>
      <c r="BH214" s="69" t="n">
        <f aca="false">BG215</f>
        <v>1013448.74425589</v>
      </c>
      <c r="BI214" s="69" t="n">
        <f aca="false">BH215</f>
        <v>1041962.88921336</v>
      </c>
      <c r="BJ214" s="69" t="n">
        <f aca="false">BI215</f>
        <v>1070494.66809941</v>
      </c>
    </row>
    <row r="215" customFormat="false" ht="15" hidden="false" customHeight="false" outlineLevel="0" collapsed="false">
      <c r="A215" s="115" t="s">
        <v>87</v>
      </c>
      <c r="C215" s="70" t="n">
        <f aca="false">C214+C213</f>
        <v>320869</v>
      </c>
      <c r="D215" s="70" t="n">
        <f aca="false">D214+D213</f>
        <v>272381.553571429</v>
      </c>
      <c r="E215" s="70" t="n">
        <f aca="false">E214+E213</f>
        <v>229424.006696429</v>
      </c>
      <c r="F215" s="70" t="n">
        <f aca="false">F214+F213</f>
        <v>191996.359375</v>
      </c>
      <c r="G215" s="70" t="n">
        <f aca="false">G214+G213</f>
        <v>160098.611607143</v>
      </c>
      <c r="H215" s="70" t="n">
        <f aca="false">H214+H213</f>
        <v>133730.763392857</v>
      </c>
      <c r="I215" s="70" t="n">
        <f aca="false">I214+I213</f>
        <v>112892.814732143</v>
      </c>
      <c r="J215" s="70" t="n">
        <f aca="false">J214+J213</f>
        <v>97584.765625</v>
      </c>
      <c r="K215" s="70" t="n">
        <f aca="false">K214+K213</f>
        <v>87806.6160714286</v>
      </c>
      <c r="L215" s="70" t="n">
        <f aca="false">L214+L213</f>
        <v>83558.3660714286</v>
      </c>
      <c r="M215" s="70" t="n">
        <f aca="false">M214+M213</f>
        <v>84840.015625</v>
      </c>
      <c r="N215" s="70" t="n">
        <f aca="false">N214+N213</f>
        <v>91651.5647321428</v>
      </c>
      <c r="O215" s="70" t="n">
        <f aca="false">O214+O213</f>
        <v>90611.7436428571</v>
      </c>
      <c r="P215" s="70" t="n">
        <f aca="false">P214+P213</f>
        <v>108097.072013393</v>
      </c>
      <c r="Q215" s="70" t="n">
        <f aca="false">Q214+Q213</f>
        <v>125604.7218125</v>
      </c>
      <c r="R215" s="70" t="n">
        <f aca="false">R214+R213</f>
        <v>143134.693040178</v>
      </c>
      <c r="S215" s="70" t="n">
        <f aca="false">S214+S213</f>
        <v>160686.985696428</v>
      </c>
      <c r="T215" s="70" t="n">
        <f aca="false">T214+T213</f>
        <v>178261.59978125</v>
      </c>
      <c r="U215" s="70" t="n">
        <f aca="false">U214+U213</f>
        <v>195858.535294643</v>
      </c>
      <c r="V215" s="70" t="n">
        <f aca="false">V214+V213</f>
        <v>213477.792236607</v>
      </c>
      <c r="W215" s="70" t="n">
        <f aca="false">W214+W213</f>
        <v>231119.370607143</v>
      </c>
      <c r="X215" s="70" t="n">
        <f aca="false">X214+X213</f>
        <v>248783.27040625</v>
      </c>
      <c r="Y215" s="70" t="n">
        <f aca="false">Y214+Y213</f>
        <v>266469.491633928</v>
      </c>
      <c r="Z215" s="70" t="n">
        <f aca="false">Z214+Z213</f>
        <v>284178.034290178</v>
      </c>
      <c r="AA215" s="70" t="n">
        <f aca="false">AA214+AA213</f>
        <v>288626.098272225</v>
      </c>
      <c r="AB215" s="70" t="n">
        <f aca="false">AB214+AB213</f>
        <v>311939.976408383</v>
      </c>
      <c r="AC215" s="70" t="n">
        <f aca="false">AC214+AC213</f>
        <v>335276.175973113</v>
      </c>
      <c r="AD215" s="70" t="n">
        <f aca="false">AD214+AD213</f>
        <v>358634.696966414</v>
      </c>
      <c r="AE215" s="70" t="n">
        <f aca="false">AE214+AE213</f>
        <v>380723.100789071</v>
      </c>
      <c r="AF215" s="70" t="n">
        <f aca="false">AF214+AF213</f>
        <v>399509.725230922</v>
      </c>
      <c r="AG215" s="70" t="n">
        <f aca="false">AG214+AG213</f>
        <v>418313.983601344</v>
      </c>
      <c r="AH215" s="70" t="n">
        <f aca="false">AH214+AH213</f>
        <v>437135.875900338</v>
      </c>
      <c r="AI215" s="70" t="n">
        <f aca="false">AI214+AI213</f>
        <v>455975.402127903</v>
      </c>
      <c r="AJ215" s="70" t="n">
        <f aca="false">AJ214+AJ213</f>
        <v>474832.56228404</v>
      </c>
      <c r="AK215" s="70" t="n">
        <f aca="false">AK214+AK213</f>
        <v>493707.356368748</v>
      </c>
      <c r="AL215" s="70" t="n">
        <f aca="false">AL214+AL213</f>
        <v>512599.784382027</v>
      </c>
      <c r="AM215" s="70" t="n">
        <f aca="false">AM214+AM213</f>
        <v>517255.271660242</v>
      </c>
      <c r="AN215" s="70" t="n">
        <f aca="false">AN214+AN213</f>
        <v>540721.676379679</v>
      </c>
      <c r="AO215" s="70" t="n">
        <f aca="false">AO214+AO213</f>
        <v>564205.715027688</v>
      </c>
      <c r="AP215" s="70" t="n">
        <f aca="false">AP214+AP213</f>
        <v>587707.387604268</v>
      </c>
      <c r="AQ215" s="70" t="n">
        <f aca="false">AQ214+AQ213</f>
        <v>611226.69410942</v>
      </c>
      <c r="AR215" s="70" t="n">
        <f aca="false">AR214+AR213</f>
        <v>634763.634543143</v>
      </c>
      <c r="AS215" s="70" t="n">
        <f aca="false">AS214+AS213</f>
        <v>658318.208905437</v>
      </c>
      <c r="AT215" s="70" t="n">
        <f aca="false">AT214+AT213</f>
        <v>681890.417196303</v>
      </c>
      <c r="AU215" s="70" t="n">
        <f aca="false">AU214+AU213</f>
        <v>705480.259415741</v>
      </c>
      <c r="AV215" s="70" t="n">
        <f aca="false">AV214+AV213</f>
        <v>729087.735563749</v>
      </c>
      <c r="AW215" s="70" t="n">
        <f aca="false">AW214+AW213</f>
        <v>752712.845640329</v>
      </c>
      <c r="AX215" s="70" t="n">
        <f aca="false">AX214+AX213</f>
        <v>776355.589645481</v>
      </c>
      <c r="AY215" s="70" t="n">
        <f aca="false">AY214+AY213</f>
        <v>785970.406024708</v>
      </c>
      <c r="AZ215" s="70" t="n">
        <f aca="false">AZ214+AZ213</f>
        <v>814343.479553606</v>
      </c>
      <c r="BA215" s="70" t="n">
        <f aca="false">BA214+BA213</f>
        <v>842734.187011076</v>
      </c>
      <c r="BB215" s="70" t="n">
        <f aca="false">BB214+BB213</f>
        <v>871142.528397117</v>
      </c>
      <c r="BC215" s="70" t="n">
        <f aca="false">BC214+BC213</f>
        <v>899568.50371173</v>
      </c>
      <c r="BD215" s="70" t="n">
        <f aca="false">BD214+BD213</f>
        <v>928012.112954914</v>
      </c>
      <c r="BE215" s="70" t="n">
        <f aca="false">BE214+BE213</f>
        <v>956473.356126669</v>
      </c>
      <c r="BF215" s="70" t="n">
        <f aca="false">BF214+BF213</f>
        <v>984952.233226996</v>
      </c>
      <c r="BG215" s="70" t="n">
        <f aca="false">BG214+BG213</f>
        <v>1013448.74425589</v>
      </c>
      <c r="BH215" s="70" t="n">
        <f aca="false">BH214+BH213</f>
        <v>1041962.88921336</v>
      </c>
      <c r="BI215" s="70" t="n">
        <f aca="false">BI214+BI213</f>
        <v>1070494.66809941</v>
      </c>
      <c r="BJ215" s="70" t="n">
        <f aca="false">BJ214+BJ213</f>
        <v>1099044.08091402</v>
      </c>
    </row>
    <row r="216" customFormat="false" ht="15" hidden="false" customHeight="false" outlineLevel="0" collapsed="false">
      <c r="A216" s="118" t="s">
        <v>444</v>
      </c>
      <c r="C216" s="120" t="n">
        <f aca="false">IF(C170&gt;0,1,0)</f>
        <v>0</v>
      </c>
      <c r="D216" s="120" t="n">
        <f aca="false">IF(D170&gt;0,1,0)</f>
        <v>0</v>
      </c>
      <c r="E216" s="120" t="n">
        <f aca="false">IF(E170&gt;0,1,0)</f>
        <v>0</v>
      </c>
      <c r="F216" s="120" t="n">
        <f aca="false">IF(F170&gt;0,1,0)</f>
        <v>0</v>
      </c>
      <c r="G216" s="120" t="n">
        <f aca="false">IF(G170&gt;0,1,0)</f>
        <v>0</v>
      </c>
      <c r="H216" s="120" t="n">
        <f aca="false">IF(H170&gt;0,1,0)</f>
        <v>0</v>
      </c>
      <c r="I216" s="120" t="n">
        <f aca="false">IF(I170&gt;0,1,0)</f>
        <v>0</v>
      </c>
      <c r="J216" s="120" t="n">
        <f aca="false">IF(J170&gt;0,1,0)</f>
        <v>0</v>
      </c>
      <c r="K216" s="120" t="n">
        <f aca="false">IF(K170&gt;0,1,0)</f>
        <v>0</v>
      </c>
      <c r="L216" s="120" t="n">
        <f aca="false">IF(L170&gt;0,1,0)</f>
        <v>1</v>
      </c>
      <c r="M216" s="120" t="n">
        <f aca="false">IF(M170&gt;0,1,0)</f>
        <v>1</v>
      </c>
      <c r="N216" s="120" t="n">
        <f aca="false">IF(N170&gt;0,1,0)</f>
        <v>1</v>
      </c>
      <c r="O216" s="120" t="n">
        <f aca="false">IF(O170&gt;0,1,0)</f>
        <v>1</v>
      </c>
      <c r="P216" s="120" t="n">
        <f aca="false">IF(P170&gt;0,1,0)</f>
        <v>1</v>
      </c>
      <c r="Q216" s="120" t="n">
        <f aca="false">IF(Q170&gt;0,1,0)</f>
        <v>1</v>
      </c>
      <c r="R216" s="120" t="n">
        <f aca="false">IF(R170&gt;0,1,0)</f>
        <v>1</v>
      </c>
      <c r="S216" s="120" t="n">
        <f aca="false">IF(S170&gt;0,1,0)</f>
        <v>1</v>
      </c>
      <c r="T216" s="120" t="n">
        <f aca="false">IF(T170&gt;0,1,0)</f>
        <v>1</v>
      </c>
      <c r="U216" s="120" t="n">
        <f aca="false">IF(U170&gt;0,1,0)</f>
        <v>1</v>
      </c>
      <c r="V216" s="120" t="n">
        <f aca="false">IF(V170&gt;0,1,0)</f>
        <v>1</v>
      </c>
      <c r="W216" s="120" t="n">
        <f aca="false">IF(W170&gt;0,1,0)</f>
        <v>1</v>
      </c>
      <c r="X216" s="120" t="n">
        <f aca="false">IF(X170&gt;0,1,0)</f>
        <v>1</v>
      </c>
      <c r="Y216" s="120" t="n">
        <f aca="false">IF(Y170&gt;0,1,0)</f>
        <v>1</v>
      </c>
      <c r="Z216" s="120" t="n">
        <f aca="false">IF(Z170&gt;0,1,0)</f>
        <v>1</v>
      </c>
      <c r="AA216" s="120" t="n">
        <f aca="false">IF(AA170&gt;0,1,0)</f>
        <v>1</v>
      </c>
      <c r="AB216" s="120" t="n">
        <f aca="false">IF(AB170&gt;0,1,0)</f>
        <v>1</v>
      </c>
      <c r="AC216" s="120" t="n">
        <f aca="false">IF(AC170&gt;0,1,0)</f>
        <v>1</v>
      </c>
      <c r="AD216" s="120" t="n">
        <f aca="false">IF(AD170&gt;0,1,0)</f>
        <v>1</v>
      </c>
      <c r="AE216" s="120" t="n">
        <f aca="false">IF(AE170&gt;0,1,0)</f>
        <v>1</v>
      </c>
      <c r="AF216" s="120" t="n">
        <f aca="false">IF(AF170&gt;0,1,0)</f>
        <v>1</v>
      </c>
      <c r="AG216" s="120" t="n">
        <f aca="false">IF(AG170&gt;0,1,0)</f>
        <v>1</v>
      </c>
      <c r="AH216" s="120" t="n">
        <f aca="false">IF(AH170&gt;0,1,0)</f>
        <v>1</v>
      </c>
      <c r="AI216" s="120" t="n">
        <f aca="false">IF(AI170&gt;0,1,0)</f>
        <v>1</v>
      </c>
      <c r="AJ216" s="120" t="n">
        <f aca="false">IF(AJ170&gt;0,1,0)</f>
        <v>1</v>
      </c>
      <c r="AK216" s="120" t="n">
        <f aca="false">IF(AK170&gt;0,1,0)</f>
        <v>1</v>
      </c>
      <c r="AL216" s="120" t="n">
        <f aca="false">IF(AL170&gt;0,1,0)</f>
        <v>1</v>
      </c>
      <c r="AM216" s="120" t="n">
        <f aca="false">IF(AM170&gt;0,1,0)</f>
        <v>1</v>
      </c>
      <c r="AN216" s="120" t="n">
        <f aca="false">IF(AN170&gt;0,1,0)</f>
        <v>1</v>
      </c>
      <c r="AO216" s="120" t="n">
        <f aca="false">IF(AO170&gt;0,1,0)</f>
        <v>1</v>
      </c>
      <c r="AP216" s="120" t="n">
        <f aca="false">IF(AP170&gt;0,1,0)</f>
        <v>1</v>
      </c>
      <c r="AQ216" s="120" t="n">
        <f aca="false">IF(AQ170&gt;0,1,0)</f>
        <v>1</v>
      </c>
      <c r="AR216" s="120" t="n">
        <f aca="false">IF(AR170&gt;0,1,0)</f>
        <v>1</v>
      </c>
      <c r="AS216" s="120" t="n">
        <f aca="false">IF(AS170&gt;0,1,0)</f>
        <v>1</v>
      </c>
      <c r="AT216" s="120" t="n">
        <f aca="false">IF(AT170&gt;0,1,0)</f>
        <v>1</v>
      </c>
      <c r="AU216" s="120" t="n">
        <f aca="false">IF(AU170&gt;0,1,0)</f>
        <v>1</v>
      </c>
      <c r="AV216" s="120" t="n">
        <f aca="false">IF(AV170&gt;0,1,0)</f>
        <v>1</v>
      </c>
      <c r="AW216" s="120" t="n">
        <f aca="false">IF(AW170&gt;0,1,0)</f>
        <v>1</v>
      </c>
      <c r="AX216" s="120" t="n">
        <f aca="false">IF(AX170&gt;0,1,0)</f>
        <v>1</v>
      </c>
      <c r="AY216" s="120" t="n">
        <f aca="false">IF(AY170&gt;0,1,0)</f>
        <v>1</v>
      </c>
      <c r="AZ216" s="120" t="n">
        <f aca="false">IF(AZ170&gt;0,1,0)</f>
        <v>1</v>
      </c>
      <c r="BA216" s="120" t="n">
        <f aca="false">IF(BA170&gt;0,1,0)</f>
        <v>1</v>
      </c>
      <c r="BB216" s="120" t="n">
        <f aca="false">IF(BB170&gt;0,1,0)</f>
        <v>1</v>
      </c>
      <c r="BC216" s="120" t="n">
        <f aca="false">IF(BC170&gt;0,1,0)</f>
        <v>1</v>
      </c>
      <c r="BD216" s="120" t="n">
        <f aca="false">IF(BD170&gt;0,1,0)</f>
        <v>1</v>
      </c>
      <c r="BE216" s="120" t="n">
        <f aca="false">IF(BE170&gt;0,1,0)</f>
        <v>1</v>
      </c>
      <c r="BF216" s="120" t="n">
        <f aca="false">IF(BF170&gt;0,1,0)</f>
        <v>1</v>
      </c>
      <c r="BG216" s="120" t="n">
        <f aca="false">IF(BG170&gt;0,1,0)</f>
        <v>1</v>
      </c>
      <c r="BH216" s="120" t="n">
        <f aca="false">IF(BH170&gt;0,1,0)</f>
        <v>1</v>
      </c>
      <c r="BI216" s="120" t="n">
        <f aca="false">IF(BI170&gt;0,1,0)</f>
        <v>1</v>
      </c>
      <c r="BJ216" s="120" t="n">
        <f aca="false">IF(BJ170&gt;0,1,0)</f>
        <v>1</v>
      </c>
    </row>
    <row r="218" customFormat="false" ht="15.75" hidden="false" customHeight="true" outlineLevel="0" collapsed="false">
      <c r="A218" s="7" t="s">
        <v>445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customFormat="false" ht="15" hidden="false" customHeight="false" outlineLevel="0" collapsed="false">
      <c r="A219" s="118" t="s">
        <v>446</v>
      </c>
      <c r="C219" s="120" t="n">
        <f aca="false">IF(C179&gt;0,1,0)</f>
        <v>0</v>
      </c>
      <c r="D219" s="120" t="n">
        <f aca="false">IF(D179&gt;0,1,0)</f>
        <v>0</v>
      </c>
      <c r="E219" s="120" t="n">
        <f aca="false">IF(E179&gt;0,1,0)</f>
        <v>0</v>
      </c>
      <c r="F219" s="120" t="n">
        <f aca="false">IF(F179&gt;0,1,0)</f>
        <v>0</v>
      </c>
      <c r="G219" s="120" t="n">
        <f aca="false">IF(G179&gt;0,1,0)</f>
        <v>0</v>
      </c>
      <c r="H219" s="120" t="n">
        <f aca="false">IF(H179&gt;0,1,0)</f>
        <v>0</v>
      </c>
      <c r="I219" s="120" t="n">
        <f aca="false">IF(I179&gt;0,1,0)</f>
        <v>0</v>
      </c>
      <c r="J219" s="120" t="n">
        <f aca="false">IF(J179&gt;0,1,0)</f>
        <v>0</v>
      </c>
      <c r="K219" s="120" t="n">
        <f aca="false">IF(K179&gt;0,1,0)</f>
        <v>0</v>
      </c>
      <c r="L219" s="120" t="n">
        <f aca="false">IF(L179&gt;0,1,0)</f>
        <v>0</v>
      </c>
      <c r="M219" s="120" t="n">
        <f aca="false">IF(M179&gt;0,1,0)</f>
        <v>0</v>
      </c>
      <c r="N219" s="120" t="n">
        <f aca="false">IF(N179&gt;0,1,0)</f>
        <v>1</v>
      </c>
      <c r="O219" s="120" t="n">
        <f aca="false">IF(O179&gt;0,1,0)</f>
        <v>1</v>
      </c>
      <c r="P219" s="120" t="n">
        <f aca="false">IF(P179&gt;0,1,0)</f>
        <v>1</v>
      </c>
      <c r="Q219" s="120" t="n">
        <f aca="false">IF(Q179&gt;0,1,0)</f>
        <v>1</v>
      </c>
      <c r="R219" s="120" t="n">
        <f aca="false">IF(R179&gt;0,1,0)</f>
        <v>1</v>
      </c>
      <c r="S219" s="120" t="n">
        <f aca="false">IF(S179&gt;0,1,0)</f>
        <v>1</v>
      </c>
      <c r="T219" s="120" t="n">
        <f aca="false">IF(T179&gt;0,1,0)</f>
        <v>1</v>
      </c>
      <c r="U219" s="120" t="n">
        <f aca="false">IF(U179&gt;0,1,0)</f>
        <v>1</v>
      </c>
      <c r="V219" s="120" t="n">
        <f aca="false">IF(V179&gt;0,1,0)</f>
        <v>1</v>
      </c>
      <c r="W219" s="120" t="n">
        <f aca="false">IF(W179&gt;0,1,0)</f>
        <v>1</v>
      </c>
      <c r="X219" s="120" t="n">
        <f aca="false">IF(X179&gt;0,1,0)</f>
        <v>1</v>
      </c>
      <c r="Y219" s="120" t="n">
        <f aca="false">IF(Y179&gt;0,1,0)</f>
        <v>1</v>
      </c>
      <c r="Z219" s="120" t="n">
        <f aca="false">IF(Z179&gt;0,1,0)</f>
        <v>1</v>
      </c>
      <c r="AA219" s="120" t="n">
        <f aca="false">IF(AA179&gt;0,1,0)</f>
        <v>1</v>
      </c>
      <c r="AB219" s="120" t="n">
        <f aca="false">IF(AB179&gt;0,1,0)</f>
        <v>1</v>
      </c>
      <c r="AC219" s="120" t="n">
        <f aca="false">IF(AC179&gt;0,1,0)</f>
        <v>1</v>
      </c>
      <c r="AD219" s="120" t="n">
        <f aca="false">IF(AD179&gt;0,1,0)</f>
        <v>1</v>
      </c>
      <c r="AE219" s="120" t="n">
        <f aca="false">IF(AE179&gt;0,1,0)</f>
        <v>1</v>
      </c>
      <c r="AF219" s="120" t="n">
        <f aca="false">IF(AF179&gt;0,1,0)</f>
        <v>1</v>
      </c>
      <c r="AG219" s="120" t="n">
        <f aca="false">IF(AG179&gt;0,1,0)</f>
        <v>1</v>
      </c>
      <c r="AH219" s="120" t="n">
        <f aca="false">IF(AH179&gt;0,1,0)</f>
        <v>1</v>
      </c>
      <c r="AI219" s="120" t="n">
        <f aca="false">IF(AI179&gt;0,1,0)</f>
        <v>1</v>
      </c>
      <c r="AJ219" s="120" t="n">
        <f aca="false">IF(AJ179&gt;0,1,0)</f>
        <v>1</v>
      </c>
      <c r="AK219" s="120" t="n">
        <f aca="false">IF(AK179&gt;0,1,0)</f>
        <v>1</v>
      </c>
      <c r="AL219" s="120" t="n">
        <f aca="false">IF(AL179&gt;0,1,0)</f>
        <v>1</v>
      </c>
      <c r="AM219" s="120" t="n">
        <f aca="false">IF(AM179&gt;0,1,0)</f>
        <v>1</v>
      </c>
      <c r="AN219" s="120" t="n">
        <f aca="false">IF(AN179&gt;0,1,0)</f>
        <v>1</v>
      </c>
      <c r="AO219" s="120" t="n">
        <f aca="false">IF(AO179&gt;0,1,0)</f>
        <v>1</v>
      </c>
      <c r="AP219" s="120" t="n">
        <f aca="false">IF(AP179&gt;0,1,0)</f>
        <v>1</v>
      </c>
      <c r="AQ219" s="120" t="n">
        <f aca="false">IF(AQ179&gt;0,1,0)</f>
        <v>1</v>
      </c>
      <c r="AR219" s="120" t="n">
        <f aca="false">IF(AR179&gt;0,1,0)</f>
        <v>1</v>
      </c>
      <c r="AS219" s="120" t="n">
        <f aca="false">IF(AS179&gt;0,1,0)</f>
        <v>1</v>
      </c>
      <c r="AT219" s="120" t="n">
        <f aca="false">IF(AT179&gt;0,1,0)</f>
        <v>1</v>
      </c>
      <c r="AU219" s="120" t="n">
        <f aca="false">IF(AU179&gt;0,1,0)</f>
        <v>1</v>
      </c>
      <c r="AV219" s="120" t="n">
        <f aca="false">IF(AV179&gt;0,1,0)</f>
        <v>1</v>
      </c>
      <c r="AW219" s="120" t="n">
        <f aca="false">IF(AW179&gt;0,1,0)</f>
        <v>1</v>
      </c>
      <c r="AX219" s="120" t="n">
        <f aca="false">IF(AX179&gt;0,1,0)</f>
        <v>1</v>
      </c>
      <c r="AY219" s="120" t="n">
        <f aca="false">IF(AY179&gt;0,1,0)</f>
        <v>1</v>
      </c>
      <c r="AZ219" s="120" t="n">
        <f aca="false">IF(AZ179&gt;0,1,0)</f>
        <v>1</v>
      </c>
      <c r="BA219" s="120" t="n">
        <f aca="false">IF(BA179&gt;0,1,0)</f>
        <v>1</v>
      </c>
      <c r="BB219" s="120" t="n">
        <f aca="false">IF(BB179&gt;0,1,0)</f>
        <v>1</v>
      </c>
      <c r="BC219" s="120" t="n">
        <f aca="false">IF(BC179&gt;0,1,0)</f>
        <v>1</v>
      </c>
      <c r="BD219" s="120" t="n">
        <f aca="false">IF(BD179&gt;0,1,0)</f>
        <v>1</v>
      </c>
      <c r="BE219" s="120" t="n">
        <f aca="false">IF(BE179&gt;0,1,0)</f>
        <v>1</v>
      </c>
      <c r="BF219" s="120" t="n">
        <f aca="false">IF(BF179&gt;0,1,0)</f>
        <v>1</v>
      </c>
      <c r="BG219" s="120" t="n">
        <f aca="false">IF(BG179&gt;0,1,0)</f>
        <v>1</v>
      </c>
      <c r="BH219" s="120" t="n">
        <f aca="false">IF(BH179&gt;0,1,0)</f>
        <v>1</v>
      </c>
      <c r="BI219" s="120" t="n">
        <f aca="false">IF(BI179&gt;0,1,0)</f>
        <v>1</v>
      </c>
      <c r="BJ219" s="120" t="n">
        <f aca="false">IF(BJ179&gt;0,1,0)</f>
        <v>1</v>
      </c>
    </row>
    <row r="220" customFormat="false" ht="15" hidden="false" customHeight="false" outlineLevel="0" collapsed="false">
      <c r="A220" s="6" t="s">
        <v>447</v>
      </c>
      <c r="C220" s="69" t="n">
        <f aca="false">C209+C210</f>
        <v>-409131</v>
      </c>
      <c r="D220" s="69" t="n">
        <f aca="false">D209+D210</f>
        <v>-45511.255952381</v>
      </c>
      <c r="E220" s="69" t="n">
        <f aca="false">E209+E210</f>
        <v>-39981.3563988095</v>
      </c>
      <c r="F220" s="69" t="n">
        <f aca="false">F209+F210</f>
        <v>-34451.4568452381</v>
      </c>
      <c r="G220" s="69" t="n">
        <f aca="false">G209+G210</f>
        <v>-28921.5572916667</v>
      </c>
      <c r="H220" s="69" t="n">
        <f aca="false">H209+H210</f>
        <v>-23391.6577380953</v>
      </c>
      <c r="I220" s="69" t="n">
        <f aca="false">I209+I210</f>
        <v>-17861.7581845238</v>
      </c>
      <c r="J220" s="69" t="n">
        <f aca="false">J209+J210</f>
        <v>-12331.8586309524</v>
      </c>
      <c r="K220" s="69" t="n">
        <f aca="false">K209+K210</f>
        <v>-6801.95907738096</v>
      </c>
      <c r="L220" s="69" t="n">
        <f aca="false">L209+L210</f>
        <v>-1272.05952380951</v>
      </c>
      <c r="M220" s="69" t="n">
        <f aca="false">M209+M210</f>
        <v>4257.84002976187</v>
      </c>
      <c r="N220" s="69" t="n">
        <f aca="false">N209+N210</f>
        <v>9787.73958333333</v>
      </c>
      <c r="O220" s="69" t="n">
        <f aca="false">O209+O210</f>
        <v>1936.36938690475</v>
      </c>
      <c r="P220" s="69" t="n">
        <f aca="false">P209+P210</f>
        <v>20461.5188467262</v>
      </c>
      <c r="Q220" s="69" t="n">
        <f aca="false">Q209+Q210</f>
        <v>20483.8402752976</v>
      </c>
      <c r="R220" s="69" t="n">
        <f aca="false">R209+R210</f>
        <v>20506.161703869</v>
      </c>
      <c r="S220" s="69" t="n">
        <f aca="false">S209+S210</f>
        <v>20528.4831324405</v>
      </c>
      <c r="T220" s="69" t="n">
        <f aca="false">T209+T210</f>
        <v>20550.8045610119</v>
      </c>
      <c r="U220" s="69" t="n">
        <f aca="false">U209+U210</f>
        <v>20573.1259895833</v>
      </c>
      <c r="V220" s="69" t="n">
        <f aca="false">V209+V210</f>
        <v>20595.4474181548</v>
      </c>
      <c r="W220" s="69" t="n">
        <f aca="false">W209+W210</f>
        <v>20617.7688467262</v>
      </c>
      <c r="X220" s="69" t="n">
        <f aca="false">X209+X210</f>
        <v>20640.0902752976</v>
      </c>
      <c r="Y220" s="69" t="n">
        <f aca="false">Y209+Y210</f>
        <v>20662.411703869</v>
      </c>
      <c r="Z220" s="69" t="n">
        <f aca="false">Z209+Z210</f>
        <v>20684.7331324405</v>
      </c>
      <c r="AA220" s="69" t="n">
        <f aca="false">AA209+AA210</f>
        <v>7424.25445823689</v>
      </c>
      <c r="AB220" s="69" t="n">
        <f aca="false">AB209+AB210</f>
        <v>26290.0686123489</v>
      </c>
      <c r="AC220" s="69" t="n">
        <f aca="false">AC209+AC210</f>
        <v>26312.3900409204</v>
      </c>
      <c r="AD220" s="69" t="n">
        <f aca="false">AD209+AD210</f>
        <v>26334.7114694918</v>
      </c>
      <c r="AE220" s="69" t="n">
        <f aca="false">AE209+AE210</f>
        <v>25064.5942988469</v>
      </c>
      <c r="AF220" s="69" t="n">
        <f aca="false">AF209+AF210</f>
        <v>21762.8149180414</v>
      </c>
      <c r="AG220" s="69" t="n">
        <f aca="false">AG209+AG210</f>
        <v>21780.4488466128</v>
      </c>
      <c r="AH220" s="69" t="n">
        <f aca="false">AH209+AH210</f>
        <v>21798.0827751842</v>
      </c>
      <c r="AI220" s="69" t="n">
        <f aca="false">AI209+AI210</f>
        <v>21815.7167037557</v>
      </c>
      <c r="AJ220" s="69" t="n">
        <f aca="false">AJ209+AJ210</f>
        <v>21833.3506323271</v>
      </c>
      <c r="AK220" s="69" t="n">
        <f aca="false">AK209+AK210</f>
        <v>21850.9845608985</v>
      </c>
      <c r="AL220" s="69" t="n">
        <f aca="false">AL209+AL210</f>
        <v>21868.6184894699</v>
      </c>
      <c r="AM220" s="69" t="n">
        <f aca="false">AM209+AM210</f>
        <v>7631.67775440532</v>
      </c>
      <c r="AN220" s="69" t="n">
        <f aca="false">AN209+AN210</f>
        <v>26442.5951956278</v>
      </c>
      <c r="AO220" s="69" t="n">
        <f aca="false">AO209+AO210</f>
        <v>26460.2291241992</v>
      </c>
      <c r="AP220" s="69" t="n">
        <f aca="false">AP209+AP210</f>
        <v>26477.8630527707</v>
      </c>
      <c r="AQ220" s="69" t="n">
        <f aca="false">AQ209+AQ210</f>
        <v>26495.4969813421</v>
      </c>
      <c r="AR220" s="69" t="n">
        <f aca="false">AR209+AR210</f>
        <v>26513.1309099135</v>
      </c>
      <c r="AS220" s="69" t="n">
        <f aca="false">AS209+AS210</f>
        <v>26530.7648384849</v>
      </c>
      <c r="AT220" s="69" t="n">
        <f aca="false">AT209+AT210</f>
        <v>26548.3987670564</v>
      </c>
      <c r="AU220" s="69" t="n">
        <f aca="false">AU209+AU210</f>
        <v>26566.0326956278</v>
      </c>
      <c r="AV220" s="69" t="n">
        <f aca="false">AV209+AV210</f>
        <v>26583.6666241992</v>
      </c>
      <c r="AW220" s="69" t="n">
        <f aca="false">AW209+AW210</f>
        <v>26601.3005527707</v>
      </c>
      <c r="AX220" s="69" t="n">
        <f aca="false">AX209+AX210</f>
        <v>26618.9344813421</v>
      </c>
      <c r="AY220" s="69" t="n">
        <f aca="false">AY209+AY210</f>
        <v>12591.0068554172</v>
      </c>
      <c r="AZ220" s="69" t="n">
        <f aca="false">AZ209+AZ210</f>
        <v>31349.2640050889</v>
      </c>
      <c r="BA220" s="69" t="n">
        <f aca="false">BA209+BA210</f>
        <v>31366.8979336603</v>
      </c>
      <c r="BB220" s="69" t="n">
        <f aca="false">BB209+BB210</f>
        <v>31384.5318622317</v>
      </c>
      <c r="BC220" s="69" t="n">
        <f aca="false">BC209+BC210</f>
        <v>31402.1657908032</v>
      </c>
      <c r="BD220" s="69" t="n">
        <f aca="false">BD209+BD210</f>
        <v>31419.7997193746</v>
      </c>
      <c r="BE220" s="69" t="n">
        <f aca="false">BE209+BE210</f>
        <v>31437.433647946</v>
      </c>
      <c r="BF220" s="69" t="n">
        <f aca="false">BF209+BF210</f>
        <v>31455.0675765174</v>
      </c>
      <c r="BG220" s="69" t="n">
        <f aca="false">BG209+BG210</f>
        <v>31472.7015050889</v>
      </c>
      <c r="BH220" s="69" t="n">
        <f aca="false">BH209+BH210</f>
        <v>31490.3354336603</v>
      </c>
      <c r="BI220" s="69" t="n">
        <f aca="false">BI209+BI210</f>
        <v>31507.9693622317</v>
      </c>
      <c r="BJ220" s="69" t="n">
        <f aca="false">BJ209+BJ210</f>
        <v>31525.6032908032</v>
      </c>
    </row>
    <row r="221" customFormat="false" ht="15" hidden="false" customHeight="false" outlineLevel="0" collapsed="false">
      <c r="A221" s="6" t="s">
        <v>448</v>
      </c>
      <c r="C221" s="69" t="n">
        <f aca="false">C220</f>
        <v>-409131</v>
      </c>
      <c r="D221" s="69" t="n">
        <f aca="false">C221+D220</f>
        <v>-454642.255952381</v>
      </c>
      <c r="E221" s="69" t="n">
        <f aca="false">D221+E220</f>
        <v>-494623.612351191</v>
      </c>
      <c r="F221" s="69" t="n">
        <f aca="false">E221+F220</f>
        <v>-529075.069196429</v>
      </c>
      <c r="G221" s="69" t="n">
        <f aca="false">F221+G220</f>
        <v>-557996.626488095</v>
      </c>
      <c r="H221" s="69" t="n">
        <f aca="false">G221+H220</f>
        <v>-581388.28422619</v>
      </c>
      <c r="I221" s="69" t="n">
        <f aca="false">H221+I220</f>
        <v>-599250.042410714</v>
      </c>
      <c r="J221" s="69" t="n">
        <f aca="false">I221+J220</f>
        <v>-611581.901041667</v>
      </c>
      <c r="K221" s="69" t="n">
        <f aca="false">J221+K220</f>
        <v>-618383.860119048</v>
      </c>
      <c r="L221" s="69" t="n">
        <f aca="false">K221+L220</f>
        <v>-619655.919642857</v>
      </c>
      <c r="M221" s="69" t="n">
        <f aca="false">L221+M220</f>
        <v>-615398.079613095</v>
      </c>
      <c r="N221" s="69" t="n">
        <f aca="false">M221+N220</f>
        <v>-605610.340029762</v>
      </c>
      <c r="O221" s="69" t="n">
        <f aca="false">N221+O220</f>
        <v>-603673.970642857</v>
      </c>
      <c r="P221" s="69" t="n">
        <f aca="false">O221+P220</f>
        <v>-583212.451796131</v>
      </c>
      <c r="Q221" s="69" t="n">
        <f aca="false">P221+Q220</f>
        <v>-562728.611520833</v>
      </c>
      <c r="R221" s="69" t="n">
        <f aca="false">Q221+R220</f>
        <v>-542222.449816964</v>
      </c>
      <c r="S221" s="69" t="n">
        <f aca="false">R221+S220</f>
        <v>-521693.966684524</v>
      </c>
      <c r="T221" s="69" t="n">
        <f aca="false">S221+T220</f>
        <v>-501143.162123512</v>
      </c>
      <c r="U221" s="69" t="n">
        <f aca="false">T221+U220</f>
        <v>-480570.036133929</v>
      </c>
      <c r="V221" s="69" t="n">
        <f aca="false">U221+V220</f>
        <v>-459974.588715774</v>
      </c>
      <c r="W221" s="69" t="n">
        <f aca="false">V221+W220</f>
        <v>-439356.819869048</v>
      </c>
      <c r="X221" s="69" t="n">
        <f aca="false">W221+X220</f>
        <v>-418716.72959375</v>
      </c>
      <c r="Y221" s="69" t="n">
        <f aca="false">X221+Y220</f>
        <v>-398054.317889881</v>
      </c>
      <c r="Z221" s="69" t="n">
        <f aca="false">Y221+Z220</f>
        <v>-377369.58475744</v>
      </c>
      <c r="AA221" s="69" t="n">
        <f aca="false">Z221+AA220</f>
        <v>-369945.330299204</v>
      </c>
      <c r="AB221" s="69" t="n">
        <f aca="false">AA221+AB220</f>
        <v>-343655.261686855</v>
      </c>
      <c r="AC221" s="69" t="n">
        <f aca="false">AB221+AC220</f>
        <v>-317342.871645934</v>
      </c>
      <c r="AD221" s="69" t="n">
        <f aca="false">AC221+AD220</f>
        <v>-291008.160176442</v>
      </c>
      <c r="AE221" s="69" t="n">
        <f aca="false">AD221+AE220</f>
        <v>-265943.565877596</v>
      </c>
      <c r="AF221" s="69" t="n">
        <f aca="false">AE221+AF220</f>
        <v>-244180.750959554</v>
      </c>
      <c r="AG221" s="69" t="n">
        <f aca="false">AF221+AG220</f>
        <v>-222400.302112941</v>
      </c>
      <c r="AH221" s="69" t="n">
        <f aca="false">AG221+AH220</f>
        <v>-200602.219337757</v>
      </c>
      <c r="AI221" s="69" t="n">
        <f aca="false">AH221+AI220</f>
        <v>-178786.502634002</v>
      </c>
      <c r="AJ221" s="69" t="n">
        <f aca="false">AI221+AJ220</f>
        <v>-156953.152001675</v>
      </c>
      <c r="AK221" s="69" t="n">
        <f aca="false">AJ221+AK220</f>
        <v>-135102.167440776</v>
      </c>
      <c r="AL221" s="69" t="n">
        <f aca="false">AK221+AL220</f>
        <v>-113233.548951306</v>
      </c>
      <c r="AM221" s="69" t="n">
        <f aca="false">AL221+AM220</f>
        <v>-105601.871196901</v>
      </c>
      <c r="AN221" s="69" t="n">
        <f aca="false">AM221+AN220</f>
        <v>-79159.2760012729</v>
      </c>
      <c r="AO221" s="69" t="n">
        <f aca="false">AN221+AO220</f>
        <v>-52699.0468770737</v>
      </c>
      <c r="AP221" s="69" t="n">
        <f aca="false">AO221+AP220</f>
        <v>-26221.1838243031</v>
      </c>
      <c r="AQ221" s="69" t="n">
        <f aca="false">AP221+AQ220</f>
        <v>274.313157039032</v>
      </c>
      <c r="AR221" s="69" t="n">
        <f aca="false">AQ221+AR220</f>
        <v>26787.4440669525</v>
      </c>
      <c r="AS221" s="69" t="n">
        <f aca="false">AR221+AS220</f>
        <v>53318.2089054375</v>
      </c>
      <c r="AT221" s="69" t="n">
        <f aca="false">AS221+AT220</f>
        <v>79866.6076724939</v>
      </c>
      <c r="AU221" s="69" t="n">
        <f aca="false">AT221+AU220</f>
        <v>106432.640368122</v>
      </c>
      <c r="AV221" s="69" t="n">
        <f aca="false">AU221+AV220</f>
        <v>133016.306992321</v>
      </c>
      <c r="AW221" s="69" t="n">
        <f aca="false">AV221+AW220</f>
        <v>159617.607545092</v>
      </c>
      <c r="AX221" s="69" t="n">
        <f aca="false">AW221+AX220</f>
        <v>186236.542026434</v>
      </c>
      <c r="AY221" s="69" t="n">
        <f aca="false">AX221+AY220</f>
        <v>198827.548881851</v>
      </c>
      <c r="AZ221" s="69" t="n">
        <f aca="false">AY221+AZ220</f>
        <v>230176.81288694</v>
      </c>
      <c r="BA221" s="69" t="n">
        <f aca="false">AZ221+BA220</f>
        <v>261543.7108206</v>
      </c>
      <c r="BB221" s="69" t="n">
        <f aca="false">BA221+BB220</f>
        <v>292928.242682832</v>
      </c>
      <c r="BC221" s="69" t="n">
        <f aca="false">BB221+BC220</f>
        <v>324330.408473635</v>
      </c>
      <c r="BD221" s="69" t="n">
        <f aca="false">BC221+BD220</f>
        <v>355750.208193009</v>
      </c>
      <c r="BE221" s="69" t="n">
        <f aca="false">BD221+BE220</f>
        <v>387187.641840955</v>
      </c>
      <c r="BF221" s="69" t="n">
        <f aca="false">BE221+BF220</f>
        <v>418642.709417473</v>
      </c>
      <c r="BG221" s="69" t="n">
        <f aca="false">BF221+BG220</f>
        <v>450115.410922562</v>
      </c>
      <c r="BH221" s="69" t="n">
        <f aca="false">BG221+BH220</f>
        <v>481605.746356222</v>
      </c>
      <c r="BI221" s="69" t="n">
        <f aca="false">BH221+BI220</f>
        <v>513113.715718454</v>
      </c>
      <c r="BJ221" s="69" t="n">
        <f aca="false">BI221+BJ220</f>
        <v>544639.319009257</v>
      </c>
    </row>
    <row r="222" customFormat="false" ht="15" hidden="false" customHeight="false" outlineLevel="0" collapsed="false">
      <c r="A222" s="118" t="s">
        <v>449</v>
      </c>
      <c r="C222" s="69" t="n">
        <f aca="false">C221</f>
        <v>-409131</v>
      </c>
      <c r="D222" s="69" t="n">
        <f aca="false">MIN(C222,D221)</f>
        <v>-454642.255952381</v>
      </c>
      <c r="E222" s="69" t="n">
        <f aca="false">MIN(D222,E221)</f>
        <v>-494623.612351191</v>
      </c>
      <c r="F222" s="69" t="n">
        <f aca="false">MIN(E222,F221)</f>
        <v>-529075.069196429</v>
      </c>
      <c r="G222" s="69" t="n">
        <f aca="false">MIN(F222,G221)</f>
        <v>-557996.626488095</v>
      </c>
      <c r="H222" s="69" t="n">
        <f aca="false">MIN(G222,H221)</f>
        <v>-581388.28422619</v>
      </c>
      <c r="I222" s="69" t="n">
        <f aca="false">MIN(H222,I221)</f>
        <v>-599250.042410714</v>
      </c>
      <c r="J222" s="69" t="n">
        <f aca="false">MIN(I222,J221)</f>
        <v>-611581.901041667</v>
      </c>
      <c r="K222" s="69" t="n">
        <f aca="false">MIN(J222,K221)</f>
        <v>-618383.860119048</v>
      </c>
      <c r="L222" s="69" t="n">
        <f aca="false">MIN(K222,L221)</f>
        <v>-619655.919642857</v>
      </c>
      <c r="M222" s="69" t="n">
        <f aca="false">MIN(L222,M221)</f>
        <v>-619655.919642857</v>
      </c>
      <c r="N222" s="69" t="n">
        <f aca="false">MIN(M222,N221)</f>
        <v>-619655.919642857</v>
      </c>
      <c r="O222" s="69" t="n">
        <f aca="false">MIN(N222,O221)</f>
        <v>-619655.919642857</v>
      </c>
      <c r="P222" s="69" t="n">
        <f aca="false">MIN(O222,P221)</f>
        <v>-619655.919642857</v>
      </c>
      <c r="Q222" s="69" t="n">
        <f aca="false">MIN(P222,Q221)</f>
        <v>-619655.919642857</v>
      </c>
      <c r="R222" s="69" t="n">
        <f aca="false">MIN(Q222,R221)</f>
        <v>-619655.919642857</v>
      </c>
      <c r="S222" s="69" t="n">
        <f aca="false">MIN(R222,S221)</f>
        <v>-619655.919642857</v>
      </c>
      <c r="T222" s="69" t="n">
        <f aca="false">MIN(S222,T221)</f>
        <v>-619655.919642857</v>
      </c>
      <c r="U222" s="69" t="n">
        <f aca="false">MIN(T222,U221)</f>
        <v>-619655.919642857</v>
      </c>
      <c r="V222" s="69" t="n">
        <f aca="false">MIN(U222,V221)</f>
        <v>-619655.919642857</v>
      </c>
      <c r="W222" s="69" t="n">
        <f aca="false">MIN(V222,W221)</f>
        <v>-619655.919642857</v>
      </c>
      <c r="X222" s="69" t="n">
        <f aca="false">MIN(W222,X221)</f>
        <v>-619655.919642857</v>
      </c>
      <c r="Y222" s="69" t="n">
        <f aca="false">MIN(X222,Y221)</f>
        <v>-619655.919642857</v>
      </c>
      <c r="Z222" s="69" t="n">
        <f aca="false">MIN(Y222,Z221)</f>
        <v>-619655.919642857</v>
      </c>
      <c r="AA222" s="69" t="n">
        <f aca="false">MIN(Z222,AA221)</f>
        <v>-619655.919642857</v>
      </c>
      <c r="AB222" s="69" t="n">
        <f aca="false">MIN(AA222,AB221)</f>
        <v>-619655.919642857</v>
      </c>
      <c r="AC222" s="69" t="n">
        <f aca="false">MIN(AB222,AC221)</f>
        <v>-619655.919642857</v>
      </c>
      <c r="AD222" s="69" t="n">
        <f aca="false">MIN(AC222,AD221)</f>
        <v>-619655.919642857</v>
      </c>
      <c r="AE222" s="69" t="n">
        <f aca="false">MIN(AD222,AE221)</f>
        <v>-619655.919642857</v>
      </c>
      <c r="AF222" s="69" t="n">
        <f aca="false">MIN(AE222,AF221)</f>
        <v>-619655.919642857</v>
      </c>
      <c r="AG222" s="69" t="n">
        <f aca="false">MIN(AF222,AG221)</f>
        <v>-619655.919642857</v>
      </c>
      <c r="AH222" s="69" t="n">
        <f aca="false">MIN(AG222,AH221)</f>
        <v>-619655.919642857</v>
      </c>
      <c r="AI222" s="69" t="n">
        <f aca="false">MIN(AH222,AI221)</f>
        <v>-619655.919642857</v>
      </c>
      <c r="AJ222" s="69" t="n">
        <f aca="false">MIN(AI222,AJ221)</f>
        <v>-619655.919642857</v>
      </c>
      <c r="AK222" s="69" t="n">
        <f aca="false">MIN(AJ222,AK221)</f>
        <v>-619655.919642857</v>
      </c>
      <c r="AL222" s="69" t="n">
        <f aca="false">MIN(AK222,AL221)</f>
        <v>-619655.919642857</v>
      </c>
      <c r="AM222" s="69" t="n">
        <f aca="false">MIN(AL222,AM221)</f>
        <v>-619655.919642857</v>
      </c>
      <c r="AN222" s="69" t="n">
        <f aca="false">MIN(AM222,AN221)</f>
        <v>-619655.919642857</v>
      </c>
      <c r="AO222" s="69" t="n">
        <f aca="false">MIN(AN222,AO221)</f>
        <v>-619655.919642857</v>
      </c>
      <c r="AP222" s="69" t="n">
        <f aca="false">MIN(AO222,AP221)</f>
        <v>-619655.919642857</v>
      </c>
      <c r="AQ222" s="69" t="n">
        <f aca="false">MIN(AP222,AQ221)</f>
        <v>-619655.919642857</v>
      </c>
      <c r="AR222" s="69" t="n">
        <f aca="false">MIN(AQ222,AR221)</f>
        <v>-619655.919642857</v>
      </c>
      <c r="AS222" s="69" t="n">
        <f aca="false">MIN(AR222,AS221)</f>
        <v>-619655.919642857</v>
      </c>
      <c r="AT222" s="69" t="n">
        <f aca="false">MIN(AS222,AT221)</f>
        <v>-619655.919642857</v>
      </c>
      <c r="AU222" s="69" t="n">
        <f aca="false">MIN(AT222,AU221)</f>
        <v>-619655.919642857</v>
      </c>
      <c r="AV222" s="69" t="n">
        <f aca="false">MIN(AU222,AV221)</f>
        <v>-619655.919642857</v>
      </c>
      <c r="AW222" s="69" t="n">
        <f aca="false">MIN(AV222,AW221)</f>
        <v>-619655.919642857</v>
      </c>
      <c r="AX222" s="69" t="n">
        <f aca="false">MIN(AW222,AX221)</f>
        <v>-619655.919642857</v>
      </c>
      <c r="AY222" s="69" t="n">
        <f aca="false">MIN(AX222,AY221)</f>
        <v>-619655.919642857</v>
      </c>
      <c r="AZ222" s="69" t="n">
        <f aca="false">MIN(AY222,AZ221)</f>
        <v>-619655.919642857</v>
      </c>
      <c r="BA222" s="69" t="n">
        <f aca="false">MIN(AZ222,BA221)</f>
        <v>-619655.919642857</v>
      </c>
      <c r="BB222" s="69" t="n">
        <f aca="false">MIN(BA222,BB221)</f>
        <v>-619655.919642857</v>
      </c>
      <c r="BC222" s="69" t="n">
        <f aca="false">MIN(BB222,BC221)</f>
        <v>-619655.919642857</v>
      </c>
      <c r="BD222" s="69" t="n">
        <f aca="false">MIN(BC222,BD221)</f>
        <v>-619655.919642857</v>
      </c>
      <c r="BE222" s="69" t="n">
        <f aca="false">MIN(BD222,BE221)</f>
        <v>-619655.919642857</v>
      </c>
      <c r="BF222" s="69" t="n">
        <f aca="false">MIN(BE222,BF221)</f>
        <v>-619655.919642857</v>
      </c>
      <c r="BG222" s="69" t="n">
        <f aca="false">MIN(BF222,BG221)</f>
        <v>-619655.919642857</v>
      </c>
      <c r="BH222" s="69" t="n">
        <f aca="false">MIN(BG222,BH221)</f>
        <v>-619655.919642857</v>
      </c>
      <c r="BI222" s="69" t="n">
        <f aca="false">MIN(BH222,BI221)</f>
        <v>-619655.919642857</v>
      </c>
      <c r="BJ222" s="69" t="n">
        <f aca="false">MIN(BI222,BJ221)</f>
        <v>-619655.919642857</v>
      </c>
    </row>
    <row r="223" customFormat="false" ht="15" hidden="false" customHeight="false" outlineLevel="0" collapsed="false">
      <c r="A223" s="118" t="s">
        <v>450</v>
      </c>
      <c r="C223" s="120" t="n">
        <f aca="false">IF(AND(C221&gt;=0,C222&lt;0),1,0)</f>
        <v>0</v>
      </c>
      <c r="D223" s="120" t="n">
        <f aca="false">IF(AND(D221&gt;=0,D222&lt;0),1,0)</f>
        <v>0</v>
      </c>
      <c r="E223" s="120" t="n">
        <f aca="false">IF(AND(E221&gt;=0,E222&lt;0),1,0)</f>
        <v>0</v>
      </c>
      <c r="F223" s="120" t="n">
        <f aca="false">IF(AND(F221&gt;=0,F222&lt;0),1,0)</f>
        <v>0</v>
      </c>
      <c r="G223" s="120" t="n">
        <f aca="false">IF(AND(G221&gt;=0,G222&lt;0),1,0)</f>
        <v>0</v>
      </c>
      <c r="H223" s="120" t="n">
        <f aca="false">IF(AND(H221&gt;=0,H222&lt;0),1,0)</f>
        <v>0</v>
      </c>
      <c r="I223" s="120" t="n">
        <f aca="false">IF(AND(I221&gt;=0,I222&lt;0),1,0)</f>
        <v>0</v>
      </c>
      <c r="J223" s="120" t="n">
        <f aca="false">IF(AND(J221&gt;=0,J222&lt;0),1,0)</f>
        <v>0</v>
      </c>
      <c r="K223" s="120" t="n">
        <f aca="false">IF(AND(K221&gt;=0,K222&lt;0),1,0)</f>
        <v>0</v>
      </c>
      <c r="L223" s="120" t="n">
        <f aca="false">IF(AND(L221&gt;=0,L222&lt;0),1,0)</f>
        <v>0</v>
      </c>
      <c r="M223" s="120" t="n">
        <f aca="false">IF(AND(M221&gt;=0,M222&lt;0),1,0)</f>
        <v>0</v>
      </c>
      <c r="N223" s="120" t="n">
        <f aca="false">IF(AND(N221&gt;=0,N222&lt;0),1,0)</f>
        <v>0</v>
      </c>
      <c r="O223" s="120" t="n">
        <f aca="false">IF(AND(O221&gt;=0,O222&lt;0),1,0)</f>
        <v>0</v>
      </c>
      <c r="P223" s="120" t="n">
        <f aca="false">IF(AND(P221&gt;=0,P222&lt;0),1,0)</f>
        <v>0</v>
      </c>
      <c r="Q223" s="120" t="n">
        <f aca="false">IF(AND(Q221&gt;=0,Q222&lt;0),1,0)</f>
        <v>0</v>
      </c>
      <c r="R223" s="120" t="n">
        <f aca="false">IF(AND(R221&gt;=0,R222&lt;0),1,0)</f>
        <v>0</v>
      </c>
      <c r="S223" s="120" t="n">
        <f aca="false">IF(AND(S221&gt;=0,S222&lt;0),1,0)</f>
        <v>0</v>
      </c>
      <c r="T223" s="120" t="n">
        <f aca="false">IF(AND(T221&gt;=0,T222&lt;0),1,0)</f>
        <v>0</v>
      </c>
      <c r="U223" s="120" t="n">
        <f aca="false">IF(AND(U221&gt;=0,U222&lt;0),1,0)</f>
        <v>0</v>
      </c>
      <c r="V223" s="120" t="n">
        <f aca="false">IF(AND(V221&gt;=0,V222&lt;0),1,0)</f>
        <v>0</v>
      </c>
      <c r="W223" s="120" t="n">
        <f aca="false">IF(AND(W221&gt;=0,W222&lt;0),1,0)</f>
        <v>0</v>
      </c>
      <c r="X223" s="120" t="n">
        <f aca="false">IF(AND(X221&gt;=0,X222&lt;0),1,0)</f>
        <v>0</v>
      </c>
      <c r="Y223" s="120" t="n">
        <f aca="false">IF(AND(Y221&gt;=0,Y222&lt;0),1,0)</f>
        <v>0</v>
      </c>
      <c r="Z223" s="120" t="n">
        <f aca="false">IF(AND(Z221&gt;=0,Z222&lt;0),1,0)</f>
        <v>0</v>
      </c>
      <c r="AA223" s="120" t="n">
        <f aca="false">IF(AND(AA221&gt;=0,AA222&lt;0),1,0)</f>
        <v>0</v>
      </c>
      <c r="AB223" s="120" t="n">
        <f aca="false">IF(AND(AB221&gt;=0,AB222&lt;0),1,0)</f>
        <v>0</v>
      </c>
      <c r="AC223" s="120" t="n">
        <f aca="false">IF(AND(AC221&gt;=0,AC222&lt;0),1,0)</f>
        <v>0</v>
      </c>
      <c r="AD223" s="120" t="n">
        <f aca="false">IF(AND(AD221&gt;=0,AD222&lt;0),1,0)</f>
        <v>0</v>
      </c>
      <c r="AE223" s="120" t="n">
        <f aca="false">IF(AND(AE221&gt;=0,AE222&lt;0),1,0)</f>
        <v>0</v>
      </c>
      <c r="AF223" s="120" t="n">
        <f aca="false">IF(AND(AF221&gt;=0,AF222&lt;0),1,0)</f>
        <v>0</v>
      </c>
      <c r="AG223" s="120" t="n">
        <f aca="false">IF(AND(AG221&gt;=0,AG222&lt;0),1,0)</f>
        <v>0</v>
      </c>
      <c r="AH223" s="120" t="n">
        <f aca="false">IF(AND(AH221&gt;=0,AH222&lt;0),1,0)</f>
        <v>0</v>
      </c>
      <c r="AI223" s="120" t="n">
        <f aca="false">IF(AND(AI221&gt;=0,AI222&lt;0),1,0)</f>
        <v>0</v>
      </c>
      <c r="AJ223" s="120" t="n">
        <f aca="false">IF(AND(AJ221&gt;=0,AJ222&lt;0),1,0)</f>
        <v>0</v>
      </c>
      <c r="AK223" s="120" t="n">
        <f aca="false">IF(AND(AK221&gt;=0,AK222&lt;0),1,0)</f>
        <v>0</v>
      </c>
      <c r="AL223" s="120" t="n">
        <f aca="false">IF(AND(AL221&gt;=0,AL222&lt;0),1,0)</f>
        <v>0</v>
      </c>
      <c r="AM223" s="120" t="n">
        <f aca="false">IF(AND(AM221&gt;=0,AM222&lt;0),1,0)</f>
        <v>0</v>
      </c>
      <c r="AN223" s="120" t="n">
        <f aca="false">IF(AND(AN221&gt;=0,AN222&lt;0),1,0)</f>
        <v>0</v>
      </c>
      <c r="AO223" s="120" t="n">
        <f aca="false">IF(AND(AO221&gt;=0,AO222&lt;0),1,0)</f>
        <v>0</v>
      </c>
      <c r="AP223" s="120" t="n">
        <f aca="false">IF(AND(AP221&gt;=0,AP222&lt;0),1,0)</f>
        <v>0</v>
      </c>
      <c r="AQ223" s="120" t="n">
        <f aca="false">IF(AND(AQ221&gt;=0,AQ222&lt;0),1,0)</f>
        <v>1</v>
      </c>
      <c r="AR223" s="120" t="n">
        <f aca="false">IF(AND(AR221&gt;=0,AR222&lt;0),1,0)</f>
        <v>1</v>
      </c>
      <c r="AS223" s="120" t="n">
        <f aca="false">IF(AND(AS221&gt;=0,AS222&lt;0),1,0)</f>
        <v>1</v>
      </c>
      <c r="AT223" s="120" t="n">
        <f aca="false">IF(AND(AT221&gt;=0,AT222&lt;0),1,0)</f>
        <v>1</v>
      </c>
      <c r="AU223" s="120" t="n">
        <f aca="false">IF(AND(AU221&gt;=0,AU222&lt;0),1,0)</f>
        <v>1</v>
      </c>
      <c r="AV223" s="120" t="n">
        <f aca="false">IF(AND(AV221&gt;=0,AV222&lt;0),1,0)</f>
        <v>1</v>
      </c>
      <c r="AW223" s="120" t="n">
        <f aca="false">IF(AND(AW221&gt;=0,AW222&lt;0),1,0)</f>
        <v>1</v>
      </c>
      <c r="AX223" s="120" t="n">
        <f aca="false">IF(AND(AX221&gt;=0,AX222&lt;0),1,0)</f>
        <v>1</v>
      </c>
      <c r="AY223" s="120" t="n">
        <f aca="false">IF(AND(AY221&gt;=0,AY222&lt;0),1,0)</f>
        <v>1</v>
      </c>
      <c r="AZ223" s="120" t="n">
        <f aca="false">IF(AND(AZ221&gt;=0,AZ222&lt;0),1,0)</f>
        <v>1</v>
      </c>
      <c r="BA223" s="120" t="n">
        <f aca="false">IF(AND(BA221&gt;=0,BA222&lt;0),1,0)</f>
        <v>1</v>
      </c>
      <c r="BB223" s="120" t="n">
        <f aca="false">IF(AND(BB221&gt;=0,BB222&lt;0),1,0)</f>
        <v>1</v>
      </c>
      <c r="BC223" s="120" t="n">
        <f aca="false">IF(AND(BC221&gt;=0,BC222&lt;0),1,0)</f>
        <v>1</v>
      </c>
      <c r="BD223" s="120" t="n">
        <f aca="false">IF(AND(BD221&gt;=0,BD222&lt;0),1,0)</f>
        <v>1</v>
      </c>
      <c r="BE223" s="120" t="n">
        <f aca="false">IF(AND(BE221&gt;=0,BE222&lt;0),1,0)</f>
        <v>1</v>
      </c>
      <c r="BF223" s="120" t="n">
        <f aca="false">IF(AND(BF221&gt;=0,BF222&lt;0),1,0)</f>
        <v>1</v>
      </c>
      <c r="BG223" s="120" t="n">
        <f aca="false">IF(AND(BG221&gt;=0,BG222&lt;0),1,0)</f>
        <v>1</v>
      </c>
      <c r="BH223" s="120" t="n">
        <f aca="false">IF(AND(BH221&gt;=0,BH222&lt;0),1,0)</f>
        <v>1</v>
      </c>
      <c r="BI223" s="120" t="n">
        <f aca="false">IF(AND(BI221&gt;=0,BI222&lt;0),1,0)</f>
        <v>1</v>
      </c>
      <c r="BJ223" s="120" t="n">
        <f aca="false">IF(AND(BJ221&gt;=0,BJ222&lt;0),1,0)</f>
        <v>1</v>
      </c>
    </row>
    <row r="224" customFormat="false" ht="15" hidden="false" customHeight="false" outlineLevel="0" collapsed="false">
      <c r="A224" s="6" t="s">
        <v>451</v>
      </c>
      <c r="C224" s="69" t="n">
        <f aca="false">C209-C174*(1-Inputs!$C$79)+C210</f>
        <v>-407649.75</v>
      </c>
      <c r="D224" s="69" t="n">
        <f aca="false">D209-D174*(1-Inputs!$C$79)+D210</f>
        <v>-44038.8229166667</v>
      </c>
      <c r="E224" s="69" t="n">
        <f aca="false">E209-E174*(1-Inputs!$C$79)+E210</f>
        <v>-38526.5572916667</v>
      </c>
      <c r="F224" s="69" t="n">
        <f aca="false">F209-F174*(1-Inputs!$C$79)+F210</f>
        <v>-33014.2916666667</v>
      </c>
      <c r="G224" s="69" t="n">
        <f aca="false">G209-G174*(1-Inputs!$C$79)+G210</f>
        <v>-27502.0260416667</v>
      </c>
      <c r="H224" s="69" t="n">
        <f aca="false">H209-H174*(1-Inputs!$C$79)+H210</f>
        <v>-21989.7604166667</v>
      </c>
      <c r="I224" s="69" t="n">
        <f aca="false">I209-I174*(1-Inputs!$C$79)+I210</f>
        <v>-16477.4947916667</v>
      </c>
      <c r="J224" s="69" t="n">
        <f aca="false">J209-J174*(1-Inputs!$C$79)+J210</f>
        <v>-10965.2291666667</v>
      </c>
      <c r="K224" s="69" t="n">
        <f aca="false">K209-K174*(1-Inputs!$C$79)+K210</f>
        <v>-5452.96354166667</v>
      </c>
      <c r="L224" s="69" t="n">
        <f aca="false">L209-L174*(1-Inputs!$C$79)+L210</f>
        <v>59.3020833333501</v>
      </c>
      <c r="M224" s="69" t="n">
        <f aca="false">M209-M174*(1-Inputs!$C$79)+M210</f>
        <v>5571.5677083333</v>
      </c>
      <c r="N224" s="69" t="n">
        <f aca="false">N209-N174*(1-Inputs!$C$79)+N210</f>
        <v>11083.8333333333</v>
      </c>
      <c r="O224" s="69" t="n">
        <f aca="false">O209-O174*(1-Inputs!$C$79)+O210</f>
        <v>3214.82920833332</v>
      </c>
      <c r="P224" s="69" t="n">
        <f aca="false">P209-P174*(1-Inputs!$C$79)+P210</f>
        <v>21722.3447395833</v>
      </c>
      <c r="Q224" s="69" t="n">
        <f aca="false">Q209-Q174*(1-Inputs!$C$79)+Q210</f>
        <v>21727.0322395833</v>
      </c>
      <c r="R224" s="69" t="n">
        <f aca="false">R209-R174*(1-Inputs!$C$79)+R210</f>
        <v>21731.7197395833</v>
      </c>
      <c r="S224" s="69" t="n">
        <f aca="false">S209-S174*(1-Inputs!$C$79)+S210</f>
        <v>21736.4072395833</v>
      </c>
      <c r="T224" s="69" t="n">
        <f aca="false">T209-T174*(1-Inputs!$C$79)+T210</f>
        <v>21741.0947395833</v>
      </c>
      <c r="U224" s="69" t="n">
        <f aca="false">U209-U174*(1-Inputs!$C$79)+U210</f>
        <v>21745.7822395833</v>
      </c>
      <c r="V224" s="69" t="n">
        <f aca="false">V209-V174*(1-Inputs!$C$79)+V210</f>
        <v>21750.4697395833</v>
      </c>
      <c r="W224" s="69" t="n">
        <f aca="false">W209-W174*(1-Inputs!$C$79)+W210</f>
        <v>21755.1572395833</v>
      </c>
      <c r="X224" s="69" t="n">
        <f aca="false">X209-X174*(1-Inputs!$C$79)+X210</f>
        <v>21759.8447395833</v>
      </c>
      <c r="Y224" s="69" t="n">
        <f aca="false">Y209-Y174*(1-Inputs!$C$79)+Y210</f>
        <v>21764.5322395833</v>
      </c>
      <c r="Z224" s="69" t="n">
        <f aca="false">Z209-Z174*(1-Inputs!$C$79)+Z210</f>
        <v>21769.2197395833</v>
      </c>
      <c r="AA224" s="69" t="n">
        <f aca="false">AA209-AA174*(1-Inputs!$C$79)+AA210</f>
        <v>8491.10713680831</v>
      </c>
      <c r="AB224" s="69" t="n">
        <f aca="false">AB209-AB174*(1-Inputs!$C$79)+AB210</f>
        <v>27339.2873623489</v>
      </c>
      <c r="AC224" s="69" t="n">
        <f aca="false">AC209-AC174*(1-Inputs!$C$79)+AC210</f>
        <v>27343.9748623489</v>
      </c>
      <c r="AD224" s="69" t="n">
        <f aca="false">AD209-AD174*(1-Inputs!$C$79)+AD210</f>
        <v>27348.6623623489</v>
      </c>
      <c r="AE224" s="69" t="n">
        <f aca="false">AE209-AE174*(1-Inputs!$C$79)+AE210</f>
        <v>26060.9112631326</v>
      </c>
      <c r="AF224" s="69" t="n">
        <f aca="false">AF209-AF174*(1-Inputs!$C$79)+AF210</f>
        <v>22741.4979537557</v>
      </c>
      <c r="AG224" s="69" t="n">
        <f aca="false">AG209-AG174*(1-Inputs!$C$79)+AG210</f>
        <v>22741.4979537557</v>
      </c>
      <c r="AH224" s="69" t="n">
        <f aca="false">AH209-AH174*(1-Inputs!$C$79)+AH210</f>
        <v>22741.4979537557</v>
      </c>
      <c r="AI224" s="69" t="n">
        <f aca="false">AI209-AI174*(1-Inputs!$C$79)+AI210</f>
        <v>22741.4979537557</v>
      </c>
      <c r="AJ224" s="69" t="n">
        <f aca="false">AJ209-AJ174*(1-Inputs!$C$79)+AJ210</f>
        <v>22741.4979537557</v>
      </c>
      <c r="AK224" s="69" t="n">
        <f aca="false">AK209-AK174*(1-Inputs!$C$79)+AK210</f>
        <v>22741.4979537557</v>
      </c>
      <c r="AL224" s="69" t="n">
        <f aca="false">AL209-AL174*(1-Inputs!$C$79)+AL210</f>
        <v>22741.4979537557</v>
      </c>
      <c r="AM224" s="69" t="n">
        <f aca="false">AM209-AM174*(1-Inputs!$C$79)+AM210</f>
        <v>8486.92329011961</v>
      </c>
      <c r="AN224" s="69" t="n">
        <f aca="false">AN209-AN174*(1-Inputs!$C$79)+AN210</f>
        <v>27280.2068027707</v>
      </c>
      <c r="AO224" s="69" t="n">
        <f aca="false">AO209-AO174*(1-Inputs!$C$79)+AO210</f>
        <v>27280.2068027707</v>
      </c>
      <c r="AP224" s="69" t="n">
        <f aca="false">AP209-AP174*(1-Inputs!$C$79)+AP210</f>
        <v>27280.2068027707</v>
      </c>
      <c r="AQ224" s="69" t="n">
        <f aca="false">AQ209-AQ174*(1-Inputs!$C$79)+AQ210</f>
        <v>27280.2068027707</v>
      </c>
      <c r="AR224" s="69" t="n">
        <f aca="false">AR209-AR174*(1-Inputs!$C$79)+AR210</f>
        <v>27280.2068027707</v>
      </c>
      <c r="AS224" s="69" t="n">
        <f aca="false">AS209-AS174*(1-Inputs!$C$79)+AS210</f>
        <v>27280.2068027707</v>
      </c>
      <c r="AT224" s="69" t="n">
        <f aca="false">AT209-AT174*(1-Inputs!$C$79)+AT210</f>
        <v>27280.2068027707</v>
      </c>
      <c r="AU224" s="69" t="n">
        <f aca="false">AU209-AU174*(1-Inputs!$C$79)+AU210</f>
        <v>27280.2068027707</v>
      </c>
      <c r="AV224" s="69" t="n">
        <f aca="false">AV209-AV174*(1-Inputs!$C$79)+AV210</f>
        <v>27280.2068027707</v>
      </c>
      <c r="AW224" s="69" t="n">
        <f aca="false">AW209-AW174*(1-Inputs!$C$79)+AW210</f>
        <v>27280.2068027707</v>
      </c>
      <c r="AX224" s="69" t="n">
        <f aca="false">AX209-AX174*(1-Inputs!$C$79)+AX210</f>
        <v>27280.2068027707</v>
      </c>
      <c r="AY224" s="69" t="n">
        <f aca="false">AY209-AY174*(1-Inputs!$C$79)+AY210</f>
        <v>13234.6452482744</v>
      </c>
      <c r="AZ224" s="69" t="n">
        <f aca="false">AZ209-AZ174*(1-Inputs!$C$79)+AZ210</f>
        <v>31975.2684693746</v>
      </c>
      <c r="BA224" s="69" t="n">
        <f aca="false">BA209-BA174*(1-Inputs!$C$79)+BA210</f>
        <v>31975.2684693746</v>
      </c>
      <c r="BB224" s="69" t="n">
        <f aca="false">BB209-BB174*(1-Inputs!$C$79)+BB210</f>
        <v>31975.2684693746</v>
      </c>
      <c r="BC224" s="69" t="n">
        <f aca="false">BC209-BC174*(1-Inputs!$C$79)+BC210</f>
        <v>31975.2684693746</v>
      </c>
      <c r="BD224" s="69" t="n">
        <f aca="false">BD209-BD174*(1-Inputs!$C$79)+BD210</f>
        <v>31975.2684693746</v>
      </c>
      <c r="BE224" s="69" t="n">
        <f aca="false">BE209-BE174*(1-Inputs!$C$79)+BE210</f>
        <v>31975.2684693746</v>
      </c>
      <c r="BF224" s="69" t="n">
        <f aca="false">BF209-BF174*(1-Inputs!$C$79)+BF210</f>
        <v>31975.2684693746</v>
      </c>
      <c r="BG224" s="69" t="n">
        <f aca="false">BG209-BG174*(1-Inputs!$C$79)+BG210</f>
        <v>31975.2684693746</v>
      </c>
      <c r="BH224" s="69" t="n">
        <f aca="false">BH209-BH174*(1-Inputs!$C$79)+BH210</f>
        <v>31975.2684693746</v>
      </c>
      <c r="BI224" s="69" t="n">
        <f aca="false">BI209-BI174*(1-Inputs!$C$79)+BI210</f>
        <v>31975.2684693746</v>
      </c>
      <c r="BJ224" s="69" t="n">
        <f aca="false">BJ209-BJ174*(1-Inputs!$C$79)+BJ210</f>
        <v>31975.2684693746</v>
      </c>
    </row>
    <row r="226" customFormat="false" ht="15.75" hidden="false" customHeight="true" outlineLevel="0" collapsed="false">
      <c r="A226" s="7" t="s">
        <v>452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customFormat="false" ht="15" hidden="false" customHeight="false" outlineLevel="0" collapsed="false">
      <c r="A227" s="6" t="s">
        <v>97</v>
      </c>
      <c r="C227" s="69" t="n">
        <f aca="false">C211</f>
        <v>480000</v>
      </c>
      <c r="D227" s="69" t="n">
        <f aca="false">C227+D211</f>
        <v>480000</v>
      </c>
      <c r="E227" s="69" t="n">
        <f aca="false">D227+E211</f>
        <v>480000</v>
      </c>
      <c r="F227" s="69" t="n">
        <f aca="false">E227+F211</f>
        <v>480000</v>
      </c>
      <c r="G227" s="69" t="n">
        <f aca="false">F227+G211</f>
        <v>480000</v>
      </c>
      <c r="H227" s="69" t="n">
        <f aca="false">G227+H211</f>
        <v>480000</v>
      </c>
      <c r="I227" s="69" t="n">
        <f aca="false">H227+I211</f>
        <v>480000</v>
      </c>
      <c r="J227" s="69" t="n">
        <f aca="false">I227+J211</f>
        <v>480000</v>
      </c>
      <c r="K227" s="69" t="n">
        <f aca="false">J227+K211</f>
        <v>480000</v>
      </c>
      <c r="L227" s="69" t="n">
        <f aca="false">K227+L211</f>
        <v>480000</v>
      </c>
      <c r="M227" s="69" t="n">
        <f aca="false">L227+M211</f>
        <v>480000</v>
      </c>
      <c r="N227" s="69" t="n">
        <f aca="false">M227+N211</f>
        <v>480000</v>
      </c>
      <c r="O227" s="69" t="n">
        <f aca="false">N227+O211</f>
        <v>480000</v>
      </c>
      <c r="P227" s="69" t="n">
        <f aca="false">O227+P211</f>
        <v>480000</v>
      </c>
      <c r="Q227" s="69" t="n">
        <f aca="false">P227+Q211</f>
        <v>480000</v>
      </c>
      <c r="R227" s="69" t="n">
        <f aca="false">Q227+R211</f>
        <v>480000</v>
      </c>
      <c r="S227" s="69" t="n">
        <f aca="false">R227+S211</f>
        <v>480000</v>
      </c>
      <c r="T227" s="69" t="n">
        <f aca="false">S227+T211</f>
        <v>480000</v>
      </c>
      <c r="U227" s="69" t="n">
        <f aca="false">T227+U211</f>
        <v>480000</v>
      </c>
      <c r="V227" s="69" t="n">
        <f aca="false">U227+V211</f>
        <v>480000</v>
      </c>
      <c r="W227" s="69" t="n">
        <f aca="false">V227+W211</f>
        <v>480000</v>
      </c>
      <c r="X227" s="69" t="n">
        <f aca="false">W227+X211</f>
        <v>480000</v>
      </c>
      <c r="Y227" s="69" t="n">
        <f aca="false">X227+Y211</f>
        <v>480000</v>
      </c>
      <c r="Z227" s="69" t="n">
        <f aca="false">Y227+Z211</f>
        <v>480000</v>
      </c>
      <c r="AA227" s="69" t="n">
        <f aca="false">Z227+AA211</f>
        <v>480000</v>
      </c>
      <c r="AB227" s="69" t="n">
        <f aca="false">AA227+AB211</f>
        <v>480000</v>
      </c>
      <c r="AC227" s="69" t="n">
        <f aca="false">AB227+AC211</f>
        <v>480000</v>
      </c>
      <c r="AD227" s="69" t="n">
        <f aca="false">AC227+AD211</f>
        <v>480000</v>
      </c>
      <c r="AE227" s="69" t="n">
        <f aca="false">AD227+AE211</f>
        <v>480000</v>
      </c>
      <c r="AF227" s="69" t="n">
        <f aca="false">AE227+AF211</f>
        <v>480000</v>
      </c>
      <c r="AG227" s="69" t="n">
        <f aca="false">AF227+AG211</f>
        <v>480000</v>
      </c>
      <c r="AH227" s="69" t="n">
        <f aca="false">AG227+AH211</f>
        <v>480000</v>
      </c>
      <c r="AI227" s="69" t="n">
        <f aca="false">AH227+AI211</f>
        <v>480000</v>
      </c>
      <c r="AJ227" s="69" t="n">
        <f aca="false">AI227+AJ211</f>
        <v>480000</v>
      </c>
      <c r="AK227" s="69" t="n">
        <f aca="false">AJ227+AK211</f>
        <v>480000</v>
      </c>
      <c r="AL227" s="69" t="n">
        <f aca="false">AK227+AL211</f>
        <v>480000</v>
      </c>
      <c r="AM227" s="69" t="n">
        <f aca="false">AL227+AM211</f>
        <v>480000</v>
      </c>
      <c r="AN227" s="69" t="n">
        <f aca="false">AM227+AN211</f>
        <v>480000</v>
      </c>
      <c r="AO227" s="69" t="n">
        <f aca="false">AN227+AO211</f>
        <v>480000</v>
      </c>
      <c r="AP227" s="69" t="n">
        <f aca="false">AO227+AP211</f>
        <v>480000</v>
      </c>
      <c r="AQ227" s="69" t="n">
        <f aca="false">AP227+AQ211</f>
        <v>480000</v>
      </c>
      <c r="AR227" s="69" t="n">
        <f aca="false">AQ227+AR211</f>
        <v>480000</v>
      </c>
      <c r="AS227" s="69" t="n">
        <f aca="false">AR227+AS211</f>
        <v>480000</v>
      </c>
      <c r="AT227" s="69" t="n">
        <f aca="false">AS227+AT211</f>
        <v>480000</v>
      </c>
      <c r="AU227" s="69" t="n">
        <f aca="false">AT227+AU211</f>
        <v>480000</v>
      </c>
      <c r="AV227" s="69" t="n">
        <f aca="false">AU227+AV211</f>
        <v>480000</v>
      </c>
      <c r="AW227" s="69" t="n">
        <f aca="false">AV227+AW211</f>
        <v>480000</v>
      </c>
      <c r="AX227" s="69" t="n">
        <f aca="false">AW227+AX211</f>
        <v>480000</v>
      </c>
      <c r="AY227" s="69" t="n">
        <f aca="false">AX227+AY211</f>
        <v>480000</v>
      </c>
      <c r="AZ227" s="69" t="n">
        <f aca="false">AY227+AZ211</f>
        <v>480000</v>
      </c>
      <c r="BA227" s="69" t="n">
        <f aca="false">AZ227+BA211</f>
        <v>480000</v>
      </c>
      <c r="BB227" s="69" t="n">
        <f aca="false">BA227+BB211</f>
        <v>480000</v>
      </c>
      <c r="BC227" s="69" t="n">
        <f aca="false">BB227+BC211</f>
        <v>480000</v>
      </c>
      <c r="BD227" s="69" t="n">
        <f aca="false">BC227+BD211</f>
        <v>480000</v>
      </c>
      <c r="BE227" s="69" t="n">
        <f aca="false">BD227+BE211</f>
        <v>480000</v>
      </c>
      <c r="BF227" s="69" t="n">
        <f aca="false">BE227+BF211</f>
        <v>480000</v>
      </c>
      <c r="BG227" s="69" t="n">
        <f aca="false">BF227+BG211</f>
        <v>480000</v>
      </c>
      <c r="BH227" s="69" t="n">
        <f aca="false">BG227+BH211</f>
        <v>480000</v>
      </c>
      <c r="BI227" s="69" t="n">
        <f aca="false">BH227+BI211</f>
        <v>480000</v>
      </c>
      <c r="BJ227" s="69" t="n">
        <f aca="false">BI227+BJ211</f>
        <v>480000</v>
      </c>
    </row>
    <row r="228" customFormat="false" ht="15" hidden="false" customHeight="false" outlineLevel="0" collapsed="false">
      <c r="A228" s="6" t="s">
        <v>98</v>
      </c>
      <c r="C228" s="69" t="n">
        <f aca="false">C179</f>
        <v>-55397.7083333334</v>
      </c>
      <c r="D228" s="69" t="n">
        <f aca="false">C228+D179</f>
        <v>-105276.677827381</v>
      </c>
      <c r="E228" s="69" t="n">
        <f aca="false">D228+E179</f>
        <v>-149625.747767857</v>
      </c>
      <c r="F228" s="69" t="n">
        <f aca="false">E228+F179</f>
        <v>-188444.918154762</v>
      </c>
      <c r="G228" s="69" t="n">
        <f aca="false">F228+G179</f>
        <v>-221734.188988095</v>
      </c>
      <c r="H228" s="69" t="n">
        <f aca="false">G228+H179</f>
        <v>-249493.560267857</v>
      </c>
      <c r="I228" s="69" t="n">
        <f aca="false">H228+I179</f>
        <v>-271723.031994048</v>
      </c>
      <c r="J228" s="69" t="n">
        <f aca="false">I228+J179</f>
        <v>-288422.604166667</v>
      </c>
      <c r="K228" s="69" t="n">
        <f aca="false">J228+K179</f>
        <v>-299592.276785714</v>
      </c>
      <c r="L228" s="69" t="n">
        <f aca="false">K228+L179</f>
        <v>-305232.049851191</v>
      </c>
      <c r="M228" s="69" t="n">
        <f aca="false">L228+M179</f>
        <v>-305341.923363095</v>
      </c>
      <c r="N228" s="69" t="n">
        <f aca="false">M228+N179</f>
        <v>-299921.897321429</v>
      </c>
      <c r="O228" s="69" t="n">
        <f aca="false">N228+O179</f>
        <v>-283670.199903274</v>
      </c>
      <c r="P228" s="69" t="n">
        <f aca="false">O228+P179</f>
        <v>-267396.181056548</v>
      </c>
      <c r="Q228" s="69" t="n">
        <f aca="false">P228+Q179</f>
        <v>-251099.84078125</v>
      </c>
      <c r="R228" s="69" t="n">
        <f aca="false">Q228+R179</f>
        <v>-234781.179077381</v>
      </c>
      <c r="S228" s="69" t="n">
        <f aca="false">R228+S179</f>
        <v>-218440.195944941</v>
      </c>
      <c r="T228" s="69" t="n">
        <f aca="false">S228+T179</f>
        <v>-202076.891383929</v>
      </c>
      <c r="U228" s="69" t="n">
        <f aca="false">T228+U179</f>
        <v>-185691.265394345</v>
      </c>
      <c r="V228" s="69" t="n">
        <f aca="false">U228+V179</f>
        <v>-169283.317976191</v>
      </c>
      <c r="W228" s="69" t="n">
        <f aca="false">V228+W179</f>
        <v>-152853.049129464</v>
      </c>
      <c r="X228" s="69" t="n">
        <f aca="false">W228+X179</f>
        <v>-136400.458854167</v>
      </c>
      <c r="Y228" s="69" t="n">
        <f aca="false">X228+Y179</f>
        <v>-119925.547150298</v>
      </c>
      <c r="Z228" s="69" t="n">
        <f aca="false">Y228+Z179</f>
        <v>-103428.314017857</v>
      </c>
      <c r="AA228" s="69" t="n">
        <f aca="false">Z228+AA179</f>
        <v>-81556.4001674131</v>
      </c>
      <c r="AB228" s="69" t="n">
        <f aca="false">AA228+AB179</f>
        <v>-59662.1648883975</v>
      </c>
      <c r="AC228" s="69" t="n">
        <f aca="false">AB228+AC179</f>
        <v>-37745.6081808105</v>
      </c>
      <c r="AD228" s="69" t="n">
        <f aca="false">AC228+AD179</f>
        <v>-15806.730044652</v>
      </c>
      <c r="AE228" s="69" t="n">
        <f aca="false">AD228+AE179</f>
        <v>4862.03092086149</v>
      </c>
      <c r="AF228" s="69" t="n">
        <f aca="false">AE228+AF179</f>
        <v>22229.0125055695</v>
      </c>
      <c r="AG228" s="69" t="n">
        <f aca="false">AF228+AG179</f>
        <v>39613.628018849</v>
      </c>
      <c r="AH228" s="69" t="n">
        <f aca="false">AG228+AH179</f>
        <v>57015.8774606999</v>
      </c>
      <c r="AI228" s="69" t="n">
        <f aca="false">AH228+AI179</f>
        <v>74435.7608311222</v>
      </c>
      <c r="AJ228" s="69" t="n">
        <f aca="false">AI228+AJ179</f>
        <v>91873.2781301159</v>
      </c>
      <c r="AK228" s="69" t="n">
        <f aca="false">AJ228+AK179</f>
        <v>109328.429357681</v>
      </c>
      <c r="AL228" s="69" t="n">
        <f aca="false">AK228+AL179</f>
        <v>126801.214513818</v>
      </c>
      <c r="AM228" s="69" t="n">
        <f aca="false">AL228+AM179</f>
        <v>148622.009114207</v>
      </c>
      <c r="AN228" s="69" t="n">
        <f aca="false">AM228+AN179</f>
        <v>170460.437643169</v>
      </c>
      <c r="AO228" s="69" t="n">
        <f aca="false">AN228+AO179</f>
        <v>192316.500100701</v>
      </c>
      <c r="AP228" s="69" t="n">
        <f aca="false">AO228+AP179</f>
        <v>214190.196486805</v>
      </c>
      <c r="AQ228" s="69" t="n">
        <f aca="false">AP228+AQ179</f>
        <v>236081.526801481</v>
      </c>
      <c r="AR228" s="69" t="n">
        <f aca="false">AQ228+AR179</f>
        <v>257990.491044727</v>
      </c>
      <c r="AS228" s="69" t="n">
        <f aca="false">AR228+AS179</f>
        <v>279917.089216546</v>
      </c>
      <c r="AT228" s="69" t="n">
        <f aca="false">AS228+AT179</f>
        <v>301861.321316935</v>
      </c>
      <c r="AU228" s="69" t="n">
        <f aca="false">AT228+AU179</f>
        <v>323823.187345897</v>
      </c>
      <c r="AV228" s="69" t="n">
        <f aca="false">AU228+AV179</f>
        <v>345802.687303429</v>
      </c>
      <c r="AW228" s="69" t="n">
        <f aca="false">AV228+AW179</f>
        <v>367799.821189533</v>
      </c>
      <c r="AX228" s="69" t="n">
        <f aca="false">AW228+AX179</f>
        <v>389814.589004208</v>
      </c>
      <c r="AY228" s="69" t="n">
        <f aca="false">AX228+AY179</f>
        <v>416333.719080726</v>
      </c>
      <c r="AZ228" s="69" t="n">
        <f aca="false">AY228+AZ179</f>
        <v>442870.483085815</v>
      </c>
      <c r="BA228" s="69" t="n">
        <f aca="false">AZ228+BA179</f>
        <v>469424.881019475</v>
      </c>
      <c r="BB228" s="69" t="n">
        <f aca="false">BA228+BB179</f>
        <v>495996.912881707</v>
      </c>
      <c r="BC228" s="69" t="n">
        <f aca="false">BB228+BC179</f>
        <v>522586.57867251</v>
      </c>
      <c r="BD228" s="69" t="n">
        <f aca="false">BC228+BD179</f>
        <v>549193.878391885</v>
      </c>
      <c r="BE228" s="69" t="n">
        <f aca="false">BD228+BE179</f>
        <v>575818.812039831</v>
      </c>
      <c r="BF228" s="69" t="n">
        <f aca="false">BE228+BF179</f>
        <v>602461.379616348</v>
      </c>
      <c r="BG228" s="69" t="n">
        <f aca="false">BF228+BG179</f>
        <v>629121.581121437</v>
      </c>
      <c r="BH228" s="69" t="n">
        <f aca="false">BG228+BH179</f>
        <v>655799.416555097</v>
      </c>
      <c r="BI228" s="69" t="n">
        <f aca="false">BH228+BI179</f>
        <v>682494.885917329</v>
      </c>
      <c r="BJ228" s="69" t="n">
        <f aca="false">BI228+BJ179</f>
        <v>709207.989208132</v>
      </c>
    </row>
    <row r="229" customFormat="false" ht="15" hidden="false" customHeight="false" outlineLevel="0" collapsed="false">
      <c r="A229" s="4" t="s">
        <v>93</v>
      </c>
      <c r="C229" s="75" t="n">
        <f aca="false">C215+C201+C202+C192</f>
        <v>719501.25</v>
      </c>
      <c r="D229" s="75" t="n">
        <f aca="false">D215+D201+D202+D192</f>
        <v>668365.230654762</v>
      </c>
      <c r="E229" s="75" t="n">
        <f aca="false">E215+E201+E202+E192</f>
        <v>622759.110863095</v>
      </c>
      <c r="F229" s="75" t="n">
        <f aca="false">F215+F201+F202+F192</f>
        <v>582682.890625</v>
      </c>
      <c r="G229" s="75" t="n">
        <f aca="false">G215+G201+G202+G192</f>
        <v>548136.569940476</v>
      </c>
      <c r="H229" s="75" t="n">
        <f aca="false">H215+H201+H202+H192</f>
        <v>519120.148809524</v>
      </c>
      <c r="I229" s="75" t="n">
        <f aca="false">I215+I201+I202+I192</f>
        <v>495633.627232143</v>
      </c>
      <c r="J229" s="75" t="n">
        <f aca="false">J215+J201+J202+J192</f>
        <v>477677.005208333</v>
      </c>
      <c r="K229" s="75" t="n">
        <f aca="false">K215+K201+K202+K192</f>
        <v>465250.282738095</v>
      </c>
      <c r="L229" s="75" t="n">
        <f aca="false">L215+L201+L202+L192</f>
        <v>458353.459821429</v>
      </c>
      <c r="M229" s="75" t="n">
        <f aca="false">M215+M201+M202+M192</f>
        <v>456986.536458333</v>
      </c>
      <c r="N229" s="75" t="n">
        <f aca="false">N215+N201+N202+N192</f>
        <v>461149.512648809</v>
      </c>
      <c r="O229" s="75" t="n">
        <f aca="false">O215+O201+O202+O192</f>
        <v>479172.448497024</v>
      </c>
      <c r="P229" s="75" t="n">
        <f aca="false">P215+P201+P202+P192</f>
        <v>492470.276867559</v>
      </c>
      <c r="Q229" s="75" t="n">
        <f aca="false">Q215+Q201+Q202+Q192</f>
        <v>505790.426666667</v>
      </c>
      <c r="R229" s="75" t="n">
        <f aca="false">R215+R201+R202+R192</f>
        <v>519132.897894345</v>
      </c>
      <c r="S229" s="75" t="n">
        <f aca="false">S215+S201+S202+S192</f>
        <v>532497.690550595</v>
      </c>
      <c r="T229" s="75" t="n">
        <f aca="false">T215+T201+T202+T192</f>
        <v>545884.804635417</v>
      </c>
      <c r="U229" s="75" t="n">
        <f aca="false">U215+U201+U202+U192</f>
        <v>559294.240148809</v>
      </c>
      <c r="V229" s="75" t="n">
        <f aca="false">V215+V201+V202+V192</f>
        <v>572725.997090774</v>
      </c>
      <c r="W229" s="75" t="n">
        <f aca="false">W215+W201+W202+W192</f>
        <v>586180.075461309</v>
      </c>
      <c r="X229" s="75" t="n">
        <f aca="false">X215+X201+X202+X192</f>
        <v>599656.475260417</v>
      </c>
      <c r="Y229" s="75" t="n">
        <f aca="false">Y215+Y201+Y202+Y192</f>
        <v>613155.196488095</v>
      </c>
      <c r="Z229" s="75" t="n">
        <f aca="false">Z215+Z201+Z202+Z192</f>
        <v>626676.239144345</v>
      </c>
      <c r="AA229" s="75" t="n">
        <f aca="false">AA215+AA201+AA202+AA192</f>
        <v>648755.801368677</v>
      </c>
      <c r="AB229" s="75" t="n">
        <f aca="false">AB215+AB201+AB202+AB192</f>
        <v>667673.846171502</v>
      </c>
      <c r="AC229" s="75" t="n">
        <f aca="false">AC215+AC201+AC202+AC192</f>
        <v>686614.212402899</v>
      </c>
      <c r="AD229" s="75" t="n">
        <f aca="false">AD215+AD201+AD202+AD192</f>
        <v>705576.900062867</v>
      </c>
      <c r="AE229" s="75" t="n">
        <f aca="false">AE215+AE201+AE202+AE192</f>
        <v>723269.47055219</v>
      </c>
      <c r="AF229" s="75" t="n">
        <f aca="false">AF215+AF201+AF202+AF192</f>
        <v>737660.261660707</v>
      </c>
      <c r="AG229" s="75" t="n">
        <f aca="false">AG215+AG201+AG202+AG192</f>
        <v>752068.686697796</v>
      </c>
      <c r="AH229" s="75" t="n">
        <f aca="false">AH215+AH201+AH202+AH192</f>
        <v>766494.745663457</v>
      </c>
      <c r="AI229" s="75" t="n">
        <f aca="false">AI215+AI201+AI202+AI192</f>
        <v>780938.438557688</v>
      </c>
      <c r="AJ229" s="75" t="n">
        <f aca="false">AJ215+AJ201+AJ202+AJ192</f>
        <v>795399.765380492</v>
      </c>
      <c r="AK229" s="75" t="n">
        <f aca="false">AK215+AK201+AK202+AK192</f>
        <v>809878.726131866</v>
      </c>
      <c r="AL229" s="75" t="n">
        <f aca="false">AL215+AL201+AL202+AL192</f>
        <v>824375.320811812</v>
      </c>
      <c r="AM229" s="75" t="n">
        <f aca="false">AM215+AM201+AM202+AM192</f>
        <v>846567.921218935</v>
      </c>
      <c r="AN229" s="75" t="n">
        <f aca="false">AN215+AN201+AN202+AN192</f>
        <v>865430.159271705</v>
      </c>
      <c r="AO229" s="75" t="n">
        <f aca="false">AO215+AO201+AO202+AO192</f>
        <v>884310.031253047</v>
      </c>
      <c r="AP229" s="75" t="n">
        <f aca="false">AP215+AP201+AP202+AP192</f>
        <v>903207.537162961</v>
      </c>
      <c r="AQ229" s="75" t="n">
        <f aca="false">AQ215+AQ201+AQ202+AQ192</f>
        <v>922122.677001446</v>
      </c>
      <c r="AR229" s="75" t="n">
        <f aca="false">AR215+AR201+AR202+AR192</f>
        <v>941055.450768502</v>
      </c>
      <c r="AS229" s="75" t="n">
        <f aca="false">AS215+AS201+AS202+AS192</f>
        <v>960005.85846413</v>
      </c>
      <c r="AT229" s="75" t="n">
        <f aca="false">AT215+AT201+AT202+AT192</f>
        <v>978973.900088329</v>
      </c>
      <c r="AU229" s="75" t="n">
        <f aca="false">AU215+AU201+AU202+AU192</f>
        <v>997959.5756411</v>
      </c>
      <c r="AV229" s="75" t="n">
        <f aca="false">AV215+AV201+AV202+AV192</f>
        <v>1016962.88512244</v>
      </c>
      <c r="AW229" s="75" t="n">
        <f aca="false">AW215+AW201+AW202+AW192</f>
        <v>1035983.82853236</v>
      </c>
      <c r="AX229" s="75" t="n">
        <f aca="false">AX215+AX201+AX202+AX192</f>
        <v>1055022.40587084</v>
      </c>
      <c r="AY229" s="75" t="n">
        <f aca="false">AY215+AY201+AY202+AY192</f>
        <v>1082086.604224</v>
      </c>
      <c r="AZ229" s="75" t="n">
        <f aca="false">AZ215+AZ201+AZ202+AZ192</f>
        <v>1105647.1777529</v>
      </c>
      <c r="BA229" s="75" t="n">
        <f aca="false">BA215+BA201+BA202+BA192</f>
        <v>1129225.38521037</v>
      </c>
      <c r="BB229" s="75" t="n">
        <f aca="false">BB215+BB201+BB202+BB192</f>
        <v>1152821.22659641</v>
      </c>
      <c r="BC229" s="75" t="n">
        <f aca="false">BC215+BC201+BC202+BC192</f>
        <v>1176434.70191102</v>
      </c>
      <c r="BD229" s="75" t="n">
        <f aca="false">BD215+BD201+BD202+BD192</f>
        <v>1200065.81115421</v>
      </c>
      <c r="BE229" s="75" t="n">
        <f aca="false">BE215+BE201+BE202+BE192</f>
        <v>1223714.55432596</v>
      </c>
      <c r="BF229" s="75" t="n">
        <f aca="false">BF215+BF201+BF202+BF192</f>
        <v>1247380.93142629</v>
      </c>
      <c r="BG229" s="75" t="n">
        <f aca="false">BG215+BG201+BG202+BG192</f>
        <v>1271064.94245519</v>
      </c>
      <c r="BH229" s="75" t="n">
        <f aca="false">BH215+BH201+BH202+BH192</f>
        <v>1294766.58741266</v>
      </c>
      <c r="BI229" s="75" t="n">
        <f aca="false">BI215+BI201+BI202+BI192</f>
        <v>1318485.8662987</v>
      </c>
      <c r="BJ229" s="75" t="n">
        <f aca="false">BJ215+BJ201+BJ202+BJ192</f>
        <v>1342222.77911331</v>
      </c>
    </row>
    <row r="230" customFormat="false" ht="15" hidden="false" customHeight="false" outlineLevel="0" collapsed="false">
      <c r="A230" s="6" t="s">
        <v>96</v>
      </c>
      <c r="C230" s="69" t="n">
        <f aca="false">C203+C198</f>
        <v>294898.958333333</v>
      </c>
      <c r="D230" s="69" t="n">
        <f aca="false">D203+D198</f>
        <v>293641.908482143</v>
      </c>
      <c r="E230" s="69" t="n">
        <f aca="false">E203+E198</f>
        <v>292384.858630952</v>
      </c>
      <c r="F230" s="69" t="n">
        <f aca="false">F203+F198</f>
        <v>291127.808779762</v>
      </c>
      <c r="G230" s="69" t="n">
        <f aca="false">G203+G198</f>
        <v>289870.758928571</v>
      </c>
      <c r="H230" s="69" t="n">
        <f aca="false">H203+H198</f>
        <v>288613.709077381</v>
      </c>
      <c r="I230" s="69" t="n">
        <f aca="false">I203+I198</f>
        <v>287356.659226191</v>
      </c>
      <c r="J230" s="69" t="n">
        <f aca="false">J203+J198</f>
        <v>286099.609375</v>
      </c>
      <c r="K230" s="69" t="n">
        <f aca="false">K203+K198</f>
        <v>284842.55952381</v>
      </c>
      <c r="L230" s="69" t="n">
        <f aca="false">L203+L198</f>
        <v>283585.509672619</v>
      </c>
      <c r="M230" s="69" t="n">
        <f aca="false">M203+M198</f>
        <v>282328.459821429</v>
      </c>
      <c r="N230" s="69" t="n">
        <f aca="false">N203+N198</f>
        <v>281071.409970238</v>
      </c>
      <c r="O230" s="69" t="n">
        <f aca="false">O203+O198</f>
        <v>282842.648400298</v>
      </c>
      <c r="P230" s="69" t="n">
        <f aca="false">P203+P198</f>
        <v>279866.457924107</v>
      </c>
      <c r="Q230" s="69" t="n">
        <f aca="false">Q203+Q198</f>
        <v>276890.267447917</v>
      </c>
      <c r="R230" s="69" t="n">
        <f aca="false">R203+R198</f>
        <v>273914.076971726</v>
      </c>
      <c r="S230" s="69" t="n">
        <f aca="false">S203+S198</f>
        <v>270937.886495536</v>
      </c>
      <c r="T230" s="69" t="n">
        <f aca="false">T203+T198</f>
        <v>267961.696019345</v>
      </c>
      <c r="U230" s="69" t="n">
        <f aca="false">U203+U198</f>
        <v>264985.505543155</v>
      </c>
      <c r="V230" s="69" t="n">
        <f aca="false">V203+V198</f>
        <v>262009.315066964</v>
      </c>
      <c r="W230" s="69" t="n">
        <f aca="false">W203+W198</f>
        <v>259033.124590774</v>
      </c>
      <c r="X230" s="69" t="n">
        <f aca="false">X203+X198</f>
        <v>256056.934114583</v>
      </c>
      <c r="Y230" s="69" t="n">
        <f aca="false">Y203+Y198</f>
        <v>253080.743638393</v>
      </c>
      <c r="Z230" s="69" t="n">
        <f aca="false">Z203+Z198</f>
        <v>250104.553162202</v>
      </c>
      <c r="AA230" s="69" t="n">
        <f aca="false">AA203+AA198</f>
        <v>250312.20153609</v>
      </c>
      <c r="AB230" s="69" t="n">
        <f aca="false">AB203+AB198</f>
        <v>247336.0110599</v>
      </c>
      <c r="AC230" s="69" t="n">
        <f aca="false">AC203+AC198</f>
        <v>244359.820583709</v>
      </c>
      <c r="AD230" s="69" t="n">
        <f aca="false">AD203+AD198</f>
        <v>241383.630107519</v>
      </c>
      <c r="AE230" s="69" t="n">
        <f aca="false">AE203+AE198</f>
        <v>238407.439631328</v>
      </c>
      <c r="AF230" s="69" t="n">
        <f aca="false">AF203+AF198</f>
        <v>235431.249155138</v>
      </c>
      <c r="AG230" s="69" t="n">
        <f aca="false">AG203+AG198</f>
        <v>232455.058678947</v>
      </c>
      <c r="AH230" s="69" t="n">
        <f aca="false">AH203+AH198</f>
        <v>229478.868202757</v>
      </c>
      <c r="AI230" s="69" t="n">
        <f aca="false">AI203+AI198</f>
        <v>226502.677726566</v>
      </c>
      <c r="AJ230" s="69" t="n">
        <f aca="false">AJ203+AJ198</f>
        <v>223526.487250376</v>
      </c>
      <c r="AK230" s="69" t="n">
        <f aca="false">AK203+AK198</f>
        <v>220550.296774185</v>
      </c>
      <c r="AL230" s="69" t="n">
        <f aca="false">AL203+AL198</f>
        <v>217574.106297995</v>
      </c>
      <c r="AM230" s="69" t="n">
        <f aca="false">AM203+AM198</f>
        <v>217945.912104727</v>
      </c>
      <c r="AN230" s="69" t="n">
        <f aca="false">AN203+AN198</f>
        <v>214969.721628537</v>
      </c>
      <c r="AO230" s="69" t="n">
        <f aca="false">AO203+AO198</f>
        <v>211993.531152346</v>
      </c>
      <c r="AP230" s="69" t="n">
        <f aca="false">AP203+AP198</f>
        <v>209017.340676156</v>
      </c>
      <c r="AQ230" s="69" t="n">
        <f aca="false">AQ203+AQ198</f>
        <v>206041.150199965</v>
      </c>
      <c r="AR230" s="69" t="n">
        <f aca="false">AR203+AR198</f>
        <v>203064.959723775</v>
      </c>
      <c r="AS230" s="69" t="n">
        <f aca="false">AS203+AS198</f>
        <v>200088.769247584</v>
      </c>
      <c r="AT230" s="69" t="n">
        <f aca="false">AT203+AT198</f>
        <v>197112.578771394</v>
      </c>
      <c r="AU230" s="69" t="n">
        <f aca="false">AU203+AU198</f>
        <v>194136.388295204</v>
      </c>
      <c r="AV230" s="69" t="n">
        <f aca="false">AV203+AV198</f>
        <v>191160.197819013</v>
      </c>
      <c r="AW230" s="69" t="n">
        <f aca="false">AW203+AW198</f>
        <v>188184.007342823</v>
      </c>
      <c r="AX230" s="69" t="n">
        <f aca="false">AX203+AX198</f>
        <v>185207.816866632</v>
      </c>
      <c r="AY230" s="69" t="n">
        <f aca="false">AY203+AY198</f>
        <v>185752.885143276</v>
      </c>
      <c r="AZ230" s="69" t="n">
        <f aca="false">AZ203+AZ198</f>
        <v>182776.694667085</v>
      </c>
      <c r="BA230" s="69" t="n">
        <f aca="false">BA203+BA198</f>
        <v>179800.504190895</v>
      </c>
      <c r="BB230" s="69" t="n">
        <f aca="false">BB203+BB198</f>
        <v>176824.313714704</v>
      </c>
      <c r="BC230" s="69" t="n">
        <f aca="false">BC203+BC198</f>
        <v>173848.123238514</v>
      </c>
      <c r="BD230" s="69" t="n">
        <f aca="false">BD203+BD198</f>
        <v>170871.932762323</v>
      </c>
      <c r="BE230" s="69" t="n">
        <f aca="false">BE203+BE198</f>
        <v>167895.742286133</v>
      </c>
      <c r="BF230" s="69" t="n">
        <f aca="false">BF203+BF198</f>
        <v>164919.551809942</v>
      </c>
      <c r="BG230" s="69" t="n">
        <f aca="false">BG203+BG198</f>
        <v>161943.361333752</v>
      </c>
      <c r="BH230" s="69" t="n">
        <f aca="false">BH203+BH198</f>
        <v>158967.170857562</v>
      </c>
      <c r="BI230" s="69" t="n">
        <f aca="false">BI203+BI198</f>
        <v>155990.980381371</v>
      </c>
      <c r="BJ230" s="69" t="n">
        <f aca="false">BJ203+BJ198</f>
        <v>153014.789905181</v>
      </c>
    </row>
    <row r="231" customFormat="false" ht="15" hidden="false" customHeight="false" outlineLevel="0" collapsed="false">
      <c r="A231" s="6" t="s">
        <v>99</v>
      </c>
      <c r="C231" s="69" t="n">
        <f aca="false">C227+C228</f>
        <v>424602.291666667</v>
      </c>
      <c r="D231" s="69" t="n">
        <f aca="false">D227+D228</f>
        <v>374723.322172619</v>
      </c>
      <c r="E231" s="69" t="n">
        <f aca="false">E227+E228</f>
        <v>330374.252232143</v>
      </c>
      <c r="F231" s="69" t="n">
        <f aca="false">F227+F228</f>
        <v>291555.081845238</v>
      </c>
      <c r="G231" s="69" t="n">
        <f aca="false">G227+G228</f>
        <v>258265.811011905</v>
      </c>
      <c r="H231" s="69" t="n">
        <f aca="false">H227+H228</f>
        <v>230506.439732143</v>
      </c>
      <c r="I231" s="69" t="n">
        <f aca="false">I227+I228</f>
        <v>208276.968005952</v>
      </c>
      <c r="J231" s="69" t="n">
        <f aca="false">J227+J228</f>
        <v>191577.395833333</v>
      </c>
      <c r="K231" s="69" t="n">
        <f aca="false">K227+K228</f>
        <v>180407.723214286</v>
      </c>
      <c r="L231" s="69" t="n">
        <f aca="false">L227+L228</f>
        <v>174767.95014881</v>
      </c>
      <c r="M231" s="69" t="n">
        <f aca="false">M227+M228</f>
        <v>174658.076636905</v>
      </c>
      <c r="N231" s="69" t="n">
        <f aca="false">N227+N228</f>
        <v>180078.102678571</v>
      </c>
      <c r="O231" s="69" t="n">
        <f aca="false">O227+O228</f>
        <v>196329.800096726</v>
      </c>
      <c r="P231" s="69" t="n">
        <f aca="false">P227+P228</f>
        <v>212603.818943452</v>
      </c>
      <c r="Q231" s="69" t="n">
        <f aca="false">Q227+Q228</f>
        <v>228900.15921875</v>
      </c>
      <c r="R231" s="69" t="n">
        <f aca="false">R227+R228</f>
        <v>245218.820922619</v>
      </c>
      <c r="S231" s="69" t="n">
        <f aca="false">S227+S228</f>
        <v>261559.804055059</v>
      </c>
      <c r="T231" s="69" t="n">
        <f aca="false">T227+T228</f>
        <v>277923.108616071</v>
      </c>
      <c r="U231" s="69" t="n">
        <f aca="false">U227+U228</f>
        <v>294308.734605655</v>
      </c>
      <c r="V231" s="69" t="n">
        <f aca="false">V227+V228</f>
        <v>310716.682023809</v>
      </c>
      <c r="W231" s="69" t="n">
        <f aca="false">W227+W228</f>
        <v>327146.950870536</v>
      </c>
      <c r="X231" s="69" t="n">
        <f aca="false">X227+X228</f>
        <v>343599.541145833</v>
      </c>
      <c r="Y231" s="69" t="n">
        <f aca="false">Y227+Y228</f>
        <v>360074.452849702</v>
      </c>
      <c r="Z231" s="69" t="n">
        <f aca="false">Z227+Z228</f>
        <v>376571.685982143</v>
      </c>
      <c r="AA231" s="69" t="n">
        <f aca="false">AA227+AA228</f>
        <v>398443.599832587</v>
      </c>
      <c r="AB231" s="69" t="n">
        <f aca="false">AB227+AB228</f>
        <v>420337.835111603</v>
      </c>
      <c r="AC231" s="69" t="n">
        <f aca="false">AC227+AC228</f>
        <v>442254.39181919</v>
      </c>
      <c r="AD231" s="69" t="n">
        <f aca="false">AD227+AD228</f>
        <v>464193.269955348</v>
      </c>
      <c r="AE231" s="69" t="n">
        <f aca="false">AE227+AE228</f>
        <v>484862.030920862</v>
      </c>
      <c r="AF231" s="69" t="n">
        <f aca="false">AF227+AF228</f>
        <v>502229.01250557</v>
      </c>
      <c r="AG231" s="69" t="n">
        <f aca="false">AG227+AG228</f>
        <v>519613.628018849</v>
      </c>
      <c r="AH231" s="69" t="n">
        <f aca="false">AH227+AH228</f>
        <v>537015.8774607</v>
      </c>
      <c r="AI231" s="69" t="n">
        <f aca="false">AI227+AI228</f>
        <v>554435.760831122</v>
      </c>
      <c r="AJ231" s="69" t="n">
        <f aca="false">AJ227+AJ228</f>
        <v>571873.278130116</v>
      </c>
      <c r="AK231" s="69" t="n">
        <f aca="false">AK227+AK228</f>
        <v>589328.429357681</v>
      </c>
      <c r="AL231" s="69" t="n">
        <f aca="false">AL227+AL228</f>
        <v>606801.214513818</v>
      </c>
      <c r="AM231" s="69" t="n">
        <f aca="false">AM227+AM228</f>
        <v>628622.009114208</v>
      </c>
      <c r="AN231" s="69" t="n">
        <f aca="false">AN227+AN228</f>
        <v>650460.437643169</v>
      </c>
      <c r="AO231" s="69" t="n">
        <f aca="false">AO227+AO228</f>
        <v>672316.500100701</v>
      </c>
      <c r="AP231" s="69" t="n">
        <f aca="false">AP227+AP228</f>
        <v>694190.196486805</v>
      </c>
      <c r="AQ231" s="69" t="n">
        <f aca="false">AQ227+AQ228</f>
        <v>716081.52680148</v>
      </c>
      <c r="AR231" s="69" t="n">
        <f aca="false">AR227+AR228</f>
        <v>737990.491044727</v>
      </c>
      <c r="AS231" s="69" t="n">
        <f aca="false">AS227+AS228</f>
        <v>759917.089216546</v>
      </c>
      <c r="AT231" s="69" t="n">
        <f aca="false">AT227+AT228</f>
        <v>781861.321316935</v>
      </c>
      <c r="AU231" s="69" t="n">
        <f aca="false">AU227+AU228</f>
        <v>803823.187345897</v>
      </c>
      <c r="AV231" s="69" t="n">
        <f aca="false">AV227+AV228</f>
        <v>825802.687303429</v>
      </c>
      <c r="AW231" s="69" t="n">
        <f aca="false">AW227+AW228</f>
        <v>847799.821189533</v>
      </c>
      <c r="AX231" s="69" t="n">
        <f aca="false">AX227+AX228</f>
        <v>869814.589004209</v>
      </c>
      <c r="AY231" s="69" t="n">
        <f aca="false">AY227+AY228</f>
        <v>896333.719080726</v>
      </c>
      <c r="AZ231" s="69" t="n">
        <f aca="false">AZ227+AZ228</f>
        <v>922870.483085815</v>
      </c>
      <c r="BA231" s="69" t="n">
        <f aca="false">BA227+BA228</f>
        <v>949424.881019475</v>
      </c>
      <c r="BB231" s="69" t="n">
        <f aca="false">BB227+BB228</f>
        <v>975996.912881707</v>
      </c>
      <c r="BC231" s="69" t="n">
        <f aca="false">BC227+BC228</f>
        <v>1002586.57867251</v>
      </c>
      <c r="BD231" s="69" t="n">
        <f aca="false">BD227+BD228</f>
        <v>1029193.87839188</v>
      </c>
      <c r="BE231" s="69" t="n">
        <f aca="false">BE227+BE228</f>
        <v>1055818.81203983</v>
      </c>
      <c r="BF231" s="69" t="n">
        <f aca="false">BF227+BF228</f>
        <v>1082461.37961635</v>
      </c>
      <c r="BG231" s="69" t="n">
        <f aca="false">BG227+BG228</f>
        <v>1109121.58112144</v>
      </c>
      <c r="BH231" s="69" t="n">
        <f aca="false">BH227+BH228</f>
        <v>1135799.4165551</v>
      </c>
      <c r="BI231" s="69" t="n">
        <f aca="false">BI227+BI228</f>
        <v>1162494.88591733</v>
      </c>
      <c r="BJ231" s="69" t="n">
        <f aca="false">BJ227+BJ228</f>
        <v>1189207.98920813</v>
      </c>
    </row>
    <row r="232" customFormat="false" ht="15" hidden="false" customHeight="false" outlineLevel="0" collapsed="false">
      <c r="A232" s="4" t="s">
        <v>100</v>
      </c>
      <c r="C232" s="75" t="n">
        <f aca="false">C230+C231</f>
        <v>719501.25</v>
      </c>
      <c r="D232" s="75" t="n">
        <f aca="false">D230+D231</f>
        <v>668365.230654762</v>
      </c>
      <c r="E232" s="75" t="n">
        <f aca="false">E230+E231</f>
        <v>622759.110863095</v>
      </c>
      <c r="F232" s="75" t="n">
        <f aca="false">F230+F231</f>
        <v>582682.890625</v>
      </c>
      <c r="G232" s="75" t="n">
        <f aca="false">G230+G231</f>
        <v>548136.569940476</v>
      </c>
      <c r="H232" s="75" t="n">
        <f aca="false">H230+H231</f>
        <v>519120.148809524</v>
      </c>
      <c r="I232" s="75" t="n">
        <f aca="false">I230+I231</f>
        <v>495633.627232143</v>
      </c>
      <c r="J232" s="75" t="n">
        <f aca="false">J230+J231</f>
        <v>477677.005208333</v>
      </c>
      <c r="K232" s="75" t="n">
        <f aca="false">K230+K231</f>
        <v>465250.282738095</v>
      </c>
      <c r="L232" s="75" t="n">
        <f aca="false">L230+L231</f>
        <v>458353.459821429</v>
      </c>
      <c r="M232" s="75" t="n">
        <f aca="false">M230+M231</f>
        <v>456986.536458333</v>
      </c>
      <c r="N232" s="75" t="n">
        <f aca="false">N230+N231</f>
        <v>461149.51264881</v>
      </c>
      <c r="O232" s="75" t="n">
        <f aca="false">O230+O231</f>
        <v>479172.448497024</v>
      </c>
      <c r="P232" s="75" t="n">
        <f aca="false">P230+P231</f>
        <v>492470.27686756</v>
      </c>
      <c r="Q232" s="75" t="n">
        <f aca="false">Q230+Q231</f>
        <v>505790.426666667</v>
      </c>
      <c r="R232" s="75" t="n">
        <f aca="false">R230+R231</f>
        <v>519132.897894345</v>
      </c>
      <c r="S232" s="75" t="n">
        <f aca="false">S230+S231</f>
        <v>532497.690550595</v>
      </c>
      <c r="T232" s="75" t="n">
        <f aca="false">T230+T231</f>
        <v>545884.804635417</v>
      </c>
      <c r="U232" s="75" t="n">
        <f aca="false">U230+U231</f>
        <v>559294.24014881</v>
      </c>
      <c r="V232" s="75" t="n">
        <f aca="false">V230+V231</f>
        <v>572725.997090774</v>
      </c>
      <c r="W232" s="75" t="n">
        <f aca="false">W230+W231</f>
        <v>586180.075461309</v>
      </c>
      <c r="X232" s="75" t="n">
        <f aca="false">X230+X231</f>
        <v>599656.475260417</v>
      </c>
      <c r="Y232" s="75" t="n">
        <f aca="false">Y230+Y231</f>
        <v>613155.196488095</v>
      </c>
      <c r="Z232" s="75" t="n">
        <f aca="false">Z230+Z231</f>
        <v>626676.239144345</v>
      </c>
      <c r="AA232" s="75" t="n">
        <f aca="false">AA230+AA231</f>
        <v>648755.801368677</v>
      </c>
      <c r="AB232" s="75" t="n">
        <f aca="false">AB230+AB231</f>
        <v>667673.846171502</v>
      </c>
      <c r="AC232" s="75" t="n">
        <f aca="false">AC230+AC231</f>
        <v>686614.212402899</v>
      </c>
      <c r="AD232" s="75" t="n">
        <f aca="false">AD230+AD231</f>
        <v>705576.900062867</v>
      </c>
      <c r="AE232" s="75" t="n">
        <f aca="false">AE230+AE231</f>
        <v>723269.47055219</v>
      </c>
      <c r="AF232" s="75" t="n">
        <f aca="false">AF230+AF231</f>
        <v>737660.261660707</v>
      </c>
      <c r="AG232" s="75" t="n">
        <f aca="false">AG230+AG231</f>
        <v>752068.686697796</v>
      </c>
      <c r="AH232" s="75" t="n">
        <f aca="false">AH230+AH231</f>
        <v>766494.745663457</v>
      </c>
      <c r="AI232" s="75" t="n">
        <f aca="false">AI230+AI231</f>
        <v>780938.438557689</v>
      </c>
      <c r="AJ232" s="75" t="n">
        <f aca="false">AJ230+AJ231</f>
        <v>795399.765380492</v>
      </c>
      <c r="AK232" s="75" t="n">
        <f aca="false">AK230+AK231</f>
        <v>809878.726131867</v>
      </c>
      <c r="AL232" s="75" t="n">
        <f aca="false">AL230+AL231</f>
        <v>824375.320811813</v>
      </c>
      <c r="AM232" s="75" t="n">
        <f aca="false">AM230+AM231</f>
        <v>846567.921218935</v>
      </c>
      <c r="AN232" s="75" t="n">
        <f aca="false">AN230+AN231</f>
        <v>865430.159271705</v>
      </c>
      <c r="AO232" s="75" t="n">
        <f aca="false">AO230+AO231</f>
        <v>884310.031253048</v>
      </c>
      <c r="AP232" s="75" t="n">
        <f aca="false">AP230+AP231</f>
        <v>903207.537162961</v>
      </c>
      <c r="AQ232" s="75" t="n">
        <f aca="false">AQ230+AQ231</f>
        <v>922122.677001446</v>
      </c>
      <c r="AR232" s="75" t="n">
        <f aca="false">AR230+AR231</f>
        <v>941055.450768502</v>
      </c>
      <c r="AS232" s="75" t="n">
        <f aca="false">AS230+AS231</f>
        <v>960005.85846413</v>
      </c>
      <c r="AT232" s="75" t="n">
        <f aca="false">AT230+AT231</f>
        <v>978973.900088329</v>
      </c>
      <c r="AU232" s="75" t="n">
        <f aca="false">AU230+AU231</f>
        <v>997959.5756411</v>
      </c>
      <c r="AV232" s="75" t="n">
        <f aca="false">AV230+AV231</f>
        <v>1016962.88512244</v>
      </c>
      <c r="AW232" s="75" t="n">
        <f aca="false">AW230+AW231</f>
        <v>1035983.82853236</v>
      </c>
      <c r="AX232" s="75" t="n">
        <f aca="false">AX230+AX231</f>
        <v>1055022.40587084</v>
      </c>
      <c r="AY232" s="75" t="n">
        <f aca="false">AY230+AY231</f>
        <v>1082086.604224</v>
      </c>
      <c r="AZ232" s="75" t="n">
        <f aca="false">AZ230+AZ231</f>
        <v>1105647.1777529</v>
      </c>
      <c r="BA232" s="75" t="n">
        <f aca="false">BA230+BA231</f>
        <v>1129225.38521037</v>
      </c>
      <c r="BB232" s="75" t="n">
        <f aca="false">BB230+BB231</f>
        <v>1152821.22659641</v>
      </c>
      <c r="BC232" s="75" t="n">
        <f aca="false">BC230+BC231</f>
        <v>1176434.70191102</v>
      </c>
      <c r="BD232" s="75" t="n">
        <f aca="false">BD230+BD231</f>
        <v>1200065.81115421</v>
      </c>
      <c r="BE232" s="75" t="n">
        <f aca="false">BE230+BE231</f>
        <v>1223714.55432596</v>
      </c>
      <c r="BF232" s="75" t="n">
        <f aca="false">BF230+BF231</f>
        <v>1247380.93142629</v>
      </c>
      <c r="BG232" s="75" t="n">
        <f aca="false">BG230+BG231</f>
        <v>1271064.94245519</v>
      </c>
      <c r="BH232" s="75" t="n">
        <f aca="false">BH230+BH231</f>
        <v>1294766.58741266</v>
      </c>
      <c r="BI232" s="75" t="n">
        <f aca="false">BI230+BI231</f>
        <v>1318485.8662987</v>
      </c>
      <c r="BJ232" s="75" t="n">
        <f aca="false">BJ230+BJ231</f>
        <v>1342222.77911331</v>
      </c>
    </row>
    <row r="233" customFormat="false" ht="15" hidden="false" customHeight="false" outlineLevel="0" collapsed="false">
      <c r="A233" s="6" t="s">
        <v>453</v>
      </c>
      <c r="C233" s="69" t="n">
        <f aca="false">C229-C232</f>
        <v>0</v>
      </c>
      <c r="D233" s="69" t="n">
        <f aca="false">D229-D232</f>
        <v>0</v>
      </c>
      <c r="E233" s="69" t="n">
        <f aca="false">E229-E232</f>
        <v>0</v>
      </c>
      <c r="F233" s="69" t="n">
        <f aca="false">F229-F232</f>
        <v>0</v>
      </c>
      <c r="G233" s="69" t="n">
        <f aca="false">G229-G232</f>
        <v>0</v>
      </c>
      <c r="H233" s="69" t="n">
        <f aca="false">H229-H232</f>
        <v>0</v>
      </c>
      <c r="I233" s="69" t="n">
        <f aca="false">I229-I232</f>
        <v>0</v>
      </c>
      <c r="J233" s="69" t="n">
        <f aca="false">J229-J232</f>
        <v>0</v>
      </c>
      <c r="K233" s="69" t="n">
        <f aca="false">K229-K232</f>
        <v>0</v>
      </c>
      <c r="L233" s="69" t="n">
        <f aca="false">L229-L232</f>
        <v>0</v>
      </c>
      <c r="M233" s="69" t="n">
        <f aca="false">M229-M232</f>
        <v>0</v>
      </c>
      <c r="N233" s="69" t="n">
        <f aca="false">N229-N232</f>
        <v>0</v>
      </c>
      <c r="O233" s="69" t="n">
        <f aca="false">O229-O232</f>
        <v>0</v>
      </c>
      <c r="P233" s="69" t="n">
        <f aca="false">P229-P232</f>
        <v>0</v>
      </c>
      <c r="Q233" s="69" t="n">
        <f aca="false">Q229-Q232</f>
        <v>0</v>
      </c>
      <c r="R233" s="69" t="n">
        <f aca="false">R229-R232</f>
        <v>0</v>
      </c>
      <c r="S233" s="69" t="n">
        <f aca="false">S229-S232</f>
        <v>0</v>
      </c>
      <c r="T233" s="69" t="n">
        <f aca="false">T229-T232</f>
        <v>0</v>
      </c>
      <c r="U233" s="69" t="n">
        <f aca="false">U229-U232</f>
        <v>0</v>
      </c>
      <c r="V233" s="69" t="n">
        <f aca="false">V229-V232</f>
        <v>0</v>
      </c>
      <c r="W233" s="69" t="n">
        <f aca="false">W229-W232</f>
        <v>0</v>
      </c>
      <c r="X233" s="69" t="n">
        <f aca="false">X229-X232</f>
        <v>0</v>
      </c>
      <c r="Y233" s="69" t="n">
        <f aca="false">Y229-Y232</f>
        <v>0</v>
      </c>
      <c r="Z233" s="69" t="n">
        <f aca="false">Z229-Z232</f>
        <v>0</v>
      </c>
      <c r="AA233" s="69" t="n">
        <f aca="false">AA229-AA232</f>
        <v>0</v>
      </c>
      <c r="AB233" s="69" t="n">
        <f aca="false">AB229-AB232</f>
        <v>0</v>
      </c>
      <c r="AC233" s="69" t="n">
        <f aca="false">AC229-AC232</f>
        <v>0</v>
      </c>
      <c r="AD233" s="69" t="n">
        <f aca="false">AD229-AD232</f>
        <v>0</v>
      </c>
      <c r="AE233" s="69" t="n">
        <f aca="false">AE229-AE232</f>
        <v>0</v>
      </c>
      <c r="AF233" s="69" t="n">
        <f aca="false">AF229-AF232</f>
        <v>0</v>
      </c>
      <c r="AG233" s="69" t="n">
        <f aca="false">AG229-AG232</f>
        <v>0</v>
      </c>
      <c r="AH233" s="69" t="n">
        <f aca="false">AH229-AH232</f>
        <v>0</v>
      </c>
      <c r="AI233" s="69" t="n">
        <f aca="false">AI229-AI232</f>
        <v>0</v>
      </c>
      <c r="AJ233" s="69" t="n">
        <f aca="false">AJ229-AJ232</f>
        <v>0</v>
      </c>
      <c r="AK233" s="69" t="n">
        <f aca="false">AK229-AK232</f>
        <v>0</v>
      </c>
      <c r="AL233" s="69" t="n">
        <f aca="false">AL229-AL232</f>
        <v>0</v>
      </c>
      <c r="AM233" s="69" t="n">
        <f aca="false">AM229-AM232</f>
        <v>0</v>
      </c>
      <c r="AN233" s="69" t="n">
        <f aca="false">AN229-AN232</f>
        <v>0</v>
      </c>
      <c r="AO233" s="69" t="n">
        <f aca="false">AO229-AO232</f>
        <v>0</v>
      </c>
      <c r="AP233" s="69" t="n">
        <f aca="false">AP229-AP232</f>
        <v>0</v>
      </c>
      <c r="AQ233" s="69" t="n">
        <f aca="false">AQ229-AQ232</f>
        <v>0</v>
      </c>
      <c r="AR233" s="69" t="n">
        <f aca="false">AR229-AR232</f>
        <v>0</v>
      </c>
      <c r="AS233" s="69" t="n">
        <f aca="false">AS229-AS232</f>
        <v>0</v>
      </c>
      <c r="AT233" s="69" t="n">
        <f aca="false">AT229-AT232</f>
        <v>0</v>
      </c>
      <c r="AU233" s="69" t="n">
        <f aca="false">AU229-AU232</f>
        <v>0</v>
      </c>
      <c r="AV233" s="69" t="n">
        <f aca="false">AV229-AV232</f>
        <v>0</v>
      </c>
      <c r="AW233" s="69" t="n">
        <f aca="false">AW229-AW232</f>
        <v>0</v>
      </c>
      <c r="AX233" s="69" t="n">
        <f aca="false">AX229-AX232</f>
        <v>0</v>
      </c>
      <c r="AY233" s="69" t="n">
        <f aca="false">AY229-AY232</f>
        <v>0</v>
      </c>
      <c r="AZ233" s="69" t="n">
        <f aca="false">AZ229-AZ232</f>
        <v>0</v>
      </c>
      <c r="BA233" s="69" t="n">
        <f aca="false">BA229-BA232</f>
        <v>0</v>
      </c>
      <c r="BB233" s="69" t="n">
        <f aca="false">BB229-BB232</f>
        <v>0</v>
      </c>
      <c r="BC233" s="69" t="n">
        <f aca="false">BC229-BC232</f>
        <v>0</v>
      </c>
      <c r="BD233" s="69" t="n">
        <f aca="false">BD229-BD232</f>
        <v>0</v>
      </c>
      <c r="BE233" s="69" t="n">
        <f aca="false">BE229-BE232</f>
        <v>0</v>
      </c>
      <c r="BF233" s="69" t="n">
        <f aca="false">BF229-BF232</f>
        <v>0</v>
      </c>
      <c r="BG233" s="69" t="n">
        <f aca="false">BG229-BG232</f>
        <v>0</v>
      </c>
      <c r="BH233" s="69" t="n">
        <f aca="false">BH229-BH232</f>
        <v>0</v>
      </c>
      <c r="BI233" s="69" t="n">
        <f aca="false">BI229-BI232</f>
        <v>0</v>
      </c>
      <c r="BJ233" s="69" t="n">
        <f aca="false">BJ229-BJ232</f>
        <v>0</v>
      </c>
    </row>
    <row r="235" customFormat="false" ht="15.75" hidden="false" customHeight="true" outlineLevel="0" collapsed="false">
      <c r="A235" s="7" t="s">
        <v>455</v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customFormat="false" ht="15" hidden="false" customHeight="false" outlineLevel="0" collapsed="false">
      <c r="A236" s="6" t="s">
        <v>456</v>
      </c>
      <c r="C236" s="119" t="n">
        <f aca="false">Inputs!$C$51*(1+Inputs!$C$53)^(C$129-1)*MAX(0,MIN(1,C$128*1-Inputs!$C$54+1))/1</f>
        <v>5</v>
      </c>
      <c r="D236" s="119" t="n">
        <f aca="false">Inputs!$C$51*(1+Inputs!$C$53)^(D$129-1)*MAX(0,MIN(1,D$128*1-Inputs!$C$54+1))/1</f>
        <v>5</v>
      </c>
      <c r="E236" s="119" t="n">
        <f aca="false">Inputs!$C$51*(1+Inputs!$C$53)^(E$129-1)*MAX(0,MIN(1,E$128*1-Inputs!$C$54+1))/1</f>
        <v>5</v>
      </c>
      <c r="F236" s="119" t="n">
        <f aca="false">Inputs!$C$51*(1+Inputs!$C$53)^(F$129-1)*MAX(0,MIN(1,F$128*1-Inputs!$C$54+1))/1</f>
        <v>5</v>
      </c>
      <c r="G236" s="119" t="n">
        <f aca="false">Inputs!$C$51*(1+Inputs!$C$53)^(G$129-1)*MAX(0,MIN(1,G$128*1-Inputs!$C$54+1))/1</f>
        <v>5</v>
      </c>
      <c r="H236" s="119" t="n">
        <f aca="false">Inputs!$C$51*(1+Inputs!$C$53)^(H$129-1)*MAX(0,MIN(1,H$128*1-Inputs!$C$54+1))/1</f>
        <v>5</v>
      </c>
      <c r="I236" s="119" t="n">
        <f aca="false">Inputs!$C$51*(1+Inputs!$C$53)^(I$129-1)*MAX(0,MIN(1,I$128*1-Inputs!$C$54+1))/1</f>
        <v>5</v>
      </c>
      <c r="J236" s="119" t="n">
        <f aca="false">Inputs!$C$51*(1+Inputs!$C$53)^(J$129-1)*MAX(0,MIN(1,J$128*1-Inputs!$C$54+1))/1</f>
        <v>5</v>
      </c>
      <c r="K236" s="119" t="n">
        <f aca="false">Inputs!$C$51*(1+Inputs!$C$53)^(K$129-1)*MAX(0,MIN(1,K$128*1-Inputs!$C$54+1))/1</f>
        <v>5</v>
      </c>
      <c r="L236" s="119" t="n">
        <f aca="false">Inputs!$C$51*(1+Inputs!$C$53)^(L$129-1)*MAX(0,MIN(1,L$128*1-Inputs!$C$54+1))/1</f>
        <v>5</v>
      </c>
      <c r="M236" s="119" t="n">
        <f aca="false">Inputs!$C$51*(1+Inputs!$C$53)^(M$129-1)*MAX(0,MIN(1,M$128*1-Inputs!$C$54+1))/1</f>
        <v>5</v>
      </c>
      <c r="N236" s="119" t="n">
        <f aca="false">Inputs!$C$51*(1+Inputs!$C$53)^(N$129-1)*MAX(0,MIN(1,N$128*1-Inputs!$C$54+1))/1</f>
        <v>5</v>
      </c>
      <c r="O236" s="119" t="n">
        <f aca="false">Inputs!$C$51*(1+Inputs!$C$53)^(O$129-1)*MAX(0,MIN(1,O$128*1-Inputs!$C$54+1))/1</f>
        <v>5</v>
      </c>
      <c r="P236" s="119" t="n">
        <f aca="false">Inputs!$C$51*(1+Inputs!$C$53)^(P$129-1)*MAX(0,MIN(1,P$128*1-Inputs!$C$54+1))/1</f>
        <v>5</v>
      </c>
      <c r="Q236" s="119" t="n">
        <f aca="false">Inputs!$C$51*(1+Inputs!$C$53)^(Q$129-1)*MAX(0,MIN(1,Q$128*1-Inputs!$C$54+1))/1</f>
        <v>5</v>
      </c>
      <c r="R236" s="119" t="n">
        <f aca="false">Inputs!$C$51*(1+Inputs!$C$53)^(R$129-1)*MAX(0,MIN(1,R$128*1-Inputs!$C$54+1))/1</f>
        <v>5</v>
      </c>
      <c r="S236" s="119" t="n">
        <f aca="false">Inputs!$C$51*(1+Inputs!$C$53)^(S$129-1)*MAX(0,MIN(1,S$128*1-Inputs!$C$54+1))/1</f>
        <v>5</v>
      </c>
      <c r="T236" s="119" t="n">
        <f aca="false">Inputs!$C$51*(1+Inputs!$C$53)^(T$129-1)*MAX(0,MIN(1,T$128*1-Inputs!$C$54+1))/1</f>
        <v>5</v>
      </c>
      <c r="U236" s="119" t="n">
        <f aca="false">Inputs!$C$51*(1+Inputs!$C$53)^(U$129-1)*MAX(0,MIN(1,U$128*1-Inputs!$C$54+1))/1</f>
        <v>5</v>
      </c>
      <c r="V236" s="119" t="n">
        <f aca="false">Inputs!$C$51*(1+Inputs!$C$53)^(V$129-1)*MAX(0,MIN(1,V$128*1-Inputs!$C$54+1))/1</f>
        <v>5</v>
      </c>
      <c r="W236" s="119" t="n">
        <f aca="false">Inputs!$C$51*(1+Inputs!$C$53)^(W$129-1)*MAX(0,MIN(1,W$128*1-Inputs!$C$54+1))/1</f>
        <v>5</v>
      </c>
      <c r="X236" s="119" t="n">
        <f aca="false">Inputs!$C$51*(1+Inputs!$C$53)^(X$129-1)*MAX(0,MIN(1,X$128*1-Inputs!$C$54+1))/1</f>
        <v>5</v>
      </c>
      <c r="Y236" s="119" t="n">
        <f aca="false">Inputs!$C$51*(1+Inputs!$C$53)^(Y$129-1)*MAX(0,MIN(1,Y$128*1-Inputs!$C$54+1))/1</f>
        <v>5</v>
      </c>
      <c r="Z236" s="119" t="n">
        <f aca="false">Inputs!$C$51*(1+Inputs!$C$53)^(Z$129-1)*MAX(0,MIN(1,Z$128*1-Inputs!$C$54+1))/1</f>
        <v>5</v>
      </c>
      <c r="AA236" s="119" t="n">
        <f aca="false">Inputs!$C$51*(1+Inputs!$C$53)^(AA$129-1)*MAX(0,MIN(1,AA$128*1-Inputs!$C$54+1))/1</f>
        <v>5</v>
      </c>
      <c r="AB236" s="119" t="n">
        <f aca="false">Inputs!$C$51*(1+Inputs!$C$53)^(AB$129-1)*MAX(0,MIN(1,AB$128*1-Inputs!$C$54+1))/1</f>
        <v>5</v>
      </c>
      <c r="AC236" s="119" t="n">
        <f aca="false">Inputs!$C$51*(1+Inputs!$C$53)^(AC$129-1)*MAX(0,MIN(1,AC$128*1-Inputs!$C$54+1))/1</f>
        <v>5</v>
      </c>
      <c r="AD236" s="119" t="n">
        <f aca="false">Inputs!$C$51*(1+Inputs!$C$53)^(AD$129-1)*MAX(0,MIN(1,AD$128*1-Inputs!$C$54+1))/1</f>
        <v>5</v>
      </c>
      <c r="AE236" s="119" t="n">
        <f aca="false">Inputs!$C$51*(1+Inputs!$C$53)^(AE$129-1)*MAX(0,MIN(1,AE$128*1-Inputs!$C$54+1))/1</f>
        <v>5</v>
      </c>
      <c r="AF236" s="119" t="n">
        <f aca="false">Inputs!$C$51*(1+Inputs!$C$53)^(AF$129-1)*MAX(0,MIN(1,AF$128*1-Inputs!$C$54+1))/1</f>
        <v>5</v>
      </c>
      <c r="AG236" s="119" t="n">
        <f aca="false">Inputs!$C$51*(1+Inputs!$C$53)^(AG$129-1)*MAX(0,MIN(1,AG$128*1-Inputs!$C$54+1))/1</f>
        <v>5</v>
      </c>
      <c r="AH236" s="119" t="n">
        <f aca="false">Inputs!$C$51*(1+Inputs!$C$53)^(AH$129-1)*MAX(0,MIN(1,AH$128*1-Inputs!$C$54+1))/1</f>
        <v>5</v>
      </c>
      <c r="AI236" s="119" t="n">
        <f aca="false">Inputs!$C$51*(1+Inputs!$C$53)^(AI$129-1)*MAX(0,MIN(1,AI$128*1-Inputs!$C$54+1))/1</f>
        <v>5</v>
      </c>
      <c r="AJ236" s="119" t="n">
        <f aca="false">Inputs!$C$51*(1+Inputs!$C$53)^(AJ$129-1)*MAX(0,MIN(1,AJ$128*1-Inputs!$C$54+1))/1</f>
        <v>5</v>
      </c>
      <c r="AK236" s="119" t="n">
        <f aca="false">Inputs!$C$51*(1+Inputs!$C$53)^(AK$129-1)*MAX(0,MIN(1,AK$128*1-Inputs!$C$54+1))/1</f>
        <v>5</v>
      </c>
      <c r="AL236" s="119" t="n">
        <f aca="false">Inputs!$C$51*(1+Inputs!$C$53)^(AL$129-1)*MAX(0,MIN(1,AL$128*1-Inputs!$C$54+1))/1</f>
        <v>5</v>
      </c>
      <c r="AM236" s="119" t="n">
        <f aca="false">Inputs!$C$51*(1+Inputs!$C$53)^(AM$129-1)*MAX(0,MIN(1,AM$128*1-Inputs!$C$54+1))/1</f>
        <v>5</v>
      </c>
      <c r="AN236" s="119" t="n">
        <f aca="false">Inputs!$C$51*(1+Inputs!$C$53)^(AN$129-1)*MAX(0,MIN(1,AN$128*1-Inputs!$C$54+1))/1</f>
        <v>5</v>
      </c>
      <c r="AO236" s="119" t="n">
        <f aca="false">Inputs!$C$51*(1+Inputs!$C$53)^(AO$129-1)*MAX(0,MIN(1,AO$128*1-Inputs!$C$54+1))/1</f>
        <v>5</v>
      </c>
      <c r="AP236" s="119" t="n">
        <f aca="false">Inputs!$C$51*(1+Inputs!$C$53)^(AP$129-1)*MAX(0,MIN(1,AP$128*1-Inputs!$C$54+1))/1</f>
        <v>5</v>
      </c>
      <c r="AQ236" s="119" t="n">
        <f aca="false">Inputs!$C$51*(1+Inputs!$C$53)^(AQ$129-1)*MAX(0,MIN(1,AQ$128*1-Inputs!$C$54+1))/1</f>
        <v>5</v>
      </c>
      <c r="AR236" s="119" t="n">
        <f aca="false">Inputs!$C$51*(1+Inputs!$C$53)^(AR$129-1)*MAX(0,MIN(1,AR$128*1-Inputs!$C$54+1))/1</f>
        <v>5</v>
      </c>
      <c r="AS236" s="119" t="n">
        <f aca="false">Inputs!$C$51*(1+Inputs!$C$53)^(AS$129-1)*MAX(0,MIN(1,AS$128*1-Inputs!$C$54+1))/1</f>
        <v>5</v>
      </c>
      <c r="AT236" s="119" t="n">
        <f aca="false">Inputs!$C$51*(1+Inputs!$C$53)^(AT$129-1)*MAX(0,MIN(1,AT$128*1-Inputs!$C$54+1))/1</f>
        <v>5</v>
      </c>
      <c r="AU236" s="119" t="n">
        <f aca="false">Inputs!$C$51*(1+Inputs!$C$53)^(AU$129-1)*MAX(0,MIN(1,AU$128*1-Inputs!$C$54+1))/1</f>
        <v>5</v>
      </c>
      <c r="AV236" s="119" t="n">
        <f aca="false">Inputs!$C$51*(1+Inputs!$C$53)^(AV$129-1)*MAX(0,MIN(1,AV$128*1-Inputs!$C$54+1))/1</f>
        <v>5</v>
      </c>
      <c r="AW236" s="119" t="n">
        <f aca="false">Inputs!$C$51*(1+Inputs!$C$53)^(AW$129-1)*MAX(0,MIN(1,AW$128*1-Inputs!$C$54+1))/1</f>
        <v>5</v>
      </c>
      <c r="AX236" s="119" t="n">
        <f aca="false">Inputs!$C$51*(1+Inputs!$C$53)^(AX$129-1)*MAX(0,MIN(1,AX$128*1-Inputs!$C$54+1))/1</f>
        <v>5</v>
      </c>
      <c r="AY236" s="119" t="n">
        <f aca="false">Inputs!$C$51*(1+Inputs!$C$53)^(AY$129-1)*MAX(0,MIN(1,AY$128*1-Inputs!$C$54+1))/1</f>
        <v>5</v>
      </c>
      <c r="AZ236" s="119" t="n">
        <f aca="false">Inputs!$C$51*(1+Inputs!$C$53)^(AZ$129-1)*MAX(0,MIN(1,AZ$128*1-Inputs!$C$54+1))/1</f>
        <v>5</v>
      </c>
      <c r="BA236" s="119" t="n">
        <f aca="false">Inputs!$C$51*(1+Inputs!$C$53)^(BA$129-1)*MAX(0,MIN(1,BA$128*1-Inputs!$C$54+1))/1</f>
        <v>5</v>
      </c>
      <c r="BB236" s="119" t="n">
        <f aca="false">Inputs!$C$51*(1+Inputs!$C$53)^(BB$129-1)*MAX(0,MIN(1,BB$128*1-Inputs!$C$54+1))/1</f>
        <v>5</v>
      </c>
      <c r="BC236" s="119" t="n">
        <f aca="false">Inputs!$C$51*(1+Inputs!$C$53)^(BC$129-1)*MAX(0,MIN(1,BC$128*1-Inputs!$C$54+1))/1</f>
        <v>5</v>
      </c>
      <c r="BD236" s="119" t="n">
        <f aca="false">Inputs!$C$51*(1+Inputs!$C$53)^(BD$129-1)*MAX(0,MIN(1,BD$128*1-Inputs!$C$54+1))/1</f>
        <v>5</v>
      </c>
      <c r="BE236" s="119" t="n">
        <f aca="false">Inputs!$C$51*(1+Inputs!$C$53)^(BE$129-1)*MAX(0,MIN(1,BE$128*1-Inputs!$C$54+1))/1</f>
        <v>5</v>
      </c>
      <c r="BF236" s="119" t="n">
        <f aca="false">Inputs!$C$51*(1+Inputs!$C$53)^(BF$129-1)*MAX(0,MIN(1,BF$128*1-Inputs!$C$54+1))/1</f>
        <v>5</v>
      </c>
      <c r="BG236" s="119" t="n">
        <f aca="false">Inputs!$C$51*(1+Inputs!$C$53)^(BG$129-1)*MAX(0,MIN(1,BG$128*1-Inputs!$C$54+1))/1</f>
        <v>5</v>
      </c>
      <c r="BH236" s="119" t="n">
        <f aca="false">Inputs!$C$51*(1+Inputs!$C$53)^(BH$129-1)*MAX(0,MIN(1,BH$128*1-Inputs!$C$54+1))/1</f>
        <v>5</v>
      </c>
      <c r="BI236" s="119" t="n">
        <f aca="false">Inputs!$C$51*(1+Inputs!$C$53)^(BI$129-1)*MAX(0,MIN(1,BI$128*1-Inputs!$C$54+1))/1</f>
        <v>5</v>
      </c>
      <c r="BJ236" s="119" t="n">
        <f aca="false">Inputs!$C$51*(1+Inputs!$C$53)^(BJ$129-1)*MAX(0,MIN(1,BJ$128*1-Inputs!$C$54+1))/1</f>
        <v>5</v>
      </c>
    </row>
    <row r="237" customFormat="false" ht="15" hidden="false" customHeight="false" outlineLevel="0" collapsed="false">
      <c r="A237" s="6" t="s">
        <v>457</v>
      </c>
      <c r="C237" s="119" t="n">
        <f aca="false">Inputs!$C$55*(1+Inputs!$C$57)^(C$129-1)*MAX(0,MIN(1,C$128*1-Inputs!$C$58+1))/1</f>
        <v>2</v>
      </c>
      <c r="D237" s="119" t="n">
        <f aca="false">Inputs!$C$55*(1+Inputs!$C$57)^(D$129-1)*MAX(0,MIN(1,D$128*1-Inputs!$C$58+1))/1</f>
        <v>2</v>
      </c>
      <c r="E237" s="119" t="n">
        <f aca="false">Inputs!$C$55*(1+Inputs!$C$57)^(E$129-1)*MAX(0,MIN(1,E$128*1-Inputs!$C$58+1))/1</f>
        <v>2</v>
      </c>
      <c r="F237" s="119" t="n">
        <f aca="false">Inputs!$C$55*(1+Inputs!$C$57)^(F$129-1)*MAX(0,MIN(1,F$128*1-Inputs!$C$58+1))/1</f>
        <v>2</v>
      </c>
      <c r="G237" s="119" t="n">
        <f aca="false">Inputs!$C$55*(1+Inputs!$C$57)^(G$129-1)*MAX(0,MIN(1,G$128*1-Inputs!$C$58+1))/1</f>
        <v>2</v>
      </c>
      <c r="H237" s="119" t="n">
        <f aca="false">Inputs!$C$55*(1+Inputs!$C$57)^(H$129-1)*MAX(0,MIN(1,H$128*1-Inputs!$C$58+1))/1</f>
        <v>2</v>
      </c>
      <c r="I237" s="119" t="n">
        <f aca="false">Inputs!$C$55*(1+Inputs!$C$57)^(I$129-1)*MAX(0,MIN(1,I$128*1-Inputs!$C$58+1))/1</f>
        <v>2</v>
      </c>
      <c r="J237" s="119" t="n">
        <f aca="false">Inputs!$C$55*(1+Inputs!$C$57)^(J$129-1)*MAX(0,MIN(1,J$128*1-Inputs!$C$58+1))/1</f>
        <v>2</v>
      </c>
      <c r="K237" s="119" t="n">
        <f aca="false">Inputs!$C$55*(1+Inputs!$C$57)^(K$129-1)*MAX(0,MIN(1,K$128*1-Inputs!$C$58+1))/1</f>
        <v>2</v>
      </c>
      <c r="L237" s="119" t="n">
        <f aca="false">Inputs!$C$55*(1+Inputs!$C$57)^(L$129-1)*MAX(0,MIN(1,L$128*1-Inputs!$C$58+1))/1</f>
        <v>2</v>
      </c>
      <c r="M237" s="119" t="n">
        <f aca="false">Inputs!$C$55*(1+Inputs!$C$57)^(M$129-1)*MAX(0,MIN(1,M$128*1-Inputs!$C$58+1))/1</f>
        <v>2</v>
      </c>
      <c r="N237" s="119" t="n">
        <f aca="false">Inputs!$C$55*(1+Inputs!$C$57)^(N$129-1)*MAX(0,MIN(1,N$128*1-Inputs!$C$58+1))/1</f>
        <v>2</v>
      </c>
      <c r="O237" s="119" t="n">
        <f aca="false">Inputs!$C$55*(1+Inputs!$C$57)^(O$129-1)*MAX(0,MIN(1,O$128*1-Inputs!$C$58+1))/1</f>
        <v>2</v>
      </c>
      <c r="P237" s="119" t="n">
        <f aca="false">Inputs!$C$55*(1+Inputs!$C$57)^(P$129-1)*MAX(0,MIN(1,P$128*1-Inputs!$C$58+1))/1</f>
        <v>2</v>
      </c>
      <c r="Q237" s="119" t="n">
        <f aca="false">Inputs!$C$55*(1+Inputs!$C$57)^(Q$129-1)*MAX(0,MIN(1,Q$128*1-Inputs!$C$58+1))/1</f>
        <v>2</v>
      </c>
      <c r="R237" s="119" t="n">
        <f aca="false">Inputs!$C$55*(1+Inputs!$C$57)^(R$129-1)*MAX(0,MIN(1,R$128*1-Inputs!$C$58+1))/1</f>
        <v>2</v>
      </c>
      <c r="S237" s="119" t="n">
        <f aca="false">Inputs!$C$55*(1+Inputs!$C$57)^(S$129-1)*MAX(0,MIN(1,S$128*1-Inputs!$C$58+1))/1</f>
        <v>2</v>
      </c>
      <c r="T237" s="119" t="n">
        <f aca="false">Inputs!$C$55*(1+Inputs!$C$57)^(T$129-1)*MAX(0,MIN(1,T$128*1-Inputs!$C$58+1))/1</f>
        <v>2</v>
      </c>
      <c r="U237" s="119" t="n">
        <f aca="false">Inputs!$C$55*(1+Inputs!$C$57)^(U$129-1)*MAX(0,MIN(1,U$128*1-Inputs!$C$58+1))/1</f>
        <v>2</v>
      </c>
      <c r="V237" s="119" t="n">
        <f aca="false">Inputs!$C$55*(1+Inputs!$C$57)^(V$129-1)*MAX(0,MIN(1,V$128*1-Inputs!$C$58+1))/1</f>
        <v>2</v>
      </c>
      <c r="W237" s="119" t="n">
        <f aca="false">Inputs!$C$55*(1+Inputs!$C$57)^(W$129-1)*MAX(0,MIN(1,W$128*1-Inputs!$C$58+1))/1</f>
        <v>2</v>
      </c>
      <c r="X237" s="119" t="n">
        <f aca="false">Inputs!$C$55*(1+Inputs!$C$57)^(X$129-1)*MAX(0,MIN(1,X$128*1-Inputs!$C$58+1))/1</f>
        <v>2</v>
      </c>
      <c r="Y237" s="119" t="n">
        <f aca="false">Inputs!$C$55*(1+Inputs!$C$57)^(Y$129-1)*MAX(0,MIN(1,Y$128*1-Inputs!$C$58+1))/1</f>
        <v>2</v>
      </c>
      <c r="Z237" s="119" t="n">
        <f aca="false">Inputs!$C$55*(1+Inputs!$C$57)^(Z$129-1)*MAX(0,MIN(1,Z$128*1-Inputs!$C$58+1))/1</f>
        <v>2</v>
      </c>
      <c r="AA237" s="119" t="n">
        <f aca="false">Inputs!$C$55*(1+Inputs!$C$57)^(AA$129-1)*MAX(0,MIN(1,AA$128*1-Inputs!$C$58+1))/1</f>
        <v>2</v>
      </c>
      <c r="AB237" s="119" t="n">
        <f aca="false">Inputs!$C$55*(1+Inputs!$C$57)^(AB$129-1)*MAX(0,MIN(1,AB$128*1-Inputs!$C$58+1))/1</f>
        <v>2</v>
      </c>
      <c r="AC237" s="119" t="n">
        <f aca="false">Inputs!$C$55*(1+Inputs!$C$57)^(AC$129-1)*MAX(0,MIN(1,AC$128*1-Inputs!$C$58+1))/1</f>
        <v>2</v>
      </c>
      <c r="AD237" s="119" t="n">
        <f aca="false">Inputs!$C$55*(1+Inputs!$C$57)^(AD$129-1)*MAX(0,MIN(1,AD$128*1-Inputs!$C$58+1))/1</f>
        <v>2</v>
      </c>
      <c r="AE237" s="119" t="n">
        <f aca="false">Inputs!$C$55*(1+Inputs!$C$57)^(AE$129-1)*MAX(0,MIN(1,AE$128*1-Inputs!$C$58+1))/1</f>
        <v>2</v>
      </c>
      <c r="AF237" s="119" t="n">
        <f aca="false">Inputs!$C$55*(1+Inputs!$C$57)^(AF$129-1)*MAX(0,MIN(1,AF$128*1-Inputs!$C$58+1))/1</f>
        <v>2</v>
      </c>
      <c r="AG237" s="119" t="n">
        <f aca="false">Inputs!$C$55*(1+Inputs!$C$57)^(AG$129-1)*MAX(0,MIN(1,AG$128*1-Inputs!$C$58+1))/1</f>
        <v>2</v>
      </c>
      <c r="AH237" s="119" t="n">
        <f aca="false">Inputs!$C$55*(1+Inputs!$C$57)^(AH$129-1)*MAX(0,MIN(1,AH$128*1-Inputs!$C$58+1))/1</f>
        <v>2</v>
      </c>
      <c r="AI237" s="119" t="n">
        <f aca="false">Inputs!$C$55*(1+Inputs!$C$57)^(AI$129-1)*MAX(0,MIN(1,AI$128*1-Inputs!$C$58+1))/1</f>
        <v>2</v>
      </c>
      <c r="AJ237" s="119" t="n">
        <f aca="false">Inputs!$C$55*(1+Inputs!$C$57)^(AJ$129-1)*MAX(0,MIN(1,AJ$128*1-Inputs!$C$58+1))/1</f>
        <v>2</v>
      </c>
      <c r="AK237" s="119" t="n">
        <f aca="false">Inputs!$C$55*(1+Inputs!$C$57)^(AK$129-1)*MAX(0,MIN(1,AK$128*1-Inputs!$C$58+1))/1</f>
        <v>2</v>
      </c>
      <c r="AL237" s="119" t="n">
        <f aca="false">Inputs!$C$55*(1+Inputs!$C$57)^(AL$129-1)*MAX(0,MIN(1,AL$128*1-Inputs!$C$58+1))/1</f>
        <v>2</v>
      </c>
      <c r="AM237" s="119" t="n">
        <f aca="false">Inputs!$C$55*(1+Inputs!$C$57)^(AM$129-1)*MAX(0,MIN(1,AM$128*1-Inputs!$C$58+1))/1</f>
        <v>2</v>
      </c>
      <c r="AN237" s="119" t="n">
        <f aca="false">Inputs!$C$55*(1+Inputs!$C$57)^(AN$129-1)*MAX(0,MIN(1,AN$128*1-Inputs!$C$58+1))/1</f>
        <v>2</v>
      </c>
      <c r="AO237" s="119" t="n">
        <f aca="false">Inputs!$C$55*(1+Inputs!$C$57)^(AO$129-1)*MAX(0,MIN(1,AO$128*1-Inputs!$C$58+1))/1</f>
        <v>2</v>
      </c>
      <c r="AP237" s="119" t="n">
        <f aca="false">Inputs!$C$55*(1+Inputs!$C$57)^(AP$129-1)*MAX(0,MIN(1,AP$128*1-Inputs!$C$58+1))/1</f>
        <v>2</v>
      </c>
      <c r="AQ237" s="119" t="n">
        <f aca="false">Inputs!$C$55*(1+Inputs!$C$57)^(AQ$129-1)*MAX(0,MIN(1,AQ$128*1-Inputs!$C$58+1))/1</f>
        <v>2</v>
      </c>
      <c r="AR237" s="119" t="n">
        <f aca="false">Inputs!$C$55*(1+Inputs!$C$57)^(AR$129-1)*MAX(0,MIN(1,AR$128*1-Inputs!$C$58+1))/1</f>
        <v>2</v>
      </c>
      <c r="AS237" s="119" t="n">
        <f aca="false">Inputs!$C$55*(1+Inputs!$C$57)^(AS$129-1)*MAX(0,MIN(1,AS$128*1-Inputs!$C$58+1))/1</f>
        <v>2</v>
      </c>
      <c r="AT237" s="119" t="n">
        <f aca="false">Inputs!$C$55*(1+Inputs!$C$57)^(AT$129-1)*MAX(0,MIN(1,AT$128*1-Inputs!$C$58+1))/1</f>
        <v>2</v>
      </c>
      <c r="AU237" s="119" t="n">
        <f aca="false">Inputs!$C$55*(1+Inputs!$C$57)^(AU$129-1)*MAX(0,MIN(1,AU$128*1-Inputs!$C$58+1))/1</f>
        <v>2</v>
      </c>
      <c r="AV237" s="119" t="n">
        <f aca="false">Inputs!$C$55*(1+Inputs!$C$57)^(AV$129-1)*MAX(0,MIN(1,AV$128*1-Inputs!$C$58+1))/1</f>
        <v>2</v>
      </c>
      <c r="AW237" s="119" t="n">
        <f aca="false">Inputs!$C$55*(1+Inputs!$C$57)^(AW$129-1)*MAX(0,MIN(1,AW$128*1-Inputs!$C$58+1))/1</f>
        <v>2</v>
      </c>
      <c r="AX237" s="119" t="n">
        <f aca="false">Inputs!$C$55*(1+Inputs!$C$57)^(AX$129-1)*MAX(0,MIN(1,AX$128*1-Inputs!$C$58+1))/1</f>
        <v>2</v>
      </c>
      <c r="AY237" s="119" t="n">
        <f aca="false">Inputs!$C$55*(1+Inputs!$C$57)^(AY$129-1)*MAX(0,MIN(1,AY$128*1-Inputs!$C$58+1))/1</f>
        <v>2</v>
      </c>
      <c r="AZ237" s="119" t="n">
        <f aca="false">Inputs!$C$55*(1+Inputs!$C$57)^(AZ$129-1)*MAX(0,MIN(1,AZ$128*1-Inputs!$C$58+1))/1</f>
        <v>2</v>
      </c>
      <c r="BA237" s="119" t="n">
        <f aca="false">Inputs!$C$55*(1+Inputs!$C$57)^(BA$129-1)*MAX(0,MIN(1,BA$128*1-Inputs!$C$58+1))/1</f>
        <v>2</v>
      </c>
      <c r="BB237" s="119" t="n">
        <f aca="false">Inputs!$C$55*(1+Inputs!$C$57)^(BB$129-1)*MAX(0,MIN(1,BB$128*1-Inputs!$C$58+1))/1</f>
        <v>2</v>
      </c>
      <c r="BC237" s="119" t="n">
        <f aca="false">Inputs!$C$55*(1+Inputs!$C$57)^(BC$129-1)*MAX(0,MIN(1,BC$128*1-Inputs!$C$58+1))/1</f>
        <v>2</v>
      </c>
      <c r="BD237" s="119" t="n">
        <f aca="false">Inputs!$C$55*(1+Inputs!$C$57)^(BD$129-1)*MAX(0,MIN(1,BD$128*1-Inputs!$C$58+1))/1</f>
        <v>2</v>
      </c>
      <c r="BE237" s="119" t="n">
        <f aca="false">Inputs!$C$55*(1+Inputs!$C$57)^(BE$129-1)*MAX(0,MIN(1,BE$128*1-Inputs!$C$58+1))/1</f>
        <v>2</v>
      </c>
      <c r="BF237" s="119" t="n">
        <f aca="false">Inputs!$C$55*(1+Inputs!$C$57)^(BF$129-1)*MAX(0,MIN(1,BF$128*1-Inputs!$C$58+1))/1</f>
        <v>2</v>
      </c>
      <c r="BG237" s="119" t="n">
        <f aca="false">Inputs!$C$55*(1+Inputs!$C$57)^(BG$129-1)*MAX(0,MIN(1,BG$128*1-Inputs!$C$58+1))/1</f>
        <v>2</v>
      </c>
      <c r="BH237" s="119" t="n">
        <f aca="false">Inputs!$C$55*(1+Inputs!$C$57)^(BH$129-1)*MAX(0,MIN(1,BH$128*1-Inputs!$C$58+1))/1</f>
        <v>2</v>
      </c>
      <c r="BI237" s="119" t="n">
        <f aca="false">Inputs!$C$55*(1+Inputs!$C$57)^(BI$129-1)*MAX(0,MIN(1,BI$128*1-Inputs!$C$58+1))/1</f>
        <v>2</v>
      </c>
      <c r="BJ237" s="119" t="n">
        <f aca="false">Inputs!$C$55*(1+Inputs!$C$57)^(BJ$129-1)*MAX(0,MIN(1,BJ$128*1-Inputs!$C$58+1))/1</f>
        <v>2</v>
      </c>
    </row>
    <row r="238" customFormat="false" ht="15" hidden="false" customHeight="false" outlineLevel="0" collapsed="false">
      <c r="A238" s="6" t="s">
        <v>458</v>
      </c>
      <c r="C238" s="119" t="n">
        <f aca="false">Inputs!$C$59*(1+Inputs!$C$61)^(C$129-1)*MAX(0,MIN(1,C$128*1-Inputs!$C$62+1))/1</f>
        <v>1</v>
      </c>
      <c r="D238" s="119" t="n">
        <f aca="false">Inputs!$C$59*(1+Inputs!$C$61)^(D$129-1)*MAX(0,MIN(1,D$128*1-Inputs!$C$62+1))/1</f>
        <v>1</v>
      </c>
      <c r="E238" s="119" t="n">
        <f aca="false">Inputs!$C$59*(1+Inputs!$C$61)^(E$129-1)*MAX(0,MIN(1,E$128*1-Inputs!$C$62+1))/1</f>
        <v>1</v>
      </c>
      <c r="F238" s="119" t="n">
        <f aca="false">Inputs!$C$59*(1+Inputs!$C$61)^(F$129-1)*MAX(0,MIN(1,F$128*1-Inputs!$C$62+1))/1</f>
        <v>1</v>
      </c>
      <c r="G238" s="119" t="n">
        <f aca="false">Inputs!$C$59*(1+Inputs!$C$61)^(G$129-1)*MAX(0,MIN(1,G$128*1-Inputs!$C$62+1))/1</f>
        <v>1</v>
      </c>
      <c r="H238" s="119" t="n">
        <f aca="false">Inputs!$C$59*(1+Inputs!$C$61)^(H$129-1)*MAX(0,MIN(1,H$128*1-Inputs!$C$62+1))/1</f>
        <v>1</v>
      </c>
      <c r="I238" s="119" t="n">
        <f aca="false">Inputs!$C$59*(1+Inputs!$C$61)^(I$129-1)*MAX(0,MIN(1,I$128*1-Inputs!$C$62+1))/1</f>
        <v>1</v>
      </c>
      <c r="J238" s="119" t="n">
        <f aca="false">Inputs!$C$59*(1+Inputs!$C$61)^(J$129-1)*MAX(0,MIN(1,J$128*1-Inputs!$C$62+1))/1</f>
        <v>1</v>
      </c>
      <c r="K238" s="119" t="n">
        <f aca="false">Inputs!$C$59*(1+Inputs!$C$61)^(K$129-1)*MAX(0,MIN(1,K$128*1-Inputs!$C$62+1))/1</f>
        <v>1</v>
      </c>
      <c r="L238" s="119" t="n">
        <f aca="false">Inputs!$C$59*(1+Inputs!$C$61)^(L$129-1)*MAX(0,MIN(1,L$128*1-Inputs!$C$62+1))/1</f>
        <v>1</v>
      </c>
      <c r="M238" s="119" t="n">
        <f aca="false">Inputs!$C$59*(1+Inputs!$C$61)^(M$129-1)*MAX(0,MIN(1,M$128*1-Inputs!$C$62+1))/1</f>
        <v>1</v>
      </c>
      <c r="N238" s="119" t="n">
        <f aca="false">Inputs!$C$59*(1+Inputs!$C$61)^(N$129-1)*MAX(0,MIN(1,N$128*1-Inputs!$C$62+1))/1</f>
        <v>1</v>
      </c>
      <c r="O238" s="119" t="n">
        <f aca="false">Inputs!$C$59*(1+Inputs!$C$61)^(O$129-1)*MAX(0,MIN(1,O$128*1-Inputs!$C$62+1))/1</f>
        <v>1</v>
      </c>
      <c r="P238" s="119" t="n">
        <f aca="false">Inputs!$C$59*(1+Inputs!$C$61)^(P$129-1)*MAX(0,MIN(1,P$128*1-Inputs!$C$62+1))/1</f>
        <v>1</v>
      </c>
      <c r="Q238" s="119" t="n">
        <f aca="false">Inputs!$C$59*(1+Inputs!$C$61)^(Q$129-1)*MAX(0,MIN(1,Q$128*1-Inputs!$C$62+1))/1</f>
        <v>1</v>
      </c>
      <c r="R238" s="119" t="n">
        <f aca="false">Inputs!$C$59*(1+Inputs!$C$61)^(R$129-1)*MAX(0,MIN(1,R$128*1-Inputs!$C$62+1))/1</f>
        <v>1</v>
      </c>
      <c r="S238" s="119" t="n">
        <f aca="false">Inputs!$C$59*(1+Inputs!$C$61)^(S$129-1)*MAX(0,MIN(1,S$128*1-Inputs!$C$62+1))/1</f>
        <v>1</v>
      </c>
      <c r="T238" s="119" t="n">
        <f aca="false">Inputs!$C$59*(1+Inputs!$C$61)^(T$129-1)*MAX(0,MIN(1,T$128*1-Inputs!$C$62+1))/1</f>
        <v>1</v>
      </c>
      <c r="U238" s="119" t="n">
        <f aca="false">Inputs!$C$59*(1+Inputs!$C$61)^(U$129-1)*MAX(0,MIN(1,U$128*1-Inputs!$C$62+1))/1</f>
        <v>1</v>
      </c>
      <c r="V238" s="119" t="n">
        <f aca="false">Inputs!$C$59*(1+Inputs!$C$61)^(V$129-1)*MAX(0,MIN(1,V$128*1-Inputs!$C$62+1))/1</f>
        <v>1</v>
      </c>
      <c r="W238" s="119" t="n">
        <f aca="false">Inputs!$C$59*(1+Inputs!$C$61)^(W$129-1)*MAX(0,MIN(1,W$128*1-Inputs!$C$62+1))/1</f>
        <v>1</v>
      </c>
      <c r="X238" s="119" t="n">
        <f aca="false">Inputs!$C$59*(1+Inputs!$C$61)^(X$129-1)*MAX(0,MIN(1,X$128*1-Inputs!$C$62+1))/1</f>
        <v>1</v>
      </c>
      <c r="Y238" s="119" t="n">
        <f aca="false">Inputs!$C$59*(1+Inputs!$C$61)^(Y$129-1)*MAX(0,MIN(1,Y$128*1-Inputs!$C$62+1))/1</f>
        <v>1</v>
      </c>
      <c r="Z238" s="119" t="n">
        <f aca="false">Inputs!$C$59*(1+Inputs!$C$61)^(Z$129-1)*MAX(0,MIN(1,Z$128*1-Inputs!$C$62+1))/1</f>
        <v>1</v>
      </c>
      <c r="AA238" s="119" t="n">
        <f aca="false">Inputs!$C$59*(1+Inputs!$C$61)^(AA$129-1)*MAX(0,MIN(1,AA$128*1-Inputs!$C$62+1))/1</f>
        <v>1</v>
      </c>
      <c r="AB238" s="119" t="n">
        <f aca="false">Inputs!$C$59*(1+Inputs!$C$61)^(AB$129-1)*MAX(0,MIN(1,AB$128*1-Inputs!$C$62+1))/1</f>
        <v>1</v>
      </c>
      <c r="AC238" s="119" t="n">
        <f aca="false">Inputs!$C$59*(1+Inputs!$C$61)^(AC$129-1)*MAX(0,MIN(1,AC$128*1-Inputs!$C$62+1))/1</f>
        <v>1</v>
      </c>
      <c r="AD238" s="119" t="n">
        <f aca="false">Inputs!$C$59*(1+Inputs!$C$61)^(AD$129-1)*MAX(0,MIN(1,AD$128*1-Inputs!$C$62+1))/1</f>
        <v>1</v>
      </c>
      <c r="AE238" s="119" t="n">
        <f aca="false">Inputs!$C$59*(1+Inputs!$C$61)^(AE$129-1)*MAX(0,MIN(1,AE$128*1-Inputs!$C$62+1))/1</f>
        <v>1</v>
      </c>
      <c r="AF238" s="119" t="n">
        <f aca="false">Inputs!$C$59*(1+Inputs!$C$61)^(AF$129-1)*MAX(0,MIN(1,AF$128*1-Inputs!$C$62+1))/1</f>
        <v>1</v>
      </c>
      <c r="AG238" s="119" t="n">
        <f aca="false">Inputs!$C$59*(1+Inputs!$C$61)^(AG$129-1)*MAX(0,MIN(1,AG$128*1-Inputs!$C$62+1))/1</f>
        <v>1</v>
      </c>
      <c r="AH238" s="119" t="n">
        <f aca="false">Inputs!$C$59*(1+Inputs!$C$61)^(AH$129-1)*MAX(0,MIN(1,AH$128*1-Inputs!$C$62+1))/1</f>
        <v>1</v>
      </c>
      <c r="AI238" s="119" t="n">
        <f aca="false">Inputs!$C$59*(1+Inputs!$C$61)^(AI$129-1)*MAX(0,MIN(1,AI$128*1-Inputs!$C$62+1))/1</f>
        <v>1</v>
      </c>
      <c r="AJ238" s="119" t="n">
        <f aca="false">Inputs!$C$59*(1+Inputs!$C$61)^(AJ$129-1)*MAX(0,MIN(1,AJ$128*1-Inputs!$C$62+1))/1</f>
        <v>1</v>
      </c>
      <c r="AK238" s="119" t="n">
        <f aca="false">Inputs!$C$59*(1+Inputs!$C$61)^(AK$129-1)*MAX(0,MIN(1,AK$128*1-Inputs!$C$62+1))/1</f>
        <v>1</v>
      </c>
      <c r="AL238" s="119" t="n">
        <f aca="false">Inputs!$C$59*(1+Inputs!$C$61)^(AL$129-1)*MAX(0,MIN(1,AL$128*1-Inputs!$C$62+1))/1</f>
        <v>1</v>
      </c>
      <c r="AM238" s="119" t="n">
        <f aca="false">Inputs!$C$59*(1+Inputs!$C$61)^(AM$129-1)*MAX(0,MIN(1,AM$128*1-Inputs!$C$62+1))/1</f>
        <v>1</v>
      </c>
      <c r="AN238" s="119" t="n">
        <f aca="false">Inputs!$C$59*(1+Inputs!$C$61)^(AN$129-1)*MAX(0,MIN(1,AN$128*1-Inputs!$C$62+1))/1</f>
        <v>1</v>
      </c>
      <c r="AO238" s="119" t="n">
        <f aca="false">Inputs!$C$59*(1+Inputs!$C$61)^(AO$129-1)*MAX(0,MIN(1,AO$128*1-Inputs!$C$62+1))/1</f>
        <v>1</v>
      </c>
      <c r="AP238" s="119" t="n">
        <f aca="false">Inputs!$C$59*(1+Inputs!$C$61)^(AP$129-1)*MAX(0,MIN(1,AP$128*1-Inputs!$C$62+1))/1</f>
        <v>1</v>
      </c>
      <c r="AQ238" s="119" t="n">
        <f aca="false">Inputs!$C$59*(1+Inputs!$C$61)^(AQ$129-1)*MAX(0,MIN(1,AQ$128*1-Inputs!$C$62+1))/1</f>
        <v>1</v>
      </c>
      <c r="AR238" s="119" t="n">
        <f aca="false">Inputs!$C$59*(1+Inputs!$C$61)^(AR$129-1)*MAX(0,MIN(1,AR$128*1-Inputs!$C$62+1))/1</f>
        <v>1</v>
      </c>
      <c r="AS238" s="119" t="n">
        <f aca="false">Inputs!$C$59*(1+Inputs!$C$61)^(AS$129-1)*MAX(0,MIN(1,AS$128*1-Inputs!$C$62+1))/1</f>
        <v>1</v>
      </c>
      <c r="AT238" s="119" t="n">
        <f aca="false">Inputs!$C$59*(1+Inputs!$C$61)^(AT$129-1)*MAX(0,MIN(1,AT$128*1-Inputs!$C$62+1))/1</f>
        <v>1</v>
      </c>
      <c r="AU238" s="119" t="n">
        <f aca="false">Inputs!$C$59*(1+Inputs!$C$61)^(AU$129-1)*MAX(0,MIN(1,AU$128*1-Inputs!$C$62+1))/1</f>
        <v>1</v>
      </c>
      <c r="AV238" s="119" t="n">
        <f aca="false">Inputs!$C$59*(1+Inputs!$C$61)^(AV$129-1)*MAX(0,MIN(1,AV$128*1-Inputs!$C$62+1))/1</f>
        <v>1</v>
      </c>
      <c r="AW238" s="119" t="n">
        <f aca="false">Inputs!$C$59*(1+Inputs!$C$61)^(AW$129-1)*MAX(0,MIN(1,AW$128*1-Inputs!$C$62+1))/1</f>
        <v>1</v>
      </c>
      <c r="AX238" s="119" t="n">
        <f aca="false">Inputs!$C$59*(1+Inputs!$C$61)^(AX$129-1)*MAX(0,MIN(1,AX$128*1-Inputs!$C$62+1))/1</f>
        <v>1</v>
      </c>
      <c r="AY238" s="119" t="n">
        <f aca="false">Inputs!$C$59*(1+Inputs!$C$61)^(AY$129-1)*MAX(0,MIN(1,AY$128*1-Inputs!$C$62+1))/1</f>
        <v>1</v>
      </c>
      <c r="AZ238" s="119" t="n">
        <f aca="false">Inputs!$C$59*(1+Inputs!$C$61)^(AZ$129-1)*MAX(0,MIN(1,AZ$128*1-Inputs!$C$62+1))/1</f>
        <v>1</v>
      </c>
      <c r="BA238" s="119" t="n">
        <f aca="false">Inputs!$C$59*(1+Inputs!$C$61)^(BA$129-1)*MAX(0,MIN(1,BA$128*1-Inputs!$C$62+1))/1</f>
        <v>1</v>
      </c>
      <c r="BB238" s="119" t="n">
        <f aca="false">Inputs!$C$59*(1+Inputs!$C$61)^(BB$129-1)*MAX(0,MIN(1,BB$128*1-Inputs!$C$62+1))/1</f>
        <v>1</v>
      </c>
      <c r="BC238" s="119" t="n">
        <f aca="false">Inputs!$C$59*(1+Inputs!$C$61)^(BC$129-1)*MAX(0,MIN(1,BC$128*1-Inputs!$C$62+1))/1</f>
        <v>1</v>
      </c>
      <c r="BD238" s="119" t="n">
        <f aca="false">Inputs!$C$59*(1+Inputs!$C$61)^(BD$129-1)*MAX(0,MIN(1,BD$128*1-Inputs!$C$62+1))/1</f>
        <v>1</v>
      </c>
      <c r="BE238" s="119" t="n">
        <f aca="false">Inputs!$C$59*(1+Inputs!$C$61)^(BE$129-1)*MAX(0,MIN(1,BE$128*1-Inputs!$C$62+1))/1</f>
        <v>1</v>
      </c>
      <c r="BF238" s="119" t="n">
        <f aca="false">Inputs!$C$59*(1+Inputs!$C$61)^(BF$129-1)*MAX(0,MIN(1,BF$128*1-Inputs!$C$62+1))/1</f>
        <v>1</v>
      </c>
      <c r="BG238" s="119" t="n">
        <f aca="false">Inputs!$C$59*(1+Inputs!$C$61)^(BG$129-1)*MAX(0,MIN(1,BG$128*1-Inputs!$C$62+1))/1</f>
        <v>1</v>
      </c>
      <c r="BH238" s="119" t="n">
        <f aca="false">Inputs!$C$59*(1+Inputs!$C$61)^(BH$129-1)*MAX(0,MIN(1,BH$128*1-Inputs!$C$62+1))/1</f>
        <v>1</v>
      </c>
      <c r="BI238" s="119" t="n">
        <f aca="false">Inputs!$C$59*(1+Inputs!$C$61)^(BI$129-1)*MAX(0,MIN(1,BI$128*1-Inputs!$C$62+1))/1</f>
        <v>1</v>
      </c>
      <c r="BJ238" s="119" t="n">
        <f aca="false">Inputs!$C$59*(1+Inputs!$C$61)^(BJ$129-1)*MAX(0,MIN(1,BJ$128*1-Inputs!$C$62+1))/1</f>
        <v>1</v>
      </c>
    </row>
    <row r="239" customFormat="false" ht="15" hidden="false" customHeight="false" outlineLevel="0" collapsed="false">
      <c r="A239" s="115" t="s">
        <v>459</v>
      </c>
      <c r="C239" s="124" t="n">
        <f aca="false">C236+C237+C238</f>
        <v>8</v>
      </c>
      <c r="D239" s="124" t="n">
        <f aca="false">D236+D237+D238</f>
        <v>8</v>
      </c>
      <c r="E239" s="124" t="n">
        <f aca="false">E236+E237+E238</f>
        <v>8</v>
      </c>
      <c r="F239" s="124" t="n">
        <f aca="false">F236+F237+F238</f>
        <v>8</v>
      </c>
      <c r="G239" s="124" t="n">
        <f aca="false">G236+G237+G238</f>
        <v>8</v>
      </c>
      <c r="H239" s="124" t="n">
        <f aca="false">H236+H237+H238</f>
        <v>8</v>
      </c>
      <c r="I239" s="124" t="n">
        <f aca="false">I236+I237+I238</f>
        <v>8</v>
      </c>
      <c r="J239" s="124" t="n">
        <f aca="false">J236+J237+J238</f>
        <v>8</v>
      </c>
      <c r="K239" s="124" t="n">
        <f aca="false">K236+K237+K238</f>
        <v>8</v>
      </c>
      <c r="L239" s="124" t="n">
        <f aca="false">L236+L237+L238</f>
        <v>8</v>
      </c>
      <c r="M239" s="124" t="n">
        <f aca="false">M236+M237+M238</f>
        <v>8</v>
      </c>
      <c r="N239" s="124" t="n">
        <f aca="false">N236+N237+N238</f>
        <v>8</v>
      </c>
      <c r="O239" s="124" t="n">
        <f aca="false">O236+O237+O238</f>
        <v>8</v>
      </c>
      <c r="P239" s="124" t="n">
        <f aca="false">P236+P237+P238</f>
        <v>8</v>
      </c>
      <c r="Q239" s="124" t="n">
        <f aca="false">Q236+Q237+Q238</f>
        <v>8</v>
      </c>
      <c r="R239" s="124" t="n">
        <f aca="false">R236+R237+R238</f>
        <v>8</v>
      </c>
      <c r="S239" s="124" t="n">
        <f aca="false">S236+S237+S238</f>
        <v>8</v>
      </c>
      <c r="T239" s="124" t="n">
        <f aca="false">T236+T237+T238</f>
        <v>8</v>
      </c>
      <c r="U239" s="124" t="n">
        <f aca="false">U236+U237+U238</f>
        <v>8</v>
      </c>
      <c r="V239" s="124" t="n">
        <f aca="false">V236+V237+V238</f>
        <v>8</v>
      </c>
      <c r="W239" s="124" t="n">
        <f aca="false">W236+W237+W238</f>
        <v>8</v>
      </c>
      <c r="X239" s="124" t="n">
        <f aca="false">X236+X237+X238</f>
        <v>8</v>
      </c>
      <c r="Y239" s="124" t="n">
        <f aca="false">Y236+Y237+Y238</f>
        <v>8</v>
      </c>
      <c r="Z239" s="124" t="n">
        <f aca="false">Z236+Z237+Z238</f>
        <v>8</v>
      </c>
      <c r="AA239" s="124" t="n">
        <f aca="false">AA236+AA237+AA238</f>
        <v>8</v>
      </c>
      <c r="AB239" s="124" t="n">
        <f aca="false">AB236+AB237+AB238</f>
        <v>8</v>
      </c>
      <c r="AC239" s="124" t="n">
        <f aca="false">AC236+AC237+AC238</f>
        <v>8</v>
      </c>
      <c r="AD239" s="124" t="n">
        <f aca="false">AD236+AD237+AD238</f>
        <v>8</v>
      </c>
      <c r="AE239" s="124" t="n">
        <f aca="false">AE236+AE237+AE238</f>
        <v>8</v>
      </c>
      <c r="AF239" s="124" t="n">
        <f aca="false">AF236+AF237+AF238</f>
        <v>8</v>
      </c>
      <c r="AG239" s="124" t="n">
        <f aca="false">AG236+AG237+AG238</f>
        <v>8</v>
      </c>
      <c r="AH239" s="124" t="n">
        <f aca="false">AH236+AH237+AH238</f>
        <v>8</v>
      </c>
      <c r="AI239" s="124" t="n">
        <f aca="false">AI236+AI237+AI238</f>
        <v>8</v>
      </c>
      <c r="AJ239" s="124" t="n">
        <f aca="false">AJ236+AJ237+AJ238</f>
        <v>8</v>
      </c>
      <c r="AK239" s="124" t="n">
        <f aca="false">AK236+AK237+AK238</f>
        <v>8</v>
      </c>
      <c r="AL239" s="124" t="n">
        <f aca="false">AL236+AL237+AL238</f>
        <v>8</v>
      </c>
      <c r="AM239" s="124" t="n">
        <f aca="false">AM236+AM237+AM238</f>
        <v>8</v>
      </c>
      <c r="AN239" s="124" t="n">
        <f aca="false">AN236+AN237+AN238</f>
        <v>8</v>
      </c>
      <c r="AO239" s="124" t="n">
        <f aca="false">AO236+AO237+AO238</f>
        <v>8</v>
      </c>
      <c r="AP239" s="124" t="n">
        <f aca="false">AP236+AP237+AP238</f>
        <v>8</v>
      </c>
      <c r="AQ239" s="124" t="n">
        <f aca="false">AQ236+AQ237+AQ238</f>
        <v>8</v>
      </c>
      <c r="AR239" s="124" t="n">
        <f aca="false">AR236+AR237+AR238</f>
        <v>8</v>
      </c>
      <c r="AS239" s="124" t="n">
        <f aca="false">AS236+AS237+AS238</f>
        <v>8</v>
      </c>
      <c r="AT239" s="124" t="n">
        <f aca="false">AT236+AT237+AT238</f>
        <v>8</v>
      </c>
      <c r="AU239" s="124" t="n">
        <f aca="false">AU236+AU237+AU238</f>
        <v>8</v>
      </c>
      <c r="AV239" s="124" t="n">
        <f aca="false">AV236+AV237+AV238</f>
        <v>8</v>
      </c>
      <c r="AW239" s="124" t="n">
        <f aca="false">AW236+AW237+AW238</f>
        <v>8</v>
      </c>
      <c r="AX239" s="124" t="n">
        <f aca="false">AX236+AX237+AX238</f>
        <v>8</v>
      </c>
      <c r="AY239" s="124" t="n">
        <f aca="false">AY236+AY237+AY238</f>
        <v>8</v>
      </c>
      <c r="AZ239" s="124" t="n">
        <f aca="false">AZ236+AZ237+AZ238</f>
        <v>8</v>
      </c>
      <c r="BA239" s="124" t="n">
        <f aca="false">BA236+BA237+BA238</f>
        <v>8</v>
      </c>
      <c r="BB239" s="124" t="n">
        <f aca="false">BB236+BB237+BB238</f>
        <v>8</v>
      </c>
      <c r="BC239" s="124" t="n">
        <f aca="false">BC236+BC237+BC238</f>
        <v>8</v>
      </c>
      <c r="BD239" s="124" t="n">
        <f aca="false">BD236+BD237+BD238</f>
        <v>8</v>
      </c>
      <c r="BE239" s="124" t="n">
        <f aca="false">BE236+BE237+BE238</f>
        <v>8</v>
      </c>
      <c r="BF239" s="124" t="n">
        <f aca="false">BF236+BF237+BF238</f>
        <v>8</v>
      </c>
      <c r="BG239" s="124" t="n">
        <f aca="false">BG236+BG237+BG238</f>
        <v>8</v>
      </c>
      <c r="BH239" s="124" t="n">
        <f aca="false">BH236+BH237+BH238</f>
        <v>8</v>
      </c>
      <c r="BI239" s="124" t="n">
        <f aca="false">BI236+BI237+BI238</f>
        <v>8</v>
      </c>
      <c r="BJ239" s="124" t="n">
        <f aca="false">BJ236+BJ237+BJ238</f>
        <v>8</v>
      </c>
    </row>
    <row r="241" customFormat="false" ht="15.75" hidden="false" customHeight="true" outlineLevel="0" collapsed="false">
      <c r="A241" s="7" t="s">
        <v>460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customFormat="false" ht="15" hidden="false" customHeight="false" outlineLevel="0" collapsed="false">
      <c r="A242" s="6" t="s">
        <v>461</v>
      </c>
      <c r="C242" s="69" t="n">
        <f aca="false">-C236*Inputs!$C$52/12*1*(1+Inputs!$C$63)*(1+Inputs!$C$64)^(C$129-1)</f>
        <v>-37375</v>
      </c>
      <c r="D242" s="69" t="n">
        <f aca="false">-D236*Inputs!$C$52/12*1*(1+Inputs!$C$63)*(1+Inputs!$C$64)^(D$129-1)</f>
        <v>-37375</v>
      </c>
      <c r="E242" s="69" t="n">
        <f aca="false">-E236*Inputs!$C$52/12*1*(1+Inputs!$C$63)*(1+Inputs!$C$64)^(E$129-1)</f>
        <v>-37375</v>
      </c>
      <c r="F242" s="69" t="n">
        <f aca="false">-F236*Inputs!$C$52/12*1*(1+Inputs!$C$63)*(1+Inputs!$C$64)^(F$129-1)</f>
        <v>-37375</v>
      </c>
      <c r="G242" s="69" t="n">
        <f aca="false">-G236*Inputs!$C$52/12*1*(1+Inputs!$C$63)*(1+Inputs!$C$64)^(G$129-1)</f>
        <v>-37375</v>
      </c>
      <c r="H242" s="69" t="n">
        <f aca="false">-H236*Inputs!$C$52/12*1*(1+Inputs!$C$63)*(1+Inputs!$C$64)^(H$129-1)</f>
        <v>-37375</v>
      </c>
      <c r="I242" s="69" t="n">
        <f aca="false">-I236*Inputs!$C$52/12*1*(1+Inputs!$C$63)*(1+Inputs!$C$64)^(I$129-1)</f>
        <v>-37375</v>
      </c>
      <c r="J242" s="69" t="n">
        <f aca="false">-J236*Inputs!$C$52/12*1*(1+Inputs!$C$63)*(1+Inputs!$C$64)^(J$129-1)</f>
        <v>-37375</v>
      </c>
      <c r="K242" s="69" t="n">
        <f aca="false">-K236*Inputs!$C$52/12*1*(1+Inputs!$C$63)*(1+Inputs!$C$64)^(K$129-1)</f>
        <v>-37375</v>
      </c>
      <c r="L242" s="69" t="n">
        <f aca="false">-L236*Inputs!$C$52/12*1*(1+Inputs!$C$63)*(1+Inputs!$C$64)^(L$129-1)</f>
        <v>-37375</v>
      </c>
      <c r="M242" s="69" t="n">
        <f aca="false">-M236*Inputs!$C$52/12*1*(1+Inputs!$C$63)*(1+Inputs!$C$64)^(M$129-1)</f>
        <v>-37375</v>
      </c>
      <c r="N242" s="69" t="n">
        <f aca="false">-N236*Inputs!$C$52/12*1*(1+Inputs!$C$63)*(1+Inputs!$C$64)^(N$129-1)</f>
        <v>-37375</v>
      </c>
      <c r="O242" s="69" t="n">
        <f aca="false">-O236*Inputs!$C$52/12*1*(1+Inputs!$C$63)*(1+Inputs!$C$64)^(O$129-1)</f>
        <v>-38496.25</v>
      </c>
      <c r="P242" s="69" t="n">
        <f aca="false">-P236*Inputs!$C$52/12*1*(1+Inputs!$C$63)*(1+Inputs!$C$64)^(P$129-1)</f>
        <v>-38496.25</v>
      </c>
      <c r="Q242" s="69" t="n">
        <f aca="false">-Q236*Inputs!$C$52/12*1*(1+Inputs!$C$63)*(1+Inputs!$C$64)^(Q$129-1)</f>
        <v>-38496.25</v>
      </c>
      <c r="R242" s="69" t="n">
        <f aca="false">-R236*Inputs!$C$52/12*1*(1+Inputs!$C$63)*(1+Inputs!$C$64)^(R$129-1)</f>
        <v>-38496.25</v>
      </c>
      <c r="S242" s="69" t="n">
        <f aca="false">-S236*Inputs!$C$52/12*1*(1+Inputs!$C$63)*(1+Inputs!$C$64)^(S$129-1)</f>
        <v>-38496.25</v>
      </c>
      <c r="T242" s="69" t="n">
        <f aca="false">-T236*Inputs!$C$52/12*1*(1+Inputs!$C$63)*(1+Inputs!$C$64)^(T$129-1)</f>
        <v>-38496.25</v>
      </c>
      <c r="U242" s="69" t="n">
        <f aca="false">-U236*Inputs!$C$52/12*1*(1+Inputs!$C$63)*(1+Inputs!$C$64)^(U$129-1)</f>
        <v>-38496.25</v>
      </c>
      <c r="V242" s="69" t="n">
        <f aca="false">-V236*Inputs!$C$52/12*1*(1+Inputs!$C$63)*(1+Inputs!$C$64)^(V$129-1)</f>
        <v>-38496.25</v>
      </c>
      <c r="W242" s="69" t="n">
        <f aca="false">-W236*Inputs!$C$52/12*1*(1+Inputs!$C$63)*(1+Inputs!$C$64)^(W$129-1)</f>
        <v>-38496.25</v>
      </c>
      <c r="X242" s="69" t="n">
        <f aca="false">-X236*Inputs!$C$52/12*1*(1+Inputs!$C$63)*(1+Inputs!$C$64)^(X$129-1)</f>
        <v>-38496.25</v>
      </c>
      <c r="Y242" s="69" t="n">
        <f aca="false">-Y236*Inputs!$C$52/12*1*(1+Inputs!$C$63)*(1+Inputs!$C$64)^(Y$129-1)</f>
        <v>-38496.25</v>
      </c>
      <c r="Z242" s="69" t="n">
        <f aca="false">-Z236*Inputs!$C$52/12*1*(1+Inputs!$C$63)*(1+Inputs!$C$64)^(Z$129-1)</f>
        <v>-38496.25</v>
      </c>
      <c r="AA242" s="69" t="n">
        <f aca="false">-AA236*Inputs!$C$52/12*1*(1+Inputs!$C$63)*(1+Inputs!$C$64)^(AA$129-1)</f>
        <v>-39651.1375</v>
      </c>
      <c r="AB242" s="69" t="n">
        <f aca="false">-AB236*Inputs!$C$52/12*1*(1+Inputs!$C$63)*(1+Inputs!$C$64)^(AB$129-1)</f>
        <v>-39651.1375</v>
      </c>
      <c r="AC242" s="69" t="n">
        <f aca="false">-AC236*Inputs!$C$52/12*1*(1+Inputs!$C$63)*(1+Inputs!$C$64)^(AC$129-1)</f>
        <v>-39651.1375</v>
      </c>
      <c r="AD242" s="69" t="n">
        <f aca="false">-AD236*Inputs!$C$52/12*1*(1+Inputs!$C$63)*(1+Inputs!$C$64)^(AD$129-1)</f>
        <v>-39651.1375</v>
      </c>
      <c r="AE242" s="69" t="n">
        <f aca="false">-AE236*Inputs!$C$52/12*1*(1+Inputs!$C$63)*(1+Inputs!$C$64)^(AE$129-1)</f>
        <v>-39651.1375</v>
      </c>
      <c r="AF242" s="69" t="n">
        <f aca="false">-AF236*Inputs!$C$52/12*1*(1+Inputs!$C$63)*(1+Inputs!$C$64)^(AF$129-1)</f>
        <v>-39651.1375</v>
      </c>
      <c r="AG242" s="69" t="n">
        <f aca="false">-AG236*Inputs!$C$52/12*1*(1+Inputs!$C$63)*(1+Inputs!$C$64)^(AG$129-1)</f>
        <v>-39651.1375</v>
      </c>
      <c r="AH242" s="69" t="n">
        <f aca="false">-AH236*Inputs!$C$52/12*1*(1+Inputs!$C$63)*(1+Inputs!$C$64)^(AH$129-1)</f>
        <v>-39651.1375</v>
      </c>
      <c r="AI242" s="69" t="n">
        <f aca="false">-AI236*Inputs!$C$52/12*1*(1+Inputs!$C$63)*(1+Inputs!$C$64)^(AI$129-1)</f>
        <v>-39651.1375</v>
      </c>
      <c r="AJ242" s="69" t="n">
        <f aca="false">-AJ236*Inputs!$C$52/12*1*(1+Inputs!$C$63)*(1+Inputs!$C$64)^(AJ$129-1)</f>
        <v>-39651.1375</v>
      </c>
      <c r="AK242" s="69" t="n">
        <f aca="false">-AK236*Inputs!$C$52/12*1*(1+Inputs!$C$63)*(1+Inputs!$C$64)^(AK$129-1)</f>
        <v>-39651.1375</v>
      </c>
      <c r="AL242" s="69" t="n">
        <f aca="false">-AL236*Inputs!$C$52/12*1*(1+Inputs!$C$63)*(1+Inputs!$C$64)^(AL$129-1)</f>
        <v>-39651.1375</v>
      </c>
      <c r="AM242" s="69" t="n">
        <f aca="false">-AM236*Inputs!$C$52/12*1*(1+Inputs!$C$63)*(1+Inputs!$C$64)^(AM$129-1)</f>
        <v>-40840.671625</v>
      </c>
      <c r="AN242" s="69" t="n">
        <f aca="false">-AN236*Inputs!$C$52/12*1*(1+Inputs!$C$63)*(1+Inputs!$C$64)^(AN$129-1)</f>
        <v>-40840.671625</v>
      </c>
      <c r="AO242" s="69" t="n">
        <f aca="false">-AO236*Inputs!$C$52/12*1*(1+Inputs!$C$63)*(1+Inputs!$C$64)^(AO$129-1)</f>
        <v>-40840.671625</v>
      </c>
      <c r="AP242" s="69" t="n">
        <f aca="false">-AP236*Inputs!$C$52/12*1*(1+Inputs!$C$63)*(1+Inputs!$C$64)^(AP$129-1)</f>
        <v>-40840.671625</v>
      </c>
      <c r="AQ242" s="69" t="n">
        <f aca="false">-AQ236*Inputs!$C$52/12*1*(1+Inputs!$C$63)*(1+Inputs!$C$64)^(AQ$129-1)</f>
        <v>-40840.671625</v>
      </c>
      <c r="AR242" s="69" t="n">
        <f aca="false">-AR236*Inputs!$C$52/12*1*(1+Inputs!$C$63)*(1+Inputs!$C$64)^(AR$129-1)</f>
        <v>-40840.671625</v>
      </c>
      <c r="AS242" s="69" t="n">
        <f aca="false">-AS236*Inputs!$C$52/12*1*(1+Inputs!$C$63)*(1+Inputs!$C$64)^(AS$129-1)</f>
        <v>-40840.671625</v>
      </c>
      <c r="AT242" s="69" t="n">
        <f aca="false">-AT236*Inputs!$C$52/12*1*(1+Inputs!$C$63)*(1+Inputs!$C$64)^(AT$129-1)</f>
        <v>-40840.671625</v>
      </c>
      <c r="AU242" s="69" t="n">
        <f aca="false">-AU236*Inputs!$C$52/12*1*(1+Inputs!$C$63)*(1+Inputs!$C$64)^(AU$129-1)</f>
        <v>-40840.671625</v>
      </c>
      <c r="AV242" s="69" t="n">
        <f aca="false">-AV236*Inputs!$C$52/12*1*(1+Inputs!$C$63)*(1+Inputs!$C$64)^(AV$129-1)</f>
        <v>-40840.671625</v>
      </c>
      <c r="AW242" s="69" t="n">
        <f aca="false">-AW236*Inputs!$C$52/12*1*(1+Inputs!$C$63)*(1+Inputs!$C$64)^(AW$129-1)</f>
        <v>-40840.671625</v>
      </c>
      <c r="AX242" s="69" t="n">
        <f aca="false">-AX236*Inputs!$C$52/12*1*(1+Inputs!$C$63)*(1+Inputs!$C$64)^(AX$129-1)</f>
        <v>-40840.671625</v>
      </c>
      <c r="AY242" s="69" t="n">
        <f aca="false">-AY236*Inputs!$C$52/12*1*(1+Inputs!$C$63)*(1+Inputs!$C$64)^(AY$129-1)</f>
        <v>-42065.89177375</v>
      </c>
      <c r="AZ242" s="69" t="n">
        <f aca="false">-AZ236*Inputs!$C$52/12*1*(1+Inputs!$C$63)*(1+Inputs!$C$64)^(AZ$129-1)</f>
        <v>-42065.89177375</v>
      </c>
      <c r="BA242" s="69" t="n">
        <f aca="false">-BA236*Inputs!$C$52/12*1*(1+Inputs!$C$63)*(1+Inputs!$C$64)^(BA$129-1)</f>
        <v>-42065.89177375</v>
      </c>
      <c r="BB242" s="69" t="n">
        <f aca="false">-BB236*Inputs!$C$52/12*1*(1+Inputs!$C$63)*(1+Inputs!$C$64)^(BB$129-1)</f>
        <v>-42065.89177375</v>
      </c>
      <c r="BC242" s="69" t="n">
        <f aca="false">-BC236*Inputs!$C$52/12*1*(1+Inputs!$C$63)*(1+Inputs!$C$64)^(BC$129-1)</f>
        <v>-42065.89177375</v>
      </c>
      <c r="BD242" s="69" t="n">
        <f aca="false">-BD236*Inputs!$C$52/12*1*(1+Inputs!$C$63)*(1+Inputs!$C$64)^(BD$129-1)</f>
        <v>-42065.89177375</v>
      </c>
      <c r="BE242" s="69" t="n">
        <f aca="false">-BE236*Inputs!$C$52/12*1*(1+Inputs!$C$63)*(1+Inputs!$C$64)^(BE$129-1)</f>
        <v>-42065.89177375</v>
      </c>
      <c r="BF242" s="69" t="n">
        <f aca="false">-BF236*Inputs!$C$52/12*1*(1+Inputs!$C$63)*(1+Inputs!$C$64)^(BF$129-1)</f>
        <v>-42065.89177375</v>
      </c>
      <c r="BG242" s="69" t="n">
        <f aca="false">-BG236*Inputs!$C$52/12*1*(1+Inputs!$C$63)*(1+Inputs!$C$64)^(BG$129-1)</f>
        <v>-42065.89177375</v>
      </c>
      <c r="BH242" s="69" t="n">
        <f aca="false">-BH236*Inputs!$C$52/12*1*(1+Inputs!$C$63)*(1+Inputs!$C$64)^(BH$129-1)</f>
        <v>-42065.89177375</v>
      </c>
      <c r="BI242" s="69" t="n">
        <f aca="false">-BI236*Inputs!$C$52/12*1*(1+Inputs!$C$63)*(1+Inputs!$C$64)^(BI$129-1)</f>
        <v>-42065.89177375</v>
      </c>
      <c r="BJ242" s="69" t="n">
        <f aca="false">-BJ236*Inputs!$C$52/12*1*(1+Inputs!$C$63)*(1+Inputs!$C$64)^(BJ$129-1)</f>
        <v>-42065.89177375</v>
      </c>
    </row>
    <row r="243" customFormat="false" ht="15" hidden="false" customHeight="false" outlineLevel="0" collapsed="false">
      <c r="A243" s="6" t="s">
        <v>462</v>
      </c>
      <c r="C243" s="69" t="n">
        <f aca="false">-C237*Inputs!$C$56/12*1*(1+Inputs!$C$63)*(1+Inputs!$C$64)^(C$129-1)</f>
        <v>-9583.33333333333</v>
      </c>
      <c r="D243" s="69" t="n">
        <f aca="false">-D237*Inputs!$C$56/12*1*(1+Inputs!$C$63)*(1+Inputs!$C$64)^(D$129-1)</f>
        <v>-9583.33333333333</v>
      </c>
      <c r="E243" s="69" t="n">
        <f aca="false">-E237*Inputs!$C$56/12*1*(1+Inputs!$C$63)*(1+Inputs!$C$64)^(E$129-1)</f>
        <v>-9583.33333333333</v>
      </c>
      <c r="F243" s="69" t="n">
        <f aca="false">-F237*Inputs!$C$56/12*1*(1+Inputs!$C$63)*(1+Inputs!$C$64)^(F$129-1)</f>
        <v>-9583.33333333333</v>
      </c>
      <c r="G243" s="69" t="n">
        <f aca="false">-G237*Inputs!$C$56/12*1*(1+Inputs!$C$63)*(1+Inputs!$C$64)^(G$129-1)</f>
        <v>-9583.33333333333</v>
      </c>
      <c r="H243" s="69" t="n">
        <f aca="false">-H237*Inputs!$C$56/12*1*(1+Inputs!$C$63)*(1+Inputs!$C$64)^(H$129-1)</f>
        <v>-9583.33333333333</v>
      </c>
      <c r="I243" s="69" t="n">
        <f aca="false">-I237*Inputs!$C$56/12*1*(1+Inputs!$C$63)*(1+Inputs!$C$64)^(I$129-1)</f>
        <v>-9583.33333333333</v>
      </c>
      <c r="J243" s="69" t="n">
        <f aca="false">-J237*Inputs!$C$56/12*1*(1+Inputs!$C$63)*(1+Inputs!$C$64)^(J$129-1)</f>
        <v>-9583.33333333333</v>
      </c>
      <c r="K243" s="69" t="n">
        <f aca="false">-K237*Inputs!$C$56/12*1*(1+Inputs!$C$63)*(1+Inputs!$C$64)^(K$129-1)</f>
        <v>-9583.33333333333</v>
      </c>
      <c r="L243" s="69" t="n">
        <f aca="false">-L237*Inputs!$C$56/12*1*(1+Inputs!$C$63)*(1+Inputs!$C$64)^(L$129-1)</f>
        <v>-9583.33333333333</v>
      </c>
      <c r="M243" s="69" t="n">
        <f aca="false">-M237*Inputs!$C$56/12*1*(1+Inputs!$C$63)*(1+Inputs!$C$64)^(M$129-1)</f>
        <v>-9583.33333333333</v>
      </c>
      <c r="N243" s="69" t="n">
        <f aca="false">-N237*Inputs!$C$56/12*1*(1+Inputs!$C$63)*(1+Inputs!$C$64)^(N$129-1)</f>
        <v>-9583.33333333333</v>
      </c>
      <c r="O243" s="69" t="n">
        <f aca="false">-O237*Inputs!$C$56/12*1*(1+Inputs!$C$63)*(1+Inputs!$C$64)^(O$129-1)</f>
        <v>-9870.83333333333</v>
      </c>
      <c r="P243" s="69" t="n">
        <f aca="false">-P237*Inputs!$C$56/12*1*(1+Inputs!$C$63)*(1+Inputs!$C$64)^(P$129-1)</f>
        <v>-9870.83333333333</v>
      </c>
      <c r="Q243" s="69" t="n">
        <f aca="false">-Q237*Inputs!$C$56/12*1*(1+Inputs!$C$63)*(1+Inputs!$C$64)^(Q$129-1)</f>
        <v>-9870.83333333333</v>
      </c>
      <c r="R243" s="69" t="n">
        <f aca="false">-R237*Inputs!$C$56/12*1*(1+Inputs!$C$63)*(1+Inputs!$C$64)^(R$129-1)</f>
        <v>-9870.83333333333</v>
      </c>
      <c r="S243" s="69" t="n">
        <f aca="false">-S237*Inputs!$C$56/12*1*(1+Inputs!$C$63)*(1+Inputs!$C$64)^(S$129-1)</f>
        <v>-9870.83333333333</v>
      </c>
      <c r="T243" s="69" t="n">
        <f aca="false">-T237*Inputs!$C$56/12*1*(1+Inputs!$C$63)*(1+Inputs!$C$64)^(T$129-1)</f>
        <v>-9870.83333333333</v>
      </c>
      <c r="U243" s="69" t="n">
        <f aca="false">-U237*Inputs!$C$56/12*1*(1+Inputs!$C$63)*(1+Inputs!$C$64)^(U$129-1)</f>
        <v>-9870.83333333333</v>
      </c>
      <c r="V243" s="69" t="n">
        <f aca="false">-V237*Inputs!$C$56/12*1*(1+Inputs!$C$63)*(1+Inputs!$C$64)^(V$129-1)</f>
        <v>-9870.83333333333</v>
      </c>
      <c r="W243" s="69" t="n">
        <f aca="false">-W237*Inputs!$C$56/12*1*(1+Inputs!$C$63)*(1+Inputs!$C$64)^(W$129-1)</f>
        <v>-9870.83333333333</v>
      </c>
      <c r="X243" s="69" t="n">
        <f aca="false">-X237*Inputs!$C$56/12*1*(1+Inputs!$C$63)*(1+Inputs!$C$64)^(X$129-1)</f>
        <v>-9870.83333333333</v>
      </c>
      <c r="Y243" s="69" t="n">
        <f aca="false">-Y237*Inputs!$C$56/12*1*(1+Inputs!$C$63)*(1+Inputs!$C$64)^(Y$129-1)</f>
        <v>-9870.83333333333</v>
      </c>
      <c r="Z243" s="69" t="n">
        <f aca="false">-Z237*Inputs!$C$56/12*1*(1+Inputs!$C$63)*(1+Inputs!$C$64)^(Z$129-1)</f>
        <v>-9870.83333333333</v>
      </c>
      <c r="AA243" s="69" t="n">
        <f aca="false">-AA237*Inputs!$C$56/12*1*(1+Inputs!$C$63)*(1+Inputs!$C$64)^(AA$129-1)</f>
        <v>-10166.9583333333</v>
      </c>
      <c r="AB243" s="69" t="n">
        <f aca="false">-AB237*Inputs!$C$56/12*1*(1+Inputs!$C$63)*(1+Inputs!$C$64)^(AB$129-1)</f>
        <v>-10166.9583333333</v>
      </c>
      <c r="AC243" s="69" t="n">
        <f aca="false">-AC237*Inputs!$C$56/12*1*(1+Inputs!$C$63)*(1+Inputs!$C$64)^(AC$129-1)</f>
        <v>-10166.9583333333</v>
      </c>
      <c r="AD243" s="69" t="n">
        <f aca="false">-AD237*Inputs!$C$56/12*1*(1+Inputs!$C$63)*(1+Inputs!$C$64)^(AD$129-1)</f>
        <v>-10166.9583333333</v>
      </c>
      <c r="AE243" s="69" t="n">
        <f aca="false">-AE237*Inputs!$C$56/12*1*(1+Inputs!$C$63)*(1+Inputs!$C$64)^(AE$129-1)</f>
        <v>-10166.9583333333</v>
      </c>
      <c r="AF243" s="69" t="n">
        <f aca="false">-AF237*Inputs!$C$56/12*1*(1+Inputs!$C$63)*(1+Inputs!$C$64)^(AF$129-1)</f>
        <v>-10166.9583333333</v>
      </c>
      <c r="AG243" s="69" t="n">
        <f aca="false">-AG237*Inputs!$C$56/12*1*(1+Inputs!$C$63)*(1+Inputs!$C$64)^(AG$129-1)</f>
        <v>-10166.9583333333</v>
      </c>
      <c r="AH243" s="69" t="n">
        <f aca="false">-AH237*Inputs!$C$56/12*1*(1+Inputs!$C$63)*(1+Inputs!$C$64)^(AH$129-1)</f>
        <v>-10166.9583333333</v>
      </c>
      <c r="AI243" s="69" t="n">
        <f aca="false">-AI237*Inputs!$C$56/12*1*(1+Inputs!$C$63)*(1+Inputs!$C$64)^(AI$129-1)</f>
        <v>-10166.9583333333</v>
      </c>
      <c r="AJ243" s="69" t="n">
        <f aca="false">-AJ237*Inputs!$C$56/12*1*(1+Inputs!$C$63)*(1+Inputs!$C$64)^(AJ$129-1)</f>
        <v>-10166.9583333333</v>
      </c>
      <c r="AK243" s="69" t="n">
        <f aca="false">-AK237*Inputs!$C$56/12*1*(1+Inputs!$C$63)*(1+Inputs!$C$64)^(AK$129-1)</f>
        <v>-10166.9583333333</v>
      </c>
      <c r="AL243" s="69" t="n">
        <f aca="false">-AL237*Inputs!$C$56/12*1*(1+Inputs!$C$63)*(1+Inputs!$C$64)^(AL$129-1)</f>
        <v>-10166.9583333333</v>
      </c>
      <c r="AM243" s="69" t="n">
        <f aca="false">-AM237*Inputs!$C$56/12*1*(1+Inputs!$C$63)*(1+Inputs!$C$64)^(AM$129-1)</f>
        <v>-10471.9670833333</v>
      </c>
      <c r="AN243" s="69" t="n">
        <f aca="false">-AN237*Inputs!$C$56/12*1*(1+Inputs!$C$63)*(1+Inputs!$C$64)^(AN$129-1)</f>
        <v>-10471.9670833333</v>
      </c>
      <c r="AO243" s="69" t="n">
        <f aca="false">-AO237*Inputs!$C$56/12*1*(1+Inputs!$C$63)*(1+Inputs!$C$64)^(AO$129-1)</f>
        <v>-10471.9670833333</v>
      </c>
      <c r="AP243" s="69" t="n">
        <f aca="false">-AP237*Inputs!$C$56/12*1*(1+Inputs!$C$63)*(1+Inputs!$C$64)^(AP$129-1)</f>
        <v>-10471.9670833333</v>
      </c>
      <c r="AQ243" s="69" t="n">
        <f aca="false">-AQ237*Inputs!$C$56/12*1*(1+Inputs!$C$63)*(1+Inputs!$C$64)^(AQ$129-1)</f>
        <v>-10471.9670833333</v>
      </c>
      <c r="AR243" s="69" t="n">
        <f aca="false">-AR237*Inputs!$C$56/12*1*(1+Inputs!$C$63)*(1+Inputs!$C$64)^(AR$129-1)</f>
        <v>-10471.9670833333</v>
      </c>
      <c r="AS243" s="69" t="n">
        <f aca="false">-AS237*Inputs!$C$56/12*1*(1+Inputs!$C$63)*(1+Inputs!$C$64)^(AS$129-1)</f>
        <v>-10471.9670833333</v>
      </c>
      <c r="AT243" s="69" t="n">
        <f aca="false">-AT237*Inputs!$C$56/12*1*(1+Inputs!$C$63)*(1+Inputs!$C$64)^(AT$129-1)</f>
        <v>-10471.9670833333</v>
      </c>
      <c r="AU243" s="69" t="n">
        <f aca="false">-AU237*Inputs!$C$56/12*1*(1+Inputs!$C$63)*(1+Inputs!$C$64)^(AU$129-1)</f>
        <v>-10471.9670833333</v>
      </c>
      <c r="AV243" s="69" t="n">
        <f aca="false">-AV237*Inputs!$C$56/12*1*(1+Inputs!$C$63)*(1+Inputs!$C$64)^(AV$129-1)</f>
        <v>-10471.9670833333</v>
      </c>
      <c r="AW243" s="69" t="n">
        <f aca="false">-AW237*Inputs!$C$56/12*1*(1+Inputs!$C$63)*(1+Inputs!$C$64)^(AW$129-1)</f>
        <v>-10471.9670833333</v>
      </c>
      <c r="AX243" s="69" t="n">
        <f aca="false">-AX237*Inputs!$C$56/12*1*(1+Inputs!$C$63)*(1+Inputs!$C$64)^(AX$129-1)</f>
        <v>-10471.9670833333</v>
      </c>
      <c r="AY243" s="69" t="n">
        <f aca="false">-AY237*Inputs!$C$56/12*1*(1+Inputs!$C$63)*(1+Inputs!$C$64)^(AY$129-1)</f>
        <v>-10786.1260958333</v>
      </c>
      <c r="AZ243" s="69" t="n">
        <f aca="false">-AZ237*Inputs!$C$56/12*1*(1+Inputs!$C$63)*(1+Inputs!$C$64)^(AZ$129-1)</f>
        <v>-10786.1260958333</v>
      </c>
      <c r="BA243" s="69" t="n">
        <f aca="false">-BA237*Inputs!$C$56/12*1*(1+Inputs!$C$63)*(1+Inputs!$C$64)^(BA$129-1)</f>
        <v>-10786.1260958333</v>
      </c>
      <c r="BB243" s="69" t="n">
        <f aca="false">-BB237*Inputs!$C$56/12*1*(1+Inputs!$C$63)*(1+Inputs!$C$64)^(BB$129-1)</f>
        <v>-10786.1260958333</v>
      </c>
      <c r="BC243" s="69" t="n">
        <f aca="false">-BC237*Inputs!$C$56/12*1*(1+Inputs!$C$63)*(1+Inputs!$C$64)^(BC$129-1)</f>
        <v>-10786.1260958333</v>
      </c>
      <c r="BD243" s="69" t="n">
        <f aca="false">-BD237*Inputs!$C$56/12*1*(1+Inputs!$C$63)*(1+Inputs!$C$64)^(BD$129-1)</f>
        <v>-10786.1260958333</v>
      </c>
      <c r="BE243" s="69" t="n">
        <f aca="false">-BE237*Inputs!$C$56/12*1*(1+Inputs!$C$63)*(1+Inputs!$C$64)^(BE$129-1)</f>
        <v>-10786.1260958333</v>
      </c>
      <c r="BF243" s="69" t="n">
        <f aca="false">-BF237*Inputs!$C$56/12*1*(1+Inputs!$C$63)*(1+Inputs!$C$64)^(BF$129-1)</f>
        <v>-10786.1260958333</v>
      </c>
      <c r="BG243" s="69" t="n">
        <f aca="false">-BG237*Inputs!$C$56/12*1*(1+Inputs!$C$63)*(1+Inputs!$C$64)^(BG$129-1)</f>
        <v>-10786.1260958333</v>
      </c>
      <c r="BH243" s="69" t="n">
        <f aca="false">-BH237*Inputs!$C$56/12*1*(1+Inputs!$C$63)*(1+Inputs!$C$64)^(BH$129-1)</f>
        <v>-10786.1260958333</v>
      </c>
      <c r="BI243" s="69" t="n">
        <f aca="false">-BI237*Inputs!$C$56/12*1*(1+Inputs!$C$63)*(1+Inputs!$C$64)^(BI$129-1)</f>
        <v>-10786.1260958333</v>
      </c>
      <c r="BJ243" s="69" t="n">
        <f aca="false">-BJ237*Inputs!$C$56/12*1*(1+Inputs!$C$63)*(1+Inputs!$C$64)^(BJ$129-1)</f>
        <v>-10786.1260958333</v>
      </c>
    </row>
    <row r="244" customFormat="false" ht="15" hidden="false" customHeight="false" outlineLevel="0" collapsed="false">
      <c r="A244" s="6" t="s">
        <v>463</v>
      </c>
      <c r="C244" s="69" t="n">
        <f aca="false">-C238*Inputs!$C$60/12*1*(1+Inputs!$C$63)*(1+Inputs!$C$64)^(C$129-1)</f>
        <v>-8145.83333333333</v>
      </c>
      <c r="D244" s="69" t="n">
        <f aca="false">-D238*Inputs!$C$60/12*1*(1+Inputs!$C$63)*(1+Inputs!$C$64)^(D$129-1)</f>
        <v>-8145.83333333333</v>
      </c>
      <c r="E244" s="69" t="n">
        <f aca="false">-E238*Inputs!$C$60/12*1*(1+Inputs!$C$63)*(1+Inputs!$C$64)^(E$129-1)</f>
        <v>-8145.83333333333</v>
      </c>
      <c r="F244" s="69" t="n">
        <f aca="false">-F238*Inputs!$C$60/12*1*(1+Inputs!$C$63)*(1+Inputs!$C$64)^(F$129-1)</f>
        <v>-8145.83333333333</v>
      </c>
      <c r="G244" s="69" t="n">
        <f aca="false">-G238*Inputs!$C$60/12*1*(1+Inputs!$C$63)*(1+Inputs!$C$64)^(G$129-1)</f>
        <v>-8145.83333333333</v>
      </c>
      <c r="H244" s="69" t="n">
        <f aca="false">-H238*Inputs!$C$60/12*1*(1+Inputs!$C$63)*(1+Inputs!$C$64)^(H$129-1)</f>
        <v>-8145.83333333333</v>
      </c>
      <c r="I244" s="69" t="n">
        <f aca="false">-I238*Inputs!$C$60/12*1*(1+Inputs!$C$63)*(1+Inputs!$C$64)^(I$129-1)</f>
        <v>-8145.83333333333</v>
      </c>
      <c r="J244" s="69" t="n">
        <f aca="false">-J238*Inputs!$C$60/12*1*(1+Inputs!$C$63)*(1+Inputs!$C$64)^(J$129-1)</f>
        <v>-8145.83333333333</v>
      </c>
      <c r="K244" s="69" t="n">
        <f aca="false">-K238*Inputs!$C$60/12*1*(1+Inputs!$C$63)*(1+Inputs!$C$64)^(K$129-1)</f>
        <v>-8145.83333333333</v>
      </c>
      <c r="L244" s="69" t="n">
        <f aca="false">-L238*Inputs!$C$60/12*1*(1+Inputs!$C$63)*(1+Inputs!$C$64)^(L$129-1)</f>
        <v>-8145.83333333333</v>
      </c>
      <c r="M244" s="69" t="n">
        <f aca="false">-M238*Inputs!$C$60/12*1*(1+Inputs!$C$63)*(1+Inputs!$C$64)^(M$129-1)</f>
        <v>-8145.83333333333</v>
      </c>
      <c r="N244" s="69" t="n">
        <f aca="false">-N238*Inputs!$C$60/12*1*(1+Inputs!$C$63)*(1+Inputs!$C$64)^(N$129-1)</f>
        <v>-8145.83333333333</v>
      </c>
      <c r="O244" s="69" t="n">
        <f aca="false">-O238*Inputs!$C$60/12*1*(1+Inputs!$C$63)*(1+Inputs!$C$64)^(O$129-1)</f>
        <v>-8390.20833333333</v>
      </c>
      <c r="P244" s="69" t="n">
        <f aca="false">-P238*Inputs!$C$60/12*1*(1+Inputs!$C$63)*(1+Inputs!$C$64)^(P$129-1)</f>
        <v>-8390.20833333333</v>
      </c>
      <c r="Q244" s="69" t="n">
        <f aca="false">-Q238*Inputs!$C$60/12*1*(1+Inputs!$C$63)*(1+Inputs!$C$64)^(Q$129-1)</f>
        <v>-8390.20833333333</v>
      </c>
      <c r="R244" s="69" t="n">
        <f aca="false">-R238*Inputs!$C$60/12*1*(1+Inputs!$C$63)*(1+Inputs!$C$64)^(R$129-1)</f>
        <v>-8390.20833333333</v>
      </c>
      <c r="S244" s="69" t="n">
        <f aca="false">-S238*Inputs!$C$60/12*1*(1+Inputs!$C$63)*(1+Inputs!$C$64)^(S$129-1)</f>
        <v>-8390.20833333333</v>
      </c>
      <c r="T244" s="69" t="n">
        <f aca="false">-T238*Inputs!$C$60/12*1*(1+Inputs!$C$63)*(1+Inputs!$C$64)^(T$129-1)</f>
        <v>-8390.20833333333</v>
      </c>
      <c r="U244" s="69" t="n">
        <f aca="false">-U238*Inputs!$C$60/12*1*(1+Inputs!$C$63)*(1+Inputs!$C$64)^(U$129-1)</f>
        <v>-8390.20833333333</v>
      </c>
      <c r="V244" s="69" t="n">
        <f aca="false">-V238*Inputs!$C$60/12*1*(1+Inputs!$C$63)*(1+Inputs!$C$64)^(V$129-1)</f>
        <v>-8390.20833333333</v>
      </c>
      <c r="W244" s="69" t="n">
        <f aca="false">-W238*Inputs!$C$60/12*1*(1+Inputs!$C$63)*(1+Inputs!$C$64)^(W$129-1)</f>
        <v>-8390.20833333333</v>
      </c>
      <c r="X244" s="69" t="n">
        <f aca="false">-X238*Inputs!$C$60/12*1*(1+Inputs!$C$63)*(1+Inputs!$C$64)^(X$129-1)</f>
        <v>-8390.20833333333</v>
      </c>
      <c r="Y244" s="69" t="n">
        <f aca="false">-Y238*Inputs!$C$60/12*1*(1+Inputs!$C$63)*(1+Inputs!$C$64)^(Y$129-1)</f>
        <v>-8390.20833333333</v>
      </c>
      <c r="Z244" s="69" t="n">
        <f aca="false">-Z238*Inputs!$C$60/12*1*(1+Inputs!$C$63)*(1+Inputs!$C$64)^(Z$129-1)</f>
        <v>-8390.20833333333</v>
      </c>
      <c r="AA244" s="69" t="n">
        <f aca="false">-AA238*Inputs!$C$60/12*1*(1+Inputs!$C$63)*(1+Inputs!$C$64)^(AA$129-1)</f>
        <v>-8641.91458333333</v>
      </c>
      <c r="AB244" s="69" t="n">
        <f aca="false">-AB238*Inputs!$C$60/12*1*(1+Inputs!$C$63)*(1+Inputs!$C$64)^(AB$129-1)</f>
        <v>-8641.91458333333</v>
      </c>
      <c r="AC244" s="69" t="n">
        <f aca="false">-AC238*Inputs!$C$60/12*1*(1+Inputs!$C$63)*(1+Inputs!$C$64)^(AC$129-1)</f>
        <v>-8641.91458333333</v>
      </c>
      <c r="AD244" s="69" t="n">
        <f aca="false">-AD238*Inputs!$C$60/12*1*(1+Inputs!$C$63)*(1+Inputs!$C$64)^(AD$129-1)</f>
        <v>-8641.91458333333</v>
      </c>
      <c r="AE244" s="69" t="n">
        <f aca="false">-AE238*Inputs!$C$60/12*1*(1+Inputs!$C$63)*(1+Inputs!$C$64)^(AE$129-1)</f>
        <v>-8641.91458333333</v>
      </c>
      <c r="AF244" s="69" t="n">
        <f aca="false">-AF238*Inputs!$C$60/12*1*(1+Inputs!$C$63)*(1+Inputs!$C$64)^(AF$129-1)</f>
        <v>-8641.91458333333</v>
      </c>
      <c r="AG244" s="69" t="n">
        <f aca="false">-AG238*Inputs!$C$60/12*1*(1+Inputs!$C$63)*(1+Inputs!$C$64)^(AG$129-1)</f>
        <v>-8641.91458333333</v>
      </c>
      <c r="AH244" s="69" t="n">
        <f aca="false">-AH238*Inputs!$C$60/12*1*(1+Inputs!$C$63)*(1+Inputs!$C$64)^(AH$129-1)</f>
        <v>-8641.91458333333</v>
      </c>
      <c r="AI244" s="69" t="n">
        <f aca="false">-AI238*Inputs!$C$60/12*1*(1+Inputs!$C$63)*(1+Inputs!$C$64)^(AI$129-1)</f>
        <v>-8641.91458333333</v>
      </c>
      <c r="AJ244" s="69" t="n">
        <f aca="false">-AJ238*Inputs!$C$60/12*1*(1+Inputs!$C$63)*(1+Inputs!$C$64)^(AJ$129-1)</f>
        <v>-8641.91458333333</v>
      </c>
      <c r="AK244" s="69" t="n">
        <f aca="false">-AK238*Inputs!$C$60/12*1*(1+Inputs!$C$63)*(1+Inputs!$C$64)^(AK$129-1)</f>
        <v>-8641.91458333333</v>
      </c>
      <c r="AL244" s="69" t="n">
        <f aca="false">-AL238*Inputs!$C$60/12*1*(1+Inputs!$C$63)*(1+Inputs!$C$64)^(AL$129-1)</f>
        <v>-8641.91458333333</v>
      </c>
      <c r="AM244" s="69" t="n">
        <f aca="false">-AM238*Inputs!$C$60/12*1*(1+Inputs!$C$63)*(1+Inputs!$C$64)^(AM$129-1)</f>
        <v>-8901.17202083333</v>
      </c>
      <c r="AN244" s="69" t="n">
        <f aca="false">-AN238*Inputs!$C$60/12*1*(1+Inputs!$C$63)*(1+Inputs!$C$64)^(AN$129-1)</f>
        <v>-8901.17202083333</v>
      </c>
      <c r="AO244" s="69" t="n">
        <f aca="false">-AO238*Inputs!$C$60/12*1*(1+Inputs!$C$63)*(1+Inputs!$C$64)^(AO$129-1)</f>
        <v>-8901.17202083333</v>
      </c>
      <c r="AP244" s="69" t="n">
        <f aca="false">-AP238*Inputs!$C$60/12*1*(1+Inputs!$C$63)*(1+Inputs!$C$64)^(AP$129-1)</f>
        <v>-8901.17202083333</v>
      </c>
      <c r="AQ244" s="69" t="n">
        <f aca="false">-AQ238*Inputs!$C$60/12*1*(1+Inputs!$C$63)*(1+Inputs!$C$64)^(AQ$129-1)</f>
        <v>-8901.17202083333</v>
      </c>
      <c r="AR244" s="69" t="n">
        <f aca="false">-AR238*Inputs!$C$60/12*1*(1+Inputs!$C$63)*(1+Inputs!$C$64)^(AR$129-1)</f>
        <v>-8901.17202083333</v>
      </c>
      <c r="AS244" s="69" t="n">
        <f aca="false">-AS238*Inputs!$C$60/12*1*(1+Inputs!$C$63)*(1+Inputs!$C$64)^(AS$129-1)</f>
        <v>-8901.17202083333</v>
      </c>
      <c r="AT244" s="69" t="n">
        <f aca="false">-AT238*Inputs!$C$60/12*1*(1+Inputs!$C$63)*(1+Inputs!$C$64)^(AT$129-1)</f>
        <v>-8901.17202083333</v>
      </c>
      <c r="AU244" s="69" t="n">
        <f aca="false">-AU238*Inputs!$C$60/12*1*(1+Inputs!$C$63)*(1+Inputs!$C$64)^(AU$129-1)</f>
        <v>-8901.17202083333</v>
      </c>
      <c r="AV244" s="69" t="n">
        <f aca="false">-AV238*Inputs!$C$60/12*1*(1+Inputs!$C$63)*(1+Inputs!$C$64)^(AV$129-1)</f>
        <v>-8901.17202083333</v>
      </c>
      <c r="AW244" s="69" t="n">
        <f aca="false">-AW238*Inputs!$C$60/12*1*(1+Inputs!$C$63)*(1+Inputs!$C$64)^(AW$129-1)</f>
        <v>-8901.17202083333</v>
      </c>
      <c r="AX244" s="69" t="n">
        <f aca="false">-AX238*Inputs!$C$60/12*1*(1+Inputs!$C$63)*(1+Inputs!$C$64)^(AX$129-1)</f>
        <v>-8901.17202083333</v>
      </c>
      <c r="AY244" s="69" t="n">
        <f aca="false">-AY238*Inputs!$C$60/12*1*(1+Inputs!$C$63)*(1+Inputs!$C$64)^(AY$129-1)</f>
        <v>-9168.20718145833</v>
      </c>
      <c r="AZ244" s="69" t="n">
        <f aca="false">-AZ238*Inputs!$C$60/12*1*(1+Inputs!$C$63)*(1+Inputs!$C$64)^(AZ$129-1)</f>
        <v>-9168.20718145833</v>
      </c>
      <c r="BA244" s="69" t="n">
        <f aca="false">-BA238*Inputs!$C$60/12*1*(1+Inputs!$C$63)*(1+Inputs!$C$64)^(BA$129-1)</f>
        <v>-9168.20718145833</v>
      </c>
      <c r="BB244" s="69" t="n">
        <f aca="false">-BB238*Inputs!$C$60/12*1*(1+Inputs!$C$63)*(1+Inputs!$C$64)^(BB$129-1)</f>
        <v>-9168.20718145833</v>
      </c>
      <c r="BC244" s="69" t="n">
        <f aca="false">-BC238*Inputs!$C$60/12*1*(1+Inputs!$C$63)*(1+Inputs!$C$64)^(BC$129-1)</f>
        <v>-9168.20718145833</v>
      </c>
      <c r="BD244" s="69" t="n">
        <f aca="false">-BD238*Inputs!$C$60/12*1*(1+Inputs!$C$63)*(1+Inputs!$C$64)^(BD$129-1)</f>
        <v>-9168.20718145833</v>
      </c>
      <c r="BE244" s="69" t="n">
        <f aca="false">-BE238*Inputs!$C$60/12*1*(1+Inputs!$C$63)*(1+Inputs!$C$64)^(BE$129-1)</f>
        <v>-9168.20718145833</v>
      </c>
      <c r="BF244" s="69" t="n">
        <f aca="false">-BF238*Inputs!$C$60/12*1*(1+Inputs!$C$63)*(1+Inputs!$C$64)^(BF$129-1)</f>
        <v>-9168.20718145833</v>
      </c>
      <c r="BG244" s="69" t="n">
        <f aca="false">-BG238*Inputs!$C$60/12*1*(1+Inputs!$C$63)*(1+Inputs!$C$64)^(BG$129-1)</f>
        <v>-9168.20718145833</v>
      </c>
      <c r="BH244" s="69" t="n">
        <f aca="false">-BH238*Inputs!$C$60/12*1*(1+Inputs!$C$63)*(1+Inputs!$C$64)^(BH$129-1)</f>
        <v>-9168.20718145833</v>
      </c>
      <c r="BI244" s="69" t="n">
        <f aca="false">-BI238*Inputs!$C$60/12*1*(1+Inputs!$C$63)*(1+Inputs!$C$64)^(BI$129-1)</f>
        <v>-9168.20718145833</v>
      </c>
      <c r="BJ244" s="69" t="n">
        <f aca="false">-BJ238*Inputs!$C$60/12*1*(1+Inputs!$C$63)*(1+Inputs!$C$64)^(BJ$129-1)</f>
        <v>-9168.20718145833</v>
      </c>
    </row>
    <row r="245" customFormat="false" ht="15" hidden="false" customHeight="false" outlineLevel="0" collapsed="false">
      <c r="A245" s="115" t="s">
        <v>464</v>
      </c>
      <c r="C245" s="70" t="n">
        <f aca="false">C242+C243+C244</f>
        <v>-55104.1666666667</v>
      </c>
      <c r="D245" s="70" t="n">
        <f aca="false">D242+D243+D244</f>
        <v>-55104.1666666667</v>
      </c>
      <c r="E245" s="70" t="n">
        <f aca="false">E242+E243+E244</f>
        <v>-55104.1666666667</v>
      </c>
      <c r="F245" s="70" t="n">
        <f aca="false">F242+F243+F244</f>
        <v>-55104.1666666667</v>
      </c>
      <c r="G245" s="70" t="n">
        <f aca="false">G242+G243+G244</f>
        <v>-55104.1666666667</v>
      </c>
      <c r="H245" s="70" t="n">
        <f aca="false">H242+H243+H244</f>
        <v>-55104.1666666667</v>
      </c>
      <c r="I245" s="70" t="n">
        <f aca="false">I242+I243+I244</f>
        <v>-55104.1666666667</v>
      </c>
      <c r="J245" s="70" t="n">
        <f aca="false">J242+J243+J244</f>
        <v>-55104.1666666667</v>
      </c>
      <c r="K245" s="70" t="n">
        <f aca="false">K242+K243+K244</f>
        <v>-55104.1666666667</v>
      </c>
      <c r="L245" s="70" t="n">
        <f aca="false">L242+L243+L244</f>
        <v>-55104.1666666667</v>
      </c>
      <c r="M245" s="70" t="n">
        <f aca="false">M242+M243+M244</f>
        <v>-55104.1666666667</v>
      </c>
      <c r="N245" s="70" t="n">
        <f aca="false">N242+N243+N244</f>
        <v>-55104.1666666667</v>
      </c>
      <c r="O245" s="70" t="n">
        <f aca="false">O242+O243+O244</f>
        <v>-56757.2916666667</v>
      </c>
      <c r="P245" s="70" t="n">
        <f aca="false">P242+P243+P244</f>
        <v>-56757.2916666667</v>
      </c>
      <c r="Q245" s="70" t="n">
        <f aca="false">Q242+Q243+Q244</f>
        <v>-56757.2916666667</v>
      </c>
      <c r="R245" s="70" t="n">
        <f aca="false">R242+R243+R244</f>
        <v>-56757.2916666667</v>
      </c>
      <c r="S245" s="70" t="n">
        <f aca="false">S242+S243+S244</f>
        <v>-56757.2916666667</v>
      </c>
      <c r="T245" s="70" t="n">
        <f aca="false">T242+T243+T244</f>
        <v>-56757.2916666667</v>
      </c>
      <c r="U245" s="70" t="n">
        <f aca="false">U242+U243+U244</f>
        <v>-56757.2916666667</v>
      </c>
      <c r="V245" s="70" t="n">
        <f aca="false">V242+V243+V244</f>
        <v>-56757.2916666667</v>
      </c>
      <c r="W245" s="70" t="n">
        <f aca="false">W242+W243+W244</f>
        <v>-56757.2916666667</v>
      </c>
      <c r="X245" s="70" t="n">
        <f aca="false">X242+X243+X244</f>
        <v>-56757.2916666667</v>
      </c>
      <c r="Y245" s="70" t="n">
        <f aca="false">Y242+Y243+Y244</f>
        <v>-56757.2916666667</v>
      </c>
      <c r="Z245" s="70" t="n">
        <f aca="false">Z242+Z243+Z244</f>
        <v>-56757.2916666667</v>
      </c>
      <c r="AA245" s="70" t="n">
        <f aca="false">AA242+AA243+AA244</f>
        <v>-58460.0104166667</v>
      </c>
      <c r="AB245" s="70" t="n">
        <f aca="false">AB242+AB243+AB244</f>
        <v>-58460.0104166667</v>
      </c>
      <c r="AC245" s="70" t="n">
        <f aca="false">AC242+AC243+AC244</f>
        <v>-58460.0104166667</v>
      </c>
      <c r="AD245" s="70" t="n">
        <f aca="false">AD242+AD243+AD244</f>
        <v>-58460.0104166667</v>
      </c>
      <c r="AE245" s="70" t="n">
        <f aca="false">AE242+AE243+AE244</f>
        <v>-58460.0104166667</v>
      </c>
      <c r="AF245" s="70" t="n">
        <f aca="false">AF242+AF243+AF244</f>
        <v>-58460.0104166667</v>
      </c>
      <c r="AG245" s="70" t="n">
        <f aca="false">AG242+AG243+AG244</f>
        <v>-58460.0104166667</v>
      </c>
      <c r="AH245" s="70" t="n">
        <f aca="false">AH242+AH243+AH244</f>
        <v>-58460.0104166667</v>
      </c>
      <c r="AI245" s="70" t="n">
        <f aca="false">AI242+AI243+AI244</f>
        <v>-58460.0104166667</v>
      </c>
      <c r="AJ245" s="70" t="n">
        <f aca="false">AJ242+AJ243+AJ244</f>
        <v>-58460.0104166667</v>
      </c>
      <c r="AK245" s="70" t="n">
        <f aca="false">AK242+AK243+AK244</f>
        <v>-58460.0104166667</v>
      </c>
      <c r="AL245" s="70" t="n">
        <f aca="false">AL242+AL243+AL244</f>
        <v>-58460.0104166667</v>
      </c>
      <c r="AM245" s="70" t="n">
        <f aca="false">AM242+AM243+AM244</f>
        <v>-60213.8107291667</v>
      </c>
      <c r="AN245" s="70" t="n">
        <f aca="false">AN242+AN243+AN244</f>
        <v>-60213.8107291667</v>
      </c>
      <c r="AO245" s="70" t="n">
        <f aca="false">AO242+AO243+AO244</f>
        <v>-60213.8107291667</v>
      </c>
      <c r="AP245" s="70" t="n">
        <f aca="false">AP242+AP243+AP244</f>
        <v>-60213.8107291667</v>
      </c>
      <c r="AQ245" s="70" t="n">
        <f aca="false">AQ242+AQ243+AQ244</f>
        <v>-60213.8107291667</v>
      </c>
      <c r="AR245" s="70" t="n">
        <f aca="false">AR242+AR243+AR244</f>
        <v>-60213.8107291667</v>
      </c>
      <c r="AS245" s="70" t="n">
        <f aca="false">AS242+AS243+AS244</f>
        <v>-60213.8107291667</v>
      </c>
      <c r="AT245" s="70" t="n">
        <f aca="false">AT242+AT243+AT244</f>
        <v>-60213.8107291667</v>
      </c>
      <c r="AU245" s="70" t="n">
        <f aca="false">AU242+AU243+AU244</f>
        <v>-60213.8107291667</v>
      </c>
      <c r="AV245" s="70" t="n">
        <f aca="false">AV242+AV243+AV244</f>
        <v>-60213.8107291667</v>
      </c>
      <c r="AW245" s="70" t="n">
        <f aca="false">AW242+AW243+AW244</f>
        <v>-60213.8107291667</v>
      </c>
      <c r="AX245" s="70" t="n">
        <f aca="false">AX242+AX243+AX244</f>
        <v>-60213.8107291667</v>
      </c>
      <c r="AY245" s="70" t="n">
        <f aca="false">AY242+AY243+AY244</f>
        <v>-62020.2250510417</v>
      </c>
      <c r="AZ245" s="70" t="n">
        <f aca="false">AZ242+AZ243+AZ244</f>
        <v>-62020.2250510417</v>
      </c>
      <c r="BA245" s="70" t="n">
        <f aca="false">BA242+BA243+BA244</f>
        <v>-62020.2250510417</v>
      </c>
      <c r="BB245" s="70" t="n">
        <f aca="false">BB242+BB243+BB244</f>
        <v>-62020.2250510417</v>
      </c>
      <c r="BC245" s="70" t="n">
        <f aca="false">BC242+BC243+BC244</f>
        <v>-62020.2250510417</v>
      </c>
      <c r="BD245" s="70" t="n">
        <f aca="false">BD242+BD243+BD244</f>
        <v>-62020.2250510417</v>
      </c>
      <c r="BE245" s="70" t="n">
        <f aca="false">BE242+BE243+BE244</f>
        <v>-62020.2250510417</v>
      </c>
      <c r="BF245" s="70" t="n">
        <f aca="false">BF242+BF243+BF244</f>
        <v>-62020.2250510417</v>
      </c>
      <c r="BG245" s="70" t="n">
        <f aca="false">BG242+BG243+BG244</f>
        <v>-62020.2250510417</v>
      </c>
      <c r="BH245" s="70" t="n">
        <f aca="false">BH242+BH243+BH244</f>
        <v>-62020.2250510417</v>
      </c>
      <c r="BI245" s="70" t="n">
        <f aca="false">BI242+BI243+BI244</f>
        <v>-62020.2250510417</v>
      </c>
      <c r="BJ245" s="70" t="n">
        <f aca="false">BJ242+BJ243+BJ244</f>
        <v>-62020.2250510417</v>
      </c>
    </row>
    <row r="248" customFormat="false" ht="15.75" hidden="false" customHeight="true" outlineLevel="0" collapsed="false">
      <c r="A248" s="7" t="s">
        <v>469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customFormat="false" ht="15" hidden="false" customHeight="false" outlineLevel="0" collapsed="false">
      <c r="A249" s="33" t="s">
        <v>347</v>
      </c>
      <c r="C249" s="52" t="s">
        <v>348</v>
      </c>
      <c r="D249" s="52" t="s">
        <v>349</v>
      </c>
      <c r="E249" s="52" t="s">
        <v>350</v>
      </c>
      <c r="F249" s="52" t="s">
        <v>351</v>
      </c>
      <c r="G249" s="52" t="s">
        <v>352</v>
      </c>
      <c r="H249" s="52" t="s">
        <v>353</v>
      </c>
      <c r="I249" s="52" t="s">
        <v>354</v>
      </c>
      <c r="J249" s="52" t="s">
        <v>355</v>
      </c>
      <c r="K249" s="52" t="s">
        <v>356</v>
      </c>
      <c r="L249" s="52" t="s">
        <v>357</v>
      </c>
      <c r="M249" s="52" t="s">
        <v>358</v>
      </c>
      <c r="N249" s="52" t="s">
        <v>359</v>
      </c>
      <c r="O249" s="52" t="s">
        <v>360</v>
      </c>
      <c r="P249" s="52" t="s">
        <v>361</v>
      </c>
      <c r="Q249" s="52" t="s">
        <v>362</v>
      </c>
      <c r="R249" s="52" t="s">
        <v>363</v>
      </c>
      <c r="S249" s="52" t="s">
        <v>364</v>
      </c>
      <c r="T249" s="52" t="s">
        <v>365</v>
      </c>
      <c r="U249" s="52" t="s">
        <v>366</v>
      </c>
      <c r="V249" s="52" t="s">
        <v>367</v>
      </c>
      <c r="W249" s="52" t="s">
        <v>368</v>
      </c>
      <c r="X249" s="52" t="s">
        <v>369</v>
      </c>
      <c r="Y249" s="52" t="s">
        <v>370</v>
      </c>
      <c r="Z249" s="52" t="s">
        <v>371</v>
      </c>
      <c r="AA249" s="52" t="s">
        <v>372</v>
      </c>
      <c r="AB249" s="52" t="s">
        <v>373</v>
      </c>
      <c r="AC249" s="52" t="s">
        <v>374</v>
      </c>
      <c r="AD249" s="52" t="s">
        <v>375</v>
      </c>
      <c r="AE249" s="52" t="s">
        <v>376</v>
      </c>
      <c r="AF249" s="52" t="s">
        <v>377</v>
      </c>
      <c r="AG249" s="52" t="s">
        <v>378</v>
      </c>
      <c r="AH249" s="52" t="s">
        <v>379</v>
      </c>
      <c r="AI249" s="52" t="s">
        <v>380</v>
      </c>
      <c r="AJ249" s="52" t="s">
        <v>381</v>
      </c>
      <c r="AK249" s="52" t="s">
        <v>382</v>
      </c>
      <c r="AL249" s="52" t="s">
        <v>383</v>
      </c>
      <c r="AM249" s="52" t="s">
        <v>384</v>
      </c>
      <c r="AN249" s="52" t="s">
        <v>385</v>
      </c>
      <c r="AO249" s="52" t="s">
        <v>386</v>
      </c>
      <c r="AP249" s="52" t="s">
        <v>387</v>
      </c>
      <c r="AQ249" s="52" t="s">
        <v>388</v>
      </c>
      <c r="AR249" s="52" t="s">
        <v>389</v>
      </c>
      <c r="AS249" s="52" t="s">
        <v>390</v>
      </c>
      <c r="AT249" s="52" t="s">
        <v>391</v>
      </c>
      <c r="AU249" s="52" t="s">
        <v>392</v>
      </c>
      <c r="AV249" s="52" t="s">
        <v>393</v>
      </c>
      <c r="AW249" s="52" t="s">
        <v>394</v>
      </c>
      <c r="AX249" s="52" t="s">
        <v>395</v>
      </c>
      <c r="AY249" s="52" t="s">
        <v>396</v>
      </c>
      <c r="AZ249" s="52" t="s">
        <v>397</v>
      </c>
      <c r="BA249" s="52" t="s">
        <v>398</v>
      </c>
      <c r="BB249" s="52" t="s">
        <v>399</v>
      </c>
      <c r="BC249" s="52" t="s">
        <v>400</v>
      </c>
      <c r="BD249" s="52" t="s">
        <v>401</v>
      </c>
      <c r="BE249" s="52" t="s">
        <v>402</v>
      </c>
      <c r="BF249" s="52" t="s">
        <v>403</v>
      </c>
      <c r="BG249" s="52" t="s">
        <v>404</v>
      </c>
      <c r="BH249" s="52" t="s">
        <v>405</v>
      </c>
      <c r="BI249" s="52" t="s">
        <v>406</v>
      </c>
      <c r="BJ249" s="52" t="s">
        <v>407</v>
      </c>
    </row>
    <row r="250" customFormat="false" ht="15" hidden="false" customHeight="false" outlineLevel="0" collapsed="false">
      <c r="A250" s="74" t="s">
        <v>408</v>
      </c>
      <c r="C250" s="74" t="n">
        <v>1</v>
      </c>
      <c r="D250" s="74" t="n">
        <v>2</v>
      </c>
      <c r="E250" s="74" t="n">
        <v>3</v>
      </c>
      <c r="F250" s="74" t="n">
        <v>4</v>
      </c>
      <c r="G250" s="74" t="n">
        <v>5</v>
      </c>
      <c r="H250" s="74" t="n">
        <v>6</v>
      </c>
      <c r="I250" s="74" t="n">
        <v>7</v>
      </c>
      <c r="J250" s="74" t="n">
        <v>8</v>
      </c>
      <c r="K250" s="74" t="n">
        <v>9</v>
      </c>
      <c r="L250" s="74" t="n">
        <v>10</v>
      </c>
      <c r="M250" s="74" t="n">
        <v>11</v>
      </c>
      <c r="N250" s="74" t="n">
        <v>12</v>
      </c>
      <c r="O250" s="74" t="n">
        <v>13</v>
      </c>
      <c r="P250" s="74" t="n">
        <v>14</v>
      </c>
      <c r="Q250" s="74" t="n">
        <v>15</v>
      </c>
      <c r="R250" s="74" t="n">
        <v>16</v>
      </c>
      <c r="S250" s="74" t="n">
        <v>17</v>
      </c>
      <c r="T250" s="74" t="n">
        <v>18</v>
      </c>
      <c r="U250" s="74" t="n">
        <v>19</v>
      </c>
      <c r="V250" s="74" t="n">
        <v>20</v>
      </c>
      <c r="W250" s="74" t="n">
        <v>21</v>
      </c>
      <c r="X250" s="74" t="n">
        <v>22</v>
      </c>
      <c r="Y250" s="74" t="n">
        <v>23</v>
      </c>
      <c r="Z250" s="74" t="n">
        <v>24</v>
      </c>
      <c r="AA250" s="74" t="n">
        <v>25</v>
      </c>
      <c r="AB250" s="74" t="n">
        <v>26</v>
      </c>
      <c r="AC250" s="74" t="n">
        <v>27</v>
      </c>
      <c r="AD250" s="74" t="n">
        <v>28</v>
      </c>
      <c r="AE250" s="74" t="n">
        <v>29</v>
      </c>
      <c r="AF250" s="74" t="n">
        <v>30</v>
      </c>
      <c r="AG250" s="74" t="n">
        <v>31</v>
      </c>
      <c r="AH250" s="74" t="n">
        <v>32</v>
      </c>
      <c r="AI250" s="74" t="n">
        <v>33</v>
      </c>
      <c r="AJ250" s="74" t="n">
        <v>34</v>
      </c>
      <c r="AK250" s="74" t="n">
        <v>35</v>
      </c>
      <c r="AL250" s="74" t="n">
        <v>36</v>
      </c>
      <c r="AM250" s="74" t="n">
        <v>37</v>
      </c>
      <c r="AN250" s="74" t="n">
        <v>38</v>
      </c>
      <c r="AO250" s="74" t="n">
        <v>39</v>
      </c>
      <c r="AP250" s="74" t="n">
        <v>40</v>
      </c>
      <c r="AQ250" s="74" t="n">
        <v>41</v>
      </c>
      <c r="AR250" s="74" t="n">
        <v>42</v>
      </c>
      <c r="AS250" s="74" t="n">
        <v>43</v>
      </c>
      <c r="AT250" s="74" t="n">
        <v>44</v>
      </c>
      <c r="AU250" s="74" t="n">
        <v>45</v>
      </c>
      <c r="AV250" s="74" t="n">
        <v>46</v>
      </c>
      <c r="AW250" s="74" t="n">
        <v>47</v>
      </c>
      <c r="AX250" s="74" t="n">
        <v>48</v>
      </c>
      <c r="AY250" s="74" t="n">
        <v>49</v>
      </c>
      <c r="AZ250" s="74" t="n">
        <v>50</v>
      </c>
      <c r="BA250" s="74" t="n">
        <v>51</v>
      </c>
      <c r="BB250" s="74" t="n">
        <v>52</v>
      </c>
      <c r="BC250" s="74" t="n">
        <v>53</v>
      </c>
      <c r="BD250" s="74" t="n">
        <v>54</v>
      </c>
      <c r="BE250" s="74" t="n">
        <v>55</v>
      </c>
      <c r="BF250" s="74" t="n">
        <v>56</v>
      </c>
      <c r="BG250" s="74" t="n">
        <v>57</v>
      </c>
      <c r="BH250" s="74" t="n">
        <v>58</v>
      </c>
      <c r="BI250" s="74" t="n">
        <v>59</v>
      </c>
      <c r="BJ250" s="74" t="n">
        <v>60</v>
      </c>
    </row>
    <row r="251" customFormat="false" ht="15" hidden="false" customHeight="false" outlineLevel="0" collapsed="false">
      <c r="A251" s="74" t="s">
        <v>154</v>
      </c>
      <c r="C251" s="74" t="n">
        <f aca="false">ROUNDUP(C250*1/12,0)</f>
        <v>1</v>
      </c>
      <c r="D251" s="74" t="n">
        <f aca="false">ROUNDUP(D250*1/12,0)</f>
        <v>1</v>
      </c>
      <c r="E251" s="74" t="n">
        <f aca="false">ROUNDUP(E250*1/12,0)</f>
        <v>1</v>
      </c>
      <c r="F251" s="74" t="n">
        <f aca="false">ROUNDUP(F250*1/12,0)</f>
        <v>1</v>
      </c>
      <c r="G251" s="74" t="n">
        <f aca="false">ROUNDUP(G250*1/12,0)</f>
        <v>1</v>
      </c>
      <c r="H251" s="74" t="n">
        <f aca="false">ROUNDUP(H250*1/12,0)</f>
        <v>1</v>
      </c>
      <c r="I251" s="74" t="n">
        <f aca="false">ROUNDUP(I250*1/12,0)</f>
        <v>1</v>
      </c>
      <c r="J251" s="74" t="n">
        <f aca="false">ROUNDUP(J250*1/12,0)</f>
        <v>1</v>
      </c>
      <c r="K251" s="74" t="n">
        <f aca="false">ROUNDUP(K250*1/12,0)</f>
        <v>1</v>
      </c>
      <c r="L251" s="74" t="n">
        <f aca="false">ROUNDUP(L250*1/12,0)</f>
        <v>1</v>
      </c>
      <c r="M251" s="74" t="n">
        <f aca="false">ROUNDUP(M250*1/12,0)</f>
        <v>1</v>
      </c>
      <c r="N251" s="74" t="n">
        <f aca="false">ROUNDUP(N250*1/12,0)</f>
        <v>1</v>
      </c>
      <c r="O251" s="74" t="n">
        <f aca="false">ROUNDUP(O250*1/12,0)</f>
        <v>2</v>
      </c>
      <c r="P251" s="74" t="n">
        <f aca="false">ROUNDUP(P250*1/12,0)</f>
        <v>2</v>
      </c>
      <c r="Q251" s="74" t="n">
        <f aca="false">ROUNDUP(Q250*1/12,0)</f>
        <v>2</v>
      </c>
      <c r="R251" s="74" t="n">
        <f aca="false">ROUNDUP(R250*1/12,0)</f>
        <v>2</v>
      </c>
      <c r="S251" s="74" t="n">
        <f aca="false">ROUNDUP(S250*1/12,0)</f>
        <v>2</v>
      </c>
      <c r="T251" s="74" t="n">
        <f aca="false">ROUNDUP(T250*1/12,0)</f>
        <v>2</v>
      </c>
      <c r="U251" s="74" t="n">
        <f aca="false">ROUNDUP(U250*1/12,0)</f>
        <v>2</v>
      </c>
      <c r="V251" s="74" t="n">
        <f aca="false">ROUNDUP(V250*1/12,0)</f>
        <v>2</v>
      </c>
      <c r="W251" s="74" t="n">
        <f aca="false">ROUNDUP(W250*1/12,0)</f>
        <v>2</v>
      </c>
      <c r="X251" s="74" t="n">
        <f aca="false">ROUNDUP(X250*1/12,0)</f>
        <v>2</v>
      </c>
      <c r="Y251" s="74" t="n">
        <f aca="false">ROUNDUP(Y250*1/12,0)</f>
        <v>2</v>
      </c>
      <c r="Z251" s="74" t="n">
        <f aca="false">ROUNDUP(Z250*1/12,0)</f>
        <v>2</v>
      </c>
      <c r="AA251" s="74" t="n">
        <f aca="false">ROUNDUP(AA250*1/12,0)</f>
        <v>3</v>
      </c>
      <c r="AB251" s="74" t="n">
        <f aca="false">ROUNDUP(AB250*1/12,0)</f>
        <v>3</v>
      </c>
      <c r="AC251" s="74" t="n">
        <f aca="false">ROUNDUP(AC250*1/12,0)</f>
        <v>3</v>
      </c>
      <c r="AD251" s="74" t="n">
        <f aca="false">ROUNDUP(AD250*1/12,0)</f>
        <v>3</v>
      </c>
      <c r="AE251" s="74" t="n">
        <f aca="false">ROUNDUP(AE250*1/12,0)</f>
        <v>3</v>
      </c>
      <c r="AF251" s="74" t="n">
        <f aca="false">ROUNDUP(AF250*1/12,0)</f>
        <v>3</v>
      </c>
      <c r="AG251" s="74" t="n">
        <f aca="false">ROUNDUP(AG250*1/12,0)</f>
        <v>3</v>
      </c>
      <c r="AH251" s="74" t="n">
        <f aca="false">ROUNDUP(AH250*1/12,0)</f>
        <v>3</v>
      </c>
      <c r="AI251" s="74" t="n">
        <f aca="false">ROUNDUP(AI250*1/12,0)</f>
        <v>3</v>
      </c>
      <c r="AJ251" s="74" t="n">
        <f aca="false">ROUNDUP(AJ250*1/12,0)</f>
        <v>3</v>
      </c>
      <c r="AK251" s="74" t="n">
        <f aca="false">ROUNDUP(AK250*1/12,0)</f>
        <v>3</v>
      </c>
      <c r="AL251" s="74" t="n">
        <f aca="false">ROUNDUP(AL250*1/12,0)</f>
        <v>3</v>
      </c>
      <c r="AM251" s="74" t="n">
        <f aca="false">ROUNDUP(AM250*1/12,0)</f>
        <v>4</v>
      </c>
      <c r="AN251" s="74" t="n">
        <f aca="false">ROUNDUP(AN250*1/12,0)</f>
        <v>4</v>
      </c>
      <c r="AO251" s="74" t="n">
        <f aca="false">ROUNDUP(AO250*1/12,0)</f>
        <v>4</v>
      </c>
      <c r="AP251" s="74" t="n">
        <f aca="false">ROUNDUP(AP250*1/12,0)</f>
        <v>4</v>
      </c>
      <c r="AQ251" s="74" t="n">
        <f aca="false">ROUNDUP(AQ250*1/12,0)</f>
        <v>4</v>
      </c>
      <c r="AR251" s="74" t="n">
        <f aca="false">ROUNDUP(AR250*1/12,0)</f>
        <v>4</v>
      </c>
      <c r="AS251" s="74" t="n">
        <f aca="false">ROUNDUP(AS250*1/12,0)</f>
        <v>4</v>
      </c>
      <c r="AT251" s="74" t="n">
        <f aca="false">ROUNDUP(AT250*1/12,0)</f>
        <v>4</v>
      </c>
      <c r="AU251" s="74" t="n">
        <f aca="false">ROUNDUP(AU250*1/12,0)</f>
        <v>4</v>
      </c>
      <c r="AV251" s="74" t="n">
        <f aca="false">ROUNDUP(AV250*1/12,0)</f>
        <v>4</v>
      </c>
      <c r="AW251" s="74" t="n">
        <f aca="false">ROUNDUP(AW250*1/12,0)</f>
        <v>4</v>
      </c>
      <c r="AX251" s="74" t="n">
        <f aca="false">ROUNDUP(AX250*1/12,0)</f>
        <v>4</v>
      </c>
      <c r="AY251" s="74" t="n">
        <f aca="false">ROUNDUP(AY250*1/12,0)</f>
        <v>5</v>
      </c>
      <c r="AZ251" s="74" t="n">
        <f aca="false">ROUNDUP(AZ250*1/12,0)</f>
        <v>5</v>
      </c>
      <c r="BA251" s="74" t="n">
        <f aca="false">ROUNDUP(BA250*1/12,0)</f>
        <v>5</v>
      </c>
      <c r="BB251" s="74" t="n">
        <f aca="false">ROUNDUP(BB250*1/12,0)</f>
        <v>5</v>
      </c>
      <c r="BC251" s="74" t="n">
        <f aca="false">ROUNDUP(BC250*1/12,0)</f>
        <v>5</v>
      </c>
      <c r="BD251" s="74" t="n">
        <f aca="false">ROUNDUP(BD250*1/12,0)</f>
        <v>5</v>
      </c>
      <c r="BE251" s="74" t="n">
        <f aca="false">ROUNDUP(BE250*1/12,0)</f>
        <v>5</v>
      </c>
      <c r="BF251" s="74" t="n">
        <f aca="false">ROUNDUP(BF250*1/12,0)</f>
        <v>5</v>
      </c>
      <c r="BG251" s="74" t="n">
        <f aca="false">ROUNDUP(BG250*1/12,0)</f>
        <v>5</v>
      </c>
      <c r="BH251" s="74" t="n">
        <f aca="false">ROUNDUP(BH250*1/12,0)</f>
        <v>5</v>
      </c>
      <c r="BI251" s="74" t="n">
        <f aca="false">ROUNDUP(BI250*1/12,0)</f>
        <v>5</v>
      </c>
      <c r="BJ251" s="74" t="n">
        <f aca="false">ROUNDUP(BJ250*1/12,0)</f>
        <v>5</v>
      </c>
    </row>
    <row r="253" customFormat="false" ht="15.75" hidden="false" customHeight="true" outlineLevel="0" collapsed="false">
      <c r="A253" s="7" t="s">
        <v>409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customFormat="false" ht="15" hidden="false" customHeight="false" outlineLevel="0" collapsed="false">
      <c r="A254" s="118" t="s">
        <v>410</v>
      </c>
      <c r="C254" s="119" t="n">
        <f aca="false">MAX(0,MIN(1,Inputs!$D$11-(C$250-1)*1))</f>
        <v>1</v>
      </c>
      <c r="D254" s="119" t="n">
        <f aca="false">MAX(0,MIN(1,Inputs!$D$11-(D$250-1)*1))</f>
        <v>1</v>
      </c>
      <c r="E254" s="119" t="n">
        <f aca="false">MAX(0,MIN(1,Inputs!$D$11-(E$250-1)*1))</f>
        <v>1</v>
      </c>
      <c r="F254" s="119" t="n">
        <f aca="false">MAX(0,MIN(1,Inputs!$D$11-(F$250-1)*1))</f>
        <v>1</v>
      </c>
      <c r="G254" s="119" t="n">
        <f aca="false">MAX(0,MIN(1,Inputs!$D$11-(G$250-1)*1))</f>
        <v>1</v>
      </c>
      <c r="H254" s="119" t="n">
        <f aca="false">MAX(0,MIN(1,Inputs!$D$11-(H$250-1)*1))</f>
        <v>1</v>
      </c>
      <c r="I254" s="119" t="n">
        <f aca="false">MAX(0,MIN(1,Inputs!$D$11-(I$250-1)*1))</f>
        <v>1</v>
      </c>
      <c r="J254" s="119" t="n">
        <f aca="false">MAX(0,MIN(1,Inputs!$D$11-(J$250-1)*1))</f>
        <v>1</v>
      </c>
      <c r="K254" s="119" t="n">
        <f aca="false">MAX(0,MIN(1,Inputs!$D$11-(K$250-1)*1))</f>
        <v>1</v>
      </c>
      <c r="L254" s="119" t="n">
        <f aca="false">MAX(0,MIN(1,Inputs!$D$11-(L$250-1)*1))</f>
        <v>0</v>
      </c>
      <c r="M254" s="119" t="n">
        <f aca="false">MAX(0,MIN(1,Inputs!$D$11-(M$250-1)*1))</f>
        <v>0</v>
      </c>
      <c r="N254" s="119" t="n">
        <f aca="false">MAX(0,MIN(1,Inputs!$D$11-(N$250-1)*1))</f>
        <v>0</v>
      </c>
      <c r="O254" s="119" t="n">
        <f aca="false">MAX(0,MIN(1,Inputs!$D$11-(O$250-1)*1))</f>
        <v>0</v>
      </c>
      <c r="P254" s="119" t="n">
        <f aca="false">MAX(0,MIN(1,Inputs!$D$11-(P$250-1)*1))</f>
        <v>0</v>
      </c>
      <c r="Q254" s="119" t="n">
        <f aca="false">MAX(0,MIN(1,Inputs!$D$11-(Q$250-1)*1))</f>
        <v>0</v>
      </c>
      <c r="R254" s="119" t="n">
        <f aca="false">MAX(0,MIN(1,Inputs!$D$11-(R$250-1)*1))</f>
        <v>0</v>
      </c>
      <c r="S254" s="119" t="n">
        <f aca="false">MAX(0,MIN(1,Inputs!$D$11-(S$250-1)*1))</f>
        <v>0</v>
      </c>
      <c r="T254" s="119" t="n">
        <f aca="false">MAX(0,MIN(1,Inputs!$D$11-(T$250-1)*1))</f>
        <v>0</v>
      </c>
      <c r="U254" s="119" t="n">
        <f aca="false">MAX(0,MIN(1,Inputs!$D$11-(U$250-1)*1))</f>
        <v>0</v>
      </c>
      <c r="V254" s="119" t="n">
        <f aca="false">MAX(0,MIN(1,Inputs!$D$11-(V$250-1)*1))</f>
        <v>0</v>
      </c>
      <c r="W254" s="119" t="n">
        <f aca="false">MAX(0,MIN(1,Inputs!$D$11-(W$250-1)*1))</f>
        <v>0</v>
      </c>
      <c r="X254" s="119" t="n">
        <f aca="false">MAX(0,MIN(1,Inputs!$D$11-(X$250-1)*1))</f>
        <v>0</v>
      </c>
      <c r="Y254" s="119" t="n">
        <f aca="false">MAX(0,MIN(1,Inputs!$D$11-(Y$250-1)*1))</f>
        <v>0</v>
      </c>
      <c r="Z254" s="119" t="n">
        <f aca="false">MAX(0,MIN(1,Inputs!$D$11-(Z$250-1)*1))</f>
        <v>0</v>
      </c>
      <c r="AA254" s="119" t="n">
        <f aca="false">MAX(0,MIN(1,Inputs!$D$11-(AA$250-1)*1))</f>
        <v>0</v>
      </c>
      <c r="AB254" s="119" t="n">
        <f aca="false">MAX(0,MIN(1,Inputs!$D$11-(AB$250-1)*1))</f>
        <v>0</v>
      </c>
      <c r="AC254" s="119" t="n">
        <f aca="false">MAX(0,MIN(1,Inputs!$D$11-(AC$250-1)*1))</f>
        <v>0</v>
      </c>
      <c r="AD254" s="119" t="n">
        <f aca="false">MAX(0,MIN(1,Inputs!$D$11-(AD$250-1)*1))</f>
        <v>0</v>
      </c>
      <c r="AE254" s="119" t="n">
        <f aca="false">MAX(0,MIN(1,Inputs!$D$11-(AE$250-1)*1))</f>
        <v>0</v>
      </c>
      <c r="AF254" s="119" t="n">
        <f aca="false">MAX(0,MIN(1,Inputs!$D$11-(AF$250-1)*1))</f>
        <v>0</v>
      </c>
      <c r="AG254" s="119" t="n">
        <f aca="false">MAX(0,MIN(1,Inputs!$D$11-(AG$250-1)*1))</f>
        <v>0</v>
      </c>
      <c r="AH254" s="119" t="n">
        <f aca="false">MAX(0,MIN(1,Inputs!$D$11-(AH$250-1)*1))</f>
        <v>0</v>
      </c>
      <c r="AI254" s="119" t="n">
        <f aca="false">MAX(0,MIN(1,Inputs!$D$11-(AI$250-1)*1))</f>
        <v>0</v>
      </c>
      <c r="AJ254" s="119" t="n">
        <f aca="false">MAX(0,MIN(1,Inputs!$D$11-(AJ$250-1)*1))</f>
        <v>0</v>
      </c>
      <c r="AK254" s="119" t="n">
        <f aca="false">MAX(0,MIN(1,Inputs!$D$11-(AK$250-1)*1))</f>
        <v>0</v>
      </c>
      <c r="AL254" s="119" t="n">
        <f aca="false">MAX(0,MIN(1,Inputs!$D$11-(AL$250-1)*1))</f>
        <v>0</v>
      </c>
      <c r="AM254" s="119" t="n">
        <f aca="false">MAX(0,MIN(1,Inputs!$D$11-(AM$250-1)*1))</f>
        <v>0</v>
      </c>
      <c r="AN254" s="119" t="n">
        <f aca="false">MAX(0,MIN(1,Inputs!$D$11-(AN$250-1)*1))</f>
        <v>0</v>
      </c>
      <c r="AO254" s="119" t="n">
        <f aca="false">MAX(0,MIN(1,Inputs!$D$11-(AO$250-1)*1))</f>
        <v>0</v>
      </c>
      <c r="AP254" s="119" t="n">
        <f aca="false">MAX(0,MIN(1,Inputs!$D$11-(AP$250-1)*1))</f>
        <v>0</v>
      </c>
      <c r="AQ254" s="119" t="n">
        <f aca="false">MAX(0,MIN(1,Inputs!$D$11-(AQ$250-1)*1))</f>
        <v>0</v>
      </c>
      <c r="AR254" s="119" t="n">
        <f aca="false">MAX(0,MIN(1,Inputs!$D$11-(AR$250-1)*1))</f>
        <v>0</v>
      </c>
      <c r="AS254" s="119" t="n">
        <f aca="false">MAX(0,MIN(1,Inputs!$D$11-(AS$250-1)*1))</f>
        <v>0</v>
      </c>
      <c r="AT254" s="119" t="n">
        <f aca="false">MAX(0,MIN(1,Inputs!$D$11-(AT$250-1)*1))</f>
        <v>0</v>
      </c>
      <c r="AU254" s="119" t="n">
        <f aca="false">MAX(0,MIN(1,Inputs!$D$11-(AU$250-1)*1))</f>
        <v>0</v>
      </c>
      <c r="AV254" s="119" t="n">
        <f aca="false">MAX(0,MIN(1,Inputs!$D$11-(AV$250-1)*1))</f>
        <v>0</v>
      </c>
      <c r="AW254" s="119" t="n">
        <f aca="false">MAX(0,MIN(1,Inputs!$D$11-(AW$250-1)*1))</f>
        <v>0</v>
      </c>
      <c r="AX254" s="119" t="n">
        <f aca="false">MAX(0,MIN(1,Inputs!$D$11-(AX$250-1)*1))</f>
        <v>0</v>
      </c>
      <c r="AY254" s="119" t="n">
        <f aca="false">MAX(0,MIN(1,Inputs!$D$11-(AY$250-1)*1))</f>
        <v>0</v>
      </c>
      <c r="AZ254" s="119" t="n">
        <f aca="false">MAX(0,MIN(1,Inputs!$D$11-(AZ$250-1)*1))</f>
        <v>0</v>
      </c>
      <c r="BA254" s="119" t="n">
        <f aca="false">MAX(0,MIN(1,Inputs!$D$11-(BA$250-1)*1))</f>
        <v>0</v>
      </c>
      <c r="BB254" s="119" t="n">
        <f aca="false">MAX(0,MIN(1,Inputs!$D$11-(BB$250-1)*1))</f>
        <v>0</v>
      </c>
      <c r="BC254" s="119" t="n">
        <f aca="false">MAX(0,MIN(1,Inputs!$D$11-(BC$250-1)*1))</f>
        <v>0</v>
      </c>
      <c r="BD254" s="119" t="n">
        <f aca="false">MAX(0,MIN(1,Inputs!$D$11-(BD$250-1)*1))</f>
        <v>0</v>
      </c>
      <c r="BE254" s="119" t="n">
        <f aca="false">MAX(0,MIN(1,Inputs!$D$11-(BE$250-1)*1))</f>
        <v>0</v>
      </c>
      <c r="BF254" s="119" t="n">
        <f aca="false">MAX(0,MIN(1,Inputs!$D$11-(BF$250-1)*1))</f>
        <v>0</v>
      </c>
      <c r="BG254" s="119" t="n">
        <f aca="false">MAX(0,MIN(1,Inputs!$D$11-(BG$250-1)*1))</f>
        <v>0</v>
      </c>
      <c r="BH254" s="119" t="n">
        <f aca="false">MAX(0,MIN(1,Inputs!$D$11-(BH$250-1)*1))</f>
        <v>0</v>
      </c>
      <c r="BI254" s="119" t="n">
        <f aca="false">MAX(0,MIN(1,Inputs!$D$11-(BI$250-1)*1))</f>
        <v>0</v>
      </c>
      <c r="BJ254" s="119" t="n">
        <f aca="false">MAX(0,MIN(1,Inputs!$D$11-(BJ$250-1)*1))</f>
        <v>0</v>
      </c>
    </row>
    <row r="255" customFormat="false" ht="15" hidden="false" customHeight="false" outlineLevel="0" collapsed="false">
      <c r="A255" s="38" t="s">
        <v>411</v>
      </c>
      <c r="C255" s="76" t="n">
        <f aca="false">IF(Inputs!$D$11&lt;=0,1,(C254*Inputs!$D$12+(1-Inputs!$D$12)/MAX(1,Inputs!$D$11)*(C254*(C$250-1)*1+C254*(C254-1)/2)+1-C254)/1)</f>
        <v>0.5</v>
      </c>
      <c r="D255" s="76" t="n">
        <f aca="false">IF(Inputs!$D$11&lt;=0,1,(D254*Inputs!$D$12+(1-Inputs!$D$12)/MAX(1,Inputs!$D$11)*(D254*(D$250-1)*1+D254*(D254-1)/2)+1-D254)/1)</f>
        <v>0.555555555555556</v>
      </c>
      <c r="E255" s="76" t="n">
        <f aca="false">IF(Inputs!$D$11&lt;=0,1,(E254*Inputs!$D$12+(1-Inputs!$D$12)/MAX(1,Inputs!$D$11)*(E254*(E$250-1)*1+E254*(E254-1)/2)+1-E254)/1)</f>
        <v>0.611111111111111</v>
      </c>
      <c r="F255" s="76" t="n">
        <f aca="false">IF(Inputs!$D$11&lt;=0,1,(F254*Inputs!$D$12+(1-Inputs!$D$12)/MAX(1,Inputs!$D$11)*(F254*(F$250-1)*1+F254*(F254-1)/2)+1-F254)/1)</f>
        <v>0.666666666666667</v>
      </c>
      <c r="G255" s="76" t="n">
        <f aca="false">IF(Inputs!$D$11&lt;=0,1,(G254*Inputs!$D$12+(1-Inputs!$D$12)/MAX(1,Inputs!$D$11)*(G254*(G$250-1)*1+G254*(G254-1)/2)+1-G254)/1)</f>
        <v>0.722222222222222</v>
      </c>
      <c r="H255" s="76" t="n">
        <f aca="false">IF(Inputs!$D$11&lt;=0,1,(H254*Inputs!$D$12+(1-Inputs!$D$12)/MAX(1,Inputs!$D$11)*(H254*(H$250-1)*1+H254*(H254-1)/2)+1-H254)/1)</f>
        <v>0.777777777777778</v>
      </c>
      <c r="I255" s="76" t="n">
        <f aca="false">IF(Inputs!$D$11&lt;=0,1,(I254*Inputs!$D$12+(1-Inputs!$D$12)/MAX(1,Inputs!$D$11)*(I254*(I$250-1)*1+I254*(I254-1)/2)+1-I254)/1)</f>
        <v>0.833333333333333</v>
      </c>
      <c r="J255" s="76" t="n">
        <f aca="false">IF(Inputs!$D$11&lt;=0,1,(J254*Inputs!$D$12+(1-Inputs!$D$12)/MAX(1,Inputs!$D$11)*(J254*(J$250-1)*1+J254*(J254-1)/2)+1-J254)/1)</f>
        <v>0.888888888888889</v>
      </c>
      <c r="K255" s="76" t="n">
        <f aca="false">IF(Inputs!$D$11&lt;=0,1,(K254*Inputs!$D$12+(1-Inputs!$D$12)/MAX(1,Inputs!$D$11)*(K254*(K$250-1)*1+K254*(K254-1)/2)+1-K254)/1)</f>
        <v>0.944444444444444</v>
      </c>
      <c r="L255" s="76" t="n">
        <f aca="false">IF(Inputs!$D$11&lt;=0,1,(L254*Inputs!$D$12+(1-Inputs!$D$12)/MAX(1,Inputs!$D$11)*(L254*(L$250-1)*1+L254*(L254-1)/2)+1-L254)/1)</f>
        <v>1</v>
      </c>
      <c r="M255" s="76" t="n">
        <f aca="false">IF(Inputs!$D$11&lt;=0,1,(M254*Inputs!$D$12+(1-Inputs!$D$12)/MAX(1,Inputs!$D$11)*(M254*(M$250-1)*1+M254*(M254-1)/2)+1-M254)/1)</f>
        <v>1</v>
      </c>
      <c r="N255" s="76" t="n">
        <f aca="false">IF(Inputs!$D$11&lt;=0,1,(N254*Inputs!$D$12+(1-Inputs!$D$12)/MAX(1,Inputs!$D$11)*(N254*(N$250-1)*1+N254*(N254-1)/2)+1-N254)/1)</f>
        <v>1</v>
      </c>
      <c r="O255" s="76" t="n">
        <f aca="false">IF(Inputs!$D$11&lt;=0,1,(O254*Inputs!$D$12+(1-Inputs!$D$12)/MAX(1,Inputs!$D$11)*(O254*(O$250-1)*1+O254*(O254-1)/2)+1-O254)/1)</f>
        <v>1</v>
      </c>
      <c r="P255" s="76" t="n">
        <f aca="false">IF(Inputs!$D$11&lt;=0,1,(P254*Inputs!$D$12+(1-Inputs!$D$12)/MAX(1,Inputs!$D$11)*(P254*(P$250-1)*1+P254*(P254-1)/2)+1-P254)/1)</f>
        <v>1</v>
      </c>
      <c r="Q255" s="76" t="n">
        <f aca="false">IF(Inputs!$D$11&lt;=0,1,(Q254*Inputs!$D$12+(1-Inputs!$D$12)/MAX(1,Inputs!$D$11)*(Q254*(Q$250-1)*1+Q254*(Q254-1)/2)+1-Q254)/1)</f>
        <v>1</v>
      </c>
      <c r="R255" s="76" t="n">
        <f aca="false">IF(Inputs!$D$11&lt;=0,1,(R254*Inputs!$D$12+(1-Inputs!$D$12)/MAX(1,Inputs!$D$11)*(R254*(R$250-1)*1+R254*(R254-1)/2)+1-R254)/1)</f>
        <v>1</v>
      </c>
      <c r="S255" s="76" t="n">
        <f aca="false">IF(Inputs!$D$11&lt;=0,1,(S254*Inputs!$D$12+(1-Inputs!$D$12)/MAX(1,Inputs!$D$11)*(S254*(S$250-1)*1+S254*(S254-1)/2)+1-S254)/1)</f>
        <v>1</v>
      </c>
      <c r="T255" s="76" t="n">
        <f aca="false">IF(Inputs!$D$11&lt;=0,1,(T254*Inputs!$D$12+(1-Inputs!$D$12)/MAX(1,Inputs!$D$11)*(T254*(T$250-1)*1+T254*(T254-1)/2)+1-T254)/1)</f>
        <v>1</v>
      </c>
      <c r="U255" s="76" t="n">
        <f aca="false">IF(Inputs!$D$11&lt;=0,1,(U254*Inputs!$D$12+(1-Inputs!$D$12)/MAX(1,Inputs!$D$11)*(U254*(U$250-1)*1+U254*(U254-1)/2)+1-U254)/1)</f>
        <v>1</v>
      </c>
      <c r="V255" s="76" t="n">
        <f aca="false">IF(Inputs!$D$11&lt;=0,1,(V254*Inputs!$D$12+(1-Inputs!$D$12)/MAX(1,Inputs!$D$11)*(V254*(V$250-1)*1+V254*(V254-1)/2)+1-V254)/1)</f>
        <v>1</v>
      </c>
      <c r="W255" s="76" t="n">
        <f aca="false">IF(Inputs!$D$11&lt;=0,1,(W254*Inputs!$D$12+(1-Inputs!$D$12)/MAX(1,Inputs!$D$11)*(W254*(W$250-1)*1+W254*(W254-1)/2)+1-W254)/1)</f>
        <v>1</v>
      </c>
      <c r="X255" s="76" t="n">
        <f aca="false">IF(Inputs!$D$11&lt;=0,1,(X254*Inputs!$D$12+(1-Inputs!$D$12)/MAX(1,Inputs!$D$11)*(X254*(X$250-1)*1+X254*(X254-1)/2)+1-X254)/1)</f>
        <v>1</v>
      </c>
      <c r="Y255" s="76" t="n">
        <f aca="false">IF(Inputs!$D$11&lt;=0,1,(Y254*Inputs!$D$12+(1-Inputs!$D$12)/MAX(1,Inputs!$D$11)*(Y254*(Y$250-1)*1+Y254*(Y254-1)/2)+1-Y254)/1)</f>
        <v>1</v>
      </c>
      <c r="Z255" s="76" t="n">
        <f aca="false">IF(Inputs!$D$11&lt;=0,1,(Z254*Inputs!$D$12+(1-Inputs!$D$12)/MAX(1,Inputs!$D$11)*(Z254*(Z$250-1)*1+Z254*(Z254-1)/2)+1-Z254)/1)</f>
        <v>1</v>
      </c>
      <c r="AA255" s="76" t="n">
        <f aca="false">IF(Inputs!$D$11&lt;=0,1,(AA254*Inputs!$D$12+(1-Inputs!$D$12)/MAX(1,Inputs!$D$11)*(AA254*(AA$250-1)*1+AA254*(AA254-1)/2)+1-AA254)/1)</f>
        <v>1</v>
      </c>
      <c r="AB255" s="76" t="n">
        <f aca="false">IF(Inputs!$D$11&lt;=0,1,(AB254*Inputs!$D$12+(1-Inputs!$D$12)/MAX(1,Inputs!$D$11)*(AB254*(AB$250-1)*1+AB254*(AB254-1)/2)+1-AB254)/1)</f>
        <v>1</v>
      </c>
      <c r="AC255" s="76" t="n">
        <f aca="false">IF(Inputs!$D$11&lt;=0,1,(AC254*Inputs!$D$12+(1-Inputs!$D$12)/MAX(1,Inputs!$D$11)*(AC254*(AC$250-1)*1+AC254*(AC254-1)/2)+1-AC254)/1)</f>
        <v>1</v>
      </c>
      <c r="AD255" s="76" t="n">
        <f aca="false">IF(Inputs!$D$11&lt;=0,1,(AD254*Inputs!$D$12+(1-Inputs!$D$12)/MAX(1,Inputs!$D$11)*(AD254*(AD$250-1)*1+AD254*(AD254-1)/2)+1-AD254)/1)</f>
        <v>1</v>
      </c>
      <c r="AE255" s="76" t="n">
        <f aca="false">IF(Inputs!$D$11&lt;=0,1,(AE254*Inputs!$D$12+(1-Inputs!$D$12)/MAX(1,Inputs!$D$11)*(AE254*(AE$250-1)*1+AE254*(AE254-1)/2)+1-AE254)/1)</f>
        <v>1</v>
      </c>
      <c r="AF255" s="76" t="n">
        <f aca="false">IF(Inputs!$D$11&lt;=0,1,(AF254*Inputs!$D$12+(1-Inputs!$D$12)/MAX(1,Inputs!$D$11)*(AF254*(AF$250-1)*1+AF254*(AF254-1)/2)+1-AF254)/1)</f>
        <v>1</v>
      </c>
      <c r="AG255" s="76" t="n">
        <f aca="false">IF(Inputs!$D$11&lt;=0,1,(AG254*Inputs!$D$12+(1-Inputs!$D$12)/MAX(1,Inputs!$D$11)*(AG254*(AG$250-1)*1+AG254*(AG254-1)/2)+1-AG254)/1)</f>
        <v>1</v>
      </c>
      <c r="AH255" s="76" t="n">
        <f aca="false">IF(Inputs!$D$11&lt;=0,1,(AH254*Inputs!$D$12+(1-Inputs!$D$12)/MAX(1,Inputs!$D$11)*(AH254*(AH$250-1)*1+AH254*(AH254-1)/2)+1-AH254)/1)</f>
        <v>1</v>
      </c>
      <c r="AI255" s="76" t="n">
        <f aca="false">IF(Inputs!$D$11&lt;=0,1,(AI254*Inputs!$D$12+(1-Inputs!$D$12)/MAX(1,Inputs!$D$11)*(AI254*(AI$250-1)*1+AI254*(AI254-1)/2)+1-AI254)/1)</f>
        <v>1</v>
      </c>
      <c r="AJ255" s="76" t="n">
        <f aca="false">IF(Inputs!$D$11&lt;=0,1,(AJ254*Inputs!$D$12+(1-Inputs!$D$12)/MAX(1,Inputs!$D$11)*(AJ254*(AJ$250-1)*1+AJ254*(AJ254-1)/2)+1-AJ254)/1)</f>
        <v>1</v>
      </c>
      <c r="AK255" s="76" t="n">
        <f aca="false">IF(Inputs!$D$11&lt;=0,1,(AK254*Inputs!$D$12+(1-Inputs!$D$12)/MAX(1,Inputs!$D$11)*(AK254*(AK$250-1)*1+AK254*(AK254-1)/2)+1-AK254)/1)</f>
        <v>1</v>
      </c>
      <c r="AL255" s="76" t="n">
        <f aca="false">IF(Inputs!$D$11&lt;=0,1,(AL254*Inputs!$D$12+(1-Inputs!$D$12)/MAX(1,Inputs!$D$11)*(AL254*(AL$250-1)*1+AL254*(AL254-1)/2)+1-AL254)/1)</f>
        <v>1</v>
      </c>
      <c r="AM255" s="76" t="n">
        <f aca="false">IF(Inputs!$D$11&lt;=0,1,(AM254*Inputs!$D$12+(1-Inputs!$D$12)/MAX(1,Inputs!$D$11)*(AM254*(AM$250-1)*1+AM254*(AM254-1)/2)+1-AM254)/1)</f>
        <v>1</v>
      </c>
      <c r="AN255" s="76" t="n">
        <f aca="false">IF(Inputs!$D$11&lt;=0,1,(AN254*Inputs!$D$12+(1-Inputs!$D$12)/MAX(1,Inputs!$D$11)*(AN254*(AN$250-1)*1+AN254*(AN254-1)/2)+1-AN254)/1)</f>
        <v>1</v>
      </c>
      <c r="AO255" s="76" t="n">
        <f aca="false">IF(Inputs!$D$11&lt;=0,1,(AO254*Inputs!$D$12+(1-Inputs!$D$12)/MAX(1,Inputs!$D$11)*(AO254*(AO$250-1)*1+AO254*(AO254-1)/2)+1-AO254)/1)</f>
        <v>1</v>
      </c>
      <c r="AP255" s="76" t="n">
        <f aca="false">IF(Inputs!$D$11&lt;=0,1,(AP254*Inputs!$D$12+(1-Inputs!$D$12)/MAX(1,Inputs!$D$11)*(AP254*(AP$250-1)*1+AP254*(AP254-1)/2)+1-AP254)/1)</f>
        <v>1</v>
      </c>
      <c r="AQ255" s="76" t="n">
        <f aca="false">IF(Inputs!$D$11&lt;=0,1,(AQ254*Inputs!$D$12+(1-Inputs!$D$12)/MAX(1,Inputs!$D$11)*(AQ254*(AQ$250-1)*1+AQ254*(AQ254-1)/2)+1-AQ254)/1)</f>
        <v>1</v>
      </c>
      <c r="AR255" s="76" t="n">
        <f aca="false">IF(Inputs!$D$11&lt;=0,1,(AR254*Inputs!$D$12+(1-Inputs!$D$12)/MAX(1,Inputs!$D$11)*(AR254*(AR$250-1)*1+AR254*(AR254-1)/2)+1-AR254)/1)</f>
        <v>1</v>
      </c>
      <c r="AS255" s="76" t="n">
        <f aca="false">IF(Inputs!$D$11&lt;=0,1,(AS254*Inputs!$D$12+(1-Inputs!$D$12)/MAX(1,Inputs!$D$11)*(AS254*(AS$250-1)*1+AS254*(AS254-1)/2)+1-AS254)/1)</f>
        <v>1</v>
      </c>
      <c r="AT255" s="76" t="n">
        <f aca="false">IF(Inputs!$D$11&lt;=0,1,(AT254*Inputs!$D$12+(1-Inputs!$D$12)/MAX(1,Inputs!$D$11)*(AT254*(AT$250-1)*1+AT254*(AT254-1)/2)+1-AT254)/1)</f>
        <v>1</v>
      </c>
      <c r="AU255" s="76" t="n">
        <f aca="false">IF(Inputs!$D$11&lt;=0,1,(AU254*Inputs!$D$12+(1-Inputs!$D$12)/MAX(1,Inputs!$D$11)*(AU254*(AU$250-1)*1+AU254*(AU254-1)/2)+1-AU254)/1)</f>
        <v>1</v>
      </c>
      <c r="AV255" s="76" t="n">
        <f aca="false">IF(Inputs!$D$11&lt;=0,1,(AV254*Inputs!$D$12+(1-Inputs!$D$12)/MAX(1,Inputs!$D$11)*(AV254*(AV$250-1)*1+AV254*(AV254-1)/2)+1-AV254)/1)</f>
        <v>1</v>
      </c>
      <c r="AW255" s="76" t="n">
        <f aca="false">IF(Inputs!$D$11&lt;=0,1,(AW254*Inputs!$D$12+(1-Inputs!$D$12)/MAX(1,Inputs!$D$11)*(AW254*(AW$250-1)*1+AW254*(AW254-1)/2)+1-AW254)/1)</f>
        <v>1</v>
      </c>
      <c r="AX255" s="76" t="n">
        <f aca="false">IF(Inputs!$D$11&lt;=0,1,(AX254*Inputs!$D$12+(1-Inputs!$D$12)/MAX(1,Inputs!$D$11)*(AX254*(AX$250-1)*1+AX254*(AX254-1)/2)+1-AX254)/1)</f>
        <v>1</v>
      </c>
      <c r="AY255" s="76" t="n">
        <f aca="false">IF(Inputs!$D$11&lt;=0,1,(AY254*Inputs!$D$12+(1-Inputs!$D$12)/MAX(1,Inputs!$D$11)*(AY254*(AY$250-1)*1+AY254*(AY254-1)/2)+1-AY254)/1)</f>
        <v>1</v>
      </c>
      <c r="AZ255" s="76" t="n">
        <f aca="false">IF(Inputs!$D$11&lt;=0,1,(AZ254*Inputs!$D$12+(1-Inputs!$D$12)/MAX(1,Inputs!$D$11)*(AZ254*(AZ$250-1)*1+AZ254*(AZ254-1)/2)+1-AZ254)/1)</f>
        <v>1</v>
      </c>
      <c r="BA255" s="76" t="n">
        <f aca="false">IF(Inputs!$D$11&lt;=0,1,(BA254*Inputs!$D$12+(1-Inputs!$D$12)/MAX(1,Inputs!$D$11)*(BA254*(BA$250-1)*1+BA254*(BA254-1)/2)+1-BA254)/1)</f>
        <v>1</v>
      </c>
      <c r="BB255" s="76" t="n">
        <f aca="false">IF(Inputs!$D$11&lt;=0,1,(BB254*Inputs!$D$12+(1-Inputs!$D$12)/MAX(1,Inputs!$D$11)*(BB254*(BB$250-1)*1+BB254*(BB254-1)/2)+1-BB254)/1)</f>
        <v>1</v>
      </c>
      <c r="BC255" s="76" t="n">
        <f aca="false">IF(Inputs!$D$11&lt;=0,1,(BC254*Inputs!$D$12+(1-Inputs!$D$12)/MAX(1,Inputs!$D$11)*(BC254*(BC$250-1)*1+BC254*(BC254-1)/2)+1-BC254)/1)</f>
        <v>1</v>
      </c>
      <c r="BD255" s="76" t="n">
        <f aca="false">IF(Inputs!$D$11&lt;=0,1,(BD254*Inputs!$D$12+(1-Inputs!$D$12)/MAX(1,Inputs!$D$11)*(BD254*(BD$250-1)*1+BD254*(BD254-1)/2)+1-BD254)/1)</f>
        <v>1</v>
      </c>
      <c r="BE255" s="76" t="n">
        <f aca="false">IF(Inputs!$D$11&lt;=0,1,(BE254*Inputs!$D$12+(1-Inputs!$D$12)/MAX(1,Inputs!$D$11)*(BE254*(BE$250-1)*1+BE254*(BE254-1)/2)+1-BE254)/1)</f>
        <v>1</v>
      </c>
      <c r="BF255" s="76" t="n">
        <f aca="false">IF(Inputs!$D$11&lt;=0,1,(BF254*Inputs!$D$12+(1-Inputs!$D$12)/MAX(1,Inputs!$D$11)*(BF254*(BF$250-1)*1+BF254*(BF254-1)/2)+1-BF254)/1)</f>
        <v>1</v>
      </c>
      <c r="BG255" s="76" t="n">
        <f aca="false">IF(Inputs!$D$11&lt;=0,1,(BG254*Inputs!$D$12+(1-Inputs!$D$12)/MAX(1,Inputs!$D$11)*(BG254*(BG$250-1)*1+BG254*(BG254-1)/2)+1-BG254)/1)</f>
        <v>1</v>
      </c>
      <c r="BH255" s="76" t="n">
        <f aca="false">IF(Inputs!$D$11&lt;=0,1,(BH254*Inputs!$D$12+(1-Inputs!$D$12)/MAX(1,Inputs!$D$11)*(BH254*(BH$250-1)*1+BH254*(BH254-1)/2)+1-BH254)/1)</f>
        <v>1</v>
      </c>
      <c r="BI255" s="76" t="n">
        <f aca="false">IF(Inputs!$D$11&lt;=0,1,(BI254*Inputs!$D$12+(1-Inputs!$D$12)/MAX(1,Inputs!$D$11)*(BI254*(BI$250-1)*1+BI254*(BI254-1)/2)+1-BI254)/1)</f>
        <v>1</v>
      </c>
      <c r="BJ255" s="76" t="n">
        <f aca="false">IF(Inputs!$D$11&lt;=0,1,(BJ254*Inputs!$D$12+(1-Inputs!$D$12)/MAX(1,Inputs!$D$11)*(BJ254*(BJ$250-1)*1+BJ254*(BJ254-1)/2)+1-BJ254)/1)</f>
        <v>1</v>
      </c>
    </row>
    <row r="256" customFormat="false" ht="15" hidden="false" customHeight="false" outlineLevel="0" collapsed="false">
      <c r="A256" s="6" t="s">
        <v>412</v>
      </c>
      <c r="C256" s="120" t="n">
        <f aca="false">Inputs!$D$7*(1+Inputs!$D$8)^(C$251-1)*Inputs!$D$10*1*C255</f>
        <v>200</v>
      </c>
      <c r="D256" s="120" t="n">
        <f aca="false">Inputs!$D$7*(1+Inputs!$D$8)^(D$251-1)*Inputs!$D$10*1*D255</f>
        <v>222.222222222222</v>
      </c>
      <c r="E256" s="120" t="n">
        <f aca="false">Inputs!$D$7*(1+Inputs!$D$8)^(E$251-1)*Inputs!$D$10*1*E255</f>
        <v>244.444444444444</v>
      </c>
      <c r="F256" s="120" t="n">
        <f aca="false">Inputs!$D$7*(1+Inputs!$D$8)^(F$251-1)*Inputs!$D$10*1*F255</f>
        <v>266.666666666667</v>
      </c>
      <c r="G256" s="120" t="n">
        <f aca="false">Inputs!$D$7*(1+Inputs!$D$8)^(G$251-1)*Inputs!$D$10*1*G255</f>
        <v>288.888888888889</v>
      </c>
      <c r="H256" s="120" t="n">
        <f aca="false">Inputs!$D$7*(1+Inputs!$D$8)^(H$251-1)*Inputs!$D$10*1*H255</f>
        <v>311.111111111111</v>
      </c>
      <c r="I256" s="120" t="n">
        <f aca="false">Inputs!$D$7*(1+Inputs!$D$8)^(I$251-1)*Inputs!$D$10*1*I255</f>
        <v>333.333333333333</v>
      </c>
      <c r="J256" s="120" t="n">
        <f aca="false">Inputs!$D$7*(1+Inputs!$D$8)^(J$251-1)*Inputs!$D$10*1*J255</f>
        <v>355.555555555556</v>
      </c>
      <c r="K256" s="120" t="n">
        <f aca="false">Inputs!$D$7*(1+Inputs!$D$8)^(K$251-1)*Inputs!$D$10*1*K255</f>
        <v>377.777777777778</v>
      </c>
      <c r="L256" s="120" t="n">
        <f aca="false">Inputs!$D$7*(1+Inputs!$D$8)^(L$251-1)*Inputs!$D$10*1*L255</f>
        <v>400</v>
      </c>
      <c r="M256" s="120" t="n">
        <f aca="false">Inputs!$D$7*(1+Inputs!$D$8)^(M$251-1)*Inputs!$D$10*1*M255</f>
        <v>400</v>
      </c>
      <c r="N256" s="120" t="n">
        <f aca="false">Inputs!$D$7*(1+Inputs!$D$8)^(N$251-1)*Inputs!$D$10*1*N255</f>
        <v>400</v>
      </c>
      <c r="O256" s="120" t="n">
        <f aca="false">Inputs!$D$7*(1+Inputs!$D$8)^(O$251-1)*Inputs!$D$10*1*O255</f>
        <v>424</v>
      </c>
      <c r="P256" s="120" t="n">
        <f aca="false">Inputs!$D$7*(1+Inputs!$D$8)^(P$251-1)*Inputs!$D$10*1*P255</f>
        <v>424</v>
      </c>
      <c r="Q256" s="120" t="n">
        <f aca="false">Inputs!$D$7*(1+Inputs!$D$8)^(Q$251-1)*Inputs!$D$10*1*Q255</f>
        <v>424</v>
      </c>
      <c r="R256" s="120" t="n">
        <f aca="false">Inputs!$D$7*(1+Inputs!$D$8)^(R$251-1)*Inputs!$D$10*1*R255</f>
        <v>424</v>
      </c>
      <c r="S256" s="120" t="n">
        <f aca="false">Inputs!$D$7*(1+Inputs!$D$8)^(S$251-1)*Inputs!$D$10*1*S255</f>
        <v>424</v>
      </c>
      <c r="T256" s="120" t="n">
        <f aca="false">Inputs!$D$7*(1+Inputs!$D$8)^(T$251-1)*Inputs!$D$10*1*T255</f>
        <v>424</v>
      </c>
      <c r="U256" s="120" t="n">
        <f aca="false">Inputs!$D$7*(1+Inputs!$D$8)^(U$251-1)*Inputs!$D$10*1*U255</f>
        <v>424</v>
      </c>
      <c r="V256" s="120" t="n">
        <f aca="false">Inputs!$D$7*(1+Inputs!$D$8)^(V$251-1)*Inputs!$D$10*1*V255</f>
        <v>424</v>
      </c>
      <c r="W256" s="120" t="n">
        <f aca="false">Inputs!$D$7*(1+Inputs!$D$8)^(W$251-1)*Inputs!$D$10*1*W255</f>
        <v>424</v>
      </c>
      <c r="X256" s="120" t="n">
        <f aca="false">Inputs!$D$7*(1+Inputs!$D$8)^(X$251-1)*Inputs!$D$10*1*X255</f>
        <v>424</v>
      </c>
      <c r="Y256" s="120" t="n">
        <f aca="false">Inputs!$D$7*(1+Inputs!$D$8)^(Y$251-1)*Inputs!$D$10*1*Y255</f>
        <v>424</v>
      </c>
      <c r="Z256" s="120" t="n">
        <f aca="false">Inputs!$D$7*(1+Inputs!$D$8)^(Z$251-1)*Inputs!$D$10*1*Z255</f>
        <v>424</v>
      </c>
      <c r="AA256" s="120" t="n">
        <f aca="false">Inputs!$D$7*(1+Inputs!$D$8)^(AA$251-1)*Inputs!$D$10*1*AA255</f>
        <v>449.44</v>
      </c>
      <c r="AB256" s="120" t="n">
        <f aca="false">Inputs!$D$7*(1+Inputs!$D$8)^(AB$251-1)*Inputs!$D$10*1*AB255</f>
        <v>449.44</v>
      </c>
      <c r="AC256" s="120" t="n">
        <f aca="false">Inputs!$D$7*(1+Inputs!$D$8)^(AC$251-1)*Inputs!$D$10*1*AC255</f>
        <v>449.44</v>
      </c>
      <c r="AD256" s="120" t="n">
        <f aca="false">Inputs!$D$7*(1+Inputs!$D$8)^(AD$251-1)*Inputs!$D$10*1*AD255</f>
        <v>449.44</v>
      </c>
      <c r="AE256" s="120" t="n">
        <f aca="false">Inputs!$D$7*(1+Inputs!$D$8)^(AE$251-1)*Inputs!$D$10*1*AE255</f>
        <v>449.44</v>
      </c>
      <c r="AF256" s="120" t="n">
        <f aca="false">Inputs!$D$7*(1+Inputs!$D$8)^(AF$251-1)*Inputs!$D$10*1*AF255</f>
        <v>449.44</v>
      </c>
      <c r="AG256" s="120" t="n">
        <f aca="false">Inputs!$D$7*(1+Inputs!$D$8)^(AG$251-1)*Inputs!$D$10*1*AG255</f>
        <v>449.44</v>
      </c>
      <c r="AH256" s="120" t="n">
        <f aca="false">Inputs!$D$7*(1+Inputs!$D$8)^(AH$251-1)*Inputs!$D$10*1*AH255</f>
        <v>449.44</v>
      </c>
      <c r="AI256" s="120" t="n">
        <f aca="false">Inputs!$D$7*(1+Inputs!$D$8)^(AI$251-1)*Inputs!$D$10*1*AI255</f>
        <v>449.44</v>
      </c>
      <c r="AJ256" s="120" t="n">
        <f aca="false">Inputs!$D$7*(1+Inputs!$D$8)^(AJ$251-1)*Inputs!$D$10*1*AJ255</f>
        <v>449.44</v>
      </c>
      <c r="AK256" s="120" t="n">
        <f aca="false">Inputs!$D$7*(1+Inputs!$D$8)^(AK$251-1)*Inputs!$D$10*1*AK255</f>
        <v>449.44</v>
      </c>
      <c r="AL256" s="120" t="n">
        <f aca="false">Inputs!$D$7*(1+Inputs!$D$8)^(AL$251-1)*Inputs!$D$10*1*AL255</f>
        <v>449.44</v>
      </c>
      <c r="AM256" s="120" t="n">
        <f aca="false">Inputs!$D$7*(1+Inputs!$D$8)^(AM$251-1)*Inputs!$D$10*1*AM255</f>
        <v>476.4064</v>
      </c>
      <c r="AN256" s="120" t="n">
        <f aca="false">Inputs!$D$7*(1+Inputs!$D$8)^(AN$251-1)*Inputs!$D$10*1*AN255</f>
        <v>476.4064</v>
      </c>
      <c r="AO256" s="120" t="n">
        <f aca="false">Inputs!$D$7*(1+Inputs!$D$8)^(AO$251-1)*Inputs!$D$10*1*AO255</f>
        <v>476.4064</v>
      </c>
      <c r="AP256" s="120" t="n">
        <f aca="false">Inputs!$D$7*(1+Inputs!$D$8)^(AP$251-1)*Inputs!$D$10*1*AP255</f>
        <v>476.4064</v>
      </c>
      <c r="AQ256" s="120" t="n">
        <f aca="false">Inputs!$D$7*(1+Inputs!$D$8)^(AQ$251-1)*Inputs!$D$10*1*AQ255</f>
        <v>476.4064</v>
      </c>
      <c r="AR256" s="120" t="n">
        <f aca="false">Inputs!$D$7*(1+Inputs!$D$8)^(AR$251-1)*Inputs!$D$10*1*AR255</f>
        <v>476.4064</v>
      </c>
      <c r="AS256" s="120" t="n">
        <f aca="false">Inputs!$D$7*(1+Inputs!$D$8)^(AS$251-1)*Inputs!$D$10*1*AS255</f>
        <v>476.4064</v>
      </c>
      <c r="AT256" s="120" t="n">
        <f aca="false">Inputs!$D$7*(1+Inputs!$D$8)^(AT$251-1)*Inputs!$D$10*1*AT255</f>
        <v>476.4064</v>
      </c>
      <c r="AU256" s="120" t="n">
        <f aca="false">Inputs!$D$7*(1+Inputs!$D$8)^(AU$251-1)*Inputs!$D$10*1*AU255</f>
        <v>476.4064</v>
      </c>
      <c r="AV256" s="120" t="n">
        <f aca="false">Inputs!$D$7*(1+Inputs!$D$8)^(AV$251-1)*Inputs!$D$10*1*AV255</f>
        <v>476.4064</v>
      </c>
      <c r="AW256" s="120" t="n">
        <f aca="false">Inputs!$D$7*(1+Inputs!$D$8)^(AW$251-1)*Inputs!$D$10*1*AW255</f>
        <v>476.4064</v>
      </c>
      <c r="AX256" s="120" t="n">
        <f aca="false">Inputs!$D$7*(1+Inputs!$D$8)^(AX$251-1)*Inputs!$D$10*1*AX255</f>
        <v>476.4064</v>
      </c>
      <c r="AY256" s="120" t="n">
        <f aca="false">Inputs!$D$7*(1+Inputs!$D$8)^(AY$251-1)*Inputs!$D$10*1*AY255</f>
        <v>504.990784</v>
      </c>
      <c r="AZ256" s="120" t="n">
        <f aca="false">Inputs!$D$7*(1+Inputs!$D$8)^(AZ$251-1)*Inputs!$D$10*1*AZ255</f>
        <v>504.990784</v>
      </c>
      <c r="BA256" s="120" t="n">
        <f aca="false">Inputs!$D$7*(1+Inputs!$D$8)^(BA$251-1)*Inputs!$D$10*1*BA255</f>
        <v>504.990784</v>
      </c>
      <c r="BB256" s="120" t="n">
        <f aca="false">Inputs!$D$7*(1+Inputs!$D$8)^(BB$251-1)*Inputs!$D$10*1*BB255</f>
        <v>504.990784</v>
      </c>
      <c r="BC256" s="120" t="n">
        <f aca="false">Inputs!$D$7*(1+Inputs!$D$8)^(BC$251-1)*Inputs!$D$10*1*BC255</f>
        <v>504.990784</v>
      </c>
      <c r="BD256" s="120" t="n">
        <f aca="false">Inputs!$D$7*(1+Inputs!$D$8)^(BD$251-1)*Inputs!$D$10*1*BD255</f>
        <v>504.990784</v>
      </c>
      <c r="BE256" s="120" t="n">
        <f aca="false">Inputs!$D$7*(1+Inputs!$D$8)^(BE$251-1)*Inputs!$D$10*1*BE255</f>
        <v>504.990784</v>
      </c>
      <c r="BF256" s="120" t="n">
        <f aca="false">Inputs!$D$7*(1+Inputs!$D$8)^(BF$251-1)*Inputs!$D$10*1*BF255</f>
        <v>504.990784</v>
      </c>
      <c r="BG256" s="120" t="n">
        <f aca="false">Inputs!$D$7*(1+Inputs!$D$8)^(BG$251-1)*Inputs!$D$10*1*BG255</f>
        <v>504.990784</v>
      </c>
      <c r="BH256" s="120" t="n">
        <f aca="false">Inputs!$D$7*(1+Inputs!$D$8)^(BH$251-1)*Inputs!$D$10*1*BH255</f>
        <v>504.990784</v>
      </c>
      <c r="BI256" s="120" t="n">
        <f aca="false">Inputs!$D$7*(1+Inputs!$D$8)^(BI$251-1)*Inputs!$D$10*1*BI255</f>
        <v>504.990784</v>
      </c>
      <c r="BJ256" s="120" t="n">
        <f aca="false">Inputs!$D$7*(1+Inputs!$D$8)^(BJ$251-1)*Inputs!$D$10*1*BJ255</f>
        <v>504.990784</v>
      </c>
    </row>
    <row r="257" customFormat="false" ht="15" hidden="false" customHeight="false" outlineLevel="0" collapsed="false">
      <c r="A257" s="6" t="s">
        <v>413</v>
      </c>
      <c r="C257" s="120" t="n">
        <f aca="false">C256*Inputs!$D$9</f>
        <v>400</v>
      </c>
      <c r="D257" s="120" t="n">
        <f aca="false">D256*Inputs!$D$9</f>
        <v>444.444444444444</v>
      </c>
      <c r="E257" s="120" t="n">
        <f aca="false">E256*Inputs!$D$9</f>
        <v>488.888888888889</v>
      </c>
      <c r="F257" s="120" t="n">
        <f aca="false">F256*Inputs!$D$9</f>
        <v>533.333333333333</v>
      </c>
      <c r="G257" s="120" t="n">
        <f aca="false">G256*Inputs!$D$9</f>
        <v>577.777777777778</v>
      </c>
      <c r="H257" s="120" t="n">
        <f aca="false">H256*Inputs!$D$9</f>
        <v>622.222222222222</v>
      </c>
      <c r="I257" s="120" t="n">
        <f aca="false">I256*Inputs!$D$9</f>
        <v>666.666666666667</v>
      </c>
      <c r="J257" s="120" t="n">
        <f aca="false">J256*Inputs!$D$9</f>
        <v>711.111111111111</v>
      </c>
      <c r="K257" s="120" t="n">
        <f aca="false">K256*Inputs!$D$9</f>
        <v>755.555555555556</v>
      </c>
      <c r="L257" s="120" t="n">
        <f aca="false">L256*Inputs!$D$9</f>
        <v>800</v>
      </c>
      <c r="M257" s="120" t="n">
        <f aca="false">M256*Inputs!$D$9</f>
        <v>800</v>
      </c>
      <c r="N257" s="120" t="n">
        <f aca="false">N256*Inputs!$D$9</f>
        <v>800</v>
      </c>
      <c r="O257" s="120" t="n">
        <f aca="false">O256*Inputs!$D$9</f>
        <v>848</v>
      </c>
      <c r="P257" s="120" t="n">
        <f aca="false">P256*Inputs!$D$9</f>
        <v>848</v>
      </c>
      <c r="Q257" s="120" t="n">
        <f aca="false">Q256*Inputs!$D$9</f>
        <v>848</v>
      </c>
      <c r="R257" s="120" t="n">
        <f aca="false">R256*Inputs!$D$9</f>
        <v>848</v>
      </c>
      <c r="S257" s="120" t="n">
        <f aca="false">S256*Inputs!$D$9</f>
        <v>848</v>
      </c>
      <c r="T257" s="120" t="n">
        <f aca="false">T256*Inputs!$D$9</f>
        <v>848</v>
      </c>
      <c r="U257" s="120" t="n">
        <f aca="false">U256*Inputs!$D$9</f>
        <v>848</v>
      </c>
      <c r="V257" s="120" t="n">
        <f aca="false">V256*Inputs!$D$9</f>
        <v>848</v>
      </c>
      <c r="W257" s="120" t="n">
        <f aca="false">W256*Inputs!$D$9</f>
        <v>848</v>
      </c>
      <c r="X257" s="120" t="n">
        <f aca="false">X256*Inputs!$D$9</f>
        <v>848</v>
      </c>
      <c r="Y257" s="120" t="n">
        <f aca="false">Y256*Inputs!$D$9</f>
        <v>848</v>
      </c>
      <c r="Z257" s="120" t="n">
        <f aca="false">Z256*Inputs!$D$9</f>
        <v>848</v>
      </c>
      <c r="AA257" s="120" t="n">
        <f aca="false">AA256*Inputs!$D$9</f>
        <v>898.88</v>
      </c>
      <c r="AB257" s="120" t="n">
        <f aca="false">AB256*Inputs!$D$9</f>
        <v>898.88</v>
      </c>
      <c r="AC257" s="120" t="n">
        <f aca="false">AC256*Inputs!$D$9</f>
        <v>898.88</v>
      </c>
      <c r="AD257" s="120" t="n">
        <f aca="false">AD256*Inputs!$D$9</f>
        <v>898.88</v>
      </c>
      <c r="AE257" s="120" t="n">
        <f aca="false">AE256*Inputs!$D$9</f>
        <v>898.88</v>
      </c>
      <c r="AF257" s="120" t="n">
        <f aca="false">AF256*Inputs!$D$9</f>
        <v>898.88</v>
      </c>
      <c r="AG257" s="120" t="n">
        <f aca="false">AG256*Inputs!$D$9</f>
        <v>898.88</v>
      </c>
      <c r="AH257" s="120" t="n">
        <f aca="false">AH256*Inputs!$D$9</f>
        <v>898.88</v>
      </c>
      <c r="AI257" s="120" t="n">
        <f aca="false">AI256*Inputs!$D$9</f>
        <v>898.88</v>
      </c>
      <c r="AJ257" s="120" t="n">
        <f aca="false">AJ256*Inputs!$D$9</f>
        <v>898.88</v>
      </c>
      <c r="AK257" s="120" t="n">
        <f aca="false">AK256*Inputs!$D$9</f>
        <v>898.88</v>
      </c>
      <c r="AL257" s="120" t="n">
        <f aca="false">AL256*Inputs!$D$9</f>
        <v>898.88</v>
      </c>
      <c r="AM257" s="120" t="n">
        <f aca="false">AM256*Inputs!$D$9</f>
        <v>952.8128</v>
      </c>
      <c r="AN257" s="120" t="n">
        <f aca="false">AN256*Inputs!$D$9</f>
        <v>952.8128</v>
      </c>
      <c r="AO257" s="120" t="n">
        <f aca="false">AO256*Inputs!$D$9</f>
        <v>952.8128</v>
      </c>
      <c r="AP257" s="120" t="n">
        <f aca="false">AP256*Inputs!$D$9</f>
        <v>952.8128</v>
      </c>
      <c r="AQ257" s="120" t="n">
        <f aca="false">AQ256*Inputs!$D$9</f>
        <v>952.8128</v>
      </c>
      <c r="AR257" s="120" t="n">
        <f aca="false">AR256*Inputs!$D$9</f>
        <v>952.8128</v>
      </c>
      <c r="AS257" s="120" t="n">
        <f aca="false">AS256*Inputs!$D$9</f>
        <v>952.8128</v>
      </c>
      <c r="AT257" s="120" t="n">
        <f aca="false">AT256*Inputs!$D$9</f>
        <v>952.8128</v>
      </c>
      <c r="AU257" s="120" t="n">
        <f aca="false">AU256*Inputs!$D$9</f>
        <v>952.8128</v>
      </c>
      <c r="AV257" s="120" t="n">
        <f aca="false">AV256*Inputs!$D$9</f>
        <v>952.8128</v>
      </c>
      <c r="AW257" s="120" t="n">
        <f aca="false">AW256*Inputs!$D$9</f>
        <v>952.8128</v>
      </c>
      <c r="AX257" s="120" t="n">
        <f aca="false">AX256*Inputs!$D$9</f>
        <v>952.8128</v>
      </c>
      <c r="AY257" s="120" t="n">
        <f aca="false">AY256*Inputs!$D$9</f>
        <v>1009.981568</v>
      </c>
      <c r="AZ257" s="120" t="n">
        <f aca="false">AZ256*Inputs!$D$9</f>
        <v>1009.981568</v>
      </c>
      <c r="BA257" s="120" t="n">
        <f aca="false">BA256*Inputs!$D$9</f>
        <v>1009.981568</v>
      </c>
      <c r="BB257" s="120" t="n">
        <f aca="false">BB256*Inputs!$D$9</f>
        <v>1009.981568</v>
      </c>
      <c r="BC257" s="120" t="n">
        <f aca="false">BC256*Inputs!$D$9</f>
        <v>1009.981568</v>
      </c>
      <c r="BD257" s="120" t="n">
        <f aca="false">BD256*Inputs!$D$9</f>
        <v>1009.981568</v>
      </c>
      <c r="BE257" s="120" t="n">
        <f aca="false">BE256*Inputs!$D$9</f>
        <v>1009.981568</v>
      </c>
      <c r="BF257" s="120" t="n">
        <f aca="false">BF256*Inputs!$D$9</f>
        <v>1009.981568</v>
      </c>
      <c r="BG257" s="120" t="n">
        <f aca="false">BG256*Inputs!$D$9</f>
        <v>1009.981568</v>
      </c>
      <c r="BH257" s="120" t="n">
        <f aca="false">BH256*Inputs!$D$9</f>
        <v>1009.981568</v>
      </c>
      <c r="BI257" s="120" t="n">
        <f aca="false">BI256*Inputs!$D$9</f>
        <v>1009.981568</v>
      </c>
      <c r="BJ257" s="120" t="n">
        <f aca="false">BJ256*Inputs!$D$9</f>
        <v>1009.981568</v>
      </c>
    </row>
    <row r="259" customFormat="false" ht="15.75" hidden="false" customHeight="true" outlineLevel="0" collapsed="false">
      <c r="A259" s="7" t="s">
        <v>414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customFormat="false" ht="15" hidden="false" customHeight="false" outlineLevel="0" collapsed="false">
      <c r="A260" s="6" t="s">
        <v>415</v>
      </c>
      <c r="C260" s="119" t="n">
        <f aca="false">C358</f>
        <v>5</v>
      </c>
      <c r="D260" s="119" t="n">
        <f aca="false">D358</f>
        <v>5</v>
      </c>
      <c r="E260" s="119" t="n">
        <f aca="false">E358</f>
        <v>5</v>
      </c>
      <c r="F260" s="119" t="n">
        <f aca="false">F358</f>
        <v>5</v>
      </c>
      <c r="G260" s="119" t="n">
        <f aca="false">G358</f>
        <v>5</v>
      </c>
      <c r="H260" s="119" t="n">
        <f aca="false">H358</f>
        <v>5</v>
      </c>
      <c r="I260" s="119" t="n">
        <f aca="false">I358</f>
        <v>5</v>
      </c>
      <c r="J260" s="119" t="n">
        <f aca="false">J358</f>
        <v>5</v>
      </c>
      <c r="K260" s="119" t="n">
        <f aca="false">K358</f>
        <v>5</v>
      </c>
      <c r="L260" s="119" t="n">
        <f aca="false">L358</f>
        <v>5</v>
      </c>
      <c r="M260" s="119" t="n">
        <f aca="false">M358</f>
        <v>5</v>
      </c>
      <c r="N260" s="119" t="n">
        <f aca="false">N358</f>
        <v>5</v>
      </c>
      <c r="O260" s="119" t="n">
        <f aca="false">O358</f>
        <v>5</v>
      </c>
      <c r="P260" s="119" t="n">
        <f aca="false">P358</f>
        <v>5</v>
      </c>
      <c r="Q260" s="119" t="n">
        <f aca="false">Q358</f>
        <v>5</v>
      </c>
      <c r="R260" s="119" t="n">
        <f aca="false">R358</f>
        <v>5</v>
      </c>
      <c r="S260" s="119" t="n">
        <f aca="false">S358</f>
        <v>5</v>
      </c>
      <c r="T260" s="119" t="n">
        <f aca="false">T358</f>
        <v>5</v>
      </c>
      <c r="U260" s="119" t="n">
        <f aca="false">U358</f>
        <v>5</v>
      </c>
      <c r="V260" s="119" t="n">
        <f aca="false">V358</f>
        <v>5</v>
      </c>
      <c r="W260" s="119" t="n">
        <f aca="false">W358</f>
        <v>5</v>
      </c>
      <c r="X260" s="119" t="n">
        <f aca="false">X358</f>
        <v>5</v>
      </c>
      <c r="Y260" s="119" t="n">
        <f aca="false">Y358</f>
        <v>5</v>
      </c>
      <c r="Z260" s="119" t="n">
        <f aca="false">Z358</f>
        <v>5</v>
      </c>
      <c r="AA260" s="119" t="n">
        <f aca="false">AA358</f>
        <v>5</v>
      </c>
      <c r="AB260" s="119" t="n">
        <f aca="false">AB358</f>
        <v>5</v>
      </c>
      <c r="AC260" s="119" t="n">
        <f aca="false">AC358</f>
        <v>5</v>
      </c>
      <c r="AD260" s="119" t="n">
        <f aca="false">AD358</f>
        <v>5</v>
      </c>
      <c r="AE260" s="119" t="n">
        <f aca="false">AE358</f>
        <v>5</v>
      </c>
      <c r="AF260" s="119" t="n">
        <f aca="false">AF358</f>
        <v>5</v>
      </c>
      <c r="AG260" s="119" t="n">
        <f aca="false">AG358</f>
        <v>5</v>
      </c>
      <c r="AH260" s="119" t="n">
        <f aca="false">AH358</f>
        <v>5</v>
      </c>
      <c r="AI260" s="119" t="n">
        <f aca="false">AI358</f>
        <v>5</v>
      </c>
      <c r="AJ260" s="119" t="n">
        <f aca="false">AJ358</f>
        <v>5</v>
      </c>
      <c r="AK260" s="119" t="n">
        <f aca="false">AK358</f>
        <v>5</v>
      </c>
      <c r="AL260" s="119" t="n">
        <f aca="false">AL358</f>
        <v>5</v>
      </c>
      <c r="AM260" s="119" t="n">
        <f aca="false">AM358</f>
        <v>5</v>
      </c>
      <c r="AN260" s="119" t="n">
        <f aca="false">AN358</f>
        <v>5</v>
      </c>
      <c r="AO260" s="119" t="n">
        <f aca="false">AO358</f>
        <v>5</v>
      </c>
      <c r="AP260" s="119" t="n">
        <f aca="false">AP358</f>
        <v>5</v>
      </c>
      <c r="AQ260" s="119" t="n">
        <f aca="false">AQ358</f>
        <v>5</v>
      </c>
      <c r="AR260" s="119" t="n">
        <f aca="false">AR358</f>
        <v>5</v>
      </c>
      <c r="AS260" s="119" t="n">
        <f aca="false">AS358</f>
        <v>5</v>
      </c>
      <c r="AT260" s="119" t="n">
        <f aca="false">AT358</f>
        <v>5</v>
      </c>
      <c r="AU260" s="119" t="n">
        <f aca="false">AU358</f>
        <v>5</v>
      </c>
      <c r="AV260" s="119" t="n">
        <f aca="false">AV358</f>
        <v>5</v>
      </c>
      <c r="AW260" s="119" t="n">
        <f aca="false">AW358</f>
        <v>5</v>
      </c>
      <c r="AX260" s="119" t="n">
        <f aca="false">AX358</f>
        <v>5</v>
      </c>
      <c r="AY260" s="119" t="n">
        <f aca="false">AY358</f>
        <v>5</v>
      </c>
      <c r="AZ260" s="119" t="n">
        <f aca="false">AZ358</f>
        <v>5</v>
      </c>
      <c r="BA260" s="119" t="n">
        <f aca="false">BA358</f>
        <v>5</v>
      </c>
      <c r="BB260" s="119" t="n">
        <f aca="false">BB358</f>
        <v>5</v>
      </c>
      <c r="BC260" s="119" t="n">
        <f aca="false">BC358</f>
        <v>5</v>
      </c>
      <c r="BD260" s="119" t="n">
        <f aca="false">BD358</f>
        <v>5</v>
      </c>
      <c r="BE260" s="119" t="n">
        <f aca="false">BE358</f>
        <v>5</v>
      </c>
      <c r="BF260" s="119" t="n">
        <f aca="false">BF358</f>
        <v>5</v>
      </c>
      <c r="BG260" s="119" t="n">
        <f aca="false">BG358</f>
        <v>5</v>
      </c>
      <c r="BH260" s="119" t="n">
        <f aca="false">BH358</f>
        <v>5</v>
      </c>
      <c r="BI260" s="119" t="n">
        <f aca="false">BI358</f>
        <v>5</v>
      </c>
      <c r="BJ260" s="119" t="n">
        <f aca="false">BJ358</f>
        <v>5</v>
      </c>
    </row>
    <row r="261" customFormat="false" ht="15" hidden="false" customHeight="false" outlineLevel="0" collapsed="false">
      <c r="A261" s="6" t="s">
        <v>416</v>
      </c>
      <c r="C261" s="120" t="n">
        <f aca="false">Inputs!$D$15*Inputs!$D$16*Inputs!$D$10*1</f>
        <v>1050</v>
      </c>
      <c r="D261" s="120" t="n">
        <f aca="false">Inputs!$D$15*Inputs!$D$16*Inputs!$D$10*1</f>
        <v>1050</v>
      </c>
      <c r="E261" s="120" t="n">
        <f aca="false">Inputs!$D$15*Inputs!$D$16*Inputs!$D$10*1</f>
        <v>1050</v>
      </c>
      <c r="F261" s="120" t="n">
        <f aca="false">Inputs!$D$15*Inputs!$D$16*Inputs!$D$10*1</f>
        <v>1050</v>
      </c>
      <c r="G261" s="120" t="n">
        <f aca="false">Inputs!$D$15*Inputs!$D$16*Inputs!$D$10*1</f>
        <v>1050</v>
      </c>
      <c r="H261" s="120" t="n">
        <f aca="false">Inputs!$D$15*Inputs!$D$16*Inputs!$D$10*1</f>
        <v>1050</v>
      </c>
      <c r="I261" s="120" t="n">
        <f aca="false">Inputs!$D$15*Inputs!$D$16*Inputs!$D$10*1</f>
        <v>1050</v>
      </c>
      <c r="J261" s="120" t="n">
        <f aca="false">Inputs!$D$15*Inputs!$D$16*Inputs!$D$10*1</f>
        <v>1050</v>
      </c>
      <c r="K261" s="120" t="n">
        <f aca="false">Inputs!$D$15*Inputs!$D$16*Inputs!$D$10*1</f>
        <v>1050</v>
      </c>
      <c r="L261" s="120" t="n">
        <f aca="false">Inputs!$D$15*Inputs!$D$16*Inputs!$D$10*1</f>
        <v>1050</v>
      </c>
      <c r="M261" s="120" t="n">
        <f aca="false">Inputs!$D$15*Inputs!$D$16*Inputs!$D$10*1</f>
        <v>1050</v>
      </c>
      <c r="N261" s="120" t="n">
        <f aca="false">Inputs!$D$15*Inputs!$D$16*Inputs!$D$10*1</f>
        <v>1050</v>
      </c>
      <c r="O261" s="120" t="n">
        <f aca="false">Inputs!$D$15*Inputs!$D$16*Inputs!$D$10*1</f>
        <v>1050</v>
      </c>
      <c r="P261" s="120" t="n">
        <f aca="false">Inputs!$D$15*Inputs!$D$16*Inputs!$D$10*1</f>
        <v>1050</v>
      </c>
      <c r="Q261" s="120" t="n">
        <f aca="false">Inputs!$D$15*Inputs!$D$16*Inputs!$D$10*1</f>
        <v>1050</v>
      </c>
      <c r="R261" s="120" t="n">
        <f aca="false">Inputs!$D$15*Inputs!$D$16*Inputs!$D$10*1</f>
        <v>1050</v>
      </c>
      <c r="S261" s="120" t="n">
        <f aca="false">Inputs!$D$15*Inputs!$D$16*Inputs!$D$10*1</f>
        <v>1050</v>
      </c>
      <c r="T261" s="120" t="n">
        <f aca="false">Inputs!$D$15*Inputs!$D$16*Inputs!$D$10*1</f>
        <v>1050</v>
      </c>
      <c r="U261" s="120" t="n">
        <f aca="false">Inputs!$D$15*Inputs!$D$16*Inputs!$D$10*1</f>
        <v>1050</v>
      </c>
      <c r="V261" s="120" t="n">
        <f aca="false">Inputs!$D$15*Inputs!$D$16*Inputs!$D$10*1</f>
        <v>1050</v>
      </c>
      <c r="W261" s="120" t="n">
        <f aca="false">Inputs!$D$15*Inputs!$D$16*Inputs!$D$10*1</f>
        <v>1050</v>
      </c>
      <c r="X261" s="120" t="n">
        <f aca="false">Inputs!$D$15*Inputs!$D$16*Inputs!$D$10*1</f>
        <v>1050</v>
      </c>
      <c r="Y261" s="120" t="n">
        <f aca="false">Inputs!$D$15*Inputs!$D$16*Inputs!$D$10*1</f>
        <v>1050</v>
      </c>
      <c r="Z261" s="120" t="n">
        <f aca="false">Inputs!$D$15*Inputs!$D$16*Inputs!$D$10*1</f>
        <v>1050</v>
      </c>
      <c r="AA261" s="120" t="n">
        <f aca="false">Inputs!$D$15*Inputs!$D$16*Inputs!$D$10*1</f>
        <v>1050</v>
      </c>
      <c r="AB261" s="120" t="n">
        <f aca="false">Inputs!$D$15*Inputs!$D$16*Inputs!$D$10*1</f>
        <v>1050</v>
      </c>
      <c r="AC261" s="120" t="n">
        <f aca="false">Inputs!$D$15*Inputs!$D$16*Inputs!$D$10*1</f>
        <v>1050</v>
      </c>
      <c r="AD261" s="120" t="n">
        <f aca="false">Inputs!$D$15*Inputs!$D$16*Inputs!$D$10*1</f>
        <v>1050</v>
      </c>
      <c r="AE261" s="120" t="n">
        <f aca="false">Inputs!$D$15*Inputs!$D$16*Inputs!$D$10*1</f>
        <v>1050</v>
      </c>
      <c r="AF261" s="120" t="n">
        <f aca="false">Inputs!$D$15*Inputs!$D$16*Inputs!$D$10*1</f>
        <v>1050</v>
      </c>
      <c r="AG261" s="120" t="n">
        <f aca="false">Inputs!$D$15*Inputs!$D$16*Inputs!$D$10*1</f>
        <v>1050</v>
      </c>
      <c r="AH261" s="120" t="n">
        <f aca="false">Inputs!$D$15*Inputs!$D$16*Inputs!$D$10*1</f>
        <v>1050</v>
      </c>
      <c r="AI261" s="120" t="n">
        <f aca="false">Inputs!$D$15*Inputs!$D$16*Inputs!$D$10*1</f>
        <v>1050</v>
      </c>
      <c r="AJ261" s="120" t="n">
        <f aca="false">Inputs!$D$15*Inputs!$D$16*Inputs!$D$10*1</f>
        <v>1050</v>
      </c>
      <c r="AK261" s="120" t="n">
        <f aca="false">Inputs!$D$15*Inputs!$D$16*Inputs!$D$10*1</f>
        <v>1050</v>
      </c>
      <c r="AL261" s="120" t="n">
        <f aca="false">Inputs!$D$15*Inputs!$D$16*Inputs!$D$10*1</f>
        <v>1050</v>
      </c>
      <c r="AM261" s="120" t="n">
        <f aca="false">Inputs!$D$15*Inputs!$D$16*Inputs!$D$10*1</f>
        <v>1050</v>
      </c>
      <c r="AN261" s="120" t="n">
        <f aca="false">Inputs!$D$15*Inputs!$D$16*Inputs!$D$10*1</f>
        <v>1050</v>
      </c>
      <c r="AO261" s="120" t="n">
        <f aca="false">Inputs!$D$15*Inputs!$D$16*Inputs!$D$10*1</f>
        <v>1050</v>
      </c>
      <c r="AP261" s="120" t="n">
        <f aca="false">Inputs!$D$15*Inputs!$D$16*Inputs!$D$10*1</f>
        <v>1050</v>
      </c>
      <c r="AQ261" s="120" t="n">
        <f aca="false">Inputs!$D$15*Inputs!$D$16*Inputs!$D$10*1</f>
        <v>1050</v>
      </c>
      <c r="AR261" s="120" t="n">
        <f aca="false">Inputs!$D$15*Inputs!$D$16*Inputs!$D$10*1</f>
        <v>1050</v>
      </c>
      <c r="AS261" s="120" t="n">
        <f aca="false">Inputs!$D$15*Inputs!$D$16*Inputs!$D$10*1</f>
        <v>1050</v>
      </c>
      <c r="AT261" s="120" t="n">
        <f aca="false">Inputs!$D$15*Inputs!$D$16*Inputs!$D$10*1</f>
        <v>1050</v>
      </c>
      <c r="AU261" s="120" t="n">
        <f aca="false">Inputs!$D$15*Inputs!$D$16*Inputs!$D$10*1</f>
        <v>1050</v>
      </c>
      <c r="AV261" s="120" t="n">
        <f aca="false">Inputs!$D$15*Inputs!$D$16*Inputs!$D$10*1</f>
        <v>1050</v>
      </c>
      <c r="AW261" s="120" t="n">
        <f aca="false">Inputs!$D$15*Inputs!$D$16*Inputs!$D$10*1</f>
        <v>1050</v>
      </c>
      <c r="AX261" s="120" t="n">
        <f aca="false">Inputs!$D$15*Inputs!$D$16*Inputs!$D$10*1</f>
        <v>1050</v>
      </c>
      <c r="AY261" s="120" t="n">
        <f aca="false">Inputs!$D$15*Inputs!$D$16*Inputs!$D$10*1</f>
        <v>1050</v>
      </c>
      <c r="AZ261" s="120" t="n">
        <f aca="false">Inputs!$D$15*Inputs!$D$16*Inputs!$D$10*1</f>
        <v>1050</v>
      </c>
      <c r="BA261" s="120" t="n">
        <f aca="false">Inputs!$D$15*Inputs!$D$16*Inputs!$D$10*1</f>
        <v>1050</v>
      </c>
      <c r="BB261" s="120" t="n">
        <f aca="false">Inputs!$D$15*Inputs!$D$16*Inputs!$D$10*1</f>
        <v>1050</v>
      </c>
      <c r="BC261" s="120" t="n">
        <f aca="false">Inputs!$D$15*Inputs!$D$16*Inputs!$D$10*1</f>
        <v>1050</v>
      </c>
      <c r="BD261" s="120" t="n">
        <f aca="false">Inputs!$D$15*Inputs!$D$16*Inputs!$D$10*1</f>
        <v>1050</v>
      </c>
      <c r="BE261" s="120" t="n">
        <f aca="false">Inputs!$D$15*Inputs!$D$16*Inputs!$D$10*1</f>
        <v>1050</v>
      </c>
      <c r="BF261" s="120" t="n">
        <f aca="false">Inputs!$D$15*Inputs!$D$16*Inputs!$D$10*1</f>
        <v>1050</v>
      </c>
      <c r="BG261" s="120" t="n">
        <f aca="false">Inputs!$D$15*Inputs!$D$16*Inputs!$D$10*1</f>
        <v>1050</v>
      </c>
      <c r="BH261" s="120" t="n">
        <f aca="false">Inputs!$D$15*Inputs!$D$16*Inputs!$D$10*1</f>
        <v>1050</v>
      </c>
      <c r="BI261" s="120" t="n">
        <f aca="false">Inputs!$D$15*Inputs!$D$16*Inputs!$D$10*1</f>
        <v>1050</v>
      </c>
      <c r="BJ261" s="120" t="n">
        <f aca="false">Inputs!$D$15*Inputs!$D$16*Inputs!$D$10*1</f>
        <v>1050</v>
      </c>
    </row>
    <row r="262" customFormat="false" ht="15" hidden="false" customHeight="false" outlineLevel="0" collapsed="false">
      <c r="A262" s="6" t="s">
        <v>417</v>
      </c>
      <c r="C262" s="120" t="n">
        <f aca="false">C260*Inputs!$D$17*Inputs!$D$18*Inputs!$D$10*1</f>
        <v>950</v>
      </c>
      <c r="D262" s="120" t="n">
        <f aca="false">D260*Inputs!$D$17*Inputs!$D$18*Inputs!$D$10*1</f>
        <v>950</v>
      </c>
      <c r="E262" s="120" t="n">
        <f aca="false">E260*Inputs!$D$17*Inputs!$D$18*Inputs!$D$10*1</f>
        <v>950</v>
      </c>
      <c r="F262" s="120" t="n">
        <f aca="false">F260*Inputs!$D$17*Inputs!$D$18*Inputs!$D$10*1</f>
        <v>950</v>
      </c>
      <c r="G262" s="120" t="n">
        <f aca="false">G260*Inputs!$D$17*Inputs!$D$18*Inputs!$D$10*1</f>
        <v>950</v>
      </c>
      <c r="H262" s="120" t="n">
        <f aca="false">H260*Inputs!$D$17*Inputs!$D$18*Inputs!$D$10*1</f>
        <v>950</v>
      </c>
      <c r="I262" s="120" t="n">
        <f aca="false">I260*Inputs!$D$17*Inputs!$D$18*Inputs!$D$10*1</f>
        <v>950</v>
      </c>
      <c r="J262" s="120" t="n">
        <f aca="false">J260*Inputs!$D$17*Inputs!$D$18*Inputs!$D$10*1</f>
        <v>950</v>
      </c>
      <c r="K262" s="120" t="n">
        <f aca="false">K260*Inputs!$D$17*Inputs!$D$18*Inputs!$D$10*1</f>
        <v>950</v>
      </c>
      <c r="L262" s="120" t="n">
        <f aca="false">L260*Inputs!$D$17*Inputs!$D$18*Inputs!$D$10*1</f>
        <v>950</v>
      </c>
      <c r="M262" s="120" t="n">
        <f aca="false">M260*Inputs!$D$17*Inputs!$D$18*Inputs!$D$10*1</f>
        <v>950</v>
      </c>
      <c r="N262" s="120" t="n">
        <f aca="false">N260*Inputs!$D$17*Inputs!$D$18*Inputs!$D$10*1</f>
        <v>950</v>
      </c>
      <c r="O262" s="120" t="n">
        <f aca="false">O260*Inputs!$D$17*Inputs!$D$18*Inputs!$D$10*1</f>
        <v>950</v>
      </c>
      <c r="P262" s="120" t="n">
        <f aca="false">P260*Inputs!$D$17*Inputs!$D$18*Inputs!$D$10*1</f>
        <v>950</v>
      </c>
      <c r="Q262" s="120" t="n">
        <f aca="false">Q260*Inputs!$D$17*Inputs!$D$18*Inputs!$D$10*1</f>
        <v>950</v>
      </c>
      <c r="R262" s="120" t="n">
        <f aca="false">R260*Inputs!$D$17*Inputs!$D$18*Inputs!$D$10*1</f>
        <v>950</v>
      </c>
      <c r="S262" s="120" t="n">
        <f aca="false">S260*Inputs!$D$17*Inputs!$D$18*Inputs!$D$10*1</f>
        <v>950</v>
      </c>
      <c r="T262" s="120" t="n">
        <f aca="false">T260*Inputs!$D$17*Inputs!$D$18*Inputs!$D$10*1</f>
        <v>950</v>
      </c>
      <c r="U262" s="120" t="n">
        <f aca="false">U260*Inputs!$D$17*Inputs!$D$18*Inputs!$D$10*1</f>
        <v>950</v>
      </c>
      <c r="V262" s="120" t="n">
        <f aca="false">V260*Inputs!$D$17*Inputs!$D$18*Inputs!$D$10*1</f>
        <v>950</v>
      </c>
      <c r="W262" s="120" t="n">
        <f aca="false">W260*Inputs!$D$17*Inputs!$D$18*Inputs!$D$10*1</f>
        <v>950</v>
      </c>
      <c r="X262" s="120" t="n">
        <f aca="false">X260*Inputs!$D$17*Inputs!$D$18*Inputs!$D$10*1</f>
        <v>950</v>
      </c>
      <c r="Y262" s="120" t="n">
        <f aca="false">Y260*Inputs!$D$17*Inputs!$D$18*Inputs!$D$10*1</f>
        <v>950</v>
      </c>
      <c r="Z262" s="120" t="n">
        <f aca="false">Z260*Inputs!$D$17*Inputs!$D$18*Inputs!$D$10*1</f>
        <v>950</v>
      </c>
      <c r="AA262" s="120" t="n">
        <f aca="false">AA260*Inputs!$D$17*Inputs!$D$18*Inputs!$D$10*1</f>
        <v>950</v>
      </c>
      <c r="AB262" s="120" t="n">
        <f aca="false">AB260*Inputs!$D$17*Inputs!$D$18*Inputs!$D$10*1</f>
        <v>950</v>
      </c>
      <c r="AC262" s="120" t="n">
        <f aca="false">AC260*Inputs!$D$17*Inputs!$D$18*Inputs!$D$10*1</f>
        <v>950</v>
      </c>
      <c r="AD262" s="120" t="n">
        <f aca="false">AD260*Inputs!$D$17*Inputs!$D$18*Inputs!$D$10*1</f>
        <v>950</v>
      </c>
      <c r="AE262" s="120" t="n">
        <f aca="false">AE260*Inputs!$D$17*Inputs!$D$18*Inputs!$D$10*1</f>
        <v>950</v>
      </c>
      <c r="AF262" s="120" t="n">
        <f aca="false">AF260*Inputs!$D$17*Inputs!$D$18*Inputs!$D$10*1</f>
        <v>950</v>
      </c>
      <c r="AG262" s="120" t="n">
        <f aca="false">AG260*Inputs!$D$17*Inputs!$D$18*Inputs!$D$10*1</f>
        <v>950</v>
      </c>
      <c r="AH262" s="120" t="n">
        <f aca="false">AH260*Inputs!$D$17*Inputs!$D$18*Inputs!$D$10*1</f>
        <v>950</v>
      </c>
      <c r="AI262" s="120" t="n">
        <f aca="false">AI260*Inputs!$D$17*Inputs!$D$18*Inputs!$D$10*1</f>
        <v>950</v>
      </c>
      <c r="AJ262" s="120" t="n">
        <f aca="false">AJ260*Inputs!$D$17*Inputs!$D$18*Inputs!$D$10*1</f>
        <v>950</v>
      </c>
      <c r="AK262" s="120" t="n">
        <f aca="false">AK260*Inputs!$D$17*Inputs!$D$18*Inputs!$D$10*1</f>
        <v>950</v>
      </c>
      <c r="AL262" s="120" t="n">
        <f aca="false">AL260*Inputs!$D$17*Inputs!$D$18*Inputs!$D$10*1</f>
        <v>950</v>
      </c>
      <c r="AM262" s="120" t="n">
        <f aca="false">AM260*Inputs!$D$17*Inputs!$D$18*Inputs!$D$10*1</f>
        <v>950</v>
      </c>
      <c r="AN262" s="120" t="n">
        <f aca="false">AN260*Inputs!$D$17*Inputs!$D$18*Inputs!$D$10*1</f>
        <v>950</v>
      </c>
      <c r="AO262" s="120" t="n">
        <f aca="false">AO260*Inputs!$D$17*Inputs!$D$18*Inputs!$D$10*1</f>
        <v>950</v>
      </c>
      <c r="AP262" s="120" t="n">
        <f aca="false">AP260*Inputs!$D$17*Inputs!$D$18*Inputs!$D$10*1</f>
        <v>950</v>
      </c>
      <c r="AQ262" s="120" t="n">
        <f aca="false">AQ260*Inputs!$D$17*Inputs!$D$18*Inputs!$D$10*1</f>
        <v>950</v>
      </c>
      <c r="AR262" s="120" t="n">
        <f aca="false">AR260*Inputs!$D$17*Inputs!$D$18*Inputs!$D$10*1</f>
        <v>950</v>
      </c>
      <c r="AS262" s="120" t="n">
        <f aca="false">AS260*Inputs!$D$17*Inputs!$D$18*Inputs!$D$10*1</f>
        <v>950</v>
      </c>
      <c r="AT262" s="120" t="n">
        <f aca="false">AT260*Inputs!$D$17*Inputs!$D$18*Inputs!$D$10*1</f>
        <v>950</v>
      </c>
      <c r="AU262" s="120" t="n">
        <f aca="false">AU260*Inputs!$D$17*Inputs!$D$18*Inputs!$D$10*1</f>
        <v>950</v>
      </c>
      <c r="AV262" s="120" t="n">
        <f aca="false">AV260*Inputs!$D$17*Inputs!$D$18*Inputs!$D$10*1</f>
        <v>950</v>
      </c>
      <c r="AW262" s="120" t="n">
        <f aca="false">AW260*Inputs!$D$17*Inputs!$D$18*Inputs!$D$10*1</f>
        <v>950</v>
      </c>
      <c r="AX262" s="120" t="n">
        <f aca="false">AX260*Inputs!$D$17*Inputs!$D$18*Inputs!$D$10*1</f>
        <v>950</v>
      </c>
      <c r="AY262" s="120" t="n">
        <f aca="false">AY260*Inputs!$D$17*Inputs!$D$18*Inputs!$D$10*1</f>
        <v>950</v>
      </c>
      <c r="AZ262" s="120" t="n">
        <f aca="false">AZ260*Inputs!$D$17*Inputs!$D$18*Inputs!$D$10*1</f>
        <v>950</v>
      </c>
      <c r="BA262" s="120" t="n">
        <f aca="false">BA260*Inputs!$D$17*Inputs!$D$18*Inputs!$D$10*1</f>
        <v>950</v>
      </c>
      <c r="BB262" s="120" t="n">
        <f aca="false">BB260*Inputs!$D$17*Inputs!$D$18*Inputs!$D$10*1</f>
        <v>950</v>
      </c>
      <c r="BC262" s="120" t="n">
        <f aca="false">BC260*Inputs!$D$17*Inputs!$D$18*Inputs!$D$10*1</f>
        <v>950</v>
      </c>
      <c r="BD262" s="120" t="n">
        <f aca="false">BD260*Inputs!$D$17*Inputs!$D$18*Inputs!$D$10*1</f>
        <v>950</v>
      </c>
      <c r="BE262" s="120" t="n">
        <f aca="false">BE260*Inputs!$D$17*Inputs!$D$18*Inputs!$D$10*1</f>
        <v>950</v>
      </c>
      <c r="BF262" s="120" t="n">
        <f aca="false">BF260*Inputs!$D$17*Inputs!$D$18*Inputs!$D$10*1</f>
        <v>950</v>
      </c>
      <c r="BG262" s="120" t="n">
        <f aca="false">BG260*Inputs!$D$17*Inputs!$D$18*Inputs!$D$10*1</f>
        <v>950</v>
      </c>
      <c r="BH262" s="120" t="n">
        <f aca="false">BH260*Inputs!$D$17*Inputs!$D$18*Inputs!$D$10*1</f>
        <v>950</v>
      </c>
      <c r="BI262" s="120" t="n">
        <f aca="false">BI260*Inputs!$D$17*Inputs!$D$18*Inputs!$D$10*1</f>
        <v>950</v>
      </c>
      <c r="BJ262" s="120" t="n">
        <f aca="false">BJ260*Inputs!$D$17*Inputs!$D$18*Inputs!$D$10*1</f>
        <v>950</v>
      </c>
    </row>
    <row r="263" customFormat="false" ht="15" hidden="false" customHeight="false" outlineLevel="0" collapsed="false">
      <c r="A263" s="6" t="s">
        <v>235</v>
      </c>
      <c r="C263" s="120" t="n">
        <f aca="false">MIN(C261,C262)</f>
        <v>950</v>
      </c>
      <c r="D263" s="120" t="n">
        <f aca="false">MIN(D261,D262)</f>
        <v>950</v>
      </c>
      <c r="E263" s="120" t="n">
        <f aca="false">MIN(E261,E262)</f>
        <v>950</v>
      </c>
      <c r="F263" s="120" t="n">
        <f aca="false">MIN(F261,F262)</f>
        <v>950</v>
      </c>
      <c r="G263" s="120" t="n">
        <f aca="false">MIN(G261,G262)</f>
        <v>950</v>
      </c>
      <c r="H263" s="120" t="n">
        <f aca="false">MIN(H261,H262)</f>
        <v>950</v>
      </c>
      <c r="I263" s="120" t="n">
        <f aca="false">MIN(I261,I262)</f>
        <v>950</v>
      </c>
      <c r="J263" s="120" t="n">
        <f aca="false">MIN(J261,J262)</f>
        <v>950</v>
      </c>
      <c r="K263" s="120" t="n">
        <f aca="false">MIN(K261,K262)</f>
        <v>950</v>
      </c>
      <c r="L263" s="120" t="n">
        <f aca="false">MIN(L261,L262)</f>
        <v>950</v>
      </c>
      <c r="M263" s="120" t="n">
        <f aca="false">MIN(M261,M262)</f>
        <v>950</v>
      </c>
      <c r="N263" s="120" t="n">
        <f aca="false">MIN(N261,N262)</f>
        <v>950</v>
      </c>
      <c r="O263" s="120" t="n">
        <f aca="false">MIN(O261,O262)</f>
        <v>950</v>
      </c>
      <c r="P263" s="120" t="n">
        <f aca="false">MIN(P261,P262)</f>
        <v>950</v>
      </c>
      <c r="Q263" s="120" t="n">
        <f aca="false">MIN(Q261,Q262)</f>
        <v>950</v>
      </c>
      <c r="R263" s="120" t="n">
        <f aca="false">MIN(R261,R262)</f>
        <v>950</v>
      </c>
      <c r="S263" s="120" t="n">
        <f aca="false">MIN(S261,S262)</f>
        <v>950</v>
      </c>
      <c r="T263" s="120" t="n">
        <f aca="false">MIN(T261,T262)</f>
        <v>950</v>
      </c>
      <c r="U263" s="120" t="n">
        <f aca="false">MIN(U261,U262)</f>
        <v>950</v>
      </c>
      <c r="V263" s="120" t="n">
        <f aca="false">MIN(V261,V262)</f>
        <v>950</v>
      </c>
      <c r="W263" s="120" t="n">
        <f aca="false">MIN(W261,W262)</f>
        <v>950</v>
      </c>
      <c r="X263" s="120" t="n">
        <f aca="false">MIN(X261,X262)</f>
        <v>950</v>
      </c>
      <c r="Y263" s="120" t="n">
        <f aca="false">MIN(Y261,Y262)</f>
        <v>950</v>
      </c>
      <c r="Z263" s="120" t="n">
        <f aca="false">MIN(Z261,Z262)</f>
        <v>950</v>
      </c>
      <c r="AA263" s="120" t="n">
        <f aca="false">MIN(AA261,AA262)</f>
        <v>950</v>
      </c>
      <c r="AB263" s="120" t="n">
        <f aca="false">MIN(AB261,AB262)</f>
        <v>950</v>
      </c>
      <c r="AC263" s="120" t="n">
        <f aca="false">MIN(AC261,AC262)</f>
        <v>950</v>
      </c>
      <c r="AD263" s="120" t="n">
        <f aca="false">MIN(AD261,AD262)</f>
        <v>950</v>
      </c>
      <c r="AE263" s="120" t="n">
        <f aca="false">MIN(AE261,AE262)</f>
        <v>950</v>
      </c>
      <c r="AF263" s="120" t="n">
        <f aca="false">MIN(AF261,AF262)</f>
        <v>950</v>
      </c>
      <c r="AG263" s="120" t="n">
        <f aca="false">MIN(AG261,AG262)</f>
        <v>950</v>
      </c>
      <c r="AH263" s="120" t="n">
        <f aca="false">MIN(AH261,AH262)</f>
        <v>950</v>
      </c>
      <c r="AI263" s="120" t="n">
        <f aca="false">MIN(AI261,AI262)</f>
        <v>950</v>
      </c>
      <c r="AJ263" s="120" t="n">
        <f aca="false">MIN(AJ261,AJ262)</f>
        <v>950</v>
      </c>
      <c r="AK263" s="120" t="n">
        <f aca="false">MIN(AK261,AK262)</f>
        <v>950</v>
      </c>
      <c r="AL263" s="120" t="n">
        <f aca="false">MIN(AL261,AL262)</f>
        <v>950</v>
      </c>
      <c r="AM263" s="120" t="n">
        <f aca="false">MIN(AM261,AM262)</f>
        <v>950</v>
      </c>
      <c r="AN263" s="120" t="n">
        <f aca="false">MIN(AN261,AN262)</f>
        <v>950</v>
      </c>
      <c r="AO263" s="120" t="n">
        <f aca="false">MIN(AO261,AO262)</f>
        <v>950</v>
      </c>
      <c r="AP263" s="120" t="n">
        <f aca="false">MIN(AP261,AP262)</f>
        <v>950</v>
      </c>
      <c r="AQ263" s="120" t="n">
        <f aca="false">MIN(AQ261,AQ262)</f>
        <v>950</v>
      </c>
      <c r="AR263" s="120" t="n">
        <f aca="false">MIN(AR261,AR262)</f>
        <v>950</v>
      </c>
      <c r="AS263" s="120" t="n">
        <f aca="false">MIN(AS261,AS262)</f>
        <v>950</v>
      </c>
      <c r="AT263" s="120" t="n">
        <f aca="false">MIN(AT261,AT262)</f>
        <v>950</v>
      </c>
      <c r="AU263" s="120" t="n">
        <f aca="false">MIN(AU261,AU262)</f>
        <v>950</v>
      </c>
      <c r="AV263" s="120" t="n">
        <f aca="false">MIN(AV261,AV262)</f>
        <v>950</v>
      </c>
      <c r="AW263" s="120" t="n">
        <f aca="false">MIN(AW261,AW262)</f>
        <v>950</v>
      </c>
      <c r="AX263" s="120" t="n">
        <f aca="false">MIN(AX261,AX262)</f>
        <v>950</v>
      </c>
      <c r="AY263" s="120" t="n">
        <f aca="false">MIN(AY261,AY262)</f>
        <v>950</v>
      </c>
      <c r="AZ263" s="120" t="n">
        <f aca="false">MIN(AZ261,AZ262)</f>
        <v>950</v>
      </c>
      <c r="BA263" s="120" t="n">
        <f aca="false">MIN(BA261,BA262)</f>
        <v>950</v>
      </c>
      <c r="BB263" s="120" t="n">
        <f aca="false">MIN(BB261,BB262)</f>
        <v>950</v>
      </c>
      <c r="BC263" s="120" t="n">
        <f aca="false">MIN(BC261,BC262)</f>
        <v>950</v>
      </c>
      <c r="BD263" s="120" t="n">
        <f aca="false">MIN(BD261,BD262)</f>
        <v>950</v>
      </c>
      <c r="BE263" s="120" t="n">
        <f aca="false">MIN(BE261,BE262)</f>
        <v>950</v>
      </c>
      <c r="BF263" s="120" t="n">
        <f aca="false">MIN(BF261,BF262)</f>
        <v>950</v>
      </c>
      <c r="BG263" s="120" t="n">
        <f aca="false">MIN(BG261,BG262)</f>
        <v>950</v>
      </c>
      <c r="BH263" s="120" t="n">
        <f aca="false">MIN(BH261,BH262)</f>
        <v>950</v>
      </c>
      <c r="BI263" s="120" t="n">
        <f aca="false">MIN(BI261,BI262)</f>
        <v>950</v>
      </c>
      <c r="BJ263" s="120" t="n">
        <f aca="false">MIN(BJ261,BJ262)</f>
        <v>950</v>
      </c>
    </row>
    <row r="264" customFormat="false" ht="15" hidden="false" customHeight="false" outlineLevel="0" collapsed="false">
      <c r="A264" s="4" t="s">
        <v>418</v>
      </c>
      <c r="C264" s="122" t="n">
        <f aca="false">MIN(C257,C263)</f>
        <v>400</v>
      </c>
      <c r="D264" s="122" t="n">
        <f aca="false">MIN(D257,D263)</f>
        <v>444.444444444444</v>
      </c>
      <c r="E264" s="122" t="n">
        <f aca="false">MIN(E257,E263)</f>
        <v>488.888888888889</v>
      </c>
      <c r="F264" s="122" t="n">
        <f aca="false">MIN(F257,F263)</f>
        <v>533.333333333333</v>
      </c>
      <c r="G264" s="122" t="n">
        <f aca="false">MIN(G257,G263)</f>
        <v>577.777777777778</v>
      </c>
      <c r="H264" s="122" t="n">
        <f aca="false">MIN(H257,H263)</f>
        <v>622.222222222222</v>
      </c>
      <c r="I264" s="122" t="n">
        <f aca="false">MIN(I257,I263)</f>
        <v>666.666666666667</v>
      </c>
      <c r="J264" s="122" t="n">
        <f aca="false">MIN(J257,J263)</f>
        <v>711.111111111111</v>
      </c>
      <c r="K264" s="122" t="n">
        <f aca="false">MIN(K257,K263)</f>
        <v>755.555555555556</v>
      </c>
      <c r="L264" s="122" t="n">
        <f aca="false">MIN(L257,L263)</f>
        <v>800</v>
      </c>
      <c r="M264" s="122" t="n">
        <f aca="false">MIN(M257,M263)</f>
        <v>800</v>
      </c>
      <c r="N264" s="122" t="n">
        <f aca="false">MIN(N257,N263)</f>
        <v>800</v>
      </c>
      <c r="O264" s="122" t="n">
        <f aca="false">MIN(O257,O263)</f>
        <v>848</v>
      </c>
      <c r="P264" s="122" t="n">
        <f aca="false">MIN(P257,P263)</f>
        <v>848</v>
      </c>
      <c r="Q264" s="122" t="n">
        <f aca="false">MIN(Q257,Q263)</f>
        <v>848</v>
      </c>
      <c r="R264" s="122" t="n">
        <f aca="false">MIN(R257,R263)</f>
        <v>848</v>
      </c>
      <c r="S264" s="122" t="n">
        <f aca="false">MIN(S257,S263)</f>
        <v>848</v>
      </c>
      <c r="T264" s="122" t="n">
        <f aca="false">MIN(T257,T263)</f>
        <v>848</v>
      </c>
      <c r="U264" s="122" t="n">
        <f aca="false">MIN(U257,U263)</f>
        <v>848</v>
      </c>
      <c r="V264" s="122" t="n">
        <f aca="false">MIN(V257,V263)</f>
        <v>848</v>
      </c>
      <c r="W264" s="122" t="n">
        <f aca="false">MIN(W257,W263)</f>
        <v>848</v>
      </c>
      <c r="X264" s="122" t="n">
        <f aca="false">MIN(X257,X263)</f>
        <v>848</v>
      </c>
      <c r="Y264" s="122" t="n">
        <f aca="false">MIN(Y257,Y263)</f>
        <v>848</v>
      </c>
      <c r="Z264" s="122" t="n">
        <f aca="false">MIN(Z257,Z263)</f>
        <v>848</v>
      </c>
      <c r="AA264" s="122" t="n">
        <f aca="false">MIN(AA257,AA263)</f>
        <v>898.88</v>
      </c>
      <c r="AB264" s="122" t="n">
        <f aca="false">MIN(AB257,AB263)</f>
        <v>898.88</v>
      </c>
      <c r="AC264" s="122" t="n">
        <f aca="false">MIN(AC257,AC263)</f>
        <v>898.88</v>
      </c>
      <c r="AD264" s="122" t="n">
        <f aca="false">MIN(AD257,AD263)</f>
        <v>898.88</v>
      </c>
      <c r="AE264" s="122" t="n">
        <f aca="false">MIN(AE257,AE263)</f>
        <v>898.88</v>
      </c>
      <c r="AF264" s="122" t="n">
        <f aca="false">MIN(AF257,AF263)</f>
        <v>898.88</v>
      </c>
      <c r="AG264" s="122" t="n">
        <f aca="false">MIN(AG257,AG263)</f>
        <v>898.88</v>
      </c>
      <c r="AH264" s="122" t="n">
        <f aca="false">MIN(AH257,AH263)</f>
        <v>898.88</v>
      </c>
      <c r="AI264" s="122" t="n">
        <f aca="false">MIN(AI257,AI263)</f>
        <v>898.88</v>
      </c>
      <c r="AJ264" s="122" t="n">
        <f aca="false">MIN(AJ257,AJ263)</f>
        <v>898.88</v>
      </c>
      <c r="AK264" s="122" t="n">
        <f aca="false">MIN(AK257,AK263)</f>
        <v>898.88</v>
      </c>
      <c r="AL264" s="122" t="n">
        <f aca="false">MIN(AL257,AL263)</f>
        <v>898.88</v>
      </c>
      <c r="AM264" s="122" t="n">
        <f aca="false">MIN(AM257,AM263)</f>
        <v>950</v>
      </c>
      <c r="AN264" s="122" t="n">
        <f aca="false">MIN(AN257,AN263)</f>
        <v>950</v>
      </c>
      <c r="AO264" s="122" t="n">
        <f aca="false">MIN(AO257,AO263)</f>
        <v>950</v>
      </c>
      <c r="AP264" s="122" t="n">
        <f aca="false">MIN(AP257,AP263)</f>
        <v>950</v>
      </c>
      <c r="AQ264" s="122" t="n">
        <f aca="false">MIN(AQ257,AQ263)</f>
        <v>950</v>
      </c>
      <c r="AR264" s="122" t="n">
        <f aca="false">MIN(AR257,AR263)</f>
        <v>950</v>
      </c>
      <c r="AS264" s="122" t="n">
        <f aca="false">MIN(AS257,AS263)</f>
        <v>950</v>
      </c>
      <c r="AT264" s="122" t="n">
        <f aca="false">MIN(AT257,AT263)</f>
        <v>950</v>
      </c>
      <c r="AU264" s="122" t="n">
        <f aca="false">MIN(AU257,AU263)</f>
        <v>950</v>
      </c>
      <c r="AV264" s="122" t="n">
        <f aca="false">MIN(AV257,AV263)</f>
        <v>950</v>
      </c>
      <c r="AW264" s="122" t="n">
        <f aca="false">MIN(AW257,AW263)</f>
        <v>950</v>
      </c>
      <c r="AX264" s="122" t="n">
        <f aca="false">MIN(AX257,AX263)</f>
        <v>950</v>
      </c>
      <c r="AY264" s="122" t="n">
        <f aca="false">MIN(AY257,AY263)</f>
        <v>950</v>
      </c>
      <c r="AZ264" s="122" t="n">
        <f aca="false">MIN(AZ257,AZ263)</f>
        <v>950</v>
      </c>
      <c r="BA264" s="122" t="n">
        <f aca="false">MIN(BA257,BA263)</f>
        <v>950</v>
      </c>
      <c r="BB264" s="122" t="n">
        <f aca="false">MIN(BB257,BB263)</f>
        <v>950</v>
      </c>
      <c r="BC264" s="122" t="n">
        <f aca="false">MIN(BC257,BC263)</f>
        <v>950</v>
      </c>
      <c r="BD264" s="122" t="n">
        <f aca="false">MIN(BD257,BD263)</f>
        <v>950</v>
      </c>
      <c r="BE264" s="122" t="n">
        <f aca="false">MIN(BE257,BE263)</f>
        <v>950</v>
      </c>
      <c r="BF264" s="122" t="n">
        <f aca="false">MIN(BF257,BF263)</f>
        <v>950</v>
      </c>
      <c r="BG264" s="122" t="n">
        <f aca="false">MIN(BG257,BG263)</f>
        <v>950</v>
      </c>
      <c r="BH264" s="122" t="n">
        <f aca="false">MIN(BH257,BH263)</f>
        <v>950</v>
      </c>
      <c r="BI264" s="122" t="n">
        <f aca="false">MIN(BI257,BI263)</f>
        <v>950</v>
      </c>
      <c r="BJ264" s="122" t="n">
        <f aca="false">MIN(BJ257,BJ263)</f>
        <v>950</v>
      </c>
    </row>
    <row r="265" customFormat="false" ht="15" hidden="false" customHeight="false" outlineLevel="0" collapsed="false">
      <c r="A265" s="6" t="s">
        <v>237</v>
      </c>
      <c r="C265" s="120" t="n">
        <f aca="false">C257-C264</f>
        <v>0</v>
      </c>
      <c r="D265" s="120" t="n">
        <f aca="false">D257-D264</f>
        <v>0</v>
      </c>
      <c r="E265" s="120" t="n">
        <f aca="false">E257-E264</f>
        <v>0</v>
      </c>
      <c r="F265" s="120" t="n">
        <f aca="false">F257-F264</f>
        <v>0</v>
      </c>
      <c r="G265" s="120" t="n">
        <f aca="false">G257-G264</f>
        <v>0</v>
      </c>
      <c r="H265" s="120" t="n">
        <f aca="false">H257-H264</f>
        <v>0</v>
      </c>
      <c r="I265" s="120" t="n">
        <f aca="false">I257-I264</f>
        <v>0</v>
      </c>
      <c r="J265" s="120" t="n">
        <f aca="false">J257-J264</f>
        <v>0</v>
      </c>
      <c r="K265" s="120" t="n">
        <f aca="false">K257-K264</f>
        <v>0</v>
      </c>
      <c r="L265" s="120" t="n">
        <f aca="false">L257-L264</f>
        <v>0</v>
      </c>
      <c r="M265" s="120" t="n">
        <f aca="false">M257-M264</f>
        <v>0</v>
      </c>
      <c r="N265" s="120" t="n">
        <f aca="false">N257-N264</f>
        <v>0</v>
      </c>
      <c r="O265" s="120" t="n">
        <f aca="false">O257-O264</f>
        <v>0</v>
      </c>
      <c r="P265" s="120" t="n">
        <f aca="false">P257-P264</f>
        <v>0</v>
      </c>
      <c r="Q265" s="120" t="n">
        <f aca="false">Q257-Q264</f>
        <v>0</v>
      </c>
      <c r="R265" s="120" t="n">
        <f aca="false">R257-R264</f>
        <v>0</v>
      </c>
      <c r="S265" s="120" t="n">
        <f aca="false">S257-S264</f>
        <v>0</v>
      </c>
      <c r="T265" s="120" t="n">
        <f aca="false">T257-T264</f>
        <v>0</v>
      </c>
      <c r="U265" s="120" t="n">
        <f aca="false">U257-U264</f>
        <v>0</v>
      </c>
      <c r="V265" s="120" t="n">
        <f aca="false">V257-V264</f>
        <v>0</v>
      </c>
      <c r="W265" s="120" t="n">
        <f aca="false">W257-W264</f>
        <v>0</v>
      </c>
      <c r="X265" s="120" t="n">
        <f aca="false">X257-X264</f>
        <v>0</v>
      </c>
      <c r="Y265" s="120" t="n">
        <f aca="false">Y257-Y264</f>
        <v>0</v>
      </c>
      <c r="Z265" s="120" t="n">
        <f aca="false">Z257-Z264</f>
        <v>0</v>
      </c>
      <c r="AA265" s="120" t="n">
        <f aca="false">AA257-AA264</f>
        <v>0</v>
      </c>
      <c r="AB265" s="120" t="n">
        <f aca="false">AB257-AB264</f>
        <v>0</v>
      </c>
      <c r="AC265" s="120" t="n">
        <f aca="false">AC257-AC264</f>
        <v>0</v>
      </c>
      <c r="AD265" s="120" t="n">
        <f aca="false">AD257-AD264</f>
        <v>0</v>
      </c>
      <c r="AE265" s="120" t="n">
        <f aca="false">AE257-AE264</f>
        <v>0</v>
      </c>
      <c r="AF265" s="120" t="n">
        <f aca="false">AF257-AF264</f>
        <v>0</v>
      </c>
      <c r="AG265" s="120" t="n">
        <f aca="false">AG257-AG264</f>
        <v>0</v>
      </c>
      <c r="AH265" s="120" t="n">
        <f aca="false">AH257-AH264</f>
        <v>0</v>
      </c>
      <c r="AI265" s="120" t="n">
        <f aca="false">AI257-AI264</f>
        <v>0</v>
      </c>
      <c r="AJ265" s="120" t="n">
        <f aca="false">AJ257-AJ264</f>
        <v>0</v>
      </c>
      <c r="AK265" s="120" t="n">
        <f aca="false">AK257-AK264</f>
        <v>0</v>
      </c>
      <c r="AL265" s="120" t="n">
        <f aca="false">AL257-AL264</f>
        <v>0</v>
      </c>
      <c r="AM265" s="120" t="n">
        <f aca="false">AM257-AM264</f>
        <v>2.81280000000004</v>
      </c>
      <c r="AN265" s="120" t="n">
        <f aca="false">AN257-AN264</f>
        <v>2.81280000000004</v>
      </c>
      <c r="AO265" s="120" t="n">
        <f aca="false">AO257-AO264</f>
        <v>2.81280000000004</v>
      </c>
      <c r="AP265" s="120" t="n">
        <f aca="false">AP257-AP264</f>
        <v>2.81280000000004</v>
      </c>
      <c r="AQ265" s="120" t="n">
        <f aca="false">AQ257-AQ264</f>
        <v>2.81280000000004</v>
      </c>
      <c r="AR265" s="120" t="n">
        <f aca="false">AR257-AR264</f>
        <v>2.81280000000004</v>
      </c>
      <c r="AS265" s="120" t="n">
        <f aca="false">AS257-AS264</f>
        <v>2.81280000000004</v>
      </c>
      <c r="AT265" s="120" t="n">
        <f aca="false">AT257-AT264</f>
        <v>2.81280000000004</v>
      </c>
      <c r="AU265" s="120" t="n">
        <f aca="false">AU257-AU264</f>
        <v>2.81280000000004</v>
      </c>
      <c r="AV265" s="120" t="n">
        <f aca="false">AV257-AV264</f>
        <v>2.81280000000004</v>
      </c>
      <c r="AW265" s="120" t="n">
        <f aca="false">AW257-AW264</f>
        <v>2.81280000000004</v>
      </c>
      <c r="AX265" s="120" t="n">
        <f aca="false">AX257-AX264</f>
        <v>2.81280000000004</v>
      </c>
      <c r="AY265" s="120" t="n">
        <f aca="false">AY257-AY264</f>
        <v>59.9815680000003</v>
      </c>
      <c r="AZ265" s="120" t="n">
        <f aca="false">AZ257-AZ264</f>
        <v>59.9815680000003</v>
      </c>
      <c r="BA265" s="120" t="n">
        <f aca="false">BA257-BA264</f>
        <v>59.9815680000003</v>
      </c>
      <c r="BB265" s="120" t="n">
        <f aca="false">BB257-BB264</f>
        <v>59.9815680000003</v>
      </c>
      <c r="BC265" s="120" t="n">
        <f aca="false">BC257-BC264</f>
        <v>59.9815680000003</v>
      </c>
      <c r="BD265" s="120" t="n">
        <f aca="false">BD257-BD264</f>
        <v>59.9815680000003</v>
      </c>
      <c r="BE265" s="120" t="n">
        <f aca="false">BE257-BE264</f>
        <v>59.9815680000003</v>
      </c>
      <c r="BF265" s="120" t="n">
        <f aca="false">BF257-BF264</f>
        <v>59.9815680000003</v>
      </c>
      <c r="BG265" s="120" t="n">
        <f aca="false">BG257-BG264</f>
        <v>59.9815680000003</v>
      </c>
      <c r="BH265" s="120" t="n">
        <f aca="false">BH257-BH264</f>
        <v>59.9815680000003</v>
      </c>
      <c r="BI265" s="120" t="n">
        <f aca="false">BI257-BI264</f>
        <v>59.9815680000003</v>
      </c>
      <c r="BJ265" s="120" t="n">
        <f aca="false">BJ257-BJ264</f>
        <v>59.9815680000003</v>
      </c>
    </row>
    <row r="266" customFormat="false" ht="15" hidden="false" customHeight="false" outlineLevel="0" collapsed="false">
      <c r="A266" s="38" t="s">
        <v>419</v>
      </c>
      <c r="C266" s="76" t="n">
        <f aca="false">MIN(1,C264/MAX(1,C257))</f>
        <v>1</v>
      </c>
      <c r="D266" s="76" t="n">
        <f aca="false">MIN(1,D264/MAX(1,D257))</f>
        <v>1</v>
      </c>
      <c r="E266" s="76" t="n">
        <f aca="false">MIN(1,E264/MAX(1,E257))</f>
        <v>1</v>
      </c>
      <c r="F266" s="76" t="n">
        <f aca="false">MIN(1,F264/MAX(1,F257))</f>
        <v>1</v>
      </c>
      <c r="G266" s="76" t="n">
        <f aca="false">MIN(1,G264/MAX(1,G257))</f>
        <v>1</v>
      </c>
      <c r="H266" s="76" t="n">
        <f aca="false">MIN(1,H264/MAX(1,H257))</f>
        <v>1</v>
      </c>
      <c r="I266" s="76" t="n">
        <f aca="false">MIN(1,I264/MAX(1,I257))</f>
        <v>1</v>
      </c>
      <c r="J266" s="76" t="n">
        <f aca="false">MIN(1,J264/MAX(1,J257))</f>
        <v>1</v>
      </c>
      <c r="K266" s="76" t="n">
        <f aca="false">MIN(1,K264/MAX(1,K257))</f>
        <v>1</v>
      </c>
      <c r="L266" s="76" t="n">
        <f aca="false">MIN(1,L264/MAX(1,L257))</f>
        <v>1</v>
      </c>
      <c r="M266" s="76" t="n">
        <f aca="false">MIN(1,M264/MAX(1,M257))</f>
        <v>1</v>
      </c>
      <c r="N266" s="76" t="n">
        <f aca="false">MIN(1,N264/MAX(1,N257))</f>
        <v>1</v>
      </c>
      <c r="O266" s="76" t="n">
        <f aca="false">MIN(1,O264/MAX(1,O257))</f>
        <v>1</v>
      </c>
      <c r="P266" s="76" t="n">
        <f aca="false">MIN(1,P264/MAX(1,P257))</f>
        <v>1</v>
      </c>
      <c r="Q266" s="76" t="n">
        <f aca="false">MIN(1,Q264/MAX(1,Q257))</f>
        <v>1</v>
      </c>
      <c r="R266" s="76" t="n">
        <f aca="false">MIN(1,R264/MAX(1,R257))</f>
        <v>1</v>
      </c>
      <c r="S266" s="76" t="n">
        <f aca="false">MIN(1,S264/MAX(1,S257))</f>
        <v>1</v>
      </c>
      <c r="T266" s="76" t="n">
        <f aca="false">MIN(1,T264/MAX(1,T257))</f>
        <v>1</v>
      </c>
      <c r="U266" s="76" t="n">
        <f aca="false">MIN(1,U264/MAX(1,U257))</f>
        <v>1</v>
      </c>
      <c r="V266" s="76" t="n">
        <f aca="false">MIN(1,V264/MAX(1,V257))</f>
        <v>1</v>
      </c>
      <c r="W266" s="76" t="n">
        <f aca="false">MIN(1,W264/MAX(1,W257))</f>
        <v>1</v>
      </c>
      <c r="X266" s="76" t="n">
        <f aca="false">MIN(1,X264/MAX(1,X257))</f>
        <v>1</v>
      </c>
      <c r="Y266" s="76" t="n">
        <f aca="false">MIN(1,Y264/MAX(1,Y257))</f>
        <v>1</v>
      </c>
      <c r="Z266" s="76" t="n">
        <f aca="false">MIN(1,Z264/MAX(1,Z257))</f>
        <v>1</v>
      </c>
      <c r="AA266" s="76" t="n">
        <f aca="false">MIN(1,AA264/MAX(1,AA257))</f>
        <v>1</v>
      </c>
      <c r="AB266" s="76" t="n">
        <f aca="false">MIN(1,AB264/MAX(1,AB257))</f>
        <v>1</v>
      </c>
      <c r="AC266" s="76" t="n">
        <f aca="false">MIN(1,AC264/MAX(1,AC257))</f>
        <v>1</v>
      </c>
      <c r="AD266" s="76" t="n">
        <f aca="false">MIN(1,AD264/MAX(1,AD257))</f>
        <v>1</v>
      </c>
      <c r="AE266" s="76" t="n">
        <f aca="false">MIN(1,AE264/MAX(1,AE257))</f>
        <v>1</v>
      </c>
      <c r="AF266" s="76" t="n">
        <f aca="false">MIN(1,AF264/MAX(1,AF257))</f>
        <v>1</v>
      </c>
      <c r="AG266" s="76" t="n">
        <f aca="false">MIN(1,AG264/MAX(1,AG257))</f>
        <v>1</v>
      </c>
      <c r="AH266" s="76" t="n">
        <f aca="false">MIN(1,AH264/MAX(1,AH257))</f>
        <v>1</v>
      </c>
      <c r="AI266" s="76" t="n">
        <f aca="false">MIN(1,AI264/MAX(1,AI257))</f>
        <v>1</v>
      </c>
      <c r="AJ266" s="76" t="n">
        <f aca="false">MIN(1,AJ264/MAX(1,AJ257))</f>
        <v>1</v>
      </c>
      <c r="AK266" s="76" t="n">
        <f aca="false">MIN(1,AK264/MAX(1,AK257))</f>
        <v>1</v>
      </c>
      <c r="AL266" s="76" t="n">
        <f aca="false">MIN(1,AL264/MAX(1,AL257))</f>
        <v>1</v>
      </c>
      <c r="AM266" s="76" t="n">
        <f aca="false">MIN(1,AM264/MAX(1,AM257))</f>
        <v>0.997047898600858</v>
      </c>
      <c r="AN266" s="76" t="n">
        <f aca="false">MIN(1,AN264/MAX(1,AN257))</f>
        <v>0.997047898600858</v>
      </c>
      <c r="AO266" s="76" t="n">
        <f aca="false">MIN(1,AO264/MAX(1,AO257))</f>
        <v>0.997047898600858</v>
      </c>
      <c r="AP266" s="76" t="n">
        <f aca="false">MIN(1,AP264/MAX(1,AP257))</f>
        <v>0.997047898600858</v>
      </c>
      <c r="AQ266" s="76" t="n">
        <f aca="false">MIN(1,AQ264/MAX(1,AQ257))</f>
        <v>0.997047898600858</v>
      </c>
      <c r="AR266" s="76" t="n">
        <f aca="false">MIN(1,AR264/MAX(1,AR257))</f>
        <v>0.997047898600858</v>
      </c>
      <c r="AS266" s="76" t="n">
        <f aca="false">MIN(1,AS264/MAX(1,AS257))</f>
        <v>0.997047898600858</v>
      </c>
      <c r="AT266" s="76" t="n">
        <f aca="false">MIN(1,AT264/MAX(1,AT257))</f>
        <v>0.997047898600858</v>
      </c>
      <c r="AU266" s="76" t="n">
        <f aca="false">MIN(1,AU264/MAX(1,AU257))</f>
        <v>0.997047898600858</v>
      </c>
      <c r="AV266" s="76" t="n">
        <f aca="false">MIN(1,AV264/MAX(1,AV257))</f>
        <v>0.997047898600858</v>
      </c>
      <c r="AW266" s="76" t="n">
        <f aca="false">MIN(1,AW264/MAX(1,AW257))</f>
        <v>0.997047898600858</v>
      </c>
      <c r="AX266" s="76" t="n">
        <f aca="false">MIN(1,AX264/MAX(1,AX257))</f>
        <v>0.997047898600858</v>
      </c>
      <c r="AY266" s="76" t="n">
        <f aca="false">MIN(1,AY264/MAX(1,AY257))</f>
        <v>0.940611225095149</v>
      </c>
      <c r="AZ266" s="76" t="n">
        <f aca="false">MIN(1,AZ264/MAX(1,AZ257))</f>
        <v>0.940611225095149</v>
      </c>
      <c r="BA266" s="76" t="n">
        <f aca="false">MIN(1,BA264/MAX(1,BA257))</f>
        <v>0.940611225095149</v>
      </c>
      <c r="BB266" s="76" t="n">
        <f aca="false">MIN(1,BB264/MAX(1,BB257))</f>
        <v>0.940611225095149</v>
      </c>
      <c r="BC266" s="76" t="n">
        <f aca="false">MIN(1,BC264/MAX(1,BC257))</f>
        <v>0.940611225095149</v>
      </c>
      <c r="BD266" s="76" t="n">
        <f aca="false">MIN(1,BD264/MAX(1,BD257))</f>
        <v>0.940611225095149</v>
      </c>
      <c r="BE266" s="76" t="n">
        <f aca="false">MIN(1,BE264/MAX(1,BE257))</f>
        <v>0.940611225095149</v>
      </c>
      <c r="BF266" s="76" t="n">
        <f aca="false">MIN(1,BF264/MAX(1,BF257))</f>
        <v>0.940611225095149</v>
      </c>
      <c r="BG266" s="76" t="n">
        <f aca="false">MIN(1,BG264/MAX(1,BG257))</f>
        <v>0.940611225095149</v>
      </c>
      <c r="BH266" s="76" t="n">
        <f aca="false">MIN(1,BH264/MAX(1,BH257))</f>
        <v>0.940611225095149</v>
      </c>
      <c r="BI266" s="76" t="n">
        <f aca="false">MIN(1,BI264/MAX(1,BI257))</f>
        <v>0.940611225095149</v>
      </c>
      <c r="BJ266" s="76" t="n">
        <f aca="false">MIN(1,BJ264/MAX(1,BJ257))</f>
        <v>0.940611225095149</v>
      </c>
    </row>
    <row r="267" customFormat="false" ht="15" hidden="false" customHeight="false" outlineLevel="0" collapsed="false">
      <c r="A267" s="6" t="s">
        <v>234</v>
      </c>
      <c r="C267" s="120" t="n">
        <f aca="false">C256*C266</f>
        <v>200</v>
      </c>
      <c r="D267" s="120" t="n">
        <f aca="false">D256*D266</f>
        <v>222.222222222222</v>
      </c>
      <c r="E267" s="120" t="n">
        <f aca="false">E256*E266</f>
        <v>244.444444444444</v>
      </c>
      <c r="F267" s="120" t="n">
        <f aca="false">F256*F266</f>
        <v>266.666666666667</v>
      </c>
      <c r="G267" s="120" t="n">
        <f aca="false">G256*G266</f>
        <v>288.888888888889</v>
      </c>
      <c r="H267" s="120" t="n">
        <f aca="false">H256*H266</f>
        <v>311.111111111111</v>
      </c>
      <c r="I267" s="120" t="n">
        <f aca="false">I256*I266</f>
        <v>333.333333333333</v>
      </c>
      <c r="J267" s="120" t="n">
        <f aca="false">J256*J266</f>
        <v>355.555555555556</v>
      </c>
      <c r="K267" s="120" t="n">
        <f aca="false">K256*K266</f>
        <v>377.777777777778</v>
      </c>
      <c r="L267" s="120" t="n">
        <f aca="false">L256*L266</f>
        <v>400</v>
      </c>
      <c r="M267" s="120" t="n">
        <f aca="false">M256*M266</f>
        <v>400</v>
      </c>
      <c r="N267" s="120" t="n">
        <f aca="false">N256*N266</f>
        <v>400</v>
      </c>
      <c r="O267" s="120" t="n">
        <f aca="false">O256*O266</f>
        <v>424</v>
      </c>
      <c r="P267" s="120" t="n">
        <f aca="false">P256*P266</f>
        <v>424</v>
      </c>
      <c r="Q267" s="120" t="n">
        <f aca="false">Q256*Q266</f>
        <v>424</v>
      </c>
      <c r="R267" s="120" t="n">
        <f aca="false">R256*R266</f>
        <v>424</v>
      </c>
      <c r="S267" s="120" t="n">
        <f aca="false">S256*S266</f>
        <v>424</v>
      </c>
      <c r="T267" s="120" t="n">
        <f aca="false">T256*T266</f>
        <v>424</v>
      </c>
      <c r="U267" s="120" t="n">
        <f aca="false">U256*U266</f>
        <v>424</v>
      </c>
      <c r="V267" s="120" t="n">
        <f aca="false">V256*V266</f>
        <v>424</v>
      </c>
      <c r="W267" s="120" t="n">
        <f aca="false">W256*W266</f>
        <v>424</v>
      </c>
      <c r="X267" s="120" t="n">
        <f aca="false">X256*X266</f>
        <v>424</v>
      </c>
      <c r="Y267" s="120" t="n">
        <f aca="false">Y256*Y266</f>
        <v>424</v>
      </c>
      <c r="Z267" s="120" t="n">
        <f aca="false">Z256*Z266</f>
        <v>424</v>
      </c>
      <c r="AA267" s="120" t="n">
        <f aca="false">AA256*AA266</f>
        <v>449.44</v>
      </c>
      <c r="AB267" s="120" t="n">
        <f aca="false">AB256*AB266</f>
        <v>449.44</v>
      </c>
      <c r="AC267" s="120" t="n">
        <f aca="false">AC256*AC266</f>
        <v>449.44</v>
      </c>
      <c r="AD267" s="120" t="n">
        <f aca="false">AD256*AD266</f>
        <v>449.44</v>
      </c>
      <c r="AE267" s="120" t="n">
        <f aca="false">AE256*AE266</f>
        <v>449.44</v>
      </c>
      <c r="AF267" s="120" t="n">
        <f aca="false">AF256*AF266</f>
        <v>449.44</v>
      </c>
      <c r="AG267" s="120" t="n">
        <f aca="false">AG256*AG266</f>
        <v>449.44</v>
      </c>
      <c r="AH267" s="120" t="n">
        <f aca="false">AH256*AH266</f>
        <v>449.44</v>
      </c>
      <c r="AI267" s="120" t="n">
        <f aca="false">AI256*AI266</f>
        <v>449.44</v>
      </c>
      <c r="AJ267" s="120" t="n">
        <f aca="false">AJ256*AJ266</f>
        <v>449.44</v>
      </c>
      <c r="AK267" s="120" t="n">
        <f aca="false">AK256*AK266</f>
        <v>449.44</v>
      </c>
      <c r="AL267" s="120" t="n">
        <f aca="false">AL256*AL266</f>
        <v>449.44</v>
      </c>
      <c r="AM267" s="120" t="n">
        <f aca="false">AM256*AM266</f>
        <v>475</v>
      </c>
      <c r="AN267" s="120" t="n">
        <f aca="false">AN256*AN266</f>
        <v>475</v>
      </c>
      <c r="AO267" s="120" t="n">
        <f aca="false">AO256*AO266</f>
        <v>475</v>
      </c>
      <c r="AP267" s="120" t="n">
        <f aca="false">AP256*AP266</f>
        <v>475</v>
      </c>
      <c r="AQ267" s="120" t="n">
        <f aca="false">AQ256*AQ266</f>
        <v>475</v>
      </c>
      <c r="AR267" s="120" t="n">
        <f aca="false">AR256*AR266</f>
        <v>475</v>
      </c>
      <c r="AS267" s="120" t="n">
        <f aca="false">AS256*AS266</f>
        <v>475</v>
      </c>
      <c r="AT267" s="120" t="n">
        <f aca="false">AT256*AT266</f>
        <v>475</v>
      </c>
      <c r="AU267" s="120" t="n">
        <f aca="false">AU256*AU266</f>
        <v>475</v>
      </c>
      <c r="AV267" s="120" t="n">
        <f aca="false">AV256*AV266</f>
        <v>475</v>
      </c>
      <c r="AW267" s="120" t="n">
        <f aca="false">AW256*AW266</f>
        <v>475</v>
      </c>
      <c r="AX267" s="120" t="n">
        <f aca="false">AX256*AX266</f>
        <v>475</v>
      </c>
      <c r="AY267" s="120" t="n">
        <f aca="false">AY256*AY266</f>
        <v>475</v>
      </c>
      <c r="AZ267" s="120" t="n">
        <f aca="false">AZ256*AZ266</f>
        <v>475</v>
      </c>
      <c r="BA267" s="120" t="n">
        <f aca="false">BA256*BA266</f>
        <v>475</v>
      </c>
      <c r="BB267" s="120" t="n">
        <f aca="false">BB256*BB266</f>
        <v>475</v>
      </c>
      <c r="BC267" s="120" t="n">
        <f aca="false">BC256*BC266</f>
        <v>475</v>
      </c>
      <c r="BD267" s="120" t="n">
        <f aca="false">BD256*BD266</f>
        <v>475</v>
      </c>
      <c r="BE267" s="120" t="n">
        <f aca="false">BE256*BE266</f>
        <v>475</v>
      </c>
      <c r="BF267" s="120" t="n">
        <f aca="false">BF256*BF266</f>
        <v>475</v>
      </c>
      <c r="BG267" s="120" t="n">
        <f aca="false">BG256*BG266</f>
        <v>475</v>
      </c>
      <c r="BH267" s="120" t="n">
        <f aca="false">BH256*BH266</f>
        <v>475</v>
      </c>
      <c r="BI267" s="120" t="n">
        <f aca="false">BI256*BI266</f>
        <v>475</v>
      </c>
      <c r="BJ267" s="120" t="n">
        <f aca="false">BJ256*BJ266</f>
        <v>475</v>
      </c>
    </row>
    <row r="269" customFormat="false" ht="15.75" hidden="false" customHeight="true" outlineLevel="0" collapsed="false">
      <c r="A269" s="7" t="s">
        <v>44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customFormat="false" ht="15" hidden="false" customHeight="false" outlineLevel="0" collapsed="false">
      <c r="A270" s="6" t="s">
        <v>420</v>
      </c>
      <c r="C270" s="123" t="n">
        <f aca="false">Inputs!$D$21*(1+Inputs!$D$22)^(C$251-1)</f>
        <v>132</v>
      </c>
      <c r="D270" s="123" t="n">
        <f aca="false">Inputs!$D$21*(1+Inputs!$D$22)^(D$251-1)</f>
        <v>132</v>
      </c>
      <c r="E270" s="123" t="n">
        <f aca="false">Inputs!$D$21*(1+Inputs!$D$22)^(E$251-1)</f>
        <v>132</v>
      </c>
      <c r="F270" s="123" t="n">
        <f aca="false">Inputs!$D$21*(1+Inputs!$D$22)^(F$251-1)</f>
        <v>132</v>
      </c>
      <c r="G270" s="123" t="n">
        <f aca="false">Inputs!$D$21*(1+Inputs!$D$22)^(G$251-1)</f>
        <v>132</v>
      </c>
      <c r="H270" s="123" t="n">
        <f aca="false">Inputs!$D$21*(1+Inputs!$D$22)^(H$251-1)</f>
        <v>132</v>
      </c>
      <c r="I270" s="123" t="n">
        <f aca="false">Inputs!$D$21*(1+Inputs!$D$22)^(I$251-1)</f>
        <v>132</v>
      </c>
      <c r="J270" s="123" t="n">
        <f aca="false">Inputs!$D$21*(1+Inputs!$D$22)^(J$251-1)</f>
        <v>132</v>
      </c>
      <c r="K270" s="123" t="n">
        <f aca="false">Inputs!$D$21*(1+Inputs!$D$22)^(K$251-1)</f>
        <v>132</v>
      </c>
      <c r="L270" s="123" t="n">
        <f aca="false">Inputs!$D$21*(1+Inputs!$D$22)^(L$251-1)</f>
        <v>132</v>
      </c>
      <c r="M270" s="123" t="n">
        <f aca="false">Inputs!$D$21*(1+Inputs!$D$22)^(M$251-1)</f>
        <v>132</v>
      </c>
      <c r="N270" s="123" t="n">
        <f aca="false">Inputs!$D$21*(1+Inputs!$D$22)^(N$251-1)</f>
        <v>132</v>
      </c>
      <c r="O270" s="123" t="n">
        <f aca="false">Inputs!$D$21*(1+Inputs!$D$22)^(O$251-1)</f>
        <v>137.28</v>
      </c>
      <c r="P270" s="123" t="n">
        <f aca="false">Inputs!$D$21*(1+Inputs!$D$22)^(P$251-1)</f>
        <v>137.28</v>
      </c>
      <c r="Q270" s="123" t="n">
        <f aca="false">Inputs!$D$21*(1+Inputs!$D$22)^(Q$251-1)</f>
        <v>137.28</v>
      </c>
      <c r="R270" s="123" t="n">
        <f aca="false">Inputs!$D$21*(1+Inputs!$D$22)^(R$251-1)</f>
        <v>137.28</v>
      </c>
      <c r="S270" s="123" t="n">
        <f aca="false">Inputs!$D$21*(1+Inputs!$D$22)^(S$251-1)</f>
        <v>137.28</v>
      </c>
      <c r="T270" s="123" t="n">
        <f aca="false">Inputs!$D$21*(1+Inputs!$D$22)^(T$251-1)</f>
        <v>137.28</v>
      </c>
      <c r="U270" s="123" t="n">
        <f aca="false">Inputs!$D$21*(1+Inputs!$D$22)^(U$251-1)</f>
        <v>137.28</v>
      </c>
      <c r="V270" s="123" t="n">
        <f aca="false">Inputs!$D$21*(1+Inputs!$D$22)^(V$251-1)</f>
        <v>137.28</v>
      </c>
      <c r="W270" s="123" t="n">
        <f aca="false">Inputs!$D$21*(1+Inputs!$D$22)^(W$251-1)</f>
        <v>137.28</v>
      </c>
      <c r="X270" s="123" t="n">
        <f aca="false">Inputs!$D$21*(1+Inputs!$D$22)^(X$251-1)</f>
        <v>137.28</v>
      </c>
      <c r="Y270" s="123" t="n">
        <f aca="false">Inputs!$D$21*(1+Inputs!$D$22)^(Y$251-1)</f>
        <v>137.28</v>
      </c>
      <c r="Z270" s="123" t="n">
        <f aca="false">Inputs!$D$21*(1+Inputs!$D$22)^(Z$251-1)</f>
        <v>137.28</v>
      </c>
      <c r="AA270" s="123" t="n">
        <f aca="false">Inputs!$D$21*(1+Inputs!$D$22)^(AA$251-1)</f>
        <v>142.7712</v>
      </c>
      <c r="AB270" s="123" t="n">
        <f aca="false">Inputs!$D$21*(1+Inputs!$D$22)^(AB$251-1)</f>
        <v>142.7712</v>
      </c>
      <c r="AC270" s="123" t="n">
        <f aca="false">Inputs!$D$21*(1+Inputs!$D$22)^(AC$251-1)</f>
        <v>142.7712</v>
      </c>
      <c r="AD270" s="123" t="n">
        <f aca="false">Inputs!$D$21*(1+Inputs!$D$22)^(AD$251-1)</f>
        <v>142.7712</v>
      </c>
      <c r="AE270" s="123" t="n">
        <f aca="false">Inputs!$D$21*(1+Inputs!$D$22)^(AE$251-1)</f>
        <v>142.7712</v>
      </c>
      <c r="AF270" s="123" t="n">
        <f aca="false">Inputs!$D$21*(1+Inputs!$D$22)^(AF$251-1)</f>
        <v>142.7712</v>
      </c>
      <c r="AG270" s="123" t="n">
        <f aca="false">Inputs!$D$21*(1+Inputs!$D$22)^(AG$251-1)</f>
        <v>142.7712</v>
      </c>
      <c r="AH270" s="123" t="n">
        <f aca="false">Inputs!$D$21*(1+Inputs!$D$22)^(AH$251-1)</f>
        <v>142.7712</v>
      </c>
      <c r="AI270" s="123" t="n">
        <f aca="false">Inputs!$D$21*(1+Inputs!$D$22)^(AI$251-1)</f>
        <v>142.7712</v>
      </c>
      <c r="AJ270" s="123" t="n">
        <f aca="false">Inputs!$D$21*(1+Inputs!$D$22)^(AJ$251-1)</f>
        <v>142.7712</v>
      </c>
      <c r="AK270" s="123" t="n">
        <f aca="false">Inputs!$D$21*(1+Inputs!$D$22)^(AK$251-1)</f>
        <v>142.7712</v>
      </c>
      <c r="AL270" s="123" t="n">
        <f aca="false">Inputs!$D$21*(1+Inputs!$D$22)^(AL$251-1)</f>
        <v>142.7712</v>
      </c>
      <c r="AM270" s="123" t="n">
        <f aca="false">Inputs!$D$21*(1+Inputs!$D$22)^(AM$251-1)</f>
        <v>148.482048</v>
      </c>
      <c r="AN270" s="123" t="n">
        <f aca="false">Inputs!$D$21*(1+Inputs!$D$22)^(AN$251-1)</f>
        <v>148.482048</v>
      </c>
      <c r="AO270" s="123" t="n">
        <f aca="false">Inputs!$D$21*(1+Inputs!$D$22)^(AO$251-1)</f>
        <v>148.482048</v>
      </c>
      <c r="AP270" s="123" t="n">
        <f aca="false">Inputs!$D$21*(1+Inputs!$D$22)^(AP$251-1)</f>
        <v>148.482048</v>
      </c>
      <c r="AQ270" s="123" t="n">
        <f aca="false">Inputs!$D$21*(1+Inputs!$D$22)^(AQ$251-1)</f>
        <v>148.482048</v>
      </c>
      <c r="AR270" s="123" t="n">
        <f aca="false">Inputs!$D$21*(1+Inputs!$D$22)^(AR$251-1)</f>
        <v>148.482048</v>
      </c>
      <c r="AS270" s="123" t="n">
        <f aca="false">Inputs!$D$21*(1+Inputs!$D$22)^(AS$251-1)</f>
        <v>148.482048</v>
      </c>
      <c r="AT270" s="123" t="n">
        <f aca="false">Inputs!$D$21*(1+Inputs!$D$22)^(AT$251-1)</f>
        <v>148.482048</v>
      </c>
      <c r="AU270" s="123" t="n">
        <f aca="false">Inputs!$D$21*(1+Inputs!$D$22)^(AU$251-1)</f>
        <v>148.482048</v>
      </c>
      <c r="AV270" s="123" t="n">
        <f aca="false">Inputs!$D$21*(1+Inputs!$D$22)^(AV$251-1)</f>
        <v>148.482048</v>
      </c>
      <c r="AW270" s="123" t="n">
        <f aca="false">Inputs!$D$21*(1+Inputs!$D$22)^(AW$251-1)</f>
        <v>148.482048</v>
      </c>
      <c r="AX270" s="123" t="n">
        <f aca="false">Inputs!$D$21*(1+Inputs!$D$22)^(AX$251-1)</f>
        <v>148.482048</v>
      </c>
      <c r="AY270" s="123" t="n">
        <f aca="false">Inputs!$D$21*(1+Inputs!$D$22)^(AY$251-1)</f>
        <v>154.42132992</v>
      </c>
      <c r="AZ270" s="123" t="n">
        <f aca="false">Inputs!$D$21*(1+Inputs!$D$22)^(AZ$251-1)</f>
        <v>154.42132992</v>
      </c>
      <c r="BA270" s="123" t="n">
        <f aca="false">Inputs!$D$21*(1+Inputs!$D$22)^(BA$251-1)</f>
        <v>154.42132992</v>
      </c>
      <c r="BB270" s="123" t="n">
        <f aca="false">Inputs!$D$21*(1+Inputs!$D$22)^(BB$251-1)</f>
        <v>154.42132992</v>
      </c>
      <c r="BC270" s="123" t="n">
        <f aca="false">Inputs!$D$21*(1+Inputs!$D$22)^(BC$251-1)</f>
        <v>154.42132992</v>
      </c>
      <c r="BD270" s="123" t="n">
        <f aca="false">Inputs!$D$21*(1+Inputs!$D$22)^(BD$251-1)</f>
        <v>154.42132992</v>
      </c>
      <c r="BE270" s="123" t="n">
        <f aca="false">Inputs!$D$21*(1+Inputs!$D$22)^(BE$251-1)</f>
        <v>154.42132992</v>
      </c>
      <c r="BF270" s="123" t="n">
        <f aca="false">Inputs!$D$21*(1+Inputs!$D$22)^(BF$251-1)</f>
        <v>154.42132992</v>
      </c>
      <c r="BG270" s="123" t="n">
        <f aca="false">Inputs!$D$21*(1+Inputs!$D$22)^(BG$251-1)</f>
        <v>154.42132992</v>
      </c>
      <c r="BH270" s="123" t="n">
        <f aca="false">Inputs!$D$21*(1+Inputs!$D$22)^(BH$251-1)</f>
        <v>154.42132992</v>
      </c>
      <c r="BI270" s="123" t="n">
        <f aca="false">Inputs!$D$21*(1+Inputs!$D$22)^(BI$251-1)</f>
        <v>154.42132992</v>
      </c>
      <c r="BJ270" s="123" t="n">
        <f aca="false">Inputs!$D$21*(1+Inputs!$D$22)^(BJ$251-1)</f>
        <v>154.42132992</v>
      </c>
    </row>
    <row r="271" customFormat="false" ht="15" hidden="false" customHeight="false" outlineLevel="0" collapsed="false">
      <c r="A271" s="6" t="s">
        <v>238</v>
      </c>
      <c r="C271" s="69" t="n">
        <f aca="false">C264*C270</f>
        <v>52800</v>
      </c>
      <c r="D271" s="69" t="n">
        <f aca="false">D264*D270</f>
        <v>58666.6666666667</v>
      </c>
      <c r="E271" s="69" t="n">
        <f aca="false">E264*E270</f>
        <v>64533.3333333333</v>
      </c>
      <c r="F271" s="69" t="n">
        <f aca="false">F264*F270</f>
        <v>70400</v>
      </c>
      <c r="G271" s="69" t="n">
        <f aca="false">G264*G270</f>
        <v>76266.6666666667</v>
      </c>
      <c r="H271" s="69" t="n">
        <f aca="false">H264*H270</f>
        <v>82133.3333333333</v>
      </c>
      <c r="I271" s="69" t="n">
        <f aca="false">I264*I270</f>
        <v>88000</v>
      </c>
      <c r="J271" s="69" t="n">
        <f aca="false">J264*J270</f>
        <v>93866.6666666667</v>
      </c>
      <c r="K271" s="69" t="n">
        <f aca="false">K264*K270</f>
        <v>99733.3333333333</v>
      </c>
      <c r="L271" s="69" t="n">
        <f aca="false">L264*L270</f>
        <v>105600</v>
      </c>
      <c r="M271" s="69" t="n">
        <f aca="false">M264*M270</f>
        <v>105600</v>
      </c>
      <c r="N271" s="69" t="n">
        <f aca="false">N264*N270</f>
        <v>105600</v>
      </c>
      <c r="O271" s="69" t="n">
        <f aca="false">O264*O270</f>
        <v>116413.44</v>
      </c>
      <c r="P271" s="69" t="n">
        <f aca="false">P264*P270</f>
        <v>116413.44</v>
      </c>
      <c r="Q271" s="69" t="n">
        <f aca="false">Q264*Q270</f>
        <v>116413.44</v>
      </c>
      <c r="R271" s="69" t="n">
        <f aca="false">R264*R270</f>
        <v>116413.44</v>
      </c>
      <c r="S271" s="69" t="n">
        <f aca="false">S264*S270</f>
        <v>116413.44</v>
      </c>
      <c r="T271" s="69" t="n">
        <f aca="false">T264*T270</f>
        <v>116413.44</v>
      </c>
      <c r="U271" s="69" t="n">
        <f aca="false">U264*U270</f>
        <v>116413.44</v>
      </c>
      <c r="V271" s="69" t="n">
        <f aca="false">V264*V270</f>
        <v>116413.44</v>
      </c>
      <c r="W271" s="69" t="n">
        <f aca="false">W264*W270</f>
        <v>116413.44</v>
      </c>
      <c r="X271" s="69" t="n">
        <f aca="false">X264*X270</f>
        <v>116413.44</v>
      </c>
      <c r="Y271" s="69" t="n">
        <f aca="false">Y264*Y270</f>
        <v>116413.44</v>
      </c>
      <c r="Z271" s="69" t="n">
        <f aca="false">Z264*Z270</f>
        <v>116413.44</v>
      </c>
      <c r="AA271" s="69" t="n">
        <f aca="false">AA264*AA270</f>
        <v>128334.176256</v>
      </c>
      <c r="AB271" s="69" t="n">
        <f aca="false">AB264*AB270</f>
        <v>128334.176256</v>
      </c>
      <c r="AC271" s="69" t="n">
        <f aca="false">AC264*AC270</f>
        <v>128334.176256</v>
      </c>
      <c r="AD271" s="69" t="n">
        <f aca="false">AD264*AD270</f>
        <v>128334.176256</v>
      </c>
      <c r="AE271" s="69" t="n">
        <f aca="false">AE264*AE270</f>
        <v>128334.176256</v>
      </c>
      <c r="AF271" s="69" t="n">
        <f aca="false">AF264*AF270</f>
        <v>128334.176256</v>
      </c>
      <c r="AG271" s="69" t="n">
        <f aca="false">AG264*AG270</f>
        <v>128334.176256</v>
      </c>
      <c r="AH271" s="69" t="n">
        <f aca="false">AH264*AH270</f>
        <v>128334.176256</v>
      </c>
      <c r="AI271" s="69" t="n">
        <f aca="false">AI264*AI270</f>
        <v>128334.176256</v>
      </c>
      <c r="AJ271" s="69" t="n">
        <f aca="false">AJ264*AJ270</f>
        <v>128334.176256</v>
      </c>
      <c r="AK271" s="69" t="n">
        <f aca="false">AK264*AK270</f>
        <v>128334.176256</v>
      </c>
      <c r="AL271" s="69" t="n">
        <f aca="false">AL264*AL270</f>
        <v>128334.176256</v>
      </c>
      <c r="AM271" s="69" t="n">
        <f aca="false">AM264*AM270</f>
        <v>141057.9456</v>
      </c>
      <c r="AN271" s="69" t="n">
        <f aca="false">AN264*AN270</f>
        <v>141057.9456</v>
      </c>
      <c r="AO271" s="69" t="n">
        <f aca="false">AO264*AO270</f>
        <v>141057.9456</v>
      </c>
      <c r="AP271" s="69" t="n">
        <f aca="false">AP264*AP270</f>
        <v>141057.9456</v>
      </c>
      <c r="AQ271" s="69" t="n">
        <f aca="false">AQ264*AQ270</f>
        <v>141057.9456</v>
      </c>
      <c r="AR271" s="69" t="n">
        <f aca="false">AR264*AR270</f>
        <v>141057.9456</v>
      </c>
      <c r="AS271" s="69" t="n">
        <f aca="false">AS264*AS270</f>
        <v>141057.9456</v>
      </c>
      <c r="AT271" s="69" t="n">
        <f aca="false">AT264*AT270</f>
        <v>141057.9456</v>
      </c>
      <c r="AU271" s="69" t="n">
        <f aca="false">AU264*AU270</f>
        <v>141057.9456</v>
      </c>
      <c r="AV271" s="69" t="n">
        <f aca="false">AV264*AV270</f>
        <v>141057.9456</v>
      </c>
      <c r="AW271" s="69" t="n">
        <f aca="false">AW264*AW270</f>
        <v>141057.9456</v>
      </c>
      <c r="AX271" s="69" t="n">
        <f aca="false">AX264*AX270</f>
        <v>141057.9456</v>
      </c>
      <c r="AY271" s="69" t="n">
        <f aca="false">AY264*AY270</f>
        <v>146700.263424</v>
      </c>
      <c r="AZ271" s="69" t="n">
        <f aca="false">AZ264*AZ270</f>
        <v>146700.263424</v>
      </c>
      <c r="BA271" s="69" t="n">
        <f aca="false">BA264*BA270</f>
        <v>146700.263424</v>
      </c>
      <c r="BB271" s="69" t="n">
        <f aca="false">BB264*BB270</f>
        <v>146700.263424</v>
      </c>
      <c r="BC271" s="69" t="n">
        <f aca="false">BC264*BC270</f>
        <v>146700.263424</v>
      </c>
      <c r="BD271" s="69" t="n">
        <f aca="false">BD264*BD270</f>
        <v>146700.263424</v>
      </c>
      <c r="BE271" s="69" t="n">
        <f aca="false">BE264*BE270</f>
        <v>146700.263424</v>
      </c>
      <c r="BF271" s="69" t="n">
        <f aca="false">BF264*BF270</f>
        <v>146700.263424</v>
      </c>
      <c r="BG271" s="69" t="n">
        <f aca="false">BG264*BG270</f>
        <v>146700.263424</v>
      </c>
      <c r="BH271" s="69" t="n">
        <f aca="false">BH264*BH270</f>
        <v>146700.263424</v>
      </c>
      <c r="BI271" s="69" t="n">
        <f aca="false">BI264*BI270</f>
        <v>146700.263424</v>
      </c>
      <c r="BJ271" s="69" t="n">
        <f aca="false">BJ264*BJ270</f>
        <v>146700.263424</v>
      </c>
    </row>
    <row r="272" customFormat="false" ht="15" hidden="false" customHeight="false" outlineLevel="0" collapsed="false">
      <c r="A272" s="6" t="s">
        <v>239</v>
      </c>
      <c r="C272" s="69" t="n">
        <f aca="false">C264*Inputs!$D$26*(1+Inputs!$D$22)^(C$251-1)</f>
        <v>43200</v>
      </c>
      <c r="D272" s="69" t="n">
        <f aca="false">D264*Inputs!$D$26*(1+Inputs!$D$22)^(D$251-1)</f>
        <v>48000</v>
      </c>
      <c r="E272" s="69" t="n">
        <f aca="false">E264*Inputs!$D$26*(1+Inputs!$D$22)^(E$251-1)</f>
        <v>52800</v>
      </c>
      <c r="F272" s="69" t="n">
        <f aca="false">F264*Inputs!$D$26*(1+Inputs!$D$22)^(F$251-1)</f>
        <v>57600</v>
      </c>
      <c r="G272" s="69" t="n">
        <f aca="false">G264*Inputs!$D$26*(1+Inputs!$D$22)^(G$251-1)</f>
        <v>62400</v>
      </c>
      <c r="H272" s="69" t="n">
        <f aca="false">H264*Inputs!$D$26*(1+Inputs!$D$22)^(H$251-1)</f>
        <v>67200</v>
      </c>
      <c r="I272" s="69" t="n">
        <f aca="false">I264*Inputs!$D$26*(1+Inputs!$D$22)^(I$251-1)</f>
        <v>72000</v>
      </c>
      <c r="J272" s="69" t="n">
        <f aca="false">J264*Inputs!$D$26*(1+Inputs!$D$22)^(J$251-1)</f>
        <v>76800</v>
      </c>
      <c r="K272" s="69" t="n">
        <f aca="false">K264*Inputs!$D$26*(1+Inputs!$D$22)^(K$251-1)</f>
        <v>81600</v>
      </c>
      <c r="L272" s="69" t="n">
        <f aca="false">L264*Inputs!$D$26*(1+Inputs!$D$22)^(L$251-1)</f>
        <v>86400</v>
      </c>
      <c r="M272" s="69" t="n">
        <f aca="false">M264*Inputs!$D$26*(1+Inputs!$D$22)^(M$251-1)</f>
        <v>86400</v>
      </c>
      <c r="N272" s="69" t="n">
        <f aca="false">N264*Inputs!$D$26*(1+Inputs!$D$22)^(N$251-1)</f>
        <v>86400</v>
      </c>
      <c r="O272" s="69" t="n">
        <f aca="false">O264*Inputs!$D$26*(1+Inputs!$D$22)^(O$251-1)</f>
        <v>95247.36</v>
      </c>
      <c r="P272" s="69" t="n">
        <f aca="false">P264*Inputs!$D$26*(1+Inputs!$D$22)^(P$251-1)</f>
        <v>95247.36</v>
      </c>
      <c r="Q272" s="69" t="n">
        <f aca="false">Q264*Inputs!$D$26*(1+Inputs!$D$22)^(Q$251-1)</f>
        <v>95247.36</v>
      </c>
      <c r="R272" s="69" t="n">
        <f aca="false">R264*Inputs!$D$26*(1+Inputs!$D$22)^(R$251-1)</f>
        <v>95247.36</v>
      </c>
      <c r="S272" s="69" t="n">
        <f aca="false">S264*Inputs!$D$26*(1+Inputs!$D$22)^(S$251-1)</f>
        <v>95247.36</v>
      </c>
      <c r="T272" s="69" t="n">
        <f aca="false">T264*Inputs!$D$26*(1+Inputs!$D$22)^(T$251-1)</f>
        <v>95247.36</v>
      </c>
      <c r="U272" s="69" t="n">
        <f aca="false">U264*Inputs!$D$26*(1+Inputs!$D$22)^(U$251-1)</f>
        <v>95247.36</v>
      </c>
      <c r="V272" s="69" t="n">
        <f aca="false">V264*Inputs!$D$26*(1+Inputs!$D$22)^(V$251-1)</f>
        <v>95247.36</v>
      </c>
      <c r="W272" s="69" t="n">
        <f aca="false">W264*Inputs!$D$26*(1+Inputs!$D$22)^(W$251-1)</f>
        <v>95247.36</v>
      </c>
      <c r="X272" s="69" t="n">
        <f aca="false">X264*Inputs!$D$26*(1+Inputs!$D$22)^(X$251-1)</f>
        <v>95247.36</v>
      </c>
      <c r="Y272" s="69" t="n">
        <f aca="false">Y264*Inputs!$D$26*(1+Inputs!$D$22)^(Y$251-1)</f>
        <v>95247.36</v>
      </c>
      <c r="Z272" s="69" t="n">
        <f aca="false">Z264*Inputs!$D$26*(1+Inputs!$D$22)^(Z$251-1)</f>
        <v>95247.36</v>
      </c>
      <c r="AA272" s="69" t="n">
        <f aca="false">AA264*Inputs!$D$26*(1+Inputs!$D$22)^(AA$251-1)</f>
        <v>105000.689664</v>
      </c>
      <c r="AB272" s="69" t="n">
        <f aca="false">AB264*Inputs!$D$26*(1+Inputs!$D$22)^(AB$251-1)</f>
        <v>105000.689664</v>
      </c>
      <c r="AC272" s="69" t="n">
        <f aca="false">AC264*Inputs!$D$26*(1+Inputs!$D$22)^(AC$251-1)</f>
        <v>105000.689664</v>
      </c>
      <c r="AD272" s="69" t="n">
        <f aca="false">AD264*Inputs!$D$26*(1+Inputs!$D$22)^(AD$251-1)</f>
        <v>105000.689664</v>
      </c>
      <c r="AE272" s="69" t="n">
        <f aca="false">AE264*Inputs!$D$26*(1+Inputs!$D$22)^(AE$251-1)</f>
        <v>105000.689664</v>
      </c>
      <c r="AF272" s="69" t="n">
        <f aca="false">AF264*Inputs!$D$26*(1+Inputs!$D$22)^(AF$251-1)</f>
        <v>105000.689664</v>
      </c>
      <c r="AG272" s="69" t="n">
        <f aca="false">AG264*Inputs!$D$26*(1+Inputs!$D$22)^(AG$251-1)</f>
        <v>105000.689664</v>
      </c>
      <c r="AH272" s="69" t="n">
        <f aca="false">AH264*Inputs!$D$26*(1+Inputs!$D$22)^(AH$251-1)</f>
        <v>105000.689664</v>
      </c>
      <c r="AI272" s="69" t="n">
        <f aca="false">AI264*Inputs!$D$26*(1+Inputs!$D$22)^(AI$251-1)</f>
        <v>105000.689664</v>
      </c>
      <c r="AJ272" s="69" t="n">
        <f aca="false">AJ264*Inputs!$D$26*(1+Inputs!$D$22)^(AJ$251-1)</f>
        <v>105000.689664</v>
      </c>
      <c r="AK272" s="69" t="n">
        <f aca="false">AK264*Inputs!$D$26*(1+Inputs!$D$22)^(AK$251-1)</f>
        <v>105000.689664</v>
      </c>
      <c r="AL272" s="69" t="n">
        <f aca="false">AL264*Inputs!$D$26*(1+Inputs!$D$22)^(AL$251-1)</f>
        <v>105000.689664</v>
      </c>
      <c r="AM272" s="69" t="n">
        <f aca="false">AM264*Inputs!$D$26*(1+Inputs!$D$22)^(AM$251-1)</f>
        <v>115411.0464</v>
      </c>
      <c r="AN272" s="69" t="n">
        <f aca="false">AN264*Inputs!$D$26*(1+Inputs!$D$22)^(AN$251-1)</f>
        <v>115411.0464</v>
      </c>
      <c r="AO272" s="69" t="n">
        <f aca="false">AO264*Inputs!$D$26*(1+Inputs!$D$22)^(AO$251-1)</f>
        <v>115411.0464</v>
      </c>
      <c r="AP272" s="69" t="n">
        <f aca="false">AP264*Inputs!$D$26*(1+Inputs!$D$22)^(AP$251-1)</f>
        <v>115411.0464</v>
      </c>
      <c r="AQ272" s="69" t="n">
        <f aca="false">AQ264*Inputs!$D$26*(1+Inputs!$D$22)^(AQ$251-1)</f>
        <v>115411.0464</v>
      </c>
      <c r="AR272" s="69" t="n">
        <f aca="false">AR264*Inputs!$D$26*(1+Inputs!$D$22)^(AR$251-1)</f>
        <v>115411.0464</v>
      </c>
      <c r="AS272" s="69" t="n">
        <f aca="false">AS264*Inputs!$D$26*(1+Inputs!$D$22)^(AS$251-1)</f>
        <v>115411.0464</v>
      </c>
      <c r="AT272" s="69" t="n">
        <f aca="false">AT264*Inputs!$D$26*(1+Inputs!$D$22)^(AT$251-1)</f>
        <v>115411.0464</v>
      </c>
      <c r="AU272" s="69" t="n">
        <f aca="false">AU264*Inputs!$D$26*(1+Inputs!$D$22)^(AU$251-1)</f>
        <v>115411.0464</v>
      </c>
      <c r="AV272" s="69" t="n">
        <f aca="false">AV264*Inputs!$D$26*(1+Inputs!$D$22)^(AV$251-1)</f>
        <v>115411.0464</v>
      </c>
      <c r="AW272" s="69" t="n">
        <f aca="false">AW264*Inputs!$D$26*(1+Inputs!$D$22)^(AW$251-1)</f>
        <v>115411.0464</v>
      </c>
      <c r="AX272" s="69" t="n">
        <f aca="false">AX264*Inputs!$D$26*(1+Inputs!$D$22)^(AX$251-1)</f>
        <v>115411.0464</v>
      </c>
      <c r="AY272" s="69" t="n">
        <f aca="false">AY264*Inputs!$D$26*(1+Inputs!$D$22)^(AY$251-1)</f>
        <v>120027.488256</v>
      </c>
      <c r="AZ272" s="69" t="n">
        <f aca="false">AZ264*Inputs!$D$26*(1+Inputs!$D$22)^(AZ$251-1)</f>
        <v>120027.488256</v>
      </c>
      <c r="BA272" s="69" t="n">
        <f aca="false">BA264*Inputs!$D$26*(1+Inputs!$D$22)^(BA$251-1)</f>
        <v>120027.488256</v>
      </c>
      <c r="BB272" s="69" t="n">
        <f aca="false">BB264*Inputs!$D$26*(1+Inputs!$D$22)^(BB$251-1)</f>
        <v>120027.488256</v>
      </c>
      <c r="BC272" s="69" t="n">
        <f aca="false">BC264*Inputs!$D$26*(1+Inputs!$D$22)^(BC$251-1)</f>
        <v>120027.488256</v>
      </c>
      <c r="BD272" s="69" t="n">
        <f aca="false">BD264*Inputs!$D$26*(1+Inputs!$D$22)^(BD$251-1)</f>
        <v>120027.488256</v>
      </c>
      <c r="BE272" s="69" t="n">
        <f aca="false">BE264*Inputs!$D$26*(1+Inputs!$D$22)^(BE$251-1)</f>
        <v>120027.488256</v>
      </c>
      <c r="BF272" s="69" t="n">
        <f aca="false">BF264*Inputs!$D$26*(1+Inputs!$D$22)^(BF$251-1)</f>
        <v>120027.488256</v>
      </c>
      <c r="BG272" s="69" t="n">
        <f aca="false">BG264*Inputs!$D$26*(1+Inputs!$D$22)^(BG$251-1)</f>
        <v>120027.488256</v>
      </c>
      <c r="BH272" s="69" t="n">
        <f aca="false">BH264*Inputs!$D$26*(1+Inputs!$D$22)^(BH$251-1)</f>
        <v>120027.488256</v>
      </c>
      <c r="BI272" s="69" t="n">
        <f aca="false">BI264*Inputs!$D$26*(1+Inputs!$D$22)^(BI$251-1)</f>
        <v>120027.488256</v>
      </c>
      <c r="BJ272" s="69" t="n">
        <f aca="false">BJ264*Inputs!$D$26*(1+Inputs!$D$22)^(BJ$251-1)</f>
        <v>120027.488256</v>
      </c>
    </row>
    <row r="273" customFormat="false" ht="15" hidden="false" customHeight="false" outlineLevel="0" collapsed="false">
      <c r="A273" s="6" t="s">
        <v>421</v>
      </c>
      <c r="C273" s="69" t="n">
        <f aca="false">C271*Inputs!$D$23</f>
        <v>2640</v>
      </c>
      <c r="D273" s="69" t="n">
        <f aca="false">D271*Inputs!$D$23</f>
        <v>2933.33333333333</v>
      </c>
      <c r="E273" s="69" t="n">
        <f aca="false">E271*Inputs!$D$23</f>
        <v>3226.66666666667</v>
      </c>
      <c r="F273" s="69" t="n">
        <f aca="false">F271*Inputs!$D$23</f>
        <v>3520</v>
      </c>
      <c r="G273" s="69" t="n">
        <f aca="false">G271*Inputs!$D$23</f>
        <v>3813.33333333333</v>
      </c>
      <c r="H273" s="69" t="n">
        <f aca="false">H271*Inputs!$D$23</f>
        <v>4106.66666666667</v>
      </c>
      <c r="I273" s="69" t="n">
        <f aca="false">I271*Inputs!$D$23</f>
        <v>4400</v>
      </c>
      <c r="J273" s="69" t="n">
        <f aca="false">J271*Inputs!$D$23</f>
        <v>4693.33333333333</v>
      </c>
      <c r="K273" s="69" t="n">
        <f aca="false">K271*Inputs!$D$23</f>
        <v>4986.66666666667</v>
      </c>
      <c r="L273" s="69" t="n">
        <f aca="false">L271*Inputs!$D$23</f>
        <v>5280</v>
      </c>
      <c r="M273" s="69" t="n">
        <f aca="false">M271*Inputs!$D$23</f>
        <v>5280</v>
      </c>
      <c r="N273" s="69" t="n">
        <f aca="false">N271*Inputs!$D$23</f>
        <v>5280</v>
      </c>
      <c r="O273" s="69" t="n">
        <f aca="false">O271*Inputs!$D$23</f>
        <v>5820.672</v>
      </c>
      <c r="P273" s="69" t="n">
        <f aca="false">P271*Inputs!$D$23</f>
        <v>5820.672</v>
      </c>
      <c r="Q273" s="69" t="n">
        <f aca="false">Q271*Inputs!$D$23</f>
        <v>5820.672</v>
      </c>
      <c r="R273" s="69" t="n">
        <f aca="false">R271*Inputs!$D$23</f>
        <v>5820.672</v>
      </c>
      <c r="S273" s="69" t="n">
        <f aca="false">S271*Inputs!$D$23</f>
        <v>5820.672</v>
      </c>
      <c r="T273" s="69" t="n">
        <f aca="false">T271*Inputs!$D$23</f>
        <v>5820.672</v>
      </c>
      <c r="U273" s="69" t="n">
        <f aca="false">U271*Inputs!$D$23</f>
        <v>5820.672</v>
      </c>
      <c r="V273" s="69" t="n">
        <f aca="false">V271*Inputs!$D$23</f>
        <v>5820.672</v>
      </c>
      <c r="W273" s="69" t="n">
        <f aca="false">W271*Inputs!$D$23</f>
        <v>5820.672</v>
      </c>
      <c r="X273" s="69" t="n">
        <f aca="false">X271*Inputs!$D$23</f>
        <v>5820.672</v>
      </c>
      <c r="Y273" s="69" t="n">
        <f aca="false">Y271*Inputs!$D$23</f>
        <v>5820.672</v>
      </c>
      <c r="Z273" s="69" t="n">
        <f aca="false">Z271*Inputs!$D$23</f>
        <v>5820.672</v>
      </c>
      <c r="AA273" s="69" t="n">
        <f aca="false">AA271*Inputs!$D$23</f>
        <v>6416.7088128</v>
      </c>
      <c r="AB273" s="69" t="n">
        <f aca="false">AB271*Inputs!$D$23</f>
        <v>6416.7088128</v>
      </c>
      <c r="AC273" s="69" t="n">
        <f aca="false">AC271*Inputs!$D$23</f>
        <v>6416.7088128</v>
      </c>
      <c r="AD273" s="69" t="n">
        <f aca="false">AD271*Inputs!$D$23</f>
        <v>6416.7088128</v>
      </c>
      <c r="AE273" s="69" t="n">
        <f aca="false">AE271*Inputs!$D$23</f>
        <v>6416.7088128</v>
      </c>
      <c r="AF273" s="69" t="n">
        <f aca="false">AF271*Inputs!$D$23</f>
        <v>6416.7088128</v>
      </c>
      <c r="AG273" s="69" t="n">
        <f aca="false">AG271*Inputs!$D$23</f>
        <v>6416.7088128</v>
      </c>
      <c r="AH273" s="69" t="n">
        <f aca="false">AH271*Inputs!$D$23</f>
        <v>6416.7088128</v>
      </c>
      <c r="AI273" s="69" t="n">
        <f aca="false">AI271*Inputs!$D$23</f>
        <v>6416.7088128</v>
      </c>
      <c r="AJ273" s="69" t="n">
        <f aca="false">AJ271*Inputs!$D$23</f>
        <v>6416.7088128</v>
      </c>
      <c r="AK273" s="69" t="n">
        <f aca="false">AK271*Inputs!$D$23</f>
        <v>6416.7088128</v>
      </c>
      <c r="AL273" s="69" t="n">
        <f aca="false">AL271*Inputs!$D$23</f>
        <v>6416.7088128</v>
      </c>
      <c r="AM273" s="69" t="n">
        <f aca="false">AM271*Inputs!$D$23</f>
        <v>7052.89728</v>
      </c>
      <c r="AN273" s="69" t="n">
        <f aca="false">AN271*Inputs!$D$23</f>
        <v>7052.89728</v>
      </c>
      <c r="AO273" s="69" t="n">
        <f aca="false">AO271*Inputs!$D$23</f>
        <v>7052.89728</v>
      </c>
      <c r="AP273" s="69" t="n">
        <f aca="false">AP271*Inputs!$D$23</f>
        <v>7052.89728</v>
      </c>
      <c r="AQ273" s="69" t="n">
        <f aca="false">AQ271*Inputs!$D$23</f>
        <v>7052.89728</v>
      </c>
      <c r="AR273" s="69" t="n">
        <f aca="false">AR271*Inputs!$D$23</f>
        <v>7052.89728</v>
      </c>
      <c r="AS273" s="69" t="n">
        <f aca="false">AS271*Inputs!$D$23</f>
        <v>7052.89728</v>
      </c>
      <c r="AT273" s="69" t="n">
        <f aca="false">AT271*Inputs!$D$23</f>
        <v>7052.89728</v>
      </c>
      <c r="AU273" s="69" t="n">
        <f aca="false">AU271*Inputs!$D$23</f>
        <v>7052.89728</v>
      </c>
      <c r="AV273" s="69" t="n">
        <f aca="false">AV271*Inputs!$D$23</f>
        <v>7052.89728</v>
      </c>
      <c r="AW273" s="69" t="n">
        <f aca="false">AW271*Inputs!$D$23</f>
        <v>7052.89728</v>
      </c>
      <c r="AX273" s="69" t="n">
        <f aca="false">AX271*Inputs!$D$23</f>
        <v>7052.89728</v>
      </c>
      <c r="AY273" s="69" t="n">
        <f aca="false">AY271*Inputs!$D$23</f>
        <v>7335.0131712</v>
      </c>
      <c r="AZ273" s="69" t="n">
        <f aca="false">AZ271*Inputs!$D$23</f>
        <v>7335.0131712</v>
      </c>
      <c r="BA273" s="69" t="n">
        <f aca="false">BA271*Inputs!$D$23</f>
        <v>7335.0131712</v>
      </c>
      <c r="BB273" s="69" t="n">
        <f aca="false">BB271*Inputs!$D$23</f>
        <v>7335.0131712</v>
      </c>
      <c r="BC273" s="69" t="n">
        <f aca="false">BC271*Inputs!$D$23</f>
        <v>7335.0131712</v>
      </c>
      <c r="BD273" s="69" t="n">
        <f aca="false">BD271*Inputs!$D$23</f>
        <v>7335.0131712</v>
      </c>
      <c r="BE273" s="69" t="n">
        <f aca="false">BE271*Inputs!$D$23</f>
        <v>7335.0131712</v>
      </c>
      <c r="BF273" s="69" t="n">
        <f aca="false">BF271*Inputs!$D$23</f>
        <v>7335.0131712</v>
      </c>
      <c r="BG273" s="69" t="n">
        <f aca="false">BG271*Inputs!$D$23</f>
        <v>7335.0131712</v>
      </c>
      <c r="BH273" s="69" t="n">
        <f aca="false">BH271*Inputs!$D$23</f>
        <v>7335.0131712</v>
      </c>
      <c r="BI273" s="69" t="n">
        <f aca="false">BI271*Inputs!$D$23</f>
        <v>7335.0131712</v>
      </c>
      <c r="BJ273" s="69" t="n">
        <f aca="false">BJ271*Inputs!$D$23</f>
        <v>7335.0131712</v>
      </c>
    </row>
    <row r="274" customFormat="false" ht="15" hidden="false" customHeight="false" outlineLevel="0" collapsed="false">
      <c r="A274" s="115" t="s">
        <v>44</v>
      </c>
      <c r="C274" s="70" t="n">
        <f aca="false">C271+C272+C273</f>
        <v>98640</v>
      </c>
      <c r="D274" s="70" t="n">
        <f aca="false">D271+D272+D273</f>
        <v>109600</v>
      </c>
      <c r="E274" s="70" t="n">
        <f aca="false">E271+E272+E273</f>
        <v>120560</v>
      </c>
      <c r="F274" s="70" t="n">
        <f aca="false">F271+F272+F273</f>
        <v>131520</v>
      </c>
      <c r="G274" s="70" t="n">
        <f aca="false">G271+G272+G273</f>
        <v>142480</v>
      </c>
      <c r="H274" s="70" t="n">
        <f aca="false">H271+H272+H273</f>
        <v>153440</v>
      </c>
      <c r="I274" s="70" t="n">
        <f aca="false">I271+I272+I273</f>
        <v>164400</v>
      </c>
      <c r="J274" s="70" t="n">
        <f aca="false">J271+J272+J273</f>
        <v>175360</v>
      </c>
      <c r="K274" s="70" t="n">
        <f aca="false">K271+K272+K273</f>
        <v>186320</v>
      </c>
      <c r="L274" s="70" t="n">
        <f aca="false">L271+L272+L273</f>
        <v>197280</v>
      </c>
      <c r="M274" s="70" t="n">
        <f aca="false">M271+M272+M273</f>
        <v>197280</v>
      </c>
      <c r="N274" s="70" t="n">
        <f aca="false">N271+N272+N273</f>
        <v>197280</v>
      </c>
      <c r="O274" s="70" t="n">
        <f aca="false">O271+O272+O273</f>
        <v>217481.472</v>
      </c>
      <c r="P274" s="70" t="n">
        <f aca="false">P271+P272+P273</f>
        <v>217481.472</v>
      </c>
      <c r="Q274" s="70" t="n">
        <f aca="false">Q271+Q272+Q273</f>
        <v>217481.472</v>
      </c>
      <c r="R274" s="70" t="n">
        <f aca="false">R271+R272+R273</f>
        <v>217481.472</v>
      </c>
      <c r="S274" s="70" t="n">
        <f aca="false">S271+S272+S273</f>
        <v>217481.472</v>
      </c>
      <c r="T274" s="70" t="n">
        <f aca="false">T271+T272+T273</f>
        <v>217481.472</v>
      </c>
      <c r="U274" s="70" t="n">
        <f aca="false">U271+U272+U273</f>
        <v>217481.472</v>
      </c>
      <c r="V274" s="70" t="n">
        <f aca="false">V271+V272+V273</f>
        <v>217481.472</v>
      </c>
      <c r="W274" s="70" t="n">
        <f aca="false">W271+W272+W273</f>
        <v>217481.472</v>
      </c>
      <c r="X274" s="70" t="n">
        <f aca="false">X271+X272+X273</f>
        <v>217481.472</v>
      </c>
      <c r="Y274" s="70" t="n">
        <f aca="false">Y271+Y272+Y273</f>
        <v>217481.472</v>
      </c>
      <c r="Z274" s="70" t="n">
        <f aca="false">Z271+Z272+Z273</f>
        <v>217481.472</v>
      </c>
      <c r="AA274" s="70" t="n">
        <f aca="false">AA271+AA272+AA273</f>
        <v>239751.5747328</v>
      </c>
      <c r="AB274" s="70" t="n">
        <f aca="false">AB271+AB272+AB273</f>
        <v>239751.5747328</v>
      </c>
      <c r="AC274" s="70" t="n">
        <f aca="false">AC271+AC272+AC273</f>
        <v>239751.5747328</v>
      </c>
      <c r="AD274" s="70" t="n">
        <f aca="false">AD271+AD272+AD273</f>
        <v>239751.5747328</v>
      </c>
      <c r="AE274" s="70" t="n">
        <f aca="false">AE271+AE272+AE273</f>
        <v>239751.5747328</v>
      </c>
      <c r="AF274" s="70" t="n">
        <f aca="false">AF271+AF272+AF273</f>
        <v>239751.5747328</v>
      </c>
      <c r="AG274" s="70" t="n">
        <f aca="false">AG271+AG272+AG273</f>
        <v>239751.5747328</v>
      </c>
      <c r="AH274" s="70" t="n">
        <f aca="false">AH271+AH272+AH273</f>
        <v>239751.5747328</v>
      </c>
      <c r="AI274" s="70" t="n">
        <f aca="false">AI271+AI272+AI273</f>
        <v>239751.5747328</v>
      </c>
      <c r="AJ274" s="70" t="n">
        <f aca="false">AJ271+AJ272+AJ273</f>
        <v>239751.5747328</v>
      </c>
      <c r="AK274" s="70" t="n">
        <f aca="false">AK271+AK272+AK273</f>
        <v>239751.5747328</v>
      </c>
      <c r="AL274" s="70" t="n">
        <f aca="false">AL271+AL272+AL273</f>
        <v>239751.5747328</v>
      </c>
      <c r="AM274" s="70" t="n">
        <f aca="false">AM271+AM272+AM273</f>
        <v>263521.88928</v>
      </c>
      <c r="AN274" s="70" t="n">
        <f aca="false">AN271+AN272+AN273</f>
        <v>263521.88928</v>
      </c>
      <c r="AO274" s="70" t="n">
        <f aca="false">AO271+AO272+AO273</f>
        <v>263521.88928</v>
      </c>
      <c r="AP274" s="70" t="n">
        <f aca="false">AP271+AP272+AP273</f>
        <v>263521.88928</v>
      </c>
      <c r="AQ274" s="70" t="n">
        <f aca="false">AQ271+AQ272+AQ273</f>
        <v>263521.88928</v>
      </c>
      <c r="AR274" s="70" t="n">
        <f aca="false">AR271+AR272+AR273</f>
        <v>263521.88928</v>
      </c>
      <c r="AS274" s="70" t="n">
        <f aca="false">AS271+AS272+AS273</f>
        <v>263521.88928</v>
      </c>
      <c r="AT274" s="70" t="n">
        <f aca="false">AT271+AT272+AT273</f>
        <v>263521.88928</v>
      </c>
      <c r="AU274" s="70" t="n">
        <f aca="false">AU271+AU272+AU273</f>
        <v>263521.88928</v>
      </c>
      <c r="AV274" s="70" t="n">
        <f aca="false">AV271+AV272+AV273</f>
        <v>263521.88928</v>
      </c>
      <c r="AW274" s="70" t="n">
        <f aca="false">AW271+AW272+AW273</f>
        <v>263521.88928</v>
      </c>
      <c r="AX274" s="70" t="n">
        <f aca="false">AX271+AX272+AX273</f>
        <v>263521.88928</v>
      </c>
      <c r="AY274" s="70" t="n">
        <f aca="false">AY271+AY272+AY273</f>
        <v>274062.7648512</v>
      </c>
      <c r="AZ274" s="70" t="n">
        <f aca="false">AZ271+AZ272+AZ273</f>
        <v>274062.7648512</v>
      </c>
      <c r="BA274" s="70" t="n">
        <f aca="false">BA271+BA272+BA273</f>
        <v>274062.7648512</v>
      </c>
      <c r="BB274" s="70" t="n">
        <f aca="false">BB271+BB272+BB273</f>
        <v>274062.7648512</v>
      </c>
      <c r="BC274" s="70" t="n">
        <f aca="false">BC271+BC272+BC273</f>
        <v>274062.7648512</v>
      </c>
      <c r="BD274" s="70" t="n">
        <f aca="false">BD271+BD272+BD273</f>
        <v>274062.7648512</v>
      </c>
      <c r="BE274" s="70" t="n">
        <f aca="false">BE271+BE272+BE273</f>
        <v>274062.7648512</v>
      </c>
      <c r="BF274" s="70" t="n">
        <f aca="false">BF271+BF272+BF273</f>
        <v>274062.7648512</v>
      </c>
      <c r="BG274" s="70" t="n">
        <f aca="false">BG271+BG272+BG273</f>
        <v>274062.7648512</v>
      </c>
      <c r="BH274" s="70" t="n">
        <f aca="false">BH271+BH272+BH273</f>
        <v>274062.7648512</v>
      </c>
      <c r="BI274" s="70" t="n">
        <f aca="false">BI271+BI272+BI273</f>
        <v>274062.7648512</v>
      </c>
      <c r="BJ274" s="70" t="n">
        <f aca="false">BJ271+BJ272+BJ273</f>
        <v>274062.7648512</v>
      </c>
    </row>
    <row r="276" customFormat="false" ht="15.75" hidden="false" customHeight="true" outlineLevel="0" collapsed="false">
      <c r="A276" s="7" t="s">
        <v>76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customFormat="false" ht="15" hidden="false" customHeight="false" outlineLevel="0" collapsed="false">
      <c r="A277" s="6" t="s">
        <v>422</v>
      </c>
      <c r="C277" s="69" t="n">
        <f aca="false">C364</f>
        <v>-37375</v>
      </c>
      <c r="D277" s="69" t="n">
        <f aca="false">D364</f>
        <v>-37375</v>
      </c>
      <c r="E277" s="69" t="n">
        <f aca="false">E364</f>
        <v>-37375</v>
      </c>
      <c r="F277" s="69" t="n">
        <f aca="false">F364</f>
        <v>-37375</v>
      </c>
      <c r="G277" s="69" t="n">
        <f aca="false">G364</f>
        <v>-37375</v>
      </c>
      <c r="H277" s="69" t="n">
        <f aca="false">H364</f>
        <v>-37375</v>
      </c>
      <c r="I277" s="69" t="n">
        <f aca="false">I364</f>
        <v>-37375</v>
      </c>
      <c r="J277" s="69" t="n">
        <f aca="false">J364</f>
        <v>-37375</v>
      </c>
      <c r="K277" s="69" t="n">
        <f aca="false">K364</f>
        <v>-37375</v>
      </c>
      <c r="L277" s="69" t="n">
        <f aca="false">L364</f>
        <v>-37375</v>
      </c>
      <c r="M277" s="69" t="n">
        <f aca="false">M364</f>
        <v>-37375</v>
      </c>
      <c r="N277" s="69" t="n">
        <f aca="false">N364</f>
        <v>-37375</v>
      </c>
      <c r="O277" s="69" t="n">
        <f aca="false">O364</f>
        <v>-38496.25</v>
      </c>
      <c r="P277" s="69" t="n">
        <f aca="false">P364</f>
        <v>-38496.25</v>
      </c>
      <c r="Q277" s="69" t="n">
        <f aca="false">Q364</f>
        <v>-38496.25</v>
      </c>
      <c r="R277" s="69" t="n">
        <f aca="false">R364</f>
        <v>-38496.25</v>
      </c>
      <c r="S277" s="69" t="n">
        <f aca="false">S364</f>
        <v>-38496.25</v>
      </c>
      <c r="T277" s="69" t="n">
        <f aca="false">T364</f>
        <v>-38496.25</v>
      </c>
      <c r="U277" s="69" t="n">
        <f aca="false">U364</f>
        <v>-38496.25</v>
      </c>
      <c r="V277" s="69" t="n">
        <f aca="false">V364</f>
        <v>-38496.25</v>
      </c>
      <c r="W277" s="69" t="n">
        <f aca="false">W364</f>
        <v>-38496.25</v>
      </c>
      <c r="X277" s="69" t="n">
        <f aca="false">X364</f>
        <v>-38496.25</v>
      </c>
      <c r="Y277" s="69" t="n">
        <f aca="false">Y364</f>
        <v>-38496.25</v>
      </c>
      <c r="Z277" s="69" t="n">
        <f aca="false">Z364</f>
        <v>-38496.25</v>
      </c>
      <c r="AA277" s="69" t="n">
        <f aca="false">AA364</f>
        <v>-39651.1375</v>
      </c>
      <c r="AB277" s="69" t="n">
        <f aca="false">AB364</f>
        <v>-39651.1375</v>
      </c>
      <c r="AC277" s="69" t="n">
        <f aca="false">AC364</f>
        <v>-39651.1375</v>
      </c>
      <c r="AD277" s="69" t="n">
        <f aca="false">AD364</f>
        <v>-39651.1375</v>
      </c>
      <c r="AE277" s="69" t="n">
        <f aca="false">AE364</f>
        <v>-39651.1375</v>
      </c>
      <c r="AF277" s="69" t="n">
        <f aca="false">AF364</f>
        <v>-39651.1375</v>
      </c>
      <c r="AG277" s="69" t="n">
        <f aca="false">AG364</f>
        <v>-39651.1375</v>
      </c>
      <c r="AH277" s="69" t="n">
        <f aca="false">AH364</f>
        <v>-39651.1375</v>
      </c>
      <c r="AI277" s="69" t="n">
        <f aca="false">AI364</f>
        <v>-39651.1375</v>
      </c>
      <c r="AJ277" s="69" t="n">
        <f aca="false">AJ364</f>
        <v>-39651.1375</v>
      </c>
      <c r="AK277" s="69" t="n">
        <f aca="false">AK364</f>
        <v>-39651.1375</v>
      </c>
      <c r="AL277" s="69" t="n">
        <f aca="false">AL364</f>
        <v>-39651.1375</v>
      </c>
      <c r="AM277" s="69" t="n">
        <f aca="false">AM364</f>
        <v>-40840.671625</v>
      </c>
      <c r="AN277" s="69" t="n">
        <f aca="false">AN364</f>
        <v>-40840.671625</v>
      </c>
      <c r="AO277" s="69" t="n">
        <f aca="false">AO364</f>
        <v>-40840.671625</v>
      </c>
      <c r="AP277" s="69" t="n">
        <f aca="false">AP364</f>
        <v>-40840.671625</v>
      </c>
      <c r="AQ277" s="69" t="n">
        <f aca="false">AQ364</f>
        <v>-40840.671625</v>
      </c>
      <c r="AR277" s="69" t="n">
        <f aca="false">AR364</f>
        <v>-40840.671625</v>
      </c>
      <c r="AS277" s="69" t="n">
        <f aca="false">AS364</f>
        <v>-40840.671625</v>
      </c>
      <c r="AT277" s="69" t="n">
        <f aca="false">AT364</f>
        <v>-40840.671625</v>
      </c>
      <c r="AU277" s="69" t="n">
        <f aca="false">AU364</f>
        <v>-40840.671625</v>
      </c>
      <c r="AV277" s="69" t="n">
        <f aca="false">AV364</f>
        <v>-40840.671625</v>
      </c>
      <c r="AW277" s="69" t="n">
        <f aca="false">AW364</f>
        <v>-40840.671625</v>
      </c>
      <c r="AX277" s="69" t="n">
        <f aca="false">AX364</f>
        <v>-40840.671625</v>
      </c>
      <c r="AY277" s="69" t="n">
        <f aca="false">AY364</f>
        <v>-42065.89177375</v>
      </c>
      <c r="AZ277" s="69" t="n">
        <f aca="false">AZ364</f>
        <v>-42065.89177375</v>
      </c>
      <c r="BA277" s="69" t="n">
        <f aca="false">BA364</f>
        <v>-42065.89177375</v>
      </c>
      <c r="BB277" s="69" t="n">
        <f aca="false">BB364</f>
        <v>-42065.89177375</v>
      </c>
      <c r="BC277" s="69" t="n">
        <f aca="false">BC364</f>
        <v>-42065.89177375</v>
      </c>
      <c r="BD277" s="69" t="n">
        <f aca="false">BD364</f>
        <v>-42065.89177375</v>
      </c>
      <c r="BE277" s="69" t="n">
        <f aca="false">BE364</f>
        <v>-42065.89177375</v>
      </c>
      <c r="BF277" s="69" t="n">
        <f aca="false">BF364</f>
        <v>-42065.89177375</v>
      </c>
      <c r="BG277" s="69" t="n">
        <f aca="false">BG364</f>
        <v>-42065.89177375</v>
      </c>
      <c r="BH277" s="69" t="n">
        <f aca="false">BH364</f>
        <v>-42065.89177375</v>
      </c>
      <c r="BI277" s="69" t="n">
        <f aca="false">BI364</f>
        <v>-42065.89177375</v>
      </c>
      <c r="BJ277" s="69" t="n">
        <f aca="false">BJ364</f>
        <v>-42065.89177375</v>
      </c>
    </row>
    <row r="278" customFormat="false" ht="15" hidden="false" customHeight="false" outlineLevel="0" collapsed="false">
      <c r="A278" s="6" t="s">
        <v>244</v>
      </c>
      <c r="C278" s="69" t="n">
        <f aca="false">-C272*(1-Inputs!$D$27)</f>
        <v>-21600</v>
      </c>
      <c r="D278" s="69" t="n">
        <f aca="false">-D272*(1-Inputs!$D$27)</f>
        <v>-24000</v>
      </c>
      <c r="E278" s="69" t="n">
        <f aca="false">-E272*(1-Inputs!$D$27)</f>
        <v>-26400</v>
      </c>
      <c r="F278" s="69" t="n">
        <f aca="false">-F272*(1-Inputs!$D$27)</f>
        <v>-28800</v>
      </c>
      <c r="G278" s="69" t="n">
        <f aca="false">-G272*(1-Inputs!$D$27)</f>
        <v>-31200</v>
      </c>
      <c r="H278" s="69" t="n">
        <f aca="false">-H272*(1-Inputs!$D$27)</f>
        <v>-33600</v>
      </c>
      <c r="I278" s="69" t="n">
        <f aca="false">-I272*(1-Inputs!$D$27)</f>
        <v>-36000</v>
      </c>
      <c r="J278" s="69" t="n">
        <f aca="false">-J272*(1-Inputs!$D$27)</f>
        <v>-38400</v>
      </c>
      <c r="K278" s="69" t="n">
        <f aca="false">-K272*(1-Inputs!$D$27)</f>
        <v>-40800</v>
      </c>
      <c r="L278" s="69" t="n">
        <f aca="false">-L272*(1-Inputs!$D$27)</f>
        <v>-43200</v>
      </c>
      <c r="M278" s="69" t="n">
        <f aca="false">-M272*(1-Inputs!$D$27)</f>
        <v>-43200</v>
      </c>
      <c r="N278" s="69" t="n">
        <f aca="false">-N272*(1-Inputs!$D$27)</f>
        <v>-43200</v>
      </c>
      <c r="O278" s="69" t="n">
        <f aca="false">-O272*(1-Inputs!$D$27)</f>
        <v>-47623.68</v>
      </c>
      <c r="P278" s="69" t="n">
        <f aca="false">-P272*(1-Inputs!$D$27)</f>
        <v>-47623.68</v>
      </c>
      <c r="Q278" s="69" t="n">
        <f aca="false">-Q272*(1-Inputs!$D$27)</f>
        <v>-47623.68</v>
      </c>
      <c r="R278" s="69" t="n">
        <f aca="false">-R272*(1-Inputs!$D$27)</f>
        <v>-47623.68</v>
      </c>
      <c r="S278" s="69" t="n">
        <f aca="false">-S272*(1-Inputs!$D$27)</f>
        <v>-47623.68</v>
      </c>
      <c r="T278" s="69" t="n">
        <f aca="false">-T272*(1-Inputs!$D$27)</f>
        <v>-47623.68</v>
      </c>
      <c r="U278" s="69" t="n">
        <f aca="false">-U272*(1-Inputs!$D$27)</f>
        <v>-47623.68</v>
      </c>
      <c r="V278" s="69" t="n">
        <f aca="false">-V272*(1-Inputs!$D$27)</f>
        <v>-47623.68</v>
      </c>
      <c r="W278" s="69" t="n">
        <f aca="false">-W272*(1-Inputs!$D$27)</f>
        <v>-47623.68</v>
      </c>
      <c r="X278" s="69" t="n">
        <f aca="false">-X272*(1-Inputs!$D$27)</f>
        <v>-47623.68</v>
      </c>
      <c r="Y278" s="69" t="n">
        <f aca="false">-Y272*(1-Inputs!$D$27)</f>
        <v>-47623.68</v>
      </c>
      <c r="Z278" s="69" t="n">
        <f aca="false">-Z272*(1-Inputs!$D$27)</f>
        <v>-47623.68</v>
      </c>
      <c r="AA278" s="69" t="n">
        <f aca="false">-AA272*(1-Inputs!$D$27)</f>
        <v>-52500.344832</v>
      </c>
      <c r="AB278" s="69" t="n">
        <f aca="false">-AB272*(1-Inputs!$D$27)</f>
        <v>-52500.344832</v>
      </c>
      <c r="AC278" s="69" t="n">
        <f aca="false">-AC272*(1-Inputs!$D$27)</f>
        <v>-52500.344832</v>
      </c>
      <c r="AD278" s="69" t="n">
        <f aca="false">-AD272*(1-Inputs!$D$27)</f>
        <v>-52500.344832</v>
      </c>
      <c r="AE278" s="69" t="n">
        <f aca="false">-AE272*(1-Inputs!$D$27)</f>
        <v>-52500.344832</v>
      </c>
      <c r="AF278" s="69" t="n">
        <f aca="false">-AF272*(1-Inputs!$D$27)</f>
        <v>-52500.344832</v>
      </c>
      <c r="AG278" s="69" t="n">
        <f aca="false">-AG272*(1-Inputs!$D$27)</f>
        <v>-52500.344832</v>
      </c>
      <c r="AH278" s="69" t="n">
        <f aca="false">-AH272*(1-Inputs!$D$27)</f>
        <v>-52500.344832</v>
      </c>
      <c r="AI278" s="69" t="n">
        <f aca="false">-AI272*(1-Inputs!$D$27)</f>
        <v>-52500.344832</v>
      </c>
      <c r="AJ278" s="69" t="n">
        <f aca="false">-AJ272*(1-Inputs!$D$27)</f>
        <v>-52500.344832</v>
      </c>
      <c r="AK278" s="69" t="n">
        <f aca="false">-AK272*(1-Inputs!$D$27)</f>
        <v>-52500.344832</v>
      </c>
      <c r="AL278" s="69" t="n">
        <f aca="false">-AL272*(1-Inputs!$D$27)</f>
        <v>-52500.344832</v>
      </c>
      <c r="AM278" s="69" t="n">
        <f aca="false">-AM272*(1-Inputs!$D$27)</f>
        <v>-57705.5232</v>
      </c>
      <c r="AN278" s="69" t="n">
        <f aca="false">-AN272*(1-Inputs!$D$27)</f>
        <v>-57705.5232</v>
      </c>
      <c r="AO278" s="69" t="n">
        <f aca="false">-AO272*(1-Inputs!$D$27)</f>
        <v>-57705.5232</v>
      </c>
      <c r="AP278" s="69" t="n">
        <f aca="false">-AP272*(1-Inputs!$D$27)</f>
        <v>-57705.5232</v>
      </c>
      <c r="AQ278" s="69" t="n">
        <f aca="false">-AQ272*(1-Inputs!$D$27)</f>
        <v>-57705.5232</v>
      </c>
      <c r="AR278" s="69" t="n">
        <f aca="false">-AR272*(1-Inputs!$D$27)</f>
        <v>-57705.5232</v>
      </c>
      <c r="AS278" s="69" t="n">
        <f aca="false">-AS272*(1-Inputs!$D$27)</f>
        <v>-57705.5232</v>
      </c>
      <c r="AT278" s="69" t="n">
        <f aca="false">-AT272*(1-Inputs!$D$27)</f>
        <v>-57705.5232</v>
      </c>
      <c r="AU278" s="69" t="n">
        <f aca="false">-AU272*(1-Inputs!$D$27)</f>
        <v>-57705.5232</v>
      </c>
      <c r="AV278" s="69" t="n">
        <f aca="false">-AV272*(1-Inputs!$D$27)</f>
        <v>-57705.5232</v>
      </c>
      <c r="AW278" s="69" t="n">
        <f aca="false">-AW272*(1-Inputs!$D$27)</f>
        <v>-57705.5232</v>
      </c>
      <c r="AX278" s="69" t="n">
        <f aca="false">-AX272*(1-Inputs!$D$27)</f>
        <v>-57705.5232</v>
      </c>
      <c r="AY278" s="69" t="n">
        <f aca="false">-AY272*(1-Inputs!$D$27)</f>
        <v>-60013.744128</v>
      </c>
      <c r="AZ278" s="69" t="n">
        <f aca="false">-AZ272*(1-Inputs!$D$27)</f>
        <v>-60013.744128</v>
      </c>
      <c r="BA278" s="69" t="n">
        <f aca="false">-BA272*(1-Inputs!$D$27)</f>
        <v>-60013.744128</v>
      </c>
      <c r="BB278" s="69" t="n">
        <f aca="false">-BB272*(1-Inputs!$D$27)</f>
        <v>-60013.744128</v>
      </c>
      <c r="BC278" s="69" t="n">
        <f aca="false">-BC272*(1-Inputs!$D$27)</f>
        <v>-60013.744128</v>
      </c>
      <c r="BD278" s="69" t="n">
        <f aca="false">-BD272*(1-Inputs!$D$27)</f>
        <v>-60013.744128</v>
      </c>
      <c r="BE278" s="69" t="n">
        <f aca="false">-BE272*(1-Inputs!$D$27)</f>
        <v>-60013.744128</v>
      </c>
      <c r="BF278" s="69" t="n">
        <f aca="false">-BF272*(1-Inputs!$D$27)</f>
        <v>-60013.744128</v>
      </c>
      <c r="BG278" s="69" t="n">
        <f aca="false">-BG272*(1-Inputs!$D$27)</f>
        <v>-60013.744128</v>
      </c>
      <c r="BH278" s="69" t="n">
        <f aca="false">-BH272*(1-Inputs!$D$27)</f>
        <v>-60013.744128</v>
      </c>
      <c r="BI278" s="69" t="n">
        <f aca="false">-BI272*(1-Inputs!$D$27)</f>
        <v>-60013.744128</v>
      </c>
      <c r="BJ278" s="69" t="n">
        <f aca="false">-BJ272*(1-Inputs!$D$27)</f>
        <v>-60013.744128</v>
      </c>
    </row>
    <row r="279" customFormat="false" ht="15" hidden="false" customHeight="false" outlineLevel="0" collapsed="false">
      <c r="A279" s="6" t="s">
        <v>423</v>
      </c>
      <c r="C279" s="69" t="n">
        <f aca="false">-C271*Inputs!$D$30</f>
        <v>-1584</v>
      </c>
      <c r="D279" s="69" t="n">
        <f aca="false">-D271*Inputs!$D$30</f>
        <v>-1760</v>
      </c>
      <c r="E279" s="69" t="n">
        <f aca="false">-E271*Inputs!$D$30</f>
        <v>-1936</v>
      </c>
      <c r="F279" s="69" t="n">
        <f aca="false">-F271*Inputs!$D$30</f>
        <v>-2112</v>
      </c>
      <c r="G279" s="69" t="n">
        <f aca="false">-G271*Inputs!$D$30</f>
        <v>-2288</v>
      </c>
      <c r="H279" s="69" t="n">
        <f aca="false">-H271*Inputs!$D$30</f>
        <v>-2464</v>
      </c>
      <c r="I279" s="69" t="n">
        <f aca="false">-I271*Inputs!$D$30</f>
        <v>-2640</v>
      </c>
      <c r="J279" s="69" t="n">
        <f aca="false">-J271*Inputs!$D$30</f>
        <v>-2816</v>
      </c>
      <c r="K279" s="69" t="n">
        <f aca="false">-K271*Inputs!$D$30</f>
        <v>-2992</v>
      </c>
      <c r="L279" s="69" t="n">
        <f aca="false">-L271*Inputs!$D$30</f>
        <v>-3168</v>
      </c>
      <c r="M279" s="69" t="n">
        <f aca="false">-M271*Inputs!$D$30</f>
        <v>-3168</v>
      </c>
      <c r="N279" s="69" t="n">
        <f aca="false">-N271*Inputs!$D$30</f>
        <v>-3168</v>
      </c>
      <c r="O279" s="69" t="n">
        <f aca="false">-O271*Inputs!$D$30</f>
        <v>-3492.4032</v>
      </c>
      <c r="P279" s="69" t="n">
        <f aca="false">-P271*Inputs!$D$30</f>
        <v>-3492.4032</v>
      </c>
      <c r="Q279" s="69" t="n">
        <f aca="false">-Q271*Inputs!$D$30</f>
        <v>-3492.4032</v>
      </c>
      <c r="R279" s="69" t="n">
        <f aca="false">-R271*Inputs!$D$30</f>
        <v>-3492.4032</v>
      </c>
      <c r="S279" s="69" t="n">
        <f aca="false">-S271*Inputs!$D$30</f>
        <v>-3492.4032</v>
      </c>
      <c r="T279" s="69" t="n">
        <f aca="false">-T271*Inputs!$D$30</f>
        <v>-3492.4032</v>
      </c>
      <c r="U279" s="69" t="n">
        <f aca="false">-U271*Inputs!$D$30</f>
        <v>-3492.4032</v>
      </c>
      <c r="V279" s="69" t="n">
        <f aca="false">-V271*Inputs!$D$30</f>
        <v>-3492.4032</v>
      </c>
      <c r="W279" s="69" t="n">
        <f aca="false">-W271*Inputs!$D$30</f>
        <v>-3492.4032</v>
      </c>
      <c r="X279" s="69" t="n">
        <f aca="false">-X271*Inputs!$D$30</f>
        <v>-3492.4032</v>
      </c>
      <c r="Y279" s="69" t="n">
        <f aca="false">-Y271*Inputs!$D$30</f>
        <v>-3492.4032</v>
      </c>
      <c r="Z279" s="69" t="n">
        <f aca="false">-Z271*Inputs!$D$30</f>
        <v>-3492.4032</v>
      </c>
      <c r="AA279" s="69" t="n">
        <f aca="false">-AA271*Inputs!$D$30</f>
        <v>-3850.02528768</v>
      </c>
      <c r="AB279" s="69" t="n">
        <f aca="false">-AB271*Inputs!$D$30</f>
        <v>-3850.02528768</v>
      </c>
      <c r="AC279" s="69" t="n">
        <f aca="false">-AC271*Inputs!$D$30</f>
        <v>-3850.02528768</v>
      </c>
      <c r="AD279" s="69" t="n">
        <f aca="false">-AD271*Inputs!$D$30</f>
        <v>-3850.02528768</v>
      </c>
      <c r="AE279" s="69" t="n">
        <f aca="false">-AE271*Inputs!$D$30</f>
        <v>-3850.02528768</v>
      </c>
      <c r="AF279" s="69" t="n">
        <f aca="false">-AF271*Inputs!$D$30</f>
        <v>-3850.02528768</v>
      </c>
      <c r="AG279" s="69" t="n">
        <f aca="false">-AG271*Inputs!$D$30</f>
        <v>-3850.02528768</v>
      </c>
      <c r="AH279" s="69" t="n">
        <f aca="false">-AH271*Inputs!$D$30</f>
        <v>-3850.02528768</v>
      </c>
      <c r="AI279" s="69" t="n">
        <f aca="false">-AI271*Inputs!$D$30</f>
        <v>-3850.02528768</v>
      </c>
      <c r="AJ279" s="69" t="n">
        <f aca="false">-AJ271*Inputs!$D$30</f>
        <v>-3850.02528768</v>
      </c>
      <c r="AK279" s="69" t="n">
        <f aca="false">-AK271*Inputs!$D$30</f>
        <v>-3850.02528768</v>
      </c>
      <c r="AL279" s="69" t="n">
        <f aca="false">-AL271*Inputs!$D$30</f>
        <v>-3850.02528768</v>
      </c>
      <c r="AM279" s="69" t="n">
        <f aca="false">-AM271*Inputs!$D$30</f>
        <v>-4231.738368</v>
      </c>
      <c r="AN279" s="69" t="n">
        <f aca="false">-AN271*Inputs!$D$30</f>
        <v>-4231.738368</v>
      </c>
      <c r="AO279" s="69" t="n">
        <f aca="false">-AO271*Inputs!$D$30</f>
        <v>-4231.738368</v>
      </c>
      <c r="AP279" s="69" t="n">
        <f aca="false">-AP271*Inputs!$D$30</f>
        <v>-4231.738368</v>
      </c>
      <c r="AQ279" s="69" t="n">
        <f aca="false">-AQ271*Inputs!$D$30</f>
        <v>-4231.738368</v>
      </c>
      <c r="AR279" s="69" t="n">
        <f aca="false">-AR271*Inputs!$D$30</f>
        <v>-4231.738368</v>
      </c>
      <c r="AS279" s="69" t="n">
        <f aca="false">-AS271*Inputs!$D$30</f>
        <v>-4231.738368</v>
      </c>
      <c r="AT279" s="69" t="n">
        <f aca="false">-AT271*Inputs!$D$30</f>
        <v>-4231.738368</v>
      </c>
      <c r="AU279" s="69" t="n">
        <f aca="false">-AU271*Inputs!$D$30</f>
        <v>-4231.738368</v>
      </c>
      <c r="AV279" s="69" t="n">
        <f aca="false">-AV271*Inputs!$D$30</f>
        <v>-4231.738368</v>
      </c>
      <c r="AW279" s="69" t="n">
        <f aca="false">-AW271*Inputs!$D$30</f>
        <v>-4231.738368</v>
      </c>
      <c r="AX279" s="69" t="n">
        <f aca="false">-AX271*Inputs!$D$30</f>
        <v>-4231.738368</v>
      </c>
      <c r="AY279" s="69" t="n">
        <f aca="false">-AY271*Inputs!$D$30</f>
        <v>-4401.00790272</v>
      </c>
      <c r="AZ279" s="69" t="n">
        <f aca="false">-AZ271*Inputs!$D$30</f>
        <v>-4401.00790272</v>
      </c>
      <c r="BA279" s="69" t="n">
        <f aca="false">-BA271*Inputs!$D$30</f>
        <v>-4401.00790272</v>
      </c>
      <c r="BB279" s="69" t="n">
        <f aca="false">-BB271*Inputs!$D$30</f>
        <v>-4401.00790272</v>
      </c>
      <c r="BC279" s="69" t="n">
        <f aca="false">-BC271*Inputs!$D$30</f>
        <v>-4401.00790272</v>
      </c>
      <c r="BD279" s="69" t="n">
        <f aca="false">-BD271*Inputs!$D$30</f>
        <v>-4401.00790272</v>
      </c>
      <c r="BE279" s="69" t="n">
        <f aca="false">-BE271*Inputs!$D$30</f>
        <v>-4401.00790272</v>
      </c>
      <c r="BF279" s="69" t="n">
        <f aca="false">-BF271*Inputs!$D$30</f>
        <v>-4401.00790272</v>
      </c>
      <c r="BG279" s="69" t="n">
        <f aca="false">-BG271*Inputs!$D$30</f>
        <v>-4401.00790272</v>
      </c>
      <c r="BH279" s="69" t="n">
        <f aca="false">-BH271*Inputs!$D$30</f>
        <v>-4401.00790272</v>
      </c>
      <c r="BI279" s="69" t="n">
        <f aca="false">-BI271*Inputs!$D$30</f>
        <v>-4401.00790272</v>
      </c>
      <c r="BJ279" s="69" t="n">
        <f aca="false">-BJ271*Inputs!$D$30</f>
        <v>-4401.00790272</v>
      </c>
    </row>
    <row r="280" customFormat="false" ht="15" hidden="false" customHeight="false" outlineLevel="0" collapsed="false">
      <c r="A280" s="6" t="s">
        <v>424</v>
      </c>
      <c r="C280" s="69" t="n">
        <f aca="false">-C271*Inputs!$D$31</f>
        <v>-1320</v>
      </c>
      <c r="D280" s="69" t="n">
        <f aca="false">-D271*Inputs!$D$31</f>
        <v>-1466.66666666667</v>
      </c>
      <c r="E280" s="69" t="n">
        <f aca="false">-E271*Inputs!$D$31</f>
        <v>-1613.33333333333</v>
      </c>
      <c r="F280" s="69" t="n">
        <f aca="false">-F271*Inputs!$D$31</f>
        <v>-1760</v>
      </c>
      <c r="G280" s="69" t="n">
        <f aca="false">-G271*Inputs!$D$31</f>
        <v>-1906.66666666667</v>
      </c>
      <c r="H280" s="69" t="n">
        <f aca="false">-H271*Inputs!$D$31</f>
        <v>-2053.33333333333</v>
      </c>
      <c r="I280" s="69" t="n">
        <f aca="false">-I271*Inputs!$D$31</f>
        <v>-2200</v>
      </c>
      <c r="J280" s="69" t="n">
        <f aca="false">-J271*Inputs!$D$31</f>
        <v>-2346.66666666667</v>
      </c>
      <c r="K280" s="69" t="n">
        <f aca="false">-K271*Inputs!$D$31</f>
        <v>-2493.33333333333</v>
      </c>
      <c r="L280" s="69" t="n">
        <f aca="false">-L271*Inputs!$D$31</f>
        <v>-2640</v>
      </c>
      <c r="M280" s="69" t="n">
        <f aca="false">-M271*Inputs!$D$31</f>
        <v>-2640</v>
      </c>
      <c r="N280" s="69" t="n">
        <f aca="false">-N271*Inputs!$D$31</f>
        <v>-2640</v>
      </c>
      <c r="O280" s="69" t="n">
        <f aca="false">-O271*Inputs!$D$31</f>
        <v>-2910.336</v>
      </c>
      <c r="P280" s="69" t="n">
        <f aca="false">-P271*Inputs!$D$31</f>
        <v>-2910.336</v>
      </c>
      <c r="Q280" s="69" t="n">
        <f aca="false">-Q271*Inputs!$D$31</f>
        <v>-2910.336</v>
      </c>
      <c r="R280" s="69" t="n">
        <f aca="false">-R271*Inputs!$D$31</f>
        <v>-2910.336</v>
      </c>
      <c r="S280" s="69" t="n">
        <f aca="false">-S271*Inputs!$D$31</f>
        <v>-2910.336</v>
      </c>
      <c r="T280" s="69" t="n">
        <f aca="false">-T271*Inputs!$D$31</f>
        <v>-2910.336</v>
      </c>
      <c r="U280" s="69" t="n">
        <f aca="false">-U271*Inputs!$D$31</f>
        <v>-2910.336</v>
      </c>
      <c r="V280" s="69" t="n">
        <f aca="false">-V271*Inputs!$D$31</f>
        <v>-2910.336</v>
      </c>
      <c r="W280" s="69" t="n">
        <f aca="false">-W271*Inputs!$D$31</f>
        <v>-2910.336</v>
      </c>
      <c r="X280" s="69" t="n">
        <f aca="false">-X271*Inputs!$D$31</f>
        <v>-2910.336</v>
      </c>
      <c r="Y280" s="69" t="n">
        <f aca="false">-Y271*Inputs!$D$31</f>
        <v>-2910.336</v>
      </c>
      <c r="Z280" s="69" t="n">
        <f aca="false">-Z271*Inputs!$D$31</f>
        <v>-2910.336</v>
      </c>
      <c r="AA280" s="69" t="n">
        <f aca="false">-AA271*Inputs!$D$31</f>
        <v>-3208.3544064</v>
      </c>
      <c r="AB280" s="69" t="n">
        <f aca="false">-AB271*Inputs!$D$31</f>
        <v>-3208.3544064</v>
      </c>
      <c r="AC280" s="69" t="n">
        <f aca="false">-AC271*Inputs!$D$31</f>
        <v>-3208.3544064</v>
      </c>
      <c r="AD280" s="69" t="n">
        <f aca="false">-AD271*Inputs!$D$31</f>
        <v>-3208.3544064</v>
      </c>
      <c r="AE280" s="69" t="n">
        <f aca="false">-AE271*Inputs!$D$31</f>
        <v>-3208.3544064</v>
      </c>
      <c r="AF280" s="69" t="n">
        <f aca="false">-AF271*Inputs!$D$31</f>
        <v>-3208.3544064</v>
      </c>
      <c r="AG280" s="69" t="n">
        <f aca="false">-AG271*Inputs!$D$31</f>
        <v>-3208.3544064</v>
      </c>
      <c r="AH280" s="69" t="n">
        <f aca="false">-AH271*Inputs!$D$31</f>
        <v>-3208.3544064</v>
      </c>
      <c r="AI280" s="69" t="n">
        <f aca="false">-AI271*Inputs!$D$31</f>
        <v>-3208.3544064</v>
      </c>
      <c r="AJ280" s="69" t="n">
        <f aca="false">-AJ271*Inputs!$D$31</f>
        <v>-3208.3544064</v>
      </c>
      <c r="AK280" s="69" t="n">
        <f aca="false">-AK271*Inputs!$D$31</f>
        <v>-3208.3544064</v>
      </c>
      <c r="AL280" s="69" t="n">
        <f aca="false">-AL271*Inputs!$D$31</f>
        <v>-3208.3544064</v>
      </c>
      <c r="AM280" s="69" t="n">
        <f aca="false">-AM271*Inputs!$D$31</f>
        <v>-3526.44864</v>
      </c>
      <c r="AN280" s="69" t="n">
        <f aca="false">-AN271*Inputs!$D$31</f>
        <v>-3526.44864</v>
      </c>
      <c r="AO280" s="69" t="n">
        <f aca="false">-AO271*Inputs!$D$31</f>
        <v>-3526.44864</v>
      </c>
      <c r="AP280" s="69" t="n">
        <f aca="false">-AP271*Inputs!$D$31</f>
        <v>-3526.44864</v>
      </c>
      <c r="AQ280" s="69" t="n">
        <f aca="false">-AQ271*Inputs!$D$31</f>
        <v>-3526.44864</v>
      </c>
      <c r="AR280" s="69" t="n">
        <f aca="false">-AR271*Inputs!$D$31</f>
        <v>-3526.44864</v>
      </c>
      <c r="AS280" s="69" t="n">
        <f aca="false">-AS271*Inputs!$D$31</f>
        <v>-3526.44864</v>
      </c>
      <c r="AT280" s="69" t="n">
        <f aca="false">-AT271*Inputs!$D$31</f>
        <v>-3526.44864</v>
      </c>
      <c r="AU280" s="69" t="n">
        <f aca="false">-AU271*Inputs!$D$31</f>
        <v>-3526.44864</v>
      </c>
      <c r="AV280" s="69" t="n">
        <f aca="false">-AV271*Inputs!$D$31</f>
        <v>-3526.44864</v>
      </c>
      <c r="AW280" s="69" t="n">
        <f aca="false">-AW271*Inputs!$D$31</f>
        <v>-3526.44864</v>
      </c>
      <c r="AX280" s="69" t="n">
        <f aca="false">-AX271*Inputs!$D$31</f>
        <v>-3526.44864</v>
      </c>
      <c r="AY280" s="69" t="n">
        <f aca="false">-AY271*Inputs!$D$31</f>
        <v>-3667.5065856</v>
      </c>
      <c r="AZ280" s="69" t="n">
        <f aca="false">-AZ271*Inputs!$D$31</f>
        <v>-3667.5065856</v>
      </c>
      <c r="BA280" s="69" t="n">
        <f aca="false">-BA271*Inputs!$D$31</f>
        <v>-3667.5065856</v>
      </c>
      <c r="BB280" s="69" t="n">
        <f aca="false">-BB271*Inputs!$D$31</f>
        <v>-3667.5065856</v>
      </c>
      <c r="BC280" s="69" t="n">
        <f aca="false">-BC271*Inputs!$D$31</f>
        <v>-3667.5065856</v>
      </c>
      <c r="BD280" s="69" t="n">
        <f aca="false">-BD271*Inputs!$D$31</f>
        <v>-3667.5065856</v>
      </c>
      <c r="BE280" s="69" t="n">
        <f aca="false">-BE271*Inputs!$D$31</f>
        <v>-3667.5065856</v>
      </c>
      <c r="BF280" s="69" t="n">
        <f aca="false">-BF271*Inputs!$D$31</f>
        <v>-3667.5065856</v>
      </c>
      <c r="BG280" s="69" t="n">
        <f aca="false">-BG271*Inputs!$D$31</f>
        <v>-3667.5065856</v>
      </c>
      <c r="BH280" s="69" t="n">
        <f aca="false">-BH271*Inputs!$D$31</f>
        <v>-3667.5065856</v>
      </c>
      <c r="BI280" s="69" t="n">
        <f aca="false">-BI271*Inputs!$D$31</f>
        <v>-3667.5065856</v>
      </c>
      <c r="BJ280" s="69" t="n">
        <f aca="false">-BJ271*Inputs!$D$31</f>
        <v>-3667.5065856</v>
      </c>
    </row>
    <row r="281" customFormat="false" ht="15" hidden="false" customHeight="false" outlineLevel="0" collapsed="false">
      <c r="A281" s="4" t="s">
        <v>76</v>
      </c>
      <c r="C281" s="75" t="n">
        <f aca="false">C277+C278+C279+C280</f>
        <v>-61879</v>
      </c>
      <c r="D281" s="75" t="n">
        <f aca="false">D277+D278+D279+D280</f>
        <v>-64601.6666666667</v>
      </c>
      <c r="E281" s="75" t="n">
        <f aca="false">E277+E278+E279+E280</f>
        <v>-67324.3333333333</v>
      </c>
      <c r="F281" s="75" t="n">
        <f aca="false">F277+F278+F279+F280</f>
        <v>-70047</v>
      </c>
      <c r="G281" s="75" t="n">
        <f aca="false">G277+G278+G279+G280</f>
        <v>-72769.6666666667</v>
      </c>
      <c r="H281" s="75" t="n">
        <f aca="false">H277+H278+H279+H280</f>
        <v>-75492.3333333333</v>
      </c>
      <c r="I281" s="75" t="n">
        <f aca="false">I277+I278+I279+I280</f>
        <v>-78215</v>
      </c>
      <c r="J281" s="75" t="n">
        <f aca="false">J277+J278+J279+J280</f>
        <v>-80937.6666666667</v>
      </c>
      <c r="K281" s="75" t="n">
        <f aca="false">K277+K278+K279+K280</f>
        <v>-83660.3333333333</v>
      </c>
      <c r="L281" s="75" t="n">
        <f aca="false">L277+L278+L279+L280</f>
        <v>-86383</v>
      </c>
      <c r="M281" s="75" t="n">
        <f aca="false">M277+M278+M279+M280</f>
        <v>-86383</v>
      </c>
      <c r="N281" s="75" t="n">
        <f aca="false">N277+N278+N279+N280</f>
        <v>-86383</v>
      </c>
      <c r="O281" s="75" t="n">
        <f aca="false">O277+O278+O279+O280</f>
        <v>-92522.6692</v>
      </c>
      <c r="P281" s="75" t="n">
        <f aca="false">P277+P278+P279+P280</f>
        <v>-92522.6692</v>
      </c>
      <c r="Q281" s="75" t="n">
        <f aca="false">Q277+Q278+Q279+Q280</f>
        <v>-92522.6692</v>
      </c>
      <c r="R281" s="75" t="n">
        <f aca="false">R277+R278+R279+R280</f>
        <v>-92522.6692</v>
      </c>
      <c r="S281" s="75" t="n">
        <f aca="false">S277+S278+S279+S280</f>
        <v>-92522.6692</v>
      </c>
      <c r="T281" s="75" t="n">
        <f aca="false">T277+T278+T279+T280</f>
        <v>-92522.6692</v>
      </c>
      <c r="U281" s="75" t="n">
        <f aca="false">U277+U278+U279+U280</f>
        <v>-92522.6692</v>
      </c>
      <c r="V281" s="75" t="n">
        <f aca="false">V277+V278+V279+V280</f>
        <v>-92522.6692</v>
      </c>
      <c r="W281" s="75" t="n">
        <f aca="false">W277+W278+W279+W280</f>
        <v>-92522.6692</v>
      </c>
      <c r="X281" s="75" t="n">
        <f aca="false">X277+X278+X279+X280</f>
        <v>-92522.6692</v>
      </c>
      <c r="Y281" s="75" t="n">
        <f aca="false">Y277+Y278+Y279+Y280</f>
        <v>-92522.6692</v>
      </c>
      <c r="Z281" s="75" t="n">
        <f aca="false">Z277+Z278+Z279+Z280</f>
        <v>-92522.6692</v>
      </c>
      <c r="AA281" s="75" t="n">
        <f aca="false">AA277+AA278+AA279+AA280</f>
        <v>-99209.86202608</v>
      </c>
      <c r="AB281" s="75" t="n">
        <f aca="false">AB277+AB278+AB279+AB280</f>
        <v>-99209.86202608</v>
      </c>
      <c r="AC281" s="75" t="n">
        <f aca="false">AC277+AC278+AC279+AC280</f>
        <v>-99209.86202608</v>
      </c>
      <c r="AD281" s="75" t="n">
        <f aca="false">AD277+AD278+AD279+AD280</f>
        <v>-99209.86202608</v>
      </c>
      <c r="AE281" s="75" t="n">
        <f aca="false">AE277+AE278+AE279+AE280</f>
        <v>-99209.86202608</v>
      </c>
      <c r="AF281" s="75" t="n">
        <f aca="false">AF277+AF278+AF279+AF280</f>
        <v>-99209.86202608</v>
      </c>
      <c r="AG281" s="75" t="n">
        <f aca="false">AG277+AG278+AG279+AG280</f>
        <v>-99209.86202608</v>
      </c>
      <c r="AH281" s="75" t="n">
        <f aca="false">AH277+AH278+AH279+AH280</f>
        <v>-99209.86202608</v>
      </c>
      <c r="AI281" s="75" t="n">
        <f aca="false">AI277+AI278+AI279+AI280</f>
        <v>-99209.86202608</v>
      </c>
      <c r="AJ281" s="75" t="n">
        <f aca="false">AJ277+AJ278+AJ279+AJ280</f>
        <v>-99209.86202608</v>
      </c>
      <c r="AK281" s="75" t="n">
        <f aca="false">AK277+AK278+AK279+AK280</f>
        <v>-99209.86202608</v>
      </c>
      <c r="AL281" s="75" t="n">
        <f aca="false">AL277+AL278+AL279+AL280</f>
        <v>-99209.86202608</v>
      </c>
      <c r="AM281" s="75" t="n">
        <f aca="false">AM277+AM278+AM279+AM280</f>
        <v>-106304.381833</v>
      </c>
      <c r="AN281" s="75" t="n">
        <f aca="false">AN277+AN278+AN279+AN280</f>
        <v>-106304.381833</v>
      </c>
      <c r="AO281" s="75" t="n">
        <f aca="false">AO277+AO278+AO279+AO280</f>
        <v>-106304.381833</v>
      </c>
      <c r="AP281" s="75" t="n">
        <f aca="false">AP277+AP278+AP279+AP280</f>
        <v>-106304.381833</v>
      </c>
      <c r="AQ281" s="75" t="n">
        <f aca="false">AQ277+AQ278+AQ279+AQ280</f>
        <v>-106304.381833</v>
      </c>
      <c r="AR281" s="75" t="n">
        <f aca="false">AR277+AR278+AR279+AR280</f>
        <v>-106304.381833</v>
      </c>
      <c r="AS281" s="75" t="n">
        <f aca="false">AS277+AS278+AS279+AS280</f>
        <v>-106304.381833</v>
      </c>
      <c r="AT281" s="75" t="n">
        <f aca="false">AT277+AT278+AT279+AT280</f>
        <v>-106304.381833</v>
      </c>
      <c r="AU281" s="75" t="n">
        <f aca="false">AU277+AU278+AU279+AU280</f>
        <v>-106304.381833</v>
      </c>
      <c r="AV281" s="75" t="n">
        <f aca="false">AV277+AV278+AV279+AV280</f>
        <v>-106304.381833</v>
      </c>
      <c r="AW281" s="75" t="n">
        <f aca="false">AW277+AW278+AW279+AW280</f>
        <v>-106304.381833</v>
      </c>
      <c r="AX281" s="75" t="n">
        <f aca="false">AX277+AX278+AX279+AX280</f>
        <v>-106304.381833</v>
      </c>
      <c r="AY281" s="75" t="n">
        <f aca="false">AY277+AY278+AY279+AY280</f>
        <v>-110148.15039007</v>
      </c>
      <c r="AZ281" s="75" t="n">
        <f aca="false">AZ277+AZ278+AZ279+AZ280</f>
        <v>-110148.15039007</v>
      </c>
      <c r="BA281" s="75" t="n">
        <f aca="false">BA277+BA278+BA279+BA280</f>
        <v>-110148.15039007</v>
      </c>
      <c r="BB281" s="75" t="n">
        <f aca="false">BB277+BB278+BB279+BB280</f>
        <v>-110148.15039007</v>
      </c>
      <c r="BC281" s="75" t="n">
        <f aca="false">BC277+BC278+BC279+BC280</f>
        <v>-110148.15039007</v>
      </c>
      <c r="BD281" s="75" t="n">
        <f aca="false">BD277+BD278+BD279+BD280</f>
        <v>-110148.15039007</v>
      </c>
      <c r="BE281" s="75" t="n">
        <f aca="false">BE277+BE278+BE279+BE280</f>
        <v>-110148.15039007</v>
      </c>
      <c r="BF281" s="75" t="n">
        <f aca="false">BF277+BF278+BF279+BF280</f>
        <v>-110148.15039007</v>
      </c>
      <c r="BG281" s="75" t="n">
        <f aca="false">BG277+BG278+BG279+BG280</f>
        <v>-110148.15039007</v>
      </c>
      <c r="BH281" s="75" t="n">
        <f aca="false">BH277+BH278+BH279+BH280</f>
        <v>-110148.15039007</v>
      </c>
      <c r="BI281" s="75" t="n">
        <f aca="false">BI277+BI278+BI279+BI280</f>
        <v>-110148.15039007</v>
      </c>
      <c r="BJ281" s="75" t="n">
        <f aca="false">BJ277+BJ278+BJ279+BJ280</f>
        <v>-110148.15039007</v>
      </c>
    </row>
    <row r="282" customFormat="false" ht="15" hidden="false" customHeight="false" outlineLevel="0" collapsed="false">
      <c r="A282" s="115" t="s">
        <v>45</v>
      </c>
      <c r="C282" s="70" t="n">
        <f aca="false">C274+C281</f>
        <v>36761</v>
      </c>
      <c r="D282" s="70" t="n">
        <f aca="false">D274+D281</f>
        <v>44998.3333333333</v>
      </c>
      <c r="E282" s="70" t="n">
        <f aca="false">E274+E281</f>
        <v>53235.6666666667</v>
      </c>
      <c r="F282" s="70" t="n">
        <f aca="false">F274+F281</f>
        <v>61473</v>
      </c>
      <c r="G282" s="70" t="n">
        <f aca="false">G274+G281</f>
        <v>69710.3333333334</v>
      </c>
      <c r="H282" s="70" t="n">
        <f aca="false">H274+H281</f>
        <v>77947.6666666666</v>
      </c>
      <c r="I282" s="70" t="n">
        <f aca="false">I274+I281</f>
        <v>86185</v>
      </c>
      <c r="J282" s="70" t="n">
        <f aca="false">J274+J281</f>
        <v>94422.3333333333</v>
      </c>
      <c r="K282" s="70" t="n">
        <f aca="false">K274+K281</f>
        <v>102659.666666667</v>
      </c>
      <c r="L282" s="70" t="n">
        <f aca="false">L274+L281</f>
        <v>110897</v>
      </c>
      <c r="M282" s="70" t="n">
        <f aca="false">M274+M281</f>
        <v>110897</v>
      </c>
      <c r="N282" s="70" t="n">
        <f aca="false">N274+N281</f>
        <v>110897</v>
      </c>
      <c r="O282" s="70" t="n">
        <f aca="false">O274+O281</f>
        <v>124958.8028</v>
      </c>
      <c r="P282" s="70" t="n">
        <f aca="false">P274+P281</f>
        <v>124958.8028</v>
      </c>
      <c r="Q282" s="70" t="n">
        <f aca="false">Q274+Q281</f>
        <v>124958.8028</v>
      </c>
      <c r="R282" s="70" t="n">
        <f aca="false">R274+R281</f>
        <v>124958.8028</v>
      </c>
      <c r="S282" s="70" t="n">
        <f aca="false">S274+S281</f>
        <v>124958.8028</v>
      </c>
      <c r="T282" s="70" t="n">
        <f aca="false">T274+T281</f>
        <v>124958.8028</v>
      </c>
      <c r="U282" s="70" t="n">
        <f aca="false">U274+U281</f>
        <v>124958.8028</v>
      </c>
      <c r="V282" s="70" t="n">
        <f aca="false">V274+V281</f>
        <v>124958.8028</v>
      </c>
      <c r="W282" s="70" t="n">
        <f aca="false">W274+W281</f>
        <v>124958.8028</v>
      </c>
      <c r="X282" s="70" t="n">
        <f aca="false">X274+X281</f>
        <v>124958.8028</v>
      </c>
      <c r="Y282" s="70" t="n">
        <f aca="false">Y274+Y281</f>
        <v>124958.8028</v>
      </c>
      <c r="Z282" s="70" t="n">
        <f aca="false">Z274+Z281</f>
        <v>124958.8028</v>
      </c>
      <c r="AA282" s="70" t="n">
        <f aca="false">AA274+AA281</f>
        <v>140541.71270672</v>
      </c>
      <c r="AB282" s="70" t="n">
        <f aca="false">AB274+AB281</f>
        <v>140541.71270672</v>
      </c>
      <c r="AC282" s="70" t="n">
        <f aca="false">AC274+AC281</f>
        <v>140541.71270672</v>
      </c>
      <c r="AD282" s="70" t="n">
        <f aca="false">AD274+AD281</f>
        <v>140541.71270672</v>
      </c>
      <c r="AE282" s="70" t="n">
        <f aca="false">AE274+AE281</f>
        <v>140541.71270672</v>
      </c>
      <c r="AF282" s="70" t="n">
        <f aca="false">AF274+AF281</f>
        <v>140541.71270672</v>
      </c>
      <c r="AG282" s="70" t="n">
        <f aca="false">AG274+AG281</f>
        <v>140541.71270672</v>
      </c>
      <c r="AH282" s="70" t="n">
        <f aca="false">AH274+AH281</f>
        <v>140541.71270672</v>
      </c>
      <c r="AI282" s="70" t="n">
        <f aca="false">AI274+AI281</f>
        <v>140541.71270672</v>
      </c>
      <c r="AJ282" s="70" t="n">
        <f aca="false">AJ274+AJ281</f>
        <v>140541.71270672</v>
      </c>
      <c r="AK282" s="70" t="n">
        <f aca="false">AK274+AK281</f>
        <v>140541.71270672</v>
      </c>
      <c r="AL282" s="70" t="n">
        <f aca="false">AL274+AL281</f>
        <v>140541.71270672</v>
      </c>
      <c r="AM282" s="70" t="n">
        <f aca="false">AM274+AM281</f>
        <v>157217.507447</v>
      </c>
      <c r="AN282" s="70" t="n">
        <f aca="false">AN274+AN281</f>
        <v>157217.507447</v>
      </c>
      <c r="AO282" s="70" t="n">
        <f aca="false">AO274+AO281</f>
        <v>157217.507447</v>
      </c>
      <c r="AP282" s="70" t="n">
        <f aca="false">AP274+AP281</f>
        <v>157217.507447</v>
      </c>
      <c r="AQ282" s="70" t="n">
        <f aca="false">AQ274+AQ281</f>
        <v>157217.507447</v>
      </c>
      <c r="AR282" s="70" t="n">
        <f aca="false">AR274+AR281</f>
        <v>157217.507447</v>
      </c>
      <c r="AS282" s="70" t="n">
        <f aca="false">AS274+AS281</f>
        <v>157217.507447</v>
      </c>
      <c r="AT282" s="70" t="n">
        <f aca="false">AT274+AT281</f>
        <v>157217.507447</v>
      </c>
      <c r="AU282" s="70" t="n">
        <f aca="false">AU274+AU281</f>
        <v>157217.507447</v>
      </c>
      <c r="AV282" s="70" t="n">
        <f aca="false">AV274+AV281</f>
        <v>157217.507447</v>
      </c>
      <c r="AW282" s="70" t="n">
        <f aca="false">AW274+AW281</f>
        <v>157217.507447</v>
      </c>
      <c r="AX282" s="70" t="n">
        <f aca="false">AX274+AX281</f>
        <v>157217.507447</v>
      </c>
      <c r="AY282" s="70" t="n">
        <f aca="false">AY274+AY281</f>
        <v>163914.61446113</v>
      </c>
      <c r="AZ282" s="70" t="n">
        <f aca="false">AZ274+AZ281</f>
        <v>163914.61446113</v>
      </c>
      <c r="BA282" s="70" t="n">
        <f aca="false">BA274+BA281</f>
        <v>163914.61446113</v>
      </c>
      <c r="BB282" s="70" t="n">
        <f aca="false">BB274+BB281</f>
        <v>163914.61446113</v>
      </c>
      <c r="BC282" s="70" t="n">
        <f aca="false">BC274+BC281</f>
        <v>163914.61446113</v>
      </c>
      <c r="BD282" s="70" t="n">
        <f aca="false">BD274+BD281</f>
        <v>163914.61446113</v>
      </c>
      <c r="BE282" s="70" t="n">
        <f aca="false">BE274+BE281</f>
        <v>163914.61446113</v>
      </c>
      <c r="BF282" s="70" t="n">
        <f aca="false">BF274+BF281</f>
        <v>163914.61446113</v>
      </c>
      <c r="BG282" s="70" t="n">
        <f aca="false">BG274+BG281</f>
        <v>163914.61446113</v>
      </c>
      <c r="BH282" s="70" t="n">
        <f aca="false">BH274+BH281</f>
        <v>163914.61446113</v>
      </c>
      <c r="BI282" s="70" t="n">
        <f aca="false">BI274+BI281</f>
        <v>163914.61446113</v>
      </c>
      <c r="BJ282" s="70" t="n">
        <f aca="false">BJ274+BJ281</f>
        <v>163914.61446113</v>
      </c>
    </row>
    <row r="284" customFormat="false" ht="15.75" hidden="false" customHeight="true" outlineLevel="0" collapsed="false">
      <c r="A284" s="7" t="s">
        <v>47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customFormat="false" ht="15" hidden="false" customHeight="false" outlineLevel="0" collapsed="false">
      <c r="A285" s="6" t="s">
        <v>333</v>
      </c>
      <c r="C285" s="69" t="n">
        <f aca="false">C367-C364</f>
        <v>-17729.1666666667</v>
      </c>
      <c r="D285" s="69" t="n">
        <f aca="false">D367-D364</f>
        <v>-17729.1666666667</v>
      </c>
      <c r="E285" s="69" t="n">
        <f aca="false">E367-E364</f>
        <v>-17729.1666666667</v>
      </c>
      <c r="F285" s="69" t="n">
        <f aca="false">F367-F364</f>
        <v>-17729.1666666667</v>
      </c>
      <c r="G285" s="69" t="n">
        <f aca="false">G367-G364</f>
        <v>-17729.1666666667</v>
      </c>
      <c r="H285" s="69" t="n">
        <f aca="false">H367-H364</f>
        <v>-17729.1666666667</v>
      </c>
      <c r="I285" s="69" t="n">
        <f aca="false">I367-I364</f>
        <v>-17729.1666666667</v>
      </c>
      <c r="J285" s="69" t="n">
        <f aca="false">J367-J364</f>
        <v>-17729.1666666667</v>
      </c>
      <c r="K285" s="69" t="n">
        <f aca="false">K367-K364</f>
        <v>-17729.1666666667</v>
      </c>
      <c r="L285" s="69" t="n">
        <f aca="false">L367-L364</f>
        <v>-17729.1666666667</v>
      </c>
      <c r="M285" s="69" t="n">
        <f aca="false">M367-M364</f>
        <v>-17729.1666666667</v>
      </c>
      <c r="N285" s="69" t="n">
        <f aca="false">N367-N364</f>
        <v>-17729.1666666667</v>
      </c>
      <c r="O285" s="69" t="n">
        <f aca="false">O367-O364</f>
        <v>-18261.0416666667</v>
      </c>
      <c r="P285" s="69" t="n">
        <f aca="false">P367-P364</f>
        <v>-18261.0416666667</v>
      </c>
      <c r="Q285" s="69" t="n">
        <f aca="false">Q367-Q364</f>
        <v>-18261.0416666667</v>
      </c>
      <c r="R285" s="69" t="n">
        <f aca="false">R367-R364</f>
        <v>-18261.0416666667</v>
      </c>
      <c r="S285" s="69" t="n">
        <f aca="false">S367-S364</f>
        <v>-18261.0416666667</v>
      </c>
      <c r="T285" s="69" t="n">
        <f aca="false">T367-T364</f>
        <v>-18261.0416666667</v>
      </c>
      <c r="U285" s="69" t="n">
        <f aca="false">U367-U364</f>
        <v>-18261.0416666667</v>
      </c>
      <c r="V285" s="69" t="n">
        <f aca="false">V367-V364</f>
        <v>-18261.0416666667</v>
      </c>
      <c r="W285" s="69" t="n">
        <f aca="false">W367-W364</f>
        <v>-18261.0416666667</v>
      </c>
      <c r="X285" s="69" t="n">
        <f aca="false">X367-X364</f>
        <v>-18261.0416666667</v>
      </c>
      <c r="Y285" s="69" t="n">
        <f aca="false">Y367-Y364</f>
        <v>-18261.0416666667</v>
      </c>
      <c r="Z285" s="69" t="n">
        <f aca="false">Z367-Z364</f>
        <v>-18261.0416666667</v>
      </c>
      <c r="AA285" s="69" t="n">
        <f aca="false">AA367-AA364</f>
        <v>-18808.8729166667</v>
      </c>
      <c r="AB285" s="69" t="n">
        <f aca="false">AB367-AB364</f>
        <v>-18808.8729166667</v>
      </c>
      <c r="AC285" s="69" t="n">
        <f aca="false">AC367-AC364</f>
        <v>-18808.8729166667</v>
      </c>
      <c r="AD285" s="69" t="n">
        <f aca="false">AD367-AD364</f>
        <v>-18808.8729166667</v>
      </c>
      <c r="AE285" s="69" t="n">
        <f aca="false">AE367-AE364</f>
        <v>-18808.8729166667</v>
      </c>
      <c r="AF285" s="69" t="n">
        <f aca="false">AF367-AF364</f>
        <v>-18808.8729166667</v>
      </c>
      <c r="AG285" s="69" t="n">
        <f aca="false">AG367-AG364</f>
        <v>-18808.8729166667</v>
      </c>
      <c r="AH285" s="69" t="n">
        <f aca="false">AH367-AH364</f>
        <v>-18808.8729166667</v>
      </c>
      <c r="AI285" s="69" t="n">
        <f aca="false">AI367-AI364</f>
        <v>-18808.8729166667</v>
      </c>
      <c r="AJ285" s="69" t="n">
        <f aca="false">AJ367-AJ364</f>
        <v>-18808.8729166667</v>
      </c>
      <c r="AK285" s="69" t="n">
        <f aca="false">AK367-AK364</f>
        <v>-18808.8729166667</v>
      </c>
      <c r="AL285" s="69" t="n">
        <f aca="false">AL367-AL364</f>
        <v>-18808.8729166667</v>
      </c>
      <c r="AM285" s="69" t="n">
        <f aca="false">AM367-AM364</f>
        <v>-19373.1391041667</v>
      </c>
      <c r="AN285" s="69" t="n">
        <f aca="false">AN367-AN364</f>
        <v>-19373.1391041667</v>
      </c>
      <c r="AO285" s="69" t="n">
        <f aca="false">AO367-AO364</f>
        <v>-19373.1391041667</v>
      </c>
      <c r="AP285" s="69" t="n">
        <f aca="false">AP367-AP364</f>
        <v>-19373.1391041667</v>
      </c>
      <c r="AQ285" s="69" t="n">
        <f aca="false">AQ367-AQ364</f>
        <v>-19373.1391041667</v>
      </c>
      <c r="AR285" s="69" t="n">
        <f aca="false">AR367-AR364</f>
        <v>-19373.1391041667</v>
      </c>
      <c r="AS285" s="69" t="n">
        <f aca="false">AS367-AS364</f>
        <v>-19373.1391041667</v>
      </c>
      <c r="AT285" s="69" t="n">
        <f aca="false">AT367-AT364</f>
        <v>-19373.1391041667</v>
      </c>
      <c r="AU285" s="69" t="n">
        <f aca="false">AU367-AU364</f>
        <v>-19373.1391041667</v>
      </c>
      <c r="AV285" s="69" t="n">
        <f aca="false">AV367-AV364</f>
        <v>-19373.1391041667</v>
      </c>
      <c r="AW285" s="69" t="n">
        <f aca="false">AW367-AW364</f>
        <v>-19373.1391041667</v>
      </c>
      <c r="AX285" s="69" t="n">
        <f aca="false">AX367-AX364</f>
        <v>-19373.1391041667</v>
      </c>
      <c r="AY285" s="69" t="n">
        <f aca="false">AY367-AY364</f>
        <v>-19954.3332772917</v>
      </c>
      <c r="AZ285" s="69" t="n">
        <f aca="false">AZ367-AZ364</f>
        <v>-19954.3332772917</v>
      </c>
      <c r="BA285" s="69" t="n">
        <f aca="false">BA367-BA364</f>
        <v>-19954.3332772917</v>
      </c>
      <c r="BB285" s="69" t="n">
        <f aca="false">BB367-BB364</f>
        <v>-19954.3332772917</v>
      </c>
      <c r="BC285" s="69" t="n">
        <f aca="false">BC367-BC364</f>
        <v>-19954.3332772917</v>
      </c>
      <c r="BD285" s="69" t="n">
        <f aca="false">BD367-BD364</f>
        <v>-19954.3332772917</v>
      </c>
      <c r="BE285" s="69" t="n">
        <f aca="false">BE367-BE364</f>
        <v>-19954.3332772917</v>
      </c>
      <c r="BF285" s="69" t="n">
        <f aca="false">BF367-BF364</f>
        <v>-19954.3332772917</v>
      </c>
      <c r="BG285" s="69" t="n">
        <f aca="false">BG367-BG364</f>
        <v>-19954.3332772917</v>
      </c>
      <c r="BH285" s="69" t="n">
        <f aca="false">BH367-BH364</f>
        <v>-19954.3332772917</v>
      </c>
      <c r="BI285" s="69" t="n">
        <f aca="false">BI367-BI364</f>
        <v>-19954.3332772917</v>
      </c>
      <c r="BJ285" s="69" t="n">
        <f aca="false">BJ367-BJ364</f>
        <v>-19954.3332772917</v>
      </c>
    </row>
    <row r="286" customFormat="false" ht="15" hidden="false" customHeight="false" outlineLevel="0" collapsed="false">
      <c r="A286" s="6" t="s">
        <v>334</v>
      </c>
      <c r="C286" s="69" t="n">
        <f aca="false">-Inputs!$D$36*(1+Inputs!$D$37)^(C$251-1)*1</f>
        <v>-18000</v>
      </c>
      <c r="D286" s="69" t="n">
        <f aca="false">-Inputs!$D$36*(1+Inputs!$D$37)^(D$251-1)*1</f>
        <v>-18000</v>
      </c>
      <c r="E286" s="69" t="n">
        <f aca="false">-Inputs!$D$36*(1+Inputs!$D$37)^(E$251-1)*1</f>
        <v>-18000</v>
      </c>
      <c r="F286" s="69" t="n">
        <f aca="false">-Inputs!$D$36*(1+Inputs!$D$37)^(F$251-1)*1</f>
        <v>-18000</v>
      </c>
      <c r="G286" s="69" t="n">
        <f aca="false">-Inputs!$D$36*(1+Inputs!$D$37)^(G$251-1)*1</f>
        <v>-18000</v>
      </c>
      <c r="H286" s="69" t="n">
        <f aca="false">-Inputs!$D$36*(1+Inputs!$D$37)^(H$251-1)*1</f>
        <v>-18000</v>
      </c>
      <c r="I286" s="69" t="n">
        <f aca="false">-Inputs!$D$36*(1+Inputs!$D$37)^(I$251-1)*1</f>
        <v>-18000</v>
      </c>
      <c r="J286" s="69" t="n">
        <f aca="false">-Inputs!$D$36*(1+Inputs!$D$37)^(J$251-1)*1</f>
        <v>-18000</v>
      </c>
      <c r="K286" s="69" t="n">
        <f aca="false">-Inputs!$D$36*(1+Inputs!$D$37)^(K$251-1)*1</f>
        <v>-18000</v>
      </c>
      <c r="L286" s="69" t="n">
        <f aca="false">-Inputs!$D$36*(1+Inputs!$D$37)^(L$251-1)*1</f>
        <v>-18000</v>
      </c>
      <c r="M286" s="69" t="n">
        <f aca="false">-Inputs!$D$36*(1+Inputs!$D$37)^(M$251-1)*1</f>
        <v>-18000</v>
      </c>
      <c r="N286" s="69" t="n">
        <f aca="false">-Inputs!$D$36*(1+Inputs!$D$37)^(N$251-1)*1</f>
        <v>-18000</v>
      </c>
      <c r="O286" s="69" t="n">
        <f aca="false">-Inputs!$D$36*(1+Inputs!$D$37)^(O$251-1)*1</f>
        <v>-18540</v>
      </c>
      <c r="P286" s="69" t="n">
        <f aca="false">-Inputs!$D$36*(1+Inputs!$D$37)^(P$251-1)*1</f>
        <v>-18540</v>
      </c>
      <c r="Q286" s="69" t="n">
        <f aca="false">-Inputs!$D$36*(1+Inputs!$D$37)^(Q$251-1)*1</f>
        <v>-18540</v>
      </c>
      <c r="R286" s="69" t="n">
        <f aca="false">-Inputs!$D$36*(1+Inputs!$D$37)^(R$251-1)*1</f>
        <v>-18540</v>
      </c>
      <c r="S286" s="69" t="n">
        <f aca="false">-Inputs!$D$36*(1+Inputs!$D$37)^(S$251-1)*1</f>
        <v>-18540</v>
      </c>
      <c r="T286" s="69" t="n">
        <f aca="false">-Inputs!$D$36*(1+Inputs!$D$37)^(T$251-1)*1</f>
        <v>-18540</v>
      </c>
      <c r="U286" s="69" t="n">
        <f aca="false">-Inputs!$D$36*(1+Inputs!$D$37)^(U$251-1)*1</f>
        <v>-18540</v>
      </c>
      <c r="V286" s="69" t="n">
        <f aca="false">-Inputs!$D$36*(1+Inputs!$D$37)^(V$251-1)*1</f>
        <v>-18540</v>
      </c>
      <c r="W286" s="69" t="n">
        <f aca="false">-Inputs!$D$36*(1+Inputs!$D$37)^(W$251-1)*1</f>
        <v>-18540</v>
      </c>
      <c r="X286" s="69" t="n">
        <f aca="false">-Inputs!$D$36*(1+Inputs!$D$37)^(X$251-1)*1</f>
        <v>-18540</v>
      </c>
      <c r="Y286" s="69" t="n">
        <f aca="false">-Inputs!$D$36*(1+Inputs!$D$37)^(Y$251-1)*1</f>
        <v>-18540</v>
      </c>
      <c r="Z286" s="69" t="n">
        <f aca="false">-Inputs!$D$36*(1+Inputs!$D$37)^(Z$251-1)*1</f>
        <v>-18540</v>
      </c>
      <c r="AA286" s="69" t="n">
        <f aca="false">-Inputs!$D$36*(1+Inputs!$D$37)^(AA$251-1)*1</f>
        <v>-19096.2</v>
      </c>
      <c r="AB286" s="69" t="n">
        <f aca="false">-Inputs!$D$36*(1+Inputs!$D$37)^(AB$251-1)*1</f>
        <v>-19096.2</v>
      </c>
      <c r="AC286" s="69" t="n">
        <f aca="false">-Inputs!$D$36*(1+Inputs!$D$37)^(AC$251-1)*1</f>
        <v>-19096.2</v>
      </c>
      <c r="AD286" s="69" t="n">
        <f aca="false">-Inputs!$D$36*(1+Inputs!$D$37)^(AD$251-1)*1</f>
        <v>-19096.2</v>
      </c>
      <c r="AE286" s="69" t="n">
        <f aca="false">-Inputs!$D$36*(1+Inputs!$D$37)^(AE$251-1)*1</f>
        <v>-19096.2</v>
      </c>
      <c r="AF286" s="69" t="n">
        <f aca="false">-Inputs!$D$36*(1+Inputs!$D$37)^(AF$251-1)*1</f>
        <v>-19096.2</v>
      </c>
      <c r="AG286" s="69" t="n">
        <f aca="false">-Inputs!$D$36*(1+Inputs!$D$37)^(AG$251-1)*1</f>
        <v>-19096.2</v>
      </c>
      <c r="AH286" s="69" t="n">
        <f aca="false">-Inputs!$D$36*(1+Inputs!$D$37)^(AH$251-1)*1</f>
        <v>-19096.2</v>
      </c>
      <c r="AI286" s="69" t="n">
        <f aca="false">-Inputs!$D$36*(1+Inputs!$D$37)^(AI$251-1)*1</f>
        <v>-19096.2</v>
      </c>
      <c r="AJ286" s="69" t="n">
        <f aca="false">-Inputs!$D$36*(1+Inputs!$D$37)^(AJ$251-1)*1</f>
        <v>-19096.2</v>
      </c>
      <c r="AK286" s="69" t="n">
        <f aca="false">-Inputs!$D$36*(1+Inputs!$D$37)^(AK$251-1)*1</f>
        <v>-19096.2</v>
      </c>
      <c r="AL286" s="69" t="n">
        <f aca="false">-Inputs!$D$36*(1+Inputs!$D$37)^(AL$251-1)*1</f>
        <v>-19096.2</v>
      </c>
      <c r="AM286" s="69" t="n">
        <f aca="false">-Inputs!$D$36*(1+Inputs!$D$37)^(AM$251-1)*1</f>
        <v>-19669.086</v>
      </c>
      <c r="AN286" s="69" t="n">
        <f aca="false">-Inputs!$D$36*(1+Inputs!$D$37)^(AN$251-1)*1</f>
        <v>-19669.086</v>
      </c>
      <c r="AO286" s="69" t="n">
        <f aca="false">-Inputs!$D$36*(1+Inputs!$D$37)^(AO$251-1)*1</f>
        <v>-19669.086</v>
      </c>
      <c r="AP286" s="69" t="n">
        <f aca="false">-Inputs!$D$36*(1+Inputs!$D$37)^(AP$251-1)*1</f>
        <v>-19669.086</v>
      </c>
      <c r="AQ286" s="69" t="n">
        <f aca="false">-Inputs!$D$36*(1+Inputs!$D$37)^(AQ$251-1)*1</f>
        <v>-19669.086</v>
      </c>
      <c r="AR286" s="69" t="n">
        <f aca="false">-Inputs!$D$36*(1+Inputs!$D$37)^(AR$251-1)*1</f>
        <v>-19669.086</v>
      </c>
      <c r="AS286" s="69" t="n">
        <f aca="false">-Inputs!$D$36*(1+Inputs!$D$37)^(AS$251-1)*1</f>
        <v>-19669.086</v>
      </c>
      <c r="AT286" s="69" t="n">
        <f aca="false">-Inputs!$D$36*(1+Inputs!$D$37)^(AT$251-1)*1</f>
        <v>-19669.086</v>
      </c>
      <c r="AU286" s="69" t="n">
        <f aca="false">-Inputs!$D$36*(1+Inputs!$D$37)^(AU$251-1)*1</f>
        <v>-19669.086</v>
      </c>
      <c r="AV286" s="69" t="n">
        <f aca="false">-Inputs!$D$36*(1+Inputs!$D$37)^(AV$251-1)*1</f>
        <v>-19669.086</v>
      </c>
      <c r="AW286" s="69" t="n">
        <f aca="false">-Inputs!$D$36*(1+Inputs!$D$37)^(AW$251-1)*1</f>
        <v>-19669.086</v>
      </c>
      <c r="AX286" s="69" t="n">
        <f aca="false">-Inputs!$D$36*(1+Inputs!$D$37)^(AX$251-1)*1</f>
        <v>-19669.086</v>
      </c>
      <c r="AY286" s="69" t="n">
        <f aca="false">-Inputs!$D$36*(1+Inputs!$D$37)^(AY$251-1)*1</f>
        <v>-20259.15858</v>
      </c>
      <c r="AZ286" s="69" t="n">
        <f aca="false">-Inputs!$D$36*(1+Inputs!$D$37)^(AZ$251-1)*1</f>
        <v>-20259.15858</v>
      </c>
      <c r="BA286" s="69" t="n">
        <f aca="false">-Inputs!$D$36*(1+Inputs!$D$37)^(BA$251-1)*1</f>
        <v>-20259.15858</v>
      </c>
      <c r="BB286" s="69" t="n">
        <f aca="false">-Inputs!$D$36*(1+Inputs!$D$37)^(BB$251-1)*1</f>
        <v>-20259.15858</v>
      </c>
      <c r="BC286" s="69" t="n">
        <f aca="false">-Inputs!$D$36*(1+Inputs!$D$37)^(BC$251-1)*1</f>
        <v>-20259.15858</v>
      </c>
      <c r="BD286" s="69" t="n">
        <f aca="false">-Inputs!$D$36*(1+Inputs!$D$37)^(BD$251-1)*1</f>
        <v>-20259.15858</v>
      </c>
      <c r="BE286" s="69" t="n">
        <f aca="false">-Inputs!$D$36*(1+Inputs!$D$37)^(BE$251-1)*1</f>
        <v>-20259.15858</v>
      </c>
      <c r="BF286" s="69" t="n">
        <f aca="false">-Inputs!$D$36*(1+Inputs!$D$37)^(BF$251-1)*1</f>
        <v>-20259.15858</v>
      </c>
      <c r="BG286" s="69" t="n">
        <f aca="false">-Inputs!$D$36*(1+Inputs!$D$37)^(BG$251-1)*1</f>
        <v>-20259.15858</v>
      </c>
      <c r="BH286" s="69" t="n">
        <f aca="false">-Inputs!$D$36*(1+Inputs!$D$37)^(BH$251-1)*1</f>
        <v>-20259.15858</v>
      </c>
      <c r="BI286" s="69" t="n">
        <f aca="false">-Inputs!$D$36*(1+Inputs!$D$37)^(BI$251-1)*1</f>
        <v>-20259.15858</v>
      </c>
      <c r="BJ286" s="69" t="n">
        <f aca="false">-Inputs!$D$36*(1+Inputs!$D$37)^(BJ$251-1)*1</f>
        <v>-20259.15858</v>
      </c>
    </row>
    <row r="287" customFormat="false" ht="15" hidden="false" customHeight="false" outlineLevel="0" collapsed="false">
      <c r="A287" s="6" t="s">
        <v>335</v>
      </c>
      <c r="C287" s="69" t="n">
        <f aca="false">-Inputs!$D$38*(1+Inputs!$D$33)^(C$251-1)*1</f>
        <v>-4500</v>
      </c>
      <c r="D287" s="69" t="n">
        <f aca="false">-Inputs!$D$38*(1+Inputs!$D$33)^(D$251-1)*1</f>
        <v>-4500</v>
      </c>
      <c r="E287" s="69" t="n">
        <f aca="false">-Inputs!$D$38*(1+Inputs!$D$33)^(E$251-1)*1</f>
        <v>-4500</v>
      </c>
      <c r="F287" s="69" t="n">
        <f aca="false">-Inputs!$D$38*(1+Inputs!$D$33)^(F$251-1)*1</f>
        <v>-4500</v>
      </c>
      <c r="G287" s="69" t="n">
        <f aca="false">-Inputs!$D$38*(1+Inputs!$D$33)^(G$251-1)*1</f>
        <v>-4500</v>
      </c>
      <c r="H287" s="69" t="n">
        <f aca="false">-Inputs!$D$38*(1+Inputs!$D$33)^(H$251-1)*1</f>
        <v>-4500</v>
      </c>
      <c r="I287" s="69" t="n">
        <f aca="false">-Inputs!$D$38*(1+Inputs!$D$33)^(I$251-1)*1</f>
        <v>-4500</v>
      </c>
      <c r="J287" s="69" t="n">
        <f aca="false">-Inputs!$D$38*(1+Inputs!$D$33)^(J$251-1)*1</f>
        <v>-4500</v>
      </c>
      <c r="K287" s="69" t="n">
        <f aca="false">-Inputs!$D$38*(1+Inputs!$D$33)^(K$251-1)*1</f>
        <v>-4500</v>
      </c>
      <c r="L287" s="69" t="n">
        <f aca="false">-Inputs!$D$38*(1+Inputs!$D$33)^(L$251-1)*1</f>
        <v>-4500</v>
      </c>
      <c r="M287" s="69" t="n">
        <f aca="false">-Inputs!$D$38*(1+Inputs!$D$33)^(M$251-1)*1</f>
        <v>-4500</v>
      </c>
      <c r="N287" s="69" t="n">
        <f aca="false">-Inputs!$D$38*(1+Inputs!$D$33)^(N$251-1)*1</f>
        <v>-4500</v>
      </c>
      <c r="O287" s="69" t="n">
        <f aca="false">-Inputs!$D$38*(1+Inputs!$D$33)^(O$251-1)*1</f>
        <v>-4612.5</v>
      </c>
      <c r="P287" s="69" t="n">
        <f aca="false">-Inputs!$D$38*(1+Inputs!$D$33)^(P$251-1)*1</f>
        <v>-4612.5</v>
      </c>
      <c r="Q287" s="69" t="n">
        <f aca="false">-Inputs!$D$38*(1+Inputs!$D$33)^(Q$251-1)*1</f>
        <v>-4612.5</v>
      </c>
      <c r="R287" s="69" t="n">
        <f aca="false">-Inputs!$D$38*(1+Inputs!$D$33)^(R$251-1)*1</f>
        <v>-4612.5</v>
      </c>
      <c r="S287" s="69" t="n">
        <f aca="false">-Inputs!$D$38*(1+Inputs!$D$33)^(S$251-1)*1</f>
        <v>-4612.5</v>
      </c>
      <c r="T287" s="69" t="n">
        <f aca="false">-Inputs!$D$38*(1+Inputs!$D$33)^(T$251-1)*1</f>
        <v>-4612.5</v>
      </c>
      <c r="U287" s="69" t="n">
        <f aca="false">-Inputs!$D$38*(1+Inputs!$D$33)^(U$251-1)*1</f>
        <v>-4612.5</v>
      </c>
      <c r="V287" s="69" t="n">
        <f aca="false">-Inputs!$D$38*(1+Inputs!$D$33)^(V$251-1)*1</f>
        <v>-4612.5</v>
      </c>
      <c r="W287" s="69" t="n">
        <f aca="false">-Inputs!$D$38*(1+Inputs!$D$33)^(W$251-1)*1</f>
        <v>-4612.5</v>
      </c>
      <c r="X287" s="69" t="n">
        <f aca="false">-Inputs!$D$38*(1+Inputs!$D$33)^(X$251-1)*1</f>
        <v>-4612.5</v>
      </c>
      <c r="Y287" s="69" t="n">
        <f aca="false">-Inputs!$D$38*(1+Inputs!$D$33)^(Y$251-1)*1</f>
        <v>-4612.5</v>
      </c>
      <c r="Z287" s="69" t="n">
        <f aca="false">-Inputs!$D$38*(1+Inputs!$D$33)^(Z$251-1)*1</f>
        <v>-4612.5</v>
      </c>
      <c r="AA287" s="69" t="n">
        <f aca="false">-Inputs!$D$38*(1+Inputs!$D$33)^(AA$251-1)*1</f>
        <v>-4727.8125</v>
      </c>
      <c r="AB287" s="69" t="n">
        <f aca="false">-Inputs!$D$38*(1+Inputs!$D$33)^(AB$251-1)*1</f>
        <v>-4727.8125</v>
      </c>
      <c r="AC287" s="69" t="n">
        <f aca="false">-Inputs!$D$38*(1+Inputs!$D$33)^(AC$251-1)*1</f>
        <v>-4727.8125</v>
      </c>
      <c r="AD287" s="69" t="n">
        <f aca="false">-Inputs!$D$38*(1+Inputs!$D$33)^(AD$251-1)*1</f>
        <v>-4727.8125</v>
      </c>
      <c r="AE287" s="69" t="n">
        <f aca="false">-Inputs!$D$38*(1+Inputs!$D$33)^(AE$251-1)*1</f>
        <v>-4727.8125</v>
      </c>
      <c r="AF287" s="69" t="n">
        <f aca="false">-Inputs!$D$38*(1+Inputs!$D$33)^(AF$251-1)*1</f>
        <v>-4727.8125</v>
      </c>
      <c r="AG287" s="69" t="n">
        <f aca="false">-Inputs!$D$38*(1+Inputs!$D$33)^(AG$251-1)*1</f>
        <v>-4727.8125</v>
      </c>
      <c r="AH287" s="69" t="n">
        <f aca="false">-Inputs!$D$38*(1+Inputs!$D$33)^(AH$251-1)*1</f>
        <v>-4727.8125</v>
      </c>
      <c r="AI287" s="69" t="n">
        <f aca="false">-Inputs!$D$38*(1+Inputs!$D$33)^(AI$251-1)*1</f>
        <v>-4727.8125</v>
      </c>
      <c r="AJ287" s="69" t="n">
        <f aca="false">-Inputs!$D$38*(1+Inputs!$D$33)^(AJ$251-1)*1</f>
        <v>-4727.8125</v>
      </c>
      <c r="AK287" s="69" t="n">
        <f aca="false">-Inputs!$D$38*(1+Inputs!$D$33)^(AK$251-1)*1</f>
        <v>-4727.8125</v>
      </c>
      <c r="AL287" s="69" t="n">
        <f aca="false">-Inputs!$D$38*(1+Inputs!$D$33)^(AL$251-1)*1</f>
        <v>-4727.8125</v>
      </c>
      <c r="AM287" s="69" t="n">
        <f aca="false">-Inputs!$D$38*(1+Inputs!$D$33)^(AM$251-1)*1</f>
        <v>-4846.0078125</v>
      </c>
      <c r="AN287" s="69" t="n">
        <f aca="false">-Inputs!$D$38*(1+Inputs!$D$33)^(AN$251-1)*1</f>
        <v>-4846.0078125</v>
      </c>
      <c r="AO287" s="69" t="n">
        <f aca="false">-Inputs!$D$38*(1+Inputs!$D$33)^(AO$251-1)*1</f>
        <v>-4846.0078125</v>
      </c>
      <c r="AP287" s="69" t="n">
        <f aca="false">-Inputs!$D$38*(1+Inputs!$D$33)^(AP$251-1)*1</f>
        <v>-4846.0078125</v>
      </c>
      <c r="AQ287" s="69" t="n">
        <f aca="false">-Inputs!$D$38*(1+Inputs!$D$33)^(AQ$251-1)*1</f>
        <v>-4846.0078125</v>
      </c>
      <c r="AR287" s="69" t="n">
        <f aca="false">-Inputs!$D$38*(1+Inputs!$D$33)^(AR$251-1)*1</f>
        <v>-4846.0078125</v>
      </c>
      <c r="AS287" s="69" t="n">
        <f aca="false">-Inputs!$D$38*(1+Inputs!$D$33)^(AS$251-1)*1</f>
        <v>-4846.0078125</v>
      </c>
      <c r="AT287" s="69" t="n">
        <f aca="false">-Inputs!$D$38*(1+Inputs!$D$33)^(AT$251-1)*1</f>
        <v>-4846.0078125</v>
      </c>
      <c r="AU287" s="69" t="n">
        <f aca="false">-Inputs!$D$38*(1+Inputs!$D$33)^(AU$251-1)*1</f>
        <v>-4846.0078125</v>
      </c>
      <c r="AV287" s="69" t="n">
        <f aca="false">-Inputs!$D$38*(1+Inputs!$D$33)^(AV$251-1)*1</f>
        <v>-4846.0078125</v>
      </c>
      <c r="AW287" s="69" t="n">
        <f aca="false">-Inputs!$D$38*(1+Inputs!$D$33)^(AW$251-1)*1</f>
        <v>-4846.0078125</v>
      </c>
      <c r="AX287" s="69" t="n">
        <f aca="false">-Inputs!$D$38*(1+Inputs!$D$33)^(AX$251-1)*1</f>
        <v>-4846.0078125</v>
      </c>
      <c r="AY287" s="69" t="n">
        <f aca="false">-Inputs!$D$38*(1+Inputs!$D$33)^(AY$251-1)*1</f>
        <v>-4967.1580078125</v>
      </c>
      <c r="AZ287" s="69" t="n">
        <f aca="false">-Inputs!$D$38*(1+Inputs!$D$33)^(AZ$251-1)*1</f>
        <v>-4967.1580078125</v>
      </c>
      <c r="BA287" s="69" t="n">
        <f aca="false">-Inputs!$D$38*(1+Inputs!$D$33)^(BA$251-1)*1</f>
        <v>-4967.1580078125</v>
      </c>
      <c r="BB287" s="69" t="n">
        <f aca="false">-Inputs!$D$38*(1+Inputs!$D$33)^(BB$251-1)*1</f>
        <v>-4967.1580078125</v>
      </c>
      <c r="BC287" s="69" t="n">
        <f aca="false">-Inputs!$D$38*(1+Inputs!$D$33)^(BC$251-1)*1</f>
        <v>-4967.1580078125</v>
      </c>
      <c r="BD287" s="69" t="n">
        <f aca="false">-Inputs!$D$38*(1+Inputs!$D$33)^(BD$251-1)*1</f>
        <v>-4967.1580078125</v>
      </c>
      <c r="BE287" s="69" t="n">
        <f aca="false">-Inputs!$D$38*(1+Inputs!$D$33)^(BE$251-1)*1</f>
        <v>-4967.1580078125</v>
      </c>
      <c r="BF287" s="69" t="n">
        <f aca="false">-Inputs!$D$38*(1+Inputs!$D$33)^(BF$251-1)*1</f>
        <v>-4967.1580078125</v>
      </c>
      <c r="BG287" s="69" t="n">
        <f aca="false">-Inputs!$D$38*(1+Inputs!$D$33)^(BG$251-1)*1</f>
        <v>-4967.1580078125</v>
      </c>
      <c r="BH287" s="69" t="n">
        <f aca="false">-Inputs!$D$38*(1+Inputs!$D$33)^(BH$251-1)*1</f>
        <v>-4967.1580078125</v>
      </c>
      <c r="BI287" s="69" t="n">
        <f aca="false">-Inputs!$D$38*(1+Inputs!$D$33)^(BI$251-1)*1</f>
        <v>-4967.1580078125</v>
      </c>
      <c r="BJ287" s="69" t="n">
        <f aca="false">-Inputs!$D$38*(1+Inputs!$D$33)^(BJ$251-1)*1</f>
        <v>-4967.1580078125</v>
      </c>
    </row>
    <row r="288" customFormat="false" ht="15" hidden="false" customHeight="false" outlineLevel="0" collapsed="false">
      <c r="A288" s="6" t="s">
        <v>336</v>
      </c>
      <c r="C288" s="69" t="n">
        <f aca="false">-Inputs!$D$39*(1+Inputs!$D$33)^(C$251-1)*1</f>
        <v>-9000</v>
      </c>
      <c r="D288" s="69" t="n">
        <f aca="false">-Inputs!$D$39*(1+Inputs!$D$33)^(D$251-1)*1</f>
        <v>-9000</v>
      </c>
      <c r="E288" s="69" t="n">
        <f aca="false">-Inputs!$D$39*(1+Inputs!$D$33)^(E$251-1)*1</f>
        <v>-9000</v>
      </c>
      <c r="F288" s="69" t="n">
        <f aca="false">-Inputs!$D$39*(1+Inputs!$D$33)^(F$251-1)*1</f>
        <v>-9000</v>
      </c>
      <c r="G288" s="69" t="n">
        <f aca="false">-Inputs!$D$39*(1+Inputs!$D$33)^(G$251-1)*1</f>
        <v>-9000</v>
      </c>
      <c r="H288" s="69" t="n">
        <f aca="false">-Inputs!$D$39*(1+Inputs!$D$33)^(H$251-1)*1</f>
        <v>-9000</v>
      </c>
      <c r="I288" s="69" t="n">
        <f aca="false">-Inputs!$D$39*(1+Inputs!$D$33)^(I$251-1)*1</f>
        <v>-9000</v>
      </c>
      <c r="J288" s="69" t="n">
        <f aca="false">-Inputs!$D$39*(1+Inputs!$D$33)^(J$251-1)*1</f>
        <v>-9000</v>
      </c>
      <c r="K288" s="69" t="n">
        <f aca="false">-Inputs!$D$39*(1+Inputs!$D$33)^(K$251-1)*1</f>
        <v>-9000</v>
      </c>
      <c r="L288" s="69" t="n">
        <f aca="false">-Inputs!$D$39*(1+Inputs!$D$33)^(L$251-1)*1</f>
        <v>-9000</v>
      </c>
      <c r="M288" s="69" t="n">
        <f aca="false">-Inputs!$D$39*(1+Inputs!$D$33)^(M$251-1)*1</f>
        <v>-9000</v>
      </c>
      <c r="N288" s="69" t="n">
        <f aca="false">-Inputs!$D$39*(1+Inputs!$D$33)^(N$251-1)*1</f>
        <v>-9000</v>
      </c>
      <c r="O288" s="69" t="n">
        <f aca="false">-Inputs!$D$39*(1+Inputs!$D$33)^(O$251-1)*1</f>
        <v>-9225</v>
      </c>
      <c r="P288" s="69" t="n">
        <f aca="false">-Inputs!$D$39*(1+Inputs!$D$33)^(P$251-1)*1</f>
        <v>-9225</v>
      </c>
      <c r="Q288" s="69" t="n">
        <f aca="false">-Inputs!$D$39*(1+Inputs!$D$33)^(Q$251-1)*1</f>
        <v>-9225</v>
      </c>
      <c r="R288" s="69" t="n">
        <f aca="false">-Inputs!$D$39*(1+Inputs!$D$33)^(R$251-1)*1</f>
        <v>-9225</v>
      </c>
      <c r="S288" s="69" t="n">
        <f aca="false">-Inputs!$D$39*(1+Inputs!$D$33)^(S$251-1)*1</f>
        <v>-9225</v>
      </c>
      <c r="T288" s="69" t="n">
        <f aca="false">-Inputs!$D$39*(1+Inputs!$D$33)^(T$251-1)*1</f>
        <v>-9225</v>
      </c>
      <c r="U288" s="69" t="n">
        <f aca="false">-Inputs!$D$39*(1+Inputs!$D$33)^(U$251-1)*1</f>
        <v>-9225</v>
      </c>
      <c r="V288" s="69" t="n">
        <f aca="false">-Inputs!$D$39*(1+Inputs!$D$33)^(V$251-1)*1</f>
        <v>-9225</v>
      </c>
      <c r="W288" s="69" t="n">
        <f aca="false">-Inputs!$D$39*(1+Inputs!$D$33)^(W$251-1)*1</f>
        <v>-9225</v>
      </c>
      <c r="X288" s="69" t="n">
        <f aca="false">-Inputs!$D$39*(1+Inputs!$D$33)^(X$251-1)*1</f>
        <v>-9225</v>
      </c>
      <c r="Y288" s="69" t="n">
        <f aca="false">-Inputs!$D$39*(1+Inputs!$D$33)^(Y$251-1)*1</f>
        <v>-9225</v>
      </c>
      <c r="Z288" s="69" t="n">
        <f aca="false">-Inputs!$D$39*(1+Inputs!$D$33)^(Z$251-1)*1</f>
        <v>-9225</v>
      </c>
      <c r="AA288" s="69" t="n">
        <f aca="false">-Inputs!$D$39*(1+Inputs!$D$33)^(AA$251-1)*1</f>
        <v>-9455.625</v>
      </c>
      <c r="AB288" s="69" t="n">
        <f aca="false">-Inputs!$D$39*(1+Inputs!$D$33)^(AB$251-1)*1</f>
        <v>-9455.625</v>
      </c>
      <c r="AC288" s="69" t="n">
        <f aca="false">-Inputs!$D$39*(1+Inputs!$D$33)^(AC$251-1)*1</f>
        <v>-9455.625</v>
      </c>
      <c r="AD288" s="69" t="n">
        <f aca="false">-Inputs!$D$39*(1+Inputs!$D$33)^(AD$251-1)*1</f>
        <v>-9455.625</v>
      </c>
      <c r="AE288" s="69" t="n">
        <f aca="false">-Inputs!$D$39*(1+Inputs!$D$33)^(AE$251-1)*1</f>
        <v>-9455.625</v>
      </c>
      <c r="AF288" s="69" t="n">
        <f aca="false">-Inputs!$D$39*(1+Inputs!$D$33)^(AF$251-1)*1</f>
        <v>-9455.625</v>
      </c>
      <c r="AG288" s="69" t="n">
        <f aca="false">-Inputs!$D$39*(1+Inputs!$D$33)^(AG$251-1)*1</f>
        <v>-9455.625</v>
      </c>
      <c r="AH288" s="69" t="n">
        <f aca="false">-Inputs!$D$39*(1+Inputs!$D$33)^(AH$251-1)*1</f>
        <v>-9455.625</v>
      </c>
      <c r="AI288" s="69" t="n">
        <f aca="false">-Inputs!$D$39*(1+Inputs!$D$33)^(AI$251-1)*1</f>
        <v>-9455.625</v>
      </c>
      <c r="AJ288" s="69" t="n">
        <f aca="false">-Inputs!$D$39*(1+Inputs!$D$33)^(AJ$251-1)*1</f>
        <v>-9455.625</v>
      </c>
      <c r="AK288" s="69" t="n">
        <f aca="false">-Inputs!$D$39*(1+Inputs!$D$33)^(AK$251-1)*1</f>
        <v>-9455.625</v>
      </c>
      <c r="AL288" s="69" t="n">
        <f aca="false">-Inputs!$D$39*(1+Inputs!$D$33)^(AL$251-1)*1</f>
        <v>-9455.625</v>
      </c>
      <c r="AM288" s="69" t="n">
        <f aca="false">-Inputs!$D$39*(1+Inputs!$D$33)^(AM$251-1)*1</f>
        <v>-9692.015625</v>
      </c>
      <c r="AN288" s="69" t="n">
        <f aca="false">-Inputs!$D$39*(1+Inputs!$D$33)^(AN$251-1)*1</f>
        <v>-9692.015625</v>
      </c>
      <c r="AO288" s="69" t="n">
        <f aca="false">-Inputs!$D$39*(1+Inputs!$D$33)^(AO$251-1)*1</f>
        <v>-9692.015625</v>
      </c>
      <c r="AP288" s="69" t="n">
        <f aca="false">-Inputs!$D$39*(1+Inputs!$D$33)^(AP$251-1)*1</f>
        <v>-9692.015625</v>
      </c>
      <c r="AQ288" s="69" t="n">
        <f aca="false">-Inputs!$D$39*(1+Inputs!$D$33)^(AQ$251-1)*1</f>
        <v>-9692.015625</v>
      </c>
      <c r="AR288" s="69" t="n">
        <f aca="false">-Inputs!$D$39*(1+Inputs!$D$33)^(AR$251-1)*1</f>
        <v>-9692.015625</v>
      </c>
      <c r="AS288" s="69" t="n">
        <f aca="false">-Inputs!$D$39*(1+Inputs!$D$33)^(AS$251-1)*1</f>
        <v>-9692.015625</v>
      </c>
      <c r="AT288" s="69" t="n">
        <f aca="false">-Inputs!$D$39*(1+Inputs!$D$33)^(AT$251-1)*1</f>
        <v>-9692.015625</v>
      </c>
      <c r="AU288" s="69" t="n">
        <f aca="false">-Inputs!$D$39*(1+Inputs!$D$33)^(AU$251-1)*1</f>
        <v>-9692.015625</v>
      </c>
      <c r="AV288" s="69" t="n">
        <f aca="false">-Inputs!$D$39*(1+Inputs!$D$33)^(AV$251-1)*1</f>
        <v>-9692.015625</v>
      </c>
      <c r="AW288" s="69" t="n">
        <f aca="false">-Inputs!$D$39*(1+Inputs!$D$33)^(AW$251-1)*1</f>
        <v>-9692.015625</v>
      </c>
      <c r="AX288" s="69" t="n">
        <f aca="false">-Inputs!$D$39*(1+Inputs!$D$33)^(AX$251-1)*1</f>
        <v>-9692.015625</v>
      </c>
      <c r="AY288" s="69" t="n">
        <f aca="false">-Inputs!$D$39*(1+Inputs!$D$33)^(AY$251-1)*1</f>
        <v>-9934.316015625</v>
      </c>
      <c r="AZ288" s="69" t="n">
        <f aca="false">-Inputs!$D$39*(1+Inputs!$D$33)^(AZ$251-1)*1</f>
        <v>-9934.316015625</v>
      </c>
      <c r="BA288" s="69" t="n">
        <f aca="false">-Inputs!$D$39*(1+Inputs!$D$33)^(BA$251-1)*1</f>
        <v>-9934.316015625</v>
      </c>
      <c r="BB288" s="69" t="n">
        <f aca="false">-Inputs!$D$39*(1+Inputs!$D$33)^(BB$251-1)*1</f>
        <v>-9934.316015625</v>
      </c>
      <c r="BC288" s="69" t="n">
        <f aca="false">-Inputs!$D$39*(1+Inputs!$D$33)^(BC$251-1)*1</f>
        <v>-9934.316015625</v>
      </c>
      <c r="BD288" s="69" t="n">
        <f aca="false">-Inputs!$D$39*(1+Inputs!$D$33)^(BD$251-1)*1</f>
        <v>-9934.316015625</v>
      </c>
      <c r="BE288" s="69" t="n">
        <f aca="false">-Inputs!$D$39*(1+Inputs!$D$33)^(BE$251-1)*1</f>
        <v>-9934.316015625</v>
      </c>
      <c r="BF288" s="69" t="n">
        <f aca="false">-Inputs!$D$39*(1+Inputs!$D$33)^(BF$251-1)*1</f>
        <v>-9934.316015625</v>
      </c>
      <c r="BG288" s="69" t="n">
        <f aca="false">-Inputs!$D$39*(1+Inputs!$D$33)^(BG$251-1)*1</f>
        <v>-9934.316015625</v>
      </c>
      <c r="BH288" s="69" t="n">
        <f aca="false">-Inputs!$D$39*(1+Inputs!$D$33)^(BH$251-1)*1</f>
        <v>-9934.316015625</v>
      </c>
      <c r="BI288" s="69" t="n">
        <f aca="false">-Inputs!$D$39*(1+Inputs!$D$33)^(BI$251-1)*1</f>
        <v>-9934.316015625</v>
      </c>
      <c r="BJ288" s="69" t="n">
        <f aca="false">-Inputs!$D$39*(1+Inputs!$D$33)^(BJ$251-1)*1</f>
        <v>-9934.316015625</v>
      </c>
    </row>
    <row r="289" customFormat="false" ht="15" hidden="false" customHeight="false" outlineLevel="0" collapsed="false">
      <c r="A289" s="6" t="s">
        <v>337</v>
      </c>
      <c r="C289" s="69" t="n">
        <f aca="false">-Inputs!$D$40*(1+Inputs!$D$41)^(C$251-1)*1</f>
        <v>-7000</v>
      </c>
      <c r="D289" s="69" t="n">
        <f aca="false">-Inputs!$D$40*(1+Inputs!$D$41)^(D$251-1)*1</f>
        <v>-7000</v>
      </c>
      <c r="E289" s="69" t="n">
        <f aca="false">-Inputs!$D$40*(1+Inputs!$D$41)^(E$251-1)*1</f>
        <v>-7000</v>
      </c>
      <c r="F289" s="69" t="n">
        <f aca="false">-Inputs!$D$40*(1+Inputs!$D$41)^(F$251-1)*1</f>
        <v>-7000</v>
      </c>
      <c r="G289" s="69" t="n">
        <f aca="false">-Inputs!$D$40*(1+Inputs!$D$41)^(G$251-1)*1</f>
        <v>-7000</v>
      </c>
      <c r="H289" s="69" t="n">
        <f aca="false">-Inputs!$D$40*(1+Inputs!$D$41)^(H$251-1)*1</f>
        <v>-7000</v>
      </c>
      <c r="I289" s="69" t="n">
        <f aca="false">-Inputs!$D$40*(1+Inputs!$D$41)^(I$251-1)*1</f>
        <v>-7000</v>
      </c>
      <c r="J289" s="69" t="n">
        <f aca="false">-Inputs!$D$40*(1+Inputs!$D$41)^(J$251-1)*1</f>
        <v>-7000</v>
      </c>
      <c r="K289" s="69" t="n">
        <f aca="false">-Inputs!$D$40*(1+Inputs!$D$41)^(K$251-1)*1</f>
        <v>-7000</v>
      </c>
      <c r="L289" s="69" t="n">
        <f aca="false">-Inputs!$D$40*(1+Inputs!$D$41)^(L$251-1)*1</f>
        <v>-7000</v>
      </c>
      <c r="M289" s="69" t="n">
        <f aca="false">-Inputs!$D$40*(1+Inputs!$D$41)^(M$251-1)*1</f>
        <v>-7000</v>
      </c>
      <c r="N289" s="69" t="n">
        <f aca="false">-Inputs!$D$40*(1+Inputs!$D$41)^(N$251-1)*1</f>
        <v>-7000</v>
      </c>
      <c r="O289" s="69" t="n">
        <f aca="false">-Inputs!$D$40*(1+Inputs!$D$41)^(O$251-1)*1</f>
        <v>-6300</v>
      </c>
      <c r="P289" s="69" t="n">
        <f aca="false">-Inputs!$D$40*(1+Inputs!$D$41)^(P$251-1)*1</f>
        <v>-6300</v>
      </c>
      <c r="Q289" s="69" t="n">
        <f aca="false">-Inputs!$D$40*(1+Inputs!$D$41)^(Q$251-1)*1</f>
        <v>-6300</v>
      </c>
      <c r="R289" s="69" t="n">
        <f aca="false">-Inputs!$D$40*(1+Inputs!$D$41)^(R$251-1)*1</f>
        <v>-6300</v>
      </c>
      <c r="S289" s="69" t="n">
        <f aca="false">-Inputs!$D$40*(1+Inputs!$D$41)^(S$251-1)*1</f>
        <v>-6300</v>
      </c>
      <c r="T289" s="69" t="n">
        <f aca="false">-Inputs!$D$40*(1+Inputs!$D$41)^(T$251-1)*1</f>
        <v>-6300</v>
      </c>
      <c r="U289" s="69" t="n">
        <f aca="false">-Inputs!$D$40*(1+Inputs!$D$41)^(U$251-1)*1</f>
        <v>-6300</v>
      </c>
      <c r="V289" s="69" t="n">
        <f aca="false">-Inputs!$D$40*(1+Inputs!$D$41)^(V$251-1)*1</f>
        <v>-6300</v>
      </c>
      <c r="W289" s="69" t="n">
        <f aca="false">-Inputs!$D$40*(1+Inputs!$D$41)^(W$251-1)*1</f>
        <v>-6300</v>
      </c>
      <c r="X289" s="69" t="n">
        <f aca="false">-Inputs!$D$40*(1+Inputs!$D$41)^(X$251-1)*1</f>
        <v>-6300</v>
      </c>
      <c r="Y289" s="69" t="n">
        <f aca="false">-Inputs!$D$40*(1+Inputs!$D$41)^(Y$251-1)*1</f>
        <v>-6300</v>
      </c>
      <c r="Z289" s="69" t="n">
        <f aca="false">-Inputs!$D$40*(1+Inputs!$D$41)^(Z$251-1)*1</f>
        <v>-6300</v>
      </c>
      <c r="AA289" s="69" t="n">
        <f aca="false">-Inputs!$D$40*(1+Inputs!$D$41)^(AA$251-1)*1</f>
        <v>-5670</v>
      </c>
      <c r="AB289" s="69" t="n">
        <f aca="false">-Inputs!$D$40*(1+Inputs!$D$41)^(AB$251-1)*1</f>
        <v>-5670</v>
      </c>
      <c r="AC289" s="69" t="n">
        <f aca="false">-Inputs!$D$40*(1+Inputs!$D$41)^(AC$251-1)*1</f>
        <v>-5670</v>
      </c>
      <c r="AD289" s="69" t="n">
        <f aca="false">-Inputs!$D$40*(1+Inputs!$D$41)^(AD$251-1)*1</f>
        <v>-5670</v>
      </c>
      <c r="AE289" s="69" t="n">
        <f aca="false">-Inputs!$D$40*(1+Inputs!$D$41)^(AE$251-1)*1</f>
        <v>-5670</v>
      </c>
      <c r="AF289" s="69" t="n">
        <f aca="false">-Inputs!$D$40*(1+Inputs!$D$41)^(AF$251-1)*1</f>
        <v>-5670</v>
      </c>
      <c r="AG289" s="69" t="n">
        <f aca="false">-Inputs!$D$40*(1+Inputs!$D$41)^(AG$251-1)*1</f>
        <v>-5670</v>
      </c>
      <c r="AH289" s="69" t="n">
        <f aca="false">-Inputs!$D$40*(1+Inputs!$D$41)^(AH$251-1)*1</f>
        <v>-5670</v>
      </c>
      <c r="AI289" s="69" t="n">
        <f aca="false">-Inputs!$D$40*(1+Inputs!$D$41)^(AI$251-1)*1</f>
        <v>-5670</v>
      </c>
      <c r="AJ289" s="69" t="n">
        <f aca="false">-Inputs!$D$40*(1+Inputs!$D$41)^(AJ$251-1)*1</f>
        <v>-5670</v>
      </c>
      <c r="AK289" s="69" t="n">
        <f aca="false">-Inputs!$D$40*(1+Inputs!$D$41)^(AK$251-1)*1</f>
        <v>-5670</v>
      </c>
      <c r="AL289" s="69" t="n">
        <f aca="false">-Inputs!$D$40*(1+Inputs!$D$41)^(AL$251-1)*1</f>
        <v>-5670</v>
      </c>
      <c r="AM289" s="69" t="n">
        <f aca="false">-Inputs!$D$40*(1+Inputs!$D$41)^(AM$251-1)*1</f>
        <v>-5103</v>
      </c>
      <c r="AN289" s="69" t="n">
        <f aca="false">-Inputs!$D$40*(1+Inputs!$D$41)^(AN$251-1)*1</f>
        <v>-5103</v>
      </c>
      <c r="AO289" s="69" t="n">
        <f aca="false">-Inputs!$D$40*(1+Inputs!$D$41)^(AO$251-1)*1</f>
        <v>-5103</v>
      </c>
      <c r="AP289" s="69" t="n">
        <f aca="false">-Inputs!$D$40*(1+Inputs!$D$41)^(AP$251-1)*1</f>
        <v>-5103</v>
      </c>
      <c r="AQ289" s="69" t="n">
        <f aca="false">-Inputs!$D$40*(1+Inputs!$D$41)^(AQ$251-1)*1</f>
        <v>-5103</v>
      </c>
      <c r="AR289" s="69" t="n">
        <f aca="false">-Inputs!$D$40*(1+Inputs!$D$41)^(AR$251-1)*1</f>
        <v>-5103</v>
      </c>
      <c r="AS289" s="69" t="n">
        <f aca="false">-Inputs!$D$40*(1+Inputs!$D$41)^(AS$251-1)*1</f>
        <v>-5103</v>
      </c>
      <c r="AT289" s="69" t="n">
        <f aca="false">-Inputs!$D$40*(1+Inputs!$D$41)^(AT$251-1)*1</f>
        <v>-5103</v>
      </c>
      <c r="AU289" s="69" t="n">
        <f aca="false">-Inputs!$D$40*(1+Inputs!$D$41)^(AU$251-1)*1</f>
        <v>-5103</v>
      </c>
      <c r="AV289" s="69" t="n">
        <f aca="false">-Inputs!$D$40*(1+Inputs!$D$41)^(AV$251-1)*1</f>
        <v>-5103</v>
      </c>
      <c r="AW289" s="69" t="n">
        <f aca="false">-Inputs!$D$40*(1+Inputs!$D$41)^(AW$251-1)*1</f>
        <v>-5103</v>
      </c>
      <c r="AX289" s="69" t="n">
        <f aca="false">-Inputs!$D$40*(1+Inputs!$D$41)^(AX$251-1)*1</f>
        <v>-5103</v>
      </c>
      <c r="AY289" s="69" t="n">
        <f aca="false">-Inputs!$D$40*(1+Inputs!$D$41)^(AY$251-1)*1</f>
        <v>-4592.7</v>
      </c>
      <c r="AZ289" s="69" t="n">
        <f aca="false">-Inputs!$D$40*(1+Inputs!$D$41)^(AZ$251-1)*1</f>
        <v>-4592.7</v>
      </c>
      <c r="BA289" s="69" t="n">
        <f aca="false">-Inputs!$D$40*(1+Inputs!$D$41)^(BA$251-1)*1</f>
        <v>-4592.7</v>
      </c>
      <c r="BB289" s="69" t="n">
        <f aca="false">-Inputs!$D$40*(1+Inputs!$D$41)^(BB$251-1)*1</f>
        <v>-4592.7</v>
      </c>
      <c r="BC289" s="69" t="n">
        <f aca="false">-Inputs!$D$40*(1+Inputs!$D$41)^(BC$251-1)*1</f>
        <v>-4592.7</v>
      </c>
      <c r="BD289" s="69" t="n">
        <f aca="false">-Inputs!$D$40*(1+Inputs!$D$41)^(BD$251-1)*1</f>
        <v>-4592.7</v>
      </c>
      <c r="BE289" s="69" t="n">
        <f aca="false">-Inputs!$D$40*(1+Inputs!$D$41)^(BE$251-1)*1</f>
        <v>-4592.7</v>
      </c>
      <c r="BF289" s="69" t="n">
        <f aca="false">-Inputs!$D$40*(1+Inputs!$D$41)^(BF$251-1)*1</f>
        <v>-4592.7</v>
      </c>
      <c r="BG289" s="69" t="n">
        <f aca="false">-Inputs!$D$40*(1+Inputs!$D$41)^(BG$251-1)*1</f>
        <v>-4592.7</v>
      </c>
      <c r="BH289" s="69" t="n">
        <f aca="false">-Inputs!$D$40*(1+Inputs!$D$41)^(BH$251-1)*1</f>
        <v>-4592.7</v>
      </c>
      <c r="BI289" s="69" t="n">
        <f aca="false">-Inputs!$D$40*(1+Inputs!$D$41)^(BI$251-1)*1</f>
        <v>-4592.7</v>
      </c>
      <c r="BJ289" s="69" t="n">
        <f aca="false">-Inputs!$D$40*(1+Inputs!$D$41)^(BJ$251-1)*1</f>
        <v>-4592.7</v>
      </c>
    </row>
    <row r="290" customFormat="false" ht="15" hidden="false" customHeight="false" outlineLevel="0" collapsed="false">
      <c r="A290" s="6" t="s">
        <v>338</v>
      </c>
      <c r="C290" s="69" t="n">
        <f aca="false">-C274*Inputs!$D$32</f>
        <v>-2761.92</v>
      </c>
      <c r="D290" s="69" t="n">
        <f aca="false">-D274*Inputs!$D$32</f>
        <v>-3068.8</v>
      </c>
      <c r="E290" s="69" t="n">
        <f aca="false">-E274*Inputs!$D$32</f>
        <v>-3375.68</v>
      </c>
      <c r="F290" s="69" t="n">
        <f aca="false">-F274*Inputs!$D$32</f>
        <v>-3682.56</v>
      </c>
      <c r="G290" s="69" t="n">
        <f aca="false">-G274*Inputs!$D$32</f>
        <v>-3989.44</v>
      </c>
      <c r="H290" s="69" t="n">
        <f aca="false">-H274*Inputs!$D$32</f>
        <v>-4296.32</v>
      </c>
      <c r="I290" s="69" t="n">
        <f aca="false">-I274*Inputs!$D$32</f>
        <v>-4603.2</v>
      </c>
      <c r="J290" s="69" t="n">
        <f aca="false">-J274*Inputs!$D$32</f>
        <v>-4910.08</v>
      </c>
      <c r="K290" s="69" t="n">
        <f aca="false">-K274*Inputs!$D$32</f>
        <v>-5216.96</v>
      </c>
      <c r="L290" s="69" t="n">
        <f aca="false">-L274*Inputs!$D$32</f>
        <v>-5523.84</v>
      </c>
      <c r="M290" s="69" t="n">
        <f aca="false">-M274*Inputs!$D$32</f>
        <v>-5523.84</v>
      </c>
      <c r="N290" s="69" t="n">
        <f aca="false">-N274*Inputs!$D$32</f>
        <v>-5523.84</v>
      </c>
      <c r="O290" s="69" t="n">
        <f aca="false">-O274*Inputs!$D$32</f>
        <v>-6089.481216</v>
      </c>
      <c r="P290" s="69" t="n">
        <f aca="false">-P274*Inputs!$D$32</f>
        <v>-6089.481216</v>
      </c>
      <c r="Q290" s="69" t="n">
        <f aca="false">-Q274*Inputs!$D$32</f>
        <v>-6089.481216</v>
      </c>
      <c r="R290" s="69" t="n">
        <f aca="false">-R274*Inputs!$D$32</f>
        <v>-6089.481216</v>
      </c>
      <c r="S290" s="69" t="n">
        <f aca="false">-S274*Inputs!$D$32</f>
        <v>-6089.481216</v>
      </c>
      <c r="T290" s="69" t="n">
        <f aca="false">-T274*Inputs!$D$32</f>
        <v>-6089.481216</v>
      </c>
      <c r="U290" s="69" t="n">
        <f aca="false">-U274*Inputs!$D$32</f>
        <v>-6089.481216</v>
      </c>
      <c r="V290" s="69" t="n">
        <f aca="false">-V274*Inputs!$D$32</f>
        <v>-6089.481216</v>
      </c>
      <c r="W290" s="69" t="n">
        <f aca="false">-W274*Inputs!$D$32</f>
        <v>-6089.481216</v>
      </c>
      <c r="X290" s="69" t="n">
        <f aca="false">-X274*Inputs!$D$32</f>
        <v>-6089.481216</v>
      </c>
      <c r="Y290" s="69" t="n">
        <f aca="false">-Y274*Inputs!$D$32</f>
        <v>-6089.481216</v>
      </c>
      <c r="Z290" s="69" t="n">
        <f aca="false">-Z274*Inputs!$D$32</f>
        <v>-6089.481216</v>
      </c>
      <c r="AA290" s="69" t="n">
        <f aca="false">-AA274*Inputs!$D$32</f>
        <v>-6713.0440925184</v>
      </c>
      <c r="AB290" s="69" t="n">
        <f aca="false">-AB274*Inputs!$D$32</f>
        <v>-6713.0440925184</v>
      </c>
      <c r="AC290" s="69" t="n">
        <f aca="false">-AC274*Inputs!$D$32</f>
        <v>-6713.0440925184</v>
      </c>
      <c r="AD290" s="69" t="n">
        <f aca="false">-AD274*Inputs!$D$32</f>
        <v>-6713.0440925184</v>
      </c>
      <c r="AE290" s="69" t="n">
        <f aca="false">-AE274*Inputs!$D$32</f>
        <v>-6713.0440925184</v>
      </c>
      <c r="AF290" s="69" t="n">
        <f aca="false">-AF274*Inputs!$D$32</f>
        <v>-6713.0440925184</v>
      </c>
      <c r="AG290" s="69" t="n">
        <f aca="false">-AG274*Inputs!$D$32</f>
        <v>-6713.0440925184</v>
      </c>
      <c r="AH290" s="69" t="n">
        <f aca="false">-AH274*Inputs!$D$32</f>
        <v>-6713.0440925184</v>
      </c>
      <c r="AI290" s="69" t="n">
        <f aca="false">-AI274*Inputs!$D$32</f>
        <v>-6713.0440925184</v>
      </c>
      <c r="AJ290" s="69" t="n">
        <f aca="false">-AJ274*Inputs!$D$32</f>
        <v>-6713.0440925184</v>
      </c>
      <c r="AK290" s="69" t="n">
        <f aca="false">-AK274*Inputs!$D$32</f>
        <v>-6713.0440925184</v>
      </c>
      <c r="AL290" s="69" t="n">
        <f aca="false">-AL274*Inputs!$D$32</f>
        <v>-6713.0440925184</v>
      </c>
      <c r="AM290" s="69" t="n">
        <f aca="false">-AM274*Inputs!$D$32</f>
        <v>-7378.61289984</v>
      </c>
      <c r="AN290" s="69" t="n">
        <f aca="false">-AN274*Inputs!$D$32</f>
        <v>-7378.61289984</v>
      </c>
      <c r="AO290" s="69" t="n">
        <f aca="false">-AO274*Inputs!$D$32</f>
        <v>-7378.61289984</v>
      </c>
      <c r="AP290" s="69" t="n">
        <f aca="false">-AP274*Inputs!$D$32</f>
        <v>-7378.61289984</v>
      </c>
      <c r="AQ290" s="69" t="n">
        <f aca="false">-AQ274*Inputs!$D$32</f>
        <v>-7378.61289984</v>
      </c>
      <c r="AR290" s="69" t="n">
        <f aca="false">-AR274*Inputs!$D$32</f>
        <v>-7378.61289984</v>
      </c>
      <c r="AS290" s="69" t="n">
        <f aca="false">-AS274*Inputs!$D$32</f>
        <v>-7378.61289984</v>
      </c>
      <c r="AT290" s="69" t="n">
        <f aca="false">-AT274*Inputs!$D$32</f>
        <v>-7378.61289984</v>
      </c>
      <c r="AU290" s="69" t="n">
        <f aca="false">-AU274*Inputs!$D$32</f>
        <v>-7378.61289984</v>
      </c>
      <c r="AV290" s="69" t="n">
        <f aca="false">-AV274*Inputs!$D$32</f>
        <v>-7378.61289984</v>
      </c>
      <c r="AW290" s="69" t="n">
        <f aca="false">-AW274*Inputs!$D$32</f>
        <v>-7378.61289984</v>
      </c>
      <c r="AX290" s="69" t="n">
        <f aca="false">-AX274*Inputs!$D$32</f>
        <v>-7378.61289984</v>
      </c>
      <c r="AY290" s="69" t="n">
        <f aca="false">-AY274*Inputs!$D$32</f>
        <v>-7673.7574158336</v>
      </c>
      <c r="AZ290" s="69" t="n">
        <f aca="false">-AZ274*Inputs!$D$32</f>
        <v>-7673.7574158336</v>
      </c>
      <c r="BA290" s="69" t="n">
        <f aca="false">-BA274*Inputs!$D$32</f>
        <v>-7673.7574158336</v>
      </c>
      <c r="BB290" s="69" t="n">
        <f aca="false">-BB274*Inputs!$D$32</f>
        <v>-7673.7574158336</v>
      </c>
      <c r="BC290" s="69" t="n">
        <f aca="false">-BC274*Inputs!$D$32</f>
        <v>-7673.7574158336</v>
      </c>
      <c r="BD290" s="69" t="n">
        <f aca="false">-BD274*Inputs!$D$32</f>
        <v>-7673.7574158336</v>
      </c>
      <c r="BE290" s="69" t="n">
        <f aca="false">-BE274*Inputs!$D$32</f>
        <v>-7673.7574158336</v>
      </c>
      <c r="BF290" s="69" t="n">
        <f aca="false">-BF274*Inputs!$D$32</f>
        <v>-7673.7574158336</v>
      </c>
      <c r="BG290" s="69" t="n">
        <f aca="false">-BG274*Inputs!$D$32</f>
        <v>-7673.7574158336</v>
      </c>
      <c r="BH290" s="69" t="n">
        <f aca="false">-BH274*Inputs!$D$32</f>
        <v>-7673.7574158336</v>
      </c>
      <c r="BI290" s="69" t="n">
        <f aca="false">-BI274*Inputs!$D$32</f>
        <v>-7673.7574158336</v>
      </c>
      <c r="BJ290" s="69" t="n">
        <f aca="false">-BJ274*Inputs!$D$32</f>
        <v>-7673.7574158336</v>
      </c>
    </row>
    <row r="291" customFormat="false" ht="15" hidden="false" customHeight="false" outlineLevel="0" collapsed="false">
      <c r="A291" s="115" t="s">
        <v>77</v>
      </c>
      <c r="C291" s="70" t="n">
        <f aca="false">C285+C286+C287+C288+C289+C290</f>
        <v>-58991.0866666667</v>
      </c>
      <c r="D291" s="70" t="n">
        <f aca="false">D285+D286+D287+D288+D289+D290</f>
        <v>-59297.9666666667</v>
      </c>
      <c r="E291" s="70" t="n">
        <f aca="false">E285+E286+E287+E288+E289+E290</f>
        <v>-59604.8466666667</v>
      </c>
      <c r="F291" s="70" t="n">
        <f aca="false">F285+F286+F287+F288+F289+F290</f>
        <v>-59911.7266666667</v>
      </c>
      <c r="G291" s="70" t="n">
        <f aca="false">G285+G286+G287+G288+G289+G290</f>
        <v>-60218.6066666667</v>
      </c>
      <c r="H291" s="70" t="n">
        <f aca="false">H285+H286+H287+H288+H289+H290</f>
        <v>-60525.4866666667</v>
      </c>
      <c r="I291" s="70" t="n">
        <f aca="false">I285+I286+I287+I288+I289+I290</f>
        <v>-60832.3666666667</v>
      </c>
      <c r="J291" s="70" t="n">
        <f aca="false">J285+J286+J287+J288+J289+J290</f>
        <v>-61139.2466666667</v>
      </c>
      <c r="K291" s="70" t="n">
        <f aca="false">K285+K286+K287+K288+K289+K290</f>
        <v>-61446.1266666667</v>
      </c>
      <c r="L291" s="70" t="n">
        <f aca="false">L285+L286+L287+L288+L289+L290</f>
        <v>-61753.0066666667</v>
      </c>
      <c r="M291" s="70" t="n">
        <f aca="false">M285+M286+M287+M288+M289+M290</f>
        <v>-61753.0066666667</v>
      </c>
      <c r="N291" s="70" t="n">
        <f aca="false">N285+N286+N287+N288+N289+N290</f>
        <v>-61753.0066666667</v>
      </c>
      <c r="O291" s="70" t="n">
        <f aca="false">O285+O286+O287+O288+O289+O290</f>
        <v>-63028.0228826667</v>
      </c>
      <c r="P291" s="70" t="n">
        <f aca="false">P285+P286+P287+P288+P289+P290</f>
        <v>-63028.0228826667</v>
      </c>
      <c r="Q291" s="70" t="n">
        <f aca="false">Q285+Q286+Q287+Q288+Q289+Q290</f>
        <v>-63028.0228826667</v>
      </c>
      <c r="R291" s="70" t="n">
        <f aca="false">R285+R286+R287+R288+R289+R290</f>
        <v>-63028.0228826667</v>
      </c>
      <c r="S291" s="70" t="n">
        <f aca="false">S285+S286+S287+S288+S289+S290</f>
        <v>-63028.0228826667</v>
      </c>
      <c r="T291" s="70" t="n">
        <f aca="false">T285+T286+T287+T288+T289+T290</f>
        <v>-63028.0228826667</v>
      </c>
      <c r="U291" s="70" t="n">
        <f aca="false">U285+U286+U287+U288+U289+U290</f>
        <v>-63028.0228826667</v>
      </c>
      <c r="V291" s="70" t="n">
        <f aca="false">V285+V286+V287+V288+V289+V290</f>
        <v>-63028.0228826667</v>
      </c>
      <c r="W291" s="70" t="n">
        <f aca="false">W285+W286+W287+W288+W289+W290</f>
        <v>-63028.0228826667</v>
      </c>
      <c r="X291" s="70" t="n">
        <f aca="false">X285+X286+X287+X288+X289+X290</f>
        <v>-63028.0228826667</v>
      </c>
      <c r="Y291" s="70" t="n">
        <f aca="false">Y285+Y286+Y287+Y288+Y289+Y290</f>
        <v>-63028.0228826667</v>
      </c>
      <c r="Z291" s="70" t="n">
        <f aca="false">Z285+Z286+Z287+Z288+Z289+Z290</f>
        <v>-63028.0228826667</v>
      </c>
      <c r="AA291" s="70" t="n">
        <f aca="false">AA285+AA286+AA287+AA288+AA289+AA290</f>
        <v>-64471.5545091851</v>
      </c>
      <c r="AB291" s="70" t="n">
        <f aca="false">AB285+AB286+AB287+AB288+AB289+AB290</f>
        <v>-64471.5545091851</v>
      </c>
      <c r="AC291" s="70" t="n">
        <f aca="false">AC285+AC286+AC287+AC288+AC289+AC290</f>
        <v>-64471.5545091851</v>
      </c>
      <c r="AD291" s="70" t="n">
        <f aca="false">AD285+AD286+AD287+AD288+AD289+AD290</f>
        <v>-64471.5545091851</v>
      </c>
      <c r="AE291" s="70" t="n">
        <f aca="false">AE285+AE286+AE287+AE288+AE289+AE290</f>
        <v>-64471.5545091851</v>
      </c>
      <c r="AF291" s="70" t="n">
        <f aca="false">AF285+AF286+AF287+AF288+AF289+AF290</f>
        <v>-64471.5545091851</v>
      </c>
      <c r="AG291" s="70" t="n">
        <f aca="false">AG285+AG286+AG287+AG288+AG289+AG290</f>
        <v>-64471.5545091851</v>
      </c>
      <c r="AH291" s="70" t="n">
        <f aca="false">AH285+AH286+AH287+AH288+AH289+AH290</f>
        <v>-64471.5545091851</v>
      </c>
      <c r="AI291" s="70" t="n">
        <f aca="false">AI285+AI286+AI287+AI288+AI289+AI290</f>
        <v>-64471.5545091851</v>
      </c>
      <c r="AJ291" s="70" t="n">
        <f aca="false">AJ285+AJ286+AJ287+AJ288+AJ289+AJ290</f>
        <v>-64471.5545091851</v>
      </c>
      <c r="AK291" s="70" t="n">
        <f aca="false">AK285+AK286+AK287+AK288+AK289+AK290</f>
        <v>-64471.5545091851</v>
      </c>
      <c r="AL291" s="70" t="n">
        <f aca="false">AL285+AL286+AL287+AL288+AL289+AL290</f>
        <v>-64471.5545091851</v>
      </c>
      <c r="AM291" s="70" t="n">
        <f aca="false">AM285+AM286+AM287+AM288+AM289+AM290</f>
        <v>-66061.8614415067</v>
      </c>
      <c r="AN291" s="70" t="n">
        <f aca="false">AN285+AN286+AN287+AN288+AN289+AN290</f>
        <v>-66061.8614415067</v>
      </c>
      <c r="AO291" s="70" t="n">
        <f aca="false">AO285+AO286+AO287+AO288+AO289+AO290</f>
        <v>-66061.8614415067</v>
      </c>
      <c r="AP291" s="70" t="n">
        <f aca="false">AP285+AP286+AP287+AP288+AP289+AP290</f>
        <v>-66061.8614415067</v>
      </c>
      <c r="AQ291" s="70" t="n">
        <f aca="false">AQ285+AQ286+AQ287+AQ288+AQ289+AQ290</f>
        <v>-66061.8614415067</v>
      </c>
      <c r="AR291" s="70" t="n">
        <f aca="false">AR285+AR286+AR287+AR288+AR289+AR290</f>
        <v>-66061.8614415067</v>
      </c>
      <c r="AS291" s="70" t="n">
        <f aca="false">AS285+AS286+AS287+AS288+AS289+AS290</f>
        <v>-66061.8614415067</v>
      </c>
      <c r="AT291" s="70" t="n">
        <f aca="false">AT285+AT286+AT287+AT288+AT289+AT290</f>
        <v>-66061.8614415067</v>
      </c>
      <c r="AU291" s="70" t="n">
        <f aca="false">AU285+AU286+AU287+AU288+AU289+AU290</f>
        <v>-66061.8614415067</v>
      </c>
      <c r="AV291" s="70" t="n">
        <f aca="false">AV285+AV286+AV287+AV288+AV289+AV290</f>
        <v>-66061.8614415067</v>
      </c>
      <c r="AW291" s="70" t="n">
        <f aca="false">AW285+AW286+AW287+AW288+AW289+AW290</f>
        <v>-66061.8614415067</v>
      </c>
      <c r="AX291" s="70" t="n">
        <f aca="false">AX285+AX286+AX287+AX288+AX289+AX290</f>
        <v>-66061.8614415067</v>
      </c>
      <c r="AY291" s="70" t="n">
        <f aca="false">AY285+AY286+AY287+AY288+AY289+AY290</f>
        <v>-67381.4232965628</v>
      </c>
      <c r="AZ291" s="70" t="n">
        <f aca="false">AZ285+AZ286+AZ287+AZ288+AZ289+AZ290</f>
        <v>-67381.4232965628</v>
      </c>
      <c r="BA291" s="70" t="n">
        <f aca="false">BA285+BA286+BA287+BA288+BA289+BA290</f>
        <v>-67381.4232965628</v>
      </c>
      <c r="BB291" s="70" t="n">
        <f aca="false">BB285+BB286+BB287+BB288+BB289+BB290</f>
        <v>-67381.4232965628</v>
      </c>
      <c r="BC291" s="70" t="n">
        <f aca="false">BC285+BC286+BC287+BC288+BC289+BC290</f>
        <v>-67381.4232965628</v>
      </c>
      <c r="BD291" s="70" t="n">
        <f aca="false">BD285+BD286+BD287+BD288+BD289+BD290</f>
        <v>-67381.4232965628</v>
      </c>
      <c r="BE291" s="70" t="n">
        <f aca="false">BE285+BE286+BE287+BE288+BE289+BE290</f>
        <v>-67381.4232965628</v>
      </c>
      <c r="BF291" s="70" t="n">
        <f aca="false">BF285+BF286+BF287+BF288+BF289+BF290</f>
        <v>-67381.4232965628</v>
      </c>
      <c r="BG291" s="70" t="n">
        <f aca="false">BG285+BG286+BG287+BG288+BG289+BG290</f>
        <v>-67381.4232965628</v>
      </c>
      <c r="BH291" s="70" t="n">
        <f aca="false">BH285+BH286+BH287+BH288+BH289+BH290</f>
        <v>-67381.4232965628</v>
      </c>
      <c r="BI291" s="70" t="n">
        <f aca="false">BI285+BI286+BI287+BI288+BI289+BI290</f>
        <v>-67381.4232965628</v>
      </c>
      <c r="BJ291" s="70" t="n">
        <f aca="false">BJ285+BJ286+BJ287+BJ288+BJ289+BJ290</f>
        <v>-67381.4232965628</v>
      </c>
    </row>
    <row r="292" customFormat="false" ht="15" hidden="false" customHeight="false" outlineLevel="0" collapsed="false">
      <c r="A292" s="115" t="s">
        <v>48</v>
      </c>
      <c r="C292" s="70" t="n">
        <f aca="false">C282+C291</f>
        <v>-22230.0866666667</v>
      </c>
      <c r="D292" s="70" t="n">
        <f aca="false">D282+D291</f>
        <v>-14299.6333333333</v>
      </c>
      <c r="E292" s="70" t="n">
        <f aca="false">E282+E291</f>
        <v>-6369.17999999999</v>
      </c>
      <c r="F292" s="70" t="n">
        <f aca="false">F282+F291</f>
        <v>1561.2733333333</v>
      </c>
      <c r="G292" s="70" t="n">
        <f aca="false">G282+G291</f>
        <v>9491.72666666668</v>
      </c>
      <c r="H292" s="70" t="n">
        <f aca="false">H282+H291</f>
        <v>17422.18</v>
      </c>
      <c r="I292" s="70" t="n">
        <f aca="false">I282+I291</f>
        <v>25352.6333333333</v>
      </c>
      <c r="J292" s="70" t="n">
        <f aca="false">J282+J291</f>
        <v>33283.0866666667</v>
      </c>
      <c r="K292" s="70" t="n">
        <f aca="false">K282+K291</f>
        <v>41213.54</v>
      </c>
      <c r="L292" s="70" t="n">
        <f aca="false">L282+L291</f>
        <v>49143.9933333333</v>
      </c>
      <c r="M292" s="70" t="n">
        <f aca="false">M282+M291</f>
        <v>49143.9933333333</v>
      </c>
      <c r="N292" s="70" t="n">
        <f aca="false">N282+N291</f>
        <v>49143.9933333333</v>
      </c>
      <c r="O292" s="70" t="n">
        <f aca="false">O282+O291</f>
        <v>61930.7799173333</v>
      </c>
      <c r="P292" s="70" t="n">
        <f aca="false">P282+P291</f>
        <v>61930.7799173333</v>
      </c>
      <c r="Q292" s="70" t="n">
        <f aca="false">Q282+Q291</f>
        <v>61930.7799173333</v>
      </c>
      <c r="R292" s="70" t="n">
        <f aca="false">R282+R291</f>
        <v>61930.7799173333</v>
      </c>
      <c r="S292" s="70" t="n">
        <f aca="false">S282+S291</f>
        <v>61930.7799173333</v>
      </c>
      <c r="T292" s="70" t="n">
        <f aca="false">T282+T291</f>
        <v>61930.7799173333</v>
      </c>
      <c r="U292" s="70" t="n">
        <f aca="false">U282+U291</f>
        <v>61930.7799173333</v>
      </c>
      <c r="V292" s="70" t="n">
        <f aca="false">V282+V291</f>
        <v>61930.7799173333</v>
      </c>
      <c r="W292" s="70" t="n">
        <f aca="false">W282+W291</f>
        <v>61930.7799173333</v>
      </c>
      <c r="X292" s="70" t="n">
        <f aca="false">X282+X291</f>
        <v>61930.7799173333</v>
      </c>
      <c r="Y292" s="70" t="n">
        <f aca="false">Y282+Y291</f>
        <v>61930.7799173333</v>
      </c>
      <c r="Z292" s="70" t="n">
        <f aca="false">Z282+Z291</f>
        <v>61930.7799173333</v>
      </c>
      <c r="AA292" s="70" t="n">
        <f aca="false">AA282+AA291</f>
        <v>76070.158197535</v>
      </c>
      <c r="AB292" s="70" t="n">
        <f aca="false">AB282+AB291</f>
        <v>76070.158197535</v>
      </c>
      <c r="AC292" s="70" t="n">
        <f aca="false">AC282+AC291</f>
        <v>76070.158197535</v>
      </c>
      <c r="AD292" s="70" t="n">
        <f aca="false">AD282+AD291</f>
        <v>76070.158197535</v>
      </c>
      <c r="AE292" s="70" t="n">
        <f aca="false">AE282+AE291</f>
        <v>76070.158197535</v>
      </c>
      <c r="AF292" s="70" t="n">
        <f aca="false">AF282+AF291</f>
        <v>76070.158197535</v>
      </c>
      <c r="AG292" s="70" t="n">
        <f aca="false">AG282+AG291</f>
        <v>76070.158197535</v>
      </c>
      <c r="AH292" s="70" t="n">
        <f aca="false">AH282+AH291</f>
        <v>76070.158197535</v>
      </c>
      <c r="AI292" s="70" t="n">
        <f aca="false">AI282+AI291</f>
        <v>76070.158197535</v>
      </c>
      <c r="AJ292" s="70" t="n">
        <f aca="false">AJ282+AJ291</f>
        <v>76070.158197535</v>
      </c>
      <c r="AK292" s="70" t="n">
        <f aca="false">AK282+AK291</f>
        <v>76070.158197535</v>
      </c>
      <c r="AL292" s="70" t="n">
        <f aca="false">AL282+AL291</f>
        <v>76070.158197535</v>
      </c>
      <c r="AM292" s="70" t="n">
        <f aca="false">AM282+AM291</f>
        <v>91155.6460054933</v>
      </c>
      <c r="AN292" s="70" t="n">
        <f aca="false">AN282+AN291</f>
        <v>91155.6460054933</v>
      </c>
      <c r="AO292" s="70" t="n">
        <f aca="false">AO282+AO291</f>
        <v>91155.6460054933</v>
      </c>
      <c r="AP292" s="70" t="n">
        <f aca="false">AP282+AP291</f>
        <v>91155.6460054933</v>
      </c>
      <c r="AQ292" s="70" t="n">
        <f aca="false">AQ282+AQ291</f>
        <v>91155.6460054933</v>
      </c>
      <c r="AR292" s="70" t="n">
        <f aca="false">AR282+AR291</f>
        <v>91155.6460054933</v>
      </c>
      <c r="AS292" s="70" t="n">
        <f aca="false">AS282+AS291</f>
        <v>91155.6460054933</v>
      </c>
      <c r="AT292" s="70" t="n">
        <f aca="false">AT282+AT291</f>
        <v>91155.6460054933</v>
      </c>
      <c r="AU292" s="70" t="n">
        <f aca="false">AU282+AU291</f>
        <v>91155.6460054933</v>
      </c>
      <c r="AV292" s="70" t="n">
        <f aca="false">AV282+AV291</f>
        <v>91155.6460054933</v>
      </c>
      <c r="AW292" s="70" t="n">
        <f aca="false">AW282+AW291</f>
        <v>91155.6460054933</v>
      </c>
      <c r="AX292" s="70" t="n">
        <f aca="false">AX282+AX291</f>
        <v>91155.6460054933</v>
      </c>
      <c r="AY292" s="70" t="n">
        <f aca="false">AY282+AY291</f>
        <v>96533.1911645673</v>
      </c>
      <c r="AZ292" s="70" t="n">
        <f aca="false">AZ282+AZ291</f>
        <v>96533.1911645673</v>
      </c>
      <c r="BA292" s="70" t="n">
        <f aca="false">BA282+BA291</f>
        <v>96533.1911645673</v>
      </c>
      <c r="BB292" s="70" t="n">
        <f aca="false">BB282+BB291</f>
        <v>96533.1911645673</v>
      </c>
      <c r="BC292" s="70" t="n">
        <f aca="false">BC282+BC291</f>
        <v>96533.1911645673</v>
      </c>
      <c r="BD292" s="70" t="n">
        <f aca="false">BD282+BD291</f>
        <v>96533.1911645673</v>
      </c>
      <c r="BE292" s="70" t="n">
        <f aca="false">BE282+BE291</f>
        <v>96533.1911645673</v>
      </c>
      <c r="BF292" s="70" t="n">
        <f aca="false">BF282+BF291</f>
        <v>96533.1911645673</v>
      </c>
      <c r="BG292" s="70" t="n">
        <f aca="false">BG282+BG291</f>
        <v>96533.1911645673</v>
      </c>
      <c r="BH292" s="70" t="n">
        <f aca="false">BH282+BH291</f>
        <v>96533.1911645673</v>
      </c>
      <c r="BI292" s="70" t="n">
        <f aca="false">BI282+BI291</f>
        <v>96533.1911645673</v>
      </c>
      <c r="BJ292" s="70" t="n">
        <f aca="false">BJ282+BJ291</f>
        <v>96533.1911645673</v>
      </c>
    </row>
    <row r="294" customFormat="false" ht="15.75" hidden="false" customHeight="true" outlineLevel="0" collapsed="false">
      <c r="A294" s="7" t="s">
        <v>425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customFormat="false" ht="15" hidden="false" customHeight="false" outlineLevel="0" collapsed="false">
      <c r="A295" s="4" t="s">
        <v>79</v>
      </c>
      <c r="C295" s="75" t="n">
        <f aca="false">C292+C312</f>
        <v>-26209.2533333333</v>
      </c>
      <c r="D295" s="75" t="n">
        <f aca="false">D292+D312</f>
        <v>-18278.8</v>
      </c>
      <c r="E295" s="75" t="n">
        <f aca="false">E292+E312</f>
        <v>-10348.3466666667</v>
      </c>
      <c r="F295" s="75" t="n">
        <f aca="false">F292+F312</f>
        <v>-2417.89333333337</v>
      </c>
      <c r="G295" s="75" t="n">
        <f aca="false">G292+G312</f>
        <v>5512.56000000002</v>
      </c>
      <c r="H295" s="75" t="n">
        <f aca="false">H292+H312</f>
        <v>13443.0133333333</v>
      </c>
      <c r="I295" s="75" t="n">
        <f aca="false">I292+I312</f>
        <v>21373.4666666667</v>
      </c>
      <c r="J295" s="75" t="n">
        <f aca="false">J292+J312</f>
        <v>29303.92</v>
      </c>
      <c r="K295" s="75" t="n">
        <f aca="false">K292+K312</f>
        <v>37234.3733333333</v>
      </c>
      <c r="L295" s="75" t="n">
        <f aca="false">L292+L312</f>
        <v>45164.8266666667</v>
      </c>
      <c r="M295" s="75" t="n">
        <f aca="false">M292+M312</f>
        <v>45164.8266666667</v>
      </c>
      <c r="N295" s="75" t="n">
        <f aca="false">N292+N312</f>
        <v>45164.8266666667</v>
      </c>
      <c r="O295" s="75" t="n">
        <f aca="false">O292+O312</f>
        <v>57743.2799173333</v>
      </c>
      <c r="P295" s="75" t="n">
        <f aca="false">P292+P312</f>
        <v>57743.2799173333</v>
      </c>
      <c r="Q295" s="75" t="n">
        <f aca="false">Q292+Q312</f>
        <v>57743.2799173333</v>
      </c>
      <c r="R295" s="75" t="n">
        <f aca="false">R292+R312</f>
        <v>57743.2799173333</v>
      </c>
      <c r="S295" s="75" t="n">
        <f aca="false">S292+S312</f>
        <v>57743.2799173333</v>
      </c>
      <c r="T295" s="75" t="n">
        <f aca="false">T292+T312</f>
        <v>57743.2799173333</v>
      </c>
      <c r="U295" s="75" t="n">
        <f aca="false">U292+U312</f>
        <v>57743.2799173333</v>
      </c>
      <c r="V295" s="75" t="n">
        <f aca="false">V292+V312</f>
        <v>57743.2799173333</v>
      </c>
      <c r="W295" s="75" t="n">
        <f aca="false">W292+W312</f>
        <v>57743.2799173333</v>
      </c>
      <c r="X295" s="75" t="n">
        <f aca="false">X292+X312</f>
        <v>57743.2799173333</v>
      </c>
      <c r="Y295" s="75" t="n">
        <f aca="false">Y292+Y312</f>
        <v>57743.2799173333</v>
      </c>
      <c r="Z295" s="75" t="n">
        <f aca="false">Z292+Z312</f>
        <v>57743.2799173333</v>
      </c>
      <c r="AA295" s="75" t="n">
        <f aca="false">AA292+AA312</f>
        <v>71674.3248642016</v>
      </c>
      <c r="AB295" s="75" t="n">
        <f aca="false">AB292+AB312</f>
        <v>71674.3248642016</v>
      </c>
      <c r="AC295" s="75" t="n">
        <f aca="false">AC292+AC312</f>
        <v>71674.3248642016</v>
      </c>
      <c r="AD295" s="75" t="n">
        <f aca="false">AD292+AD312</f>
        <v>71674.3248642016</v>
      </c>
      <c r="AE295" s="75" t="n">
        <f aca="false">AE292+AE312</f>
        <v>71674.3248642016</v>
      </c>
      <c r="AF295" s="75" t="n">
        <f aca="false">AF292+AF312</f>
        <v>71674.3248642016</v>
      </c>
      <c r="AG295" s="75" t="n">
        <f aca="false">AG292+AG312</f>
        <v>71674.3248642016</v>
      </c>
      <c r="AH295" s="75" t="n">
        <f aca="false">AH292+AH312</f>
        <v>71674.3248642016</v>
      </c>
      <c r="AI295" s="75" t="n">
        <f aca="false">AI292+AI312</f>
        <v>71674.3248642016</v>
      </c>
      <c r="AJ295" s="75" t="n">
        <f aca="false">AJ292+AJ312</f>
        <v>71674.3248642016</v>
      </c>
      <c r="AK295" s="75" t="n">
        <f aca="false">AK292+AK312</f>
        <v>71674.3248642016</v>
      </c>
      <c r="AL295" s="75" t="n">
        <f aca="false">AL292+AL312</f>
        <v>71674.3248642016</v>
      </c>
      <c r="AM295" s="75" t="n">
        <f aca="false">AM292+AM312</f>
        <v>86551.4793388267</v>
      </c>
      <c r="AN295" s="75" t="n">
        <f aca="false">AN292+AN312</f>
        <v>86551.4793388267</v>
      </c>
      <c r="AO295" s="75" t="n">
        <f aca="false">AO292+AO312</f>
        <v>86551.4793388267</v>
      </c>
      <c r="AP295" s="75" t="n">
        <f aca="false">AP292+AP312</f>
        <v>86551.4793388267</v>
      </c>
      <c r="AQ295" s="75" t="n">
        <f aca="false">AQ292+AQ312</f>
        <v>86551.4793388267</v>
      </c>
      <c r="AR295" s="75" t="n">
        <f aca="false">AR292+AR312</f>
        <v>86551.4793388267</v>
      </c>
      <c r="AS295" s="75" t="n">
        <f aca="false">AS292+AS312</f>
        <v>86551.4793388267</v>
      </c>
      <c r="AT295" s="75" t="n">
        <f aca="false">AT292+AT312</f>
        <v>86551.4793388267</v>
      </c>
      <c r="AU295" s="75" t="n">
        <f aca="false">AU292+AU312</f>
        <v>86551.4793388267</v>
      </c>
      <c r="AV295" s="75" t="n">
        <f aca="false">AV292+AV312</f>
        <v>86551.4793388267</v>
      </c>
      <c r="AW295" s="75" t="n">
        <f aca="false">AW292+AW312</f>
        <v>86551.4793388267</v>
      </c>
      <c r="AX295" s="75" t="n">
        <f aca="false">AX292+AX312</f>
        <v>86551.4793388267</v>
      </c>
      <c r="AY295" s="75" t="n">
        <f aca="false">AY292+AY312</f>
        <v>91720.6911645673</v>
      </c>
      <c r="AZ295" s="75" t="n">
        <f aca="false">AZ292+AZ312</f>
        <v>91720.6911645673</v>
      </c>
      <c r="BA295" s="75" t="n">
        <f aca="false">BA292+BA312</f>
        <v>91720.6911645673</v>
      </c>
      <c r="BB295" s="75" t="n">
        <f aca="false">BB292+BB312</f>
        <v>91720.6911645673</v>
      </c>
      <c r="BC295" s="75" t="n">
        <f aca="false">BC292+BC312</f>
        <v>91720.6911645673</v>
      </c>
      <c r="BD295" s="75" t="n">
        <f aca="false">BD292+BD312</f>
        <v>91720.6911645673</v>
      </c>
      <c r="BE295" s="75" t="n">
        <f aca="false">BE292+BE312</f>
        <v>91720.6911645673</v>
      </c>
      <c r="BF295" s="75" t="n">
        <f aca="false">BF292+BF312</f>
        <v>91720.6911645673</v>
      </c>
      <c r="BG295" s="75" t="n">
        <f aca="false">BG292+BG312</f>
        <v>91720.6911645673</v>
      </c>
      <c r="BH295" s="75" t="n">
        <f aca="false">BH292+BH312</f>
        <v>91720.6911645673</v>
      </c>
      <c r="BI295" s="75" t="n">
        <f aca="false">BI292+BI312</f>
        <v>91720.6911645673</v>
      </c>
      <c r="BJ295" s="75" t="n">
        <f aca="false">BJ292+BJ312</f>
        <v>91720.6911645673</v>
      </c>
    </row>
    <row r="296" customFormat="false" ht="15" hidden="false" customHeight="false" outlineLevel="0" collapsed="false">
      <c r="A296" s="6" t="s">
        <v>426</v>
      </c>
      <c r="C296" s="69" t="n">
        <f aca="false">-(C317+C318+C320)/2*Inputs!$D$69/12</f>
        <v>-1875</v>
      </c>
      <c r="D296" s="69" t="n">
        <f aca="false">-(D317+D318+D320)/2*Inputs!$D$69/12</f>
        <v>-1863.83928571429</v>
      </c>
      <c r="E296" s="69" t="n">
        <f aca="false">-(E317+E318+E320)/2*Inputs!$D$69/12</f>
        <v>-1841.51785714286</v>
      </c>
      <c r="F296" s="69" t="n">
        <f aca="false">-(F317+F318+F320)/2*Inputs!$D$69/12</f>
        <v>-1819.19642857143</v>
      </c>
      <c r="G296" s="69" t="n">
        <f aca="false">-(G317+G318+G320)/2*Inputs!$D$69/12</f>
        <v>-1796.875</v>
      </c>
      <c r="H296" s="69" t="n">
        <f aca="false">-(H317+H318+H320)/2*Inputs!$D$69/12</f>
        <v>-1774.55357142857</v>
      </c>
      <c r="I296" s="69" t="n">
        <f aca="false">-(I317+I318+I320)/2*Inputs!$D$69/12</f>
        <v>-1752.23214285714</v>
      </c>
      <c r="J296" s="69" t="n">
        <f aca="false">-(J317+J318+J320)/2*Inputs!$D$69/12</f>
        <v>-1729.91071428571</v>
      </c>
      <c r="K296" s="69" t="n">
        <f aca="false">-(K317+K318+K320)/2*Inputs!$D$69/12</f>
        <v>-1707.58928571429</v>
      </c>
      <c r="L296" s="69" t="n">
        <f aca="false">-(L317+L318+L320)/2*Inputs!$D$69/12</f>
        <v>-1685.26785714286</v>
      </c>
      <c r="M296" s="69" t="n">
        <f aca="false">-(M317+M318+M320)/2*Inputs!$D$69/12</f>
        <v>-1662.94642857143</v>
      </c>
      <c r="N296" s="69" t="n">
        <f aca="false">-(N317+N318+N320)/2*Inputs!$D$69/12</f>
        <v>-1640.625</v>
      </c>
      <c r="O296" s="69" t="n">
        <f aca="false">-(O317+O318+O320)/2*Inputs!$D$69/12</f>
        <v>-1618.30357142857</v>
      </c>
      <c r="P296" s="69" t="n">
        <f aca="false">-(P317+P318+P320)/2*Inputs!$D$69/12</f>
        <v>-1595.98214285714</v>
      </c>
      <c r="Q296" s="69" t="n">
        <f aca="false">-(Q317+Q318+Q320)/2*Inputs!$D$69/12</f>
        <v>-1573.66071428571</v>
      </c>
      <c r="R296" s="69" t="n">
        <f aca="false">-(R317+R318+R320)/2*Inputs!$D$69/12</f>
        <v>-1551.33928571429</v>
      </c>
      <c r="S296" s="69" t="n">
        <f aca="false">-(S317+S318+S320)/2*Inputs!$D$69/12</f>
        <v>-1529.01785714286</v>
      </c>
      <c r="T296" s="69" t="n">
        <f aca="false">-(T317+T318+T320)/2*Inputs!$D$69/12</f>
        <v>-1506.69642857143</v>
      </c>
      <c r="U296" s="69" t="n">
        <f aca="false">-(U317+U318+U320)/2*Inputs!$D$69/12</f>
        <v>-1484.375</v>
      </c>
      <c r="V296" s="69" t="n">
        <f aca="false">-(V317+V318+V320)/2*Inputs!$D$69/12</f>
        <v>-1462.05357142857</v>
      </c>
      <c r="W296" s="69" t="n">
        <f aca="false">-(W317+W318+W320)/2*Inputs!$D$69/12</f>
        <v>-1439.73214285714</v>
      </c>
      <c r="X296" s="69" t="n">
        <f aca="false">-(X317+X318+X320)/2*Inputs!$D$69/12</f>
        <v>-1417.41071428571</v>
      </c>
      <c r="Y296" s="69" t="n">
        <f aca="false">-(Y317+Y318+Y320)/2*Inputs!$D$69/12</f>
        <v>-1395.08928571429</v>
      </c>
      <c r="Z296" s="69" t="n">
        <f aca="false">-(Z317+Z318+Z320)/2*Inputs!$D$69/12</f>
        <v>-1372.76785714286</v>
      </c>
      <c r="AA296" s="69" t="n">
        <f aca="false">-(AA317+AA318+AA320)/2*Inputs!$D$69/12</f>
        <v>-1350.44642857143</v>
      </c>
      <c r="AB296" s="69" t="n">
        <f aca="false">-(AB317+AB318+AB320)/2*Inputs!$D$69/12</f>
        <v>-1328.125</v>
      </c>
      <c r="AC296" s="69" t="n">
        <f aca="false">-(AC317+AC318+AC320)/2*Inputs!$D$69/12</f>
        <v>-1305.80357142857</v>
      </c>
      <c r="AD296" s="69" t="n">
        <f aca="false">-(AD317+AD318+AD320)/2*Inputs!$D$69/12</f>
        <v>-1283.48214285714</v>
      </c>
      <c r="AE296" s="69" t="n">
        <f aca="false">-(AE317+AE318+AE320)/2*Inputs!$D$69/12</f>
        <v>-1261.16071428572</v>
      </c>
      <c r="AF296" s="69" t="n">
        <f aca="false">-(AF317+AF318+AF320)/2*Inputs!$D$69/12</f>
        <v>-1238.83928571429</v>
      </c>
      <c r="AG296" s="69" t="n">
        <f aca="false">-(AG317+AG318+AG320)/2*Inputs!$D$69/12</f>
        <v>-1216.51785714286</v>
      </c>
      <c r="AH296" s="69" t="n">
        <f aca="false">-(AH317+AH318+AH320)/2*Inputs!$D$69/12</f>
        <v>-1194.19642857143</v>
      </c>
      <c r="AI296" s="69" t="n">
        <f aca="false">-(AI317+AI318+AI320)/2*Inputs!$D$69/12</f>
        <v>-1171.875</v>
      </c>
      <c r="AJ296" s="69" t="n">
        <f aca="false">-(AJ317+AJ318+AJ320)/2*Inputs!$D$69/12</f>
        <v>-1149.55357142857</v>
      </c>
      <c r="AK296" s="69" t="n">
        <f aca="false">-(AK317+AK318+AK320)/2*Inputs!$D$69/12</f>
        <v>-1127.23214285714</v>
      </c>
      <c r="AL296" s="69" t="n">
        <f aca="false">-(AL317+AL318+AL320)/2*Inputs!$D$69/12</f>
        <v>-1104.91071428572</v>
      </c>
      <c r="AM296" s="69" t="n">
        <f aca="false">-(AM317+AM318+AM320)/2*Inputs!$D$69/12</f>
        <v>-1082.58928571429</v>
      </c>
      <c r="AN296" s="69" t="n">
        <f aca="false">-(AN317+AN318+AN320)/2*Inputs!$D$69/12</f>
        <v>-1060.26785714286</v>
      </c>
      <c r="AO296" s="69" t="n">
        <f aca="false">-(AO317+AO318+AO320)/2*Inputs!$D$69/12</f>
        <v>-1037.94642857143</v>
      </c>
      <c r="AP296" s="69" t="n">
        <f aca="false">-(AP317+AP318+AP320)/2*Inputs!$D$69/12</f>
        <v>-1015.625</v>
      </c>
      <c r="AQ296" s="69" t="n">
        <f aca="false">-(AQ317+AQ318+AQ320)/2*Inputs!$D$69/12</f>
        <v>-993.303571428572</v>
      </c>
      <c r="AR296" s="69" t="n">
        <f aca="false">-(AR317+AR318+AR320)/2*Inputs!$D$69/12</f>
        <v>-970.982142857144</v>
      </c>
      <c r="AS296" s="69" t="n">
        <f aca="false">-(AS317+AS318+AS320)/2*Inputs!$D$69/12</f>
        <v>-948.660714285715</v>
      </c>
      <c r="AT296" s="69" t="n">
        <f aca="false">-(AT317+AT318+AT320)/2*Inputs!$D$69/12</f>
        <v>-926.339285714287</v>
      </c>
      <c r="AU296" s="69" t="n">
        <f aca="false">-(AU317+AU318+AU320)/2*Inputs!$D$69/12</f>
        <v>-904.017857142858</v>
      </c>
      <c r="AV296" s="69" t="n">
        <f aca="false">-(AV317+AV318+AV320)/2*Inputs!$D$69/12</f>
        <v>-881.69642857143</v>
      </c>
      <c r="AW296" s="69" t="n">
        <f aca="false">-(AW317+AW318+AW320)/2*Inputs!$D$69/12</f>
        <v>-859.375000000001</v>
      </c>
      <c r="AX296" s="69" t="n">
        <f aca="false">-(AX317+AX318+AX320)/2*Inputs!$D$69/12</f>
        <v>-837.053571428572</v>
      </c>
      <c r="AY296" s="69" t="n">
        <f aca="false">-(AY317+AY318+AY320)/2*Inputs!$D$69/12</f>
        <v>-814.732142857144</v>
      </c>
      <c r="AZ296" s="69" t="n">
        <f aca="false">-(AZ317+AZ318+AZ320)/2*Inputs!$D$69/12</f>
        <v>-792.410714285715</v>
      </c>
      <c r="BA296" s="69" t="n">
        <f aca="false">-(BA317+BA318+BA320)/2*Inputs!$D$69/12</f>
        <v>-770.089285714287</v>
      </c>
      <c r="BB296" s="69" t="n">
        <f aca="false">-(BB317+BB318+BB320)/2*Inputs!$D$69/12</f>
        <v>-747.767857142858</v>
      </c>
      <c r="BC296" s="69" t="n">
        <f aca="false">-(BC317+BC318+BC320)/2*Inputs!$D$69/12</f>
        <v>-725.44642857143</v>
      </c>
      <c r="BD296" s="69" t="n">
        <f aca="false">-(BD317+BD318+BD320)/2*Inputs!$D$69/12</f>
        <v>-703.125000000001</v>
      </c>
      <c r="BE296" s="69" t="n">
        <f aca="false">-(BE317+BE318+BE320)/2*Inputs!$D$69/12</f>
        <v>-680.803571428573</v>
      </c>
      <c r="BF296" s="69" t="n">
        <f aca="false">-(BF317+BF318+BF320)/2*Inputs!$D$69/12</f>
        <v>-658.482142857144</v>
      </c>
      <c r="BG296" s="69" t="n">
        <f aca="false">-(BG317+BG318+BG320)/2*Inputs!$D$69/12</f>
        <v>-636.160714285716</v>
      </c>
      <c r="BH296" s="69" t="n">
        <f aca="false">-(BH317+BH318+BH320)/2*Inputs!$D$69/12</f>
        <v>-613.839285714287</v>
      </c>
      <c r="BI296" s="69" t="n">
        <f aca="false">-(BI317+BI318+BI320)/2*Inputs!$D$69/12</f>
        <v>-591.517857142858</v>
      </c>
      <c r="BJ296" s="69" t="n">
        <f aca="false">-(BJ317+BJ318+BJ320)/2*Inputs!$D$69/12</f>
        <v>-569.19642857143</v>
      </c>
    </row>
    <row r="297" customFormat="false" ht="15" hidden="false" customHeight="false" outlineLevel="0" collapsed="false">
      <c r="A297" s="115" t="s">
        <v>81</v>
      </c>
      <c r="C297" s="70" t="n">
        <f aca="false">C295+C296</f>
        <v>-28084.2533333333</v>
      </c>
      <c r="D297" s="70" t="n">
        <f aca="false">D295+D296</f>
        <v>-20142.6392857143</v>
      </c>
      <c r="E297" s="70" t="n">
        <f aca="false">E295+E296</f>
        <v>-12189.8645238095</v>
      </c>
      <c r="F297" s="70" t="n">
        <f aca="false">F295+F296</f>
        <v>-4237.08976190479</v>
      </c>
      <c r="G297" s="70" t="n">
        <f aca="false">G295+G296</f>
        <v>3715.68500000002</v>
      </c>
      <c r="H297" s="70" t="n">
        <f aca="false">H295+H296</f>
        <v>11668.4597619047</v>
      </c>
      <c r="I297" s="70" t="n">
        <f aca="false">I295+I296</f>
        <v>19621.2345238095</v>
      </c>
      <c r="J297" s="70" t="n">
        <f aca="false">J295+J296</f>
        <v>27574.0092857143</v>
      </c>
      <c r="K297" s="70" t="n">
        <f aca="false">K295+K296</f>
        <v>35526.784047619</v>
      </c>
      <c r="L297" s="70" t="n">
        <f aca="false">L295+L296</f>
        <v>43479.5588095238</v>
      </c>
      <c r="M297" s="70" t="n">
        <f aca="false">M295+M296</f>
        <v>43501.8802380952</v>
      </c>
      <c r="N297" s="70" t="n">
        <f aca="false">N295+N296</f>
        <v>43524.2016666667</v>
      </c>
      <c r="O297" s="70" t="n">
        <f aca="false">O295+O296</f>
        <v>56124.9763459047</v>
      </c>
      <c r="P297" s="70" t="n">
        <f aca="false">P295+P296</f>
        <v>56147.2977744762</v>
      </c>
      <c r="Q297" s="70" t="n">
        <f aca="false">Q295+Q296</f>
        <v>56169.6192030476</v>
      </c>
      <c r="R297" s="70" t="n">
        <f aca="false">R295+R296</f>
        <v>56191.940631619</v>
      </c>
      <c r="S297" s="70" t="n">
        <f aca="false">S295+S296</f>
        <v>56214.2620601905</v>
      </c>
      <c r="T297" s="70" t="n">
        <f aca="false">T295+T296</f>
        <v>56236.5834887619</v>
      </c>
      <c r="U297" s="70" t="n">
        <f aca="false">U295+U296</f>
        <v>56258.9049173333</v>
      </c>
      <c r="V297" s="70" t="n">
        <f aca="false">V295+V296</f>
        <v>56281.2263459047</v>
      </c>
      <c r="W297" s="70" t="n">
        <f aca="false">W295+W296</f>
        <v>56303.5477744762</v>
      </c>
      <c r="X297" s="70" t="n">
        <f aca="false">X295+X296</f>
        <v>56325.8692030476</v>
      </c>
      <c r="Y297" s="70" t="n">
        <f aca="false">Y295+Y296</f>
        <v>56348.190631619</v>
      </c>
      <c r="Z297" s="70" t="n">
        <f aca="false">Z295+Z296</f>
        <v>56370.5120601905</v>
      </c>
      <c r="AA297" s="70" t="n">
        <f aca="false">AA295+AA296</f>
        <v>70323.8784356302</v>
      </c>
      <c r="AB297" s="70" t="n">
        <f aca="false">AB295+AB296</f>
        <v>70346.1998642016</v>
      </c>
      <c r="AC297" s="70" t="n">
        <f aca="false">AC295+AC296</f>
        <v>70368.5212927731</v>
      </c>
      <c r="AD297" s="70" t="n">
        <f aca="false">AD295+AD296</f>
        <v>70390.8427213445</v>
      </c>
      <c r="AE297" s="70" t="n">
        <f aca="false">AE295+AE296</f>
        <v>70413.1641499159</v>
      </c>
      <c r="AF297" s="70" t="n">
        <f aca="false">AF295+AF296</f>
        <v>70435.4855784874</v>
      </c>
      <c r="AG297" s="70" t="n">
        <f aca="false">AG295+AG296</f>
        <v>70457.8070070588</v>
      </c>
      <c r="AH297" s="70" t="n">
        <f aca="false">AH295+AH296</f>
        <v>70480.1284356302</v>
      </c>
      <c r="AI297" s="70" t="n">
        <f aca="false">AI295+AI296</f>
        <v>70502.4498642016</v>
      </c>
      <c r="AJ297" s="70" t="n">
        <f aca="false">AJ295+AJ296</f>
        <v>70524.7712927731</v>
      </c>
      <c r="AK297" s="70" t="n">
        <f aca="false">AK295+AK296</f>
        <v>70547.0927213445</v>
      </c>
      <c r="AL297" s="70" t="n">
        <f aca="false">AL295+AL296</f>
        <v>70569.4141499159</v>
      </c>
      <c r="AM297" s="70" t="n">
        <f aca="false">AM295+AM296</f>
        <v>85468.8900531124</v>
      </c>
      <c r="AN297" s="70" t="n">
        <f aca="false">AN295+AN296</f>
        <v>85491.2114816838</v>
      </c>
      <c r="AO297" s="70" t="n">
        <f aca="false">AO295+AO296</f>
        <v>85513.5329102552</v>
      </c>
      <c r="AP297" s="70" t="n">
        <f aca="false">AP295+AP296</f>
        <v>85535.8543388267</v>
      </c>
      <c r="AQ297" s="70" t="n">
        <f aca="false">AQ295+AQ296</f>
        <v>85558.1757673981</v>
      </c>
      <c r="AR297" s="70" t="n">
        <f aca="false">AR295+AR296</f>
        <v>85580.4971959695</v>
      </c>
      <c r="AS297" s="70" t="n">
        <f aca="false">AS295+AS296</f>
        <v>85602.818624541</v>
      </c>
      <c r="AT297" s="70" t="n">
        <f aca="false">AT295+AT296</f>
        <v>85625.1400531124</v>
      </c>
      <c r="AU297" s="70" t="n">
        <f aca="false">AU295+AU296</f>
        <v>85647.4614816838</v>
      </c>
      <c r="AV297" s="70" t="n">
        <f aca="false">AV295+AV296</f>
        <v>85669.7829102552</v>
      </c>
      <c r="AW297" s="70" t="n">
        <f aca="false">AW295+AW296</f>
        <v>85692.1043388267</v>
      </c>
      <c r="AX297" s="70" t="n">
        <f aca="false">AX295+AX296</f>
        <v>85714.4257673981</v>
      </c>
      <c r="AY297" s="70" t="n">
        <f aca="false">AY295+AY296</f>
        <v>90905.9590217101</v>
      </c>
      <c r="AZ297" s="70" t="n">
        <f aca="false">AZ295+AZ296</f>
        <v>90928.2804502816</v>
      </c>
      <c r="BA297" s="70" t="n">
        <f aca="false">BA295+BA296</f>
        <v>90950.601878853</v>
      </c>
      <c r="BB297" s="70" t="n">
        <f aca="false">BB295+BB296</f>
        <v>90972.9233074244</v>
      </c>
      <c r="BC297" s="70" t="n">
        <f aca="false">BC295+BC296</f>
        <v>90995.2447359958</v>
      </c>
      <c r="BD297" s="70" t="n">
        <f aca="false">BD295+BD296</f>
        <v>91017.5661645673</v>
      </c>
      <c r="BE297" s="70" t="n">
        <f aca="false">BE295+BE296</f>
        <v>91039.8875931387</v>
      </c>
      <c r="BF297" s="70" t="n">
        <f aca="false">BF295+BF296</f>
        <v>91062.2090217101</v>
      </c>
      <c r="BG297" s="70" t="n">
        <f aca="false">BG295+BG296</f>
        <v>91084.5304502816</v>
      </c>
      <c r="BH297" s="70" t="n">
        <f aca="false">BH295+BH296</f>
        <v>91106.851878853</v>
      </c>
      <c r="BI297" s="70" t="n">
        <f aca="false">BI295+BI296</f>
        <v>91129.1733074244</v>
      </c>
      <c r="BJ297" s="70" t="n">
        <f aca="false">BJ295+BJ296</f>
        <v>91151.4947359958</v>
      </c>
    </row>
    <row r="298" customFormat="false" ht="15" hidden="false" customHeight="false" outlineLevel="0" collapsed="false">
      <c r="A298" s="118" t="s">
        <v>427</v>
      </c>
      <c r="C298" s="69" t="n">
        <f aca="false">C297</f>
        <v>-28084.2533333333</v>
      </c>
      <c r="D298" s="69" t="n">
        <f aca="false">C298+D297</f>
        <v>-48226.8926190476</v>
      </c>
      <c r="E298" s="69" t="n">
        <f aca="false">D298+E297</f>
        <v>-60416.7571428571</v>
      </c>
      <c r="F298" s="69" t="n">
        <f aca="false">E298+F297</f>
        <v>-64653.8469047619</v>
      </c>
      <c r="G298" s="69" t="n">
        <f aca="false">F298+G297</f>
        <v>-60938.1619047619</v>
      </c>
      <c r="H298" s="69" t="n">
        <f aca="false">G298+H297</f>
        <v>-49269.7021428572</v>
      </c>
      <c r="I298" s="69" t="n">
        <f aca="false">H298+I297</f>
        <v>-29648.4676190477</v>
      </c>
      <c r="J298" s="69" t="n">
        <f aca="false">I298+J297</f>
        <v>-2074.45833333338</v>
      </c>
      <c r="K298" s="69" t="n">
        <f aca="false">J298+K297</f>
        <v>33452.3257142856</v>
      </c>
      <c r="L298" s="69" t="n">
        <f aca="false">K298+L297</f>
        <v>76931.8845238095</v>
      </c>
      <c r="M298" s="69" t="n">
        <f aca="false">L298+M297</f>
        <v>120433.764761905</v>
      </c>
      <c r="N298" s="69" t="n">
        <f aca="false">M298+N297</f>
        <v>163957.966428571</v>
      </c>
      <c r="O298" s="69" t="n">
        <f aca="false">N298+O297</f>
        <v>220082.942774476</v>
      </c>
      <c r="P298" s="69" t="n">
        <f aca="false">O298+P297</f>
        <v>276230.240548952</v>
      </c>
      <c r="Q298" s="69" t="n">
        <f aca="false">P298+Q297</f>
        <v>332399.859752</v>
      </c>
      <c r="R298" s="69" t="n">
        <f aca="false">Q298+R297</f>
        <v>388591.800383619</v>
      </c>
      <c r="S298" s="69" t="n">
        <f aca="false">R298+S297</f>
        <v>444806.062443809</v>
      </c>
      <c r="T298" s="69" t="n">
        <f aca="false">S298+T297</f>
        <v>501042.645932571</v>
      </c>
      <c r="U298" s="69" t="n">
        <f aca="false">T298+U297</f>
        <v>557301.550849905</v>
      </c>
      <c r="V298" s="69" t="n">
        <f aca="false">U298+V297</f>
        <v>613582.777195809</v>
      </c>
      <c r="W298" s="69" t="n">
        <f aca="false">V298+W297</f>
        <v>669886.324970285</v>
      </c>
      <c r="X298" s="69" t="n">
        <f aca="false">W298+X297</f>
        <v>726212.194173333</v>
      </c>
      <c r="Y298" s="69" t="n">
        <f aca="false">X298+Y297</f>
        <v>782560.384804952</v>
      </c>
      <c r="Z298" s="69" t="n">
        <f aca="false">Y298+Z297</f>
        <v>838930.896865143</v>
      </c>
      <c r="AA298" s="69" t="n">
        <f aca="false">Z298+AA297</f>
        <v>909254.775300773</v>
      </c>
      <c r="AB298" s="69" t="n">
        <f aca="false">AA298+AB297</f>
        <v>979600.975164974</v>
      </c>
      <c r="AC298" s="69" t="n">
        <f aca="false">AB298+AC297</f>
        <v>1049969.49645775</v>
      </c>
      <c r="AD298" s="69" t="n">
        <f aca="false">AC298+AD297</f>
        <v>1120360.33917909</v>
      </c>
      <c r="AE298" s="69" t="n">
        <f aca="false">AD298+AE297</f>
        <v>1190773.50332901</v>
      </c>
      <c r="AF298" s="69" t="n">
        <f aca="false">AE298+AF297</f>
        <v>1261208.9889075</v>
      </c>
      <c r="AG298" s="69" t="n">
        <f aca="false">AF298+AG297</f>
        <v>1331666.79591455</v>
      </c>
      <c r="AH298" s="69" t="n">
        <f aca="false">AG298+AH297</f>
        <v>1402146.92435018</v>
      </c>
      <c r="AI298" s="69" t="n">
        <f aca="false">AH298+AI297</f>
        <v>1472649.37421439</v>
      </c>
      <c r="AJ298" s="69" t="n">
        <f aca="false">AI298+AJ297</f>
        <v>1543174.14550716</v>
      </c>
      <c r="AK298" s="69" t="n">
        <f aca="false">AJ298+AK297</f>
        <v>1613721.2382285</v>
      </c>
      <c r="AL298" s="69" t="n">
        <f aca="false">AK298+AL297</f>
        <v>1684290.65237842</v>
      </c>
      <c r="AM298" s="69" t="n">
        <f aca="false">AL298+AM297</f>
        <v>1769759.54243153</v>
      </c>
      <c r="AN298" s="69" t="n">
        <f aca="false">AM298+AN297</f>
        <v>1855250.75391322</v>
      </c>
      <c r="AO298" s="69" t="n">
        <f aca="false">AN298+AO297</f>
        <v>1940764.28682347</v>
      </c>
      <c r="AP298" s="69" t="n">
        <f aca="false">AO298+AP297</f>
        <v>2026300.1411623</v>
      </c>
      <c r="AQ298" s="69" t="n">
        <f aca="false">AP298+AQ297</f>
        <v>2111858.3169297</v>
      </c>
      <c r="AR298" s="69" t="n">
        <f aca="false">AQ298+AR297</f>
        <v>2197438.81412567</v>
      </c>
      <c r="AS298" s="69" t="n">
        <f aca="false">AR298+AS297</f>
        <v>2283041.63275021</v>
      </c>
      <c r="AT298" s="69" t="n">
        <f aca="false">AS298+AT297</f>
        <v>2368666.77280332</v>
      </c>
      <c r="AU298" s="69" t="n">
        <f aca="false">AT298+AU297</f>
        <v>2454314.234285</v>
      </c>
      <c r="AV298" s="69" t="n">
        <f aca="false">AU298+AV297</f>
        <v>2539984.01719526</v>
      </c>
      <c r="AW298" s="69" t="n">
        <f aca="false">AV298+AW297</f>
        <v>2625676.12153408</v>
      </c>
      <c r="AX298" s="69" t="n">
        <f aca="false">AW298+AX297</f>
        <v>2711390.54730148</v>
      </c>
      <c r="AY298" s="69" t="n">
        <f aca="false">AX298+AY297</f>
        <v>2802296.50632319</v>
      </c>
      <c r="AZ298" s="69" t="n">
        <f aca="false">AY298+AZ297</f>
        <v>2893224.78677347</v>
      </c>
      <c r="BA298" s="69" t="n">
        <f aca="false">AZ298+BA297</f>
        <v>2984175.38865233</v>
      </c>
      <c r="BB298" s="69" t="n">
        <f aca="false">BA298+BB297</f>
        <v>3075148.31195975</v>
      </c>
      <c r="BC298" s="69" t="n">
        <f aca="false">BB298+BC297</f>
        <v>3166143.55669575</v>
      </c>
      <c r="BD298" s="69" t="n">
        <f aca="false">BC298+BD297</f>
        <v>3257161.12286032</v>
      </c>
      <c r="BE298" s="69" t="n">
        <f aca="false">BD298+BE297</f>
        <v>3348201.01045345</v>
      </c>
      <c r="BF298" s="69" t="n">
        <f aca="false">BE298+BF297</f>
        <v>3439263.21947516</v>
      </c>
      <c r="BG298" s="69" t="n">
        <f aca="false">BF298+BG297</f>
        <v>3530347.74992545</v>
      </c>
      <c r="BH298" s="69" t="n">
        <f aca="false">BG298+BH297</f>
        <v>3621454.6018043</v>
      </c>
      <c r="BI298" s="69" t="n">
        <f aca="false">BH298+BI297</f>
        <v>3712583.77511172</v>
      </c>
      <c r="BJ298" s="69" t="n">
        <f aca="false">BI298+BJ297</f>
        <v>3803735.26984772</v>
      </c>
    </row>
    <row r="299" customFormat="false" ht="15" hidden="false" customHeight="false" outlineLevel="0" collapsed="false">
      <c r="A299" s="118" t="s">
        <v>428</v>
      </c>
      <c r="C299" s="69" t="n">
        <f aca="false">MAX(0,C298)</f>
        <v>0</v>
      </c>
      <c r="D299" s="69" t="n">
        <f aca="false">MAX(C299,D298)</f>
        <v>0</v>
      </c>
      <c r="E299" s="69" t="n">
        <f aca="false">MAX(D299,E298)</f>
        <v>0</v>
      </c>
      <c r="F299" s="69" t="n">
        <f aca="false">MAX(E299,F298)</f>
        <v>0</v>
      </c>
      <c r="G299" s="69" t="n">
        <f aca="false">MAX(F299,G298)</f>
        <v>0</v>
      </c>
      <c r="H299" s="69" t="n">
        <f aca="false">MAX(G299,H298)</f>
        <v>0</v>
      </c>
      <c r="I299" s="69" t="n">
        <f aca="false">MAX(H299,I298)</f>
        <v>0</v>
      </c>
      <c r="J299" s="69" t="n">
        <f aca="false">MAX(I299,J298)</f>
        <v>0</v>
      </c>
      <c r="K299" s="69" t="n">
        <f aca="false">MAX(J299,K298)</f>
        <v>33452.3257142856</v>
      </c>
      <c r="L299" s="69" t="n">
        <f aca="false">MAX(K299,L298)</f>
        <v>76931.8845238095</v>
      </c>
      <c r="M299" s="69" t="n">
        <f aca="false">MAX(L299,M298)</f>
        <v>120433.764761905</v>
      </c>
      <c r="N299" s="69" t="n">
        <f aca="false">MAX(M299,N298)</f>
        <v>163957.966428571</v>
      </c>
      <c r="O299" s="69" t="n">
        <f aca="false">MAX(N299,O298)</f>
        <v>220082.942774476</v>
      </c>
      <c r="P299" s="69" t="n">
        <f aca="false">MAX(O299,P298)</f>
        <v>276230.240548952</v>
      </c>
      <c r="Q299" s="69" t="n">
        <f aca="false">MAX(P299,Q298)</f>
        <v>332399.859752</v>
      </c>
      <c r="R299" s="69" t="n">
        <f aca="false">MAX(Q299,R298)</f>
        <v>388591.800383619</v>
      </c>
      <c r="S299" s="69" t="n">
        <f aca="false">MAX(R299,S298)</f>
        <v>444806.062443809</v>
      </c>
      <c r="T299" s="69" t="n">
        <f aca="false">MAX(S299,T298)</f>
        <v>501042.645932571</v>
      </c>
      <c r="U299" s="69" t="n">
        <f aca="false">MAX(T299,U298)</f>
        <v>557301.550849905</v>
      </c>
      <c r="V299" s="69" t="n">
        <f aca="false">MAX(U299,V298)</f>
        <v>613582.777195809</v>
      </c>
      <c r="W299" s="69" t="n">
        <f aca="false">MAX(V299,W298)</f>
        <v>669886.324970285</v>
      </c>
      <c r="X299" s="69" t="n">
        <f aca="false">MAX(W299,X298)</f>
        <v>726212.194173333</v>
      </c>
      <c r="Y299" s="69" t="n">
        <f aca="false">MAX(X299,Y298)</f>
        <v>782560.384804952</v>
      </c>
      <c r="Z299" s="69" t="n">
        <f aca="false">MAX(Y299,Z298)</f>
        <v>838930.896865143</v>
      </c>
      <c r="AA299" s="69" t="n">
        <f aca="false">MAX(Z299,AA298)</f>
        <v>909254.775300773</v>
      </c>
      <c r="AB299" s="69" t="n">
        <f aca="false">MAX(AA299,AB298)</f>
        <v>979600.975164974</v>
      </c>
      <c r="AC299" s="69" t="n">
        <f aca="false">MAX(AB299,AC298)</f>
        <v>1049969.49645775</v>
      </c>
      <c r="AD299" s="69" t="n">
        <f aca="false">MAX(AC299,AD298)</f>
        <v>1120360.33917909</v>
      </c>
      <c r="AE299" s="69" t="n">
        <f aca="false">MAX(AD299,AE298)</f>
        <v>1190773.50332901</v>
      </c>
      <c r="AF299" s="69" t="n">
        <f aca="false">MAX(AE299,AF298)</f>
        <v>1261208.9889075</v>
      </c>
      <c r="AG299" s="69" t="n">
        <f aca="false">MAX(AF299,AG298)</f>
        <v>1331666.79591455</v>
      </c>
      <c r="AH299" s="69" t="n">
        <f aca="false">MAX(AG299,AH298)</f>
        <v>1402146.92435018</v>
      </c>
      <c r="AI299" s="69" t="n">
        <f aca="false">MAX(AH299,AI298)</f>
        <v>1472649.37421439</v>
      </c>
      <c r="AJ299" s="69" t="n">
        <f aca="false">MAX(AI299,AJ298)</f>
        <v>1543174.14550716</v>
      </c>
      <c r="AK299" s="69" t="n">
        <f aca="false">MAX(AJ299,AK298)</f>
        <v>1613721.2382285</v>
      </c>
      <c r="AL299" s="69" t="n">
        <f aca="false">MAX(AK299,AL298)</f>
        <v>1684290.65237842</v>
      </c>
      <c r="AM299" s="69" t="n">
        <f aca="false">MAX(AL299,AM298)</f>
        <v>1769759.54243153</v>
      </c>
      <c r="AN299" s="69" t="n">
        <f aca="false">MAX(AM299,AN298)</f>
        <v>1855250.75391322</v>
      </c>
      <c r="AO299" s="69" t="n">
        <f aca="false">MAX(AN299,AO298)</f>
        <v>1940764.28682347</v>
      </c>
      <c r="AP299" s="69" t="n">
        <f aca="false">MAX(AO299,AP298)</f>
        <v>2026300.1411623</v>
      </c>
      <c r="AQ299" s="69" t="n">
        <f aca="false">MAX(AP299,AQ298)</f>
        <v>2111858.3169297</v>
      </c>
      <c r="AR299" s="69" t="n">
        <f aca="false">MAX(AQ299,AR298)</f>
        <v>2197438.81412567</v>
      </c>
      <c r="AS299" s="69" t="n">
        <f aca="false">MAX(AR299,AS298)</f>
        <v>2283041.63275021</v>
      </c>
      <c r="AT299" s="69" t="n">
        <f aca="false">MAX(AS299,AT298)</f>
        <v>2368666.77280332</v>
      </c>
      <c r="AU299" s="69" t="n">
        <f aca="false">MAX(AT299,AU298)</f>
        <v>2454314.234285</v>
      </c>
      <c r="AV299" s="69" t="n">
        <f aca="false">MAX(AU299,AV298)</f>
        <v>2539984.01719526</v>
      </c>
      <c r="AW299" s="69" t="n">
        <f aca="false">MAX(AV299,AW298)</f>
        <v>2625676.12153408</v>
      </c>
      <c r="AX299" s="69" t="n">
        <f aca="false">MAX(AW299,AX298)</f>
        <v>2711390.54730148</v>
      </c>
      <c r="AY299" s="69" t="n">
        <f aca="false">MAX(AX299,AY298)</f>
        <v>2802296.50632319</v>
      </c>
      <c r="AZ299" s="69" t="n">
        <f aca="false">MAX(AY299,AZ298)</f>
        <v>2893224.78677347</v>
      </c>
      <c r="BA299" s="69" t="n">
        <f aca="false">MAX(AZ299,BA298)</f>
        <v>2984175.38865233</v>
      </c>
      <c r="BB299" s="69" t="n">
        <f aca="false">MAX(BA299,BB298)</f>
        <v>3075148.31195975</v>
      </c>
      <c r="BC299" s="69" t="n">
        <f aca="false">MAX(BB299,BC298)</f>
        <v>3166143.55669575</v>
      </c>
      <c r="BD299" s="69" t="n">
        <f aca="false">MAX(BC299,BD298)</f>
        <v>3257161.12286032</v>
      </c>
      <c r="BE299" s="69" t="n">
        <f aca="false">MAX(BD299,BE298)</f>
        <v>3348201.01045345</v>
      </c>
      <c r="BF299" s="69" t="n">
        <f aca="false">MAX(BE299,BF298)</f>
        <v>3439263.21947516</v>
      </c>
      <c r="BG299" s="69" t="n">
        <f aca="false">MAX(BF299,BG298)</f>
        <v>3530347.74992545</v>
      </c>
      <c r="BH299" s="69" t="n">
        <f aca="false">MAX(BG299,BH298)</f>
        <v>3621454.6018043</v>
      </c>
      <c r="BI299" s="69" t="n">
        <f aca="false">MAX(BH299,BI298)</f>
        <v>3712583.77511172</v>
      </c>
      <c r="BJ299" s="69" t="n">
        <f aca="false">MAX(BI299,BJ298)</f>
        <v>3803735.26984772</v>
      </c>
    </row>
    <row r="300" customFormat="false" ht="15" hidden="false" customHeight="false" outlineLevel="0" collapsed="false">
      <c r="A300" s="6" t="s">
        <v>82</v>
      </c>
      <c r="C300" s="69" t="n">
        <f aca="false">-C299*Inputs!$D$79</f>
        <v>-0</v>
      </c>
      <c r="D300" s="69" t="n">
        <f aca="false">-(D299-C299)*Inputs!$D$79</f>
        <v>-0</v>
      </c>
      <c r="E300" s="69" t="n">
        <f aca="false">-(E299-D299)*Inputs!$D$79</f>
        <v>-0</v>
      </c>
      <c r="F300" s="69" t="n">
        <f aca="false">-(F299-E299)*Inputs!$D$79</f>
        <v>-0</v>
      </c>
      <c r="G300" s="69" t="n">
        <f aca="false">-(G299-F299)*Inputs!$D$79</f>
        <v>-0</v>
      </c>
      <c r="H300" s="69" t="n">
        <f aca="false">-(H299-G299)*Inputs!$D$79</f>
        <v>-0</v>
      </c>
      <c r="I300" s="69" t="n">
        <f aca="false">-(I299-H299)*Inputs!$D$79</f>
        <v>-0</v>
      </c>
      <c r="J300" s="69" t="n">
        <f aca="false">-(J299-I299)*Inputs!$D$79</f>
        <v>-0</v>
      </c>
      <c r="K300" s="69" t="n">
        <f aca="false">-(K299-J299)*Inputs!$D$79</f>
        <v>-7024.98839999999</v>
      </c>
      <c r="L300" s="69" t="n">
        <f aca="false">-(L299-K299)*Inputs!$D$79</f>
        <v>-9130.70735</v>
      </c>
      <c r="M300" s="69" t="n">
        <f aca="false">-(M299-L299)*Inputs!$D$79</f>
        <v>-9135.39485</v>
      </c>
      <c r="N300" s="69" t="n">
        <f aca="false">-(N299-M299)*Inputs!$D$79</f>
        <v>-9140.08235</v>
      </c>
      <c r="O300" s="69" t="n">
        <f aca="false">-(O299-N299)*Inputs!$D$79</f>
        <v>-11786.24503264</v>
      </c>
      <c r="P300" s="69" t="n">
        <f aca="false">-(P299-O299)*Inputs!$D$79</f>
        <v>-11790.93253264</v>
      </c>
      <c r="Q300" s="69" t="n">
        <f aca="false">-(Q299-P299)*Inputs!$D$79</f>
        <v>-11795.62003264</v>
      </c>
      <c r="R300" s="69" t="n">
        <f aca="false">-(R299-Q299)*Inputs!$D$79</f>
        <v>-11800.30753264</v>
      </c>
      <c r="S300" s="69" t="n">
        <f aca="false">-(S299-R299)*Inputs!$D$79</f>
        <v>-11804.99503264</v>
      </c>
      <c r="T300" s="69" t="n">
        <f aca="false">-(T299-S299)*Inputs!$D$79</f>
        <v>-11809.68253264</v>
      </c>
      <c r="U300" s="69" t="n">
        <f aca="false">-(U299-T299)*Inputs!$D$79</f>
        <v>-11814.37003264</v>
      </c>
      <c r="V300" s="69" t="n">
        <f aca="false">-(V299-U299)*Inputs!$D$79</f>
        <v>-11819.05753264</v>
      </c>
      <c r="W300" s="69" t="n">
        <f aca="false">-(W299-V299)*Inputs!$D$79</f>
        <v>-11823.74503264</v>
      </c>
      <c r="X300" s="69" t="n">
        <f aca="false">-(X299-W299)*Inputs!$D$79</f>
        <v>-11828.43253264</v>
      </c>
      <c r="Y300" s="69" t="n">
        <f aca="false">-(Y299-X299)*Inputs!$D$79</f>
        <v>-11833.12003264</v>
      </c>
      <c r="Z300" s="69" t="n">
        <f aca="false">-(Z299-Y299)*Inputs!$D$79</f>
        <v>-11837.80753264</v>
      </c>
      <c r="AA300" s="69" t="n">
        <f aca="false">-(AA299-Z299)*Inputs!$D$79</f>
        <v>-14768.0144714824</v>
      </c>
      <c r="AB300" s="69" t="n">
        <f aca="false">-(AB299-AA299)*Inputs!$D$79</f>
        <v>-14772.7019714823</v>
      </c>
      <c r="AC300" s="69" t="n">
        <f aca="false">-(AC299-AB299)*Inputs!$D$79</f>
        <v>-14777.3894714823</v>
      </c>
      <c r="AD300" s="69" t="n">
        <f aca="false">-(AD299-AC299)*Inputs!$D$79</f>
        <v>-14782.0769714823</v>
      </c>
      <c r="AE300" s="69" t="n">
        <f aca="false">-(AE299-AD299)*Inputs!$D$79</f>
        <v>-14786.7644714824</v>
      </c>
      <c r="AF300" s="69" t="n">
        <f aca="false">-(AF299-AE299)*Inputs!$D$79</f>
        <v>-14791.4519714824</v>
      </c>
      <c r="AG300" s="69" t="n">
        <f aca="false">-(AG299-AF299)*Inputs!$D$79</f>
        <v>-14796.1394714823</v>
      </c>
      <c r="AH300" s="69" t="n">
        <f aca="false">-(AH299-AG299)*Inputs!$D$79</f>
        <v>-14800.8269714823</v>
      </c>
      <c r="AI300" s="69" t="n">
        <f aca="false">-(AI299-AH299)*Inputs!$D$79</f>
        <v>-14805.5144714824</v>
      </c>
      <c r="AJ300" s="69" t="n">
        <f aca="false">-(AJ299-AI299)*Inputs!$D$79</f>
        <v>-14810.2019714823</v>
      </c>
      <c r="AK300" s="69" t="n">
        <f aca="false">-(AK299-AJ299)*Inputs!$D$79</f>
        <v>-14814.8894714823</v>
      </c>
      <c r="AL300" s="69" t="n">
        <f aca="false">-(AL299-AK299)*Inputs!$D$79</f>
        <v>-14819.5769714824</v>
      </c>
      <c r="AM300" s="69" t="n">
        <f aca="false">-(AM299-AL299)*Inputs!$D$79</f>
        <v>-17948.4669111536</v>
      </c>
      <c r="AN300" s="69" t="n">
        <f aca="false">-(AN299-AM299)*Inputs!$D$79</f>
        <v>-17953.1544111536</v>
      </c>
      <c r="AO300" s="69" t="n">
        <f aca="false">-(AO299-AN299)*Inputs!$D$79</f>
        <v>-17957.8419111536</v>
      </c>
      <c r="AP300" s="69" t="n">
        <f aca="false">-(AP299-AO299)*Inputs!$D$79</f>
        <v>-17962.5294111536</v>
      </c>
      <c r="AQ300" s="69" t="n">
        <f aca="false">-(AQ299-AP299)*Inputs!$D$79</f>
        <v>-17967.2169111536</v>
      </c>
      <c r="AR300" s="69" t="n">
        <f aca="false">-(AR299-AQ299)*Inputs!$D$79</f>
        <v>-17971.9044111536</v>
      </c>
      <c r="AS300" s="69" t="n">
        <f aca="false">-(AS299-AR299)*Inputs!$D$79</f>
        <v>-17976.5919111536</v>
      </c>
      <c r="AT300" s="69" t="n">
        <f aca="false">-(AT299-AS299)*Inputs!$D$79</f>
        <v>-17981.2794111536</v>
      </c>
      <c r="AU300" s="69" t="n">
        <f aca="false">-(AU299-AT299)*Inputs!$D$79</f>
        <v>-17985.9669111536</v>
      </c>
      <c r="AV300" s="69" t="n">
        <f aca="false">-(AV299-AU299)*Inputs!$D$79</f>
        <v>-17990.6544111536</v>
      </c>
      <c r="AW300" s="69" t="n">
        <f aca="false">-(AW299-AV299)*Inputs!$D$79</f>
        <v>-17995.3419111536</v>
      </c>
      <c r="AX300" s="69" t="n">
        <f aca="false">-(AX299-AW299)*Inputs!$D$79</f>
        <v>-18000.0294111536</v>
      </c>
      <c r="AY300" s="69" t="n">
        <f aca="false">-(AY299-AX299)*Inputs!$D$79</f>
        <v>-19090.2513945592</v>
      </c>
      <c r="AZ300" s="69" t="n">
        <f aca="false">-(AZ299-AY299)*Inputs!$D$79</f>
        <v>-19094.9388945592</v>
      </c>
      <c r="BA300" s="69" t="n">
        <f aca="false">-(BA299-AZ299)*Inputs!$D$79</f>
        <v>-19099.6263945591</v>
      </c>
      <c r="BB300" s="69" t="n">
        <f aca="false">-(BB299-BA299)*Inputs!$D$79</f>
        <v>-19104.3138945591</v>
      </c>
      <c r="BC300" s="69" t="n">
        <f aca="false">-(BC299-BB299)*Inputs!$D$79</f>
        <v>-19109.0013945591</v>
      </c>
      <c r="BD300" s="69" t="n">
        <f aca="false">-(BD299-BC299)*Inputs!$D$79</f>
        <v>-19113.6888945591</v>
      </c>
      <c r="BE300" s="69" t="n">
        <f aca="false">-(BE299-BD299)*Inputs!$D$79</f>
        <v>-19118.3763945591</v>
      </c>
      <c r="BF300" s="69" t="n">
        <f aca="false">-(BF299-BE299)*Inputs!$D$79</f>
        <v>-19123.0638945592</v>
      </c>
      <c r="BG300" s="69" t="n">
        <f aca="false">-(BG299-BF299)*Inputs!$D$79</f>
        <v>-19127.7513945592</v>
      </c>
      <c r="BH300" s="69" t="n">
        <f aca="false">-(BH299-BG299)*Inputs!$D$79</f>
        <v>-19132.4388945591</v>
      </c>
      <c r="BI300" s="69" t="n">
        <f aca="false">-(BI299-BH299)*Inputs!$D$79</f>
        <v>-19137.1263945591</v>
      </c>
      <c r="BJ300" s="69" t="n">
        <f aca="false">-(BJ299-BI299)*Inputs!$D$79</f>
        <v>-19141.8138945591</v>
      </c>
    </row>
    <row r="301" customFormat="false" ht="15" hidden="false" customHeight="false" outlineLevel="0" collapsed="false">
      <c r="A301" s="115" t="s">
        <v>50</v>
      </c>
      <c r="C301" s="70" t="n">
        <f aca="false">C297+C300</f>
        <v>-28084.2533333333</v>
      </c>
      <c r="D301" s="70" t="n">
        <f aca="false">D297+D300</f>
        <v>-20142.6392857143</v>
      </c>
      <c r="E301" s="70" t="n">
        <f aca="false">E297+E300</f>
        <v>-12189.8645238095</v>
      </c>
      <c r="F301" s="70" t="n">
        <f aca="false">F297+F300</f>
        <v>-4237.08976190479</v>
      </c>
      <c r="G301" s="70" t="n">
        <f aca="false">G297+G300</f>
        <v>3715.68500000002</v>
      </c>
      <c r="H301" s="70" t="n">
        <f aca="false">H297+H300</f>
        <v>11668.4597619047</v>
      </c>
      <c r="I301" s="70" t="n">
        <f aca="false">I297+I300</f>
        <v>19621.2345238095</v>
      </c>
      <c r="J301" s="70" t="n">
        <f aca="false">J297+J300</f>
        <v>27574.0092857143</v>
      </c>
      <c r="K301" s="70" t="n">
        <f aca="false">K297+K300</f>
        <v>28501.795647619</v>
      </c>
      <c r="L301" s="70" t="n">
        <f aca="false">L297+L300</f>
        <v>34348.8514595238</v>
      </c>
      <c r="M301" s="70" t="n">
        <f aca="false">M297+M300</f>
        <v>34366.4853880952</v>
      </c>
      <c r="N301" s="70" t="n">
        <f aca="false">N297+N300</f>
        <v>34384.1193166667</v>
      </c>
      <c r="O301" s="70" t="n">
        <f aca="false">O297+O300</f>
        <v>44338.7313132648</v>
      </c>
      <c r="P301" s="70" t="n">
        <f aca="false">P297+P300</f>
        <v>44356.3652418362</v>
      </c>
      <c r="Q301" s="70" t="n">
        <f aca="false">Q297+Q300</f>
        <v>44373.9991704076</v>
      </c>
      <c r="R301" s="70" t="n">
        <f aca="false">R297+R300</f>
        <v>44391.633098979</v>
      </c>
      <c r="S301" s="70" t="n">
        <f aca="false">S297+S300</f>
        <v>44409.2670275505</v>
      </c>
      <c r="T301" s="70" t="n">
        <f aca="false">T297+T300</f>
        <v>44426.9009561219</v>
      </c>
      <c r="U301" s="70" t="n">
        <f aca="false">U297+U300</f>
        <v>44444.5348846933</v>
      </c>
      <c r="V301" s="70" t="n">
        <f aca="false">V297+V300</f>
        <v>44462.1688132648</v>
      </c>
      <c r="W301" s="70" t="n">
        <f aca="false">W297+W300</f>
        <v>44479.8027418362</v>
      </c>
      <c r="X301" s="70" t="n">
        <f aca="false">X297+X300</f>
        <v>44497.4366704076</v>
      </c>
      <c r="Y301" s="70" t="n">
        <f aca="false">Y297+Y300</f>
        <v>44515.070598979</v>
      </c>
      <c r="Z301" s="70" t="n">
        <f aca="false">Z297+Z300</f>
        <v>44532.7045275505</v>
      </c>
      <c r="AA301" s="70" t="n">
        <f aca="false">AA297+AA300</f>
        <v>55555.8639641479</v>
      </c>
      <c r="AB301" s="70" t="n">
        <f aca="false">AB297+AB300</f>
        <v>55573.4978927193</v>
      </c>
      <c r="AC301" s="70" t="n">
        <f aca="false">AC297+AC300</f>
        <v>55591.1318212907</v>
      </c>
      <c r="AD301" s="70" t="n">
        <f aca="false">AD297+AD300</f>
        <v>55608.7657498622</v>
      </c>
      <c r="AE301" s="70" t="n">
        <f aca="false">AE297+AE300</f>
        <v>55626.3996784336</v>
      </c>
      <c r="AF301" s="70" t="n">
        <f aca="false">AF297+AF300</f>
        <v>55644.033607005</v>
      </c>
      <c r="AG301" s="70" t="n">
        <f aca="false">AG297+AG300</f>
        <v>55661.6675355764</v>
      </c>
      <c r="AH301" s="70" t="n">
        <f aca="false">AH297+AH300</f>
        <v>55679.3014641479</v>
      </c>
      <c r="AI301" s="70" t="n">
        <f aca="false">AI297+AI300</f>
        <v>55696.9353927193</v>
      </c>
      <c r="AJ301" s="70" t="n">
        <f aca="false">AJ297+AJ300</f>
        <v>55714.5693212907</v>
      </c>
      <c r="AK301" s="70" t="n">
        <f aca="false">AK297+AK300</f>
        <v>55732.2032498622</v>
      </c>
      <c r="AL301" s="70" t="n">
        <f aca="false">AL297+AL300</f>
        <v>55749.8371784336</v>
      </c>
      <c r="AM301" s="70" t="n">
        <f aca="false">AM297+AM300</f>
        <v>67520.4231419588</v>
      </c>
      <c r="AN301" s="70" t="n">
        <f aca="false">AN297+AN300</f>
        <v>67538.0570705302</v>
      </c>
      <c r="AO301" s="70" t="n">
        <f aca="false">AO297+AO300</f>
        <v>67555.6909991016</v>
      </c>
      <c r="AP301" s="70" t="n">
        <f aca="false">AP297+AP300</f>
        <v>67573.3249276731</v>
      </c>
      <c r="AQ301" s="70" t="n">
        <f aca="false">AQ297+AQ300</f>
        <v>67590.9588562445</v>
      </c>
      <c r="AR301" s="70" t="n">
        <f aca="false">AR297+AR300</f>
        <v>67608.592784816</v>
      </c>
      <c r="AS301" s="70" t="n">
        <f aca="false">AS297+AS300</f>
        <v>67626.2267133873</v>
      </c>
      <c r="AT301" s="70" t="n">
        <f aca="false">AT297+AT300</f>
        <v>67643.8606419587</v>
      </c>
      <c r="AU301" s="70" t="n">
        <f aca="false">AU297+AU300</f>
        <v>67661.4945705302</v>
      </c>
      <c r="AV301" s="70" t="n">
        <f aca="false">AV297+AV300</f>
        <v>67679.1284991016</v>
      </c>
      <c r="AW301" s="70" t="n">
        <f aca="false">AW297+AW300</f>
        <v>67696.7624276731</v>
      </c>
      <c r="AX301" s="70" t="n">
        <f aca="false">AX297+AX300</f>
        <v>67714.3963562445</v>
      </c>
      <c r="AY301" s="70" t="n">
        <f aca="false">AY297+AY300</f>
        <v>71815.707627151</v>
      </c>
      <c r="AZ301" s="70" t="n">
        <f aca="false">AZ297+AZ300</f>
        <v>71833.3415557224</v>
      </c>
      <c r="BA301" s="70" t="n">
        <f aca="false">BA297+BA300</f>
        <v>71850.9754842938</v>
      </c>
      <c r="BB301" s="70" t="n">
        <f aca="false">BB297+BB300</f>
        <v>71868.6094128653</v>
      </c>
      <c r="BC301" s="70" t="n">
        <f aca="false">BC297+BC300</f>
        <v>71886.2433414367</v>
      </c>
      <c r="BD301" s="70" t="n">
        <f aca="false">BD297+BD300</f>
        <v>71903.8772700082</v>
      </c>
      <c r="BE301" s="70" t="n">
        <f aca="false">BE297+BE300</f>
        <v>71921.5111985796</v>
      </c>
      <c r="BF301" s="70" t="n">
        <f aca="false">BF297+BF300</f>
        <v>71939.145127151</v>
      </c>
      <c r="BG301" s="70" t="n">
        <f aca="false">BG297+BG300</f>
        <v>71956.7790557224</v>
      </c>
      <c r="BH301" s="70" t="n">
        <f aca="false">BH297+BH300</f>
        <v>71974.4129842938</v>
      </c>
      <c r="BI301" s="70" t="n">
        <f aca="false">BI297+BI300</f>
        <v>71992.0469128653</v>
      </c>
      <c r="BJ301" s="70" t="n">
        <f aca="false">BJ297+BJ300</f>
        <v>72009.6808414367</v>
      </c>
    </row>
    <row r="303" customFormat="false" ht="15.75" hidden="false" customHeight="true" outlineLevel="0" collapsed="false">
      <c r="A303" s="7" t="s">
        <v>429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customFormat="false" ht="15" hidden="false" customHeight="false" outlineLevel="0" collapsed="false">
      <c r="A304" s="6" t="s">
        <v>430</v>
      </c>
      <c r="C304" s="69" t="n">
        <f aca="false">IF(C$250=1,Inputs!$D$15*Inputs!$D$44,0)</f>
        <v>132000</v>
      </c>
      <c r="D304" s="69" t="n">
        <f aca="false">IF(D$250=1,Inputs!$D$15*Inputs!$D$44,0)</f>
        <v>0</v>
      </c>
      <c r="E304" s="69" t="n">
        <f aca="false">IF(E$250=1,Inputs!$D$15*Inputs!$D$44,0)</f>
        <v>0</v>
      </c>
      <c r="F304" s="69" t="n">
        <f aca="false">IF(F$250=1,Inputs!$D$15*Inputs!$D$44,0)</f>
        <v>0</v>
      </c>
      <c r="G304" s="69" t="n">
        <f aca="false">IF(G$250=1,Inputs!$D$15*Inputs!$D$44,0)</f>
        <v>0</v>
      </c>
      <c r="H304" s="69" t="n">
        <f aca="false">IF(H$250=1,Inputs!$D$15*Inputs!$D$44,0)</f>
        <v>0</v>
      </c>
      <c r="I304" s="69" t="n">
        <f aca="false">IF(I$250=1,Inputs!$D$15*Inputs!$D$44,0)</f>
        <v>0</v>
      </c>
      <c r="J304" s="69" t="n">
        <f aca="false">IF(J$250=1,Inputs!$D$15*Inputs!$D$44,0)</f>
        <v>0</v>
      </c>
      <c r="K304" s="69" t="n">
        <f aca="false">IF(K$250=1,Inputs!$D$15*Inputs!$D$44,0)</f>
        <v>0</v>
      </c>
      <c r="L304" s="69" t="n">
        <f aca="false">IF(L$250=1,Inputs!$D$15*Inputs!$D$44,0)</f>
        <v>0</v>
      </c>
      <c r="M304" s="69" t="n">
        <f aca="false">IF(M$250=1,Inputs!$D$15*Inputs!$D$44,0)</f>
        <v>0</v>
      </c>
      <c r="N304" s="69" t="n">
        <f aca="false">IF(N$250=1,Inputs!$D$15*Inputs!$D$44,0)</f>
        <v>0</v>
      </c>
      <c r="O304" s="69" t="n">
        <f aca="false">IF(O$250=1,Inputs!$D$15*Inputs!$D$44,0)</f>
        <v>0</v>
      </c>
      <c r="P304" s="69" t="n">
        <f aca="false">IF(P$250=1,Inputs!$D$15*Inputs!$D$44,0)</f>
        <v>0</v>
      </c>
      <c r="Q304" s="69" t="n">
        <f aca="false">IF(Q$250=1,Inputs!$D$15*Inputs!$D$44,0)</f>
        <v>0</v>
      </c>
      <c r="R304" s="69" t="n">
        <f aca="false">IF(R$250=1,Inputs!$D$15*Inputs!$D$44,0)</f>
        <v>0</v>
      </c>
      <c r="S304" s="69" t="n">
        <f aca="false">IF(S$250=1,Inputs!$D$15*Inputs!$D$44,0)</f>
        <v>0</v>
      </c>
      <c r="T304" s="69" t="n">
        <f aca="false">IF(T$250=1,Inputs!$D$15*Inputs!$D$44,0)</f>
        <v>0</v>
      </c>
      <c r="U304" s="69" t="n">
        <f aca="false">IF(U$250=1,Inputs!$D$15*Inputs!$D$44,0)</f>
        <v>0</v>
      </c>
      <c r="V304" s="69" t="n">
        <f aca="false">IF(V$250=1,Inputs!$D$15*Inputs!$D$44,0)</f>
        <v>0</v>
      </c>
      <c r="W304" s="69" t="n">
        <f aca="false">IF(W$250=1,Inputs!$D$15*Inputs!$D$44,0)</f>
        <v>0</v>
      </c>
      <c r="X304" s="69" t="n">
        <f aca="false">IF(X$250=1,Inputs!$D$15*Inputs!$D$44,0)</f>
        <v>0</v>
      </c>
      <c r="Y304" s="69" t="n">
        <f aca="false">IF(Y$250=1,Inputs!$D$15*Inputs!$D$44,0)</f>
        <v>0</v>
      </c>
      <c r="Z304" s="69" t="n">
        <f aca="false">IF(Z$250=1,Inputs!$D$15*Inputs!$D$44,0)</f>
        <v>0</v>
      </c>
      <c r="AA304" s="69" t="n">
        <f aca="false">IF(AA$250=1,Inputs!$D$15*Inputs!$D$44,0)</f>
        <v>0</v>
      </c>
      <c r="AB304" s="69" t="n">
        <f aca="false">IF(AB$250=1,Inputs!$D$15*Inputs!$D$44,0)</f>
        <v>0</v>
      </c>
      <c r="AC304" s="69" t="n">
        <f aca="false">IF(AC$250=1,Inputs!$D$15*Inputs!$D$44,0)</f>
        <v>0</v>
      </c>
      <c r="AD304" s="69" t="n">
        <f aca="false">IF(AD$250=1,Inputs!$D$15*Inputs!$D$44,0)</f>
        <v>0</v>
      </c>
      <c r="AE304" s="69" t="n">
        <f aca="false">IF(AE$250=1,Inputs!$D$15*Inputs!$D$44,0)</f>
        <v>0</v>
      </c>
      <c r="AF304" s="69" t="n">
        <f aca="false">IF(AF$250=1,Inputs!$D$15*Inputs!$D$44,0)</f>
        <v>0</v>
      </c>
      <c r="AG304" s="69" t="n">
        <f aca="false">IF(AG$250=1,Inputs!$D$15*Inputs!$D$44,0)</f>
        <v>0</v>
      </c>
      <c r="AH304" s="69" t="n">
        <f aca="false">IF(AH$250=1,Inputs!$D$15*Inputs!$D$44,0)</f>
        <v>0</v>
      </c>
      <c r="AI304" s="69" t="n">
        <f aca="false">IF(AI$250=1,Inputs!$D$15*Inputs!$D$44,0)</f>
        <v>0</v>
      </c>
      <c r="AJ304" s="69" t="n">
        <f aca="false">IF(AJ$250=1,Inputs!$D$15*Inputs!$D$44,0)</f>
        <v>0</v>
      </c>
      <c r="AK304" s="69" t="n">
        <f aca="false">IF(AK$250=1,Inputs!$D$15*Inputs!$D$44,0)</f>
        <v>0</v>
      </c>
      <c r="AL304" s="69" t="n">
        <f aca="false">IF(AL$250=1,Inputs!$D$15*Inputs!$D$44,0)</f>
        <v>0</v>
      </c>
      <c r="AM304" s="69" t="n">
        <f aca="false">IF(AM$250=1,Inputs!$D$15*Inputs!$D$44,0)</f>
        <v>0</v>
      </c>
      <c r="AN304" s="69" t="n">
        <f aca="false">IF(AN$250=1,Inputs!$D$15*Inputs!$D$44,0)</f>
        <v>0</v>
      </c>
      <c r="AO304" s="69" t="n">
        <f aca="false">IF(AO$250=1,Inputs!$D$15*Inputs!$D$44,0)</f>
        <v>0</v>
      </c>
      <c r="AP304" s="69" t="n">
        <f aca="false">IF(AP$250=1,Inputs!$D$15*Inputs!$D$44,0)</f>
        <v>0</v>
      </c>
      <c r="AQ304" s="69" t="n">
        <f aca="false">IF(AQ$250=1,Inputs!$D$15*Inputs!$D$44,0)</f>
        <v>0</v>
      </c>
      <c r="AR304" s="69" t="n">
        <f aca="false">IF(AR$250=1,Inputs!$D$15*Inputs!$D$44,0)</f>
        <v>0</v>
      </c>
      <c r="AS304" s="69" t="n">
        <f aca="false">IF(AS$250=1,Inputs!$D$15*Inputs!$D$44,0)</f>
        <v>0</v>
      </c>
      <c r="AT304" s="69" t="n">
        <f aca="false">IF(AT$250=1,Inputs!$D$15*Inputs!$D$44,0)</f>
        <v>0</v>
      </c>
      <c r="AU304" s="69" t="n">
        <f aca="false">IF(AU$250=1,Inputs!$D$15*Inputs!$D$44,0)</f>
        <v>0</v>
      </c>
      <c r="AV304" s="69" t="n">
        <f aca="false">IF(AV$250=1,Inputs!$D$15*Inputs!$D$44,0)</f>
        <v>0</v>
      </c>
      <c r="AW304" s="69" t="n">
        <f aca="false">IF(AW$250=1,Inputs!$D$15*Inputs!$D$44,0)</f>
        <v>0</v>
      </c>
      <c r="AX304" s="69" t="n">
        <f aca="false">IF(AX$250=1,Inputs!$D$15*Inputs!$D$44,0)</f>
        <v>0</v>
      </c>
      <c r="AY304" s="69" t="n">
        <f aca="false">IF(AY$250=1,Inputs!$D$15*Inputs!$D$44,0)</f>
        <v>0</v>
      </c>
      <c r="AZ304" s="69" t="n">
        <f aca="false">IF(AZ$250=1,Inputs!$D$15*Inputs!$D$44,0)</f>
        <v>0</v>
      </c>
      <c r="BA304" s="69" t="n">
        <f aca="false">IF(BA$250=1,Inputs!$D$15*Inputs!$D$44,0)</f>
        <v>0</v>
      </c>
      <c r="BB304" s="69" t="n">
        <f aca="false">IF(BB$250=1,Inputs!$D$15*Inputs!$D$44,0)</f>
        <v>0</v>
      </c>
      <c r="BC304" s="69" t="n">
        <f aca="false">IF(BC$250=1,Inputs!$D$15*Inputs!$D$44,0)</f>
        <v>0</v>
      </c>
      <c r="BD304" s="69" t="n">
        <f aca="false">IF(BD$250=1,Inputs!$D$15*Inputs!$D$44,0)</f>
        <v>0</v>
      </c>
      <c r="BE304" s="69" t="n">
        <f aca="false">IF(BE$250=1,Inputs!$D$15*Inputs!$D$44,0)</f>
        <v>0</v>
      </c>
      <c r="BF304" s="69" t="n">
        <f aca="false">IF(BF$250=1,Inputs!$D$15*Inputs!$D$44,0)</f>
        <v>0</v>
      </c>
      <c r="BG304" s="69" t="n">
        <f aca="false">IF(BG$250=1,Inputs!$D$15*Inputs!$D$44,0)</f>
        <v>0</v>
      </c>
      <c r="BH304" s="69" t="n">
        <f aca="false">IF(BH$250=1,Inputs!$D$15*Inputs!$D$44,0)</f>
        <v>0</v>
      </c>
      <c r="BI304" s="69" t="n">
        <f aca="false">IF(BI$250=1,Inputs!$D$15*Inputs!$D$44,0)</f>
        <v>0</v>
      </c>
      <c r="BJ304" s="69" t="n">
        <f aca="false">IF(BJ$250=1,Inputs!$D$15*Inputs!$D$44,0)</f>
        <v>0</v>
      </c>
    </row>
    <row r="305" customFormat="false" ht="15" hidden="false" customHeight="false" outlineLevel="0" collapsed="false">
      <c r="A305" s="6" t="s">
        <v>431</v>
      </c>
      <c r="C305" s="69" t="n">
        <f aca="false">IF(C$250=1,Inputs!$D$45,0)</f>
        <v>70000</v>
      </c>
      <c r="D305" s="69" t="n">
        <f aca="false">IF(D$250=1,Inputs!$D$45,0)</f>
        <v>0</v>
      </c>
      <c r="E305" s="69" t="n">
        <f aca="false">IF(E$250=1,Inputs!$D$45,0)</f>
        <v>0</v>
      </c>
      <c r="F305" s="69" t="n">
        <f aca="false">IF(F$250=1,Inputs!$D$45,0)</f>
        <v>0</v>
      </c>
      <c r="G305" s="69" t="n">
        <f aca="false">IF(G$250=1,Inputs!$D$45,0)</f>
        <v>0</v>
      </c>
      <c r="H305" s="69" t="n">
        <f aca="false">IF(H$250=1,Inputs!$D$45,0)</f>
        <v>0</v>
      </c>
      <c r="I305" s="69" t="n">
        <f aca="false">IF(I$250=1,Inputs!$D$45,0)</f>
        <v>0</v>
      </c>
      <c r="J305" s="69" t="n">
        <f aca="false">IF(J$250=1,Inputs!$D$45,0)</f>
        <v>0</v>
      </c>
      <c r="K305" s="69" t="n">
        <f aca="false">IF(K$250=1,Inputs!$D$45,0)</f>
        <v>0</v>
      </c>
      <c r="L305" s="69" t="n">
        <f aca="false">IF(L$250=1,Inputs!$D$45,0)</f>
        <v>0</v>
      </c>
      <c r="M305" s="69" t="n">
        <f aca="false">IF(M$250=1,Inputs!$D$45,0)</f>
        <v>0</v>
      </c>
      <c r="N305" s="69" t="n">
        <f aca="false">IF(N$250=1,Inputs!$D$45,0)</f>
        <v>0</v>
      </c>
      <c r="O305" s="69" t="n">
        <f aca="false">IF(O$250=1,Inputs!$D$45,0)</f>
        <v>0</v>
      </c>
      <c r="P305" s="69" t="n">
        <f aca="false">IF(P$250=1,Inputs!$D$45,0)</f>
        <v>0</v>
      </c>
      <c r="Q305" s="69" t="n">
        <f aca="false">IF(Q$250=1,Inputs!$D$45,0)</f>
        <v>0</v>
      </c>
      <c r="R305" s="69" t="n">
        <f aca="false">IF(R$250=1,Inputs!$D$45,0)</f>
        <v>0</v>
      </c>
      <c r="S305" s="69" t="n">
        <f aca="false">IF(S$250=1,Inputs!$D$45,0)</f>
        <v>0</v>
      </c>
      <c r="T305" s="69" t="n">
        <f aca="false">IF(T$250=1,Inputs!$D$45,0)</f>
        <v>0</v>
      </c>
      <c r="U305" s="69" t="n">
        <f aca="false">IF(U$250=1,Inputs!$D$45,0)</f>
        <v>0</v>
      </c>
      <c r="V305" s="69" t="n">
        <f aca="false">IF(V$250=1,Inputs!$D$45,0)</f>
        <v>0</v>
      </c>
      <c r="W305" s="69" t="n">
        <f aca="false">IF(W$250=1,Inputs!$D$45,0)</f>
        <v>0</v>
      </c>
      <c r="X305" s="69" t="n">
        <f aca="false">IF(X$250=1,Inputs!$D$45,0)</f>
        <v>0</v>
      </c>
      <c r="Y305" s="69" t="n">
        <f aca="false">IF(Y$250=1,Inputs!$D$45,0)</f>
        <v>0</v>
      </c>
      <c r="Z305" s="69" t="n">
        <f aca="false">IF(Z$250=1,Inputs!$D$45,0)</f>
        <v>0</v>
      </c>
      <c r="AA305" s="69" t="n">
        <f aca="false">IF(AA$250=1,Inputs!$D$45,0)</f>
        <v>0</v>
      </c>
      <c r="AB305" s="69" t="n">
        <f aca="false">IF(AB$250=1,Inputs!$D$45,0)</f>
        <v>0</v>
      </c>
      <c r="AC305" s="69" t="n">
        <f aca="false">IF(AC$250=1,Inputs!$D$45,0)</f>
        <v>0</v>
      </c>
      <c r="AD305" s="69" t="n">
        <f aca="false">IF(AD$250=1,Inputs!$D$45,0)</f>
        <v>0</v>
      </c>
      <c r="AE305" s="69" t="n">
        <f aca="false">IF(AE$250=1,Inputs!$D$45,0)</f>
        <v>0</v>
      </c>
      <c r="AF305" s="69" t="n">
        <f aca="false">IF(AF$250=1,Inputs!$D$45,0)</f>
        <v>0</v>
      </c>
      <c r="AG305" s="69" t="n">
        <f aca="false">IF(AG$250=1,Inputs!$D$45,0)</f>
        <v>0</v>
      </c>
      <c r="AH305" s="69" t="n">
        <f aca="false">IF(AH$250=1,Inputs!$D$45,0)</f>
        <v>0</v>
      </c>
      <c r="AI305" s="69" t="n">
        <f aca="false">IF(AI$250=1,Inputs!$D$45,0)</f>
        <v>0</v>
      </c>
      <c r="AJ305" s="69" t="n">
        <f aca="false">IF(AJ$250=1,Inputs!$D$45,0)</f>
        <v>0</v>
      </c>
      <c r="AK305" s="69" t="n">
        <f aca="false">IF(AK$250=1,Inputs!$D$45,0)</f>
        <v>0</v>
      </c>
      <c r="AL305" s="69" t="n">
        <f aca="false">IF(AL$250=1,Inputs!$D$45,0)</f>
        <v>0</v>
      </c>
      <c r="AM305" s="69" t="n">
        <f aca="false">IF(AM$250=1,Inputs!$D$45,0)</f>
        <v>0</v>
      </c>
      <c r="AN305" s="69" t="n">
        <f aca="false">IF(AN$250=1,Inputs!$D$45,0)</f>
        <v>0</v>
      </c>
      <c r="AO305" s="69" t="n">
        <f aca="false">IF(AO$250=1,Inputs!$D$45,0)</f>
        <v>0</v>
      </c>
      <c r="AP305" s="69" t="n">
        <f aca="false">IF(AP$250=1,Inputs!$D$45,0)</f>
        <v>0</v>
      </c>
      <c r="AQ305" s="69" t="n">
        <f aca="false">IF(AQ$250=1,Inputs!$D$45,0)</f>
        <v>0</v>
      </c>
      <c r="AR305" s="69" t="n">
        <f aca="false">IF(AR$250=1,Inputs!$D$45,0)</f>
        <v>0</v>
      </c>
      <c r="AS305" s="69" t="n">
        <f aca="false">IF(AS$250=1,Inputs!$D$45,0)</f>
        <v>0</v>
      </c>
      <c r="AT305" s="69" t="n">
        <f aca="false">IF(AT$250=1,Inputs!$D$45,0)</f>
        <v>0</v>
      </c>
      <c r="AU305" s="69" t="n">
        <f aca="false">IF(AU$250=1,Inputs!$D$45,0)</f>
        <v>0</v>
      </c>
      <c r="AV305" s="69" t="n">
        <f aca="false">IF(AV$250=1,Inputs!$D$45,0)</f>
        <v>0</v>
      </c>
      <c r="AW305" s="69" t="n">
        <f aca="false">IF(AW$250=1,Inputs!$D$45,0)</f>
        <v>0</v>
      </c>
      <c r="AX305" s="69" t="n">
        <f aca="false">IF(AX$250=1,Inputs!$D$45,0)</f>
        <v>0</v>
      </c>
      <c r="AY305" s="69" t="n">
        <f aca="false">IF(AY$250=1,Inputs!$D$45,0)</f>
        <v>0</v>
      </c>
      <c r="AZ305" s="69" t="n">
        <f aca="false">IF(AZ$250=1,Inputs!$D$45,0)</f>
        <v>0</v>
      </c>
      <c r="BA305" s="69" t="n">
        <f aca="false">IF(BA$250=1,Inputs!$D$45,0)</f>
        <v>0</v>
      </c>
      <c r="BB305" s="69" t="n">
        <f aca="false">IF(BB$250=1,Inputs!$D$45,0)</f>
        <v>0</v>
      </c>
      <c r="BC305" s="69" t="n">
        <f aca="false">IF(BC$250=1,Inputs!$D$45,0)</f>
        <v>0</v>
      </c>
      <c r="BD305" s="69" t="n">
        <f aca="false">IF(BD$250=1,Inputs!$D$45,0)</f>
        <v>0</v>
      </c>
      <c r="BE305" s="69" t="n">
        <f aca="false">IF(BE$250=1,Inputs!$D$45,0)</f>
        <v>0</v>
      </c>
      <c r="BF305" s="69" t="n">
        <f aca="false">IF(BF$250=1,Inputs!$D$45,0)</f>
        <v>0</v>
      </c>
      <c r="BG305" s="69" t="n">
        <f aca="false">IF(BG$250=1,Inputs!$D$45,0)</f>
        <v>0</v>
      </c>
      <c r="BH305" s="69" t="n">
        <f aca="false">IF(BH$250=1,Inputs!$D$45,0)</f>
        <v>0</v>
      </c>
      <c r="BI305" s="69" t="n">
        <f aca="false">IF(BI$250=1,Inputs!$D$45,0)</f>
        <v>0</v>
      </c>
      <c r="BJ305" s="69" t="n">
        <f aca="false">IF(BJ$250=1,Inputs!$D$45,0)</f>
        <v>0</v>
      </c>
    </row>
    <row r="306" customFormat="false" ht="15" hidden="false" customHeight="false" outlineLevel="0" collapsed="false">
      <c r="A306" s="6" t="s">
        <v>432</v>
      </c>
      <c r="C306" s="69" t="n">
        <f aca="false">IF(C$250=1,Inputs!$D$46,0)</f>
        <v>180000</v>
      </c>
      <c r="D306" s="69" t="n">
        <f aca="false">IF(D$250=1,Inputs!$D$46,0)</f>
        <v>0</v>
      </c>
      <c r="E306" s="69" t="n">
        <f aca="false">IF(E$250=1,Inputs!$D$46,0)</f>
        <v>0</v>
      </c>
      <c r="F306" s="69" t="n">
        <f aca="false">IF(F$250=1,Inputs!$D$46,0)</f>
        <v>0</v>
      </c>
      <c r="G306" s="69" t="n">
        <f aca="false">IF(G$250=1,Inputs!$D$46,0)</f>
        <v>0</v>
      </c>
      <c r="H306" s="69" t="n">
        <f aca="false">IF(H$250=1,Inputs!$D$46,0)</f>
        <v>0</v>
      </c>
      <c r="I306" s="69" t="n">
        <f aca="false">IF(I$250=1,Inputs!$D$46,0)</f>
        <v>0</v>
      </c>
      <c r="J306" s="69" t="n">
        <f aca="false">IF(J$250=1,Inputs!$D$46,0)</f>
        <v>0</v>
      </c>
      <c r="K306" s="69" t="n">
        <f aca="false">IF(K$250=1,Inputs!$D$46,0)</f>
        <v>0</v>
      </c>
      <c r="L306" s="69" t="n">
        <f aca="false">IF(L$250=1,Inputs!$D$46,0)</f>
        <v>0</v>
      </c>
      <c r="M306" s="69" t="n">
        <f aca="false">IF(M$250=1,Inputs!$D$46,0)</f>
        <v>0</v>
      </c>
      <c r="N306" s="69" t="n">
        <f aca="false">IF(N$250=1,Inputs!$D$46,0)</f>
        <v>0</v>
      </c>
      <c r="O306" s="69" t="n">
        <f aca="false">IF(O$250=1,Inputs!$D$46,0)</f>
        <v>0</v>
      </c>
      <c r="P306" s="69" t="n">
        <f aca="false">IF(P$250=1,Inputs!$D$46,0)</f>
        <v>0</v>
      </c>
      <c r="Q306" s="69" t="n">
        <f aca="false">IF(Q$250=1,Inputs!$D$46,0)</f>
        <v>0</v>
      </c>
      <c r="R306" s="69" t="n">
        <f aca="false">IF(R$250=1,Inputs!$D$46,0)</f>
        <v>0</v>
      </c>
      <c r="S306" s="69" t="n">
        <f aca="false">IF(S$250=1,Inputs!$D$46,0)</f>
        <v>0</v>
      </c>
      <c r="T306" s="69" t="n">
        <f aca="false">IF(T$250=1,Inputs!$D$46,0)</f>
        <v>0</v>
      </c>
      <c r="U306" s="69" t="n">
        <f aca="false">IF(U$250=1,Inputs!$D$46,0)</f>
        <v>0</v>
      </c>
      <c r="V306" s="69" t="n">
        <f aca="false">IF(V$250=1,Inputs!$D$46,0)</f>
        <v>0</v>
      </c>
      <c r="W306" s="69" t="n">
        <f aca="false">IF(W$250=1,Inputs!$D$46,0)</f>
        <v>0</v>
      </c>
      <c r="X306" s="69" t="n">
        <f aca="false">IF(X$250=1,Inputs!$D$46,0)</f>
        <v>0</v>
      </c>
      <c r="Y306" s="69" t="n">
        <f aca="false">IF(Y$250=1,Inputs!$D$46,0)</f>
        <v>0</v>
      </c>
      <c r="Z306" s="69" t="n">
        <f aca="false">IF(Z$250=1,Inputs!$D$46,0)</f>
        <v>0</v>
      </c>
      <c r="AA306" s="69" t="n">
        <f aca="false">IF(AA$250=1,Inputs!$D$46,0)</f>
        <v>0</v>
      </c>
      <c r="AB306" s="69" t="n">
        <f aca="false">IF(AB$250=1,Inputs!$D$46,0)</f>
        <v>0</v>
      </c>
      <c r="AC306" s="69" t="n">
        <f aca="false">IF(AC$250=1,Inputs!$D$46,0)</f>
        <v>0</v>
      </c>
      <c r="AD306" s="69" t="n">
        <f aca="false">IF(AD$250=1,Inputs!$D$46,0)</f>
        <v>0</v>
      </c>
      <c r="AE306" s="69" t="n">
        <f aca="false">IF(AE$250=1,Inputs!$D$46,0)</f>
        <v>0</v>
      </c>
      <c r="AF306" s="69" t="n">
        <f aca="false">IF(AF$250=1,Inputs!$D$46,0)</f>
        <v>0</v>
      </c>
      <c r="AG306" s="69" t="n">
        <f aca="false">IF(AG$250=1,Inputs!$D$46,0)</f>
        <v>0</v>
      </c>
      <c r="AH306" s="69" t="n">
        <f aca="false">IF(AH$250=1,Inputs!$D$46,0)</f>
        <v>0</v>
      </c>
      <c r="AI306" s="69" t="n">
        <f aca="false">IF(AI$250=1,Inputs!$D$46,0)</f>
        <v>0</v>
      </c>
      <c r="AJ306" s="69" t="n">
        <f aca="false">IF(AJ$250=1,Inputs!$D$46,0)</f>
        <v>0</v>
      </c>
      <c r="AK306" s="69" t="n">
        <f aca="false">IF(AK$250=1,Inputs!$D$46,0)</f>
        <v>0</v>
      </c>
      <c r="AL306" s="69" t="n">
        <f aca="false">IF(AL$250=1,Inputs!$D$46,0)</f>
        <v>0</v>
      </c>
      <c r="AM306" s="69" t="n">
        <f aca="false">IF(AM$250=1,Inputs!$D$46,0)</f>
        <v>0</v>
      </c>
      <c r="AN306" s="69" t="n">
        <f aca="false">IF(AN$250=1,Inputs!$D$46,0)</f>
        <v>0</v>
      </c>
      <c r="AO306" s="69" t="n">
        <f aca="false">IF(AO$250=1,Inputs!$D$46,0)</f>
        <v>0</v>
      </c>
      <c r="AP306" s="69" t="n">
        <f aca="false">IF(AP$250=1,Inputs!$D$46,0)</f>
        <v>0</v>
      </c>
      <c r="AQ306" s="69" t="n">
        <f aca="false">IF(AQ$250=1,Inputs!$D$46,0)</f>
        <v>0</v>
      </c>
      <c r="AR306" s="69" t="n">
        <f aca="false">IF(AR$250=1,Inputs!$D$46,0)</f>
        <v>0</v>
      </c>
      <c r="AS306" s="69" t="n">
        <f aca="false">IF(AS$250=1,Inputs!$D$46,0)</f>
        <v>0</v>
      </c>
      <c r="AT306" s="69" t="n">
        <f aca="false">IF(AT$250=1,Inputs!$D$46,0)</f>
        <v>0</v>
      </c>
      <c r="AU306" s="69" t="n">
        <f aca="false">IF(AU$250=1,Inputs!$D$46,0)</f>
        <v>0</v>
      </c>
      <c r="AV306" s="69" t="n">
        <f aca="false">IF(AV$250=1,Inputs!$D$46,0)</f>
        <v>0</v>
      </c>
      <c r="AW306" s="69" t="n">
        <f aca="false">IF(AW$250=1,Inputs!$D$46,0)</f>
        <v>0</v>
      </c>
      <c r="AX306" s="69" t="n">
        <f aca="false">IF(AX$250=1,Inputs!$D$46,0)</f>
        <v>0</v>
      </c>
      <c r="AY306" s="69" t="n">
        <f aca="false">IF(AY$250=1,Inputs!$D$46,0)</f>
        <v>0</v>
      </c>
      <c r="AZ306" s="69" t="n">
        <f aca="false">IF(AZ$250=1,Inputs!$D$46,0)</f>
        <v>0</v>
      </c>
      <c r="BA306" s="69" t="n">
        <f aca="false">IF(BA$250=1,Inputs!$D$46,0)</f>
        <v>0</v>
      </c>
      <c r="BB306" s="69" t="n">
        <f aca="false">IF(BB$250=1,Inputs!$D$46,0)</f>
        <v>0</v>
      </c>
      <c r="BC306" s="69" t="n">
        <f aca="false">IF(BC$250=1,Inputs!$D$46,0)</f>
        <v>0</v>
      </c>
      <c r="BD306" s="69" t="n">
        <f aca="false">IF(BD$250=1,Inputs!$D$46,0)</f>
        <v>0</v>
      </c>
      <c r="BE306" s="69" t="n">
        <f aca="false">IF(BE$250=1,Inputs!$D$46,0)</f>
        <v>0</v>
      </c>
      <c r="BF306" s="69" t="n">
        <f aca="false">IF(BF$250=1,Inputs!$D$46,0)</f>
        <v>0</v>
      </c>
      <c r="BG306" s="69" t="n">
        <f aca="false">IF(BG$250=1,Inputs!$D$46,0)</f>
        <v>0</v>
      </c>
      <c r="BH306" s="69" t="n">
        <f aca="false">IF(BH$250=1,Inputs!$D$46,0)</f>
        <v>0</v>
      </c>
      <c r="BI306" s="69" t="n">
        <f aca="false">IF(BI$250=1,Inputs!$D$46,0)</f>
        <v>0</v>
      </c>
      <c r="BJ306" s="69" t="n">
        <f aca="false">IF(BJ$250=1,Inputs!$D$46,0)</f>
        <v>0</v>
      </c>
    </row>
    <row r="307" customFormat="false" ht="15" hidden="false" customHeight="false" outlineLevel="0" collapsed="false">
      <c r="A307" s="6" t="s">
        <v>433</v>
      </c>
      <c r="C307" s="69" t="n">
        <f aca="false">IF(C$250=1,Inputs!$D$47,0)</f>
        <v>0</v>
      </c>
      <c r="D307" s="69" t="n">
        <f aca="false">IF(D$250=1,Inputs!$D$47,0)</f>
        <v>0</v>
      </c>
      <c r="E307" s="69" t="n">
        <f aca="false">IF(E$250=1,Inputs!$D$47,0)</f>
        <v>0</v>
      </c>
      <c r="F307" s="69" t="n">
        <f aca="false">IF(F$250=1,Inputs!$D$47,0)</f>
        <v>0</v>
      </c>
      <c r="G307" s="69" t="n">
        <f aca="false">IF(G$250=1,Inputs!$D$47,0)</f>
        <v>0</v>
      </c>
      <c r="H307" s="69" t="n">
        <f aca="false">IF(H$250=1,Inputs!$D$47,0)</f>
        <v>0</v>
      </c>
      <c r="I307" s="69" t="n">
        <f aca="false">IF(I$250=1,Inputs!$D$47,0)</f>
        <v>0</v>
      </c>
      <c r="J307" s="69" t="n">
        <f aca="false">IF(J$250=1,Inputs!$D$47,0)</f>
        <v>0</v>
      </c>
      <c r="K307" s="69" t="n">
        <f aca="false">IF(K$250=1,Inputs!$D$47,0)</f>
        <v>0</v>
      </c>
      <c r="L307" s="69" t="n">
        <f aca="false">IF(L$250=1,Inputs!$D$47,0)</f>
        <v>0</v>
      </c>
      <c r="M307" s="69" t="n">
        <f aca="false">IF(M$250=1,Inputs!$D$47,0)</f>
        <v>0</v>
      </c>
      <c r="N307" s="69" t="n">
        <f aca="false">IF(N$250=1,Inputs!$D$47,0)</f>
        <v>0</v>
      </c>
      <c r="O307" s="69" t="n">
        <f aca="false">IF(O$250=1,Inputs!$D$47,0)</f>
        <v>0</v>
      </c>
      <c r="P307" s="69" t="n">
        <f aca="false">IF(P$250=1,Inputs!$D$47,0)</f>
        <v>0</v>
      </c>
      <c r="Q307" s="69" t="n">
        <f aca="false">IF(Q$250=1,Inputs!$D$47,0)</f>
        <v>0</v>
      </c>
      <c r="R307" s="69" t="n">
        <f aca="false">IF(R$250=1,Inputs!$D$47,0)</f>
        <v>0</v>
      </c>
      <c r="S307" s="69" t="n">
        <f aca="false">IF(S$250=1,Inputs!$D$47,0)</f>
        <v>0</v>
      </c>
      <c r="T307" s="69" t="n">
        <f aca="false">IF(T$250=1,Inputs!$D$47,0)</f>
        <v>0</v>
      </c>
      <c r="U307" s="69" t="n">
        <f aca="false">IF(U$250=1,Inputs!$D$47,0)</f>
        <v>0</v>
      </c>
      <c r="V307" s="69" t="n">
        <f aca="false">IF(V$250=1,Inputs!$D$47,0)</f>
        <v>0</v>
      </c>
      <c r="W307" s="69" t="n">
        <f aca="false">IF(W$250=1,Inputs!$D$47,0)</f>
        <v>0</v>
      </c>
      <c r="X307" s="69" t="n">
        <f aca="false">IF(X$250=1,Inputs!$D$47,0)</f>
        <v>0</v>
      </c>
      <c r="Y307" s="69" t="n">
        <f aca="false">IF(Y$250=1,Inputs!$D$47,0)</f>
        <v>0</v>
      </c>
      <c r="Z307" s="69" t="n">
        <f aca="false">IF(Z$250=1,Inputs!$D$47,0)</f>
        <v>0</v>
      </c>
      <c r="AA307" s="69" t="n">
        <f aca="false">IF(AA$250=1,Inputs!$D$47,0)</f>
        <v>0</v>
      </c>
      <c r="AB307" s="69" t="n">
        <f aca="false">IF(AB$250=1,Inputs!$D$47,0)</f>
        <v>0</v>
      </c>
      <c r="AC307" s="69" t="n">
        <f aca="false">IF(AC$250=1,Inputs!$D$47,0)</f>
        <v>0</v>
      </c>
      <c r="AD307" s="69" t="n">
        <f aca="false">IF(AD$250=1,Inputs!$D$47,0)</f>
        <v>0</v>
      </c>
      <c r="AE307" s="69" t="n">
        <f aca="false">IF(AE$250=1,Inputs!$D$47,0)</f>
        <v>0</v>
      </c>
      <c r="AF307" s="69" t="n">
        <f aca="false">IF(AF$250=1,Inputs!$D$47,0)</f>
        <v>0</v>
      </c>
      <c r="AG307" s="69" t="n">
        <f aca="false">IF(AG$250=1,Inputs!$D$47,0)</f>
        <v>0</v>
      </c>
      <c r="AH307" s="69" t="n">
        <f aca="false">IF(AH$250=1,Inputs!$D$47,0)</f>
        <v>0</v>
      </c>
      <c r="AI307" s="69" t="n">
        <f aca="false">IF(AI$250=1,Inputs!$D$47,0)</f>
        <v>0</v>
      </c>
      <c r="AJ307" s="69" t="n">
        <f aca="false">IF(AJ$250=1,Inputs!$D$47,0)</f>
        <v>0</v>
      </c>
      <c r="AK307" s="69" t="n">
        <f aca="false">IF(AK$250=1,Inputs!$D$47,0)</f>
        <v>0</v>
      </c>
      <c r="AL307" s="69" t="n">
        <f aca="false">IF(AL$250=1,Inputs!$D$47,0)</f>
        <v>0</v>
      </c>
      <c r="AM307" s="69" t="n">
        <f aca="false">IF(AM$250=1,Inputs!$D$47,0)</f>
        <v>0</v>
      </c>
      <c r="AN307" s="69" t="n">
        <f aca="false">IF(AN$250=1,Inputs!$D$47,0)</f>
        <v>0</v>
      </c>
      <c r="AO307" s="69" t="n">
        <f aca="false">IF(AO$250=1,Inputs!$D$47,0)</f>
        <v>0</v>
      </c>
      <c r="AP307" s="69" t="n">
        <f aca="false">IF(AP$250=1,Inputs!$D$47,0)</f>
        <v>0</v>
      </c>
      <c r="AQ307" s="69" t="n">
        <f aca="false">IF(AQ$250=1,Inputs!$D$47,0)</f>
        <v>0</v>
      </c>
      <c r="AR307" s="69" t="n">
        <f aca="false">IF(AR$250=1,Inputs!$D$47,0)</f>
        <v>0</v>
      </c>
      <c r="AS307" s="69" t="n">
        <f aca="false">IF(AS$250=1,Inputs!$D$47,0)</f>
        <v>0</v>
      </c>
      <c r="AT307" s="69" t="n">
        <f aca="false">IF(AT$250=1,Inputs!$D$47,0)</f>
        <v>0</v>
      </c>
      <c r="AU307" s="69" t="n">
        <f aca="false">IF(AU$250=1,Inputs!$D$47,0)</f>
        <v>0</v>
      </c>
      <c r="AV307" s="69" t="n">
        <f aca="false">IF(AV$250=1,Inputs!$D$47,0)</f>
        <v>0</v>
      </c>
      <c r="AW307" s="69" t="n">
        <f aca="false">IF(AW$250=1,Inputs!$D$47,0)</f>
        <v>0</v>
      </c>
      <c r="AX307" s="69" t="n">
        <f aca="false">IF(AX$250=1,Inputs!$D$47,0)</f>
        <v>0</v>
      </c>
      <c r="AY307" s="69" t="n">
        <f aca="false">IF(AY$250=1,Inputs!$D$47,0)</f>
        <v>0</v>
      </c>
      <c r="AZ307" s="69" t="n">
        <f aca="false">IF(AZ$250=1,Inputs!$D$47,0)</f>
        <v>0</v>
      </c>
      <c r="BA307" s="69" t="n">
        <f aca="false">IF(BA$250=1,Inputs!$D$47,0)</f>
        <v>0</v>
      </c>
      <c r="BB307" s="69" t="n">
        <f aca="false">IF(BB$250=1,Inputs!$D$47,0)</f>
        <v>0</v>
      </c>
      <c r="BC307" s="69" t="n">
        <f aca="false">IF(BC$250=1,Inputs!$D$47,0)</f>
        <v>0</v>
      </c>
      <c r="BD307" s="69" t="n">
        <f aca="false">IF(BD$250=1,Inputs!$D$47,0)</f>
        <v>0</v>
      </c>
      <c r="BE307" s="69" t="n">
        <f aca="false">IF(BE$250=1,Inputs!$D$47,0)</f>
        <v>0</v>
      </c>
      <c r="BF307" s="69" t="n">
        <f aca="false">IF(BF$250=1,Inputs!$D$47,0)</f>
        <v>0</v>
      </c>
      <c r="BG307" s="69" t="n">
        <f aca="false">IF(BG$250=1,Inputs!$D$47,0)</f>
        <v>0</v>
      </c>
      <c r="BH307" s="69" t="n">
        <f aca="false">IF(BH$250=1,Inputs!$D$47,0)</f>
        <v>0</v>
      </c>
      <c r="BI307" s="69" t="n">
        <f aca="false">IF(BI$250=1,Inputs!$D$47,0)</f>
        <v>0</v>
      </c>
      <c r="BJ307" s="69" t="n">
        <f aca="false">IF(BJ$250=1,Inputs!$D$47,0)</f>
        <v>0</v>
      </c>
    </row>
    <row r="308" customFormat="false" ht="15" hidden="false" customHeight="false" outlineLevel="0" collapsed="false">
      <c r="A308" s="6" t="s">
        <v>434</v>
      </c>
      <c r="C308" s="69" t="n">
        <f aca="false">IF(AND(C$251&gt;1,MOD(C$250-1,12)=0),Inputs!$D$48,0)</f>
        <v>0</v>
      </c>
      <c r="D308" s="69" t="n">
        <f aca="false">IF(AND(D$251&gt;1,MOD(D$250-1,12)=0),Inputs!$D$48,0)</f>
        <v>0</v>
      </c>
      <c r="E308" s="69" t="n">
        <f aca="false">IF(AND(E$251&gt;1,MOD(E$250-1,12)=0),Inputs!$D$48,0)</f>
        <v>0</v>
      </c>
      <c r="F308" s="69" t="n">
        <f aca="false">IF(AND(F$251&gt;1,MOD(F$250-1,12)=0),Inputs!$D$48,0)</f>
        <v>0</v>
      </c>
      <c r="G308" s="69" t="n">
        <f aca="false">IF(AND(G$251&gt;1,MOD(G$250-1,12)=0),Inputs!$D$48,0)</f>
        <v>0</v>
      </c>
      <c r="H308" s="69" t="n">
        <f aca="false">IF(AND(H$251&gt;1,MOD(H$250-1,12)=0),Inputs!$D$48,0)</f>
        <v>0</v>
      </c>
      <c r="I308" s="69" t="n">
        <f aca="false">IF(AND(I$251&gt;1,MOD(I$250-1,12)=0),Inputs!$D$48,0)</f>
        <v>0</v>
      </c>
      <c r="J308" s="69" t="n">
        <f aca="false">IF(AND(J$251&gt;1,MOD(J$250-1,12)=0),Inputs!$D$48,0)</f>
        <v>0</v>
      </c>
      <c r="K308" s="69" t="n">
        <f aca="false">IF(AND(K$251&gt;1,MOD(K$250-1,12)=0),Inputs!$D$48,0)</f>
        <v>0</v>
      </c>
      <c r="L308" s="69" t="n">
        <f aca="false">IF(AND(L$251&gt;1,MOD(L$250-1,12)=0),Inputs!$D$48,0)</f>
        <v>0</v>
      </c>
      <c r="M308" s="69" t="n">
        <f aca="false">IF(AND(M$251&gt;1,MOD(M$250-1,12)=0),Inputs!$D$48,0)</f>
        <v>0</v>
      </c>
      <c r="N308" s="69" t="n">
        <f aca="false">IF(AND(N$251&gt;1,MOD(N$250-1,12)=0),Inputs!$D$48,0)</f>
        <v>0</v>
      </c>
      <c r="O308" s="69" t="n">
        <f aca="false">IF(AND(O$251&gt;1,MOD(O$250-1,12)=0),Inputs!$D$48,0)</f>
        <v>20000</v>
      </c>
      <c r="P308" s="69" t="n">
        <f aca="false">IF(AND(P$251&gt;1,MOD(P$250-1,12)=0),Inputs!$D$48,0)</f>
        <v>0</v>
      </c>
      <c r="Q308" s="69" t="n">
        <f aca="false">IF(AND(Q$251&gt;1,MOD(Q$250-1,12)=0),Inputs!$D$48,0)</f>
        <v>0</v>
      </c>
      <c r="R308" s="69" t="n">
        <f aca="false">IF(AND(R$251&gt;1,MOD(R$250-1,12)=0),Inputs!$D$48,0)</f>
        <v>0</v>
      </c>
      <c r="S308" s="69" t="n">
        <f aca="false">IF(AND(S$251&gt;1,MOD(S$250-1,12)=0),Inputs!$D$48,0)</f>
        <v>0</v>
      </c>
      <c r="T308" s="69" t="n">
        <f aca="false">IF(AND(T$251&gt;1,MOD(T$250-1,12)=0),Inputs!$D$48,0)</f>
        <v>0</v>
      </c>
      <c r="U308" s="69" t="n">
        <f aca="false">IF(AND(U$251&gt;1,MOD(U$250-1,12)=0),Inputs!$D$48,0)</f>
        <v>0</v>
      </c>
      <c r="V308" s="69" t="n">
        <f aca="false">IF(AND(V$251&gt;1,MOD(V$250-1,12)=0),Inputs!$D$48,0)</f>
        <v>0</v>
      </c>
      <c r="W308" s="69" t="n">
        <f aca="false">IF(AND(W$251&gt;1,MOD(W$250-1,12)=0),Inputs!$D$48,0)</f>
        <v>0</v>
      </c>
      <c r="X308" s="69" t="n">
        <f aca="false">IF(AND(X$251&gt;1,MOD(X$250-1,12)=0),Inputs!$D$48,0)</f>
        <v>0</v>
      </c>
      <c r="Y308" s="69" t="n">
        <f aca="false">IF(AND(Y$251&gt;1,MOD(Y$250-1,12)=0),Inputs!$D$48,0)</f>
        <v>0</v>
      </c>
      <c r="Z308" s="69" t="n">
        <f aca="false">IF(AND(Z$251&gt;1,MOD(Z$250-1,12)=0),Inputs!$D$48,0)</f>
        <v>0</v>
      </c>
      <c r="AA308" s="69" t="n">
        <f aca="false">IF(AND(AA$251&gt;1,MOD(AA$250-1,12)=0),Inputs!$D$48,0)</f>
        <v>20000</v>
      </c>
      <c r="AB308" s="69" t="n">
        <f aca="false">IF(AND(AB$251&gt;1,MOD(AB$250-1,12)=0),Inputs!$D$48,0)</f>
        <v>0</v>
      </c>
      <c r="AC308" s="69" t="n">
        <f aca="false">IF(AND(AC$251&gt;1,MOD(AC$250-1,12)=0),Inputs!$D$48,0)</f>
        <v>0</v>
      </c>
      <c r="AD308" s="69" t="n">
        <f aca="false">IF(AND(AD$251&gt;1,MOD(AD$250-1,12)=0),Inputs!$D$48,0)</f>
        <v>0</v>
      </c>
      <c r="AE308" s="69" t="n">
        <f aca="false">IF(AND(AE$251&gt;1,MOD(AE$250-1,12)=0),Inputs!$D$48,0)</f>
        <v>0</v>
      </c>
      <c r="AF308" s="69" t="n">
        <f aca="false">IF(AND(AF$251&gt;1,MOD(AF$250-1,12)=0),Inputs!$D$48,0)</f>
        <v>0</v>
      </c>
      <c r="AG308" s="69" t="n">
        <f aca="false">IF(AND(AG$251&gt;1,MOD(AG$250-1,12)=0),Inputs!$D$48,0)</f>
        <v>0</v>
      </c>
      <c r="AH308" s="69" t="n">
        <f aca="false">IF(AND(AH$251&gt;1,MOD(AH$250-1,12)=0),Inputs!$D$48,0)</f>
        <v>0</v>
      </c>
      <c r="AI308" s="69" t="n">
        <f aca="false">IF(AND(AI$251&gt;1,MOD(AI$250-1,12)=0),Inputs!$D$48,0)</f>
        <v>0</v>
      </c>
      <c r="AJ308" s="69" t="n">
        <f aca="false">IF(AND(AJ$251&gt;1,MOD(AJ$250-1,12)=0),Inputs!$D$48,0)</f>
        <v>0</v>
      </c>
      <c r="AK308" s="69" t="n">
        <f aca="false">IF(AND(AK$251&gt;1,MOD(AK$250-1,12)=0),Inputs!$D$48,0)</f>
        <v>0</v>
      </c>
      <c r="AL308" s="69" t="n">
        <f aca="false">IF(AND(AL$251&gt;1,MOD(AL$250-1,12)=0),Inputs!$D$48,0)</f>
        <v>0</v>
      </c>
      <c r="AM308" s="69" t="n">
        <f aca="false">IF(AND(AM$251&gt;1,MOD(AM$250-1,12)=0),Inputs!$D$48,0)</f>
        <v>20000</v>
      </c>
      <c r="AN308" s="69" t="n">
        <f aca="false">IF(AND(AN$251&gt;1,MOD(AN$250-1,12)=0),Inputs!$D$48,0)</f>
        <v>0</v>
      </c>
      <c r="AO308" s="69" t="n">
        <f aca="false">IF(AND(AO$251&gt;1,MOD(AO$250-1,12)=0),Inputs!$D$48,0)</f>
        <v>0</v>
      </c>
      <c r="AP308" s="69" t="n">
        <f aca="false">IF(AND(AP$251&gt;1,MOD(AP$250-1,12)=0),Inputs!$D$48,0)</f>
        <v>0</v>
      </c>
      <c r="AQ308" s="69" t="n">
        <f aca="false">IF(AND(AQ$251&gt;1,MOD(AQ$250-1,12)=0),Inputs!$D$48,0)</f>
        <v>0</v>
      </c>
      <c r="AR308" s="69" t="n">
        <f aca="false">IF(AND(AR$251&gt;1,MOD(AR$250-1,12)=0),Inputs!$D$48,0)</f>
        <v>0</v>
      </c>
      <c r="AS308" s="69" t="n">
        <f aca="false">IF(AND(AS$251&gt;1,MOD(AS$250-1,12)=0),Inputs!$D$48,0)</f>
        <v>0</v>
      </c>
      <c r="AT308" s="69" t="n">
        <f aca="false">IF(AND(AT$251&gt;1,MOD(AT$250-1,12)=0),Inputs!$D$48,0)</f>
        <v>0</v>
      </c>
      <c r="AU308" s="69" t="n">
        <f aca="false">IF(AND(AU$251&gt;1,MOD(AU$250-1,12)=0),Inputs!$D$48,0)</f>
        <v>0</v>
      </c>
      <c r="AV308" s="69" t="n">
        <f aca="false">IF(AND(AV$251&gt;1,MOD(AV$250-1,12)=0),Inputs!$D$48,0)</f>
        <v>0</v>
      </c>
      <c r="AW308" s="69" t="n">
        <f aca="false">IF(AND(AW$251&gt;1,MOD(AW$250-1,12)=0),Inputs!$D$48,0)</f>
        <v>0</v>
      </c>
      <c r="AX308" s="69" t="n">
        <f aca="false">IF(AND(AX$251&gt;1,MOD(AX$250-1,12)=0),Inputs!$D$48,0)</f>
        <v>0</v>
      </c>
      <c r="AY308" s="69" t="n">
        <f aca="false">IF(AND(AY$251&gt;1,MOD(AY$250-1,12)=0),Inputs!$D$48,0)</f>
        <v>20000</v>
      </c>
      <c r="AZ308" s="69" t="n">
        <f aca="false">IF(AND(AZ$251&gt;1,MOD(AZ$250-1,12)=0),Inputs!$D$48,0)</f>
        <v>0</v>
      </c>
      <c r="BA308" s="69" t="n">
        <f aca="false">IF(AND(BA$251&gt;1,MOD(BA$250-1,12)=0),Inputs!$D$48,0)</f>
        <v>0</v>
      </c>
      <c r="BB308" s="69" t="n">
        <f aca="false">IF(AND(BB$251&gt;1,MOD(BB$250-1,12)=0),Inputs!$D$48,0)</f>
        <v>0</v>
      </c>
      <c r="BC308" s="69" t="n">
        <f aca="false">IF(AND(BC$251&gt;1,MOD(BC$250-1,12)=0),Inputs!$D$48,0)</f>
        <v>0</v>
      </c>
      <c r="BD308" s="69" t="n">
        <f aca="false">IF(AND(BD$251&gt;1,MOD(BD$250-1,12)=0),Inputs!$D$48,0)</f>
        <v>0</v>
      </c>
      <c r="BE308" s="69" t="n">
        <f aca="false">IF(AND(BE$251&gt;1,MOD(BE$250-1,12)=0),Inputs!$D$48,0)</f>
        <v>0</v>
      </c>
      <c r="BF308" s="69" t="n">
        <f aca="false">IF(AND(BF$251&gt;1,MOD(BF$250-1,12)=0),Inputs!$D$48,0)</f>
        <v>0</v>
      </c>
      <c r="BG308" s="69" t="n">
        <f aca="false">IF(AND(BG$251&gt;1,MOD(BG$250-1,12)=0),Inputs!$D$48,0)</f>
        <v>0</v>
      </c>
      <c r="BH308" s="69" t="n">
        <f aca="false">IF(AND(BH$251&gt;1,MOD(BH$250-1,12)=0),Inputs!$D$48,0)</f>
        <v>0</v>
      </c>
      <c r="BI308" s="69" t="n">
        <f aca="false">IF(AND(BI$251&gt;1,MOD(BI$250-1,12)=0),Inputs!$D$48,0)</f>
        <v>0</v>
      </c>
      <c r="BJ308" s="69" t="n">
        <f aca="false">IF(AND(BJ$251&gt;1,MOD(BJ$250-1,12)=0),Inputs!$D$48,0)</f>
        <v>0</v>
      </c>
    </row>
    <row r="309" customFormat="false" ht="15" hidden="false" customHeight="false" outlineLevel="0" collapsed="false">
      <c r="A309" s="4" t="s">
        <v>84</v>
      </c>
      <c r="C309" s="75" t="n">
        <f aca="false">C304+C305+C306+C307+C308</f>
        <v>382000</v>
      </c>
      <c r="D309" s="75" t="n">
        <f aca="false">D304+D305+D306+D307+D308</f>
        <v>0</v>
      </c>
      <c r="E309" s="75" t="n">
        <f aca="false">E304+E305+E306+E307+E308</f>
        <v>0</v>
      </c>
      <c r="F309" s="75" t="n">
        <f aca="false">F304+F305+F306+F307+F308</f>
        <v>0</v>
      </c>
      <c r="G309" s="75" t="n">
        <f aca="false">G304+G305+G306+G307+G308</f>
        <v>0</v>
      </c>
      <c r="H309" s="75" t="n">
        <f aca="false">H304+H305+H306+H307+H308</f>
        <v>0</v>
      </c>
      <c r="I309" s="75" t="n">
        <f aca="false">I304+I305+I306+I307+I308</f>
        <v>0</v>
      </c>
      <c r="J309" s="75" t="n">
        <f aca="false">J304+J305+J306+J307+J308</f>
        <v>0</v>
      </c>
      <c r="K309" s="75" t="n">
        <f aca="false">K304+K305+K306+K307+K308</f>
        <v>0</v>
      </c>
      <c r="L309" s="75" t="n">
        <f aca="false">L304+L305+L306+L307+L308</f>
        <v>0</v>
      </c>
      <c r="M309" s="75" t="n">
        <f aca="false">M304+M305+M306+M307+M308</f>
        <v>0</v>
      </c>
      <c r="N309" s="75" t="n">
        <f aca="false">N304+N305+N306+N307+N308</f>
        <v>0</v>
      </c>
      <c r="O309" s="75" t="n">
        <f aca="false">O304+O305+O306+O307+O308</f>
        <v>20000</v>
      </c>
      <c r="P309" s="75" t="n">
        <f aca="false">P304+P305+P306+P307+P308</f>
        <v>0</v>
      </c>
      <c r="Q309" s="75" t="n">
        <f aca="false">Q304+Q305+Q306+Q307+Q308</f>
        <v>0</v>
      </c>
      <c r="R309" s="75" t="n">
        <f aca="false">R304+R305+R306+R307+R308</f>
        <v>0</v>
      </c>
      <c r="S309" s="75" t="n">
        <f aca="false">S304+S305+S306+S307+S308</f>
        <v>0</v>
      </c>
      <c r="T309" s="75" t="n">
        <f aca="false">T304+T305+T306+T307+T308</f>
        <v>0</v>
      </c>
      <c r="U309" s="75" t="n">
        <f aca="false">U304+U305+U306+U307+U308</f>
        <v>0</v>
      </c>
      <c r="V309" s="75" t="n">
        <f aca="false">V304+V305+V306+V307+V308</f>
        <v>0</v>
      </c>
      <c r="W309" s="75" t="n">
        <f aca="false">W304+W305+W306+W307+W308</f>
        <v>0</v>
      </c>
      <c r="X309" s="75" t="n">
        <f aca="false">X304+X305+X306+X307+X308</f>
        <v>0</v>
      </c>
      <c r="Y309" s="75" t="n">
        <f aca="false">Y304+Y305+Y306+Y307+Y308</f>
        <v>0</v>
      </c>
      <c r="Z309" s="75" t="n">
        <f aca="false">Z304+Z305+Z306+Z307+Z308</f>
        <v>0</v>
      </c>
      <c r="AA309" s="75" t="n">
        <f aca="false">AA304+AA305+AA306+AA307+AA308</f>
        <v>20000</v>
      </c>
      <c r="AB309" s="75" t="n">
        <f aca="false">AB304+AB305+AB306+AB307+AB308</f>
        <v>0</v>
      </c>
      <c r="AC309" s="75" t="n">
        <f aca="false">AC304+AC305+AC306+AC307+AC308</f>
        <v>0</v>
      </c>
      <c r="AD309" s="75" t="n">
        <f aca="false">AD304+AD305+AD306+AD307+AD308</f>
        <v>0</v>
      </c>
      <c r="AE309" s="75" t="n">
        <f aca="false">AE304+AE305+AE306+AE307+AE308</f>
        <v>0</v>
      </c>
      <c r="AF309" s="75" t="n">
        <f aca="false">AF304+AF305+AF306+AF307+AF308</f>
        <v>0</v>
      </c>
      <c r="AG309" s="75" t="n">
        <f aca="false">AG304+AG305+AG306+AG307+AG308</f>
        <v>0</v>
      </c>
      <c r="AH309" s="75" t="n">
        <f aca="false">AH304+AH305+AH306+AH307+AH308</f>
        <v>0</v>
      </c>
      <c r="AI309" s="75" t="n">
        <f aca="false">AI304+AI305+AI306+AI307+AI308</f>
        <v>0</v>
      </c>
      <c r="AJ309" s="75" t="n">
        <f aca="false">AJ304+AJ305+AJ306+AJ307+AJ308</f>
        <v>0</v>
      </c>
      <c r="AK309" s="75" t="n">
        <f aca="false">AK304+AK305+AK306+AK307+AK308</f>
        <v>0</v>
      </c>
      <c r="AL309" s="75" t="n">
        <f aca="false">AL304+AL305+AL306+AL307+AL308</f>
        <v>0</v>
      </c>
      <c r="AM309" s="75" t="n">
        <f aca="false">AM304+AM305+AM306+AM307+AM308</f>
        <v>20000</v>
      </c>
      <c r="AN309" s="75" t="n">
        <f aca="false">AN304+AN305+AN306+AN307+AN308</f>
        <v>0</v>
      </c>
      <c r="AO309" s="75" t="n">
        <f aca="false">AO304+AO305+AO306+AO307+AO308</f>
        <v>0</v>
      </c>
      <c r="AP309" s="75" t="n">
        <f aca="false">AP304+AP305+AP306+AP307+AP308</f>
        <v>0</v>
      </c>
      <c r="AQ309" s="75" t="n">
        <f aca="false">AQ304+AQ305+AQ306+AQ307+AQ308</f>
        <v>0</v>
      </c>
      <c r="AR309" s="75" t="n">
        <f aca="false">AR304+AR305+AR306+AR307+AR308</f>
        <v>0</v>
      </c>
      <c r="AS309" s="75" t="n">
        <f aca="false">AS304+AS305+AS306+AS307+AS308</f>
        <v>0</v>
      </c>
      <c r="AT309" s="75" t="n">
        <f aca="false">AT304+AT305+AT306+AT307+AT308</f>
        <v>0</v>
      </c>
      <c r="AU309" s="75" t="n">
        <f aca="false">AU304+AU305+AU306+AU307+AU308</f>
        <v>0</v>
      </c>
      <c r="AV309" s="75" t="n">
        <f aca="false">AV304+AV305+AV306+AV307+AV308</f>
        <v>0</v>
      </c>
      <c r="AW309" s="75" t="n">
        <f aca="false">AW304+AW305+AW306+AW307+AW308</f>
        <v>0</v>
      </c>
      <c r="AX309" s="75" t="n">
        <f aca="false">AX304+AX305+AX306+AX307+AX308</f>
        <v>0</v>
      </c>
      <c r="AY309" s="75" t="n">
        <f aca="false">AY304+AY305+AY306+AY307+AY308</f>
        <v>20000</v>
      </c>
      <c r="AZ309" s="75" t="n">
        <f aca="false">AZ304+AZ305+AZ306+AZ307+AZ308</f>
        <v>0</v>
      </c>
      <c r="BA309" s="75" t="n">
        <f aca="false">BA304+BA305+BA306+BA307+BA308</f>
        <v>0</v>
      </c>
      <c r="BB309" s="75" t="n">
        <f aca="false">BB304+BB305+BB306+BB307+BB308</f>
        <v>0</v>
      </c>
      <c r="BC309" s="75" t="n">
        <f aca="false">BC304+BC305+BC306+BC307+BC308</f>
        <v>0</v>
      </c>
      <c r="BD309" s="75" t="n">
        <f aca="false">BD304+BD305+BD306+BD307+BD308</f>
        <v>0</v>
      </c>
      <c r="BE309" s="75" t="n">
        <f aca="false">BE304+BE305+BE306+BE307+BE308</f>
        <v>0</v>
      </c>
      <c r="BF309" s="75" t="n">
        <f aca="false">BF304+BF305+BF306+BF307+BF308</f>
        <v>0</v>
      </c>
      <c r="BG309" s="75" t="n">
        <f aca="false">BG304+BG305+BG306+BG307+BG308</f>
        <v>0</v>
      </c>
      <c r="BH309" s="75" t="n">
        <f aca="false">BH304+BH305+BH306+BH307+BH308</f>
        <v>0</v>
      </c>
      <c r="BI309" s="75" t="n">
        <f aca="false">BI304+BI305+BI306+BI307+BI308</f>
        <v>0</v>
      </c>
      <c r="BJ309" s="75" t="n">
        <f aca="false">BJ304+BJ305+BJ306+BJ307+BJ308</f>
        <v>0</v>
      </c>
    </row>
    <row r="310" customFormat="false" ht="15" hidden="false" customHeight="false" outlineLevel="0" collapsed="false">
      <c r="A310" s="6" t="s">
        <v>435</v>
      </c>
      <c r="C310" s="69" t="n">
        <f aca="false">C309</f>
        <v>382000</v>
      </c>
      <c r="D310" s="69" t="n">
        <f aca="false">C310+D309</f>
        <v>382000</v>
      </c>
      <c r="E310" s="69" t="n">
        <f aca="false">D310+E309</f>
        <v>382000</v>
      </c>
      <c r="F310" s="69" t="n">
        <f aca="false">E310+F309</f>
        <v>382000</v>
      </c>
      <c r="G310" s="69" t="n">
        <f aca="false">F310+G309</f>
        <v>382000</v>
      </c>
      <c r="H310" s="69" t="n">
        <f aca="false">G310+H309</f>
        <v>382000</v>
      </c>
      <c r="I310" s="69" t="n">
        <f aca="false">H310+I309</f>
        <v>382000</v>
      </c>
      <c r="J310" s="69" t="n">
        <f aca="false">I310+J309</f>
        <v>382000</v>
      </c>
      <c r="K310" s="69" t="n">
        <f aca="false">J310+K309</f>
        <v>382000</v>
      </c>
      <c r="L310" s="69" t="n">
        <f aca="false">K310+L309</f>
        <v>382000</v>
      </c>
      <c r="M310" s="69" t="n">
        <f aca="false">L310+M309</f>
        <v>382000</v>
      </c>
      <c r="N310" s="69" t="n">
        <f aca="false">M310+N309</f>
        <v>382000</v>
      </c>
      <c r="O310" s="69" t="n">
        <f aca="false">N310+O309</f>
        <v>402000</v>
      </c>
      <c r="P310" s="69" t="n">
        <f aca="false">O310+P309</f>
        <v>402000</v>
      </c>
      <c r="Q310" s="69" t="n">
        <f aca="false">P310+Q309</f>
        <v>402000</v>
      </c>
      <c r="R310" s="69" t="n">
        <f aca="false">Q310+R309</f>
        <v>402000</v>
      </c>
      <c r="S310" s="69" t="n">
        <f aca="false">R310+S309</f>
        <v>402000</v>
      </c>
      <c r="T310" s="69" t="n">
        <f aca="false">S310+T309</f>
        <v>402000</v>
      </c>
      <c r="U310" s="69" t="n">
        <f aca="false">T310+U309</f>
        <v>402000</v>
      </c>
      <c r="V310" s="69" t="n">
        <f aca="false">U310+V309</f>
        <v>402000</v>
      </c>
      <c r="W310" s="69" t="n">
        <f aca="false">V310+W309</f>
        <v>402000</v>
      </c>
      <c r="X310" s="69" t="n">
        <f aca="false">W310+X309</f>
        <v>402000</v>
      </c>
      <c r="Y310" s="69" t="n">
        <f aca="false">X310+Y309</f>
        <v>402000</v>
      </c>
      <c r="Z310" s="69" t="n">
        <f aca="false">Y310+Z309</f>
        <v>402000</v>
      </c>
      <c r="AA310" s="69" t="n">
        <f aca="false">Z310+AA309</f>
        <v>422000</v>
      </c>
      <c r="AB310" s="69" t="n">
        <f aca="false">AA310+AB309</f>
        <v>422000</v>
      </c>
      <c r="AC310" s="69" t="n">
        <f aca="false">AB310+AC309</f>
        <v>422000</v>
      </c>
      <c r="AD310" s="69" t="n">
        <f aca="false">AC310+AD309</f>
        <v>422000</v>
      </c>
      <c r="AE310" s="69" t="n">
        <f aca="false">AD310+AE309</f>
        <v>422000</v>
      </c>
      <c r="AF310" s="69" t="n">
        <f aca="false">AE310+AF309</f>
        <v>422000</v>
      </c>
      <c r="AG310" s="69" t="n">
        <f aca="false">AF310+AG309</f>
        <v>422000</v>
      </c>
      <c r="AH310" s="69" t="n">
        <f aca="false">AG310+AH309</f>
        <v>422000</v>
      </c>
      <c r="AI310" s="69" t="n">
        <f aca="false">AH310+AI309</f>
        <v>422000</v>
      </c>
      <c r="AJ310" s="69" t="n">
        <f aca="false">AI310+AJ309</f>
        <v>422000</v>
      </c>
      <c r="AK310" s="69" t="n">
        <f aca="false">AJ310+AK309</f>
        <v>422000</v>
      </c>
      <c r="AL310" s="69" t="n">
        <f aca="false">AK310+AL309</f>
        <v>422000</v>
      </c>
      <c r="AM310" s="69" t="n">
        <f aca="false">AL310+AM309</f>
        <v>442000</v>
      </c>
      <c r="AN310" s="69" t="n">
        <f aca="false">AM310+AN309</f>
        <v>442000</v>
      </c>
      <c r="AO310" s="69" t="n">
        <f aca="false">AN310+AO309</f>
        <v>442000</v>
      </c>
      <c r="AP310" s="69" t="n">
        <f aca="false">AO310+AP309</f>
        <v>442000</v>
      </c>
      <c r="AQ310" s="69" t="n">
        <f aca="false">AP310+AQ309</f>
        <v>442000</v>
      </c>
      <c r="AR310" s="69" t="n">
        <f aca="false">AQ310+AR309</f>
        <v>442000</v>
      </c>
      <c r="AS310" s="69" t="n">
        <f aca="false">AR310+AS309</f>
        <v>442000</v>
      </c>
      <c r="AT310" s="69" t="n">
        <f aca="false">AS310+AT309</f>
        <v>442000</v>
      </c>
      <c r="AU310" s="69" t="n">
        <f aca="false">AT310+AU309</f>
        <v>442000</v>
      </c>
      <c r="AV310" s="69" t="n">
        <f aca="false">AU310+AV309</f>
        <v>442000</v>
      </c>
      <c r="AW310" s="69" t="n">
        <f aca="false">AV310+AW309</f>
        <v>442000</v>
      </c>
      <c r="AX310" s="69" t="n">
        <f aca="false">AW310+AX309</f>
        <v>442000</v>
      </c>
      <c r="AY310" s="69" t="n">
        <f aca="false">AX310+AY309</f>
        <v>462000</v>
      </c>
      <c r="AZ310" s="69" t="n">
        <f aca="false">AY310+AZ309</f>
        <v>462000</v>
      </c>
      <c r="BA310" s="69" t="n">
        <f aca="false">AZ310+BA309</f>
        <v>462000</v>
      </c>
      <c r="BB310" s="69" t="n">
        <f aca="false">BA310+BB309</f>
        <v>462000</v>
      </c>
      <c r="BC310" s="69" t="n">
        <f aca="false">BB310+BC309</f>
        <v>462000</v>
      </c>
      <c r="BD310" s="69" t="n">
        <f aca="false">BC310+BD309</f>
        <v>462000</v>
      </c>
      <c r="BE310" s="69" t="n">
        <f aca="false">BD310+BE309</f>
        <v>462000</v>
      </c>
      <c r="BF310" s="69" t="n">
        <f aca="false">BE310+BF309</f>
        <v>462000</v>
      </c>
      <c r="BG310" s="69" t="n">
        <f aca="false">BF310+BG309</f>
        <v>462000</v>
      </c>
      <c r="BH310" s="69" t="n">
        <f aca="false">BG310+BH309</f>
        <v>462000</v>
      </c>
      <c r="BI310" s="69" t="n">
        <f aca="false">BH310+BI309</f>
        <v>462000</v>
      </c>
      <c r="BJ310" s="69" t="n">
        <f aca="false">BI310+BJ309</f>
        <v>462000</v>
      </c>
    </row>
    <row r="311" customFormat="false" ht="15" hidden="false" customHeight="false" outlineLevel="0" collapsed="false">
      <c r="A311" s="6" t="s">
        <v>436</v>
      </c>
      <c r="C311" s="69" t="n">
        <f aca="false">C307</f>
        <v>0</v>
      </c>
      <c r="D311" s="69" t="n">
        <f aca="false">C311+D307</f>
        <v>0</v>
      </c>
      <c r="E311" s="69" t="n">
        <f aca="false">D311+E307</f>
        <v>0</v>
      </c>
      <c r="F311" s="69" t="n">
        <f aca="false">E311+F307</f>
        <v>0</v>
      </c>
      <c r="G311" s="69" t="n">
        <f aca="false">F311+G307</f>
        <v>0</v>
      </c>
      <c r="H311" s="69" t="n">
        <f aca="false">G311+H307</f>
        <v>0</v>
      </c>
      <c r="I311" s="69" t="n">
        <f aca="false">H311+I307</f>
        <v>0</v>
      </c>
      <c r="J311" s="69" t="n">
        <f aca="false">I311+J307</f>
        <v>0</v>
      </c>
      <c r="K311" s="69" t="n">
        <f aca="false">J311+K307</f>
        <v>0</v>
      </c>
      <c r="L311" s="69" t="n">
        <f aca="false">K311+L307</f>
        <v>0</v>
      </c>
      <c r="M311" s="69" t="n">
        <f aca="false">L311+M307</f>
        <v>0</v>
      </c>
      <c r="N311" s="69" t="n">
        <f aca="false">M311+N307</f>
        <v>0</v>
      </c>
      <c r="O311" s="69" t="n">
        <f aca="false">N311+O307</f>
        <v>0</v>
      </c>
      <c r="P311" s="69" t="n">
        <f aca="false">O311+P307</f>
        <v>0</v>
      </c>
      <c r="Q311" s="69" t="n">
        <f aca="false">P311+Q307</f>
        <v>0</v>
      </c>
      <c r="R311" s="69" t="n">
        <f aca="false">Q311+R307</f>
        <v>0</v>
      </c>
      <c r="S311" s="69" t="n">
        <f aca="false">R311+S307</f>
        <v>0</v>
      </c>
      <c r="T311" s="69" t="n">
        <f aca="false">S311+T307</f>
        <v>0</v>
      </c>
      <c r="U311" s="69" t="n">
        <f aca="false">T311+U307</f>
        <v>0</v>
      </c>
      <c r="V311" s="69" t="n">
        <f aca="false">U311+V307</f>
        <v>0</v>
      </c>
      <c r="W311" s="69" t="n">
        <f aca="false">V311+W307</f>
        <v>0</v>
      </c>
      <c r="X311" s="69" t="n">
        <f aca="false">W311+X307</f>
        <v>0</v>
      </c>
      <c r="Y311" s="69" t="n">
        <f aca="false">X311+Y307</f>
        <v>0</v>
      </c>
      <c r="Z311" s="69" t="n">
        <f aca="false">Y311+Z307</f>
        <v>0</v>
      </c>
      <c r="AA311" s="69" t="n">
        <f aca="false">Z311+AA307</f>
        <v>0</v>
      </c>
      <c r="AB311" s="69" t="n">
        <f aca="false">AA311+AB307</f>
        <v>0</v>
      </c>
      <c r="AC311" s="69" t="n">
        <f aca="false">AB311+AC307</f>
        <v>0</v>
      </c>
      <c r="AD311" s="69" t="n">
        <f aca="false">AC311+AD307</f>
        <v>0</v>
      </c>
      <c r="AE311" s="69" t="n">
        <f aca="false">AD311+AE307</f>
        <v>0</v>
      </c>
      <c r="AF311" s="69" t="n">
        <f aca="false">AE311+AF307</f>
        <v>0</v>
      </c>
      <c r="AG311" s="69" t="n">
        <f aca="false">AF311+AG307</f>
        <v>0</v>
      </c>
      <c r="AH311" s="69" t="n">
        <f aca="false">AG311+AH307</f>
        <v>0</v>
      </c>
      <c r="AI311" s="69" t="n">
        <f aca="false">AH311+AI307</f>
        <v>0</v>
      </c>
      <c r="AJ311" s="69" t="n">
        <f aca="false">AI311+AJ307</f>
        <v>0</v>
      </c>
      <c r="AK311" s="69" t="n">
        <f aca="false">AJ311+AK307</f>
        <v>0</v>
      </c>
      <c r="AL311" s="69" t="n">
        <f aca="false">AK311+AL307</f>
        <v>0</v>
      </c>
      <c r="AM311" s="69" t="n">
        <f aca="false">AL311+AM307</f>
        <v>0</v>
      </c>
      <c r="AN311" s="69" t="n">
        <f aca="false">AM311+AN307</f>
        <v>0</v>
      </c>
      <c r="AO311" s="69" t="n">
        <f aca="false">AN311+AO307</f>
        <v>0</v>
      </c>
      <c r="AP311" s="69" t="n">
        <f aca="false">AO311+AP307</f>
        <v>0</v>
      </c>
      <c r="AQ311" s="69" t="n">
        <f aca="false">AP311+AQ307</f>
        <v>0</v>
      </c>
      <c r="AR311" s="69" t="n">
        <f aca="false">AQ311+AR307</f>
        <v>0</v>
      </c>
      <c r="AS311" s="69" t="n">
        <f aca="false">AR311+AS307</f>
        <v>0</v>
      </c>
      <c r="AT311" s="69" t="n">
        <f aca="false">AS311+AT307</f>
        <v>0</v>
      </c>
      <c r="AU311" s="69" t="n">
        <f aca="false">AT311+AU307</f>
        <v>0</v>
      </c>
      <c r="AV311" s="69" t="n">
        <f aca="false">AU311+AV307</f>
        <v>0</v>
      </c>
      <c r="AW311" s="69" t="n">
        <f aca="false">AV311+AW307</f>
        <v>0</v>
      </c>
      <c r="AX311" s="69" t="n">
        <f aca="false">AW311+AX307</f>
        <v>0</v>
      </c>
      <c r="AY311" s="69" t="n">
        <f aca="false">AX311+AY307</f>
        <v>0</v>
      </c>
      <c r="AZ311" s="69" t="n">
        <f aca="false">AY311+AZ307</f>
        <v>0</v>
      </c>
      <c r="BA311" s="69" t="n">
        <f aca="false">AZ311+BA307</f>
        <v>0</v>
      </c>
      <c r="BB311" s="69" t="n">
        <f aca="false">BA311+BB307</f>
        <v>0</v>
      </c>
      <c r="BC311" s="69" t="n">
        <f aca="false">BB311+BC307</f>
        <v>0</v>
      </c>
      <c r="BD311" s="69" t="n">
        <f aca="false">BC311+BD307</f>
        <v>0</v>
      </c>
      <c r="BE311" s="69" t="n">
        <f aca="false">BD311+BE307</f>
        <v>0</v>
      </c>
      <c r="BF311" s="69" t="n">
        <f aca="false">BE311+BF307</f>
        <v>0</v>
      </c>
      <c r="BG311" s="69" t="n">
        <f aca="false">BF311+BG307</f>
        <v>0</v>
      </c>
      <c r="BH311" s="69" t="n">
        <f aca="false">BG311+BH307</f>
        <v>0</v>
      </c>
      <c r="BI311" s="69" t="n">
        <f aca="false">BH311+BI307</f>
        <v>0</v>
      </c>
      <c r="BJ311" s="69" t="n">
        <f aca="false">BI311+BJ307</f>
        <v>0</v>
      </c>
    </row>
    <row r="312" customFormat="false" ht="15" hidden="false" customHeight="false" outlineLevel="0" collapsed="false">
      <c r="A312" s="6" t="s">
        <v>78</v>
      </c>
      <c r="C312" s="69" t="n">
        <f aca="false">-MIN((C310-C311)/MAX(1,Inputs!$D$78*12),C309-C311)</f>
        <v>-3979.16666666667</v>
      </c>
      <c r="D312" s="69" t="n">
        <f aca="false">-MIN((D310-D311)/MAX(1,Inputs!$D$78*12),C314+D309-D311)</f>
        <v>-3979.16666666667</v>
      </c>
      <c r="E312" s="69" t="n">
        <f aca="false">-MIN((E310-E311)/MAX(1,Inputs!$D$78*12),D314+E309-E311)</f>
        <v>-3979.16666666667</v>
      </c>
      <c r="F312" s="69" t="n">
        <f aca="false">-MIN((F310-F311)/MAX(1,Inputs!$D$78*12),E314+F309-F311)</f>
        <v>-3979.16666666667</v>
      </c>
      <c r="G312" s="69" t="n">
        <f aca="false">-MIN((G310-G311)/MAX(1,Inputs!$D$78*12),F314+G309-G311)</f>
        <v>-3979.16666666667</v>
      </c>
      <c r="H312" s="69" t="n">
        <f aca="false">-MIN((H310-H311)/MAX(1,Inputs!$D$78*12),G314+H309-H311)</f>
        <v>-3979.16666666667</v>
      </c>
      <c r="I312" s="69" t="n">
        <f aca="false">-MIN((I310-I311)/MAX(1,Inputs!$D$78*12),H314+I309-I311)</f>
        <v>-3979.16666666667</v>
      </c>
      <c r="J312" s="69" t="n">
        <f aca="false">-MIN((J310-J311)/MAX(1,Inputs!$D$78*12),I314+J309-J311)</f>
        <v>-3979.16666666667</v>
      </c>
      <c r="K312" s="69" t="n">
        <f aca="false">-MIN((K310-K311)/MAX(1,Inputs!$D$78*12),J314+K309-K311)</f>
        <v>-3979.16666666667</v>
      </c>
      <c r="L312" s="69" t="n">
        <f aca="false">-MIN((L310-L311)/MAX(1,Inputs!$D$78*12),K314+L309-L311)</f>
        <v>-3979.16666666667</v>
      </c>
      <c r="M312" s="69" t="n">
        <f aca="false">-MIN((M310-M311)/MAX(1,Inputs!$D$78*12),L314+M309-M311)</f>
        <v>-3979.16666666667</v>
      </c>
      <c r="N312" s="69" t="n">
        <f aca="false">-MIN((N310-N311)/MAX(1,Inputs!$D$78*12),M314+N309-N311)</f>
        <v>-3979.16666666667</v>
      </c>
      <c r="O312" s="69" t="n">
        <f aca="false">-MIN((O310-O311)/MAX(1,Inputs!$D$78*12),N314+O309-O311)</f>
        <v>-4187.5</v>
      </c>
      <c r="P312" s="69" t="n">
        <f aca="false">-MIN((P310-P311)/MAX(1,Inputs!$D$78*12),O314+P309-P311)</f>
        <v>-4187.5</v>
      </c>
      <c r="Q312" s="69" t="n">
        <f aca="false">-MIN((Q310-Q311)/MAX(1,Inputs!$D$78*12),P314+Q309-Q311)</f>
        <v>-4187.5</v>
      </c>
      <c r="R312" s="69" t="n">
        <f aca="false">-MIN((R310-R311)/MAX(1,Inputs!$D$78*12),Q314+R309-R311)</f>
        <v>-4187.5</v>
      </c>
      <c r="S312" s="69" t="n">
        <f aca="false">-MIN((S310-S311)/MAX(1,Inputs!$D$78*12),R314+S309-S311)</f>
        <v>-4187.5</v>
      </c>
      <c r="T312" s="69" t="n">
        <f aca="false">-MIN((T310-T311)/MAX(1,Inputs!$D$78*12),S314+T309-T311)</f>
        <v>-4187.5</v>
      </c>
      <c r="U312" s="69" t="n">
        <f aca="false">-MIN((U310-U311)/MAX(1,Inputs!$D$78*12),T314+U309-U311)</f>
        <v>-4187.5</v>
      </c>
      <c r="V312" s="69" t="n">
        <f aca="false">-MIN((V310-V311)/MAX(1,Inputs!$D$78*12),U314+V309-V311)</f>
        <v>-4187.5</v>
      </c>
      <c r="W312" s="69" t="n">
        <f aca="false">-MIN((W310-W311)/MAX(1,Inputs!$D$78*12),V314+W309-W311)</f>
        <v>-4187.5</v>
      </c>
      <c r="X312" s="69" t="n">
        <f aca="false">-MIN((X310-X311)/MAX(1,Inputs!$D$78*12),W314+X309-X311)</f>
        <v>-4187.5</v>
      </c>
      <c r="Y312" s="69" t="n">
        <f aca="false">-MIN((Y310-Y311)/MAX(1,Inputs!$D$78*12),X314+Y309-Y311)</f>
        <v>-4187.5</v>
      </c>
      <c r="Z312" s="69" t="n">
        <f aca="false">-MIN((Z310-Z311)/MAX(1,Inputs!$D$78*12),Y314+Z309-Z311)</f>
        <v>-4187.5</v>
      </c>
      <c r="AA312" s="69" t="n">
        <f aca="false">-MIN((AA310-AA311)/MAX(1,Inputs!$D$78*12),Z314+AA309-AA311)</f>
        <v>-4395.83333333333</v>
      </c>
      <c r="AB312" s="69" t="n">
        <f aca="false">-MIN((AB310-AB311)/MAX(1,Inputs!$D$78*12),AA314+AB309-AB311)</f>
        <v>-4395.83333333333</v>
      </c>
      <c r="AC312" s="69" t="n">
        <f aca="false">-MIN((AC310-AC311)/MAX(1,Inputs!$D$78*12),AB314+AC309-AC311)</f>
        <v>-4395.83333333333</v>
      </c>
      <c r="AD312" s="69" t="n">
        <f aca="false">-MIN((AD310-AD311)/MAX(1,Inputs!$D$78*12),AC314+AD309-AD311)</f>
        <v>-4395.83333333333</v>
      </c>
      <c r="AE312" s="69" t="n">
        <f aca="false">-MIN((AE310-AE311)/MAX(1,Inputs!$D$78*12),AD314+AE309-AE311)</f>
        <v>-4395.83333333333</v>
      </c>
      <c r="AF312" s="69" t="n">
        <f aca="false">-MIN((AF310-AF311)/MAX(1,Inputs!$D$78*12),AE314+AF309-AF311)</f>
        <v>-4395.83333333333</v>
      </c>
      <c r="AG312" s="69" t="n">
        <f aca="false">-MIN((AG310-AG311)/MAX(1,Inputs!$D$78*12),AF314+AG309-AG311)</f>
        <v>-4395.83333333333</v>
      </c>
      <c r="AH312" s="69" t="n">
        <f aca="false">-MIN((AH310-AH311)/MAX(1,Inputs!$D$78*12),AG314+AH309-AH311)</f>
        <v>-4395.83333333333</v>
      </c>
      <c r="AI312" s="69" t="n">
        <f aca="false">-MIN((AI310-AI311)/MAX(1,Inputs!$D$78*12),AH314+AI309-AI311)</f>
        <v>-4395.83333333333</v>
      </c>
      <c r="AJ312" s="69" t="n">
        <f aca="false">-MIN((AJ310-AJ311)/MAX(1,Inputs!$D$78*12),AI314+AJ309-AJ311)</f>
        <v>-4395.83333333333</v>
      </c>
      <c r="AK312" s="69" t="n">
        <f aca="false">-MIN((AK310-AK311)/MAX(1,Inputs!$D$78*12),AJ314+AK309-AK311)</f>
        <v>-4395.83333333333</v>
      </c>
      <c r="AL312" s="69" t="n">
        <f aca="false">-MIN((AL310-AL311)/MAX(1,Inputs!$D$78*12),AK314+AL309-AL311)</f>
        <v>-4395.83333333333</v>
      </c>
      <c r="AM312" s="69" t="n">
        <f aca="false">-MIN((AM310-AM311)/MAX(1,Inputs!$D$78*12),AL314+AM309-AM311)</f>
        <v>-4604.16666666667</v>
      </c>
      <c r="AN312" s="69" t="n">
        <f aca="false">-MIN((AN310-AN311)/MAX(1,Inputs!$D$78*12),AM314+AN309-AN311)</f>
        <v>-4604.16666666667</v>
      </c>
      <c r="AO312" s="69" t="n">
        <f aca="false">-MIN((AO310-AO311)/MAX(1,Inputs!$D$78*12),AN314+AO309-AO311)</f>
        <v>-4604.16666666667</v>
      </c>
      <c r="AP312" s="69" t="n">
        <f aca="false">-MIN((AP310-AP311)/MAX(1,Inputs!$D$78*12),AO314+AP309-AP311)</f>
        <v>-4604.16666666667</v>
      </c>
      <c r="AQ312" s="69" t="n">
        <f aca="false">-MIN((AQ310-AQ311)/MAX(1,Inputs!$D$78*12),AP314+AQ309-AQ311)</f>
        <v>-4604.16666666667</v>
      </c>
      <c r="AR312" s="69" t="n">
        <f aca="false">-MIN((AR310-AR311)/MAX(1,Inputs!$D$78*12),AQ314+AR309-AR311)</f>
        <v>-4604.16666666667</v>
      </c>
      <c r="AS312" s="69" t="n">
        <f aca="false">-MIN((AS310-AS311)/MAX(1,Inputs!$D$78*12),AR314+AS309-AS311)</f>
        <v>-4604.16666666667</v>
      </c>
      <c r="AT312" s="69" t="n">
        <f aca="false">-MIN((AT310-AT311)/MAX(1,Inputs!$D$78*12),AS314+AT309-AT311)</f>
        <v>-4604.16666666667</v>
      </c>
      <c r="AU312" s="69" t="n">
        <f aca="false">-MIN((AU310-AU311)/MAX(1,Inputs!$D$78*12),AT314+AU309-AU311)</f>
        <v>-4604.16666666667</v>
      </c>
      <c r="AV312" s="69" t="n">
        <f aca="false">-MIN((AV310-AV311)/MAX(1,Inputs!$D$78*12),AU314+AV309-AV311)</f>
        <v>-4604.16666666667</v>
      </c>
      <c r="AW312" s="69" t="n">
        <f aca="false">-MIN((AW310-AW311)/MAX(1,Inputs!$D$78*12),AV314+AW309-AW311)</f>
        <v>-4604.16666666667</v>
      </c>
      <c r="AX312" s="69" t="n">
        <f aca="false">-MIN((AX310-AX311)/MAX(1,Inputs!$D$78*12),AW314+AX309-AX311)</f>
        <v>-4604.16666666667</v>
      </c>
      <c r="AY312" s="69" t="n">
        <f aca="false">-MIN((AY310-AY311)/MAX(1,Inputs!$D$78*12),AX314+AY309-AY311)</f>
        <v>-4812.5</v>
      </c>
      <c r="AZ312" s="69" t="n">
        <f aca="false">-MIN((AZ310-AZ311)/MAX(1,Inputs!$D$78*12),AY314+AZ309-AZ311)</f>
        <v>-4812.5</v>
      </c>
      <c r="BA312" s="69" t="n">
        <f aca="false">-MIN((BA310-BA311)/MAX(1,Inputs!$D$78*12),AZ314+BA309-BA311)</f>
        <v>-4812.5</v>
      </c>
      <c r="BB312" s="69" t="n">
        <f aca="false">-MIN((BB310-BB311)/MAX(1,Inputs!$D$78*12),BA314+BB309-BB311)</f>
        <v>-4812.5</v>
      </c>
      <c r="BC312" s="69" t="n">
        <f aca="false">-MIN((BC310-BC311)/MAX(1,Inputs!$D$78*12),BB314+BC309-BC311)</f>
        <v>-4812.5</v>
      </c>
      <c r="BD312" s="69" t="n">
        <f aca="false">-MIN((BD310-BD311)/MAX(1,Inputs!$D$78*12),BC314+BD309-BD311)</f>
        <v>-4812.5</v>
      </c>
      <c r="BE312" s="69" t="n">
        <f aca="false">-MIN((BE310-BE311)/MAX(1,Inputs!$D$78*12),BD314+BE309-BE311)</f>
        <v>-4812.5</v>
      </c>
      <c r="BF312" s="69" t="n">
        <f aca="false">-MIN((BF310-BF311)/MAX(1,Inputs!$D$78*12),BE314+BF309-BF311)</f>
        <v>-4812.5</v>
      </c>
      <c r="BG312" s="69" t="n">
        <f aca="false">-MIN((BG310-BG311)/MAX(1,Inputs!$D$78*12),BF314+BG309-BG311)</f>
        <v>-4812.5</v>
      </c>
      <c r="BH312" s="69" t="n">
        <f aca="false">-MIN((BH310-BH311)/MAX(1,Inputs!$D$78*12),BG314+BH309-BH311)</f>
        <v>-4812.5</v>
      </c>
      <c r="BI312" s="69" t="n">
        <f aca="false">-MIN((BI310-BI311)/MAX(1,Inputs!$D$78*12),BH314+BI309-BI311)</f>
        <v>-4812.5</v>
      </c>
      <c r="BJ312" s="69" t="n">
        <f aca="false">-MIN((BJ310-BJ311)/MAX(1,Inputs!$D$78*12),BI314+BJ309-BJ311)</f>
        <v>-4812.5</v>
      </c>
    </row>
    <row r="313" customFormat="false" ht="15" hidden="false" customHeight="false" outlineLevel="0" collapsed="false">
      <c r="A313" s="6" t="s">
        <v>437</v>
      </c>
      <c r="C313" s="69" t="n">
        <f aca="false">C312</f>
        <v>-3979.16666666667</v>
      </c>
      <c r="D313" s="69" t="n">
        <f aca="false">C313+D312</f>
        <v>-7958.33333333333</v>
      </c>
      <c r="E313" s="69" t="n">
        <f aca="false">D313+E312</f>
        <v>-11937.5</v>
      </c>
      <c r="F313" s="69" t="n">
        <f aca="false">E313+F312</f>
        <v>-15916.6666666667</v>
      </c>
      <c r="G313" s="69" t="n">
        <f aca="false">F313+G312</f>
        <v>-19895.8333333333</v>
      </c>
      <c r="H313" s="69" t="n">
        <f aca="false">G313+H312</f>
        <v>-23875</v>
      </c>
      <c r="I313" s="69" t="n">
        <f aca="false">H313+I312</f>
        <v>-27854.1666666667</v>
      </c>
      <c r="J313" s="69" t="n">
        <f aca="false">I313+J312</f>
        <v>-31833.3333333333</v>
      </c>
      <c r="K313" s="69" t="n">
        <f aca="false">J313+K312</f>
        <v>-35812.5</v>
      </c>
      <c r="L313" s="69" t="n">
        <f aca="false">K313+L312</f>
        <v>-39791.6666666667</v>
      </c>
      <c r="M313" s="69" t="n">
        <f aca="false">L313+M312</f>
        <v>-43770.8333333333</v>
      </c>
      <c r="N313" s="69" t="n">
        <f aca="false">M313+N312</f>
        <v>-47750</v>
      </c>
      <c r="O313" s="69" t="n">
        <f aca="false">N313+O312</f>
        <v>-51937.5</v>
      </c>
      <c r="P313" s="69" t="n">
        <f aca="false">O313+P312</f>
        <v>-56125</v>
      </c>
      <c r="Q313" s="69" t="n">
        <f aca="false">P313+Q312</f>
        <v>-60312.5</v>
      </c>
      <c r="R313" s="69" t="n">
        <f aca="false">Q313+R312</f>
        <v>-64500</v>
      </c>
      <c r="S313" s="69" t="n">
        <f aca="false">R313+S312</f>
        <v>-68687.5</v>
      </c>
      <c r="T313" s="69" t="n">
        <f aca="false">S313+T312</f>
        <v>-72875</v>
      </c>
      <c r="U313" s="69" t="n">
        <f aca="false">T313+U312</f>
        <v>-77062.5</v>
      </c>
      <c r="V313" s="69" t="n">
        <f aca="false">U313+V312</f>
        <v>-81250</v>
      </c>
      <c r="W313" s="69" t="n">
        <f aca="false">V313+W312</f>
        <v>-85437.5</v>
      </c>
      <c r="X313" s="69" t="n">
        <f aca="false">W313+X312</f>
        <v>-89625</v>
      </c>
      <c r="Y313" s="69" t="n">
        <f aca="false">X313+Y312</f>
        <v>-93812.5</v>
      </c>
      <c r="Z313" s="69" t="n">
        <f aca="false">Y313+Z312</f>
        <v>-98000</v>
      </c>
      <c r="AA313" s="69" t="n">
        <f aca="false">Z313+AA312</f>
        <v>-102395.833333333</v>
      </c>
      <c r="AB313" s="69" t="n">
        <f aca="false">AA313+AB312</f>
        <v>-106791.666666667</v>
      </c>
      <c r="AC313" s="69" t="n">
        <f aca="false">AB313+AC312</f>
        <v>-111187.5</v>
      </c>
      <c r="AD313" s="69" t="n">
        <f aca="false">AC313+AD312</f>
        <v>-115583.333333333</v>
      </c>
      <c r="AE313" s="69" t="n">
        <f aca="false">AD313+AE312</f>
        <v>-119979.166666667</v>
      </c>
      <c r="AF313" s="69" t="n">
        <f aca="false">AE313+AF312</f>
        <v>-124375</v>
      </c>
      <c r="AG313" s="69" t="n">
        <f aca="false">AF313+AG312</f>
        <v>-128770.833333333</v>
      </c>
      <c r="AH313" s="69" t="n">
        <f aca="false">AG313+AH312</f>
        <v>-133166.666666667</v>
      </c>
      <c r="AI313" s="69" t="n">
        <f aca="false">AH313+AI312</f>
        <v>-137562.5</v>
      </c>
      <c r="AJ313" s="69" t="n">
        <f aca="false">AI313+AJ312</f>
        <v>-141958.333333333</v>
      </c>
      <c r="AK313" s="69" t="n">
        <f aca="false">AJ313+AK312</f>
        <v>-146354.166666667</v>
      </c>
      <c r="AL313" s="69" t="n">
        <f aca="false">AK313+AL312</f>
        <v>-150750</v>
      </c>
      <c r="AM313" s="69" t="n">
        <f aca="false">AL313+AM312</f>
        <v>-155354.166666667</v>
      </c>
      <c r="AN313" s="69" t="n">
        <f aca="false">AM313+AN312</f>
        <v>-159958.333333333</v>
      </c>
      <c r="AO313" s="69" t="n">
        <f aca="false">AN313+AO312</f>
        <v>-164562.5</v>
      </c>
      <c r="AP313" s="69" t="n">
        <f aca="false">AO313+AP312</f>
        <v>-169166.666666667</v>
      </c>
      <c r="AQ313" s="69" t="n">
        <f aca="false">AP313+AQ312</f>
        <v>-173770.833333333</v>
      </c>
      <c r="AR313" s="69" t="n">
        <f aca="false">AQ313+AR312</f>
        <v>-178375</v>
      </c>
      <c r="AS313" s="69" t="n">
        <f aca="false">AR313+AS312</f>
        <v>-182979.166666667</v>
      </c>
      <c r="AT313" s="69" t="n">
        <f aca="false">AS313+AT312</f>
        <v>-187583.333333333</v>
      </c>
      <c r="AU313" s="69" t="n">
        <f aca="false">AT313+AU312</f>
        <v>-192187.5</v>
      </c>
      <c r="AV313" s="69" t="n">
        <f aca="false">AU313+AV312</f>
        <v>-196791.666666667</v>
      </c>
      <c r="AW313" s="69" t="n">
        <f aca="false">AV313+AW312</f>
        <v>-201395.833333333</v>
      </c>
      <c r="AX313" s="69" t="n">
        <f aca="false">AW313+AX312</f>
        <v>-206000</v>
      </c>
      <c r="AY313" s="69" t="n">
        <f aca="false">AX313+AY312</f>
        <v>-210812.5</v>
      </c>
      <c r="AZ313" s="69" t="n">
        <f aca="false">AY313+AZ312</f>
        <v>-215625</v>
      </c>
      <c r="BA313" s="69" t="n">
        <f aca="false">AZ313+BA312</f>
        <v>-220437.5</v>
      </c>
      <c r="BB313" s="69" t="n">
        <f aca="false">BA313+BB312</f>
        <v>-225250</v>
      </c>
      <c r="BC313" s="69" t="n">
        <f aca="false">BB313+BC312</f>
        <v>-230062.5</v>
      </c>
      <c r="BD313" s="69" t="n">
        <f aca="false">BC313+BD312</f>
        <v>-234875</v>
      </c>
      <c r="BE313" s="69" t="n">
        <f aca="false">BD313+BE312</f>
        <v>-239687.5</v>
      </c>
      <c r="BF313" s="69" t="n">
        <f aca="false">BE313+BF312</f>
        <v>-244500</v>
      </c>
      <c r="BG313" s="69" t="n">
        <f aca="false">BF313+BG312</f>
        <v>-249312.5</v>
      </c>
      <c r="BH313" s="69" t="n">
        <f aca="false">BG313+BH312</f>
        <v>-254125</v>
      </c>
      <c r="BI313" s="69" t="n">
        <f aca="false">BH313+BI312</f>
        <v>-258937.5</v>
      </c>
      <c r="BJ313" s="69" t="n">
        <f aca="false">BI313+BJ312</f>
        <v>-263750</v>
      </c>
    </row>
    <row r="314" customFormat="false" ht="15" hidden="false" customHeight="false" outlineLevel="0" collapsed="false">
      <c r="A314" s="4" t="s">
        <v>92</v>
      </c>
      <c r="C314" s="75" t="n">
        <f aca="false">C310+C313</f>
        <v>378020.833333333</v>
      </c>
      <c r="D314" s="75" t="n">
        <f aca="false">D310+D313</f>
        <v>374041.666666667</v>
      </c>
      <c r="E314" s="75" t="n">
        <f aca="false">E310+E313</f>
        <v>370062.5</v>
      </c>
      <c r="F314" s="75" t="n">
        <f aca="false">F310+F313</f>
        <v>366083.333333333</v>
      </c>
      <c r="G314" s="75" t="n">
        <f aca="false">G310+G313</f>
        <v>362104.166666667</v>
      </c>
      <c r="H314" s="75" t="n">
        <f aca="false">H310+H313</f>
        <v>358125</v>
      </c>
      <c r="I314" s="75" t="n">
        <f aca="false">I310+I313</f>
        <v>354145.833333333</v>
      </c>
      <c r="J314" s="75" t="n">
        <f aca="false">J310+J313</f>
        <v>350166.666666667</v>
      </c>
      <c r="K314" s="75" t="n">
        <f aca="false">K310+K313</f>
        <v>346187.5</v>
      </c>
      <c r="L314" s="75" t="n">
        <f aca="false">L310+L313</f>
        <v>342208.333333333</v>
      </c>
      <c r="M314" s="75" t="n">
        <f aca="false">M310+M313</f>
        <v>338229.166666667</v>
      </c>
      <c r="N314" s="75" t="n">
        <f aca="false">N310+N313</f>
        <v>334250</v>
      </c>
      <c r="O314" s="75" t="n">
        <f aca="false">O310+O313</f>
        <v>350062.5</v>
      </c>
      <c r="P314" s="75" t="n">
        <f aca="false">P310+P313</f>
        <v>345875</v>
      </c>
      <c r="Q314" s="75" t="n">
        <f aca="false">Q310+Q313</f>
        <v>341687.5</v>
      </c>
      <c r="R314" s="75" t="n">
        <f aca="false">R310+R313</f>
        <v>337500</v>
      </c>
      <c r="S314" s="75" t="n">
        <f aca="false">S310+S313</f>
        <v>333312.5</v>
      </c>
      <c r="T314" s="75" t="n">
        <f aca="false">T310+T313</f>
        <v>329125</v>
      </c>
      <c r="U314" s="75" t="n">
        <f aca="false">U310+U313</f>
        <v>324937.5</v>
      </c>
      <c r="V314" s="75" t="n">
        <f aca="false">V310+V313</f>
        <v>320750</v>
      </c>
      <c r="W314" s="75" t="n">
        <f aca="false">W310+W313</f>
        <v>316562.5</v>
      </c>
      <c r="X314" s="75" t="n">
        <f aca="false">X310+X313</f>
        <v>312375</v>
      </c>
      <c r="Y314" s="75" t="n">
        <f aca="false">Y310+Y313</f>
        <v>308187.5</v>
      </c>
      <c r="Z314" s="75" t="n">
        <f aca="false">Z310+Z313</f>
        <v>304000</v>
      </c>
      <c r="AA314" s="75" t="n">
        <f aca="false">AA310+AA313</f>
        <v>319604.166666667</v>
      </c>
      <c r="AB314" s="75" t="n">
        <f aca="false">AB310+AB313</f>
        <v>315208.333333333</v>
      </c>
      <c r="AC314" s="75" t="n">
        <f aca="false">AC310+AC313</f>
        <v>310812.5</v>
      </c>
      <c r="AD314" s="75" t="n">
        <f aca="false">AD310+AD313</f>
        <v>306416.666666667</v>
      </c>
      <c r="AE314" s="75" t="n">
        <f aca="false">AE310+AE313</f>
        <v>302020.833333333</v>
      </c>
      <c r="AF314" s="75" t="n">
        <f aca="false">AF310+AF313</f>
        <v>297625</v>
      </c>
      <c r="AG314" s="75" t="n">
        <f aca="false">AG310+AG313</f>
        <v>293229.166666667</v>
      </c>
      <c r="AH314" s="75" t="n">
        <f aca="false">AH310+AH313</f>
        <v>288833.333333333</v>
      </c>
      <c r="AI314" s="75" t="n">
        <f aca="false">AI310+AI313</f>
        <v>284437.5</v>
      </c>
      <c r="AJ314" s="75" t="n">
        <f aca="false">AJ310+AJ313</f>
        <v>280041.666666667</v>
      </c>
      <c r="AK314" s="75" t="n">
        <f aca="false">AK310+AK313</f>
        <v>275645.833333333</v>
      </c>
      <c r="AL314" s="75" t="n">
        <f aca="false">AL310+AL313</f>
        <v>271250</v>
      </c>
      <c r="AM314" s="75" t="n">
        <f aca="false">AM310+AM313</f>
        <v>286645.833333333</v>
      </c>
      <c r="AN314" s="75" t="n">
        <f aca="false">AN310+AN313</f>
        <v>282041.666666667</v>
      </c>
      <c r="AO314" s="75" t="n">
        <f aca="false">AO310+AO313</f>
        <v>277437.5</v>
      </c>
      <c r="AP314" s="75" t="n">
        <f aca="false">AP310+AP313</f>
        <v>272833.333333333</v>
      </c>
      <c r="AQ314" s="75" t="n">
        <f aca="false">AQ310+AQ313</f>
        <v>268229.166666667</v>
      </c>
      <c r="AR314" s="75" t="n">
        <f aca="false">AR310+AR313</f>
        <v>263625</v>
      </c>
      <c r="AS314" s="75" t="n">
        <f aca="false">AS310+AS313</f>
        <v>259020.833333333</v>
      </c>
      <c r="AT314" s="75" t="n">
        <f aca="false">AT310+AT313</f>
        <v>254416.666666667</v>
      </c>
      <c r="AU314" s="75" t="n">
        <f aca="false">AU310+AU313</f>
        <v>249812.5</v>
      </c>
      <c r="AV314" s="75" t="n">
        <f aca="false">AV310+AV313</f>
        <v>245208.333333333</v>
      </c>
      <c r="AW314" s="75" t="n">
        <f aca="false">AW310+AW313</f>
        <v>240604.166666667</v>
      </c>
      <c r="AX314" s="75" t="n">
        <f aca="false">AX310+AX313</f>
        <v>236000</v>
      </c>
      <c r="AY314" s="75" t="n">
        <f aca="false">AY310+AY313</f>
        <v>251187.5</v>
      </c>
      <c r="AZ314" s="75" t="n">
        <f aca="false">AZ310+AZ313</f>
        <v>246375</v>
      </c>
      <c r="BA314" s="75" t="n">
        <f aca="false">BA310+BA313</f>
        <v>241562.5</v>
      </c>
      <c r="BB314" s="75" t="n">
        <f aca="false">BB310+BB313</f>
        <v>236750</v>
      </c>
      <c r="BC314" s="75" t="n">
        <f aca="false">BC310+BC313</f>
        <v>231937.5</v>
      </c>
      <c r="BD314" s="75" t="n">
        <f aca="false">BD310+BD313</f>
        <v>227125</v>
      </c>
      <c r="BE314" s="75" t="n">
        <f aca="false">BE310+BE313</f>
        <v>222312.5</v>
      </c>
      <c r="BF314" s="75" t="n">
        <f aca="false">BF310+BF313</f>
        <v>217500</v>
      </c>
      <c r="BG314" s="75" t="n">
        <f aca="false">BG310+BG313</f>
        <v>212687.5</v>
      </c>
      <c r="BH314" s="75" t="n">
        <f aca="false">BH310+BH313</f>
        <v>207875</v>
      </c>
      <c r="BI314" s="75" t="n">
        <f aca="false">BI310+BI313</f>
        <v>203062.5</v>
      </c>
      <c r="BJ314" s="75" t="n">
        <f aca="false">BJ310+BJ313</f>
        <v>198250</v>
      </c>
    </row>
    <row r="316" customFormat="false" ht="15.75" hidden="false" customHeight="true" outlineLevel="0" collapsed="false">
      <c r="A316" s="7" t="s">
        <v>438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customFormat="false" ht="15" hidden="false" customHeight="false" outlineLevel="0" collapsed="false">
      <c r="A317" s="6" t="s">
        <v>439</v>
      </c>
      <c r="C317" s="69" t="n">
        <f aca="false">0</f>
        <v>0</v>
      </c>
      <c r="D317" s="69" t="n">
        <f aca="false">C320</f>
        <v>250000</v>
      </c>
      <c r="E317" s="69" t="n">
        <f aca="false">D320</f>
        <v>247023.80952381</v>
      </c>
      <c r="F317" s="69" t="n">
        <f aca="false">E320</f>
        <v>244047.619047619</v>
      </c>
      <c r="G317" s="69" t="n">
        <f aca="false">F320</f>
        <v>241071.428571429</v>
      </c>
      <c r="H317" s="69" t="n">
        <f aca="false">G320</f>
        <v>238095.238095238</v>
      </c>
      <c r="I317" s="69" t="n">
        <f aca="false">H320</f>
        <v>235119.047619048</v>
      </c>
      <c r="J317" s="69" t="n">
        <f aca="false">I320</f>
        <v>232142.857142857</v>
      </c>
      <c r="K317" s="69" t="n">
        <f aca="false">J320</f>
        <v>229166.666666667</v>
      </c>
      <c r="L317" s="69" t="n">
        <f aca="false">K320</f>
        <v>226190.476190476</v>
      </c>
      <c r="M317" s="69" t="n">
        <f aca="false">L320</f>
        <v>223214.285714286</v>
      </c>
      <c r="N317" s="69" t="n">
        <f aca="false">M320</f>
        <v>220238.095238095</v>
      </c>
      <c r="O317" s="69" t="n">
        <f aca="false">N320</f>
        <v>217261.904761905</v>
      </c>
      <c r="P317" s="69" t="n">
        <f aca="false">O320</f>
        <v>214285.714285714</v>
      </c>
      <c r="Q317" s="69" t="n">
        <f aca="false">P320</f>
        <v>211309.523809524</v>
      </c>
      <c r="R317" s="69" t="n">
        <f aca="false">Q320</f>
        <v>208333.333333333</v>
      </c>
      <c r="S317" s="69" t="n">
        <f aca="false">R320</f>
        <v>205357.142857143</v>
      </c>
      <c r="T317" s="69" t="n">
        <f aca="false">S320</f>
        <v>202380.952380952</v>
      </c>
      <c r="U317" s="69" t="n">
        <f aca="false">T320</f>
        <v>199404.761904762</v>
      </c>
      <c r="V317" s="69" t="n">
        <f aca="false">U320</f>
        <v>196428.571428571</v>
      </c>
      <c r="W317" s="69" t="n">
        <f aca="false">V320</f>
        <v>193452.380952381</v>
      </c>
      <c r="X317" s="69" t="n">
        <f aca="false">W320</f>
        <v>190476.190476191</v>
      </c>
      <c r="Y317" s="69" t="n">
        <f aca="false">X320</f>
        <v>187500</v>
      </c>
      <c r="Z317" s="69" t="n">
        <f aca="false">Y320</f>
        <v>184523.80952381</v>
      </c>
      <c r="AA317" s="69" t="n">
        <f aca="false">Z320</f>
        <v>181547.619047619</v>
      </c>
      <c r="AB317" s="69" t="n">
        <f aca="false">AA320</f>
        <v>178571.428571429</v>
      </c>
      <c r="AC317" s="69" t="n">
        <f aca="false">AB320</f>
        <v>175595.238095238</v>
      </c>
      <c r="AD317" s="69" t="n">
        <f aca="false">AC320</f>
        <v>172619.047619048</v>
      </c>
      <c r="AE317" s="69" t="n">
        <f aca="false">AD320</f>
        <v>169642.857142857</v>
      </c>
      <c r="AF317" s="69" t="n">
        <f aca="false">AE320</f>
        <v>166666.666666667</v>
      </c>
      <c r="AG317" s="69" t="n">
        <f aca="false">AF320</f>
        <v>163690.476190476</v>
      </c>
      <c r="AH317" s="69" t="n">
        <f aca="false">AG320</f>
        <v>160714.285714286</v>
      </c>
      <c r="AI317" s="69" t="n">
        <f aca="false">AH320</f>
        <v>157738.095238095</v>
      </c>
      <c r="AJ317" s="69" t="n">
        <f aca="false">AI320</f>
        <v>154761.904761905</v>
      </c>
      <c r="AK317" s="69" t="n">
        <f aca="false">AJ320</f>
        <v>151785.714285714</v>
      </c>
      <c r="AL317" s="69" t="n">
        <f aca="false">AK320</f>
        <v>148809.523809524</v>
      </c>
      <c r="AM317" s="69" t="n">
        <f aca="false">AL320</f>
        <v>145833.333333333</v>
      </c>
      <c r="AN317" s="69" t="n">
        <f aca="false">AM320</f>
        <v>142857.142857143</v>
      </c>
      <c r="AO317" s="69" t="n">
        <f aca="false">AN320</f>
        <v>139880.952380952</v>
      </c>
      <c r="AP317" s="69" t="n">
        <f aca="false">AO320</f>
        <v>136904.761904762</v>
      </c>
      <c r="AQ317" s="69" t="n">
        <f aca="false">AP320</f>
        <v>133928.571428572</v>
      </c>
      <c r="AR317" s="69" t="n">
        <f aca="false">AQ320</f>
        <v>130952.380952381</v>
      </c>
      <c r="AS317" s="69" t="n">
        <f aca="false">AR320</f>
        <v>127976.190476191</v>
      </c>
      <c r="AT317" s="69" t="n">
        <f aca="false">AS320</f>
        <v>125000</v>
      </c>
      <c r="AU317" s="69" t="n">
        <f aca="false">AT320</f>
        <v>122023.80952381</v>
      </c>
      <c r="AV317" s="69" t="n">
        <f aca="false">AU320</f>
        <v>119047.619047619</v>
      </c>
      <c r="AW317" s="69" t="n">
        <f aca="false">AV320</f>
        <v>116071.428571429</v>
      </c>
      <c r="AX317" s="69" t="n">
        <f aca="false">AW320</f>
        <v>113095.238095238</v>
      </c>
      <c r="AY317" s="69" t="n">
        <f aca="false">AX320</f>
        <v>110119.047619048</v>
      </c>
      <c r="AZ317" s="69" t="n">
        <f aca="false">AY320</f>
        <v>107142.857142857</v>
      </c>
      <c r="BA317" s="69" t="n">
        <f aca="false">AZ320</f>
        <v>104166.666666667</v>
      </c>
      <c r="BB317" s="69" t="n">
        <f aca="false">BA320</f>
        <v>101190.476190476</v>
      </c>
      <c r="BC317" s="69" t="n">
        <f aca="false">BB320</f>
        <v>98214.2857142859</v>
      </c>
      <c r="BD317" s="69" t="n">
        <f aca="false">BC320</f>
        <v>95238.0952380954</v>
      </c>
      <c r="BE317" s="69" t="n">
        <f aca="false">BD320</f>
        <v>92261.9047619049</v>
      </c>
      <c r="BF317" s="69" t="n">
        <f aca="false">BE320</f>
        <v>89285.7142857144</v>
      </c>
      <c r="BG317" s="69" t="n">
        <f aca="false">BF320</f>
        <v>86309.523809524</v>
      </c>
      <c r="BH317" s="69" t="n">
        <f aca="false">BG320</f>
        <v>83333.3333333335</v>
      </c>
      <c r="BI317" s="69" t="n">
        <f aca="false">BH320</f>
        <v>80357.142857143</v>
      </c>
      <c r="BJ317" s="69" t="n">
        <f aca="false">BI320</f>
        <v>77380.9523809525</v>
      </c>
    </row>
    <row r="318" customFormat="false" ht="15" hidden="false" customHeight="false" outlineLevel="0" collapsed="false">
      <c r="A318" s="6" t="s">
        <v>85</v>
      </c>
      <c r="C318" s="69" t="n">
        <f aca="false">IF(C$250=1,Inputs!$D$68,0)</f>
        <v>250000</v>
      </c>
      <c r="D318" s="69" t="n">
        <f aca="false">IF(D$250=1,Inputs!$D$68,0)</f>
        <v>0</v>
      </c>
      <c r="E318" s="69" t="n">
        <f aca="false">IF(E$250=1,Inputs!$D$68,0)</f>
        <v>0</v>
      </c>
      <c r="F318" s="69" t="n">
        <f aca="false">IF(F$250=1,Inputs!$D$68,0)</f>
        <v>0</v>
      </c>
      <c r="G318" s="69" t="n">
        <f aca="false">IF(G$250=1,Inputs!$D$68,0)</f>
        <v>0</v>
      </c>
      <c r="H318" s="69" t="n">
        <f aca="false">IF(H$250=1,Inputs!$D$68,0)</f>
        <v>0</v>
      </c>
      <c r="I318" s="69" t="n">
        <f aca="false">IF(I$250=1,Inputs!$D$68,0)</f>
        <v>0</v>
      </c>
      <c r="J318" s="69" t="n">
        <f aca="false">IF(J$250=1,Inputs!$D$68,0)</f>
        <v>0</v>
      </c>
      <c r="K318" s="69" t="n">
        <f aca="false">IF(K$250=1,Inputs!$D$68,0)</f>
        <v>0</v>
      </c>
      <c r="L318" s="69" t="n">
        <f aca="false">IF(L$250=1,Inputs!$D$68,0)</f>
        <v>0</v>
      </c>
      <c r="M318" s="69" t="n">
        <f aca="false">IF(M$250=1,Inputs!$D$68,0)</f>
        <v>0</v>
      </c>
      <c r="N318" s="69" t="n">
        <f aca="false">IF(N$250=1,Inputs!$D$68,0)</f>
        <v>0</v>
      </c>
      <c r="O318" s="69" t="n">
        <f aca="false">IF(O$250=1,Inputs!$D$68,0)</f>
        <v>0</v>
      </c>
      <c r="P318" s="69" t="n">
        <f aca="false">IF(P$250=1,Inputs!$D$68,0)</f>
        <v>0</v>
      </c>
      <c r="Q318" s="69" t="n">
        <f aca="false">IF(Q$250=1,Inputs!$D$68,0)</f>
        <v>0</v>
      </c>
      <c r="R318" s="69" t="n">
        <f aca="false">IF(R$250=1,Inputs!$D$68,0)</f>
        <v>0</v>
      </c>
      <c r="S318" s="69" t="n">
        <f aca="false">IF(S$250=1,Inputs!$D$68,0)</f>
        <v>0</v>
      </c>
      <c r="T318" s="69" t="n">
        <f aca="false">IF(T$250=1,Inputs!$D$68,0)</f>
        <v>0</v>
      </c>
      <c r="U318" s="69" t="n">
        <f aca="false">IF(U$250=1,Inputs!$D$68,0)</f>
        <v>0</v>
      </c>
      <c r="V318" s="69" t="n">
        <f aca="false">IF(V$250=1,Inputs!$D$68,0)</f>
        <v>0</v>
      </c>
      <c r="W318" s="69" t="n">
        <f aca="false">IF(W$250=1,Inputs!$D$68,0)</f>
        <v>0</v>
      </c>
      <c r="X318" s="69" t="n">
        <f aca="false">IF(X$250=1,Inputs!$D$68,0)</f>
        <v>0</v>
      </c>
      <c r="Y318" s="69" t="n">
        <f aca="false">IF(Y$250=1,Inputs!$D$68,0)</f>
        <v>0</v>
      </c>
      <c r="Z318" s="69" t="n">
        <f aca="false">IF(Z$250=1,Inputs!$D$68,0)</f>
        <v>0</v>
      </c>
      <c r="AA318" s="69" t="n">
        <f aca="false">IF(AA$250=1,Inputs!$D$68,0)</f>
        <v>0</v>
      </c>
      <c r="AB318" s="69" t="n">
        <f aca="false">IF(AB$250=1,Inputs!$D$68,0)</f>
        <v>0</v>
      </c>
      <c r="AC318" s="69" t="n">
        <f aca="false">IF(AC$250=1,Inputs!$D$68,0)</f>
        <v>0</v>
      </c>
      <c r="AD318" s="69" t="n">
        <f aca="false">IF(AD$250=1,Inputs!$D$68,0)</f>
        <v>0</v>
      </c>
      <c r="AE318" s="69" t="n">
        <f aca="false">IF(AE$250=1,Inputs!$D$68,0)</f>
        <v>0</v>
      </c>
      <c r="AF318" s="69" t="n">
        <f aca="false">IF(AF$250=1,Inputs!$D$68,0)</f>
        <v>0</v>
      </c>
      <c r="AG318" s="69" t="n">
        <f aca="false">IF(AG$250=1,Inputs!$D$68,0)</f>
        <v>0</v>
      </c>
      <c r="AH318" s="69" t="n">
        <f aca="false">IF(AH$250=1,Inputs!$D$68,0)</f>
        <v>0</v>
      </c>
      <c r="AI318" s="69" t="n">
        <f aca="false">IF(AI$250=1,Inputs!$D$68,0)</f>
        <v>0</v>
      </c>
      <c r="AJ318" s="69" t="n">
        <f aca="false">IF(AJ$250=1,Inputs!$D$68,0)</f>
        <v>0</v>
      </c>
      <c r="AK318" s="69" t="n">
        <f aca="false">IF(AK$250=1,Inputs!$D$68,0)</f>
        <v>0</v>
      </c>
      <c r="AL318" s="69" t="n">
        <f aca="false">IF(AL$250=1,Inputs!$D$68,0)</f>
        <v>0</v>
      </c>
      <c r="AM318" s="69" t="n">
        <f aca="false">IF(AM$250=1,Inputs!$D$68,0)</f>
        <v>0</v>
      </c>
      <c r="AN318" s="69" t="n">
        <f aca="false">IF(AN$250=1,Inputs!$D$68,0)</f>
        <v>0</v>
      </c>
      <c r="AO318" s="69" t="n">
        <f aca="false">IF(AO$250=1,Inputs!$D$68,0)</f>
        <v>0</v>
      </c>
      <c r="AP318" s="69" t="n">
        <f aca="false">IF(AP$250=1,Inputs!$D$68,0)</f>
        <v>0</v>
      </c>
      <c r="AQ318" s="69" t="n">
        <f aca="false">IF(AQ$250=1,Inputs!$D$68,0)</f>
        <v>0</v>
      </c>
      <c r="AR318" s="69" t="n">
        <f aca="false">IF(AR$250=1,Inputs!$D$68,0)</f>
        <v>0</v>
      </c>
      <c r="AS318" s="69" t="n">
        <f aca="false">IF(AS$250=1,Inputs!$D$68,0)</f>
        <v>0</v>
      </c>
      <c r="AT318" s="69" t="n">
        <f aca="false">IF(AT$250=1,Inputs!$D$68,0)</f>
        <v>0</v>
      </c>
      <c r="AU318" s="69" t="n">
        <f aca="false">IF(AU$250=1,Inputs!$D$68,0)</f>
        <v>0</v>
      </c>
      <c r="AV318" s="69" t="n">
        <f aca="false">IF(AV$250=1,Inputs!$D$68,0)</f>
        <v>0</v>
      </c>
      <c r="AW318" s="69" t="n">
        <f aca="false">IF(AW$250=1,Inputs!$D$68,0)</f>
        <v>0</v>
      </c>
      <c r="AX318" s="69" t="n">
        <f aca="false">IF(AX$250=1,Inputs!$D$68,0)</f>
        <v>0</v>
      </c>
      <c r="AY318" s="69" t="n">
        <f aca="false">IF(AY$250=1,Inputs!$D$68,0)</f>
        <v>0</v>
      </c>
      <c r="AZ318" s="69" t="n">
        <f aca="false">IF(AZ$250=1,Inputs!$D$68,0)</f>
        <v>0</v>
      </c>
      <c r="BA318" s="69" t="n">
        <f aca="false">IF(BA$250=1,Inputs!$D$68,0)</f>
        <v>0</v>
      </c>
      <c r="BB318" s="69" t="n">
        <f aca="false">IF(BB$250=1,Inputs!$D$68,0)</f>
        <v>0</v>
      </c>
      <c r="BC318" s="69" t="n">
        <f aca="false">IF(BC$250=1,Inputs!$D$68,0)</f>
        <v>0</v>
      </c>
      <c r="BD318" s="69" t="n">
        <f aca="false">IF(BD$250=1,Inputs!$D$68,0)</f>
        <v>0</v>
      </c>
      <c r="BE318" s="69" t="n">
        <f aca="false">IF(BE$250=1,Inputs!$D$68,0)</f>
        <v>0</v>
      </c>
      <c r="BF318" s="69" t="n">
        <f aca="false">IF(BF$250=1,Inputs!$D$68,0)</f>
        <v>0</v>
      </c>
      <c r="BG318" s="69" t="n">
        <f aca="false">IF(BG$250=1,Inputs!$D$68,0)</f>
        <v>0</v>
      </c>
      <c r="BH318" s="69" t="n">
        <f aca="false">IF(BH$250=1,Inputs!$D$68,0)</f>
        <v>0</v>
      </c>
      <c r="BI318" s="69" t="n">
        <f aca="false">IF(BI$250=1,Inputs!$D$68,0)</f>
        <v>0</v>
      </c>
      <c r="BJ318" s="69" t="n">
        <f aca="false">IF(BJ$250=1,Inputs!$D$68,0)</f>
        <v>0</v>
      </c>
    </row>
    <row r="319" customFormat="false" ht="15" hidden="false" customHeight="false" outlineLevel="0" collapsed="false">
      <c r="A319" s="6" t="s">
        <v>86</v>
      </c>
      <c r="C319" s="69" t="n">
        <f aca="false">-MIN(C317,Inputs!$D$68/MAX(1,Inputs!$D$70*12))</f>
        <v>-0</v>
      </c>
      <c r="D319" s="69" t="n">
        <f aca="false">-MIN(D317,Inputs!$D$68/MAX(1,Inputs!$D$70*12))</f>
        <v>-2976.19047619048</v>
      </c>
      <c r="E319" s="69" t="n">
        <f aca="false">-MIN(E317,Inputs!$D$68/MAX(1,Inputs!$D$70*12))</f>
        <v>-2976.19047619048</v>
      </c>
      <c r="F319" s="69" t="n">
        <f aca="false">-MIN(F317,Inputs!$D$68/MAX(1,Inputs!$D$70*12))</f>
        <v>-2976.19047619048</v>
      </c>
      <c r="G319" s="69" t="n">
        <f aca="false">-MIN(G317,Inputs!$D$68/MAX(1,Inputs!$D$70*12))</f>
        <v>-2976.19047619048</v>
      </c>
      <c r="H319" s="69" t="n">
        <f aca="false">-MIN(H317,Inputs!$D$68/MAX(1,Inputs!$D$70*12))</f>
        <v>-2976.19047619048</v>
      </c>
      <c r="I319" s="69" t="n">
        <f aca="false">-MIN(I317,Inputs!$D$68/MAX(1,Inputs!$D$70*12))</f>
        <v>-2976.19047619048</v>
      </c>
      <c r="J319" s="69" t="n">
        <f aca="false">-MIN(J317,Inputs!$D$68/MAX(1,Inputs!$D$70*12))</f>
        <v>-2976.19047619048</v>
      </c>
      <c r="K319" s="69" t="n">
        <f aca="false">-MIN(K317,Inputs!$D$68/MAX(1,Inputs!$D$70*12))</f>
        <v>-2976.19047619048</v>
      </c>
      <c r="L319" s="69" t="n">
        <f aca="false">-MIN(L317,Inputs!$D$68/MAX(1,Inputs!$D$70*12))</f>
        <v>-2976.19047619048</v>
      </c>
      <c r="M319" s="69" t="n">
        <f aca="false">-MIN(M317,Inputs!$D$68/MAX(1,Inputs!$D$70*12))</f>
        <v>-2976.19047619048</v>
      </c>
      <c r="N319" s="69" t="n">
        <f aca="false">-MIN(N317,Inputs!$D$68/MAX(1,Inputs!$D$70*12))</f>
        <v>-2976.19047619048</v>
      </c>
      <c r="O319" s="69" t="n">
        <f aca="false">-MIN(O317,Inputs!$D$68/MAX(1,Inputs!$D$70*12))</f>
        <v>-2976.19047619048</v>
      </c>
      <c r="P319" s="69" t="n">
        <f aca="false">-MIN(P317,Inputs!$D$68/MAX(1,Inputs!$D$70*12))</f>
        <v>-2976.19047619048</v>
      </c>
      <c r="Q319" s="69" t="n">
        <f aca="false">-MIN(Q317,Inputs!$D$68/MAX(1,Inputs!$D$70*12))</f>
        <v>-2976.19047619048</v>
      </c>
      <c r="R319" s="69" t="n">
        <f aca="false">-MIN(R317,Inputs!$D$68/MAX(1,Inputs!$D$70*12))</f>
        <v>-2976.19047619048</v>
      </c>
      <c r="S319" s="69" t="n">
        <f aca="false">-MIN(S317,Inputs!$D$68/MAX(1,Inputs!$D$70*12))</f>
        <v>-2976.19047619048</v>
      </c>
      <c r="T319" s="69" t="n">
        <f aca="false">-MIN(T317,Inputs!$D$68/MAX(1,Inputs!$D$70*12))</f>
        <v>-2976.19047619048</v>
      </c>
      <c r="U319" s="69" t="n">
        <f aca="false">-MIN(U317,Inputs!$D$68/MAX(1,Inputs!$D$70*12))</f>
        <v>-2976.19047619048</v>
      </c>
      <c r="V319" s="69" t="n">
        <f aca="false">-MIN(V317,Inputs!$D$68/MAX(1,Inputs!$D$70*12))</f>
        <v>-2976.19047619048</v>
      </c>
      <c r="W319" s="69" t="n">
        <f aca="false">-MIN(W317,Inputs!$D$68/MAX(1,Inputs!$D$70*12))</f>
        <v>-2976.19047619048</v>
      </c>
      <c r="X319" s="69" t="n">
        <f aca="false">-MIN(X317,Inputs!$D$68/MAX(1,Inputs!$D$70*12))</f>
        <v>-2976.19047619048</v>
      </c>
      <c r="Y319" s="69" t="n">
        <f aca="false">-MIN(Y317,Inputs!$D$68/MAX(1,Inputs!$D$70*12))</f>
        <v>-2976.19047619048</v>
      </c>
      <c r="Z319" s="69" t="n">
        <f aca="false">-MIN(Z317,Inputs!$D$68/MAX(1,Inputs!$D$70*12))</f>
        <v>-2976.19047619048</v>
      </c>
      <c r="AA319" s="69" t="n">
        <f aca="false">-MIN(AA317,Inputs!$D$68/MAX(1,Inputs!$D$70*12))</f>
        <v>-2976.19047619048</v>
      </c>
      <c r="AB319" s="69" t="n">
        <f aca="false">-MIN(AB317,Inputs!$D$68/MAX(1,Inputs!$D$70*12))</f>
        <v>-2976.19047619048</v>
      </c>
      <c r="AC319" s="69" t="n">
        <f aca="false">-MIN(AC317,Inputs!$D$68/MAX(1,Inputs!$D$70*12))</f>
        <v>-2976.19047619048</v>
      </c>
      <c r="AD319" s="69" t="n">
        <f aca="false">-MIN(AD317,Inputs!$D$68/MAX(1,Inputs!$D$70*12))</f>
        <v>-2976.19047619048</v>
      </c>
      <c r="AE319" s="69" t="n">
        <f aca="false">-MIN(AE317,Inputs!$D$68/MAX(1,Inputs!$D$70*12))</f>
        <v>-2976.19047619048</v>
      </c>
      <c r="AF319" s="69" t="n">
        <f aca="false">-MIN(AF317,Inputs!$D$68/MAX(1,Inputs!$D$70*12))</f>
        <v>-2976.19047619048</v>
      </c>
      <c r="AG319" s="69" t="n">
        <f aca="false">-MIN(AG317,Inputs!$D$68/MAX(1,Inputs!$D$70*12))</f>
        <v>-2976.19047619048</v>
      </c>
      <c r="AH319" s="69" t="n">
        <f aca="false">-MIN(AH317,Inputs!$D$68/MAX(1,Inputs!$D$70*12))</f>
        <v>-2976.19047619048</v>
      </c>
      <c r="AI319" s="69" t="n">
        <f aca="false">-MIN(AI317,Inputs!$D$68/MAX(1,Inputs!$D$70*12))</f>
        <v>-2976.19047619048</v>
      </c>
      <c r="AJ319" s="69" t="n">
        <f aca="false">-MIN(AJ317,Inputs!$D$68/MAX(1,Inputs!$D$70*12))</f>
        <v>-2976.19047619048</v>
      </c>
      <c r="AK319" s="69" t="n">
        <f aca="false">-MIN(AK317,Inputs!$D$68/MAX(1,Inputs!$D$70*12))</f>
        <v>-2976.19047619048</v>
      </c>
      <c r="AL319" s="69" t="n">
        <f aca="false">-MIN(AL317,Inputs!$D$68/MAX(1,Inputs!$D$70*12))</f>
        <v>-2976.19047619048</v>
      </c>
      <c r="AM319" s="69" t="n">
        <f aca="false">-MIN(AM317,Inputs!$D$68/MAX(1,Inputs!$D$70*12))</f>
        <v>-2976.19047619048</v>
      </c>
      <c r="AN319" s="69" t="n">
        <f aca="false">-MIN(AN317,Inputs!$D$68/MAX(1,Inputs!$D$70*12))</f>
        <v>-2976.19047619048</v>
      </c>
      <c r="AO319" s="69" t="n">
        <f aca="false">-MIN(AO317,Inputs!$D$68/MAX(1,Inputs!$D$70*12))</f>
        <v>-2976.19047619048</v>
      </c>
      <c r="AP319" s="69" t="n">
        <f aca="false">-MIN(AP317,Inputs!$D$68/MAX(1,Inputs!$D$70*12))</f>
        <v>-2976.19047619048</v>
      </c>
      <c r="AQ319" s="69" t="n">
        <f aca="false">-MIN(AQ317,Inputs!$D$68/MAX(1,Inputs!$D$70*12))</f>
        <v>-2976.19047619048</v>
      </c>
      <c r="AR319" s="69" t="n">
        <f aca="false">-MIN(AR317,Inputs!$D$68/MAX(1,Inputs!$D$70*12))</f>
        <v>-2976.19047619048</v>
      </c>
      <c r="AS319" s="69" t="n">
        <f aca="false">-MIN(AS317,Inputs!$D$68/MAX(1,Inputs!$D$70*12))</f>
        <v>-2976.19047619048</v>
      </c>
      <c r="AT319" s="69" t="n">
        <f aca="false">-MIN(AT317,Inputs!$D$68/MAX(1,Inputs!$D$70*12))</f>
        <v>-2976.19047619048</v>
      </c>
      <c r="AU319" s="69" t="n">
        <f aca="false">-MIN(AU317,Inputs!$D$68/MAX(1,Inputs!$D$70*12))</f>
        <v>-2976.19047619048</v>
      </c>
      <c r="AV319" s="69" t="n">
        <f aca="false">-MIN(AV317,Inputs!$D$68/MAX(1,Inputs!$D$70*12))</f>
        <v>-2976.19047619048</v>
      </c>
      <c r="AW319" s="69" t="n">
        <f aca="false">-MIN(AW317,Inputs!$D$68/MAX(1,Inputs!$D$70*12))</f>
        <v>-2976.19047619048</v>
      </c>
      <c r="AX319" s="69" t="n">
        <f aca="false">-MIN(AX317,Inputs!$D$68/MAX(1,Inputs!$D$70*12))</f>
        <v>-2976.19047619048</v>
      </c>
      <c r="AY319" s="69" t="n">
        <f aca="false">-MIN(AY317,Inputs!$D$68/MAX(1,Inputs!$D$70*12))</f>
        <v>-2976.19047619048</v>
      </c>
      <c r="AZ319" s="69" t="n">
        <f aca="false">-MIN(AZ317,Inputs!$D$68/MAX(1,Inputs!$D$70*12))</f>
        <v>-2976.19047619048</v>
      </c>
      <c r="BA319" s="69" t="n">
        <f aca="false">-MIN(BA317,Inputs!$D$68/MAX(1,Inputs!$D$70*12))</f>
        <v>-2976.19047619048</v>
      </c>
      <c r="BB319" s="69" t="n">
        <f aca="false">-MIN(BB317,Inputs!$D$68/MAX(1,Inputs!$D$70*12))</f>
        <v>-2976.19047619048</v>
      </c>
      <c r="BC319" s="69" t="n">
        <f aca="false">-MIN(BC317,Inputs!$D$68/MAX(1,Inputs!$D$70*12))</f>
        <v>-2976.19047619048</v>
      </c>
      <c r="BD319" s="69" t="n">
        <f aca="false">-MIN(BD317,Inputs!$D$68/MAX(1,Inputs!$D$70*12))</f>
        <v>-2976.19047619048</v>
      </c>
      <c r="BE319" s="69" t="n">
        <f aca="false">-MIN(BE317,Inputs!$D$68/MAX(1,Inputs!$D$70*12))</f>
        <v>-2976.19047619048</v>
      </c>
      <c r="BF319" s="69" t="n">
        <f aca="false">-MIN(BF317,Inputs!$D$68/MAX(1,Inputs!$D$70*12))</f>
        <v>-2976.19047619048</v>
      </c>
      <c r="BG319" s="69" t="n">
        <f aca="false">-MIN(BG317,Inputs!$D$68/MAX(1,Inputs!$D$70*12))</f>
        <v>-2976.19047619048</v>
      </c>
      <c r="BH319" s="69" t="n">
        <f aca="false">-MIN(BH317,Inputs!$D$68/MAX(1,Inputs!$D$70*12))</f>
        <v>-2976.19047619048</v>
      </c>
      <c r="BI319" s="69" t="n">
        <f aca="false">-MIN(BI317,Inputs!$D$68/MAX(1,Inputs!$D$70*12))</f>
        <v>-2976.19047619048</v>
      </c>
      <c r="BJ319" s="69" t="n">
        <f aca="false">-MIN(BJ317,Inputs!$D$68/MAX(1,Inputs!$D$70*12))</f>
        <v>-2976.19047619048</v>
      </c>
    </row>
    <row r="320" customFormat="false" ht="15" hidden="false" customHeight="false" outlineLevel="0" collapsed="false">
      <c r="A320" s="4" t="s">
        <v>440</v>
      </c>
      <c r="C320" s="75" t="n">
        <f aca="false">C317+C318+C319</f>
        <v>250000</v>
      </c>
      <c r="D320" s="75" t="n">
        <f aca="false">D317+D318+D319</f>
        <v>247023.80952381</v>
      </c>
      <c r="E320" s="75" t="n">
        <f aca="false">E317+E318+E319</f>
        <v>244047.619047619</v>
      </c>
      <c r="F320" s="75" t="n">
        <f aca="false">F317+F318+F319</f>
        <v>241071.428571429</v>
      </c>
      <c r="G320" s="75" t="n">
        <f aca="false">G317+G318+G319</f>
        <v>238095.238095238</v>
      </c>
      <c r="H320" s="75" t="n">
        <f aca="false">H317+H318+H319</f>
        <v>235119.047619048</v>
      </c>
      <c r="I320" s="75" t="n">
        <f aca="false">I317+I318+I319</f>
        <v>232142.857142857</v>
      </c>
      <c r="J320" s="75" t="n">
        <f aca="false">J317+J318+J319</f>
        <v>229166.666666667</v>
      </c>
      <c r="K320" s="75" t="n">
        <f aca="false">K317+K318+K319</f>
        <v>226190.476190476</v>
      </c>
      <c r="L320" s="75" t="n">
        <f aca="false">L317+L318+L319</f>
        <v>223214.285714286</v>
      </c>
      <c r="M320" s="75" t="n">
        <f aca="false">M317+M318+M319</f>
        <v>220238.095238095</v>
      </c>
      <c r="N320" s="75" t="n">
        <f aca="false">N317+N318+N319</f>
        <v>217261.904761905</v>
      </c>
      <c r="O320" s="75" t="n">
        <f aca="false">O317+O318+O319</f>
        <v>214285.714285714</v>
      </c>
      <c r="P320" s="75" t="n">
        <f aca="false">P317+P318+P319</f>
        <v>211309.523809524</v>
      </c>
      <c r="Q320" s="75" t="n">
        <f aca="false">Q317+Q318+Q319</f>
        <v>208333.333333333</v>
      </c>
      <c r="R320" s="75" t="n">
        <f aca="false">R317+R318+R319</f>
        <v>205357.142857143</v>
      </c>
      <c r="S320" s="75" t="n">
        <f aca="false">S317+S318+S319</f>
        <v>202380.952380952</v>
      </c>
      <c r="T320" s="75" t="n">
        <f aca="false">T317+T318+T319</f>
        <v>199404.761904762</v>
      </c>
      <c r="U320" s="75" t="n">
        <f aca="false">U317+U318+U319</f>
        <v>196428.571428571</v>
      </c>
      <c r="V320" s="75" t="n">
        <f aca="false">V317+V318+V319</f>
        <v>193452.380952381</v>
      </c>
      <c r="W320" s="75" t="n">
        <f aca="false">W317+W318+W319</f>
        <v>190476.190476191</v>
      </c>
      <c r="X320" s="75" t="n">
        <f aca="false">X317+X318+X319</f>
        <v>187500</v>
      </c>
      <c r="Y320" s="75" t="n">
        <f aca="false">Y317+Y318+Y319</f>
        <v>184523.80952381</v>
      </c>
      <c r="Z320" s="75" t="n">
        <f aca="false">Z317+Z318+Z319</f>
        <v>181547.619047619</v>
      </c>
      <c r="AA320" s="75" t="n">
        <f aca="false">AA317+AA318+AA319</f>
        <v>178571.428571429</v>
      </c>
      <c r="AB320" s="75" t="n">
        <f aca="false">AB317+AB318+AB319</f>
        <v>175595.238095238</v>
      </c>
      <c r="AC320" s="75" t="n">
        <f aca="false">AC317+AC318+AC319</f>
        <v>172619.047619048</v>
      </c>
      <c r="AD320" s="75" t="n">
        <f aca="false">AD317+AD318+AD319</f>
        <v>169642.857142857</v>
      </c>
      <c r="AE320" s="75" t="n">
        <f aca="false">AE317+AE318+AE319</f>
        <v>166666.666666667</v>
      </c>
      <c r="AF320" s="75" t="n">
        <f aca="false">AF317+AF318+AF319</f>
        <v>163690.476190476</v>
      </c>
      <c r="AG320" s="75" t="n">
        <f aca="false">AG317+AG318+AG319</f>
        <v>160714.285714286</v>
      </c>
      <c r="AH320" s="75" t="n">
        <f aca="false">AH317+AH318+AH319</f>
        <v>157738.095238095</v>
      </c>
      <c r="AI320" s="75" t="n">
        <f aca="false">AI317+AI318+AI319</f>
        <v>154761.904761905</v>
      </c>
      <c r="AJ320" s="75" t="n">
        <f aca="false">AJ317+AJ318+AJ319</f>
        <v>151785.714285714</v>
      </c>
      <c r="AK320" s="75" t="n">
        <f aca="false">AK317+AK318+AK319</f>
        <v>148809.523809524</v>
      </c>
      <c r="AL320" s="75" t="n">
        <f aca="false">AL317+AL318+AL319</f>
        <v>145833.333333333</v>
      </c>
      <c r="AM320" s="75" t="n">
        <f aca="false">AM317+AM318+AM319</f>
        <v>142857.142857143</v>
      </c>
      <c r="AN320" s="75" t="n">
        <f aca="false">AN317+AN318+AN319</f>
        <v>139880.952380952</v>
      </c>
      <c r="AO320" s="75" t="n">
        <f aca="false">AO317+AO318+AO319</f>
        <v>136904.761904762</v>
      </c>
      <c r="AP320" s="75" t="n">
        <f aca="false">AP317+AP318+AP319</f>
        <v>133928.571428572</v>
      </c>
      <c r="AQ320" s="75" t="n">
        <f aca="false">AQ317+AQ318+AQ319</f>
        <v>130952.380952381</v>
      </c>
      <c r="AR320" s="75" t="n">
        <f aca="false">AR317+AR318+AR319</f>
        <v>127976.190476191</v>
      </c>
      <c r="AS320" s="75" t="n">
        <f aca="false">AS317+AS318+AS319</f>
        <v>125000</v>
      </c>
      <c r="AT320" s="75" t="n">
        <f aca="false">AT317+AT318+AT319</f>
        <v>122023.80952381</v>
      </c>
      <c r="AU320" s="75" t="n">
        <f aca="false">AU317+AU318+AU319</f>
        <v>119047.619047619</v>
      </c>
      <c r="AV320" s="75" t="n">
        <f aca="false">AV317+AV318+AV319</f>
        <v>116071.428571429</v>
      </c>
      <c r="AW320" s="75" t="n">
        <f aca="false">AW317+AW318+AW319</f>
        <v>113095.238095238</v>
      </c>
      <c r="AX320" s="75" t="n">
        <f aca="false">AX317+AX318+AX319</f>
        <v>110119.047619048</v>
      </c>
      <c r="AY320" s="75" t="n">
        <f aca="false">AY317+AY318+AY319</f>
        <v>107142.857142857</v>
      </c>
      <c r="AZ320" s="75" t="n">
        <f aca="false">AZ317+AZ318+AZ319</f>
        <v>104166.666666667</v>
      </c>
      <c r="BA320" s="75" t="n">
        <f aca="false">BA317+BA318+BA319</f>
        <v>101190.476190476</v>
      </c>
      <c r="BB320" s="75" t="n">
        <f aca="false">BB317+BB318+BB319</f>
        <v>98214.2857142859</v>
      </c>
      <c r="BC320" s="75" t="n">
        <f aca="false">BC317+BC318+BC319</f>
        <v>95238.0952380954</v>
      </c>
      <c r="BD320" s="75" t="n">
        <f aca="false">BD317+BD318+BD319</f>
        <v>92261.9047619049</v>
      </c>
      <c r="BE320" s="75" t="n">
        <f aca="false">BE317+BE318+BE319</f>
        <v>89285.7142857144</v>
      </c>
      <c r="BF320" s="75" t="n">
        <f aca="false">BF317+BF318+BF319</f>
        <v>86309.523809524</v>
      </c>
      <c r="BG320" s="75" t="n">
        <f aca="false">BG317+BG318+BG319</f>
        <v>83333.3333333335</v>
      </c>
      <c r="BH320" s="75" t="n">
        <f aca="false">BH317+BH318+BH319</f>
        <v>80357.142857143</v>
      </c>
      <c r="BI320" s="75" t="n">
        <f aca="false">BI317+BI318+BI319</f>
        <v>77380.9523809525</v>
      </c>
      <c r="BJ320" s="75" t="n">
        <f aca="false">BJ317+BJ318+BJ319</f>
        <v>74404.7619047621</v>
      </c>
    </row>
    <row r="322" customFormat="false" ht="15.75" hidden="false" customHeight="true" outlineLevel="0" collapsed="false">
      <c r="A322" s="7" t="s">
        <v>317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customFormat="false" ht="15" hidden="false" customHeight="false" outlineLevel="0" collapsed="false">
      <c r="A323" s="6" t="s">
        <v>90</v>
      </c>
      <c r="C323" s="69" t="n">
        <f aca="false">C274*Inputs!$D$73/30</f>
        <v>9864</v>
      </c>
      <c r="D323" s="69" t="n">
        <f aca="false">D274*Inputs!$D$73/30</f>
        <v>10960</v>
      </c>
      <c r="E323" s="69" t="n">
        <f aca="false">E274*Inputs!$D$73/30</f>
        <v>12056</v>
      </c>
      <c r="F323" s="69" t="n">
        <f aca="false">F274*Inputs!$D$73/30</f>
        <v>13152</v>
      </c>
      <c r="G323" s="69" t="n">
        <f aca="false">G274*Inputs!$D$73/30</f>
        <v>14248</v>
      </c>
      <c r="H323" s="69" t="n">
        <f aca="false">H274*Inputs!$D$73/30</f>
        <v>15344</v>
      </c>
      <c r="I323" s="69" t="n">
        <f aca="false">I274*Inputs!$D$73/30</f>
        <v>16440</v>
      </c>
      <c r="J323" s="69" t="n">
        <f aca="false">J274*Inputs!$D$73/30</f>
        <v>17536</v>
      </c>
      <c r="K323" s="69" t="n">
        <f aca="false">K274*Inputs!$D$73/30</f>
        <v>18632</v>
      </c>
      <c r="L323" s="69" t="n">
        <f aca="false">L274*Inputs!$D$73/30</f>
        <v>19728</v>
      </c>
      <c r="M323" s="69" t="n">
        <f aca="false">M274*Inputs!$D$73/30</f>
        <v>19728</v>
      </c>
      <c r="N323" s="69" t="n">
        <f aca="false">N274*Inputs!$D$73/30</f>
        <v>19728</v>
      </c>
      <c r="O323" s="69" t="n">
        <f aca="false">O274*Inputs!$D$73/30</f>
        <v>21748.1472</v>
      </c>
      <c r="P323" s="69" t="n">
        <f aca="false">P274*Inputs!$D$73/30</f>
        <v>21748.1472</v>
      </c>
      <c r="Q323" s="69" t="n">
        <f aca="false">Q274*Inputs!$D$73/30</f>
        <v>21748.1472</v>
      </c>
      <c r="R323" s="69" t="n">
        <f aca="false">R274*Inputs!$D$73/30</f>
        <v>21748.1472</v>
      </c>
      <c r="S323" s="69" t="n">
        <f aca="false">S274*Inputs!$D$73/30</f>
        <v>21748.1472</v>
      </c>
      <c r="T323" s="69" t="n">
        <f aca="false">T274*Inputs!$D$73/30</f>
        <v>21748.1472</v>
      </c>
      <c r="U323" s="69" t="n">
        <f aca="false">U274*Inputs!$D$73/30</f>
        <v>21748.1472</v>
      </c>
      <c r="V323" s="69" t="n">
        <f aca="false">V274*Inputs!$D$73/30</f>
        <v>21748.1472</v>
      </c>
      <c r="W323" s="69" t="n">
        <f aca="false">W274*Inputs!$D$73/30</f>
        <v>21748.1472</v>
      </c>
      <c r="X323" s="69" t="n">
        <f aca="false">X274*Inputs!$D$73/30</f>
        <v>21748.1472</v>
      </c>
      <c r="Y323" s="69" t="n">
        <f aca="false">Y274*Inputs!$D$73/30</f>
        <v>21748.1472</v>
      </c>
      <c r="Z323" s="69" t="n">
        <f aca="false">Z274*Inputs!$D$73/30</f>
        <v>21748.1472</v>
      </c>
      <c r="AA323" s="69" t="n">
        <f aca="false">AA274*Inputs!$D$73/30</f>
        <v>23975.15747328</v>
      </c>
      <c r="AB323" s="69" t="n">
        <f aca="false">AB274*Inputs!$D$73/30</f>
        <v>23975.15747328</v>
      </c>
      <c r="AC323" s="69" t="n">
        <f aca="false">AC274*Inputs!$D$73/30</f>
        <v>23975.15747328</v>
      </c>
      <c r="AD323" s="69" t="n">
        <f aca="false">AD274*Inputs!$D$73/30</f>
        <v>23975.15747328</v>
      </c>
      <c r="AE323" s="69" t="n">
        <f aca="false">AE274*Inputs!$D$73/30</f>
        <v>23975.15747328</v>
      </c>
      <c r="AF323" s="69" t="n">
        <f aca="false">AF274*Inputs!$D$73/30</f>
        <v>23975.15747328</v>
      </c>
      <c r="AG323" s="69" t="n">
        <f aca="false">AG274*Inputs!$D$73/30</f>
        <v>23975.15747328</v>
      </c>
      <c r="AH323" s="69" t="n">
        <f aca="false">AH274*Inputs!$D$73/30</f>
        <v>23975.15747328</v>
      </c>
      <c r="AI323" s="69" t="n">
        <f aca="false">AI274*Inputs!$D$73/30</f>
        <v>23975.15747328</v>
      </c>
      <c r="AJ323" s="69" t="n">
        <f aca="false">AJ274*Inputs!$D$73/30</f>
        <v>23975.15747328</v>
      </c>
      <c r="AK323" s="69" t="n">
        <f aca="false">AK274*Inputs!$D$73/30</f>
        <v>23975.15747328</v>
      </c>
      <c r="AL323" s="69" t="n">
        <f aca="false">AL274*Inputs!$D$73/30</f>
        <v>23975.15747328</v>
      </c>
      <c r="AM323" s="69" t="n">
        <f aca="false">AM274*Inputs!$D$73/30</f>
        <v>26352.188928</v>
      </c>
      <c r="AN323" s="69" t="n">
        <f aca="false">AN274*Inputs!$D$73/30</f>
        <v>26352.188928</v>
      </c>
      <c r="AO323" s="69" t="n">
        <f aca="false">AO274*Inputs!$D$73/30</f>
        <v>26352.188928</v>
      </c>
      <c r="AP323" s="69" t="n">
        <f aca="false">AP274*Inputs!$D$73/30</f>
        <v>26352.188928</v>
      </c>
      <c r="AQ323" s="69" t="n">
        <f aca="false">AQ274*Inputs!$D$73/30</f>
        <v>26352.188928</v>
      </c>
      <c r="AR323" s="69" t="n">
        <f aca="false">AR274*Inputs!$D$73/30</f>
        <v>26352.188928</v>
      </c>
      <c r="AS323" s="69" t="n">
        <f aca="false">AS274*Inputs!$D$73/30</f>
        <v>26352.188928</v>
      </c>
      <c r="AT323" s="69" t="n">
        <f aca="false">AT274*Inputs!$D$73/30</f>
        <v>26352.188928</v>
      </c>
      <c r="AU323" s="69" t="n">
        <f aca="false">AU274*Inputs!$D$73/30</f>
        <v>26352.188928</v>
      </c>
      <c r="AV323" s="69" t="n">
        <f aca="false">AV274*Inputs!$D$73/30</f>
        <v>26352.188928</v>
      </c>
      <c r="AW323" s="69" t="n">
        <f aca="false">AW274*Inputs!$D$73/30</f>
        <v>26352.188928</v>
      </c>
      <c r="AX323" s="69" t="n">
        <f aca="false">AX274*Inputs!$D$73/30</f>
        <v>26352.188928</v>
      </c>
      <c r="AY323" s="69" t="n">
        <f aca="false">AY274*Inputs!$D$73/30</f>
        <v>27406.27648512</v>
      </c>
      <c r="AZ323" s="69" t="n">
        <f aca="false">AZ274*Inputs!$D$73/30</f>
        <v>27406.27648512</v>
      </c>
      <c r="BA323" s="69" t="n">
        <f aca="false">BA274*Inputs!$D$73/30</f>
        <v>27406.27648512</v>
      </c>
      <c r="BB323" s="69" t="n">
        <f aca="false">BB274*Inputs!$D$73/30</f>
        <v>27406.27648512</v>
      </c>
      <c r="BC323" s="69" t="n">
        <f aca="false">BC274*Inputs!$D$73/30</f>
        <v>27406.27648512</v>
      </c>
      <c r="BD323" s="69" t="n">
        <f aca="false">BD274*Inputs!$D$73/30</f>
        <v>27406.27648512</v>
      </c>
      <c r="BE323" s="69" t="n">
        <f aca="false">BE274*Inputs!$D$73/30</f>
        <v>27406.27648512</v>
      </c>
      <c r="BF323" s="69" t="n">
        <f aca="false">BF274*Inputs!$D$73/30</f>
        <v>27406.27648512</v>
      </c>
      <c r="BG323" s="69" t="n">
        <f aca="false">BG274*Inputs!$D$73/30</f>
        <v>27406.27648512</v>
      </c>
      <c r="BH323" s="69" t="n">
        <f aca="false">BH274*Inputs!$D$73/30</f>
        <v>27406.27648512</v>
      </c>
      <c r="BI323" s="69" t="n">
        <f aca="false">BI274*Inputs!$D$73/30</f>
        <v>27406.27648512</v>
      </c>
      <c r="BJ323" s="69" t="n">
        <f aca="false">BJ274*Inputs!$D$73/30</f>
        <v>27406.27648512</v>
      </c>
    </row>
    <row r="324" customFormat="false" ht="15" hidden="false" customHeight="false" outlineLevel="0" collapsed="false">
      <c r="A324" s="6" t="s">
        <v>91</v>
      </c>
      <c r="C324" s="69" t="n">
        <f aca="false">-C281*Inputs!$D$74/30</f>
        <v>16501.0666666667</v>
      </c>
      <c r="D324" s="69" t="n">
        <f aca="false">-D281*Inputs!$D$74/30</f>
        <v>17227.1111111111</v>
      </c>
      <c r="E324" s="69" t="n">
        <f aca="false">-E281*Inputs!$D$74/30</f>
        <v>17953.1555555556</v>
      </c>
      <c r="F324" s="69" t="n">
        <f aca="false">-F281*Inputs!$D$74/30</f>
        <v>18679.2</v>
      </c>
      <c r="G324" s="69" t="n">
        <f aca="false">-G281*Inputs!$D$74/30</f>
        <v>19405.2444444444</v>
      </c>
      <c r="H324" s="69" t="n">
        <f aca="false">-H281*Inputs!$D$74/30</f>
        <v>20131.2888888889</v>
      </c>
      <c r="I324" s="69" t="n">
        <f aca="false">-I281*Inputs!$D$74/30</f>
        <v>20857.3333333333</v>
      </c>
      <c r="J324" s="69" t="n">
        <f aca="false">-J281*Inputs!$D$74/30</f>
        <v>21583.3777777778</v>
      </c>
      <c r="K324" s="69" t="n">
        <f aca="false">-K281*Inputs!$D$74/30</f>
        <v>22309.4222222222</v>
      </c>
      <c r="L324" s="69" t="n">
        <f aca="false">-L281*Inputs!$D$74/30</f>
        <v>23035.4666666667</v>
      </c>
      <c r="M324" s="69" t="n">
        <f aca="false">-M281*Inputs!$D$74/30</f>
        <v>23035.4666666667</v>
      </c>
      <c r="N324" s="69" t="n">
        <f aca="false">-N281*Inputs!$D$74/30</f>
        <v>23035.4666666667</v>
      </c>
      <c r="O324" s="69" t="n">
        <f aca="false">-O281*Inputs!$D$74/30</f>
        <v>24672.7117866667</v>
      </c>
      <c r="P324" s="69" t="n">
        <f aca="false">-P281*Inputs!$D$74/30</f>
        <v>24672.7117866667</v>
      </c>
      <c r="Q324" s="69" t="n">
        <f aca="false">-Q281*Inputs!$D$74/30</f>
        <v>24672.7117866667</v>
      </c>
      <c r="R324" s="69" t="n">
        <f aca="false">-R281*Inputs!$D$74/30</f>
        <v>24672.7117866667</v>
      </c>
      <c r="S324" s="69" t="n">
        <f aca="false">-S281*Inputs!$D$74/30</f>
        <v>24672.7117866667</v>
      </c>
      <c r="T324" s="69" t="n">
        <f aca="false">-T281*Inputs!$D$74/30</f>
        <v>24672.7117866667</v>
      </c>
      <c r="U324" s="69" t="n">
        <f aca="false">-U281*Inputs!$D$74/30</f>
        <v>24672.7117866667</v>
      </c>
      <c r="V324" s="69" t="n">
        <f aca="false">-V281*Inputs!$D$74/30</f>
        <v>24672.7117866667</v>
      </c>
      <c r="W324" s="69" t="n">
        <f aca="false">-W281*Inputs!$D$74/30</f>
        <v>24672.7117866667</v>
      </c>
      <c r="X324" s="69" t="n">
        <f aca="false">-X281*Inputs!$D$74/30</f>
        <v>24672.7117866667</v>
      </c>
      <c r="Y324" s="69" t="n">
        <f aca="false">-Y281*Inputs!$D$74/30</f>
        <v>24672.7117866667</v>
      </c>
      <c r="Z324" s="69" t="n">
        <f aca="false">-Z281*Inputs!$D$74/30</f>
        <v>24672.7117866667</v>
      </c>
      <c r="AA324" s="69" t="n">
        <f aca="false">-AA281*Inputs!$D$74/30</f>
        <v>26455.9632069547</v>
      </c>
      <c r="AB324" s="69" t="n">
        <f aca="false">-AB281*Inputs!$D$74/30</f>
        <v>26455.9632069547</v>
      </c>
      <c r="AC324" s="69" t="n">
        <f aca="false">-AC281*Inputs!$D$74/30</f>
        <v>26455.9632069547</v>
      </c>
      <c r="AD324" s="69" t="n">
        <f aca="false">-AD281*Inputs!$D$74/30</f>
        <v>26455.9632069547</v>
      </c>
      <c r="AE324" s="69" t="n">
        <f aca="false">-AE281*Inputs!$D$74/30</f>
        <v>26455.9632069547</v>
      </c>
      <c r="AF324" s="69" t="n">
        <f aca="false">-AF281*Inputs!$D$74/30</f>
        <v>26455.9632069547</v>
      </c>
      <c r="AG324" s="69" t="n">
        <f aca="false">-AG281*Inputs!$D$74/30</f>
        <v>26455.9632069547</v>
      </c>
      <c r="AH324" s="69" t="n">
        <f aca="false">-AH281*Inputs!$D$74/30</f>
        <v>26455.9632069547</v>
      </c>
      <c r="AI324" s="69" t="n">
        <f aca="false">-AI281*Inputs!$D$74/30</f>
        <v>26455.9632069547</v>
      </c>
      <c r="AJ324" s="69" t="n">
        <f aca="false">-AJ281*Inputs!$D$74/30</f>
        <v>26455.9632069547</v>
      </c>
      <c r="AK324" s="69" t="n">
        <f aca="false">-AK281*Inputs!$D$74/30</f>
        <v>26455.9632069547</v>
      </c>
      <c r="AL324" s="69" t="n">
        <f aca="false">-AL281*Inputs!$D$74/30</f>
        <v>26455.9632069547</v>
      </c>
      <c r="AM324" s="69" t="n">
        <f aca="false">-AM281*Inputs!$D$74/30</f>
        <v>28347.8351554667</v>
      </c>
      <c r="AN324" s="69" t="n">
        <f aca="false">-AN281*Inputs!$D$74/30</f>
        <v>28347.8351554667</v>
      </c>
      <c r="AO324" s="69" t="n">
        <f aca="false">-AO281*Inputs!$D$74/30</f>
        <v>28347.8351554667</v>
      </c>
      <c r="AP324" s="69" t="n">
        <f aca="false">-AP281*Inputs!$D$74/30</f>
        <v>28347.8351554667</v>
      </c>
      <c r="AQ324" s="69" t="n">
        <f aca="false">-AQ281*Inputs!$D$74/30</f>
        <v>28347.8351554667</v>
      </c>
      <c r="AR324" s="69" t="n">
        <f aca="false">-AR281*Inputs!$D$74/30</f>
        <v>28347.8351554667</v>
      </c>
      <c r="AS324" s="69" t="n">
        <f aca="false">-AS281*Inputs!$D$74/30</f>
        <v>28347.8351554667</v>
      </c>
      <c r="AT324" s="69" t="n">
        <f aca="false">-AT281*Inputs!$D$74/30</f>
        <v>28347.8351554667</v>
      </c>
      <c r="AU324" s="69" t="n">
        <f aca="false">-AU281*Inputs!$D$74/30</f>
        <v>28347.8351554667</v>
      </c>
      <c r="AV324" s="69" t="n">
        <f aca="false">-AV281*Inputs!$D$74/30</f>
        <v>28347.8351554667</v>
      </c>
      <c r="AW324" s="69" t="n">
        <f aca="false">-AW281*Inputs!$D$74/30</f>
        <v>28347.8351554667</v>
      </c>
      <c r="AX324" s="69" t="n">
        <f aca="false">-AX281*Inputs!$D$74/30</f>
        <v>28347.8351554667</v>
      </c>
      <c r="AY324" s="69" t="n">
        <f aca="false">-AY281*Inputs!$D$74/30</f>
        <v>29372.8401040187</v>
      </c>
      <c r="AZ324" s="69" t="n">
        <f aca="false">-AZ281*Inputs!$D$74/30</f>
        <v>29372.8401040187</v>
      </c>
      <c r="BA324" s="69" t="n">
        <f aca="false">-BA281*Inputs!$D$74/30</f>
        <v>29372.8401040187</v>
      </c>
      <c r="BB324" s="69" t="n">
        <f aca="false">-BB281*Inputs!$D$74/30</f>
        <v>29372.8401040187</v>
      </c>
      <c r="BC324" s="69" t="n">
        <f aca="false">-BC281*Inputs!$D$74/30</f>
        <v>29372.8401040187</v>
      </c>
      <c r="BD324" s="69" t="n">
        <f aca="false">-BD281*Inputs!$D$74/30</f>
        <v>29372.8401040187</v>
      </c>
      <c r="BE324" s="69" t="n">
        <f aca="false">-BE281*Inputs!$D$74/30</f>
        <v>29372.8401040187</v>
      </c>
      <c r="BF324" s="69" t="n">
        <f aca="false">-BF281*Inputs!$D$74/30</f>
        <v>29372.8401040187</v>
      </c>
      <c r="BG324" s="69" t="n">
        <f aca="false">-BG281*Inputs!$D$74/30</f>
        <v>29372.8401040187</v>
      </c>
      <c r="BH324" s="69" t="n">
        <f aca="false">-BH281*Inputs!$D$74/30</f>
        <v>29372.8401040187</v>
      </c>
      <c r="BI324" s="69" t="n">
        <f aca="false">-BI281*Inputs!$D$74/30</f>
        <v>29372.8401040187</v>
      </c>
      <c r="BJ324" s="69" t="n">
        <f aca="false">-BJ281*Inputs!$D$74/30</f>
        <v>29372.8401040187</v>
      </c>
    </row>
    <row r="325" customFormat="false" ht="15" hidden="false" customHeight="false" outlineLevel="0" collapsed="false">
      <c r="A325" s="6" t="s">
        <v>94</v>
      </c>
      <c r="C325" s="69" t="n">
        <f aca="false">-C281*Inputs!$D$75/30</f>
        <v>51565.8333333333</v>
      </c>
      <c r="D325" s="69" t="n">
        <f aca="false">-D281*Inputs!$D$75/30</f>
        <v>53834.7222222222</v>
      </c>
      <c r="E325" s="69" t="n">
        <f aca="false">-E281*Inputs!$D$75/30</f>
        <v>56103.6111111111</v>
      </c>
      <c r="F325" s="69" t="n">
        <f aca="false">-F281*Inputs!$D$75/30</f>
        <v>58372.5</v>
      </c>
      <c r="G325" s="69" t="n">
        <f aca="false">-G281*Inputs!$D$75/30</f>
        <v>60641.3888888889</v>
      </c>
      <c r="H325" s="69" t="n">
        <f aca="false">-H281*Inputs!$D$75/30</f>
        <v>62910.2777777778</v>
      </c>
      <c r="I325" s="69" t="n">
        <f aca="false">-I281*Inputs!$D$75/30</f>
        <v>65179.1666666667</v>
      </c>
      <c r="J325" s="69" t="n">
        <f aca="false">-J281*Inputs!$D$75/30</f>
        <v>67448.0555555556</v>
      </c>
      <c r="K325" s="69" t="n">
        <f aca="false">-K281*Inputs!$D$75/30</f>
        <v>69716.9444444444</v>
      </c>
      <c r="L325" s="69" t="n">
        <f aca="false">-L281*Inputs!$D$75/30</f>
        <v>71985.8333333333</v>
      </c>
      <c r="M325" s="69" t="n">
        <f aca="false">-M281*Inputs!$D$75/30</f>
        <v>71985.8333333333</v>
      </c>
      <c r="N325" s="69" t="n">
        <f aca="false">-N281*Inputs!$D$75/30</f>
        <v>71985.8333333333</v>
      </c>
      <c r="O325" s="69" t="n">
        <f aca="false">-O281*Inputs!$D$75/30</f>
        <v>77102.2243333333</v>
      </c>
      <c r="P325" s="69" t="n">
        <f aca="false">-P281*Inputs!$D$75/30</f>
        <v>77102.2243333333</v>
      </c>
      <c r="Q325" s="69" t="n">
        <f aca="false">-Q281*Inputs!$D$75/30</f>
        <v>77102.2243333333</v>
      </c>
      <c r="R325" s="69" t="n">
        <f aca="false">-R281*Inputs!$D$75/30</f>
        <v>77102.2243333333</v>
      </c>
      <c r="S325" s="69" t="n">
        <f aca="false">-S281*Inputs!$D$75/30</f>
        <v>77102.2243333333</v>
      </c>
      <c r="T325" s="69" t="n">
        <f aca="false">-T281*Inputs!$D$75/30</f>
        <v>77102.2243333333</v>
      </c>
      <c r="U325" s="69" t="n">
        <f aca="false">-U281*Inputs!$D$75/30</f>
        <v>77102.2243333333</v>
      </c>
      <c r="V325" s="69" t="n">
        <f aca="false">-V281*Inputs!$D$75/30</f>
        <v>77102.2243333333</v>
      </c>
      <c r="W325" s="69" t="n">
        <f aca="false">-W281*Inputs!$D$75/30</f>
        <v>77102.2243333333</v>
      </c>
      <c r="X325" s="69" t="n">
        <f aca="false">-X281*Inputs!$D$75/30</f>
        <v>77102.2243333333</v>
      </c>
      <c r="Y325" s="69" t="n">
        <f aca="false">-Y281*Inputs!$D$75/30</f>
        <v>77102.2243333333</v>
      </c>
      <c r="Z325" s="69" t="n">
        <f aca="false">-Z281*Inputs!$D$75/30</f>
        <v>77102.2243333333</v>
      </c>
      <c r="AA325" s="69" t="n">
        <f aca="false">-AA281*Inputs!$D$75/30</f>
        <v>82674.8850217334</v>
      </c>
      <c r="AB325" s="69" t="n">
        <f aca="false">-AB281*Inputs!$D$75/30</f>
        <v>82674.8850217334</v>
      </c>
      <c r="AC325" s="69" t="n">
        <f aca="false">-AC281*Inputs!$D$75/30</f>
        <v>82674.8850217334</v>
      </c>
      <c r="AD325" s="69" t="n">
        <f aca="false">-AD281*Inputs!$D$75/30</f>
        <v>82674.8850217334</v>
      </c>
      <c r="AE325" s="69" t="n">
        <f aca="false">-AE281*Inputs!$D$75/30</f>
        <v>82674.8850217334</v>
      </c>
      <c r="AF325" s="69" t="n">
        <f aca="false">-AF281*Inputs!$D$75/30</f>
        <v>82674.8850217334</v>
      </c>
      <c r="AG325" s="69" t="n">
        <f aca="false">-AG281*Inputs!$D$75/30</f>
        <v>82674.8850217334</v>
      </c>
      <c r="AH325" s="69" t="n">
        <f aca="false">-AH281*Inputs!$D$75/30</f>
        <v>82674.8850217334</v>
      </c>
      <c r="AI325" s="69" t="n">
        <f aca="false">-AI281*Inputs!$D$75/30</f>
        <v>82674.8850217334</v>
      </c>
      <c r="AJ325" s="69" t="n">
        <f aca="false">-AJ281*Inputs!$D$75/30</f>
        <v>82674.8850217334</v>
      </c>
      <c r="AK325" s="69" t="n">
        <f aca="false">-AK281*Inputs!$D$75/30</f>
        <v>82674.8850217334</v>
      </c>
      <c r="AL325" s="69" t="n">
        <f aca="false">-AL281*Inputs!$D$75/30</f>
        <v>82674.8850217334</v>
      </c>
      <c r="AM325" s="69" t="n">
        <f aca="false">-AM281*Inputs!$D$75/30</f>
        <v>88586.9848608333</v>
      </c>
      <c r="AN325" s="69" t="n">
        <f aca="false">-AN281*Inputs!$D$75/30</f>
        <v>88586.9848608333</v>
      </c>
      <c r="AO325" s="69" t="n">
        <f aca="false">-AO281*Inputs!$D$75/30</f>
        <v>88586.9848608333</v>
      </c>
      <c r="AP325" s="69" t="n">
        <f aca="false">-AP281*Inputs!$D$75/30</f>
        <v>88586.9848608333</v>
      </c>
      <c r="AQ325" s="69" t="n">
        <f aca="false">-AQ281*Inputs!$D$75/30</f>
        <v>88586.9848608333</v>
      </c>
      <c r="AR325" s="69" t="n">
        <f aca="false">-AR281*Inputs!$D$75/30</f>
        <v>88586.9848608333</v>
      </c>
      <c r="AS325" s="69" t="n">
        <f aca="false">-AS281*Inputs!$D$75/30</f>
        <v>88586.9848608333</v>
      </c>
      <c r="AT325" s="69" t="n">
        <f aca="false">-AT281*Inputs!$D$75/30</f>
        <v>88586.9848608333</v>
      </c>
      <c r="AU325" s="69" t="n">
        <f aca="false">-AU281*Inputs!$D$75/30</f>
        <v>88586.9848608333</v>
      </c>
      <c r="AV325" s="69" t="n">
        <f aca="false">-AV281*Inputs!$D$75/30</f>
        <v>88586.9848608333</v>
      </c>
      <c r="AW325" s="69" t="n">
        <f aca="false">-AW281*Inputs!$D$75/30</f>
        <v>88586.9848608333</v>
      </c>
      <c r="AX325" s="69" t="n">
        <f aca="false">-AX281*Inputs!$D$75/30</f>
        <v>88586.9848608333</v>
      </c>
      <c r="AY325" s="69" t="n">
        <f aca="false">-AY281*Inputs!$D$75/30</f>
        <v>91790.1253250584</v>
      </c>
      <c r="AZ325" s="69" t="n">
        <f aca="false">-AZ281*Inputs!$D$75/30</f>
        <v>91790.1253250584</v>
      </c>
      <c r="BA325" s="69" t="n">
        <f aca="false">-BA281*Inputs!$D$75/30</f>
        <v>91790.1253250584</v>
      </c>
      <c r="BB325" s="69" t="n">
        <f aca="false">-BB281*Inputs!$D$75/30</f>
        <v>91790.1253250584</v>
      </c>
      <c r="BC325" s="69" t="n">
        <f aca="false">-BC281*Inputs!$D$75/30</f>
        <v>91790.1253250584</v>
      </c>
      <c r="BD325" s="69" t="n">
        <f aca="false">-BD281*Inputs!$D$75/30</f>
        <v>91790.1253250584</v>
      </c>
      <c r="BE325" s="69" t="n">
        <f aca="false">-BE281*Inputs!$D$75/30</f>
        <v>91790.1253250584</v>
      </c>
      <c r="BF325" s="69" t="n">
        <f aca="false">-BF281*Inputs!$D$75/30</f>
        <v>91790.1253250584</v>
      </c>
      <c r="BG325" s="69" t="n">
        <f aca="false">-BG281*Inputs!$D$75/30</f>
        <v>91790.1253250584</v>
      </c>
      <c r="BH325" s="69" t="n">
        <f aca="false">-BH281*Inputs!$D$75/30</f>
        <v>91790.1253250584</v>
      </c>
      <c r="BI325" s="69" t="n">
        <f aca="false">-BI281*Inputs!$D$75/30</f>
        <v>91790.1253250584</v>
      </c>
      <c r="BJ325" s="69" t="n">
        <f aca="false">-BJ281*Inputs!$D$75/30</f>
        <v>91790.1253250584</v>
      </c>
    </row>
    <row r="326" customFormat="false" ht="15" hidden="false" customHeight="false" outlineLevel="0" collapsed="false">
      <c r="A326" s="6" t="s">
        <v>340</v>
      </c>
      <c r="C326" s="69" t="n">
        <f aca="false">-C323</f>
        <v>-9864</v>
      </c>
      <c r="D326" s="69" t="n">
        <f aca="false">C323-D323</f>
        <v>-1096</v>
      </c>
      <c r="E326" s="69" t="n">
        <f aca="false">D323-E323</f>
        <v>-1096</v>
      </c>
      <c r="F326" s="69" t="n">
        <f aca="false">E323-F323</f>
        <v>-1095.99999999999</v>
      </c>
      <c r="G326" s="69" t="n">
        <f aca="false">F323-G323</f>
        <v>-1096.00000000001</v>
      </c>
      <c r="H326" s="69" t="n">
        <f aca="false">G323-H323</f>
        <v>-1095.99999999999</v>
      </c>
      <c r="I326" s="69" t="n">
        <f aca="false">H323-I323</f>
        <v>-1096</v>
      </c>
      <c r="J326" s="69" t="n">
        <f aca="false">I323-J323</f>
        <v>-1096</v>
      </c>
      <c r="K326" s="69" t="n">
        <f aca="false">J323-K323</f>
        <v>-1096</v>
      </c>
      <c r="L326" s="69" t="n">
        <f aca="false">K323-L323</f>
        <v>-1096</v>
      </c>
      <c r="M326" s="69" t="n">
        <f aca="false">L323-M323</f>
        <v>0</v>
      </c>
      <c r="N326" s="69" t="n">
        <f aca="false">M323-N323</f>
        <v>0</v>
      </c>
      <c r="O326" s="69" t="n">
        <f aca="false">N323-O323</f>
        <v>-2020.1472</v>
      </c>
      <c r="P326" s="69" t="n">
        <f aca="false">O323-P323</f>
        <v>0</v>
      </c>
      <c r="Q326" s="69" t="n">
        <f aca="false">P323-Q323</f>
        <v>0</v>
      </c>
      <c r="R326" s="69" t="n">
        <f aca="false">Q323-R323</f>
        <v>0</v>
      </c>
      <c r="S326" s="69" t="n">
        <f aca="false">R323-S323</f>
        <v>0</v>
      </c>
      <c r="T326" s="69" t="n">
        <f aca="false">S323-T323</f>
        <v>0</v>
      </c>
      <c r="U326" s="69" t="n">
        <f aca="false">T323-U323</f>
        <v>0</v>
      </c>
      <c r="V326" s="69" t="n">
        <f aca="false">U323-V323</f>
        <v>0</v>
      </c>
      <c r="W326" s="69" t="n">
        <f aca="false">V323-W323</f>
        <v>0</v>
      </c>
      <c r="X326" s="69" t="n">
        <f aca="false">W323-X323</f>
        <v>0</v>
      </c>
      <c r="Y326" s="69" t="n">
        <f aca="false">X323-Y323</f>
        <v>0</v>
      </c>
      <c r="Z326" s="69" t="n">
        <f aca="false">Y323-Z323</f>
        <v>0</v>
      </c>
      <c r="AA326" s="69" t="n">
        <f aca="false">Z323-AA323</f>
        <v>-2227.01027328001</v>
      </c>
      <c r="AB326" s="69" t="n">
        <f aca="false">AA323-AB323</f>
        <v>0</v>
      </c>
      <c r="AC326" s="69" t="n">
        <f aca="false">AB323-AC323</f>
        <v>0</v>
      </c>
      <c r="AD326" s="69" t="n">
        <f aca="false">AC323-AD323</f>
        <v>0</v>
      </c>
      <c r="AE326" s="69" t="n">
        <f aca="false">AD323-AE323</f>
        <v>0</v>
      </c>
      <c r="AF326" s="69" t="n">
        <f aca="false">AE323-AF323</f>
        <v>0</v>
      </c>
      <c r="AG326" s="69" t="n">
        <f aca="false">AF323-AG323</f>
        <v>0</v>
      </c>
      <c r="AH326" s="69" t="n">
        <f aca="false">AG323-AH323</f>
        <v>0</v>
      </c>
      <c r="AI326" s="69" t="n">
        <f aca="false">AH323-AI323</f>
        <v>0</v>
      </c>
      <c r="AJ326" s="69" t="n">
        <f aca="false">AI323-AJ323</f>
        <v>0</v>
      </c>
      <c r="AK326" s="69" t="n">
        <f aca="false">AJ323-AK323</f>
        <v>0</v>
      </c>
      <c r="AL326" s="69" t="n">
        <f aca="false">AK323-AL323</f>
        <v>0</v>
      </c>
      <c r="AM326" s="69" t="n">
        <f aca="false">AL323-AM323</f>
        <v>-2377.03145471999</v>
      </c>
      <c r="AN326" s="69" t="n">
        <f aca="false">AM323-AN323</f>
        <v>0</v>
      </c>
      <c r="AO326" s="69" t="n">
        <f aca="false">AN323-AO323</f>
        <v>0</v>
      </c>
      <c r="AP326" s="69" t="n">
        <f aca="false">AO323-AP323</f>
        <v>0</v>
      </c>
      <c r="AQ326" s="69" t="n">
        <f aca="false">AP323-AQ323</f>
        <v>0</v>
      </c>
      <c r="AR326" s="69" t="n">
        <f aca="false">AQ323-AR323</f>
        <v>0</v>
      </c>
      <c r="AS326" s="69" t="n">
        <f aca="false">AR323-AS323</f>
        <v>0</v>
      </c>
      <c r="AT326" s="69" t="n">
        <f aca="false">AS323-AT323</f>
        <v>0</v>
      </c>
      <c r="AU326" s="69" t="n">
        <f aca="false">AT323-AU323</f>
        <v>0</v>
      </c>
      <c r="AV326" s="69" t="n">
        <f aca="false">AU323-AV323</f>
        <v>0</v>
      </c>
      <c r="AW326" s="69" t="n">
        <f aca="false">AV323-AW323</f>
        <v>0</v>
      </c>
      <c r="AX326" s="69" t="n">
        <f aca="false">AW323-AX323</f>
        <v>0</v>
      </c>
      <c r="AY326" s="69" t="n">
        <f aca="false">AX323-AY323</f>
        <v>-1054.08755712001</v>
      </c>
      <c r="AZ326" s="69" t="n">
        <f aca="false">AY323-AZ323</f>
        <v>0</v>
      </c>
      <c r="BA326" s="69" t="n">
        <f aca="false">AZ323-BA323</f>
        <v>0</v>
      </c>
      <c r="BB326" s="69" t="n">
        <f aca="false">BA323-BB323</f>
        <v>0</v>
      </c>
      <c r="BC326" s="69" t="n">
        <f aca="false">BB323-BC323</f>
        <v>0</v>
      </c>
      <c r="BD326" s="69" t="n">
        <f aca="false">BC323-BD323</f>
        <v>0</v>
      </c>
      <c r="BE326" s="69" t="n">
        <f aca="false">BD323-BE323</f>
        <v>0</v>
      </c>
      <c r="BF326" s="69" t="n">
        <f aca="false">BE323-BF323</f>
        <v>0</v>
      </c>
      <c r="BG326" s="69" t="n">
        <f aca="false">BF323-BG323</f>
        <v>0</v>
      </c>
      <c r="BH326" s="69" t="n">
        <f aca="false">BG323-BH323</f>
        <v>0</v>
      </c>
      <c r="BI326" s="69" t="n">
        <f aca="false">BH323-BI323</f>
        <v>0</v>
      </c>
      <c r="BJ326" s="69" t="n">
        <f aca="false">BI323-BJ323</f>
        <v>0</v>
      </c>
    </row>
    <row r="327" customFormat="false" ht="15" hidden="false" customHeight="false" outlineLevel="0" collapsed="false">
      <c r="A327" s="6" t="s">
        <v>341</v>
      </c>
      <c r="C327" s="69" t="n">
        <f aca="false">-C324</f>
        <v>-16501.0666666667</v>
      </c>
      <c r="D327" s="69" t="n">
        <f aca="false">C324-D324</f>
        <v>-726.044444444444</v>
      </c>
      <c r="E327" s="69" t="n">
        <f aca="false">D324-E324</f>
        <v>-726.044444444444</v>
      </c>
      <c r="F327" s="69" t="n">
        <f aca="false">E324-F324</f>
        <v>-726.044444444447</v>
      </c>
      <c r="G327" s="69" t="n">
        <f aca="false">F324-G324</f>
        <v>-726.044444444444</v>
      </c>
      <c r="H327" s="69" t="n">
        <f aca="false">G324-H324</f>
        <v>-726.044444444444</v>
      </c>
      <c r="I327" s="69" t="n">
        <f aca="false">H324-I324</f>
        <v>-726.044444444444</v>
      </c>
      <c r="J327" s="69" t="n">
        <f aca="false">I324-J324</f>
        <v>-726.044444444447</v>
      </c>
      <c r="K327" s="69" t="n">
        <f aca="false">J324-K324</f>
        <v>-726.04444444444</v>
      </c>
      <c r="L327" s="69" t="n">
        <f aca="false">K324-L324</f>
        <v>-726.044444444447</v>
      </c>
      <c r="M327" s="69" t="n">
        <f aca="false">L324-M324</f>
        <v>0</v>
      </c>
      <c r="N327" s="69" t="n">
        <f aca="false">M324-N324</f>
        <v>0</v>
      </c>
      <c r="O327" s="69" t="n">
        <f aca="false">N324-O324</f>
        <v>-1637.24512</v>
      </c>
      <c r="P327" s="69" t="n">
        <f aca="false">O324-P324</f>
        <v>0</v>
      </c>
      <c r="Q327" s="69" t="n">
        <f aca="false">P324-Q324</f>
        <v>0</v>
      </c>
      <c r="R327" s="69" t="n">
        <f aca="false">Q324-R324</f>
        <v>0</v>
      </c>
      <c r="S327" s="69" t="n">
        <f aca="false">R324-S324</f>
        <v>0</v>
      </c>
      <c r="T327" s="69" t="n">
        <f aca="false">S324-T324</f>
        <v>0</v>
      </c>
      <c r="U327" s="69" t="n">
        <f aca="false">T324-U324</f>
        <v>0</v>
      </c>
      <c r="V327" s="69" t="n">
        <f aca="false">U324-V324</f>
        <v>0</v>
      </c>
      <c r="W327" s="69" t="n">
        <f aca="false">V324-W324</f>
        <v>0</v>
      </c>
      <c r="X327" s="69" t="n">
        <f aca="false">W324-X324</f>
        <v>0</v>
      </c>
      <c r="Y327" s="69" t="n">
        <f aca="false">X324-Y324</f>
        <v>0</v>
      </c>
      <c r="Z327" s="69" t="n">
        <f aca="false">Y324-Z324</f>
        <v>0</v>
      </c>
      <c r="AA327" s="69" t="n">
        <f aca="false">Z324-AA324</f>
        <v>-1783.25142028801</v>
      </c>
      <c r="AB327" s="69" t="n">
        <f aca="false">AA324-AB324</f>
        <v>0</v>
      </c>
      <c r="AC327" s="69" t="n">
        <f aca="false">AB324-AC324</f>
        <v>0</v>
      </c>
      <c r="AD327" s="69" t="n">
        <f aca="false">AC324-AD324</f>
        <v>0</v>
      </c>
      <c r="AE327" s="69" t="n">
        <f aca="false">AD324-AE324</f>
        <v>0</v>
      </c>
      <c r="AF327" s="69" t="n">
        <f aca="false">AE324-AF324</f>
        <v>0</v>
      </c>
      <c r="AG327" s="69" t="n">
        <f aca="false">AF324-AG324</f>
        <v>0</v>
      </c>
      <c r="AH327" s="69" t="n">
        <f aca="false">AG324-AH324</f>
        <v>0</v>
      </c>
      <c r="AI327" s="69" t="n">
        <f aca="false">AH324-AI324</f>
        <v>0</v>
      </c>
      <c r="AJ327" s="69" t="n">
        <f aca="false">AI324-AJ324</f>
        <v>0</v>
      </c>
      <c r="AK327" s="69" t="n">
        <f aca="false">AJ324-AK324</f>
        <v>0</v>
      </c>
      <c r="AL327" s="69" t="n">
        <f aca="false">AK324-AL324</f>
        <v>0</v>
      </c>
      <c r="AM327" s="69" t="n">
        <f aca="false">AL324-AM324</f>
        <v>-1891.871948512</v>
      </c>
      <c r="AN327" s="69" t="n">
        <f aca="false">AM324-AN324</f>
        <v>0</v>
      </c>
      <c r="AO327" s="69" t="n">
        <f aca="false">AN324-AO324</f>
        <v>0</v>
      </c>
      <c r="AP327" s="69" t="n">
        <f aca="false">AO324-AP324</f>
        <v>0</v>
      </c>
      <c r="AQ327" s="69" t="n">
        <f aca="false">AP324-AQ324</f>
        <v>0</v>
      </c>
      <c r="AR327" s="69" t="n">
        <f aca="false">AQ324-AR324</f>
        <v>0</v>
      </c>
      <c r="AS327" s="69" t="n">
        <f aca="false">AR324-AS324</f>
        <v>0</v>
      </c>
      <c r="AT327" s="69" t="n">
        <f aca="false">AS324-AT324</f>
        <v>0</v>
      </c>
      <c r="AU327" s="69" t="n">
        <f aca="false">AT324-AU324</f>
        <v>0</v>
      </c>
      <c r="AV327" s="69" t="n">
        <f aca="false">AU324-AV324</f>
        <v>0</v>
      </c>
      <c r="AW327" s="69" t="n">
        <f aca="false">AV324-AW324</f>
        <v>0</v>
      </c>
      <c r="AX327" s="69" t="n">
        <f aca="false">AW324-AX324</f>
        <v>0</v>
      </c>
      <c r="AY327" s="69" t="n">
        <f aca="false">AX324-AY324</f>
        <v>-1025.004948552</v>
      </c>
      <c r="AZ327" s="69" t="n">
        <f aca="false">AY324-AZ324</f>
        <v>0</v>
      </c>
      <c r="BA327" s="69" t="n">
        <f aca="false">AZ324-BA324</f>
        <v>0</v>
      </c>
      <c r="BB327" s="69" t="n">
        <f aca="false">BA324-BB324</f>
        <v>0</v>
      </c>
      <c r="BC327" s="69" t="n">
        <f aca="false">BB324-BC324</f>
        <v>0</v>
      </c>
      <c r="BD327" s="69" t="n">
        <f aca="false">BC324-BD324</f>
        <v>0</v>
      </c>
      <c r="BE327" s="69" t="n">
        <f aca="false">BD324-BE324</f>
        <v>0</v>
      </c>
      <c r="BF327" s="69" t="n">
        <f aca="false">BE324-BF324</f>
        <v>0</v>
      </c>
      <c r="BG327" s="69" t="n">
        <f aca="false">BF324-BG324</f>
        <v>0</v>
      </c>
      <c r="BH327" s="69" t="n">
        <f aca="false">BG324-BH324</f>
        <v>0</v>
      </c>
      <c r="BI327" s="69" t="n">
        <f aca="false">BH324-BI324</f>
        <v>0</v>
      </c>
      <c r="BJ327" s="69" t="n">
        <f aca="false">BI324-BJ324</f>
        <v>0</v>
      </c>
    </row>
    <row r="328" customFormat="false" ht="15" hidden="false" customHeight="false" outlineLevel="0" collapsed="false">
      <c r="A328" s="6" t="s">
        <v>342</v>
      </c>
      <c r="C328" s="69" t="n">
        <f aca="false">C325</f>
        <v>51565.8333333333</v>
      </c>
      <c r="D328" s="69" t="n">
        <f aca="false">D325-C325</f>
        <v>2268.88888888888</v>
      </c>
      <c r="E328" s="69" t="n">
        <f aca="false">E325-D325</f>
        <v>2268.88888888889</v>
      </c>
      <c r="F328" s="69" t="n">
        <f aca="false">F325-E325</f>
        <v>2268.88888888889</v>
      </c>
      <c r="G328" s="69" t="n">
        <f aca="false">G325-F325</f>
        <v>2268.88888888889</v>
      </c>
      <c r="H328" s="69" t="n">
        <f aca="false">H325-G325</f>
        <v>2268.88888888888</v>
      </c>
      <c r="I328" s="69" t="n">
        <f aca="false">I325-H325</f>
        <v>2268.88888888889</v>
      </c>
      <c r="J328" s="69" t="n">
        <f aca="false">J325-I325</f>
        <v>2268.8888888889</v>
      </c>
      <c r="K328" s="69" t="n">
        <f aca="false">K325-J325</f>
        <v>2268.88888888888</v>
      </c>
      <c r="L328" s="69" t="n">
        <f aca="false">L325-K325</f>
        <v>2268.88888888889</v>
      </c>
      <c r="M328" s="69" t="n">
        <f aca="false">M325-L325</f>
        <v>0</v>
      </c>
      <c r="N328" s="69" t="n">
        <f aca="false">N325-M325</f>
        <v>0</v>
      </c>
      <c r="O328" s="69" t="n">
        <f aca="false">O325-N325</f>
        <v>5116.39099999999</v>
      </c>
      <c r="P328" s="69" t="n">
        <f aca="false">P325-O325</f>
        <v>0</v>
      </c>
      <c r="Q328" s="69" t="n">
        <f aca="false">Q325-P325</f>
        <v>0</v>
      </c>
      <c r="R328" s="69" t="n">
        <f aca="false">R325-Q325</f>
        <v>0</v>
      </c>
      <c r="S328" s="69" t="n">
        <f aca="false">S325-R325</f>
        <v>0</v>
      </c>
      <c r="T328" s="69" t="n">
        <f aca="false">T325-S325</f>
        <v>0</v>
      </c>
      <c r="U328" s="69" t="n">
        <f aca="false">U325-T325</f>
        <v>0</v>
      </c>
      <c r="V328" s="69" t="n">
        <f aca="false">V325-U325</f>
        <v>0</v>
      </c>
      <c r="W328" s="69" t="n">
        <f aca="false">W325-V325</f>
        <v>0</v>
      </c>
      <c r="X328" s="69" t="n">
        <f aca="false">X325-W325</f>
        <v>0</v>
      </c>
      <c r="Y328" s="69" t="n">
        <f aca="false">Y325-X325</f>
        <v>0</v>
      </c>
      <c r="Z328" s="69" t="n">
        <f aca="false">Z325-Y325</f>
        <v>0</v>
      </c>
      <c r="AA328" s="69" t="n">
        <f aca="false">AA325-Z325</f>
        <v>5572.66068840004</v>
      </c>
      <c r="AB328" s="69" t="n">
        <f aca="false">AB325-AA325</f>
        <v>0</v>
      </c>
      <c r="AC328" s="69" t="n">
        <f aca="false">AC325-AB325</f>
        <v>0</v>
      </c>
      <c r="AD328" s="69" t="n">
        <f aca="false">AD325-AC325</f>
        <v>0</v>
      </c>
      <c r="AE328" s="69" t="n">
        <f aca="false">AE325-AD325</f>
        <v>0</v>
      </c>
      <c r="AF328" s="69" t="n">
        <f aca="false">AF325-AE325</f>
        <v>0</v>
      </c>
      <c r="AG328" s="69" t="n">
        <f aca="false">AG325-AF325</f>
        <v>0</v>
      </c>
      <c r="AH328" s="69" t="n">
        <f aca="false">AH325-AG325</f>
        <v>0</v>
      </c>
      <c r="AI328" s="69" t="n">
        <f aca="false">AI325-AH325</f>
        <v>0</v>
      </c>
      <c r="AJ328" s="69" t="n">
        <f aca="false">AJ325-AI325</f>
        <v>0</v>
      </c>
      <c r="AK328" s="69" t="n">
        <f aca="false">AK325-AJ325</f>
        <v>0</v>
      </c>
      <c r="AL328" s="69" t="n">
        <f aca="false">AL325-AK325</f>
        <v>0</v>
      </c>
      <c r="AM328" s="69" t="n">
        <f aca="false">AM325-AL325</f>
        <v>5912.09983909999</v>
      </c>
      <c r="AN328" s="69" t="n">
        <f aca="false">AN325-AM325</f>
        <v>0</v>
      </c>
      <c r="AO328" s="69" t="n">
        <f aca="false">AO325-AN325</f>
        <v>0</v>
      </c>
      <c r="AP328" s="69" t="n">
        <f aca="false">AP325-AO325</f>
        <v>0</v>
      </c>
      <c r="AQ328" s="69" t="n">
        <f aca="false">AQ325-AP325</f>
        <v>0</v>
      </c>
      <c r="AR328" s="69" t="n">
        <f aca="false">AR325-AQ325</f>
        <v>0</v>
      </c>
      <c r="AS328" s="69" t="n">
        <f aca="false">AS325-AR325</f>
        <v>0</v>
      </c>
      <c r="AT328" s="69" t="n">
        <f aca="false">AT325-AS325</f>
        <v>0</v>
      </c>
      <c r="AU328" s="69" t="n">
        <f aca="false">AU325-AT325</f>
        <v>0</v>
      </c>
      <c r="AV328" s="69" t="n">
        <f aca="false">AV325-AU325</f>
        <v>0</v>
      </c>
      <c r="AW328" s="69" t="n">
        <f aca="false">AW325-AV325</f>
        <v>0</v>
      </c>
      <c r="AX328" s="69" t="n">
        <f aca="false">AX325-AW325</f>
        <v>0</v>
      </c>
      <c r="AY328" s="69" t="n">
        <f aca="false">AY325-AX325</f>
        <v>3203.14046422501</v>
      </c>
      <c r="AZ328" s="69" t="n">
        <f aca="false">AZ325-AY325</f>
        <v>0</v>
      </c>
      <c r="BA328" s="69" t="n">
        <f aca="false">BA325-AZ325</f>
        <v>0</v>
      </c>
      <c r="BB328" s="69" t="n">
        <f aca="false">BB325-BA325</f>
        <v>0</v>
      </c>
      <c r="BC328" s="69" t="n">
        <f aca="false">BC325-BB325</f>
        <v>0</v>
      </c>
      <c r="BD328" s="69" t="n">
        <f aca="false">BD325-BC325</f>
        <v>0</v>
      </c>
      <c r="BE328" s="69" t="n">
        <f aca="false">BE325-BD325</f>
        <v>0</v>
      </c>
      <c r="BF328" s="69" t="n">
        <f aca="false">BF325-BE325</f>
        <v>0</v>
      </c>
      <c r="BG328" s="69" t="n">
        <f aca="false">BG325-BF325</f>
        <v>0</v>
      </c>
      <c r="BH328" s="69" t="n">
        <f aca="false">BH325-BG325</f>
        <v>0</v>
      </c>
      <c r="BI328" s="69" t="n">
        <f aca="false">BI325-BH325</f>
        <v>0</v>
      </c>
      <c r="BJ328" s="69" t="n">
        <f aca="false">BJ325-BI325</f>
        <v>0</v>
      </c>
    </row>
    <row r="330" customFormat="false" ht="15.75" hidden="false" customHeight="true" outlineLevel="0" collapsed="false">
      <c r="A330" s="7" t="s">
        <v>441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customFormat="false" ht="15" hidden="false" customHeight="false" outlineLevel="0" collapsed="false">
      <c r="A331" s="4" t="s">
        <v>52</v>
      </c>
      <c r="C331" s="75" t="n">
        <f aca="false">C301-C312+C326+C327+C328</f>
        <v>1095.68</v>
      </c>
      <c r="D331" s="75" t="n">
        <f aca="false">D301-D312+D326+D327+D328</f>
        <v>-15716.6281746032</v>
      </c>
      <c r="E331" s="75" t="n">
        <f aca="false">E301-E312+E326+E327+E328</f>
        <v>-7763.8534126984</v>
      </c>
      <c r="F331" s="75" t="n">
        <f aca="false">F301-F312+F326+F327+F328</f>
        <v>188.921349206321</v>
      </c>
      <c r="G331" s="75" t="n">
        <f aca="false">G301-G312+G326+G327+G328</f>
        <v>8141.69611111112</v>
      </c>
      <c r="H331" s="75" t="n">
        <f aca="false">H301-H312+H326+H327+H328</f>
        <v>16094.4708730158</v>
      </c>
      <c r="I331" s="75" t="n">
        <f aca="false">I301-I312+I326+I327+I328</f>
        <v>24047.2456349206</v>
      </c>
      <c r="J331" s="75" t="n">
        <f aca="false">J301-J312+J326+J327+J328</f>
        <v>32000.0203968254</v>
      </c>
      <c r="K331" s="75" t="n">
        <f aca="false">K301-K312+K326+K327+K328</f>
        <v>32927.8067587302</v>
      </c>
      <c r="L331" s="75" t="n">
        <f aca="false">L301-L312+L326+L327+L328</f>
        <v>38774.8625706349</v>
      </c>
      <c r="M331" s="75" t="n">
        <f aca="false">M301-M312+M326+M327+M328</f>
        <v>38345.6520547619</v>
      </c>
      <c r="N331" s="75" t="n">
        <f aca="false">N301-N312+N326+N327+N328</f>
        <v>38363.2859833333</v>
      </c>
      <c r="O331" s="75" t="n">
        <f aca="false">O301-O312+O326+O327+O328</f>
        <v>49985.2299932647</v>
      </c>
      <c r="P331" s="75" t="n">
        <f aca="false">P301-P312+P326+P327+P328</f>
        <v>48543.8652418362</v>
      </c>
      <c r="Q331" s="75" t="n">
        <f aca="false">Q301-Q312+Q326+Q327+Q328</f>
        <v>48561.4991704076</v>
      </c>
      <c r="R331" s="75" t="n">
        <f aca="false">R301-R312+R326+R327+R328</f>
        <v>48579.133098979</v>
      </c>
      <c r="S331" s="75" t="n">
        <f aca="false">S301-S312+S326+S327+S328</f>
        <v>48596.7670275505</v>
      </c>
      <c r="T331" s="75" t="n">
        <f aca="false">T301-T312+T326+T327+T328</f>
        <v>48614.4009561219</v>
      </c>
      <c r="U331" s="75" t="n">
        <f aca="false">U301-U312+U326+U327+U328</f>
        <v>48632.0348846933</v>
      </c>
      <c r="V331" s="75" t="n">
        <f aca="false">V301-V312+V326+V327+V328</f>
        <v>48649.6688132648</v>
      </c>
      <c r="W331" s="75" t="n">
        <f aca="false">W301-W312+W326+W327+W328</f>
        <v>48667.3027418362</v>
      </c>
      <c r="X331" s="75" t="n">
        <f aca="false">X301-X312+X326+X327+X328</f>
        <v>48684.9366704076</v>
      </c>
      <c r="Y331" s="75" t="n">
        <f aca="false">Y301-Y312+Y326+Y327+Y328</f>
        <v>48702.570598979</v>
      </c>
      <c r="Z331" s="75" t="n">
        <f aca="false">Z301-Z312+Z326+Z327+Z328</f>
        <v>48720.2045275505</v>
      </c>
      <c r="AA331" s="75" t="n">
        <f aca="false">AA301-AA312+AA326+AA327+AA328</f>
        <v>61514.0962923132</v>
      </c>
      <c r="AB331" s="75" t="n">
        <f aca="false">AB301-AB312+AB326+AB327+AB328</f>
        <v>59969.3312260526</v>
      </c>
      <c r="AC331" s="75" t="n">
        <f aca="false">AC301-AC312+AC326+AC327+AC328</f>
        <v>59986.9651546241</v>
      </c>
      <c r="AD331" s="75" t="n">
        <f aca="false">AD301-AD312+AD326+AD327+AD328</f>
        <v>60004.5990831955</v>
      </c>
      <c r="AE331" s="75" t="n">
        <f aca="false">AE301-AE312+AE326+AE327+AE328</f>
        <v>60022.2330117669</v>
      </c>
      <c r="AF331" s="75" t="n">
        <f aca="false">AF301-AF312+AF326+AF327+AF328</f>
        <v>60039.8669403383</v>
      </c>
      <c r="AG331" s="75" t="n">
        <f aca="false">AG301-AG312+AG326+AG327+AG328</f>
        <v>60057.5008689098</v>
      </c>
      <c r="AH331" s="75" t="n">
        <f aca="false">AH301-AH312+AH326+AH327+AH328</f>
        <v>60075.1347974812</v>
      </c>
      <c r="AI331" s="75" t="n">
        <f aca="false">AI301-AI312+AI326+AI327+AI328</f>
        <v>60092.7687260526</v>
      </c>
      <c r="AJ331" s="75" t="n">
        <f aca="false">AJ301-AJ312+AJ326+AJ327+AJ328</f>
        <v>60110.4026546241</v>
      </c>
      <c r="AK331" s="75" t="n">
        <f aca="false">AK301-AK312+AK326+AK327+AK328</f>
        <v>60128.0365831955</v>
      </c>
      <c r="AL331" s="75" t="n">
        <f aca="false">AL301-AL312+AL326+AL327+AL328</f>
        <v>60145.6705117669</v>
      </c>
      <c r="AM331" s="75" t="n">
        <f aca="false">AM301-AM312+AM326+AM327+AM328</f>
        <v>73767.7862444935</v>
      </c>
      <c r="AN331" s="75" t="n">
        <f aca="false">AN301-AN312+AN326+AN327+AN328</f>
        <v>72142.2237371969</v>
      </c>
      <c r="AO331" s="75" t="n">
        <f aca="false">AO301-AO312+AO326+AO327+AO328</f>
        <v>72159.8576657683</v>
      </c>
      <c r="AP331" s="75" t="n">
        <f aca="false">AP301-AP312+AP326+AP327+AP328</f>
        <v>72177.4915943397</v>
      </c>
      <c r="AQ331" s="75" t="n">
        <f aca="false">AQ301-AQ312+AQ326+AQ327+AQ328</f>
        <v>72195.1255229111</v>
      </c>
      <c r="AR331" s="75" t="n">
        <f aca="false">AR301-AR312+AR326+AR327+AR328</f>
        <v>72212.7594514826</v>
      </c>
      <c r="AS331" s="75" t="n">
        <f aca="false">AS301-AS312+AS326+AS327+AS328</f>
        <v>72230.393380054</v>
      </c>
      <c r="AT331" s="75" t="n">
        <f aca="false">AT301-AT312+AT326+AT327+AT328</f>
        <v>72248.0273086254</v>
      </c>
      <c r="AU331" s="75" t="n">
        <f aca="false">AU301-AU312+AU326+AU327+AU328</f>
        <v>72265.6612371969</v>
      </c>
      <c r="AV331" s="75" t="n">
        <f aca="false">AV301-AV312+AV326+AV327+AV328</f>
        <v>72283.2951657683</v>
      </c>
      <c r="AW331" s="75" t="n">
        <f aca="false">AW301-AW312+AW326+AW327+AW328</f>
        <v>72300.9290943397</v>
      </c>
      <c r="AX331" s="75" t="n">
        <f aca="false">AX301-AX312+AX326+AX327+AX328</f>
        <v>72318.5630229112</v>
      </c>
      <c r="AY331" s="75" t="n">
        <f aca="false">AY301-AY312+AY326+AY327+AY328</f>
        <v>77752.255585704</v>
      </c>
      <c r="AZ331" s="75" t="n">
        <f aca="false">AZ301-AZ312+AZ326+AZ327+AZ328</f>
        <v>76645.8415557224</v>
      </c>
      <c r="BA331" s="75" t="n">
        <f aca="false">BA301-BA312+BA326+BA327+BA328</f>
        <v>76663.4754842938</v>
      </c>
      <c r="BB331" s="75" t="n">
        <f aca="false">BB301-BB312+BB326+BB327+BB328</f>
        <v>76681.1094128653</v>
      </c>
      <c r="BC331" s="75" t="n">
        <f aca="false">BC301-BC312+BC326+BC327+BC328</f>
        <v>76698.7433414367</v>
      </c>
      <c r="BD331" s="75" t="n">
        <f aca="false">BD301-BD312+BD326+BD327+BD328</f>
        <v>76716.3772700082</v>
      </c>
      <c r="BE331" s="75" t="n">
        <f aca="false">BE301-BE312+BE326+BE327+BE328</f>
        <v>76734.0111985796</v>
      </c>
      <c r="BF331" s="75" t="n">
        <f aca="false">BF301-BF312+BF326+BF327+BF328</f>
        <v>76751.645127151</v>
      </c>
      <c r="BG331" s="75" t="n">
        <f aca="false">BG301-BG312+BG326+BG327+BG328</f>
        <v>76769.2790557224</v>
      </c>
      <c r="BH331" s="75" t="n">
        <f aca="false">BH301-BH312+BH326+BH327+BH328</f>
        <v>76786.9129842938</v>
      </c>
      <c r="BI331" s="75" t="n">
        <f aca="false">BI301-BI312+BI326+BI327+BI328</f>
        <v>76804.5469128653</v>
      </c>
      <c r="BJ331" s="75" t="n">
        <f aca="false">BJ301-BJ312+BJ326+BJ327+BJ328</f>
        <v>76822.1808414367</v>
      </c>
    </row>
    <row r="332" customFormat="false" ht="15" hidden="false" customHeight="false" outlineLevel="0" collapsed="false">
      <c r="A332" s="6" t="s">
        <v>442</v>
      </c>
      <c r="C332" s="69" t="n">
        <f aca="false">-C309</f>
        <v>-382000</v>
      </c>
      <c r="D332" s="69" t="n">
        <f aca="false">-D309</f>
        <v>-0</v>
      </c>
      <c r="E332" s="69" t="n">
        <f aca="false">-E309</f>
        <v>-0</v>
      </c>
      <c r="F332" s="69" t="n">
        <f aca="false">-F309</f>
        <v>-0</v>
      </c>
      <c r="G332" s="69" t="n">
        <f aca="false">-G309</f>
        <v>-0</v>
      </c>
      <c r="H332" s="69" t="n">
        <f aca="false">-H309</f>
        <v>-0</v>
      </c>
      <c r="I332" s="69" t="n">
        <f aca="false">-I309</f>
        <v>-0</v>
      </c>
      <c r="J332" s="69" t="n">
        <f aca="false">-J309</f>
        <v>-0</v>
      </c>
      <c r="K332" s="69" t="n">
        <f aca="false">-K309</f>
        <v>-0</v>
      </c>
      <c r="L332" s="69" t="n">
        <f aca="false">-L309</f>
        <v>-0</v>
      </c>
      <c r="M332" s="69" t="n">
        <f aca="false">-M309</f>
        <v>-0</v>
      </c>
      <c r="N332" s="69" t="n">
        <f aca="false">-N309</f>
        <v>-0</v>
      </c>
      <c r="O332" s="69" t="n">
        <f aca="false">-O309</f>
        <v>-20000</v>
      </c>
      <c r="P332" s="69" t="n">
        <f aca="false">-P309</f>
        <v>-0</v>
      </c>
      <c r="Q332" s="69" t="n">
        <f aca="false">-Q309</f>
        <v>-0</v>
      </c>
      <c r="R332" s="69" t="n">
        <f aca="false">-R309</f>
        <v>-0</v>
      </c>
      <c r="S332" s="69" t="n">
        <f aca="false">-S309</f>
        <v>-0</v>
      </c>
      <c r="T332" s="69" t="n">
        <f aca="false">-T309</f>
        <v>-0</v>
      </c>
      <c r="U332" s="69" t="n">
        <f aca="false">-U309</f>
        <v>-0</v>
      </c>
      <c r="V332" s="69" t="n">
        <f aca="false">-V309</f>
        <v>-0</v>
      </c>
      <c r="W332" s="69" t="n">
        <f aca="false">-W309</f>
        <v>-0</v>
      </c>
      <c r="X332" s="69" t="n">
        <f aca="false">-X309</f>
        <v>-0</v>
      </c>
      <c r="Y332" s="69" t="n">
        <f aca="false">-Y309</f>
        <v>-0</v>
      </c>
      <c r="Z332" s="69" t="n">
        <f aca="false">-Z309</f>
        <v>-0</v>
      </c>
      <c r="AA332" s="69" t="n">
        <f aca="false">-AA309</f>
        <v>-20000</v>
      </c>
      <c r="AB332" s="69" t="n">
        <f aca="false">-AB309</f>
        <v>-0</v>
      </c>
      <c r="AC332" s="69" t="n">
        <f aca="false">-AC309</f>
        <v>-0</v>
      </c>
      <c r="AD332" s="69" t="n">
        <f aca="false">-AD309</f>
        <v>-0</v>
      </c>
      <c r="AE332" s="69" t="n">
        <f aca="false">-AE309</f>
        <v>-0</v>
      </c>
      <c r="AF332" s="69" t="n">
        <f aca="false">-AF309</f>
        <v>-0</v>
      </c>
      <c r="AG332" s="69" t="n">
        <f aca="false">-AG309</f>
        <v>-0</v>
      </c>
      <c r="AH332" s="69" t="n">
        <f aca="false">-AH309</f>
        <v>-0</v>
      </c>
      <c r="AI332" s="69" t="n">
        <f aca="false">-AI309</f>
        <v>-0</v>
      </c>
      <c r="AJ332" s="69" t="n">
        <f aca="false">-AJ309</f>
        <v>-0</v>
      </c>
      <c r="AK332" s="69" t="n">
        <f aca="false">-AK309</f>
        <v>-0</v>
      </c>
      <c r="AL332" s="69" t="n">
        <f aca="false">-AL309</f>
        <v>-0</v>
      </c>
      <c r="AM332" s="69" t="n">
        <f aca="false">-AM309</f>
        <v>-20000</v>
      </c>
      <c r="AN332" s="69" t="n">
        <f aca="false">-AN309</f>
        <v>-0</v>
      </c>
      <c r="AO332" s="69" t="n">
        <f aca="false">-AO309</f>
        <v>-0</v>
      </c>
      <c r="AP332" s="69" t="n">
        <f aca="false">-AP309</f>
        <v>-0</v>
      </c>
      <c r="AQ332" s="69" t="n">
        <f aca="false">-AQ309</f>
        <v>-0</v>
      </c>
      <c r="AR332" s="69" t="n">
        <f aca="false">-AR309</f>
        <v>-0</v>
      </c>
      <c r="AS332" s="69" t="n">
        <f aca="false">-AS309</f>
        <v>-0</v>
      </c>
      <c r="AT332" s="69" t="n">
        <f aca="false">-AT309</f>
        <v>-0</v>
      </c>
      <c r="AU332" s="69" t="n">
        <f aca="false">-AU309</f>
        <v>-0</v>
      </c>
      <c r="AV332" s="69" t="n">
        <f aca="false">-AV309</f>
        <v>-0</v>
      </c>
      <c r="AW332" s="69" t="n">
        <f aca="false">-AW309</f>
        <v>-0</v>
      </c>
      <c r="AX332" s="69" t="n">
        <f aca="false">-AX309</f>
        <v>-0</v>
      </c>
      <c r="AY332" s="69" t="n">
        <f aca="false">-AY309</f>
        <v>-20000</v>
      </c>
      <c r="AZ332" s="69" t="n">
        <f aca="false">-AZ309</f>
        <v>-0</v>
      </c>
      <c r="BA332" s="69" t="n">
        <f aca="false">-BA309</f>
        <v>-0</v>
      </c>
      <c r="BB332" s="69" t="n">
        <f aca="false">-BB309</f>
        <v>-0</v>
      </c>
      <c r="BC332" s="69" t="n">
        <f aca="false">-BC309</f>
        <v>-0</v>
      </c>
      <c r="BD332" s="69" t="n">
        <f aca="false">-BD309</f>
        <v>-0</v>
      </c>
      <c r="BE332" s="69" t="n">
        <f aca="false">-BE309</f>
        <v>-0</v>
      </c>
      <c r="BF332" s="69" t="n">
        <f aca="false">-BF309</f>
        <v>-0</v>
      </c>
      <c r="BG332" s="69" t="n">
        <f aca="false">-BG309</f>
        <v>-0</v>
      </c>
      <c r="BH332" s="69" t="n">
        <f aca="false">-BH309</f>
        <v>-0</v>
      </c>
      <c r="BI332" s="69" t="n">
        <f aca="false">-BI309</f>
        <v>-0</v>
      </c>
      <c r="BJ332" s="69" t="n">
        <f aca="false">-BJ309</f>
        <v>-0</v>
      </c>
    </row>
    <row r="333" customFormat="false" ht="15" hidden="false" customHeight="false" outlineLevel="0" collapsed="false">
      <c r="A333" s="6" t="s">
        <v>64</v>
      </c>
      <c r="C333" s="69" t="n">
        <f aca="false">IF(C$250=1,Inputs!$D$67,0)</f>
        <v>480000</v>
      </c>
      <c r="D333" s="69" t="n">
        <f aca="false">IF(D$250=1,Inputs!$D$67,0)</f>
        <v>0</v>
      </c>
      <c r="E333" s="69" t="n">
        <f aca="false">IF(E$250=1,Inputs!$D$67,0)</f>
        <v>0</v>
      </c>
      <c r="F333" s="69" t="n">
        <f aca="false">IF(F$250=1,Inputs!$D$67,0)</f>
        <v>0</v>
      </c>
      <c r="G333" s="69" t="n">
        <f aca="false">IF(G$250=1,Inputs!$D$67,0)</f>
        <v>0</v>
      </c>
      <c r="H333" s="69" t="n">
        <f aca="false">IF(H$250=1,Inputs!$D$67,0)</f>
        <v>0</v>
      </c>
      <c r="I333" s="69" t="n">
        <f aca="false">IF(I$250=1,Inputs!$D$67,0)</f>
        <v>0</v>
      </c>
      <c r="J333" s="69" t="n">
        <f aca="false">IF(J$250=1,Inputs!$D$67,0)</f>
        <v>0</v>
      </c>
      <c r="K333" s="69" t="n">
        <f aca="false">IF(K$250=1,Inputs!$D$67,0)</f>
        <v>0</v>
      </c>
      <c r="L333" s="69" t="n">
        <f aca="false">IF(L$250=1,Inputs!$D$67,0)</f>
        <v>0</v>
      </c>
      <c r="M333" s="69" t="n">
        <f aca="false">IF(M$250=1,Inputs!$D$67,0)</f>
        <v>0</v>
      </c>
      <c r="N333" s="69" t="n">
        <f aca="false">IF(N$250=1,Inputs!$D$67,0)</f>
        <v>0</v>
      </c>
      <c r="O333" s="69" t="n">
        <f aca="false">IF(O$250=1,Inputs!$D$67,0)</f>
        <v>0</v>
      </c>
      <c r="P333" s="69" t="n">
        <f aca="false">IF(P$250=1,Inputs!$D$67,0)</f>
        <v>0</v>
      </c>
      <c r="Q333" s="69" t="n">
        <f aca="false">IF(Q$250=1,Inputs!$D$67,0)</f>
        <v>0</v>
      </c>
      <c r="R333" s="69" t="n">
        <f aca="false">IF(R$250=1,Inputs!$D$67,0)</f>
        <v>0</v>
      </c>
      <c r="S333" s="69" t="n">
        <f aca="false">IF(S$250=1,Inputs!$D$67,0)</f>
        <v>0</v>
      </c>
      <c r="T333" s="69" t="n">
        <f aca="false">IF(T$250=1,Inputs!$D$67,0)</f>
        <v>0</v>
      </c>
      <c r="U333" s="69" t="n">
        <f aca="false">IF(U$250=1,Inputs!$D$67,0)</f>
        <v>0</v>
      </c>
      <c r="V333" s="69" t="n">
        <f aca="false">IF(V$250=1,Inputs!$D$67,0)</f>
        <v>0</v>
      </c>
      <c r="W333" s="69" t="n">
        <f aca="false">IF(W$250=1,Inputs!$D$67,0)</f>
        <v>0</v>
      </c>
      <c r="X333" s="69" t="n">
        <f aca="false">IF(X$250=1,Inputs!$D$67,0)</f>
        <v>0</v>
      </c>
      <c r="Y333" s="69" t="n">
        <f aca="false">IF(Y$250=1,Inputs!$D$67,0)</f>
        <v>0</v>
      </c>
      <c r="Z333" s="69" t="n">
        <f aca="false">IF(Z$250=1,Inputs!$D$67,0)</f>
        <v>0</v>
      </c>
      <c r="AA333" s="69" t="n">
        <f aca="false">IF(AA$250=1,Inputs!$D$67,0)</f>
        <v>0</v>
      </c>
      <c r="AB333" s="69" t="n">
        <f aca="false">IF(AB$250=1,Inputs!$D$67,0)</f>
        <v>0</v>
      </c>
      <c r="AC333" s="69" t="n">
        <f aca="false">IF(AC$250=1,Inputs!$D$67,0)</f>
        <v>0</v>
      </c>
      <c r="AD333" s="69" t="n">
        <f aca="false">IF(AD$250=1,Inputs!$D$67,0)</f>
        <v>0</v>
      </c>
      <c r="AE333" s="69" t="n">
        <f aca="false">IF(AE$250=1,Inputs!$D$67,0)</f>
        <v>0</v>
      </c>
      <c r="AF333" s="69" t="n">
        <f aca="false">IF(AF$250=1,Inputs!$D$67,0)</f>
        <v>0</v>
      </c>
      <c r="AG333" s="69" t="n">
        <f aca="false">IF(AG$250=1,Inputs!$D$67,0)</f>
        <v>0</v>
      </c>
      <c r="AH333" s="69" t="n">
        <f aca="false">IF(AH$250=1,Inputs!$D$67,0)</f>
        <v>0</v>
      </c>
      <c r="AI333" s="69" t="n">
        <f aca="false">IF(AI$250=1,Inputs!$D$67,0)</f>
        <v>0</v>
      </c>
      <c r="AJ333" s="69" t="n">
        <f aca="false">IF(AJ$250=1,Inputs!$D$67,0)</f>
        <v>0</v>
      </c>
      <c r="AK333" s="69" t="n">
        <f aca="false">IF(AK$250=1,Inputs!$D$67,0)</f>
        <v>0</v>
      </c>
      <c r="AL333" s="69" t="n">
        <f aca="false">IF(AL$250=1,Inputs!$D$67,0)</f>
        <v>0</v>
      </c>
      <c r="AM333" s="69" t="n">
        <f aca="false">IF(AM$250=1,Inputs!$D$67,0)</f>
        <v>0</v>
      </c>
      <c r="AN333" s="69" t="n">
        <f aca="false">IF(AN$250=1,Inputs!$D$67,0)</f>
        <v>0</v>
      </c>
      <c r="AO333" s="69" t="n">
        <f aca="false">IF(AO$250=1,Inputs!$D$67,0)</f>
        <v>0</v>
      </c>
      <c r="AP333" s="69" t="n">
        <f aca="false">IF(AP$250=1,Inputs!$D$67,0)</f>
        <v>0</v>
      </c>
      <c r="AQ333" s="69" t="n">
        <f aca="false">IF(AQ$250=1,Inputs!$D$67,0)</f>
        <v>0</v>
      </c>
      <c r="AR333" s="69" t="n">
        <f aca="false">IF(AR$250=1,Inputs!$D$67,0)</f>
        <v>0</v>
      </c>
      <c r="AS333" s="69" t="n">
        <f aca="false">IF(AS$250=1,Inputs!$D$67,0)</f>
        <v>0</v>
      </c>
      <c r="AT333" s="69" t="n">
        <f aca="false">IF(AT$250=1,Inputs!$D$67,0)</f>
        <v>0</v>
      </c>
      <c r="AU333" s="69" t="n">
        <f aca="false">IF(AU$250=1,Inputs!$D$67,0)</f>
        <v>0</v>
      </c>
      <c r="AV333" s="69" t="n">
        <f aca="false">IF(AV$250=1,Inputs!$D$67,0)</f>
        <v>0</v>
      </c>
      <c r="AW333" s="69" t="n">
        <f aca="false">IF(AW$250=1,Inputs!$D$67,0)</f>
        <v>0</v>
      </c>
      <c r="AX333" s="69" t="n">
        <f aca="false">IF(AX$250=1,Inputs!$D$67,0)</f>
        <v>0</v>
      </c>
      <c r="AY333" s="69" t="n">
        <f aca="false">IF(AY$250=1,Inputs!$D$67,0)</f>
        <v>0</v>
      </c>
      <c r="AZ333" s="69" t="n">
        <f aca="false">IF(AZ$250=1,Inputs!$D$67,0)</f>
        <v>0</v>
      </c>
      <c r="BA333" s="69" t="n">
        <f aca="false">IF(BA$250=1,Inputs!$D$67,0)</f>
        <v>0</v>
      </c>
      <c r="BB333" s="69" t="n">
        <f aca="false">IF(BB$250=1,Inputs!$D$67,0)</f>
        <v>0</v>
      </c>
      <c r="BC333" s="69" t="n">
        <f aca="false">IF(BC$250=1,Inputs!$D$67,0)</f>
        <v>0</v>
      </c>
      <c r="BD333" s="69" t="n">
        <f aca="false">IF(BD$250=1,Inputs!$D$67,0)</f>
        <v>0</v>
      </c>
      <c r="BE333" s="69" t="n">
        <f aca="false">IF(BE$250=1,Inputs!$D$67,0)</f>
        <v>0</v>
      </c>
      <c r="BF333" s="69" t="n">
        <f aca="false">IF(BF$250=1,Inputs!$D$67,0)</f>
        <v>0</v>
      </c>
      <c r="BG333" s="69" t="n">
        <f aca="false">IF(BG$250=1,Inputs!$D$67,0)</f>
        <v>0</v>
      </c>
      <c r="BH333" s="69" t="n">
        <f aca="false">IF(BH$250=1,Inputs!$D$67,0)</f>
        <v>0</v>
      </c>
      <c r="BI333" s="69" t="n">
        <f aca="false">IF(BI$250=1,Inputs!$D$67,0)</f>
        <v>0</v>
      </c>
      <c r="BJ333" s="69" t="n">
        <f aca="false">IF(BJ$250=1,Inputs!$D$67,0)</f>
        <v>0</v>
      </c>
    </row>
    <row r="334" customFormat="false" ht="15" hidden="false" customHeight="false" outlineLevel="0" collapsed="false">
      <c r="A334" s="6" t="s">
        <v>54</v>
      </c>
      <c r="C334" s="69" t="n">
        <f aca="false">C333+C318+C319</f>
        <v>730000</v>
      </c>
      <c r="D334" s="69" t="n">
        <f aca="false">D333+D318+D319</f>
        <v>-2976.19047619048</v>
      </c>
      <c r="E334" s="69" t="n">
        <f aca="false">E333+E318+E319</f>
        <v>-2976.19047619048</v>
      </c>
      <c r="F334" s="69" t="n">
        <f aca="false">F333+F318+F319</f>
        <v>-2976.19047619048</v>
      </c>
      <c r="G334" s="69" t="n">
        <f aca="false">G333+G318+G319</f>
        <v>-2976.19047619048</v>
      </c>
      <c r="H334" s="69" t="n">
        <f aca="false">H333+H318+H319</f>
        <v>-2976.19047619048</v>
      </c>
      <c r="I334" s="69" t="n">
        <f aca="false">I333+I318+I319</f>
        <v>-2976.19047619048</v>
      </c>
      <c r="J334" s="69" t="n">
        <f aca="false">J333+J318+J319</f>
        <v>-2976.19047619048</v>
      </c>
      <c r="K334" s="69" t="n">
        <f aca="false">K333+K318+K319</f>
        <v>-2976.19047619048</v>
      </c>
      <c r="L334" s="69" t="n">
        <f aca="false">L333+L318+L319</f>
        <v>-2976.19047619048</v>
      </c>
      <c r="M334" s="69" t="n">
        <f aca="false">M333+M318+M319</f>
        <v>-2976.19047619048</v>
      </c>
      <c r="N334" s="69" t="n">
        <f aca="false">N333+N318+N319</f>
        <v>-2976.19047619048</v>
      </c>
      <c r="O334" s="69" t="n">
        <f aca="false">O333+O318+O319</f>
        <v>-2976.19047619048</v>
      </c>
      <c r="P334" s="69" t="n">
        <f aca="false">P333+P318+P319</f>
        <v>-2976.19047619048</v>
      </c>
      <c r="Q334" s="69" t="n">
        <f aca="false">Q333+Q318+Q319</f>
        <v>-2976.19047619048</v>
      </c>
      <c r="R334" s="69" t="n">
        <f aca="false">R333+R318+R319</f>
        <v>-2976.19047619048</v>
      </c>
      <c r="S334" s="69" t="n">
        <f aca="false">S333+S318+S319</f>
        <v>-2976.19047619048</v>
      </c>
      <c r="T334" s="69" t="n">
        <f aca="false">T333+T318+T319</f>
        <v>-2976.19047619048</v>
      </c>
      <c r="U334" s="69" t="n">
        <f aca="false">U333+U318+U319</f>
        <v>-2976.19047619048</v>
      </c>
      <c r="V334" s="69" t="n">
        <f aca="false">V333+V318+V319</f>
        <v>-2976.19047619048</v>
      </c>
      <c r="W334" s="69" t="n">
        <f aca="false">W333+W318+W319</f>
        <v>-2976.19047619048</v>
      </c>
      <c r="X334" s="69" t="n">
        <f aca="false">X333+X318+X319</f>
        <v>-2976.19047619048</v>
      </c>
      <c r="Y334" s="69" t="n">
        <f aca="false">Y333+Y318+Y319</f>
        <v>-2976.19047619048</v>
      </c>
      <c r="Z334" s="69" t="n">
        <f aca="false">Z333+Z318+Z319</f>
        <v>-2976.19047619048</v>
      </c>
      <c r="AA334" s="69" t="n">
        <f aca="false">AA333+AA318+AA319</f>
        <v>-2976.19047619048</v>
      </c>
      <c r="AB334" s="69" t="n">
        <f aca="false">AB333+AB318+AB319</f>
        <v>-2976.19047619048</v>
      </c>
      <c r="AC334" s="69" t="n">
        <f aca="false">AC333+AC318+AC319</f>
        <v>-2976.19047619048</v>
      </c>
      <c r="AD334" s="69" t="n">
        <f aca="false">AD333+AD318+AD319</f>
        <v>-2976.19047619048</v>
      </c>
      <c r="AE334" s="69" t="n">
        <f aca="false">AE333+AE318+AE319</f>
        <v>-2976.19047619048</v>
      </c>
      <c r="AF334" s="69" t="n">
        <f aca="false">AF333+AF318+AF319</f>
        <v>-2976.19047619048</v>
      </c>
      <c r="AG334" s="69" t="n">
        <f aca="false">AG333+AG318+AG319</f>
        <v>-2976.19047619048</v>
      </c>
      <c r="AH334" s="69" t="n">
        <f aca="false">AH333+AH318+AH319</f>
        <v>-2976.19047619048</v>
      </c>
      <c r="AI334" s="69" t="n">
        <f aca="false">AI333+AI318+AI319</f>
        <v>-2976.19047619048</v>
      </c>
      <c r="AJ334" s="69" t="n">
        <f aca="false">AJ333+AJ318+AJ319</f>
        <v>-2976.19047619048</v>
      </c>
      <c r="AK334" s="69" t="n">
        <f aca="false">AK333+AK318+AK319</f>
        <v>-2976.19047619048</v>
      </c>
      <c r="AL334" s="69" t="n">
        <f aca="false">AL333+AL318+AL319</f>
        <v>-2976.19047619048</v>
      </c>
      <c r="AM334" s="69" t="n">
        <f aca="false">AM333+AM318+AM319</f>
        <v>-2976.19047619048</v>
      </c>
      <c r="AN334" s="69" t="n">
        <f aca="false">AN333+AN318+AN319</f>
        <v>-2976.19047619048</v>
      </c>
      <c r="AO334" s="69" t="n">
        <f aca="false">AO333+AO318+AO319</f>
        <v>-2976.19047619048</v>
      </c>
      <c r="AP334" s="69" t="n">
        <f aca="false">AP333+AP318+AP319</f>
        <v>-2976.19047619048</v>
      </c>
      <c r="AQ334" s="69" t="n">
        <f aca="false">AQ333+AQ318+AQ319</f>
        <v>-2976.19047619048</v>
      </c>
      <c r="AR334" s="69" t="n">
        <f aca="false">AR333+AR318+AR319</f>
        <v>-2976.19047619048</v>
      </c>
      <c r="AS334" s="69" t="n">
        <f aca="false">AS333+AS318+AS319</f>
        <v>-2976.19047619048</v>
      </c>
      <c r="AT334" s="69" t="n">
        <f aca="false">AT333+AT318+AT319</f>
        <v>-2976.19047619048</v>
      </c>
      <c r="AU334" s="69" t="n">
        <f aca="false">AU333+AU318+AU319</f>
        <v>-2976.19047619048</v>
      </c>
      <c r="AV334" s="69" t="n">
        <f aca="false">AV333+AV318+AV319</f>
        <v>-2976.19047619048</v>
      </c>
      <c r="AW334" s="69" t="n">
        <f aca="false">AW333+AW318+AW319</f>
        <v>-2976.19047619048</v>
      </c>
      <c r="AX334" s="69" t="n">
        <f aca="false">AX333+AX318+AX319</f>
        <v>-2976.19047619048</v>
      </c>
      <c r="AY334" s="69" t="n">
        <f aca="false">AY333+AY318+AY319</f>
        <v>-2976.19047619048</v>
      </c>
      <c r="AZ334" s="69" t="n">
        <f aca="false">AZ333+AZ318+AZ319</f>
        <v>-2976.19047619048</v>
      </c>
      <c r="BA334" s="69" t="n">
        <f aca="false">BA333+BA318+BA319</f>
        <v>-2976.19047619048</v>
      </c>
      <c r="BB334" s="69" t="n">
        <f aca="false">BB333+BB318+BB319</f>
        <v>-2976.19047619048</v>
      </c>
      <c r="BC334" s="69" t="n">
        <f aca="false">BC333+BC318+BC319</f>
        <v>-2976.19047619048</v>
      </c>
      <c r="BD334" s="69" t="n">
        <f aca="false">BD333+BD318+BD319</f>
        <v>-2976.19047619048</v>
      </c>
      <c r="BE334" s="69" t="n">
        <f aca="false">BE333+BE318+BE319</f>
        <v>-2976.19047619048</v>
      </c>
      <c r="BF334" s="69" t="n">
        <f aca="false">BF333+BF318+BF319</f>
        <v>-2976.19047619048</v>
      </c>
      <c r="BG334" s="69" t="n">
        <f aca="false">BG333+BG318+BG319</f>
        <v>-2976.19047619048</v>
      </c>
      <c r="BH334" s="69" t="n">
        <f aca="false">BH333+BH318+BH319</f>
        <v>-2976.19047619048</v>
      </c>
      <c r="BI334" s="69" t="n">
        <f aca="false">BI333+BI318+BI319</f>
        <v>-2976.19047619048</v>
      </c>
      <c r="BJ334" s="69" t="n">
        <f aca="false">BJ333+BJ318+BJ319</f>
        <v>-2976.19047619048</v>
      </c>
    </row>
    <row r="335" customFormat="false" ht="15" hidden="false" customHeight="false" outlineLevel="0" collapsed="false">
      <c r="A335" s="115" t="s">
        <v>443</v>
      </c>
      <c r="C335" s="70" t="n">
        <f aca="false">C331+C332+C334</f>
        <v>349095.68</v>
      </c>
      <c r="D335" s="70" t="n">
        <f aca="false">D331+D332+D334</f>
        <v>-18692.8186507937</v>
      </c>
      <c r="E335" s="70" t="n">
        <f aca="false">E331+E332+E334</f>
        <v>-10740.0438888889</v>
      </c>
      <c r="F335" s="70" t="n">
        <f aca="false">F331+F332+F334</f>
        <v>-2787.26912698416</v>
      </c>
      <c r="G335" s="70" t="n">
        <f aca="false">G331+G332+G334</f>
        <v>5165.50563492065</v>
      </c>
      <c r="H335" s="70" t="n">
        <f aca="false">H331+H332+H334</f>
        <v>13118.2803968254</v>
      </c>
      <c r="I335" s="70" t="n">
        <f aca="false">I331+I332+I334</f>
        <v>21071.0551587302</v>
      </c>
      <c r="J335" s="70" t="n">
        <f aca="false">J331+J332+J334</f>
        <v>29023.8299206349</v>
      </c>
      <c r="K335" s="70" t="n">
        <f aca="false">K331+K332+K334</f>
        <v>29951.6162825397</v>
      </c>
      <c r="L335" s="70" t="n">
        <f aca="false">L331+L332+L334</f>
        <v>35798.6720944445</v>
      </c>
      <c r="M335" s="70" t="n">
        <f aca="false">M331+M332+M334</f>
        <v>35369.4615785714</v>
      </c>
      <c r="N335" s="70" t="n">
        <f aca="false">N331+N332+N334</f>
        <v>35387.0955071429</v>
      </c>
      <c r="O335" s="70" t="n">
        <f aca="false">O331+O332+O334</f>
        <v>27009.0395170743</v>
      </c>
      <c r="P335" s="70" t="n">
        <f aca="false">P331+P332+P334</f>
        <v>45567.6747656457</v>
      </c>
      <c r="Q335" s="70" t="n">
        <f aca="false">Q331+Q332+Q334</f>
        <v>45585.3086942171</v>
      </c>
      <c r="R335" s="70" t="n">
        <f aca="false">R331+R332+R334</f>
        <v>45602.9426227886</v>
      </c>
      <c r="S335" s="70" t="n">
        <f aca="false">S331+S332+S334</f>
        <v>45620.57655136</v>
      </c>
      <c r="T335" s="70" t="n">
        <f aca="false">T331+T332+T334</f>
        <v>45638.2104799314</v>
      </c>
      <c r="U335" s="70" t="n">
        <f aca="false">U331+U332+U334</f>
        <v>45655.8444085029</v>
      </c>
      <c r="V335" s="70" t="n">
        <f aca="false">V331+V332+V334</f>
        <v>45673.4783370743</v>
      </c>
      <c r="W335" s="70" t="n">
        <f aca="false">W331+W332+W334</f>
        <v>45691.1122656457</v>
      </c>
      <c r="X335" s="70" t="n">
        <f aca="false">X331+X332+X334</f>
        <v>45708.7461942171</v>
      </c>
      <c r="Y335" s="70" t="n">
        <f aca="false">Y331+Y332+Y334</f>
        <v>45726.3801227886</v>
      </c>
      <c r="Z335" s="70" t="n">
        <f aca="false">Z331+Z332+Z334</f>
        <v>45744.01405136</v>
      </c>
      <c r="AA335" s="70" t="n">
        <f aca="false">AA331+AA332+AA334</f>
        <v>38537.9058161227</v>
      </c>
      <c r="AB335" s="70" t="n">
        <f aca="false">AB331+AB332+AB334</f>
        <v>56993.1407498622</v>
      </c>
      <c r="AC335" s="70" t="n">
        <f aca="false">AC331+AC332+AC334</f>
        <v>57010.7746784336</v>
      </c>
      <c r="AD335" s="70" t="n">
        <f aca="false">AD331+AD332+AD334</f>
        <v>57028.408607005</v>
      </c>
      <c r="AE335" s="70" t="n">
        <f aca="false">AE331+AE332+AE334</f>
        <v>57046.0425355764</v>
      </c>
      <c r="AF335" s="70" t="n">
        <f aca="false">AF331+AF332+AF334</f>
        <v>57063.6764641479</v>
      </c>
      <c r="AG335" s="70" t="n">
        <f aca="false">AG331+AG332+AG334</f>
        <v>57081.3103927193</v>
      </c>
      <c r="AH335" s="70" t="n">
        <f aca="false">AH331+AH332+AH334</f>
        <v>57098.9443212907</v>
      </c>
      <c r="AI335" s="70" t="n">
        <f aca="false">AI331+AI332+AI334</f>
        <v>57116.5782498621</v>
      </c>
      <c r="AJ335" s="70" t="n">
        <f aca="false">AJ331+AJ332+AJ334</f>
        <v>57134.2121784336</v>
      </c>
      <c r="AK335" s="70" t="n">
        <f aca="false">AK331+AK332+AK334</f>
        <v>57151.846107005</v>
      </c>
      <c r="AL335" s="70" t="n">
        <f aca="false">AL331+AL332+AL334</f>
        <v>57169.4800355764</v>
      </c>
      <c r="AM335" s="70" t="n">
        <f aca="false">AM331+AM332+AM334</f>
        <v>50791.595768303</v>
      </c>
      <c r="AN335" s="70" t="n">
        <f aca="false">AN331+AN332+AN334</f>
        <v>69166.0332610064</v>
      </c>
      <c r="AO335" s="70" t="n">
        <f aca="false">AO331+AO332+AO334</f>
        <v>69183.6671895778</v>
      </c>
      <c r="AP335" s="70" t="n">
        <f aca="false">AP331+AP332+AP334</f>
        <v>69201.3011181493</v>
      </c>
      <c r="AQ335" s="70" t="n">
        <f aca="false">AQ331+AQ332+AQ334</f>
        <v>69218.9350467207</v>
      </c>
      <c r="AR335" s="70" t="n">
        <f aca="false">AR331+AR332+AR334</f>
        <v>69236.5689752922</v>
      </c>
      <c r="AS335" s="70" t="n">
        <f aca="false">AS331+AS332+AS334</f>
        <v>69254.2029038635</v>
      </c>
      <c r="AT335" s="70" t="n">
        <f aca="false">AT331+AT332+AT334</f>
        <v>69271.8368324349</v>
      </c>
      <c r="AU335" s="70" t="n">
        <f aca="false">AU331+AU332+AU334</f>
        <v>69289.4707610064</v>
      </c>
      <c r="AV335" s="70" t="n">
        <f aca="false">AV331+AV332+AV334</f>
        <v>69307.1046895778</v>
      </c>
      <c r="AW335" s="70" t="n">
        <f aca="false">AW331+AW332+AW334</f>
        <v>69324.7386181493</v>
      </c>
      <c r="AX335" s="70" t="n">
        <f aca="false">AX331+AX332+AX334</f>
        <v>69342.3725467207</v>
      </c>
      <c r="AY335" s="70" t="n">
        <f aca="false">AY331+AY332+AY334</f>
        <v>54776.0651095135</v>
      </c>
      <c r="AZ335" s="70" t="n">
        <f aca="false">AZ331+AZ332+AZ334</f>
        <v>73669.6510795319</v>
      </c>
      <c r="BA335" s="70" t="n">
        <f aca="false">BA331+BA332+BA334</f>
        <v>73687.2850081034</v>
      </c>
      <c r="BB335" s="70" t="n">
        <f aca="false">BB331+BB332+BB334</f>
        <v>73704.9189366748</v>
      </c>
      <c r="BC335" s="70" t="n">
        <f aca="false">BC331+BC332+BC334</f>
        <v>73722.5528652463</v>
      </c>
      <c r="BD335" s="70" t="n">
        <f aca="false">BD331+BD332+BD334</f>
        <v>73740.1867938177</v>
      </c>
      <c r="BE335" s="70" t="n">
        <f aca="false">BE331+BE332+BE334</f>
        <v>73757.8207223891</v>
      </c>
      <c r="BF335" s="70" t="n">
        <f aca="false">BF331+BF332+BF334</f>
        <v>73775.4546509605</v>
      </c>
      <c r="BG335" s="70" t="n">
        <f aca="false">BG331+BG332+BG334</f>
        <v>73793.0885795319</v>
      </c>
      <c r="BH335" s="70" t="n">
        <f aca="false">BH331+BH332+BH334</f>
        <v>73810.7225081034</v>
      </c>
      <c r="BI335" s="70" t="n">
        <f aca="false">BI331+BI332+BI334</f>
        <v>73828.3564366748</v>
      </c>
      <c r="BJ335" s="70" t="n">
        <f aca="false">BJ331+BJ332+BJ334</f>
        <v>73845.9903652463</v>
      </c>
    </row>
    <row r="336" customFormat="false" ht="15" hidden="false" customHeight="false" outlineLevel="0" collapsed="false">
      <c r="A336" s="6" t="s">
        <v>343</v>
      </c>
      <c r="C336" s="69" t="n">
        <f aca="false">0</f>
        <v>0</v>
      </c>
      <c r="D336" s="69" t="n">
        <f aca="false">C337</f>
        <v>349095.68</v>
      </c>
      <c r="E336" s="69" t="n">
        <f aca="false">D337</f>
        <v>330402.861349206</v>
      </c>
      <c r="F336" s="69" t="n">
        <f aca="false">E337</f>
        <v>319662.817460317</v>
      </c>
      <c r="G336" s="69" t="n">
        <f aca="false">F337</f>
        <v>316875.548333333</v>
      </c>
      <c r="H336" s="69" t="n">
        <f aca="false">G337</f>
        <v>322041.053968254</v>
      </c>
      <c r="I336" s="69" t="n">
        <f aca="false">H337</f>
        <v>335159.334365079</v>
      </c>
      <c r="J336" s="69" t="n">
        <f aca="false">I337</f>
        <v>356230.389523809</v>
      </c>
      <c r="K336" s="69" t="n">
        <f aca="false">J337</f>
        <v>385254.219444444</v>
      </c>
      <c r="L336" s="69" t="n">
        <f aca="false">K337</f>
        <v>415205.835726984</v>
      </c>
      <c r="M336" s="69" t="n">
        <f aca="false">L337</f>
        <v>451004.507821429</v>
      </c>
      <c r="N336" s="69" t="n">
        <f aca="false">M337</f>
        <v>486373.9694</v>
      </c>
      <c r="O336" s="69" t="n">
        <f aca="false">N337</f>
        <v>521761.064907143</v>
      </c>
      <c r="P336" s="69" t="n">
        <f aca="false">O337</f>
        <v>548770.104424217</v>
      </c>
      <c r="Q336" s="69" t="n">
        <f aca="false">P337</f>
        <v>594337.779189863</v>
      </c>
      <c r="R336" s="69" t="n">
        <f aca="false">Q337</f>
        <v>639923.08788408</v>
      </c>
      <c r="S336" s="69" t="n">
        <f aca="false">R337</f>
        <v>685526.030506869</v>
      </c>
      <c r="T336" s="69" t="n">
        <f aca="false">S337</f>
        <v>731146.607058229</v>
      </c>
      <c r="U336" s="69" t="n">
        <f aca="false">T337</f>
        <v>776784.81753816</v>
      </c>
      <c r="V336" s="69" t="n">
        <f aca="false">U337</f>
        <v>822440.661946663</v>
      </c>
      <c r="W336" s="69" t="n">
        <f aca="false">V337</f>
        <v>868114.140283737</v>
      </c>
      <c r="X336" s="69" t="n">
        <f aca="false">W337</f>
        <v>913805.252549383</v>
      </c>
      <c r="Y336" s="69" t="n">
        <f aca="false">X337</f>
        <v>959513.9987436</v>
      </c>
      <c r="Z336" s="69" t="n">
        <f aca="false">Y337</f>
        <v>1005240.37886639</v>
      </c>
      <c r="AA336" s="69" t="n">
        <f aca="false">Z337</f>
        <v>1050984.39291775</v>
      </c>
      <c r="AB336" s="69" t="n">
        <f aca="false">AA337</f>
        <v>1089522.29873387</v>
      </c>
      <c r="AC336" s="69" t="n">
        <f aca="false">AB337</f>
        <v>1146515.43948373</v>
      </c>
      <c r="AD336" s="69" t="n">
        <f aca="false">AC337</f>
        <v>1203526.21416217</v>
      </c>
      <c r="AE336" s="69" t="n">
        <f aca="false">AD337</f>
        <v>1260554.62276917</v>
      </c>
      <c r="AF336" s="69" t="n">
        <f aca="false">AE337</f>
        <v>1317600.66530475</v>
      </c>
      <c r="AG336" s="69" t="n">
        <f aca="false">AF337</f>
        <v>1374664.3417689</v>
      </c>
      <c r="AH336" s="69" t="n">
        <f aca="false">AG337</f>
        <v>1431745.65216162</v>
      </c>
      <c r="AI336" s="69" t="n">
        <f aca="false">AH337</f>
        <v>1488844.59648291</v>
      </c>
      <c r="AJ336" s="69" t="n">
        <f aca="false">AI337</f>
        <v>1545961.17473277</v>
      </c>
      <c r="AK336" s="69" t="n">
        <f aca="false">AJ337</f>
        <v>1603095.3869112</v>
      </c>
      <c r="AL336" s="69" t="n">
        <f aca="false">AK337</f>
        <v>1660247.23301821</v>
      </c>
      <c r="AM336" s="69" t="n">
        <f aca="false">AL337</f>
        <v>1717416.71305378</v>
      </c>
      <c r="AN336" s="69" t="n">
        <f aca="false">AM337</f>
        <v>1768208.30882209</v>
      </c>
      <c r="AO336" s="69" t="n">
        <f aca="false">AN337</f>
        <v>1837374.34208309</v>
      </c>
      <c r="AP336" s="69" t="n">
        <f aca="false">AO337</f>
        <v>1906558.00927267</v>
      </c>
      <c r="AQ336" s="69" t="n">
        <f aca="false">AP337</f>
        <v>1975759.31039082</v>
      </c>
      <c r="AR336" s="69" t="n">
        <f aca="false">AQ337</f>
        <v>2044978.24543754</v>
      </c>
      <c r="AS336" s="69" t="n">
        <f aca="false">AR337</f>
        <v>2114214.81441283</v>
      </c>
      <c r="AT336" s="69" t="n">
        <f aca="false">AS337</f>
        <v>2183469.0173167</v>
      </c>
      <c r="AU336" s="69" t="n">
        <f aca="false">AT337</f>
        <v>2252740.85414913</v>
      </c>
      <c r="AV336" s="69" t="n">
        <f aca="false">AU337</f>
        <v>2322030.32491014</v>
      </c>
      <c r="AW336" s="69" t="n">
        <f aca="false">AV337</f>
        <v>2391337.42959972</v>
      </c>
      <c r="AX336" s="69" t="n">
        <f aca="false">AW337</f>
        <v>2460662.16821786</v>
      </c>
      <c r="AY336" s="69" t="n">
        <f aca="false">AX337</f>
        <v>2530004.54076459</v>
      </c>
      <c r="AZ336" s="69" t="n">
        <f aca="false">AY337</f>
        <v>2584780.6058741</v>
      </c>
      <c r="BA336" s="69" t="n">
        <f aca="false">AZ337</f>
        <v>2658450.25695363</v>
      </c>
      <c r="BB336" s="69" t="n">
        <f aca="false">BA337</f>
        <v>2732137.54196173</v>
      </c>
      <c r="BC336" s="69" t="n">
        <f aca="false">BB337</f>
        <v>2805842.46089841</v>
      </c>
      <c r="BD336" s="69" t="n">
        <f aca="false">BC337</f>
        <v>2879565.01376366</v>
      </c>
      <c r="BE336" s="69" t="n">
        <f aca="false">BD337</f>
        <v>2953305.20055747</v>
      </c>
      <c r="BF336" s="69" t="n">
        <f aca="false">BE337</f>
        <v>3027063.02127986</v>
      </c>
      <c r="BG336" s="69" t="n">
        <f aca="false">BF337</f>
        <v>3100838.47593082</v>
      </c>
      <c r="BH336" s="69" t="n">
        <f aca="false">BG337</f>
        <v>3174631.56451035</v>
      </c>
      <c r="BI336" s="69" t="n">
        <f aca="false">BH337</f>
        <v>3248442.28701846</v>
      </c>
      <c r="BJ336" s="69" t="n">
        <f aca="false">BI337</f>
        <v>3322270.64345513</v>
      </c>
    </row>
    <row r="337" customFormat="false" ht="15" hidden="false" customHeight="false" outlineLevel="0" collapsed="false">
      <c r="A337" s="115" t="s">
        <v>87</v>
      </c>
      <c r="C337" s="70" t="n">
        <f aca="false">C336+C335</f>
        <v>349095.68</v>
      </c>
      <c r="D337" s="70" t="n">
        <f aca="false">D336+D335</f>
        <v>330402.861349206</v>
      </c>
      <c r="E337" s="70" t="n">
        <f aca="false">E336+E335</f>
        <v>319662.817460317</v>
      </c>
      <c r="F337" s="70" t="n">
        <f aca="false">F336+F335</f>
        <v>316875.548333333</v>
      </c>
      <c r="G337" s="70" t="n">
        <f aca="false">G336+G335</f>
        <v>322041.053968254</v>
      </c>
      <c r="H337" s="70" t="n">
        <f aca="false">H336+H335</f>
        <v>335159.334365079</v>
      </c>
      <c r="I337" s="70" t="n">
        <f aca="false">I336+I335</f>
        <v>356230.389523809</v>
      </c>
      <c r="J337" s="70" t="n">
        <f aca="false">J336+J335</f>
        <v>385254.219444444</v>
      </c>
      <c r="K337" s="70" t="n">
        <f aca="false">K336+K335</f>
        <v>415205.835726984</v>
      </c>
      <c r="L337" s="70" t="n">
        <f aca="false">L336+L335</f>
        <v>451004.507821429</v>
      </c>
      <c r="M337" s="70" t="n">
        <f aca="false">M336+M335</f>
        <v>486373.9694</v>
      </c>
      <c r="N337" s="70" t="n">
        <f aca="false">N336+N335</f>
        <v>521761.064907143</v>
      </c>
      <c r="O337" s="70" t="n">
        <f aca="false">O336+O335</f>
        <v>548770.104424217</v>
      </c>
      <c r="P337" s="70" t="n">
        <f aca="false">P336+P335</f>
        <v>594337.779189863</v>
      </c>
      <c r="Q337" s="70" t="n">
        <f aca="false">Q336+Q335</f>
        <v>639923.08788408</v>
      </c>
      <c r="R337" s="70" t="n">
        <f aca="false">R336+R335</f>
        <v>685526.030506869</v>
      </c>
      <c r="S337" s="70" t="n">
        <f aca="false">S336+S335</f>
        <v>731146.607058229</v>
      </c>
      <c r="T337" s="70" t="n">
        <f aca="false">T336+T335</f>
        <v>776784.81753816</v>
      </c>
      <c r="U337" s="70" t="n">
        <f aca="false">U336+U335</f>
        <v>822440.661946663</v>
      </c>
      <c r="V337" s="70" t="n">
        <f aca="false">V336+V335</f>
        <v>868114.140283737</v>
      </c>
      <c r="W337" s="70" t="n">
        <f aca="false">W336+W335</f>
        <v>913805.252549383</v>
      </c>
      <c r="X337" s="70" t="n">
        <f aca="false">X336+X335</f>
        <v>959513.9987436</v>
      </c>
      <c r="Y337" s="70" t="n">
        <f aca="false">Y336+Y335</f>
        <v>1005240.37886639</v>
      </c>
      <c r="Z337" s="70" t="n">
        <f aca="false">Z336+Z335</f>
        <v>1050984.39291775</v>
      </c>
      <c r="AA337" s="70" t="n">
        <f aca="false">AA336+AA335</f>
        <v>1089522.29873387</v>
      </c>
      <c r="AB337" s="70" t="n">
        <f aca="false">AB336+AB335</f>
        <v>1146515.43948373</v>
      </c>
      <c r="AC337" s="70" t="n">
        <f aca="false">AC336+AC335</f>
        <v>1203526.21416217</v>
      </c>
      <c r="AD337" s="70" t="n">
        <f aca="false">AD336+AD335</f>
        <v>1260554.62276917</v>
      </c>
      <c r="AE337" s="70" t="n">
        <f aca="false">AE336+AE335</f>
        <v>1317600.66530475</v>
      </c>
      <c r="AF337" s="70" t="n">
        <f aca="false">AF336+AF335</f>
        <v>1374664.3417689</v>
      </c>
      <c r="AG337" s="70" t="n">
        <f aca="false">AG336+AG335</f>
        <v>1431745.65216162</v>
      </c>
      <c r="AH337" s="70" t="n">
        <f aca="false">AH336+AH335</f>
        <v>1488844.59648291</v>
      </c>
      <c r="AI337" s="70" t="n">
        <f aca="false">AI336+AI335</f>
        <v>1545961.17473277</v>
      </c>
      <c r="AJ337" s="70" t="n">
        <f aca="false">AJ336+AJ335</f>
        <v>1603095.3869112</v>
      </c>
      <c r="AK337" s="70" t="n">
        <f aca="false">AK336+AK335</f>
        <v>1660247.23301821</v>
      </c>
      <c r="AL337" s="70" t="n">
        <f aca="false">AL336+AL335</f>
        <v>1717416.71305378</v>
      </c>
      <c r="AM337" s="70" t="n">
        <f aca="false">AM336+AM335</f>
        <v>1768208.30882209</v>
      </c>
      <c r="AN337" s="70" t="n">
        <f aca="false">AN336+AN335</f>
        <v>1837374.34208309</v>
      </c>
      <c r="AO337" s="70" t="n">
        <f aca="false">AO336+AO335</f>
        <v>1906558.00927267</v>
      </c>
      <c r="AP337" s="70" t="n">
        <f aca="false">AP336+AP335</f>
        <v>1975759.31039082</v>
      </c>
      <c r="AQ337" s="70" t="n">
        <f aca="false">AQ336+AQ335</f>
        <v>2044978.24543754</v>
      </c>
      <c r="AR337" s="70" t="n">
        <f aca="false">AR336+AR335</f>
        <v>2114214.81441283</v>
      </c>
      <c r="AS337" s="70" t="n">
        <f aca="false">AS336+AS335</f>
        <v>2183469.0173167</v>
      </c>
      <c r="AT337" s="70" t="n">
        <f aca="false">AT336+AT335</f>
        <v>2252740.85414913</v>
      </c>
      <c r="AU337" s="70" t="n">
        <f aca="false">AU336+AU335</f>
        <v>2322030.32491014</v>
      </c>
      <c r="AV337" s="70" t="n">
        <f aca="false">AV336+AV335</f>
        <v>2391337.42959972</v>
      </c>
      <c r="AW337" s="70" t="n">
        <f aca="false">AW336+AW335</f>
        <v>2460662.16821786</v>
      </c>
      <c r="AX337" s="70" t="n">
        <f aca="false">AX336+AX335</f>
        <v>2530004.54076459</v>
      </c>
      <c r="AY337" s="70" t="n">
        <f aca="false">AY336+AY335</f>
        <v>2584780.6058741</v>
      </c>
      <c r="AZ337" s="70" t="n">
        <f aca="false">AZ336+AZ335</f>
        <v>2658450.25695363</v>
      </c>
      <c r="BA337" s="70" t="n">
        <f aca="false">BA336+BA335</f>
        <v>2732137.54196173</v>
      </c>
      <c r="BB337" s="70" t="n">
        <f aca="false">BB336+BB335</f>
        <v>2805842.46089841</v>
      </c>
      <c r="BC337" s="70" t="n">
        <f aca="false">BC336+BC335</f>
        <v>2879565.01376366</v>
      </c>
      <c r="BD337" s="70" t="n">
        <f aca="false">BD336+BD335</f>
        <v>2953305.20055747</v>
      </c>
      <c r="BE337" s="70" t="n">
        <f aca="false">BE336+BE335</f>
        <v>3027063.02127986</v>
      </c>
      <c r="BF337" s="70" t="n">
        <f aca="false">BF336+BF335</f>
        <v>3100838.47593082</v>
      </c>
      <c r="BG337" s="70" t="n">
        <f aca="false">BG336+BG335</f>
        <v>3174631.56451035</v>
      </c>
      <c r="BH337" s="70" t="n">
        <f aca="false">BH336+BH335</f>
        <v>3248442.28701846</v>
      </c>
      <c r="BI337" s="70" t="n">
        <f aca="false">BI336+BI335</f>
        <v>3322270.64345513</v>
      </c>
      <c r="BJ337" s="70" t="n">
        <f aca="false">BJ336+BJ335</f>
        <v>3396116.63382038</v>
      </c>
    </row>
    <row r="338" customFormat="false" ht="15" hidden="false" customHeight="false" outlineLevel="0" collapsed="false">
      <c r="A338" s="118" t="s">
        <v>444</v>
      </c>
      <c r="C338" s="120" t="n">
        <f aca="false">IF(C292&gt;0,1,0)</f>
        <v>0</v>
      </c>
      <c r="D338" s="120" t="n">
        <f aca="false">IF(D292&gt;0,1,0)</f>
        <v>0</v>
      </c>
      <c r="E338" s="120" t="n">
        <f aca="false">IF(E292&gt;0,1,0)</f>
        <v>0</v>
      </c>
      <c r="F338" s="120" t="n">
        <f aca="false">IF(F292&gt;0,1,0)</f>
        <v>1</v>
      </c>
      <c r="G338" s="120" t="n">
        <f aca="false">IF(G292&gt;0,1,0)</f>
        <v>1</v>
      </c>
      <c r="H338" s="120" t="n">
        <f aca="false">IF(H292&gt;0,1,0)</f>
        <v>1</v>
      </c>
      <c r="I338" s="120" t="n">
        <f aca="false">IF(I292&gt;0,1,0)</f>
        <v>1</v>
      </c>
      <c r="J338" s="120" t="n">
        <f aca="false">IF(J292&gt;0,1,0)</f>
        <v>1</v>
      </c>
      <c r="K338" s="120" t="n">
        <f aca="false">IF(K292&gt;0,1,0)</f>
        <v>1</v>
      </c>
      <c r="L338" s="120" t="n">
        <f aca="false">IF(L292&gt;0,1,0)</f>
        <v>1</v>
      </c>
      <c r="M338" s="120" t="n">
        <f aca="false">IF(M292&gt;0,1,0)</f>
        <v>1</v>
      </c>
      <c r="N338" s="120" t="n">
        <f aca="false">IF(N292&gt;0,1,0)</f>
        <v>1</v>
      </c>
      <c r="O338" s="120" t="n">
        <f aca="false">IF(O292&gt;0,1,0)</f>
        <v>1</v>
      </c>
      <c r="P338" s="120" t="n">
        <f aca="false">IF(P292&gt;0,1,0)</f>
        <v>1</v>
      </c>
      <c r="Q338" s="120" t="n">
        <f aca="false">IF(Q292&gt;0,1,0)</f>
        <v>1</v>
      </c>
      <c r="R338" s="120" t="n">
        <f aca="false">IF(R292&gt;0,1,0)</f>
        <v>1</v>
      </c>
      <c r="S338" s="120" t="n">
        <f aca="false">IF(S292&gt;0,1,0)</f>
        <v>1</v>
      </c>
      <c r="T338" s="120" t="n">
        <f aca="false">IF(T292&gt;0,1,0)</f>
        <v>1</v>
      </c>
      <c r="U338" s="120" t="n">
        <f aca="false">IF(U292&gt;0,1,0)</f>
        <v>1</v>
      </c>
      <c r="V338" s="120" t="n">
        <f aca="false">IF(V292&gt;0,1,0)</f>
        <v>1</v>
      </c>
      <c r="W338" s="120" t="n">
        <f aca="false">IF(W292&gt;0,1,0)</f>
        <v>1</v>
      </c>
      <c r="X338" s="120" t="n">
        <f aca="false">IF(X292&gt;0,1,0)</f>
        <v>1</v>
      </c>
      <c r="Y338" s="120" t="n">
        <f aca="false">IF(Y292&gt;0,1,0)</f>
        <v>1</v>
      </c>
      <c r="Z338" s="120" t="n">
        <f aca="false">IF(Z292&gt;0,1,0)</f>
        <v>1</v>
      </c>
      <c r="AA338" s="120" t="n">
        <f aca="false">IF(AA292&gt;0,1,0)</f>
        <v>1</v>
      </c>
      <c r="AB338" s="120" t="n">
        <f aca="false">IF(AB292&gt;0,1,0)</f>
        <v>1</v>
      </c>
      <c r="AC338" s="120" t="n">
        <f aca="false">IF(AC292&gt;0,1,0)</f>
        <v>1</v>
      </c>
      <c r="AD338" s="120" t="n">
        <f aca="false">IF(AD292&gt;0,1,0)</f>
        <v>1</v>
      </c>
      <c r="AE338" s="120" t="n">
        <f aca="false">IF(AE292&gt;0,1,0)</f>
        <v>1</v>
      </c>
      <c r="AF338" s="120" t="n">
        <f aca="false">IF(AF292&gt;0,1,0)</f>
        <v>1</v>
      </c>
      <c r="AG338" s="120" t="n">
        <f aca="false">IF(AG292&gt;0,1,0)</f>
        <v>1</v>
      </c>
      <c r="AH338" s="120" t="n">
        <f aca="false">IF(AH292&gt;0,1,0)</f>
        <v>1</v>
      </c>
      <c r="AI338" s="120" t="n">
        <f aca="false">IF(AI292&gt;0,1,0)</f>
        <v>1</v>
      </c>
      <c r="AJ338" s="120" t="n">
        <f aca="false">IF(AJ292&gt;0,1,0)</f>
        <v>1</v>
      </c>
      <c r="AK338" s="120" t="n">
        <f aca="false">IF(AK292&gt;0,1,0)</f>
        <v>1</v>
      </c>
      <c r="AL338" s="120" t="n">
        <f aca="false">IF(AL292&gt;0,1,0)</f>
        <v>1</v>
      </c>
      <c r="AM338" s="120" t="n">
        <f aca="false">IF(AM292&gt;0,1,0)</f>
        <v>1</v>
      </c>
      <c r="AN338" s="120" t="n">
        <f aca="false">IF(AN292&gt;0,1,0)</f>
        <v>1</v>
      </c>
      <c r="AO338" s="120" t="n">
        <f aca="false">IF(AO292&gt;0,1,0)</f>
        <v>1</v>
      </c>
      <c r="AP338" s="120" t="n">
        <f aca="false">IF(AP292&gt;0,1,0)</f>
        <v>1</v>
      </c>
      <c r="AQ338" s="120" t="n">
        <f aca="false">IF(AQ292&gt;0,1,0)</f>
        <v>1</v>
      </c>
      <c r="AR338" s="120" t="n">
        <f aca="false">IF(AR292&gt;0,1,0)</f>
        <v>1</v>
      </c>
      <c r="AS338" s="120" t="n">
        <f aca="false">IF(AS292&gt;0,1,0)</f>
        <v>1</v>
      </c>
      <c r="AT338" s="120" t="n">
        <f aca="false">IF(AT292&gt;0,1,0)</f>
        <v>1</v>
      </c>
      <c r="AU338" s="120" t="n">
        <f aca="false">IF(AU292&gt;0,1,0)</f>
        <v>1</v>
      </c>
      <c r="AV338" s="120" t="n">
        <f aca="false">IF(AV292&gt;0,1,0)</f>
        <v>1</v>
      </c>
      <c r="AW338" s="120" t="n">
        <f aca="false">IF(AW292&gt;0,1,0)</f>
        <v>1</v>
      </c>
      <c r="AX338" s="120" t="n">
        <f aca="false">IF(AX292&gt;0,1,0)</f>
        <v>1</v>
      </c>
      <c r="AY338" s="120" t="n">
        <f aca="false">IF(AY292&gt;0,1,0)</f>
        <v>1</v>
      </c>
      <c r="AZ338" s="120" t="n">
        <f aca="false">IF(AZ292&gt;0,1,0)</f>
        <v>1</v>
      </c>
      <c r="BA338" s="120" t="n">
        <f aca="false">IF(BA292&gt;0,1,0)</f>
        <v>1</v>
      </c>
      <c r="BB338" s="120" t="n">
        <f aca="false">IF(BB292&gt;0,1,0)</f>
        <v>1</v>
      </c>
      <c r="BC338" s="120" t="n">
        <f aca="false">IF(BC292&gt;0,1,0)</f>
        <v>1</v>
      </c>
      <c r="BD338" s="120" t="n">
        <f aca="false">IF(BD292&gt;0,1,0)</f>
        <v>1</v>
      </c>
      <c r="BE338" s="120" t="n">
        <f aca="false">IF(BE292&gt;0,1,0)</f>
        <v>1</v>
      </c>
      <c r="BF338" s="120" t="n">
        <f aca="false">IF(BF292&gt;0,1,0)</f>
        <v>1</v>
      </c>
      <c r="BG338" s="120" t="n">
        <f aca="false">IF(BG292&gt;0,1,0)</f>
        <v>1</v>
      </c>
      <c r="BH338" s="120" t="n">
        <f aca="false">IF(BH292&gt;0,1,0)</f>
        <v>1</v>
      </c>
      <c r="BI338" s="120" t="n">
        <f aca="false">IF(BI292&gt;0,1,0)</f>
        <v>1</v>
      </c>
      <c r="BJ338" s="120" t="n">
        <f aca="false">IF(BJ292&gt;0,1,0)</f>
        <v>1</v>
      </c>
    </row>
    <row r="340" customFormat="false" ht="15.75" hidden="false" customHeight="true" outlineLevel="0" collapsed="false">
      <c r="A340" s="7" t="s">
        <v>445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customFormat="false" ht="15" hidden="false" customHeight="false" outlineLevel="0" collapsed="false">
      <c r="A341" s="118" t="s">
        <v>446</v>
      </c>
      <c r="C341" s="120" t="n">
        <f aca="false">IF(C301&gt;0,1,0)</f>
        <v>0</v>
      </c>
      <c r="D341" s="120" t="n">
        <f aca="false">IF(D301&gt;0,1,0)</f>
        <v>0</v>
      </c>
      <c r="E341" s="120" t="n">
        <f aca="false">IF(E301&gt;0,1,0)</f>
        <v>0</v>
      </c>
      <c r="F341" s="120" t="n">
        <f aca="false">IF(F301&gt;0,1,0)</f>
        <v>0</v>
      </c>
      <c r="G341" s="120" t="n">
        <f aca="false">IF(G301&gt;0,1,0)</f>
        <v>1</v>
      </c>
      <c r="H341" s="120" t="n">
        <f aca="false">IF(H301&gt;0,1,0)</f>
        <v>1</v>
      </c>
      <c r="I341" s="120" t="n">
        <f aca="false">IF(I301&gt;0,1,0)</f>
        <v>1</v>
      </c>
      <c r="J341" s="120" t="n">
        <f aca="false">IF(J301&gt;0,1,0)</f>
        <v>1</v>
      </c>
      <c r="K341" s="120" t="n">
        <f aca="false">IF(K301&gt;0,1,0)</f>
        <v>1</v>
      </c>
      <c r="L341" s="120" t="n">
        <f aca="false">IF(L301&gt;0,1,0)</f>
        <v>1</v>
      </c>
      <c r="M341" s="120" t="n">
        <f aca="false">IF(M301&gt;0,1,0)</f>
        <v>1</v>
      </c>
      <c r="N341" s="120" t="n">
        <f aca="false">IF(N301&gt;0,1,0)</f>
        <v>1</v>
      </c>
      <c r="O341" s="120" t="n">
        <f aca="false">IF(O301&gt;0,1,0)</f>
        <v>1</v>
      </c>
      <c r="P341" s="120" t="n">
        <f aca="false">IF(P301&gt;0,1,0)</f>
        <v>1</v>
      </c>
      <c r="Q341" s="120" t="n">
        <f aca="false">IF(Q301&gt;0,1,0)</f>
        <v>1</v>
      </c>
      <c r="R341" s="120" t="n">
        <f aca="false">IF(R301&gt;0,1,0)</f>
        <v>1</v>
      </c>
      <c r="S341" s="120" t="n">
        <f aca="false">IF(S301&gt;0,1,0)</f>
        <v>1</v>
      </c>
      <c r="T341" s="120" t="n">
        <f aca="false">IF(T301&gt;0,1,0)</f>
        <v>1</v>
      </c>
      <c r="U341" s="120" t="n">
        <f aca="false">IF(U301&gt;0,1,0)</f>
        <v>1</v>
      </c>
      <c r="V341" s="120" t="n">
        <f aca="false">IF(V301&gt;0,1,0)</f>
        <v>1</v>
      </c>
      <c r="W341" s="120" t="n">
        <f aca="false">IF(W301&gt;0,1,0)</f>
        <v>1</v>
      </c>
      <c r="X341" s="120" t="n">
        <f aca="false">IF(X301&gt;0,1,0)</f>
        <v>1</v>
      </c>
      <c r="Y341" s="120" t="n">
        <f aca="false">IF(Y301&gt;0,1,0)</f>
        <v>1</v>
      </c>
      <c r="Z341" s="120" t="n">
        <f aca="false">IF(Z301&gt;0,1,0)</f>
        <v>1</v>
      </c>
      <c r="AA341" s="120" t="n">
        <f aca="false">IF(AA301&gt;0,1,0)</f>
        <v>1</v>
      </c>
      <c r="AB341" s="120" t="n">
        <f aca="false">IF(AB301&gt;0,1,0)</f>
        <v>1</v>
      </c>
      <c r="AC341" s="120" t="n">
        <f aca="false">IF(AC301&gt;0,1,0)</f>
        <v>1</v>
      </c>
      <c r="AD341" s="120" t="n">
        <f aca="false">IF(AD301&gt;0,1,0)</f>
        <v>1</v>
      </c>
      <c r="AE341" s="120" t="n">
        <f aca="false">IF(AE301&gt;0,1,0)</f>
        <v>1</v>
      </c>
      <c r="AF341" s="120" t="n">
        <f aca="false">IF(AF301&gt;0,1,0)</f>
        <v>1</v>
      </c>
      <c r="AG341" s="120" t="n">
        <f aca="false">IF(AG301&gt;0,1,0)</f>
        <v>1</v>
      </c>
      <c r="AH341" s="120" t="n">
        <f aca="false">IF(AH301&gt;0,1,0)</f>
        <v>1</v>
      </c>
      <c r="AI341" s="120" t="n">
        <f aca="false">IF(AI301&gt;0,1,0)</f>
        <v>1</v>
      </c>
      <c r="AJ341" s="120" t="n">
        <f aca="false">IF(AJ301&gt;0,1,0)</f>
        <v>1</v>
      </c>
      <c r="AK341" s="120" t="n">
        <f aca="false">IF(AK301&gt;0,1,0)</f>
        <v>1</v>
      </c>
      <c r="AL341" s="120" t="n">
        <f aca="false">IF(AL301&gt;0,1,0)</f>
        <v>1</v>
      </c>
      <c r="AM341" s="120" t="n">
        <f aca="false">IF(AM301&gt;0,1,0)</f>
        <v>1</v>
      </c>
      <c r="AN341" s="120" t="n">
        <f aca="false">IF(AN301&gt;0,1,0)</f>
        <v>1</v>
      </c>
      <c r="AO341" s="120" t="n">
        <f aca="false">IF(AO301&gt;0,1,0)</f>
        <v>1</v>
      </c>
      <c r="AP341" s="120" t="n">
        <f aca="false">IF(AP301&gt;0,1,0)</f>
        <v>1</v>
      </c>
      <c r="AQ341" s="120" t="n">
        <f aca="false">IF(AQ301&gt;0,1,0)</f>
        <v>1</v>
      </c>
      <c r="AR341" s="120" t="n">
        <f aca="false">IF(AR301&gt;0,1,0)</f>
        <v>1</v>
      </c>
      <c r="AS341" s="120" t="n">
        <f aca="false">IF(AS301&gt;0,1,0)</f>
        <v>1</v>
      </c>
      <c r="AT341" s="120" t="n">
        <f aca="false">IF(AT301&gt;0,1,0)</f>
        <v>1</v>
      </c>
      <c r="AU341" s="120" t="n">
        <f aca="false">IF(AU301&gt;0,1,0)</f>
        <v>1</v>
      </c>
      <c r="AV341" s="120" t="n">
        <f aca="false">IF(AV301&gt;0,1,0)</f>
        <v>1</v>
      </c>
      <c r="AW341" s="120" t="n">
        <f aca="false">IF(AW301&gt;0,1,0)</f>
        <v>1</v>
      </c>
      <c r="AX341" s="120" t="n">
        <f aca="false">IF(AX301&gt;0,1,0)</f>
        <v>1</v>
      </c>
      <c r="AY341" s="120" t="n">
        <f aca="false">IF(AY301&gt;0,1,0)</f>
        <v>1</v>
      </c>
      <c r="AZ341" s="120" t="n">
        <f aca="false">IF(AZ301&gt;0,1,0)</f>
        <v>1</v>
      </c>
      <c r="BA341" s="120" t="n">
        <f aca="false">IF(BA301&gt;0,1,0)</f>
        <v>1</v>
      </c>
      <c r="BB341" s="120" t="n">
        <f aca="false">IF(BB301&gt;0,1,0)</f>
        <v>1</v>
      </c>
      <c r="BC341" s="120" t="n">
        <f aca="false">IF(BC301&gt;0,1,0)</f>
        <v>1</v>
      </c>
      <c r="BD341" s="120" t="n">
        <f aca="false">IF(BD301&gt;0,1,0)</f>
        <v>1</v>
      </c>
      <c r="BE341" s="120" t="n">
        <f aca="false">IF(BE301&gt;0,1,0)</f>
        <v>1</v>
      </c>
      <c r="BF341" s="120" t="n">
        <f aca="false">IF(BF301&gt;0,1,0)</f>
        <v>1</v>
      </c>
      <c r="BG341" s="120" t="n">
        <f aca="false">IF(BG301&gt;0,1,0)</f>
        <v>1</v>
      </c>
      <c r="BH341" s="120" t="n">
        <f aca="false">IF(BH301&gt;0,1,0)</f>
        <v>1</v>
      </c>
      <c r="BI341" s="120" t="n">
        <f aca="false">IF(BI301&gt;0,1,0)</f>
        <v>1</v>
      </c>
      <c r="BJ341" s="120" t="n">
        <f aca="false">IF(BJ301&gt;0,1,0)</f>
        <v>1</v>
      </c>
    </row>
    <row r="342" customFormat="false" ht="15" hidden="false" customHeight="false" outlineLevel="0" collapsed="false">
      <c r="A342" s="6" t="s">
        <v>447</v>
      </c>
      <c r="C342" s="69" t="n">
        <f aca="false">C331+C332</f>
        <v>-380904.32</v>
      </c>
      <c r="D342" s="69" t="n">
        <f aca="false">D331+D332</f>
        <v>-15716.6281746032</v>
      </c>
      <c r="E342" s="69" t="n">
        <f aca="false">E331+E332</f>
        <v>-7763.8534126984</v>
      </c>
      <c r="F342" s="69" t="n">
        <f aca="false">F331+F332</f>
        <v>188.921349206321</v>
      </c>
      <c r="G342" s="69" t="n">
        <f aca="false">G331+G332</f>
        <v>8141.69611111112</v>
      </c>
      <c r="H342" s="69" t="n">
        <f aca="false">H331+H332</f>
        <v>16094.4708730158</v>
      </c>
      <c r="I342" s="69" t="n">
        <f aca="false">I331+I332</f>
        <v>24047.2456349206</v>
      </c>
      <c r="J342" s="69" t="n">
        <f aca="false">J331+J332</f>
        <v>32000.0203968254</v>
      </c>
      <c r="K342" s="69" t="n">
        <f aca="false">K331+K332</f>
        <v>32927.8067587302</v>
      </c>
      <c r="L342" s="69" t="n">
        <f aca="false">L331+L332</f>
        <v>38774.8625706349</v>
      </c>
      <c r="M342" s="69" t="n">
        <f aca="false">M331+M332</f>
        <v>38345.6520547619</v>
      </c>
      <c r="N342" s="69" t="n">
        <f aca="false">N331+N332</f>
        <v>38363.2859833333</v>
      </c>
      <c r="O342" s="69" t="n">
        <f aca="false">O331+O332</f>
        <v>29985.2299932647</v>
      </c>
      <c r="P342" s="69" t="n">
        <f aca="false">P331+P332</f>
        <v>48543.8652418362</v>
      </c>
      <c r="Q342" s="69" t="n">
        <f aca="false">Q331+Q332</f>
        <v>48561.4991704076</v>
      </c>
      <c r="R342" s="69" t="n">
        <f aca="false">R331+R332</f>
        <v>48579.133098979</v>
      </c>
      <c r="S342" s="69" t="n">
        <f aca="false">S331+S332</f>
        <v>48596.7670275505</v>
      </c>
      <c r="T342" s="69" t="n">
        <f aca="false">T331+T332</f>
        <v>48614.4009561219</v>
      </c>
      <c r="U342" s="69" t="n">
        <f aca="false">U331+U332</f>
        <v>48632.0348846933</v>
      </c>
      <c r="V342" s="69" t="n">
        <f aca="false">V331+V332</f>
        <v>48649.6688132648</v>
      </c>
      <c r="W342" s="69" t="n">
        <f aca="false">W331+W332</f>
        <v>48667.3027418362</v>
      </c>
      <c r="X342" s="69" t="n">
        <f aca="false">X331+X332</f>
        <v>48684.9366704076</v>
      </c>
      <c r="Y342" s="69" t="n">
        <f aca="false">Y331+Y332</f>
        <v>48702.570598979</v>
      </c>
      <c r="Z342" s="69" t="n">
        <f aca="false">Z331+Z332</f>
        <v>48720.2045275505</v>
      </c>
      <c r="AA342" s="69" t="n">
        <f aca="false">AA331+AA332</f>
        <v>41514.0962923132</v>
      </c>
      <c r="AB342" s="69" t="n">
        <f aca="false">AB331+AB332</f>
        <v>59969.3312260526</v>
      </c>
      <c r="AC342" s="69" t="n">
        <f aca="false">AC331+AC332</f>
        <v>59986.9651546241</v>
      </c>
      <c r="AD342" s="69" t="n">
        <f aca="false">AD331+AD332</f>
        <v>60004.5990831955</v>
      </c>
      <c r="AE342" s="69" t="n">
        <f aca="false">AE331+AE332</f>
        <v>60022.2330117669</v>
      </c>
      <c r="AF342" s="69" t="n">
        <f aca="false">AF331+AF332</f>
        <v>60039.8669403383</v>
      </c>
      <c r="AG342" s="69" t="n">
        <f aca="false">AG331+AG332</f>
        <v>60057.5008689098</v>
      </c>
      <c r="AH342" s="69" t="n">
        <f aca="false">AH331+AH332</f>
        <v>60075.1347974812</v>
      </c>
      <c r="AI342" s="69" t="n">
        <f aca="false">AI331+AI332</f>
        <v>60092.7687260526</v>
      </c>
      <c r="AJ342" s="69" t="n">
        <f aca="false">AJ331+AJ332</f>
        <v>60110.4026546241</v>
      </c>
      <c r="AK342" s="69" t="n">
        <f aca="false">AK331+AK332</f>
        <v>60128.0365831955</v>
      </c>
      <c r="AL342" s="69" t="n">
        <f aca="false">AL331+AL332</f>
        <v>60145.6705117669</v>
      </c>
      <c r="AM342" s="69" t="n">
        <f aca="false">AM331+AM332</f>
        <v>53767.7862444935</v>
      </c>
      <c r="AN342" s="69" t="n">
        <f aca="false">AN331+AN332</f>
        <v>72142.2237371969</v>
      </c>
      <c r="AO342" s="69" t="n">
        <f aca="false">AO331+AO332</f>
        <v>72159.8576657683</v>
      </c>
      <c r="AP342" s="69" t="n">
        <f aca="false">AP331+AP332</f>
        <v>72177.4915943397</v>
      </c>
      <c r="AQ342" s="69" t="n">
        <f aca="false">AQ331+AQ332</f>
        <v>72195.1255229111</v>
      </c>
      <c r="AR342" s="69" t="n">
        <f aca="false">AR331+AR332</f>
        <v>72212.7594514826</v>
      </c>
      <c r="AS342" s="69" t="n">
        <f aca="false">AS331+AS332</f>
        <v>72230.393380054</v>
      </c>
      <c r="AT342" s="69" t="n">
        <f aca="false">AT331+AT332</f>
        <v>72248.0273086254</v>
      </c>
      <c r="AU342" s="69" t="n">
        <f aca="false">AU331+AU332</f>
        <v>72265.6612371969</v>
      </c>
      <c r="AV342" s="69" t="n">
        <f aca="false">AV331+AV332</f>
        <v>72283.2951657683</v>
      </c>
      <c r="AW342" s="69" t="n">
        <f aca="false">AW331+AW332</f>
        <v>72300.9290943397</v>
      </c>
      <c r="AX342" s="69" t="n">
        <f aca="false">AX331+AX332</f>
        <v>72318.5630229112</v>
      </c>
      <c r="AY342" s="69" t="n">
        <f aca="false">AY331+AY332</f>
        <v>57752.255585704</v>
      </c>
      <c r="AZ342" s="69" t="n">
        <f aca="false">AZ331+AZ332</f>
        <v>76645.8415557224</v>
      </c>
      <c r="BA342" s="69" t="n">
        <f aca="false">BA331+BA332</f>
        <v>76663.4754842938</v>
      </c>
      <c r="BB342" s="69" t="n">
        <f aca="false">BB331+BB332</f>
        <v>76681.1094128653</v>
      </c>
      <c r="BC342" s="69" t="n">
        <f aca="false">BC331+BC332</f>
        <v>76698.7433414367</v>
      </c>
      <c r="BD342" s="69" t="n">
        <f aca="false">BD331+BD332</f>
        <v>76716.3772700082</v>
      </c>
      <c r="BE342" s="69" t="n">
        <f aca="false">BE331+BE332</f>
        <v>76734.0111985796</v>
      </c>
      <c r="BF342" s="69" t="n">
        <f aca="false">BF331+BF332</f>
        <v>76751.645127151</v>
      </c>
      <c r="BG342" s="69" t="n">
        <f aca="false">BG331+BG332</f>
        <v>76769.2790557224</v>
      </c>
      <c r="BH342" s="69" t="n">
        <f aca="false">BH331+BH332</f>
        <v>76786.9129842938</v>
      </c>
      <c r="BI342" s="69" t="n">
        <f aca="false">BI331+BI332</f>
        <v>76804.5469128653</v>
      </c>
      <c r="BJ342" s="69" t="n">
        <f aca="false">BJ331+BJ332</f>
        <v>76822.1808414367</v>
      </c>
    </row>
    <row r="343" customFormat="false" ht="15" hidden="false" customHeight="false" outlineLevel="0" collapsed="false">
      <c r="A343" s="6" t="s">
        <v>448</v>
      </c>
      <c r="C343" s="69" t="n">
        <f aca="false">C342</f>
        <v>-380904.32</v>
      </c>
      <c r="D343" s="69" t="n">
        <f aca="false">C343+D342</f>
        <v>-396620.948174603</v>
      </c>
      <c r="E343" s="69" t="n">
        <f aca="false">D343+E342</f>
        <v>-404384.801587302</v>
      </c>
      <c r="F343" s="69" t="n">
        <f aca="false">E343+F342</f>
        <v>-404195.880238095</v>
      </c>
      <c r="G343" s="69" t="n">
        <f aca="false">F343+G342</f>
        <v>-396054.184126984</v>
      </c>
      <c r="H343" s="69" t="n">
        <f aca="false">G343+H342</f>
        <v>-379959.713253968</v>
      </c>
      <c r="I343" s="69" t="n">
        <f aca="false">H343+I342</f>
        <v>-355912.467619048</v>
      </c>
      <c r="J343" s="69" t="n">
        <f aca="false">I343+J342</f>
        <v>-323912.447222222</v>
      </c>
      <c r="K343" s="69" t="n">
        <f aca="false">J343+K342</f>
        <v>-290984.640463492</v>
      </c>
      <c r="L343" s="69" t="n">
        <f aca="false">K343+L342</f>
        <v>-252209.777892857</v>
      </c>
      <c r="M343" s="69" t="n">
        <f aca="false">L343+M342</f>
        <v>-213864.125838095</v>
      </c>
      <c r="N343" s="69" t="n">
        <f aca="false">M343+N342</f>
        <v>-175500.839854762</v>
      </c>
      <c r="O343" s="69" t="n">
        <f aca="false">N343+O342</f>
        <v>-145515.609861497</v>
      </c>
      <c r="P343" s="69" t="n">
        <f aca="false">O343+P342</f>
        <v>-96971.744619661</v>
      </c>
      <c r="Q343" s="69" t="n">
        <f aca="false">P343+Q342</f>
        <v>-48410.2454492534</v>
      </c>
      <c r="R343" s="69" t="n">
        <f aca="false">Q343+R342</f>
        <v>168.887649725672</v>
      </c>
      <c r="S343" s="69" t="n">
        <f aca="false">R343+S342</f>
        <v>48765.6546772761</v>
      </c>
      <c r="T343" s="69" t="n">
        <f aca="false">S343+T342</f>
        <v>97380.055633398</v>
      </c>
      <c r="U343" s="69" t="n">
        <f aca="false">T343+U342</f>
        <v>146012.090518091</v>
      </c>
      <c r="V343" s="69" t="n">
        <f aca="false">U343+V342</f>
        <v>194661.759331356</v>
      </c>
      <c r="W343" s="69" t="n">
        <f aca="false">V343+W342</f>
        <v>243329.062073192</v>
      </c>
      <c r="X343" s="69" t="n">
        <f aca="false">W343+X342</f>
        <v>292013.9987436</v>
      </c>
      <c r="Y343" s="69" t="n">
        <f aca="false">X343+Y342</f>
        <v>340716.569342579</v>
      </c>
      <c r="Z343" s="69" t="n">
        <f aca="false">Y343+Z342</f>
        <v>389436.773870129</v>
      </c>
      <c r="AA343" s="69" t="n">
        <f aca="false">Z343+AA342</f>
        <v>430950.870162443</v>
      </c>
      <c r="AB343" s="69" t="n">
        <f aca="false">AA343+AB342</f>
        <v>490920.201388495</v>
      </c>
      <c r="AC343" s="69" t="n">
        <f aca="false">AB343+AC342</f>
        <v>550907.166543119</v>
      </c>
      <c r="AD343" s="69" t="n">
        <f aca="false">AC343+AD342</f>
        <v>610911.765626315</v>
      </c>
      <c r="AE343" s="69" t="n">
        <f aca="false">AD343+AE342</f>
        <v>670933.998638082</v>
      </c>
      <c r="AF343" s="69" t="n">
        <f aca="false">AE343+AF342</f>
        <v>730973.86557842</v>
      </c>
      <c r="AG343" s="69" t="n">
        <f aca="false">AF343+AG342</f>
        <v>791031.36644733</v>
      </c>
      <c r="AH343" s="69" t="n">
        <f aca="false">AG343+AH342</f>
        <v>851106.501244811</v>
      </c>
      <c r="AI343" s="69" t="n">
        <f aca="false">AH343+AI342</f>
        <v>911199.269970864</v>
      </c>
      <c r="AJ343" s="69" t="n">
        <f aca="false">AI343+AJ342</f>
        <v>971309.672625488</v>
      </c>
      <c r="AK343" s="69" t="n">
        <f aca="false">AJ343+AK342</f>
        <v>1031437.70920868</v>
      </c>
      <c r="AL343" s="69" t="n">
        <f aca="false">AK343+AL342</f>
        <v>1091583.37972045</v>
      </c>
      <c r="AM343" s="69" t="n">
        <f aca="false">AL343+AM342</f>
        <v>1145351.16596494</v>
      </c>
      <c r="AN343" s="69" t="n">
        <f aca="false">AM343+AN342</f>
        <v>1217493.38970214</v>
      </c>
      <c r="AO343" s="69" t="n">
        <f aca="false">AN343+AO342</f>
        <v>1289653.24736791</v>
      </c>
      <c r="AP343" s="69" t="n">
        <f aca="false">AO343+AP342</f>
        <v>1361830.73896225</v>
      </c>
      <c r="AQ343" s="69" t="n">
        <f aca="false">AP343+AQ342</f>
        <v>1434025.86448516</v>
      </c>
      <c r="AR343" s="69" t="n">
        <f aca="false">AQ343+AR342</f>
        <v>1506238.62393664</v>
      </c>
      <c r="AS343" s="69" t="n">
        <f aca="false">AR343+AS342</f>
        <v>1578469.0173167</v>
      </c>
      <c r="AT343" s="69" t="n">
        <f aca="false">AS343+AT342</f>
        <v>1650717.04462532</v>
      </c>
      <c r="AU343" s="69" t="n">
        <f aca="false">AT343+AU342</f>
        <v>1722982.70586252</v>
      </c>
      <c r="AV343" s="69" t="n">
        <f aca="false">AU343+AV342</f>
        <v>1795266.00102829</v>
      </c>
      <c r="AW343" s="69" t="n">
        <f aca="false">AV343+AW342</f>
        <v>1867566.93012263</v>
      </c>
      <c r="AX343" s="69" t="n">
        <f aca="false">AW343+AX342</f>
        <v>1939885.49314554</v>
      </c>
      <c r="AY343" s="69" t="n">
        <f aca="false">AX343+AY342</f>
        <v>1997637.74873124</v>
      </c>
      <c r="AZ343" s="69" t="n">
        <f aca="false">AY343+AZ342</f>
        <v>2074283.59028696</v>
      </c>
      <c r="BA343" s="69" t="n">
        <f aca="false">AZ343+BA342</f>
        <v>2150947.06577126</v>
      </c>
      <c r="BB343" s="69" t="n">
        <f aca="false">BA343+BB342</f>
        <v>2227628.17518412</v>
      </c>
      <c r="BC343" s="69" t="n">
        <f aca="false">BB343+BC342</f>
        <v>2304326.91852556</v>
      </c>
      <c r="BD343" s="69" t="n">
        <f aca="false">BC343+BD342</f>
        <v>2381043.29579557</v>
      </c>
      <c r="BE343" s="69" t="n">
        <f aca="false">BD343+BE342</f>
        <v>2457777.30699415</v>
      </c>
      <c r="BF343" s="69" t="n">
        <f aca="false">BE343+BF342</f>
        <v>2534528.9521213</v>
      </c>
      <c r="BG343" s="69" t="n">
        <f aca="false">BF343+BG342</f>
        <v>2611298.23117702</v>
      </c>
      <c r="BH343" s="69" t="n">
        <f aca="false">BG343+BH342</f>
        <v>2688085.14416131</v>
      </c>
      <c r="BI343" s="69" t="n">
        <f aca="false">BH343+BI342</f>
        <v>2764889.69107418</v>
      </c>
      <c r="BJ343" s="69" t="n">
        <f aca="false">BI343+BJ342</f>
        <v>2841711.87191562</v>
      </c>
    </row>
    <row r="344" customFormat="false" ht="15" hidden="false" customHeight="false" outlineLevel="0" collapsed="false">
      <c r="A344" s="118" t="s">
        <v>449</v>
      </c>
      <c r="C344" s="69" t="n">
        <f aca="false">C343</f>
        <v>-380904.32</v>
      </c>
      <c r="D344" s="69" t="n">
        <f aca="false">MIN(C344,D343)</f>
        <v>-396620.948174603</v>
      </c>
      <c r="E344" s="69" t="n">
        <f aca="false">MIN(D344,E343)</f>
        <v>-404384.801587302</v>
      </c>
      <c r="F344" s="69" t="n">
        <f aca="false">MIN(E344,F343)</f>
        <v>-404384.801587302</v>
      </c>
      <c r="G344" s="69" t="n">
        <f aca="false">MIN(F344,G343)</f>
        <v>-404384.801587302</v>
      </c>
      <c r="H344" s="69" t="n">
        <f aca="false">MIN(G344,H343)</f>
        <v>-404384.801587302</v>
      </c>
      <c r="I344" s="69" t="n">
        <f aca="false">MIN(H344,I343)</f>
        <v>-404384.801587302</v>
      </c>
      <c r="J344" s="69" t="n">
        <f aca="false">MIN(I344,J343)</f>
        <v>-404384.801587302</v>
      </c>
      <c r="K344" s="69" t="n">
        <f aca="false">MIN(J344,K343)</f>
        <v>-404384.801587302</v>
      </c>
      <c r="L344" s="69" t="n">
        <f aca="false">MIN(K344,L343)</f>
        <v>-404384.801587302</v>
      </c>
      <c r="M344" s="69" t="n">
        <f aca="false">MIN(L344,M343)</f>
        <v>-404384.801587302</v>
      </c>
      <c r="N344" s="69" t="n">
        <f aca="false">MIN(M344,N343)</f>
        <v>-404384.801587302</v>
      </c>
      <c r="O344" s="69" t="n">
        <f aca="false">MIN(N344,O343)</f>
        <v>-404384.801587302</v>
      </c>
      <c r="P344" s="69" t="n">
        <f aca="false">MIN(O344,P343)</f>
        <v>-404384.801587302</v>
      </c>
      <c r="Q344" s="69" t="n">
        <f aca="false">MIN(P344,Q343)</f>
        <v>-404384.801587302</v>
      </c>
      <c r="R344" s="69" t="n">
        <f aca="false">MIN(Q344,R343)</f>
        <v>-404384.801587302</v>
      </c>
      <c r="S344" s="69" t="n">
        <f aca="false">MIN(R344,S343)</f>
        <v>-404384.801587302</v>
      </c>
      <c r="T344" s="69" t="n">
        <f aca="false">MIN(S344,T343)</f>
        <v>-404384.801587302</v>
      </c>
      <c r="U344" s="69" t="n">
        <f aca="false">MIN(T344,U343)</f>
        <v>-404384.801587302</v>
      </c>
      <c r="V344" s="69" t="n">
        <f aca="false">MIN(U344,V343)</f>
        <v>-404384.801587302</v>
      </c>
      <c r="W344" s="69" t="n">
        <f aca="false">MIN(V344,W343)</f>
        <v>-404384.801587302</v>
      </c>
      <c r="X344" s="69" t="n">
        <f aca="false">MIN(W344,X343)</f>
        <v>-404384.801587302</v>
      </c>
      <c r="Y344" s="69" t="n">
        <f aca="false">MIN(X344,Y343)</f>
        <v>-404384.801587302</v>
      </c>
      <c r="Z344" s="69" t="n">
        <f aca="false">MIN(Y344,Z343)</f>
        <v>-404384.801587302</v>
      </c>
      <c r="AA344" s="69" t="n">
        <f aca="false">MIN(Z344,AA343)</f>
        <v>-404384.801587302</v>
      </c>
      <c r="AB344" s="69" t="n">
        <f aca="false">MIN(AA344,AB343)</f>
        <v>-404384.801587302</v>
      </c>
      <c r="AC344" s="69" t="n">
        <f aca="false">MIN(AB344,AC343)</f>
        <v>-404384.801587302</v>
      </c>
      <c r="AD344" s="69" t="n">
        <f aca="false">MIN(AC344,AD343)</f>
        <v>-404384.801587302</v>
      </c>
      <c r="AE344" s="69" t="n">
        <f aca="false">MIN(AD344,AE343)</f>
        <v>-404384.801587302</v>
      </c>
      <c r="AF344" s="69" t="n">
        <f aca="false">MIN(AE344,AF343)</f>
        <v>-404384.801587302</v>
      </c>
      <c r="AG344" s="69" t="n">
        <f aca="false">MIN(AF344,AG343)</f>
        <v>-404384.801587302</v>
      </c>
      <c r="AH344" s="69" t="n">
        <f aca="false">MIN(AG344,AH343)</f>
        <v>-404384.801587302</v>
      </c>
      <c r="AI344" s="69" t="n">
        <f aca="false">MIN(AH344,AI343)</f>
        <v>-404384.801587302</v>
      </c>
      <c r="AJ344" s="69" t="n">
        <f aca="false">MIN(AI344,AJ343)</f>
        <v>-404384.801587302</v>
      </c>
      <c r="AK344" s="69" t="n">
        <f aca="false">MIN(AJ344,AK343)</f>
        <v>-404384.801587302</v>
      </c>
      <c r="AL344" s="69" t="n">
        <f aca="false">MIN(AK344,AL343)</f>
        <v>-404384.801587302</v>
      </c>
      <c r="AM344" s="69" t="n">
        <f aca="false">MIN(AL344,AM343)</f>
        <v>-404384.801587302</v>
      </c>
      <c r="AN344" s="69" t="n">
        <f aca="false">MIN(AM344,AN343)</f>
        <v>-404384.801587302</v>
      </c>
      <c r="AO344" s="69" t="n">
        <f aca="false">MIN(AN344,AO343)</f>
        <v>-404384.801587302</v>
      </c>
      <c r="AP344" s="69" t="n">
        <f aca="false">MIN(AO344,AP343)</f>
        <v>-404384.801587302</v>
      </c>
      <c r="AQ344" s="69" t="n">
        <f aca="false">MIN(AP344,AQ343)</f>
        <v>-404384.801587302</v>
      </c>
      <c r="AR344" s="69" t="n">
        <f aca="false">MIN(AQ344,AR343)</f>
        <v>-404384.801587302</v>
      </c>
      <c r="AS344" s="69" t="n">
        <f aca="false">MIN(AR344,AS343)</f>
        <v>-404384.801587302</v>
      </c>
      <c r="AT344" s="69" t="n">
        <f aca="false">MIN(AS344,AT343)</f>
        <v>-404384.801587302</v>
      </c>
      <c r="AU344" s="69" t="n">
        <f aca="false">MIN(AT344,AU343)</f>
        <v>-404384.801587302</v>
      </c>
      <c r="AV344" s="69" t="n">
        <f aca="false">MIN(AU344,AV343)</f>
        <v>-404384.801587302</v>
      </c>
      <c r="AW344" s="69" t="n">
        <f aca="false">MIN(AV344,AW343)</f>
        <v>-404384.801587302</v>
      </c>
      <c r="AX344" s="69" t="n">
        <f aca="false">MIN(AW344,AX343)</f>
        <v>-404384.801587302</v>
      </c>
      <c r="AY344" s="69" t="n">
        <f aca="false">MIN(AX344,AY343)</f>
        <v>-404384.801587302</v>
      </c>
      <c r="AZ344" s="69" t="n">
        <f aca="false">MIN(AY344,AZ343)</f>
        <v>-404384.801587302</v>
      </c>
      <c r="BA344" s="69" t="n">
        <f aca="false">MIN(AZ344,BA343)</f>
        <v>-404384.801587302</v>
      </c>
      <c r="BB344" s="69" t="n">
        <f aca="false">MIN(BA344,BB343)</f>
        <v>-404384.801587302</v>
      </c>
      <c r="BC344" s="69" t="n">
        <f aca="false">MIN(BB344,BC343)</f>
        <v>-404384.801587302</v>
      </c>
      <c r="BD344" s="69" t="n">
        <f aca="false">MIN(BC344,BD343)</f>
        <v>-404384.801587302</v>
      </c>
      <c r="BE344" s="69" t="n">
        <f aca="false">MIN(BD344,BE343)</f>
        <v>-404384.801587302</v>
      </c>
      <c r="BF344" s="69" t="n">
        <f aca="false">MIN(BE344,BF343)</f>
        <v>-404384.801587302</v>
      </c>
      <c r="BG344" s="69" t="n">
        <f aca="false">MIN(BF344,BG343)</f>
        <v>-404384.801587302</v>
      </c>
      <c r="BH344" s="69" t="n">
        <f aca="false">MIN(BG344,BH343)</f>
        <v>-404384.801587302</v>
      </c>
      <c r="BI344" s="69" t="n">
        <f aca="false">MIN(BH344,BI343)</f>
        <v>-404384.801587302</v>
      </c>
      <c r="BJ344" s="69" t="n">
        <f aca="false">MIN(BI344,BJ343)</f>
        <v>-404384.801587302</v>
      </c>
    </row>
    <row r="345" customFormat="false" ht="15" hidden="false" customHeight="false" outlineLevel="0" collapsed="false">
      <c r="A345" s="118" t="s">
        <v>450</v>
      </c>
      <c r="C345" s="120" t="n">
        <f aca="false">IF(AND(C343&gt;=0,C344&lt;0),1,0)</f>
        <v>0</v>
      </c>
      <c r="D345" s="120" t="n">
        <f aca="false">IF(AND(D343&gt;=0,D344&lt;0),1,0)</f>
        <v>0</v>
      </c>
      <c r="E345" s="120" t="n">
        <f aca="false">IF(AND(E343&gt;=0,E344&lt;0),1,0)</f>
        <v>0</v>
      </c>
      <c r="F345" s="120" t="n">
        <f aca="false">IF(AND(F343&gt;=0,F344&lt;0),1,0)</f>
        <v>0</v>
      </c>
      <c r="G345" s="120" t="n">
        <f aca="false">IF(AND(G343&gt;=0,G344&lt;0),1,0)</f>
        <v>0</v>
      </c>
      <c r="H345" s="120" t="n">
        <f aca="false">IF(AND(H343&gt;=0,H344&lt;0),1,0)</f>
        <v>0</v>
      </c>
      <c r="I345" s="120" t="n">
        <f aca="false">IF(AND(I343&gt;=0,I344&lt;0),1,0)</f>
        <v>0</v>
      </c>
      <c r="J345" s="120" t="n">
        <f aca="false">IF(AND(J343&gt;=0,J344&lt;0),1,0)</f>
        <v>0</v>
      </c>
      <c r="K345" s="120" t="n">
        <f aca="false">IF(AND(K343&gt;=0,K344&lt;0),1,0)</f>
        <v>0</v>
      </c>
      <c r="L345" s="120" t="n">
        <f aca="false">IF(AND(L343&gt;=0,L344&lt;0),1,0)</f>
        <v>0</v>
      </c>
      <c r="M345" s="120" t="n">
        <f aca="false">IF(AND(M343&gt;=0,M344&lt;0),1,0)</f>
        <v>0</v>
      </c>
      <c r="N345" s="120" t="n">
        <f aca="false">IF(AND(N343&gt;=0,N344&lt;0),1,0)</f>
        <v>0</v>
      </c>
      <c r="O345" s="120" t="n">
        <f aca="false">IF(AND(O343&gt;=0,O344&lt;0),1,0)</f>
        <v>0</v>
      </c>
      <c r="P345" s="120" t="n">
        <f aca="false">IF(AND(P343&gt;=0,P344&lt;0),1,0)</f>
        <v>0</v>
      </c>
      <c r="Q345" s="120" t="n">
        <f aca="false">IF(AND(Q343&gt;=0,Q344&lt;0),1,0)</f>
        <v>0</v>
      </c>
      <c r="R345" s="120" t="n">
        <f aca="false">IF(AND(R343&gt;=0,R344&lt;0),1,0)</f>
        <v>1</v>
      </c>
      <c r="S345" s="120" t="n">
        <f aca="false">IF(AND(S343&gt;=0,S344&lt;0),1,0)</f>
        <v>1</v>
      </c>
      <c r="T345" s="120" t="n">
        <f aca="false">IF(AND(T343&gt;=0,T344&lt;0),1,0)</f>
        <v>1</v>
      </c>
      <c r="U345" s="120" t="n">
        <f aca="false">IF(AND(U343&gt;=0,U344&lt;0),1,0)</f>
        <v>1</v>
      </c>
      <c r="V345" s="120" t="n">
        <f aca="false">IF(AND(V343&gt;=0,V344&lt;0),1,0)</f>
        <v>1</v>
      </c>
      <c r="W345" s="120" t="n">
        <f aca="false">IF(AND(W343&gt;=0,W344&lt;0),1,0)</f>
        <v>1</v>
      </c>
      <c r="X345" s="120" t="n">
        <f aca="false">IF(AND(X343&gt;=0,X344&lt;0),1,0)</f>
        <v>1</v>
      </c>
      <c r="Y345" s="120" t="n">
        <f aca="false">IF(AND(Y343&gt;=0,Y344&lt;0),1,0)</f>
        <v>1</v>
      </c>
      <c r="Z345" s="120" t="n">
        <f aca="false">IF(AND(Z343&gt;=0,Z344&lt;0),1,0)</f>
        <v>1</v>
      </c>
      <c r="AA345" s="120" t="n">
        <f aca="false">IF(AND(AA343&gt;=0,AA344&lt;0),1,0)</f>
        <v>1</v>
      </c>
      <c r="AB345" s="120" t="n">
        <f aca="false">IF(AND(AB343&gt;=0,AB344&lt;0),1,0)</f>
        <v>1</v>
      </c>
      <c r="AC345" s="120" t="n">
        <f aca="false">IF(AND(AC343&gt;=0,AC344&lt;0),1,0)</f>
        <v>1</v>
      </c>
      <c r="AD345" s="120" t="n">
        <f aca="false">IF(AND(AD343&gt;=0,AD344&lt;0),1,0)</f>
        <v>1</v>
      </c>
      <c r="AE345" s="120" t="n">
        <f aca="false">IF(AND(AE343&gt;=0,AE344&lt;0),1,0)</f>
        <v>1</v>
      </c>
      <c r="AF345" s="120" t="n">
        <f aca="false">IF(AND(AF343&gt;=0,AF344&lt;0),1,0)</f>
        <v>1</v>
      </c>
      <c r="AG345" s="120" t="n">
        <f aca="false">IF(AND(AG343&gt;=0,AG344&lt;0),1,0)</f>
        <v>1</v>
      </c>
      <c r="AH345" s="120" t="n">
        <f aca="false">IF(AND(AH343&gt;=0,AH344&lt;0),1,0)</f>
        <v>1</v>
      </c>
      <c r="AI345" s="120" t="n">
        <f aca="false">IF(AND(AI343&gt;=0,AI344&lt;0),1,0)</f>
        <v>1</v>
      </c>
      <c r="AJ345" s="120" t="n">
        <f aca="false">IF(AND(AJ343&gt;=0,AJ344&lt;0),1,0)</f>
        <v>1</v>
      </c>
      <c r="AK345" s="120" t="n">
        <f aca="false">IF(AND(AK343&gt;=0,AK344&lt;0),1,0)</f>
        <v>1</v>
      </c>
      <c r="AL345" s="120" t="n">
        <f aca="false">IF(AND(AL343&gt;=0,AL344&lt;0),1,0)</f>
        <v>1</v>
      </c>
      <c r="AM345" s="120" t="n">
        <f aca="false">IF(AND(AM343&gt;=0,AM344&lt;0),1,0)</f>
        <v>1</v>
      </c>
      <c r="AN345" s="120" t="n">
        <f aca="false">IF(AND(AN343&gt;=0,AN344&lt;0),1,0)</f>
        <v>1</v>
      </c>
      <c r="AO345" s="120" t="n">
        <f aca="false">IF(AND(AO343&gt;=0,AO344&lt;0),1,0)</f>
        <v>1</v>
      </c>
      <c r="AP345" s="120" t="n">
        <f aca="false">IF(AND(AP343&gt;=0,AP344&lt;0),1,0)</f>
        <v>1</v>
      </c>
      <c r="AQ345" s="120" t="n">
        <f aca="false">IF(AND(AQ343&gt;=0,AQ344&lt;0),1,0)</f>
        <v>1</v>
      </c>
      <c r="AR345" s="120" t="n">
        <f aca="false">IF(AND(AR343&gt;=0,AR344&lt;0),1,0)</f>
        <v>1</v>
      </c>
      <c r="AS345" s="120" t="n">
        <f aca="false">IF(AND(AS343&gt;=0,AS344&lt;0),1,0)</f>
        <v>1</v>
      </c>
      <c r="AT345" s="120" t="n">
        <f aca="false">IF(AND(AT343&gt;=0,AT344&lt;0),1,0)</f>
        <v>1</v>
      </c>
      <c r="AU345" s="120" t="n">
        <f aca="false">IF(AND(AU343&gt;=0,AU344&lt;0),1,0)</f>
        <v>1</v>
      </c>
      <c r="AV345" s="120" t="n">
        <f aca="false">IF(AND(AV343&gt;=0,AV344&lt;0),1,0)</f>
        <v>1</v>
      </c>
      <c r="AW345" s="120" t="n">
        <f aca="false">IF(AND(AW343&gt;=0,AW344&lt;0),1,0)</f>
        <v>1</v>
      </c>
      <c r="AX345" s="120" t="n">
        <f aca="false">IF(AND(AX343&gt;=0,AX344&lt;0),1,0)</f>
        <v>1</v>
      </c>
      <c r="AY345" s="120" t="n">
        <f aca="false">IF(AND(AY343&gt;=0,AY344&lt;0),1,0)</f>
        <v>1</v>
      </c>
      <c r="AZ345" s="120" t="n">
        <f aca="false">IF(AND(AZ343&gt;=0,AZ344&lt;0),1,0)</f>
        <v>1</v>
      </c>
      <c r="BA345" s="120" t="n">
        <f aca="false">IF(AND(BA343&gt;=0,BA344&lt;0),1,0)</f>
        <v>1</v>
      </c>
      <c r="BB345" s="120" t="n">
        <f aca="false">IF(AND(BB343&gt;=0,BB344&lt;0),1,0)</f>
        <v>1</v>
      </c>
      <c r="BC345" s="120" t="n">
        <f aca="false">IF(AND(BC343&gt;=0,BC344&lt;0),1,0)</f>
        <v>1</v>
      </c>
      <c r="BD345" s="120" t="n">
        <f aca="false">IF(AND(BD343&gt;=0,BD344&lt;0),1,0)</f>
        <v>1</v>
      </c>
      <c r="BE345" s="120" t="n">
        <f aca="false">IF(AND(BE343&gt;=0,BE344&lt;0),1,0)</f>
        <v>1</v>
      </c>
      <c r="BF345" s="120" t="n">
        <f aca="false">IF(AND(BF343&gt;=0,BF344&lt;0),1,0)</f>
        <v>1</v>
      </c>
      <c r="BG345" s="120" t="n">
        <f aca="false">IF(AND(BG343&gt;=0,BG344&lt;0),1,0)</f>
        <v>1</v>
      </c>
      <c r="BH345" s="120" t="n">
        <f aca="false">IF(AND(BH343&gt;=0,BH344&lt;0),1,0)</f>
        <v>1</v>
      </c>
      <c r="BI345" s="120" t="n">
        <f aca="false">IF(AND(BI343&gt;=0,BI344&lt;0),1,0)</f>
        <v>1</v>
      </c>
      <c r="BJ345" s="120" t="n">
        <f aca="false">IF(AND(BJ343&gt;=0,BJ344&lt;0),1,0)</f>
        <v>1</v>
      </c>
    </row>
    <row r="346" customFormat="false" ht="15" hidden="false" customHeight="false" outlineLevel="0" collapsed="false">
      <c r="A346" s="6" t="s">
        <v>451</v>
      </c>
      <c r="C346" s="69" t="n">
        <f aca="false">C331-C296*(1-Inputs!$D$79)+C332</f>
        <v>-379423.07</v>
      </c>
      <c r="D346" s="69" t="n">
        <f aca="false">D331-D296*(1-Inputs!$D$79)+D332</f>
        <v>-14244.1951388889</v>
      </c>
      <c r="E346" s="69" t="n">
        <f aca="false">E331-E296*(1-Inputs!$D$79)+E332</f>
        <v>-6309.05430555554</v>
      </c>
      <c r="F346" s="69" t="n">
        <f aca="false">F331-F296*(1-Inputs!$D$79)+F332</f>
        <v>1626.08652777775</v>
      </c>
      <c r="G346" s="69" t="n">
        <f aca="false">G331-G296*(1-Inputs!$D$79)+G332</f>
        <v>9561.22736111112</v>
      </c>
      <c r="H346" s="69" t="n">
        <f aca="false">H331-H296*(1-Inputs!$D$79)+H332</f>
        <v>17496.3681944444</v>
      </c>
      <c r="I346" s="69" t="n">
        <f aca="false">I331-I296*(1-Inputs!$D$79)+I332</f>
        <v>25431.5090277778</v>
      </c>
      <c r="J346" s="69" t="n">
        <f aca="false">J331-J296*(1-Inputs!$D$79)+J332</f>
        <v>33366.6498611111</v>
      </c>
      <c r="K346" s="69" t="n">
        <f aca="false">K331-K296*(1-Inputs!$D$79)+K332</f>
        <v>34276.8022944444</v>
      </c>
      <c r="L346" s="69" t="n">
        <f aca="false">L331-L296*(1-Inputs!$D$79)+L332</f>
        <v>40106.2241777778</v>
      </c>
      <c r="M346" s="69" t="n">
        <f aca="false">M331-M296*(1-Inputs!$D$79)+M332</f>
        <v>39659.3797333333</v>
      </c>
      <c r="N346" s="69" t="n">
        <f aca="false">N331-N296*(1-Inputs!$D$79)+N332</f>
        <v>39659.3797333333</v>
      </c>
      <c r="O346" s="69" t="n">
        <f aca="false">O331-O296*(1-Inputs!$D$79)+O332</f>
        <v>31263.6898146933</v>
      </c>
      <c r="P346" s="69" t="n">
        <f aca="false">P331-P296*(1-Inputs!$D$79)+P332</f>
        <v>49804.6911346933</v>
      </c>
      <c r="Q346" s="69" t="n">
        <f aca="false">Q331-Q296*(1-Inputs!$D$79)+Q332</f>
        <v>49804.6911346933</v>
      </c>
      <c r="R346" s="69" t="n">
        <f aca="false">R331-R296*(1-Inputs!$D$79)+R332</f>
        <v>49804.6911346933</v>
      </c>
      <c r="S346" s="69" t="n">
        <f aca="false">S331-S296*(1-Inputs!$D$79)+S332</f>
        <v>49804.6911346933</v>
      </c>
      <c r="T346" s="69" t="n">
        <f aca="false">T331-T296*(1-Inputs!$D$79)+T332</f>
        <v>49804.6911346933</v>
      </c>
      <c r="U346" s="69" t="n">
        <f aca="false">U331-U296*(1-Inputs!$D$79)+U332</f>
        <v>49804.6911346933</v>
      </c>
      <c r="V346" s="69" t="n">
        <f aca="false">V331-V296*(1-Inputs!$D$79)+V332</f>
        <v>49804.6911346933</v>
      </c>
      <c r="W346" s="69" t="n">
        <f aca="false">W331-W296*(1-Inputs!$D$79)+W332</f>
        <v>49804.6911346933</v>
      </c>
      <c r="X346" s="69" t="n">
        <f aca="false">X331-X296*(1-Inputs!$D$79)+X332</f>
        <v>49804.6911346933</v>
      </c>
      <c r="Y346" s="69" t="n">
        <f aca="false">Y331-Y296*(1-Inputs!$D$79)+Y332</f>
        <v>49804.6911346933</v>
      </c>
      <c r="Z346" s="69" t="n">
        <f aca="false">Z331-Z296*(1-Inputs!$D$79)+Z332</f>
        <v>49804.6911346933</v>
      </c>
      <c r="AA346" s="69" t="n">
        <f aca="false">AA331-AA296*(1-Inputs!$D$79)+AA332</f>
        <v>42580.9489708846</v>
      </c>
      <c r="AB346" s="69" t="n">
        <f aca="false">AB331-AB296*(1-Inputs!$D$79)+AB332</f>
        <v>61018.5499760526</v>
      </c>
      <c r="AC346" s="69" t="n">
        <f aca="false">AC331-AC296*(1-Inputs!$D$79)+AC332</f>
        <v>61018.5499760526</v>
      </c>
      <c r="AD346" s="69" t="n">
        <f aca="false">AD331-AD296*(1-Inputs!$D$79)+AD332</f>
        <v>61018.5499760526</v>
      </c>
      <c r="AE346" s="69" t="n">
        <f aca="false">AE331-AE296*(1-Inputs!$D$79)+AE332</f>
        <v>61018.5499760526</v>
      </c>
      <c r="AF346" s="69" t="n">
        <f aca="false">AF331-AF296*(1-Inputs!$D$79)+AF332</f>
        <v>61018.5499760526</v>
      </c>
      <c r="AG346" s="69" t="n">
        <f aca="false">AG331-AG296*(1-Inputs!$D$79)+AG332</f>
        <v>61018.5499760526</v>
      </c>
      <c r="AH346" s="69" t="n">
        <f aca="false">AH331-AH296*(1-Inputs!$D$79)+AH332</f>
        <v>61018.5499760526</v>
      </c>
      <c r="AI346" s="69" t="n">
        <f aca="false">AI331-AI296*(1-Inputs!$D$79)+AI332</f>
        <v>61018.5499760526</v>
      </c>
      <c r="AJ346" s="69" t="n">
        <f aca="false">AJ331-AJ296*(1-Inputs!$D$79)+AJ332</f>
        <v>61018.5499760526</v>
      </c>
      <c r="AK346" s="69" t="n">
        <f aca="false">AK331-AK296*(1-Inputs!$D$79)+AK332</f>
        <v>61018.5499760526</v>
      </c>
      <c r="AL346" s="69" t="n">
        <f aca="false">AL331-AL296*(1-Inputs!$D$79)+AL332</f>
        <v>61018.5499760526</v>
      </c>
      <c r="AM346" s="69" t="n">
        <f aca="false">AM331-AM296*(1-Inputs!$D$79)+AM332</f>
        <v>54623.0317802078</v>
      </c>
      <c r="AN346" s="69" t="n">
        <f aca="false">AN331-AN296*(1-Inputs!$D$79)+AN332</f>
        <v>72979.8353443397</v>
      </c>
      <c r="AO346" s="69" t="n">
        <f aca="false">AO331-AO296*(1-Inputs!$D$79)+AO332</f>
        <v>72979.8353443397</v>
      </c>
      <c r="AP346" s="69" t="n">
        <f aca="false">AP331-AP296*(1-Inputs!$D$79)+AP332</f>
        <v>72979.8353443397</v>
      </c>
      <c r="AQ346" s="69" t="n">
        <f aca="false">AQ331-AQ296*(1-Inputs!$D$79)+AQ332</f>
        <v>72979.8353443397</v>
      </c>
      <c r="AR346" s="69" t="n">
        <f aca="false">AR331-AR296*(1-Inputs!$D$79)+AR332</f>
        <v>72979.8353443398</v>
      </c>
      <c r="AS346" s="69" t="n">
        <f aca="false">AS331-AS296*(1-Inputs!$D$79)+AS332</f>
        <v>72979.8353443397</v>
      </c>
      <c r="AT346" s="69" t="n">
        <f aca="false">AT331-AT296*(1-Inputs!$D$79)+AT332</f>
        <v>72979.8353443397</v>
      </c>
      <c r="AU346" s="69" t="n">
        <f aca="false">AU331-AU296*(1-Inputs!$D$79)+AU332</f>
        <v>72979.8353443397</v>
      </c>
      <c r="AV346" s="69" t="n">
        <f aca="false">AV331-AV296*(1-Inputs!$D$79)+AV332</f>
        <v>72979.8353443397</v>
      </c>
      <c r="AW346" s="69" t="n">
        <f aca="false">AW331-AW296*(1-Inputs!$D$79)+AW332</f>
        <v>72979.8353443397</v>
      </c>
      <c r="AX346" s="69" t="n">
        <f aca="false">AX331-AX296*(1-Inputs!$D$79)+AX332</f>
        <v>72979.8353443398</v>
      </c>
      <c r="AY346" s="69" t="n">
        <f aca="false">AY331-AY296*(1-Inputs!$D$79)+AY332</f>
        <v>58395.8939785611</v>
      </c>
      <c r="AZ346" s="69" t="n">
        <f aca="false">AZ331-AZ296*(1-Inputs!$D$79)+AZ332</f>
        <v>77271.8460200081</v>
      </c>
      <c r="BA346" s="69" t="n">
        <f aca="false">BA331-BA296*(1-Inputs!$D$79)+BA332</f>
        <v>77271.8460200081</v>
      </c>
      <c r="BB346" s="69" t="n">
        <f aca="false">BB331-BB296*(1-Inputs!$D$79)+BB332</f>
        <v>77271.8460200081</v>
      </c>
      <c r="BC346" s="69" t="n">
        <f aca="false">BC331-BC296*(1-Inputs!$D$79)+BC332</f>
        <v>77271.8460200082</v>
      </c>
      <c r="BD346" s="69" t="n">
        <f aca="false">BD331-BD296*(1-Inputs!$D$79)+BD332</f>
        <v>77271.8460200082</v>
      </c>
      <c r="BE346" s="69" t="n">
        <f aca="false">BE331-BE296*(1-Inputs!$D$79)+BE332</f>
        <v>77271.8460200082</v>
      </c>
      <c r="BF346" s="69" t="n">
        <f aca="false">BF331-BF296*(1-Inputs!$D$79)+BF332</f>
        <v>77271.8460200081</v>
      </c>
      <c r="BG346" s="69" t="n">
        <f aca="false">BG331-BG296*(1-Inputs!$D$79)+BG332</f>
        <v>77271.8460200081</v>
      </c>
      <c r="BH346" s="69" t="n">
        <f aca="false">BH331-BH296*(1-Inputs!$D$79)+BH332</f>
        <v>77271.8460200081</v>
      </c>
      <c r="BI346" s="69" t="n">
        <f aca="false">BI331-BI296*(1-Inputs!$D$79)+BI332</f>
        <v>77271.8460200081</v>
      </c>
      <c r="BJ346" s="69" t="n">
        <f aca="false">BJ331-BJ296*(1-Inputs!$D$79)+BJ332</f>
        <v>77271.8460200082</v>
      </c>
    </row>
    <row r="348" customFormat="false" ht="15.75" hidden="false" customHeight="true" outlineLevel="0" collapsed="false">
      <c r="A348" s="7" t="s">
        <v>452</v>
      </c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customFormat="false" ht="15" hidden="false" customHeight="false" outlineLevel="0" collapsed="false">
      <c r="A349" s="6" t="s">
        <v>97</v>
      </c>
      <c r="C349" s="69" t="n">
        <f aca="false">C333</f>
        <v>480000</v>
      </c>
      <c r="D349" s="69" t="n">
        <f aca="false">C349+D333</f>
        <v>480000</v>
      </c>
      <c r="E349" s="69" t="n">
        <f aca="false">D349+E333</f>
        <v>480000</v>
      </c>
      <c r="F349" s="69" t="n">
        <f aca="false">E349+F333</f>
        <v>480000</v>
      </c>
      <c r="G349" s="69" t="n">
        <f aca="false">F349+G333</f>
        <v>480000</v>
      </c>
      <c r="H349" s="69" t="n">
        <f aca="false">G349+H333</f>
        <v>480000</v>
      </c>
      <c r="I349" s="69" t="n">
        <f aca="false">H349+I333</f>
        <v>480000</v>
      </c>
      <c r="J349" s="69" t="n">
        <f aca="false">I349+J333</f>
        <v>480000</v>
      </c>
      <c r="K349" s="69" t="n">
        <f aca="false">J349+K333</f>
        <v>480000</v>
      </c>
      <c r="L349" s="69" t="n">
        <f aca="false">K349+L333</f>
        <v>480000</v>
      </c>
      <c r="M349" s="69" t="n">
        <f aca="false">L349+M333</f>
        <v>480000</v>
      </c>
      <c r="N349" s="69" t="n">
        <f aca="false">M349+N333</f>
        <v>480000</v>
      </c>
      <c r="O349" s="69" t="n">
        <f aca="false">N349+O333</f>
        <v>480000</v>
      </c>
      <c r="P349" s="69" t="n">
        <f aca="false">O349+P333</f>
        <v>480000</v>
      </c>
      <c r="Q349" s="69" t="n">
        <f aca="false">P349+Q333</f>
        <v>480000</v>
      </c>
      <c r="R349" s="69" t="n">
        <f aca="false">Q349+R333</f>
        <v>480000</v>
      </c>
      <c r="S349" s="69" t="n">
        <f aca="false">R349+S333</f>
        <v>480000</v>
      </c>
      <c r="T349" s="69" t="n">
        <f aca="false">S349+T333</f>
        <v>480000</v>
      </c>
      <c r="U349" s="69" t="n">
        <f aca="false">T349+U333</f>
        <v>480000</v>
      </c>
      <c r="V349" s="69" t="n">
        <f aca="false">U349+V333</f>
        <v>480000</v>
      </c>
      <c r="W349" s="69" t="n">
        <f aca="false">V349+W333</f>
        <v>480000</v>
      </c>
      <c r="X349" s="69" t="n">
        <f aca="false">W349+X333</f>
        <v>480000</v>
      </c>
      <c r="Y349" s="69" t="n">
        <f aca="false">X349+Y333</f>
        <v>480000</v>
      </c>
      <c r="Z349" s="69" t="n">
        <f aca="false">Y349+Z333</f>
        <v>480000</v>
      </c>
      <c r="AA349" s="69" t="n">
        <f aca="false">Z349+AA333</f>
        <v>480000</v>
      </c>
      <c r="AB349" s="69" t="n">
        <f aca="false">AA349+AB333</f>
        <v>480000</v>
      </c>
      <c r="AC349" s="69" t="n">
        <f aca="false">AB349+AC333</f>
        <v>480000</v>
      </c>
      <c r="AD349" s="69" t="n">
        <f aca="false">AC349+AD333</f>
        <v>480000</v>
      </c>
      <c r="AE349" s="69" t="n">
        <f aca="false">AD349+AE333</f>
        <v>480000</v>
      </c>
      <c r="AF349" s="69" t="n">
        <f aca="false">AE349+AF333</f>
        <v>480000</v>
      </c>
      <c r="AG349" s="69" t="n">
        <f aca="false">AF349+AG333</f>
        <v>480000</v>
      </c>
      <c r="AH349" s="69" t="n">
        <f aca="false">AG349+AH333</f>
        <v>480000</v>
      </c>
      <c r="AI349" s="69" t="n">
        <f aca="false">AH349+AI333</f>
        <v>480000</v>
      </c>
      <c r="AJ349" s="69" t="n">
        <f aca="false">AI349+AJ333</f>
        <v>480000</v>
      </c>
      <c r="AK349" s="69" t="n">
        <f aca="false">AJ349+AK333</f>
        <v>480000</v>
      </c>
      <c r="AL349" s="69" t="n">
        <f aca="false">AK349+AL333</f>
        <v>480000</v>
      </c>
      <c r="AM349" s="69" t="n">
        <f aca="false">AL349+AM333</f>
        <v>480000</v>
      </c>
      <c r="AN349" s="69" t="n">
        <f aca="false">AM349+AN333</f>
        <v>480000</v>
      </c>
      <c r="AO349" s="69" t="n">
        <f aca="false">AN349+AO333</f>
        <v>480000</v>
      </c>
      <c r="AP349" s="69" t="n">
        <f aca="false">AO349+AP333</f>
        <v>480000</v>
      </c>
      <c r="AQ349" s="69" t="n">
        <f aca="false">AP349+AQ333</f>
        <v>480000</v>
      </c>
      <c r="AR349" s="69" t="n">
        <f aca="false">AQ349+AR333</f>
        <v>480000</v>
      </c>
      <c r="AS349" s="69" t="n">
        <f aca="false">AR349+AS333</f>
        <v>480000</v>
      </c>
      <c r="AT349" s="69" t="n">
        <f aca="false">AS349+AT333</f>
        <v>480000</v>
      </c>
      <c r="AU349" s="69" t="n">
        <f aca="false">AT349+AU333</f>
        <v>480000</v>
      </c>
      <c r="AV349" s="69" t="n">
        <f aca="false">AU349+AV333</f>
        <v>480000</v>
      </c>
      <c r="AW349" s="69" t="n">
        <f aca="false">AV349+AW333</f>
        <v>480000</v>
      </c>
      <c r="AX349" s="69" t="n">
        <f aca="false">AW349+AX333</f>
        <v>480000</v>
      </c>
      <c r="AY349" s="69" t="n">
        <f aca="false">AX349+AY333</f>
        <v>480000</v>
      </c>
      <c r="AZ349" s="69" t="n">
        <f aca="false">AY349+AZ333</f>
        <v>480000</v>
      </c>
      <c r="BA349" s="69" t="n">
        <f aca="false">AZ349+BA333</f>
        <v>480000</v>
      </c>
      <c r="BB349" s="69" t="n">
        <f aca="false">BA349+BB333</f>
        <v>480000</v>
      </c>
      <c r="BC349" s="69" t="n">
        <f aca="false">BB349+BC333</f>
        <v>480000</v>
      </c>
      <c r="BD349" s="69" t="n">
        <f aca="false">BC349+BD333</f>
        <v>480000</v>
      </c>
      <c r="BE349" s="69" t="n">
        <f aca="false">BD349+BE333</f>
        <v>480000</v>
      </c>
      <c r="BF349" s="69" t="n">
        <f aca="false">BE349+BF333</f>
        <v>480000</v>
      </c>
      <c r="BG349" s="69" t="n">
        <f aca="false">BF349+BG333</f>
        <v>480000</v>
      </c>
      <c r="BH349" s="69" t="n">
        <f aca="false">BG349+BH333</f>
        <v>480000</v>
      </c>
      <c r="BI349" s="69" t="n">
        <f aca="false">BH349+BI333</f>
        <v>480000</v>
      </c>
      <c r="BJ349" s="69" t="n">
        <f aca="false">BI349+BJ333</f>
        <v>480000</v>
      </c>
    </row>
    <row r="350" customFormat="false" ht="15" hidden="false" customHeight="false" outlineLevel="0" collapsed="false">
      <c r="A350" s="6" t="s">
        <v>98</v>
      </c>
      <c r="C350" s="69" t="n">
        <f aca="false">C301</f>
        <v>-28084.2533333333</v>
      </c>
      <c r="D350" s="69" t="n">
        <f aca="false">C350+D301</f>
        <v>-48226.8926190476</v>
      </c>
      <c r="E350" s="69" t="n">
        <f aca="false">D350+E301</f>
        <v>-60416.7571428571</v>
      </c>
      <c r="F350" s="69" t="n">
        <f aca="false">E350+F301</f>
        <v>-64653.8469047619</v>
      </c>
      <c r="G350" s="69" t="n">
        <f aca="false">F350+G301</f>
        <v>-60938.1619047619</v>
      </c>
      <c r="H350" s="69" t="n">
        <f aca="false">G350+H301</f>
        <v>-49269.7021428572</v>
      </c>
      <c r="I350" s="69" t="n">
        <f aca="false">H350+I301</f>
        <v>-29648.4676190477</v>
      </c>
      <c r="J350" s="69" t="n">
        <f aca="false">I350+J301</f>
        <v>-2074.45833333338</v>
      </c>
      <c r="K350" s="69" t="n">
        <f aca="false">J350+K301</f>
        <v>26427.3373142857</v>
      </c>
      <c r="L350" s="69" t="n">
        <f aca="false">K350+L301</f>
        <v>60776.1887738095</v>
      </c>
      <c r="M350" s="69" t="n">
        <f aca="false">L350+M301</f>
        <v>95142.6741619047</v>
      </c>
      <c r="N350" s="69" t="n">
        <f aca="false">M350+N301</f>
        <v>129526.793478571</v>
      </c>
      <c r="O350" s="69" t="n">
        <f aca="false">N350+O301</f>
        <v>173865.524791836</v>
      </c>
      <c r="P350" s="69" t="n">
        <f aca="false">O350+P301</f>
        <v>218221.890033672</v>
      </c>
      <c r="Q350" s="69" t="n">
        <f aca="false">P350+Q301</f>
        <v>262595.88920408</v>
      </c>
      <c r="R350" s="69" t="n">
        <f aca="false">Q350+R301</f>
        <v>306987.522303059</v>
      </c>
      <c r="S350" s="69" t="n">
        <f aca="false">R350+S301</f>
        <v>351396.78933061</v>
      </c>
      <c r="T350" s="69" t="n">
        <f aca="false">S350+T301</f>
        <v>395823.690286731</v>
      </c>
      <c r="U350" s="69" t="n">
        <f aca="false">T350+U301</f>
        <v>440268.225171425</v>
      </c>
      <c r="V350" s="69" t="n">
        <f aca="false">U350+V301</f>
        <v>484730.39398469</v>
      </c>
      <c r="W350" s="69" t="n">
        <f aca="false">V350+W301</f>
        <v>529210.196726526</v>
      </c>
      <c r="X350" s="69" t="n">
        <f aca="false">W350+X301</f>
        <v>573707.633396933</v>
      </c>
      <c r="Y350" s="69" t="n">
        <f aca="false">X350+Y301</f>
        <v>618222.703995912</v>
      </c>
      <c r="Z350" s="69" t="n">
        <f aca="false">Y350+Z301</f>
        <v>662755.408523463</v>
      </c>
      <c r="AA350" s="69" t="n">
        <f aca="false">Z350+AA301</f>
        <v>718311.272487611</v>
      </c>
      <c r="AB350" s="69" t="n">
        <f aca="false">AA350+AB301</f>
        <v>773884.77038033</v>
      </c>
      <c r="AC350" s="69" t="n">
        <f aca="false">AB350+AC301</f>
        <v>829475.902201621</v>
      </c>
      <c r="AD350" s="69" t="n">
        <f aca="false">AC350+AD301</f>
        <v>885084.667951483</v>
      </c>
      <c r="AE350" s="69" t="n">
        <f aca="false">AD350+AE301</f>
        <v>940711.067629917</v>
      </c>
      <c r="AF350" s="69" t="n">
        <f aca="false">AE350+AF301</f>
        <v>996355.101236922</v>
      </c>
      <c r="AG350" s="69" t="n">
        <f aca="false">AF350+AG301</f>
        <v>1052016.7687725</v>
      </c>
      <c r="AH350" s="69" t="n">
        <f aca="false">AG350+AH301</f>
        <v>1107696.07023665</v>
      </c>
      <c r="AI350" s="69" t="n">
        <f aca="false">AH350+AI301</f>
        <v>1163393.00562937</v>
      </c>
      <c r="AJ350" s="69" t="n">
        <f aca="false">AI350+AJ301</f>
        <v>1219107.57495066</v>
      </c>
      <c r="AK350" s="69" t="n">
        <f aca="false">AJ350+AK301</f>
        <v>1274839.77820052</v>
      </c>
      <c r="AL350" s="69" t="n">
        <f aca="false">AK350+AL301</f>
        <v>1330589.61537895</v>
      </c>
      <c r="AM350" s="69" t="n">
        <f aca="false">AL350+AM301</f>
        <v>1398110.03852091</v>
      </c>
      <c r="AN350" s="69" t="n">
        <f aca="false">AM350+AN301</f>
        <v>1465648.09559144</v>
      </c>
      <c r="AO350" s="69" t="n">
        <f aca="false">AN350+AO301</f>
        <v>1533203.78659054</v>
      </c>
      <c r="AP350" s="69" t="n">
        <f aca="false">AO350+AP301</f>
        <v>1600777.11151822</v>
      </c>
      <c r="AQ350" s="69" t="n">
        <f aca="false">AP350+AQ301</f>
        <v>1668368.07037446</v>
      </c>
      <c r="AR350" s="69" t="n">
        <f aca="false">AQ350+AR301</f>
        <v>1735976.66315928</v>
      </c>
      <c r="AS350" s="69" t="n">
        <f aca="false">AR350+AS301</f>
        <v>1803602.88987266</v>
      </c>
      <c r="AT350" s="69" t="n">
        <f aca="false">AS350+AT301</f>
        <v>1871246.75051462</v>
      </c>
      <c r="AU350" s="69" t="n">
        <f aca="false">AT350+AU301</f>
        <v>1938908.24508515</v>
      </c>
      <c r="AV350" s="69" t="n">
        <f aca="false">AU350+AV301</f>
        <v>2006587.37358425</v>
      </c>
      <c r="AW350" s="69" t="n">
        <f aca="false">AV350+AW301</f>
        <v>2074284.13601193</v>
      </c>
      <c r="AX350" s="69" t="n">
        <f aca="false">AW350+AX301</f>
        <v>2141998.53236817</v>
      </c>
      <c r="AY350" s="69" t="n">
        <f aca="false">AX350+AY301</f>
        <v>2213814.23999532</v>
      </c>
      <c r="AZ350" s="69" t="n">
        <f aca="false">AY350+AZ301</f>
        <v>2285647.58155104</v>
      </c>
      <c r="BA350" s="69" t="n">
        <f aca="false">AZ350+BA301</f>
        <v>2357498.55703534</v>
      </c>
      <c r="BB350" s="69" t="n">
        <f aca="false">BA350+BB301</f>
        <v>2429367.1664482</v>
      </c>
      <c r="BC350" s="69" t="n">
        <f aca="false">BB350+BC301</f>
        <v>2501253.40978964</v>
      </c>
      <c r="BD350" s="69" t="n">
        <f aca="false">BC350+BD301</f>
        <v>2573157.28705965</v>
      </c>
      <c r="BE350" s="69" t="n">
        <f aca="false">BD350+BE301</f>
        <v>2645078.79825823</v>
      </c>
      <c r="BF350" s="69" t="n">
        <f aca="false">BE350+BF301</f>
        <v>2717017.94338538</v>
      </c>
      <c r="BG350" s="69" t="n">
        <f aca="false">BF350+BG301</f>
        <v>2788974.7224411</v>
      </c>
      <c r="BH350" s="69" t="n">
        <f aca="false">BG350+BH301</f>
        <v>2860949.1354254</v>
      </c>
      <c r="BI350" s="69" t="n">
        <f aca="false">BH350+BI301</f>
        <v>2932941.18233826</v>
      </c>
      <c r="BJ350" s="69" t="n">
        <f aca="false">BI350+BJ301</f>
        <v>3004950.8631797</v>
      </c>
    </row>
    <row r="351" customFormat="false" ht="15" hidden="false" customHeight="false" outlineLevel="0" collapsed="false">
      <c r="A351" s="4" t="s">
        <v>93</v>
      </c>
      <c r="C351" s="75" t="n">
        <f aca="false">C337+C323+C324+C314</f>
        <v>753481.58</v>
      </c>
      <c r="D351" s="75" t="n">
        <f aca="false">D337+D323+D324+D314</f>
        <v>732631.639126984</v>
      </c>
      <c r="E351" s="75" t="n">
        <f aca="false">E337+E323+E324+E314</f>
        <v>719734.473015873</v>
      </c>
      <c r="F351" s="75" t="n">
        <f aca="false">F337+F323+F324+F314</f>
        <v>714790.081666667</v>
      </c>
      <c r="G351" s="75" t="n">
        <f aca="false">G337+G323+G324+G314</f>
        <v>717798.465079365</v>
      </c>
      <c r="H351" s="75" t="n">
        <f aca="false">H337+H323+H324+H314</f>
        <v>728759.623253968</v>
      </c>
      <c r="I351" s="75" t="n">
        <f aca="false">I337+I323+I324+I314</f>
        <v>747673.556190476</v>
      </c>
      <c r="J351" s="75" t="n">
        <f aca="false">J337+J323+J324+J314</f>
        <v>774540.263888889</v>
      </c>
      <c r="K351" s="75" t="n">
        <f aca="false">K337+K323+K324+K314</f>
        <v>802334.757949206</v>
      </c>
      <c r="L351" s="75" t="n">
        <f aca="false">L337+L323+L324+L314</f>
        <v>835976.307821428</v>
      </c>
      <c r="M351" s="75" t="n">
        <f aca="false">M337+M323+M324+M314</f>
        <v>867366.602733333</v>
      </c>
      <c r="N351" s="75" t="n">
        <f aca="false">N337+N323+N324+N314</f>
        <v>898774.53157381</v>
      </c>
      <c r="O351" s="75" t="n">
        <f aca="false">O337+O323+O324+O314</f>
        <v>945253.463410884</v>
      </c>
      <c r="P351" s="75" t="n">
        <f aca="false">P337+P323+P324+P314</f>
        <v>986633.638176529</v>
      </c>
      <c r="Q351" s="75" t="n">
        <f aca="false">Q337+Q323+Q324+Q314</f>
        <v>1028031.44687075</v>
      </c>
      <c r="R351" s="75" t="n">
        <f aca="false">R337+R323+R324+R314</f>
        <v>1069446.88949354</v>
      </c>
      <c r="S351" s="75" t="n">
        <f aca="false">S337+S323+S324+S314</f>
        <v>1110879.9660449</v>
      </c>
      <c r="T351" s="75" t="n">
        <f aca="false">T337+T323+T324+T314</f>
        <v>1152330.67652483</v>
      </c>
      <c r="U351" s="75" t="n">
        <f aca="false">U337+U323+U324+U314</f>
        <v>1193799.02093333</v>
      </c>
      <c r="V351" s="75" t="n">
        <f aca="false">V337+V323+V324+V314</f>
        <v>1235284.9992704</v>
      </c>
      <c r="W351" s="75" t="n">
        <f aca="false">W337+W323+W324+W314</f>
        <v>1276788.61153605</v>
      </c>
      <c r="X351" s="75" t="n">
        <f aca="false">X337+X323+X324+X314</f>
        <v>1318309.85773027</v>
      </c>
      <c r="Y351" s="75" t="n">
        <f aca="false">Y337+Y323+Y324+Y314</f>
        <v>1359848.73785306</v>
      </c>
      <c r="Z351" s="75" t="n">
        <f aca="false">Z337+Z323+Z324+Z314</f>
        <v>1401405.25190442</v>
      </c>
      <c r="AA351" s="75" t="n">
        <f aca="false">AA337+AA323+AA324+AA314</f>
        <v>1459557.58608077</v>
      </c>
      <c r="AB351" s="75" t="n">
        <f aca="false">AB337+AB323+AB324+AB314</f>
        <v>1512154.8934973</v>
      </c>
      <c r="AC351" s="75" t="n">
        <f aca="false">AC337+AC323+AC324+AC314</f>
        <v>1564769.8348424</v>
      </c>
      <c r="AD351" s="75" t="n">
        <f aca="false">AD337+AD323+AD324+AD314</f>
        <v>1617402.41011607</v>
      </c>
      <c r="AE351" s="75" t="n">
        <f aca="false">AE337+AE323+AE324+AE314</f>
        <v>1670052.61931832</v>
      </c>
      <c r="AF351" s="75" t="n">
        <f aca="false">AF337+AF323+AF324+AF314</f>
        <v>1722720.46244913</v>
      </c>
      <c r="AG351" s="75" t="n">
        <f aca="false">AG337+AG323+AG324+AG314</f>
        <v>1775405.93950852</v>
      </c>
      <c r="AH351" s="75" t="n">
        <f aca="false">AH337+AH323+AH324+AH314</f>
        <v>1828109.05049647</v>
      </c>
      <c r="AI351" s="75" t="n">
        <f aca="false">AI337+AI323+AI324+AI314</f>
        <v>1880829.795413</v>
      </c>
      <c r="AJ351" s="75" t="n">
        <f aca="false">AJ337+AJ323+AJ324+AJ314</f>
        <v>1933568.1742581</v>
      </c>
      <c r="AK351" s="75" t="n">
        <f aca="false">AK337+AK323+AK324+AK314</f>
        <v>1986324.18703178</v>
      </c>
      <c r="AL351" s="75" t="n">
        <f aca="false">AL337+AL323+AL324+AL314</f>
        <v>2039097.83373402</v>
      </c>
      <c r="AM351" s="75" t="n">
        <f aca="false">AM337+AM323+AM324+AM314</f>
        <v>2109554.16623889</v>
      </c>
      <c r="AN351" s="75" t="n">
        <f aca="false">AN337+AN323+AN324+AN314</f>
        <v>2174116.03283323</v>
      </c>
      <c r="AO351" s="75" t="n">
        <f aca="false">AO337+AO323+AO324+AO314</f>
        <v>2238695.53335614</v>
      </c>
      <c r="AP351" s="75" t="n">
        <f aca="false">AP337+AP323+AP324+AP314</f>
        <v>2303292.66780762</v>
      </c>
      <c r="AQ351" s="75" t="n">
        <f aca="false">AQ337+AQ323+AQ324+AQ314</f>
        <v>2367907.43618767</v>
      </c>
      <c r="AR351" s="75" t="n">
        <f aca="false">AR337+AR323+AR324+AR314</f>
        <v>2432539.8384963</v>
      </c>
      <c r="AS351" s="75" t="n">
        <f aca="false">AS337+AS323+AS324+AS314</f>
        <v>2497189.8747335</v>
      </c>
      <c r="AT351" s="75" t="n">
        <f aca="false">AT337+AT323+AT324+AT314</f>
        <v>2561857.54489926</v>
      </c>
      <c r="AU351" s="75" t="n">
        <f aca="false">AU337+AU323+AU324+AU314</f>
        <v>2626542.8489936</v>
      </c>
      <c r="AV351" s="75" t="n">
        <f aca="false">AV337+AV323+AV324+AV314</f>
        <v>2691245.78701652</v>
      </c>
      <c r="AW351" s="75" t="n">
        <f aca="false">AW337+AW323+AW324+AW314</f>
        <v>2755966.358968</v>
      </c>
      <c r="AX351" s="75" t="n">
        <f aca="false">AX337+AX323+AX324+AX314</f>
        <v>2820704.56484805</v>
      </c>
      <c r="AY351" s="75" t="n">
        <f aca="false">AY337+AY323+AY324+AY314</f>
        <v>2892747.22246324</v>
      </c>
      <c r="AZ351" s="75" t="n">
        <f aca="false">AZ337+AZ323+AZ324+AZ314</f>
        <v>2961604.37354277</v>
      </c>
      <c r="BA351" s="75" t="n">
        <f aca="false">BA337+BA323+BA324+BA314</f>
        <v>3030479.15855087</v>
      </c>
      <c r="BB351" s="75" t="n">
        <f aca="false">BB337+BB323+BB324+BB314</f>
        <v>3099371.57748755</v>
      </c>
      <c r="BC351" s="75" t="n">
        <f aca="false">BC337+BC323+BC324+BC314</f>
        <v>3168281.63035279</v>
      </c>
      <c r="BD351" s="75" t="n">
        <f aca="false">BD337+BD323+BD324+BD314</f>
        <v>3237209.31714661</v>
      </c>
      <c r="BE351" s="75" t="n">
        <f aca="false">BE337+BE323+BE324+BE314</f>
        <v>3306154.637869</v>
      </c>
      <c r="BF351" s="75" t="n">
        <f aca="false">BF337+BF323+BF324+BF314</f>
        <v>3375117.59251996</v>
      </c>
      <c r="BG351" s="75" t="n">
        <f aca="false">BG337+BG323+BG324+BG314</f>
        <v>3444098.18109949</v>
      </c>
      <c r="BH351" s="75" t="n">
        <f aca="false">BH337+BH323+BH324+BH314</f>
        <v>3513096.4036076</v>
      </c>
      <c r="BI351" s="75" t="n">
        <f aca="false">BI337+BI323+BI324+BI314</f>
        <v>3582112.26004427</v>
      </c>
      <c r="BJ351" s="75" t="n">
        <f aca="false">BJ337+BJ323+BJ324+BJ314</f>
        <v>3651145.75040952</v>
      </c>
    </row>
    <row r="352" customFormat="false" ht="15" hidden="false" customHeight="false" outlineLevel="0" collapsed="false">
      <c r="A352" s="6" t="s">
        <v>96</v>
      </c>
      <c r="C352" s="69" t="n">
        <f aca="false">C325+C320</f>
        <v>301565.833333333</v>
      </c>
      <c r="D352" s="69" t="n">
        <f aca="false">D325+D320</f>
        <v>300858.531746032</v>
      </c>
      <c r="E352" s="69" t="n">
        <f aca="false">E325+E320</f>
        <v>300151.23015873</v>
      </c>
      <c r="F352" s="69" t="n">
        <f aca="false">F325+F320</f>
        <v>299443.928571429</v>
      </c>
      <c r="G352" s="69" t="n">
        <f aca="false">G325+G320</f>
        <v>298736.626984127</v>
      </c>
      <c r="H352" s="69" t="n">
        <f aca="false">H325+H320</f>
        <v>298029.325396825</v>
      </c>
      <c r="I352" s="69" t="n">
        <f aca="false">I325+I320</f>
        <v>297322.023809524</v>
      </c>
      <c r="J352" s="69" t="n">
        <f aca="false">J325+J320</f>
        <v>296614.722222222</v>
      </c>
      <c r="K352" s="69" t="n">
        <f aca="false">K325+K320</f>
        <v>295907.420634921</v>
      </c>
      <c r="L352" s="69" t="n">
        <f aca="false">L325+L320</f>
        <v>295200.119047619</v>
      </c>
      <c r="M352" s="69" t="n">
        <f aca="false">M325+M320</f>
        <v>292223.928571429</v>
      </c>
      <c r="N352" s="69" t="n">
        <f aca="false">N325+N320</f>
        <v>289247.738095238</v>
      </c>
      <c r="O352" s="69" t="n">
        <f aca="false">O325+O320</f>
        <v>291387.938619048</v>
      </c>
      <c r="P352" s="69" t="n">
        <f aca="false">P325+P320</f>
        <v>288411.748142857</v>
      </c>
      <c r="Q352" s="69" t="n">
        <f aca="false">Q325+Q320</f>
        <v>285435.557666667</v>
      </c>
      <c r="R352" s="69" t="n">
        <f aca="false">R325+R320</f>
        <v>282459.367190476</v>
      </c>
      <c r="S352" s="69" t="n">
        <f aca="false">S325+S320</f>
        <v>279483.176714286</v>
      </c>
      <c r="T352" s="69" t="n">
        <f aca="false">T325+T320</f>
        <v>276506.986238095</v>
      </c>
      <c r="U352" s="69" t="n">
        <f aca="false">U325+U320</f>
        <v>273530.795761905</v>
      </c>
      <c r="V352" s="69" t="n">
        <f aca="false">V325+V320</f>
        <v>270554.605285714</v>
      </c>
      <c r="W352" s="69" t="n">
        <f aca="false">W325+W320</f>
        <v>267578.414809524</v>
      </c>
      <c r="X352" s="69" t="n">
        <f aca="false">X325+X320</f>
        <v>264602.224333333</v>
      </c>
      <c r="Y352" s="69" t="n">
        <f aca="false">Y325+Y320</f>
        <v>261626.033857143</v>
      </c>
      <c r="Z352" s="69" t="n">
        <f aca="false">Z325+Z320</f>
        <v>258649.843380952</v>
      </c>
      <c r="AA352" s="69" t="n">
        <f aca="false">AA325+AA320</f>
        <v>261246.313593162</v>
      </c>
      <c r="AB352" s="69" t="n">
        <f aca="false">AB325+AB320</f>
        <v>258270.123116972</v>
      </c>
      <c r="AC352" s="69" t="n">
        <f aca="false">AC325+AC320</f>
        <v>255293.932640781</v>
      </c>
      <c r="AD352" s="69" t="n">
        <f aca="false">AD325+AD320</f>
        <v>252317.742164591</v>
      </c>
      <c r="AE352" s="69" t="n">
        <f aca="false">AE325+AE320</f>
        <v>249341.5516884</v>
      </c>
      <c r="AF352" s="69" t="n">
        <f aca="false">AF325+AF320</f>
        <v>246365.36121221</v>
      </c>
      <c r="AG352" s="69" t="n">
        <f aca="false">AG325+AG320</f>
        <v>243389.170736019</v>
      </c>
      <c r="AH352" s="69" t="n">
        <f aca="false">AH325+AH320</f>
        <v>240412.980259829</v>
      </c>
      <c r="AI352" s="69" t="n">
        <f aca="false">AI325+AI320</f>
        <v>237436.789783638</v>
      </c>
      <c r="AJ352" s="69" t="n">
        <f aca="false">AJ325+AJ320</f>
        <v>234460.599307448</v>
      </c>
      <c r="AK352" s="69" t="n">
        <f aca="false">AK325+AK320</f>
        <v>231484.408831257</v>
      </c>
      <c r="AL352" s="69" t="n">
        <f aca="false">AL325+AL320</f>
        <v>228508.218355067</v>
      </c>
      <c r="AM352" s="69" t="n">
        <f aca="false">AM325+AM320</f>
        <v>231444.127717976</v>
      </c>
      <c r="AN352" s="69" t="n">
        <f aca="false">AN325+AN320</f>
        <v>228467.937241786</v>
      </c>
      <c r="AO352" s="69" t="n">
        <f aca="false">AO325+AO320</f>
        <v>225491.746765595</v>
      </c>
      <c r="AP352" s="69" t="n">
        <f aca="false">AP325+AP320</f>
        <v>222515.556289405</v>
      </c>
      <c r="AQ352" s="69" t="n">
        <f aca="false">AQ325+AQ320</f>
        <v>219539.365813214</v>
      </c>
      <c r="AR352" s="69" t="n">
        <f aca="false">AR325+AR320</f>
        <v>216563.175337024</v>
      </c>
      <c r="AS352" s="69" t="n">
        <f aca="false">AS325+AS320</f>
        <v>213586.984860833</v>
      </c>
      <c r="AT352" s="69" t="n">
        <f aca="false">AT325+AT320</f>
        <v>210610.794384643</v>
      </c>
      <c r="AU352" s="69" t="n">
        <f aca="false">AU325+AU320</f>
        <v>207634.603908453</v>
      </c>
      <c r="AV352" s="69" t="n">
        <f aca="false">AV325+AV320</f>
        <v>204658.413432262</v>
      </c>
      <c r="AW352" s="69" t="n">
        <f aca="false">AW325+AW320</f>
        <v>201682.222956072</v>
      </c>
      <c r="AX352" s="69" t="n">
        <f aca="false">AX325+AX320</f>
        <v>198706.032479881</v>
      </c>
      <c r="AY352" s="69" t="n">
        <f aca="false">AY325+AY320</f>
        <v>198932.982467916</v>
      </c>
      <c r="AZ352" s="69" t="n">
        <f aca="false">AZ325+AZ320</f>
        <v>195956.791991725</v>
      </c>
      <c r="BA352" s="69" t="n">
        <f aca="false">BA325+BA320</f>
        <v>192980.601515535</v>
      </c>
      <c r="BB352" s="69" t="n">
        <f aca="false">BB325+BB320</f>
        <v>190004.411039344</v>
      </c>
      <c r="BC352" s="69" t="n">
        <f aca="false">BC325+BC320</f>
        <v>187028.220563154</v>
      </c>
      <c r="BD352" s="69" t="n">
        <f aca="false">BD325+BD320</f>
        <v>184052.030086963</v>
      </c>
      <c r="BE352" s="69" t="n">
        <f aca="false">BE325+BE320</f>
        <v>181075.839610773</v>
      </c>
      <c r="BF352" s="69" t="n">
        <f aca="false">BF325+BF320</f>
        <v>178099.649134582</v>
      </c>
      <c r="BG352" s="69" t="n">
        <f aca="false">BG325+BG320</f>
        <v>175123.458658392</v>
      </c>
      <c r="BH352" s="69" t="n">
        <f aca="false">BH325+BH320</f>
        <v>172147.268182201</v>
      </c>
      <c r="BI352" s="69" t="n">
        <f aca="false">BI325+BI320</f>
        <v>169171.077706011</v>
      </c>
      <c r="BJ352" s="69" t="n">
        <f aca="false">BJ325+BJ320</f>
        <v>166194.88722982</v>
      </c>
    </row>
    <row r="353" customFormat="false" ht="15" hidden="false" customHeight="false" outlineLevel="0" collapsed="false">
      <c r="A353" s="6" t="s">
        <v>99</v>
      </c>
      <c r="C353" s="69" t="n">
        <f aca="false">C349+C350</f>
        <v>451915.746666667</v>
      </c>
      <c r="D353" s="69" t="n">
        <f aca="false">D349+D350</f>
        <v>431773.107380952</v>
      </c>
      <c r="E353" s="69" t="n">
        <f aca="false">E349+E350</f>
        <v>419583.242857143</v>
      </c>
      <c r="F353" s="69" t="n">
        <f aca="false">F349+F350</f>
        <v>415346.153095238</v>
      </c>
      <c r="G353" s="69" t="n">
        <f aca="false">G349+G350</f>
        <v>419061.838095238</v>
      </c>
      <c r="H353" s="69" t="n">
        <f aca="false">H349+H350</f>
        <v>430730.297857143</v>
      </c>
      <c r="I353" s="69" t="n">
        <f aca="false">I349+I350</f>
        <v>450351.532380952</v>
      </c>
      <c r="J353" s="69" t="n">
        <f aca="false">J349+J350</f>
        <v>477925.541666667</v>
      </c>
      <c r="K353" s="69" t="n">
        <f aca="false">K349+K350</f>
        <v>506427.337314286</v>
      </c>
      <c r="L353" s="69" t="n">
        <f aca="false">L349+L350</f>
        <v>540776.18877381</v>
      </c>
      <c r="M353" s="69" t="n">
        <f aca="false">M349+M350</f>
        <v>575142.674161905</v>
      </c>
      <c r="N353" s="69" t="n">
        <f aca="false">N349+N350</f>
        <v>609526.793478571</v>
      </c>
      <c r="O353" s="69" t="n">
        <f aca="false">O349+O350</f>
        <v>653865.524791836</v>
      </c>
      <c r="P353" s="69" t="n">
        <f aca="false">P349+P350</f>
        <v>698221.890033672</v>
      </c>
      <c r="Q353" s="69" t="n">
        <f aca="false">Q349+Q350</f>
        <v>742595.88920408</v>
      </c>
      <c r="R353" s="69" t="n">
        <f aca="false">R349+R350</f>
        <v>786987.522303059</v>
      </c>
      <c r="S353" s="69" t="n">
        <f aca="false">S349+S350</f>
        <v>831396.78933061</v>
      </c>
      <c r="T353" s="69" t="n">
        <f aca="false">T349+T350</f>
        <v>875823.690286731</v>
      </c>
      <c r="U353" s="69" t="n">
        <f aca="false">U349+U350</f>
        <v>920268.225171425</v>
      </c>
      <c r="V353" s="69" t="n">
        <f aca="false">V349+V350</f>
        <v>964730.39398469</v>
      </c>
      <c r="W353" s="69" t="n">
        <f aca="false">W349+W350</f>
        <v>1009210.19672653</v>
      </c>
      <c r="X353" s="69" t="n">
        <f aca="false">X349+X350</f>
        <v>1053707.63339693</v>
      </c>
      <c r="Y353" s="69" t="n">
        <f aca="false">Y349+Y350</f>
        <v>1098222.70399591</v>
      </c>
      <c r="Z353" s="69" t="n">
        <f aca="false">Z349+Z350</f>
        <v>1142755.40852346</v>
      </c>
      <c r="AA353" s="69" t="n">
        <f aca="false">AA349+AA350</f>
        <v>1198311.27248761</v>
      </c>
      <c r="AB353" s="69" t="n">
        <f aca="false">AB349+AB350</f>
        <v>1253884.77038033</v>
      </c>
      <c r="AC353" s="69" t="n">
        <f aca="false">AC349+AC350</f>
        <v>1309475.90220162</v>
      </c>
      <c r="AD353" s="69" t="n">
        <f aca="false">AD349+AD350</f>
        <v>1365084.66795148</v>
      </c>
      <c r="AE353" s="69" t="n">
        <f aca="false">AE349+AE350</f>
        <v>1420711.06762992</v>
      </c>
      <c r="AF353" s="69" t="n">
        <f aca="false">AF349+AF350</f>
        <v>1476355.10123692</v>
      </c>
      <c r="AG353" s="69" t="n">
        <f aca="false">AG349+AG350</f>
        <v>1532016.7687725</v>
      </c>
      <c r="AH353" s="69" t="n">
        <f aca="false">AH349+AH350</f>
        <v>1587696.07023665</v>
      </c>
      <c r="AI353" s="69" t="n">
        <f aca="false">AI349+AI350</f>
        <v>1643393.00562937</v>
      </c>
      <c r="AJ353" s="69" t="n">
        <f aca="false">AJ349+AJ350</f>
        <v>1699107.57495066</v>
      </c>
      <c r="AK353" s="69" t="n">
        <f aca="false">AK349+AK350</f>
        <v>1754839.77820052</v>
      </c>
      <c r="AL353" s="69" t="n">
        <f aca="false">AL349+AL350</f>
        <v>1810589.61537895</v>
      </c>
      <c r="AM353" s="69" t="n">
        <f aca="false">AM349+AM350</f>
        <v>1878110.03852091</v>
      </c>
      <c r="AN353" s="69" t="n">
        <f aca="false">AN349+AN350</f>
        <v>1945648.09559144</v>
      </c>
      <c r="AO353" s="69" t="n">
        <f aca="false">AO349+AO350</f>
        <v>2013203.78659054</v>
      </c>
      <c r="AP353" s="69" t="n">
        <f aca="false">AP349+AP350</f>
        <v>2080777.11151822</v>
      </c>
      <c r="AQ353" s="69" t="n">
        <f aca="false">AQ349+AQ350</f>
        <v>2148368.07037446</v>
      </c>
      <c r="AR353" s="69" t="n">
        <f aca="false">AR349+AR350</f>
        <v>2215976.66315928</v>
      </c>
      <c r="AS353" s="69" t="n">
        <f aca="false">AS349+AS350</f>
        <v>2283602.88987266</v>
      </c>
      <c r="AT353" s="69" t="n">
        <f aca="false">AT349+AT350</f>
        <v>2351246.75051462</v>
      </c>
      <c r="AU353" s="69" t="n">
        <f aca="false">AU349+AU350</f>
        <v>2418908.24508515</v>
      </c>
      <c r="AV353" s="69" t="n">
        <f aca="false">AV349+AV350</f>
        <v>2486587.37358425</v>
      </c>
      <c r="AW353" s="69" t="n">
        <f aca="false">AW349+AW350</f>
        <v>2554284.13601193</v>
      </c>
      <c r="AX353" s="69" t="n">
        <f aca="false">AX349+AX350</f>
        <v>2621998.53236817</v>
      </c>
      <c r="AY353" s="69" t="n">
        <f aca="false">AY349+AY350</f>
        <v>2693814.23999532</v>
      </c>
      <c r="AZ353" s="69" t="n">
        <f aca="false">AZ349+AZ350</f>
        <v>2765647.58155104</v>
      </c>
      <c r="BA353" s="69" t="n">
        <f aca="false">BA349+BA350</f>
        <v>2837498.55703534</v>
      </c>
      <c r="BB353" s="69" t="n">
        <f aca="false">BB349+BB350</f>
        <v>2909367.1664482</v>
      </c>
      <c r="BC353" s="69" t="n">
        <f aca="false">BC349+BC350</f>
        <v>2981253.40978964</v>
      </c>
      <c r="BD353" s="69" t="n">
        <f aca="false">BD349+BD350</f>
        <v>3053157.28705965</v>
      </c>
      <c r="BE353" s="69" t="n">
        <f aca="false">BE349+BE350</f>
        <v>3125078.79825823</v>
      </c>
      <c r="BF353" s="69" t="n">
        <f aca="false">BF349+BF350</f>
        <v>3197017.94338538</v>
      </c>
      <c r="BG353" s="69" t="n">
        <f aca="false">BG349+BG350</f>
        <v>3268974.7224411</v>
      </c>
      <c r="BH353" s="69" t="n">
        <f aca="false">BH349+BH350</f>
        <v>3340949.1354254</v>
      </c>
      <c r="BI353" s="69" t="n">
        <f aca="false">BI349+BI350</f>
        <v>3412941.18233826</v>
      </c>
      <c r="BJ353" s="69" t="n">
        <f aca="false">BJ349+BJ350</f>
        <v>3484950.8631797</v>
      </c>
    </row>
    <row r="354" customFormat="false" ht="15" hidden="false" customHeight="false" outlineLevel="0" collapsed="false">
      <c r="A354" s="4" t="s">
        <v>100</v>
      </c>
      <c r="C354" s="75" t="n">
        <f aca="false">C352+C353</f>
        <v>753481.58</v>
      </c>
      <c r="D354" s="75" t="n">
        <f aca="false">D352+D353</f>
        <v>732631.639126984</v>
      </c>
      <c r="E354" s="75" t="n">
        <f aca="false">E352+E353</f>
        <v>719734.473015873</v>
      </c>
      <c r="F354" s="75" t="n">
        <f aca="false">F352+F353</f>
        <v>714790.081666667</v>
      </c>
      <c r="G354" s="75" t="n">
        <f aca="false">G352+G353</f>
        <v>717798.465079365</v>
      </c>
      <c r="H354" s="75" t="n">
        <f aca="false">H352+H353</f>
        <v>728759.623253968</v>
      </c>
      <c r="I354" s="75" t="n">
        <f aca="false">I352+I353</f>
        <v>747673.556190476</v>
      </c>
      <c r="J354" s="75" t="n">
        <f aca="false">J352+J353</f>
        <v>774540.263888889</v>
      </c>
      <c r="K354" s="75" t="n">
        <f aca="false">K352+K353</f>
        <v>802334.757949206</v>
      </c>
      <c r="L354" s="75" t="n">
        <f aca="false">L352+L353</f>
        <v>835976.307821429</v>
      </c>
      <c r="M354" s="75" t="n">
        <f aca="false">M352+M353</f>
        <v>867366.602733333</v>
      </c>
      <c r="N354" s="75" t="n">
        <f aca="false">N352+N353</f>
        <v>898774.53157381</v>
      </c>
      <c r="O354" s="75" t="n">
        <f aca="false">O352+O353</f>
        <v>945253.463410884</v>
      </c>
      <c r="P354" s="75" t="n">
        <f aca="false">P352+P353</f>
        <v>986633.638176529</v>
      </c>
      <c r="Q354" s="75" t="n">
        <f aca="false">Q352+Q353</f>
        <v>1028031.44687075</v>
      </c>
      <c r="R354" s="75" t="n">
        <f aca="false">R352+R353</f>
        <v>1069446.88949354</v>
      </c>
      <c r="S354" s="75" t="n">
        <f aca="false">S352+S353</f>
        <v>1110879.9660449</v>
      </c>
      <c r="T354" s="75" t="n">
        <f aca="false">T352+T353</f>
        <v>1152330.67652483</v>
      </c>
      <c r="U354" s="75" t="n">
        <f aca="false">U352+U353</f>
        <v>1193799.02093333</v>
      </c>
      <c r="V354" s="75" t="n">
        <f aca="false">V352+V353</f>
        <v>1235284.9992704</v>
      </c>
      <c r="W354" s="75" t="n">
        <f aca="false">W352+W353</f>
        <v>1276788.61153605</v>
      </c>
      <c r="X354" s="75" t="n">
        <f aca="false">X352+X353</f>
        <v>1318309.85773027</v>
      </c>
      <c r="Y354" s="75" t="n">
        <f aca="false">Y352+Y353</f>
        <v>1359848.73785306</v>
      </c>
      <c r="Z354" s="75" t="n">
        <f aca="false">Z352+Z353</f>
        <v>1401405.25190442</v>
      </c>
      <c r="AA354" s="75" t="n">
        <f aca="false">AA352+AA353</f>
        <v>1459557.58608077</v>
      </c>
      <c r="AB354" s="75" t="n">
        <f aca="false">AB352+AB353</f>
        <v>1512154.8934973</v>
      </c>
      <c r="AC354" s="75" t="n">
        <f aca="false">AC352+AC353</f>
        <v>1564769.8348424</v>
      </c>
      <c r="AD354" s="75" t="n">
        <f aca="false">AD352+AD353</f>
        <v>1617402.41011607</v>
      </c>
      <c r="AE354" s="75" t="n">
        <f aca="false">AE352+AE353</f>
        <v>1670052.61931832</v>
      </c>
      <c r="AF354" s="75" t="n">
        <f aca="false">AF352+AF353</f>
        <v>1722720.46244913</v>
      </c>
      <c r="AG354" s="75" t="n">
        <f aca="false">AG352+AG353</f>
        <v>1775405.93950852</v>
      </c>
      <c r="AH354" s="75" t="n">
        <f aca="false">AH352+AH353</f>
        <v>1828109.05049647</v>
      </c>
      <c r="AI354" s="75" t="n">
        <f aca="false">AI352+AI353</f>
        <v>1880829.795413</v>
      </c>
      <c r="AJ354" s="75" t="n">
        <f aca="false">AJ352+AJ353</f>
        <v>1933568.1742581</v>
      </c>
      <c r="AK354" s="75" t="n">
        <f aca="false">AK352+AK353</f>
        <v>1986324.18703178</v>
      </c>
      <c r="AL354" s="75" t="n">
        <f aca="false">AL352+AL353</f>
        <v>2039097.83373402</v>
      </c>
      <c r="AM354" s="75" t="n">
        <f aca="false">AM352+AM353</f>
        <v>2109554.16623889</v>
      </c>
      <c r="AN354" s="75" t="n">
        <f aca="false">AN352+AN353</f>
        <v>2174116.03283323</v>
      </c>
      <c r="AO354" s="75" t="n">
        <f aca="false">AO352+AO353</f>
        <v>2238695.53335614</v>
      </c>
      <c r="AP354" s="75" t="n">
        <f aca="false">AP352+AP353</f>
        <v>2303292.66780762</v>
      </c>
      <c r="AQ354" s="75" t="n">
        <f aca="false">AQ352+AQ353</f>
        <v>2367907.43618767</v>
      </c>
      <c r="AR354" s="75" t="n">
        <f aca="false">AR352+AR353</f>
        <v>2432539.8384963</v>
      </c>
      <c r="AS354" s="75" t="n">
        <f aca="false">AS352+AS353</f>
        <v>2497189.8747335</v>
      </c>
      <c r="AT354" s="75" t="n">
        <f aca="false">AT352+AT353</f>
        <v>2561857.54489927</v>
      </c>
      <c r="AU354" s="75" t="n">
        <f aca="false">AU352+AU353</f>
        <v>2626542.8489936</v>
      </c>
      <c r="AV354" s="75" t="n">
        <f aca="false">AV352+AV353</f>
        <v>2691245.78701652</v>
      </c>
      <c r="AW354" s="75" t="n">
        <f aca="false">AW352+AW353</f>
        <v>2755966.358968</v>
      </c>
      <c r="AX354" s="75" t="n">
        <f aca="false">AX352+AX353</f>
        <v>2820704.56484805</v>
      </c>
      <c r="AY354" s="75" t="n">
        <f aca="false">AY352+AY353</f>
        <v>2892747.22246324</v>
      </c>
      <c r="AZ354" s="75" t="n">
        <f aca="false">AZ352+AZ353</f>
        <v>2961604.37354277</v>
      </c>
      <c r="BA354" s="75" t="n">
        <f aca="false">BA352+BA353</f>
        <v>3030479.15855087</v>
      </c>
      <c r="BB354" s="75" t="n">
        <f aca="false">BB352+BB353</f>
        <v>3099371.57748755</v>
      </c>
      <c r="BC354" s="75" t="n">
        <f aca="false">BC352+BC353</f>
        <v>3168281.63035279</v>
      </c>
      <c r="BD354" s="75" t="n">
        <f aca="false">BD352+BD353</f>
        <v>3237209.31714661</v>
      </c>
      <c r="BE354" s="75" t="n">
        <f aca="false">BE352+BE353</f>
        <v>3306154.637869</v>
      </c>
      <c r="BF354" s="75" t="n">
        <f aca="false">BF352+BF353</f>
        <v>3375117.59251996</v>
      </c>
      <c r="BG354" s="75" t="n">
        <f aca="false">BG352+BG353</f>
        <v>3444098.18109949</v>
      </c>
      <c r="BH354" s="75" t="n">
        <f aca="false">BH352+BH353</f>
        <v>3513096.4036076</v>
      </c>
      <c r="BI354" s="75" t="n">
        <f aca="false">BI352+BI353</f>
        <v>3582112.26004427</v>
      </c>
      <c r="BJ354" s="75" t="n">
        <f aca="false">BJ352+BJ353</f>
        <v>3651145.75040952</v>
      </c>
    </row>
    <row r="355" customFormat="false" ht="15" hidden="false" customHeight="false" outlineLevel="0" collapsed="false">
      <c r="A355" s="6" t="s">
        <v>453</v>
      </c>
      <c r="C355" s="69" t="n">
        <f aca="false">C351-C354</f>
        <v>0</v>
      </c>
      <c r="D355" s="69" t="n">
        <f aca="false">D351-D354</f>
        <v>0</v>
      </c>
      <c r="E355" s="69" t="n">
        <f aca="false">E351-E354</f>
        <v>0</v>
      </c>
      <c r="F355" s="69" t="n">
        <f aca="false">F351-F354</f>
        <v>0</v>
      </c>
      <c r="G355" s="69" t="n">
        <f aca="false">G351-G354</f>
        <v>0</v>
      </c>
      <c r="H355" s="69" t="n">
        <f aca="false">H351-H354</f>
        <v>0</v>
      </c>
      <c r="I355" s="69" t="n">
        <f aca="false">I351-I354</f>
        <v>0</v>
      </c>
      <c r="J355" s="69" t="n">
        <f aca="false">J351-J354</f>
        <v>0</v>
      </c>
      <c r="K355" s="69" t="n">
        <f aca="false">K351-K354</f>
        <v>0</v>
      </c>
      <c r="L355" s="69" t="n">
        <f aca="false">L351-L354</f>
        <v>0</v>
      </c>
      <c r="M355" s="69" t="n">
        <f aca="false">M351-M354</f>
        <v>0</v>
      </c>
      <c r="N355" s="69" t="n">
        <f aca="false">N351-N354</f>
        <v>0</v>
      </c>
      <c r="O355" s="69" t="n">
        <f aca="false">O351-O354</f>
        <v>0</v>
      </c>
      <c r="P355" s="69" t="n">
        <f aca="false">P351-P354</f>
        <v>0</v>
      </c>
      <c r="Q355" s="69" t="n">
        <f aca="false">Q351-Q354</f>
        <v>0</v>
      </c>
      <c r="R355" s="69" t="n">
        <f aca="false">R351-R354</f>
        <v>0</v>
      </c>
      <c r="S355" s="69" t="n">
        <f aca="false">S351-S354</f>
        <v>0</v>
      </c>
      <c r="T355" s="69" t="n">
        <f aca="false">T351-T354</f>
        <v>0</v>
      </c>
      <c r="U355" s="69" t="n">
        <f aca="false">U351-U354</f>
        <v>0</v>
      </c>
      <c r="V355" s="69" t="n">
        <f aca="false">V351-V354</f>
        <v>0</v>
      </c>
      <c r="W355" s="69" t="n">
        <f aca="false">W351-W354</f>
        <v>0</v>
      </c>
      <c r="X355" s="69" t="n">
        <f aca="false">X351-X354</f>
        <v>0</v>
      </c>
      <c r="Y355" s="69" t="n">
        <f aca="false">Y351-Y354</f>
        <v>0</v>
      </c>
      <c r="Z355" s="69" t="n">
        <f aca="false">Z351-Z354</f>
        <v>0</v>
      </c>
      <c r="AA355" s="69" t="n">
        <f aca="false">AA351-AA354</f>
        <v>0</v>
      </c>
      <c r="AB355" s="69" t="n">
        <f aca="false">AB351-AB354</f>
        <v>0</v>
      </c>
      <c r="AC355" s="69" t="n">
        <f aca="false">AC351-AC354</f>
        <v>0</v>
      </c>
      <c r="AD355" s="69" t="n">
        <f aca="false">AD351-AD354</f>
        <v>0</v>
      </c>
      <c r="AE355" s="69" t="n">
        <f aca="false">AE351-AE354</f>
        <v>0</v>
      </c>
      <c r="AF355" s="69" t="n">
        <f aca="false">AF351-AF354</f>
        <v>0</v>
      </c>
      <c r="AG355" s="69" t="n">
        <f aca="false">AG351-AG354</f>
        <v>0</v>
      </c>
      <c r="AH355" s="69" t="n">
        <f aca="false">AH351-AH354</f>
        <v>0</v>
      </c>
      <c r="AI355" s="69" t="n">
        <f aca="false">AI351-AI354</f>
        <v>0</v>
      </c>
      <c r="AJ355" s="69" t="n">
        <f aca="false">AJ351-AJ354</f>
        <v>0</v>
      </c>
      <c r="AK355" s="69" t="n">
        <f aca="false">AK351-AK354</f>
        <v>0</v>
      </c>
      <c r="AL355" s="69" t="n">
        <f aca="false">AL351-AL354</f>
        <v>0</v>
      </c>
      <c r="AM355" s="69" t="n">
        <f aca="false">AM351-AM354</f>
        <v>0</v>
      </c>
      <c r="AN355" s="69" t="n">
        <f aca="false">AN351-AN354</f>
        <v>0</v>
      </c>
      <c r="AO355" s="69" t="n">
        <f aca="false">AO351-AO354</f>
        <v>0</v>
      </c>
      <c r="AP355" s="69" t="n">
        <f aca="false">AP351-AP354</f>
        <v>0</v>
      </c>
      <c r="AQ355" s="69" t="n">
        <f aca="false">AQ351-AQ354</f>
        <v>0</v>
      </c>
      <c r="AR355" s="69" t="n">
        <f aca="false">AR351-AR354</f>
        <v>0</v>
      </c>
      <c r="AS355" s="69" t="n">
        <f aca="false">AS351-AS354</f>
        <v>0</v>
      </c>
      <c r="AT355" s="69" t="n">
        <f aca="false">AT351-AT354</f>
        <v>0</v>
      </c>
      <c r="AU355" s="69" t="n">
        <f aca="false">AU351-AU354</f>
        <v>0</v>
      </c>
      <c r="AV355" s="69" t="n">
        <f aca="false">AV351-AV354</f>
        <v>0</v>
      </c>
      <c r="AW355" s="69" t="n">
        <f aca="false">AW351-AW354</f>
        <v>0</v>
      </c>
      <c r="AX355" s="69" t="n">
        <f aca="false">AX351-AX354</f>
        <v>0</v>
      </c>
      <c r="AY355" s="69" t="n">
        <f aca="false">AY351-AY354</f>
        <v>0</v>
      </c>
      <c r="AZ355" s="69" t="n">
        <f aca="false">AZ351-AZ354</f>
        <v>0</v>
      </c>
      <c r="BA355" s="69" t="n">
        <f aca="false">BA351-BA354</f>
        <v>0</v>
      </c>
      <c r="BB355" s="69" t="n">
        <f aca="false">BB351-BB354</f>
        <v>0</v>
      </c>
      <c r="BC355" s="69" t="n">
        <f aca="false">BC351-BC354</f>
        <v>0</v>
      </c>
      <c r="BD355" s="69" t="n">
        <f aca="false">BD351-BD354</f>
        <v>0</v>
      </c>
      <c r="BE355" s="69" t="n">
        <f aca="false">BE351-BE354</f>
        <v>0</v>
      </c>
      <c r="BF355" s="69" t="n">
        <f aca="false">BF351-BF354</f>
        <v>0</v>
      </c>
      <c r="BG355" s="69" t="n">
        <f aca="false">BG351-BG354</f>
        <v>0</v>
      </c>
      <c r="BH355" s="69" t="n">
        <f aca="false">BH351-BH354</f>
        <v>0</v>
      </c>
      <c r="BI355" s="69" t="n">
        <f aca="false">BI351-BI354</f>
        <v>0</v>
      </c>
      <c r="BJ355" s="69" t="n">
        <f aca="false">BJ351-BJ354</f>
        <v>0</v>
      </c>
    </row>
    <row r="357" customFormat="false" ht="15.75" hidden="false" customHeight="true" outlineLevel="0" collapsed="false">
      <c r="A357" s="7" t="s">
        <v>455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customFormat="false" ht="15" hidden="false" customHeight="false" outlineLevel="0" collapsed="false">
      <c r="A358" s="6" t="s">
        <v>456</v>
      </c>
      <c r="C358" s="119" t="n">
        <f aca="false">Inputs!$D$51*(1+Inputs!$D$53)^(C$251-1)*MAX(0,MIN(1,C$250*1-Inputs!$D$54+1))/1</f>
        <v>5</v>
      </c>
      <c r="D358" s="119" t="n">
        <f aca="false">Inputs!$D$51*(1+Inputs!$D$53)^(D$251-1)*MAX(0,MIN(1,D$250*1-Inputs!$D$54+1))/1</f>
        <v>5</v>
      </c>
      <c r="E358" s="119" t="n">
        <f aca="false">Inputs!$D$51*(1+Inputs!$D$53)^(E$251-1)*MAX(0,MIN(1,E$250*1-Inputs!$D$54+1))/1</f>
        <v>5</v>
      </c>
      <c r="F358" s="119" t="n">
        <f aca="false">Inputs!$D$51*(1+Inputs!$D$53)^(F$251-1)*MAX(0,MIN(1,F$250*1-Inputs!$D$54+1))/1</f>
        <v>5</v>
      </c>
      <c r="G358" s="119" t="n">
        <f aca="false">Inputs!$D$51*(1+Inputs!$D$53)^(G$251-1)*MAX(0,MIN(1,G$250*1-Inputs!$D$54+1))/1</f>
        <v>5</v>
      </c>
      <c r="H358" s="119" t="n">
        <f aca="false">Inputs!$D$51*(1+Inputs!$D$53)^(H$251-1)*MAX(0,MIN(1,H$250*1-Inputs!$D$54+1))/1</f>
        <v>5</v>
      </c>
      <c r="I358" s="119" t="n">
        <f aca="false">Inputs!$D$51*(1+Inputs!$D$53)^(I$251-1)*MAX(0,MIN(1,I$250*1-Inputs!$D$54+1))/1</f>
        <v>5</v>
      </c>
      <c r="J358" s="119" t="n">
        <f aca="false">Inputs!$D$51*(1+Inputs!$D$53)^(J$251-1)*MAX(0,MIN(1,J$250*1-Inputs!$D$54+1))/1</f>
        <v>5</v>
      </c>
      <c r="K358" s="119" t="n">
        <f aca="false">Inputs!$D$51*(1+Inputs!$D$53)^(K$251-1)*MAX(0,MIN(1,K$250*1-Inputs!$D$54+1))/1</f>
        <v>5</v>
      </c>
      <c r="L358" s="119" t="n">
        <f aca="false">Inputs!$D$51*(1+Inputs!$D$53)^(L$251-1)*MAX(0,MIN(1,L$250*1-Inputs!$D$54+1))/1</f>
        <v>5</v>
      </c>
      <c r="M358" s="119" t="n">
        <f aca="false">Inputs!$D$51*(1+Inputs!$D$53)^(M$251-1)*MAX(0,MIN(1,M$250*1-Inputs!$D$54+1))/1</f>
        <v>5</v>
      </c>
      <c r="N358" s="119" t="n">
        <f aca="false">Inputs!$D$51*(1+Inputs!$D$53)^(N$251-1)*MAX(0,MIN(1,N$250*1-Inputs!$D$54+1))/1</f>
        <v>5</v>
      </c>
      <c r="O358" s="119" t="n">
        <f aca="false">Inputs!$D$51*(1+Inputs!$D$53)^(O$251-1)*MAX(0,MIN(1,O$250*1-Inputs!$D$54+1))/1</f>
        <v>5</v>
      </c>
      <c r="P358" s="119" t="n">
        <f aca="false">Inputs!$D$51*(1+Inputs!$D$53)^(P$251-1)*MAX(0,MIN(1,P$250*1-Inputs!$D$54+1))/1</f>
        <v>5</v>
      </c>
      <c r="Q358" s="119" t="n">
        <f aca="false">Inputs!$D$51*(1+Inputs!$D$53)^(Q$251-1)*MAX(0,MIN(1,Q$250*1-Inputs!$D$54+1))/1</f>
        <v>5</v>
      </c>
      <c r="R358" s="119" t="n">
        <f aca="false">Inputs!$D$51*(1+Inputs!$D$53)^(R$251-1)*MAX(0,MIN(1,R$250*1-Inputs!$D$54+1))/1</f>
        <v>5</v>
      </c>
      <c r="S358" s="119" t="n">
        <f aca="false">Inputs!$D$51*(1+Inputs!$D$53)^(S$251-1)*MAX(0,MIN(1,S$250*1-Inputs!$D$54+1))/1</f>
        <v>5</v>
      </c>
      <c r="T358" s="119" t="n">
        <f aca="false">Inputs!$D$51*(1+Inputs!$D$53)^(T$251-1)*MAX(0,MIN(1,T$250*1-Inputs!$D$54+1))/1</f>
        <v>5</v>
      </c>
      <c r="U358" s="119" t="n">
        <f aca="false">Inputs!$D$51*(1+Inputs!$D$53)^(U$251-1)*MAX(0,MIN(1,U$250*1-Inputs!$D$54+1))/1</f>
        <v>5</v>
      </c>
      <c r="V358" s="119" t="n">
        <f aca="false">Inputs!$D$51*(1+Inputs!$D$53)^(V$251-1)*MAX(0,MIN(1,V$250*1-Inputs!$D$54+1))/1</f>
        <v>5</v>
      </c>
      <c r="W358" s="119" t="n">
        <f aca="false">Inputs!$D$51*(1+Inputs!$D$53)^(W$251-1)*MAX(0,MIN(1,W$250*1-Inputs!$D$54+1))/1</f>
        <v>5</v>
      </c>
      <c r="X358" s="119" t="n">
        <f aca="false">Inputs!$D$51*(1+Inputs!$D$53)^(X$251-1)*MAX(0,MIN(1,X$250*1-Inputs!$D$54+1))/1</f>
        <v>5</v>
      </c>
      <c r="Y358" s="119" t="n">
        <f aca="false">Inputs!$D$51*(1+Inputs!$D$53)^(Y$251-1)*MAX(0,MIN(1,Y$250*1-Inputs!$D$54+1))/1</f>
        <v>5</v>
      </c>
      <c r="Z358" s="119" t="n">
        <f aca="false">Inputs!$D$51*(1+Inputs!$D$53)^(Z$251-1)*MAX(0,MIN(1,Z$250*1-Inputs!$D$54+1))/1</f>
        <v>5</v>
      </c>
      <c r="AA358" s="119" t="n">
        <f aca="false">Inputs!$D$51*(1+Inputs!$D$53)^(AA$251-1)*MAX(0,MIN(1,AA$250*1-Inputs!$D$54+1))/1</f>
        <v>5</v>
      </c>
      <c r="AB358" s="119" t="n">
        <f aca="false">Inputs!$D$51*(1+Inputs!$D$53)^(AB$251-1)*MAX(0,MIN(1,AB$250*1-Inputs!$D$54+1))/1</f>
        <v>5</v>
      </c>
      <c r="AC358" s="119" t="n">
        <f aca="false">Inputs!$D$51*(1+Inputs!$D$53)^(AC$251-1)*MAX(0,MIN(1,AC$250*1-Inputs!$D$54+1))/1</f>
        <v>5</v>
      </c>
      <c r="AD358" s="119" t="n">
        <f aca="false">Inputs!$D$51*(1+Inputs!$D$53)^(AD$251-1)*MAX(0,MIN(1,AD$250*1-Inputs!$D$54+1))/1</f>
        <v>5</v>
      </c>
      <c r="AE358" s="119" t="n">
        <f aca="false">Inputs!$D$51*(1+Inputs!$D$53)^(AE$251-1)*MAX(0,MIN(1,AE$250*1-Inputs!$D$54+1))/1</f>
        <v>5</v>
      </c>
      <c r="AF358" s="119" t="n">
        <f aca="false">Inputs!$D$51*(1+Inputs!$D$53)^(AF$251-1)*MAX(0,MIN(1,AF$250*1-Inputs!$D$54+1))/1</f>
        <v>5</v>
      </c>
      <c r="AG358" s="119" t="n">
        <f aca="false">Inputs!$D$51*(1+Inputs!$D$53)^(AG$251-1)*MAX(0,MIN(1,AG$250*1-Inputs!$D$54+1))/1</f>
        <v>5</v>
      </c>
      <c r="AH358" s="119" t="n">
        <f aca="false">Inputs!$D$51*(1+Inputs!$D$53)^(AH$251-1)*MAX(0,MIN(1,AH$250*1-Inputs!$D$54+1))/1</f>
        <v>5</v>
      </c>
      <c r="AI358" s="119" t="n">
        <f aca="false">Inputs!$D$51*(1+Inputs!$D$53)^(AI$251-1)*MAX(0,MIN(1,AI$250*1-Inputs!$D$54+1))/1</f>
        <v>5</v>
      </c>
      <c r="AJ358" s="119" t="n">
        <f aca="false">Inputs!$D$51*(1+Inputs!$D$53)^(AJ$251-1)*MAX(0,MIN(1,AJ$250*1-Inputs!$D$54+1))/1</f>
        <v>5</v>
      </c>
      <c r="AK358" s="119" t="n">
        <f aca="false">Inputs!$D$51*(1+Inputs!$D$53)^(AK$251-1)*MAX(0,MIN(1,AK$250*1-Inputs!$D$54+1))/1</f>
        <v>5</v>
      </c>
      <c r="AL358" s="119" t="n">
        <f aca="false">Inputs!$D$51*(1+Inputs!$D$53)^(AL$251-1)*MAX(0,MIN(1,AL$250*1-Inputs!$D$54+1))/1</f>
        <v>5</v>
      </c>
      <c r="AM358" s="119" t="n">
        <f aca="false">Inputs!$D$51*(1+Inputs!$D$53)^(AM$251-1)*MAX(0,MIN(1,AM$250*1-Inputs!$D$54+1))/1</f>
        <v>5</v>
      </c>
      <c r="AN358" s="119" t="n">
        <f aca="false">Inputs!$D$51*(1+Inputs!$D$53)^(AN$251-1)*MAX(0,MIN(1,AN$250*1-Inputs!$D$54+1))/1</f>
        <v>5</v>
      </c>
      <c r="AO358" s="119" t="n">
        <f aca="false">Inputs!$D$51*(1+Inputs!$D$53)^(AO$251-1)*MAX(0,MIN(1,AO$250*1-Inputs!$D$54+1))/1</f>
        <v>5</v>
      </c>
      <c r="AP358" s="119" t="n">
        <f aca="false">Inputs!$D$51*(1+Inputs!$D$53)^(AP$251-1)*MAX(0,MIN(1,AP$250*1-Inputs!$D$54+1))/1</f>
        <v>5</v>
      </c>
      <c r="AQ358" s="119" t="n">
        <f aca="false">Inputs!$D$51*(1+Inputs!$D$53)^(AQ$251-1)*MAX(0,MIN(1,AQ$250*1-Inputs!$D$54+1))/1</f>
        <v>5</v>
      </c>
      <c r="AR358" s="119" t="n">
        <f aca="false">Inputs!$D$51*(1+Inputs!$D$53)^(AR$251-1)*MAX(0,MIN(1,AR$250*1-Inputs!$D$54+1))/1</f>
        <v>5</v>
      </c>
      <c r="AS358" s="119" t="n">
        <f aca="false">Inputs!$D$51*(1+Inputs!$D$53)^(AS$251-1)*MAX(0,MIN(1,AS$250*1-Inputs!$D$54+1))/1</f>
        <v>5</v>
      </c>
      <c r="AT358" s="119" t="n">
        <f aca="false">Inputs!$D$51*(1+Inputs!$D$53)^(AT$251-1)*MAX(0,MIN(1,AT$250*1-Inputs!$D$54+1))/1</f>
        <v>5</v>
      </c>
      <c r="AU358" s="119" t="n">
        <f aca="false">Inputs!$D$51*(1+Inputs!$D$53)^(AU$251-1)*MAX(0,MIN(1,AU$250*1-Inputs!$D$54+1))/1</f>
        <v>5</v>
      </c>
      <c r="AV358" s="119" t="n">
        <f aca="false">Inputs!$D$51*(1+Inputs!$D$53)^(AV$251-1)*MAX(0,MIN(1,AV$250*1-Inputs!$D$54+1))/1</f>
        <v>5</v>
      </c>
      <c r="AW358" s="119" t="n">
        <f aca="false">Inputs!$D$51*(1+Inputs!$D$53)^(AW$251-1)*MAX(0,MIN(1,AW$250*1-Inputs!$D$54+1))/1</f>
        <v>5</v>
      </c>
      <c r="AX358" s="119" t="n">
        <f aca="false">Inputs!$D$51*(1+Inputs!$D$53)^(AX$251-1)*MAX(0,MIN(1,AX$250*1-Inputs!$D$54+1))/1</f>
        <v>5</v>
      </c>
      <c r="AY358" s="119" t="n">
        <f aca="false">Inputs!$D$51*(1+Inputs!$D$53)^(AY$251-1)*MAX(0,MIN(1,AY$250*1-Inputs!$D$54+1))/1</f>
        <v>5</v>
      </c>
      <c r="AZ358" s="119" t="n">
        <f aca="false">Inputs!$D$51*(1+Inputs!$D$53)^(AZ$251-1)*MAX(0,MIN(1,AZ$250*1-Inputs!$D$54+1))/1</f>
        <v>5</v>
      </c>
      <c r="BA358" s="119" t="n">
        <f aca="false">Inputs!$D$51*(1+Inputs!$D$53)^(BA$251-1)*MAX(0,MIN(1,BA$250*1-Inputs!$D$54+1))/1</f>
        <v>5</v>
      </c>
      <c r="BB358" s="119" t="n">
        <f aca="false">Inputs!$D$51*(1+Inputs!$D$53)^(BB$251-1)*MAX(0,MIN(1,BB$250*1-Inputs!$D$54+1))/1</f>
        <v>5</v>
      </c>
      <c r="BC358" s="119" t="n">
        <f aca="false">Inputs!$D$51*(1+Inputs!$D$53)^(BC$251-1)*MAX(0,MIN(1,BC$250*1-Inputs!$D$54+1))/1</f>
        <v>5</v>
      </c>
      <c r="BD358" s="119" t="n">
        <f aca="false">Inputs!$D$51*(1+Inputs!$D$53)^(BD$251-1)*MAX(0,MIN(1,BD$250*1-Inputs!$D$54+1))/1</f>
        <v>5</v>
      </c>
      <c r="BE358" s="119" t="n">
        <f aca="false">Inputs!$D$51*(1+Inputs!$D$53)^(BE$251-1)*MAX(0,MIN(1,BE$250*1-Inputs!$D$54+1))/1</f>
        <v>5</v>
      </c>
      <c r="BF358" s="119" t="n">
        <f aca="false">Inputs!$D$51*(1+Inputs!$D$53)^(BF$251-1)*MAX(0,MIN(1,BF$250*1-Inputs!$D$54+1))/1</f>
        <v>5</v>
      </c>
      <c r="BG358" s="119" t="n">
        <f aca="false">Inputs!$D$51*(1+Inputs!$D$53)^(BG$251-1)*MAX(0,MIN(1,BG$250*1-Inputs!$D$54+1))/1</f>
        <v>5</v>
      </c>
      <c r="BH358" s="119" t="n">
        <f aca="false">Inputs!$D$51*(1+Inputs!$D$53)^(BH$251-1)*MAX(0,MIN(1,BH$250*1-Inputs!$D$54+1))/1</f>
        <v>5</v>
      </c>
      <c r="BI358" s="119" t="n">
        <f aca="false">Inputs!$D$51*(1+Inputs!$D$53)^(BI$251-1)*MAX(0,MIN(1,BI$250*1-Inputs!$D$54+1))/1</f>
        <v>5</v>
      </c>
      <c r="BJ358" s="119" t="n">
        <f aca="false">Inputs!$D$51*(1+Inputs!$D$53)^(BJ$251-1)*MAX(0,MIN(1,BJ$250*1-Inputs!$D$54+1))/1</f>
        <v>5</v>
      </c>
    </row>
    <row r="359" customFormat="false" ht="15" hidden="false" customHeight="false" outlineLevel="0" collapsed="false">
      <c r="A359" s="6" t="s">
        <v>457</v>
      </c>
      <c r="C359" s="119" t="n">
        <f aca="false">Inputs!$D$55*(1+Inputs!$D$57)^(C$251-1)*MAX(0,MIN(1,C$250*1-Inputs!$D$58+1))/1</f>
        <v>2</v>
      </c>
      <c r="D359" s="119" t="n">
        <f aca="false">Inputs!$D$55*(1+Inputs!$D$57)^(D$251-1)*MAX(0,MIN(1,D$250*1-Inputs!$D$58+1))/1</f>
        <v>2</v>
      </c>
      <c r="E359" s="119" t="n">
        <f aca="false">Inputs!$D$55*(1+Inputs!$D$57)^(E$251-1)*MAX(0,MIN(1,E$250*1-Inputs!$D$58+1))/1</f>
        <v>2</v>
      </c>
      <c r="F359" s="119" t="n">
        <f aca="false">Inputs!$D$55*(1+Inputs!$D$57)^(F$251-1)*MAX(0,MIN(1,F$250*1-Inputs!$D$58+1))/1</f>
        <v>2</v>
      </c>
      <c r="G359" s="119" t="n">
        <f aca="false">Inputs!$D$55*(1+Inputs!$D$57)^(G$251-1)*MAX(0,MIN(1,G$250*1-Inputs!$D$58+1))/1</f>
        <v>2</v>
      </c>
      <c r="H359" s="119" t="n">
        <f aca="false">Inputs!$D$55*(1+Inputs!$D$57)^(H$251-1)*MAX(0,MIN(1,H$250*1-Inputs!$D$58+1))/1</f>
        <v>2</v>
      </c>
      <c r="I359" s="119" t="n">
        <f aca="false">Inputs!$D$55*(1+Inputs!$D$57)^(I$251-1)*MAX(0,MIN(1,I$250*1-Inputs!$D$58+1))/1</f>
        <v>2</v>
      </c>
      <c r="J359" s="119" t="n">
        <f aca="false">Inputs!$D$55*(1+Inputs!$D$57)^(J$251-1)*MAX(0,MIN(1,J$250*1-Inputs!$D$58+1))/1</f>
        <v>2</v>
      </c>
      <c r="K359" s="119" t="n">
        <f aca="false">Inputs!$D$55*(1+Inputs!$D$57)^(K$251-1)*MAX(0,MIN(1,K$250*1-Inputs!$D$58+1))/1</f>
        <v>2</v>
      </c>
      <c r="L359" s="119" t="n">
        <f aca="false">Inputs!$D$55*(1+Inputs!$D$57)^(L$251-1)*MAX(0,MIN(1,L$250*1-Inputs!$D$58+1))/1</f>
        <v>2</v>
      </c>
      <c r="M359" s="119" t="n">
        <f aca="false">Inputs!$D$55*(1+Inputs!$D$57)^(M$251-1)*MAX(0,MIN(1,M$250*1-Inputs!$D$58+1))/1</f>
        <v>2</v>
      </c>
      <c r="N359" s="119" t="n">
        <f aca="false">Inputs!$D$55*(1+Inputs!$D$57)^(N$251-1)*MAX(0,MIN(1,N$250*1-Inputs!$D$58+1))/1</f>
        <v>2</v>
      </c>
      <c r="O359" s="119" t="n">
        <f aca="false">Inputs!$D$55*(1+Inputs!$D$57)^(O$251-1)*MAX(0,MIN(1,O$250*1-Inputs!$D$58+1))/1</f>
        <v>2</v>
      </c>
      <c r="P359" s="119" t="n">
        <f aca="false">Inputs!$D$55*(1+Inputs!$D$57)^(P$251-1)*MAX(0,MIN(1,P$250*1-Inputs!$D$58+1))/1</f>
        <v>2</v>
      </c>
      <c r="Q359" s="119" t="n">
        <f aca="false">Inputs!$D$55*(1+Inputs!$D$57)^(Q$251-1)*MAX(0,MIN(1,Q$250*1-Inputs!$D$58+1))/1</f>
        <v>2</v>
      </c>
      <c r="R359" s="119" t="n">
        <f aca="false">Inputs!$D$55*(1+Inputs!$D$57)^(R$251-1)*MAX(0,MIN(1,R$250*1-Inputs!$D$58+1))/1</f>
        <v>2</v>
      </c>
      <c r="S359" s="119" t="n">
        <f aca="false">Inputs!$D$55*(1+Inputs!$D$57)^(S$251-1)*MAX(0,MIN(1,S$250*1-Inputs!$D$58+1))/1</f>
        <v>2</v>
      </c>
      <c r="T359" s="119" t="n">
        <f aca="false">Inputs!$D$55*(1+Inputs!$D$57)^(T$251-1)*MAX(0,MIN(1,T$250*1-Inputs!$D$58+1))/1</f>
        <v>2</v>
      </c>
      <c r="U359" s="119" t="n">
        <f aca="false">Inputs!$D$55*(1+Inputs!$D$57)^(U$251-1)*MAX(0,MIN(1,U$250*1-Inputs!$D$58+1))/1</f>
        <v>2</v>
      </c>
      <c r="V359" s="119" t="n">
        <f aca="false">Inputs!$D$55*(1+Inputs!$D$57)^(V$251-1)*MAX(0,MIN(1,V$250*1-Inputs!$D$58+1))/1</f>
        <v>2</v>
      </c>
      <c r="W359" s="119" t="n">
        <f aca="false">Inputs!$D$55*(1+Inputs!$D$57)^(W$251-1)*MAX(0,MIN(1,W$250*1-Inputs!$D$58+1))/1</f>
        <v>2</v>
      </c>
      <c r="X359" s="119" t="n">
        <f aca="false">Inputs!$D$55*(1+Inputs!$D$57)^(X$251-1)*MAX(0,MIN(1,X$250*1-Inputs!$D$58+1))/1</f>
        <v>2</v>
      </c>
      <c r="Y359" s="119" t="n">
        <f aca="false">Inputs!$D$55*(1+Inputs!$D$57)^(Y$251-1)*MAX(0,MIN(1,Y$250*1-Inputs!$D$58+1))/1</f>
        <v>2</v>
      </c>
      <c r="Z359" s="119" t="n">
        <f aca="false">Inputs!$D$55*(1+Inputs!$D$57)^(Z$251-1)*MAX(0,MIN(1,Z$250*1-Inputs!$D$58+1))/1</f>
        <v>2</v>
      </c>
      <c r="AA359" s="119" t="n">
        <f aca="false">Inputs!$D$55*(1+Inputs!$D$57)^(AA$251-1)*MAX(0,MIN(1,AA$250*1-Inputs!$D$58+1))/1</f>
        <v>2</v>
      </c>
      <c r="AB359" s="119" t="n">
        <f aca="false">Inputs!$D$55*(1+Inputs!$D$57)^(AB$251-1)*MAX(0,MIN(1,AB$250*1-Inputs!$D$58+1))/1</f>
        <v>2</v>
      </c>
      <c r="AC359" s="119" t="n">
        <f aca="false">Inputs!$D$55*(1+Inputs!$D$57)^(AC$251-1)*MAX(0,MIN(1,AC$250*1-Inputs!$D$58+1))/1</f>
        <v>2</v>
      </c>
      <c r="AD359" s="119" t="n">
        <f aca="false">Inputs!$D$55*(1+Inputs!$D$57)^(AD$251-1)*MAX(0,MIN(1,AD$250*1-Inputs!$D$58+1))/1</f>
        <v>2</v>
      </c>
      <c r="AE359" s="119" t="n">
        <f aca="false">Inputs!$D$55*(1+Inputs!$D$57)^(AE$251-1)*MAX(0,MIN(1,AE$250*1-Inputs!$D$58+1))/1</f>
        <v>2</v>
      </c>
      <c r="AF359" s="119" t="n">
        <f aca="false">Inputs!$D$55*(1+Inputs!$D$57)^(AF$251-1)*MAX(0,MIN(1,AF$250*1-Inputs!$D$58+1))/1</f>
        <v>2</v>
      </c>
      <c r="AG359" s="119" t="n">
        <f aca="false">Inputs!$D$55*(1+Inputs!$D$57)^(AG$251-1)*MAX(0,MIN(1,AG$250*1-Inputs!$D$58+1))/1</f>
        <v>2</v>
      </c>
      <c r="AH359" s="119" t="n">
        <f aca="false">Inputs!$D$55*(1+Inputs!$D$57)^(AH$251-1)*MAX(0,MIN(1,AH$250*1-Inputs!$D$58+1))/1</f>
        <v>2</v>
      </c>
      <c r="AI359" s="119" t="n">
        <f aca="false">Inputs!$D$55*(1+Inputs!$D$57)^(AI$251-1)*MAX(0,MIN(1,AI$250*1-Inputs!$D$58+1))/1</f>
        <v>2</v>
      </c>
      <c r="AJ359" s="119" t="n">
        <f aca="false">Inputs!$D$55*(1+Inputs!$D$57)^(AJ$251-1)*MAX(0,MIN(1,AJ$250*1-Inputs!$D$58+1))/1</f>
        <v>2</v>
      </c>
      <c r="AK359" s="119" t="n">
        <f aca="false">Inputs!$D$55*(1+Inputs!$D$57)^(AK$251-1)*MAX(0,MIN(1,AK$250*1-Inputs!$D$58+1))/1</f>
        <v>2</v>
      </c>
      <c r="AL359" s="119" t="n">
        <f aca="false">Inputs!$D$55*(1+Inputs!$D$57)^(AL$251-1)*MAX(0,MIN(1,AL$250*1-Inputs!$D$58+1))/1</f>
        <v>2</v>
      </c>
      <c r="AM359" s="119" t="n">
        <f aca="false">Inputs!$D$55*(1+Inputs!$D$57)^(AM$251-1)*MAX(0,MIN(1,AM$250*1-Inputs!$D$58+1))/1</f>
        <v>2</v>
      </c>
      <c r="AN359" s="119" t="n">
        <f aca="false">Inputs!$D$55*(1+Inputs!$D$57)^(AN$251-1)*MAX(0,MIN(1,AN$250*1-Inputs!$D$58+1))/1</f>
        <v>2</v>
      </c>
      <c r="AO359" s="119" t="n">
        <f aca="false">Inputs!$D$55*(1+Inputs!$D$57)^(AO$251-1)*MAX(0,MIN(1,AO$250*1-Inputs!$D$58+1))/1</f>
        <v>2</v>
      </c>
      <c r="AP359" s="119" t="n">
        <f aca="false">Inputs!$D$55*(1+Inputs!$D$57)^(AP$251-1)*MAX(0,MIN(1,AP$250*1-Inputs!$D$58+1))/1</f>
        <v>2</v>
      </c>
      <c r="AQ359" s="119" t="n">
        <f aca="false">Inputs!$D$55*(1+Inputs!$D$57)^(AQ$251-1)*MAX(0,MIN(1,AQ$250*1-Inputs!$D$58+1))/1</f>
        <v>2</v>
      </c>
      <c r="AR359" s="119" t="n">
        <f aca="false">Inputs!$D$55*(1+Inputs!$D$57)^(AR$251-1)*MAX(0,MIN(1,AR$250*1-Inputs!$D$58+1))/1</f>
        <v>2</v>
      </c>
      <c r="AS359" s="119" t="n">
        <f aca="false">Inputs!$D$55*(1+Inputs!$D$57)^(AS$251-1)*MAX(0,MIN(1,AS$250*1-Inputs!$D$58+1))/1</f>
        <v>2</v>
      </c>
      <c r="AT359" s="119" t="n">
        <f aca="false">Inputs!$D$55*(1+Inputs!$D$57)^(AT$251-1)*MAX(0,MIN(1,AT$250*1-Inputs!$D$58+1))/1</f>
        <v>2</v>
      </c>
      <c r="AU359" s="119" t="n">
        <f aca="false">Inputs!$D$55*(1+Inputs!$D$57)^(AU$251-1)*MAX(0,MIN(1,AU$250*1-Inputs!$D$58+1))/1</f>
        <v>2</v>
      </c>
      <c r="AV359" s="119" t="n">
        <f aca="false">Inputs!$D$55*(1+Inputs!$D$57)^(AV$251-1)*MAX(0,MIN(1,AV$250*1-Inputs!$D$58+1))/1</f>
        <v>2</v>
      </c>
      <c r="AW359" s="119" t="n">
        <f aca="false">Inputs!$D$55*(1+Inputs!$D$57)^(AW$251-1)*MAX(0,MIN(1,AW$250*1-Inputs!$D$58+1))/1</f>
        <v>2</v>
      </c>
      <c r="AX359" s="119" t="n">
        <f aca="false">Inputs!$D$55*(1+Inputs!$D$57)^(AX$251-1)*MAX(0,MIN(1,AX$250*1-Inputs!$D$58+1))/1</f>
        <v>2</v>
      </c>
      <c r="AY359" s="119" t="n">
        <f aca="false">Inputs!$D$55*(1+Inputs!$D$57)^(AY$251-1)*MAX(0,MIN(1,AY$250*1-Inputs!$D$58+1))/1</f>
        <v>2</v>
      </c>
      <c r="AZ359" s="119" t="n">
        <f aca="false">Inputs!$D$55*(1+Inputs!$D$57)^(AZ$251-1)*MAX(0,MIN(1,AZ$250*1-Inputs!$D$58+1))/1</f>
        <v>2</v>
      </c>
      <c r="BA359" s="119" t="n">
        <f aca="false">Inputs!$D$55*(1+Inputs!$D$57)^(BA$251-1)*MAX(0,MIN(1,BA$250*1-Inputs!$D$58+1))/1</f>
        <v>2</v>
      </c>
      <c r="BB359" s="119" t="n">
        <f aca="false">Inputs!$D$55*(1+Inputs!$D$57)^(BB$251-1)*MAX(0,MIN(1,BB$250*1-Inputs!$D$58+1))/1</f>
        <v>2</v>
      </c>
      <c r="BC359" s="119" t="n">
        <f aca="false">Inputs!$D$55*(1+Inputs!$D$57)^(BC$251-1)*MAX(0,MIN(1,BC$250*1-Inputs!$D$58+1))/1</f>
        <v>2</v>
      </c>
      <c r="BD359" s="119" t="n">
        <f aca="false">Inputs!$D$55*(1+Inputs!$D$57)^(BD$251-1)*MAX(0,MIN(1,BD$250*1-Inputs!$D$58+1))/1</f>
        <v>2</v>
      </c>
      <c r="BE359" s="119" t="n">
        <f aca="false">Inputs!$D$55*(1+Inputs!$D$57)^(BE$251-1)*MAX(0,MIN(1,BE$250*1-Inputs!$D$58+1))/1</f>
        <v>2</v>
      </c>
      <c r="BF359" s="119" t="n">
        <f aca="false">Inputs!$D$55*(1+Inputs!$D$57)^(BF$251-1)*MAX(0,MIN(1,BF$250*1-Inputs!$D$58+1))/1</f>
        <v>2</v>
      </c>
      <c r="BG359" s="119" t="n">
        <f aca="false">Inputs!$D$55*(1+Inputs!$D$57)^(BG$251-1)*MAX(0,MIN(1,BG$250*1-Inputs!$D$58+1))/1</f>
        <v>2</v>
      </c>
      <c r="BH359" s="119" t="n">
        <f aca="false">Inputs!$D$55*(1+Inputs!$D$57)^(BH$251-1)*MAX(0,MIN(1,BH$250*1-Inputs!$D$58+1))/1</f>
        <v>2</v>
      </c>
      <c r="BI359" s="119" t="n">
        <f aca="false">Inputs!$D$55*(1+Inputs!$D$57)^(BI$251-1)*MAX(0,MIN(1,BI$250*1-Inputs!$D$58+1))/1</f>
        <v>2</v>
      </c>
      <c r="BJ359" s="119" t="n">
        <f aca="false">Inputs!$D$55*(1+Inputs!$D$57)^(BJ$251-1)*MAX(0,MIN(1,BJ$250*1-Inputs!$D$58+1))/1</f>
        <v>2</v>
      </c>
    </row>
    <row r="360" customFormat="false" ht="15" hidden="false" customHeight="false" outlineLevel="0" collapsed="false">
      <c r="A360" s="6" t="s">
        <v>458</v>
      </c>
      <c r="C360" s="119" t="n">
        <f aca="false">Inputs!$D$59*(1+Inputs!$D$61)^(C$251-1)*MAX(0,MIN(1,C$250*1-Inputs!$D$62+1))/1</f>
        <v>1</v>
      </c>
      <c r="D360" s="119" t="n">
        <f aca="false">Inputs!$D$59*(1+Inputs!$D$61)^(D$251-1)*MAX(0,MIN(1,D$250*1-Inputs!$D$62+1))/1</f>
        <v>1</v>
      </c>
      <c r="E360" s="119" t="n">
        <f aca="false">Inputs!$D$59*(1+Inputs!$D$61)^(E$251-1)*MAX(0,MIN(1,E$250*1-Inputs!$D$62+1))/1</f>
        <v>1</v>
      </c>
      <c r="F360" s="119" t="n">
        <f aca="false">Inputs!$D$59*(1+Inputs!$D$61)^(F$251-1)*MAX(0,MIN(1,F$250*1-Inputs!$D$62+1))/1</f>
        <v>1</v>
      </c>
      <c r="G360" s="119" t="n">
        <f aca="false">Inputs!$D$59*(1+Inputs!$D$61)^(G$251-1)*MAX(0,MIN(1,G$250*1-Inputs!$D$62+1))/1</f>
        <v>1</v>
      </c>
      <c r="H360" s="119" t="n">
        <f aca="false">Inputs!$D$59*(1+Inputs!$D$61)^(H$251-1)*MAX(0,MIN(1,H$250*1-Inputs!$D$62+1))/1</f>
        <v>1</v>
      </c>
      <c r="I360" s="119" t="n">
        <f aca="false">Inputs!$D$59*(1+Inputs!$D$61)^(I$251-1)*MAX(0,MIN(1,I$250*1-Inputs!$D$62+1))/1</f>
        <v>1</v>
      </c>
      <c r="J360" s="119" t="n">
        <f aca="false">Inputs!$D$59*(1+Inputs!$D$61)^(J$251-1)*MAX(0,MIN(1,J$250*1-Inputs!$D$62+1))/1</f>
        <v>1</v>
      </c>
      <c r="K360" s="119" t="n">
        <f aca="false">Inputs!$D$59*(1+Inputs!$D$61)^(K$251-1)*MAX(0,MIN(1,K$250*1-Inputs!$D$62+1))/1</f>
        <v>1</v>
      </c>
      <c r="L360" s="119" t="n">
        <f aca="false">Inputs!$D$59*(1+Inputs!$D$61)^(L$251-1)*MAX(0,MIN(1,L$250*1-Inputs!$D$62+1))/1</f>
        <v>1</v>
      </c>
      <c r="M360" s="119" t="n">
        <f aca="false">Inputs!$D$59*(1+Inputs!$D$61)^(M$251-1)*MAX(0,MIN(1,M$250*1-Inputs!$D$62+1))/1</f>
        <v>1</v>
      </c>
      <c r="N360" s="119" t="n">
        <f aca="false">Inputs!$D$59*(1+Inputs!$D$61)^(N$251-1)*MAX(0,MIN(1,N$250*1-Inputs!$D$62+1))/1</f>
        <v>1</v>
      </c>
      <c r="O360" s="119" t="n">
        <f aca="false">Inputs!$D$59*(1+Inputs!$D$61)^(O$251-1)*MAX(0,MIN(1,O$250*1-Inputs!$D$62+1))/1</f>
        <v>1</v>
      </c>
      <c r="P360" s="119" t="n">
        <f aca="false">Inputs!$D$59*(1+Inputs!$D$61)^(P$251-1)*MAX(0,MIN(1,P$250*1-Inputs!$D$62+1))/1</f>
        <v>1</v>
      </c>
      <c r="Q360" s="119" t="n">
        <f aca="false">Inputs!$D$59*(1+Inputs!$D$61)^(Q$251-1)*MAX(0,MIN(1,Q$250*1-Inputs!$D$62+1))/1</f>
        <v>1</v>
      </c>
      <c r="R360" s="119" t="n">
        <f aca="false">Inputs!$D$59*(1+Inputs!$D$61)^(R$251-1)*MAX(0,MIN(1,R$250*1-Inputs!$D$62+1))/1</f>
        <v>1</v>
      </c>
      <c r="S360" s="119" t="n">
        <f aca="false">Inputs!$D$59*(1+Inputs!$D$61)^(S$251-1)*MAX(0,MIN(1,S$250*1-Inputs!$D$62+1))/1</f>
        <v>1</v>
      </c>
      <c r="T360" s="119" t="n">
        <f aca="false">Inputs!$D$59*(1+Inputs!$D$61)^(T$251-1)*MAX(0,MIN(1,T$250*1-Inputs!$D$62+1))/1</f>
        <v>1</v>
      </c>
      <c r="U360" s="119" t="n">
        <f aca="false">Inputs!$D$59*(1+Inputs!$D$61)^(U$251-1)*MAX(0,MIN(1,U$250*1-Inputs!$D$62+1))/1</f>
        <v>1</v>
      </c>
      <c r="V360" s="119" t="n">
        <f aca="false">Inputs!$D$59*(1+Inputs!$D$61)^(V$251-1)*MAX(0,MIN(1,V$250*1-Inputs!$D$62+1))/1</f>
        <v>1</v>
      </c>
      <c r="W360" s="119" t="n">
        <f aca="false">Inputs!$D$59*(1+Inputs!$D$61)^(W$251-1)*MAX(0,MIN(1,W$250*1-Inputs!$D$62+1))/1</f>
        <v>1</v>
      </c>
      <c r="X360" s="119" t="n">
        <f aca="false">Inputs!$D$59*(1+Inputs!$D$61)^(X$251-1)*MAX(0,MIN(1,X$250*1-Inputs!$D$62+1))/1</f>
        <v>1</v>
      </c>
      <c r="Y360" s="119" t="n">
        <f aca="false">Inputs!$D$59*(1+Inputs!$D$61)^(Y$251-1)*MAX(0,MIN(1,Y$250*1-Inputs!$D$62+1))/1</f>
        <v>1</v>
      </c>
      <c r="Z360" s="119" t="n">
        <f aca="false">Inputs!$D$59*(1+Inputs!$D$61)^(Z$251-1)*MAX(0,MIN(1,Z$250*1-Inputs!$D$62+1))/1</f>
        <v>1</v>
      </c>
      <c r="AA360" s="119" t="n">
        <f aca="false">Inputs!$D$59*(1+Inputs!$D$61)^(AA$251-1)*MAX(0,MIN(1,AA$250*1-Inputs!$D$62+1))/1</f>
        <v>1</v>
      </c>
      <c r="AB360" s="119" t="n">
        <f aca="false">Inputs!$D$59*(1+Inputs!$D$61)^(AB$251-1)*MAX(0,MIN(1,AB$250*1-Inputs!$D$62+1))/1</f>
        <v>1</v>
      </c>
      <c r="AC360" s="119" t="n">
        <f aca="false">Inputs!$D$59*(1+Inputs!$D$61)^(AC$251-1)*MAX(0,MIN(1,AC$250*1-Inputs!$D$62+1))/1</f>
        <v>1</v>
      </c>
      <c r="AD360" s="119" t="n">
        <f aca="false">Inputs!$D$59*(1+Inputs!$D$61)^(AD$251-1)*MAX(0,MIN(1,AD$250*1-Inputs!$D$62+1))/1</f>
        <v>1</v>
      </c>
      <c r="AE360" s="119" t="n">
        <f aca="false">Inputs!$D$59*(1+Inputs!$D$61)^(AE$251-1)*MAX(0,MIN(1,AE$250*1-Inputs!$D$62+1))/1</f>
        <v>1</v>
      </c>
      <c r="AF360" s="119" t="n">
        <f aca="false">Inputs!$D$59*(1+Inputs!$D$61)^(AF$251-1)*MAX(0,MIN(1,AF$250*1-Inputs!$D$62+1))/1</f>
        <v>1</v>
      </c>
      <c r="AG360" s="119" t="n">
        <f aca="false">Inputs!$D$59*(1+Inputs!$D$61)^(AG$251-1)*MAX(0,MIN(1,AG$250*1-Inputs!$D$62+1))/1</f>
        <v>1</v>
      </c>
      <c r="AH360" s="119" t="n">
        <f aca="false">Inputs!$D$59*(1+Inputs!$D$61)^(AH$251-1)*MAX(0,MIN(1,AH$250*1-Inputs!$D$62+1))/1</f>
        <v>1</v>
      </c>
      <c r="AI360" s="119" t="n">
        <f aca="false">Inputs!$D$59*(1+Inputs!$D$61)^(AI$251-1)*MAX(0,MIN(1,AI$250*1-Inputs!$D$62+1))/1</f>
        <v>1</v>
      </c>
      <c r="AJ360" s="119" t="n">
        <f aca="false">Inputs!$D$59*(1+Inputs!$D$61)^(AJ$251-1)*MAX(0,MIN(1,AJ$250*1-Inputs!$D$62+1))/1</f>
        <v>1</v>
      </c>
      <c r="AK360" s="119" t="n">
        <f aca="false">Inputs!$D$59*(1+Inputs!$D$61)^(AK$251-1)*MAX(0,MIN(1,AK$250*1-Inputs!$D$62+1))/1</f>
        <v>1</v>
      </c>
      <c r="AL360" s="119" t="n">
        <f aca="false">Inputs!$D$59*(1+Inputs!$D$61)^(AL$251-1)*MAX(0,MIN(1,AL$250*1-Inputs!$D$62+1))/1</f>
        <v>1</v>
      </c>
      <c r="AM360" s="119" t="n">
        <f aca="false">Inputs!$D$59*(1+Inputs!$D$61)^(AM$251-1)*MAX(0,MIN(1,AM$250*1-Inputs!$D$62+1))/1</f>
        <v>1</v>
      </c>
      <c r="AN360" s="119" t="n">
        <f aca="false">Inputs!$D$59*(1+Inputs!$D$61)^(AN$251-1)*MAX(0,MIN(1,AN$250*1-Inputs!$D$62+1))/1</f>
        <v>1</v>
      </c>
      <c r="AO360" s="119" t="n">
        <f aca="false">Inputs!$D$59*(1+Inputs!$D$61)^(AO$251-1)*MAX(0,MIN(1,AO$250*1-Inputs!$D$62+1))/1</f>
        <v>1</v>
      </c>
      <c r="AP360" s="119" t="n">
        <f aca="false">Inputs!$D$59*(1+Inputs!$D$61)^(AP$251-1)*MAX(0,MIN(1,AP$250*1-Inputs!$D$62+1))/1</f>
        <v>1</v>
      </c>
      <c r="AQ360" s="119" t="n">
        <f aca="false">Inputs!$D$59*(1+Inputs!$D$61)^(AQ$251-1)*MAX(0,MIN(1,AQ$250*1-Inputs!$D$62+1))/1</f>
        <v>1</v>
      </c>
      <c r="AR360" s="119" t="n">
        <f aca="false">Inputs!$D$59*(1+Inputs!$D$61)^(AR$251-1)*MAX(0,MIN(1,AR$250*1-Inputs!$D$62+1))/1</f>
        <v>1</v>
      </c>
      <c r="AS360" s="119" t="n">
        <f aca="false">Inputs!$D$59*(1+Inputs!$D$61)^(AS$251-1)*MAX(0,MIN(1,AS$250*1-Inputs!$D$62+1))/1</f>
        <v>1</v>
      </c>
      <c r="AT360" s="119" t="n">
        <f aca="false">Inputs!$D$59*(1+Inputs!$D$61)^(AT$251-1)*MAX(0,MIN(1,AT$250*1-Inputs!$D$62+1))/1</f>
        <v>1</v>
      </c>
      <c r="AU360" s="119" t="n">
        <f aca="false">Inputs!$D$59*(1+Inputs!$D$61)^(AU$251-1)*MAX(0,MIN(1,AU$250*1-Inputs!$D$62+1))/1</f>
        <v>1</v>
      </c>
      <c r="AV360" s="119" t="n">
        <f aca="false">Inputs!$D$59*(1+Inputs!$D$61)^(AV$251-1)*MAX(0,MIN(1,AV$250*1-Inputs!$D$62+1))/1</f>
        <v>1</v>
      </c>
      <c r="AW360" s="119" t="n">
        <f aca="false">Inputs!$D$59*(1+Inputs!$D$61)^(AW$251-1)*MAX(0,MIN(1,AW$250*1-Inputs!$D$62+1))/1</f>
        <v>1</v>
      </c>
      <c r="AX360" s="119" t="n">
        <f aca="false">Inputs!$D$59*(1+Inputs!$D$61)^(AX$251-1)*MAX(0,MIN(1,AX$250*1-Inputs!$D$62+1))/1</f>
        <v>1</v>
      </c>
      <c r="AY360" s="119" t="n">
        <f aca="false">Inputs!$D$59*(1+Inputs!$D$61)^(AY$251-1)*MAX(0,MIN(1,AY$250*1-Inputs!$D$62+1))/1</f>
        <v>1</v>
      </c>
      <c r="AZ360" s="119" t="n">
        <f aca="false">Inputs!$D$59*(1+Inputs!$D$61)^(AZ$251-1)*MAX(0,MIN(1,AZ$250*1-Inputs!$D$62+1))/1</f>
        <v>1</v>
      </c>
      <c r="BA360" s="119" t="n">
        <f aca="false">Inputs!$D$59*(1+Inputs!$D$61)^(BA$251-1)*MAX(0,MIN(1,BA$250*1-Inputs!$D$62+1))/1</f>
        <v>1</v>
      </c>
      <c r="BB360" s="119" t="n">
        <f aca="false">Inputs!$D$59*(1+Inputs!$D$61)^(BB$251-1)*MAX(0,MIN(1,BB$250*1-Inputs!$D$62+1))/1</f>
        <v>1</v>
      </c>
      <c r="BC360" s="119" t="n">
        <f aca="false">Inputs!$D$59*(1+Inputs!$D$61)^(BC$251-1)*MAX(0,MIN(1,BC$250*1-Inputs!$D$62+1))/1</f>
        <v>1</v>
      </c>
      <c r="BD360" s="119" t="n">
        <f aca="false">Inputs!$D$59*(1+Inputs!$D$61)^(BD$251-1)*MAX(0,MIN(1,BD$250*1-Inputs!$D$62+1))/1</f>
        <v>1</v>
      </c>
      <c r="BE360" s="119" t="n">
        <f aca="false">Inputs!$D$59*(1+Inputs!$D$61)^(BE$251-1)*MAX(0,MIN(1,BE$250*1-Inputs!$D$62+1))/1</f>
        <v>1</v>
      </c>
      <c r="BF360" s="119" t="n">
        <f aca="false">Inputs!$D$59*(1+Inputs!$D$61)^(BF$251-1)*MAX(0,MIN(1,BF$250*1-Inputs!$D$62+1))/1</f>
        <v>1</v>
      </c>
      <c r="BG360" s="119" t="n">
        <f aca="false">Inputs!$D$59*(1+Inputs!$D$61)^(BG$251-1)*MAX(0,MIN(1,BG$250*1-Inputs!$D$62+1))/1</f>
        <v>1</v>
      </c>
      <c r="BH360" s="119" t="n">
        <f aca="false">Inputs!$D$59*(1+Inputs!$D$61)^(BH$251-1)*MAX(0,MIN(1,BH$250*1-Inputs!$D$62+1))/1</f>
        <v>1</v>
      </c>
      <c r="BI360" s="119" t="n">
        <f aca="false">Inputs!$D$59*(1+Inputs!$D$61)^(BI$251-1)*MAX(0,MIN(1,BI$250*1-Inputs!$D$62+1))/1</f>
        <v>1</v>
      </c>
      <c r="BJ360" s="119" t="n">
        <f aca="false">Inputs!$D$59*(1+Inputs!$D$61)^(BJ$251-1)*MAX(0,MIN(1,BJ$250*1-Inputs!$D$62+1))/1</f>
        <v>1</v>
      </c>
    </row>
    <row r="361" customFormat="false" ht="15" hidden="false" customHeight="false" outlineLevel="0" collapsed="false">
      <c r="A361" s="115" t="s">
        <v>459</v>
      </c>
      <c r="C361" s="124" t="n">
        <f aca="false">C358+C359+C360</f>
        <v>8</v>
      </c>
      <c r="D361" s="124" t="n">
        <f aca="false">D358+D359+D360</f>
        <v>8</v>
      </c>
      <c r="E361" s="124" t="n">
        <f aca="false">E358+E359+E360</f>
        <v>8</v>
      </c>
      <c r="F361" s="124" t="n">
        <f aca="false">F358+F359+F360</f>
        <v>8</v>
      </c>
      <c r="G361" s="124" t="n">
        <f aca="false">G358+G359+G360</f>
        <v>8</v>
      </c>
      <c r="H361" s="124" t="n">
        <f aca="false">H358+H359+H360</f>
        <v>8</v>
      </c>
      <c r="I361" s="124" t="n">
        <f aca="false">I358+I359+I360</f>
        <v>8</v>
      </c>
      <c r="J361" s="124" t="n">
        <f aca="false">J358+J359+J360</f>
        <v>8</v>
      </c>
      <c r="K361" s="124" t="n">
        <f aca="false">K358+K359+K360</f>
        <v>8</v>
      </c>
      <c r="L361" s="124" t="n">
        <f aca="false">L358+L359+L360</f>
        <v>8</v>
      </c>
      <c r="M361" s="124" t="n">
        <f aca="false">M358+M359+M360</f>
        <v>8</v>
      </c>
      <c r="N361" s="124" t="n">
        <f aca="false">N358+N359+N360</f>
        <v>8</v>
      </c>
      <c r="O361" s="124" t="n">
        <f aca="false">O358+O359+O360</f>
        <v>8</v>
      </c>
      <c r="P361" s="124" t="n">
        <f aca="false">P358+P359+P360</f>
        <v>8</v>
      </c>
      <c r="Q361" s="124" t="n">
        <f aca="false">Q358+Q359+Q360</f>
        <v>8</v>
      </c>
      <c r="R361" s="124" t="n">
        <f aca="false">R358+R359+R360</f>
        <v>8</v>
      </c>
      <c r="S361" s="124" t="n">
        <f aca="false">S358+S359+S360</f>
        <v>8</v>
      </c>
      <c r="T361" s="124" t="n">
        <f aca="false">T358+T359+T360</f>
        <v>8</v>
      </c>
      <c r="U361" s="124" t="n">
        <f aca="false">U358+U359+U360</f>
        <v>8</v>
      </c>
      <c r="V361" s="124" t="n">
        <f aca="false">V358+V359+V360</f>
        <v>8</v>
      </c>
      <c r="W361" s="124" t="n">
        <f aca="false">W358+W359+W360</f>
        <v>8</v>
      </c>
      <c r="X361" s="124" t="n">
        <f aca="false">X358+X359+X360</f>
        <v>8</v>
      </c>
      <c r="Y361" s="124" t="n">
        <f aca="false">Y358+Y359+Y360</f>
        <v>8</v>
      </c>
      <c r="Z361" s="124" t="n">
        <f aca="false">Z358+Z359+Z360</f>
        <v>8</v>
      </c>
      <c r="AA361" s="124" t="n">
        <f aca="false">AA358+AA359+AA360</f>
        <v>8</v>
      </c>
      <c r="AB361" s="124" t="n">
        <f aca="false">AB358+AB359+AB360</f>
        <v>8</v>
      </c>
      <c r="AC361" s="124" t="n">
        <f aca="false">AC358+AC359+AC360</f>
        <v>8</v>
      </c>
      <c r="AD361" s="124" t="n">
        <f aca="false">AD358+AD359+AD360</f>
        <v>8</v>
      </c>
      <c r="AE361" s="124" t="n">
        <f aca="false">AE358+AE359+AE360</f>
        <v>8</v>
      </c>
      <c r="AF361" s="124" t="n">
        <f aca="false">AF358+AF359+AF360</f>
        <v>8</v>
      </c>
      <c r="AG361" s="124" t="n">
        <f aca="false">AG358+AG359+AG360</f>
        <v>8</v>
      </c>
      <c r="AH361" s="124" t="n">
        <f aca="false">AH358+AH359+AH360</f>
        <v>8</v>
      </c>
      <c r="AI361" s="124" t="n">
        <f aca="false">AI358+AI359+AI360</f>
        <v>8</v>
      </c>
      <c r="AJ361" s="124" t="n">
        <f aca="false">AJ358+AJ359+AJ360</f>
        <v>8</v>
      </c>
      <c r="AK361" s="124" t="n">
        <f aca="false">AK358+AK359+AK360</f>
        <v>8</v>
      </c>
      <c r="AL361" s="124" t="n">
        <f aca="false">AL358+AL359+AL360</f>
        <v>8</v>
      </c>
      <c r="AM361" s="124" t="n">
        <f aca="false">AM358+AM359+AM360</f>
        <v>8</v>
      </c>
      <c r="AN361" s="124" t="n">
        <f aca="false">AN358+AN359+AN360</f>
        <v>8</v>
      </c>
      <c r="AO361" s="124" t="n">
        <f aca="false">AO358+AO359+AO360</f>
        <v>8</v>
      </c>
      <c r="AP361" s="124" t="n">
        <f aca="false">AP358+AP359+AP360</f>
        <v>8</v>
      </c>
      <c r="AQ361" s="124" t="n">
        <f aca="false">AQ358+AQ359+AQ360</f>
        <v>8</v>
      </c>
      <c r="AR361" s="124" t="n">
        <f aca="false">AR358+AR359+AR360</f>
        <v>8</v>
      </c>
      <c r="AS361" s="124" t="n">
        <f aca="false">AS358+AS359+AS360</f>
        <v>8</v>
      </c>
      <c r="AT361" s="124" t="n">
        <f aca="false">AT358+AT359+AT360</f>
        <v>8</v>
      </c>
      <c r="AU361" s="124" t="n">
        <f aca="false">AU358+AU359+AU360</f>
        <v>8</v>
      </c>
      <c r="AV361" s="124" t="n">
        <f aca="false">AV358+AV359+AV360</f>
        <v>8</v>
      </c>
      <c r="AW361" s="124" t="n">
        <f aca="false">AW358+AW359+AW360</f>
        <v>8</v>
      </c>
      <c r="AX361" s="124" t="n">
        <f aca="false">AX358+AX359+AX360</f>
        <v>8</v>
      </c>
      <c r="AY361" s="124" t="n">
        <f aca="false">AY358+AY359+AY360</f>
        <v>8</v>
      </c>
      <c r="AZ361" s="124" t="n">
        <f aca="false">AZ358+AZ359+AZ360</f>
        <v>8</v>
      </c>
      <c r="BA361" s="124" t="n">
        <f aca="false">BA358+BA359+BA360</f>
        <v>8</v>
      </c>
      <c r="BB361" s="124" t="n">
        <f aca="false">BB358+BB359+BB360</f>
        <v>8</v>
      </c>
      <c r="BC361" s="124" t="n">
        <f aca="false">BC358+BC359+BC360</f>
        <v>8</v>
      </c>
      <c r="BD361" s="124" t="n">
        <f aca="false">BD358+BD359+BD360</f>
        <v>8</v>
      </c>
      <c r="BE361" s="124" t="n">
        <f aca="false">BE358+BE359+BE360</f>
        <v>8</v>
      </c>
      <c r="BF361" s="124" t="n">
        <f aca="false">BF358+BF359+BF360</f>
        <v>8</v>
      </c>
      <c r="BG361" s="124" t="n">
        <f aca="false">BG358+BG359+BG360</f>
        <v>8</v>
      </c>
      <c r="BH361" s="124" t="n">
        <f aca="false">BH358+BH359+BH360</f>
        <v>8</v>
      </c>
      <c r="BI361" s="124" t="n">
        <f aca="false">BI358+BI359+BI360</f>
        <v>8</v>
      </c>
      <c r="BJ361" s="124" t="n">
        <f aca="false">BJ358+BJ359+BJ360</f>
        <v>8</v>
      </c>
    </row>
    <row r="363" customFormat="false" ht="15.75" hidden="false" customHeight="true" outlineLevel="0" collapsed="false">
      <c r="A363" s="7" t="s">
        <v>460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 customFormat="false" ht="15" hidden="false" customHeight="false" outlineLevel="0" collapsed="false">
      <c r="A364" s="6" t="s">
        <v>461</v>
      </c>
      <c r="C364" s="69" t="n">
        <f aca="false">-C358*Inputs!$D$52/12*1*(1+Inputs!$D$63)*(1+Inputs!$D$64)^(C$251-1)</f>
        <v>-37375</v>
      </c>
      <c r="D364" s="69" t="n">
        <f aca="false">-D358*Inputs!$D$52/12*1*(1+Inputs!$D$63)*(1+Inputs!$D$64)^(D$251-1)</f>
        <v>-37375</v>
      </c>
      <c r="E364" s="69" t="n">
        <f aca="false">-E358*Inputs!$D$52/12*1*(1+Inputs!$D$63)*(1+Inputs!$D$64)^(E$251-1)</f>
        <v>-37375</v>
      </c>
      <c r="F364" s="69" t="n">
        <f aca="false">-F358*Inputs!$D$52/12*1*(1+Inputs!$D$63)*(1+Inputs!$D$64)^(F$251-1)</f>
        <v>-37375</v>
      </c>
      <c r="G364" s="69" t="n">
        <f aca="false">-G358*Inputs!$D$52/12*1*(1+Inputs!$D$63)*(1+Inputs!$D$64)^(G$251-1)</f>
        <v>-37375</v>
      </c>
      <c r="H364" s="69" t="n">
        <f aca="false">-H358*Inputs!$D$52/12*1*(1+Inputs!$D$63)*(1+Inputs!$D$64)^(H$251-1)</f>
        <v>-37375</v>
      </c>
      <c r="I364" s="69" t="n">
        <f aca="false">-I358*Inputs!$D$52/12*1*(1+Inputs!$D$63)*(1+Inputs!$D$64)^(I$251-1)</f>
        <v>-37375</v>
      </c>
      <c r="J364" s="69" t="n">
        <f aca="false">-J358*Inputs!$D$52/12*1*(1+Inputs!$D$63)*(1+Inputs!$D$64)^(J$251-1)</f>
        <v>-37375</v>
      </c>
      <c r="K364" s="69" t="n">
        <f aca="false">-K358*Inputs!$D$52/12*1*(1+Inputs!$D$63)*(1+Inputs!$D$64)^(K$251-1)</f>
        <v>-37375</v>
      </c>
      <c r="L364" s="69" t="n">
        <f aca="false">-L358*Inputs!$D$52/12*1*(1+Inputs!$D$63)*(1+Inputs!$D$64)^(L$251-1)</f>
        <v>-37375</v>
      </c>
      <c r="M364" s="69" t="n">
        <f aca="false">-M358*Inputs!$D$52/12*1*(1+Inputs!$D$63)*(1+Inputs!$D$64)^(M$251-1)</f>
        <v>-37375</v>
      </c>
      <c r="N364" s="69" t="n">
        <f aca="false">-N358*Inputs!$D$52/12*1*(1+Inputs!$D$63)*(1+Inputs!$D$64)^(N$251-1)</f>
        <v>-37375</v>
      </c>
      <c r="O364" s="69" t="n">
        <f aca="false">-O358*Inputs!$D$52/12*1*(1+Inputs!$D$63)*(1+Inputs!$D$64)^(O$251-1)</f>
        <v>-38496.25</v>
      </c>
      <c r="P364" s="69" t="n">
        <f aca="false">-P358*Inputs!$D$52/12*1*(1+Inputs!$D$63)*(1+Inputs!$D$64)^(P$251-1)</f>
        <v>-38496.25</v>
      </c>
      <c r="Q364" s="69" t="n">
        <f aca="false">-Q358*Inputs!$D$52/12*1*(1+Inputs!$D$63)*(1+Inputs!$D$64)^(Q$251-1)</f>
        <v>-38496.25</v>
      </c>
      <c r="R364" s="69" t="n">
        <f aca="false">-R358*Inputs!$D$52/12*1*(1+Inputs!$D$63)*(1+Inputs!$D$64)^(R$251-1)</f>
        <v>-38496.25</v>
      </c>
      <c r="S364" s="69" t="n">
        <f aca="false">-S358*Inputs!$D$52/12*1*(1+Inputs!$D$63)*(1+Inputs!$D$64)^(S$251-1)</f>
        <v>-38496.25</v>
      </c>
      <c r="T364" s="69" t="n">
        <f aca="false">-T358*Inputs!$D$52/12*1*(1+Inputs!$D$63)*(1+Inputs!$D$64)^(T$251-1)</f>
        <v>-38496.25</v>
      </c>
      <c r="U364" s="69" t="n">
        <f aca="false">-U358*Inputs!$D$52/12*1*(1+Inputs!$D$63)*(1+Inputs!$D$64)^(U$251-1)</f>
        <v>-38496.25</v>
      </c>
      <c r="V364" s="69" t="n">
        <f aca="false">-V358*Inputs!$D$52/12*1*(1+Inputs!$D$63)*(1+Inputs!$D$64)^(V$251-1)</f>
        <v>-38496.25</v>
      </c>
      <c r="W364" s="69" t="n">
        <f aca="false">-W358*Inputs!$D$52/12*1*(1+Inputs!$D$63)*(1+Inputs!$D$64)^(W$251-1)</f>
        <v>-38496.25</v>
      </c>
      <c r="X364" s="69" t="n">
        <f aca="false">-X358*Inputs!$D$52/12*1*(1+Inputs!$D$63)*(1+Inputs!$D$64)^(X$251-1)</f>
        <v>-38496.25</v>
      </c>
      <c r="Y364" s="69" t="n">
        <f aca="false">-Y358*Inputs!$D$52/12*1*(1+Inputs!$D$63)*(1+Inputs!$D$64)^(Y$251-1)</f>
        <v>-38496.25</v>
      </c>
      <c r="Z364" s="69" t="n">
        <f aca="false">-Z358*Inputs!$D$52/12*1*(1+Inputs!$D$63)*(1+Inputs!$D$64)^(Z$251-1)</f>
        <v>-38496.25</v>
      </c>
      <c r="AA364" s="69" t="n">
        <f aca="false">-AA358*Inputs!$D$52/12*1*(1+Inputs!$D$63)*(1+Inputs!$D$64)^(AA$251-1)</f>
        <v>-39651.1375</v>
      </c>
      <c r="AB364" s="69" t="n">
        <f aca="false">-AB358*Inputs!$D$52/12*1*(1+Inputs!$D$63)*(1+Inputs!$D$64)^(AB$251-1)</f>
        <v>-39651.1375</v>
      </c>
      <c r="AC364" s="69" t="n">
        <f aca="false">-AC358*Inputs!$D$52/12*1*(1+Inputs!$D$63)*(1+Inputs!$D$64)^(AC$251-1)</f>
        <v>-39651.1375</v>
      </c>
      <c r="AD364" s="69" t="n">
        <f aca="false">-AD358*Inputs!$D$52/12*1*(1+Inputs!$D$63)*(1+Inputs!$D$64)^(AD$251-1)</f>
        <v>-39651.1375</v>
      </c>
      <c r="AE364" s="69" t="n">
        <f aca="false">-AE358*Inputs!$D$52/12*1*(1+Inputs!$D$63)*(1+Inputs!$D$64)^(AE$251-1)</f>
        <v>-39651.1375</v>
      </c>
      <c r="AF364" s="69" t="n">
        <f aca="false">-AF358*Inputs!$D$52/12*1*(1+Inputs!$D$63)*(1+Inputs!$D$64)^(AF$251-1)</f>
        <v>-39651.1375</v>
      </c>
      <c r="AG364" s="69" t="n">
        <f aca="false">-AG358*Inputs!$D$52/12*1*(1+Inputs!$D$63)*(1+Inputs!$D$64)^(AG$251-1)</f>
        <v>-39651.1375</v>
      </c>
      <c r="AH364" s="69" t="n">
        <f aca="false">-AH358*Inputs!$D$52/12*1*(1+Inputs!$D$63)*(1+Inputs!$D$64)^(AH$251-1)</f>
        <v>-39651.1375</v>
      </c>
      <c r="AI364" s="69" t="n">
        <f aca="false">-AI358*Inputs!$D$52/12*1*(1+Inputs!$D$63)*(1+Inputs!$D$64)^(AI$251-1)</f>
        <v>-39651.1375</v>
      </c>
      <c r="AJ364" s="69" t="n">
        <f aca="false">-AJ358*Inputs!$D$52/12*1*(1+Inputs!$D$63)*(1+Inputs!$D$64)^(AJ$251-1)</f>
        <v>-39651.1375</v>
      </c>
      <c r="AK364" s="69" t="n">
        <f aca="false">-AK358*Inputs!$D$52/12*1*(1+Inputs!$D$63)*(1+Inputs!$D$64)^(AK$251-1)</f>
        <v>-39651.1375</v>
      </c>
      <c r="AL364" s="69" t="n">
        <f aca="false">-AL358*Inputs!$D$52/12*1*(1+Inputs!$D$63)*(1+Inputs!$D$64)^(AL$251-1)</f>
        <v>-39651.1375</v>
      </c>
      <c r="AM364" s="69" t="n">
        <f aca="false">-AM358*Inputs!$D$52/12*1*(1+Inputs!$D$63)*(1+Inputs!$D$64)^(AM$251-1)</f>
        <v>-40840.671625</v>
      </c>
      <c r="AN364" s="69" t="n">
        <f aca="false">-AN358*Inputs!$D$52/12*1*(1+Inputs!$D$63)*(1+Inputs!$D$64)^(AN$251-1)</f>
        <v>-40840.671625</v>
      </c>
      <c r="AO364" s="69" t="n">
        <f aca="false">-AO358*Inputs!$D$52/12*1*(1+Inputs!$D$63)*(1+Inputs!$D$64)^(AO$251-1)</f>
        <v>-40840.671625</v>
      </c>
      <c r="AP364" s="69" t="n">
        <f aca="false">-AP358*Inputs!$D$52/12*1*(1+Inputs!$D$63)*(1+Inputs!$D$64)^(AP$251-1)</f>
        <v>-40840.671625</v>
      </c>
      <c r="AQ364" s="69" t="n">
        <f aca="false">-AQ358*Inputs!$D$52/12*1*(1+Inputs!$D$63)*(1+Inputs!$D$64)^(AQ$251-1)</f>
        <v>-40840.671625</v>
      </c>
      <c r="AR364" s="69" t="n">
        <f aca="false">-AR358*Inputs!$D$52/12*1*(1+Inputs!$D$63)*(1+Inputs!$D$64)^(AR$251-1)</f>
        <v>-40840.671625</v>
      </c>
      <c r="AS364" s="69" t="n">
        <f aca="false">-AS358*Inputs!$D$52/12*1*(1+Inputs!$D$63)*(1+Inputs!$D$64)^(AS$251-1)</f>
        <v>-40840.671625</v>
      </c>
      <c r="AT364" s="69" t="n">
        <f aca="false">-AT358*Inputs!$D$52/12*1*(1+Inputs!$D$63)*(1+Inputs!$D$64)^(AT$251-1)</f>
        <v>-40840.671625</v>
      </c>
      <c r="AU364" s="69" t="n">
        <f aca="false">-AU358*Inputs!$D$52/12*1*(1+Inputs!$D$63)*(1+Inputs!$D$64)^(AU$251-1)</f>
        <v>-40840.671625</v>
      </c>
      <c r="AV364" s="69" t="n">
        <f aca="false">-AV358*Inputs!$D$52/12*1*(1+Inputs!$D$63)*(1+Inputs!$D$64)^(AV$251-1)</f>
        <v>-40840.671625</v>
      </c>
      <c r="AW364" s="69" t="n">
        <f aca="false">-AW358*Inputs!$D$52/12*1*(1+Inputs!$D$63)*(1+Inputs!$D$64)^(AW$251-1)</f>
        <v>-40840.671625</v>
      </c>
      <c r="AX364" s="69" t="n">
        <f aca="false">-AX358*Inputs!$D$52/12*1*(1+Inputs!$D$63)*(1+Inputs!$D$64)^(AX$251-1)</f>
        <v>-40840.671625</v>
      </c>
      <c r="AY364" s="69" t="n">
        <f aca="false">-AY358*Inputs!$D$52/12*1*(1+Inputs!$D$63)*(1+Inputs!$D$64)^(AY$251-1)</f>
        <v>-42065.89177375</v>
      </c>
      <c r="AZ364" s="69" t="n">
        <f aca="false">-AZ358*Inputs!$D$52/12*1*(1+Inputs!$D$63)*(1+Inputs!$D$64)^(AZ$251-1)</f>
        <v>-42065.89177375</v>
      </c>
      <c r="BA364" s="69" t="n">
        <f aca="false">-BA358*Inputs!$D$52/12*1*(1+Inputs!$D$63)*(1+Inputs!$D$64)^(BA$251-1)</f>
        <v>-42065.89177375</v>
      </c>
      <c r="BB364" s="69" t="n">
        <f aca="false">-BB358*Inputs!$D$52/12*1*(1+Inputs!$D$63)*(1+Inputs!$D$64)^(BB$251-1)</f>
        <v>-42065.89177375</v>
      </c>
      <c r="BC364" s="69" t="n">
        <f aca="false">-BC358*Inputs!$D$52/12*1*(1+Inputs!$D$63)*(1+Inputs!$D$64)^(BC$251-1)</f>
        <v>-42065.89177375</v>
      </c>
      <c r="BD364" s="69" t="n">
        <f aca="false">-BD358*Inputs!$D$52/12*1*(1+Inputs!$D$63)*(1+Inputs!$D$64)^(BD$251-1)</f>
        <v>-42065.89177375</v>
      </c>
      <c r="BE364" s="69" t="n">
        <f aca="false">-BE358*Inputs!$D$52/12*1*(1+Inputs!$D$63)*(1+Inputs!$D$64)^(BE$251-1)</f>
        <v>-42065.89177375</v>
      </c>
      <c r="BF364" s="69" t="n">
        <f aca="false">-BF358*Inputs!$D$52/12*1*(1+Inputs!$D$63)*(1+Inputs!$D$64)^(BF$251-1)</f>
        <v>-42065.89177375</v>
      </c>
      <c r="BG364" s="69" t="n">
        <f aca="false">-BG358*Inputs!$D$52/12*1*(1+Inputs!$D$63)*(1+Inputs!$D$64)^(BG$251-1)</f>
        <v>-42065.89177375</v>
      </c>
      <c r="BH364" s="69" t="n">
        <f aca="false">-BH358*Inputs!$D$52/12*1*(1+Inputs!$D$63)*(1+Inputs!$D$64)^(BH$251-1)</f>
        <v>-42065.89177375</v>
      </c>
      <c r="BI364" s="69" t="n">
        <f aca="false">-BI358*Inputs!$D$52/12*1*(1+Inputs!$D$63)*(1+Inputs!$D$64)^(BI$251-1)</f>
        <v>-42065.89177375</v>
      </c>
      <c r="BJ364" s="69" t="n">
        <f aca="false">-BJ358*Inputs!$D$52/12*1*(1+Inputs!$D$63)*(1+Inputs!$D$64)^(BJ$251-1)</f>
        <v>-42065.89177375</v>
      </c>
    </row>
    <row r="365" customFormat="false" ht="15" hidden="false" customHeight="false" outlineLevel="0" collapsed="false">
      <c r="A365" s="6" t="s">
        <v>462</v>
      </c>
      <c r="C365" s="69" t="n">
        <f aca="false">-C359*Inputs!$D$56/12*1*(1+Inputs!$D$63)*(1+Inputs!$D$64)^(C$251-1)</f>
        <v>-9583.33333333333</v>
      </c>
      <c r="D365" s="69" t="n">
        <f aca="false">-D359*Inputs!$D$56/12*1*(1+Inputs!$D$63)*(1+Inputs!$D$64)^(D$251-1)</f>
        <v>-9583.33333333333</v>
      </c>
      <c r="E365" s="69" t="n">
        <f aca="false">-E359*Inputs!$D$56/12*1*(1+Inputs!$D$63)*(1+Inputs!$D$64)^(E$251-1)</f>
        <v>-9583.33333333333</v>
      </c>
      <c r="F365" s="69" t="n">
        <f aca="false">-F359*Inputs!$D$56/12*1*(1+Inputs!$D$63)*(1+Inputs!$D$64)^(F$251-1)</f>
        <v>-9583.33333333333</v>
      </c>
      <c r="G365" s="69" t="n">
        <f aca="false">-G359*Inputs!$D$56/12*1*(1+Inputs!$D$63)*(1+Inputs!$D$64)^(G$251-1)</f>
        <v>-9583.33333333333</v>
      </c>
      <c r="H365" s="69" t="n">
        <f aca="false">-H359*Inputs!$D$56/12*1*(1+Inputs!$D$63)*(1+Inputs!$D$64)^(H$251-1)</f>
        <v>-9583.33333333333</v>
      </c>
      <c r="I365" s="69" t="n">
        <f aca="false">-I359*Inputs!$D$56/12*1*(1+Inputs!$D$63)*(1+Inputs!$D$64)^(I$251-1)</f>
        <v>-9583.33333333333</v>
      </c>
      <c r="J365" s="69" t="n">
        <f aca="false">-J359*Inputs!$D$56/12*1*(1+Inputs!$D$63)*(1+Inputs!$D$64)^(J$251-1)</f>
        <v>-9583.33333333333</v>
      </c>
      <c r="K365" s="69" t="n">
        <f aca="false">-K359*Inputs!$D$56/12*1*(1+Inputs!$D$63)*(1+Inputs!$D$64)^(K$251-1)</f>
        <v>-9583.33333333333</v>
      </c>
      <c r="L365" s="69" t="n">
        <f aca="false">-L359*Inputs!$D$56/12*1*(1+Inputs!$D$63)*(1+Inputs!$D$64)^(L$251-1)</f>
        <v>-9583.33333333333</v>
      </c>
      <c r="M365" s="69" t="n">
        <f aca="false">-M359*Inputs!$D$56/12*1*(1+Inputs!$D$63)*(1+Inputs!$D$64)^(M$251-1)</f>
        <v>-9583.33333333333</v>
      </c>
      <c r="N365" s="69" t="n">
        <f aca="false">-N359*Inputs!$D$56/12*1*(1+Inputs!$D$63)*(1+Inputs!$D$64)^(N$251-1)</f>
        <v>-9583.33333333333</v>
      </c>
      <c r="O365" s="69" t="n">
        <f aca="false">-O359*Inputs!$D$56/12*1*(1+Inputs!$D$63)*(1+Inputs!$D$64)^(O$251-1)</f>
        <v>-9870.83333333333</v>
      </c>
      <c r="P365" s="69" t="n">
        <f aca="false">-P359*Inputs!$D$56/12*1*(1+Inputs!$D$63)*(1+Inputs!$D$64)^(P$251-1)</f>
        <v>-9870.83333333333</v>
      </c>
      <c r="Q365" s="69" t="n">
        <f aca="false">-Q359*Inputs!$D$56/12*1*(1+Inputs!$D$63)*(1+Inputs!$D$64)^(Q$251-1)</f>
        <v>-9870.83333333333</v>
      </c>
      <c r="R365" s="69" t="n">
        <f aca="false">-R359*Inputs!$D$56/12*1*(1+Inputs!$D$63)*(1+Inputs!$D$64)^(R$251-1)</f>
        <v>-9870.83333333333</v>
      </c>
      <c r="S365" s="69" t="n">
        <f aca="false">-S359*Inputs!$D$56/12*1*(1+Inputs!$D$63)*(1+Inputs!$D$64)^(S$251-1)</f>
        <v>-9870.83333333333</v>
      </c>
      <c r="T365" s="69" t="n">
        <f aca="false">-T359*Inputs!$D$56/12*1*(1+Inputs!$D$63)*(1+Inputs!$D$64)^(T$251-1)</f>
        <v>-9870.83333333333</v>
      </c>
      <c r="U365" s="69" t="n">
        <f aca="false">-U359*Inputs!$D$56/12*1*(1+Inputs!$D$63)*(1+Inputs!$D$64)^(U$251-1)</f>
        <v>-9870.83333333333</v>
      </c>
      <c r="V365" s="69" t="n">
        <f aca="false">-V359*Inputs!$D$56/12*1*(1+Inputs!$D$63)*(1+Inputs!$D$64)^(V$251-1)</f>
        <v>-9870.83333333333</v>
      </c>
      <c r="W365" s="69" t="n">
        <f aca="false">-W359*Inputs!$D$56/12*1*(1+Inputs!$D$63)*(1+Inputs!$D$64)^(W$251-1)</f>
        <v>-9870.83333333333</v>
      </c>
      <c r="X365" s="69" t="n">
        <f aca="false">-X359*Inputs!$D$56/12*1*(1+Inputs!$D$63)*(1+Inputs!$D$64)^(X$251-1)</f>
        <v>-9870.83333333333</v>
      </c>
      <c r="Y365" s="69" t="n">
        <f aca="false">-Y359*Inputs!$D$56/12*1*(1+Inputs!$D$63)*(1+Inputs!$D$64)^(Y$251-1)</f>
        <v>-9870.83333333333</v>
      </c>
      <c r="Z365" s="69" t="n">
        <f aca="false">-Z359*Inputs!$D$56/12*1*(1+Inputs!$D$63)*(1+Inputs!$D$64)^(Z$251-1)</f>
        <v>-9870.83333333333</v>
      </c>
      <c r="AA365" s="69" t="n">
        <f aca="false">-AA359*Inputs!$D$56/12*1*(1+Inputs!$D$63)*(1+Inputs!$D$64)^(AA$251-1)</f>
        <v>-10166.9583333333</v>
      </c>
      <c r="AB365" s="69" t="n">
        <f aca="false">-AB359*Inputs!$D$56/12*1*(1+Inputs!$D$63)*(1+Inputs!$D$64)^(AB$251-1)</f>
        <v>-10166.9583333333</v>
      </c>
      <c r="AC365" s="69" t="n">
        <f aca="false">-AC359*Inputs!$D$56/12*1*(1+Inputs!$D$63)*(1+Inputs!$D$64)^(AC$251-1)</f>
        <v>-10166.9583333333</v>
      </c>
      <c r="AD365" s="69" t="n">
        <f aca="false">-AD359*Inputs!$D$56/12*1*(1+Inputs!$D$63)*(1+Inputs!$D$64)^(AD$251-1)</f>
        <v>-10166.9583333333</v>
      </c>
      <c r="AE365" s="69" t="n">
        <f aca="false">-AE359*Inputs!$D$56/12*1*(1+Inputs!$D$63)*(1+Inputs!$D$64)^(AE$251-1)</f>
        <v>-10166.9583333333</v>
      </c>
      <c r="AF365" s="69" t="n">
        <f aca="false">-AF359*Inputs!$D$56/12*1*(1+Inputs!$D$63)*(1+Inputs!$D$64)^(AF$251-1)</f>
        <v>-10166.9583333333</v>
      </c>
      <c r="AG365" s="69" t="n">
        <f aca="false">-AG359*Inputs!$D$56/12*1*(1+Inputs!$D$63)*(1+Inputs!$D$64)^(AG$251-1)</f>
        <v>-10166.9583333333</v>
      </c>
      <c r="AH365" s="69" t="n">
        <f aca="false">-AH359*Inputs!$D$56/12*1*(1+Inputs!$D$63)*(1+Inputs!$D$64)^(AH$251-1)</f>
        <v>-10166.9583333333</v>
      </c>
      <c r="AI365" s="69" t="n">
        <f aca="false">-AI359*Inputs!$D$56/12*1*(1+Inputs!$D$63)*(1+Inputs!$D$64)^(AI$251-1)</f>
        <v>-10166.9583333333</v>
      </c>
      <c r="AJ365" s="69" t="n">
        <f aca="false">-AJ359*Inputs!$D$56/12*1*(1+Inputs!$D$63)*(1+Inputs!$D$64)^(AJ$251-1)</f>
        <v>-10166.9583333333</v>
      </c>
      <c r="AK365" s="69" t="n">
        <f aca="false">-AK359*Inputs!$D$56/12*1*(1+Inputs!$D$63)*(1+Inputs!$D$64)^(AK$251-1)</f>
        <v>-10166.9583333333</v>
      </c>
      <c r="AL365" s="69" t="n">
        <f aca="false">-AL359*Inputs!$D$56/12*1*(1+Inputs!$D$63)*(1+Inputs!$D$64)^(AL$251-1)</f>
        <v>-10166.9583333333</v>
      </c>
      <c r="AM365" s="69" t="n">
        <f aca="false">-AM359*Inputs!$D$56/12*1*(1+Inputs!$D$63)*(1+Inputs!$D$64)^(AM$251-1)</f>
        <v>-10471.9670833333</v>
      </c>
      <c r="AN365" s="69" t="n">
        <f aca="false">-AN359*Inputs!$D$56/12*1*(1+Inputs!$D$63)*(1+Inputs!$D$64)^(AN$251-1)</f>
        <v>-10471.9670833333</v>
      </c>
      <c r="AO365" s="69" t="n">
        <f aca="false">-AO359*Inputs!$D$56/12*1*(1+Inputs!$D$63)*(1+Inputs!$D$64)^(AO$251-1)</f>
        <v>-10471.9670833333</v>
      </c>
      <c r="AP365" s="69" t="n">
        <f aca="false">-AP359*Inputs!$D$56/12*1*(1+Inputs!$D$63)*(1+Inputs!$D$64)^(AP$251-1)</f>
        <v>-10471.9670833333</v>
      </c>
      <c r="AQ365" s="69" t="n">
        <f aca="false">-AQ359*Inputs!$D$56/12*1*(1+Inputs!$D$63)*(1+Inputs!$D$64)^(AQ$251-1)</f>
        <v>-10471.9670833333</v>
      </c>
      <c r="AR365" s="69" t="n">
        <f aca="false">-AR359*Inputs!$D$56/12*1*(1+Inputs!$D$63)*(1+Inputs!$D$64)^(AR$251-1)</f>
        <v>-10471.9670833333</v>
      </c>
      <c r="AS365" s="69" t="n">
        <f aca="false">-AS359*Inputs!$D$56/12*1*(1+Inputs!$D$63)*(1+Inputs!$D$64)^(AS$251-1)</f>
        <v>-10471.9670833333</v>
      </c>
      <c r="AT365" s="69" t="n">
        <f aca="false">-AT359*Inputs!$D$56/12*1*(1+Inputs!$D$63)*(1+Inputs!$D$64)^(AT$251-1)</f>
        <v>-10471.9670833333</v>
      </c>
      <c r="AU365" s="69" t="n">
        <f aca="false">-AU359*Inputs!$D$56/12*1*(1+Inputs!$D$63)*(1+Inputs!$D$64)^(AU$251-1)</f>
        <v>-10471.9670833333</v>
      </c>
      <c r="AV365" s="69" t="n">
        <f aca="false">-AV359*Inputs!$D$56/12*1*(1+Inputs!$D$63)*(1+Inputs!$D$64)^(AV$251-1)</f>
        <v>-10471.9670833333</v>
      </c>
      <c r="AW365" s="69" t="n">
        <f aca="false">-AW359*Inputs!$D$56/12*1*(1+Inputs!$D$63)*(1+Inputs!$D$64)^(AW$251-1)</f>
        <v>-10471.9670833333</v>
      </c>
      <c r="AX365" s="69" t="n">
        <f aca="false">-AX359*Inputs!$D$56/12*1*(1+Inputs!$D$63)*(1+Inputs!$D$64)^(AX$251-1)</f>
        <v>-10471.9670833333</v>
      </c>
      <c r="AY365" s="69" t="n">
        <f aca="false">-AY359*Inputs!$D$56/12*1*(1+Inputs!$D$63)*(1+Inputs!$D$64)^(AY$251-1)</f>
        <v>-10786.1260958333</v>
      </c>
      <c r="AZ365" s="69" t="n">
        <f aca="false">-AZ359*Inputs!$D$56/12*1*(1+Inputs!$D$63)*(1+Inputs!$D$64)^(AZ$251-1)</f>
        <v>-10786.1260958333</v>
      </c>
      <c r="BA365" s="69" t="n">
        <f aca="false">-BA359*Inputs!$D$56/12*1*(1+Inputs!$D$63)*(1+Inputs!$D$64)^(BA$251-1)</f>
        <v>-10786.1260958333</v>
      </c>
      <c r="BB365" s="69" t="n">
        <f aca="false">-BB359*Inputs!$D$56/12*1*(1+Inputs!$D$63)*(1+Inputs!$D$64)^(BB$251-1)</f>
        <v>-10786.1260958333</v>
      </c>
      <c r="BC365" s="69" t="n">
        <f aca="false">-BC359*Inputs!$D$56/12*1*(1+Inputs!$D$63)*(1+Inputs!$D$64)^(BC$251-1)</f>
        <v>-10786.1260958333</v>
      </c>
      <c r="BD365" s="69" t="n">
        <f aca="false">-BD359*Inputs!$D$56/12*1*(1+Inputs!$D$63)*(1+Inputs!$D$64)^(BD$251-1)</f>
        <v>-10786.1260958333</v>
      </c>
      <c r="BE365" s="69" t="n">
        <f aca="false">-BE359*Inputs!$D$56/12*1*(1+Inputs!$D$63)*(1+Inputs!$D$64)^(BE$251-1)</f>
        <v>-10786.1260958333</v>
      </c>
      <c r="BF365" s="69" t="n">
        <f aca="false">-BF359*Inputs!$D$56/12*1*(1+Inputs!$D$63)*(1+Inputs!$D$64)^(BF$251-1)</f>
        <v>-10786.1260958333</v>
      </c>
      <c r="BG365" s="69" t="n">
        <f aca="false">-BG359*Inputs!$D$56/12*1*(1+Inputs!$D$63)*(1+Inputs!$D$64)^(BG$251-1)</f>
        <v>-10786.1260958333</v>
      </c>
      <c r="BH365" s="69" t="n">
        <f aca="false">-BH359*Inputs!$D$56/12*1*(1+Inputs!$D$63)*(1+Inputs!$D$64)^(BH$251-1)</f>
        <v>-10786.1260958333</v>
      </c>
      <c r="BI365" s="69" t="n">
        <f aca="false">-BI359*Inputs!$D$56/12*1*(1+Inputs!$D$63)*(1+Inputs!$D$64)^(BI$251-1)</f>
        <v>-10786.1260958333</v>
      </c>
      <c r="BJ365" s="69" t="n">
        <f aca="false">-BJ359*Inputs!$D$56/12*1*(1+Inputs!$D$63)*(1+Inputs!$D$64)^(BJ$251-1)</f>
        <v>-10786.1260958333</v>
      </c>
    </row>
    <row r="366" customFormat="false" ht="15" hidden="false" customHeight="false" outlineLevel="0" collapsed="false">
      <c r="A366" s="6" t="s">
        <v>463</v>
      </c>
      <c r="C366" s="69" t="n">
        <f aca="false">-C360*Inputs!$D$60/12*1*(1+Inputs!$D$63)*(1+Inputs!$D$64)^(C$251-1)</f>
        <v>-8145.83333333333</v>
      </c>
      <c r="D366" s="69" t="n">
        <f aca="false">-D360*Inputs!$D$60/12*1*(1+Inputs!$D$63)*(1+Inputs!$D$64)^(D$251-1)</f>
        <v>-8145.83333333333</v>
      </c>
      <c r="E366" s="69" t="n">
        <f aca="false">-E360*Inputs!$D$60/12*1*(1+Inputs!$D$63)*(1+Inputs!$D$64)^(E$251-1)</f>
        <v>-8145.83333333333</v>
      </c>
      <c r="F366" s="69" t="n">
        <f aca="false">-F360*Inputs!$D$60/12*1*(1+Inputs!$D$63)*(1+Inputs!$D$64)^(F$251-1)</f>
        <v>-8145.83333333333</v>
      </c>
      <c r="G366" s="69" t="n">
        <f aca="false">-G360*Inputs!$D$60/12*1*(1+Inputs!$D$63)*(1+Inputs!$D$64)^(G$251-1)</f>
        <v>-8145.83333333333</v>
      </c>
      <c r="H366" s="69" t="n">
        <f aca="false">-H360*Inputs!$D$60/12*1*(1+Inputs!$D$63)*(1+Inputs!$D$64)^(H$251-1)</f>
        <v>-8145.83333333333</v>
      </c>
      <c r="I366" s="69" t="n">
        <f aca="false">-I360*Inputs!$D$60/12*1*(1+Inputs!$D$63)*(1+Inputs!$D$64)^(I$251-1)</f>
        <v>-8145.83333333333</v>
      </c>
      <c r="J366" s="69" t="n">
        <f aca="false">-J360*Inputs!$D$60/12*1*(1+Inputs!$D$63)*(1+Inputs!$D$64)^(J$251-1)</f>
        <v>-8145.83333333333</v>
      </c>
      <c r="K366" s="69" t="n">
        <f aca="false">-K360*Inputs!$D$60/12*1*(1+Inputs!$D$63)*(1+Inputs!$D$64)^(K$251-1)</f>
        <v>-8145.83333333333</v>
      </c>
      <c r="L366" s="69" t="n">
        <f aca="false">-L360*Inputs!$D$60/12*1*(1+Inputs!$D$63)*(1+Inputs!$D$64)^(L$251-1)</f>
        <v>-8145.83333333333</v>
      </c>
      <c r="M366" s="69" t="n">
        <f aca="false">-M360*Inputs!$D$60/12*1*(1+Inputs!$D$63)*(1+Inputs!$D$64)^(M$251-1)</f>
        <v>-8145.83333333333</v>
      </c>
      <c r="N366" s="69" t="n">
        <f aca="false">-N360*Inputs!$D$60/12*1*(1+Inputs!$D$63)*(1+Inputs!$D$64)^(N$251-1)</f>
        <v>-8145.83333333333</v>
      </c>
      <c r="O366" s="69" t="n">
        <f aca="false">-O360*Inputs!$D$60/12*1*(1+Inputs!$D$63)*(1+Inputs!$D$64)^(O$251-1)</f>
        <v>-8390.20833333333</v>
      </c>
      <c r="P366" s="69" t="n">
        <f aca="false">-P360*Inputs!$D$60/12*1*(1+Inputs!$D$63)*(1+Inputs!$D$64)^(P$251-1)</f>
        <v>-8390.20833333333</v>
      </c>
      <c r="Q366" s="69" t="n">
        <f aca="false">-Q360*Inputs!$D$60/12*1*(1+Inputs!$D$63)*(1+Inputs!$D$64)^(Q$251-1)</f>
        <v>-8390.20833333333</v>
      </c>
      <c r="R366" s="69" t="n">
        <f aca="false">-R360*Inputs!$D$60/12*1*(1+Inputs!$D$63)*(1+Inputs!$D$64)^(R$251-1)</f>
        <v>-8390.20833333333</v>
      </c>
      <c r="S366" s="69" t="n">
        <f aca="false">-S360*Inputs!$D$60/12*1*(1+Inputs!$D$63)*(1+Inputs!$D$64)^(S$251-1)</f>
        <v>-8390.20833333333</v>
      </c>
      <c r="T366" s="69" t="n">
        <f aca="false">-T360*Inputs!$D$60/12*1*(1+Inputs!$D$63)*(1+Inputs!$D$64)^(T$251-1)</f>
        <v>-8390.20833333333</v>
      </c>
      <c r="U366" s="69" t="n">
        <f aca="false">-U360*Inputs!$D$60/12*1*(1+Inputs!$D$63)*(1+Inputs!$D$64)^(U$251-1)</f>
        <v>-8390.20833333333</v>
      </c>
      <c r="V366" s="69" t="n">
        <f aca="false">-V360*Inputs!$D$60/12*1*(1+Inputs!$D$63)*(1+Inputs!$D$64)^(V$251-1)</f>
        <v>-8390.20833333333</v>
      </c>
      <c r="W366" s="69" t="n">
        <f aca="false">-W360*Inputs!$D$60/12*1*(1+Inputs!$D$63)*(1+Inputs!$D$64)^(W$251-1)</f>
        <v>-8390.20833333333</v>
      </c>
      <c r="X366" s="69" t="n">
        <f aca="false">-X360*Inputs!$D$60/12*1*(1+Inputs!$D$63)*(1+Inputs!$D$64)^(X$251-1)</f>
        <v>-8390.20833333333</v>
      </c>
      <c r="Y366" s="69" t="n">
        <f aca="false">-Y360*Inputs!$D$60/12*1*(1+Inputs!$D$63)*(1+Inputs!$D$64)^(Y$251-1)</f>
        <v>-8390.20833333333</v>
      </c>
      <c r="Z366" s="69" t="n">
        <f aca="false">-Z360*Inputs!$D$60/12*1*(1+Inputs!$D$63)*(1+Inputs!$D$64)^(Z$251-1)</f>
        <v>-8390.20833333333</v>
      </c>
      <c r="AA366" s="69" t="n">
        <f aca="false">-AA360*Inputs!$D$60/12*1*(1+Inputs!$D$63)*(1+Inputs!$D$64)^(AA$251-1)</f>
        <v>-8641.91458333333</v>
      </c>
      <c r="AB366" s="69" t="n">
        <f aca="false">-AB360*Inputs!$D$60/12*1*(1+Inputs!$D$63)*(1+Inputs!$D$64)^(AB$251-1)</f>
        <v>-8641.91458333333</v>
      </c>
      <c r="AC366" s="69" t="n">
        <f aca="false">-AC360*Inputs!$D$60/12*1*(1+Inputs!$D$63)*(1+Inputs!$D$64)^(AC$251-1)</f>
        <v>-8641.91458333333</v>
      </c>
      <c r="AD366" s="69" t="n">
        <f aca="false">-AD360*Inputs!$D$60/12*1*(1+Inputs!$D$63)*(1+Inputs!$D$64)^(AD$251-1)</f>
        <v>-8641.91458333333</v>
      </c>
      <c r="AE366" s="69" t="n">
        <f aca="false">-AE360*Inputs!$D$60/12*1*(1+Inputs!$D$63)*(1+Inputs!$D$64)^(AE$251-1)</f>
        <v>-8641.91458333333</v>
      </c>
      <c r="AF366" s="69" t="n">
        <f aca="false">-AF360*Inputs!$D$60/12*1*(1+Inputs!$D$63)*(1+Inputs!$D$64)^(AF$251-1)</f>
        <v>-8641.91458333333</v>
      </c>
      <c r="AG366" s="69" t="n">
        <f aca="false">-AG360*Inputs!$D$60/12*1*(1+Inputs!$D$63)*(1+Inputs!$D$64)^(AG$251-1)</f>
        <v>-8641.91458333333</v>
      </c>
      <c r="AH366" s="69" t="n">
        <f aca="false">-AH360*Inputs!$D$60/12*1*(1+Inputs!$D$63)*(1+Inputs!$D$64)^(AH$251-1)</f>
        <v>-8641.91458333333</v>
      </c>
      <c r="AI366" s="69" t="n">
        <f aca="false">-AI360*Inputs!$D$60/12*1*(1+Inputs!$D$63)*(1+Inputs!$D$64)^(AI$251-1)</f>
        <v>-8641.91458333333</v>
      </c>
      <c r="AJ366" s="69" t="n">
        <f aca="false">-AJ360*Inputs!$D$60/12*1*(1+Inputs!$D$63)*(1+Inputs!$D$64)^(AJ$251-1)</f>
        <v>-8641.91458333333</v>
      </c>
      <c r="AK366" s="69" t="n">
        <f aca="false">-AK360*Inputs!$D$60/12*1*(1+Inputs!$D$63)*(1+Inputs!$D$64)^(AK$251-1)</f>
        <v>-8641.91458333333</v>
      </c>
      <c r="AL366" s="69" t="n">
        <f aca="false">-AL360*Inputs!$D$60/12*1*(1+Inputs!$D$63)*(1+Inputs!$D$64)^(AL$251-1)</f>
        <v>-8641.91458333333</v>
      </c>
      <c r="AM366" s="69" t="n">
        <f aca="false">-AM360*Inputs!$D$60/12*1*(1+Inputs!$D$63)*(1+Inputs!$D$64)^(AM$251-1)</f>
        <v>-8901.17202083333</v>
      </c>
      <c r="AN366" s="69" t="n">
        <f aca="false">-AN360*Inputs!$D$60/12*1*(1+Inputs!$D$63)*(1+Inputs!$D$64)^(AN$251-1)</f>
        <v>-8901.17202083333</v>
      </c>
      <c r="AO366" s="69" t="n">
        <f aca="false">-AO360*Inputs!$D$60/12*1*(1+Inputs!$D$63)*(1+Inputs!$D$64)^(AO$251-1)</f>
        <v>-8901.17202083333</v>
      </c>
      <c r="AP366" s="69" t="n">
        <f aca="false">-AP360*Inputs!$D$60/12*1*(1+Inputs!$D$63)*(1+Inputs!$D$64)^(AP$251-1)</f>
        <v>-8901.17202083333</v>
      </c>
      <c r="AQ366" s="69" t="n">
        <f aca="false">-AQ360*Inputs!$D$60/12*1*(1+Inputs!$D$63)*(1+Inputs!$D$64)^(AQ$251-1)</f>
        <v>-8901.17202083333</v>
      </c>
      <c r="AR366" s="69" t="n">
        <f aca="false">-AR360*Inputs!$D$60/12*1*(1+Inputs!$D$63)*(1+Inputs!$D$64)^(AR$251-1)</f>
        <v>-8901.17202083333</v>
      </c>
      <c r="AS366" s="69" t="n">
        <f aca="false">-AS360*Inputs!$D$60/12*1*(1+Inputs!$D$63)*(1+Inputs!$D$64)^(AS$251-1)</f>
        <v>-8901.17202083333</v>
      </c>
      <c r="AT366" s="69" t="n">
        <f aca="false">-AT360*Inputs!$D$60/12*1*(1+Inputs!$D$63)*(1+Inputs!$D$64)^(AT$251-1)</f>
        <v>-8901.17202083333</v>
      </c>
      <c r="AU366" s="69" t="n">
        <f aca="false">-AU360*Inputs!$D$60/12*1*(1+Inputs!$D$63)*(1+Inputs!$D$64)^(AU$251-1)</f>
        <v>-8901.17202083333</v>
      </c>
      <c r="AV366" s="69" t="n">
        <f aca="false">-AV360*Inputs!$D$60/12*1*(1+Inputs!$D$63)*(1+Inputs!$D$64)^(AV$251-1)</f>
        <v>-8901.17202083333</v>
      </c>
      <c r="AW366" s="69" t="n">
        <f aca="false">-AW360*Inputs!$D$60/12*1*(1+Inputs!$D$63)*(1+Inputs!$D$64)^(AW$251-1)</f>
        <v>-8901.17202083333</v>
      </c>
      <c r="AX366" s="69" t="n">
        <f aca="false">-AX360*Inputs!$D$60/12*1*(1+Inputs!$D$63)*(1+Inputs!$D$64)^(AX$251-1)</f>
        <v>-8901.17202083333</v>
      </c>
      <c r="AY366" s="69" t="n">
        <f aca="false">-AY360*Inputs!$D$60/12*1*(1+Inputs!$D$63)*(1+Inputs!$D$64)^(AY$251-1)</f>
        <v>-9168.20718145833</v>
      </c>
      <c r="AZ366" s="69" t="n">
        <f aca="false">-AZ360*Inputs!$D$60/12*1*(1+Inputs!$D$63)*(1+Inputs!$D$64)^(AZ$251-1)</f>
        <v>-9168.20718145833</v>
      </c>
      <c r="BA366" s="69" t="n">
        <f aca="false">-BA360*Inputs!$D$60/12*1*(1+Inputs!$D$63)*(1+Inputs!$D$64)^(BA$251-1)</f>
        <v>-9168.20718145833</v>
      </c>
      <c r="BB366" s="69" t="n">
        <f aca="false">-BB360*Inputs!$D$60/12*1*(1+Inputs!$D$63)*(1+Inputs!$D$64)^(BB$251-1)</f>
        <v>-9168.20718145833</v>
      </c>
      <c r="BC366" s="69" t="n">
        <f aca="false">-BC360*Inputs!$D$60/12*1*(1+Inputs!$D$63)*(1+Inputs!$D$64)^(BC$251-1)</f>
        <v>-9168.20718145833</v>
      </c>
      <c r="BD366" s="69" t="n">
        <f aca="false">-BD360*Inputs!$D$60/12*1*(1+Inputs!$D$63)*(1+Inputs!$D$64)^(BD$251-1)</f>
        <v>-9168.20718145833</v>
      </c>
      <c r="BE366" s="69" t="n">
        <f aca="false">-BE360*Inputs!$D$60/12*1*(1+Inputs!$D$63)*(1+Inputs!$D$64)^(BE$251-1)</f>
        <v>-9168.20718145833</v>
      </c>
      <c r="BF366" s="69" t="n">
        <f aca="false">-BF360*Inputs!$D$60/12*1*(1+Inputs!$D$63)*(1+Inputs!$D$64)^(BF$251-1)</f>
        <v>-9168.20718145833</v>
      </c>
      <c r="BG366" s="69" t="n">
        <f aca="false">-BG360*Inputs!$D$60/12*1*(1+Inputs!$D$63)*(1+Inputs!$D$64)^(BG$251-1)</f>
        <v>-9168.20718145833</v>
      </c>
      <c r="BH366" s="69" t="n">
        <f aca="false">-BH360*Inputs!$D$60/12*1*(1+Inputs!$D$63)*(1+Inputs!$D$64)^(BH$251-1)</f>
        <v>-9168.20718145833</v>
      </c>
      <c r="BI366" s="69" t="n">
        <f aca="false">-BI360*Inputs!$D$60/12*1*(1+Inputs!$D$63)*(1+Inputs!$D$64)^(BI$251-1)</f>
        <v>-9168.20718145833</v>
      </c>
      <c r="BJ366" s="69" t="n">
        <f aca="false">-BJ360*Inputs!$D$60/12*1*(1+Inputs!$D$63)*(1+Inputs!$D$64)^(BJ$251-1)</f>
        <v>-9168.20718145833</v>
      </c>
    </row>
    <row r="367" customFormat="false" ht="15" hidden="false" customHeight="false" outlineLevel="0" collapsed="false">
      <c r="A367" s="115" t="s">
        <v>464</v>
      </c>
      <c r="C367" s="70" t="n">
        <f aca="false">C364+C365+C366</f>
        <v>-55104.1666666667</v>
      </c>
      <c r="D367" s="70" t="n">
        <f aca="false">D364+D365+D366</f>
        <v>-55104.1666666667</v>
      </c>
      <c r="E367" s="70" t="n">
        <f aca="false">E364+E365+E366</f>
        <v>-55104.1666666667</v>
      </c>
      <c r="F367" s="70" t="n">
        <f aca="false">F364+F365+F366</f>
        <v>-55104.1666666667</v>
      </c>
      <c r="G367" s="70" t="n">
        <f aca="false">G364+G365+G366</f>
        <v>-55104.1666666667</v>
      </c>
      <c r="H367" s="70" t="n">
        <f aca="false">H364+H365+H366</f>
        <v>-55104.1666666667</v>
      </c>
      <c r="I367" s="70" t="n">
        <f aca="false">I364+I365+I366</f>
        <v>-55104.1666666667</v>
      </c>
      <c r="J367" s="70" t="n">
        <f aca="false">J364+J365+J366</f>
        <v>-55104.1666666667</v>
      </c>
      <c r="K367" s="70" t="n">
        <f aca="false">K364+K365+K366</f>
        <v>-55104.1666666667</v>
      </c>
      <c r="L367" s="70" t="n">
        <f aca="false">L364+L365+L366</f>
        <v>-55104.1666666667</v>
      </c>
      <c r="M367" s="70" t="n">
        <f aca="false">M364+M365+M366</f>
        <v>-55104.1666666667</v>
      </c>
      <c r="N367" s="70" t="n">
        <f aca="false">N364+N365+N366</f>
        <v>-55104.1666666667</v>
      </c>
      <c r="O367" s="70" t="n">
        <f aca="false">O364+O365+O366</f>
        <v>-56757.2916666667</v>
      </c>
      <c r="P367" s="70" t="n">
        <f aca="false">P364+P365+P366</f>
        <v>-56757.2916666667</v>
      </c>
      <c r="Q367" s="70" t="n">
        <f aca="false">Q364+Q365+Q366</f>
        <v>-56757.2916666667</v>
      </c>
      <c r="R367" s="70" t="n">
        <f aca="false">R364+R365+R366</f>
        <v>-56757.2916666667</v>
      </c>
      <c r="S367" s="70" t="n">
        <f aca="false">S364+S365+S366</f>
        <v>-56757.2916666667</v>
      </c>
      <c r="T367" s="70" t="n">
        <f aca="false">T364+T365+T366</f>
        <v>-56757.2916666667</v>
      </c>
      <c r="U367" s="70" t="n">
        <f aca="false">U364+U365+U366</f>
        <v>-56757.2916666667</v>
      </c>
      <c r="V367" s="70" t="n">
        <f aca="false">V364+V365+V366</f>
        <v>-56757.2916666667</v>
      </c>
      <c r="W367" s="70" t="n">
        <f aca="false">W364+W365+W366</f>
        <v>-56757.2916666667</v>
      </c>
      <c r="X367" s="70" t="n">
        <f aca="false">X364+X365+X366</f>
        <v>-56757.2916666667</v>
      </c>
      <c r="Y367" s="70" t="n">
        <f aca="false">Y364+Y365+Y366</f>
        <v>-56757.2916666667</v>
      </c>
      <c r="Z367" s="70" t="n">
        <f aca="false">Z364+Z365+Z366</f>
        <v>-56757.2916666667</v>
      </c>
      <c r="AA367" s="70" t="n">
        <f aca="false">AA364+AA365+AA366</f>
        <v>-58460.0104166667</v>
      </c>
      <c r="AB367" s="70" t="n">
        <f aca="false">AB364+AB365+AB366</f>
        <v>-58460.0104166667</v>
      </c>
      <c r="AC367" s="70" t="n">
        <f aca="false">AC364+AC365+AC366</f>
        <v>-58460.0104166667</v>
      </c>
      <c r="AD367" s="70" t="n">
        <f aca="false">AD364+AD365+AD366</f>
        <v>-58460.0104166667</v>
      </c>
      <c r="AE367" s="70" t="n">
        <f aca="false">AE364+AE365+AE366</f>
        <v>-58460.0104166667</v>
      </c>
      <c r="AF367" s="70" t="n">
        <f aca="false">AF364+AF365+AF366</f>
        <v>-58460.0104166667</v>
      </c>
      <c r="AG367" s="70" t="n">
        <f aca="false">AG364+AG365+AG366</f>
        <v>-58460.0104166667</v>
      </c>
      <c r="AH367" s="70" t="n">
        <f aca="false">AH364+AH365+AH366</f>
        <v>-58460.0104166667</v>
      </c>
      <c r="AI367" s="70" t="n">
        <f aca="false">AI364+AI365+AI366</f>
        <v>-58460.0104166667</v>
      </c>
      <c r="AJ367" s="70" t="n">
        <f aca="false">AJ364+AJ365+AJ366</f>
        <v>-58460.0104166667</v>
      </c>
      <c r="AK367" s="70" t="n">
        <f aca="false">AK364+AK365+AK366</f>
        <v>-58460.0104166667</v>
      </c>
      <c r="AL367" s="70" t="n">
        <f aca="false">AL364+AL365+AL366</f>
        <v>-58460.0104166667</v>
      </c>
      <c r="AM367" s="70" t="n">
        <f aca="false">AM364+AM365+AM366</f>
        <v>-60213.8107291667</v>
      </c>
      <c r="AN367" s="70" t="n">
        <f aca="false">AN364+AN365+AN366</f>
        <v>-60213.8107291667</v>
      </c>
      <c r="AO367" s="70" t="n">
        <f aca="false">AO364+AO365+AO366</f>
        <v>-60213.8107291667</v>
      </c>
      <c r="AP367" s="70" t="n">
        <f aca="false">AP364+AP365+AP366</f>
        <v>-60213.8107291667</v>
      </c>
      <c r="AQ367" s="70" t="n">
        <f aca="false">AQ364+AQ365+AQ366</f>
        <v>-60213.8107291667</v>
      </c>
      <c r="AR367" s="70" t="n">
        <f aca="false">AR364+AR365+AR366</f>
        <v>-60213.8107291667</v>
      </c>
      <c r="AS367" s="70" t="n">
        <f aca="false">AS364+AS365+AS366</f>
        <v>-60213.8107291667</v>
      </c>
      <c r="AT367" s="70" t="n">
        <f aca="false">AT364+AT365+AT366</f>
        <v>-60213.8107291667</v>
      </c>
      <c r="AU367" s="70" t="n">
        <f aca="false">AU364+AU365+AU366</f>
        <v>-60213.8107291667</v>
      </c>
      <c r="AV367" s="70" t="n">
        <f aca="false">AV364+AV365+AV366</f>
        <v>-60213.8107291667</v>
      </c>
      <c r="AW367" s="70" t="n">
        <f aca="false">AW364+AW365+AW366</f>
        <v>-60213.8107291667</v>
      </c>
      <c r="AX367" s="70" t="n">
        <f aca="false">AX364+AX365+AX366</f>
        <v>-60213.8107291667</v>
      </c>
      <c r="AY367" s="70" t="n">
        <f aca="false">AY364+AY365+AY366</f>
        <v>-62020.2250510417</v>
      </c>
      <c r="AZ367" s="70" t="n">
        <f aca="false">AZ364+AZ365+AZ366</f>
        <v>-62020.2250510417</v>
      </c>
      <c r="BA367" s="70" t="n">
        <f aca="false">BA364+BA365+BA366</f>
        <v>-62020.2250510417</v>
      </c>
      <c r="BB367" s="70" t="n">
        <f aca="false">BB364+BB365+BB366</f>
        <v>-62020.2250510417</v>
      </c>
      <c r="BC367" s="70" t="n">
        <f aca="false">BC364+BC365+BC366</f>
        <v>-62020.2250510417</v>
      </c>
      <c r="BD367" s="70" t="n">
        <f aca="false">BD364+BD365+BD366</f>
        <v>-62020.2250510417</v>
      </c>
      <c r="BE367" s="70" t="n">
        <f aca="false">BE364+BE365+BE366</f>
        <v>-62020.2250510417</v>
      </c>
      <c r="BF367" s="70" t="n">
        <f aca="false">BF364+BF365+BF366</f>
        <v>-62020.2250510417</v>
      </c>
      <c r="BG367" s="70" t="n">
        <f aca="false">BG364+BG365+BG366</f>
        <v>-62020.2250510417</v>
      </c>
      <c r="BH367" s="70" t="n">
        <f aca="false">BH364+BH365+BH366</f>
        <v>-62020.2250510417</v>
      </c>
      <c r="BI367" s="70" t="n">
        <f aca="false">BI364+BI365+BI366</f>
        <v>-62020.2250510417</v>
      </c>
      <c r="BJ367" s="70" t="n">
        <f aca="false">BJ364+BJ365+BJ366</f>
        <v>-62020.2250510417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470</v>
      </c>
    </row>
    <row r="3" customFormat="false" ht="15" hidden="false" customHeight="false" outlineLevel="0" collapsed="false">
      <c r="A3" s="33" t="s">
        <v>471</v>
      </c>
      <c r="B3" s="33" t="s">
        <v>472</v>
      </c>
      <c r="C3" s="33" t="s">
        <v>473</v>
      </c>
    </row>
    <row r="4" customFormat="false" ht="15" hidden="false" customHeight="false" outlineLevel="0" collapsed="false">
      <c r="A4" s="6" t="s">
        <v>474</v>
      </c>
      <c r="B4" s="4" t="str">
        <f aca="false">IF(ABS(SUM('P&amp;L'!$B$5:$F$5)-SUM(Monthly!$C$28:$BJ$28))&lt;0.5,"PASS","FAIL")</f>
        <v>PASS</v>
      </c>
      <c r="C4" s="18" t="s">
        <v>475</v>
      </c>
    </row>
    <row r="5" customFormat="false" ht="15" hidden="false" customHeight="false" outlineLevel="0" collapsed="false">
      <c r="A5" s="6" t="s">
        <v>476</v>
      </c>
      <c r="B5" s="4" t="str">
        <f aca="false">IF(ABS(SUM('P&amp;L'!$B$23:$F$23)-SUM(Monthly!$C$55:$BJ$55))&lt;0.5,"PASS","FAIL")</f>
        <v>PASS</v>
      </c>
      <c r="C5" s="18" t="s">
        <v>477</v>
      </c>
    </row>
    <row r="6" customFormat="false" ht="15" hidden="false" customHeight="false" outlineLevel="0" collapsed="false">
      <c r="A6" s="6" t="s">
        <v>478</v>
      </c>
      <c r="B6" s="4" t="str">
        <f aca="false">IF(ABS(SUM(Monthly!$C$46:$BJ$46)-SUM(Monthly!$C$36:$BJ$36)-SUM(Monthly!$C$45:$BJ$45))&lt;0.5,"PASS","FAIL")</f>
        <v>PASS</v>
      </c>
      <c r="C6" s="18" t="s">
        <v>479</v>
      </c>
    </row>
    <row r="7" customFormat="false" ht="15" hidden="false" customHeight="false" outlineLevel="0" collapsed="false">
      <c r="A7" s="6" t="s">
        <v>480</v>
      </c>
      <c r="B7" s="4" t="str">
        <f aca="false">IF(ABS(INDEX(Monthly!$C$91:$BJ$91,60)-SUM(Monthly!$C$89:$BJ$89))&lt;0.5,"PASS","FAIL")</f>
        <v>PASS</v>
      </c>
      <c r="C7" s="18" t="s">
        <v>481</v>
      </c>
    </row>
    <row r="8" customFormat="false" ht="15" hidden="false" customHeight="false" outlineLevel="0" collapsed="false">
      <c r="A8" s="6" t="s">
        <v>482</v>
      </c>
      <c r="B8" s="4" t="str">
        <f aca="false">IF(AND(ISNUMBER(Dashboard!B4),Dashboard!B4&gt;=1,Dashboard!B4&lt;=3,INT(Dashboard!B4)=Dashboard!B4),"PASS","FAIL")</f>
        <v>PASS</v>
      </c>
      <c r="C8" s="18" t="s">
        <v>483</v>
      </c>
    </row>
    <row r="9" customFormat="false" ht="15" hidden="false" customHeight="false" outlineLevel="0" collapsed="false">
      <c r="A9" s="6" t="s">
        <v>484</v>
      </c>
      <c r="B9" s="4" t="str">
        <f aca="false">IF(AND(Inputs!$B$7&lt;=Inputs!$C$7,Inputs!$C$7&lt;=Inputs!$D$7,Inputs!$B$8&lt;=Inputs!$C$8,Inputs!$C$8&lt;=Inputs!$D$8,Inputs!$B$9&lt;=Inputs!$C$9,Inputs!$C$9&lt;=Inputs!$D$9,Inputs!$B$11&gt;=Inputs!$C$11,Inputs!$C$11&gt;=Inputs!$D$11,Inputs!$B$12&lt;=Inputs!$C$12,Inputs!$C$12&lt;=Inputs!$D$12,Inputs!$B$16&lt;=Inputs!$C$16,Inputs!$C$16&lt;=Inputs!$D$16,Inputs!$B$18&lt;=Inputs!$C$18,Inputs!$C$18&lt;=Inputs!$D$18,Inputs!$B$21&lt;=Inputs!$C$21,Inputs!$C$21&lt;=Inputs!$D$21,Inputs!$B$22&lt;=Inputs!$C$22,Inputs!$C$22&lt;=Inputs!$D$22,Inputs!$B$23&lt;=Inputs!$C$23,Inputs!$C$23&lt;=Inputs!$D$23,Inputs!$B$26&lt;=Inputs!$C$26,Inputs!$C$26&lt;=Inputs!$D$26,Inputs!$B$27&lt;=Inputs!$C$27,Inputs!$C$27&lt;=Inputs!$D$27,Inputs!$B$30&gt;=Inputs!$C$30,Inputs!$C$30&gt;=Inputs!$D$30,Inputs!$B$31&gt;=Inputs!$C$31,Inputs!$C$31&gt;=Inputs!$D$31,Inputs!$B$32&gt;=Inputs!$C$32,Inputs!$C$32&gt;=Inputs!$D$32,Inputs!$B$33&gt;=Inputs!$C$33,Inputs!$C$33&gt;=Inputs!$D$33,Inputs!$B$41&lt;=Inputs!$C$41,Inputs!$C$41&lt;=Inputs!$D$41,Inputs!$B$51&lt;=Inputs!$C$51,Inputs!$C$51&lt;=Inputs!$D$51,Inputs!$B$53&lt;=Inputs!$C$53,Inputs!$C$53&lt;=Inputs!$D$53,Inputs!$B$55&lt;=Inputs!$C$55,Inputs!$C$55&lt;=Inputs!$D$55,Inputs!$B$57&lt;=Inputs!$C$57,Inputs!$C$57&lt;=Inputs!$D$57,Inputs!$B$59&lt;=Inputs!$C$59,Inputs!$C$59&lt;=Inputs!$D$59,Inputs!$B$61&lt;=Inputs!$C$61,Inputs!$C$61&lt;=Inputs!$D$61,Inputs!$B$85&gt;=Inputs!$C$85,Inputs!$C$85&gt;=Inputs!$D$85,Inputs!$B$86&lt;=Inputs!$C$86,Inputs!$C$86&lt;=Inputs!$D$86,Inputs!$B$87&lt;=Inputs!$C$87,Inputs!$C$87&lt;=Inputs!$D$87),"PASS","FAIL")</f>
        <v>PASS</v>
      </c>
      <c r="C9" s="18" t="s">
        <v>485</v>
      </c>
    </row>
    <row r="10" customFormat="false" ht="15" hidden="false" customHeight="false" outlineLevel="0" collapsed="false">
      <c r="A10" s="6" t="s">
        <v>486</v>
      </c>
      <c r="B10" s="4" t="str">
        <f aca="false">IF(AND(MIN('P&amp;L'!$B$8:$F$8)&gt;=0,MAX('P&amp;L'!$B$8:$F$8)&lt;=1),"PASS","FAIL")</f>
        <v>PASS</v>
      </c>
      <c r="C10" s="18" t="s">
        <v>487</v>
      </c>
    </row>
    <row r="11" customFormat="false" ht="15" hidden="false" customHeight="false" outlineLevel="0" collapsed="false">
      <c r="A11" s="6" t="s">
        <v>488</v>
      </c>
      <c r="B11" s="4" t="str">
        <f aca="false">IF(MIN(Monthly!$C$74:$BJ$74)&gt;=-0.5,"PASS","FAIL")</f>
        <v>PASS</v>
      </c>
      <c r="C11" s="18" t="s">
        <v>489</v>
      </c>
    </row>
    <row r="12" customFormat="false" ht="15" hidden="false" customHeight="false" outlineLevel="0" collapsed="false">
      <c r="A12" s="6" t="s">
        <v>490</v>
      </c>
      <c r="B12" s="4" t="str">
        <f aca="false">IF(ABS('Break-even'!B18-('Break-even'!B16-'Break-even'!B10))&lt;0.5,"PASS","FAIL")</f>
        <v>PASS</v>
      </c>
      <c r="C12" s="18" t="s">
        <v>491</v>
      </c>
    </row>
    <row r="13" customFormat="false" ht="15" hidden="false" customHeight="false" outlineLevel="0" collapsed="false">
      <c r="A13" s="6" t="s">
        <v>492</v>
      </c>
      <c r="B13" s="4" t="str">
        <f aca="false">IF(ABS(Valuation!B23-NPV(Valuation!B6,Valuation!$B$17:$F$17))&lt;0.5,"PASS","FAIL")</f>
        <v>PASS</v>
      </c>
      <c r="C13" s="18" t="s">
        <v>493</v>
      </c>
    </row>
    <row r="14" customFormat="false" ht="15" hidden="false" customHeight="false" outlineLevel="0" collapsed="false">
      <c r="A14" s="6" t="s">
        <v>494</v>
      </c>
      <c r="B14" s="4" t="str">
        <f aca="false">IF(Valuation!B6&gt;Valuation!B7,"PASS","FAIL")</f>
        <v>PASS</v>
      </c>
      <c r="C14" s="18" t="s">
        <v>495</v>
      </c>
    </row>
    <row r="15" customFormat="false" ht="15" hidden="false" customHeight="false" outlineLevel="0" collapsed="false">
      <c r="A15" s="6" t="s">
        <v>496</v>
      </c>
      <c r="B15" s="4" t="str">
        <f aca="false">IF(ABS(Valuation!D36-Valuation!B27)&lt;0.5,"PASS","FAIL")</f>
        <v>PASS</v>
      </c>
      <c r="C15" s="18" t="s">
        <v>497</v>
      </c>
    </row>
    <row r="16" customFormat="false" ht="15" hidden="false" customHeight="false" outlineLevel="0" collapsed="false">
      <c r="A16" s="6" t="s">
        <v>498</v>
      </c>
      <c r="B16" s="4" t="str">
        <f aca="false">IF(Valuation!$F$17&gt;0,"PASS","WARN")</f>
        <v>PASS</v>
      </c>
      <c r="C16" s="18" t="s">
        <v>499</v>
      </c>
    </row>
    <row r="17" customFormat="false" ht="15" hidden="false" customHeight="false" outlineLevel="0" collapsed="false">
      <c r="A17" s="6" t="s">
        <v>500</v>
      </c>
      <c r="B17" s="4" t="str">
        <f aca="false">IF(ABS('Sources &amp; Uses'!B21-'Sources &amp; Uses'!B28)&lt;0.5,"PASS","FAIL")</f>
        <v>PASS</v>
      </c>
      <c r="C17" s="18" t="s">
        <v>501</v>
      </c>
    </row>
    <row r="18" customFormat="false" ht="15" hidden="false" customHeight="false" outlineLevel="0" collapsed="false">
      <c r="A18" s="6" t="s">
        <v>502</v>
      </c>
      <c r="B18" s="4" t="str">
        <f aca="false">IF(SUMPRODUCT(--ISERROR(Monthly!$C$4:$BJ$109))+SUMPRODUCT(--ISERROR(Headcount!$C$4:$BJ$17))+SUMPRODUCT(--ISERROR('P&amp;L'!$B$3:$F$24))+SUMPRODUCT(--ISERROR('Cash Flow'!$B$3:$F$18))+SUMPRODUCT(--ISERROR('Balance Sheet'!$B$3:$F$17))+SUMPRODUCT(--ISERROR(KPIs!$B$27:$F$48))+SUMPRODUCT(--ISERROR('Break-even'!$B$26:$F$33))+SUMPRODUCT(--ISERROR(Valuation!$B$14:$F$19))+SUMPRODUCT(--ISERROR('Break-even'!$B$3:$F$35))+SUMPRODUCT(--ISERROR(Valuation!$A$3:$F$40))+SUMPRODUCT(--ISERROR('Sources &amp; Uses'!$B$3:$C$30))+SUMPRODUCT(--ISERROR(Dashboard!$A$6:$W$44))+SUMPRODUCT(--ISERROR(Summary!$A$5:$S$52))+SUMPRODUCT(--ISERROR(KPIs!$A$4:$G$48))+SUMPRODUCT(--ISERROR('Scenario calc'!$C$6:$BJ$123))+SUMPRODUCT(--ISERROR('Scenario calc'!$C$128:$BJ$245))+SUMPRODUCT(--ISERROR('Scenario calc'!$C$250:$BJ$367))+SUMPRODUCT(--ISERROR(Scenarios!$B$5:$F$50))=0,"PASS","FAIL")</f>
        <v>PASS</v>
      </c>
      <c r="C18" s="18" t="s">
        <v>503</v>
      </c>
    </row>
    <row r="19" customFormat="false" ht="15" hidden="false" customHeight="false" outlineLevel="0" collapsed="false">
      <c r="A19" s="6" t="s">
        <v>504</v>
      </c>
      <c r="B19" s="4" t="str">
        <f aca="false">IF(IFERROR(AND(SUMPRODUCT(--(ABS(Summary!$B$7:$F$7-'P&amp;L'!$B$5:$F$5)&gt;0.5))=0,SUMPRODUCT(--(ABS(Summary!$B$19:$F$19-'P&amp;L'!$B$23:$F$23)&gt;0.5))=0,SUMPRODUCT(--(ABS(Summary!$B$31:$F$31-'Cash Flow'!$B$18:$F$18)&gt;0.5))=0,SUMPRODUCT(--(ABS(Summary!$B$41:$F$41-'Balance Sheet'!$B$5:$F$5)&gt;0.5))=0,ABS(SUM(Summary!$H$7:$S$7)-INDEX(Summary!$B$7:$F$7,Summary!$R$2))&lt;0.5,ABS(SUM(Summary!$H$19:$S$19)-INDEX(Summary!$B$19:$F$19,Summary!$R$2))&lt;0.5,ABS(Summary!$S$31-INDEX(Summary!$B$31:$F$31,Summary!$R$2))&lt;0.5),FALSE()),"PASS","FAIL")</f>
        <v>PASS</v>
      </c>
      <c r="C19" s="18" t="s">
        <v>505</v>
      </c>
    </row>
    <row r="20" customFormat="false" ht="15" hidden="false" customHeight="false" outlineLevel="0" collapsed="false">
      <c r="A20" s="6" t="s">
        <v>506</v>
      </c>
      <c r="B20" s="4" t="str">
        <f aca="false">IF(SUMPRODUCT(--(ABS(KPIs!$B$24:$F$24)&gt;0.000000001))&gt;0,"FAIL",IF(SUMPRODUCT(ISNUMBER(KPIs!$B$23:$F$23)*ISNUMBER(KPIs!$B$16:$F$16))=0,"n/a","PASS"))</f>
        <v>PASS</v>
      </c>
      <c r="C20" s="18" t="s">
        <v>507</v>
      </c>
    </row>
    <row r="21" customFormat="false" ht="15" hidden="false" customHeight="false" outlineLevel="0" collapsed="false">
      <c r="A21" s="6" t="s">
        <v>508</v>
      </c>
      <c r="B21" s="4" t="str">
        <f aca="false">IF(IFERROR(AND(ABS(Scenarios!E17-INDEX(Scenarios!B17:D17,1,Dashboard!$B$4))&lt;0.5,ABS(Scenarios!E18-INDEX(Scenarios!B18:D18,1,Dashboard!$B$4))&lt;0.5,ABS(Scenarios!E19-INDEX(Scenarios!B19:D19,1,Dashboard!$B$4))&lt;0.5,ABS(Scenarios!E20-INDEX(Scenarios!B20:D20,1,Dashboard!$B$4))&lt;0.000001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0.5),FALSE()),"PASS","FAIL")</f>
        <v>PASS</v>
      </c>
      <c r="C21" s="18" t="s">
        <v>509</v>
      </c>
    </row>
    <row r="22" customFormat="false" ht="15" hidden="false" customHeight="false" outlineLevel="0" collapsed="false">
      <c r="A22" s="6" t="s">
        <v>510</v>
      </c>
      <c r="B22" s="4" t="str">
        <f aca="false">IF(SUMPRODUCT(--(ABS(Monthly!$C$109:$BJ$109)&gt;0.5))=0,"PASS","FAIL")</f>
        <v>PASS</v>
      </c>
      <c r="C22" s="18" t="s">
        <v>511</v>
      </c>
    </row>
    <row r="23" customFormat="false" ht="15" hidden="false" customHeight="false" outlineLevel="0" collapsed="false">
      <c r="A23" s="6" t="s">
        <v>512</v>
      </c>
      <c r="B23" s="4" t="str">
        <f aca="false">IF(MIN(Monthly!$C$91:$BJ$91)&gt;=0,"PASS","WARN")</f>
        <v>PASS</v>
      </c>
      <c r="C23" s="18" t="s">
        <v>513</v>
      </c>
    </row>
    <row r="25" customFormat="false" ht="15" hidden="false" customHeight="false" outlineLevel="0" collapsed="false">
      <c r="A25" s="72" t="s">
        <v>514</v>
      </c>
      <c r="B25" s="72" t="str">
        <f aca="false">IF(COUNTIF(B4:B23,"FAIL")&gt;0,"FAIL",IF(COUNTIF(B4:B23,"WARN")&gt;0,"PASS WITH WARNINGS","PASS"))</f>
        <v>PASS</v>
      </c>
      <c r="C25" s="125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2026-10-22T01:42:31Z</dcterms:created>
  <dc:creator/>
  <dc:description/>
  <dc:language>en-US</dc:language>
  <cp:lastModifiedBy/>
  <dcterms:modified xsi:type="dcterms:W3CDTF">2026-10-22T01:42:32Z</dcterms:modified>
  <cp:revision>0</cp:revision>
  <dc:subject/>
  <dc:title>Auto repair shop financial model (planning)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