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<sst xmlns="http://schemas.openxmlformats.org/spreadsheetml/2006/main" count="1204" uniqueCount="485">
  <si>
    <t xml:space="preserve">Guest house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</si>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</sst>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</c:ser>
        <c:gapWidth val="60"/>
        <c:overlap val="0"/>
        <c:axId val="33654824"/>
        <c:axId val="7144600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553207"/>
        <c:axId val="32161050"/>
      </c:lineChart>
      <c:catAx>
        <c:axId val="336548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446009"/>
        <c:crosses val="autoZero"/>
        <c:auto val="1"/>
        <c:lblAlgn val="ctr"/>
        <c:lblOffset val="100"/>
        <c:noMultiLvlLbl val="0"/>
      </c:catAx>
      <c:valAx>
        <c:axId val="714460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654824"/>
        <c:crosses val="autoZero"/>
        <c:crossBetween val="between"/>
      </c:valAx>
      <c:catAx>
        <c:axId val="7855320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161050"/>
        <c:crosses val="autoZero"/>
        <c:auto val="1"/>
        <c:lblAlgn val="ctr"/>
        <c:lblOffset val="100"/>
        <c:noMultiLvlLbl val="0"/>
      </c:catAx>
      <c:valAx>
        <c:axId val="3216105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55320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</c:numCache>
            </c:numRef>
          </c:val>
        </c:ser>
        <c:gapWidth val="60"/>
        <c:overlap val="0"/>
        <c:axId val="97679899"/>
        <c:axId val="96407070"/>
      </c:barChart>
      <c:catAx>
        <c:axId val="9767989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407070"/>
        <c:crosses val="autoZero"/>
        <c:auto val="1"/>
        <c:lblAlgn val="ctr"/>
        <c:lblOffset val="100"/>
        <c:noMultiLvlLbl val="0"/>
      </c:catAx>
      <c:valAx>
        <c:axId val="964070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6798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</c:ser>
        <c:gapWidth val="60"/>
        <c:overlap val="0"/>
        <c:axId val="90927191"/>
        <c:axId val="29066127"/>
      </c:barChart>
      <c:catAx>
        <c:axId val="909271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66127"/>
        <c:crosses val="autoZero"/>
        <c:auto val="1"/>
        <c:lblAlgn val="ctr"/>
        <c:lblOffset val="100"/>
        <c:noMultiLvlLbl val="0"/>
      </c:catAx>
      <c:valAx>
        <c:axId val="290661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9271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Guest stays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Dashboard!$B$31:$D$31</c:f>
              <c:numCache>
                <c:formatCode>#,##0;\(#,##0\);\-</c:formatCode>
                <c:ptCount val="3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</c:numCache>
            </c:numRef>
          </c:val>
        </c:ser>
        <c:gapWidth val="60"/>
        <c:overlap val="0"/>
        <c:axId val="72527375"/>
        <c:axId val="69853910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42267"/>
        <c:axId val="87615188"/>
      </c:lineChart>
      <c:catAx>
        <c:axId val="725273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853910"/>
        <c:crosses val="autoZero"/>
        <c:auto val="1"/>
        <c:lblAlgn val="ctr"/>
        <c:lblOffset val="100"/>
        <c:noMultiLvlLbl val="0"/>
      </c:catAx>
      <c:valAx>
        <c:axId val="698539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527375"/>
        <c:crosses val="autoZero"/>
        <c:crossBetween val="between"/>
      </c:valAx>
      <c:catAx>
        <c:axId val="724226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615188"/>
        <c:crosses val="autoZero"/>
        <c:auto val="1"/>
        <c:lblAlgn val="ctr"/>
        <c:lblOffset val="100"/>
        <c:noMultiLvlLbl val="0"/>
      </c:catAx>
      <c:valAx>
        <c:axId val="8761518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4226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4852283"/>
        <c:axId val="16268832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52283"/>
        <c:axId val="16268832"/>
      </c:lineChart>
      <c:catAx>
        <c:axId val="485228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268832"/>
        <c:crosses val="autoZero"/>
        <c:auto val="1"/>
        <c:lblAlgn val="ctr"/>
        <c:lblOffset val="100"/>
        <c:noMultiLvlLbl val="0"/>
      </c:catAx>
      <c:valAx>
        <c:axId val="162688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522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30516207"/>
        <c:axId val="82439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390071"/>
        <c:axId val="95291941"/>
      </c:lineChart>
      <c:catAx>
        <c:axId val="3051620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4393"/>
        <c:crosses val="autoZero"/>
        <c:auto val="1"/>
        <c:lblAlgn val="ctr"/>
        <c:lblOffset val="100"/>
        <c:noMultiLvlLbl val="0"/>
      </c:catAx>
      <c:valAx>
        <c:axId val="8243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516207"/>
        <c:crosses val="autoZero"/>
        <c:crossBetween val="between"/>
      </c:valAx>
      <c:catAx>
        <c:axId val="35390071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291941"/>
        <c:crosses val="autoZero"/>
        <c:auto val="1"/>
        <c:lblAlgn val="ctr"/>
        <c:lblOffset val="100"/>
        <c:noMultiLvlLbl val="0"/>
      </c:catAx>
      <c:valAx>
        <c:axId val="95291941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39007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20451625"/>
        <c:axId val="19526837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451625"/>
        <c:axId val="19526837"/>
      </c:lineChart>
      <c:catAx>
        <c:axId val="2045162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26837"/>
        <c:crosses val="autoZero"/>
        <c:auto val="1"/>
        <c:lblAlgn val="ctr"/>
        <c:lblOffset val="100"/>
        <c:noMultiLvlLbl val="0"/>
      </c:catAx>
      <c:valAx>
        <c:axId val="195268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4516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134822"/>
        <c:axId val="94796147"/>
      </c:lineChart>
      <c:catAx>
        <c:axId val="411348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96147"/>
        <c:crosses val="autoZero"/>
        <c:auto val="1"/>
        <c:lblAlgn val="ctr"/>
        <c:lblOffset val="100"/>
        <c:noMultiLvlLbl val="0"/>
      </c:catAx>
      <c:valAx>
        <c:axId val="947961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1348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774145"/>
        <c:axId val="38888270"/>
      </c:lineChart>
      <c:catAx>
        <c:axId val="787741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888270"/>
        <c:crosses val="autoZero"/>
        <c:auto val="1"/>
        <c:lblAlgn val="ctr"/>
        <c:lblOffset val="100"/>
        <c:noMultiLvlLbl val="0"/>
      </c:catAx>
      <c:valAx>
        <c:axId val="388882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7741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917415"/>
        <c:axId val="94470584"/>
      </c:lineChart>
      <c:catAx>
        <c:axId val="499174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470584"/>
        <c:crosses val="autoZero"/>
        <c:auto val="1"/>
        <c:lblAlgn val="ctr"/>
        <c:lblOffset val="100"/>
        <c:noMultiLvlLbl val="0"/>
      </c:catAx>
      <c:valAx>
        <c:axId val="944705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9174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303521"/>
        <c:axId val="4908091"/>
      </c:lineChart>
      <c:catAx>
        <c:axId val="6330352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08091"/>
        <c:crosses val="autoZero"/>
        <c:auto val="1"/>
        <c:lblAlgn val="ctr"/>
        <c:lblOffset val="100"/>
        <c:noMultiLvlLbl val="0"/>
      </c:catAx>
      <c:valAx>
        <c:axId val="49080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0352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27808091"/>
        <c:axId val="21082232"/>
      </c:barChart>
      <c:catAx>
        <c:axId val="2780809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082232"/>
        <c:crosses val="autoZero"/>
        <c:auto val="1"/>
        <c:lblAlgn val="ctr"/>
        <c:lblOffset val="100"/>
        <c:noMultiLvlLbl val="0"/>
      </c:catAx>
      <c:valAx>
        <c:axId val="210822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808091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293341"/>
        <c:axId val="69526121"/>
      </c:lineChart>
      <c:catAx>
        <c:axId val="942933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526121"/>
        <c:crosses val="autoZero"/>
        <c:auto val="1"/>
        <c:lblAlgn val="ctr"/>
        <c:lblOffset val="100"/>
        <c:noMultiLvlLbl val="0"/>
      </c:catAx>
      <c:valAx>
        <c:axId val="695261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2933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</c:numCache>
            </c:numRef>
          </c:val>
        </c:ser>
        <c:gapWidth val="60"/>
        <c:overlap val="0"/>
        <c:axId val="14816816"/>
        <c:axId val="86945341"/>
      </c:barChart>
      <c:catAx>
        <c:axId val="148168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945341"/>
        <c:crosses val="autoZero"/>
        <c:auto val="1"/>
        <c:lblAlgn val="ctr"/>
        <c:lblOffset val="100"/>
        <c:noMultiLvlLbl val="0"/>
      </c:catAx>
      <c:valAx>
        <c:axId val="869453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8168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</c:numCache>
            </c:numRef>
          </c:val>
        </c:ser>
        <c:gapWidth val="60"/>
        <c:overlap val="0"/>
        <c:axId val="39919502"/>
        <c:axId val="73455957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0.0%;\(0.0%\);\-</c:formatCode>
                <c:ptCount val="3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263824"/>
        <c:axId val="81934861"/>
      </c:lineChart>
      <c:catAx>
        <c:axId val="399195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455957"/>
        <c:crosses val="autoZero"/>
        <c:auto val="1"/>
        <c:lblAlgn val="ctr"/>
        <c:lblOffset val="100"/>
        <c:noMultiLvlLbl val="0"/>
      </c:catAx>
      <c:valAx>
        <c:axId val="734559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919502"/>
        <c:crosses val="autoZero"/>
        <c:crossBetween val="between"/>
      </c:valAx>
      <c:catAx>
        <c:axId val="8726382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34861"/>
        <c:crosses val="autoZero"/>
        <c:auto val="1"/>
        <c:lblAlgn val="ctr"/>
        <c:lblOffset val="100"/>
        <c:noMultiLvlLbl val="0"/>
      </c:catAx>
      <c:valAx>
        <c:axId val="8193486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26382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ADR, RevPAR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KPIs!$B$37:$D$37</c:f>
              <c:numCache>
                <c:formatCode>\$#,##0.00;"($"#,##0.00\);\-</c:formatCode>
                <c:ptCount val="3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KPIs!$B$38:$D$38</c:f>
              <c:numCache>
                <c:formatCode>\$#,##0.00;"($"#,##0.00\);\-</c:formatCode>
                <c:ptCount val="3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</c:numCache>
            </c:numRef>
          </c:val>
        </c:ser>
        <c:gapWidth val="60"/>
        <c:overlap val="0"/>
        <c:axId val="20107294"/>
        <c:axId val="82687232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KPIs!$B$44:$D$44</c:f>
              <c:numCache>
                <c:formatCode>0.0%;\(0.0%\);\-</c:formatCode>
                <c:ptCount val="3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819096"/>
        <c:axId val="27996238"/>
      </c:lineChart>
      <c:catAx>
        <c:axId val="2010729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687232"/>
        <c:crosses val="autoZero"/>
        <c:auto val="1"/>
        <c:lblAlgn val="ctr"/>
        <c:lblOffset val="100"/>
        <c:noMultiLvlLbl val="0"/>
      </c:catAx>
      <c:valAx>
        <c:axId val="826872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107294"/>
        <c:crosses val="autoZero"/>
        <c:crossBetween val="between"/>
      </c:valAx>
      <c:catAx>
        <c:axId val="3781909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996238"/>
        <c:crosses val="autoZero"/>
        <c:auto val="1"/>
        <c:lblAlgn val="ctr"/>
        <c:lblOffset val="100"/>
        <c:noMultiLvlLbl val="0"/>
      </c:catAx>
      <c:valAx>
        <c:axId val="2799623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8190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416905.652316211</v>
      </c>
      <c r="B7" s="25"/>
      <c r="C7" s="26" t="n">
        <f aca="false">D17</f>
        <v>0.265494225527623</v>
      </c>
      <c r="D7" s="26"/>
      <c r="E7" s="26"/>
      <c r="F7" s="26"/>
      <c r="H7" s="25" t="n">
        <f aca="false">D18</f>
        <v>29844.7755274138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-371976.661770662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0.231392672137407</v>
      </c>
      <c r="B8" s="27"/>
      <c r="C8" s="28" t="n">
        <f aca="false">D16</f>
        <v>110686.043279781</v>
      </c>
      <c r="D8" s="28"/>
      <c r="E8" s="28"/>
      <c r="F8" s="28"/>
      <c r="H8" s="29" t="n">
        <f aca="false">D19</f>
        <v>0.071586401771251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SUMIF(Monthly!$C$5:$AL$5,B$11,Monthly!$C$20:$AL$20)</f>
        <v>274944.2576</v>
      </c>
      <c r="C12" s="36" t="n">
        <f aca="false">SUMIF(Monthly!$C$5:$AL$5,C$11,Monthly!$C$20:$AL$20)</f>
        <v>396826.244352</v>
      </c>
      <c r="D12" s="36" t="n">
        <f aca="false">SUMIF(Monthly!$C$5:$AL$5,D$11,Monthly!$C$20:$AL$20)</f>
        <v>416905.652316211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SUMIF(Monthly!$C$5:$AL$5,B$11,Monthly!$C$29:$AL$29)</f>
        <v>165763.80942</v>
      </c>
      <c r="C13" s="38" t="n">
        <f aca="false">SUMIF(Monthly!$C$5:$AL$5,C$11,Monthly!$C$29:$AL$29)</f>
        <v>262060.4210784</v>
      </c>
      <c r="D13" s="38" t="n">
        <f aca="false">SUMIF(Monthly!$C$5:$AL$5,D$11,Monthly!$C$29:$AL$29)</f>
        <v>276491.911984967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0.602899696349214</v>
      </c>
      <c r="C14" s="40" t="n">
        <f aca="false">IF(C12=0,0,C13/C12)</f>
        <v>0.660390850676556</v>
      </c>
      <c r="D14" s="40" t="n">
        <f aca="false">IF(D12=0,0,D13/D12)</f>
        <v>0.663200199970558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SUMIF(Monthly!$C$5:$AL$5,B$11,Monthly!$C$41:$AL$41)</f>
        <v>-155521.2652592</v>
      </c>
      <c r="C15" s="36" t="n">
        <f aca="false">SUMIF(Monthly!$C$5:$AL$5,C$11,Monthly!$C$41:$AL$41)</f>
        <v>-163660.358371584</v>
      </c>
      <c r="D15" s="36" t="n">
        <f aca="false">SUMIF(Monthly!$C$5:$AL$5,D$11,Monthly!$C$41:$AL$41)</f>
        <v>-165805.868705186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SUMIF(Monthly!$C$5:$AL$5,B$11,Monthly!$C$42:$AL$42)</f>
        <v>10242.5441608</v>
      </c>
      <c r="C16" s="38" t="n">
        <f aca="false">SUMIF(Monthly!$C$5:$AL$5,C$11,Monthly!$C$42:$AL$42)</f>
        <v>98400.062706816</v>
      </c>
      <c r="D16" s="38" t="n">
        <f aca="false">SUMIF(Monthly!$C$5:$AL$5,D$11,Monthly!$C$42:$AL$42)</f>
        <v>110686.043279781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0.037253166333451</v>
      </c>
      <c r="C17" s="40" t="n">
        <f aca="false">IF(C12=0,0,C16/C12)</f>
        <v>0.247967628420089</v>
      </c>
      <c r="D17" s="40" t="n">
        <f aca="false">IF(D12=0,0,D16/D12)</f>
        <v>0.265494225527623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SUMIF(Monthly!$C$5:$AL$5,B$11,Monthly!$C$51:$AL$51)</f>
        <v>-70506.8073546142</v>
      </c>
      <c r="C18" s="42" t="n">
        <f aca="false">SUMIF(Monthly!$C$5:$AL$5,C$11,Monthly!$C$51:$AL$51)</f>
        <v>17593.9128624215</v>
      </c>
      <c r="D18" s="42" t="n">
        <f aca="false">SUMIF(Monthly!$C$5:$AL$5,D$11,Monthly!$C$51:$AL$51)</f>
        <v>29844.7755274138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-0.256440370750315</v>
      </c>
      <c r="C19" s="40" t="n">
        <f aca="false">IF(C12=0,0,C18/C12)</f>
        <v>0.0443365657207265</v>
      </c>
      <c r="D19" s="40" t="n">
        <f aca="false">IF(D12=0,0,D18/D12)</f>
        <v>0.071586401771251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SUMIF(Monthly!$C$5:$AL$5,B$11,Monthly!$C$83:$AL$83)</f>
        <v>-19872.9311990587</v>
      </c>
      <c r="C20" s="36" t="n">
        <f aca="false">SUMIF(Monthly!$C$5:$AL$5,C$11,Monthly!$C$83:$AL$83)</f>
        <v>64360.7346625593</v>
      </c>
      <c r="D20" s="36" t="n">
        <f aca="false">SUMIF(Monthly!$C$5:$AL$5,D$11,Monthly!$C$83:$AL$83)</f>
        <v>77245.9246073052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SUMIF(Monthly!$C$5:$AL$5,B$11,Monthly!$C$84:$AL$84)</f>
        <v>-874000</v>
      </c>
      <c r="C21" s="36" t="n">
        <f aca="false">SUMIF(Monthly!$C$5:$AL$5,C$11,Monthly!$C$84:$AL$84)</f>
        <v>-9270</v>
      </c>
      <c r="D21" s="36" t="n">
        <f aca="false">SUMIF(Monthly!$C$5:$AL$5,D$11,Monthly!$C$84:$AL$84)</f>
        <v>-9548.1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SUMIF(Monthly!$C$5:$AL$5,B$11,Monthly!$C$86:$AL$86)</f>
        <v>922350.933012242</v>
      </c>
      <c r="C22" s="36" t="n">
        <f aca="false">SUMIF(Monthly!$C$5:$AL$5,C$11,Monthly!$C$86:$AL$86)</f>
        <v>-8202.01865877771</v>
      </c>
      <c r="D22" s="36" t="n">
        <f aca="false">SUMIF(Monthly!$C$5:$AL$5,D$11,Monthly!$C$86:$AL$86)</f>
        <v>-8794.94325080511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SUMIF(Monthly!$C$5:$AL$5,B$11,Monthly!$C$87:$AL$87)</f>
        <v>28478.0018131834</v>
      </c>
      <c r="C23" s="38" t="n">
        <f aca="false">SUMIF(Monthly!$C$5:$AL$5,C$11,Monthly!$C$87:$AL$87)</f>
        <v>46888.7160037816</v>
      </c>
      <c r="D23" s="38" t="n">
        <f aca="false">SUMIF(Monthly!$C$5:$AL$5,D$11,Monthly!$C$87:$AL$87)</f>
        <v>58902.8813565001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INDEX(Monthly!$C$89:$AL$89,B$11*12)</f>
        <v>28478.0018131834</v>
      </c>
      <c r="C24" s="42" t="n">
        <f aca="false">INDEX(Monthly!$C$89:$AL$89,C$11*12)</f>
        <v>75366.717816965</v>
      </c>
      <c r="D24" s="42" t="n">
        <f aca="false">INDEX(Monthly!$C$89:$AL$89,D$11*12)</f>
        <v>134269.599173465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KPIs!B31</f>
        <v>0.451308333333333</v>
      </c>
      <c r="C28" s="43" t="n">
        <f aca="false">KPIs!C31</f>
        <v>0.6324</v>
      </c>
      <c r="D28" s="43" t="n">
        <f aca="false">KPIs!D31</f>
        <v>0.645048</v>
      </c>
    </row>
    <row r="29" customFormat="false" ht="15" hidden="false" customHeight="false" outlineLevel="0" collapsed="false">
      <c r="A29" s="6" t="s">
        <v>59</v>
      </c>
      <c r="B29" s="44" t="n">
        <f aca="false">KPIs!B37</f>
        <v>155</v>
      </c>
      <c r="C29" s="44" t="n">
        <f aca="false">KPIs!C37</f>
        <v>159.65</v>
      </c>
      <c r="D29" s="44" t="n">
        <f aca="false">KPIs!D37</f>
        <v>164.4395</v>
      </c>
    </row>
    <row r="30" customFormat="false" ht="15" hidden="false" customHeight="false" outlineLevel="0" collapsed="false">
      <c r="A30" s="6" t="s">
        <v>60</v>
      </c>
      <c r="B30" s="44" t="n">
        <f aca="false">KPIs!B38</f>
        <v>69.9527916666667</v>
      </c>
      <c r="C30" s="44" t="n">
        <f aca="false">KPIs!C38</f>
        <v>100.96266</v>
      </c>
      <c r="D30" s="44" t="n">
        <f aca="false">KPIs!D38</f>
        <v>106.071370596</v>
      </c>
    </row>
    <row r="31" customFormat="false" ht="15" hidden="false" customHeight="false" outlineLevel="0" collapsed="false">
      <c r="A31" s="6" t="s">
        <v>61</v>
      </c>
      <c r="B31" s="45" t="n">
        <f aca="false">KPIs!B32</f>
        <v>748.351272727273</v>
      </c>
      <c r="C31" s="45" t="n">
        <f aca="false">KPIs!C32</f>
        <v>1048.63418181818</v>
      </c>
      <c r="D31" s="45" t="n">
        <f aca="false">KPIs!D32</f>
        <v>1069.60686545455</v>
      </c>
    </row>
    <row r="32" customFormat="false" ht="15" hidden="false" customHeight="false" outlineLevel="0" collapsed="false">
      <c r="A32" s="6" t="s">
        <v>62</v>
      </c>
      <c r="B32" s="46" t="n">
        <f aca="false">INDEX(Headcount!$C$11:$AL$11,B$27*12)</f>
        <v>3.1</v>
      </c>
      <c r="C32" s="46" t="n">
        <f aca="false">INDEX(Headcount!$C$11:$AL$11,C$27*12)</f>
        <v>3.1</v>
      </c>
      <c r="D32" s="46" t="n">
        <f aca="false">INDEX(Headcount!$C$11:$AL$11,D$27*12)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946095.597408322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7"/>
      <c r="C39" s="47"/>
      <c r="D39" s="47"/>
      <c r="E39" s="47"/>
      <c r="F39" s="48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-378315.425857857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-365637.897683466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-371976.661770662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274944.2576</v>
      </c>
      <c r="C7" s="36" t="n">
        <f aca="false">'P&amp;L'!C5</f>
        <v>396826.244352</v>
      </c>
      <c r="D7" s="36" t="n">
        <f aca="false">'P&amp;L'!D5</f>
        <v>416905.652316211</v>
      </c>
      <c r="H7" s="36" t="n">
        <f aca="false">INDEX(Monthly!$C$20:$AL$20,($R$2-1)*12+1)</f>
        <v>11541.2586666667</v>
      </c>
      <c r="I7" s="36" t="n">
        <f aca="false">INDEX(Monthly!$C$20:$AL$20,($R$2-1)*12+2)</f>
        <v>13272.4474666667</v>
      </c>
      <c r="J7" s="36" t="n">
        <f aca="false">INDEX(Monthly!$C$20:$AL$20,($R$2-1)*12+3)</f>
        <v>15003.6362666667</v>
      </c>
      <c r="K7" s="36" t="n">
        <f aca="false">INDEX(Monthly!$C$20:$AL$20,($R$2-1)*12+4)</f>
        <v>16734.8250666667</v>
      </c>
      <c r="L7" s="36" t="n">
        <f aca="false">INDEX(Monthly!$C$20:$AL$20,($R$2-1)*12+5)</f>
        <v>18466.0138666667</v>
      </c>
      <c r="M7" s="36" t="n">
        <f aca="false">INDEX(Monthly!$C$20:$AL$20,($R$2-1)*12+6)</f>
        <v>27541.64</v>
      </c>
      <c r="N7" s="36" t="n">
        <f aca="false">INDEX(Monthly!$C$20:$AL$20,($R$2-1)*12+7)</f>
        <v>29902.352</v>
      </c>
      <c r="O7" s="36" t="n">
        <f aca="false">INDEX(Monthly!$C$20:$AL$20,($R$2-1)*12+8)</f>
        <v>32263.064</v>
      </c>
      <c r="P7" s="36" t="n">
        <f aca="false">INDEX(Monthly!$C$20:$AL$20,($R$2-1)*12+9)</f>
        <v>25390.7690666667</v>
      </c>
      <c r="Q7" s="36" t="n">
        <f aca="false">INDEX(Monthly!$C$20:$AL$20,($R$2-1)*12+10)</f>
        <v>27121.9578666667</v>
      </c>
      <c r="R7" s="36" t="n">
        <f aca="false">INDEX(Monthly!$C$20:$AL$20,($R$2-1)*12+11)</f>
        <v>28853.1466666667</v>
      </c>
      <c r="S7" s="36" t="n">
        <f aca="false">INDEX(Monthly!$C$20:$AL$20,($R$2-1)*12+12)</f>
        <v>28853.1466666667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-109180.44818</v>
      </c>
      <c r="C8" s="36" t="n">
        <f aca="false">'P&amp;L'!C6</f>
        <v>-134765.8232736</v>
      </c>
      <c r="D8" s="36" t="n">
        <f aca="false">'P&amp;L'!D6</f>
        <v>-140413.740331244</v>
      </c>
      <c r="H8" s="36" t="n">
        <f aca="false">INDEX(Monthly!$C$28:$AL$28,($R$2-1)*12+1)</f>
        <v>-6865.92226666667</v>
      </c>
      <c r="I8" s="36" t="n">
        <f aca="false">INDEX(Monthly!$C$28:$AL$28,($R$2-1)*12+2)</f>
        <v>-7205.81060666667</v>
      </c>
      <c r="J8" s="36" t="n">
        <f aca="false">INDEX(Monthly!$C$28:$AL$28,($R$2-1)*12+3)</f>
        <v>-7545.69894666667</v>
      </c>
      <c r="K8" s="36" t="n">
        <f aca="false">INDEX(Monthly!$C$28:$AL$28,($R$2-1)*12+4)</f>
        <v>-7885.58728666667</v>
      </c>
      <c r="L8" s="36" t="n">
        <f aca="false">INDEX(Monthly!$C$28:$AL$28,($R$2-1)*12+5)</f>
        <v>-8225.47562666667</v>
      </c>
      <c r="M8" s="36" t="n">
        <f aca="false">INDEX(Monthly!$C$28:$AL$28,($R$2-1)*12+6)</f>
        <v>-10007.3145</v>
      </c>
      <c r="N8" s="36" t="n">
        <f aca="false">INDEX(Monthly!$C$28:$AL$28,($R$2-1)*12+7)</f>
        <v>-10470.7986</v>
      </c>
      <c r="O8" s="36" t="n">
        <f aca="false">INDEX(Monthly!$C$28:$AL$28,($R$2-1)*12+8)</f>
        <v>-10934.2827</v>
      </c>
      <c r="P8" s="36" t="n">
        <f aca="false">INDEX(Monthly!$C$28:$AL$28,($R$2-1)*12+9)</f>
        <v>-9585.02898666667</v>
      </c>
      <c r="Q8" s="36" t="n">
        <f aca="false">INDEX(Monthly!$C$28:$AL$28,($R$2-1)*12+10)</f>
        <v>-9924.91732666667</v>
      </c>
      <c r="R8" s="36" t="n">
        <f aca="false">INDEX(Monthly!$C$28:$AL$28,($R$2-1)*12+11)</f>
        <v>-10264.8056666667</v>
      </c>
      <c r="S8" s="36" t="n">
        <f aca="false">INDEX(Monthly!$C$28:$AL$28,($R$2-1)*12+12)</f>
        <v>-10264.8056666667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165763.80942</v>
      </c>
      <c r="C9" s="38" t="n">
        <f aca="false">'P&amp;L'!C7</f>
        <v>262060.4210784</v>
      </c>
      <c r="D9" s="38" t="n">
        <f aca="false">'P&amp;L'!D7</f>
        <v>276491.911984967</v>
      </c>
      <c r="E9" s="37"/>
      <c r="F9" s="37"/>
      <c r="H9" s="38" t="n">
        <f aca="false">INDEX(Monthly!$C$29:$AL$29,($R$2-1)*12+1)</f>
        <v>4675.3364</v>
      </c>
      <c r="I9" s="38" t="n">
        <f aca="false">INDEX(Monthly!$C$29:$AL$29,($R$2-1)*12+2)</f>
        <v>6066.63686</v>
      </c>
      <c r="J9" s="38" t="n">
        <f aca="false">INDEX(Monthly!$C$29:$AL$29,($R$2-1)*12+3)</f>
        <v>7457.93732</v>
      </c>
      <c r="K9" s="38" t="n">
        <f aca="false">INDEX(Monthly!$C$29:$AL$29,($R$2-1)*12+4)</f>
        <v>8849.23778</v>
      </c>
      <c r="L9" s="38" t="n">
        <f aca="false">INDEX(Monthly!$C$29:$AL$29,($R$2-1)*12+5)</f>
        <v>10240.53824</v>
      </c>
      <c r="M9" s="38" t="n">
        <f aca="false">INDEX(Monthly!$C$29:$AL$29,($R$2-1)*12+6)</f>
        <v>17534.3255</v>
      </c>
      <c r="N9" s="38" t="n">
        <f aca="false">INDEX(Monthly!$C$29:$AL$29,($R$2-1)*12+7)</f>
        <v>19431.5534</v>
      </c>
      <c r="O9" s="38" t="n">
        <f aca="false">INDEX(Monthly!$C$29:$AL$29,($R$2-1)*12+8)</f>
        <v>21328.7813</v>
      </c>
      <c r="P9" s="38" t="n">
        <f aca="false">INDEX(Monthly!$C$29:$AL$29,($R$2-1)*12+9)</f>
        <v>15805.74008</v>
      </c>
      <c r="Q9" s="38" t="n">
        <f aca="false">INDEX(Monthly!$C$29:$AL$29,($R$2-1)*12+10)</f>
        <v>17197.04054</v>
      </c>
      <c r="R9" s="38" t="n">
        <f aca="false">INDEX(Monthly!$C$29:$AL$29,($R$2-1)*12+11)</f>
        <v>18588.341</v>
      </c>
      <c r="S9" s="38" t="n">
        <f aca="false">INDEX(Monthly!$C$29:$AL$29,($R$2-1)*12+12)</f>
        <v>18588.341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0.602899696349214</v>
      </c>
      <c r="C10" s="40" t="n">
        <f aca="false">'P&amp;L'!C8</f>
        <v>0.660390850676556</v>
      </c>
      <c r="D10" s="40" t="n">
        <f aca="false">'P&amp;L'!D8</f>
        <v>0.663200199970558</v>
      </c>
      <c r="H10" s="40" t="n">
        <f aca="false">IF(H7=0,0,H9/H7)</f>
        <v>0.405097618468881</v>
      </c>
      <c r="I10" s="40" t="n">
        <f aca="false">IF(I7=0,0,I9/I7)</f>
        <v>0.457085015799548</v>
      </c>
      <c r="J10" s="40" t="n">
        <f aca="false">IF(J7=0,0,J9/J7)</f>
        <v>0.497075321438522</v>
      </c>
      <c r="K10" s="40" t="n">
        <f aca="false">IF(K7=0,0,K9/K7)</f>
        <v>0.528791770738398</v>
      </c>
      <c r="L10" s="40" t="n">
        <f aca="false">IF(L7=0,0,L9/L7)</f>
        <v>0.554561385794548</v>
      </c>
      <c r="M10" s="40" t="n">
        <f aca="false">IF(M7=0,0,M9/M7)</f>
        <v>0.636647835786104</v>
      </c>
      <c r="N10" s="40" t="n">
        <f aca="false">IF(N7=0,0,N9/N7)</f>
        <v>0.649833611750674</v>
      </c>
      <c r="O10" s="40" t="n">
        <f aca="false">IF(O7=0,0,O9/O7)</f>
        <v>0.661089761964332</v>
      </c>
      <c r="P10" s="40" t="n">
        <f aca="false">IF(P7=0,0,P9/P7)</f>
        <v>0.622499461851669</v>
      </c>
      <c r="Q10" s="40" t="n">
        <f aca="false">IF(Q7=0,0,Q9/Q7)</f>
        <v>0.634063389691179</v>
      </c>
      <c r="R10" s="40" t="n">
        <f aca="false">IF(R7=0,0,R9/R7)</f>
        <v>0.644239646189948</v>
      </c>
      <c r="S10" s="40" t="n">
        <f aca="false">IF(S7=0,0,S9/S7)</f>
        <v>0.644239646189948</v>
      </c>
    </row>
    <row r="11" customFormat="false" ht="15" hidden="false" customHeight="false" outlineLevel="0" collapsed="false">
      <c r="A11" s="52" t="s">
        <v>77</v>
      </c>
      <c r="B11" s="36" t="n">
        <f aca="false">'P&amp;L'!B18</f>
        <v>-155521.2652592</v>
      </c>
      <c r="C11" s="36" t="n">
        <f aca="false">'P&amp;L'!C18</f>
        <v>-163660.358371584</v>
      </c>
      <c r="D11" s="36" t="n">
        <f aca="false">'P&amp;L'!D18</f>
        <v>-165805.868705186</v>
      </c>
      <c r="H11" s="36" t="n">
        <f aca="false">INDEX(Monthly!$C$41:$AL$41,($R$2-1)*12+1)</f>
        <v>-12198.2643306667</v>
      </c>
      <c r="I11" s="36" t="n">
        <f aca="false">INDEX(Monthly!$C$41:$AL$41,($R$2-1)*12+2)</f>
        <v>-12314.2539802667</v>
      </c>
      <c r="J11" s="36" t="n">
        <f aca="false">INDEX(Monthly!$C$41:$AL$41,($R$2-1)*12+3)</f>
        <v>-12430.2436298667</v>
      </c>
      <c r="K11" s="36" t="n">
        <f aca="false">INDEX(Monthly!$C$41:$AL$41,($R$2-1)*12+4)</f>
        <v>-12546.2332794667</v>
      </c>
      <c r="L11" s="36" t="n">
        <f aca="false">INDEX(Monthly!$C$41:$AL$41,($R$2-1)*12+5)</f>
        <v>-12662.2229290667</v>
      </c>
      <c r="M11" s="36" t="n">
        <f aca="false">INDEX(Monthly!$C$41:$AL$41,($R$2-1)*12+6)</f>
        <v>-13270.28988</v>
      </c>
      <c r="N11" s="36" t="n">
        <f aca="false">INDEX(Monthly!$C$41:$AL$41,($R$2-1)*12+7)</f>
        <v>-13428.457584</v>
      </c>
      <c r="O11" s="36" t="n">
        <f aca="false">INDEX(Monthly!$C$41:$AL$41,($R$2-1)*12+8)</f>
        <v>-13586.625288</v>
      </c>
      <c r="P11" s="36" t="n">
        <f aca="false">INDEX(Monthly!$C$41:$AL$41,($R$2-1)*12+9)</f>
        <v>-13126.1815274667</v>
      </c>
      <c r="Q11" s="36" t="n">
        <f aca="false">INDEX(Monthly!$C$41:$AL$41,($R$2-1)*12+10)</f>
        <v>-13242.1711770667</v>
      </c>
      <c r="R11" s="36" t="n">
        <f aca="false">INDEX(Monthly!$C$41:$AL$41,($R$2-1)*12+11)</f>
        <v>-13358.1608266667</v>
      </c>
      <c r="S11" s="36" t="n">
        <f aca="false">INDEX(Monthly!$C$41:$AL$41,($R$2-1)*12+12)</f>
        <v>-13358.1608266667</v>
      </c>
    </row>
    <row r="12" customFormat="false" ht="15" hidden="false" customHeight="false" outlineLevel="0" collapsed="false">
      <c r="A12" s="37" t="s">
        <v>48</v>
      </c>
      <c r="B12" s="38" t="n">
        <f aca="false">'P&amp;L'!B19</f>
        <v>10242.5441608</v>
      </c>
      <c r="C12" s="38" t="n">
        <f aca="false">'P&amp;L'!C19</f>
        <v>98400.062706816</v>
      </c>
      <c r="D12" s="38" t="n">
        <f aca="false">'P&amp;L'!D19</f>
        <v>110686.043279781</v>
      </c>
      <c r="E12" s="37"/>
      <c r="F12" s="37"/>
      <c r="H12" s="38" t="n">
        <f aca="false">INDEX(Monthly!$C$42:$AL$42,($R$2-1)*12+1)</f>
        <v>-7522.92793066667</v>
      </c>
      <c r="I12" s="38" t="n">
        <f aca="false">INDEX(Monthly!$C$42:$AL$42,($R$2-1)*12+2)</f>
        <v>-6247.61712026667</v>
      </c>
      <c r="J12" s="38" t="n">
        <f aca="false">INDEX(Monthly!$C$42:$AL$42,($R$2-1)*12+3)</f>
        <v>-4972.30630986667</v>
      </c>
      <c r="K12" s="38" t="n">
        <f aca="false">INDEX(Monthly!$C$42:$AL$42,($R$2-1)*12+4)</f>
        <v>-3696.99549946667</v>
      </c>
      <c r="L12" s="38" t="n">
        <f aca="false">INDEX(Monthly!$C$42:$AL$42,($R$2-1)*12+5)</f>
        <v>-2421.68468906666</v>
      </c>
      <c r="M12" s="38" t="n">
        <f aca="false">INDEX(Monthly!$C$42:$AL$42,($R$2-1)*12+6)</f>
        <v>4264.03562</v>
      </c>
      <c r="N12" s="38" t="n">
        <f aca="false">INDEX(Monthly!$C$42:$AL$42,($R$2-1)*12+7)</f>
        <v>6003.095816</v>
      </c>
      <c r="O12" s="38" t="n">
        <f aca="false">INDEX(Monthly!$C$42:$AL$42,($R$2-1)*12+8)</f>
        <v>7742.156012</v>
      </c>
      <c r="P12" s="38" t="n">
        <f aca="false">INDEX(Monthly!$C$42:$AL$42,($R$2-1)*12+9)</f>
        <v>2679.55855253333</v>
      </c>
      <c r="Q12" s="38" t="n">
        <f aca="false">INDEX(Monthly!$C$42:$AL$42,($R$2-1)*12+10)</f>
        <v>3954.86936293334</v>
      </c>
      <c r="R12" s="38" t="n">
        <f aca="false">INDEX(Monthly!$C$42:$AL$42,($R$2-1)*12+11)</f>
        <v>5230.18017333333</v>
      </c>
      <c r="S12" s="38" t="n">
        <f aca="false">INDEX(Monthly!$C$42:$AL$42,($R$2-1)*12+12)</f>
        <v>5230.18017333333</v>
      </c>
    </row>
    <row r="13" customFormat="false" ht="15" hidden="false" customHeight="false" outlineLevel="0" collapsed="false">
      <c r="A13" s="39" t="s">
        <v>49</v>
      </c>
      <c r="B13" s="40" t="n">
        <f aca="false">'P&amp;L'!B20</f>
        <v>0.037253166333451</v>
      </c>
      <c r="C13" s="40" t="n">
        <f aca="false">'P&amp;L'!C20</f>
        <v>0.247967628420089</v>
      </c>
      <c r="D13" s="40" t="n">
        <f aca="false">'P&amp;L'!D20</f>
        <v>0.265494225527623</v>
      </c>
      <c r="H13" s="40" t="n">
        <f aca="false">IF(H7=0,0,H12/H7)</f>
        <v>-0.65182907236923</v>
      </c>
      <c r="I13" s="40" t="n">
        <f aca="false">IF(I7=0,0,I12/I7)</f>
        <v>-0.470720802320549</v>
      </c>
      <c r="J13" s="40" t="n">
        <f aca="false">IF(J7=0,0,J12/J7)</f>
        <v>-0.331406748436948</v>
      </c>
      <c r="K13" s="40" t="n">
        <f aca="false">IF(K7=0,0,K12/K7)</f>
        <v>-0.220916291908575</v>
      </c>
      <c r="L13" s="40" t="n">
        <f aca="false">IF(L7=0,0,L12/L7)</f>
        <v>-0.131142795979271</v>
      </c>
      <c r="M13" s="40" t="n">
        <f aca="false">IF(M7=0,0,M12/M7)</f>
        <v>0.154821412958705</v>
      </c>
      <c r="N13" s="40" t="n">
        <f aca="false">IF(N7=0,0,N12/N7)</f>
        <v>0.200756643357017</v>
      </c>
      <c r="O13" s="40" t="n">
        <f aca="false">IF(O7=0,0,O12/O7)</f>
        <v>0.239969644916552</v>
      </c>
      <c r="P13" s="40" t="n">
        <f aca="false">IF(P7=0,0,P12/P7)</f>
        <v>0.105532784197982</v>
      </c>
      <c r="Q13" s="40" t="n">
        <f aca="false">IF(Q7=0,0,Q12/Q7)</f>
        <v>0.145817989334536</v>
      </c>
      <c r="R13" s="40" t="n">
        <f aca="false">IF(R7=0,0,R12/R7)</f>
        <v>0.181268969854703</v>
      </c>
      <c r="S13" s="40" t="n">
        <f aca="false">IF(S7=0,0,S12/S7)</f>
        <v>0.181268969854703</v>
      </c>
    </row>
    <row r="14" customFormat="false" ht="15" hidden="false" customHeight="false" outlineLevel="0" collapsed="false">
      <c r="A14" s="52" t="s">
        <v>78</v>
      </c>
      <c r="B14" s="36" t="n">
        <f aca="false">'P&amp;L'!B21</f>
        <v>-45991.6666666667</v>
      </c>
      <c r="C14" s="36" t="n">
        <f aca="false">'P&amp;L'!C21</f>
        <v>-46601.4166666667</v>
      </c>
      <c r="D14" s="36" t="n">
        <f aca="false">'P&amp;L'!D21</f>
        <v>-47229.4591666667</v>
      </c>
      <c r="H14" s="36" t="n">
        <f aca="false">INDEX(Monthly!$C$62:$AL$62,($R$2-1)*12+1)</f>
        <v>-3809.72222222222</v>
      </c>
      <c r="I14" s="36" t="n">
        <f aca="false">INDEX(Monthly!$C$62:$AL$62,($R$2-1)*12+2)</f>
        <v>-3813.88888888889</v>
      </c>
      <c r="J14" s="36" t="n">
        <f aca="false">INDEX(Monthly!$C$62:$AL$62,($R$2-1)*12+3)</f>
        <v>-3818.05555555556</v>
      </c>
      <c r="K14" s="36" t="n">
        <f aca="false">INDEX(Monthly!$C$62:$AL$62,($R$2-1)*12+4)</f>
        <v>-3822.22222222222</v>
      </c>
      <c r="L14" s="36" t="n">
        <f aca="false">INDEX(Monthly!$C$62:$AL$62,($R$2-1)*12+5)</f>
        <v>-3826.38888888889</v>
      </c>
      <c r="M14" s="36" t="n">
        <f aca="false">INDEX(Monthly!$C$62:$AL$62,($R$2-1)*12+6)</f>
        <v>-3830.55555555556</v>
      </c>
      <c r="N14" s="36" t="n">
        <f aca="false">INDEX(Monthly!$C$62:$AL$62,($R$2-1)*12+7)</f>
        <v>-3834.72222222222</v>
      </c>
      <c r="O14" s="36" t="n">
        <f aca="false">INDEX(Monthly!$C$62:$AL$62,($R$2-1)*12+8)</f>
        <v>-3838.88888888889</v>
      </c>
      <c r="P14" s="36" t="n">
        <f aca="false">INDEX(Monthly!$C$62:$AL$62,($R$2-1)*12+9)</f>
        <v>-3843.05555555556</v>
      </c>
      <c r="Q14" s="36" t="n">
        <f aca="false">INDEX(Monthly!$C$62:$AL$62,($R$2-1)*12+10)</f>
        <v>-3847.22222222222</v>
      </c>
      <c r="R14" s="36" t="n">
        <f aca="false">INDEX(Monthly!$C$62:$AL$62,($R$2-1)*12+11)</f>
        <v>-3851.38888888889</v>
      </c>
      <c r="S14" s="36" t="n">
        <f aca="false">INDEX(Monthly!$C$62:$AL$62,($R$2-1)*12+12)</f>
        <v>-3855.55555555556</v>
      </c>
    </row>
    <row r="15" customFormat="false" ht="15" hidden="false" customHeight="false" outlineLevel="0" collapsed="false">
      <c r="A15" s="37" t="s">
        <v>79</v>
      </c>
      <c r="B15" s="38" t="n">
        <f aca="false">'P&amp;L'!B22</f>
        <v>-35749.1225058667</v>
      </c>
      <c r="C15" s="38" t="n">
        <f aca="false">'P&amp;L'!C22</f>
        <v>51798.6460401493</v>
      </c>
      <c r="D15" s="38" t="n">
        <f aca="false">'P&amp;L'!D22</f>
        <v>63456.5841131142</v>
      </c>
      <c r="E15" s="37"/>
      <c r="F15" s="37"/>
      <c r="H15" s="38" t="n">
        <f aca="false">INDEX(Monthly!$C$45:$AL$45,($R$2-1)*12+1)</f>
        <v>-11332.6501528889</v>
      </c>
      <c r="I15" s="38" t="n">
        <f aca="false">INDEX(Monthly!$C$45:$AL$45,($R$2-1)*12+2)</f>
        <v>-10061.5060091556</v>
      </c>
      <c r="J15" s="38" t="n">
        <f aca="false">INDEX(Monthly!$C$45:$AL$45,($R$2-1)*12+3)</f>
        <v>-8790.36186542223</v>
      </c>
      <c r="K15" s="38" t="n">
        <f aca="false">INDEX(Monthly!$C$45:$AL$45,($R$2-1)*12+4)</f>
        <v>-7519.21772168889</v>
      </c>
      <c r="L15" s="38" t="n">
        <f aca="false">INDEX(Monthly!$C$45:$AL$45,($R$2-1)*12+5)</f>
        <v>-6248.07357795555</v>
      </c>
      <c r="M15" s="38" t="n">
        <f aca="false">INDEX(Monthly!$C$45:$AL$45,($R$2-1)*12+6)</f>
        <v>433.480064444443</v>
      </c>
      <c r="N15" s="38" t="n">
        <f aca="false">INDEX(Monthly!$C$45:$AL$45,($R$2-1)*12+7)</f>
        <v>2168.37359377778</v>
      </c>
      <c r="O15" s="38" t="n">
        <f aca="false">INDEX(Monthly!$C$45:$AL$45,($R$2-1)*12+8)</f>
        <v>3903.26712311111</v>
      </c>
      <c r="P15" s="38" t="n">
        <f aca="false">INDEX(Monthly!$C$45:$AL$45,($R$2-1)*12+9)</f>
        <v>-1163.49700302223</v>
      </c>
      <c r="Q15" s="38" t="n">
        <f aca="false">INDEX(Monthly!$C$45:$AL$45,($R$2-1)*12+10)</f>
        <v>107.647140711113</v>
      </c>
      <c r="R15" s="38" t="n">
        <f aca="false">INDEX(Monthly!$C$45:$AL$45,($R$2-1)*12+11)</f>
        <v>1378.79128444445</v>
      </c>
      <c r="S15" s="38" t="n">
        <f aca="false">INDEX(Monthly!$C$45:$AL$45,($R$2-1)*12+12)</f>
        <v>1374.62461777778</v>
      </c>
    </row>
    <row r="16" customFormat="false" ht="15" hidden="false" customHeight="false" outlineLevel="0" collapsed="false">
      <c r="A16" s="52" t="s">
        <v>80</v>
      </c>
      <c r="B16" s="36" t="n">
        <f aca="false">'P&amp;L'!B23</f>
        <v>-34757.6848487476</v>
      </c>
      <c r="C16" s="36" t="n">
        <f aca="false">'P&amp;L'!C23</f>
        <v>-34204.7331777278</v>
      </c>
      <c r="D16" s="36" t="n">
        <f aca="false">'P&amp;L'!D23</f>
        <v>-33611.8085857004</v>
      </c>
      <c r="H16" s="36" t="n">
        <f aca="false">INDEX(Monthly!$C$46:$AL$46,($R$2-1)*12+1)</f>
        <v>-2916.66666666667</v>
      </c>
      <c r="I16" s="36" t="n">
        <f aca="false">INDEX(Monthly!$C$46:$AL$46,($R$2-1)*12+2)</f>
        <v>-2913.0661623017</v>
      </c>
      <c r="J16" s="36" t="n">
        <f aca="false">INDEX(Monthly!$C$46:$AL$46,($R$2-1)*12+3)</f>
        <v>-2909.4446549946</v>
      </c>
      <c r="K16" s="36" t="n">
        <f aca="false">INDEX(Monthly!$C$46:$AL$46,($R$2-1)*12+4)</f>
        <v>-2905.80202222821</v>
      </c>
      <c r="L16" s="36" t="n">
        <f aca="false">INDEX(Monthly!$C$46:$AL$46,($R$2-1)*12+5)</f>
        <v>-2902.13814077069</v>
      </c>
      <c r="M16" s="36" t="n">
        <f aca="false">INDEX(Monthly!$C$46:$AL$46,($R$2-1)*12+6)</f>
        <v>-2898.45288667133</v>
      </c>
      <c r="N16" s="36" t="n">
        <f aca="false">INDEX(Monthly!$C$46:$AL$46,($R$2-1)*12+7)</f>
        <v>-2894.74613525639</v>
      </c>
      <c r="O16" s="36" t="n">
        <f aca="false">INDEX(Monthly!$C$46:$AL$46,($R$2-1)*12+8)</f>
        <v>-2891.01776112486</v>
      </c>
      <c r="P16" s="36" t="n">
        <f aca="false">INDEX(Monthly!$C$46:$AL$46,($R$2-1)*12+9)</f>
        <v>-2887.26763814423</v>
      </c>
      <c r="Q16" s="36" t="n">
        <f aca="false">INDEX(Monthly!$C$46:$AL$46,($R$2-1)*12+10)</f>
        <v>-2883.49563944621</v>
      </c>
      <c r="R16" s="36" t="n">
        <f aca="false">INDEX(Monthly!$C$46:$AL$46,($R$2-1)*12+11)</f>
        <v>-2879.70163742246</v>
      </c>
      <c r="S16" s="36" t="n">
        <f aca="false">INDEX(Monthly!$C$46:$AL$46,($R$2-1)*12+12)</f>
        <v>-2875.88550372023</v>
      </c>
    </row>
    <row r="17" customFormat="false" ht="15" hidden="false" customHeight="false" outlineLevel="0" collapsed="false">
      <c r="A17" s="52" t="s">
        <v>81</v>
      </c>
      <c r="B17" s="36" t="n">
        <f aca="false">'P&amp;L'!B24</f>
        <v>-70506.8073546142</v>
      </c>
      <c r="C17" s="36" t="n">
        <f aca="false">'P&amp;L'!C24</f>
        <v>17593.9128624215</v>
      </c>
      <c r="D17" s="36" t="n">
        <f aca="false">'P&amp;L'!D24</f>
        <v>29844.7755274138</v>
      </c>
      <c r="H17" s="36" t="n">
        <f aca="false">INDEX(Monthly!$C$47:$AL$47,($R$2-1)*12+1)</f>
        <v>-14249.3168195556</v>
      </c>
      <c r="I17" s="36" t="n">
        <f aca="false">INDEX(Monthly!$C$47:$AL$47,($R$2-1)*12+2)</f>
        <v>-12974.5721714573</v>
      </c>
      <c r="J17" s="36" t="n">
        <f aca="false">INDEX(Monthly!$C$47:$AL$47,($R$2-1)*12+3)</f>
        <v>-11699.8065204168</v>
      </c>
      <c r="K17" s="36" t="n">
        <f aca="false">INDEX(Monthly!$C$47:$AL$47,($R$2-1)*12+4)</f>
        <v>-10425.0197439171</v>
      </c>
      <c r="L17" s="36" t="n">
        <f aca="false">INDEX(Monthly!$C$47:$AL$47,($R$2-1)*12+5)</f>
        <v>-9150.21171872624</v>
      </c>
      <c r="M17" s="36" t="n">
        <f aca="false">INDEX(Monthly!$C$47:$AL$47,($R$2-1)*12+6)</f>
        <v>-2464.97282222688</v>
      </c>
      <c r="N17" s="36" t="n">
        <f aca="false">INDEX(Monthly!$C$47:$AL$47,($R$2-1)*12+7)</f>
        <v>-726.372541478611</v>
      </c>
      <c r="O17" s="36" t="n">
        <f aca="false">INDEX(Monthly!$C$47:$AL$47,($R$2-1)*12+8)</f>
        <v>1012.24936198626</v>
      </c>
      <c r="P17" s="36" t="n">
        <f aca="false">INDEX(Monthly!$C$47:$AL$47,($R$2-1)*12+9)</f>
        <v>-4050.76464116646</v>
      </c>
      <c r="Q17" s="36" t="n">
        <f aca="false">INDEX(Monthly!$C$47:$AL$47,($R$2-1)*12+10)</f>
        <v>-2775.8484987351</v>
      </c>
      <c r="R17" s="36" t="n">
        <f aca="false">INDEX(Monthly!$C$47:$AL$47,($R$2-1)*12+11)</f>
        <v>-1500.91035297801</v>
      </c>
      <c r="S17" s="36" t="n">
        <f aca="false">INDEX(Monthly!$C$47:$AL$47,($R$2-1)*12+12)</f>
        <v>-1501.26088594246</v>
      </c>
    </row>
    <row r="18" customFormat="false" ht="15" hidden="false" customHeight="false" outlineLevel="0" collapsed="false">
      <c r="A18" s="52" t="s">
        <v>82</v>
      </c>
      <c r="B18" s="36" t="n">
        <f aca="false">'P&amp;L'!B25</f>
        <v>0</v>
      </c>
      <c r="C18" s="36" t="n">
        <f aca="false">'P&amp;L'!C25</f>
        <v>0</v>
      </c>
      <c r="D18" s="36" t="n">
        <f aca="false">'P&amp;L'!D25</f>
        <v>0</v>
      </c>
      <c r="H18" s="36" t="n">
        <f aca="false">INDEX(Monthly!$C$50:$AL$50,($R$2-1)*12+1)</f>
        <v>-0</v>
      </c>
      <c r="I18" s="36" t="n">
        <f aca="false">INDEX(Monthly!$C$50:$AL$50,($R$2-1)*12+2)</f>
        <v>-0</v>
      </c>
      <c r="J18" s="36" t="n">
        <f aca="false">INDEX(Monthly!$C$50:$AL$50,($R$2-1)*12+3)</f>
        <v>-0</v>
      </c>
      <c r="K18" s="36" t="n">
        <f aca="false">INDEX(Monthly!$C$50:$AL$50,($R$2-1)*12+4)</f>
        <v>-0</v>
      </c>
      <c r="L18" s="36" t="n">
        <f aca="false">INDEX(Monthly!$C$50:$AL$50,($R$2-1)*12+5)</f>
        <v>-0</v>
      </c>
      <c r="M18" s="36" t="n">
        <f aca="false">INDEX(Monthly!$C$50:$AL$50,($R$2-1)*12+6)</f>
        <v>-0</v>
      </c>
      <c r="N18" s="36" t="n">
        <f aca="false">INDEX(Monthly!$C$50:$AL$50,($R$2-1)*12+7)</f>
        <v>-0</v>
      </c>
      <c r="O18" s="36" t="n">
        <f aca="false">INDEX(Monthly!$C$50:$AL$50,($R$2-1)*12+8)</f>
        <v>-0</v>
      </c>
      <c r="P18" s="36" t="n">
        <f aca="false">INDEX(Monthly!$C$50:$AL$50,($R$2-1)*12+9)</f>
        <v>-0</v>
      </c>
      <c r="Q18" s="36" t="n">
        <f aca="false">INDEX(Monthly!$C$50:$AL$50,($R$2-1)*12+10)</f>
        <v>-0</v>
      </c>
      <c r="R18" s="36" t="n">
        <f aca="false">INDEX(Monthly!$C$50:$AL$50,($R$2-1)*12+11)</f>
        <v>-0</v>
      </c>
      <c r="S18" s="36" t="n">
        <f aca="false">INDEX(Monthly!$C$50:$AL$50,($R$2-1)*12+12)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'P&amp;L'!B26</f>
        <v>-70506.8073546142</v>
      </c>
      <c r="C19" s="42" t="n">
        <f aca="false">'P&amp;L'!C26</f>
        <v>17593.9128624215</v>
      </c>
      <c r="D19" s="42" t="n">
        <f aca="false">'P&amp;L'!D26</f>
        <v>29844.7755274138</v>
      </c>
      <c r="E19" s="41"/>
      <c r="F19" s="41"/>
      <c r="H19" s="42" t="n">
        <f aca="false">INDEX(Monthly!$C$51:$AL$51,($R$2-1)*12+1)</f>
        <v>-14249.3168195556</v>
      </c>
      <c r="I19" s="42" t="n">
        <f aca="false">INDEX(Monthly!$C$51:$AL$51,($R$2-1)*12+2)</f>
        <v>-12974.5721714573</v>
      </c>
      <c r="J19" s="42" t="n">
        <f aca="false">INDEX(Monthly!$C$51:$AL$51,($R$2-1)*12+3)</f>
        <v>-11699.8065204168</v>
      </c>
      <c r="K19" s="42" t="n">
        <f aca="false">INDEX(Monthly!$C$51:$AL$51,($R$2-1)*12+4)</f>
        <v>-10425.0197439171</v>
      </c>
      <c r="L19" s="42" t="n">
        <f aca="false">INDEX(Monthly!$C$51:$AL$51,($R$2-1)*12+5)</f>
        <v>-9150.21171872624</v>
      </c>
      <c r="M19" s="42" t="n">
        <f aca="false">INDEX(Monthly!$C$51:$AL$51,($R$2-1)*12+6)</f>
        <v>-2464.97282222688</v>
      </c>
      <c r="N19" s="42" t="n">
        <f aca="false">INDEX(Monthly!$C$51:$AL$51,($R$2-1)*12+7)</f>
        <v>-726.372541478611</v>
      </c>
      <c r="O19" s="42" t="n">
        <f aca="false">INDEX(Monthly!$C$51:$AL$51,($R$2-1)*12+8)</f>
        <v>1012.24936198626</v>
      </c>
      <c r="P19" s="42" t="n">
        <f aca="false">INDEX(Monthly!$C$51:$AL$51,($R$2-1)*12+9)</f>
        <v>-4050.76464116646</v>
      </c>
      <c r="Q19" s="42" t="n">
        <f aca="false">INDEX(Monthly!$C$51:$AL$51,($R$2-1)*12+10)</f>
        <v>-2775.8484987351</v>
      </c>
      <c r="R19" s="42" t="n">
        <f aca="false">INDEX(Monthly!$C$51:$AL$51,($R$2-1)*12+11)</f>
        <v>-1500.91035297801</v>
      </c>
      <c r="S19" s="42" t="n">
        <f aca="false">INDEX(Monthly!$C$51:$AL$51,($R$2-1)*12+12)</f>
        <v>-1501.26088594246</v>
      </c>
    </row>
    <row r="20" customFormat="false" ht="15" hidden="false" customHeight="false" outlineLevel="0" collapsed="false">
      <c r="A20" s="39" t="s">
        <v>51</v>
      </c>
      <c r="B20" s="40" t="n">
        <f aca="false">'P&amp;L'!B27</f>
        <v>-0.256440370750315</v>
      </c>
      <c r="C20" s="40" t="n">
        <f aca="false">'P&amp;L'!C27</f>
        <v>0.0443365657207265</v>
      </c>
      <c r="D20" s="40" t="n">
        <f aca="false">'P&amp;L'!D27</f>
        <v>0.071586401771251</v>
      </c>
      <c r="H20" s="40" t="n">
        <f aca="false">IF(H7=0,0,H19/H7)</f>
        <v>-1.23464149198131</v>
      </c>
      <c r="I20" s="40" t="n">
        <f aca="false">IF(I7=0,0,I19/I7)</f>
        <v>-0.977556867641969</v>
      </c>
      <c r="J20" s="40" t="n">
        <f aca="false">IF(J7=0,0,J19/J7)</f>
        <v>-0.779798064447223</v>
      </c>
      <c r="K20" s="40" t="n">
        <f aca="false">IF(K7=0,0,K19/K7)</f>
        <v>-0.622953613341452</v>
      </c>
      <c r="L20" s="40" t="n">
        <f aca="false">IF(L7=0,0,L19/L7)</f>
        <v>-0.495516346126191</v>
      </c>
      <c r="M20" s="40" t="n">
        <f aca="false">IF(M7=0,0,M19/M7)</f>
        <v>-0.0894998562985677</v>
      </c>
      <c r="N20" s="40" t="n">
        <f aca="false">IF(N7=0,0,N19/N7)</f>
        <v>-0.024291485214227</v>
      </c>
      <c r="O20" s="40" t="n">
        <f aca="false">IF(O7=0,0,O19/O7)</f>
        <v>0.0313748676190909</v>
      </c>
      <c r="P20" s="40" t="n">
        <f aca="false">IF(P7=0,0,P19/P7)</f>
        <v>-0.159536902191921</v>
      </c>
      <c r="Q20" s="40" t="n">
        <f aca="false">IF(Q7=0,0,Q19/Q7)</f>
        <v>-0.102346906974097</v>
      </c>
      <c r="R20" s="40" t="n">
        <f aca="false">IF(R7=0,0,R19/R7)</f>
        <v>-0.0520189485853195</v>
      </c>
      <c r="S20" s="40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-19872.9311990587</v>
      </c>
      <c r="C24" s="38" t="n">
        <f aca="false">'Cash Flow'!C10</f>
        <v>64360.7346625593</v>
      </c>
      <c r="D24" s="38" t="n">
        <f aca="false">'Cash Flow'!D10</f>
        <v>77245.9246073052</v>
      </c>
      <c r="E24" s="37"/>
      <c r="F24" s="37"/>
      <c r="H24" s="38" t="n">
        <f aca="false">INDEX(Monthly!$C$83:$AL$83,($R$2-1)*12+1)</f>
        <v>-6558.71080177778</v>
      </c>
      <c r="I24" s="38" t="n">
        <f aca="false">INDEX(Monthly!$C$83:$AL$83,($R$2-1)*12+2)</f>
        <v>-9084.55071323503</v>
      </c>
      <c r="J24" s="38" t="n">
        <f aca="false">INDEX(Monthly!$C$83:$AL$83,($R$2-1)*12+3)</f>
        <v>-7805.61839552794</v>
      </c>
      <c r="K24" s="38" t="n">
        <f aca="false">INDEX(Monthly!$C$83:$AL$83,($R$2-1)*12+4)</f>
        <v>-6526.66495236155</v>
      </c>
      <c r="L24" s="38" t="n">
        <f aca="false">INDEX(Monthly!$C$83:$AL$83,($R$2-1)*12+5)</f>
        <v>-5247.69026050402</v>
      </c>
      <c r="M24" s="38" t="n">
        <f aca="false">INDEX(Monthly!$C$83:$AL$83,($R$2-1)*12+6)</f>
        <v>1764.70196043978</v>
      </c>
      <c r="N24" s="38" t="n">
        <f aca="false">INDEX(Monthly!$C$83:$AL$83,($R$2-1)*12+7)</f>
        <v>3212.16682074361</v>
      </c>
      <c r="O24" s="38" t="n">
        <f aca="false">INDEX(Monthly!$C$83:$AL$83,($R$2-1)*12+8)</f>
        <v>4954.95539087515</v>
      </c>
      <c r="P24" s="38" t="n">
        <f aca="false">INDEX(Monthly!$C$83:$AL$83,($R$2-1)*12+9)</f>
        <v>-509.93231538868</v>
      </c>
      <c r="Q24" s="38" t="n">
        <f aca="false">INDEX(Monthly!$C$83:$AL$83,($R$2-1)*12+10)</f>
        <v>1147.50629282046</v>
      </c>
      <c r="R24" s="38" t="n">
        <f aca="false">INDEX(Monthly!$C$83:$AL$83,($R$2-1)*12+11)</f>
        <v>2426.61110524421</v>
      </c>
      <c r="S24" s="38" t="n">
        <f aca="false">INDEX(Monthly!$C$83:$AL$83,($R$2-1)*12+12)</f>
        <v>2354.2946696131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-874000</v>
      </c>
      <c r="C25" s="36" t="n">
        <f aca="false">'Cash Flow'!C11</f>
        <v>-9270</v>
      </c>
      <c r="D25" s="36" t="n">
        <f aca="false">'Cash Flow'!D11</f>
        <v>-9548.1</v>
      </c>
      <c r="H25" s="36" t="n">
        <f aca="false">INDEX(Monthly!$C$84:$AL$84,($R$2-1)*12+1)</f>
        <v>-865750</v>
      </c>
      <c r="I25" s="36" t="n">
        <f aca="false">INDEX(Monthly!$C$84:$AL$84,($R$2-1)*12+2)</f>
        <v>-750</v>
      </c>
      <c r="J25" s="36" t="n">
        <f aca="false">INDEX(Monthly!$C$84:$AL$84,($R$2-1)*12+3)</f>
        <v>-750</v>
      </c>
      <c r="K25" s="36" t="n">
        <f aca="false">INDEX(Monthly!$C$84:$AL$84,($R$2-1)*12+4)</f>
        <v>-750</v>
      </c>
      <c r="L25" s="36" t="n">
        <f aca="false">INDEX(Monthly!$C$84:$AL$84,($R$2-1)*12+5)</f>
        <v>-750</v>
      </c>
      <c r="M25" s="36" t="n">
        <f aca="false">INDEX(Monthly!$C$84:$AL$84,($R$2-1)*12+6)</f>
        <v>-750</v>
      </c>
      <c r="N25" s="36" t="n">
        <f aca="false">INDEX(Monthly!$C$84:$AL$84,($R$2-1)*12+7)</f>
        <v>-750</v>
      </c>
      <c r="O25" s="36" t="n">
        <f aca="false">INDEX(Monthly!$C$84:$AL$84,($R$2-1)*12+8)</f>
        <v>-750</v>
      </c>
      <c r="P25" s="36" t="n">
        <f aca="false">INDEX(Monthly!$C$84:$AL$84,($R$2-1)*12+9)</f>
        <v>-750</v>
      </c>
      <c r="Q25" s="36" t="n">
        <f aca="false">INDEX(Monthly!$C$84:$AL$84,($R$2-1)*12+10)</f>
        <v>-750</v>
      </c>
      <c r="R25" s="36" t="n">
        <f aca="false">INDEX(Monthly!$C$84:$AL$84,($R$2-1)*12+11)</f>
        <v>-750</v>
      </c>
      <c r="S25" s="36" t="n">
        <f aca="false">INDEX(Monthly!$C$84:$AL$84,($R$2-1)*12+12)</f>
        <v>-750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430000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INDEX(Monthly!$C$85:$AL$85,($R$2-1)*12+1)</f>
        <v>430000</v>
      </c>
      <c r="I26" s="36" t="n">
        <f aca="false">INDEX(Monthly!$C$85:$AL$85,($R$2-1)*12+2)</f>
        <v>0</v>
      </c>
      <c r="J26" s="36" t="n">
        <f aca="false">INDEX(Monthly!$C$85:$AL$85,($R$2-1)*12+3)</f>
        <v>0</v>
      </c>
      <c r="K26" s="36" t="n">
        <f aca="false">INDEX(Monthly!$C$85:$AL$85,($R$2-1)*12+4)</f>
        <v>0</v>
      </c>
      <c r="L26" s="36" t="n">
        <f aca="false">INDEX(Monthly!$C$85:$AL$85,($R$2-1)*12+5)</f>
        <v>0</v>
      </c>
      <c r="M26" s="36" t="n">
        <f aca="false">INDEX(Monthly!$C$85:$AL$85,($R$2-1)*12+6)</f>
        <v>0</v>
      </c>
      <c r="N26" s="36" t="n">
        <f aca="false">INDEX(Monthly!$C$85:$AL$85,($R$2-1)*12+7)</f>
        <v>0</v>
      </c>
      <c r="O26" s="36" t="n">
        <f aca="false">INDEX(Monthly!$C$85:$AL$85,($R$2-1)*12+8)</f>
        <v>0</v>
      </c>
      <c r="P26" s="36" t="n">
        <f aca="false">INDEX(Monthly!$C$85:$AL$85,($R$2-1)*12+9)</f>
        <v>0</v>
      </c>
      <c r="Q26" s="36" t="n">
        <f aca="false">INDEX(Monthly!$C$85:$AL$85,($R$2-1)*12+10)</f>
        <v>0</v>
      </c>
      <c r="R26" s="36" t="n">
        <f aca="false">INDEX(Monthly!$C$85:$AL$85,($R$2-1)*12+11)</f>
        <v>0</v>
      </c>
      <c r="S26" s="36" t="n">
        <f aca="false">INDEX(Monthly!$C$85:$AL$85,($R$2-1)*12+12)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500000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INDEX(Monthly!$C$68:$AL$68,($R$2-1)*12+1)</f>
        <v>500000</v>
      </c>
      <c r="I27" s="36" t="n">
        <f aca="false">INDEX(Monthly!$C$68:$AL$68,($R$2-1)*12+2)</f>
        <v>0</v>
      </c>
      <c r="J27" s="36" t="n">
        <f aca="false">INDEX(Monthly!$C$68:$AL$68,($R$2-1)*12+3)</f>
        <v>0</v>
      </c>
      <c r="K27" s="36" t="n">
        <f aca="false">INDEX(Monthly!$C$68:$AL$68,($R$2-1)*12+4)</f>
        <v>0</v>
      </c>
      <c r="L27" s="36" t="n">
        <f aca="false">INDEX(Monthly!$C$68:$AL$68,($R$2-1)*12+5)</f>
        <v>0</v>
      </c>
      <c r="M27" s="36" t="n">
        <f aca="false">INDEX(Monthly!$C$68:$AL$68,($R$2-1)*12+6)</f>
        <v>0</v>
      </c>
      <c r="N27" s="36" t="n">
        <f aca="false">INDEX(Monthly!$C$68:$AL$68,($R$2-1)*12+7)</f>
        <v>0</v>
      </c>
      <c r="O27" s="36" t="n">
        <f aca="false">INDEX(Monthly!$C$68:$AL$68,($R$2-1)*12+8)</f>
        <v>0</v>
      </c>
      <c r="P27" s="36" t="n">
        <f aca="false">INDEX(Monthly!$C$68:$AL$68,($R$2-1)*12+9)</f>
        <v>0</v>
      </c>
      <c r="Q27" s="36" t="n">
        <f aca="false">INDEX(Monthly!$C$68:$AL$68,($R$2-1)*12+10)</f>
        <v>0</v>
      </c>
      <c r="R27" s="36" t="n">
        <f aca="false">INDEX(Monthly!$C$68:$AL$68,($R$2-1)*12+11)</f>
        <v>0</v>
      </c>
      <c r="S27" s="36" t="n">
        <f aca="false">INDEX(Monthly!$C$68:$AL$68,($R$2-1)*12+12)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-7649.06698775793</v>
      </c>
      <c r="C28" s="36" t="n">
        <f aca="false">'Cash Flow'!C14</f>
        <v>-8202.01865877771</v>
      </c>
      <c r="D28" s="36" t="n">
        <f aca="false">'Cash Flow'!D14</f>
        <v>-8794.94325080511</v>
      </c>
      <c r="H28" s="36" t="n">
        <f aca="false">INDEX(Monthly!$C$70:$AL$70,($R$2-1)*12+1)</f>
        <v>-617.229319708792</v>
      </c>
      <c r="I28" s="36" t="n">
        <f aca="false">INDEX(Monthly!$C$70:$AL$70,($R$2-1)*12+2)</f>
        <v>-620.82982407376</v>
      </c>
      <c r="J28" s="36" t="n">
        <f aca="false">INDEX(Monthly!$C$70:$AL$70,($R$2-1)*12+3)</f>
        <v>-624.451331380857</v>
      </c>
      <c r="K28" s="36" t="n">
        <f aca="false">INDEX(Monthly!$C$70:$AL$70,($R$2-1)*12+4)</f>
        <v>-628.093964147245</v>
      </c>
      <c r="L28" s="36" t="n">
        <f aca="false">INDEX(Monthly!$C$70:$AL$70,($R$2-1)*12+5)</f>
        <v>-631.757845604771</v>
      </c>
      <c r="M28" s="36" t="n">
        <f aca="false">INDEX(Monthly!$C$70:$AL$70,($R$2-1)*12+6)</f>
        <v>-635.443099704132</v>
      </c>
      <c r="N28" s="36" t="n">
        <f aca="false">INDEX(Monthly!$C$70:$AL$70,($R$2-1)*12+7)</f>
        <v>-639.149851119073</v>
      </c>
      <c r="O28" s="36" t="n">
        <f aca="false">INDEX(Monthly!$C$70:$AL$70,($R$2-1)*12+8)</f>
        <v>-642.878225250601</v>
      </c>
      <c r="P28" s="36" t="n">
        <f aca="false">INDEX(Monthly!$C$70:$AL$70,($R$2-1)*12+9)</f>
        <v>-646.62834823123</v>
      </c>
      <c r="Q28" s="36" t="n">
        <f aca="false">INDEX(Monthly!$C$70:$AL$70,($R$2-1)*12+10)</f>
        <v>-650.400346929245</v>
      </c>
      <c r="R28" s="36" t="n">
        <f aca="false">INDEX(Monthly!$C$70:$AL$70,($R$2-1)*12+11)</f>
        <v>-654.194348952999</v>
      </c>
      <c r="S28" s="36" t="n">
        <f aca="false">INDEX(Monthly!$C$70:$AL$70,($R$2-1)*12+12)</f>
        <v>-658.010482655225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922350.933012242</v>
      </c>
      <c r="C29" s="38" t="n">
        <f aca="false">'Cash Flow'!C15</f>
        <v>-8202.01865877771</v>
      </c>
      <c r="D29" s="38" t="n">
        <f aca="false">'Cash Flow'!D15</f>
        <v>-8794.94325080511</v>
      </c>
      <c r="E29" s="37"/>
      <c r="F29" s="37"/>
      <c r="H29" s="38" t="n">
        <f aca="false">INDEX(Monthly!$C$86:$AL$86,($R$2-1)*12+1)</f>
        <v>929382.770680291</v>
      </c>
      <c r="I29" s="38" t="n">
        <f aca="false">INDEX(Monthly!$C$86:$AL$86,($R$2-1)*12+2)</f>
        <v>-620.82982407376</v>
      </c>
      <c r="J29" s="38" t="n">
        <f aca="false">INDEX(Monthly!$C$86:$AL$86,($R$2-1)*12+3)</f>
        <v>-624.451331380857</v>
      </c>
      <c r="K29" s="38" t="n">
        <f aca="false">INDEX(Monthly!$C$86:$AL$86,($R$2-1)*12+4)</f>
        <v>-628.093964147245</v>
      </c>
      <c r="L29" s="38" t="n">
        <f aca="false">INDEX(Monthly!$C$86:$AL$86,($R$2-1)*12+5)</f>
        <v>-631.757845604771</v>
      </c>
      <c r="M29" s="38" t="n">
        <f aca="false">INDEX(Monthly!$C$86:$AL$86,($R$2-1)*12+6)</f>
        <v>-635.443099704132</v>
      </c>
      <c r="N29" s="38" t="n">
        <f aca="false">INDEX(Monthly!$C$86:$AL$86,($R$2-1)*12+7)</f>
        <v>-639.149851119073</v>
      </c>
      <c r="O29" s="38" t="n">
        <f aca="false">INDEX(Monthly!$C$86:$AL$86,($R$2-1)*12+8)</f>
        <v>-642.878225250601</v>
      </c>
      <c r="P29" s="38" t="n">
        <f aca="false">INDEX(Monthly!$C$86:$AL$86,($R$2-1)*12+9)</f>
        <v>-646.62834823123</v>
      </c>
      <c r="Q29" s="38" t="n">
        <f aca="false">INDEX(Monthly!$C$86:$AL$86,($R$2-1)*12+10)</f>
        <v>-650.400346929245</v>
      </c>
      <c r="R29" s="38" t="n">
        <f aca="false">INDEX(Monthly!$C$86:$AL$86,($R$2-1)*12+11)</f>
        <v>-654.194348952999</v>
      </c>
      <c r="S29" s="38" t="n">
        <f aca="false">INDEX(Monthly!$C$86:$AL$86,($R$2-1)*12+12)</f>
        <v>-658.010482655225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28478.0018131834</v>
      </c>
      <c r="C30" s="38" t="n">
        <f aca="false">'Cash Flow'!C16</f>
        <v>46888.7160037816</v>
      </c>
      <c r="D30" s="38" t="n">
        <f aca="false">'Cash Flow'!D16</f>
        <v>58902.8813565001</v>
      </c>
      <c r="E30" s="37"/>
      <c r="F30" s="37"/>
      <c r="H30" s="38" t="n">
        <f aca="false">INDEX(Monthly!$C$87:$AL$87,($R$2-1)*12+1)</f>
        <v>57074.0598785135</v>
      </c>
      <c r="I30" s="38" t="n">
        <f aca="false">INDEX(Monthly!$C$87:$AL$87,($R$2-1)*12+2)</f>
        <v>-10455.3805373088</v>
      </c>
      <c r="J30" s="38" t="n">
        <f aca="false">INDEX(Monthly!$C$87:$AL$87,($R$2-1)*12+3)</f>
        <v>-9180.06972690879</v>
      </c>
      <c r="K30" s="38" t="n">
        <f aca="false">INDEX(Monthly!$C$87:$AL$87,($R$2-1)*12+4)</f>
        <v>-7904.75891650879</v>
      </c>
      <c r="L30" s="38" t="n">
        <f aca="false">INDEX(Monthly!$C$87:$AL$87,($R$2-1)*12+5)</f>
        <v>-6629.44810610879</v>
      </c>
      <c r="M30" s="38" t="n">
        <f aca="false">INDEX(Monthly!$C$87:$AL$87,($R$2-1)*12+6)</f>
        <v>379.258860735652</v>
      </c>
      <c r="N30" s="38" t="n">
        <f aca="false">INDEX(Monthly!$C$87:$AL$87,($R$2-1)*12+7)</f>
        <v>1823.01696962454</v>
      </c>
      <c r="O30" s="38" t="n">
        <f aca="false">INDEX(Monthly!$C$87:$AL$87,($R$2-1)*12+8)</f>
        <v>3562.07716562455</v>
      </c>
      <c r="P30" s="38" t="n">
        <f aca="false">INDEX(Monthly!$C$87:$AL$87,($R$2-1)*12+9)</f>
        <v>-1906.56066361991</v>
      </c>
      <c r="Q30" s="38" t="n">
        <f aca="false">INDEX(Monthly!$C$87:$AL$87,($R$2-1)*12+10)</f>
        <v>-252.894054108789</v>
      </c>
      <c r="R30" s="38" t="n">
        <f aca="false">INDEX(Monthly!$C$87:$AL$87,($R$2-1)*12+11)</f>
        <v>1022.41675629121</v>
      </c>
      <c r="S30" s="38" t="n">
        <f aca="false">INDEX(Monthly!$C$87:$AL$87,($R$2-1)*12+12)</f>
        <v>946.284186957875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28478.0018131834</v>
      </c>
      <c r="C31" s="42" t="n">
        <f aca="false">'Cash Flow'!C18</f>
        <v>75366.717816965</v>
      </c>
      <c r="D31" s="42" t="n">
        <f aca="false">'Cash Flow'!D18</f>
        <v>134269.599173465</v>
      </c>
      <c r="E31" s="41"/>
      <c r="F31" s="41"/>
      <c r="H31" s="42" t="n">
        <f aca="false">INDEX(Monthly!$C$89:$AL$89,($R$2-1)*12+1)</f>
        <v>57074.0598785135</v>
      </c>
      <c r="I31" s="42" t="n">
        <f aca="false">INDEX(Monthly!$C$89:$AL$89,($R$2-1)*12+2)</f>
        <v>46618.6793412047</v>
      </c>
      <c r="J31" s="42" t="n">
        <f aca="false">INDEX(Monthly!$C$89:$AL$89,($R$2-1)*12+3)</f>
        <v>37438.6096142959</v>
      </c>
      <c r="K31" s="42" t="n">
        <f aca="false">INDEX(Monthly!$C$89:$AL$89,($R$2-1)*12+4)</f>
        <v>29533.8506977871</v>
      </c>
      <c r="L31" s="42" t="n">
        <f aca="false">INDEX(Monthly!$C$89:$AL$89,($R$2-1)*12+5)</f>
        <v>22904.4025916783</v>
      </c>
      <c r="M31" s="42" t="n">
        <f aca="false">INDEX(Monthly!$C$89:$AL$89,($R$2-1)*12+6)</f>
        <v>23283.6614524139</v>
      </c>
      <c r="N31" s="42" t="n">
        <f aca="false">INDEX(Monthly!$C$89:$AL$89,($R$2-1)*12+7)</f>
        <v>25106.6784220385</v>
      </c>
      <c r="O31" s="42" t="n">
        <f aca="false">INDEX(Monthly!$C$89:$AL$89,($R$2-1)*12+8)</f>
        <v>28668.755587663</v>
      </c>
      <c r="P31" s="42" t="n">
        <f aca="false">INDEX(Monthly!$C$89:$AL$89,($R$2-1)*12+9)</f>
        <v>26762.1949240431</v>
      </c>
      <c r="Q31" s="42" t="n">
        <f aca="false">INDEX(Monthly!$C$89:$AL$89,($R$2-1)*12+10)</f>
        <v>26509.3008699343</v>
      </c>
      <c r="R31" s="42" t="n">
        <f aca="false">INDEX(Monthly!$C$89:$AL$89,($R$2-1)*12+11)</f>
        <v>27531.7176262255</v>
      </c>
      <c r="S31" s="42" t="n">
        <f aca="false">INDEX(Monthly!$C$89:$AL$89,($R$2-1)*12+12)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28478.0018131834</v>
      </c>
      <c r="C41" s="36" t="n">
        <f aca="false">'Balance Sheet'!C5</f>
        <v>75366.717816965</v>
      </c>
      <c r="D41" s="36" t="n">
        <f aca="false">'Balance Sheet'!D5</f>
        <v>134269.599173465</v>
      </c>
      <c r="H41" s="36" t="n">
        <f aca="false">INDEX(Monthly!$C$89:$AL$89,($R$2-1)*12+1)</f>
        <v>57074.0598785135</v>
      </c>
      <c r="I41" s="36" t="n">
        <f aca="false">INDEX(Monthly!$C$89:$AL$89,($R$2-1)*12+2)</f>
        <v>46618.6793412047</v>
      </c>
      <c r="J41" s="36" t="n">
        <f aca="false">INDEX(Monthly!$C$89:$AL$89,($R$2-1)*12+3)</f>
        <v>37438.6096142959</v>
      </c>
      <c r="K41" s="36" t="n">
        <f aca="false">INDEX(Monthly!$C$89:$AL$89,($R$2-1)*12+4)</f>
        <v>29533.8506977871</v>
      </c>
      <c r="L41" s="36" t="n">
        <f aca="false">INDEX(Monthly!$C$89:$AL$89,($R$2-1)*12+5)</f>
        <v>22904.4025916783</v>
      </c>
      <c r="M41" s="36" t="n">
        <f aca="false">INDEX(Monthly!$C$89:$AL$89,($R$2-1)*12+6)</f>
        <v>23283.6614524139</v>
      </c>
      <c r="N41" s="36" t="n">
        <f aca="false">INDEX(Monthly!$C$89:$AL$89,($R$2-1)*12+7)</f>
        <v>25106.6784220385</v>
      </c>
      <c r="O41" s="36" t="n">
        <f aca="false">INDEX(Monthly!$C$89:$AL$89,($R$2-1)*12+8)</f>
        <v>28668.755587663</v>
      </c>
      <c r="P41" s="36" t="n">
        <f aca="false">INDEX(Monthly!$C$89:$AL$89,($R$2-1)*12+9)</f>
        <v>26762.1949240431</v>
      </c>
      <c r="Q41" s="36" t="n">
        <f aca="false">INDEX(Monthly!$C$89:$AL$89,($R$2-1)*12+10)</f>
        <v>26509.3008699343</v>
      </c>
      <c r="R41" s="36" t="n">
        <f aca="false">INDEX(Monthly!$C$89:$AL$89,($R$2-1)*12+11)</f>
        <v>27531.7176262255</v>
      </c>
      <c r="S41" s="36" t="n">
        <f aca="false">INDEX(Monthly!$C$89:$AL$89,($R$2-1)*12+12)</f>
        <v>28478.0018131834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2885.31466666667</v>
      </c>
      <c r="C42" s="36" t="n">
        <f aca="false">'Balance Sheet'!C6</f>
        <v>3031.3115888</v>
      </c>
      <c r="D42" s="36" t="n">
        <f aca="false">'Balance Sheet'!D6</f>
        <v>3184.69595519328</v>
      </c>
      <c r="H42" s="36" t="n">
        <f aca="false">INDEX(Monthly!$C$75:$AL$75,($R$2-1)*12+1)</f>
        <v>1154.12586666667</v>
      </c>
      <c r="I42" s="36" t="n">
        <f aca="false">INDEX(Monthly!$C$75:$AL$75,($R$2-1)*12+2)</f>
        <v>1327.24474666667</v>
      </c>
      <c r="J42" s="36" t="n">
        <f aca="false">INDEX(Monthly!$C$75:$AL$75,($R$2-1)*12+3)</f>
        <v>1500.36362666667</v>
      </c>
      <c r="K42" s="36" t="n">
        <f aca="false">INDEX(Monthly!$C$75:$AL$75,($R$2-1)*12+4)</f>
        <v>1673.48250666667</v>
      </c>
      <c r="L42" s="36" t="n">
        <f aca="false">INDEX(Monthly!$C$75:$AL$75,($R$2-1)*12+5)</f>
        <v>1846.60138666667</v>
      </c>
      <c r="M42" s="36" t="n">
        <f aca="false">INDEX(Monthly!$C$75:$AL$75,($R$2-1)*12+6)</f>
        <v>2754.164</v>
      </c>
      <c r="N42" s="36" t="n">
        <f aca="false">INDEX(Monthly!$C$75:$AL$75,($R$2-1)*12+7)</f>
        <v>2990.2352</v>
      </c>
      <c r="O42" s="36" t="n">
        <f aca="false">INDEX(Monthly!$C$75:$AL$75,($R$2-1)*12+8)</f>
        <v>3226.3064</v>
      </c>
      <c r="P42" s="36" t="n">
        <f aca="false">INDEX(Monthly!$C$75:$AL$75,($R$2-1)*12+9)</f>
        <v>2539.07690666667</v>
      </c>
      <c r="Q42" s="36" t="n">
        <f aca="false">INDEX(Monthly!$C$75:$AL$75,($R$2-1)*12+10)</f>
        <v>2712.19578666667</v>
      </c>
      <c r="R42" s="36" t="n">
        <f aca="false">INDEX(Monthly!$C$75:$AL$75,($R$2-1)*12+11)</f>
        <v>2885.31466666667</v>
      </c>
      <c r="S42" s="36" t="n">
        <f aca="false">INDEX(Monthly!$C$75:$AL$75,($R$2-1)*12+12)</f>
        <v>2885.31466666667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1026.48056666667</v>
      </c>
      <c r="C43" s="36" t="n">
        <f aca="false">'Balance Sheet'!C7</f>
        <v>1068.94448334</v>
      </c>
      <c r="D43" s="36" t="n">
        <f aca="false">'Balance Sheet'!D7</f>
        <v>1113.272794197</v>
      </c>
      <c r="H43" s="36" t="n">
        <f aca="false">INDEX(Monthly!$C$76:$AL$76,($R$2-1)*12+1)</f>
        <v>686.592226666667</v>
      </c>
      <c r="I43" s="36" t="n">
        <f aca="false">INDEX(Monthly!$C$76:$AL$76,($R$2-1)*12+2)</f>
        <v>720.581060666667</v>
      </c>
      <c r="J43" s="36" t="n">
        <f aca="false">INDEX(Monthly!$C$76:$AL$76,($R$2-1)*12+3)</f>
        <v>754.569894666667</v>
      </c>
      <c r="K43" s="36" t="n">
        <f aca="false">INDEX(Monthly!$C$76:$AL$76,($R$2-1)*12+4)</f>
        <v>788.558728666667</v>
      </c>
      <c r="L43" s="36" t="n">
        <f aca="false">INDEX(Monthly!$C$76:$AL$76,($R$2-1)*12+5)</f>
        <v>822.547562666667</v>
      </c>
      <c r="M43" s="36" t="n">
        <f aca="false">INDEX(Monthly!$C$76:$AL$76,($R$2-1)*12+6)</f>
        <v>1000.73145</v>
      </c>
      <c r="N43" s="36" t="n">
        <f aca="false">INDEX(Monthly!$C$76:$AL$76,($R$2-1)*12+7)</f>
        <v>1047.07986</v>
      </c>
      <c r="O43" s="36" t="n">
        <f aca="false">INDEX(Monthly!$C$76:$AL$76,($R$2-1)*12+8)</f>
        <v>1093.42827</v>
      </c>
      <c r="P43" s="36" t="n">
        <f aca="false">INDEX(Monthly!$C$76:$AL$76,($R$2-1)*12+9)</f>
        <v>958.502898666667</v>
      </c>
      <c r="Q43" s="36" t="n">
        <f aca="false">INDEX(Monthly!$C$76:$AL$76,($R$2-1)*12+10)</f>
        <v>992.491732666667</v>
      </c>
      <c r="R43" s="36" t="n">
        <f aca="false">INDEX(Monthly!$C$76:$AL$76,($R$2-1)*12+11)</f>
        <v>1026.48056666667</v>
      </c>
      <c r="S43" s="36" t="n">
        <f aca="false">INDEX(Monthly!$C$76:$AL$76,($R$2-1)*12+12)</f>
        <v>1026.48056666667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828008.333333333</v>
      </c>
      <c r="C44" s="36" t="n">
        <f aca="false">'Balance Sheet'!C8</f>
        <v>790676.916666667</v>
      </c>
      <c r="D44" s="36" t="n">
        <f aca="false">'Balance Sheet'!D8</f>
        <v>752995.557500001</v>
      </c>
      <c r="H44" s="36" t="n">
        <f aca="false">INDEX(Monthly!$C$64:$AL$64,($R$2-1)*12+1)</f>
        <v>861940.277777778</v>
      </c>
      <c r="I44" s="36" t="n">
        <f aca="false">INDEX(Monthly!$C$64:$AL$64,($R$2-1)*12+2)</f>
        <v>858876.388888889</v>
      </c>
      <c r="J44" s="36" t="n">
        <f aca="false">INDEX(Monthly!$C$64:$AL$64,($R$2-1)*12+3)</f>
        <v>855808.333333333</v>
      </c>
      <c r="K44" s="36" t="n">
        <f aca="false">INDEX(Monthly!$C$64:$AL$64,($R$2-1)*12+4)</f>
        <v>852736.111111111</v>
      </c>
      <c r="L44" s="36" t="n">
        <f aca="false">INDEX(Monthly!$C$64:$AL$64,($R$2-1)*12+5)</f>
        <v>849659.722222222</v>
      </c>
      <c r="M44" s="36" t="n">
        <f aca="false">INDEX(Monthly!$C$64:$AL$64,($R$2-1)*12+6)</f>
        <v>846579.166666667</v>
      </c>
      <c r="N44" s="36" t="n">
        <f aca="false">INDEX(Monthly!$C$64:$AL$64,($R$2-1)*12+7)</f>
        <v>843494.444444445</v>
      </c>
      <c r="O44" s="36" t="n">
        <f aca="false">INDEX(Monthly!$C$64:$AL$64,($R$2-1)*12+8)</f>
        <v>840405.555555556</v>
      </c>
      <c r="P44" s="36" t="n">
        <f aca="false">INDEX(Monthly!$C$64:$AL$64,($R$2-1)*12+9)</f>
        <v>837312.5</v>
      </c>
      <c r="Q44" s="36" t="n">
        <f aca="false">INDEX(Monthly!$C$64:$AL$64,($R$2-1)*12+10)</f>
        <v>834215.277777778</v>
      </c>
      <c r="R44" s="36" t="n">
        <f aca="false">INDEX(Monthly!$C$64:$AL$64,($R$2-1)*12+11)</f>
        <v>831113.888888889</v>
      </c>
      <c r="S44" s="36" t="n">
        <f aca="false">INDEX(Monthly!$C$64:$AL$64,($R$2-1)*12+12)</f>
        <v>828008.333333333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860398.13037985</v>
      </c>
      <c r="C45" s="38" t="n">
        <f aca="false">'Balance Sheet'!C9</f>
        <v>870143.890555772</v>
      </c>
      <c r="D45" s="38" t="n">
        <f aca="false">'Balance Sheet'!D9</f>
        <v>891563.125422856</v>
      </c>
      <c r="E45" s="37"/>
      <c r="F45" s="37"/>
      <c r="H45" s="38" t="n">
        <f aca="false">INDEX(Monthly!$C$103:$AL$103,($R$2-1)*12+1)</f>
        <v>920855.055749625</v>
      </c>
      <c r="I45" s="38" t="n">
        <f aca="false">INDEX(Monthly!$C$103:$AL$103,($R$2-1)*12+2)</f>
        <v>907542.894037427</v>
      </c>
      <c r="J45" s="38" t="n">
        <f aca="false">INDEX(Monthly!$C$103:$AL$103,($R$2-1)*12+3)</f>
        <v>895501.876468963</v>
      </c>
      <c r="K45" s="38" t="n">
        <f aca="false">INDEX(Monthly!$C$103:$AL$103,($R$2-1)*12+4)</f>
        <v>884732.003044232</v>
      </c>
      <c r="L45" s="38" t="n">
        <f aca="false">INDEX(Monthly!$C$103:$AL$103,($R$2-1)*12+5)</f>
        <v>875233.273763234</v>
      </c>
      <c r="M45" s="38" t="n">
        <f aca="false">INDEX(Monthly!$C$103:$AL$103,($R$2-1)*12+6)</f>
        <v>873617.723569081</v>
      </c>
      <c r="N45" s="38" t="n">
        <f aca="false">INDEX(Monthly!$C$103:$AL$103,($R$2-1)*12+7)</f>
        <v>872638.437926483</v>
      </c>
      <c r="O45" s="38" t="n">
        <f aca="false">INDEX(Monthly!$C$103:$AL$103,($R$2-1)*12+8)</f>
        <v>873394.045813219</v>
      </c>
      <c r="P45" s="38" t="n">
        <f aca="false">INDEX(Monthly!$C$103:$AL$103,($R$2-1)*12+9)</f>
        <v>867572.274729376</v>
      </c>
      <c r="Q45" s="38" t="n">
        <f aca="false">INDEX(Monthly!$C$103:$AL$103,($R$2-1)*12+10)</f>
        <v>864429.266167045</v>
      </c>
      <c r="R45" s="38" t="n">
        <f aca="false">INDEX(Monthly!$C$103:$AL$103,($R$2-1)*12+11)</f>
        <v>862557.401748448</v>
      </c>
      <c r="S45" s="38" t="n">
        <f aca="false">INDEX(Monthly!$C$103:$AL$103,($R$2-1)*12+12)</f>
        <v>860398.13037985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8554.00472222222</v>
      </c>
      <c r="C46" s="36" t="n">
        <f aca="false">'Balance Sheet'!C10</f>
        <v>8907.8706945</v>
      </c>
      <c r="D46" s="36" t="n">
        <f aca="false">'Balance Sheet'!D10</f>
        <v>9277.27328497503</v>
      </c>
      <c r="H46" s="36" t="n">
        <f aca="false">INDEX(Monthly!$C$77:$AL$77,($R$2-1)*12+1)</f>
        <v>5721.60188888889</v>
      </c>
      <c r="I46" s="36" t="n">
        <f aca="false">INDEX(Monthly!$C$77:$AL$77,($R$2-1)*12+2)</f>
        <v>6004.84217222222</v>
      </c>
      <c r="J46" s="36" t="n">
        <f aca="false">INDEX(Monthly!$C$77:$AL$77,($R$2-1)*12+3)</f>
        <v>6288.08245555556</v>
      </c>
      <c r="K46" s="36" t="n">
        <f aca="false">INDEX(Monthly!$C$77:$AL$77,($R$2-1)*12+4)</f>
        <v>6571.32273888889</v>
      </c>
      <c r="L46" s="36" t="n">
        <f aca="false">INDEX(Monthly!$C$77:$AL$77,($R$2-1)*12+5)</f>
        <v>6854.56302222222</v>
      </c>
      <c r="M46" s="36" t="n">
        <f aca="false">INDEX(Monthly!$C$77:$AL$77,($R$2-1)*12+6)</f>
        <v>8339.42875</v>
      </c>
      <c r="N46" s="36" t="n">
        <f aca="false">INDEX(Monthly!$C$77:$AL$77,($R$2-1)*12+7)</f>
        <v>8725.6655</v>
      </c>
      <c r="O46" s="36" t="n">
        <f aca="false">INDEX(Monthly!$C$77:$AL$77,($R$2-1)*12+8)</f>
        <v>9111.90225</v>
      </c>
      <c r="P46" s="36" t="n">
        <f aca="false">INDEX(Monthly!$C$77:$AL$77,($R$2-1)*12+9)</f>
        <v>7987.52415555556</v>
      </c>
      <c r="Q46" s="36" t="n">
        <f aca="false">INDEX(Monthly!$C$77:$AL$77,($R$2-1)*12+10)</f>
        <v>8270.76443888889</v>
      </c>
      <c r="R46" s="36" t="n">
        <f aca="false">INDEX(Monthly!$C$77:$AL$77,($R$2-1)*12+11)</f>
        <v>8554.00472222222</v>
      </c>
      <c r="S46" s="36" t="n">
        <f aca="false">INDEX(Monthly!$C$77:$AL$77,($R$2-1)*12+12)</f>
        <v>8554.00472222222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492350.933012242</v>
      </c>
      <c r="C47" s="36" t="n">
        <f aca="false">'Balance Sheet'!C11</f>
        <v>484148.914353464</v>
      </c>
      <c r="D47" s="36" t="n">
        <f aca="false">'Balance Sheet'!D11</f>
        <v>475353.971102659</v>
      </c>
      <c r="H47" s="36" t="n">
        <f aca="false">INDEX(Monthly!$C$72:$AL$72,($R$2-1)*12+1)</f>
        <v>499382.770680291</v>
      </c>
      <c r="I47" s="36" t="n">
        <f aca="false">INDEX(Monthly!$C$72:$AL$72,($R$2-1)*12+2)</f>
        <v>498761.940856217</v>
      </c>
      <c r="J47" s="36" t="n">
        <f aca="false">INDEX(Monthly!$C$72:$AL$72,($R$2-1)*12+3)</f>
        <v>498137.489524837</v>
      </c>
      <c r="K47" s="36" t="n">
        <f aca="false">INDEX(Monthly!$C$72:$AL$72,($R$2-1)*12+4)</f>
        <v>497509.395560689</v>
      </c>
      <c r="L47" s="36" t="n">
        <f aca="false">INDEX(Monthly!$C$72:$AL$72,($R$2-1)*12+5)</f>
        <v>496877.637715085</v>
      </c>
      <c r="M47" s="36" t="n">
        <f aca="false">INDEX(Monthly!$C$72:$AL$72,($R$2-1)*12+6)</f>
        <v>496242.19461538</v>
      </c>
      <c r="N47" s="36" t="n">
        <f aca="false">INDEX(Monthly!$C$72:$AL$72,($R$2-1)*12+7)</f>
        <v>495603.044764261</v>
      </c>
      <c r="O47" s="36" t="n">
        <f aca="false">INDEX(Monthly!$C$72:$AL$72,($R$2-1)*12+8)</f>
        <v>494960.166539011</v>
      </c>
      <c r="P47" s="36" t="n">
        <f aca="false">INDEX(Monthly!$C$72:$AL$72,($R$2-1)*12+9)</f>
        <v>494313.53819078</v>
      </c>
      <c r="Q47" s="36" t="n">
        <f aca="false">INDEX(Monthly!$C$72:$AL$72,($R$2-1)*12+10)</f>
        <v>493663.13784385</v>
      </c>
      <c r="R47" s="36" t="n">
        <f aca="false">INDEX(Monthly!$C$72:$AL$72,($R$2-1)*12+11)</f>
        <v>493008.943494897</v>
      </c>
      <c r="S47" s="36" t="n">
        <f aca="false">INDEX(Monthly!$C$72:$AL$72,($R$2-1)*12+12)</f>
        <v>492350.933012242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500904.937734464</v>
      </c>
      <c r="C48" s="38" t="n">
        <f aca="false">'Balance Sheet'!C12</f>
        <v>493056.785047964</v>
      </c>
      <c r="D48" s="38" t="n">
        <f aca="false">'Balance Sheet'!D12</f>
        <v>484631.244387634</v>
      </c>
      <c r="E48" s="37"/>
      <c r="F48" s="37"/>
      <c r="H48" s="38" t="n">
        <f aca="false">INDEX(Monthly!$C$104:$AL$104,($R$2-1)*12+1)</f>
        <v>505104.37256918</v>
      </c>
      <c r="I48" s="38" t="n">
        <f aca="false">INDEX(Monthly!$C$104:$AL$104,($R$2-1)*12+2)</f>
        <v>504766.78302844</v>
      </c>
      <c r="J48" s="38" t="n">
        <f aca="false">INDEX(Monthly!$C$104:$AL$104,($R$2-1)*12+3)</f>
        <v>504425.571980392</v>
      </c>
      <c r="K48" s="38" t="n">
        <f aca="false">INDEX(Monthly!$C$104:$AL$104,($R$2-1)*12+4)</f>
        <v>504080.718299578</v>
      </c>
      <c r="L48" s="38" t="n">
        <f aca="false">INDEX(Monthly!$C$104:$AL$104,($R$2-1)*12+5)</f>
        <v>503732.200737307</v>
      </c>
      <c r="M48" s="38" t="n">
        <f aca="false">INDEX(Monthly!$C$104:$AL$104,($R$2-1)*12+6)</f>
        <v>504581.62336538</v>
      </c>
      <c r="N48" s="38" t="n">
        <f aca="false">INDEX(Monthly!$C$104:$AL$104,($R$2-1)*12+7)</f>
        <v>504328.710264261</v>
      </c>
      <c r="O48" s="38" t="n">
        <f aca="false">INDEX(Monthly!$C$104:$AL$104,($R$2-1)*12+8)</f>
        <v>504072.068789011</v>
      </c>
      <c r="P48" s="38" t="n">
        <f aca="false">INDEX(Monthly!$C$104:$AL$104,($R$2-1)*12+9)</f>
        <v>502301.062346335</v>
      </c>
      <c r="Q48" s="38" t="n">
        <f aca="false">INDEX(Monthly!$C$104:$AL$104,($R$2-1)*12+10)</f>
        <v>501933.902282739</v>
      </c>
      <c r="R48" s="38" t="n">
        <f aca="false">INDEX(Monthly!$C$104:$AL$104,($R$2-1)*12+11)</f>
        <v>501562.948217119</v>
      </c>
      <c r="S48" s="38" t="n">
        <f aca="false">INDEX(Monthly!$C$104:$AL$104,($R$2-1)*12+12)</f>
        <v>500904.937734464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430000</v>
      </c>
      <c r="C49" s="36" t="n">
        <f aca="false">'Balance Sheet'!C13</f>
        <v>430000</v>
      </c>
      <c r="D49" s="36" t="n">
        <f aca="false">'Balance Sheet'!D13</f>
        <v>430000</v>
      </c>
      <c r="H49" s="36" t="n">
        <f aca="false">INDEX(Monthly!$C$101:$AL$101,($R$2-1)*12+1)</f>
        <v>430000</v>
      </c>
      <c r="I49" s="36" t="n">
        <f aca="false">INDEX(Monthly!$C$101:$AL$101,($R$2-1)*12+2)</f>
        <v>430000</v>
      </c>
      <c r="J49" s="36" t="n">
        <f aca="false">INDEX(Monthly!$C$101:$AL$101,($R$2-1)*12+3)</f>
        <v>430000</v>
      </c>
      <c r="K49" s="36" t="n">
        <f aca="false">INDEX(Monthly!$C$101:$AL$101,($R$2-1)*12+4)</f>
        <v>430000</v>
      </c>
      <c r="L49" s="36" t="n">
        <f aca="false">INDEX(Monthly!$C$101:$AL$101,($R$2-1)*12+5)</f>
        <v>430000</v>
      </c>
      <c r="M49" s="36" t="n">
        <f aca="false">INDEX(Monthly!$C$101:$AL$101,($R$2-1)*12+6)</f>
        <v>430000</v>
      </c>
      <c r="N49" s="36" t="n">
        <f aca="false">INDEX(Monthly!$C$101:$AL$101,($R$2-1)*12+7)</f>
        <v>430000</v>
      </c>
      <c r="O49" s="36" t="n">
        <f aca="false">INDEX(Monthly!$C$101:$AL$101,($R$2-1)*12+8)</f>
        <v>430000</v>
      </c>
      <c r="P49" s="36" t="n">
        <f aca="false">INDEX(Monthly!$C$101:$AL$101,($R$2-1)*12+9)</f>
        <v>430000</v>
      </c>
      <c r="Q49" s="36" t="n">
        <f aca="false">INDEX(Monthly!$C$101:$AL$101,($R$2-1)*12+10)</f>
        <v>430000</v>
      </c>
      <c r="R49" s="36" t="n">
        <f aca="false">INDEX(Monthly!$C$101:$AL$101,($R$2-1)*12+11)</f>
        <v>430000</v>
      </c>
      <c r="S49" s="36" t="n">
        <f aca="false">INDEX(Monthly!$C$101:$AL$101,($R$2-1)*12+12)</f>
        <v>430000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-70506.8073546142</v>
      </c>
      <c r="C50" s="36" t="n">
        <f aca="false">'Balance Sheet'!C14</f>
        <v>-52912.8944921927</v>
      </c>
      <c r="D50" s="36" t="n">
        <f aca="false">'Balance Sheet'!D14</f>
        <v>-23068.1189647789</v>
      </c>
      <c r="H50" s="36" t="n">
        <f aca="false">INDEX(Monthly!$C$102:$AL$102,($R$2-1)*12+1)</f>
        <v>-14249.3168195556</v>
      </c>
      <c r="I50" s="36" t="n">
        <f aca="false">INDEX(Monthly!$C$102:$AL$102,($R$2-1)*12+2)</f>
        <v>-27223.8889910128</v>
      </c>
      <c r="J50" s="36" t="n">
        <f aca="false">INDEX(Monthly!$C$102:$AL$102,($R$2-1)*12+3)</f>
        <v>-38923.6955114296</v>
      </c>
      <c r="K50" s="36" t="n">
        <f aca="false">INDEX(Monthly!$C$102:$AL$102,($R$2-1)*12+4)</f>
        <v>-49348.7152553467</v>
      </c>
      <c r="L50" s="36" t="n">
        <f aca="false">INDEX(Monthly!$C$102:$AL$102,($R$2-1)*12+5)</f>
        <v>-58498.926974073</v>
      </c>
      <c r="M50" s="36" t="n">
        <f aca="false">INDEX(Monthly!$C$102:$AL$102,($R$2-1)*12+6)</f>
        <v>-60963.8997962999</v>
      </c>
      <c r="N50" s="36" t="n">
        <f aca="false">INDEX(Monthly!$C$102:$AL$102,($R$2-1)*12+7)</f>
        <v>-61690.2723377785</v>
      </c>
      <c r="O50" s="36" t="n">
        <f aca="false">INDEX(Monthly!$C$102:$AL$102,($R$2-1)*12+8)</f>
        <v>-60678.0229757922</v>
      </c>
      <c r="P50" s="36" t="n">
        <f aca="false">INDEX(Monthly!$C$102:$AL$102,($R$2-1)*12+9)</f>
        <v>-64728.7876169587</v>
      </c>
      <c r="Q50" s="36" t="n">
        <f aca="false">INDEX(Monthly!$C$102:$AL$102,($R$2-1)*12+10)</f>
        <v>-67504.6361156938</v>
      </c>
      <c r="R50" s="36" t="n">
        <f aca="false">INDEX(Monthly!$C$102:$AL$102,($R$2-1)*12+11)</f>
        <v>-69005.5464686718</v>
      </c>
      <c r="S50" s="36" t="n">
        <f aca="false">INDEX(Monthly!$C$102:$AL$102,($R$2-1)*12+12)</f>
        <v>-70506.8073546142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359493.192645386</v>
      </c>
      <c r="C51" s="38" t="n">
        <f aca="false">'Balance Sheet'!C15</f>
        <v>377087.105507807</v>
      </c>
      <c r="D51" s="38" t="n">
        <f aca="false">'Balance Sheet'!D15</f>
        <v>406931.881035221</v>
      </c>
      <c r="E51" s="37"/>
      <c r="F51" s="37"/>
      <c r="H51" s="38" t="n">
        <f aca="false">INDEX(Monthly!$C$105:$AL$105,($R$2-1)*12+1)</f>
        <v>415750.683180444</v>
      </c>
      <c r="I51" s="38" t="n">
        <f aca="false">INDEX(Monthly!$C$105:$AL$105,($R$2-1)*12+2)</f>
        <v>402776.111008987</v>
      </c>
      <c r="J51" s="38" t="n">
        <f aca="false">INDEX(Monthly!$C$105:$AL$105,($R$2-1)*12+3)</f>
        <v>391076.30448857</v>
      </c>
      <c r="K51" s="38" t="n">
        <f aca="false">INDEX(Monthly!$C$105:$AL$105,($R$2-1)*12+4)</f>
        <v>380651.284744653</v>
      </c>
      <c r="L51" s="38" t="n">
        <f aca="false">INDEX(Monthly!$C$105:$AL$105,($R$2-1)*12+5)</f>
        <v>371501.073025927</v>
      </c>
      <c r="M51" s="38" t="n">
        <f aca="false">INDEX(Monthly!$C$105:$AL$105,($R$2-1)*12+6)</f>
        <v>369036.1002037</v>
      </c>
      <c r="N51" s="38" t="n">
        <f aca="false">INDEX(Monthly!$C$105:$AL$105,($R$2-1)*12+7)</f>
        <v>368309.727662222</v>
      </c>
      <c r="O51" s="38" t="n">
        <f aca="false">INDEX(Monthly!$C$105:$AL$105,($R$2-1)*12+8)</f>
        <v>369321.977024208</v>
      </c>
      <c r="P51" s="38" t="n">
        <f aca="false">INDEX(Monthly!$C$105:$AL$105,($R$2-1)*12+9)</f>
        <v>365271.212383041</v>
      </c>
      <c r="Q51" s="38" t="n">
        <f aca="false">INDEX(Monthly!$C$105:$AL$105,($R$2-1)*12+10)</f>
        <v>362495.363884306</v>
      </c>
      <c r="R51" s="38" t="n">
        <f aca="false">INDEX(Monthly!$C$105:$AL$105,($R$2-1)*12+11)</f>
        <v>360994.453531328</v>
      </c>
      <c r="S51" s="38" t="n">
        <f aca="false">INDEX(Monthly!$C$105:$AL$105,($R$2-1)*12+12)</f>
        <v>359493.192645386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860398.13037985</v>
      </c>
      <c r="C52" s="42" t="n">
        <f aca="false">'Balance Sheet'!C16</f>
        <v>870143.890555772</v>
      </c>
      <c r="D52" s="42" t="n">
        <f aca="false">'Balance Sheet'!D16</f>
        <v>891563.125422855</v>
      </c>
      <c r="E52" s="41"/>
      <c r="F52" s="41"/>
      <c r="H52" s="42" t="n">
        <f aca="false">INDEX(Monthly!$C$106:$AL$106,($R$2-1)*12+1)</f>
        <v>920855.055749625</v>
      </c>
      <c r="I52" s="42" t="n">
        <f aca="false">INDEX(Monthly!$C$106:$AL$106,($R$2-1)*12+2)</f>
        <v>907542.894037427</v>
      </c>
      <c r="J52" s="42" t="n">
        <f aca="false">INDEX(Monthly!$C$106:$AL$106,($R$2-1)*12+3)</f>
        <v>895501.876468963</v>
      </c>
      <c r="K52" s="42" t="n">
        <f aca="false">INDEX(Monthly!$C$106:$AL$106,($R$2-1)*12+4)</f>
        <v>884732.003044232</v>
      </c>
      <c r="L52" s="42" t="n">
        <f aca="false">INDEX(Monthly!$C$106:$AL$106,($R$2-1)*12+5)</f>
        <v>875233.273763234</v>
      </c>
      <c r="M52" s="42" t="n">
        <f aca="false">INDEX(Monthly!$C$106:$AL$106,($R$2-1)*12+6)</f>
        <v>873617.723569081</v>
      </c>
      <c r="N52" s="42" t="n">
        <f aca="false">INDEX(Monthly!$C$106:$AL$106,($R$2-1)*12+7)</f>
        <v>872638.437926483</v>
      </c>
      <c r="O52" s="42" t="n">
        <f aca="false">INDEX(Monthly!$C$106:$AL$106,($R$2-1)*12+8)</f>
        <v>873394.045813219</v>
      </c>
      <c r="P52" s="42" t="n">
        <f aca="false">INDEX(Monthly!$C$106:$AL$106,($R$2-1)*12+9)</f>
        <v>867572.274729376</v>
      </c>
      <c r="Q52" s="42" t="n">
        <f aca="false">INDEX(Monthly!$C$106:$AL$106,($R$2-1)*12+10)</f>
        <v>864429.266167045</v>
      </c>
      <c r="R52" s="42" t="n">
        <f aca="false">INDEX(Monthly!$C$106:$AL$106,($R$2-1)*12+11)</f>
        <v>862557.401748448</v>
      </c>
      <c r="S52" s="42" t="n">
        <f aca="false">INDEX(Monthly!$C$106:$AL$106,($R$2-1)*12+12)</f>
        <v>860398.13037985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D30</f>
        <v>267935.3856</v>
      </c>
      <c r="C17" s="61" t="n">
        <f aca="false">D31</f>
        <v>416905.652316211</v>
      </c>
      <c r="D17" s="61" t="n">
        <f aca="false">D32</f>
        <v>542082.92296704</v>
      </c>
      <c r="E17" s="62" t="n">
        <f aca="false">'P&amp;L'!D5</f>
        <v>416905.652316211</v>
      </c>
    </row>
    <row r="18" customFormat="false" ht="15" hidden="false" customHeight="false" outlineLevel="0" collapsed="false">
      <c r="A18" s="6" t="s">
        <v>119</v>
      </c>
      <c r="B18" s="61" t="n">
        <f aca="false">SUM(B30:D30)</f>
        <v>681752.6496</v>
      </c>
      <c r="C18" s="61" t="n">
        <f aca="false">SUM(B31:D31)</f>
        <v>1088676.15426821</v>
      </c>
      <c r="D18" s="61" t="n">
        <f aca="false">SUM(B32:D32)</f>
        <v>1434433.44216704</v>
      </c>
      <c r="E18" s="62" t="n">
        <f aca="false">SUM('P&amp;L'!$B$5:$D$5)</f>
        <v>1088676.15426821</v>
      </c>
    </row>
    <row r="19" customFormat="false" ht="15" hidden="false" customHeight="false" outlineLevel="0" collapsed="false">
      <c r="A19" s="6" t="s">
        <v>120</v>
      </c>
      <c r="B19" s="61" t="n">
        <f aca="false">D36</f>
        <v>-26169.7821466667</v>
      </c>
      <c r="C19" s="61" t="n">
        <f aca="false">D37</f>
        <v>110686.043279781</v>
      </c>
      <c r="D19" s="61" t="n">
        <f aca="false">D38</f>
        <v>228679.044038146</v>
      </c>
      <c r="E19" s="62" t="n">
        <f aca="false">'P&amp;L'!D19</f>
        <v>110686.043279781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-0.0976719894166405</v>
      </c>
      <c r="C20" s="63" t="n">
        <f aca="false">IF(C17=0,0,C19/C17)</f>
        <v>0.265494225527623</v>
      </c>
      <c r="D20" s="63" t="n">
        <f aca="false">IF(D17=0,0,D19/D17)</f>
        <v>0.42185251434687</v>
      </c>
      <c r="E20" s="64" t="n">
        <f aca="false">IF(E17=0,0,E19/E17)</f>
        <v>0.265494225527623</v>
      </c>
    </row>
    <row r="21" customFormat="false" ht="15" hidden="false" customHeight="false" outlineLevel="0" collapsed="false">
      <c r="A21" s="6" t="s">
        <v>122</v>
      </c>
      <c r="B21" s="61" t="n">
        <f aca="false">D42</f>
        <v>-107023.777399034</v>
      </c>
      <c r="C21" s="61" t="n">
        <f aca="false">D43</f>
        <v>29844.7755274138</v>
      </c>
      <c r="D21" s="61" t="n">
        <f aca="false">D44</f>
        <v>116796.851372016</v>
      </c>
      <c r="E21" s="62" t="n">
        <f aca="false">'P&amp;L'!D26</f>
        <v>29844.7755274138</v>
      </c>
    </row>
    <row r="22" customFormat="false" ht="15" hidden="false" customHeight="false" outlineLevel="0" collapsed="false">
      <c r="A22" s="6" t="s">
        <v>123</v>
      </c>
      <c r="B22" s="61" t="n">
        <f aca="false">SUM(B42:D42)</f>
        <v>-388066.407632454</v>
      </c>
      <c r="C22" s="61" t="n">
        <f aca="false">SUM(B43:D43)</f>
        <v>-23068.1189647789</v>
      </c>
      <c r="D22" s="61" t="n">
        <f aca="false">SUM(B44:D44)</f>
        <v>238113.464990937</v>
      </c>
      <c r="E22" s="62" t="n">
        <f aca="false">SUM('P&amp;L'!$B$26:$D$26)</f>
        <v>-23068.1189647789</v>
      </c>
    </row>
    <row r="23" customFormat="false" ht="15" hidden="false" customHeight="false" outlineLevel="0" collapsed="false">
      <c r="A23" s="6" t="s">
        <v>124</v>
      </c>
      <c r="B23" s="61" t="n">
        <f aca="false">D48</f>
        <v>-230146.71529723</v>
      </c>
      <c r="C23" s="61" t="n">
        <f aca="false">D49</f>
        <v>134269.599173465</v>
      </c>
      <c r="D23" s="61" t="n">
        <f aca="false">D50</f>
        <v>394628.421255957</v>
      </c>
      <c r="E23" s="62" t="n">
        <f aca="false">'Balance Sheet'!D5</f>
        <v>134269.599173465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calc'!$C$91:$AL$91)</f>
        <v>-230146.71529723</v>
      </c>
      <c r="C24" s="61" t="n">
        <f aca="false">MIN('Scenario calc'!$C$211:$AL$211)</f>
        <v>22904.4025916783</v>
      </c>
      <c r="D24" s="61" t="n">
        <f aca="false">MIN('Scenario calc'!$C$331:$AL$331)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calc'!$C$91:$AL$91),'Scenario calc'!$C$91:$AL$91,0)</f>
        <v>36</v>
      </c>
      <c r="C25" s="65" t="n">
        <f aca="false">MATCH(MIN('Scenario calc'!$C$211:$AL$211),'Scenario calc'!$C$211:$AL$211,0)</f>
        <v>5</v>
      </c>
      <c r="D25" s="65" t="n">
        <f aca="false">MATCH(MIN('Scenario calc'!$C$331:$AL$331),'Scenario calc'!$C$331:$AL$331,0)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calc'!$C$6:$AL$6&lt;=B25),'Scenario calc'!$C$61:$AL$61)-SUMPRODUCT(--('Scenario calc'!$C$6:$AL$6&lt;=B25),'Scenario calc'!$C$85:$AL$85)-SUMPRODUCT(--('Scenario calc'!$C$6:$AL$6&lt;=B25),'Scenario calc'!$C$72:$AL$72)+Inputs!$B$80</f>
        <v>1199146.71529723</v>
      </c>
      <c r="C26" s="61" t="n">
        <f aca="false">SUMPRODUCT(--('Scenario calc'!$C$126:$AL$126&lt;=C25),'Scenario calc'!$C$181:$AL$181)-SUMPRODUCT(--('Scenario calc'!$C$126:$AL$126&lt;=C25),'Scenario calc'!$C$205:$AL$205)-SUMPRODUCT(--('Scenario calc'!$C$126:$AL$126&lt;=C25),'Scenario calc'!$C$192:$AL$192)+Inputs!$C$80</f>
        <v>946095.597408322</v>
      </c>
      <c r="D26" s="61" t="n">
        <f aca="false">SUMPRODUCT(--('Scenario calc'!$C$246:$AL$246&lt;=D25),'Scenario calc'!$C$301:$AL$301)-SUMPRODUCT(--('Scenario calc'!$C$246:$AL$246&lt;=D25),'Scenario calc'!$C$325:$AL$325)-SUMPRODUCT(--('Scenario calc'!$C$246:$AL$246&lt;=D25),'Scenario calc'!$C$312:$AL$312)+Inputs!$D$80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calc'!$C$7:$AL$7,B$29,'Scenario calc'!$C$22:$AL$22)</f>
        <v>151574.4</v>
      </c>
      <c r="C30" s="61" t="n">
        <f aca="false">SUMIF('Scenario calc'!$C$7:$AL$7,C$29,'Scenario calc'!$C$22:$AL$22)</f>
        <v>262242.864</v>
      </c>
      <c r="D30" s="61" t="n">
        <f aca="false">SUMIF('Scenario calc'!$C$7:$AL$7,D$29,'Scenario calc'!$C$22:$AL$22)</f>
        <v>267935.3856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calc'!$C$127:$AL$127,B$29,'Scenario calc'!$C$142:$AL$142)</f>
        <v>274944.2576</v>
      </c>
      <c r="C31" s="61" t="n">
        <f aca="false">SUMIF('Scenario calc'!$C$127:$AL$127,C$29,'Scenario calc'!$C$142:$AL$142)</f>
        <v>396826.244352</v>
      </c>
      <c r="D31" s="61" t="n">
        <f aca="false">SUMIF('Scenario calc'!$C$127:$AL$127,D$29,'Scenario calc'!$C$142:$AL$142)</f>
        <v>416905.652316211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calc'!$C$247:$AL$247,B$29,'Scenario calc'!$C$262:$AL$262)</f>
        <v>386298.5</v>
      </c>
      <c r="C32" s="61" t="n">
        <f aca="false">SUMIF('Scenario calc'!$C$247:$AL$247,C$29,'Scenario calc'!$C$262:$AL$262)</f>
        <v>506052.0192</v>
      </c>
      <c r="D32" s="61" t="n">
        <f aca="false">SUMIF('Scenario calc'!$C$247:$AL$247,D$29,'Scenario calc'!$C$262:$AL$262)</f>
        <v>542082.92296704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calc'!$C$7:$AL$7,B$35,'Scenario calc'!$C$44:$AL$44)</f>
        <v>-94231.3047222222</v>
      </c>
      <c r="C36" s="61" t="n">
        <f aca="false">SUMIF('Scenario calc'!$C$7:$AL$7,C$35,'Scenario calc'!$C$44:$AL$44)</f>
        <v>-25252.5741513889</v>
      </c>
      <c r="D36" s="61" t="n">
        <f aca="false">SUMIF('Scenario calc'!$C$7:$AL$7,D$35,'Scenario calc'!$C$44:$AL$44)</f>
        <v>-26169.7821466667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calc'!$C$127:$AL$127,B$35,'Scenario calc'!$C$164:$AL$164)</f>
        <v>10242.5441608</v>
      </c>
      <c r="C37" s="61" t="n">
        <f aca="false">SUMIF('Scenario calc'!$C$127:$AL$127,C$35,'Scenario calc'!$C$164:$AL$164)</f>
        <v>98400.062706816</v>
      </c>
      <c r="D37" s="61" t="n">
        <f aca="false">SUMIF('Scenario calc'!$C$127:$AL$127,D$35,'Scenario calc'!$C$164:$AL$164)</f>
        <v>110686.043279781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calc'!$C$247:$AL$247,B$35,'Scenario calc'!$C$284:$AL$284)</f>
        <v>111794.821692308</v>
      </c>
      <c r="C38" s="61" t="n">
        <f aca="false">SUMIF('Scenario calc'!$C$247:$AL$247,C$35,'Scenario calc'!$C$284:$AL$284)</f>
        <v>203324.388362338</v>
      </c>
      <c r="D38" s="61" t="n">
        <f aca="false">SUMIF('Scenario calc'!$C$247:$AL$247,D$35,'Scenario calc'!$C$284:$AL$284)</f>
        <v>228679.044038146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calc'!$C$7:$AL$7,B$41,'Scenario calc'!$C$53:$AL$53)</f>
        <v>-174980.656237637</v>
      </c>
      <c r="C42" s="61" t="n">
        <f aca="false">SUMIF('Scenario calc'!$C$7:$AL$7,C$41,'Scenario calc'!$C$53:$AL$53)</f>
        <v>-106061.973995783</v>
      </c>
      <c r="D42" s="61" t="n">
        <f aca="false">SUMIF('Scenario calc'!$C$7:$AL$7,D$41,'Scenario calc'!$C$53:$AL$53)</f>
        <v>-107023.777399034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calc'!$C$127:$AL$127,B$41,'Scenario calc'!$C$173:$AL$173)</f>
        <v>-70506.8073546142</v>
      </c>
      <c r="C43" s="61" t="n">
        <f aca="false">SUMIF('Scenario calc'!$C$127:$AL$127,C$41,'Scenario calc'!$C$173:$AL$173)</f>
        <v>17593.9128624215</v>
      </c>
      <c r="D43" s="61" t="n">
        <f aca="false">SUMIF('Scenario calc'!$C$127:$AL$127,D$41,'Scenario calc'!$C$173:$AL$173)</f>
        <v>29844.7755274138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calc'!$C$247:$AL$247,B$41,'Scenario calc'!$C$293:$AL$293)</f>
        <v>24525.9214397458</v>
      </c>
      <c r="C44" s="61" t="n">
        <f aca="false">SUMIF('Scenario calc'!$C$247:$AL$247,C$41,'Scenario calc'!$C$293:$AL$293)</f>
        <v>96790.6921791758</v>
      </c>
      <c r="D44" s="61" t="n">
        <f aca="false">SUMIF('Scenario calc'!$C$247:$AL$247,D$41,'Scenario calc'!$C$293:$AL$293)</f>
        <v>116796.851372016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calc'!$C$91:$AL$91,B$47*12)</f>
        <v>-75555.8771704562</v>
      </c>
      <c r="C48" s="61" t="n">
        <f aca="false">INDEX('Scenario calc'!$C$91:$AL$91,C$47*12)</f>
        <v>-152059.00098156</v>
      </c>
      <c r="D48" s="61" t="n">
        <f aca="false">INDEX('Scenario calc'!$C$91:$AL$91,D$47*12)</f>
        <v>-230146.71529723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calc'!$C$211:$AL$211,B$47*12)</f>
        <v>28478.0018131834</v>
      </c>
      <c r="C49" s="61" t="n">
        <f aca="false">INDEX('Scenario calc'!$C$211:$AL$211,C$47*12)</f>
        <v>75366.717816965</v>
      </c>
      <c r="D49" s="61" t="n">
        <f aca="false">INDEX('Scenario calc'!$C$211:$AL$211,D$47*12)</f>
        <v>134269.599173465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calc'!$C$331:$AL$331,B$47*12)</f>
        <v>122676.783094723</v>
      </c>
      <c r="C50" s="61" t="n">
        <f aca="false">INDEX('Scenario calc'!$C$331:$AL$331,C$47*12)</f>
        <v>248748.52906274</v>
      </c>
      <c r="D50" s="61" t="n">
        <f aca="false">INDEX('Scenario calc'!$C$331:$AL$331,D$47*12)</f>
        <v>394628.421255957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5" t="n">
        <f aca="false">MATCH(MIN(Monthly!$C$89:$AL$89),Monthly!$C$89:$AL$89,0)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SUMPRODUCT(--(Monthly!$C$4:$AL$4&lt;=$B$6),Monthly!$C$59:$AL$59)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-SUMPRODUCT(--(Monthly!$C$4:$AL$4&lt;=$B$6),Monthly!$C$83:$AL$83)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-SUMPRODUCT(--(Monthly!$C$4:$AL$4&lt;=$B$6),Monthly!$C$70:$AL$70)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MIN(Monthly!$C$89:$AL$89)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IFERROR(MATCH(1,Monthly!$C$90:$AL$90,0),"Not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IFERROR(MATCH(1,Monthly!$C$93:$AL$93,0),"Not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IF(MIN(Monthly!$C$95:$AL$95)&gt;=0,"No investment to pay back",IFERROR(MATCH(1,Monthly!$C$97:$AL$97,0),"Not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3" t="n">
        <f aca="false">SUMIF(Monthly!$C$5:$AL$5,B$26,Monthly!$C$20:$AL$20)</f>
        <v>274944.2576</v>
      </c>
      <c r="C28" s="73" t="n">
        <f aca="false">SUMIF(Monthly!$C$5:$AL$5,C$26,Monthly!$C$20:$AL$20)</f>
        <v>396826.244352</v>
      </c>
      <c r="D28" s="73" t="n">
        <f aca="false">SUMIF(Monthly!$C$5:$AL$5,D$26,Monthly!$C$20:$AL$20)</f>
        <v>416905.652316211</v>
      </c>
    </row>
    <row r="29" customFormat="false" ht="15" hidden="false" customHeight="false" outlineLevel="0" collapsed="false">
      <c r="A29" s="6" t="s">
        <v>45</v>
      </c>
      <c r="B29" s="67" t="n">
        <f aca="false">SUMIF(Monthly!$C$5:$AL$5,B$26,Monthly!$C$29:$AL$29)</f>
        <v>165763.80942</v>
      </c>
      <c r="C29" s="67" t="n">
        <f aca="false">SUMIF(Monthly!$C$5:$AL$5,C$26,Monthly!$C$29:$AL$29)</f>
        <v>262060.4210784</v>
      </c>
      <c r="D29" s="67" t="n">
        <f aca="false">SUMIF(Monthly!$C$5:$AL$5,D$26,Monthly!$C$29:$AL$29)</f>
        <v>276491.911984967</v>
      </c>
    </row>
    <row r="30" customFormat="false" ht="15" hidden="false" customHeight="false" outlineLevel="0" collapsed="false">
      <c r="A30" s="39" t="s">
        <v>158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</row>
    <row r="31" customFormat="false" ht="15" hidden="false" customHeight="false" outlineLevel="0" collapsed="false">
      <c r="A31" s="6" t="s">
        <v>159</v>
      </c>
      <c r="B31" s="67" t="n">
        <f aca="false">-SUMIF(Monthly!$C$5:$AL$5,B$26,Monthly!$C$41:$AL$41)</f>
        <v>155521.2652592</v>
      </c>
      <c r="C31" s="67" t="n">
        <f aca="false">-SUMIF(Monthly!$C$5:$AL$5,C$26,Monthly!$C$41:$AL$41)</f>
        <v>163660.358371584</v>
      </c>
      <c r="D31" s="67" t="n">
        <f aca="false">-SUMIF(Monthly!$C$5:$AL$5,D$26,Monthly!$C$41:$AL$41)</f>
        <v>165805.868705186</v>
      </c>
    </row>
    <row r="32" customFormat="false" ht="15" hidden="false" customHeight="false" outlineLevel="0" collapsed="false">
      <c r="A32" s="4" t="s">
        <v>160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</row>
    <row r="33" customFormat="false" ht="15" hidden="false" customHeight="false" outlineLevel="0" collapsed="false">
      <c r="A33" s="39" t="s">
        <v>161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5" t="n">
        <f aca="false">Inputs!$E$83</f>
        <v>0.25</v>
      </c>
    </row>
    <row r="7" customFormat="false" ht="15" hidden="false" customHeight="false" outlineLevel="0" collapsed="false">
      <c r="A7" s="39" t="s">
        <v>167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168</v>
      </c>
      <c r="B8" s="76" t="n">
        <f aca="false">Inputs!$E$85</f>
        <v>4</v>
      </c>
    </row>
    <row r="9" customFormat="false" ht="15" hidden="false" customHeight="false" outlineLevel="0" collapsed="false">
      <c r="A9" s="39" t="s">
        <v>169</v>
      </c>
      <c r="B9" s="75" t="n">
        <f aca="false">Inputs!$E$77</f>
        <v>0.21</v>
      </c>
    </row>
    <row r="10" customFormat="false" ht="15" hidden="false" customHeight="false" outlineLevel="0" collapsed="false">
      <c r="A10" s="39" t="s">
        <v>170</v>
      </c>
      <c r="B10" s="75" t="n">
        <f aca="false">Inputs!$E$86</f>
        <v>0.01</v>
      </c>
    </row>
    <row r="11" customFormat="false" ht="15" hidden="false" customHeight="false" outlineLevel="0" collapsed="false">
      <c r="A11" s="39" t="s">
        <v>171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7" t="n">
        <f aca="false">SUMIF(Monthly!$C$5:$AL$5,B$14,Monthly!$C$42:$AL$42)</f>
        <v>10242.5441608</v>
      </c>
      <c r="C16" s="67" t="n">
        <f aca="false">SUMIF(Monthly!$C$5:$AL$5,C$14,Monthly!$C$42:$AL$42)</f>
        <v>98400.062706816</v>
      </c>
      <c r="D16" s="67" t="n">
        <f aca="false">SUMIF(Monthly!$C$5:$AL$5,D$14,Monthly!$C$42:$AL$42)</f>
        <v>110686.043279781</v>
      </c>
    </row>
    <row r="17" customFormat="false" ht="15" hidden="false" customHeight="false" outlineLevel="0" collapsed="false">
      <c r="A17" s="4" t="s">
        <v>173</v>
      </c>
      <c r="B17" s="73" t="n">
        <f aca="false">SUMIF(Monthly!$C$5:$AL$5,B$14,Monthly!$C$98:$AL$98)</f>
        <v>-866414.360168548</v>
      </c>
      <c r="C17" s="73" t="n">
        <f aca="false">SUMIF(Monthly!$C$5:$AL$5,C$14,Monthly!$C$98:$AL$98)</f>
        <v>82112.4738729643</v>
      </c>
      <c r="D17" s="73" t="n">
        <f aca="false">SUMIF(Monthly!$C$5:$AL$5,D$14,Monthly!$C$98:$AL$98)</f>
        <v>94251.1533900085</v>
      </c>
    </row>
    <row r="18" customFormat="false" ht="15" hidden="false" customHeight="false" outlineLevel="0" collapsed="false">
      <c r="A18" s="6" t="s">
        <v>174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</row>
    <row r="19" customFormat="false" ht="15" hidden="false" customHeight="false" outlineLevel="0" collapsed="false">
      <c r="A19" s="6" t="s">
        <v>175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7" t="n">
        <f aca="false">SUM($B$19:$D$19)</f>
        <v>-592322.914320457</v>
      </c>
      <c r="C23" s="67" t="n">
        <f aca="false">B23</f>
        <v>-592322.914320457</v>
      </c>
    </row>
    <row r="24" customFormat="false" ht="15" hidden="false" customHeight="false" outlineLevel="0" collapsed="false">
      <c r="A24" s="6" t="s">
        <v>180</v>
      </c>
      <c r="B24" s="67" t="n">
        <f aca="false">$D$17</f>
        <v>94251.1533900085</v>
      </c>
      <c r="C24" s="67" t="n">
        <f aca="false">$D$16</f>
        <v>110686.043279781</v>
      </c>
    </row>
    <row r="25" customFormat="false" ht="15" hidden="false" customHeight="false" outlineLevel="0" collapsed="false">
      <c r="A25" s="6" t="s">
        <v>181</v>
      </c>
      <c r="B25" s="67" t="n">
        <f aca="false">IF($B$6&gt;$B$7,B24*(1+$B$7)/($B$6-$B$7),0)</f>
        <v>417983.375903516</v>
      </c>
      <c r="C25" s="67" t="n">
        <f aca="false">C24*$B$8</f>
        <v>442744.173119123</v>
      </c>
    </row>
    <row r="26" customFormat="false" ht="15" hidden="false" customHeight="false" outlineLevel="0" collapsed="false">
      <c r="A26" s="6" t="s">
        <v>182</v>
      </c>
      <c r="B26" s="67" t="n">
        <f aca="false">B25/(1+$B$6)^$D$14</f>
        <v>214007.4884626</v>
      </c>
      <c r="C26" s="67" t="n">
        <f aca="false">C25/(1+$B$6)^$D$14</f>
        <v>226685.016636991</v>
      </c>
    </row>
    <row r="27" customFormat="false" ht="15" hidden="false" customHeight="false" outlineLevel="0" collapsed="false">
      <c r="A27" s="4" t="s">
        <v>176</v>
      </c>
      <c r="B27" s="68" t="n">
        <f aca="false">B23+B26</f>
        <v>-378315.425857857</v>
      </c>
      <c r="C27" s="68" t="n">
        <f aca="false">C23+C26</f>
        <v>-365637.897683466</v>
      </c>
    </row>
    <row r="28" customFormat="false" ht="15" hidden="false" customHeight="false" outlineLevel="0" collapsed="false">
      <c r="A28" s="39" t="s">
        <v>183</v>
      </c>
      <c r="B28" s="74" t="n">
        <f aca="false">IF(B27&lt;&gt;0,B26/B27,0)</f>
        <v>-0.565685335133568</v>
      </c>
      <c r="C28" s="74" t="n">
        <f aca="false">IF(C27&lt;&gt;0,C26/C27,0)</f>
        <v>-0.619971337963531</v>
      </c>
    </row>
    <row r="29" customFormat="false" ht="15" hidden="false" customHeight="false" outlineLevel="0" collapsed="false">
      <c r="A29" s="6" t="s">
        <v>184</v>
      </c>
      <c r="B29" s="78" t="n">
        <f aca="false">IF(C24&gt;0,B25/C24,"n/a")</f>
        <v>3.77629702461204</v>
      </c>
      <c r="C29" s="74" t="n">
        <f aca="false">IF(C25+B24&lt;&gt;0,(C25*$B$6-B24)/(C25+B24),"n/a")</f>
        <v>0.0306052754622862</v>
      </c>
    </row>
    <row r="30" customFormat="false" ht="15" hidden="false" customHeight="false" outlineLevel="0" collapsed="false">
      <c r="A30" s="70" t="s">
        <v>185</v>
      </c>
      <c r="B30" s="71" t="n">
        <f aca="false">AVERAGE(B27,C27)</f>
        <v>-371976.661770662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IF($A34&gt;B$33,SUMPRODUCT($B$17:$D$17/(1+$A34)^$B$14:$D$14)+$D$17*(1+B$33)/($A34-B$33)/(1+$A34)^$D$14,"n/a")</f>
        <v>-366952.776484501</v>
      </c>
      <c r="C34" s="67" t="n">
        <f aca="false">IF($A34&gt;C$33,SUMPRODUCT($B$17:$D$17/(1+$A34)^$B$14:$D$14)+$D$17*(1+C$33)/($A34-C$33)/(1+$A34)^$D$14,"n/a")</f>
        <v>-360367.328644592</v>
      </c>
      <c r="D34" s="67" t="n">
        <f aca="false">IF($A34&gt;D$33,SUMPRODUCT($B$17:$D$17/(1+$A34)^$B$14:$D$14)+$D$17*(1+D$33)/($A34-D$33)/(1+$A34)^$D$14,"n/a")</f>
        <v>-353468.288050401</v>
      </c>
      <c r="E34" s="67" t="n">
        <f aca="false">IF($A34&gt;E$33,SUMPRODUCT($B$17:$D$17/(1+$A34)^$B$14:$D$14)+$D$17*(1+E$33)/($A34-E$33)/(1+$A34)^$D$14,"n/a")</f>
        <v>-346232.70889064</v>
      </c>
      <c r="F34" s="67" t="n">
        <f aca="false">IF($A34&gt;F$33,SUMPRODUCT($B$17:$D$17/(1+$A34)^$B$14:$D$14)+$D$17*(1+F$33)/($A34-F$33)/(1+$A34)^$D$14,"n/a")</f>
        <v>-338635.350772891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IF($A35&gt;B$33,SUMPRODUCT($B$17:$D$17/(1+$A35)^$B$14:$D$14)+$D$17*(1+B$33)/($A35-B$33)/(1+$A35)^$D$14,"n/a")</f>
        <v>-378807.042989865</v>
      </c>
      <c r="C35" s="67" t="n">
        <f aca="false">IF($A35&gt;C$33,SUMPRODUCT($B$17:$D$17/(1+$A35)^$B$14:$D$14)+$D$17*(1+C$33)/($A35-C$33)/(1+$A35)^$D$14,"n/a")</f>
        <v>-372884.571845298</v>
      </c>
      <c r="D35" s="67" t="n">
        <f aca="false">IF($A35&gt;D$33,SUMPRODUCT($B$17:$D$17/(1+$A35)^$B$14:$D$14)+$D$17*(1+D$33)/($A35-D$33)/(1+$A35)^$D$14,"n/a")</f>
        <v>-366692.897466888</v>
      </c>
      <c r="E35" s="67" t="n">
        <f aca="false">IF($A35&gt;E$33,SUMPRODUCT($B$17:$D$17/(1+$A35)^$B$14:$D$14)+$D$17*(1+E$33)/($A35-E$33)/(1+$A35)^$D$14,"n/a")</f>
        <v>-360213.238233669</v>
      </c>
      <c r="F35" s="67" t="n">
        <f aca="false">IF($A35&gt;F$33,SUMPRODUCT($B$17:$D$17/(1+$A35)^$B$14:$D$14)+$D$17*(1+F$33)/($A35-F$33)/(1+$A35)^$D$14,"n/a")</f>
        <v>-353425.023798867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IF($A36&gt;B$33,SUMPRODUCT($B$17:$D$17/(1+$A36)^$B$14:$D$14)+$D$17*(1+B$33)/($A36-B$33)/(1+$A36)^$D$14,"n/a")</f>
        <v>-389243.095816119</v>
      </c>
      <c r="C36" s="67" t="n">
        <f aca="false">IF($A36&gt;C$33,SUMPRODUCT($B$17:$D$17/(1+$A36)^$B$14:$D$14)+$D$17*(1+C$33)/($A36-C$33)/(1+$A36)^$D$14,"n/a")</f>
        <v>-383895.512645054</v>
      </c>
      <c r="D36" s="67" t="n">
        <f aca="false">IF($A36&gt;D$33,SUMPRODUCT($B$17:$D$17/(1+$A36)^$B$14:$D$14)+$D$17*(1+D$33)/($A36-D$33)/(1+$A36)^$D$14,"n/a")</f>
        <v>-378315.425857857</v>
      </c>
      <c r="E36" s="67" t="n">
        <f aca="false">IF($A36&gt;E$33,SUMPRODUCT($B$17:$D$17/(1+$A36)^$B$14:$D$14)+$D$17*(1+E$33)/($A36-E$33)/(1+$A36)^$D$14,"n/a")</f>
        <v>-372487.335213451</v>
      </c>
      <c r="F36" s="67" t="n">
        <f aca="false">IF($A36&gt;F$33,SUMPRODUCT($B$17:$D$17/(1+$A36)^$B$14:$D$14)+$D$17*(1+F$33)/($A36-F$33)/(1+$A36)^$D$14,"n/a")</f>
        <v>-366394.331357935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IF($A37&gt;B$33,SUMPRODUCT($B$17:$D$17/(1+$A37)^$B$14:$D$14)+$D$17*(1+B$33)/($A37-B$33)/(1+$A37)^$D$14,"n/a")</f>
        <v>-398441.047102149</v>
      </c>
      <c r="C37" s="67" t="n">
        <f aca="false">IF($A37&gt;C$33,SUMPRODUCT($B$17:$D$17/(1+$A37)^$B$14:$D$14)+$D$17*(1+C$33)/($A37-C$33)/(1+$A37)^$D$14,"n/a")</f>
        <v>-393594.756030528</v>
      </c>
      <c r="D37" s="67" t="n">
        <f aca="false">IF($A37&gt;D$33,SUMPRODUCT($B$17:$D$17/(1+$A37)^$B$14:$D$14)+$D$17*(1+D$33)/($A37-D$33)/(1+$A37)^$D$14,"n/a")</f>
        <v>-388546.536164255</v>
      </c>
      <c r="E37" s="67" t="n">
        <f aca="false">IF($A37&gt;E$33,SUMPRODUCT($B$17:$D$17/(1+$A37)^$B$14:$D$14)+$D$17*(1+E$33)/($A37-E$33)/(1+$A37)^$D$14,"n/a")</f>
        <v>-383283.498431332</v>
      </c>
      <c r="F37" s="67" t="n">
        <f aca="false">IF($A37&gt;F$33,SUMPRODUCT($B$17:$D$17/(1+$A37)^$B$14:$D$14)+$D$17*(1+F$33)/($A37-F$33)/(1+$A37)^$D$14,"n/a")</f>
        <v>-377791.632970891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IF($A38&gt;B$33,SUMPRODUCT($B$17:$D$17/(1+$A38)^$B$14:$D$14)+$D$17*(1+B$33)/($A38-B$33)/(1+$A38)^$D$14,"n/a")</f>
        <v>-406552.99610991</v>
      </c>
      <c r="C38" s="67" t="n">
        <f aca="false">IF($A38&gt;C$33,SUMPRODUCT($B$17:$D$17/(1+$A38)^$B$14:$D$14)+$D$17*(1+C$33)/($A38-C$33)/(1+$A38)^$D$14,"n/a")</f>
        <v>-402146.070621715</v>
      </c>
      <c r="D38" s="67" t="n">
        <f aca="false">IF($A38&gt;D$33,SUMPRODUCT($B$17:$D$17/(1+$A38)^$B$14:$D$14)+$D$17*(1+D$33)/($A38-D$33)/(1+$A38)^$D$14,"n/a")</f>
        <v>-397562.868113992</v>
      </c>
      <c r="E38" s="67" t="n">
        <f aca="false">IF($A38&gt;E$33,SUMPRODUCT($B$17:$D$17/(1+$A38)^$B$14:$D$14)+$D$17*(1+E$33)/($A38-E$33)/(1+$A38)^$D$14,"n/a")</f>
        <v>-392792.596116158</v>
      </c>
      <c r="F38" s="67" t="n">
        <f aca="false">IF($A38&gt;F$33,SUMPRODUCT($B$17:$D$17/(1+$A38)^$B$14:$D$14)+$D$17*(1+F$33)/($A38-F$33)/(1+$A38)^$D$14,"n/a")</f>
        <v>-387823.562785081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195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196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8" t="n">
        <f aca="false">IF(B7&lt;=0,IF(B8&gt;0,"n/a",0),B8/B7)</f>
        <v>1.16279069767442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4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5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SUMPRODUCT(--(Monthly!$C$4:$AL$4&lt;=$B$16),Monthly!$C$85:$AL$85)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204</v>
      </c>
      <c r="B19" s="61" t="n">
        <f aca="false">SUMPRODUCT(--(Monthly!$C$4:$AL$4&lt;=$B$16),Monthly!$C$68:$AL$68)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205</v>
      </c>
      <c r="B20" s="61" t="n">
        <f aca="false">MAX(0,SUMPRODUCT(--(Monthly!$C$4:$AL$4&lt;=$B$16),Monthly!$C$83:$AL$83))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1" t="n">
        <f aca="false">MAX(0,-SUMPRODUCT(--(Monthly!$C$4:$AL$4&lt;=$B$16),Monthly!$C$83:$AL$83))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-SUMPRODUCT(--(Monthly!$C$4:$AL$4&lt;=$B$16),Monthly!$C$84:$AL$84)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209</v>
      </c>
      <c r="B26" s="61" t="n">
        <f aca="false">-SUMPRODUCT(--(Monthly!$C$4:$AL$4&lt;=$B$16),Monthly!$C$70:$AL$70)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210</v>
      </c>
      <c r="B27" s="61" t="n">
        <f aca="false">INDEX(Monthly!$C$89:$AL$89,$B$16)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211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1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0.443297080709788</v>
      </c>
      <c r="D6" s="40" t="n">
        <f aca="false">IF(N('P&amp;L'!C5)&lt;=0,"n/a",'P&amp;L'!D5/'P&amp;L'!C5-1)</f>
        <v>0.0505999999999998</v>
      </c>
      <c r="E6" s="85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0.602899696349214</v>
      </c>
      <c r="C7" s="40" t="n">
        <f aca="false">IF('P&amp;L'!C5&lt;=0,"n/a",'P&amp;L'!C7/'P&amp;L'!C5)</f>
        <v>0.660390850676556</v>
      </c>
      <c r="D7" s="40" t="n">
        <f aca="false">IF('P&amp;L'!D5&lt;=0,"n/a",'P&amp;L'!D7/'P&amp;L'!D5)</f>
        <v>0.663200199970558</v>
      </c>
      <c r="E7" s="85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IF('P&amp;L'!B5&lt;=0,"n/a",'P&amp;L'!B19/'P&amp;L'!B5)</f>
        <v>0.037253166333451</v>
      </c>
      <c r="C8" s="40" t="n">
        <f aca="false">IF('P&amp;L'!C5&lt;=0,"n/a",'P&amp;L'!C19/'P&amp;L'!C5)</f>
        <v>0.247967628420089</v>
      </c>
      <c r="D8" s="40" t="n">
        <f aca="false">IF('P&amp;L'!D5&lt;=0,"n/a",'P&amp;L'!D19/'P&amp;L'!D5)</f>
        <v>0.265494225527623</v>
      </c>
      <c r="E8" s="85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IF('P&amp;L'!B5&lt;=0,"n/a",'P&amp;L'!B26/'P&amp;L'!B5)</f>
        <v>-0.256440370750315</v>
      </c>
      <c r="C9" s="40" t="n">
        <f aca="false">IF('P&amp;L'!C5&lt;=0,"n/a",'P&amp;L'!C26/'P&amp;L'!C5)</f>
        <v>0.0443365657207265</v>
      </c>
      <c r="D9" s="40" t="n">
        <f aca="false">IF('P&amp;L'!D5&lt;=0,"n/a",'P&amp;L'!D26/'P&amp;L'!D5)</f>
        <v>0.071586401771251</v>
      </c>
      <c r="E9" s="85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IF('P&amp;L'!B5&lt;=0,"n/a",-SUMIF(Headcount!$C$5:$AL$5,B$5,Headcount!$C$17:$AL$17)/'P&amp;L'!B5)</f>
        <v>0.443362596709858</v>
      </c>
      <c r="C10" s="40" t="n">
        <f aca="false">IF('P&amp;L'!C5&lt;=0,"n/a",-SUMIF(Headcount!$C$5:$AL$5,C$5,Headcount!$C$17:$AL$17)/'P&amp;L'!C5)</f>
        <v>0.316402964236978</v>
      </c>
      <c r="D10" s="40" t="n">
        <f aca="false">IF('P&amp;L'!D5&lt;=0,"n/a",-SUMIF(Headcount!$C$5:$AL$5,D$5,Headcount!$C$17:$AL$17)/'P&amp;L'!D5)</f>
        <v>0.310198984546057</v>
      </c>
      <c r="E10" s="85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IF('P&amp;L'!B5&lt;=0,"n/a",-'P&amp;L'!B15/'P&amp;L'!B5)</f>
        <v>0.0654678157569929</v>
      </c>
      <c r="C11" s="40" t="n">
        <f aca="false">IF('P&amp;L'!C5&lt;=0,"n/a",-'P&amp;L'!C15/'P&amp;L'!C5)</f>
        <v>0.0362879224974512</v>
      </c>
      <c r="D11" s="40" t="n">
        <f aca="false">IF('P&amp;L'!D5&lt;=0,"n/a",-'P&amp;L'!D15/'P&amp;L'!D5)</f>
        <v>0.027632151149782</v>
      </c>
      <c r="E11" s="85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IF('P&amp;L'!B5&lt;=0,"n/a",-'P&amp;L'!B18/'P&amp;L'!B5)</f>
        <v>0.565646530015763</v>
      </c>
      <c r="C12" s="40" t="n">
        <f aca="false">IF('P&amp;L'!C5&lt;=0,"n/a",-'P&amp;L'!C18/'P&amp;L'!C5)</f>
        <v>0.412423222256467</v>
      </c>
      <c r="D12" s="40" t="n">
        <f aca="false">IF('P&amp;L'!D5&lt;=0,"n/a",-'P&amp;L'!D18/'P&amp;L'!D5)</f>
        <v>0.397705974442935</v>
      </c>
      <c r="E12" s="85"/>
    </row>
    <row r="13" customFormat="false" ht="15" hidden="false" customHeight="false" outlineLevel="0" collapsed="false">
      <c r="A13" s="6" t="s">
        <v>221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7"/>
    </row>
    <row r="14" customFormat="false" ht="15" hidden="false" customHeight="false" outlineLevel="0" collapsed="false">
      <c r="A14" s="6" t="s">
        <v>222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7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Sheet'!B9&lt;=0,"n/a",'P&amp;L'!B26/'Balance Sheet'!B9)</f>
        <v>-0.0819467231100174</v>
      </c>
      <c r="C15" s="40" t="n">
        <f aca="false">IF('Balance Sheet'!C9&lt;=0,"n/a",'P&amp;L'!C26/'Balance Sheet'!C9)</f>
        <v>0.0202195442080092</v>
      </c>
      <c r="D15" s="40" t="n">
        <f aca="false">IF('Balance Sheet'!D9&lt;=0,"n/a",'P&amp;L'!D26/'Balance Sheet'!D9)</f>
        <v>0.0334746634045221</v>
      </c>
      <c r="E15" s="85"/>
    </row>
    <row r="16" customFormat="false" ht="15" hidden="false" customHeight="false" outlineLevel="0" collapsed="false">
      <c r="A16" s="39" t="s">
        <v>224</v>
      </c>
      <c r="B16" s="40" t="n">
        <f aca="false">IF('Balance Sheet'!B15&lt;=0,"n/a",'P&amp;L'!B26/'Balance Sheet'!B15)</f>
        <v>-0.196128351793755</v>
      </c>
      <c r="C16" s="40" t="n">
        <f aca="false">IF('Balance Sheet'!C15&lt;=0,"n/a",'P&amp;L'!C26/'Balance Sheet'!C15)</f>
        <v>0.0466574237237005</v>
      </c>
      <c r="D16" s="40" t="n">
        <f aca="false">IF('Balance Sheet'!D15&lt;=0,"n/a",'P&amp;L'!D26/'Balance Sheet'!D15)</f>
        <v>0.0733409617636487</v>
      </c>
      <c r="E16" s="85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IF('P&amp;L'!B5&lt;=0,"n/a",'P&amp;L'!B26/'P&amp;L'!B5)</f>
        <v>-0.256440370750315</v>
      </c>
      <c r="C20" s="40" t="n">
        <f aca="false">IF('P&amp;L'!C5&lt;=0,"n/a",'P&amp;L'!C26/'P&amp;L'!C5)</f>
        <v>0.0443365657207265</v>
      </c>
      <c r="D20" s="40" t="n">
        <f aca="false">IF('P&amp;L'!D5&lt;=0,"n/a",'P&amp;L'!D26/'P&amp;L'!D5)</f>
        <v>0.071586401771251</v>
      </c>
    </row>
    <row r="21" customFormat="false" ht="15" hidden="false" customHeight="false" outlineLevel="0" collapsed="false">
      <c r="A21" s="52" t="s">
        <v>226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</row>
    <row r="22" customFormat="false" ht="15" hidden="false" customHeight="false" outlineLevel="0" collapsed="false">
      <c r="A22" s="52" t="s">
        <v>227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</row>
    <row r="23" customFormat="false" ht="15" hidden="false" customHeight="false" outlineLevel="0" collapsed="false">
      <c r="A23" s="41" t="s">
        <v>228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6" t="s">
        <v>231</v>
      </c>
      <c r="B29" s="89" t="n">
        <f aca="false">SUMIF(Monthly!$C$5:$AL$5,B$27,Monthly!$C$11:$AL$11)</f>
        <v>3648</v>
      </c>
      <c r="C29" s="89" t="n">
        <f aca="false">SUMIF(Monthly!$C$5:$AL$5,C$27,Monthly!$C$11:$AL$11)</f>
        <v>3648</v>
      </c>
      <c r="D29" s="89" t="n">
        <f aca="false">SUMIF(Monthly!$C$5:$AL$5,D$27,Monthly!$C$11:$AL$11)</f>
        <v>3648</v>
      </c>
      <c r="E29" s="90"/>
    </row>
    <row r="30" customFormat="false" ht="15" hidden="false" customHeight="false" outlineLevel="0" collapsed="false">
      <c r="A30" s="4" t="s">
        <v>232</v>
      </c>
      <c r="B30" s="91" t="n">
        <f aca="false">SUMIF(Monthly!$C$5:$AL$5,B$27,Monthly!$C$13:$AL$13)</f>
        <v>1646.3728</v>
      </c>
      <c r="C30" s="91" t="n">
        <f aca="false">SUMIF(Monthly!$C$5:$AL$5,C$27,Monthly!$C$13:$AL$13)</f>
        <v>2306.9952</v>
      </c>
      <c r="D30" s="91" t="n">
        <f aca="false">SUMIF(Monthly!$C$5:$AL$5,D$27,Monthly!$C$13:$AL$13)</f>
        <v>2353.135104</v>
      </c>
      <c r="E30" s="90"/>
    </row>
    <row r="31" customFormat="false" ht="15" hidden="false" customHeight="false" outlineLevel="0" collapsed="false">
      <c r="A31" s="39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3"/>
    </row>
    <row r="32" customFormat="false" ht="15" hidden="false" customHeight="false" outlineLevel="0" collapsed="false">
      <c r="A32" s="6" t="s">
        <v>61</v>
      </c>
      <c r="B32" s="89" t="n">
        <f aca="false">SUMIF(Monthly!$C$5:$AL$5,B$27,Monthly!$C$14:$AL$14)</f>
        <v>748.351272727273</v>
      </c>
      <c r="C32" s="89" t="n">
        <f aca="false">SUMIF(Monthly!$C$5:$AL$5,C$27,Monthly!$C$14:$AL$14)</f>
        <v>1048.63418181818</v>
      </c>
      <c r="D32" s="89" t="n">
        <f aca="false">SUMIF(Monthly!$C$5:$AL$5,D$27,Monthly!$C$14:$AL$14)</f>
        <v>1069.60686545455</v>
      </c>
      <c r="E32" s="90"/>
    </row>
    <row r="33" customFormat="false" ht="15" hidden="false" customHeight="false" outlineLevel="0" collapsed="false">
      <c r="A33" s="4" t="s">
        <v>44</v>
      </c>
      <c r="B33" s="94" t="n">
        <f aca="false">SUMIF(Monthly!$C$5:$AL$5,B$27,Monthly!$C$20:$AL$20)</f>
        <v>274944.2576</v>
      </c>
      <c r="C33" s="94" t="n">
        <f aca="false">SUMIF(Monthly!$C$5:$AL$5,C$27,Monthly!$C$20:$AL$20)</f>
        <v>396826.244352</v>
      </c>
      <c r="D33" s="94" t="n">
        <f aca="false">SUMIF(Monthly!$C$5:$AL$5,D$27,Monthly!$C$20:$AL$20)</f>
        <v>416905.652316211</v>
      </c>
      <c r="E33" s="95"/>
    </row>
    <row r="34" customFormat="false" ht="15" hidden="false" customHeight="false" outlineLevel="0" collapsed="false">
      <c r="A34" s="6" t="s">
        <v>233</v>
      </c>
      <c r="B34" s="36" t="n">
        <f aca="false">SUMIF(Monthly!$C$5:$AL$5,B$27,Monthly!$C$18:$AL$18)</f>
        <v>255187.784</v>
      </c>
      <c r="C34" s="36" t="n">
        <f aca="false">SUMIF(Monthly!$C$5:$AL$5,C$27,Monthly!$C$18:$AL$18)</f>
        <v>368311.78368</v>
      </c>
      <c r="D34" s="36" t="n">
        <f aca="false">SUMIF(Monthly!$C$5:$AL$5,D$27,Monthly!$C$18:$AL$18)</f>
        <v>386948.359934208</v>
      </c>
      <c r="E34" s="95"/>
    </row>
    <row r="35" customFormat="false" ht="15" hidden="false" customHeight="false" outlineLevel="0" collapsed="false">
      <c r="A35" s="6" t="s">
        <v>234</v>
      </c>
      <c r="B35" s="36" t="n">
        <f aca="false">SUMIF(Monthly!$C$5:$AL$5,B$27,Monthly!$C$19:$AL$19)</f>
        <v>19756.4736</v>
      </c>
      <c r="C35" s="36" t="n">
        <f aca="false">SUMIF(Monthly!$C$5:$AL$5,C$27,Monthly!$C$19:$AL$19)</f>
        <v>28514.460672</v>
      </c>
      <c r="D35" s="36" t="n">
        <f aca="false">SUMIF(Monthly!$C$5:$AL$5,D$27,Monthly!$C$19:$AL$19)</f>
        <v>29957.2923820032</v>
      </c>
      <c r="E35" s="95"/>
    </row>
    <row r="36" customFormat="false" ht="15" hidden="false" customHeight="false" outlineLevel="0" collapsed="false">
      <c r="A36" s="39" t="s">
        <v>235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3"/>
    </row>
    <row r="37" customFormat="false" ht="15" hidden="false" customHeight="false" outlineLevel="0" collapsed="false">
      <c r="A37" s="6" t="s">
        <v>236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7"/>
    </row>
    <row r="38" customFormat="false" ht="15" hidden="false" customHeight="false" outlineLevel="0" collapsed="false">
      <c r="A38" s="6" t="s">
        <v>237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7"/>
    </row>
    <row r="39" customFormat="false" ht="15" hidden="false" customHeight="false" outlineLevel="0" collapsed="false">
      <c r="A39" s="6" t="s">
        <v>238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7"/>
    </row>
    <row r="40" customFormat="false" ht="15" hidden="false" customHeight="false" outlineLevel="0" collapsed="false">
      <c r="A40" s="6" t="s">
        <v>239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7"/>
    </row>
    <row r="41" customFormat="false" ht="15" hidden="false" customHeight="false" outlineLevel="0" collapsed="false">
      <c r="A41" s="6" t="s">
        <v>45</v>
      </c>
      <c r="B41" s="36" t="n">
        <f aca="false">SUMIF(Monthly!$C$5:$AL$5,B$27,Monthly!$C$29:$AL$29)</f>
        <v>165763.80942</v>
      </c>
      <c r="C41" s="36" t="n">
        <f aca="false">SUMIF(Monthly!$C$5:$AL$5,C$27,Monthly!$C$29:$AL$29)</f>
        <v>262060.4210784</v>
      </c>
      <c r="D41" s="36" t="n">
        <f aca="false">SUMIF(Monthly!$C$5:$AL$5,D$27,Monthly!$C$29:$AL$29)</f>
        <v>276491.911984967</v>
      </c>
      <c r="E41" s="95"/>
    </row>
    <row r="42" customFormat="false" ht="15" hidden="false" customHeight="false" outlineLevel="0" collapsed="false">
      <c r="A42" s="39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3"/>
    </row>
    <row r="43" customFormat="false" ht="15" hidden="false" customHeight="false" outlineLevel="0" collapsed="false">
      <c r="A43" s="6" t="s">
        <v>48</v>
      </c>
      <c r="B43" s="36" t="n">
        <f aca="false">SUMIF(Monthly!$C$5:$AL$5,B$27,Monthly!$C$42:$AL$42)</f>
        <v>10242.5441608</v>
      </c>
      <c r="C43" s="36" t="n">
        <f aca="false">SUMIF(Monthly!$C$5:$AL$5,C$27,Monthly!$C$42:$AL$42)</f>
        <v>98400.062706816</v>
      </c>
      <c r="D43" s="36" t="n">
        <f aca="false">SUMIF(Monthly!$C$5:$AL$5,D$27,Monthly!$C$42:$AL$42)</f>
        <v>110686.043279781</v>
      </c>
      <c r="E43" s="95"/>
    </row>
    <row r="44" customFormat="false" ht="15" hidden="false" customHeight="false" outlineLevel="0" collapsed="false">
      <c r="A44" s="39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241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242</v>
      </c>
      <c r="G5" s="33" t="s">
        <v>243</v>
      </c>
    </row>
    <row r="6" customFormat="false" ht="15.75" hidden="false" customHeight="true" outlineLevel="0" collapsed="false">
      <c r="A6" s="7" t="s">
        <v>244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245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9" t="s">
        <v>246</v>
      </c>
      <c r="G7" s="100"/>
    </row>
    <row r="8" customFormat="false" ht="15" hidden="false" customHeight="false" outlineLevel="0" collapsed="false">
      <c r="A8" s="6" t="s">
        <v>247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9" t="s">
        <v>248</v>
      </c>
      <c r="G8" s="100" t="s">
        <v>249</v>
      </c>
    </row>
    <row r="9" customFormat="false" ht="15" hidden="false" customHeight="false" outlineLevel="0" collapsed="false">
      <c r="A9" s="6" t="s">
        <v>250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9" t="s">
        <v>248</v>
      </c>
      <c r="G9" s="100" t="s">
        <v>249</v>
      </c>
    </row>
    <row r="10" customFormat="false" ht="15" hidden="false" customHeight="false" outlineLevel="0" collapsed="false">
      <c r="A10" s="6" t="s">
        <v>251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9" t="s">
        <v>252</v>
      </c>
      <c r="G10" s="100" t="s">
        <v>253</v>
      </c>
    </row>
    <row r="11" customFormat="false" ht="15" hidden="false" customHeight="false" outlineLevel="0" collapsed="false">
      <c r="A11" s="6" t="s">
        <v>254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9" t="s">
        <v>248</v>
      </c>
      <c r="G11" s="100" t="s">
        <v>249</v>
      </c>
    </row>
    <row r="12" customFormat="false" ht="15" hidden="false" customHeight="false" outlineLevel="0" collapsed="false">
      <c r="A12" s="6" t="s">
        <v>255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9" t="s">
        <v>248</v>
      </c>
      <c r="G12" s="100"/>
    </row>
    <row r="13" customFormat="false" ht="15" hidden="false" customHeight="false" outlineLevel="0" collapsed="false">
      <c r="A13" s="6" t="s">
        <v>256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9" t="s">
        <v>257</v>
      </c>
      <c r="G13" s="100"/>
    </row>
    <row r="14" customFormat="false" ht="15" hidden="false" customHeight="false" outlineLevel="0" collapsed="false">
      <c r="A14" s="6" t="s">
        <v>258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9" t="s">
        <v>257</v>
      </c>
      <c r="G14" s="100" t="s">
        <v>249</v>
      </c>
    </row>
    <row r="16" customFormat="false" ht="15.75" hidden="false" customHeight="true" outlineLevel="0" collapsed="false">
      <c r="A16" s="7" t="s">
        <v>259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260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9" t="s">
        <v>261</v>
      </c>
      <c r="G17" s="100" t="s">
        <v>249</v>
      </c>
    </row>
    <row r="18" customFormat="false" ht="15" hidden="false" customHeight="false" outlineLevel="0" collapsed="false">
      <c r="A18" s="6" t="s">
        <v>262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9" t="s">
        <v>248</v>
      </c>
      <c r="G18" s="100" t="s">
        <v>249</v>
      </c>
    </row>
    <row r="19" customFormat="false" ht="15" hidden="false" customHeight="false" outlineLevel="0" collapsed="false">
      <c r="A19" s="6" t="s">
        <v>263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9" t="s">
        <v>261</v>
      </c>
      <c r="G19" s="100" t="s">
        <v>249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264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9" t="s">
        <v>248</v>
      </c>
      <c r="G22" s="100" t="s">
        <v>253</v>
      </c>
    </row>
    <row r="23" customFormat="false" ht="15" hidden="false" customHeight="false" outlineLevel="0" collapsed="false">
      <c r="A23" s="6" t="s">
        <v>265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9" t="s">
        <v>261</v>
      </c>
      <c r="G23" s="100" t="s">
        <v>253</v>
      </c>
    </row>
    <row r="24" customFormat="false" ht="15" hidden="false" customHeight="false" outlineLevel="0" collapsed="false">
      <c r="A24" s="6" t="s">
        <v>266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9" t="s">
        <v>261</v>
      </c>
      <c r="G24" s="100" t="s">
        <v>253</v>
      </c>
    </row>
    <row r="25" customFormat="false" ht="15" hidden="false" customHeight="false" outlineLevel="0" collapsed="false">
      <c r="A25" s="6" t="s">
        <v>267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9" t="s">
        <v>248</v>
      </c>
      <c r="G25" s="100" t="s">
        <v>253</v>
      </c>
    </row>
    <row r="26" customFormat="false" ht="15" hidden="false" customHeight="false" outlineLevel="0" collapsed="false">
      <c r="A26" s="6" t="s">
        <v>268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9" t="s">
        <v>248</v>
      </c>
      <c r="G26" s="100" t="s">
        <v>253</v>
      </c>
    </row>
    <row r="28" customFormat="false" ht="15.75" hidden="false" customHeight="true" outlineLevel="0" collapsed="false">
      <c r="A28" s="7" t="s">
        <v>269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270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9" t="s">
        <v>261</v>
      </c>
      <c r="G29" s="100"/>
    </row>
    <row r="30" customFormat="false" ht="15" hidden="false" customHeight="false" outlineLevel="0" collapsed="false">
      <c r="A30" s="6" t="s">
        <v>271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9" t="s">
        <v>248</v>
      </c>
      <c r="G30" s="100"/>
    </row>
    <row r="31" customFormat="false" ht="15" hidden="false" customHeight="false" outlineLevel="0" collapsed="false">
      <c r="A31" s="6" t="s">
        <v>272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9" t="s">
        <v>261</v>
      </c>
      <c r="G31" s="100"/>
    </row>
    <row r="32" customFormat="false" ht="15" hidden="false" customHeight="false" outlineLevel="0" collapsed="false">
      <c r="A32" s="6" t="s">
        <v>273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9" t="s">
        <v>261</v>
      </c>
      <c r="G32" s="100"/>
    </row>
    <row r="33" customFormat="false" ht="15" hidden="false" customHeight="false" outlineLevel="0" collapsed="false">
      <c r="A33" s="6" t="s">
        <v>274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9" t="s">
        <v>261</v>
      </c>
      <c r="G33" s="100"/>
    </row>
    <row r="34" customFormat="false" ht="15" hidden="false" customHeight="false" outlineLevel="0" collapsed="false">
      <c r="A34" s="6" t="s">
        <v>275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9" t="s">
        <v>248</v>
      </c>
      <c r="G34" s="100" t="s">
        <v>253</v>
      </c>
    </row>
    <row r="35" customFormat="false" ht="15" hidden="false" customHeight="false" outlineLevel="0" collapsed="false">
      <c r="A35" s="6" t="s">
        <v>276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9" t="s">
        <v>261</v>
      </c>
      <c r="G35" s="100"/>
    </row>
    <row r="36" customFormat="false" ht="15" hidden="false" customHeight="false" outlineLevel="0" collapsed="false">
      <c r="A36" s="6" t="s">
        <v>277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9" t="s">
        <v>261</v>
      </c>
      <c r="G36" s="100"/>
    </row>
    <row r="37" customFormat="false" ht="15" hidden="false" customHeight="false" outlineLevel="0" collapsed="false">
      <c r="A37" s="6" t="s">
        <v>278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9" t="s">
        <v>248</v>
      </c>
      <c r="G37" s="100" t="s">
        <v>249</v>
      </c>
    </row>
    <row r="38" customFormat="false" ht="15" hidden="false" customHeight="false" outlineLevel="0" collapsed="false">
      <c r="A38" s="6" t="s">
        <v>279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9" t="s">
        <v>248</v>
      </c>
      <c r="G38" s="100" t="s">
        <v>253</v>
      </c>
    </row>
    <row r="39" customFormat="false" ht="15" hidden="false" customHeight="false" outlineLevel="0" collapsed="false">
      <c r="A39" s="6" t="s">
        <v>280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9" t="s">
        <v>248</v>
      </c>
      <c r="G39" s="100" t="s">
        <v>253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281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9" t="s">
        <v>261</v>
      </c>
      <c r="G42" s="100"/>
    </row>
    <row r="43" customFormat="false" ht="15" hidden="false" customHeight="false" outlineLevel="0" collapsed="false">
      <c r="A43" s="6" t="s">
        <v>282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9" t="s">
        <v>248</v>
      </c>
      <c r="G43" s="100"/>
    </row>
    <row r="44" customFormat="false" ht="15" hidden="false" customHeight="false" outlineLevel="0" collapsed="false">
      <c r="A44" s="6" t="s">
        <v>283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9" t="s">
        <v>261</v>
      </c>
      <c r="G44" s="100"/>
    </row>
    <row r="45" customFormat="false" ht="15" hidden="false" customHeight="false" outlineLevel="0" collapsed="false">
      <c r="A45" s="6" t="s">
        <v>284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9" t="s">
        <v>261</v>
      </c>
      <c r="G45" s="100"/>
    </row>
    <row r="46" customFormat="false" ht="15" hidden="false" customHeight="false" outlineLevel="0" collapsed="false">
      <c r="A46" s="6" t="s">
        <v>285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9" t="s">
        <v>261</v>
      </c>
      <c r="G46" s="100"/>
    </row>
    <row r="48" customFormat="false" ht="15.75" hidden="false" customHeight="true" outlineLevel="0" collapsed="false">
      <c r="A48" s="7" t="s">
        <v>286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287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9" t="s">
        <v>288</v>
      </c>
      <c r="G49" s="100" t="s">
        <v>249</v>
      </c>
    </row>
    <row r="50" customFormat="false" ht="15" hidden="false" customHeight="false" outlineLevel="0" collapsed="false">
      <c r="A50" s="6" t="s">
        <v>289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9" t="s">
        <v>261</v>
      </c>
      <c r="G50" s="100"/>
    </row>
    <row r="51" customFormat="false" ht="15" hidden="false" customHeight="false" outlineLevel="0" collapsed="false">
      <c r="A51" s="6" t="s">
        <v>290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9" t="s">
        <v>248</v>
      </c>
      <c r="G51" s="100" t="s">
        <v>249</v>
      </c>
    </row>
    <row r="52" customFormat="false" ht="15" hidden="false" customHeight="false" outlineLevel="0" collapsed="false">
      <c r="A52" s="6" t="s">
        <v>291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9" t="s">
        <v>292</v>
      </c>
      <c r="G52" s="100"/>
    </row>
    <row r="53" customFormat="false" ht="15" hidden="false" customHeight="false" outlineLevel="0" collapsed="false">
      <c r="A53" s="6" t="s">
        <v>293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9" t="s">
        <v>288</v>
      </c>
      <c r="G53" s="100" t="s">
        <v>249</v>
      </c>
    </row>
    <row r="54" customFormat="false" ht="15" hidden="false" customHeight="false" outlineLevel="0" collapsed="false">
      <c r="A54" s="6" t="s">
        <v>294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9" t="s">
        <v>261</v>
      </c>
      <c r="G54" s="100"/>
    </row>
    <row r="55" customFormat="false" ht="15" hidden="false" customHeight="false" outlineLevel="0" collapsed="false">
      <c r="A55" s="6" t="s">
        <v>295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9" t="s">
        <v>248</v>
      </c>
      <c r="G55" s="100" t="s">
        <v>249</v>
      </c>
    </row>
    <row r="56" customFormat="false" ht="15" hidden="false" customHeight="false" outlineLevel="0" collapsed="false">
      <c r="A56" s="6" t="s">
        <v>296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9" t="s">
        <v>292</v>
      </c>
      <c r="G56" s="100"/>
    </row>
    <row r="57" customFormat="false" ht="15" hidden="false" customHeight="false" outlineLevel="0" collapsed="false">
      <c r="A57" s="6" t="s">
        <v>297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9" t="s">
        <v>288</v>
      </c>
      <c r="G57" s="100" t="s">
        <v>249</v>
      </c>
    </row>
    <row r="58" customFormat="false" ht="15" hidden="false" customHeight="false" outlineLevel="0" collapsed="false">
      <c r="A58" s="6" t="s">
        <v>298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9" t="s">
        <v>261</v>
      </c>
      <c r="G58" s="100"/>
    </row>
    <row r="59" customFormat="false" ht="15" hidden="false" customHeight="false" outlineLevel="0" collapsed="false">
      <c r="A59" s="6" t="s">
        <v>299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9" t="s">
        <v>248</v>
      </c>
      <c r="G59" s="100" t="s">
        <v>249</v>
      </c>
    </row>
    <row r="60" customFormat="false" ht="15" hidden="false" customHeight="false" outlineLevel="0" collapsed="false">
      <c r="A60" s="6" t="s">
        <v>300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9" t="s">
        <v>292</v>
      </c>
      <c r="G60" s="100"/>
    </row>
    <row r="61" customFormat="false" ht="15" hidden="false" customHeight="false" outlineLevel="0" collapsed="false">
      <c r="A61" s="6" t="s">
        <v>301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9" t="s">
        <v>248</v>
      </c>
      <c r="G61" s="100"/>
    </row>
    <row r="62" customFormat="false" ht="15" hidden="false" customHeight="false" outlineLevel="0" collapsed="false">
      <c r="A62" s="6" t="s">
        <v>302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9" t="s">
        <v>248</v>
      </c>
      <c r="G62" s="100"/>
    </row>
    <row r="64" customFormat="false" ht="15.75" hidden="false" customHeight="true" outlineLevel="0" collapsed="false">
      <c r="A64" s="7" t="s">
        <v>303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304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9" t="s">
        <v>261</v>
      </c>
      <c r="G65" s="100"/>
    </row>
    <row r="66" customFormat="false" ht="15" hidden="false" customHeight="false" outlineLevel="0" collapsed="false">
      <c r="A66" s="6" t="s">
        <v>305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9" t="s">
        <v>261</v>
      </c>
      <c r="G66" s="100"/>
    </row>
    <row r="67" customFormat="false" ht="15" hidden="false" customHeight="false" outlineLevel="0" collapsed="false">
      <c r="A67" s="6" t="s">
        <v>306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9" t="s">
        <v>248</v>
      </c>
      <c r="G67" s="100"/>
    </row>
    <row r="68" customFormat="false" ht="15" hidden="false" customHeight="false" outlineLevel="0" collapsed="false">
      <c r="A68" s="6" t="s">
        <v>307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9" t="s">
        <v>308</v>
      </c>
      <c r="G68" s="100"/>
    </row>
    <row r="70" customFormat="false" ht="15.75" hidden="false" customHeight="true" outlineLevel="0" collapsed="false">
      <c r="A70" s="7" t="s">
        <v>309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310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9" t="s">
        <v>311</v>
      </c>
      <c r="G71" s="100"/>
    </row>
    <row r="72" customFormat="false" ht="15" hidden="false" customHeight="false" outlineLevel="0" collapsed="false">
      <c r="A72" s="6" t="s">
        <v>312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9" t="s">
        <v>311</v>
      </c>
      <c r="G72" s="100"/>
    </row>
    <row r="73" customFormat="false" ht="15" hidden="false" customHeight="false" outlineLevel="0" collapsed="false">
      <c r="A73" s="6" t="s">
        <v>313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9" t="s">
        <v>311</v>
      </c>
      <c r="G73" s="100"/>
    </row>
    <row r="75" customFormat="false" ht="15.75" hidden="false" customHeight="true" outlineLevel="0" collapsed="false">
      <c r="A75" s="7" t="s">
        <v>314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315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9" t="s">
        <v>308</v>
      </c>
      <c r="G76" s="100"/>
    </row>
    <row r="77" customFormat="false" ht="15" hidden="false" customHeight="false" outlineLevel="0" collapsed="false">
      <c r="A77" s="6" t="s">
        <v>316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9" t="s">
        <v>248</v>
      </c>
      <c r="G77" s="100"/>
    </row>
    <row r="79" customFormat="false" ht="15.75" hidden="false" customHeight="true" outlineLevel="0" collapsed="false">
      <c r="A79" s="7" t="s">
        <v>317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9" t="s">
        <v>261</v>
      </c>
      <c r="G80" s="100" t="s">
        <v>318</v>
      </c>
    </row>
    <row r="82" customFormat="false" ht="15.75" hidden="false" customHeight="true" outlineLevel="0" collapsed="false">
      <c r="A82" s="7" t="s">
        <v>319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166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9" t="s">
        <v>248</v>
      </c>
      <c r="G83" s="100" t="s">
        <v>253</v>
      </c>
    </row>
    <row r="84" customFormat="false" ht="15" hidden="false" customHeight="false" outlineLevel="0" collapsed="false">
      <c r="A84" s="6" t="s">
        <v>320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9" t="s">
        <v>248</v>
      </c>
      <c r="G84" s="100" t="s">
        <v>249</v>
      </c>
    </row>
    <row r="85" customFormat="false" ht="15" hidden="false" customHeight="false" outlineLevel="0" collapsed="false">
      <c r="A85" s="6" t="s">
        <v>168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9" t="s">
        <v>321</v>
      </c>
      <c r="G85" s="100" t="s">
        <v>249</v>
      </c>
    </row>
    <row r="86" customFormat="false" ht="15" hidden="false" customHeight="false" outlineLevel="0" collapsed="false">
      <c r="A86" s="6" t="s">
        <v>322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9" t="s">
        <v>248</v>
      </c>
      <c r="G86" s="100"/>
    </row>
    <row r="87" customFormat="false" ht="15" hidden="false" customHeight="false" outlineLevel="0" collapsed="false">
      <c r="A87" s="6" t="s">
        <v>323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9" t="s">
        <v>248</v>
      </c>
      <c r="G87" s="100"/>
    </row>
    <row r="89" customFormat="false" ht="15" hidden="false" customHeight="false" outlineLevel="0" collapsed="false">
      <c r="A89" s="21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3" t="n">
        <f aca="false">SUMIF(Monthly!$C$5:$AL$5,B$3,Monthly!$C$20:$AL$20)</f>
        <v>274944.2576</v>
      </c>
      <c r="C5" s="73" t="n">
        <f aca="false">SUMIF(Monthly!$C$5:$AL$5,C$3,Monthly!$C$20:$AL$20)</f>
        <v>396826.244352</v>
      </c>
      <c r="D5" s="73" t="n">
        <f aca="false">SUMIF(Monthly!$C$5:$AL$5,D$3,Monthly!$C$20:$AL$20)</f>
        <v>416905.652316211</v>
      </c>
    </row>
    <row r="6" customFormat="false" ht="15" hidden="false" customHeight="false" outlineLevel="0" collapsed="false">
      <c r="A6" s="6" t="s">
        <v>76</v>
      </c>
      <c r="B6" s="67" t="n">
        <f aca="false">SUMIF(Monthly!$C$5:$AL$5,B$3,Monthly!$C$28:$AL$28)</f>
        <v>-109180.44818</v>
      </c>
      <c r="C6" s="67" t="n">
        <f aca="false">SUMIF(Monthly!$C$5:$AL$5,C$3,Monthly!$C$28:$AL$28)</f>
        <v>-134765.8232736</v>
      </c>
      <c r="D6" s="67" t="n">
        <f aca="false">SUMIF(Monthly!$C$5:$AL$5,D$3,Monthly!$C$28:$AL$28)</f>
        <v>-140413.740331244</v>
      </c>
    </row>
    <row r="7" customFormat="false" ht="15" hidden="false" customHeight="false" outlineLevel="0" collapsed="false">
      <c r="A7" s="111" t="s">
        <v>45</v>
      </c>
      <c r="B7" s="68" t="n">
        <f aca="false">SUMIF(Monthly!$C$5:$AL$5,B$3,Monthly!$C$29:$AL$29)</f>
        <v>165763.80942</v>
      </c>
      <c r="C7" s="68" t="n">
        <f aca="false">SUMIF(Monthly!$C$5:$AL$5,C$3,Monthly!$C$29:$AL$29)</f>
        <v>262060.4210784</v>
      </c>
      <c r="D7" s="68" t="n">
        <f aca="false">SUMIF(Monthly!$C$5:$AL$5,D$3,Monthly!$C$29:$AL$29)</f>
        <v>276491.911984967</v>
      </c>
    </row>
    <row r="8" customFormat="false" ht="15" hidden="false" customHeight="false" outlineLevel="0" collapsed="false">
      <c r="A8" s="39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</row>
    <row r="9" customFormat="false" ht="15" hidden="false" customHeight="false" outlineLevel="0" collapsed="false">
      <c r="A9" s="6" t="s">
        <v>326</v>
      </c>
      <c r="B9" s="67" t="n">
        <f aca="false">SUMIF(Monthly!$C$5:$AL$5,B$3,Monthly!$C$32:$AL$32)</f>
        <v>-66700</v>
      </c>
      <c r="C9" s="67" t="n">
        <f aca="false">SUMIF(Monthly!$C$5:$AL$5,C$3,Monthly!$C$32:$AL$32)</f>
        <v>-68701</v>
      </c>
      <c r="D9" s="67" t="n">
        <f aca="false">SUMIF(Monthly!$C$5:$AL$5,D$3,Monthly!$C$32:$AL$32)</f>
        <v>-70762.03</v>
      </c>
    </row>
    <row r="10" customFormat="false" ht="15" hidden="false" customHeight="false" outlineLevel="0" collapsed="false">
      <c r="A10" s="6" t="s">
        <v>327</v>
      </c>
      <c r="B10" s="67" t="n">
        <f aca="false">SUMIF(Monthly!$C$5:$AL$5,B$3,Monthly!$C$33:$AL$33)</f>
        <v>0</v>
      </c>
      <c r="C10" s="67" t="n">
        <f aca="false">SUMIF(Monthly!$C$5:$AL$5,C$3,Monthly!$C$33:$AL$33)</f>
        <v>0</v>
      </c>
      <c r="D10" s="67" t="n">
        <f aca="false">SUMIF(Monthly!$C$5:$AL$5,D$3,Monthly!$C$33:$AL$33)</f>
        <v>0</v>
      </c>
    </row>
    <row r="11" customFormat="false" ht="15" hidden="false" customHeight="false" outlineLevel="0" collapsed="false">
      <c r="A11" s="6" t="s">
        <v>328</v>
      </c>
      <c r="B11" s="67" t="n">
        <f aca="false">SUMIF(Monthly!$C$5:$AL$5,B$3,Monthly!$C$34:$AL$34)</f>
        <v>-8000</v>
      </c>
      <c r="C11" s="67" t="n">
        <f aca="false">SUMIF(Monthly!$C$5:$AL$5,C$3,Monthly!$C$34:$AL$34)</f>
        <v>-8240</v>
      </c>
      <c r="D11" s="67" t="n">
        <f aca="false">SUMIF(Monthly!$C$5:$AL$5,D$3,Monthly!$C$34:$AL$34)</f>
        <v>-8487.2</v>
      </c>
    </row>
    <row r="12" customFormat="false" ht="15" hidden="false" customHeight="false" outlineLevel="0" collapsed="false">
      <c r="A12" s="6" t="s">
        <v>329</v>
      </c>
      <c r="B12" s="67" t="n">
        <f aca="false">SUMIF(Monthly!$C$5:$AL$5,B$3,Monthly!$C$35:$AL$35)</f>
        <v>-8400</v>
      </c>
      <c r="C12" s="67" t="n">
        <f aca="false">SUMIF(Monthly!$C$5:$AL$5,C$3,Monthly!$C$35:$AL$35)</f>
        <v>-8652</v>
      </c>
      <c r="D12" s="67" t="n">
        <f aca="false">SUMIF(Monthly!$C$5:$AL$5,D$3,Monthly!$C$35:$AL$35)</f>
        <v>-8911.56</v>
      </c>
    </row>
    <row r="13" customFormat="false" ht="15" hidden="false" customHeight="false" outlineLevel="0" collapsed="false">
      <c r="A13" s="6" t="s">
        <v>330</v>
      </c>
      <c r="B13" s="67" t="n">
        <f aca="false">SUMIF(Monthly!$C$5:$AL$5,B$3,Monthly!$C$36:$AL$36)</f>
        <v>-21600</v>
      </c>
      <c r="C13" s="67" t="n">
        <f aca="false">SUMIF(Monthly!$C$5:$AL$5,C$3,Monthly!$C$36:$AL$36)</f>
        <v>-22248</v>
      </c>
      <c r="D13" s="67" t="n">
        <f aca="false">SUMIF(Monthly!$C$5:$AL$5,D$3,Monthly!$C$36:$AL$36)</f>
        <v>-22915.44</v>
      </c>
    </row>
    <row r="14" customFormat="false" ht="15" hidden="false" customHeight="false" outlineLevel="0" collapsed="false">
      <c r="A14" s="6" t="s">
        <v>331</v>
      </c>
      <c r="B14" s="67" t="n">
        <f aca="false">SUMIF(Monthly!$C$5:$AL$5,B$3,Monthly!$C$37:$AL$37)</f>
        <v>-10997.770304</v>
      </c>
      <c r="C14" s="67" t="n">
        <f aca="false">SUMIF(Monthly!$C$5:$AL$5,C$3,Monthly!$C$37:$AL$37)</f>
        <v>-15873.04977408</v>
      </c>
      <c r="D14" s="67" t="n">
        <f aca="false">SUMIF(Monthly!$C$5:$AL$5,D$3,Monthly!$C$37:$AL$37)</f>
        <v>-16676.2260926484</v>
      </c>
    </row>
    <row r="15" customFormat="false" ht="15" hidden="false" customHeight="false" outlineLevel="0" collapsed="false">
      <c r="A15" s="6" t="s">
        <v>332</v>
      </c>
      <c r="B15" s="67" t="n">
        <f aca="false">SUMIF(Monthly!$C$5:$AL$5,B$3,Monthly!$C$38:$AL$38)</f>
        <v>-18000</v>
      </c>
      <c r="C15" s="67" t="n">
        <f aca="false">SUMIF(Monthly!$C$5:$AL$5,C$3,Monthly!$C$38:$AL$38)</f>
        <v>-14400</v>
      </c>
      <c r="D15" s="67" t="n">
        <f aca="false">SUMIF(Monthly!$C$5:$AL$5,D$3,Monthly!$C$38:$AL$38)</f>
        <v>-11520</v>
      </c>
    </row>
    <row r="16" customFormat="false" ht="15" hidden="false" customHeight="false" outlineLevel="0" collapsed="false">
      <c r="A16" s="6" t="s">
        <v>333</v>
      </c>
      <c r="B16" s="67" t="n">
        <f aca="false">SUMIF(Monthly!$C$5:$AL$5,B$3,Monthly!$C$39:$AL$39)</f>
        <v>-14400</v>
      </c>
      <c r="C16" s="67" t="n">
        <f aca="false">SUMIF(Monthly!$C$5:$AL$5,C$3,Monthly!$C$39:$AL$39)</f>
        <v>-14832</v>
      </c>
      <c r="D16" s="67" t="n">
        <f aca="false">SUMIF(Monthly!$C$5:$AL$5,D$3,Monthly!$C$39:$AL$39)</f>
        <v>-15276.96</v>
      </c>
    </row>
    <row r="17" customFormat="false" ht="15" hidden="false" customHeight="false" outlineLevel="0" collapsed="false">
      <c r="A17" s="6" t="s">
        <v>334</v>
      </c>
      <c r="B17" s="67" t="n">
        <f aca="false">SUMIF(Monthly!$C$5:$AL$5,B$3,Monthly!$C$40:$AL$40)</f>
        <v>-7423.4949552</v>
      </c>
      <c r="C17" s="67" t="n">
        <f aca="false">SUMIF(Monthly!$C$5:$AL$5,C$3,Monthly!$C$40:$AL$40)</f>
        <v>-10714.308597504</v>
      </c>
      <c r="D17" s="67" t="n">
        <f aca="false">SUMIF(Monthly!$C$5:$AL$5,D$3,Monthly!$C$40:$AL$40)</f>
        <v>-11256.4526125377</v>
      </c>
    </row>
    <row r="18" customFormat="false" ht="15" hidden="false" customHeight="false" outlineLevel="0" collapsed="false">
      <c r="A18" s="111" t="s">
        <v>77</v>
      </c>
      <c r="B18" s="68" t="n">
        <f aca="false">SUMIF(Monthly!$C$5:$AL$5,B$3,Monthly!$C$41:$AL$41)</f>
        <v>-155521.2652592</v>
      </c>
      <c r="C18" s="68" t="n">
        <f aca="false">SUMIF(Monthly!$C$5:$AL$5,C$3,Monthly!$C$41:$AL$41)</f>
        <v>-163660.358371584</v>
      </c>
      <c r="D18" s="68" t="n">
        <f aca="false">SUMIF(Monthly!$C$5:$AL$5,D$3,Monthly!$C$41:$AL$41)</f>
        <v>-165805.868705186</v>
      </c>
    </row>
    <row r="19" customFormat="false" ht="15" hidden="false" customHeight="false" outlineLevel="0" collapsed="false">
      <c r="A19" s="111" t="s">
        <v>48</v>
      </c>
      <c r="B19" s="68" t="n">
        <f aca="false">SUMIF(Monthly!$C$5:$AL$5,B$3,Monthly!$C$42:$AL$42)</f>
        <v>10242.5441608</v>
      </c>
      <c r="C19" s="68" t="n">
        <f aca="false">SUMIF(Monthly!$C$5:$AL$5,C$3,Monthly!$C$42:$AL$42)</f>
        <v>98400.062706816</v>
      </c>
      <c r="D19" s="68" t="n">
        <f aca="false">SUMIF(Monthly!$C$5:$AL$5,D$3,Monthly!$C$42:$AL$42)</f>
        <v>110686.043279781</v>
      </c>
    </row>
    <row r="20" customFormat="false" ht="15" hidden="false" customHeight="false" outlineLevel="0" collapsed="false">
      <c r="A20" s="39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SUMIF(Monthly!$C$5:$AL$5,B$3,Monthly!$C$62:$AL$62)</f>
        <v>-45991.6666666667</v>
      </c>
      <c r="C21" s="67" t="n">
        <f aca="false">SUMIF(Monthly!$C$5:$AL$5,C$3,Monthly!$C$62:$AL$62)</f>
        <v>-46601.4166666667</v>
      </c>
      <c r="D21" s="67" t="n">
        <f aca="false">SUMIF(Monthly!$C$5:$AL$5,D$3,Monthly!$C$62:$AL$62)</f>
        <v>-47229.4591666667</v>
      </c>
    </row>
    <row r="22" customFormat="false" ht="15" hidden="false" customHeight="false" outlineLevel="0" collapsed="false">
      <c r="A22" s="4" t="s">
        <v>79</v>
      </c>
      <c r="B22" s="73" t="n">
        <f aca="false">SUMIF(Monthly!$C$5:$AL$5,B$3,Monthly!$C$45:$AL$45)</f>
        <v>-35749.1225058667</v>
      </c>
      <c r="C22" s="73" t="n">
        <f aca="false">SUMIF(Monthly!$C$5:$AL$5,C$3,Monthly!$C$45:$AL$45)</f>
        <v>51798.6460401493</v>
      </c>
      <c r="D22" s="73" t="n">
        <f aca="false">SUMIF(Monthly!$C$5:$AL$5,D$3,Monthly!$C$45:$AL$45)</f>
        <v>63456.5841131142</v>
      </c>
    </row>
    <row r="23" customFormat="false" ht="15" hidden="false" customHeight="false" outlineLevel="0" collapsed="false">
      <c r="A23" s="6" t="s">
        <v>80</v>
      </c>
      <c r="B23" s="67" t="n">
        <f aca="false">SUMIF(Monthly!$C$5:$AL$5,B$3,Monthly!$C$46:$AL$46)</f>
        <v>-34757.6848487476</v>
      </c>
      <c r="C23" s="67" t="n">
        <f aca="false">SUMIF(Monthly!$C$5:$AL$5,C$3,Monthly!$C$46:$AL$46)</f>
        <v>-34204.7331777278</v>
      </c>
      <c r="D23" s="67" t="n">
        <f aca="false">SUMIF(Monthly!$C$5:$AL$5,D$3,Monthly!$C$46:$AL$46)</f>
        <v>-33611.8085857004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SUMIF(Monthly!$C$5:$AL$5,B$3,Monthly!$C$47:$AL$47)</f>
        <v>-70506.8073546142</v>
      </c>
      <c r="C24" s="113" t="n">
        <f aca="false">SUMIF(Monthly!$C$5:$AL$5,C$3,Monthly!$C$47:$AL$47)</f>
        <v>17593.9128624215</v>
      </c>
      <c r="D24" s="113" t="n">
        <f aca="false">SUMIF(Monthly!$C$5:$AL$5,D$3,Monthly!$C$47:$AL$47)</f>
        <v>29844.7755274138</v>
      </c>
    </row>
    <row r="25" customFormat="false" ht="15" hidden="false" customHeight="false" outlineLevel="0" collapsed="false">
      <c r="A25" s="6" t="s">
        <v>82</v>
      </c>
      <c r="B25" s="67" t="n">
        <f aca="false">SUMIF(Monthly!$C$5:$AL$5,B$3,Monthly!$C$50:$AL$50)</f>
        <v>0</v>
      </c>
      <c r="C25" s="67" t="n">
        <f aca="false">SUMIF(Monthly!$C$5:$AL$5,C$3,Monthly!$C$50:$AL$50)</f>
        <v>0</v>
      </c>
      <c r="D25" s="67" t="n">
        <f aca="false">SUMIF(Monthly!$C$5:$AL$5,D$3,Monthly!$C$50:$AL$50)</f>
        <v>0</v>
      </c>
    </row>
    <row r="26" customFormat="false" ht="15" hidden="false" customHeight="false" outlineLevel="0" collapsed="false">
      <c r="A26" s="70" t="s">
        <v>50</v>
      </c>
      <c r="B26" s="71" t="n">
        <f aca="false">SUMIF(Monthly!$C$5:$AL$5,B$3,Monthly!$C$51:$AL$51)</f>
        <v>-70506.8073546142</v>
      </c>
      <c r="C26" s="71" t="n">
        <f aca="false">SUMIF(Monthly!$C$5:$AL$5,C$3,Monthly!$C$51:$AL$51)</f>
        <v>17593.9128624215</v>
      </c>
      <c r="D26" s="71" t="n">
        <f aca="false">SUMIF(Monthly!$C$5:$AL$5,D$3,Monthly!$C$51:$AL$51)</f>
        <v>29844.7755274138</v>
      </c>
    </row>
    <row r="27" customFormat="false" ht="15" hidden="false" customHeight="false" outlineLevel="0" collapsed="false">
      <c r="A27" s="39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7" t="n">
        <f aca="false">SUMIF(Monthly!$C$5:$AL$5,B$3,Monthly!$C$51:$AL$51)</f>
        <v>-70506.8073546142</v>
      </c>
      <c r="C5" s="67" t="n">
        <f aca="false">SUMIF(Monthly!$C$5:$AL$5,C$3,Monthly!$C$51:$AL$51)</f>
        <v>17593.9128624215</v>
      </c>
      <c r="D5" s="67" t="n">
        <f aca="false">SUMIF(Monthly!$C$5:$AL$5,D$3,Monthly!$C$51:$AL$51)</f>
        <v>29844.7755274138</v>
      </c>
    </row>
    <row r="6" customFormat="false" ht="15" hidden="false" customHeight="false" outlineLevel="0" collapsed="false">
      <c r="A6" s="6" t="s">
        <v>335</v>
      </c>
      <c r="B6" s="67" t="n">
        <f aca="false">-SUMIF(Monthly!$C$5:$AL$5,B$3,Monthly!$C$62:$AL$62)</f>
        <v>45991.6666666667</v>
      </c>
      <c r="C6" s="67" t="n">
        <f aca="false">-SUMIF(Monthly!$C$5:$AL$5,C$3,Monthly!$C$62:$AL$62)</f>
        <v>46601.4166666667</v>
      </c>
      <c r="D6" s="67" t="n">
        <f aca="false">-SUMIF(Monthly!$C$5:$AL$5,D$3,Monthly!$C$62:$AL$62)</f>
        <v>47229.4591666667</v>
      </c>
    </row>
    <row r="7" customFormat="false" ht="15" hidden="false" customHeight="false" outlineLevel="0" collapsed="false">
      <c r="A7" s="6" t="s">
        <v>336</v>
      </c>
      <c r="B7" s="67" t="n">
        <f aca="false">SUMIF(Monthly!$C$5:$AL$5,B$3,Monthly!$C$78:$AL$78)</f>
        <v>-2885.31466666667</v>
      </c>
      <c r="C7" s="67" t="n">
        <f aca="false">SUMIF(Monthly!$C$5:$AL$5,C$3,Monthly!$C$78:$AL$78)</f>
        <v>-145.996922133334</v>
      </c>
      <c r="D7" s="67" t="n">
        <f aca="false">SUMIF(Monthly!$C$5:$AL$5,D$3,Monthly!$C$78:$AL$78)</f>
        <v>-153.384366393279</v>
      </c>
    </row>
    <row r="8" customFormat="false" ht="15" hidden="false" customHeight="false" outlineLevel="0" collapsed="false">
      <c r="A8" s="6" t="s">
        <v>337</v>
      </c>
      <c r="B8" s="67" t="n">
        <f aca="false">SUMIF(Monthly!$C$5:$AL$5,B$3,Monthly!$C$79:$AL$79)</f>
        <v>-1026.48056666667</v>
      </c>
      <c r="C8" s="67" t="n">
        <f aca="false">SUMIF(Monthly!$C$5:$AL$5,C$3,Monthly!$C$79:$AL$79)</f>
        <v>-42.4639166733334</v>
      </c>
      <c r="D8" s="67" t="n">
        <f aca="false">SUMIF(Monthly!$C$5:$AL$5,D$3,Monthly!$C$79:$AL$79)</f>
        <v>-44.328310857004</v>
      </c>
    </row>
    <row r="9" customFormat="false" ht="15" hidden="false" customHeight="false" outlineLevel="0" collapsed="false">
      <c r="A9" s="6" t="s">
        <v>338</v>
      </c>
      <c r="B9" s="67" t="n">
        <f aca="false">SUMIF(Monthly!$C$5:$AL$5,B$3,Monthly!$C$80:$AL$80)</f>
        <v>8554.00472222222</v>
      </c>
      <c r="C9" s="67" t="n">
        <f aca="false">SUMIF(Monthly!$C$5:$AL$5,C$3,Monthly!$C$80:$AL$80)</f>
        <v>353.865972277778</v>
      </c>
      <c r="D9" s="67" t="n">
        <f aca="false">SUMIF(Monthly!$C$5:$AL$5,D$3,Monthly!$C$80:$AL$80)</f>
        <v>369.402590475032</v>
      </c>
    </row>
    <row r="10" customFormat="false" ht="15" hidden="false" customHeight="false" outlineLevel="0" collapsed="false">
      <c r="A10" s="111" t="s">
        <v>52</v>
      </c>
      <c r="B10" s="68" t="n">
        <f aca="false">SUMIF(Monthly!$C$5:$AL$5,B$3,Monthly!$C$83:$AL$83)</f>
        <v>-19872.9311990587</v>
      </c>
      <c r="C10" s="68" t="n">
        <f aca="false">SUMIF(Monthly!$C$5:$AL$5,C$3,Monthly!$C$83:$AL$83)</f>
        <v>64360.7346625593</v>
      </c>
      <c r="D10" s="68" t="n">
        <f aca="false">SUMIF(Monthly!$C$5:$AL$5,D$3,Monthly!$C$83:$AL$83)</f>
        <v>77245.9246073052</v>
      </c>
    </row>
    <row r="11" customFormat="false" ht="15" hidden="false" customHeight="false" outlineLevel="0" collapsed="false">
      <c r="A11" s="6" t="s">
        <v>84</v>
      </c>
      <c r="B11" s="67" t="n">
        <f aca="false">SUMIF(Monthly!$C$5:$AL$5,B$3,Monthly!$C$84:$AL$84)</f>
        <v>-874000</v>
      </c>
      <c r="C11" s="67" t="n">
        <f aca="false">SUMIF(Monthly!$C$5:$AL$5,C$3,Monthly!$C$84:$AL$84)</f>
        <v>-9270</v>
      </c>
      <c r="D11" s="67" t="n">
        <f aca="false">SUMIF(Monthly!$C$5:$AL$5,D$3,Monthly!$C$84:$AL$84)</f>
        <v>-9548.1</v>
      </c>
    </row>
    <row r="12" customFormat="false" ht="15" hidden="false" customHeight="false" outlineLevel="0" collapsed="false">
      <c r="A12" s="6" t="s">
        <v>64</v>
      </c>
      <c r="B12" s="67" t="n">
        <f aca="false">SUMIF(Monthly!$C$5:$AL$5,B$3,Monthly!$C$85:$AL$85)</f>
        <v>430000</v>
      </c>
      <c r="C12" s="67" t="n">
        <f aca="false">SUMIF(Monthly!$C$5:$AL$5,C$3,Monthly!$C$85:$AL$85)</f>
        <v>0</v>
      </c>
      <c r="D12" s="67" t="n">
        <f aca="false">SUMIF(Monthly!$C$5:$AL$5,D$3,Monthly!$C$85:$AL$85)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SUMIF(Monthly!$C$5:$AL$5,B$3,Monthly!$C$68:$AL$68)</f>
        <v>500000</v>
      </c>
      <c r="C13" s="67" t="n">
        <f aca="false">SUMIF(Monthly!$C$5:$AL$5,C$3,Monthly!$C$68:$AL$68)</f>
        <v>0</v>
      </c>
      <c r="D13" s="67" t="n">
        <f aca="false">SUMIF(Monthly!$C$5:$AL$5,D$3,Monthly!$C$68:$AL$68)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SUMIF(Monthly!$C$5:$AL$5,B$3,Monthly!$C$70:$AL$70)</f>
        <v>-7649.06698775793</v>
      </c>
      <c r="C14" s="67" t="n">
        <f aca="false">SUMIF(Monthly!$C$5:$AL$5,C$3,Monthly!$C$70:$AL$70)</f>
        <v>-8202.01865877771</v>
      </c>
      <c r="D14" s="67" t="n">
        <f aca="false">SUMIF(Monthly!$C$5:$AL$5,D$3,Monthly!$C$70:$AL$70)</f>
        <v>-8794.94325080511</v>
      </c>
    </row>
    <row r="15" customFormat="false" ht="15" hidden="false" customHeight="false" outlineLevel="0" collapsed="false">
      <c r="A15" s="111" t="s">
        <v>54</v>
      </c>
      <c r="B15" s="68" t="n">
        <f aca="false">SUMIF(Monthly!$C$5:$AL$5,B$3,Monthly!$C$86:$AL$86)</f>
        <v>922350.933012242</v>
      </c>
      <c r="C15" s="68" t="n">
        <f aca="false">SUMIF(Monthly!$C$5:$AL$5,C$3,Monthly!$C$86:$AL$86)</f>
        <v>-8202.01865877771</v>
      </c>
      <c r="D15" s="68" t="n">
        <f aca="false">SUMIF(Monthly!$C$5:$AL$5,D$3,Monthly!$C$86:$AL$86)</f>
        <v>-8794.94325080511</v>
      </c>
    </row>
    <row r="16" customFormat="false" ht="15" hidden="false" customHeight="false" outlineLevel="0" collapsed="false">
      <c r="A16" s="4" t="s">
        <v>55</v>
      </c>
      <c r="B16" s="73" t="n">
        <f aca="false">SUMIF(Monthly!$C$5:$AL$5,B$3,Monthly!$C$87:$AL$87)</f>
        <v>28478.0018131834</v>
      </c>
      <c r="C16" s="73" t="n">
        <f aca="false">SUMIF(Monthly!$C$5:$AL$5,C$3,Monthly!$C$87:$AL$87)</f>
        <v>46888.7160037816</v>
      </c>
      <c r="D16" s="73" t="n">
        <f aca="false">SUMIF(Monthly!$C$5:$AL$5,D$3,Monthly!$C$87:$AL$87)</f>
        <v>58902.8813565001</v>
      </c>
    </row>
    <row r="17" customFormat="false" ht="15" hidden="false" customHeight="false" outlineLevel="0" collapsed="false">
      <c r="A17" s="6" t="s">
        <v>339</v>
      </c>
      <c r="B17" s="67" t="n">
        <f aca="false">INDEX(Monthly!$C$88:$AL$88,(B$3-1)*12+1)</f>
        <v>0</v>
      </c>
      <c r="C17" s="67" t="n">
        <f aca="false">INDEX(Monthly!$C$88:$AL$88,(C$3-1)*12+1)</f>
        <v>28478.0018131834</v>
      </c>
      <c r="D17" s="67" t="n">
        <f aca="false">INDEX(Monthly!$C$88:$AL$88,(D$3-1)*12+1)</f>
        <v>75366.717816965</v>
      </c>
    </row>
    <row r="18" customFormat="false" ht="15" hidden="false" customHeight="false" outlineLevel="0" collapsed="false">
      <c r="A18" s="70" t="s">
        <v>87</v>
      </c>
      <c r="B18" s="71" t="n">
        <f aca="false">INDEX(Monthly!$C$89:$AL$89,B$3*12)</f>
        <v>28478.0018131834</v>
      </c>
      <c r="C18" s="71" t="n">
        <f aca="false">INDEX(Monthly!$C$89:$AL$89,C$3*12)</f>
        <v>75366.717816965</v>
      </c>
      <c r="D18" s="71" t="n">
        <f aca="false">INDEX(Monthly!$C$89:$AL$89,D$3*12)</f>
        <v>134269.599173465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325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89</v>
      </c>
      <c r="B5" s="67" t="n">
        <f aca="false">INDEX(Monthly!$C$89:$AL$89,B$3*12)</f>
        <v>28478.0018131834</v>
      </c>
      <c r="C5" s="67" t="n">
        <f aca="false">INDEX(Monthly!$C$89:$AL$89,C$3*12)</f>
        <v>75366.717816965</v>
      </c>
      <c r="D5" s="67" t="n">
        <f aca="false">INDEX(Monthly!$C$89:$AL$89,D$3*12)</f>
        <v>134269.599173465</v>
      </c>
    </row>
    <row r="6" customFormat="false" ht="15" hidden="false" customHeight="false" outlineLevel="0" collapsed="false">
      <c r="A6" s="6" t="s">
        <v>90</v>
      </c>
      <c r="B6" s="67" t="n">
        <f aca="false">INDEX(Monthly!$C$75:$AL$75,B$3*12)</f>
        <v>2885.31466666667</v>
      </c>
      <c r="C6" s="67" t="n">
        <f aca="false">INDEX(Monthly!$C$75:$AL$75,C$3*12)</f>
        <v>3031.3115888</v>
      </c>
      <c r="D6" s="67" t="n">
        <f aca="false">INDEX(Monthly!$C$75:$AL$75,D$3*12)</f>
        <v>3184.69595519328</v>
      </c>
    </row>
    <row r="7" customFormat="false" ht="15" hidden="false" customHeight="false" outlineLevel="0" collapsed="false">
      <c r="A7" s="6" t="s">
        <v>91</v>
      </c>
      <c r="B7" s="67" t="n">
        <f aca="false">INDEX(Monthly!$C$76:$AL$76,B$3*12)</f>
        <v>1026.48056666667</v>
      </c>
      <c r="C7" s="67" t="n">
        <f aca="false">INDEX(Monthly!$C$76:$AL$76,C$3*12)</f>
        <v>1068.94448334</v>
      </c>
      <c r="D7" s="67" t="n">
        <f aca="false">INDEX(Monthly!$C$76:$AL$76,D$3*12)</f>
        <v>1113.272794197</v>
      </c>
    </row>
    <row r="8" customFormat="false" ht="15" hidden="false" customHeight="false" outlineLevel="0" collapsed="false">
      <c r="A8" s="6" t="s">
        <v>92</v>
      </c>
      <c r="B8" s="67" t="n">
        <f aca="false">INDEX(Monthly!$C$64:$AL$64,B$3*12)</f>
        <v>828008.333333333</v>
      </c>
      <c r="C8" s="67" t="n">
        <f aca="false">INDEX(Monthly!$C$64:$AL$64,C$3*12)</f>
        <v>790676.916666667</v>
      </c>
      <c r="D8" s="67" t="n">
        <f aca="false">INDEX(Monthly!$C$64:$AL$64,D$3*12)</f>
        <v>752995.557500001</v>
      </c>
    </row>
    <row r="9" customFormat="false" ht="15" hidden="false" customHeight="false" outlineLevel="0" collapsed="false">
      <c r="A9" s="111" t="s">
        <v>93</v>
      </c>
      <c r="B9" s="68" t="n">
        <f aca="false">INDEX(Monthly!$C$103:$AL$103,B$3*12)</f>
        <v>860398.13037985</v>
      </c>
      <c r="C9" s="68" t="n">
        <f aca="false">INDEX(Monthly!$C$103:$AL$103,C$3*12)</f>
        <v>870143.890555772</v>
      </c>
      <c r="D9" s="68" t="n">
        <f aca="false">INDEX(Monthly!$C$103:$AL$103,D$3*12)</f>
        <v>891563.125422856</v>
      </c>
    </row>
    <row r="10" customFormat="false" ht="15" hidden="false" customHeight="false" outlineLevel="0" collapsed="false">
      <c r="A10" s="6" t="s">
        <v>94</v>
      </c>
      <c r="B10" s="67" t="n">
        <f aca="false">INDEX(Monthly!$C$77:$AL$77,B$3*12)</f>
        <v>8554.00472222222</v>
      </c>
      <c r="C10" s="67" t="n">
        <f aca="false">INDEX(Monthly!$C$77:$AL$77,C$3*12)</f>
        <v>8907.8706945</v>
      </c>
      <c r="D10" s="67" t="n">
        <f aca="false">INDEX(Monthly!$C$77:$AL$77,D$3*12)</f>
        <v>9277.27328497503</v>
      </c>
    </row>
    <row r="11" customFormat="false" ht="15" hidden="false" customHeight="false" outlineLevel="0" collapsed="false">
      <c r="A11" s="6" t="s">
        <v>95</v>
      </c>
      <c r="B11" s="67" t="n">
        <f aca="false">INDEX(Monthly!$C$72:$AL$72,B$3*12)</f>
        <v>492350.933012242</v>
      </c>
      <c r="C11" s="67" t="n">
        <f aca="false">INDEX(Monthly!$C$72:$AL$72,C$3*12)</f>
        <v>484148.914353464</v>
      </c>
      <c r="D11" s="67" t="n">
        <f aca="false">INDEX(Monthly!$C$72:$AL$72,D$3*12)</f>
        <v>475353.971102659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INDEX(Monthly!$C$104:$AL$104,B$3*12)</f>
        <v>500904.937734464</v>
      </c>
      <c r="C12" s="113" t="n">
        <f aca="false">INDEX(Monthly!$C$104:$AL$104,C$3*12)</f>
        <v>493056.785047964</v>
      </c>
      <c r="D12" s="113" t="n">
        <f aca="false">INDEX(Monthly!$C$104:$AL$104,D$3*12)</f>
        <v>484631.244387634</v>
      </c>
    </row>
    <row r="13" customFormat="false" ht="15" hidden="false" customHeight="false" outlineLevel="0" collapsed="false">
      <c r="A13" s="6" t="s">
        <v>97</v>
      </c>
      <c r="B13" s="67" t="n">
        <f aca="false">INDEX(Monthly!$C$101:$AL$101,B$3*12)</f>
        <v>430000</v>
      </c>
      <c r="C13" s="67" t="n">
        <f aca="false">INDEX(Monthly!$C$101:$AL$101,C$3*12)</f>
        <v>430000</v>
      </c>
      <c r="D13" s="67" t="n">
        <f aca="false">INDEX(Monthly!$C$101:$AL$101,D$3*12)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INDEX(Monthly!$C$102:$AL$102,B$3*12)</f>
        <v>-70506.8073546142</v>
      </c>
      <c r="C14" s="67" t="n">
        <f aca="false">INDEX(Monthly!$C$102:$AL$102,C$3*12)</f>
        <v>-52912.8944921927</v>
      </c>
      <c r="D14" s="67" t="n">
        <f aca="false">INDEX(Monthly!$C$102:$AL$102,D$3*12)</f>
        <v>-23068.1189647789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INDEX(Monthly!$C$105:$AL$105,B$3*12)</f>
        <v>359493.192645386</v>
      </c>
      <c r="C15" s="113" t="n">
        <f aca="false">INDEX(Monthly!$C$105:$AL$105,C$3*12)</f>
        <v>377087.105507807</v>
      </c>
      <c r="D15" s="113" t="n">
        <f aca="false">INDEX(Monthly!$C$105:$AL$105,D$3*12)</f>
        <v>406931.881035221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INDEX(Monthly!$C$106:$AL$106,B$3*12)</f>
        <v>860398.13037985</v>
      </c>
      <c r="C16" s="71" t="n">
        <f aca="false">INDEX(Monthly!$C$106:$AL$106,C$3*12)</f>
        <v>870143.890555772</v>
      </c>
      <c r="D16" s="71" t="n">
        <f aca="false">INDEX(Monthly!$C$106:$AL$106,D$3*12)</f>
        <v>891563.125422855</v>
      </c>
    </row>
    <row r="17" customFormat="false" ht="15" hidden="false" customHeight="false" outlineLevel="0" collapsed="false">
      <c r="A17" s="6" t="s">
        <v>340</v>
      </c>
      <c r="B17" s="67" t="n">
        <f aca="false">INDEX(Monthly!$C$107:$AL$107,B$3*12)</f>
        <v>0</v>
      </c>
      <c r="C17" s="67" t="n">
        <f aca="false">INDEX(Monthly!$C$107:$AL$107,C$3*12)</f>
        <v>0</v>
      </c>
      <c r="D17" s="67" t="n">
        <f aca="false">INDEX(Monthly!$C$107:$AL$107,D$3*12)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244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381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</row>
    <row r="9" customFormat="false" ht="15" hidden="false" customHeight="false" outlineLevel="0" collapsed="false">
      <c r="A9" s="39" t="s">
        <v>382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</row>
    <row r="10" customFormat="false" ht="15" hidden="false" customHeight="false" outlineLevel="0" collapsed="false">
      <c r="A10" s="6" t="s">
        <v>383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</row>
    <row r="11" customFormat="false" ht="15" hidden="false" customHeight="false" outlineLevel="0" collapsed="false">
      <c r="A11" s="6" t="s">
        <v>384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</row>
    <row r="12" customFormat="false" ht="15" hidden="false" customHeight="false" outlineLevel="0" collapsed="false">
      <c r="A12" s="39" t="s">
        <v>385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</row>
    <row r="13" customFormat="false" ht="15" hidden="false" customHeight="false" outlineLevel="0" collapsed="false">
      <c r="A13" s="4" t="s">
        <v>232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</row>
    <row r="14" customFormat="false" ht="15" hidden="false" customHeight="false" outlineLevel="0" collapsed="false">
      <c r="A14" s="6" t="s">
        <v>386</v>
      </c>
      <c r="C14" s="116" t="n">
        <f aca="false">C13/MAX(1,Inputs!$E$14)</f>
        <v>31.4133333333333</v>
      </c>
      <c r="D14" s="116" t="n">
        <f aca="false">D13/MAX(1,Inputs!$E$14)</f>
        <v>36.1253333333333</v>
      </c>
      <c r="E14" s="116" t="n">
        <f aca="false">E13/MAX(1,Inputs!$E$14)</f>
        <v>40.8373333333333</v>
      </c>
      <c r="F14" s="116" t="n">
        <f aca="false">F13/MAX(1,Inputs!$E$14)</f>
        <v>45.5493333333333</v>
      </c>
      <c r="G14" s="116" t="n">
        <f aca="false">G13/MAX(1,Inputs!$E$14)</f>
        <v>50.2613333333333</v>
      </c>
      <c r="H14" s="116" t="n">
        <f aca="false">H13/MAX(1,Inputs!$E$14)</f>
        <v>74.9636363636364</v>
      </c>
      <c r="I14" s="116" t="n">
        <f aca="false">I13/MAX(1,Inputs!$E$14)</f>
        <v>81.3890909090909</v>
      </c>
      <c r="J14" s="116" t="n">
        <f aca="false">J13/MAX(1,Inputs!$E$14)</f>
        <v>87.8145454545455</v>
      </c>
      <c r="K14" s="116" t="n">
        <f aca="false">K13/MAX(1,Inputs!$E$14)</f>
        <v>69.1093333333333</v>
      </c>
      <c r="L14" s="116" t="n">
        <f aca="false">L13/MAX(1,Inputs!$E$14)</f>
        <v>73.8213333333333</v>
      </c>
      <c r="M14" s="116" t="n">
        <f aca="false">M13/MAX(1,Inputs!$E$14)</f>
        <v>78.5333333333333</v>
      </c>
      <c r="N14" s="116" t="n">
        <f aca="false">N13/MAX(1,Inputs!$E$14)</f>
        <v>78.5333333333333</v>
      </c>
      <c r="O14" s="116" t="n">
        <f aca="false">O13/MAX(1,Inputs!$E$14)</f>
        <v>80.104</v>
      </c>
      <c r="P14" s="116" t="n">
        <f aca="false">P13/MAX(1,Inputs!$E$14)</f>
        <v>80.104</v>
      </c>
      <c r="Q14" s="116" t="n">
        <f aca="false">Q13/MAX(1,Inputs!$E$14)</f>
        <v>80.104</v>
      </c>
      <c r="R14" s="116" t="n">
        <f aca="false">R13/MAX(1,Inputs!$E$14)</f>
        <v>80.104</v>
      </c>
      <c r="S14" s="116" t="n">
        <f aca="false">S13/MAX(1,Inputs!$E$14)</f>
        <v>80.104</v>
      </c>
      <c r="T14" s="116" t="n">
        <f aca="false">T13/MAX(1,Inputs!$E$14)</f>
        <v>109.232727272727</v>
      </c>
      <c r="U14" s="116" t="n">
        <f aca="false">U13/MAX(1,Inputs!$E$14)</f>
        <v>109.232727272727</v>
      </c>
      <c r="V14" s="116" t="n">
        <f aca="false">V13/MAX(1,Inputs!$E$14)</f>
        <v>109.232727272727</v>
      </c>
      <c r="W14" s="116" t="n">
        <f aca="false">W13/MAX(1,Inputs!$E$14)</f>
        <v>80.104</v>
      </c>
      <c r="X14" s="116" t="n">
        <f aca="false">X13/MAX(1,Inputs!$E$14)</f>
        <v>80.104</v>
      </c>
      <c r="Y14" s="116" t="n">
        <f aca="false">Y13/MAX(1,Inputs!$E$14)</f>
        <v>80.104</v>
      </c>
      <c r="Z14" s="116" t="n">
        <f aca="false">Z13/MAX(1,Inputs!$E$14)</f>
        <v>80.104</v>
      </c>
      <c r="AA14" s="116" t="n">
        <f aca="false">AA13/MAX(1,Inputs!$E$14)</f>
        <v>81.70608</v>
      </c>
      <c r="AB14" s="116" t="n">
        <f aca="false">AB13/MAX(1,Inputs!$E$14)</f>
        <v>81.70608</v>
      </c>
      <c r="AC14" s="116" t="n">
        <f aca="false">AC13/MAX(1,Inputs!$E$14)</f>
        <v>81.70608</v>
      </c>
      <c r="AD14" s="116" t="n">
        <f aca="false">AD13/MAX(1,Inputs!$E$14)</f>
        <v>81.70608</v>
      </c>
      <c r="AE14" s="116" t="n">
        <f aca="false">AE13/MAX(1,Inputs!$E$14)</f>
        <v>81.70608</v>
      </c>
      <c r="AF14" s="116" t="n">
        <f aca="false">AF13/MAX(1,Inputs!$E$14)</f>
        <v>111.417381818182</v>
      </c>
      <c r="AG14" s="116" t="n">
        <f aca="false">AG13/MAX(1,Inputs!$E$14)</f>
        <v>111.417381818182</v>
      </c>
      <c r="AH14" s="116" t="n">
        <f aca="false">AH13/MAX(1,Inputs!$E$14)</f>
        <v>111.417381818182</v>
      </c>
      <c r="AI14" s="116" t="n">
        <f aca="false">AI13/MAX(1,Inputs!$E$14)</f>
        <v>81.70608</v>
      </c>
      <c r="AJ14" s="116" t="n">
        <f aca="false">AJ13/MAX(1,Inputs!$E$14)</f>
        <v>81.70608</v>
      </c>
      <c r="AK14" s="116" t="n">
        <f aca="false">AK13/MAX(1,Inputs!$E$14)</f>
        <v>81.70608</v>
      </c>
      <c r="AL14" s="116" t="n">
        <f aca="false">AL13/MAX(1,Inputs!$E$14)</f>
        <v>81.70608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</row>
    <row r="18" customFormat="false" ht="15" hidden="false" customHeight="false" outlineLevel="0" collapsed="false">
      <c r="A18" s="6" t="s">
        <v>233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</row>
    <row r="19" customFormat="false" ht="15" hidden="false" customHeight="false" outlineLevel="0" collapsed="false">
      <c r="A19" s="6" t="s">
        <v>234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387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</row>
    <row r="24" customFormat="false" ht="15" hidden="false" customHeight="false" outlineLevel="0" collapsed="false">
      <c r="A24" s="6" t="s">
        <v>388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</row>
    <row r="25" customFormat="false" ht="15" hidden="false" customHeight="false" outlineLevel="0" collapsed="false">
      <c r="A25" s="6" t="s">
        <v>389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</row>
    <row r="26" customFormat="false" ht="15" hidden="false" customHeight="false" outlineLevel="0" collapsed="false">
      <c r="A26" s="6" t="s">
        <v>390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</row>
    <row r="27" customFormat="false" ht="15" hidden="false" customHeight="false" outlineLevel="0" collapsed="false">
      <c r="A27" s="6" t="s">
        <v>391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326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</row>
    <row r="33" customFormat="false" ht="15" hidden="false" customHeight="false" outlineLevel="0" collapsed="false">
      <c r="A33" s="6" t="s">
        <v>327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</row>
    <row r="34" customFormat="false" ht="15" hidden="false" customHeight="false" outlineLevel="0" collapsed="false">
      <c r="A34" s="6" t="s">
        <v>328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</row>
    <row r="35" customFormat="false" ht="15" hidden="false" customHeight="false" outlineLevel="0" collapsed="false">
      <c r="A35" s="6" t="s">
        <v>329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</row>
    <row r="36" customFormat="false" ht="15" hidden="false" customHeight="false" outlineLevel="0" collapsed="false">
      <c r="A36" s="6" t="s">
        <v>330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</row>
    <row r="37" customFormat="false" ht="15" hidden="false" customHeight="false" outlineLevel="0" collapsed="false">
      <c r="A37" s="6" t="s">
        <v>331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</row>
    <row r="38" customFormat="false" ht="15" hidden="false" customHeight="false" outlineLevel="0" collapsed="false">
      <c r="A38" s="6" t="s">
        <v>332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</row>
    <row r="39" customFormat="false" ht="15" hidden="false" customHeight="false" outlineLevel="0" collapsed="false">
      <c r="A39" s="6" t="s">
        <v>333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</row>
    <row r="40" customFormat="false" ht="15" hidden="false" customHeight="false" outlineLevel="0" collapsed="false">
      <c r="A40" s="6" t="s">
        <v>334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</row>
    <row r="44" customFormat="false" ht="15.75" hidden="false" customHeight="true" outlineLevel="0" collapsed="false">
      <c r="A44" s="7" t="s">
        <v>392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</row>
    <row r="46" customFormat="false" ht="15" hidden="false" customHeight="false" outlineLevel="0" collapsed="false">
      <c r="A46" s="6" t="s">
        <v>393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</row>
    <row r="48" customFormat="false" ht="15" hidden="false" customHeight="false" outlineLevel="0" collapsed="false">
      <c r="A48" s="114" t="s">
        <v>394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</row>
    <row r="49" customFormat="false" ht="15" hidden="false" customHeight="false" outlineLevel="0" collapsed="false">
      <c r="A49" s="114" t="s">
        <v>395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</row>
    <row r="53" customFormat="false" ht="15.75" hidden="false" customHeight="true" outlineLevel="0" collapsed="false">
      <c r="A53" s="7" t="s">
        <v>396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397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</row>
    <row r="55" customFormat="false" ht="15" hidden="false" customHeight="false" outlineLevel="0" collapsed="false">
      <c r="A55" s="6" t="s">
        <v>398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</row>
    <row r="56" customFormat="false" ht="15" hidden="false" customHeight="false" outlineLevel="0" collapsed="false">
      <c r="A56" s="6" t="s">
        <v>399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</row>
    <row r="57" customFormat="false" ht="15" hidden="false" customHeight="false" outlineLevel="0" collapsed="false">
      <c r="A57" s="6" t="s">
        <v>400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</row>
    <row r="58" customFormat="false" ht="15" hidden="false" customHeight="false" outlineLevel="0" collapsed="false">
      <c r="A58" s="6" t="s">
        <v>401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</row>
    <row r="60" customFormat="false" ht="15" hidden="false" customHeight="false" outlineLevel="0" collapsed="false">
      <c r="A60" s="6" t="s">
        <v>402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</row>
    <row r="61" customFormat="false" ht="15" hidden="false" customHeight="false" outlineLevel="0" collapsed="false">
      <c r="A61" s="6" t="s">
        <v>403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</row>
    <row r="63" customFormat="false" ht="15" hidden="false" customHeight="false" outlineLevel="0" collapsed="false">
      <c r="A63" s="6" t="s">
        <v>404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</row>
    <row r="66" customFormat="false" ht="15.75" hidden="false" customHeight="true" outlineLevel="0" collapsed="false">
      <c r="A66" s="7" t="s">
        <v>405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406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</row>
    <row r="69" customFormat="false" ht="15" hidden="false" customHeight="false" outlineLevel="0" collapsed="false">
      <c r="A69" s="6" t="s">
        <v>407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408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</row>
    <row r="71" customFormat="false" ht="15" hidden="false" customHeight="false" outlineLevel="0" collapsed="false">
      <c r="A71" s="6" t="s">
        <v>409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</row>
    <row r="72" customFormat="false" ht="15" hidden="false" customHeight="false" outlineLevel="0" collapsed="false">
      <c r="A72" s="4" t="s">
        <v>410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</row>
    <row r="74" customFormat="false" ht="15.75" hidden="false" customHeight="true" outlineLevel="0" collapsed="false">
      <c r="A74" s="7" t="s">
        <v>309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</row>
    <row r="78" customFormat="false" ht="15" hidden="false" customHeight="false" outlineLevel="0" collapsed="false">
      <c r="A78" s="6" t="s">
        <v>336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</row>
    <row r="79" customFormat="false" ht="15" hidden="false" customHeight="false" outlineLevel="0" collapsed="false">
      <c r="A79" s="6" t="s">
        <v>337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</row>
    <row r="80" customFormat="false" ht="15" hidden="false" customHeight="false" outlineLevel="0" collapsed="false">
      <c r="A80" s="6" t="s">
        <v>338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</row>
    <row r="82" customFormat="false" ht="15.75" hidden="false" customHeight="true" outlineLevel="0" collapsed="false">
      <c r="A82" s="7" t="s">
        <v>411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</row>
    <row r="84" customFormat="false" ht="15" hidden="false" customHeight="false" outlineLevel="0" collapsed="false">
      <c r="A84" s="6" t="s">
        <v>412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</row>
    <row r="87" customFormat="false" ht="15" hidden="false" customHeight="false" outlineLevel="0" collapsed="false">
      <c r="A87" s="111" t="s">
        <v>413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</row>
    <row r="88" customFormat="false" ht="15" hidden="false" customHeight="false" outlineLevel="0" collapsed="false">
      <c r="A88" s="6" t="s">
        <v>339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</row>
    <row r="90" customFormat="false" ht="15" hidden="false" customHeight="false" outlineLevel="0" collapsed="false">
      <c r="A90" s="114" t="s">
        <v>414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</row>
    <row r="92" customFormat="false" ht="15.75" hidden="false" customHeight="true" outlineLevel="0" collapsed="false">
      <c r="A92" s="7" t="s">
        <v>415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416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</row>
    <row r="94" customFormat="false" ht="15" hidden="false" customHeight="false" outlineLevel="0" collapsed="false">
      <c r="A94" s="6" t="s">
        <v>417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</row>
    <row r="95" customFormat="false" ht="15" hidden="false" customHeight="false" outlineLevel="0" collapsed="false">
      <c r="A95" s="6" t="s">
        <v>418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</row>
    <row r="96" customFormat="false" ht="15" hidden="false" customHeight="false" outlineLevel="0" collapsed="false">
      <c r="A96" s="114" t="s">
        <v>419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</row>
    <row r="97" customFormat="false" ht="15" hidden="false" customHeight="false" outlineLevel="0" collapsed="false">
      <c r="A97" s="114" t="s">
        <v>420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</row>
    <row r="98" customFormat="false" ht="15" hidden="false" customHeight="false" outlineLevel="0" collapsed="false">
      <c r="A98" s="6" t="s">
        <v>421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</row>
    <row r="100" customFormat="false" ht="15.75" hidden="false" customHeight="true" outlineLevel="0" collapsed="false">
      <c r="A100" s="7" t="s">
        <v>422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</row>
    <row r="107" customFormat="false" ht="15" hidden="false" customHeight="false" outlineLevel="0" collapsed="false">
      <c r="A107" s="6" t="s">
        <v>423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342</v>
      </c>
    </row>
    <row r="3" customFormat="false" ht="15" hidden="false" customHeight="false" outlineLevel="0" collapsed="false">
      <c r="A3" s="33" t="s">
        <v>343</v>
      </c>
      <c r="C3" s="35" t="s">
        <v>344</v>
      </c>
      <c r="D3" s="35" t="s">
        <v>345</v>
      </c>
      <c r="E3" s="35" t="s">
        <v>346</v>
      </c>
      <c r="F3" s="35" t="s">
        <v>347</v>
      </c>
      <c r="G3" s="35" t="s">
        <v>348</v>
      </c>
      <c r="H3" s="35" t="s">
        <v>349</v>
      </c>
      <c r="I3" s="35" t="s">
        <v>350</v>
      </c>
      <c r="J3" s="35" t="s">
        <v>351</v>
      </c>
      <c r="K3" s="35" t="s">
        <v>352</v>
      </c>
      <c r="L3" s="35" t="s">
        <v>353</v>
      </c>
      <c r="M3" s="35" t="s">
        <v>354</v>
      </c>
      <c r="N3" s="35" t="s">
        <v>355</v>
      </c>
      <c r="O3" s="35" t="s">
        <v>356</v>
      </c>
      <c r="P3" s="35" t="s">
        <v>357</v>
      </c>
      <c r="Q3" s="35" t="s">
        <v>358</v>
      </c>
      <c r="R3" s="35" t="s">
        <v>359</v>
      </c>
      <c r="S3" s="35" t="s">
        <v>360</v>
      </c>
      <c r="T3" s="35" t="s">
        <v>361</v>
      </c>
      <c r="U3" s="35" t="s">
        <v>362</v>
      </c>
      <c r="V3" s="35" t="s">
        <v>363</v>
      </c>
      <c r="W3" s="35" t="s">
        <v>364</v>
      </c>
      <c r="X3" s="35" t="s">
        <v>365</v>
      </c>
      <c r="Y3" s="35" t="s">
        <v>366</v>
      </c>
      <c r="Z3" s="35" t="s">
        <v>367</v>
      </c>
      <c r="AA3" s="35" t="s">
        <v>368</v>
      </c>
      <c r="AB3" s="35" t="s">
        <v>369</v>
      </c>
      <c r="AC3" s="35" t="s">
        <v>370</v>
      </c>
      <c r="AD3" s="35" t="s">
        <v>371</v>
      </c>
      <c r="AE3" s="35" t="s">
        <v>372</v>
      </c>
      <c r="AF3" s="35" t="s">
        <v>373</v>
      </c>
      <c r="AG3" s="35" t="s">
        <v>374</v>
      </c>
      <c r="AH3" s="35" t="s">
        <v>375</v>
      </c>
      <c r="AI3" s="35" t="s">
        <v>376</v>
      </c>
      <c r="AJ3" s="35" t="s">
        <v>377</v>
      </c>
      <c r="AK3" s="35" t="s">
        <v>378</v>
      </c>
      <c r="AL3" s="35" t="s">
        <v>379</v>
      </c>
    </row>
    <row r="4" customFormat="false" ht="15" hidden="false" customHeight="false" outlineLevel="0" collapsed="false">
      <c r="A4" s="72" t="s">
        <v>380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</row>
    <row r="7" customFormat="false" ht="15.75" hidden="false" customHeight="true" outlineLevel="0" collapsed="false">
      <c r="A7" s="7" t="s">
        <v>425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426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</row>
    <row r="9" customFormat="false" ht="15" hidden="false" customHeight="false" outlineLevel="0" collapsed="false">
      <c r="A9" s="6" t="s">
        <v>427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</row>
    <row r="10" customFormat="false" ht="15" hidden="false" customHeight="false" outlineLevel="0" collapsed="false">
      <c r="A10" s="6" t="s">
        <v>428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</row>
    <row r="11" customFormat="false" ht="15" hidden="false" customHeight="false" outlineLevel="0" collapsed="false">
      <c r="A11" s="111" t="s">
        <v>429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</row>
    <row r="13" customFormat="false" ht="15.75" hidden="false" customHeight="true" outlineLevel="0" collapsed="false">
      <c r="A13" s="7" t="s">
        <v>430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431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</row>
    <row r="15" customFormat="false" ht="15" hidden="false" customHeight="false" outlineLevel="0" collapsed="false">
      <c r="A15" s="6" t="s">
        <v>432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</row>
    <row r="16" customFormat="false" ht="15" hidden="false" customHeight="false" outlineLevel="0" collapsed="false">
      <c r="A16" s="6" t="s">
        <v>433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</row>
    <row r="17" customFormat="false" ht="15" hidden="false" customHeight="false" outlineLevel="0" collapsed="false">
      <c r="A17" s="111" t="s">
        <v>434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436</v>
      </c>
    </row>
    <row r="4" customFormat="false" ht="15.75" hidden="false" customHeight="true" outlineLevel="0" collapsed="false">
      <c r="A4" s="7" t="s">
        <v>437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343</v>
      </c>
      <c r="C5" s="35" t="s">
        <v>344</v>
      </c>
      <c r="D5" s="35" t="s">
        <v>345</v>
      </c>
      <c r="E5" s="35" t="s">
        <v>346</v>
      </c>
      <c r="F5" s="35" t="s">
        <v>347</v>
      </c>
      <c r="G5" s="35" t="s">
        <v>348</v>
      </c>
      <c r="H5" s="35" t="s">
        <v>349</v>
      </c>
      <c r="I5" s="35" t="s">
        <v>350</v>
      </c>
      <c r="J5" s="35" t="s">
        <v>351</v>
      </c>
      <c r="K5" s="35" t="s">
        <v>352</v>
      </c>
      <c r="L5" s="35" t="s">
        <v>353</v>
      </c>
      <c r="M5" s="35" t="s">
        <v>354</v>
      </c>
      <c r="N5" s="35" t="s">
        <v>355</v>
      </c>
      <c r="O5" s="35" t="s">
        <v>356</v>
      </c>
      <c r="P5" s="35" t="s">
        <v>357</v>
      </c>
      <c r="Q5" s="35" t="s">
        <v>358</v>
      </c>
      <c r="R5" s="35" t="s">
        <v>359</v>
      </c>
      <c r="S5" s="35" t="s">
        <v>360</v>
      </c>
      <c r="T5" s="35" t="s">
        <v>361</v>
      </c>
      <c r="U5" s="35" t="s">
        <v>362</v>
      </c>
      <c r="V5" s="35" t="s">
        <v>363</v>
      </c>
      <c r="W5" s="35" t="s">
        <v>364</v>
      </c>
      <c r="X5" s="35" t="s">
        <v>365</v>
      </c>
      <c r="Y5" s="35" t="s">
        <v>366</v>
      </c>
      <c r="Z5" s="35" t="s">
        <v>367</v>
      </c>
      <c r="AA5" s="35" t="s">
        <v>368</v>
      </c>
      <c r="AB5" s="35" t="s">
        <v>369</v>
      </c>
      <c r="AC5" s="35" t="s">
        <v>370</v>
      </c>
      <c r="AD5" s="35" t="s">
        <v>371</v>
      </c>
      <c r="AE5" s="35" t="s">
        <v>372</v>
      </c>
      <c r="AF5" s="35" t="s">
        <v>373</v>
      </c>
      <c r="AG5" s="35" t="s">
        <v>374</v>
      </c>
      <c r="AH5" s="35" t="s">
        <v>375</v>
      </c>
      <c r="AI5" s="35" t="s">
        <v>376</v>
      </c>
      <c r="AJ5" s="35" t="s">
        <v>377</v>
      </c>
      <c r="AK5" s="35" t="s">
        <v>378</v>
      </c>
      <c r="AL5" s="35" t="s">
        <v>379</v>
      </c>
    </row>
    <row r="6" customFormat="false" ht="15" hidden="false" customHeight="false" outlineLevel="0" collapsed="false">
      <c r="A6" s="72" t="s">
        <v>380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</row>
    <row r="9" customFormat="false" ht="15.75" hidden="false" customHeight="true" outlineLevel="0" collapsed="false">
      <c r="A9" s="7" t="s">
        <v>244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381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</row>
    <row r="11" customFormat="false" ht="15" hidden="false" customHeight="false" outlineLevel="0" collapsed="false">
      <c r="A11" s="39" t="s">
        <v>382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</row>
    <row r="12" customFormat="false" ht="15" hidden="false" customHeight="false" outlineLevel="0" collapsed="false">
      <c r="A12" s="6" t="s">
        <v>383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</row>
    <row r="13" customFormat="false" ht="15" hidden="false" customHeight="false" outlineLevel="0" collapsed="false">
      <c r="A13" s="6" t="s">
        <v>384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</row>
    <row r="14" customFormat="false" ht="15" hidden="false" customHeight="false" outlineLevel="0" collapsed="false">
      <c r="A14" s="39" t="s">
        <v>385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</row>
    <row r="15" customFormat="false" ht="15" hidden="false" customHeight="false" outlineLevel="0" collapsed="false">
      <c r="A15" s="4" t="s">
        <v>232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</row>
    <row r="16" customFormat="false" ht="15" hidden="false" customHeight="false" outlineLevel="0" collapsed="false">
      <c r="A16" s="6" t="s">
        <v>386</v>
      </c>
      <c r="C16" s="116" t="n">
        <f aca="false">C15/MAX(1,Inputs!$B$14)</f>
        <v>23.2222222222222</v>
      </c>
      <c r="D16" s="116" t="n">
        <f aca="false">D15/MAX(1,Inputs!$B$14)</f>
        <v>27.0925925925926</v>
      </c>
      <c r="E16" s="116" t="n">
        <f aca="false">E15/MAX(1,Inputs!$B$14)</f>
        <v>30.962962962963</v>
      </c>
      <c r="F16" s="116" t="n">
        <f aca="false">F15/MAX(1,Inputs!$B$14)</f>
        <v>34.8333333333333</v>
      </c>
      <c r="G16" s="116" t="n">
        <f aca="false">G15/MAX(1,Inputs!$B$14)</f>
        <v>38.7037037037037</v>
      </c>
      <c r="H16" s="116" t="n">
        <f aca="false">H15/MAX(1,Inputs!$B$14)</f>
        <v>58.0555555555555</v>
      </c>
      <c r="I16" s="116" t="n">
        <f aca="false">I15/MAX(1,Inputs!$B$14)</f>
        <v>63.3333333333333</v>
      </c>
      <c r="J16" s="116" t="n">
        <f aca="false">J15/MAX(1,Inputs!$B$14)</f>
        <v>68.6111111111111</v>
      </c>
      <c r="K16" s="116" t="n">
        <f aca="false">K15/MAX(1,Inputs!$B$14)</f>
        <v>54.1851851851852</v>
      </c>
      <c r="L16" s="116" t="n">
        <f aca="false">L15/MAX(1,Inputs!$B$14)</f>
        <v>58.0555555555556</v>
      </c>
      <c r="M16" s="116" t="n">
        <f aca="false">M15/MAX(1,Inputs!$B$14)</f>
        <v>61.9259259259259</v>
      </c>
      <c r="N16" s="116" t="n">
        <f aca="false">N15/MAX(1,Inputs!$B$14)</f>
        <v>65.7962962962963</v>
      </c>
      <c r="O16" s="116" t="n">
        <f aca="false">O15/MAX(1,Inputs!$B$14)</f>
        <v>69.6666666666667</v>
      </c>
      <c r="P16" s="116" t="n">
        <f aca="false">P15/MAX(1,Inputs!$B$14)</f>
        <v>73.537037037037</v>
      </c>
      <c r="Q16" s="116" t="n">
        <f aca="false">Q15/MAX(1,Inputs!$B$14)</f>
        <v>77.4074074074074</v>
      </c>
      <c r="R16" s="116" t="n">
        <f aca="false">R15/MAX(1,Inputs!$B$14)</f>
        <v>77.4074074074074</v>
      </c>
      <c r="S16" s="116" t="n">
        <f aca="false">S15/MAX(1,Inputs!$B$14)</f>
        <v>77.4074074074074</v>
      </c>
      <c r="T16" s="116" t="n">
        <f aca="false">T15/MAX(1,Inputs!$B$14)</f>
        <v>105.555555555556</v>
      </c>
      <c r="U16" s="116" t="n">
        <f aca="false">U15/MAX(1,Inputs!$B$14)</f>
        <v>105.555555555556</v>
      </c>
      <c r="V16" s="116" t="n">
        <f aca="false">V15/MAX(1,Inputs!$B$14)</f>
        <v>105.555555555556</v>
      </c>
      <c r="W16" s="116" t="n">
        <f aca="false">W15/MAX(1,Inputs!$B$14)</f>
        <v>77.4074074074074</v>
      </c>
      <c r="X16" s="116" t="n">
        <f aca="false">X15/MAX(1,Inputs!$B$14)</f>
        <v>77.4074074074074</v>
      </c>
      <c r="Y16" s="116" t="n">
        <f aca="false">Y15/MAX(1,Inputs!$B$14)</f>
        <v>77.4074074074074</v>
      </c>
      <c r="Z16" s="116" t="n">
        <f aca="false">Z15/MAX(1,Inputs!$B$14)</f>
        <v>77.4074074074074</v>
      </c>
      <c r="AA16" s="116" t="n">
        <f aca="false">AA15/MAX(1,Inputs!$B$14)</f>
        <v>77.4074074074074</v>
      </c>
      <c r="AB16" s="116" t="n">
        <f aca="false">AB15/MAX(1,Inputs!$B$14)</f>
        <v>77.4074074074074</v>
      </c>
      <c r="AC16" s="116" t="n">
        <f aca="false">AC15/MAX(1,Inputs!$B$14)</f>
        <v>77.4074074074074</v>
      </c>
      <c r="AD16" s="116" t="n">
        <f aca="false">AD15/MAX(1,Inputs!$B$14)</f>
        <v>77.4074074074074</v>
      </c>
      <c r="AE16" s="116" t="n">
        <f aca="false">AE15/MAX(1,Inputs!$B$14)</f>
        <v>77.4074074074074</v>
      </c>
      <c r="AF16" s="116" t="n">
        <f aca="false">AF15/MAX(1,Inputs!$B$14)</f>
        <v>105.555555555556</v>
      </c>
      <c r="AG16" s="116" t="n">
        <f aca="false">AG15/MAX(1,Inputs!$B$14)</f>
        <v>105.555555555556</v>
      </c>
      <c r="AH16" s="116" t="n">
        <f aca="false">AH15/MAX(1,Inputs!$B$14)</f>
        <v>105.555555555556</v>
      </c>
      <c r="AI16" s="116" t="n">
        <f aca="false">AI15/MAX(1,Inputs!$B$14)</f>
        <v>77.4074074074074</v>
      </c>
      <c r="AJ16" s="116" t="n">
        <f aca="false">AJ15/MAX(1,Inputs!$B$14)</f>
        <v>77.4074074074074</v>
      </c>
      <c r="AK16" s="116" t="n">
        <f aca="false">AK15/MAX(1,Inputs!$B$14)</f>
        <v>77.4074074074074</v>
      </c>
      <c r="AL16" s="116" t="n">
        <f aca="false">AL15/MAX(1,Inputs!$B$14)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</row>
    <row r="20" customFormat="false" ht="15" hidden="false" customHeight="false" outlineLevel="0" collapsed="false">
      <c r="A20" s="6" t="s">
        <v>233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</row>
    <row r="21" customFormat="false" ht="15" hidden="false" customHeight="false" outlineLevel="0" collapsed="false">
      <c r="A21" s="6" t="s">
        <v>234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387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</row>
    <row r="26" customFormat="false" ht="15" hidden="false" customHeight="false" outlineLevel="0" collapsed="false">
      <c r="A26" s="6" t="s">
        <v>388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</row>
    <row r="27" customFormat="false" ht="15" hidden="false" customHeight="false" outlineLevel="0" collapsed="false">
      <c r="A27" s="6" t="s">
        <v>389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</row>
    <row r="28" customFormat="false" ht="15" hidden="false" customHeight="false" outlineLevel="0" collapsed="false">
      <c r="A28" s="6" t="s">
        <v>390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</row>
    <row r="29" customFormat="false" ht="15" hidden="false" customHeight="false" outlineLevel="0" collapsed="false">
      <c r="A29" s="6" t="s">
        <v>391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326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</row>
    <row r="35" customFormat="false" ht="15" hidden="false" customHeight="false" outlineLevel="0" collapsed="false">
      <c r="A35" s="6" t="s">
        <v>327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</row>
    <row r="36" customFormat="false" ht="15" hidden="false" customHeight="false" outlineLevel="0" collapsed="false">
      <c r="A36" s="6" t="s">
        <v>328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</row>
    <row r="37" customFormat="false" ht="15" hidden="false" customHeight="false" outlineLevel="0" collapsed="false">
      <c r="A37" s="6" t="s">
        <v>329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</row>
    <row r="38" customFormat="false" ht="15" hidden="false" customHeight="false" outlineLevel="0" collapsed="false">
      <c r="A38" s="6" t="s">
        <v>330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</row>
    <row r="39" customFormat="false" ht="15" hidden="false" customHeight="false" outlineLevel="0" collapsed="false">
      <c r="A39" s="6" t="s">
        <v>331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</row>
    <row r="40" customFormat="false" ht="15" hidden="false" customHeight="false" outlineLevel="0" collapsed="false">
      <c r="A40" s="6" t="s">
        <v>332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</row>
    <row r="41" customFormat="false" ht="15" hidden="false" customHeight="false" outlineLevel="0" collapsed="false">
      <c r="A41" s="6" t="s">
        <v>333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</row>
    <row r="42" customFormat="false" ht="15" hidden="false" customHeight="false" outlineLevel="0" collapsed="false">
      <c r="A42" s="6" t="s">
        <v>334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</row>
    <row r="46" customFormat="false" ht="15.75" hidden="false" customHeight="true" outlineLevel="0" collapsed="false">
      <c r="A46" s="7" t="s">
        <v>392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</row>
    <row r="48" customFormat="false" ht="15" hidden="false" customHeight="false" outlineLevel="0" collapsed="false">
      <c r="A48" s="6" t="s">
        <v>393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</row>
    <row r="50" customFormat="false" ht="15" hidden="false" customHeight="false" outlineLevel="0" collapsed="false">
      <c r="A50" s="114" t="s">
        <v>394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</row>
    <row r="51" customFormat="false" ht="15" hidden="false" customHeight="false" outlineLevel="0" collapsed="false">
      <c r="A51" s="114" t="s">
        <v>395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</row>
    <row r="55" customFormat="false" ht="15.75" hidden="false" customHeight="true" outlineLevel="0" collapsed="false">
      <c r="A55" s="7" t="s">
        <v>396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397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</row>
    <row r="57" customFormat="false" ht="15" hidden="false" customHeight="false" outlineLevel="0" collapsed="false">
      <c r="A57" s="6" t="s">
        <v>398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</row>
    <row r="58" customFormat="false" ht="15" hidden="false" customHeight="false" outlineLevel="0" collapsed="false">
      <c r="A58" s="6" t="s">
        <v>399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</row>
    <row r="59" customFormat="false" ht="15" hidden="false" customHeight="false" outlineLevel="0" collapsed="false">
      <c r="A59" s="6" t="s">
        <v>400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</row>
    <row r="60" customFormat="false" ht="15" hidden="false" customHeight="false" outlineLevel="0" collapsed="false">
      <c r="A60" s="6" t="s">
        <v>401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</row>
    <row r="62" customFormat="false" ht="15" hidden="false" customHeight="false" outlineLevel="0" collapsed="false">
      <c r="A62" s="6" t="s">
        <v>402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</row>
    <row r="63" customFormat="false" ht="15" hidden="false" customHeight="false" outlineLevel="0" collapsed="false">
      <c r="A63" s="6" t="s">
        <v>403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</row>
    <row r="65" customFormat="false" ht="15" hidden="false" customHeight="false" outlineLevel="0" collapsed="false">
      <c r="A65" s="6" t="s">
        <v>404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</row>
    <row r="68" customFormat="false" ht="15.75" hidden="false" customHeight="true" outlineLevel="0" collapsed="false">
      <c r="A68" s="7" t="s">
        <v>405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406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</row>
    <row r="71" customFormat="false" ht="15" hidden="false" customHeight="false" outlineLevel="0" collapsed="false">
      <c r="A71" s="6" t="s">
        <v>407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408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</row>
    <row r="73" customFormat="false" ht="15" hidden="false" customHeight="false" outlineLevel="0" collapsed="false">
      <c r="A73" s="6" t="s">
        <v>409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</row>
    <row r="74" customFormat="false" ht="15" hidden="false" customHeight="false" outlineLevel="0" collapsed="false">
      <c r="A74" s="4" t="s">
        <v>410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</row>
    <row r="76" customFormat="false" ht="15.75" hidden="false" customHeight="true" outlineLevel="0" collapsed="false">
      <c r="A76" s="7" t="s">
        <v>309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</row>
    <row r="80" customFormat="false" ht="15" hidden="false" customHeight="false" outlineLevel="0" collapsed="false">
      <c r="A80" s="6" t="s">
        <v>336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</row>
    <row r="81" customFormat="false" ht="15" hidden="false" customHeight="false" outlineLevel="0" collapsed="false">
      <c r="A81" s="6" t="s">
        <v>337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</row>
    <row r="82" customFormat="false" ht="15" hidden="false" customHeight="false" outlineLevel="0" collapsed="false">
      <c r="A82" s="6" t="s">
        <v>338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</row>
    <row r="84" customFormat="false" ht="15.75" hidden="false" customHeight="true" outlineLevel="0" collapsed="false">
      <c r="A84" s="7" t="s">
        <v>411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</row>
    <row r="86" customFormat="false" ht="15" hidden="false" customHeight="false" outlineLevel="0" collapsed="false">
      <c r="A86" s="6" t="s">
        <v>412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</row>
    <row r="89" customFormat="false" ht="15" hidden="false" customHeight="false" outlineLevel="0" collapsed="false">
      <c r="A89" s="111" t="s">
        <v>413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</row>
    <row r="90" customFormat="false" ht="15" hidden="false" customHeight="false" outlineLevel="0" collapsed="false">
      <c r="A90" s="6" t="s">
        <v>339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</row>
    <row r="92" customFormat="false" ht="15" hidden="false" customHeight="false" outlineLevel="0" collapsed="false">
      <c r="A92" s="114" t="s">
        <v>414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</row>
    <row r="94" customFormat="false" ht="15.75" hidden="false" customHeight="true" outlineLevel="0" collapsed="false">
      <c r="A94" s="7" t="s">
        <v>415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416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</row>
    <row r="96" customFormat="false" ht="15" hidden="false" customHeight="false" outlineLevel="0" collapsed="false">
      <c r="A96" s="6" t="s">
        <v>417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</row>
    <row r="97" customFormat="false" ht="15" hidden="false" customHeight="false" outlineLevel="0" collapsed="false">
      <c r="A97" s="6" t="s">
        <v>418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</row>
    <row r="98" customFormat="false" ht="15" hidden="false" customHeight="false" outlineLevel="0" collapsed="false">
      <c r="A98" s="114" t="s">
        <v>419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</row>
    <row r="99" customFormat="false" ht="15" hidden="false" customHeight="false" outlineLevel="0" collapsed="false">
      <c r="A99" s="114" t="s">
        <v>420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</row>
    <row r="100" customFormat="false" ht="15" hidden="false" customHeight="false" outlineLevel="0" collapsed="false">
      <c r="A100" s="6" t="s">
        <v>421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</row>
    <row r="102" customFormat="false" ht="15.75" hidden="false" customHeight="true" outlineLevel="0" collapsed="false">
      <c r="A102" s="7" t="s">
        <v>422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</row>
    <row r="109" customFormat="false" ht="15" hidden="false" customHeight="false" outlineLevel="0" collapsed="false">
      <c r="A109" s="6" t="s">
        <v>423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</row>
    <row r="111" customFormat="false" ht="15.75" hidden="false" customHeight="true" outlineLevel="0" collapsed="false">
      <c r="A111" s="7" t="s">
        <v>425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426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</row>
    <row r="113" customFormat="false" ht="15" hidden="false" customHeight="false" outlineLevel="0" collapsed="false">
      <c r="A113" s="6" t="s">
        <v>427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</row>
    <row r="114" customFormat="false" ht="15" hidden="false" customHeight="false" outlineLevel="0" collapsed="false">
      <c r="A114" s="6" t="s">
        <v>428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</row>
    <row r="115" customFormat="false" ht="15" hidden="false" customHeight="false" outlineLevel="0" collapsed="false">
      <c r="A115" s="111" t="s">
        <v>429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</row>
    <row r="117" customFormat="false" ht="15.75" hidden="false" customHeight="true" outlineLevel="0" collapsed="false">
      <c r="A117" s="7" t="s">
        <v>430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431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</row>
    <row r="119" customFormat="false" ht="15" hidden="false" customHeight="false" outlineLevel="0" collapsed="false">
      <c r="A119" s="6" t="s">
        <v>432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</row>
    <row r="120" customFormat="false" ht="15" hidden="false" customHeight="false" outlineLevel="0" collapsed="false">
      <c r="A120" s="6" t="s">
        <v>433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</row>
    <row r="121" customFormat="false" ht="15" hidden="false" customHeight="false" outlineLevel="0" collapsed="false">
      <c r="A121" s="111" t="s">
        <v>434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</row>
    <row r="124" customFormat="false" ht="15.75" hidden="false" customHeight="true" outlineLevel="0" collapsed="false">
      <c r="A124" s="7" t="s">
        <v>438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343</v>
      </c>
      <c r="C125" s="35" t="s">
        <v>344</v>
      </c>
      <c r="D125" s="35" t="s">
        <v>345</v>
      </c>
      <c r="E125" s="35" t="s">
        <v>346</v>
      </c>
      <c r="F125" s="35" t="s">
        <v>347</v>
      </c>
      <c r="G125" s="35" t="s">
        <v>348</v>
      </c>
      <c r="H125" s="35" t="s">
        <v>349</v>
      </c>
      <c r="I125" s="35" t="s">
        <v>350</v>
      </c>
      <c r="J125" s="35" t="s">
        <v>351</v>
      </c>
      <c r="K125" s="35" t="s">
        <v>352</v>
      </c>
      <c r="L125" s="35" t="s">
        <v>353</v>
      </c>
      <c r="M125" s="35" t="s">
        <v>354</v>
      </c>
      <c r="N125" s="35" t="s">
        <v>355</v>
      </c>
      <c r="O125" s="35" t="s">
        <v>356</v>
      </c>
      <c r="P125" s="35" t="s">
        <v>357</v>
      </c>
      <c r="Q125" s="35" t="s">
        <v>358</v>
      </c>
      <c r="R125" s="35" t="s">
        <v>359</v>
      </c>
      <c r="S125" s="35" t="s">
        <v>360</v>
      </c>
      <c r="T125" s="35" t="s">
        <v>361</v>
      </c>
      <c r="U125" s="35" t="s">
        <v>362</v>
      </c>
      <c r="V125" s="35" t="s">
        <v>363</v>
      </c>
      <c r="W125" s="35" t="s">
        <v>364</v>
      </c>
      <c r="X125" s="35" t="s">
        <v>365</v>
      </c>
      <c r="Y125" s="35" t="s">
        <v>366</v>
      </c>
      <c r="Z125" s="35" t="s">
        <v>367</v>
      </c>
      <c r="AA125" s="35" t="s">
        <v>368</v>
      </c>
      <c r="AB125" s="35" t="s">
        <v>369</v>
      </c>
      <c r="AC125" s="35" t="s">
        <v>370</v>
      </c>
      <c r="AD125" s="35" t="s">
        <v>371</v>
      </c>
      <c r="AE125" s="35" t="s">
        <v>372</v>
      </c>
      <c r="AF125" s="35" t="s">
        <v>373</v>
      </c>
      <c r="AG125" s="35" t="s">
        <v>374</v>
      </c>
      <c r="AH125" s="35" t="s">
        <v>375</v>
      </c>
      <c r="AI125" s="35" t="s">
        <v>376</v>
      </c>
      <c r="AJ125" s="35" t="s">
        <v>377</v>
      </c>
      <c r="AK125" s="35" t="s">
        <v>378</v>
      </c>
      <c r="AL125" s="35" t="s">
        <v>379</v>
      </c>
    </row>
    <row r="126" customFormat="false" ht="15" hidden="false" customHeight="false" outlineLevel="0" collapsed="false">
      <c r="A126" s="72" t="s">
        <v>380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</row>
    <row r="129" customFormat="false" ht="15.75" hidden="false" customHeight="true" outlineLevel="0" collapsed="false">
      <c r="A129" s="7" t="s">
        <v>244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381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</row>
    <row r="131" customFormat="false" ht="15" hidden="false" customHeight="false" outlineLevel="0" collapsed="false">
      <c r="A131" s="39" t="s">
        <v>382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</row>
    <row r="132" customFormat="false" ht="15" hidden="false" customHeight="false" outlineLevel="0" collapsed="false">
      <c r="A132" s="6" t="s">
        <v>383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</row>
    <row r="133" customFormat="false" ht="15" hidden="false" customHeight="false" outlineLevel="0" collapsed="false">
      <c r="A133" s="6" t="s">
        <v>384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</row>
    <row r="134" customFormat="false" ht="15" hidden="false" customHeight="false" outlineLevel="0" collapsed="false">
      <c r="A134" s="39" t="s">
        <v>385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</row>
    <row r="135" customFormat="false" ht="15" hidden="false" customHeight="false" outlineLevel="0" collapsed="false">
      <c r="A135" s="4" t="s">
        <v>232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</row>
    <row r="136" customFormat="false" ht="15" hidden="false" customHeight="false" outlineLevel="0" collapsed="false">
      <c r="A136" s="6" t="s">
        <v>386</v>
      </c>
      <c r="C136" s="116" t="n">
        <f aca="false">C135/MAX(1,Inputs!$C$14)</f>
        <v>31.4133333333333</v>
      </c>
      <c r="D136" s="116" t="n">
        <f aca="false">D135/MAX(1,Inputs!$C$14)</f>
        <v>36.1253333333333</v>
      </c>
      <c r="E136" s="116" t="n">
        <f aca="false">E135/MAX(1,Inputs!$C$14)</f>
        <v>40.8373333333333</v>
      </c>
      <c r="F136" s="116" t="n">
        <f aca="false">F135/MAX(1,Inputs!$C$14)</f>
        <v>45.5493333333333</v>
      </c>
      <c r="G136" s="116" t="n">
        <f aca="false">G135/MAX(1,Inputs!$C$14)</f>
        <v>50.2613333333333</v>
      </c>
      <c r="H136" s="116" t="n">
        <f aca="false">H135/MAX(1,Inputs!$C$14)</f>
        <v>74.9636363636364</v>
      </c>
      <c r="I136" s="116" t="n">
        <f aca="false">I135/MAX(1,Inputs!$C$14)</f>
        <v>81.3890909090909</v>
      </c>
      <c r="J136" s="116" t="n">
        <f aca="false">J135/MAX(1,Inputs!$C$14)</f>
        <v>87.8145454545455</v>
      </c>
      <c r="K136" s="116" t="n">
        <f aca="false">K135/MAX(1,Inputs!$C$14)</f>
        <v>69.1093333333333</v>
      </c>
      <c r="L136" s="116" t="n">
        <f aca="false">L135/MAX(1,Inputs!$C$14)</f>
        <v>73.8213333333333</v>
      </c>
      <c r="M136" s="116" t="n">
        <f aca="false">M135/MAX(1,Inputs!$C$14)</f>
        <v>78.5333333333333</v>
      </c>
      <c r="N136" s="116" t="n">
        <f aca="false">N135/MAX(1,Inputs!$C$14)</f>
        <v>78.5333333333333</v>
      </c>
      <c r="O136" s="116" t="n">
        <f aca="false">O135/MAX(1,Inputs!$C$14)</f>
        <v>80.104</v>
      </c>
      <c r="P136" s="116" t="n">
        <f aca="false">P135/MAX(1,Inputs!$C$14)</f>
        <v>80.104</v>
      </c>
      <c r="Q136" s="116" t="n">
        <f aca="false">Q135/MAX(1,Inputs!$C$14)</f>
        <v>80.104</v>
      </c>
      <c r="R136" s="116" t="n">
        <f aca="false">R135/MAX(1,Inputs!$C$14)</f>
        <v>80.104</v>
      </c>
      <c r="S136" s="116" t="n">
        <f aca="false">S135/MAX(1,Inputs!$C$14)</f>
        <v>80.104</v>
      </c>
      <c r="T136" s="116" t="n">
        <f aca="false">T135/MAX(1,Inputs!$C$14)</f>
        <v>109.232727272727</v>
      </c>
      <c r="U136" s="116" t="n">
        <f aca="false">U135/MAX(1,Inputs!$C$14)</f>
        <v>109.232727272727</v>
      </c>
      <c r="V136" s="116" t="n">
        <f aca="false">V135/MAX(1,Inputs!$C$14)</f>
        <v>109.232727272727</v>
      </c>
      <c r="W136" s="116" t="n">
        <f aca="false">W135/MAX(1,Inputs!$C$14)</f>
        <v>80.104</v>
      </c>
      <c r="X136" s="116" t="n">
        <f aca="false">X135/MAX(1,Inputs!$C$14)</f>
        <v>80.104</v>
      </c>
      <c r="Y136" s="116" t="n">
        <f aca="false">Y135/MAX(1,Inputs!$C$14)</f>
        <v>80.104</v>
      </c>
      <c r="Z136" s="116" t="n">
        <f aca="false">Z135/MAX(1,Inputs!$C$14)</f>
        <v>80.104</v>
      </c>
      <c r="AA136" s="116" t="n">
        <f aca="false">AA135/MAX(1,Inputs!$C$14)</f>
        <v>81.70608</v>
      </c>
      <c r="AB136" s="116" t="n">
        <f aca="false">AB135/MAX(1,Inputs!$C$14)</f>
        <v>81.70608</v>
      </c>
      <c r="AC136" s="116" t="n">
        <f aca="false">AC135/MAX(1,Inputs!$C$14)</f>
        <v>81.70608</v>
      </c>
      <c r="AD136" s="116" t="n">
        <f aca="false">AD135/MAX(1,Inputs!$C$14)</f>
        <v>81.70608</v>
      </c>
      <c r="AE136" s="116" t="n">
        <f aca="false">AE135/MAX(1,Inputs!$C$14)</f>
        <v>81.70608</v>
      </c>
      <c r="AF136" s="116" t="n">
        <f aca="false">AF135/MAX(1,Inputs!$C$14)</f>
        <v>111.417381818182</v>
      </c>
      <c r="AG136" s="116" t="n">
        <f aca="false">AG135/MAX(1,Inputs!$C$14)</f>
        <v>111.417381818182</v>
      </c>
      <c r="AH136" s="116" t="n">
        <f aca="false">AH135/MAX(1,Inputs!$C$14)</f>
        <v>111.417381818182</v>
      </c>
      <c r="AI136" s="116" t="n">
        <f aca="false">AI135/MAX(1,Inputs!$C$14)</f>
        <v>81.70608</v>
      </c>
      <c r="AJ136" s="116" t="n">
        <f aca="false">AJ135/MAX(1,Inputs!$C$14)</f>
        <v>81.70608</v>
      </c>
      <c r="AK136" s="116" t="n">
        <f aca="false">AK135/MAX(1,Inputs!$C$14)</f>
        <v>81.70608</v>
      </c>
      <c r="AL136" s="116" t="n">
        <f aca="false">AL135/MAX(1,Inputs!$C$14)</f>
        <v>81.70608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</row>
    <row r="140" customFormat="false" ht="15" hidden="false" customHeight="false" outlineLevel="0" collapsed="false">
      <c r="A140" s="6" t="s">
        <v>233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</row>
    <row r="141" customFormat="false" ht="15" hidden="false" customHeight="false" outlineLevel="0" collapsed="false">
      <c r="A141" s="6" t="s">
        <v>234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387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</row>
    <row r="146" customFormat="false" ht="15" hidden="false" customHeight="false" outlineLevel="0" collapsed="false">
      <c r="A146" s="6" t="s">
        <v>388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</row>
    <row r="147" customFormat="false" ht="15" hidden="false" customHeight="false" outlineLevel="0" collapsed="false">
      <c r="A147" s="6" t="s">
        <v>389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</row>
    <row r="148" customFormat="false" ht="15" hidden="false" customHeight="false" outlineLevel="0" collapsed="false">
      <c r="A148" s="6" t="s">
        <v>390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</row>
    <row r="149" customFormat="false" ht="15" hidden="false" customHeight="false" outlineLevel="0" collapsed="false">
      <c r="A149" s="6" t="s">
        <v>391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326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</row>
    <row r="155" customFormat="false" ht="15" hidden="false" customHeight="false" outlineLevel="0" collapsed="false">
      <c r="A155" s="6" t="s">
        <v>327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</row>
    <row r="156" customFormat="false" ht="15" hidden="false" customHeight="false" outlineLevel="0" collapsed="false">
      <c r="A156" s="6" t="s">
        <v>328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</row>
    <row r="157" customFormat="false" ht="15" hidden="false" customHeight="false" outlineLevel="0" collapsed="false">
      <c r="A157" s="6" t="s">
        <v>329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</row>
    <row r="158" customFormat="false" ht="15" hidden="false" customHeight="false" outlineLevel="0" collapsed="false">
      <c r="A158" s="6" t="s">
        <v>330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</row>
    <row r="159" customFormat="false" ht="15" hidden="false" customHeight="false" outlineLevel="0" collapsed="false">
      <c r="A159" s="6" t="s">
        <v>331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</row>
    <row r="160" customFormat="false" ht="15" hidden="false" customHeight="false" outlineLevel="0" collapsed="false">
      <c r="A160" s="6" t="s">
        <v>332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</row>
    <row r="161" customFormat="false" ht="15" hidden="false" customHeight="false" outlineLevel="0" collapsed="false">
      <c r="A161" s="6" t="s">
        <v>333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</row>
    <row r="162" customFormat="false" ht="15" hidden="false" customHeight="false" outlineLevel="0" collapsed="false">
      <c r="A162" s="6" t="s">
        <v>334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</row>
    <row r="166" customFormat="false" ht="15.75" hidden="false" customHeight="true" outlineLevel="0" collapsed="false">
      <c r="A166" s="7" t="s">
        <v>392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</row>
    <row r="168" customFormat="false" ht="15" hidden="false" customHeight="false" outlineLevel="0" collapsed="false">
      <c r="A168" s="6" t="s">
        <v>393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</row>
    <row r="170" customFormat="false" ht="15" hidden="false" customHeight="false" outlineLevel="0" collapsed="false">
      <c r="A170" s="114" t="s">
        <v>394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</row>
    <row r="171" customFormat="false" ht="15" hidden="false" customHeight="false" outlineLevel="0" collapsed="false">
      <c r="A171" s="114" t="s">
        <v>395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</row>
    <row r="175" customFormat="false" ht="15.75" hidden="false" customHeight="true" outlineLevel="0" collapsed="false">
      <c r="A175" s="7" t="s">
        <v>396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397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</row>
    <row r="177" customFormat="false" ht="15" hidden="false" customHeight="false" outlineLevel="0" collapsed="false">
      <c r="A177" s="6" t="s">
        <v>398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</row>
    <row r="178" customFormat="false" ht="15" hidden="false" customHeight="false" outlineLevel="0" collapsed="false">
      <c r="A178" s="6" t="s">
        <v>399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</row>
    <row r="179" customFormat="false" ht="15" hidden="false" customHeight="false" outlineLevel="0" collapsed="false">
      <c r="A179" s="6" t="s">
        <v>400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</row>
    <row r="180" customFormat="false" ht="15" hidden="false" customHeight="false" outlineLevel="0" collapsed="false">
      <c r="A180" s="6" t="s">
        <v>401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</row>
    <row r="182" customFormat="false" ht="15" hidden="false" customHeight="false" outlineLevel="0" collapsed="false">
      <c r="A182" s="6" t="s">
        <v>402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</row>
    <row r="183" customFormat="false" ht="15" hidden="false" customHeight="false" outlineLevel="0" collapsed="false">
      <c r="A183" s="6" t="s">
        <v>403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</row>
    <row r="185" customFormat="false" ht="15" hidden="false" customHeight="false" outlineLevel="0" collapsed="false">
      <c r="A185" s="6" t="s">
        <v>404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</row>
    <row r="188" customFormat="false" ht="15.75" hidden="false" customHeight="true" outlineLevel="0" collapsed="false">
      <c r="A188" s="7" t="s">
        <v>405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406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</row>
    <row r="191" customFormat="false" ht="15" hidden="false" customHeight="false" outlineLevel="0" collapsed="false">
      <c r="A191" s="6" t="s">
        <v>407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408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</row>
    <row r="193" customFormat="false" ht="15" hidden="false" customHeight="false" outlineLevel="0" collapsed="false">
      <c r="A193" s="6" t="s">
        <v>409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</row>
    <row r="194" customFormat="false" ht="15" hidden="false" customHeight="false" outlineLevel="0" collapsed="false">
      <c r="A194" s="4" t="s">
        <v>410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</row>
    <row r="196" customFormat="false" ht="15.75" hidden="false" customHeight="true" outlineLevel="0" collapsed="false">
      <c r="A196" s="7" t="s">
        <v>309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</row>
    <row r="200" customFormat="false" ht="15" hidden="false" customHeight="false" outlineLevel="0" collapsed="false">
      <c r="A200" s="6" t="s">
        <v>336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</row>
    <row r="201" customFormat="false" ht="15" hidden="false" customHeight="false" outlineLevel="0" collapsed="false">
      <c r="A201" s="6" t="s">
        <v>337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</row>
    <row r="202" customFormat="false" ht="15" hidden="false" customHeight="false" outlineLevel="0" collapsed="false">
      <c r="A202" s="6" t="s">
        <v>338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</row>
    <row r="204" customFormat="false" ht="15.75" hidden="false" customHeight="true" outlineLevel="0" collapsed="false">
      <c r="A204" s="7" t="s">
        <v>411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</row>
    <row r="206" customFormat="false" ht="15" hidden="false" customHeight="false" outlineLevel="0" collapsed="false">
      <c r="A206" s="6" t="s">
        <v>412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</row>
    <row r="209" customFormat="false" ht="15" hidden="false" customHeight="false" outlineLevel="0" collapsed="false">
      <c r="A209" s="111" t="s">
        <v>413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</row>
    <row r="210" customFormat="false" ht="15" hidden="false" customHeight="false" outlineLevel="0" collapsed="false">
      <c r="A210" s="6" t="s">
        <v>339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</row>
    <row r="212" customFormat="false" ht="15" hidden="false" customHeight="false" outlineLevel="0" collapsed="false">
      <c r="A212" s="114" t="s">
        <v>414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</row>
    <row r="214" customFormat="false" ht="15.75" hidden="false" customHeight="true" outlineLevel="0" collapsed="false">
      <c r="A214" s="7" t="s">
        <v>415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416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</row>
    <row r="216" customFormat="false" ht="15" hidden="false" customHeight="false" outlineLevel="0" collapsed="false">
      <c r="A216" s="6" t="s">
        <v>417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</row>
    <row r="217" customFormat="false" ht="15" hidden="false" customHeight="false" outlineLevel="0" collapsed="false">
      <c r="A217" s="6" t="s">
        <v>418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</row>
    <row r="218" customFormat="false" ht="15" hidden="false" customHeight="false" outlineLevel="0" collapsed="false">
      <c r="A218" s="114" t="s">
        <v>419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</row>
    <row r="219" customFormat="false" ht="15" hidden="false" customHeight="false" outlineLevel="0" collapsed="false">
      <c r="A219" s="114" t="s">
        <v>420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</row>
    <row r="220" customFormat="false" ht="15" hidden="false" customHeight="false" outlineLevel="0" collapsed="false">
      <c r="A220" s="6" t="s">
        <v>421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</row>
    <row r="222" customFormat="false" ht="15.75" hidden="false" customHeight="true" outlineLevel="0" collapsed="false">
      <c r="A222" s="7" t="s">
        <v>422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</row>
    <row r="229" customFormat="false" ht="15" hidden="false" customHeight="false" outlineLevel="0" collapsed="false">
      <c r="A229" s="6" t="s">
        <v>423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</row>
    <row r="231" customFormat="false" ht="15.75" hidden="false" customHeight="true" outlineLevel="0" collapsed="false">
      <c r="A231" s="7" t="s">
        <v>425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426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</row>
    <row r="233" customFormat="false" ht="15" hidden="false" customHeight="false" outlineLevel="0" collapsed="false">
      <c r="A233" s="6" t="s">
        <v>427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</row>
    <row r="234" customFormat="false" ht="15" hidden="false" customHeight="false" outlineLevel="0" collapsed="false">
      <c r="A234" s="6" t="s">
        <v>428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</row>
    <row r="235" customFormat="false" ht="15" hidden="false" customHeight="false" outlineLevel="0" collapsed="false">
      <c r="A235" s="111" t="s">
        <v>429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</row>
    <row r="237" customFormat="false" ht="15.75" hidden="false" customHeight="true" outlineLevel="0" collapsed="false">
      <c r="A237" s="7" t="s">
        <v>430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431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</row>
    <row r="239" customFormat="false" ht="15" hidden="false" customHeight="false" outlineLevel="0" collapsed="false">
      <c r="A239" s="6" t="s">
        <v>432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</row>
    <row r="240" customFormat="false" ht="15" hidden="false" customHeight="false" outlineLevel="0" collapsed="false">
      <c r="A240" s="6" t="s">
        <v>433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</row>
    <row r="241" customFormat="false" ht="15" hidden="false" customHeight="false" outlineLevel="0" collapsed="false">
      <c r="A241" s="111" t="s">
        <v>434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</row>
    <row r="244" customFormat="false" ht="15.75" hidden="false" customHeight="true" outlineLevel="0" collapsed="false">
      <c r="A244" s="7" t="s">
        <v>439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343</v>
      </c>
      <c r="C245" s="35" t="s">
        <v>344</v>
      </c>
      <c r="D245" s="35" t="s">
        <v>345</v>
      </c>
      <c r="E245" s="35" t="s">
        <v>346</v>
      </c>
      <c r="F245" s="35" t="s">
        <v>347</v>
      </c>
      <c r="G245" s="35" t="s">
        <v>348</v>
      </c>
      <c r="H245" s="35" t="s">
        <v>349</v>
      </c>
      <c r="I245" s="35" t="s">
        <v>350</v>
      </c>
      <c r="J245" s="35" t="s">
        <v>351</v>
      </c>
      <c r="K245" s="35" t="s">
        <v>352</v>
      </c>
      <c r="L245" s="35" t="s">
        <v>353</v>
      </c>
      <c r="M245" s="35" t="s">
        <v>354</v>
      </c>
      <c r="N245" s="35" t="s">
        <v>355</v>
      </c>
      <c r="O245" s="35" t="s">
        <v>356</v>
      </c>
      <c r="P245" s="35" t="s">
        <v>357</v>
      </c>
      <c r="Q245" s="35" t="s">
        <v>358</v>
      </c>
      <c r="R245" s="35" t="s">
        <v>359</v>
      </c>
      <c r="S245" s="35" t="s">
        <v>360</v>
      </c>
      <c r="T245" s="35" t="s">
        <v>361</v>
      </c>
      <c r="U245" s="35" t="s">
        <v>362</v>
      </c>
      <c r="V245" s="35" t="s">
        <v>363</v>
      </c>
      <c r="W245" s="35" t="s">
        <v>364</v>
      </c>
      <c r="X245" s="35" t="s">
        <v>365</v>
      </c>
      <c r="Y245" s="35" t="s">
        <v>366</v>
      </c>
      <c r="Z245" s="35" t="s">
        <v>367</v>
      </c>
      <c r="AA245" s="35" t="s">
        <v>368</v>
      </c>
      <c r="AB245" s="35" t="s">
        <v>369</v>
      </c>
      <c r="AC245" s="35" t="s">
        <v>370</v>
      </c>
      <c r="AD245" s="35" t="s">
        <v>371</v>
      </c>
      <c r="AE245" s="35" t="s">
        <v>372</v>
      </c>
      <c r="AF245" s="35" t="s">
        <v>373</v>
      </c>
      <c r="AG245" s="35" t="s">
        <v>374</v>
      </c>
      <c r="AH245" s="35" t="s">
        <v>375</v>
      </c>
      <c r="AI245" s="35" t="s">
        <v>376</v>
      </c>
      <c r="AJ245" s="35" t="s">
        <v>377</v>
      </c>
      <c r="AK245" s="35" t="s">
        <v>378</v>
      </c>
      <c r="AL245" s="35" t="s">
        <v>379</v>
      </c>
    </row>
    <row r="246" customFormat="false" ht="15" hidden="false" customHeight="false" outlineLevel="0" collapsed="false">
      <c r="A246" s="72" t="s">
        <v>380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</row>
    <row r="249" customFormat="false" ht="15.75" hidden="false" customHeight="true" outlineLevel="0" collapsed="false">
      <c r="A249" s="7" t="s">
        <v>244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381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</row>
    <row r="251" customFormat="false" ht="15" hidden="false" customHeight="false" outlineLevel="0" collapsed="false">
      <c r="A251" s="39" t="s">
        <v>382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</row>
    <row r="252" customFormat="false" ht="15" hidden="false" customHeight="false" outlineLevel="0" collapsed="false">
      <c r="A252" s="6" t="s">
        <v>383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</row>
    <row r="253" customFormat="false" ht="15" hidden="false" customHeight="false" outlineLevel="0" collapsed="false">
      <c r="A253" s="6" t="s">
        <v>384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</row>
    <row r="254" customFormat="false" ht="15" hidden="false" customHeight="false" outlineLevel="0" collapsed="false">
      <c r="A254" s="39" t="s">
        <v>385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</row>
    <row r="255" customFormat="false" ht="15" hidden="false" customHeight="false" outlineLevel="0" collapsed="false">
      <c r="A255" s="4" t="s">
        <v>232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</row>
    <row r="256" customFormat="false" ht="15" hidden="false" customHeight="false" outlineLevel="0" collapsed="false">
      <c r="A256" s="6" t="s">
        <v>386</v>
      </c>
      <c r="C256" s="116" t="n">
        <f aca="false">C255/MAX(1,Inputs!$D$14)</f>
        <v>37.5128205128205</v>
      </c>
      <c r="D256" s="116" t="n">
        <f aca="false">D255/MAX(1,Inputs!$D$14)</f>
        <v>42.2019230769231</v>
      </c>
      <c r="E256" s="116" t="n">
        <f aca="false">E255/MAX(1,Inputs!$D$14)</f>
        <v>46.8910256410256</v>
      </c>
      <c r="F256" s="116" t="n">
        <f aca="false">F255/MAX(1,Inputs!$D$14)</f>
        <v>51.5801282051282</v>
      </c>
      <c r="G256" s="116" t="n">
        <f aca="false">G255/MAX(1,Inputs!$D$14)</f>
        <v>56.2692307692308</v>
      </c>
      <c r="H256" s="116" t="n">
        <f aca="false">H255/MAX(1,Inputs!$D$14)</f>
        <v>83.125</v>
      </c>
      <c r="I256" s="116" t="n">
        <f aca="false">I255/MAX(1,Inputs!$D$14)</f>
        <v>89.5192307692308</v>
      </c>
      <c r="J256" s="116" t="n">
        <f aca="false">J255/MAX(1,Inputs!$D$14)</f>
        <v>95.9134615384615</v>
      </c>
      <c r="K256" s="116" t="n">
        <f aca="false">K255/MAX(1,Inputs!$D$14)</f>
        <v>75.025641025641</v>
      </c>
      <c r="L256" s="116" t="n">
        <f aca="false">L255/MAX(1,Inputs!$D$14)</f>
        <v>75.025641025641</v>
      </c>
      <c r="M256" s="116" t="n">
        <f aca="false">M255/MAX(1,Inputs!$D$14)</f>
        <v>75.025641025641</v>
      </c>
      <c r="N256" s="116" t="n">
        <f aca="false">N255/MAX(1,Inputs!$D$14)</f>
        <v>75.025641025641</v>
      </c>
      <c r="O256" s="116" t="n">
        <f aca="false">O255/MAX(1,Inputs!$D$14)</f>
        <v>77.2764102564102</v>
      </c>
      <c r="P256" s="116" t="n">
        <f aca="false">P255/MAX(1,Inputs!$D$14)</f>
        <v>77.2764102564102</v>
      </c>
      <c r="Q256" s="116" t="n">
        <f aca="false">Q255/MAX(1,Inputs!$D$14)</f>
        <v>77.2764102564102</v>
      </c>
      <c r="R256" s="116" t="n">
        <f aca="false">R255/MAX(1,Inputs!$D$14)</f>
        <v>77.2764102564102</v>
      </c>
      <c r="S256" s="116" t="n">
        <f aca="false">S255/MAX(1,Inputs!$D$14)</f>
        <v>77.2764102564102</v>
      </c>
      <c r="T256" s="116" t="n">
        <f aca="false">T255/MAX(1,Inputs!$D$14)</f>
        <v>105.376923076923</v>
      </c>
      <c r="U256" s="116" t="n">
        <f aca="false">U255/MAX(1,Inputs!$D$14)</f>
        <v>105.376923076923</v>
      </c>
      <c r="V256" s="116" t="n">
        <f aca="false">V255/MAX(1,Inputs!$D$14)</f>
        <v>105.376923076923</v>
      </c>
      <c r="W256" s="116" t="n">
        <f aca="false">W255/MAX(1,Inputs!$D$14)</f>
        <v>77.2764102564102</v>
      </c>
      <c r="X256" s="116" t="n">
        <f aca="false">X255/MAX(1,Inputs!$D$14)</f>
        <v>77.2764102564102</v>
      </c>
      <c r="Y256" s="116" t="n">
        <f aca="false">Y255/MAX(1,Inputs!$D$14)</f>
        <v>77.2764102564102</v>
      </c>
      <c r="Z256" s="116" t="n">
        <f aca="false">Z255/MAX(1,Inputs!$D$14)</f>
        <v>77.2764102564102</v>
      </c>
      <c r="AA256" s="116" t="n">
        <f aca="false">AA255/MAX(1,Inputs!$D$14)</f>
        <v>79.5947025641026</v>
      </c>
      <c r="AB256" s="116" t="n">
        <f aca="false">AB255/MAX(1,Inputs!$D$14)</f>
        <v>79.5947025641026</v>
      </c>
      <c r="AC256" s="116" t="n">
        <f aca="false">AC255/MAX(1,Inputs!$D$14)</f>
        <v>79.5947025641026</v>
      </c>
      <c r="AD256" s="116" t="n">
        <f aca="false">AD255/MAX(1,Inputs!$D$14)</f>
        <v>79.5947025641026</v>
      </c>
      <c r="AE256" s="116" t="n">
        <f aca="false">AE255/MAX(1,Inputs!$D$14)</f>
        <v>79.5947025641026</v>
      </c>
      <c r="AF256" s="116" t="n">
        <f aca="false">AF255/MAX(1,Inputs!$D$14)</f>
        <v>108.538230769231</v>
      </c>
      <c r="AG256" s="116" t="n">
        <f aca="false">AG255/MAX(1,Inputs!$D$14)</f>
        <v>108.538230769231</v>
      </c>
      <c r="AH256" s="116" t="n">
        <f aca="false">AH255/MAX(1,Inputs!$D$14)</f>
        <v>108.538230769231</v>
      </c>
      <c r="AI256" s="116" t="n">
        <f aca="false">AI255/MAX(1,Inputs!$D$14)</f>
        <v>79.5947025641026</v>
      </c>
      <c r="AJ256" s="116" t="n">
        <f aca="false">AJ255/MAX(1,Inputs!$D$14)</f>
        <v>79.5947025641026</v>
      </c>
      <c r="AK256" s="116" t="n">
        <f aca="false">AK255/MAX(1,Inputs!$D$14)</f>
        <v>79.5947025641026</v>
      </c>
      <c r="AL256" s="116" t="n">
        <f aca="false">AL255/MAX(1,Inputs!$D$14)</f>
        <v>79.5947025641026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</row>
    <row r="260" customFormat="false" ht="15" hidden="false" customHeight="false" outlineLevel="0" collapsed="false">
      <c r="A260" s="6" t="s">
        <v>233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</row>
    <row r="261" customFormat="false" ht="15" hidden="false" customHeight="false" outlineLevel="0" collapsed="false">
      <c r="A261" s="6" t="s">
        <v>234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387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</row>
    <row r="266" customFormat="false" ht="15" hidden="false" customHeight="false" outlineLevel="0" collapsed="false">
      <c r="A266" s="6" t="s">
        <v>388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</row>
    <row r="267" customFormat="false" ht="15" hidden="false" customHeight="false" outlineLevel="0" collapsed="false">
      <c r="A267" s="6" t="s">
        <v>389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</row>
    <row r="268" customFormat="false" ht="15" hidden="false" customHeight="false" outlineLevel="0" collapsed="false">
      <c r="A268" s="6" t="s">
        <v>390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</row>
    <row r="269" customFormat="false" ht="15" hidden="false" customHeight="false" outlineLevel="0" collapsed="false">
      <c r="A269" s="6" t="s">
        <v>391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326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</row>
    <row r="275" customFormat="false" ht="15" hidden="false" customHeight="false" outlineLevel="0" collapsed="false">
      <c r="A275" s="6" t="s">
        <v>327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</row>
    <row r="276" customFormat="false" ht="15" hidden="false" customHeight="false" outlineLevel="0" collapsed="false">
      <c r="A276" s="6" t="s">
        <v>328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</row>
    <row r="277" customFormat="false" ht="15" hidden="false" customHeight="false" outlineLevel="0" collapsed="false">
      <c r="A277" s="6" t="s">
        <v>329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</row>
    <row r="278" customFormat="false" ht="15" hidden="false" customHeight="false" outlineLevel="0" collapsed="false">
      <c r="A278" s="6" t="s">
        <v>330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</row>
    <row r="279" customFormat="false" ht="15" hidden="false" customHeight="false" outlineLevel="0" collapsed="false">
      <c r="A279" s="6" t="s">
        <v>331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</row>
    <row r="280" customFormat="false" ht="15" hidden="false" customHeight="false" outlineLevel="0" collapsed="false">
      <c r="A280" s="6" t="s">
        <v>332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</row>
    <row r="281" customFormat="false" ht="15" hidden="false" customHeight="false" outlineLevel="0" collapsed="false">
      <c r="A281" s="6" t="s">
        <v>333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</row>
    <row r="282" customFormat="false" ht="15" hidden="false" customHeight="false" outlineLevel="0" collapsed="false">
      <c r="A282" s="6" t="s">
        <v>334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</row>
    <row r="286" customFormat="false" ht="15.75" hidden="false" customHeight="true" outlineLevel="0" collapsed="false">
      <c r="A286" s="7" t="s">
        <v>392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</row>
    <row r="288" customFormat="false" ht="15" hidden="false" customHeight="false" outlineLevel="0" collapsed="false">
      <c r="A288" s="6" t="s">
        <v>393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</row>
    <row r="290" customFormat="false" ht="15" hidden="false" customHeight="false" outlineLevel="0" collapsed="false">
      <c r="A290" s="114" t="s">
        <v>394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</row>
    <row r="291" customFormat="false" ht="15" hidden="false" customHeight="false" outlineLevel="0" collapsed="false">
      <c r="A291" s="114" t="s">
        <v>395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</row>
    <row r="295" customFormat="false" ht="15.75" hidden="false" customHeight="true" outlineLevel="0" collapsed="false">
      <c r="A295" s="7" t="s">
        <v>396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397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</row>
    <row r="297" customFormat="false" ht="15" hidden="false" customHeight="false" outlineLevel="0" collapsed="false">
      <c r="A297" s="6" t="s">
        <v>398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</row>
    <row r="298" customFormat="false" ht="15" hidden="false" customHeight="false" outlineLevel="0" collapsed="false">
      <c r="A298" s="6" t="s">
        <v>399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</row>
    <row r="299" customFormat="false" ht="15" hidden="false" customHeight="false" outlineLevel="0" collapsed="false">
      <c r="A299" s="6" t="s">
        <v>400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</row>
    <row r="300" customFormat="false" ht="15" hidden="false" customHeight="false" outlineLevel="0" collapsed="false">
      <c r="A300" s="6" t="s">
        <v>401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</row>
    <row r="302" customFormat="false" ht="15" hidden="false" customHeight="false" outlineLevel="0" collapsed="false">
      <c r="A302" s="6" t="s">
        <v>402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</row>
    <row r="303" customFormat="false" ht="15" hidden="false" customHeight="false" outlineLevel="0" collapsed="false">
      <c r="A303" s="6" t="s">
        <v>403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</row>
    <row r="305" customFormat="false" ht="15" hidden="false" customHeight="false" outlineLevel="0" collapsed="false">
      <c r="A305" s="6" t="s">
        <v>404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</row>
    <row r="308" customFormat="false" ht="15.75" hidden="false" customHeight="true" outlineLevel="0" collapsed="false">
      <c r="A308" s="7" t="s">
        <v>405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406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</row>
    <row r="311" customFormat="false" ht="15" hidden="false" customHeight="false" outlineLevel="0" collapsed="false">
      <c r="A311" s="6" t="s">
        <v>407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408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</row>
    <row r="313" customFormat="false" ht="15" hidden="false" customHeight="false" outlineLevel="0" collapsed="false">
      <c r="A313" s="6" t="s">
        <v>409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</row>
    <row r="314" customFormat="false" ht="15" hidden="false" customHeight="false" outlineLevel="0" collapsed="false">
      <c r="A314" s="4" t="s">
        <v>410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</row>
    <row r="316" customFormat="false" ht="15.75" hidden="false" customHeight="true" outlineLevel="0" collapsed="false">
      <c r="A316" s="7" t="s">
        <v>309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</row>
    <row r="320" customFormat="false" ht="15" hidden="false" customHeight="false" outlineLevel="0" collapsed="false">
      <c r="A320" s="6" t="s">
        <v>336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</row>
    <row r="321" customFormat="false" ht="15" hidden="false" customHeight="false" outlineLevel="0" collapsed="false">
      <c r="A321" s="6" t="s">
        <v>337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</row>
    <row r="322" customFormat="false" ht="15" hidden="false" customHeight="false" outlineLevel="0" collapsed="false">
      <c r="A322" s="6" t="s">
        <v>338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</row>
    <row r="324" customFormat="false" ht="15.75" hidden="false" customHeight="true" outlineLevel="0" collapsed="false">
      <c r="A324" s="7" t="s">
        <v>411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</row>
    <row r="326" customFormat="false" ht="15" hidden="false" customHeight="false" outlineLevel="0" collapsed="false">
      <c r="A326" s="6" t="s">
        <v>412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</row>
    <row r="329" customFormat="false" ht="15" hidden="false" customHeight="false" outlineLevel="0" collapsed="false">
      <c r="A329" s="111" t="s">
        <v>413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</row>
    <row r="330" customFormat="false" ht="15" hidden="false" customHeight="false" outlineLevel="0" collapsed="false">
      <c r="A330" s="6" t="s">
        <v>339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</row>
    <row r="332" customFormat="false" ht="15" hidden="false" customHeight="false" outlineLevel="0" collapsed="false">
      <c r="A332" s="114" t="s">
        <v>414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</row>
    <row r="334" customFormat="false" ht="15.75" hidden="false" customHeight="true" outlineLevel="0" collapsed="false">
      <c r="A334" s="7" t="s">
        <v>415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416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</row>
    <row r="336" customFormat="false" ht="15" hidden="false" customHeight="false" outlineLevel="0" collapsed="false">
      <c r="A336" s="6" t="s">
        <v>417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</row>
    <row r="337" customFormat="false" ht="15" hidden="false" customHeight="false" outlineLevel="0" collapsed="false">
      <c r="A337" s="6" t="s">
        <v>418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</row>
    <row r="338" customFormat="false" ht="15" hidden="false" customHeight="false" outlineLevel="0" collapsed="false">
      <c r="A338" s="114" t="s">
        <v>419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</row>
    <row r="339" customFormat="false" ht="15" hidden="false" customHeight="false" outlineLevel="0" collapsed="false">
      <c r="A339" s="114" t="s">
        <v>420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</row>
    <row r="340" customFormat="false" ht="15" hidden="false" customHeight="false" outlineLevel="0" collapsed="false">
      <c r="A340" s="6" t="s">
        <v>421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</row>
    <row r="342" customFormat="false" ht="15.75" hidden="false" customHeight="true" outlineLevel="0" collapsed="false">
      <c r="A342" s="7" t="s">
        <v>422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</row>
    <row r="349" customFormat="false" ht="15" hidden="false" customHeight="false" outlineLevel="0" collapsed="false">
      <c r="A349" s="6" t="s">
        <v>423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</row>
    <row r="351" customFormat="false" ht="15.75" hidden="false" customHeight="true" outlineLevel="0" collapsed="false">
      <c r="A351" s="7" t="s">
        <v>425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426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</row>
    <row r="353" customFormat="false" ht="15" hidden="false" customHeight="false" outlineLevel="0" collapsed="false">
      <c r="A353" s="6" t="s">
        <v>427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</row>
    <row r="354" customFormat="false" ht="15" hidden="false" customHeight="false" outlineLevel="0" collapsed="false">
      <c r="A354" s="6" t="s">
        <v>428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</row>
    <row r="355" customFormat="false" ht="15" hidden="false" customHeight="false" outlineLevel="0" collapsed="false">
      <c r="A355" s="111" t="s">
        <v>429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</row>
    <row r="357" customFormat="false" ht="15.75" hidden="false" customHeight="true" outlineLevel="0" collapsed="false">
      <c r="A357" s="7" t="s">
        <v>430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431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</row>
    <row r="359" customFormat="false" ht="15" hidden="false" customHeight="false" outlineLevel="0" collapsed="false">
      <c r="A359" s="6" t="s">
        <v>432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</row>
    <row r="360" customFormat="false" ht="15" hidden="false" customHeight="false" outlineLevel="0" collapsed="false">
      <c r="A360" s="6" t="s">
        <v>433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</row>
    <row r="361" customFormat="false" ht="15" hidden="false" customHeight="false" outlineLevel="0" collapsed="false">
      <c r="A361" s="111" t="s">
        <v>434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440</v>
      </c>
    </row>
    <row r="3" customFormat="false" ht="15" hidden="false" customHeight="false" outlineLevel="0" collapsed="false">
      <c r="A3" s="33" t="s">
        <v>441</v>
      </c>
      <c r="B3" s="33" t="s">
        <v>442</v>
      </c>
      <c r="C3" s="33" t="s">
        <v>443</v>
      </c>
    </row>
    <row r="4" customFormat="false" ht="15" hidden="false" customHeight="false" outlineLevel="0" collapsed="false">
      <c r="A4" s="6" t="s">
        <v>444</v>
      </c>
      <c r="B4" s="4" t="str">
        <f aca="false">IF(ABS(SUM('P&amp;L'!$B$5:$D$5)-SUM(Monthly!$C$20:$AL$20))&lt;0.5,"PASS","FAIL")</f>
        <v>PASS</v>
      </c>
      <c r="C4" s="18" t="s">
        <v>445</v>
      </c>
    </row>
    <row r="5" customFormat="false" ht="15" hidden="false" customHeight="false" outlineLevel="0" collapsed="false">
      <c r="A5" s="6" t="s">
        <v>446</v>
      </c>
      <c r="B5" s="4" t="str">
        <f aca="false">IF(ABS(SUM('P&amp;L'!$B$26:$D$26)-SUM(Monthly!$C$51:$AL$51))&lt;0.5,"PASS","FAIL")</f>
        <v>PASS</v>
      </c>
      <c r="C5" s="18" t="s">
        <v>447</v>
      </c>
    </row>
    <row r="6" customFormat="false" ht="15" hidden="false" customHeight="false" outlineLevel="0" collapsed="false">
      <c r="A6" s="6" t="s">
        <v>448</v>
      </c>
      <c r="B6" s="4" t="str">
        <f aca="false">IF(ABS(SUM(Monthly!$C$42:$AL$42)-SUM(Monthly!$C$29:$AL$29)-SUM(Monthly!$C$41:$AL$41))&lt;0.5,"PASS","FAIL")</f>
        <v>PASS</v>
      </c>
      <c r="C6" s="18" t="s">
        <v>449</v>
      </c>
    </row>
    <row r="7" customFormat="false" ht="15" hidden="false" customHeight="false" outlineLevel="0" collapsed="false">
      <c r="A7" s="6" t="s">
        <v>450</v>
      </c>
      <c r="B7" s="4" t="str">
        <f aca="false">IF(ABS(INDEX(Monthly!$C$89:$AL$89,36)-SUM(Monthly!$C$87:$AL$87))&lt;0.5,"PASS","FAIL")</f>
        <v>PASS</v>
      </c>
      <c r="C7" s="18" t="s">
        <v>451</v>
      </c>
    </row>
    <row r="8" customFormat="false" ht="15" hidden="false" customHeight="false" outlineLevel="0" collapsed="false">
      <c r="A8" s="6" t="s">
        <v>452</v>
      </c>
      <c r="B8" s="4" t="str">
        <f aca="false">IF(AND(ISNUMBER(Dashboard!B4),Dashboard!B4&gt;=1,Dashboard!B4&lt;=3,INT(Dashboard!B4)=Dashboard!B4),"PASS","FAIL")</f>
        <v>PASS</v>
      </c>
      <c r="C8" s="18" t="s">
        <v>453</v>
      </c>
    </row>
    <row r="9" customFormat="false" ht="15" hidden="false" customHeight="false" outlineLevel="0" collapsed="false">
      <c r="A9" s="6" t="s">
        <v>454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455</v>
      </c>
    </row>
    <row r="10" customFormat="false" ht="15" hidden="false" customHeight="false" outlineLevel="0" collapsed="false">
      <c r="A10" s="6" t="s">
        <v>456</v>
      </c>
      <c r="B10" s="4" t="str">
        <f aca="false">IF(AND(MIN('P&amp;L'!$B$8:$D$8)&gt;=0,MAX('P&amp;L'!$B$8:$D$8)&lt;=1),"PASS","FAIL")</f>
        <v>PASS</v>
      </c>
      <c r="C10" s="18" t="s">
        <v>457</v>
      </c>
    </row>
    <row r="11" customFormat="false" ht="15" hidden="false" customHeight="false" outlineLevel="0" collapsed="false">
      <c r="A11" s="6" t="s">
        <v>458</v>
      </c>
      <c r="B11" s="4" t="str">
        <f aca="false">IF(MIN(Monthly!$C$72:$AL$72)&gt;=-0.5,"PASS","FAIL")</f>
        <v>PASS</v>
      </c>
      <c r="C11" s="18" t="s">
        <v>459</v>
      </c>
    </row>
    <row r="12" customFormat="false" ht="15" hidden="false" customHeight="false" outlineLevel="0" collapsed="false">
      <c r="A12" s="6" t="s">
        <v>460</v>
      </c>
      <c r="B12" s="4" t="str">
        <f aca="false">IF(ABS('Break-even'!B18-('Break-even'!B16-'Break-even'!B10))&lt;0.5,"PASS","FAIL")</f>
        <v>PASS</v>
      </c>
      <c r="C12" s="18" t="s">
        <v>461</v>
      </c>
    </row>
    <row r="13" customFormat="false" ht="15" hidden="false" customHeight="false" outlineLevel="0" collapsed="false">
      <c r="A13" s="6" t="s">
        <v>462</v>
      </c>
      <c r="B13" s="4" t="str">
        <f aca="false">IF(ABS(Valuation!B23-NPV(Valuation!B6,Valuation!$B$17:$D$17))&lt;0.5,"PASS","FAIL")</f>
        <v>PASS</v>
      </c>
      <c r="C13" s="18" t="s">
        <v>463</v>
      </c>
    </row>
    <row r="14" customFormat="false" ht="15" hidden="false" customHeight="false" outlineLevel="0" collapsed="false">
      <c r="A14" s="6" t="s">
        <v>464</v>
      </c>
      <c r="B14" s="4" t="str">
        <f aca="false">IF(Valuation!B6&gt;Valuation!B7,"PASS","FAIL")</f>
        <v>PASS</v>
      </c>
      <c r="C14" s="18" t="s">
        <v>465</v>
      </c>
    </row>
    <row r="15" customFormat="false" ht="15" hidden="false" customHeight="false" outlineLevel="0" collapsed="false">
      <c r="A15" s="6" t="s">
        <v>466</v>
      </c>
      <c r="B15" s="4" t="str">
        <f aca="false">IF(ABS(Valuation!D36-Valuation!B27)&lt;0.5,"PASS","FAIL")</f>
        <v>PASS</v>
      </c>
      <c r="C15" s="18" t="s">
        <v>467</v>
      </c>
    </row>
    <row r="16" customFormat="false" ht="15" hidden="false" customHeight="false" outlineLevel="0" collapsed="false">
      <c r="A16" s="6" t="s">
        <v>468</v>
      </c>
      <c r="B16" s="4" t="str">
        <f aca="false">IF(Valuation!$D$17&gt;0,"PASS","WARN")</f>
        <v>PASS</v>
      </c>
      <c r="C16" s="18" t="s">
        <v>469</v>
      </c>
    </row>
    <row r="17" customFormat="false" ht="15" hidden="false" customHeight="false" outlineLevel="0" collapsed="false">
      <c r="A17" s="6" t="s">
        <v>470</v>
      </c>
      <c r="B17" s="4" t="str">
        <f aca="false">IF(ABS('Sources &amp; Uses'!B21-'Sources &amp; Uses'!B28)&lt;0.5,"PASS","FAIL")</f>
        <v>PASS</v>
      </c>
      <c r="C17" s="18" t="s">
        <v>471</v>
      </c>
    </row>
    <row r="18" customFormat="false" ht="15" hidden="false" customHeight="false" outlineLevel="0" collapsed="false">
      <c r="A18" s="6" t="s">
        <v>472</v>
      </c>
      <c r="B18" s="4" t="str">
        <f aca="false">IF(SUMPRODUCT(--ISERROR(Monthly!$C$4:$AL$107))+SUMPRODUCT(--ISERROR(Headcount!$C$4:$AL$17))+SUMPRODUCT(--ISERROR('P&amp;L'!$B$3:$D$27))+SUMPRODUCT(--ISERROR('Cash Flow'!$B$3:$D$18))+SUMPRODUCT(--ISERROR('Balance Sheet'!$B$3:$D$17))+SUMPRODUCT(--ISERROR(KPIs!$B$27:$D$44))+SUMPRODUCT(--ISERROR('Break-even'!$B$26:$D$33))+SUMPRODUCT(--ISERROR(Valuation!$B$14:$D$19))+SUMPRODUCT(--ISERROR('Break-even'!$B$3:$D$35))+SUMPRODUCT(--ISERROR(Valuation!$A$3:$F$40))+SUMPRODUCT(--ISERROR('Sources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Uses'!$B$3:$C$30))+SUMPRODUCT(--ISERROR(Dashboard!$A$6:$W$44))+SUMPRODUCT(--ISERROR(Summary!$A$5:$S$52))+SUMPRODUCT(--ISERROR(KPIs!$A$4:$E$44))+SUMPRODUCT(--ISERROR('Scenario calc'!$C$6:$AL$121))+SUMPRODUCT(--ISERROR('Scenario calc'!$C$126:$AL$241))+SUMPRODUCT(--ISERROR('Scenario calc'!$C$246:$AL$361))+SUMPRODUCT(--ISERROR(Scenarios!$B$5:$E$50))=0,"PASS","FAIL")</f>
        <v>PASS</v>
      </c>
      <c r="C18" s="18" t="s">
        <v>473</v>
      </c>
    </row>
    <row r="19" customFormat="false" ht="15" hidden="false" customHeight="false" outlineLevel="0" collapsed="false">
      <c r="A19" s="6" t="s">
        <v>474</v>
      </c>
      <c r="B19" s="4" t="str">
        <f aca="false">IF(IFERROR(AND(SUMPRODUCT(--(ABS(Summary!$B$7:$D$7-'P&amp;L'!$B$5:$D$5)&gt;0.5))=0,SUMPRODUCT(--(ABS(Summary!$B$19:$D$19-'P&amp;L'!$B$26:$D$26)&gt;0.5))=0,SUMPRODUCT(--(ABS(Summary!$B$31:$D$31-'Cash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475</v>
      </c>
    </row>
    <row r="20" customFormat="false" ht="15" hidden="false" customHeight="false" outlineLevel="0" collapsed="false">
      <c r="A20" s="6" t="s">
        <v>476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477</v>
      </c>
    </row>
    <row r="21" customFormat="false" ht="15" hidden="false" customHeight="false" outlineLevel="0" collapsed="false">
      <c r="A21" s="6" t="s">
        <v>478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479</v>
      </c>
    </row>
    <row r="22" customFormat="false" ht="15" hidden="false" customHeight="false" outlineLevel="0" collapsed="false">
      <c r="A22" s="6" t="s">
        <v>480</v>
      </c>
      <c r="B22" s="4" t="str">
        <f aca="false">IF(SUMPRODUCT(--(ABS(Monthly!$C$107:$AL$107)&gt;0.5))=0,"PASS","FAIL")</f>
        <v>PASS</v>
      </c>
      <c r="C22" s="18" t="s">
        <v>481</v>
      </c>
    </row>
    <row r="23" customFormat="false" ht="15" hidden="false" customHeight="false" outlineLevel="0" collapsed="false">
      <c r="A23" s="6" t="s">
        <v>482</v>
      </c>
      <c r="B23" s="4" t="str">
        <f aca="false">IF(MIN(Monthly!$C$89:$AL$89)&gt;=0,"PASS","WARN")</f>
        <v>PASS</v>
      </c>
      <c r="C23" s="18" t="s">
        <v>483</v>
      </c>
    </row>
    <row r="25" customFormat="false" ht="15" hidden="false" customHeight="false" outlineLevel="0" collapsed="false">
      <c r="A25" s="70" t="s">
        <v>484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2026-10-22T12:07:45Z</dcterms:created>
  <dc:creator/>
  <dc:description/>
  <dc:language>en-US</dc:language>
  <cp:lastModifiedBy/>
  <dcterms:modified xsi:type="dcterms:W3CDTF">2026-10-22T12:07:46Z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