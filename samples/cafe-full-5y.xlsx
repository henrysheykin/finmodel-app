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<sst xmlns="http://schemas.openxmlformats.org/spreadsheetml/2006/main" count="1127" uniqueCount="444">
  <si>
    <t xml:space="preserve">Neighborhood Cafe — Financial Plan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</si>
  <si>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</si>
  <si>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</si>
  <si>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</si>
  <si>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</si>
  <si>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</si>
  <si>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</si>
  <si>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</si>
  <si>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</si>
  <si>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</si>
  <si>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</si>
  <si>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</si>
  <si>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</si>
  <si>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</si>
  <si>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</si>
  <si>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</si>
  <si>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</si>
  <si>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</si>
  <si>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</si>
  <si>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</si>
  <si>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</si>
  <si>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</si>
  <si>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</si>
  <si>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</si>
  <si>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</si>
  <si>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</si>
  <si>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</si>
  <si>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</si>
  <si>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</si>
  <si>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</si>
  <si>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</si>
  <si>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</si>
  <si>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</si>
  <si>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</si>
  <si>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</si>
  <si>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</si>
  <si>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</si>
  <si>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</si>
  <si>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</si>
  <si>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</si>
  <si>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</si>
  <si>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</si>
  <si>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</si>
  <si>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</si>
  <si>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</si>
  <si>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</si>
  <si>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</si>
  <si>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</si>
  <si>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</si>
  <si>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</si>
  <si>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</si>
  <si>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</si>
  <si>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</si>
  <si>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</si>
  <si>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</si>
  <si>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</si>
  <si>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</si>
  <si>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Cafe metrics</t>
  </si>
  <si>
    <t xml:space="preserve">Customers per day (year end)</t>
  </si>
  <si>
    <t xml:space="preserve">Average ticket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</si>
  <si>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</si>
  <si>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</si>
  <si>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</si>
  <si>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</si>
  <si>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</si>
  <si>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</si>
  <si>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</si>
  <si>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</si>
  <si>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</si>
  <si>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</si>
  <si>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</si>
  <si>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</si>
  <si>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</si>
  <si>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</si>
  <si>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Food &amp; beverage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</si>
  <si>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</si>
  <si>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</si>
  <si>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</si>
  <si>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</si>
  <si>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</si>
  <si>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</si>
  <si>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</si>
  <si>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</si>
  <si>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</si>
  <si>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</si>
  <si>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</si>
  <si>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</si>
  <si>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</si>
  <si>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</si>
  <si>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</si>
  <si>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</si>
  <si>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</si>
  <si>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</si>
  <si>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</si>
  <si>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</si>
  <si>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</si>
  <si>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</si>
  <si>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</si>
  <si>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</si>
  <si>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</si>
  <si>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</si>
  <si>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</si>
  <si>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</si>
  <si>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</si>
  <si>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</si>
  <si>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</si>
  <si>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</si>
  <si>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</si>
  <si>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($)</t>
  </si>
  <si>
    <t xml:space="preserve">Operating days per month (days)</t>
  </si>
  <si>
    <t xml:space="preserve">Food &amp; beverage cost, % of revenue (%)</t>
  </si>
  <si>
    <t xml:space="preserve">Rent per month ($)</t>
  </si>
  <si>
    <t xml:space="preserve">Start-up capex (fit-out, equipment)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</si>
  <si>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</si>
  <si>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</si>
  <si>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</si>
  <si>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</si>
  <si>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</si>
  <si>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</si>
  <si>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</si>
  <si>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</si>
  <si>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</si>
  <si>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</si>
  <si>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</si>
  <si>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</si>
  <si>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</si>
  <si>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</si>
  <si>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</si>
  <si>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</si>
  <si>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</si>
  <si>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</si>
  <si>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</si>
  <si>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</si>
  <si>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</si>
  <si>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</si>
  <si>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</si>
  <si>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</si>
  <si>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</si>
  <si>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</si>
  <si>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</si>
  <si>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</si>
  <si>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</si>
  <si>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</si>
  <si>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</si>
  <si>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</si>
  <si>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</si>
  <si>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</si>
  <si>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</si>
  <si>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</si>
  <si>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</si>
  <si>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</si>
  <si>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</si>
  <si>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</si>
  <si>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</si>
  <si>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</si>
  <si>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</si>
  <si>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</si>
  <si>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</si>
  <si>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</si>
  <si>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</si>
  <si>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</si>
  <si>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</si>
  <si>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</si>
  <si>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</si>
  <si>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</si>
  <si>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</si>
  <si>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</si>
  <si>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</si>
  <si>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</si>
  <si>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</si>
  <si>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</si>
  <si>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</si>
  <si>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</si>
  <si>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</si>
  <si>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</si>
  <si>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</si>
  <si>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</si>
  <si>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</si>
  <si>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</si>
  <si>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</si>
  <si>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</si>
  <si>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</si>
  <si>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</si>
  <si>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</si>
  <si>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</si>
  <si>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</si>
  <si>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</si>
  <si>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</si>
  <si>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</si>
  <si>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</si>
  <si>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</si>
  <si>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</si>
  <si>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</si>
  <si>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</si>
  <si>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</si>
  <si>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</si>
  <si>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</si>
  <si>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</si>
  <si>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</si>
  <si>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</si>
  <si>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</si>
  <si>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</si>
  <si>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</si>
  <si>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</si>
  <si>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</si>
  <si>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</si>
  <si>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</si>
  <si>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</si>
  <si>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</si>
  <si>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</si>
  <si>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</si>
  <si>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</si>
  <si>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</si>
  <si>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</si>
  <si>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Neighborhood Cafe — Financial Plan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</si>
  <si>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</si>
  <si>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</si>
  <si>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</si>
  <si>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</si>
  <si>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</si>
  <si>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</si>
  <si>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</si>
  <si>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</si>
  <si>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</si>
  <si>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</si>
  <si>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</si>
  <si>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</si>
  <si>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</si>
  <si>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</si>
  <si>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</si>
  <si>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Cafe metrics ($'000; per-unit rows in $)</t>
  </si>
  <si>
    <t xml:space="preserve">Average ticket (year end) ($)</t>
  </si>
  <si>
    <t xml:space="preserve">Inputs — Low / Base / High</t>
  </si>
  <si>
    <t xml:space="preserve">Illustrative assumptions for a demo — replace with your own numbers.</t>
  </si>
  <si>
    <t xml:space="preserve">Unit</t>
  </si>
  <si>
    <t xml:space="preserve">Source / comment</t>
  </si>
  <si>
    <t xml:space="preserve">Business drivers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</si>
  <si>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</si>
  <si>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</si>
  <si>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</si>
  <si>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</si>
  <si>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</si>
  <si>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</si>
  <si>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</si>
  <si>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</si>
  <si>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</si>
  <si>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</t>
  </si>
  <si>
    <t xml:space="preserve">$</t>
  </si>
  <si>
    <t xml:space="preserve">Price growth per year</t>
  </si>
  <si>
    <t xml:space="preserve">Operating days per month</t>
  </si>
  <si>
    <t xml:space="preserve">days</t>
  </si>
  <si>
    <t xml:space="preserve">Food &amp; beverage cost, % of revenue</t>
  </si>
  <si>
    <t xml:space="preserve">Rent per month</t>
  </si>
  <si>
    <t xml:space="preserve">Utilities &amp; other per month</t>
  </si>
  <si>
    <t xml:space="preserve">Start-up capex (fit-out, equipment)</t>
  </si>
  <si>
    <t xml:space="preserve">Headcount</t>
  </si>
  <si>
    <t xml:space="preserve">Cafe staff: headcount (FTE)</t>
  </si>
  <si>
    <t xml:space="preserve">FTE</t>
  </si>
  <si>
    <t xml:space="preserve">Cafe staff: salary per FTE per year</t>
  </si>
  <si>
    <t xml:space="preserve">Cafe staff: headcount growth per year</t>
  </si>
  <si>
    <t xml:space="preserve">Cafe staff: first month on payroll</t>
  </si>
  <si>
    <t xml:space="preserve">month #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</si>
  <si>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</si>
  <si>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</si>
  <si>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</si>
  <si>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</si>
  <si>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</si>
  <si>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</si>
  <si>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</si>
  <si>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</si>
  <si>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</si>
  <si>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</si>
  <si>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</si>
  <si>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</si>
  <si>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</si>
  <si>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</si>
  <si>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</si>
  <si>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</si>
  <si>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</si>
  <si>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</si>
  <si>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</si>
  <si>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</si>
  <si>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</si>
  <si>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</si>
  <si>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</si>
  <si>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</si>
  <si>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Rent</t>
  </si>
  <si>
    <t xml:space="preserve">Payroll</t>
  </si>
  <si>
    <t xml:space="preserve">Marketing</t>
  </si>
  <si>
    <t xml:space="preserve">Utilities &amp; other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</si>
  <si>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</si>
  <si>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</si>
  <si>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</si>
  <si>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</si>
  <si>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</si>
  <si>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</si>
  <si>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</si>
  <si>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</si>
  <si>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</si>
  <si>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</si>
  <si>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</si>
  <si>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</si>
  <si>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</si>
  <si>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</si>
  <si>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</si>
  <si>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</si>
  <si>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</si>
  <si>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</si>
  <si>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</si>
  <si>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</si>
  <si>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</si>
  <si>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</si>
  <si>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</si>
  <si>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</si>
  <si>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</si>
  <si>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</si>
  <si>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</si>
  <si>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</si>
  <si>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</si>
  <si>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</si>
  <si>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</si>
  <si>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</si>
  <si>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</si>
  <si>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</si>
  <si>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</si>
  <si>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</si>
  <si>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</si>
  <si>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</si>
  <si>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</si>
  <si>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</si>
  <si>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</si>
  <si>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</si>
  <si>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</si>
  <si>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</si>
  <si>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</si>
  <si>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</si>
  <si>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</si>
  <si>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</si>
  <si>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</si>
  <si>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</si>
  <si>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</si>
  <si>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</si>
  <si>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</si>
  <si>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</si>
  <si>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</si>
  <si>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</si>
  <si>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</si>
  <si>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</si>
  <si>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</si>
  <si>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</si>
  <si>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</si>
  <si>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</si>
  <si>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</si>
  <si>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</si>
  <si>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</si>
  <si>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</si>
  <si>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</si>
  <si>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</si>
  <si>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</si>
  <si>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</si>
  <si>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Revenue build</t>
  </si>
  <si>
    <t xml:space="preserve">Traffic ramp factor</t>
  </si>
  <si>
    <t xml:space="preserve">Customers per day</t>
  </si>
  <si>
    <t xml:space="preserve">Operating days in period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</si>
  <si>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</si>
  <si>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</si>
  <si>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</si>
  <si>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</si>
  <si>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</si>
  <si>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</si>
  <si>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</si>
  <si>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</si>
  <si>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</si>
  <si>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</si>
  <si>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</si>
  <si>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</si>
  <si>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</si>
  <si>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</si>
  <si>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</si>
  <si>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</si>
  <si>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</si>
  <si>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</si>
  <si>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</si>
  <si>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</si>
  <si>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</si>
  <si>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</si>
  <si>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</si>
  <si>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</si>
  <si>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</si>
  <si>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Cafe staff — FTE</t>
  </si>
  <si>
    <t xml:space="preserve">Total FTE</t>
  </si>
  <si>
    <t xml:space="preserve">Payroll cost (salary + taxes &amp; benefits)</t>
  </si>
  <si>
    <t xml:space="preserve">Cafe staff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</si>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</sst>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.0;\(#,##0.0\);\-"/>
    <numFmt numFmtId="176" formatCode="\$#,##0.00;&quot;($&quot;#,##0.00\);\-"/>
    <numFmt numFmtId="177" formatCode="&quot;Month &quot;0"/>
    <numFmt numFmtId="178" formatCode="\$#,##0.0,,\M"/>
    <numFmt numFmtId="179" formatCode="0%"/>
    <numFmt numFmtId="180" formatCode="#,##0.0"/>
    <numFmt numFmtId="181" formatCode="\$#,##0.00"/>
    <numFmt numFmtId="182" formatCode="\M0"/>
    <numFmt numFmtId="183" formatCode="\$#,##0,\K"/>
    <numFmt numFmtId="184" formatCode="#,##0;\(#,##0\);\-"/>
    <numFmt numFmtId="185" formatCode="\$#,##0.00;&quot;($&quot;#,##0.0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  <numFmt numFmtId="193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  <c:pt idx="3">
                  <c:v>487264.879532621</c:v>
                </c:pt>
                <c:pt idx="4">
                  <c:v>531995.795473716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  <c:pt idx="3">
                  <c:v>96777.8480208774</c:v>
                </c:pt>
                <c:pt idx="4">
                  <c:v>121293.483976778</c:v>
                </c:pt>
              </c:numCache>
            </c:numRef>
          </c:val>
        </c:ser>
        <c:gapWidth val="60"/>
        <c:overlap val="0"/>
        <c:axId val="99468941"/>
        <c:axId val="9337503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  <c:pt idx="3">
                  <c:v>0.19861445403926</c:v>
                </c:pt>
                <c:pt idx="4">
                  <c:v>0.227997072549741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588034"/>
        <c:axId val="87696963"/>
      </c:lineChart>
      <c:catAx>
        <c:axId val="994689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375036"/>
        <c:crosses val="autoZero"/>
        <c:auto val="1"/>
        <c:lblAlgn val="ctr"/>
        <c:lblOffset val="100"/>
        <c:noMultiLvlLbl val="0"/>
      </c:catAx>
      <c:valAx>
        <c:axId val="933750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468941"/>
        <c:crosses val="autoZero"/>
        <c:crossBetween val="between"/>
      </c:valAx>
      <c:catAx>
        <c:axId val="5658803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696963"/>
        <c:crosses val="autoZero"/>
        <c:auto val="1"/>
        <c:lblAlgn val="ctr"/>
        <c:lblOffset val="100"/>
        <c:noMultiLvlLbl val="0"/>
      </c:catAx>
      <c:valAx>
        <c:axId val="8769696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58803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-4307.82222222226</c:v>
                </c:pt>
                <c:pt idx="1">
                  <c:v>49852.4784533334</c:v>
                </c:pt>
                <c:pt idx="2">
                  <c:v>61223.6954946496</c:v>
                </c:pt>
                <c:pt idx="3">
                  <c:v>79688.7128894702</c:v>
                </c:pt>
                <c:pt idx="4">
                  <c:v>100070.503963715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205333.333333333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15992229"/>
        <c:axId val="60339721"/>
      </c:barChart>
      <c:catAx>
        <c:axId val="159922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339721"/>
        <c:crosses val="autoZero"/>
        <c:auto val="1"/>
        <c:lblAlgn val="ctr"/>
        <c:lblOffset val="100"/>
        <c:noMultiLvlLbl val="0"/>
      </c:catAx>
      <c:valAx>
        <c:axId val="603397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9922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  <c:pt idx="3">
                  <c:v>183790.397948564</c:v>
                </c:pt>
                <c:pt idx="4">
                  <c:v>267860.901912279</c:v>
                </c:pt>
              </c:numCache>
            </c:numRef>
          </c:val>
        </c:ser>
        <c:gapWidth val="60"/>
        <c:overlap val="0"/>
        <c:axId val="43297218"/>
        <c:axId val="43652015"/>
      </c:barChart>
      <c:catAx>
        <c:axId val="4329721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652015"/>
        <c:crosses val="autoZero"/>
        <c:auto val="1"/>
        <c:lblAlgn val="ctr"/>
        <c:lblOffset val="100"/>
        <c:noMultiLvlLbl val="0"/>
      </c:catAx>
      <c:valAx>
        <c:axId val="436520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2972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&amp;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#,##0.0;\(#,##0.0\);\-</c:formatCode>
                <c:ptCount val="5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  <c:pt idx="3">
                  <c:v>190.56256</c:v>
                </c:pt>
                <c:pt idx="4">
                  <c:v>201.9963136</c:v>
                </c:pt>
              </c:numCache>
            </c:numRef>
          </c:val>
        </c:ser>
        <c:gapWidth val="60"/>
        <c:overlap val="0"/>
        <c:axId val="47606976"/>
        <c:axId val="30032438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Average ticket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\$#,##0.00;"($"#,##0.00\);\-</c:formatCode>
                <c:ptCount val="5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  <c:pt idx="3">
                  <c:v>7.1027255</c:v>
                </c:pt>
                <c:pt idx="4">
                  <c:v>7.315807265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257009"/>
        <c:axId val="88216934"/>
      </c:lineChart>
      <c:catAx>
        <c:axId val="476069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032438"/>
        <c:crosses val="autoZero"/>
        <c:auto val="1"/>
        <c:lblAlgn val="ctr"/>
        <c:lblOffset val="100"/>
        <c:noMultiLvlLbl val="0"/>
      </c:catAx>
      <c:valAx>
        <c:axId val="300324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606976"/>
        <c:crosses val="autoZero"/>
        <c:crossBetween val="between"/>
      </c:valAx>
      <c:catAx>
        <c:axId val="7725700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216934"/>
        <c:crosses val="autoZero"/>
        <c:auto val="1"/>
        <c:lblAlgn val="ctr"/>
        <c:lblOffset val="100"/>
        <c:noMultiLvlLbl val="0"/>
      </c:catAx>
      <c:valAx>
        <c:axId val="88216934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25700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15600</c:v>
                </c:pt>
                <c:pt idx="1">
                  <c:v>18200</c:v>
                </c:pt>
                <c:pt idx="2">
                  <c:v>20800</c:v>
                </c:pt>
                <c:pt idx="3">
                  <c:v>23400</c:v>
                </c:pt>
                <c:pt idx="4">
                  <c:v>26000</c:v>
                </c:pt>
                <c:pt idx="5">
                  <c:v>28600</c:v>
                </c:pt>
                <c:pt idx="6">
                  <c:v>31200</c:v>
                </c:pt>
                <c:pt idx="7">
                  <c:v>31200</c:v>
                </c:pt>
                <c:pt idx="8">
                  <c:v>31200</c:v>
                </c:pt>
                <c:pt idx="9">
                  <c:v>31200</c:v>
                </c:pt>
                <c:pt idx="10">
                  <c:v>31200</c:v>
                </c:pt>
                <c:pt idx="11">
                  <c:v>31200</c:v>
                </c:pt>
              </c:numCache>
            </c:numRef>
          </c:val>
        </c:ser>
        <c:gapWidth val="60"/>
        <c:overlap val="0"/>
        <c:axId val="25194672"/>
        <c:axId val="8211477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-6969.33333333334</c:v>
                </c:pt>
                <c:pt idx="1">
                  <c:v>-5305.33333333333</c:v>
                </c:pt>
                <c:pt idx="2">
                  <c:v>-3641.33333333334</c:v>
                </c:pt>
                <c:pt idx="3">
                  <c:v>-1977.33333333334</c:v>
                </c:pt>
                <c:pt idx="4">
                  <c:v>-313.333333333339</c:v>
                </c:pt>
                <c:pt idx="5">
                  <c:v>1350.66666666666</c:v>
                </c:pt>
                <c:pt idx="6">
                  <c:v>3014.66666666666</c:v>
                </c:pt>
                <c:pt idx="7">
                  <c:v>3014.66666666666</c:v>
                </c:pt>
                <c:pt idx="8">
                  <c:v>3014.66666666666</c:v>
                </c:pt>
                <c:pt idx="9">
                  <c:v>3014.66666666666</c:v>
                </c:pt>
                <c:pt idx="10">
                  <c:v>3014.66666666666</c:v>
                </c:pt>
                <c:pt idx="11">
                  <c:v>3014.66666666666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-9407.42857142857</c:v>
                </c:pt>
                <c:pt idx="1">
                  <c:v>-7738.98412698413</c:v>
                </c:pt>
                <c:pt idx="2">
                  <c:v>-6066.09523809524</c:v>
                </c:pt>
                <c:pt idx="3">
                  <c:v>-4393.20634920635</c:v>
                </c:pt>
                <c:pt idx="4">
                  <c:v>-2720.31746031747</c:v>
                </c:pt>
                <c:pt idx="5">
                  <c:v>-1047.42857142857</c:v>
                </c:pt>
                <c:pt idx="6">
                  <c:v>625.460317460315</c:v>
                </c:pt>
                <c:pt idx="7">
                  <c:v>634.349206349204</c:v>
                </c:pt>
                <c:pt idx="8">
                  <c:v>643.238095238093</c:v>
                </c:pt>
                <c:pt idx="9">
                  <c:v>652.126984126981</c:v>
                </c:pt>
                <c:pt idx="10">
                  <c:v>661.01587301587</c:v>
                </c:pt>
                <c:pt idx="11">
                  <c:v>669.904761904759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194672"/>
        <c:axId val="82114779"/>
      </c:lineChart>
      <c:catAx>
        <c:axId val="2519467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114779"/>
        <c:crosses val="autoZero"/>
        <c:auto val="1"/>
        <c:lblAlgn val="ctr"/>
        <c:lblOffset val="100"/>
        <c:noMultiLvlLbl val="0"/>
      </c:catAx>
      <c:valAx>
        <c:axId val="821147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1946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-7341.46666666667</c:v>
                </c:pt>
                <c:pt idx="1">
                  <c:v>-5807.35555555556</c:v>
                </c:pt>
                <c:pt idx="2">
                  <c:v>-4134.46666666667</c:v>
                </c:pt>
                <c:pt idx="3">
                  <c:v>-2461.57777777778</c:v>
                </c:pt>
                <c:pt idx="4">
                  <c:v>-788.688888888894</c:v>
                </c:pt>
                <c:pt idx="5">
                  <c:v>884.199999999997</c:v>
                </c:pt>
                <c:pt idx="6">
                  <c:v>2557.08888888889</c:v>
                </c:pt>
                <c:pt idx="7">
                  <c:v>2539.11111111111</c:v>
                </c:pt>
                <c:pt idx="8">
                  <c:v>2548</c:v>
                </c:pt>
                <c:pt idx="9">
                  <c:v>2556.88888888889</c:v>
                </c:pt>
                <c:pt idx="10">
                  <c:v>2565.77777777778</c:v>
                </c:pt>
                <c:pt idx="11">
                  <c:v>2574.66666666666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42627487"/>
        <c:axId val="17106111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950753"/>
        <c:axId val="87479791"/>
      </c:lineChart>
      <c:catAx>
        <c:axId val="4262748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106111"/>
        <c:crosses val="autoZero"/>
        <c:auto val="1"/>
        <c:lblAlgn val="ctr"/>
        <c:lblOffset val="100"/>
        <c:noMultiLvlLbl val="0"/>
      </c:catAx>
      <c:valAx>
        <c:axId val="171061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627487"/>
        <c:crosses val="autoZero"/>
        <c:crossBetween val="between"/>
      </c:valAx>
      <c:catAx>
        <c:axId val="64950753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479791"/>
        <c:crosses val="autoZero"/>
        <c:auto val="1"/>
        <c:lblAlgn val="ctr"/>
        <c:lblOffset val="100"/>
        <c:noMultiLvlLbl val="0"/>
      </c:catAx>
      <c:valAx>
        <c:axId val="87479791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95075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1040</c:v>
                </c:pt>
                <c:pt idx="1">
                  <c:v>1213.33333333333</c:v>
                </c:pt>
                <c:pt idx="2">
                  <c:v>1386.66666666667</c:v>
                </c:pt>
                <c:pt idx="3">
                  <c:v>1560</c:v>
                </c:pt>
                <c:pt idx="4">
                  <c:v>1733.33333333333</c:v>
                </c:pt>
                <c:pt idx="5">
                  <c:v>1906.66666666667</c:v>
                </c:pt>
                <c:pt idx="6">
                  <c:v>2080</c:v>
                </c:pt>
                <c:pt idx="7">
                  <c:v>2080</c:v>
                </c:pt>
                <c:pt idx="8">
                  <c:v>2080</c:v>
                </c:pt>
                <c:pt idx="9">
                  <c:v>2080</c:v>
                </c:pt>
                <c:pt idx="10">
                  <c:v>2080</c:v>
                </c:pt>
                <c:pt idx="11">
                  <c:v>2080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158095.238095238</c:v>
                </c:pt>
                <c:pt idx="1">
                  <c:v>156190.476190476</c:v>
                </c:pt>
                <c:pt idx="2">
                  <c:v>154285.714285714</c:v>
                </c:pt>
                <c:pt idx="3">
                  <c:v>152380.952380952</c:v>
                </c:pt>
                <c:pt idx="4">
                  <c:v>150476.19047619</c:v>
                </c:pt>
                <c:pt idx="5">
                  <c:v>148571.428571429</c:v>
                </c:pt>
                <c:pt idx="6">
                  <c:v>146666.666666667</c:v>
                </c:pt>
                <c:pt idx="7">
                  <c:v>144761.904761905</c:v>
                </c:pt>
                <c:pt idx="8">
                  <c:v>142857.142857143</c:v>
                </c:pt>
                <c:pt idx="9">
                  <c:v>140952.380952381</c:v>
                </c:pt>
                <c:pt idx="10">
                  <c:v>139047.619047619</c:v>
                </c:pt>
                <c:pt idx="11">
                  <c:v>137142.857142857</c:v>
                </c:pt>
              </c:numCache>
            </c:numRef>
          </c:val>
        </c:ser>
        <c:gapWidth val="60"/>
        <c:overlap val="100"/>
        <c:axId val="91174503"/>
        <c:axId val="1847232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130592.571428571</c:v>
                </c:pt>
                <c:pt idx="1">
                  <c:v>122853.587301587</c:v>
                </c:pt>
                <c:pt idx="2">
                  <c:v>116787.492063492</c:v>
                </c:pt>
                <c:pt idx="3">
                  <c:v>112394.285714286</c:v>
                </c:pt>
                <c:pt idx="4">
                  <c:v>109673.968253968</c:v>
                </c:pt>
                <c:pt idx="5">
                  <c:v>108626.53968254</c:v>
                </c:pt>
                <c:pt idx="6">
                  <c:v>109252</c:v>
                </c:pt>
                <c:pt idx="7">
                  <c:v>109886.349206349</c:v>
                </c:pt>
                <c:pt idx="8">
                  <c:v>110529.587301587</c:v>
                </c:pt>
                <c:pt idx="9">
                  <c:v>111181.714285714</c:v>
                </c:pt>
                <c:pt idx="10">
                  <c:v>111842.73015873</c:v>
                </c:pt>
                <c:pt idx="11">
                  <c:v>112512.634920635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174503"/>
        <c:axId val="18472323"/>
      </c:lineChart>
      <c:catAx>
        <c:axId val="9117450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472323"/>
        <c:crosses val="autoZero"/>
        <c:auto val="1"/>
        <c:lblAlgn val="ctr"/>
        <c:lblOffset val="100"/>
        <c:noMultiLvlLbl val="0"/>
      </c:catAx>
      <c:valAx>
        <c:axId val="184723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1745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178200</c:v>
                </c:pt>
                <c:pt idx="1">
                  <c:v>249622.56</c:v>
                </c:pt>
                <c:pt idx="2">
                  <c:v>262253.461536</c:v>
                </c:pt>
                <c:pt idx="3">
                  <c:v>275523.486689722</c:v>
                </c:pt>
                <c:pt idx="4">
                  <c:v>289464.975116222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  <c:pt idx="3">
                  <c:v>487264.879532621</c:v>
                </c:pt>
                <c:pt idx="4">
                  <c:v>531995.795473716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519750</c:v>
                </c:pt>
                <c:pt idx="1">
                  <c:v>642751.2</c:v>
                </c:pt>
                <c:pt idx="2">
                  <c:v>728622.76032</c:v>
                </c:pt>
                <c:pt idx="3">
                  <c:v>825966.761098752</c:v>
                </c:pt>
                <c:pt idx="4">
                  <c:v>936315.920381546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83641"/>
        <c:axId val="86650681"/>
      </c:lineChart>
      <c:catAx>
        <c:axId val="33836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650681"/>
        <c:crosses val="autoZero"/>
        <c:auto val="1"/>
        <c:lblAlgn val="ctr"/>
        <c:lblOffset val="100"/>
        <c:noMultiLvlLbl val="0"/>
      </c:catAx>
      <c:valAx>
        <c:axId val="866506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836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-74280</c:v>
                </c:pt>
                <c:pt idx="1">
                  <c:v>-34450.464</c:v>
                </c:pt>
                <c:pt idx="2">
                  <c:v>-29986.6430784</c:v>
                </c:pt>
                <c:pt idx="3">
                  <c:v>-25232.7895861671</c:v>
                </c:pt>
                <c:pt idx="4">
                  <c:v>-20172.3029782671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  <c:pt idx="3">
                  <c:v>96777.8480208774</c:v>
                </c:pt>
                <c:pt idx="4">
                  <c:v>121293.483976778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117912.5</c:v>
                </c:pt>
                <c:pt idx="1">
                  <c:v>195753.704</c:v>
                </c:pt>
                <c:pt idx="2">
                  <c:v>248580.9614144</c:v>
                </c:pt>
                <c:pt idx="3">
                  <c:v>308953.553296164</c:v>
                </c:pt>
                <c:pt idx="4">
                  <c:v>377894.164716436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339156"/>
        <c:axId val="64320054"/>
      </c:lineChart>
      <c:catAx>
        <c:axId val="853391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320054"/>
        <c:crosses val="autoZero"/>
        <c:auto val="1"/>
        <c:lblAlgn val="ctr"/>
        <c:lblOffset val="100"/>
        <c:noMultiLvlLbl val="0"/>
      </c:catAx>
      <c:valAx>
        <c:axId val="643200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3391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-105856.507936508</c:v>
                </c:pt>
                <c:pt idx="1">
                  <c:v>-64751.4163809524</c:v>
                </c:pt>
                <c:pt idx="2">
                  <c:v>-59007.5954593524</c:v>
                </c:pt>
                <c:pt idx="3">
                  <c:v>-52973.7419671194</c:v>
                </c:pt>
                <c:pt idx="4">
                  <c:v>-46633.2553592195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-27487.3650793651</c:v>
                </c:pt>
                <c:pt idx="1">
                  <c:v>26965.7392761905</c:v>
                </c:pt>
                <c:pt idx="2">
                  <c:v>38334.2393753308</c:v>
                </c:pt>
                <c:pt idx="3">
                  <c:v>56796.2904126836</c:v>
                </c:pt>
                <c:pt idx="4">
                  <c:v>77174.842817845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71591.148015873</c:v>
                </c:pt>
                <c:pt idx="1">
                  <c:v>134093.388064762</c:v>
                </c:pt>
                <c:pt idx="2">
                  <c:v>176838.121422138</c:v>
                </c:pt>
                <c:pt idx="3">
                  <c:v>225543.669008731</c:v>
                </c:pt>
                <c:pt idx="4">
                  <c:v>281017.952030746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069298"/>
        <c:axId val="87229811"/>
      </c:lineChart>
      <c:catAx>
        <c:axId val="300692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229811"/>
        <c:crosses val="autoZero"/>
        <c:auto val="1"/>
        <c:lblAlgn val="ctr"/>
        <c:lblOffset val="100"/>
        <c:noMultiLvlLbl val="0"/>
      </c:catAx>
      <c:valAx>
        <c:axId val="872298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0692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-54465.6888888889</c:v>
                </c:pt>
                <c:pt idx="1">
                  <c:v>-109485.453635556</c:v>
                </c:pt>
                <c:pt idx="2">
                  <c:v>-158760.51874507</c:v>
                </c:pt>
                <c:pt idx="3">
                  <c:v>-202000.807183793</c:v>
                </c:pt>
                <c:pt idx="4">
                  <c:v>-238899.639123222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  <c:pt idx="3">
                  <c:v>183790.397948564</c:v>
                </c:pt>
                <c:pt idx="4">
                  <c:v>267860.901912279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148510.552777778</c:v>
                </c:pt>
                <c:pt idx="1">
                  <c:v>288053.554271111</c:v>
                </c:pt>
                <c:pt idx="2">
                  <c:v>470344.100333021</c:v>
                </c:pt>
                <c:pt idx="3">
                  <c:v>701343.38077054</c:v>
                </c:pt>
                <c:pt idx="4">
                  <c:v>987820.556774102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878343"/>
        <c:axId val="75918772"/>
      </c:lineChart>
      <c:catAx>
        <c:axId val="3887834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918772"/>
        <c:crosses val="autoZero"/>
        <c:auto val="1"/>
        <c:lblAlgn val="ctr"/>
        <c:lblOffset val="100"/>
        <c:noMultiLvlLbl val="0"/>
      </c:catAx>
      <c:valAx>
        <c:axId val="759187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87834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  <c:pt idx="3">
                  <c:v>487264.879532621</c:v>
                </c:pt>
                <c:pt idx="4">
                  <c:v>531995.795473716</c:v>
                </c:pt>
              </c:numCache>
            </c:numRef>
          </c:val>
        </c:ser>
        <c:gapWidth val="60"/>
        <c:overlap val="0"/>
        <c:axId val="17992980"/>
        <c:axId val="64010546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317961.194029851</c:v>
                </c:pt>
                <c:pt idx="1">
                  <c:v>327561.638208955</c:v>
                </c:pt>
                <c:pt idx="2">
                  <c:v>335027.083521911</c:v>
                </c:pt>
                <c:pt idx="3">
                  <c:v>342820.330247729</c:v>
                </c:pt>
                <c:pt idx="4">
                  <c:v>350960.744762107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992980"/>
        <c:axId val="64010546"/>
      </c:lineChart>
      <c:catAx>
        <c:axId val="179929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010546"/>
        <c:crosses val="autoZero"/>
        <c:auto val="1"/>
        <c:lblAlgn val="ctr"/>
        <c:lblOffset val="100"/>
        <c:noMultiLvlLbl val="0"/>
      </c:catAx>
      <c:valAx>
        <c:axId val="640105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9929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140000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4307.82222222226</c:v>
                </c:pt>
                <c:pt idx="1">
                  <c:v>160000</c:v>
                </c:pt>
                <c:pt idx="2">
                  <c:v>14666.6666666667</c:v>
                </c:pt>
                <c:pt idx="3">
                  <c:v>41025.5111111111</c:v>
                </c:pt>
              </c:numCache>
            </c:numRef>
          </c:val>
        </c:ser>
        <c:gapWidth val="60"/>
        <c:overlap val="0"/>
        <c:axId val="19545849"/>
        <c:axId val="69674718"/>
      </c:barChart>
      <c:catAx>
        <c:axId val="1954584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674718"/>
        <c:crosses val="autoZero"/>
        <c:auto val="1"/>
        <c:lblAlgn val="ctr"/>
        <c:lblOffset val="100"/>
        <c:noMultiLvlLbl val="0"/>
      </c:catAx>
      <c:valAx>
        <c:axId val="696747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4584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  <c:pt idx="3">
                  <c:v>0.19861445403926</c:v>
                </c:pt>
                <c:pt idx="4">
                  <c:v>0.227997072549741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-0.0859517357078334</c:v>
                </c:pt>
                <c:pt idx="1">
                  <c:v>0.0659680127055105</c:v>
                </c:pt>
                <c:pt idx="2">
                  <c:v>0.0858943960626331</c:v>
                </c:pt>
                <c:pt idx="3">
                  <c:v>0.116561428492778</c:v>
                </c:pt>
                <c:pt idx="4">
                  <c:v>0.145066640515692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440292"/>
        <c:axId val="76790709"/>
      </c:lineChart>
      <c:catAx>
        <c:axId val="9544029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790709"/>
        <c:crosses val="autoZero"/>
        <c:auto val="1"/>
        <c:lblAlgn val="ctr"/>
        <c:lblOffset val="100"/>
        <c:noMultiLvlLbl val="0"/>
      </c:catAx>
      <c:valAx>
        <c:axId val="767907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4402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-0.150491374014617</c:v>
                </c:pt>
                <c:pt idx="1">
                  <c:v>0.138957407079313</c:v>
                </c:pt>
                <c:pt idx="2">
                  <c:v>0.176758604252363</c:v>
                </c:pt>
                <c:pt idx="3">
                  <c:v>0.21997400041967</c:v>
                </c:pt>
                <c:pt idx="4">
                  <c:v>0.24121332514108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-0.244304696079284</c:v>
                </c:pt>
                <c:pt idx="1">
                  <c:v>0.193332761666247</c:v>
                </c:pt>
                <c:pt idx="2">
                  <c:v>0.215587851757068</c:v>
                </c:pt>
                <c:pt idx="3">
                  <c:v>0.242089236375929</c:v>
                </c:pt>
                <c:pt idx="4">
                  <c:v>0.247526831046411</c:v>
                </c:pt>
              </c:numCache>
            </c:numRef>
          </c:val>
        </c:ser>
        <c:gapWidth val="60"/>
        <c:overlap val="0"/>
        <c:axId val="39233627"/>
        <c:axId val="29756499"/>
      </c:barChart>
      <c:catAx>
        <c:axId val="392336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756499"/>
        <c:crosses val="autoZero"/>
        <c:auto val="1"/>
        <c:lblAlgn val="ctr"/>
        <c:lblOffset val="100"/>
        <c:noMultiLvlLbl val="0"/>
      </c:catAx>
      <c:valAx>
        <c:axId val="2975649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2336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KPIs!$A$29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KPIs!$B$29:$F$29</c:f>
              <c:numCache>
                <c:formatCode>#,##0.0;\(#,##0.0\);\-</c:formatCode>
                <c:ptCount val="5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  <c:pt idx="3">
                  <c:v>190.56256</c:v>
                </c:pt>
                <c:pt idx="4">
                  <c:v>201.9963136</c:v>
                </c:pt>
              </c:numCache>
            </c:numRef>
          </c:val>
        </c:ser>
        <c:gapWidth val="60"/>
        <c:overlap val="0"/>
        <c:axId val="8740333"/>
        <c:axId val="2495636"/>
      </c:barChart>
      <c:lineChart>
        <c:grouping val="standard"/>
        <c:varyColors val="0"/>
        <c:ser>
          <c:idx val="1"/>
          <c:order val="1"/>
          <c:tx>
            <c:strRef>
              <c:f>KPIs!$A$30</c:f>
              <c:strCache>
                <c:ptCount val="1"/>
                <c:pt idx="0">
                  <c:v>Average ticket (year end)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\$#,##0.00;"($"#,##0.00\);\-</c:formatCode>
                <c:ptCount val="5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  <c:pt idx="3">
                  <c:v>7.1027255</c:v>
                </c:pt>
                <c:pt idx="4">
                  <c:v>7.315807265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185105"/>
        <c:axId val="46807436"/>
      </c:lineChart>
      <c:catAx>
        <c:axId val="874033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95636"/>
        <c:crosses val="autoZero"/>
        <c:auto val="1"/>
        <c:lblAlgn val="ctr"/>
        <c:lblOffset val="100"/>
        <c:noMultiLvlLbl val="0"/>
      </c:catAx>
      <c:valAx>
        <c:axId val="24956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40333"/>
        <c:crosses val="autoZero"/>
        <c:crossBetween val="between"/>
      </c:valAx>
      <c:catAx>
        <c:axId val="411851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807436"/>
        <c:crosses val="autoZero"/>
        <c:auto val="1"/>
        <c:lblAlgn val="ctr"/>
        <c:lblOffset val="100"/>
        <c:noMultiLvlLbl val="0"/>
      </c:catAx>
      <c:valAx>
        <c:axId val="46807436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1851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Gross profit and gross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KPIs!$A$32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\$#,##0,;"($"#,##0,\);\-</c:formatCode>
                <c:ptCount val="5"/>
                <c:pt idx="0">
                  <c:v>214266</c:v>
                </c:pt>
                <c:pt idx="1">
                  <c:v>273875.8464</c:v>
                </c:pt>
                <c:pt idx="2">
                  <c:v>299017.64909952</c:v>
                </c:pt>
                <c:pt idx="3">
                  <c:v>326467.469286856</c:v>
                </c:pt>
                <c:pt idx="4">
                  <c:v>356437.182967389</c:v>
                </c:pt>
              </c:numCache>
            </c:numRef>
          </c:val>
        </c:ser>
        <c:gapWidth val="60"/>
        <c:overlap val="0"/>
        <c:axId val="78861190"/>
        <c:axId val="34346660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4238"/>
        <c:axId val="83232945"/>
      </c:lineChart>
      <c:catAx>
        <c:axId val="788611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346660"/>
        <c:crosses val="autoZero"/>
        <c:auto val="1"/>
        <c:lblAlgn val="ctr"/>
        <c:lblOffset val="100"/>
        <c:noMultiLvlLbl val="0"/>
      </c:catAx>
      <c:valAx>
        <c:axId val="343466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861190"/>
        <c:crosses val="autoZero"/>
        <c:crossBetween val="between"/>
      </c:valAx>
      <c:catAx>
        <c:axId val="22423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232945"/>
        <c:crosses val="autoZero"/>
        <c:auto val="1"/>
        <c:lblAlgn val="ctr"/>
        <c:lblOffset val="100"/>
        <c:noMultiLvlLbl val="0"/>
      </c:catAx>
      <c:valAx>
        <c:axId val="8323294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423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531995.795473716</v>
      </c>
      <c r="B7" s="25"/>
      <c r="C7" s="26" t="n">
        <f aca="false">F17</f>
        <v>0.227997072549741</v>
      </c>
      <c r="D7" s="26"/>
      <c r="E7" s="26"/>
      <c r="F7" s="26"/>
      <c r="H7" s="25" t="n">
        <f aca="false">F18</f>
        <v>77174.842817845</v>
      </c>
      <c r="I7" s="25"/>
      <c r="J7" s="25"/>
      <c r="K7" s="25"/>
      <c r="L7" s="25" t="n">
        <f aca="false">F37</f>
        <v>33683.9777777778</v>
      </c>
      <c r="M7" s="25"/>
      <c r="N7" s="25"/>
      <c r="O7" s="25"/>
      <c r="P7" s="25" t="n">
        <f aca="false">F35</f>
        <v>239316.022222222</v>
      </c>
      <c r="Q7" s="25"/>
      <c r="R7" s="25"/>
      <c r="S7" s="25"/>
      <c r="T7" s="25" t="n">
        <f aca="false">F42</f>
        <v>244963.473820851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0.135683811280813</v>
      </c>
      <c r="B8" s="27"/>
      <c r="C8" s="28" t="n">
        <f aca="false">F16</f>
        <v>121293.483976778</v>
      </c>
      <c r="D8" s="28"/>
      <c r="E8" s="28"/>
      <c r="F8" s="28"/>
      <c r="H8" s="29" t="n">
        <f aca="false">F19</f>
        <v>0.145066640515692</v>
      </c>
      <c r="I8" s="29"/>
      <c r="J8" s="29"/>
      <c r="K8" s="29"/>
      <c r="L8" s="30" t="n">
        <f aca="false">'Break-even'!B6</f>
        <v>6</v>
      </c>
      <c r="M8" s="30"/>
      <c r="N8" s="30"/>
      <c r="O8" s="30"/>
      <c r="P8" s="31" t="n">
        <f aca="false">IF(F36&gt;=0,"Covered by funding raised",-F36)</f>
        <v>19316.0222222222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SUMIF(Monthly!$C$5:$BJ$5,B$11,Monthly!$C$12:$BJ$12)</f>
        <v>319800</v>
      </c>
      <c r="C12" s="35" t="n">
        <f aca="false">SUMIF(Monthly!$C$5:$BJ$5,C$11,Monthly!$C$12:$BJ$12)</f>
        <v>408769.92</v>
      </c>
      <c r="D12" s="35" t="n">
        <f aca="false">SUMIF(Monthly!$C$5:$BJ$5,D$11,Monthly!$C$12:$BJ$12)</f>
        <v>446294.998656</v>
      </c>
      <c r="E12" s="35" t="n">
        <f aca="false">SUMIF(Monthly!$C$5:$BJ$5,E$11,Monthly!$C$12:$BJ$12)</f>
        <v>487264.879532621</v>
      </c>
      <c r="F12" s="35" t="n">
        <f aca="false">SUMIF(Monthly!$C$5:$BJ$5,F$11,Monthly!$C$12:$BJ$12)</f>
        <v>531995.795473716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SUMIF(Monthly!$C$5:$BJ$5,B$11,Monthly!$C$14:$BJ$14)</f>
        <v>214266</v>
      </c>
      <c r="C13" s="37" t="n">
        <f aca="false">SUMIF(Monthly!$C$5:$BJ$5,C$11,Monthly!$C$14:$BJ$14)</f>
        <v>273875.8464</v>
      </c>
      <c r="D13" s="37" t="n">
        <f aca="false">SUMIF(Monthly!$C$5:$BJ$5,D$11,Monthly!$C$14:$BJ$14)</f>
        <v>299017.64909952</v>
      </c>
      <c r="E13" s="37" t="n">
        <f aca="false">SUMIF(Monthly!$C$5:$BJ$5,E$11,Monthly!$C$14:$BJ$14)</f>
        <v>326467.469286856</v>
      </c>
      <c r="F13" s="37" t="n">
        <f aca="false">SUMIF(Monthly!$C$5:$BJ$5,F$11,Monthly!$C$14:$BJ$14)</f>
        <v>356437.182967389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0.67</v>
      </c>
      <c r="C14" s="39" t="n">
        <f aca="false">IF(C12=0,0,C13/C12)</f>
        <v>0.67</v>
      </c>
      <c r="D14" s="39" t="n">
        <f aca="false">IF(D12=0,0,D13/D12)</f>
        <v>0.67</v>
      </c>
      <c r="E14" s="39" t="n">
        <f aca="false">IF(E12=0,0,E13/E12)</f>
        <v>0.67</v>
      </c>
      <c r="F14" s="39" t="n">
        <f aca="false">IF(F12=0,0,F13/F12)</f>
        <v>0.67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SUMIF(Monthly!$C$5:$BJ$5,B$11,Monthly!$C$21:$BJ$21)</f>
        <v>-213034</v>
      </c>
      <c r="C15" s="35" t="n">
        <f aca="false">SUMIF(Monthly!$C$5:$BJ$5,C$11,Monthly!$C$21:$BJ$21)</f>
        <v>-219466.2976</v>
      </c>
      <c r="D15" s="35" t="n">
        <f aca="false">SUMIF(Monthly!$C$5:$BJ$5,D$11,Monthly!$C$21:$BJ$21)</f>
        <v>-224468.14595968</v>
      </c>
      <c r="E15" s="35" t="n">
        <f aca="false">SUMIF(Monthly!$C$5:$BJ$5,E$11,Monthly!$C$21:$BJ$21)</f>
        <v>-229689.621265979</v>
      </c>
      <c r="F15" s="35" t="n">
        <f aca="false">SUMIF(Monthly!$C$5:$BJ$5,F$11,Monthly!$C$21:$BJ$21)</f>
        <v>-235143.698990612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SUMIF(Monthly!$C$5:$BJ$5,B$11,Monthly!$C$22:$BJ$22)</f>
        <v>1231.99999999997</v>
      </c>
      <c r="C16" s="37" t="n">
        <f aca="false">SUMIF(Monthly!$C$5:$BJ$5,C$11,Monthly!$C$22:$BJ$22)</f>
        <v>54409.5488</v>
      </c>
      <c r="D16" s="37" t="n">
        <f aca="false">SUMIF(Monthly!$C$5:$BJ$5,D$11,Monthly!$C$22:$BJ$22)</f>
        <v>74549.5031398401</v>
      </c>
      <c r="E16" s="37" t="n">
        <f aca="false">SUMIF(Monthly!$C$5:$BJ$5,E$11,Monthly!$C$22:$BJ$22)</f>
        <v>96777.8480208774</v>
      </c>
      <c r="F16" s="37" t="n">
        <f aca="false">SUMIF(Monthly!$C$5:$BJ$5,F$11,Monthly!$C$22:$BJ$22)</f>
        <v>121293.483976778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0.00385240775484667</v>
      </c>
      <c r="C17" s="39" t="n">
        <f aca="false">IF(C12=0,0,C16/C12)</f>
        <v>0.133105559234887</v>
      </c>
      <c r="D17" s="39" t="n">
        <f aca="false">IF(D12=0,0,D16/D12)</f>
        <v>0.167040866163284</v>
      </c>
      <c r="E17" s="39" t="n">
        <f aca="false">IF(E12=0,0,E16/E12)</f>
        <v>0.19861445403926</v>
      </c>
      <c r="F17" s="39" t="n">
        <f aca="false">IF(F12=0,0,F16/F12)</f>
        <v>0.227997072549741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SUMIF(Monthly!$C$5:$BJ$5,B$11,Monthly!$C$31:$BJ$31)</f>
        <v>-27487.3650793651</v>
      </c>
      <c r="C18" s="41" t="n">
        <f aca="false">SUMIF(Monthly!$C$5:$BJ$5,C$11,Monthly!$C$31:$BJ$31)</f>
        <v>26965.7392761905</v>
      </c>
      <c r="D18" s="41" t="n">
        <f aca="false">SUMIF(Monthly!$C$5:$BJ$5,D$11,Monthly!$C$31:$BJ$31)</f>
        <v>38334.2393753308</v>
      </c>
      <c r="E18" s="41" t="n">
        <f aca="false">SUMIF(Monthly!$C$5:$BJ$5,E$11,Monthly!$C$31:$BJ$31)</f>
        <v>56796.2904126836</v>
      </c>
      <c r="F18" s="41" t="n">
        <f aca="false">SUMIF(Monthly!$C$5:$BJ$5,F$11,Monthly!$C$31:$BJ$31)</f>
        <v>77174.842817845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-0.0859517357078334</v>
      </c>
      <c r="C19" s="39" t="n">
        <f aca="false">IF(C12=0,0,C18/C12)</f>
        <v>0.0659680127055105</v>
      </c>
      <c r="D19" s="39" t="n">
        <f aca="false">IF(D12=0,0,D18/D12)</f>
        <v>0.0858943960626331</v>
      </c>
      <c r="E19" s="39" t="n">
        <f aca="false">IF(E12=0,0,E18/E12)</f>
        <v>0.116561428492778</v>
      </c>
      <c r="F19" s="39" t="n">
        <f aca="false">IF(F12=0,0,F18/F12)</f>
        <v>0.145066640515692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SUMIF(Monthly!$C$5:$BJ$5,B$11,Monthly!$C$55:$BJ$55)</f>
        <v>-4307.82222222226</v>
      </c>
      <c r="C20" s="35" t="n">
        <f aca="false">SUMIF(Monthly!$C$5:$BJ$5,C$11,Monthly!$C$55:$BJ$55)</f>
        <v>49852.4784533334</v>
      </c>
      <c r="D20" s="35" t="n">
        <f aca="false">SUMIF(Monthly!$C$5:$BJ$5,D$11,Monthly!$C$55:$BJ$55)</f>
        <v>61223.6954946496</v>
      </c>
      <c r="E20" s="35" t="n">
        <f aca="false">SUMIF(Monthly!$C$5:$BJ$5,E$11,Monthly!$C$55:$BJ$55)</f>
        <v>79688.7128894702</v>
      </c>
      <c r="F20" s="35" t="n">
        <f aca="false">SUMIF(Monthly!$C$5:$BJ$5,F$11,Monthly!$C$55:$BJ$55)</f>
        <v>100070.503963715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SUMIF(Monthly!$C$5:$BJ$5,B$11,Monthly!$C$56:$BJ$56)</f>
        <v>-160000</v>
      </c>
      <c r="C21" s="35" t="n">
        <f aca="false">SUMIF(Monthly!$C$5:$BJ$5,C$11,Monthly!$C$56:$BJ$56)</f>
        <v>0</v>
      </c>
      <c r="D21" s="35" t="n">
        <f aca="false">SUMIF(Monthly!$C$5:$BJ$5,D$11,Monthly!$C$56:$BJ$56)</f>
        <v>0</v>
      </c>
      <c r="E21" s="35" t="n">
        <f aca="false">SUMIF(Monthly!$C$5:$BJ$5,E$11,Monthly!$C$56:$BJ$56)</f>
        <v>0</v>
      </c>
      <c r="F21" s="35" t="n">
        <f aca="false">SUMIF(Monthly!$C$5:$BJ$5,F$11,Monthly!$C$56:$BJ$56)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SUMIF(Monthly!$C$5:$BJ$5,B$11,Monthly!$C$58:$BJ$58)</f>
        <v>205333.333333333</v>
      </c>
      <c r="C22" s="35" t="n">
        <f aca="false">SUMIF(Monthly!$C$5:$BJ$5,C$11,Monthly!$C$58:$BJ$58)</f>
        <v>-16000</v>
      </c>
      <c r="D22" s="35" t="n">
        <f aca="false">SUMIF(Monthly!$C$5:$BJ$5,D$11,Monthly!$C$58:$BJ$58)</f>
        <v>-16000</v>
      </c>
      <c r="E22" s="35" t="n">
        <f aca="false">SUMIF(Monthly!$C$5:$BJ$5,E$11,Monthly!$C$58:$BJ$58)</f>
        <v>-16000</v>
      </c>
      <c r="F22" s="35" t="n">
        <f aca="false">SUMIF(Monthly!$C$5:$BJ$5,F$11,Monthly!$C$58:$BJ$58)</f>
        <v>-16000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SUMIF(Monthly!$C$5:$BJ$5,B$11,Monthly!$C$59:$BJ$59)</f>
        <v>41025.5111111111</v>
      </c>
      <c r="C23" s="37" t="n">
        <f aca="false">SUMIF(Monthly!$C$5:$BJ$5,C$11,Monthly!$C$59:$BJ$59)</f>
        <v>33852.4784533334</v>
      </c>
      <c r="D23" s="37" t="n">
        <f aca="false">SUMIF(Monthly!$C$5:$BJ$5,D$11,Monthly!$C$59:$BJ$59)</f>
        <v>45223.6954946496</v>
      </c>
      <c r="E23" s="37" t="n">
        <f aca="false">SUMIF(Monthly!$C$5:$BJ$5,E$11,Monthly!$C$59:$BJ$59)</f>
        <v>63688.7128894702</v>
      </c>
      <c r="F23" s="37" t="n">
        <f aca="false">SUMIF(Monthly!$C$5:$BJ$5,F$11,Monthly!$C$59:$BJ$59)</f>
        <v>84070.5039637149</v>
      </c>
    </row>
    <row r="24" customFormat="false" ht="15" hidden="false" customHeight="false" outlineLevel="0" collapsed="false">
      <c r="A24" s="40" t="s">
        <v>56</v>
      </c>
      <c r="B24" s="41" t="n">
        <f aca="false">INDEX(Monthly!$C$61:$BJ$61,B$11*12)</f>
        <v>41025.5111111111</v>
      </c>
      <c r="C24" s="41" t="n">
        <f aca="false">INDEX(Monthly!$C$61:$BJ$61,C$11*12)</f>
        <v>74877.9895644444</v>
      </c>
      <c r="D24" s="41" t="n">
        <f aca="false">INDEX(Monthly!$C$61:$BJ$61,D$11*12)</f>
        <v>120101.685059094</v>
      </c>
      <c r="E24" s="41" t="n">
        <f aca="false">INDEX(Monthly!$C$61:$BJ$61,E$11*12)</f>
        <v>183790.397948564</v>
      </c>
      <c r="F24" s="41" t="n">
        <f aca="false">INDEX(Monthly!$C$61:$BJ$61,F$11*12)</f>
        <v>267860.901912279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INDEX(Monthly!$C$9:$BJ$9,B$27*12)</f>
        <v>160</v>
      </c>
      <c r="C28" s="42" t="n">
        <f aca="false">INDEX(Monthly!$C$9:$BJ$9,C$27*12)</f>
        <v>169.6</v>
      </c>
      <c r="D28" s="42" t="n">
        <f aca="false">INDEX(Monthly!$C$9:$BJ$9,D$27*12)</f>
        <v>179.776</v>
      </c>
      <c r="E28" s="42" t="n">
        <f aca="false">INDEX(Monthly!$C$9:$BJ$9,E$27*12)</f>
        <v>190.56256</v>
      </c>
      <c r="F28" s="42" t="n">
        <f aca="false">INDEX(Monthly!$C$9:$BJ$9,F$27*12)</f>
        <v>201.9963136</v>
      </c>
    </row>
    <row r="29" customFormat="false" ht="15" hidden="false" customHeight="false" outlineLevel="0" collapsed="false">
      <c r="A29" s="6" t="s">
        <v>59</v>
      </c>
      <c r="B29" s="43" t="n">
        <f aca="false">INDEX(Monthly!$C$10:$BJ$10,B$27*12)</f>
        <v>6.5</v>
      </c>
      <c r="C29" s="43" t="n">
        <f aca="false">INDEX(Monthly!$C$10:$BJ$10,C$27*12)</f>
        <v>6.695</v>
      </c>
      <c r="D29" s="43" t="n">
        <f aca="false">INDEX(Monthly!$C$10:$BJ$10,D$27*12)</f>
        <v>6.89585</v>
      </c>
      <c r="E29" s="43" t="n">
        <f aca="false">INDEX(Monthly!$C$10:$BJ$10,E$27*12)</f>
        <v>7.1027255</v>
      </c>
      <c r="F29" s="43" t="n">
        <f aca="false">INDEX(Monthly!$C$10:$BJ$10,F$27*12)</f>
        <v>7.315807265</v>
      </c>
    </row>
    <row r="30" customFormat="false" ht="15" hidden="false" customHeight="false" outlineLevel="0" collapsed="false">
      <c r="A30" s="6" t="s">
        <v>60</v>
      </c>
      <c r="B30" s="42" t="n">
        <f aca="false">INDEX(Headcount!$C$9:$BJ$9,B$27*12)</f>
        <v>3.5</v>
      </c>
      <c r="C30" s="42" t="n">
        <f aca="false">INDEX(Headcount!$C$9:$BJ$9,C$27*12)</f>
        <v>3.5</v>
      </c>
      <c r="D30" s="42" t="n">
        <f aca="false">INDEX(Headcount!$C$9:$BJ$9,D$27*12)</f>
        <v>3.5</v>
      </c>
      <c r="E30" s="42" t="n">
        <f aca="false">INDEX(Headcount!$C$9:$BJ$9,E$27*12)</f>
        <v>3.5</v>
      </c>
      <c r="F30" s="42" t="n">
        <f aca="false">INDEX(Headcount!$C$9:$BJ$9,F$27*12)</f>
        <v>3.5</v>
      </c>
    </row>
    <row r="32" customFormat="false" ht="15.75" hidden="false" customHeight="true" outlineLevel="0" collapsed="false">
      <c r="A32" s="7" t="s">
        <v>61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6" t="s">
        <v>62</v>
      </c>
      <c r="B33" s="44"/>
      <c r="C33" s="44"/>
      <c r="D33" s="44"/>
      <c r="E33" s="44"/>
      <c r="F33" s="45" t="n">
        <f aca="false">Inputs!$E$29</f>
        <v>140000</v>
      </c>
    </row>
    <row r="34" customFormat="false" ht="15" hidden="false" customHeight="false" outlineLevel="0" collapsed="false">
      <c r="A34" s="6" t="s">
        <v>63</v>
      </c>
      <c r="B34" s="44"/>
      <c r="C34" s="44"/>
      <c r="D34" s="44"/>
      <c r="E34" s="44"/>
      <c r="F34" s="45" t="n">
        <f aca="false">Inputs!$E$30</f>
        <v>80000</v>
      </c>
    </row>
    <row r="35" customFormat="false" ht="15" hidden="false" customHeight="false" outlineLevel="0" collapsed="false">
      <c r="A35" s="6" t="s">
        <v>64</v>
      </c>
      <c r="B35" s="44"/>
      <c r="C35" s="44"/>
      <c r="D35" s="44"/>
      <c r="E35" s="44"/>
      <c r="F35" s="45" t="n">
        <f aca="false">'Break-even'!B12</f>
        <v>239316.022222222</v>
      </c>
    </row>
    <row r="36" customFormat="false" ht="15" hidden="false" customHeight="false" outlineLevel="0" collapsed="false">
      <c r="A36" s="36" t="s">
        <v>65</v>
      </c>
      <c r="B36" s="36"/>
      <c r="C36" s="36"/>
      <c r="D36" s="36"/>
      <c r="E36" s="36"/>
      <c r="F36" s="37" t="n">
        <f aca="false">'Break-even'!B17</f>
        <v>-19316.0222222222</v>
      </c>
    </row>
    <row r="37" customFormat="false" ht="15" hidden="false" customHeight="false" outlineLevel="0" collapsed="false">
      <c r="A37" s="6" t="str">
        <f aca="false">"Lowest cash balance (month "&amp;'Break-even'!B6&amp;")"</f>
        <v>Lowest cash balance (month 6)</v>
      </c>
      <c r="B37" s="44"/>
      <c r="C37" s="44"/>
      <c r="D37" s="44"/>
      <c r="E37" s="44"/>
      <c r="F37" s="45" t="n">
        <f aca="false">'Break-even'!B18</f>
        <v>33683.9777777778</v>
      </c>
    </row>
    <row r="38" customFormat="false" ht="15" hidden="false" customHeight="false" outlineLevel="0" collapsed="false">
      <c r="A38" s="6" t="s">
        <v>66</v>
      </c>
      <c r="B38" s="44"/>
      <c r="C38" s="44"/>
      <c r="D38" s="44"/>
      <c r="E38" s="44"/>
      <c r="F38" s="46" t="n">
        <f aca="false">'Break-even'!B21</f>
        <v>6</v>
      </c>
    </row>
    <row r="39" customFormat="false" ht="15" hidden="false" customHeight="false" outlineLevel="0" collapsed="false">
      <c r="A39" s="6" t="s">
        <v>67</v>
      </c>
      <c r="B39" s="44"/>
      <c r="C39" s="44"/>
      <c r="D39" s="44"/>
      <c r="E39" s="44"/>
      <c r="F39" s="46" t="n">
        <f aca="false">'Break-even'!B23</f>
        <v>45</v>
      </c>
    </row>
    <row r="40" customFormat="false" ht="15" hidden="false" customHeight="false" outlineLevel="0" collapsed="false">
      <c r="A40" s="6" t="s">
        <v>68</v>
      </c>
      <c r="B40" s="44"/>
      <c r="C40" s="44"/>
      <c r="D40" s="44"/>
      <c r="E40" s="44"/>
      <c r="F40" s="45" t="n">
        <f aca="false">Valuation!B27</f>
        <v>249904.174576782</v>
      </c>
    </row>
    <row r="41" customFormat="false" ht="15" hidden="false" customHeight="false" outlineLevel="0" collapsed="false">
      <c r="A41" s="6" t="s">
        <v>69</v>
      </c>
      <c r="B41" s="44"/>
      <c r="C41" s="44"/>
      <c r="D41" s="44"/>
      <c r="E41" s="44"/>
      <c r="F41" s="45" t="n">
        <f aca="false">Valuation!C27</f>
        <v>240022.77306492</v>
      </c>
    </row>
    <row r="42" customFormat="false" ht="15" hidden="false" customHeight="false" outlineLevel="0" collapsed="false">
      <c r="A42" s="40" t="s">
        <v>70</v>
      </c>
      <c r="B42" s="40"/>
      <c r="C42" s="40"/>
      <c r="D42" s="40"/>
      <c r="E42" s="40"/>
      <c r="F42" s="41" t="n">
        <f aca="false">Valuation!B30</f>
        <v>244963.473820851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7" t="n">
        <v>1</v>
      </c>
      <c r="S2" s="47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44</v>
      </c>
      <c r="B7" s="35" t="n">
        <f aca="false">'P&amp;L'!B5</f>
        <v>319800</v>
      </c>
      <c r="C7" s="35" t="n">
        <f aca="false">'P&amp;L'!C5</f>
        <v>408769.92</v>
      </c>
      <c r="D7" s="35" t="n">
        <f aca="false">'P&amp;L'!D5</f>
        <v>446294.998656</v>
      </c>
      <c r="E7" s="35" t="n">
        <f aca="false">'P&amp;L'!E5</f>
        <v>487264.879532621</v>
      </c>
      <c r="F7" s="35" t="n">
        <f aca="false">'P&amp;L'!F5</f>
        <v>531995.795473716</v>
      </c>
      <c r="H7" s="35" t="n">
        <f aca="false">INDEX(Monthly!$C$12:$BJ$12,($R$2-1)*12+1)</f>
        <v>15600</v>
      </c>
      <c r="I7" s="35" t="n">
        <f aca="false">INDEX(Monthly!$C$12:$BJ$12,($R$2-1)*12+2)</f>
        <v>18200</v>
      </c>
      <c r="J7" s="35" t="n">
        <f aca="false">INDEX(Monthly!$C$12:$BJ$12,($R$2-1)*12+3)</f>
        <v>20800</v>
      </c>
      <c r="K7" s="35" t="n">
        <f aca="false">INDEX(Monthly!$C$12:$BJ$12,($R$2-1)*12+4)</f>
        <v>23400</v>
      </c>
      <c r="L7" s="35" t="n">
        <f aca="false">INDEX(Monthly!$C$12:$BJ$12,($R$2-1)*12+5)</f>
        <v>26000</v>
      </c>
      <c r="M7" s="35" t="n">
        <f aca="false">INDEX(Monthly!$C$12:$BJ$12,($R$2-1)*12+6)</f>
        <v>28600</v>
      </c>
      <c r="N7" s="35" t="n">
        <f aca="false">INDEX(Monthly!$C$12:$BJ$12,($R$2-1)*12+7)</f>
        <v>31200</v>
      </c>
      <c r="O7" s="35" t="n">
        <f aca="false">INDEX(Monthly!$C$12:$BJ$12,($R$2-1)*12+8)</f>
        <v>31200</v>
      </c>
      <c r="P7" s="35" t="n">
        <f aca="false">INDEX(Monthly!$C$12:$BJ$12,($R$2-1)*12+9)</f>
        <v>31200</v>
      </c>
      <c r="Q7" s="35" t="n">
        <f aca="false">INDEX(Monthly!$C$12:$BJ$12,($R$2-1)*12+10)</f>
        <v>31200</v>
      </c>
      <c r="R7" s="35" t="n">
        <f aca="false">INDEX(Monthly!$C$12:$BJ$12,($R$2-1)*12+11)</f>
        <v>31200</v>
      </c>
      <c r="S7" s="35" t="n">
        <f aca="false">INDEX(Monthly!$C$12:$BJ$12,($R$2-1)*12+12)</f>
        <v>31200</v>
      </c>
    </row>
    <row r="8" customFormat="false" ht="15" hidden="false" customHeight="false" outlineLevel="0" collapsed="false">
      <c r="A8" s="49" t="s">
        <v>74</v>
      </c>
      <c r="B8" s="35" t="n">
        <f aca="false">'P&amp;L'!B6</f>
        <v>-105534</v>
      </c>
      <c r="C8" s="35" t="n">
        <f aca="false">'P&amp;L'!C6</f>
        <v>-134894.0736</v>
      </c>
      <c r="D8" s="35" t="n">
        <f aca="false">'P&amp;L'!D6</f>
        <v>-147277.34955648</v>
      </c>
      <c r="E8" s="35" t="n">
        <f aca="false">'P&amp;L'!E6</f>
        <v>-160797.410245765</v>
      </c>
      <c r="F8" s="35" t="n">
        <f aca="false">'P&amp;L'!F6</f>
        <v>-175558.612506326</v>
      </c>
      <c r="H8" s="35" t="n">
        <f aca="false">INDEX(Monthly!$C$13:$BJ$13,($R$2-1)*12+1)</f>
        <v>-5148</v>
      </c>
      <c r="I8" s="35" t="n">
        <f aca="false">INDEX(Monthly!$C$13:$BJ$13,($R$2-1)*12+2)</f>
        <v>-6006</v>
      </c>
      <c r="J8" s="35" t="n">
        <f aca="false">INDEX(Monthly!$C$13:$BJ$13,($R$2-1)*12+3)</f>
        <v>-6864</v>
      </c>
      <c r="K8" s="35" t="n">
        <f aca="false">INDEX(Monthly!$C$13:$BJ$13,($R$2-1)*12+4)</f>
        <v>-7722</v>
      </c>
      <c r="L8" s="35" t="n">
        <f aca="false">INDEX(Monthly!$C$13:$BJ$13,($R$2-1)*12+5)</f>
        <v>-8580</v>
      </c>
      <c r="M8" s="35" t="n">
        <f aca="false">INDEX(Monthly!$C$13:$BJ$13,($R$2-1)*12+6)</f>
        <v>-9438</v>
      </c>
      <c r="N8" s="35" t="n">
        <f aca="false">INDEX(Monthly!$C$13:$BJ$13,($R$2-1)*12+7)</f>
        <v>-10296</v>
      </c>
      <c r="O8" s="35" t="n">
        <f aca="false">INDEX(Monthly!$C$13:$BJ$13,($R$2-1)*12+8)</f>
        <v>-10296</v>
      </c>
      <c r="P8" s="35" t="n">
        <f aca="false">INDEX(Monthly!$C$13:$BJ$13,($R$2-1)*12+9)</f>
        <v>-10296</v>
      </c>
      <c r="Q8" s="35" t="n">
        <f aca="false">INDEX(Monthly!$C$13:$BJ$13,($R$2-1)*12+10)</f>
        <v>-10296</v>
      </c>
      <c r="R8" s="35" t="n">
        <f aca="false">INDEX(Monthly!$C$13:$BJ$13,($R$2-1)*12+11)</f>
        <v>-10296</v>
      </c>
      <c r="S8" s="35" t="n">
        <f aca="false">INDEX(Monthly!$C$13:$BJ$13,($R$2-1)*12+12)</f>
        <v>-10296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214266</v>
      </c>
      <c r="C9" s="37" t="n">
        <f aca="false">'P&amp;L'!C7</f>
        <v>273875.8464</v>
      </c>
      <c r="D9" s="37" t="n">
        <f aca="false">'P&amp;L'!D7</f>
        <v>299017.64909952</v>
      </c>
      <c r="E9" s="37" t="n">
        <f aca="false">'P&amp;L'!E7</f>
        <v>326467.469286856</v>
      </c>
      <c r="F9" s="37" t="n">
        <f aca="false">'P&amp;L'!F7</f>
        <v>356437.182967389</v>
      </c>
      <c r="H9" s="37" t="n">
        <f aca="false">INDEX(Monthly!$C$14:$BJ$14,($R$2-1)*12+1)</f>
        <v>10452</v>
      </c>
      <c r="I9" s="37" t="n">
        <f aca="false">INDEX(Monthly!$C$14:$BJ$14,($R$2-1)*12+2)</f>
        <v>12194</v>
      </c>
      <c r="J9" s="37" t="n">
        <f aca="false">INDEX(Monthly!$C$14:$BJ$14,($R$2-1)*12+3)</f>
        <v>13936</v>
      </c>
      <c r="K9" s="37" t="n">
        <f aca="false">INDEX(Monthly!$C$14:$BJ$14,($R$2-1)*12+4)</f>
        <v>15678</v>
      </c>
      <c r="L9" s="37" t="n">
        <f aca="false">INDEX(Monthly!$C$14:$BJ$14,($R$2-1)*12+5)</f>
        <v>17420</v>
      </c>
      <c r="M9" s="37" t="n">
        <f aca="false">INDEX(Monthly!$C$14:$BJ$14,($R$2-1)*12+6)</f>
        <v>19162</v>
      </c>
      <c r="N9" s="37" t="n">
        <f aca="false">INDEX(Monthly!$C$14:$BJ$14,($R$2-1)*12+7)</f>
        <v>20904</v>
      </c>
      <c r="O9" s="37" t="n">
        <f aca="false">INDEX(Monthly!$C$14:$BJ$14,($R$2-1)*12+8)</f>
        <v>20904</v>
      </c>
      <c r="P9" s="37" t="n">
        <f aca="false">INDEX(Monthly!$C$14:$BJ$14,($R$2-1)*12+9)</f>
        <v>20904</v>
      </c>
      <c r="Q9" s="37" t="n">
        <f aca="false">INDEX(Monthly!$C$14:$BJ$14,($R$2-1)*12+10)</f>
        <v>20904</v>
      </c>
      <c r="R9" s="37" t="n">
        <f aca="false">INDEX(Monthly!$C$14:$BJ$14,($R$2-1)*12+11)</f>
        <v>20904</v>
      </c>
      <c r="S9" s="37" t="n">
        <f aca="false">INDEX(Monthly!$C$14:$BJ$14,($R$2-1)*12+12)</f>
        <v>20904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0.67</v>
      </c>
      <c r="C10" s="39" t="n">
        <f aca="false">'P&amp;L'!C8</f>
        <v>0.67</v>
      </c>
      <c r="D10" s="39" t="n">
        <f aca="false">'P&amp;L'!D8</f>
        <v>0.67</v>
      </c>
      <c r="E10" s="39" t="n">
        <f aca="false">'P&amp;L'!E8</f>
        <v>0.67</v>
      </c>
      <c r="F10" s="39" t="n">
        <f aca="false">'P&amp;L'!F8</f>
        <v>0.67</v>
      </c>
      <c r="H10" s="39" t="n">
        <f aca="false">IF(H7=0,0,H9/H7)</f>
        <v>0.67</v>
      </c>
      <c r="I10" s="39" t="n">
        <f aca="false">IF(I7=0,0,I9/I7)</f>
        <v>0.67</v>
      </c>
      <c r="J10" s="39" t="n">
        <f aca="false">IF(J7=0,0,J9/J7)</f>
        <v>0.67</v>
      </c>
      <c r="K10" s="39" t="n">
        <f aca="false">IF(K7=0,0,K9/K7)</f>
        <v>0.67</v>
      </c>
      <c r="L10" s="39" t="n">
        <f aca="false">IF(L7=0,0,L9/L7)</f>
        <v>0.67</v>
      </c>
      <c r="M10" s="39" t="n">
        <f aca="false">IF(M7=0,0,M9/M7)</f>
        <v>0.67</v>
      </c>
      <c r="N10" s="39" t="n">
        <f aca="false">IF(N7=0,0,N9/N7)</f>
        <v>0.67</v>
      </c>
      <c r="O10" s="39" t="n">
        <f aca="false">IF(O7=0,0,O9/O7)</f>
        <v>0.67</v>
      </c>
      <c r="P10" s="39" t="n">
        <f aca="false">IF(P7=0,0,P9/P7)</f>
        <v>0.67</v>
      </c>
      <c r="Q10" s="39" t="n">
        <f aca="false">IF(Q7=0,0,Q9/Q7)</f>
        <v>0.67</v>
      </c>
      <c r="R10" s="39" t="n">
        <f aca="false">IF(R7=0,0,R9/R7)</f>
        <v>0.67</v>
      </c>
      <c r="S10" s="39" t="n">
        <f aca="false">IF(S7=0,0,S9/S7)</f>
        <v>0.67</v>
      </c>
    </row>
    <row r="11" customFormat="false" ht="15" hidden="false" customHeight="false" outlineLevel="0" collapsed="false">
      <c r="A11" s="49" t="s">
        <v>75</v>
      </c>
      <c r="B11" s="35" t="n">
        <f aca="false">'P&amp;L'!B13</f>
        <v>-213034</v>
      </c>
      <c r="C11" s="35" t="n">
        <f aca="false">'P&amp;L'!C13</f>
        <v>-219466.2976</v>
      </c>
      <c r="D11" s="35" t="n">
        <f aca="false">'P&amp;L'!D13</f>
        <v>-224468.14595968</v>
      </c>
      <c r="E11" s="35" t="n">
        <f aca="false">'P&amp;L'!E13</f>
        <v>-229689.621265979</v>
      </c>
      <c r="F11" s="35" t="n">
        <f aca="false">'P&amp;L'!F13</f>
        <v>-235143.698990612</v>
      </c>
      <c r="H11" s="35" t="n">
        <f aca="false">INDEX(Monthly!$C$21:$BJ$21,($R$2-1)*12+1)</f>
        <v>-17421.3333333333</v>
      </c>
      <c r="I11" s="35" t="n">
        <f aca="false">INDEX(Monthly!$C$21:$BJ$21,($R$2-1)*12+2)</f>
        <v>-17499.3333333333</v>
      </c>
      <c r="J11" s="35" t="n">
        <f aca="false">INDEX(Monthly!$C$21:$BJ$21,($R$2-1)*12+3)</f>
        <v>-17577.3333333333</v>
      </c>
      <c r="K11" s="35" t="n">
        <f aca="false">INDEX(Monthly!$C$21:$BJ$21,($R$2-1)*12+4)</f>
        <v>-17655.3333333333</v>
      </c>
      <c r="L11" s="35" t="n">
        <f aca="false">INDEX(Monthly!$C$21:$BJ$21,($R$2-1)*12+5)</f>
        <v>-17733.3333333333</v>
      </c>
      <c r="M11" s="35" t="n">
        <f aca="false">INDEX(Monthly!$C$21:$BJ$21,($R$2-1)*12+6)</f>
        <v>-17811.3333333333</v>
      </c>
      <c r="N11" s="35" t="n">
        <f aca="false">INDEX(Monthly!$C$21:$BJ$21,($R$2-1)*12+7)</f>
        <v>-17889.3333333333</v>
      </c>
      <c r="O11" s="35" t="n">
        <f aca="false">INDEX(Monthly!$C$21:$BJ$21,($R$2-1)*12+8)</f>
        <v>-17889.3333333333</v>
      </c>
      <c r="P11" s="35" t="n">
        <f aca="false">INDEX(Monthly!$C$21:$BJ$21,($R$2-1)*12+9)</f>
        <v>-17889.3333333333</v>
      </c>
      <c r="Q11" s="35" t="n">
        <f aca="false">INDEX(Monthly!$C$21:$BJ$21,($R$2-1)*12+10)</f>
        <v>-17889.3333333333</v>
      </c>
      <c r="R11" s="35" t="n">
        <f aca="false">INDEX(Monthly!$C$21:$BJ$21,($R$2-1)*12+11)</f>
        <v>-17889.3333333333</v>
      </c>
      <c r="S11" s="35" t="n">
        <f aca="false">INDEX(Monthly!$C$21:$BJ$21,($R$2-1)*12+12)</f>
        <v>-17889.3333333333</v>
      </c>
    </row>
    <row r="12" customFormat="false" ht="15" hidden="false" customHeight="false" outlineLevel="0" collapsed="false">
      <c r="A12" s="36" t="s">
        <v>48</v>
      </c>
      <c r="B12" s="37" t="n">
        <f aca="false">'P&amp;L'!B14</f>
        <v>1231.99999999997</v>
      </c>
      <c r="C12" s="37" t="n">
        <f aca="false">'P&amp;L'!C14</f>
        <v>54409.5488</v>
      </c>
      <c r="D12" s="37" t="n">
        <f aca="false">'P&amp;L'!D14</f>
        <v>74549.5031398401</v>
      </c>
      <c r="E12" s="37" t="n">
        <f aca="false">'P&amp;L'!E14</f>
        <v>96777.8480208774</v>
      </c>
      <c r="F12" s="37" t="n">
        <f aca="false">'P&amp;L'!F14</f>
        <v>121293.483976778</v>
      </c>
      <c r="H12" s="37" t="n">
        <f aca="false">INDEX(Monthly!$C$22:$BJ$22,($R$2-1)*12+1)</f>
        <v>-6969.33333333334</v>
      </c>
      <c r="I12" s="37" t="n">
        <f aca="false">INDEX(Monthly!$C$22:$BJ$22,($R$2-1)*12+2)</f>
        <v>-5305.33333333333</v>
      </c>
      <c r="J12" s="37" t="n">
        <f aca="false">INDEX(Monthly!$C$22:$BJ$22,($R$2-1)*12+3)</f>
        <v>-3641.33333333334</v>
      </c>
      <c r="K12" s="37" t="n">
        <f aca="false">INDEX(Monthly!$C$22:$BJ$22,($R$2-1)*12+4)</f>
        <v>-1977.33333333334</v>
      </c>
      <c r="L12" s="37" t="n">
        <f aca="false">INDEX(Monthly!$C$22:$BJ$22,($R$2-1)*12+5)</f>
        <v>-313.333333333339</v>
      </c>
      <c r="M12" s="37" t="n">
        <f aca="false">INDEX(Monthly!$C$22:$BJ$22,($R$2-1)*12+6)</f>
        <v>1350.66666666666</v>
      </c>
      <c r="N12" s="37" t="n">
        <f aca="false">INDEX(Monthly!$C$22:$BJ$22,($R$2-1)*12+7)</f>
        <v>3014.66666666666</v>
      </c>
      <c r="O12" s="37" t="n">
        <f aca="false">INDEX(Monthly!$C$22:$BJ$22,($R$2-1)*12+8)</f>
        <v>3014.66666666666</v>
      </c>
      <c r="P12" s="37" t="n">
        <f aca="false">INDEX(Monthly!$C$22:$BJ$22,($R$2-1)*12+9)</f>
        <v>3014.66666666666</v>
      </c>
      <c r="Q12" s="37" t="n">
        <f aca="false">INDEX(Monthly!$C$22:$BJ$22,($R$2-1)*12+10)</f>
        <v>3014.66666666666</v>
      </c>
      <c r="R12" s="37" t="n">
        <f aca="false">INDEX(Monthly!$C$22:$BJ$22,($R$2-1)*12+11)</f>
        <v>3014.66666666666</v>
      </c>
      <c r="S12" s="37" t="n">
        <f aca="false">INDEX(Monthly!$C$22:$BJ$22,($R$2-1)*12+12)</f>
        <v>3014.66666666666</v>
      </c>
    </row>
    <row r="13" customFormat="false" ht="15" hidden="false" customHeight="false" outlineLevel="0" collapsed="false">
      <c r="A13" s="38" t="s">
        <v>49</v>
      </c>
      <c r="B13" s="39" t="n">
        <f aca="false">'P&amp;L'!B15</f>
        <v>0.00385240775484667</v>
      </c>
      <c r="C13" s="39" t="n">
        <f aca="false">'P&amp;L'!C15</f>
        <v>0.133105559234887</v>
      </c>
      <c r="D13" s="39" t="n">
        <f aca="false">'P&amp;L'!D15</f>
        <v>0.167040866163284</v>
      </c>
      <c r="E13" s="39" t="n">
        <f aca="false">'P&amp;L'!E15</f>
        <v>0.19861445403926</v>
      </c>
      <c r="F13" s="39" t="n">
        <f aca="false">'P&amp;L'!F15</f>
        <v>0.227997072549741</v>
      </c>
      <c r="H13" s="39" t="n">
        <f aca="false">IF(H7=0,0,H12/H7)</f>
        <v>-0.446752136752137</v>
      </c>
      <c r="I13" s="39" t="n">
        <f aca="false">IF(I7=0,0,I12/I7)</f>
        <v>-0.291501831501831</v>
      </c>
      <c r="J13" s="39" t="n">
        <f aca="false">IF(J7=0,0,J12/J7)</f>
        <v>-0.175064102564103</v>
      </c>
      <c r="K13" s="39" t="n">
        <f aca="false">IF(K7=0,0,K12/K7)</f>
        <v>-0.0845014245014246</v>
      </c>
      <c r="L13" s="39" t="n">
        <f aca="false">IF(L7=0,0,L12/L7)</f>
        <v>-0.0120512820512823</v>
      </c>
      <c r="M13" s="39" t="n">
        <f aca="false">IF(M7=0,0,M12/M7)</f>
        <v>0.0472261072261071</v>
      </c>
      <c r="N13" s="39" t="n">
        <f aca="false">IF(N7=0,0,N12/N7)</f>
        <v>0.0966239316239315</v>
      </c>
      <c r="O13" s="39" t="n">
        <f aca="false">IF(O7=0,0,O12/O7)</f>
        <v>0.0966239316239315</v>
      </c>
      <c r="P13" s="39" t="n">
        <f aca="false">IF(P7=0,0,P12/P7)</f>
        <v>0.0966239316239315</v>
      </c>
      <c r="Q13" s="39" t="n">
        <f aca="false">IF(Q7=0,0,Q12/Q7)</f>
        <v>0.0966239316239315</v>
      </c>
      <c r="R13" s="39" t="n">
        <f aca="false">IF(R7=0,0,R12/R7)</f>
        <v>0.0966239316239315</v>
      </c>
      <c r="S13" s="39" t="n">
        <f aca="false">IF(S7=0,0,S12/S7)</f>
        <v>0.0966239316239315</v>
      </c>
    </row>
    <row r="14" customFormat="false" ht="15" hidden="false" customHeight="false" outlineLevel="0" collapsed="false">
      <c r="A14" s="49" t="s">
        <v>76</v>
      </c>
      <c r="B14" s="35" t="n">
        <f aca="false">'P&amp;L'!B16</f>
        <v>-22857.1428571429</v>
      </c>
      <c r="C14" s="35" t="n">
        <f aca="false">'P&amp;L'!C16</f>
        <v>-22857.1428571429</v>
      </c>
      <c r="D14" s="35" t="n">
        <f aca="false">'P&amp;L'!D16</f>
        <v>-22857.1428571429</v>
      </c>
      <c r="E14" s="35" t="n">
        <f aca="false">'P&amp;L'!E16</f>
        <v>-22857.1428571429</v>
      </c>
      <c r="F14" s="35" t="n">
        <f aca="false">'P&amp;L'!F16</f>
        <v>-22857.1428571429</v>
      </c>
      <c r="H14" s="35" t="n">
        <f aca="false">INDEX(Monthly!$C$36:$BJ$36,($R$2-1)*12+1)</f>
        <v>-1904.7619047619</v>
      </c>
      <c r="I14" s="35" t="n">
        <f aca="false">INDEX(Monthly!$C$36:$BJ$36,($R$2-1)*12+2)</f>
        <v>-1904.7619047619</v>
      </c>
      <c r="J14" s="35" t="n">
        <f aca="false">INDEX(Monthly!$C$36:$BJ$36,($R$2-1)*12+3)</f>
        <v>-1904.7619047619</v>
      </c>
      <c r="K14" s="35" t="n">
        <f aca="false">INDEX(Monthly!$C$36:$BJ$36,($R$2-1)*12+4)</f>
        <v>-1904.7619047619</v>
      </c>
      <c r="L14" s="35" t="n">
        <f aca="false">INDEX(Monthly!$C$36:$BJ$36,($R$2-1)*12+5)</f>
        <v>-1904.7619047619</v>
      </c>
      <c r="M14" s="35" t="n">
        <f aca="false">INDEX(Monthly!$C$36:$BJ$36,($R$2-1)*12+6)</f>
        <v>-1904.7619047619</v>
      </c>
      <c r="N14" s="35" t="n">
        <f aca="false">INDEX(Monthly!$C$36:$BJ$36,($R$2-1)*12+7)</f>
        <v>-1904.7619047619</v>
      </c>
      <c r="O14" s="35" t="n">
        <f aca="false">INDEX(Monthly!$C$36:$BJ$36,($R$2-1)*12+8)</f>
        <v>-1904.7619047619</v>
      </c>
      <c r="P14" s="35" t="n">
        <f aca="false">INDEX(Monthly!$C$36:$BJ$36,($R$2-1)*12+9)</f>
        <v>-1904.7619047619</v>
      </c>
      <c r="Q14" s="35" t="n">
        <f aca="false">INDEX(Monthly!$C$36:$BJ$36,($R$2-1)*12+10)</f>
        <v>-1904.7619047619</v>
      </c>
      <c r="R14" s="35" t="n">
        <f aca="false">INDEX(Monthly!$C$36:$BJ$36,($R$2-1)*12+11)</f>
        <v>-1904.7619047619</v>
      </c>
      <c r="S14" s="35" t="n">
        <f aca="false">INDEX(Monthly!$C$36:$BJ$36,($R$2-1)*12+12)</f>
        <v>-1904.7619047619</v>
      </c>
    </row>
    <row r="15" customFormat="false" ht="15" hidden="false" customHeight="false" outlineLevel="0" collapsed="false">
      <c r="A15" s="36" t="s">
        <v>77</v>
      </c>
      <c r="B15" s="37" t="n">
        <f aca="false">'P&amp;L'!B17</f>
        <v>-21625.1428571429</v>
      </c>
      <c r="C15" s="37" t="n">
        <f aca="false">'P&amp;L'!C17</f>
        <v>31552.4059428572</v>
      </c>
      <c r="D15" s="37" t="n">
        <f aca="false">'P&amp;L'!D17</f>
        <v>51692.3602826972</v>
      </c>
      <c r="E15" s="37" t="n">
        <f aca="false">'P&amp;L'!E17</f>
        <v>73920.7051637345</v>
      </c>
      <c r="F15" s="37" t="n">
        <f aca="false">'P&amp;L'!F17</f>
        <v>98436.3411196351</v>
      </c>
      <c r="H15" s="37" t="n">
        <f aca="false">INDEX(Monthly!$C$25:$BJ$25,($R$2-1)*12+1)</f>
        <v>-8874.09523809524</v>
      </c>
      <c r="I15" s="37" t="n">
        <f aca="false">INDEX(Monthly!$C$25:$BJ$25,($R$2-1)*12+2)</f>
        <v>-7210.09523809524</v>
      </c>
      <c r="J15" s="37" t="n">
        <f aca="false">INDEX(Monthly!$C$25:$BJ$25,($R$2-1)*12+3)</f>
        <v>-5546.09523809524</v>
      </c>
      <c r="K15" s="37" t="n">
        <f aca="false">INDEX(Monthly!$C$25:$BJ$25,($R$2-1)*12+4)</f>
        <v>-3882.09523809524</v>
      </c>
      <c r="L15" s="37" t="n">
        <f aca="false">INDEX(Monthly!$C$25:$BJ$25,($R$2-1)*12+5)</f>
        <v>-2218.09523809524</v>
      </c>
      <c r="M15" s="37" t="n">
        <f aca="false">INDEX(Monthly!$C$25:$BJ$25,($R$2-1)*12+6)</f>
        <v>-554.095238095241</v>
      </c>
      <c r="N15" s="37" t="n">
        <f aca="false">INDEX(Monthly!$C$25:$BJ$25,($R$2-1)*12+7)</f>
        <v>1109.90476190476</v>
      </c>
      <c r="O15" s="37" t="n">
        <f aca="false">INDEX(Monthly!$C$25:$BJ$25,($R$2-1)*12+8)</f>
        <v>1109.90476190476</v>
      </c>
      <c r="P15" s="37" t="n">
        <f aca="false">INDEX(Monthly!$C$25:$BJ$25,($R$2-1)*12+9)</f>
        <v>1109.90476190476</v>
      </c>
      <c r="Q15" s="37" t="n">
        <f aca="false">INDEX(Monthly!$C$25:$BJ$25,($R$2-1)*12+10)</f>
        <v>1109.90476190476</v>
      </c>
      <c r="R15" s="37" t="n">
        <f aca="false">INDEX(Monthly!$C$25:$BJ$25,($R$2-1)*12+11)</f>
        <v>1109.90476190476</v>
      </c>
      <c r="S15" s="37" t="n">
        <f aca="false">INDEX(Monthly!$C$25:$BJ$25,($R$2-1)*12+12)</f>
        <v>1109.90476190476</v>
      </c>
    </row>
    <row r="16" customFormat="false" ht="15" hidden="false" customHeight="false" outlineLevel="0" collapsed="false">
      <c r="A16" s="49" t="s">
        <v>78</v>
      </c>
      <c r="B16" s="35" t="n">
        <f aca="false">'P&amp;L'!B18</f>
        <v>-5862.22222222222</v>
      </c>
      <c r="C16" s="35" t="n">
        <f aca="false">'P&amp;L'!C18</f>
        <v>-4586.66666666667</v>
      </c>
      <c r="D16" s="35" t="n">
        <f aca="false">'P&amp;L'!D18</f>
        <v>-3306.66666666667</v>
      </c>
      <c r="E16" s="35" t="n">
        <f aca="false">'P&amp;L'!E18</f>
        <v>-2026.66666666667</v>
      </c>
      <c r="F16" s="35" t="n">
        <f aca="false">'P&amp;L'!F18</f>
        <v>-746.666666666667</v>
      </c>
      <c r="H16" s="35" t="n">
        <f aca="false">INDEX(Monthly!$C$26:$BJ$26,($R$2-1)*12+1)</f>
        <v>-533.333333333333</v>
      </c>
      <c r="I16" s="35" t="n">
        <f aca="false">INDEX(Monthly!$C$26:$BJ$26,($R$2-1)*12+2)</f>
        <v>-528.888888888889</v>
      </c>
      <c r="J16" s="35" t="n">
        <f aca="false">INDEX(Monthly!$C$26:$BJ$26,($R$2-1)*12+3)</f>
        <v>-520</v>
      </c>
      <c r="K16" s="35" t="n">
        <f aca="false">INDEX(Monthly!$C$26:$BJ$26,($R$2-1)*12+4)</f>
        <v>-511.111111111111</v>
      </c>
      <c r="L16" s="35" t="n">
        <f aca="false">INDEX(Monthly!$C$26:$BJ$26,($R$2-1)*12+5)</f>
        <v>-502.222222222222</v>
      </c>
      <c r="M16" s="35" t="n">
        <f aca="false">INDEX(Monthly!$C$26:$BJ$26,($R$2-1)*12+6)</f>
        <v>-493.333333333334</v>
      </c>
      <c r="N16" s="35" t="n">
        <f aca="false">INDEX(Monthly!$C$26:$BJ$26,($R$2-1)*12+7)</f>
        <v>-484.444444444445</v>
      </c>
      <c r="O16" s="35" t="n">
        <f aca="false">INDEX(Monthly!$C$26:$BJ$26,($R$2-1)*12+8)</f>
        <v>-475.555555555556</v>
      </c>
      <c r="P16" s="35" t="n">
        <f aca="false">INDEX(Monthly!$C$26:$BJ$26,($R$2-1)*12+9)</f>
        <v>-466.666666666667</v>
      </c>
      <c r="Q16" s="35" t="n">
        <f aca="false">INDEX(Monthly!$C$26:$BJ$26,($R$2-1)*12+10)</f>
        <v>-457.777777777778</v>
      </c>
      <c r="R16" s="35" t="n">
        <f aca="false">INDEX(Monthly!$C$26:$BJ$26,($R$2-1)*12+11)</f>
        <v>-448.888888888889</v>
      </c>
      <c r="S16" s="35" t="n">
        <f aca="false">INDEX(Monthly!$C$26:$BJ$26,($R$2-1)*12+12)</f>
        <v>-440</v>
      </c>
    </row>
    <row r="17" customFormat="false" ht="15" hidden="false" customHeight="false" outlineLevel="0" collapsed="false">
      <c r="A17" s="49" t="s">
        <v>79</v>
      </c>
      <c r="B17" s="35" t="n">
        <f aca="false">'P&amp;L'!B19</f>
        <v>-27487.3650793651</v>
      </c>
      <c r="C17" s="35" t="n">
        <f aca="false">'P&amp;L'!C19</f>
        <v>26965.7392761905</v>
      </c>
      <c r="D17" s="35" t="n">
        <f aca="false">'P&amp;L'!D19</f>
        <v>48385.6936160305</v>
      </c>
      <c r="E17" s="35" t="n">
        <f aca="false">'P&amp;L'!E19</f>
        <v>71894.0384970679</v>
      </c>
      <c r="F17" s="35" t="n">
        <f aca="false">'P&amp;L'!F19</f>
        <v>97689.6744529684</v>
      </c>
      <c r="H17" s="35" t="n">
        <f aca="false">INDEX(Monthly!$C$27:$BJ$27,($R$2-1)*12+1)</f>
        <v>-9407.42857142857</v>
      </c>
      <c r="I17" s="35" t="n">
        <f aca="false">INDEX(Monthly!$C$27:$BJ$27,($R$2-1)*12+2)</f>
        <v>-7738.98412698413</v>
      </c>
      <c r="J17" s="35" t="n">
        <f aca="false">INDEX(Monthly!$C$27:$BJ$27,($R$2-1)*12+3)</f>
        <v>-6066.09523809524</v>
      </c>
      <c r="K17" s="35" t="n">
        <f aca="false">INDEX(Monthly!$C$27:$BJ$27,($R$2-1)*12+4)</f>
        <v>-4393.20634920635</v>
      </c>
      <c r="L17" s="35" t="n">
        <f aca="false">INDEX(Monthly!$C$27:$BJ$27,($R$2-1)*12+5)</f>
        <v>-2720.31746031747</v>
      </c>
      <c r="M17" s="35" t="n">
        <f aca="false">INDEX(Monthly!$C$27:$BJ$27,($R$2-1)*12+6)</f>
        <v>-1047.42857142857</v>
      </c>
      <c r="N17" s="35" t="n">
        <f aca="false">INDEX(Monthly!$C$27:$BJ$27,($R$2-1)*12+7)</f>
        <v>625.460317460315</v>
      </c>
      <c r="O17" s="35" t="n">
        <f aca="false">INDEX(Monthly!$C$27:$BJ$27,($R$2-1)*12+8)</f>
        <v>634.349206349204</v>
      </c>
      <c r="P17" s="35" t="n">
        <f aca="false">INDEX(Monthly!$C$27:$BJ$27,($R$2-1)*12+9)</f>
        <v>643.238095238093</v>
      </c>
      <c r="Q17" s="35" t="n">
        <f aca="false">INDEX(Monthly!$C$27:$BJ$27,($R$2-1)*12+10)</f>
        <v>652.126984126981</v>
      </c>
      <c r="R17" s="35" t="n">
        <f aca="false">INDEX(Monthly!$C$27:$BJ$27,($R$2-1)*12+11)</f>
        <v>661.01587301587</v>
      </c>
      <c r="S17" s="35" t="n">
        <f aca="false">INDEX(Monthly!$C$27:$BJ$27,($R$2-1)*12+12)</f>
        <v>669.904761904759</v>
      </c>
    </row>
    <row r="18" customFormat="false" ht="15" hidden="false" customHeight="false" outlineLevel="0" collapsed="false">
      <c r="A18" s="49" t="s">
        <v>80</v>
      </c>
      <c r="B18" s="35" t="n">
        <f aca="false">'P&amp;L'!B20</f>
        <v>0</v>
      </c>
      <c r="C18" s="35" t="n">
        <f aca="false">'P&amp;L'!C20</f>
        <v>0</v>
      </c>
      <c r="D18" s="35" t="n">
        <f aca="false">'P&amp;L'!D20</f>
        <v>-10051.4542406997</v>
      </c>
      <c r="E18" s="35" t="n">
        <f aca="false">'P&amp;L'!E20</f>
        <v>-15097.7480843843</v>
      </c>
      <c r="F18" s="35" t="n">
        <f aca="false">'P&amp;L'!F20</f>
        <v>-20514.8316351234</v>
      </c>
      <c r="H18" s="35" t="n">
        <f aca="false">INDEX(Monthly!$C$30:$BJ$30,($R$2-1)*12+1)</f>
        <v>-0</v>
      </c>
      <c r="I18" s="35" t="n">
        <f aca="false">INDEX(Monthly!$C$30:$BJ$30,($R$2-1)*12+2)</f>
        <v>-0</v>
      </c>
      <c r="J18" s="35" t="n">
        <f aca="false">INDEX(Monthly!$C$30:$BJ$30,($R$2-1)*12+3)</f>
        <v>-0</v>
      </c>
      <c r="K18" s="35" t="n">
        <f aca="false">INDEX(Monthly!$C$30:$BJ$30,($R$2-1)*12+4)</f>
        <v>-0</v>
      </c>
      <c r="L18" s="35" t="n">
        <f aca="false">INDEX(Monthly!$C$30:$BJ$30,($R$2-1)*12+5)</f>
        <v>-0</v>
      </c>
      <c r="M18" s="35" t="n">
        <f aca="false">INDEX(Monthly!$C$30:$BJ$30,($R$2-1)*12+6)</f>
        <v>-0</v>
      </c>
      <c r="N18" s="35" t="n">
        <f aca="false">INDEX(Monthly!$C$30:$BJ$30,($R$2-1)*12+7)</f>
        <v>-0</v>
      </c>
      <c r="O18" s="35" t="n">
        <f aca="false">INDEX(Monthly!$C$30:$BJ$30,($R$2-1)*12+8)</f>
        <v>-0</v>
      </c>
      <c r="P18" s="35" t="n">
        <f aca="false">INDEX(Monthly!$C$30:$BJ$30,($R$2-1)*12+9)</f>
        <v>-0</v>
      </c>
      <c r="Q18" s="35" t="n">
        <f aca="false">INDEX(Monthly!$C$30:$BJ$30,($R$2-1)*12+10)</f>
        <v>-0</v>
      </c>
      <c r="R18" s="35" t="n">
        <f aca="false">INDEX(Monthly!$C$30:$BJ$30,($R$2-1)*12+11)</f>
        <v>-0</v>
      </c>
      <c r="S18" s="35" t="n">
        <f aca="false">INDEX(Monthly!$C$30:$BJ$30,($R$2-1)*12+12)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'P&amp;L'!B21</f>
        <v>-27487.3650793651</v>
      </c>
      <c r="C19" s="41" t="n">
        <f aca="false">'P&amp;L'!C21</f>
        <v>26965.7392761905</v>
      </c>
      <c r="D19" s="41" t="n">
        <f aca="false">'P&amp;L'!D21</f>
        <v>38334.2393753308</v>
      </c>
      <c r="E19" s="41" t="n">
        <f aca="false">'P&amp;L'!E21</f>
        <v>56796.2904126836</v>
      </c>
      <c r="F19" s="41" t="n">
        <f aca="false">'P&amp;L'!F21</f>
        <v>77174.842817845</v>
      </c>
      <c r="H19" s="41" t="n">
        <f aca="false">INDEX(Monthly!$C$31:$BJ$31,($R$2-1)*12+1)</f>
        <v>-9407.42857142857</v>
      </c>
      <c r="I19" s="41" t="n">
        <f aca="false">INDEX(Monthly!$C$31:$BJ$31,($R$2-1)*12+2)</f>
        <v>-7738.98412698413</v>
      </c>
      <c r="J19" s="41" t="n">
        <f aca="false">INDEX(Monthly!$C$31:$BJ$31,($R$2-1)*12+3)</f>
        <v>-6066.09523809524</v>
      </c>
      <c r="K19" s="41" t="n">
        <f aca="false">INDEX(Monthly!$C$31:$BJ$31,($R$2-1)*12+4)</f>
        <v>-4393.20634920635</v>
      </c>
      <c r="L19" s="41" t="n">
        <f aca="false">INDEX(Monthly!$C$31:$BJ$31,($R$2-1)*12+5)</f>
        <v>-2720.31746031747</v>
      </c>
      <c r="M19" s="41" t="n">
        <f aca="false">INDEX(Monthly!$C$31:$BJ$31,($R$2-1)*12+6)</f>
        <v>-1047.42857142857</v>
      </c>
      <c r="N19" s="41" t="n">
        <f aca="false">INDEX(Monthly!$C$31:$BJ$31,($R$2-1)*12+7)</f>
        <v>625.460317460315</v>
      </c>
      <c r="O19" s="41" t="n">
        <f aca="false">INDEX(Monthly!$C$31:$BJ$31,($R$2-1)*12+8)</f>
        <v>634.349206349204</v>
      </c>
      <c r="P19" s="41" t="n">
        <f aca="false">INDEX(Monthly!$C$31:$BJ$31,($R$2-1)*12+9)</f>
        <v>643.238095238093</v>
      </c>
      <c r="Q19" s="41" t="n">
        <f aca="false">INDEX(Monthly!$C$31:$BJ$31,($R$2-1)*12+10)</f>
        <v>652.126984126981</v>
      </c>
      <c r="R19" s="41" t="n">
        <f aca="false">INDEX(Monthly!$C$31:$BJ$31,($R$2-1)*12+11)</f>
        <v>661.01587301587</v>
      </c>
      <c r="S19" s="41" t="n">
        <f aca="false">INDEX(Monthly!$C$31:$BJ$31,($R$2-1)*12+12)</f>
        <v>669.904761904759</v>
      </c>
    </row>
    <row r="20" customFormat="false" ht="15" hidden="false" customHeight="false" outlineLevel="0" collapsed="false">
      <c r="A20" s="38" t="s">
        <v>51</v>
      </c>
      <c r="B20" s="39" t="n">
        <f aca="false">'P&amp;L'!B22</f>
        <v>-0.0859517357078334</v>
      </c>
      <c r="C20" s="39" t="n">
        <f aca="false">'P&amp;L'!C22</f>
        <v>0.0659680127055105</v>
      </c>
      <c r="D20" s="39" t="n">
        <f aca="false">'P&amp;L'!D22</f>
        <v>0.0858943960626331</v>
      </c>
      <c r="E20" s="39" t="n">
        <f aca="false">'P&amp;L'!E22</f>
        <v>0.116561428492778</v>
      </c>
      <c r="F20" s="39" t="n">
        <f aca="false">'P&amp;L'!F22</f>
        <v>0.145066640515692</v>
      </c>
      <c r="H20" s="39" t="n">
        <f aca="false">IF(H7=0,0,H19/H7)</f>
        <v>-0.603040293040293</v>
      </c>
      <c r="I20" s="39" t="n">
        <f aca="false">IF(I7=0,0,I19/I7)</f>
        <v>-0.425218908076051</v>
      </c>
      <c r="J20" s="39" t="n">
        <f aca="false">IF(J7=0,0,J19/J7)</f>
        <v>-0.291639194139195</v>
      </c>
      <c r="K20" s="39" t="n">
        <f aca="false">IF(K7=0,0,K19/K7)</f>
        <v>-0.187743861077195</v>
      </c>
      <c r="L20" s="39" t="n">
        <f aca="false">IF(L7=0,0,L19/L7)</f>
        <v>-0.104627594627595</v>
      </c>
      <c r="M20" s="39" t="n">
        <f aca="false">IF(M7=0,0,M19/M7)</f>
        <v>-0.0366233766233767</v>
      </c>
      <c r="N20" s="39" t="n">
        <f aca="false">IF(N7=0,0,N19/N7)</f>
        <v>0.020046805046805</v>
      </c>
      <c r="O20" s="39" t="n">
        <f aca="false">IF(O7=0,0,O19/O7)</f>
        <v>0.0203317053317052</v>
      </c>
      <c r="P20" s="39" t="n">
        <f aca="false">IF(P7=0,0,P19/P7)</f>
        <v>0.0206166056166055</v>
      </c>
      <c r="Q20" s="39" t="n">
        <f aca="false">IF(Q7=0,0,Q19/Q7)</f>
        <v>0.0209015059015058</v>
      </c>
      <c r="R20" s="39" t="n">
        <f aca="false">IF(R7=0,0,R19/R7)</f>
        <v>0.0211864061864061</v>
      </c>
      <c r="S20" s="39" t="n">
        <f aca="false">IF(S7=0,0,S19/S7)</f>
        <v>0.0214713064713064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-4307.82222222226</v>
      </c>
      <c r="C24" s="37" t="n">
        <f aca="false">'Cash Flow'!C10</f>
        <v>49852.4784533334</v>
      </c>
      <c r="D24" s="37" t="n">
        <f aca="false">'Cash Flow'!D10</f>
        <v>61223.6954946496</v>
      </c>
      <c r="E24" s="37" t="n">
        <f aca="false">'Cash Flow'!E10</f>
        <v>79688.7128894702</v>
      </c>
      <c r="F24" s="37" t="n">
        <f aca="false">'Cash Flow'!F10</f>
        <v>100070.503963715</v>
      </c>
      <c r="H24" s="37" t="n">
        <f aca="false">INDEX(Monthly!$C$55:$BJ$55,($R$2-1)*12+1)</f>
        <v>-7341.46666666667</v>
      </c>
      <c r="I24" s="37" t="n">
        <f aca="false">INDEX(Monthly!$C$55:$BJ$55,($R$2-1)*12+2)</f>
        <v>-5807.35555555556</v>
      </c>
      <c r="J24" s="37" t="n">
        <f aca="false">INDEX(Monthly!$C$55:$BJ$55,($R$2-1)*12+3)</f>
        <v>-4134.46666666667</v>
      </c>
      <c r="K24" s="37" t="n">
        <f aca="false">INDEX(Monthly!$C$55:$BJ$55,($R$2-1)*12+4)</f>
        <v>-2461.57777777778</v>
      </c>
      <c r="L24" s="37" t="n">
        <f aca="false">INDEX(Monthly!$C$55:$BJ$55,($R$2-1)*12+5)</f>
        <v>-788.688888888894</v>
      </c>
      <c r="M24" s="37" t="n">
        <f aca="false">INDEX(Monthly!$C$55:$BJ$55,($R$2-1)*12+6)</f>
        <v>884.199999999997</v>
      </c>
      <c r="N24" s="37" t="n">
        <f aca="false">INDEX(Monthly!$C$55:$BJ$55,($R$2-1)*12+7)</f>
        <v>2557.08888888889</v>
      </c>
      <c r="O24" s="37" t="n">
        <f aca="false">INDEX(Monthly!$C$55:$BJ$55,($R$2-1)*12+8)</f>
        <v>2539.11111111111</v>
      </c>
      <c r="P24" s="37" t="n">
        <f aca="false">INDEX(Monthly!$C$55:$BJ$55,($R$2-1)*12+9)</f>
        <v>2548</v>
      </c>
      <c r="Q24" s="37" t="n">
        <f aca="false">INDEX(Monthly!$C$55:$BJ$55,($R$2-1)*12+10)</f>
        <v>2556.88888888889</v>
      </c>
      <c r="R24" s="37" t="n">
        <f aca="false">INDEX(Monthly!$C$55:$BJ$55,($R$2-1)*12+11)</f>
        <v>2565.77777777778</v>
      </c>
      <c r="S24" s="37" t="n">
        <f aca="false">INDEX(Monthly!$C$55:$BJ$55,($R$2-1)*12+12)</f>
        <v>2574.66666666666</v>
      </c>
    </row>
    <row r="25" customFormat="false" ht="15" hidden="false" customHeight="false" outlineLevel="0" collapsed="false">
      <c r="A25" s="49" t="s">
        <v>82</v>
      </c>
      <c r="B25" s="35" t="n">
        <f aca="false">'Cash Flow'!B11</f>
        <v>-160000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INDEX(Monthly!$C$56:$BJ$56,($R$2-1)*12+1)</f>
        <v>-160000</v>
      </c>
      <c r="I25" s="35" t="n">
        <f aca="false">INDEX(Monthly!$C$56:$BJ$56,($R$2-1)*12+2)</f>
        <v>-0</v>
      </c>
      <c r="J25" s="35" t="n">
        <f aca="false">INDEX(Monthly!$C$56:$BJ$56,($R$2-1)*12+3)</f>
        <v>-0</v>
      </c>
      <c r="K25" s="35" t="n">
        <f aca="false">INDEX(Monthly!$C$56:$BJ$56,($R$2-1)*12+4)</f>
        <v>-0</v>
      </c>
      <c r="L25" s="35" t="n">
        <f aca="false">INDEX(Monthly!$C$56:$BJ$56,($R$2-1)*12+5)</f>
        <v>-0</v>
      </c>
      <c r="M25" s="35" t="n">
        <f aca="false">INDEX(Monthly!$C$56:$BJ$56,($R$2-1)*12+6)</f>
        <v>-0</v>
      </c>
      <c r="N25" s="35" t="n">
        <f aca="false">INDEX(Monthly!$C$56:$BJ$56,($R$2-1)*12+7)</f>
        <v>-0</v>
      </c>
      <c r="O25" s="35" t="n">
        <f aca="false">INDEX(Monthly!$C$56:$BJ$56,($R$2-1)*12+8)</f>
        <v>-0</v>
      </c>
      <c r="P25" s="35" t="n">
        <f aca="false">INDEX(Monthly!$C$56:$BJ$56,($R$2-1)*12+9)</f>
        <v>-0</v>
      </c>
      <c r="Q25" s="35" t="n">
        <f aca="false">INDEX(Monthly!$C$56:$BJ$56,($R$2-1)*12+10)</f>
        <v>-0</v>
      </c>
      <c r="R25" s="35" t="n">
        <f aca="false">INDEX(Monthly!$C$56:$BJ$56,($R$2-1)*12+11)</f>
        <v>-0</v>
      </c>
      <c r="S25" s="35" t="n">
        <f aca="false">INDEX(Monthly!$C$56:$BJ$56,($R$2-1)*12+12)</f>
        <v>-0</v>
      </c>
    </row>
    <row r="26" customFormat="false" ht="15" hidden="false" customHeight="false" outlineLevel="0" collapsed="false">
      <c r="A26" s="49" t="s">
        <v>62</v>
      </c>
      <c r="B26" s="35" t="n">
        <f aca="false">'Cash Flow'!B12</f>
        <v>140000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INDEX(Monthly!$C$57:$BJ$57,($R$2-1)*12+1)</f>
        <v>140000</v>
      </c>
      <c r="I26" s="35" t="n">
        <f aca="false">INDEX(Monthly!$C$57:$BJ$57,($R$2-1)*12+2)</f>
        <v>0</v>
      </c>
      <c r="J26" s="35" t="n">
        <f aca="false">INDEX(Monthly!$C$57:$BJ$57,($R$2-1)*12+3)</f>
        <v>0</v>
      </c>
      <c r="K26" s="35" t="n">
        <f aca="false">INDEX(Monthly!$C$57:$BJ$57,($R$2-1)*12+4)</f>
        <v>0</v>
      </c>
      <c r="L26" s="35" t="n">
        <f aca="false">INDEX(Monthly!$C$57:$BJ$57,($R$2-1)*12+5)</f>
        <v>0</v>
      </c>
      <c r="M26" s="35" t="n">
        <f aca="false">INDEX(Monthly!$C$57:$BJ$57,($R$2-1)*12+6)</f>
        <v>0</v>
      </c>
      <c r="N26" s="35" t="n">
        <f aca="false">INDEX(Monthly!$C$57:$BJ$57,($R$2-1)*12+7)</f>
        <v>0</v>
      </c>
      <c r="O26" s="35" t="n">
        <f aca="false">INDEX(Monthly!$C$57:$BJ$57,($R$2-1)*12+8)</f>
        <v>0</v>
      </c>
      <c r="P26" s="35" t="n">
        <f aca="false">INDEX(Monthly!$C$57:$BJ$57,($R$2-1)*12+9)</f>
        <v>0</v>
      </c>
      <c r="Q26" s="35" t="n">
        <f aca="false">INDEX(Monthly!$C$57:$BJ$57,($R$2-1)*12+10)</f>
        <v>0</v>
      </c>
      <c r="R26" s="35" t="n">
        <f aca="false">INDEX(Monthly!$C$57:$BJ$57,($R$2-1)*12+11)</f>
        <v>0</v>
      </c>
      <c r="S26" s="35" t="n">
        <f aca="false">INDEX(Monthly!$C$57:$BJ$57,($R$2-1)*12+12)</f>
        <v>0</v>
      </c>
    </row>
    <row r="27" customFormat="false" ht="15" hidden="false" customHeight="false" outlineLevel="0" collapsed="false">
      <c r="A27" s="49" t="s">
        <v>83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INDEX(Monthly!$C$42:$BJ$42,($R$2-1)*12+1)</f>
        <v>80000</v>
      </c>
      <c r="I27" s="35" t="n">
        <f aca="false">INDEX(Monthly!$C$42:$BJ$42,($R$2-1)*12+2)</f>
        <v>0</v>
      </c>
      <c r="J27" s="35" t="n">
        <f aca="false">INDEX(Monthly!$C$42:$BJ$42,($R$2-1)*12+3)</f>
        <v>0</v>
      </c>
      <c r="K27" s="35" t="n">
        <f aca="false">INDEX(Monthly!$C$42:$BJ$42,($R$2-1)*12+4)</f>
        <v>0</v>
      </c>
      <c r="L27" s="35" t="n">
        <f aca="false">INDEX(Monthly!$C$42:$BJ$42,($R$2-1)*12+5)</f>
        <v>0</v>
      </c>
      <c r="M27" s="35" t="n">
        <f aca="false">INDEX(Monthly!$C$42:$BJ$42,($R$2-1)*12+6)</f>
        <v>0</v>
      </c>
      <c r="N27" s="35" t="n">
        <f aca="false">INDEX(Monthly!$C$42:$BJ$42,($R$2-1)*12+7)</f>
        <v>0</v>
      </c>
      <c r="O27" s="35" t="n">
        <f aca="false">INDEX(Monthly!$C$42:$BJ$42,($R$2-1)*12+8)</f>
        <v>0</v>
      </c>
      <c r="P27" s="35" t="n">
        <f aca="false">INDEX(Monthly!$C$42:$BJ$42,($R$2-1)*12+9)</f>
        <v>0</v>
      </c>
      <c r="Q27" s="35" t="n">
        <f aca="false">INDEX(Monthly!$C$42:$BJ$42,($R$2-1)*12+10)</f>
        <v>0</v>
      </c>
      <c r="R27" s="35" t="n">
        <f aca="false">INDEX(Monthly!$C$42:$BJ$42,($R$2-1)*12+11)</f>
        <v>0</v>
      </c>
      <c r="S27" s="35" t="n">
        <f aca="false">INDEX(Monthly!$C$42:$BJ$42,($R$2-1)*12+12)</f>
        <v>0</v>
      </c>
    </row>
    <row r="28" customFormat="false" ht="15" hidden="false" customHeight="false" outlineLevel="0" collapsed="false">
      <c r="A28" s="49" t="s">
        <v>84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E28" s="35" t="n">
        <f aca="false">'Cash Flow'!E14</f>
        <v>-16000</v>
      </c>
      <c r="F28" s="35" t="n">
        <f aca="false">'Cash Flow'!F14</f>
        <v>-16000</v>
      </c>
      <c r="H28" s="35" t="n">
        <f aca="false">INDEX(Monthly!$C$43:$BJ$43,($R$2-1)*12+1)</f>
        <v>-0</v>
      </c>
      <c r="I28" s="35" t="n">
        <f aca="false">INDEX(Monthly!$C$43:$BJ$43,($R$2-1)*12+2)</f>
        <v>-1333.33333333333</v>
      </c>
      <c r="J28" s="35" t="n">
        <f aca="false">INDEX(Monthly!$C$43:$BJ$43,($R$2-1)*12+3)</f>
        <v>-1333.33333333333</v>
      </c>
      <c r="K28" s="35" t="n">
        <f aca="false">INDEX(Monthly!$C$43:$BJ$43,($R$2-1)*12+4)</f>
        <v>-1333.33333333333</v>
      </c>
      <c r="L28" s="35" t="n">
        <f aca="false">INDEX(Monthly!$C$43:$BJ$43,($R$2-1)*12+5)</f>
        <v>-1333.33333333333</v>
      </c>
      <c r="M28" s="35" t="n">
        <f aca="false">INDEX(Monthly!$C$43:$BJ$43,($R$2-1)*12+6)</f>
        <v>-1333.33333333333</v>
      </c>
      <c r="N28" s="35" t="n">
        <f aca="false">INDEX(Monthly!$C$43:$BJ$43,($R$2-1)*12+7)</f>
        <v>-1333.33333333333</v>
      </c>
      <c r="O28" s="35" t="n">
        <f aca="false">INDEX(Monthly!$C$43:$BJ$43,($R$2-1)*12+8)</f>
        <v>-1333.33333333333</v>
      </c>
      <c r="P28" s="35" t="n">
        <f aca="false">INDEX(Monthly!$C$43:$BJ$43,($R$2-1)*12+9)</f>
        <v>-1333.33333333333</v>
      </c>
      <c r="Q28" s="35" t="n">
        <f aca="false">INDEX(Monthly!$C$43:$BJ$43,($R$2-1)*12+10)</f>
        <v>-1333.33333333333</v>
      </c>
      <c r="R28" s="35" t="n">
        <f aca="false">INDEX(Monthly!$C$43:$BJ$43,($R$2-1)*12+11)</f>
        <v>-1333.33333333333</v>
      </c>
      <c r="S28" s="35" t="n">
        <f aca="false">INDEX(Monthly!$C$43:$BJ$43,($R$2-1)*12+12)</f>
        <v>-1333.33333333333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205333.333333333</v>
      </c>
      <c r="C29" s="37" t="n">
        <f aca="false">'Cash Flow'!C15</f>
        <v>-16000</v>
      </c>
      <c r="D29" s="37" t="n">
        <f aca="false">'Cash Flow'!D15</f>
        <v>-16000</v>
      </c>
      <c r="E29" s="37" t="n">
        <f aca="false">'Cash Flow'!E15</f>
        <v>-16000</v>
      </c>
      <c r="F29" s="37" t="n">
        <f aca="false">'Cash Flow'!F15</f>
        <v>-16000</v>
      </c>
      <c r="H29" s="37" t="n">
        <f aca="false">INDEX(Monthly!$C$58:$BJ$58,($R$2-1)*12+1)</f>
        <v>220000</v>
      </c>
      <c r="I29" s="37" t="n">
        <f aca="false">INDEX(Monthly!$C$58:$BJ$58,($R$2-1)*12+2)</f>
        <v>-1333.33333333333</v>
      </c>
      <c r="J29" s="37" t="n">
        <f aca="false">INDEX(Monthly!$C$58:$BJ$58,($R$2-1)*12+3)</f>
        <v>-1333.33333333333</v>
      </c>
      <c r="K29" s="37" t="n">
        <f aca="false">INDEX(Monthly!$C$58:$BJ$58,($R$2-1)*12+4)</f>
        <v>-1333.33333333333</v>
      </c>
      <c r="L29" s="37" t="n">
        <f aca="false">INDEX(Monthly!$C$58:$BJ$58,($R$2-1)*12+5)</f>
        <v>-1333.33333333333</v>
      </c>
      <c r="M29" s="37" t="n">
        <f aca="false">INDEX(Monthly!$C$58:$BJ$58,($R$2-1)*12+6)</f>
        <v>-1333.33333333333</v>
      </c>
      <c r="N29" s="37" t="n">
        <f aca="false">INDEX(Monthly!$C$58:$BJ$58,($R$2-1)*12+7)</f>
        <v>-1333.33333333333</v>
      </c>
      <c r="O29" s="37" t="n">
        <f aca="false">INDEX(Monthly!$C$58:$BJ$58,($R$2-1)*12+8)</f>
        <v>-1333.33333333333</v>
      </c>
      <c r="P29" s="37" t="n">
        <f aca="false">INDEX(Monthly!$C$58:$BJ$58,($R$2-1)*12+9)</f>
        <v>-1333.33333333333</v>
      </c>
      <c r="Q29" s="37" t="n">
        <f aca="false">INDEX(Monthly!$C$58:$BJ$58,($R$2-1)*12+10)</f>
        <v>-1333.33333333333</v>
      </c>
      <c r="R29" s="37" t="n">
        <f aca="false">INDEX(Monthly!$C$58:$BJ$58,($R$2-1)*12+11)</f>
        <v>-1333.33333333333</v>
      </c>
      <c r="S29" s="37" t="n">
        <f aca="false">INDEX(Monthly!$C$58:$BJ$58,($R$2-1)*12+12)</f>
        <v>-1333.33333333333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41025.5111111111</v>
      </c>
      <c r="C30" s="37" t="n">
        <f aca="false">'Cash Flow'!C16</f>
        <v>33852.4784533334</v>
      </c>
      <c r="D30" s="37" t="n">
        <f aca="false">'Cash Flow'!D16</f>
        <v>45223.6954946496</v>
      </c>
      <c r="E30" s="37" t="n">
        <f aca="false">'Cash Flow'!E16</f>
        <v>63688.7128894702</v>
      </c>
      <c r="F30" s="37" t="n">
        <f aca="false">'Cash Flow'!F16</f>
        <v>84070.5039637149</v>
      </c>
      <c r="H30" s="37" t="n">
        <f aca="false">INDEX(Monthly!$C$59:$BJ$59,($R$2-1)*12+1)</f>
        <v>52658.5333333333</v>
      </c>
      <c r="I30" s="37" t="n">
        <f aca="false">INDEX(Monthly!$C$59:$BJ$59,($R$2-1)*12+2)</f>
        <v>-7140.68888888889</v>
      </c>
      <c r="J30" s="37" t="n">
        <f aca="false">INDEX(Monthly!$C$59:$BJ$59,($R$2-1)*12+3)</f>
        <v>-5467.80000000001</v>
      </c>
      <c r="K30" s="37" t="n">
        <f aca="false">INDEX(Monthly!$C$59:$BJ$59,($R$2-1)*12+4)</f>
        <v>-3794.91111111111</v>
      </c>
      <c r="L30" s="37" t="n">
        <f aca="false">INDEX(Monthly!$C$59:$BJ$59,($R$2-1)*12+5)</f>
        <v>-2122.02222222223</v>
      </c>
      <c r="M30" s="37" t="n">
        <f aca="false">INDEX(Monthly!$C$59:$BJ$59,($R$2-1)*12+6)</f>
        <v>-449.133333333336</v>
      </c>
      <c r="N30" s="37" t="n">
        <f aca="false">INDEX(Monthly!$C$59:$BJ$59,($R$2-1)*12+7)</f>
        <v>1223.75555555555</v>
      </c>
      <c r="O30" s="37" t="n">
        <f aca="false">INDEX(Monthly!$C$59:$BJ$59,($R$2-1)*12+8)</f>
        <v>1205.77777777778</v>
      </c>
      <c r="P30" s="37" t="n">
        <f aca="false">INDEX(Monthly!$C$59:$BJ$59,($R$2-1)*12+9)</f>
        <v>1214.66666666666</v>
      </c>
      <c r="Q30" s="37" t="n">
        <f aca="false">INDEX(Monthly!$C$59:$BJ$59,($R$2-1)*12+10)</f>
        <v>1223.55555555555</v>
      </c>
      <c r="R30" s="37" t="n">
        <f aca="false">INDEX(Monthly!$C$59:$BJ$59,($R$2-1)*12+11)</f>
        <v>1232.44444444444</v>
      </c>
      <c r="S30" s="37" t="n">
        <f aca="false">INDEX(Monthly!$C$59:$BJ$59,($R$2-1)*12+12)</f>
        <v>1241.33333333333</v>
      </c>
    </row>
    <row r="31" customFormat="false" ht="15" hidden="false" customHeight="false" outlineLevel="0" collapsed="false">
      <c r="A31" s="40" t="s">
        <v>85</v>
      </c>
      <c r="B31" s="41" t="n">
        <f aca="false">'Cash Flow'!B18</f>
        <v>41025.5111111111</v>
      </c>
      <c r="C31" s="41" t="n">
        <f aca="false">'Cash Flow'!C18</f>
        <v>74877.9895644444</v>
      </c>
      <c r="D31" s="41" t="n">
        <f aca="false">'Cash Flow'!D18</f>
        <v>120101.685059094</v>
      </c>
      <c r="E31" s="41" t="n">
        <f aca="false">'Cash Flow'!E18</f>
        <v>183790.397948564</v>
      </c>
      <c r="F31" s="41" t="n">
        <f aca="false">'Cash Flow'!F18</f>
        <v>267860.901912279</v>
      </c>
      <c r="H31" s="41" t="n">
        <f aca="false">INDEX(Monthly!$C$61:$BJ$61,($R$2-1)*12+1)</f>
        <v>52658.5333333333</v>
      </c>
      <c r="I31" s="41" t="n">
        <f aca="false">INDEX(Monthly!$C$61:$BJ$61,($R$2-1)*12+2)</f>
        <v>45517.8444444444</v>
      </c>
      <c r="J31" s="41" t="n">
        <f aca="false">INDEX(Monthly!$C$61:$BJ$61,($R$2-1)*12+3)</f>
        <v>40050.0444444444</v>
      </c>
      <c r="K31" s="41" t="n">
        <f aca="false">INDEX(Monthly!$C$61:$BJ$61,($R$2-1)*12+4)</f>
        <v>36255.1333333333</v>
      </c>
      <c r="L31" s="41" t="n">
        <f aca="false">INDEX(Monthly!$C$61:$BJ$61,($R$2-1)*12+5)</f>
        <v>34133.1111111111</v>
      </c>
      <c r="M31" s="41" t="n">
        <f aca="false">INDEX(Monthly!$C$61:$BJ$61,($R$2-1)*12+6)</f>
        <v>33683.9777777778</v>
      </c>
      <c r="N31" s="41" t="n">
        <f aca="false">INDEX(Monthly!$C$61:$BJ$61,($R$2-1)*12+7)</f>
        <v>34907.7333333333</v>
      </c>
      <c r="O31" s="41" t="n">
        <f aca="false">INDEX(Monthly!$C$61:$BJ$61,($R$2-1)*12+8)</f>
        <v>36113.5111111111</v>
      </c>
      <c r="P31" s="41" t="n">
        <f aca="false">INDEX(Monthly!$C$61:$BJ$61,($R$2-1)*12+9)</f>
        <v>37328.1777777777</v>
      </c>
      <c r="Q31" s="41" t="n">
        <f aca="false">INDEX(Monthly!$C$61:$BJ$61,($R$2-1)*12+10)</f>
        <v>38551.7333333333</v>
      </c>
      <c r="R31" s="41" t="n">
        <f aca="false">INDEX(Monthly!$C$61:$BJ$61,($R$2-1)*12+11)</f>
        <v>39784.1777777777</v>
      </c>
      <c r="S31" s="41" t="n">
        <f aca="false">INDEX(Monthly!$C$61:$BJ$61,($R$2-1)*12+12)</f>
        <v>41025.5111111111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87</v>
      </c>
      <c r="B41" s="35" t="n">
        <f aca="false">'Balance Sheet'!B5</f>
        <v>41025.5111111111</v>
      </c>
      <c r="C41" s="35" t="n">
        <f aca="false">'Balance Sheet'!C5</f>
        <v>74877.9895644444</v>
      </c>
      <c r="D41" s="35" t="n">
        <f aca="false">'Balance Sheet'!D5</f>
        <v>120101.685059094</v>
      </c>
      <c r="E41" s="35" t="n">
        <f aca="false">'Balance Sheet'!E5</f>
        <v>183790.397948564</v>
      </c>
      <c r="F41" s="35" t="n">
        <f aca="false">'Balance Sheet'!F5</f>
        <v>267860.901912279</v>
      </c>
      <c r="H41" s="35" t="n">
        <f aca="false">INDEX(Monthly!$C$61:$BJ$61,($R$2-1)*12+1)</f>
        <v>52658.5333333333</v>
      </c>
      <c r="I41" s="35" t="n">
        <f aca="false">INDEX(Monthly!$C$61:$BJ$61,($R$2-1)*12+2)</f>
        <v>45517.8444444444</v>
      </c>
      <c r="J41" s="35" t="n">
        <f aca="false">INDEX(Monthly!$C$61:$BJ$61,($R$2-1)*12+3)</f>
        <v>40050.0444444444</v>
      </c>
      <c r="K41" s="35" t="n">
        <f aca="false">INDEX(Monthly!$C$61:$BJ$61,($R$2-1)*12+4)</f>
        <v>36255.1333333333</v>
      </c>
      <c r="L41" s="35" t="n">
        <f aca="false">INDEX(Monthly!$C$61:$BJ$61,($R$2-1)*12+5)</f>
        <v>34133.1111111111</v>
      </c>
      <c r="M41" s="35" t="n">
        <f aca="false">INDEX(Monthly!$C$61:$BJ$61,($R$2-1)*12+6)</f>
        <v>33683.9777777778</v>
      </c>
      <c r="N41" s="35" t="n">
        <f aca="false">INDEX(Monthly!$C$61:$BJ$61,($R$2-1)*12+7)</f>
        <v>34907.7333333333</v>
      </c>
      <c r="O41" s="35" t="n">
        <f aca="false">INDEX(Monthly!$C$61:$BJ$61,($R$2-1)*12+8)</f>
        <v>36113.5111111111</v>
      </c>
      <c r="P41" s="35" t="n">
        <f aca="false">INDEX(Monthly!$C$61:$BJ$61,($R$2-1)*12+9)</f>
        <v>37328.1777777777</v>
      </c>
      <c r="Q41" s="35" t="n">
        <f aca="false">INDEX(Monthly!$C$61:$BJ$61,($R$2-1)*12+10)</f>
        <v>38551.7333333333</v>
      </c>
      <c r="R41" s="35" t="n">
        <f aca="false">INDEX(Monthly!$C$61:$BJ$61,($R$2-1)*12+11)</f>
        <v>39784.1777777777</v>
      </c>
      <c r="S41" s="35" t="n">
        <f aca="false">INDEX(Monthly!$C$61:$BJ$61,($R$2-1)*12+12)</f>
        <v>41025.5111111111</v>
      </c>
    </row>
    <row r="42" customFormat="false" ht="15" hidden="false" customHeight="false" outlineLevel="0" collapsed="false">
      <c r="A42" s="49" t="s">
        <v>88</v>
      </c>
      <c r="B42" s="35" t="n">
        <f aca="false">'Balance Sheet'!B6</f>
        <v>2080</v>
      </c>
      <c r="C42" s="35" t="n">
        <f aca="false">'Balance Sheet'!C6</f>
        <v>2270.944</v>
      </c>
      <c r="D42" s="35" t="n">
        <f aca="false">'Balance Sheet'!D6</f>
        <v>2479.4166592</v>
      </c>
      <c r="E42" s="35" t="n">
        <f aca="false">'Balance Sheet'!E6</f>
        <v>2707.02710851456</v>
      </c>
      <c r="F42" s="35" t="n">
        <f aca="false">'Balance Sheet'!F6</f>
        <v>2955.5321970762</v>
      </c>
      <c r="H42" s="35" t="n">
        <f aca="false">INDEX(Monthly!$C$47:$BJ$47,($R$2-1)*12+1)</f>
        <v>1040</v>
      </c>
      <c r="I42" s="35" t="n">
        <f aca="false">INDEX(Monthly!$C$47:$BJ$47,($R$2-1)*12+2)</f>
        <v>1213.33333333333</v>
      </c>
      <c r="J42" s="35" t="n">
        <f aca="false">INDEX(Monthly!$C$47:$BJ$47,($R$2-1)*12+3)</f>
        <v>1386.66666666667</v>
      </c>
      <c r="K42" s="35" t="n">
        <f aca="false">INDEX(Monthly!$C$47:$BJ$47,($R$2-1)*12+4)</f>
        <v>1560</v>
      </c>
      <c r="L42" s="35" t="n">
        <f aca="false">INDEX(Monthly!$C$47:$BJ$47,($R$2-1)*12+5)</f>
        <v>1733.33333333333</v>
      </c>
      <c r="M42" s="35" t="n">
        <f aca="false">INDEX(Monthly!$C$47:$BJ$47,($R$2-1)*12+6)</f>
        <v>1906.66666666667</v>
      </c>
      <c r="N42" s="35" t="n">
        <f aca="false">INDEX(Monthly!$C$47:$BJ$47,($R$2-1)*12+7)</f>
        <v>2080</v>
      </c>
      <c r="O42" s="35" t="n">
        <f aca="false">INDEX(Monthly!$C$47:$BJ$47,($R$2-1)*12+8)</f>
        <v>2080</v>
      </c>
      <c r="P42" s="35" t="n">
        <f aca="false">INDEX(Monthly!$C$47:$BJ$47,($R$2-1)*12+9)</f>
        <v>2080</v>
      </c>
      <c r="Q42" s="35" t="n">
        <f aca="false">INDEX(Monthly!$C$47:$BJ$47,($R$2-1)*12+10)</f>
        <v>2080</v>
      </c>
      <c r="R42" s="35" t="n">
        <f aca="false">INDEX(Monthly!$C$47:$BJ$47,($R$2-1)*12+11)</f>
        <v>2080</v>
      </c>
      <c r="S42" s="35" t="n">
        <f aca="false">INDEX(Monthly!$C$47:$BJ$47,($R$2-1)*12+12)</f>
        <v>2080</v>
      </c>
    </row>
    <row r="43" customFormat="false" ht="15" hidden="false" customHeight="false" outlineLevel="0" collapsed="false">
      <c r="A43" s="49" t="s">
        <v>89</v>
      </c>
      <c r="B43" s="35" t="n">
        <f aca="false">'Balance Sheet'!B7</f>
        <v>2402.4</v>
      </c>
      <c r="C43" s="35" t="n">
        <f aca="false">'Balance Sheet'!C7</f>
        <v>2622.94032</v>
      </c>
      <c r="D43" s="35" t="n">
        <f aca="false">'Balance Sheet'!D7</f>
        <v>2863.726241376</v>
      </c>
      <c r="E43" s="35" t="n">
        <f aca="false">'Balance Sheet'!E7</f>
        <v>3126.61631033432</v>
      </c>
      <c r="F43" s="35" t="n">
        <f aca="false">'Balance Sheet'!F7</f>
        <v>3413.63968762301</v>
      </c>
      <c r="H43" s="35" t="n">
        <f aca="false">INDEX(Monthly!$C$48:$BJ$48,($R$2-1)*12+1)</f>
        <v>1201.2</v>
      </c>
      <c r="I43" s="35" t="n">
        <f aca="false">INDEX(Monthly!$C$48:$BJ$48,($R$2-1)*12+2)</f>
        <v>1401.4</v>
      </c>
      <c r="J43" s="35" t="n">
        <f aca="false">INDEX(Monthly!$C$48:$BJ$48,($R$2-1)*12+3)</f>
        <v>1601.6</v>
      </c>
      <c r="K43" s="35" t="n">
        <f aca="false">INDEX(Monthly!$C$48:$BJ$48,($R$2-1)*12+4)</f>
        <v>1801.8</v>
      </c>
      <c r="L43" s="35" t="n">
        <f aca="false">INDEX(Monthly!$C$48:$BJ$48,($R$2-1)*12+5)</f>
        <v>2002</v>
      </c>
      <c r="M43" s="35" t="n">
        <f aca="false">INDEX(Monthly!$C$48:$BJ$48,($R$2-1)*12+6)</f>
        <v>2202.2</v>
      </c>
      <c r="N43" s="35" t="n">
        <f aca="false">INDEX(Monthly!$C$48:$BJ$48,($R$2-1)*12+7)</f>
        <v>2402.4</v>
      </c>
      <c r="O43" s="35" t="n">
        <f aca="false">INDEX(Monthly!$C$48:$BJ$48,($R$2-1)*12+8)</f>
        <v>2402.4</v>
      </c>
      <c r="P43" s="35" t="n">
        <f aca="false">INDEX(Monthly!$C$48:$BJ$48,($R$2-1)*12+9)</f>
        <v>2402.4</v>
      </c>
      <c r="Q43" s="35" t="n">
        <f aca="false">INDEX(Monthly!$C$48:$BJ$48,($R$2-1)*12+10)</f>
        <v>2402.4</v>
      </c>
      <c r="R43" s="35" t="n">
        <f aca="false">INDEX(Monthly!$C$48:$BJ$48,($R$2-1)*12+11)</f>
        <v>2402.4</v>
      </c>
      <c r="S43" s="35" t="n">
        <f aca="false">INDEX(Monthly!$C$48:$BJ$48,($R$2-1)*12+12)</f>
        <v>2402.4</v>
      </c>
    </row>
    <row r="44" customFormat="false" ht="15" hidden="false" customHeight="false" outlineLevel="0" collapsed="false">
      <c r="A44" s="49" t="s">
        <v>90</v>
      </c>
      <c r="B44" s="35" t="n">
        <f aca="false">'Balance Sheet'!B8</f>
        <v>137142.857142857</v>
      </c>
      <c r="C44" s="35" t="n">
        <f aca="false">'Balance Sheet'!C8</f>
        <v>114285.714285714</v>
      </c>
      <c r="D44" s="35" t="n">
        <f aca="false">'Balance Sheet'!D8</f>
        <v>91428.5714285714</v>
      </c>
      <c r="E44" s="35" t="n">
        <f aca="false">'Balance Sheet'!E8</f>
        <v>68571.4285714285</v>
      </c>
      <c r="F44" s="35" t="n">
        <f aca="false">'Balance Sheet'!F8</f>
        <v>45714.2857142856</v>
      </c>
      <c r="H44" s="35" t="n">
        <f aca="false">INDEX(Monthly!$C$38:$BJ$38,($R$2-1)*12+1)</f>
        <v>158095.238095238</v>
      </c>
      <c r="I44" s="35" t="n">
        <f aca="false">INDEX(Monthly!$C$38:$BJ$38,($R$2-1)*12+2)</f>
        <v>156190.476190476</v>
      </c>
      <c r="J44" s="35" t="n">
        <f aca="false">INDEX(Monthly!$C$38:$BJ$38,($R$2-1)*12+3)</f>
        <v>154285.714285714</v>
      </c>
      <c r="K44" s="35" t="n">
        <f aca="false">INDEX(Monthly!$C$38:$BJ$38,($R$2-1)*12+4)</f>
        <v>152380.952380952</v>
      </c>
      <c r="L44" s="35" t="n">
        <f aca="false">INDEX(Monthly!$C$38:$BJ$38,($R$2-1)*12+5)</f>
        <v>150476.19047619</v>
      </c>
      <c r="M44" s="35" t="n">
        <f aca="false">INDEX(Monthly!$C$38:$BJ$38,($R$2-1)*12+6)</f>
        <v>148571.428571429</v>
      </c>
      <c r="N44" s="35" t="n">
        <f aca="false">INDEX(Monthly!$C$38:$BJ$38,($R$2-1)*12+7)</f>
        <v>146666.666666667</v>
      </c>
      <c r="O44" s="35" t="n">
        <f aca="false">INDEX(Monthly!$C$38:$BJ$38,($R$2-1)*12+8)</f>
        <v>144761.904761905</v>
      </c>
      <c r="P44" s="35" t="n">
        <f aca="false">INDEX(Monthly!$C$38:$BJ$38,($R$2-1)*12+9)</f>
        <v>142857.142857143</v>
      </c>
      <c r="Q44" s="35" t="n">
        <f aca="false">INDEX(Monthly!$C$38:$BJ$38,($R$2-1)*12+10)</f>
        <v>140952.380952381</v>
      </c>
      <c r="R44" s="35" t="n">
        <f aca="false">INDEX(Monthly!$C$38:$BJ$38,($R$2-1)*12+11)</f>
        <v>139047.619047619</v>
      </c>
      <c r="S44" s="35" t="n">
        <f aca="false">INDEX(Monthly!$C$38:$BJ$38,($R$2-1)*12+12)</f>
        <v>137142.857142857</v>
      </c>
    </row>
    <row r="45" customFormat="false" ht="15" hidden="false" customHeight="false" outlineLevel="0" collapsed="false">
      <c r="A45" s="36" t="s">
        <v>91</v>
      </c>
      <c r="B45" s="37" t="n">
        <f aca="false">'Balance Sheet'!B9</f>
        <v>182650.768253968</v>
      </c>
      <c r="C45" s="37" t="n">
        <f aca="false">'Balance Sheet'!C9</f>
        <v>194057.588170159</v>
      </c>
      <c r="D45" s="37" t="n">
        <f aca="false">'Balance Sheet'!D9</f>
        <v>216873.399388241</v>
      </c>
      <c r="E45" s="37" t="n">
        <f aca="false">'Balance Sheet'!E9</f>
        <v>258195.469938842</v>
      </c>
      <c r="F45" s="37" t="n">
        <f aca="false">'Balance Sheet'!F9</f>
        <v>319944.359511264</v>
      </c>
      <c r="H45" s="37" t="n">
        <f aca="false">INDEX(Monthly!$C$75:$BJ$75,($R$2-1)*12+1)</f>
        <v>212994.971428571</v>
      </c>
      <c r="I45" s="37" t="n">
        <f aca="false">INDEX(Monthly!$C$75:$BJ$75,($R$2-1)*12+2)</f>
        <v>204323.053968254</v>
      </c>
      <c r="J45" s="37" t="n">
        <f aca="false">INDEX(Monthly!$C$75:$BJ$75,($R$2-1)*12+3)</f>
        <v>197324.025396825</v>
      </c>
      <c r="K45" s="37" t="n">
        <f aca="false">INDEX(Monthly!$C$75:$BJ$75,($R$2-1)*12+4)</f>
        <v>191997.885714286</v>
      </c>
      <c r="L45" s="37" t="n">
        <f aca="false">INDEX(Monthly!$C$75:$BJ$75,($R$2-1)*12+5)</f>
        <v>188344.634920635</v>
      </c>
      <c r="M45" s="37" t="n">
        <f aca="false">INDEX(Monthly!$C$75:$BJ$75,($R$2-1)*12+6)</f>
        <v>186364.273015873</v>
      </c>
      <c r="N45" s="37" t="n">
        <f aca="false">INDEX(Monthly!$C$75:$BJ$75,($R$2-1)*12+7)</f>
        <v>186056.8</v>
      </c>
      <c r="O45" s="37" t="n">
        <f aca="false">INDEX(Monthly!$C$75:$BJ$75,($R$2-1)*12+8)</f>
        <v>185357.815873016</v>
      </c>
      <c r="P45" s="37" t="n">
        <f aca="false">INDEX(Monthly!$C$75:$BJ$75,($R$2-1)*12+9)</f>
        <v>184667.720634921</v>
      </c>
      <c r="Q45" s="37" t="n">
        <f aca="false">INDEX(Monthly!$C$75:$BJ$75,($R$2-1)*12+10)</f>
        <v>183986.514285714</v>
      </c>
      <c r="R45" s="37" t="n">
        <f aca="false">INDEX(Monthly!$C$75:$BJ$75,($R$2-1)*12+11)</f>
        <v>183314.196825397</v>
      </c>
      <c r="S45" s="37" t="n">
        <f aca="false">INDEX(Monthly!$C$75:$BJ$75,($R$2-1)*12+12)</f>
        <v>182650.768253968</v>
      </c>
    </row>
    <row r="46" customFormat="false" ht="15" hidden="false" customHeight="false" outlineLevel="0" collapsed="false">
      <c r="A46" s="49" t="s">
        <v>92</v>
      </c>
      <c r="B46" s="35" t="n">
        <f aca="false">'Balance Sheet'!B10</f>
        <v>4804.8</v>
      </c>
      <c r="C46" s="35" t="n">
        <f aca="false">'Balance Sheet'!C10</f>
        <v>5245.88064</v>
      </c>
      <c r="D46" s="35" t="n">
        <f aca="false">'Balance Sheet'!D10</f>
        <v>5727.452482752</v>
      </c>
      <c r="E46" s="35" t="n">
        <f aca="false">'Balance Sheet'!E10</f>
        <v>6253.23262066864</v>
      </c>
      <c r="F46" s="35" t="n">
        <f aca="false">'Balance Sheet'!F10</f>
        <v>6827.27937524602</v>
      </c>
      <c r="H46" s="35" t="n">
        <f aca="false">INDEX(Monthly!$C$49:$BJ$49,($R$2-1)*12+1)</f>
        <v>2402.4</v>
      </c>
      <c r="I46" s="35" t="n">
        <f aca="false">INDEX(Monthly!$C$49:$BJ$49,($R$2-1)*12+2)</f>
        <v>2802.8</v>
      </c>
      <c r="J46" s="35" t="n">
        <f aca="false">INDEX(Monthly!$C$49:$BJ$49,($R$2-1)*12+3)</f>
        <v>3203.2</v>
      </c>
      <c r="K46" s="35" t="n">
        <f aca="false">INDEX(Monthly!$C$49:$BJ$49,($R$2-1)*12+4)</f>
        <v>3603.6</v>
      </c>
      <c r="L46" s="35" t="n">
        <f aca="false">INDEX(Monthly!$C$49:$BJ$49,($R$2-1)*12+5)</f>
        <v>4004</v>
      </c>
      <c r="M46" s="35" t="n">
        <f aca="false">INDEX(Monthly!$C$49:$BJ$49,($R$2-1)*12+6)</f>
        <v>4404.4</v>
      </c>
      <c r="N46" s="35" t="n">
        <f aca="false">INDEX(Monthly!$C$49:$BJ$49,($R$2-1)*12+7)</f>
        <v>4804.8</v>
      </c>
      <c r="O46" s="35" t="n">
        <f aca="false">INDEX(Monthly!$C$49:$BJ$49,($R$2-1)*12+8)</f>
        <v>4804.8</v>
      </c>
      <c r="P46" s="35" t="n">
        <f aca="false">INDEX(Monthly!$C$49:$BJ$49,($R$2-1)*12+9)</f>
        <v>4804.8</v>
      </c>
      <c r="Q46" s="35" t="n">
        <f aca="false">INDEX(Monthly!$C$49:$BJ$49,($R$2-1)*12+10)</f>
        <v>4804.8</v>
      </c>
      <c r="R46" s="35" t="n">
        <f aca="false">INDEX(Monthly!$C$49:$BJ$49,($R$2-1)*12+11)</f>
        <v>4804.8</v>
      </c>
      <c r="S46" s="35" t="n">
        <f aca="false">INDEX(Monthly!$C$49:$BJ$49,($R$2-1)*12+12)</f>
        <v>4804.8</v>
      </c>
    </row>
    <row r="47" customFormat="false" ht="15" hidden="false" customHeight="false" outlineLevel="0" collapsed="false">
      <c r="A47" s="49" t="s">
        <v>93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E47" s="35" t="n">
        <f aca="false">'Balance Sheet'!E11</f>
        <v>17333.3333333333</v>
      </c>
      <c r="F47" s="35" t="n">
        <f aca="false">'Balance Sheet'!F11</f>
        <v>1333.33333333333</v>
      </c>
      <c r="H47" s="35" t="n">
        <f aca="false">INDEX(Monthly!$C$44:$BJ$44,($R$2-1)*12+1)</f>
        <v>80000</v>
      </c>
      <c r="I47" s="35" t="n">
        <f aca="false">INDEX(Monthly!$C$44:$BJ$44,($R$2-1)*12+2)</f>
        <v>78666.6666666667</v>
      </c>
      <c r="J47" s="35" t="n">
        <f aca="false">INDEX(Monthly!$C$44:$BJ$44,($R$2-1)*12+3)</f>
        <v>77333.3333333333</v>
      </c>
      <c r="K47" s="35" t="n">
        <f aca="false">INDEX(Monthly!$C$44:$BJ$44,($R$2-1)*12+4)</f>
        <v>76000</v>
      </c>
      <c r="L47" s="35" t="n">
        <f aca="false">INDEX(Monthly!$C$44:$BJ$44,($R$2-1)*12+5)</f>
        <v>74666.6666666667</v>
      </c>
      <c r="M47" s="35" t="n">
        <f aca="false">INDEX(Monthly!$C$44:$BJ$44,($R$2-1)*12+6)</f>
        <v>73333.3333333334</v>
      </c>
      <c r="N47" s="35" t="n">
        <f aca="false">INDEX(Monthly!$C$44:$BJ$44,($R$2-1)*12+7)</f>
        <v>72000</v>
      </c>
      <c r="O47" s="35" t="n">
        <f aca="false">INDEX(Monthly!$C$44:$BJ$44,($R$2-1)*12+8)</f>
        <v>70666.6666666667</v>
      </c>
      <c r="P47" s="35" t="n">
        <f aca="false">INDEX(Monthly!$C$44:$BJ$44,($R$2-1)*12+9)</f>
        <v>69333.3333333334</v>
      </c>
      <c r="Q47" s="35" t="n">
        <f aca="false">INDEX(Monthly!$C$44:$BJ$44,($R$2-1)*12+10)</f>
        <v>68000</v>
      </c>
      <c r="R47" s="35" t="n">
        <f aca="false">INDEX(Monthly!$C$44:$BJ$44,($R$2-1)*12+11)</f>
        <v>66666.6666666667</v>
      </c>
      <c r="S47" s="35" t="n">
        <f aca="false">INDEX(Monthly!$C$44:$BJ$44,($R$2-1)*12+12)</f>
        <v>65333.3333333334</v>
      </c>
    </row>
    <row r="48" customFormat="false" ht="15" hidden="false" customHeight="false" outlineLevel="0" collapsed="false">
      <c r="A48" s="36" t="s">
        <v>94</v>
      </c>
      <c r="B48" s="37" t="n">
        <f aca="false">'Balance Sheet'!B12</f>
        <v>70138.1333333334</v>
      </c>
      <c r="C48" s="37" t="n">
        <f aca="false">'Balance Sheet'!C12</f>
        <v>54579.2139733334</v>
      </c>
      <c r="D48" s="37" t="n">
        <f aca="false">'Balance Sheet'!D12</f>
        <v>39060.7858160853</v>
      </c>
      <c r="E48" s="37" t="n">
        <f aca="false">'Balance Sheet'!E12</f>
        <v>23586.565954002</v>
      </c>
      <c r="F48" s="37" t="n">
        <f aca="false">'Balance Sheet'!F12</f>
        <v>8160.61270857935</v>
      </c>
      <c r="H48" s="37" t="n">
        <f aca="false">INDEX(Monthly!$C$76:$BJ$76,($R$2-1)*12+1)</f>
        <v>82402.4</v>
      </c>
      <c r="I48" s="37" t="n">
        <f aca="false">INDEX(Monthly!$C$76:$BJ$76,($R$2-1)*12+2)</f>
        <v>81469.4666666667</v>
      </c>
      <c r="J48" s="37" t="n">
        <f aca="false">INDEX(Monthly!$C$76:$BJ$76,($R$2-1)*12+3)</f>
        <v>80536.5333333333</v>
      </c>
      <c r="K48" s="37" t="n">
        <f aca="false">INDEX(Monthly!$C$76:$BJ$76,($R$2-1)*12+4)</f>
        <v>79603.6</v>
      </c>
      <c r="L48" s="37" t="n">
        <f aca="false">INDEX(Monthly!$C$76:$BJ$76,($R$2-1)*12+5)</f>
        <v>78670.6666666667</v>
      </c>
      <c r="M48" s="37" t="n">
        <f aca="false">INDEX(Monthly!$C$76:$BJ$76,($R$2-1)*12+6)</f>
        <v>77737.7333333334</v>
      </c>
      <c r="N48" s="37" t="n">
        <f aca="false">INDEX(Monthly!$C$76:$BJ$76,($R$2-1)*12+7)</f>
        <v>76804.8</v>
      </c>
      <c r="O48" s="37" t="n">
        <f aca="false">INDEX(Monthly!$C$76:$BJ$76,($R$2-1)*12+8)</f>
        <v>75471.4666666667</v>
      </c>
      <c r="P48" s="37" t="n">
        <f aca="false">INDEX(Monthly!$C$76:$BJ$76,($R$2-1)*12+9)</f>
        <v>74138.1333333334</v>
      </c>
      <c r="Q48" s="37" t="n">
        <f aca="false">INDEX(Monthly!$C$76:$BJ$76,($R$2-1)*12+10)</f>
        <v>72804.8000000001</v>
      </c>
      <c r="R48" s="37" t="n">
        <f aca="false">INDEX(Monthly!$C$76:$BJ$76,($R$2-1)*12+11)</f>
        <v>71471.4666666667</v>
      </c>
      <c r="S48" s="37" t="n">
        <f aca="false">INDEX(Monthly!$C$76:$BJ$76,($R$2-1)*12+12)</f>
        <v>70138.1333333334</v>
      </c>
    </row>
    <row r="49" customFormat="false" ht="15" hidden="false" customHeight="false" outlineLevel="0" collapsed="false">
      <c r="A49" s="49" t="s">
        <v>95</v>
      </c>
      <c r="B49" s="35" t="n">
        <f aca="false">'Balance Sheet'!B13</f>
        <v>140000</v>
      </c>
      <c r="C49" s="35" t="n">
        <f aca="false">'Balance Sheet'!C13</f>
        <v>140000</v>
      </c>
      <c r="D49" s="35" t="n">
        <f aca="false">'Balance Sheet'!D13</f>
        <v>140000</v>
      </c>
      <c r="E49" s="35" t="n">
        <f aca="false">'Balance Sheet'!E13</f>
        <v>140000</v>
      </c>
      <c r="F49" s="35" t="n">
        <f aca="false">'Balance Sheet'!F13</f>
        <v>140000</v>
      </c>
      <c r="H49" s="35" t="n">
        <f aca="false">INDEX(Monthly!$C$73:$BJ$73,($R$2-1)*12+1)</f>
        <v>140000</v>
      </c>
      <c r="I49" s="35" t="n">
        <f aca="false">INDEX(Monthly!$C$73:$BJ$73,($R$2-1)*12+2)</f>
        <v>140000</v>
      </c>
      <c r="J49" s="35" t="n">
        <f aca="false">INDEX(Monthly!$C$73:$BJ$73,($R$2-1)*12+3)</f>
        <v>140000</v>
      </c>
      <c r="K49" s="35" t="n">
        <f aca="false">INDEX(Monthly!$C$73:$BJ$73,($R$2-1)*12+4)</f>
        <v>140000</v>
      </c>
      <c r="L49" s="35" t="n">
        <f aca="false">INDEX(Monthly!$C$73:$BJ$73,($R$2-1)*12+5)</f>
        <v>140000</v>
      </c>
      <c r="M49" s="35" t="n">
        <f aca="false">INDEX(Monthly!$C$73:$BJ$73,($R$2-1)*12+6)</f>
        <v>140000</v>
      </c>
      <c r="N49" s="35" t="n">
        <f aca="false">INDEX(Monthly!$C$73:$BJ$73,($R$2-1)*12+7)</f>
        <v>140000</v>
      </c>
      <c r="O49" s="35" t="n">
        <f aca="false">INDEX(Monthly!$C$73:$BJ$73,($R$2-1)*12+8)</f>
        <v>140000</v>
      </c>
      <c r="P49" s="35" t="n">
        <f aca="false">INDEX(Monthly!$C$73:$BJ$73,($R$2-1)*12+9)</f>
        <v>140000</v>
      </c>
      <c r="Q49" s="35" t="n">
        <f aca="false">INDEX(Monthly!$C$73:$BJ$73,($R$2-1)*12+10)</f>
        <v>140000</v>
      </c>
      <c r="R49" s="35" t="n">
        <f aca="false">INDEX(Monthly!$C$73:$BJ$73,($R$2-1)*12+11)</f>
        <v>140000</v>
      </c>
      <c r="S49" s="35" t="n">
        <f aca="false">INDEX(Monthly!$C$73:$BJ$73,($R$2-1)*12+12)</f>
        <v>140000</v>
      </c>
    </row>
    <row r="50" customFormat="false" ht="15" hidden="false" customHeight="false" outlineLevel="0" collapsed="false">
      <c r="A50" s="49" t="s">
        <v>96</v>
      </c>
      <c r="B50" s="35" t="n">
        <f aca="false">'Balance Sheet'!B14</f>
        <v>-27487.3650793651</v>
      </c>
      <c r="C50" s="35" t="n">
        <f aca="false">'Balance Sheet'!C14</f>
        <v>-521.625803174616</v>
      </c>
      <c r="D50" s="35" t="n">
        <f aca="false">'Balance Sheet'!D14</f>
        <v>37812.6135721562</v>
      </c>
      <c r="E50" s="35" t="n">
        <f aca="false">'Balance Sheet'!E14</f>
        <v>94608.9039848398</v>
      </c>
      <c r="F50" s="35" t="n">
        <f aca="false">'Balance Sheet'!F14</f>
        <v>171783.746802685</v>
      </c>
      <c r="H50" s="35" t="n">
        <f aca="false">INDEX(Monthly!$C$74:$BJ$74,($R$2-1)*12+1)</f>
        <v>-9407.42857142857</v>
      </c>
      <c r="I50" s="35" t="n">
        <f aca="false">INDEX(Monthly!$C$74:$BJ$74,($R$2-1)*12+2)</f>
        <v>-17146.4126984127</v>
      </c>
      <c r="J50" s="35" t="n">
        <f aca="false">INDEX(Monthly!$C$74:$BJ$74,($R$2-1)*12+3)</f>
        <v>-23212.5079365079</v>
      </c>
      <c r="K50" s="35" t="n">
        <f aca="false">INDEX(Monthly!$C$74:$BJ$74,($R$2-1)*12+4)</f>
        <v>-27605.7142857143</v>
      </c>
      <c r="L50" s="35" t="n">
        <f aca="false">INDEX(Monthly!$C$74:$BJ$74,($R$2-1)*12+5)</f>
        <v>-30326.0317460318</v>
      </c>
      <c r="M50" s="35" t="n">
        <f aca="false">INDEX(Monthly!$C$74:$BJ$74,($R$2-1)*12+6)</f>
        <v>-31373.4603174603</v>
      </c>
      <c r="N50" s="35" t="n">
        <f aca="false">INDEX(Monthly!$C$74:$BJ$74,($R$2-1)*12+7)</f>
        <v>-30748</v>
      </c>
      <c r="O50" s="35" t="n">
        <f aca="false">INDEX(Monthly!$C$74:$BJ$74,($R$2-1)*12+8)</f>
        <v>-30113.6507936508</v>
      </c>
      <c r="P50" s="35" t="n">
        <f aca="false">INDEX(Monthly!$C$74:$BJ$74,($R$2-1)*12+9)</f>
        <v>-29470.4126984127</v>
      </c>
      <c r="Q50" s="35" t="n">
        <f aca="false">INDEX(Monthly!$C$74:$BJ$74,($R$2-1)*12+10)</f>
        <v>-28818.2857142857</v>
      </c>
      <c r="R50" s="35" t="n">
        <f aca="false">INDEX(Monthly!$C$74:$BJ$74,($R$2-1)*12+11)</f>
        <v>-28157.2698412699</v>
      </c>
      <c r="S50" s="35" t="n">
        <f aca="false">INDEX(Monthly!$C$74:$BJ$74,($R$2-1)*12+12)</f>
        <v>-27487.3650793651</v>
      </c>
    </row>
    <row r="51" customFormat="false" ht="15" hidden="false" customHeight="false" outlineLevel="0" collapsed="false">
      <c r="A51" s="36" t="s">
        <v>97</v>
      </c>
      <c r="B51" s="37" t="n">
        <f aca="false">'Balance Sheet'!B15</f>
        <v>112512.634920635</v>
      </c>
      <c r="C51" s="37" t="n">
        <f aca="false">'Balance Sheet'!C15</f>
        <v>139478.374196825</v>
      </c>
      <c r="D51" s="37" t="n">
        <f aca="false">'Balance Sheet'!D15</f>
        <v>177812.613572156</v>
      </c>
      <c r="E51" s="37" t="n">
        <f aca="false">'Balance Sheet'!E15</f>
        <v>234608.90398484</v>
      </c>
      <c r="F51" s="37" t="n">
        <f aca="false">'Balance Sheet'!F15</f>
        <v>311783.746802685</v>
      </c>
      <c r="H51" s="37" t="n">
        <f aca="false">INDEX(Monthly!$C$77:$BJ$77,($R$2-1)*12+1)</f>
        <v>130592.571428571</v>
      </c>
      <c r="I51" s="37" t="n">
        <f aca="false">INDEX(Monthly!$C$77:$BJ$77,($R$2-1)*12+2)</f>
        <v>122853.587301587</v>
      </c>
      <c r="J51" s="37" t="n">
        <f aca="false">INDEX(Monthly!$C$77:$BJ$77,($R$2-1)*12+3)</f>
        <v>116787.492063492</v>
      </c>
      <c r="K51" s="37" t="n">
        <f aca="false">INDEX(Monthly!$C$77:$BJ$77,($R$2-1)*12+4)</f>
        <v>112394.285714286</v>
      </c>
      <c r="L51" s="37" t="n">
        <f aca="false">INDEX(Monthly!$C$77:$BJ$77,($R$2-1)*12+5)</f>
        <v>109673.968253968</v>
      </c>
      <c r="M51" s="37" t="n">
        <f aca="false">INDEX(Monthly!$C$77:$BJ$77,($R$2-1)*12+6)</f>
        <v>108626.53968254</v>
      </c>
      <c r="N51" s="37" t="n">
        <f aca="false">INDEX(Monthly!$C$77:$BJ$77,($R$2-1)*12+7)</f>
        <v>109252</v>
      </c>
      <c r="O51" s="37" t="n">
        <f aca="false">INDEX(Monthly!$C$77:$BJ$77,($R$2-1)*12+8)</f>
        <v>109886.349206349</v>
      </c>
      <c r="P51" s="37" t="n">
        <f aca="false">INDEX(Monthly!$C$77:$BJ$77,($R$2-1)*12+9)</f>
        <v>110529.587301587</v>
      </c>
      <c r="Q51" s="37" t="n">
        <f aca="false">INDEX(Monthly!$C$77:$BJ$77,($R$2-1)*12+10)</f>
        <v>111181.714285714</v>
      </c>
      <c r="R51" s="37" t="n">
        <f aca="false">INDEX(Monthly!$C$77:$BJ$77,($R$2-1)*12+11)</f>
        <v>111842.73015873</v>
      </c>
      <c r="S51" s="37" t="n">
        <f aca="false">INDEX(Monthly!$C$77:$BJ$77,($R$2-1)*12+12)</f>
        <v>112512.634920635</v>
      </c>
    </row>
    <row r="52" customFormat="false" ht="15" hidden="false" customHeight="false" outlineLevel="0" collapsed="false">
      <c r="A52" s="40" t="s">
        <v>98</v>
      </c>
      <c r="B52" s="41" t="n">
        <f aca="false">'Balance Sheet'!B16</f>
        <v>182650.768253968</v>
      </c>
      <c r="C52" s="41" t="n">
        <f aca="false">'Balance Sheet'!C16</f>
        <v>194057.588170159</v>
      </c>
      <c r="D52" s="41" t="n">
        <f aca="false">'Balance Sheet'!D16</f>
        <v>216873.399388242</v>
      </c>
      <c r="E52" s="41" t="n">
        <f aca="false">'Balance Sheet'!E16</f>
        <v>258195.469938842</v>
      </c>
      <c r="F52" s="41" t="n">
        <f aca="false">'Balance Sheet'!F16</f>
        <v>319944.359511264</v>
      </c>
      <c r="H52" s="41" t="n">
        <f aca="false">INDEX(Monthly!$C$78:$BJ$78,($R$2-1)*12+1)</f>
        <v>212994.971428571</v>
      </c>
      <c r="I52" s="41" t="n">
        <f aca="false">INDEX(Monthly!$C$78:$BJ$78,($R$2-1)*12+2)</f>
        <v>204323.053968254</v>
      </c>
      <c r="J52" s="41" t="n">
        <f aca="false">INDEX(Monthly!$C$78:$BJ$78,($R$2-1)*12+3)</f>
        <v>197324.025396825</v>
      </c>
      <c r="K52" s="41" t="n">
        <f aca="false">INDEX(Monthly!$C$78:$BJ$78,($R$2-1)*12+4)</f>
        <v>191997.885714286</v>
      </c>
      <c r="L52" s="41" t="n">
        <f aca="false">INDEX(Monthly!$C$78:$BJ$78,($R$2-1)*12+5)</f>
        <v>188344.634920635</v>
      </c>
      <c r="M52" s="41" t="n">
        <f aca="false">INDEX(Monthly!$C$78:$BJ$78,($R$2-1)*12+6)</f>
        <v>186364.273015873</v>
      </c>
      <c r="N52" s="41" t="n">
        <f aca="false">INDEX(Monthly!$C$78:$BJ$78,($R$2-1)*12+7)</f>
        <v>186056.8</v>
      </c>
      <c r="O52" s="41" t="n">
        <f aca="false">INDEX(Monthly!$C$78:$BJ$78,($R$2-1)*12+8)</f>
        <v>185357.815873016</v>
      </c>
      <c r="P52" s="41" t="n">
        <f aca="false">INDEX(Monthly!$C$78:$BJ$78,($R$2-1)*12+9)</f>
        <v>184667.720634921</v>
      </c>
      <c r="Q52" s="41" t="n">
        <f aca="false">INDEX(Monthly!$C$78:$BJ$78,($R$2-1)*12+10)</f>
        <v>183986.514285714</v>
      </c>
      <c r="R52" s="41" t="n">
        <f aca="false">INDEX(Monthly!$C$78:$BJ$78,($R$2-1)*12+11)</f>
        <v>183314.196825397</v>
      </c>
      <c r="S52" s="41" t="n">
        <f aca="false">INDEX(Monthly!$C$78:$BJ$78,($R$2-1)*12+12)</f>
        <v>182650.768253968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102</v>
      </c>
      <c r="B6" s="50" t="s">
        <v>103</v>
      </c>
      <c r="C6" s="50" t="s">
        <v>104</v>
      </c>
      <c r="D6" s="50" t="s">
        <v>105</v>
      </c>
      <c r="E6" s="50" t="s">
        <v>106</v>
      </c>
    </row>
    <row r="7" customFormat="false" ht="15" hidden="false" customHeight="false" outlineLevel="0" collapsed="false">
      <c r="A7" s="6" t="s">
        <v>107</v>
      </c>
      <c r="B7" s="51" t="n">
        <f aca="false">Inputs!$B$7</f>
        <v>120</v>
      </c>
      <c r="C7" s="51" t="n">
        <f aca="false">Inputs!$C$7</f>
        <v>160</v>
      </c>
      <c r="D7" s="51" t="n">
        <f aca="false">Inputs!$D$7</f>
        <v>210</v>
      </c>
      <c r="E7" s="52" t="n">
        <f aca="false">Inputs!$E$7</f>
        <v>160</v>
      </c>
    </row>
    <row r="8" customFormat="false" ht="15" hidden="false" customHeight="false" outlineLevel="0" collapsed="false">
      <c r="A8" s="6" t="s">
        <v>108</v>
      </c>
      <c r="B8" s="53" t="n">
        <f aca="false">Inputs!$B$11</f>
        <v>5.5</v>
      </c>
      <c r="C8" s="53" t="n">
        <f aca="false">Inputs!$C$11</f>
        <v>6.5</v>
      </c>
      <c r="D8" s="53" t="n">
        <f aca="false">Inputs!$D$11</f>
        <v>7.5</v>
      </c>
      <c r="E8" s="54" t="n">
        <f aca="false">Inputs!$E$11</f>
        <v>6.5</v>
      </c>
    </row>
    <row r="9" customFormat="false" ht="15" hidden="false" customHeight="false" outlineLevel="0" collapsed="false">
      <c r="A9" s="6" t="s">
        <v>109</v>
      </c>
      <c r="B9" s="51" t="n">
        <f aca="false">Inputs!$B$13</f>
        <v>30</v>
      </c>
      <c r="C9" s="51" t="n">
        <f aca="false">Inputs!$C$13</f>
        <v>30</v>
      </c>
      <c r="D9" s="51" t="n">
        <f aca="false">Inputs!$D$13</f>
        <v>30</v>
      </c>
      <c r="E9" s="52" t="n">
        <f aca="false">Inputs!$E$13</f>
        <v>30</v>
      </c>
    </row>
    <row r="10" customFormat="false" ht="15" hidden="false" customHeight="false" outlineLevel="0" collapsed="false">
      <c r="A10" s="6" t="s">
        <v>110</v>
      </c>
      <c r="B10" s="55" t="n">
        <f aca="false">Inputs!$B$14</f>
        <v>0.36</v>
      </c>
      <c r="C10" s="55" t="n">
        <f aca="false">Inputs!$C$14</f>
        <v>0.33</v>
      </c>
      <c r="D10" s="55" t="n">
        <f aca="false">Inputs!$D$14</f>
        <v>0.3</v>
      </c>
      <c r="E10" s="56" t="n">
        <f aca="false">Inputs!$E$14</f>
        <v>0.33</v>
      </c>
    </row>
    <row r="11" customFormat="false" ht="15" hidden="false" customHeight="false" outlineLevel="0" collapsed="false">
      <c r="A11" s="6" t="s">
        <v>111</v>
      </c>
      <c r="B11" s="57" t="n">
        <f aca="false">Inputs!$B$15</f>
        <v>4500</v>
      </c>
      <c r="C11" s="57" t="n">
        <f aca="false">Inputs!$C$15</f>
        <v>4500</v>
      </c>
      <c r="D11" s="57" t="n">
        <f aca="false">Inputs!$D$15</f>
        <v>4500</v>
      </c>
      <c r="E11" s="58" t="n">
        <f aca="false">Inputs!$E$15</f>
        <v>4500</v>
      </c>
    </row>
    <row r="12" customFormat="false" ht="15" hidden="false" customHeight="false" outlineLevel="0" collapsed="false">
      <c r="A12" s="6" t="s">
        <v>112</v>
      </c>
      <c r="B12" s="57" t="n">
        <f aca="false">Inputs!$B$18</f>
        <v>180000</v>
      </c>
      <c r="C12" s="57" t="n">
        <f aca="false">Inputs!$C$18</f>
        <v>160000</v>
      </c>
      <c r="D12" s="57" t="n">
        <f aca="false">Inputs!$D$18</f>
        <v>150000</v>
      </c>
      <c r="E12" s="58" t="n">
        <f aca="false">Inputs!$E$18</f>
        <v>160000</v>
      </c>
    </row>
    <row r="13" customFormat="false" ht="15" hidden="false" customHeight="false" outlineLevel="0" collapsed="false">
      <c r="A13" s="6" t="s">
        <v>113</v>
      </c>
      <c r="B13" s="57" t="n">
        <f aca="false">Inputs!$B$29</f>
        <v>140000</v>
      </c>
      <c r="C13" s="57" t="n">
        <f aca="false">Inputs!$C$29</f>
        <v>140000</v>
      </c>
      <c r="D13" s="57" t="n">
        <f aca="false">Inputs!$D$29</f>
        <v>140000</v>
      </c>
      <c r="E13" s="58" t="n">
        <f aca="false">Inputs!$E$29</f>
        <v>140000</v>
      </c>
    </row>
    <row r="15" customFormat="false" ht="15.75" hidden="false" customHeight="true" outlineLevel="0" collapsed="false">
      <c r="A15" s="7" t="s">
        <v>114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115</v>
      </c>
      <c r="B16" s="50" t="s">
        <v>103</v>
      </c>
      <c r="C16" s="50" t="s">
        <v>104</v>
      </c>
      <c r="D16" s="50" t="s">
        <v>105</v>
      </c>
      <c r="E16" s="50" t="s">
        <v>106</v>
      </c>
    </row>
    <row r="17" customFormat="false" ht="15" hidden="false" customHeight="false" outlineLevel="0" collapsed="false">
      <c r="A17" s="6" t="s">
        <v>116</v>
      </c>
      <c r="B17" s="59" t="n">
        <f aca="false">F30</f>
        <v>289464.975116222</v>
      </c>
      <c r="C17" s="59" t="n">
        <f aca="false">F31</f>
        <v>531995.795473716</v>
      </c>
      <c r="D17" s="59" t="n">
        <f aca="false">F32</f>
        <v>936315.920381546</v>
      </c>
      <c r="E17" s="60" t="n">
        <f aca="false">'P&amp;L'!F5</f>
        <v>531995.795473716</v>
      </c>
    </row>
    <row r="18" customFormat="false" ht="15" hidden="false" customHeight="false" outlineLevel="0" collapsed="false">
      <c r="A18" s="6" t="s">
        <v>117</v>
      </c>
      <c r="B18" s="59" t="n">
        <f aca="false">SUM(B30:F30)</f>
        <v>1255064.48334194</v>
      </c>
      <c r="C18" s="59" t="n">
        <f aca="false">SUM(B31:F31)</f>
        <v>2194125.59366234</v>
      </c>
      <c r="D18" s="59" t="n">
        <f aca="false">SUM(B32:F32)</f>
        <v>3653406.6418003</v>
      </c>
      <c r="E18" s="60" t="n">
        <f aca="false">SUM('P&amp;L'!$B$5:$F$5)</f>
        <v>2194125.59366234</v>
      </c>
    </row>
    <row r="19" customFormat="false" ht="15" hidden="false" customHeight="false" outlineLevel="0" collapsed="false">
      <c r="A19" s="6" t="s">
        <v>118</v>
      </c>
      <c r="B19" s="59" t="n">
        <f aca="false">F36</f>
        <v>-20172.3029782671</v>
      </c>
      <c r="C19" s="59" t="n">
        <f aca="false">F37</f>
        <v>121293.483976778</v>
      </c>
      <c r="D19" s="59" t="n">
        <f aca="false">F38</f>
        <v>377894.164716436</v>
      </c>
      <c r="E19" s="60" t="n">
        <f aca="false">'P&amp;L'!F14</f>
        <v>121293.483976778</v>
      </c>
    </row>
    <row r="20" customFormat="false" ht="15" hidden="false" customHeight="false" outlineLevel="0" collapsed="false">
      <c r="A20" s="6" t="s">
        <v>119</v>
      </c>
      <c r="B20" s="61" t="n">
        <f aca="false">IF(B17=0,0,B19/B17)</f>
        <v>-0.0696882341988623</v>
      </c>
      <c r="C20" s="61" t="n">
        <f aca="false">IF(C17=0,0,C19/C17)</f>
        <v>0.227997072549741</v>
      </c>
      <c r="D20" s="61" t="n">
        <f aca="false">IF(D17=0,0,D19/D17)</f>
        <v>0.403596859233628</v>
      </c>
      <c r="E20" s="62" t="n">
        <f aca="false">IF(E17=0,0,E19/E17)</f>
        <v>0.227997072549741</v>
      </c>
    </row>
    <row r="21" customFormat="false" ht="15" hidden="false" customHeight="false" outlineLevel="0" collapsed="false">
      <c r="A21" s="6" t="s">
        <v>120</v>
      </c>
      <c r="B21" s="59" t="n">
        <f aca="false">F42</f>
        <v>-46633.2553592195</v>
      </c>
      <c r="C21" s="59" t="n">
        <f aca="false">F43</f>
        <v>77174.842817845</v>
      </c>
      <c r="D21" s="59" t="n">
        <f aca="false">F44</f>
        <v>281017.952030746</v>
      </c>
      <c r="E21" s="60" t="n">
        <f aca="false">'P&amp;L'!F21</f>
        <v>77174.842817845</v>
      </c>
    </row>
    <row r="22" customFormat="false" ht="15" hidden="false" customHeight="false" outlineLevel="0" collapsed="false">
      <c r="A22" s="6" t="s">
        <v>121</v>
      </c>
      <c r="B22" s="59" t="n">
        <f aca="false">SUM(B42:F42)</f>
        <v>-329222.517103152</v>
      </c>
      <c r="C22" s="59" t="n">
        <f aca="false">SUM(B43:F43)</f>
        <v>171783.746802685</v>
      </c>
      <c r="D22" s="59" t="n">
        <f aca="false">SUM(B44:F44)</f>
        <v>889084.27854225</v>
      </c>
      <c r="E22" s="60" t="n">
        <f aca="false">SUM('P&amp;L'!$B$21:$F$21)</f>
        <v>171783.746802685</v>
      </c>
    </row>
    <row r="23" customFormat="false" ht="15" hidden="false" customHeight="false" outlineLevel="0" collapsed="false">
      <c r="A23" s="6" t="s">
        <v>122</v>
      </c>
      <c r="B23" s="59" t="n">
        <f aca="false">F48</f>
        <v>-238899.639123222</v>
      </c>
      <c r="C23" s="59" t="n">
        <f aca="false">F49</f>
        <v>267860.901912279</v>
      </c>
      <c r="D23" s="59" t="n">
        <f aca="false">F50</f>
        <v>987820.556774102</v>
      </c>
      <c r="E23" s="60" t="n">
        <f aca="false">'Balance Sheet'!F5</f>
        <v>267860.901912279</v>
      </c>
    </row>
    <row r="24" customFormat="false" ht="15" hidden="false" customHeight="false" outlineLevel="0" collapsed="false">
      <c r="A24" s="6" t="s">
        <v>123</v>
      </c>
      <c r="B24" s="59" t="n">
        <f aca="false">MIN('Scenario calc'!$C$63:$BJ$63)</f>
        <v>-238899.639123222</v>
      </c>
      <c r="C24" s="59" t="n">
        <f aca="false">MIN('Scenario calc'!$C$151:$BJ$151)</f>
        <v>33683.9777777778</v>
      </c>
      <c r="D24" s="59" t="n">
        <f aca="false">MIN('Scenario calc'!$C$239:$BJ$239)</f>
        <v>69362.3333333333</v>
      </c>
      <c r="E24" s="60" t="n">
        <f aca="false">'Break-even'!B18</f>
        <v>33683.9777777778</v>
      </c>
    </row>
    <row r="25" customFormat="false" ht="15" hidden="false" customHeight="false" outlineLevel="0" collapsed="false">
      <c r="A25" s="6" t="s">
        <v>124</v>
      </c>
      <c r="B25" s="63" t="n">
        <f aca="false">MATCH(MIN('Scenario calc'!$C$63:$BJ$63),'Scenario calc'!$C$63:$BJ$63,0)</f>
        <v>60</v>
      </c>
      <c r="C25" s="63" t="n">
        <f aca="false">MATCH(MIN('Scenario calc'!$C$151:$BJ$151),'Scenario calc'!$C$151:$BJ$151,0)</f>
        <v>6</v>
      </c>
      <c r="D25" s="63" t="n">
        <f aca="false">MATCH(MIN('Scenario calc'!$C$239:$BJ$239),'Scenario calc'!$C$239:$BJ$239,0)</f>
        <v>1</v>
      </c>
      <c r="E25" s="64" t="n">
        <f aca="false">'Break-even'!B6</f>
        <v>6</v>
      </c>
    </row>
    <row r="26" customFormat="false" ht="15" hidden="false" customHeight="false" outlineLevel="0" collapsed="false">
      <c r="A26" s="4" t="s">
        <v>64</v>
      </c>
      <c r="B26" s="59" t="n">
        <f aca="false">SUMPRODUCT(--('Scenario calc'!$C$6:$BJ$6&lt;=B25),'Scenario calc'!$C$36:$BJ$36)-SUMPRODUCT(--('Scenario calc'!$C$6:$BJ$6&lt;=B25),'Scenario calc'!$C$57:$BJ$57)-SUMPRODUCT(--('Scenario calc'!$C$6:$BJ$6&lt;=B25),'Scenario calc'!$C$45:$BJ$45)+Inputs!$B$44</f>
        <v>511899.639123222</v>
      </c>
      <c r="C26" s="59" t="n">
        <f aca="false">SUMPRODUCT(--('Scenario calc'!$C$94:$BJ$94&lt;=C25),'Scenario calc'!$C$124:$BJ$124)-SUMPRODUCT(--('Scenario calc'!$C$94:$BJ$94&lt;=C25),'Scenario calc'!$C$145:$BJ$145)-SUMPRODUCT(--('Scenario calc'!$C$94:$BJ$94&lt;=C25),'Scenario calc'!$C$133:$BJ$133)+Inputs!$C$44</f>
        <v>239316.022222222</v>
      </c>
      <c r="D26" s="59" t="n">
        <f aca="false">SUMPRODUCT(--('Scenario calc'!$C$182:$BJ$182&lt;=D25),'Scenario calc'!$C$212:$BJ$212)-SUMPRODUCT(--('Scenario calc'!$C$182:$BJ$182&lt;=D25),'Scenario calc'!$C$233:$BJ$233)-SUMPRODUCT(--('Scenario calc'!$C$182:$BJ$182&lt;=D25),'Scenario calc'!$C$221:$BJ$221)+Inputs!$D$44</f>
        <v>203637.666666667</v>
      </c>
      <c r="E26" s="60" t="n">
        <f aca="false">'Break-even'!B12</f>
        <v>239316.022222222</v>
      </c>
    </row>
    <row r="28" customFormat="false" ht="15.75" hidden="false" customHeight="true" outlineLevel="0" collapsed="false">
      <c r="A28" s="7" t="s">
        <v>125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126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103</v>
      </c>
      <c r="B30" s="59" t="n">
        <f aca="false">SUMIF('Scenario calc'!$C$7:$BJ$7,B$29,'Scenario calc'!$C$14:$BJ$14)</f>
        <v>178200</v>
      </c>
      <c r="C30" s="59" t="n">
        <f aca="false">SUMIF('Scenario calc'!$C$7:$BJ$7,C$29,'Scenario calc'!$C$14:$BJ$14)</f>
        <v>249622.56</v>
      </c>
      <c r="D30" s="59" t="n">
        <f aca="false">SUMIF('Scenario calc'!$C$7:$BJ$7,D$29,'Scenario calc'!$C$14:$BJ$14)</f>
        <v>262253.461536</v>
      </c>
      <c r="E30" s="59" t="n">
        <f aca="false">SUMIF('Scenario calc'!$C$7:$BJ$7,E$29,'Scenario calc'!$C$14:$BJ$14)</f>
        <v>275523.486689722</v>
      </c>
      <c r="F30" s="59" t="n">
        <f aca="false">SUMIF('Scenario calc'!$C$7:$BJ$7,F$29,'Scenario calc'!$C$14:$BJ$14)</f>
        <v>289464.975116222</v>
      </c>
    </row>
    <row r="31" customFormat="false" ht="15" hidden="false" customHeight="false" outlineLevel="0" collapsed="false">
      <c r="A31" s="6" t="s">
        <v>104</v>
      </c>
      <c r="B31" s="59" t="n">
        <f aca="false">SUMIF('Scenario calc'!$C$95:$BJ$95,B$29,'Scenario calc'!$C$102:$BJ$102)</f>
        <v>319800</v>
      </c>
      <c r="C31" s="59" t="n">
        <f aca="false">SUMIF('Scenario calc'!$C$95:$BJ$95,C$29,'Scenario calc'!$C$102:$BJ$102)</f>
        <v>408769.92</v>
      </c>
      <c r="D31" s="59" t="n">
        <f aca="false">SUMIF('Scenario calc'!$C$95:$BJ$95,D$29,'Scenario calc'!$C$102:$BJ$102)</f>
        <v>446294.998656</v>
      </c>
      <c r="E31" s="59" t="n">
        <f aca="false">SUMIF('Scenario calc'!$C$95:$BJ$95,E$29,'Scenario calc'!$C$102:$BJ$102)</f>
        <v>487264.879532621</v>
      </c>
      <c r="F31" s="59" t="n">
        <f aca="false">SUMIF('Scenario calc'!$C$95:$BJ$95,F$29,'Scenario calc'!$C$102:$BJ$102)</f>
        <v>531995.795473716</v>
      </c>
    </row>
    <row r="32" customFormat="false" ht="15" hidden="false" customHeight="false" outlineLevel="0" collapsed="false">
      <c r="A32" s="6" t="s">
        <v>105</v>
      </c>
      <c r="B32" s="59" t="n">
        <f aca="false">SUMIF('Scenario calc'!$C$183:$BJ$183,B$29,'Scenario calc'!$C$190:$BJ$190)</f>
        <v>519750</v>
      </c>
      <c r="C32" s="59" t="n">
        <f aca="false">SUMIF('Scenario calc'!$C$183:$BJ$183,C$29,'Scenario calc'!$C$190:$BJ$190)</f>
        <v>642751.2</v>
      </c>
      <c r="D32" s="59" t="n">
        <f aca="false">SUMIF('Scenario calc'!$C$183:$BJ$183,D$29,'Scenario calc'!$C$190:$BJ$190)</f>
        <v>728622.76032</v>
      </c>
      <c r="E32" s="59" t="n">
        <f aca="false">SUMIF('Scenario calc'!$C$183:$BJ$183,E$29,'Scenario calc'!$C$190:$BJ$190)</f>
        <v>825966.761098752</v>
      </c>
      <c r="F32" s="59" t="n">
        <f aca="false">SUMIF('Scenario calc'!$C$183:$BJ$183,F$29,'Scenario calc'!$C$190:$BJ$190)</f>
        <v>936315.920381546</v>
      </c>
    </row>
    <row r="34" customFormat="false" ht="15.75" hidden="false" customHeight="true" outlineLevel="0" collapsed="false">
      <c r="A34" s="7" t="s">
        <v>127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126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103</v>
      </c>
      <c r="B36" s="59" t="n">
        <f aca="false">SUMIF('Scenario calc'!$C$7:$BJ$7,B$35,'Scenario calc'!$C$24:$BJ$24)</f>
        <v>-74280</v>
      </c>
      <c r="C36" s="59" t="n">
        <f aca="false">SUMIF('Scenario calc'!$C$7:$BJ$7,C$35,'Scenario calc'!$C$24:$BJ$24)</f>
        <v>-34450.464</v>
      </c>
      <c r="D36" s="59" t="n">
        <f aca="false">SUMIF('Scenario calc'!$C$7:$BJ$7,D$35,'Scenario calc'!$C$24:$BJ$24)</f>
        <v>-29986.6430784</v>
      </c>
      <c r="E36" s="59" t="n">
        <f aca="false">SUMIF('Scenario calc'!$C$7:$BJ$7,E$35,'Scenario calc'!$C$24:$BJ$24)</f>
        <v>-25232.7895861671</v>
      </c>
      <c r="F36" s="59" t="n">
        <f aca="false">SUMIF('Scenario calc'!$C$7:$BJ$7,F$35,'Scenario calc'!$C$24:$BJ$24)</f>
        <v>-20172.3029782671</v>
      </c>
    </row>
    <row r="37" customFormat="false" ht="15" hidden="false" customHeight="false" outlineLevel="0" collapsed="false">
      <c r="A37" s="6" t="s">
        <v>104</v>
      </c>
      <c r="B37" s="59" t="n">
        <f aca="false">SUMIF('Scenario calc'!$C$95:$BJ$95,B$35,'Scenario calc'!$C$112:$BJ$112)</f>
        <v>1231.99999999997</v>
      </c>
      <c r="C37" s="59" t="n">
        <f aca="false">SUMIF('Scenario calc'!$C$95:$BJ$95,C$35,'Scenario calc'!$C$112:$BJ$112)</f>
        <v>54409.5488</v>
      </c>
      <c r="D37" s="59" t="n">
        <f aca="false">SUMIF('Scenario calc'!$C$95:$BJ$95,D$35,'Scenario calc'!$C$112:$BJ$112)</f>
        <v>74549.5031398401</v>
      </c>
      <c r="E37" s="59" t="n">
        <f aca="false">SUMIF('Scenario calc'!$C$95:$BJ$95,E$35,'Scenario calc'!$C$112:$BJ$112)</f>
        <v>96777.8480208774</v>
      </c>
      <c r="F37" s="59" t="n">
        <f aca="false">SUMIF('Scenario calc'!$C$95:$BJ$95,F$35,'Scenario calc'!$C$112:$BJ$112)</f>
        <v>121293.483976778</v>
      </c>
    </row>
    <row r="38" customFormat="false" ht="15" hidden="false" customHeight="false" outlineLevel="0" collapsed="false">
      <c r="A38" s="6" t="s">
        <v>105</v>
      </c>
      <c r="B38" s="59" t="n">
        <f aca="false">SUMIF('Scenario calc'!$C$183:$BJ$183,B$35,'Scenario calc'!$C$200:$BJ$200)</f>
        <v>117912.5</v>
      </c>
      <c r="C38" s="59" t="n">
        <f aca="false">SUMIF('Scenario calc'!$C$183:$BJ$183,C$35,'Scenario calc'!$C$200:$BJ$200)</f>
        <v>195753.704</v>
      </c>
      <c r="D38" s="59" t="n">
        <f aca="false">SUMIF('Scenario calc'!$C$183:$BJ$183,D$35,'Scenario calc'!$C$200:$BJ$200)</f>
        <v>248580.9614144</v>
      </c>
      <c r="E38" s="59" t="n">
        <f aca="false">SUMIF('Scenario calc'!$C$183:$BJ$183,E$35,'Scenario calc'!$C$200:$BJ$200)</f>
        <v>308953.553296164</v>
      </c>
      <c r="F38" s="59" t="n">
        <f aca="false">SUMIF('Scenario calc'!$C$183:$BJ$183,F$35,'Scenario calc'!$C$200:$BJ$200)</f>
        <v>377894.164716436</v>
      </c>
    </row>
    <row r="40" customFormat="false" ht="15.75" hidden="false" customHeight="true" outlineLevel="0" collapsed="false">
      <c r="A40" s="7" t="s">
        <v>128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126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103</v>
      </c>
      <c r="B42" s="59" t="n">
        <f aca="false">SUMIF('Scenario calc'!$C$7:$BJ$7,B$41,'Scenario calc'!$C$33:$BJ$33)</f>
        <v>-105856.507936508</v>
      </c>
      <c r="C42" s="59" t="n">
        <f aca="false">SUMIF('Scenario calc'!$C$7:$BJ$7,C$41,'Scenario calc'!$C$33:$BJ$33)</f>
        <v>-64751.4163809524</v>
      </c>
      <c r="D42" s="59" t="n">
        <f aca="false">SUMIF('Scenario calc'!$C$7:$BJ$7,D$41,'Scenario calc'!$C$33:$BJ$33)</f>
        <v>-59007.5954593524</v>
      </c>
      <c r="E42" s="59" t="n">
        <f aca="false">SUMIF('Scenario calc'!$C$7:$BJ$7,E$41,'Scenario calc'!$C$33:$BJ$33)</f>
        <v>-52973.7419671194</v>
      </c>
      <c r="F42" s="59" t="n">
        <f aca="false">SUMIF('Scenario calc'!$C$7:$BJ$7,F$41,'Scenario calc'!$C$33:$BJ$33)</f>
        <v>-46633.2553592195</v>
      </c>
    </row>
    <row r="43" customFormat="false" ht="15" hidden="false" customHeight="false" outlineLevel="0" collapsed="false">
      <c r="A43" s="6" t="s">
        <v>104</v>
      </c>
      <c r="B43" s="59" t="n">
        <f aca="false">SUMIF('Scenario calc'!$C$95:$BJ$95,B$41,'Scenario calc'!$C$121:$BJ$121)</f>
        <v>-27487.3650793651</v>
      </c>
      <c r="C43" s="59" t="n">
        <f aca="false">SUMIF('Scenario calc'!$C$95:$BJ$95,C$41,'Scenario calc'!$C$121:$BJ$121)</f>
        <v>26965.7392761905</v>
      </c>
      <c r="D43" s="59" t="n">
        <f aca="false">SUMIF('Scenario calc'!$C$95:$BJ$95,D$41,'Scenario calc'!$C$121:$BJ$121)</f>
        <v>38334.2393753308</v>
      </c>
      <c r="E43" s="59" t="n">
        <f aca="false">SUMIF('Scenario calc'!$C$95:$BJ$95,E$41,'Scenario calc'!$C$121:$BJ$121)</f>
        <v>56796.2904126836</v>
      </c>
      <c r="F43" s="59" t="n">
        <f aca="false">SUMIF('Scenario calc'!$C$95:$BJ$95,F$41,'Scenario calc'!$C$121:$BJ$121)</f>
        <v>77174.842817845</v>
      </c>
    </row>
    <row r="44" customFormat="false" ht="15" hidden="false" customHeight="false" outlineLevel="0" collapsed="false">
      <c r="A44" s="6" t="s">
        <v>105</v>
      </c>
      <c r="B44" s="59" t="n">
        <f aca="false">SUMIF('Scenario calc'!$C$183:$BJ$183,B$41,'Scenario calc'!$C$209:$BJ$209)</f>
        <v>71591.148015873</v>
      </c>
      <c r="C44" s="59" t="n">
        <f aca="false">SUMIF('Scenario calc'!$C$183:$BJ$183,C$41,'Scenario calc'!$C$209:$BJ$209)</f>
        <v>134093.388064762</v>
      </c>
      <c r="D44" s="59" t="n">
        <f aca="false">SUMIF('Scenario calc'!$C$183:$BJ$183,D$41,'Scenario calc'!$C$209:$BJ$209)</f>
        <v>176838.121422138</v>
      </c>
      <c r="E44" s="59" t="n">
        <f aca="false">SUMIF('Scenario calc'!$C$183:$BJ$183,E$41,'Scenario calc'!$C$209:$BJ$209)</f>
        <v>225543.669008731</v>
      </c>
      <c r="F44" s="59" t="n">
        <f aca="false">SUMIF('Scenario calc'!$C$183:$BJ$183,F$41,'Scenario calc'!$C$209:$BJ$209)</f>
        <v>281017.952030746</v>
      </c>
    </row>
    <row r="46" customFormat="false" ht="15.75" hidden="false" customHeight="true" outlineLevel="0" collapsed="false">
      <c r="A46" s="7" t="s">
        <v>129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126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103</v>
      </c>
      <c r="B48" s="59" t="n">
        <f aca="false">INDEX('Scenario calc'!$C$63:$BJ$63,B$47*12)</f>
        <v>-54465.6888888889</v>
      </c>
      <c r="C48" s="59" t="n">
        <f aca="false">INDEX('Scenario calc'!$C$63:$BJ$63,C$47*12)</f>
        <v>-109485.453635556</v>
      </c>
      <c r="D48" s="59" t="n">
        <f aca="false">INDEX('Scenario calc'!$C$63:$BJ$63,D$47*12)</f>
        <v>-158760.51874507</v>
      </c>
      <c r="E48" s="59" t="n">
        <f aca="false">INDEX('Scenario calc'!$C$63:$BJ$63,E$47*12)</f>
        <v>-202000.807183793</v>
      </c>
      <c r="F48" s="59" t="n">
        <f aca="false">INDEX('Scenario calc'!$C$63:$BJ$63,F$47*12)</f>
        <v>-238899.639123222</v>
      </c>
    </row>
    <row r="49" customFormat="false" ht="15" hidden="false" customHeight="false" outlineLevel="0" collapsed="false">
      <c r="A49" s="6" t="s">
        <v>104</v>
      </c>
      <c r="B49" s="59" t="n">
        <f aca="false">INDEX('Scenario calc'!$C$151:$BJ$151,B$47*12)</f>
        <v>41025.5111111111</v>
      </c>
      <c r="C49" s="59" t="n">
        <f aca="false">INDEX('Scenario calc'!$C$151:$BJ$151,C$47*12)</f>
        <v>74877.9895644444</v>
      </c>
      <c r="D49" s="59" t="n">
        <f aca="false">INDEX('Scenario calc'!$C$151:$BJ$151,D$47*12)</f>
        <v>120101.685059094</v>
      </c>
      <c r="E49" s="59" t="n">
        <f aca="false">INDEX('Scenario calc'!$C$151:$BJ$151,E$47*12)</f>
        <v>183790.397948564</v>
      </c>
      <c r="F49" s="59" t="n">
        <f aca="false">INDEX('Scenario calc'!$C$151:$BJ$151,F$47*12)</f>
        <v>267860.901912279</v>
      </c>
    </row>
    <row r="50" customFormat="false" ht="15" hidden="false" customHeight="false" outlineLevel="0" collapsed="false">
      <c r="A50" s="6" t="s">
        <v>105</v>
      </c>
      <c r="B50" s="59" t="n">
        <f aca="false">INDEX('Scenario calc'!$C$239:$BJ$239,B$47*12)</f>
        <v>148510.552777778</v>
      </c>
      <c r="C50" s="59" t="n">
        <f aca="false">INDEX('Scenario calc'!$C$239:$BJ$239,C$47*12)</f>
        <v>288053.554271111</v>
      </c>
      <c r="D50" s="59" t="n">
        <f aca="false">INDEX('Scenario calc'!$C$239:$BJ$239,D$47*12)</f>
        <v>470344.100333021</v>
      </c>
      <c r="E50" s="59" t="n">
        <f aca="false">INDEX('Scenario calc'!$C$239:$BJ$239,E$47*12)</f>
        <v>701343.38077054</v>
      </c>
      <c r="F50" s="59" t="n">
        <f aca="false">INDEX('Scenario calc'!$C$239:$BJ$239,F$47*12)</f>
        <v>987820.556774102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131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124</v>
      </c>
      <c r="B6" s="63" t="n">
        <f aca="false">MATCH(MIN(Monthly!$C$61:$BJ$61),Monthly!$C$61:$BJ$61,0)</f>
        <v>6</v>
      </c>
    </row>
    <row r="7" customFormat="false" ht="15" hidden="false" customHeight="false" outlineLevel="0" collapsed="false">
      <c r="A7" s="6" t="s">
        <v>134</v>
      </c>
      <c r="B7" s="65" t="n">
        <f aca="false">SUMPRODUCT(--(Monthly!$C$4:$BJ$4&lt;=$B$6),Monthly!$C$34:$BJ$34)</f>
        <v>160000</v>
      </c>
    </row>
    <row r="8" customFormat="false" ht="15" hidden="false" customHeight="false" outlineLevel="0" collapsed="false">
      <c r="A8" s="6" t="s">
        <v>135</v>
      </c>
      <c r="B8" s="65" t="n">
        <f aca="false">-SUMPRODUCT(--(Monthly!$C$4:$BJ$4&lt;=$B$6),Monthly!$C$55:$BJ$55)</f>
        <v>19649.3555555556</v>
      </c>
      <c r="D8" s="18" t="s">
        <v>136</v>
      </c>
    </row>
    <row r="9" customFormat="false" ht="15" hidden="false" customHeight="false" outlineLevel="0" collapsed="false">
      <c r="A9" s="6" t="s">
        <v>137</v>
      </c>
      <c r="B9" s="65" t="n">
        <f aca="false">-SUMPRODUCT(--(Monthly!$C$4:$BJ$4&lt;=$B$6),Monthly!$C$43:$BJ$43)</f>
        <v>6666.66666666667</v>
      </c>
    </row>
    <row r="10" customFormat="false" ht="15" hidden="false" customHeight="false" outlineLevel="0" collapsed="false">
      <c r="A10" s="4" t="s">
        <v>138</v>
      </c>
      <c r="B10" s="66" t="n">
        <f aca="false">B7+B8+B9</f>
        <v>186316.022222222</v>
      </c>
    </row>
    <row r="11" customFormat="false" ht="15" hidden="false" customHeight="false" outlineLevel="0" collapsed="false">
      <c r="A11" s="6" t="s">
        <v>139</v>
      </c>
      <c r="B11" s="67" t="n">
        <f aca="false">Inputs!$E$44</f>
        <v>53000</v>
      </c>
      <c r="D11" s="18" t="s">
        <v>140</v>
      </c>
    </row>
    <row r="12" customFormat="false" ht="15" hidden="false" customHeight="false" outlineLevel="0" collapsed="false">
      <c r="A12" s="4" t="s">
        <v>141</v>
      </c>
      <c r="B12" s="66" t="n">
        <f aca="false">B10+B11</f>
        <v>239316.022222222</v>
      </c>
    </row>
    <row r="14" customFormat="false" ht="15" hidden="false" customHeight="false" outlineLevel="0" collapsed="false">
      <c r="A14" s="6" t="s">
        <v>62</v>
      </c>
      <c r="B14" s="67" t="n">
        <f aca="false">Inputs!$E$29</f>
        <v>140000</v>
      </c>
    </row>
    <row r="15" customFormat="false" ht="15" hidden="false" customHeight="false" outlineLevel="0" collapsed="false">
      <c r="A15" s="6" t="s">
        <v>63</v>
      </c>
      <c r="B15" s="67" t="n">
        <f aca="false">Inputs!$E$30</f>
        <v>80000</v>
      </c>
    </row>
    <row r="16" customFormat="false" ht="15" hidden="false" customHeight="false" outlineLevel="0" collapsed="false">
      <c r="A16" s="4" t="s">
        <v>142</v>
      </c>
      <c r="B16" s="66" t="n">
        <f aca="false">B14+B15</f>
        <v>220000</v>
      </c>
    </row>
    <row r="17" customFormat="false" ht="15" hidden="false" customHeight="false" outlineLevel="0" collapsed="false">
      <c r="A17" s="68" t="s">
        <v>65</v>
      </c>
      <c r="B17" s="69" t="n">
        <f aca="false">B16-B12</f>
        <v>-19316.0222222222</v>
      </c>
      <c r="D17" s="18" t="s">
        <v>143</v>
      </c>
    </row>
    <row r="18" customFormat="false" ht="15" hidden="false" customHeight="false" outlineLevel="0" collapsed="false">
      <c r="A18" s="6" t="s">
        <v>144</v>
      </c>
      <c r="B18" s="65" t="n">
        <f aca="false">MIN(Monthly!$C$61:$BJ$61)</f>
        <v>33683.9777777778</v>
      </c>
      <c r="D18" s="18" t="s">
        <v>145</v>
      </c>
    </row>
    <row r="20" customFormat="false" ht="15.75" hidden="false" customHeight="true" outlineLevel="0" collapsed="false">
      <c r="A20" s="7" t="s">
        <v>146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147</v>
      </c>
      <c r="B21" s="63" t="n">
        <f aca="false">IFERROR(MATCH(1,Monthly!$C$62:$BJ$62,0),"Not within horizon")</f>
        <v>6</v>
      </c>
    </row>
    <row r="22" customFormat="false" ht="15" hidden="false" customHeight="false" outlineLevel="0" collapsed="false">
      <c r="A22" s="6" t="s">
        <v>148</v>
      </c>
      <c r="B22" s="63" t="n">
        <f aca="false">IFERROR(MATCH(1,Monthly!$C$65:$BJ$65,0),"Not within horizon")</f>
        <v>7</v>
      </c>
    </row>
    <row r="23" customFormat="false" ht="15" hidden="false" customHeight="false" outlineLevel="0" collapsed="false">
      <c r="A23" s="6" t="s">
        <v>149</v>
      </c>
      <c r="B23" s="63" t="n">
        <f aca="false">IF(MIN(Monthly!$C$67:$BJ$67)&gt;=0,"No investment to pay back",IFERROR(MATCH(1,Monthly!$C$69:$BJ$69,0),"Not within horizon"))</f>
        <v>45</v>
      </c>
      <c r="D23" s="18" t="s">
        <v>150</v>
      </c>
    </row>
    <row r="25" customFormat="false" ht="15.75" hidden="false" customHeight="true" outlineLevel="0" collapsed="false">
      <c r="A25" s="7" t="s">
        <v>151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0" t="s">
        <v>152</v>
      </c>
      <c r="B26" s="70" t="n">
        <v>1</v>
      </c>
      <c r="C26" s="70" t="n">
        <v>2</v>
      </c>
      <c r="D26" s="70" t="n">
        <v>3</v>
      </c>
      <c r="E26" s="70" t="n">
        <v>4</v>
      </c>
      <c r="F26" s="70" t="n">
        <v>5</v>
      </c>
    </row>
    <row r="27" customFormat="false" ht="15" hidden="false" customHeight="false" outlineLevel="0" collapsed="false">
      <c r="A27" s="33"/>
      <c r="B27" s="50" t="s">
        <v>153</v>
      </c>
      <c r="C27" s="50" t="s">
        <v>154</v>
      </c>
      <c r="D27" s="50" t="s">
        <v>155</v>
      </c>
      <c r="E27" s="50" t="s">
        <v>156</v>
      </c>
      <c r="F27" s="50" t="s">
        <v>157</v>
      </c>
    </row>
    <row r="28" customFormat="false" ht="15" hidden="false" customHeight="false" outlineLevel="0" collapsed="false">
      <c r="A28" s="4" t="s">
        <v>44</v>
      </c>
      <c r="B28" s="71" t="n">
        <f aca="false">SUMIF(Monthly!$C$5:$BJ$5,B$26,Monthly!$C$12:$BJ$12)</f>
        <v>319800</v>
      </c>
      <c r="C28" s="71" t="n">
        <f aca="false">SUMIF(Monthly!$C$5:$BJ$5,C$26,Monthly!$C$12:$BJ$12)</f>
        <v>408769.92</v>
      </c>
      <c r="D28" s="71" t="n">
        <f aca="false">SUMIF(Monthly!$C$5:$BJ$5,D$26,Monthly!$C$12:$BJ$12)</f>
        <v>446294.998656</v>
      </c>
      <c r="E28" s="71" t="n">
        <f aca="false">SUMIF(Monthly!$C$5:$BJ$5,E$26,Monthly!$C$12:$BJ$12)</f>
        <v>487264.879532621</v>
      </c>
      <c r="F28" s="71" t="n">
        <f aca="false">SUMIF(Monthly!$C$5:$BJ$5,F$26,Monthly!$C$12:$BJ$12)</f>
        <v>531995.795473716</v>
      </c>
    </row>
    <row r="29" customFormat="false" ht="15" hidden="false" customHeight="false" outlineLevel="0" collapsed="false">
      <c r="A29" s="6" t="s">
        <v>45</v>
      </c>
      <c r="B29" s="65" t="n">
        <f aca="false">SUMIF(Monthly!$C$5:$BJ$5,B$26,Monthly!$C$14:$BJ$14)</f>
        <v>214266</v>
      </c>
      <c r="C29" s="65" t="n">
        <f aca="false">SUMIF(Monthly!$C$5:$BJ$5,C$26,Monthly!$C$14:$BJ$14)</f>
        <v>273875.8464</v>
      </c>
      <c r="D29" s="65" t="n">
        <f aca="false">SUMIF(Monthly!$C$5:$BJ$5,D$26,Monthly!$C$14:$BJ$14)</f>
        <v>299017.64909952</v>
      </c>
      <c r="E29" s="65" t="n">
        <f aca="false">SUMIF(Monthly!$C$5:$BJ$5,E$26,Monthly!$C$14:$BJ$14)</f>
        <v>326467.469286856</v>
      </c>
      <c r="F29" s="65" t="n">
        <f aca="false">SUMIF(Monthly!$C$5:$BJ$5,F$26,Monthly!$C$14:$BJ$14)</f>
        <v>356437.182967389</v>
      </c>
    </row>
    <row r="30" customFormat="false" ht="15" hidden="false" customHeight="false" outlineLevel="0" collapsed="false">
      <c r="A30" s="38" t="s">
        <v>158</v>
      </c>
      <c r="B30" s="72" t="n">
        <f aca="false">IF(B28=0,0,B29/B28)</f>
        <v>0.67</v>
      </c>
      <c r="C30" s="72" t="n">
        <f aca="false">IF(C28=0,0,C29/C28)</f>
        <v>0.67</v>
      </c>
      <c r="D30" s="72" t="n">
        <f aca="false">IF(D28=0,0,D29/D28)</f>
        <v>0.67</v>
      </c>
      <c r="E30" s="72" t="n">
        <f aca="false">IF(E28=0,0,E29/E28)</f>
        <v>0.67</v>
      </c>
      <c r="F30" s="72" t="n">
        <f aca="false">IF(F28=0,0,F29/F28)</f>
        <v>0.67</v>
      </c>
    </row>
    <row r="31" customFormat="false" ht="15" hidden="false" customHeight="false" outlineLevel="0" collapsed="false">
      <c r="A31" s="6" t="s">
        <v>159</v>
      </c>
      <c r="B31" s="65" t="n">
        <f aca="false">-SUMIF(Monthly!$C$5:$BJ$5,B$26,Monthly!$C$21:$BJ$21)</f>
        <v>213034</v>
      </c>
      <c r="C31" s="65" t="n">
        <f aca="false">-SUMIF(Monthly!$C$5:$BJ$5,C$26,Monthly!$C$21:$BJ$21)</f>
        <v>219466.2976</v>
      </c>
      <c r="D31" s="65" t="n">
        <f aca="false">-SUMIF(Monthly!$C$5:$BJ$5,D$26,Monthly!$C$21:$BJ$21)</f>
        <v>224468.14595968</v>
      </c>
      <c r="E31" s="65" t="n">
        <f aca="false">-SUMIF(Monthly!$C$5:$BJ$5,E$26,Monthly!$C$21:$BJ$21)</f>
        <v>229689.621265979</v>
      </c>
      <c r="F31" s="65" t="n">
        <f aca="false">-SUMIF(Monthly!$C$5:$BJ$5,F$26,Monthly!$C$21:$BJ$21)</f>
        <v>235143.698990612</v>
      </c>
    </row>
    <row r="32" customFormat="false" ht="15" hidden="false" customHeight="false" outlineLevel="0" collapsed="false">
      <c r="A32" s="4" t="s">
        <v>160</v>
      </c>
      <c r="B32" s="71" t="n">
        <f aca="false">IF(B30&gt;0,B31/B30,"n/a")</f>
        <v>317961.194029851</v>
      </c>
      <c r="C32" s="71" t="n">
        <f aca="false">IF(C30&gt;0,C31/C30,"n/a")</f>
        <v>327561.638208955</v>
      </c>
      <c r="D32" s="71" t="n">
        <f aca="false">IF(D30&gt;0,D31/D30,"n/a")</f>
        <v>335027.083521911</v>
      </c>
      <c r="E32" s="71" t="n">
        <f aca="false">IF(E30&gt;0,E31/E30,"n/a")</f>
        <v>342820.330247729</v>
      </c>
      <c r="F32" s="71" t="n">
        <f aca="false">IF(F30&gt;0,F31/F30,"n/a")</f>
        <v>350960.744762107</v>
      </c>
    </row>
    <row r="33" customFormat="false" ht="15" hidden="false" customHeight="false" outlineLevel="0" collapsed="false">
      <c r="A33" s="38" t="s">
        <v>161</v>
      </c>
      <c r="B33" s="72" t="n">
        <f aca="false">IF(AND(ISNUMBER(B32),B28&gt;0),(B28-B32)/B28,"n/a")</f>
        <v>0.00574986232066676</v>
      </c>
      <c r="C33" s="72" t="n">
        <f aca="false">IF(AND(ISNUMBER(C32),C28&gt;0),(C28-C32)/C28,"n/a")</f>
        <v>0.198665013783413</v>
      </c>
      <c r="D33" s="72" t="n">
        <f aca="false">IF(AND(ISNUMBER(D32),D28&gt;0),(D28-D32)/D28,"n/a")</f>
        <v>0.249314725616842</v>
      </c>
      <c r="E33" s="72" t="n">
        <f aca="false">IF(AND(ISNUMBER(E32),E28&gt;0),(E28-E32)/E28,"n/a")</f>
        <v>0.296439483640687</v>
      </c>
      <c r="F33" s="72" t="n">
        <f aca="false">IF(AND(ISNUMBER(F32),F28&gt;0),(F28-F32)/F28,"n/a")</f>
        <v>0.340294138133942</v>
      </c>
    </row>
    <row r="35" customFormat="false" ht="15" hidden="false" customHeight="false" outlineLevel="0" collapsed="false">
      <c r="A35" s="38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166</v>
      </c>
      <c r="B6" s="73" t="n">
        <f aca="false">Inputs!$E$47</f>
        <v>0.2</v>
      </c>
    </row>
    <row r="7" customFormat="false" ht="15" hidden="false" customHeight="false" outlineLevel="0" collapsed="false">
      <c r="A7" s="38" t="s">
        <v>167</v>
      </c>
      <c r="B7" s="73" t="n">
        <f aca="false">Inputs!$E$48</f>
        <v>0.02</v>
      </c>
    </row>
    <row r="8" customFormat="false" ht="15" hidden="false" customHeight="false" outlineLevel="0" collapsed="false">
      <c r="A8" s="6" t="s">
        <v>168</v>
      </c>
      <c r="B8" s="74" t="n">
        <f aca="false">Inputs!$E$49</f>
        <v>4.5</v>
      </c>
    </row>
    <row r="9" customFormat="false" ht="15" hidden="false" customHeight="false" outlineLevel="0" collapsed="false">
      <c r="A9" s="38" t="s">
        <v>169</v>
      </c>
      <c r="B9" s="73" t="n">
        <f aca="false">Inputs!$E$41</f>
        <v>0.21</v>
      </c>
    </row>
    <row r="10" customFormat="false" ht="15" hidden="false" customHeight="false" outlineLevel="0" collapsed="false">
      <c r="A10" s="38" t="s">
        <v>170</v>
      </c>
      <c r="B10" s="73" t="n">
        <f aca="false">Inputs!$E$50</f>
        <v>0.01</v>
      </c>
    </row>
    <row r="11" customFormat="false" ht="15" hidden="false" customHeight="false" outlineLevel="0" collapsed="false">
      <c r="A11" s="38" t="s">
        <v>171</v>
      </c>
      <c r="B11" s="73" t="n">
        <f aca="false">Inputs!$E$51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0" t="s">
        <v>152</v>
      </c>
      <c r="B14" s="70" t="n">
        <v>1</v>
      </c>
      <c r="C14" s="70" t="n">
        <v>2</v>
      </c>
      <c r="D14" s="70" t="n">
        <v>3</v>
      </c>
      <c r="E14" s="70" t="n">
        <v>4</v>
      </c>
      <c r="F14" s="70" t="n">
        <v>5</v>
      </c>
    </row>
    <row r="15" customFormat="false" ht="15" hidden="false" customHeight="false" outlineLevel="0" collapsed="false">
      <c r="A15" s="33"/>
      <c r="B15" s="50" t="s">
        <v>153</v>
      </c>
      <c r="C15" s="50" t="s">
        <v>154</v>
      </c>
      <c r="D15" s="50" t="s">
        <v>155</v>
      </c>
      <c r="E15" s="50" t="s">
        <v>156</v>
      </c>
      <c r="F15" s="50" t="s">
        <v>157</v>
      </c>
    </row>
    <row r="16" customFormat="false" ht="15" hidden="false" customHeight="false" outlineLevel="0" collapsed="false">
      <c r="A16" s="6" t="s">
        <v>48</v>
      </c>
      <c r="B16" s="65" t="n">
        <f aca="false">SUMIF(Monthly!$C$5:$BJ$5,B$14,Monthly!$C$22:$BJ$22)</f>
        <v>1231.99999999997</v>
      </c>
      <c r="C16" s="65" t="n">
        <f aca="false">SUMIF(Monthly!$C$5:$BJ$5,C$14,Monthly!$C$22:$BJ$22)</f>
        <v>54409.5488</v>
      </c>
      <c r="D16" s="65" t="n">
        <f aca="false">SUMIF(Monthly!$C$5:$BJ$5,D$14,Monthly!$C$22:$BJ$22)</f>
        <v>74549.5031398401</v>
      </c>
      <c r="E16" s="65" t="n">
        <f aca="false">SUMIF(Monthly!$C$5:$BJ$5,E$14,Monthly!$C$22:$BJ$22)</f>
        <v>96777.8480208774</v>
      </c>
      <c r="F16" s="65" t="n">
        <f aca="false">SUMIF(Monthly!$C$5:$BJ$5,F$14,Monthly!$C$22:$BJ$22)</f>
        <v>121293.483976778</v>
      </c>
    </row>
    <row r="17" customFormat="false" ht="15" hidden="false" customHeight="false" outlineLevel="0" collapsed="false">
      <c r="A17" s="4" t="s">
        <v>173</v>
      </c>
      <c r="B17" s="71" t="n">
        <f aca="false">SUMIF(Monthly!$C$5:$BJ$5,B$14,Monthly!$C$70:$BJ$70)</f>
        <v>-159676.666666667</v>
      </c>
      <c r="C17" s="71" t="n">
        <f aca="false">SUMIF(Monthly!$C$5:$BJ$5,C$14,Monthly!$C$70:$BJ$70)</f>
        <v>53475.94512</v>
      </c>
      <c r="D17" s="71" t="n">
        <f aca="false">SUMIF(Monthly!$C$5:$BJ$5,D$14,Monthly!$C$70:$BJ$70)</f>
        <v>63835.9621613163</v>
      </c>
      <c r="E17" s="71" t="n">
        <f aca="false">SUMIF(Monthly!$C$5:$BJ$5,E$14,Monthly!$C$70:$BJ$70)</f>
        <v>81289.7795561369</v>
      </c>
      <c r="F17" s="71" t="n">
        <f aca="false">SUMIF(Monthly!$C$5:$BJ$5,F$14,Monthly!$C$70:$BJ$70)</f>
        <v>100660.370630382</v>
      </c>
    </row>
    <row r="18" customFormat="false" ht="15" hidden="false" customHeight="false" outlineLevel="0" collapsed="false">
      <c r="A18" s="6" t="s">
        <v>174</v>
      </c>
      <c r="B18" s="75" t="n">
        <f aca="false">1/(1+Inputs!$E$47)^B$14</f>
        <v>0.833333333333333</v>
      </c>
      <c r="C18" s="75" t="n">
        <f aca="false">1/(1+Inputs!$E$47)^C$14</f>
        <v>0.694444444444444</v>
      </c>
      <c r="D18" s="75" t="n">
        <f aca="false">1/(1+Inputs!$E$47)^D$14</f>
        <v>0.578703703703704</v>
      </c>
      <c r="E18" s="75" t="n">
        <f aca="false">1/(1+Inputs!$E$47)^E$14</f>
        <v>0.482253086419753</v>
      </c>
      <c r="F18" s="75" t="n">
        <f aca="false">1/(1+Inputs!$E$47)^F$14</f>
        <v>0.401877572016461</v>
      </c>
    </row>
    <row r="19" customFormat="false" ht="15" hidden="false" customHeight="false" outlineLevel="0" collapsed="false">
      <c r="A19" s="6" t="s">
        <v>175</v>
      </c>
      <c r="B19" s="65" t="n">
        <f aca="false">B17*B18</f>
        <v>-133063.888888889</v>
      </c>
      <c r="C19" s="65" t="n">
        <f aca="false">C17*C18</f>
        <v>37136.073</v>
      </c>
      <c r="D19" s="65" t="n">
        <f aca="false">D17*D18</f>
        <v>36942.1077322432</v>
      </c>
      <c r="E19" s="65" t="n">
        <f aca="false">E17*E18</f>
        <v>39202.2470853284</v>
      </c>
      <c r="F19" s="65" t="n">
        <f aca="false">F17*F18</f>
        <v>40453.1453472148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0" t="s">
        <v>177</v>
      </c>
      <c r="C22" s="50" t="s">
        <v>178</v>
      </c>
    </row>
    <row r="23" customFormat="false" ht="15" hidden="false" customHeight="false" outlineLevel="0" collapsed="false">
      <c r="A23" s="6" t="s">
        <v>179</v>
      </c>
      <c r="B23" s="65" t="n">
        <f aca="false">SUM($B$19:$F$19)</f>
        <v>20669.6842758975</v>
      </c>
      <c r="C23" s="65" t="n">
        <f aca="false">B23</f>
        <v>20669.6842758975</v>
      </c>
    </row>
    <row r="24" customFormat="false" ht="15" hidden="false" customHeight="false" outlineLevel="0" collapsed="false">
      <c r="A24" s="6" t="s">
        <v>180</v>
      </c>
      <c r="B24" s="65" t="n">
        <f aca="false">$F$17</f>
        <v>100660.370630382</v>
      </c>
      <c r="C24" s="65" t="n">
        <f aca="false">$F$16</f>
        <v>121293.483976778</v>
      </c>
    </row>
    <row r="25" customFormat="false" ht="15" hidden="false" customHeight="false" outlineLevel="0" collapsed="false">
      <c r="A25" s="6" t="s">
        <v>181</v>
      </c>
      <c r="B25" s="65" t="n">
        <f aca="false">IF($B$6&gt;$B$7,B24*(1+$B$7)/($B$6-$B$7),0)</f>
        <v>570408.766905496</v>
      </c>
      <c r="C25" s="65" t="n">
        <f aca="false">C24*$B$8</f>
        <v>545820.677895501</v>
      </c>
    </row>
    <row r="26" customFormat="false" ht="15" hidden="false" customHeight="false" outlineLevel="0" collapsed="false">
      <c r="A26" s="6" t="s">
        <v>182</v>
      </c>
      <c r="B26" s="65" t="n">
        <f aca="false">B25/(1+$B$6)^$F$14</f>
        <v>229234.490300884</v>
      </c>
      <c r="C26" s="65" t="n">
        <f aca="false">C25/(1+$B$6)^$F$14</f>
        <v>219353.088789023</v>
      </c>
    </row>
    <row r="27" customFormat="false" ht="15" hidden="false" customHeight="false" outlineLevel="0" collapsed="false">
      <c r="A27" s="4" t="s">
        <v>176</v>
      </c>
      <c r="B27" s="66" t="n">
        <f aca="false">B23+B26</f>
        <v>249904.174576782</v>
      </c>
      <c r="C27" s="66" t="n">
        <f aca="false">C23+C26</f>
        <v>240022.77306492</v>
      </c>
    </row>
    <row r="28" customFormat="false" ht="15" hidden="false" customHeight="false" outlineLevel="0" collapsed="false">
      <c r="A28" s="38" t="s">
        <v>183</v>
      </c>
      <c r="B28" s="72" t="n">
        <f aca="false">IF(B27&lt;&gt;0,B26/B27,0)</f>
        <v>0.91728955984468</v>
      </c>
      <c r="C28" s="72" t="n">
        <f aca="false">IF(C27&lt;&gt;0,C26/C27,0)</f>
        <v>0.913884486826144</v>
      </c>
    </row>
    <row r="29" customFormat="false" ht="15" hidden="false" customHeight="false" outlineLevel="0" collapsed="false">
      <c r="A29" s="6" t="s">
        <v>184</v>
      </c>
      <c r="B29" s="76" t="n">
        <f aca="false">IF(C24&gt;0,B25/C24,"n/a")</f>
        <v>4.70271566290158</v>
      </c>
      <c r="C29" s="72" t="n">
        <f aca="false">IF(C25+B24&lt;&gt;0,(C25*$B$6-B24)/(C25+B24),"n/a")</f>
        <v>0.0131539276644056</v>
      </c>
    </row>
    <row r="30" customFormat="false" ht="15" hidden="false" customHeight="false" outlineLevel="0" collapsed="false">
      <c r="A30" s="68" t="s">
        <v>185</v>
      </c>
      <c r="B30" s="69" t="n">
        <f aca="false">AVERAGE(B27,C27)</f>
        <v>244963.473820851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7" t="n">
        <f aca="false">$B$7+(-2)*$B$11</f>
        <v>0.01</v>
      </c>
      <c r="C33" s="77" t="n">
        <f aca="false">$B$7+(-1)*$B$11</f>
        <v>0.015</v>
      </c>
      <c r="D33" s="77" t="n">
        <f aca="false">$B$7+(0)*$B$11</f>
        <v>0.02</v>
      </c>
      <c r="E33" s="77" t="n">
        <f aca="false">$B$7+(1)*$B$11</f>
        <v>0.025</v>
      </c>
      <c r="F33" s="77" t="n">
        <f aca="false">$B$7+(2)*$B$11</f>
        <v>0.03</v>
      </c>
    </row>
    <row r="34" customFormat="false" ht="15" hidden="false" customHeight="false" outlineLevel="0" collapsed="false">
      <c r="A34" s="72" t="n">
        <f aca="false">$B$6+(-2)*$B$10</f>
        <v>0.18</v>
      </c>
      <c r="B34" s="65" t="n">
        <f aca="false">IF($A34&gt;B$33,SUMPRODUCT($B$17:$F$17/(1+$A34)^$B$14:$F$14)+$F$17*(1+B$33)/($A34-B$33)/(1+$A34)^$F$14,"n/a")</f>
        <v>289276.103075605</v>
      </c>
      <c r="C34" s="65" t="n">
        <f aca="false">IF($A34&gt;C$33,SUMPRODUCT($B$17:$F$17/(1+$A34)^$B$14:$F$14)+$F$17*(1+C$33)/($A34-C$33)/(1+$A34)^$F$14,"n/a")</f>
        <v>298530.915792151</v>
      </c>
      <c r="D34" s="65" t="n">
        <f aca="false">IF($A34&gt;D$33,SUMPRODUCT($B$17:$F$17/(1+$A34)^$B$14:$F$14)+$F$17*(1+D$33)/($A34-D$33)/(1+$A34)^$F$14,"n/a")</f>
        <v>308364.154303481</v>
      </c>
      <c r="E34" s="65" t="n">
        <f aca="false">IF($A34&gt;E$33,SUMPRODUCT($B$17:$F$17/(1+$A34)^$B$14:$F$14)+$F$17*(1+E$33)/($A34-E$33)/(1+$A34)^$F$14,"n/a")</f>
        <v>318831.795299412</v>
      </c>
      <c r="F34" s="65" t="n">
        <f aca="false">IF($A34&gt;F$33,SUMPRODUCT($B$17:$F$17/(1+$A34)^$B$14:$F$14)+$F$17*(1+F$33)/($A34-F$33)/(1+$A34)^$F$14,"n/a")</f>
        <v>329997.279028407</v>
      </c>
    </row>
    <row r="35" customFormat="false" ht="15" hidden="false" customHeight="false" outlineLevel="0" collapsed="false">
      <c r="A35" s="72" t="n">
        <f aca="false">$B$6+(-1)*$B$10</f>
        <v>0.19</v>
      </c>
      <c r="B35" s="65" t="n">
        <f aca="false">IF($A35&gt;B$33,SUMPRODUCT($B$17:$F$17/(1+$A35)^$B$14:$F$14)+$F$17*(1+B$33)/($A35-B$33)/(1+$A35)^$F$14,"n/a")</f>
        <v>260866.374706302</v>
      </c>
      <c r="C35" s="65" t="n">
        <f aca="false">IF($A35&gt;C$33,SUMPRODUCT($B$17:$F$17/(1+$A35)^$B$14:$F$14)+$F$17*(1+C$33)/($A35-C$33)/(1+$A35)^$F$14,"n/a")</f>
        <v>268834.022537811</v>
      </c>
      <c r="D35" s="65" t="n">
        <f aca="false">IF($A35&gt;D$33,SUMPRODUCT($B$17:$F$17/(1+$A35)^$B$14:$F$14)+$F$17*(1+D$33)/($A35-D$33)/(1+$A35)^$F$14,"n/a")</f>
        <v>277270.35553588</v>
      </c>
      <c r="E35" s="65" t="n">
        <f aca="false">IF($A35&gt;E$33,SUMPRODUCT($B$17:$F$17/(1+$A35)^$B$14:$F$14)+$F$17*(1+E$33)/($A35-E$33)/(1+$A35)^$F$14,"n/a")</f>
        <v>286217.981442923</v>
      </c>
      <c r="F35" s="65" t="n">
        <f aca="false">IF($A35&gt;F$33,SUMPRODUCT($B$17:$F$17/(1+$A35)^$B$14:$F$14)+$F$17*(1+F$33)/($A35-F$33)/(1+$A35)^$F$14,"n/a")</f>
        <v>295724.833969155</v>
      </c>
    </row>
    <row r="36" customFormat="false" ht="15" hidden="false" customHeight="false" outlineLevel="0" collapsed="false">
      <c r="A36" s="72" t="n">
        <f aca="false">$B$6+(0)*$B$10</f>
        <v>0.2</v>
      </c>
      <c r="B36" s="65" t="n">
        <f aca="false">IF($A36&gt;B$33,SUMPRODUCT($B$17:$F$17/(1+$A36)^$B$14:$F$14)+$F$17*(1+B$33)/($A36-B$33)/(1+$A36)^$F$14,"n/a")</f>
        <v>235710.08849004</v>
      </c>
      <c r="C36" s="65" t="n">
        <f aca="false">IF($A36&gt;C$33,SUMPRODUCT($B$17:$F$17/(1+$A36)^$B$14:$F$14)+$F$17*(1+C$33)/($A36-C$33)/(1+$A36)^$F$14,"n/a")</f>
        <v>242615.319559265</v>
      </c>
      <c r="D36" s="65" t="n">
        <f aca="false">IF($A36&gt;D$33,SUMPRODUCT($B$17:$F$17/(1+$A36)^$B$14:$F$14)+$F$17*(1+D$33)/($A36-D$33)/(1+$A36)^$F$14,"n/a")</f>
        <v>249904.174576782</v>
      </c>
      <c r="E36" s="65" t="n">
        <f aca="false">IF($A36&gt;E$33,SUMPRODUCT($B$17:$F$17/(1+$A36)^$B$14:$F$14)+$F$17*(1+E$33)/($A36-E$33)/(1+$A36)^$F$14,"n/a")</f>
        <v>257609.535595299</v>
      </c>
      <c r="F36" s="65" t="n">
        <f aca="false">IF($A36&gt;F$33,SUMPRODUCT($B$17:$F$17/(1+$A36)^$B$14:$F$14)+$F$17*(1+F$33)/($A36-F$33)/(1+$A36)^$F$14,"n/a")</f>
        <v>265768.153144317</v>
      </c>
    </row>
    <row r="37" customFormat="false" ht="15" hidden="false" customHeight="false" outlineLevel="0" collapsed="false">
      <c r="A37" s="72" t="n">
        <f aca="false">$B$6+(1)*$B$10</f>
        <v>0.21</v>
      </c>
      <c r="B37" s="65" t="n">
        <f aca="false">IF($A37&gt;B$33,SUMPRODUCT($B$17:$F$17/(1+$A37)^$B$14:$F$14)+$F$17*(1+B$33)/($A37-B$33)/(1+$A37)^$F$14,"n/a")</f>
        <v>213310.650234624</v>
      </c>
      <c r="C37" s="65" t="n">
        <f aca="false">IF($A37&gt;C$33,SUMPRODUCT($B$17:$F$17/(1+$A37)^$B$14:$F$14)+$F$17*(1+C$33)/($A37-C$33)/(1+$A37)^$F$14,"n/a")</f>
        <v>219331.009951767</v>
      </c>
      <c r="D37" s="65" t="n">
        <f aca="false">IF($A37&gt;D$33,SUMPRODUCT($B$17:$F$17/(1+$A37)^$B$14:$F$14)+$F$17*(1+D$33)/($A37-D$33)/(1+$A37)^$F$14,"n/a")</f>
        <v>225668.230706655</v>
      </c>
      <c r="E37" s="65" t="n">
        <f aca="false">IF($A37&gt;E$33,SUMPRODUCT($B$17:$F$17/(1+$A37)^$B$14:$F$14)+$F$17*(1+E$33)/($A37-E$33)/(1+$A37)^$F$14,"n/a")</f>
        <v>232348.00393478</v>
      </c>
      <c r="F37" s="65" t="n">
        <f aca="false">IF($A37&gt;F$33,SUMPRODUCT($B$17:$F$17/(1+$A37)^$B$14:$F$14)+$F$17*(1+F$33)/($A37-F$33)/(1+$A37)^$F$14,"n/a")</f>
        <v>239398.875675579</v>
      </c>
    </row>
    <row r="38" customFormat="false" ht="15" hidden="false" customHeight="false" outlineLevel="0" collapsed="false">
      <c r="A38" s="72" t="n">
        <f aca="false">$B$6+(2)*$B$10</f>
        <v>0.22</v>
      </c>
      <c r="B38" s="65" t="n">
        <f aca="false">IF($A38&gt;B$33,SUMPRODUCT($B$17:$F$17/(1+$A38)^$B$14:$F$14)+$F$17*(1+B$33)/($A38-B$33)/(1+$A38)^$F$14,"n/a")</f>
        <v>193266.425878414</v>
      </c>
      <c r="C38" s="65" t="n">
        <f aca="false">IF($A38&gt;C$33,SUMPRODUCT($B$17:$F$17/(1+$A38)^$B$14:$F$14)+$F$17*(1+C$33)/($A38-C$33)/(1+$A38)^$F$14,"n/a")</f>
        <v>198543.777736759</v>
      </c>
      <c r="D38" s="65" t="n">
        <f aca="false">IF($A38&gt;D$33,SUMPRODUCT($B$17:$F$17/(1+$A38)^$B$14:$F$14)+$F$17*(1+D$33)/($A38-D$33)/(1+$A38)^$F$14,"n/a")</f>
        <v>204084.997188021</v>
      </c>
      <c r="E38" s="65" t="n">
        <f aca="false">IF($A38&gt;E$33,SUMPRODUCT($B$17:$F$17/(1+$A38)^$B$14:$F$14)+$F$17*(1+E$33)/($A38-E$33)/(1+$A38)^$F$14,"n/a")</f>
        <v>209910.381739347</v>
      </c>
      <c r="F38" s="65" t="n">
        <f aca="false">IF($A38&gt;F$33,SUMPRODUCT($B$17:$F$17/(1+$A38)^$B$14:$F$14)+$F$17*(1+F$33)/($A38-F$33)/(1+$A38)^$F$14,"n/a")</f>
        <v>216042.365477586</v>
      </c>
    </row>
    <row r="40" customFormat="false" ht="15" hidden="false" customHeight="false" outlineLevel="0" collapsed="false">
      <c r="A40" s="38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50" t="s">
        <v>192</v>
      </c>
      <c r="C6" s="50" t="s">
        <v>193</v>
      </c>
    </row>
    <row r="7" customFormat="false" ht="15" hidden="false" customHeight="false" outlineLevel="0" collapsed="false">
      <c r="A7" s="6" t="s">
        <v>194</v>
      </c>
      <c r="B7" s="78" t="n">
        <f aca="false">Inputs!$E$29</f>
        <v>140000</v>
      </c>
      <c r="C7" s="72" t="n">
        <f aca="false">IF($B$9=0,0,B7/$B$9)</f>
        <v>0.636363636363636</v>
      </c>
    </row>
    <row r="8" customFormat="false" ht="15" hidden="false" customHeight="false" outlineLevel="0" collapsed="false">
      <c r="A8" s="6" t="s">
        <v>195</v>
      </c>
      <c r="B8" s="78" t="n">
        <f aca="false">Inputs!$E$30</f>
        <v>80000</v>
      </c>
      <c r="C8" s="72" t="n">
        <f aca="false">IF($B$9=0,0,B8/$B$9)</f>
        <v>0.363636363636364</v>
      </c>
    </row>
    <row r="9" customFormat="false" ht="15" hidden="false" customHeight="false" outlineLevel="0" collapsed="false">
      <c r="A9" s="4" t="s">
        <v>196</v>
      </c>
      <c r="B9" s="79" t="n">
        <f aca="false">B7+B8</f>
        <v>220000</v>
      </c>
      <c r="C9" s="80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6" t="n">
        <f aca="false">IF(B7&lt;=0,IF(B8&gt;0,"n/a",0),B8/B7)</f>
        <v>0.571428571428571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78" t="n">
        <f aca="false">'Break-even'!B12</f>
        <v>239316.022222222</v>
      </c>
    </row>
    <row r="12" customFormat="false" ht="15" hidden="false" customHeight="false" outlineLevel="0" collapsed="false">
      <c r="A12" s="68" t="s">
        <v>65</v>
      </c>
      <c r="B12" s="81" t="n">
        <f aca="false">'Break-even'!B17</f>
        <v>-19316.0222222222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2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3" t="n">
        <f aca="false">MIN(60,MAX(1,ROUND(B15,0)))</f>
        <v>12</v>
      </c>
    </row>
    <row r="17" customFormat="false" ht="15" hidden="false" customHeight="false" outlineLevel="0" collapsed="false">
      <c r="A17" s="33" t="s">
        <v>203</v>
      </c>
      <c r="B17" s="50" t="s">
        <v>192</v>
      </c>
      <c r="C17" s="50" t="s">
        <v>193</v>
      </c>
    </row>
    <row r="18" customFormat="false" ht="15" hidden="false" customHeight="false" outlineLevel="0" collapsed="false">
      <c r="A18" s="6" t="s">
        <v>62</v>
      </c>
      <c r="B18" s="59" t="n">
        <f aca="false">SUMPRODUCT(--(Monthly!$C$4:$BJ$4&lt;=$B$16),Monthly!$C$57:$BJ$57)</f>
        <v>140000</v>
      </c>
      <c r="C18" s="72" t="n">
        <f aca="false">IF($B$21=0,0,B18/$B$21)</f>
        <v>0.636363636363636</v>
      </c>
    </row>
    <row r="19" customFormat="false" ht="15" hidden="false" customHeight="false" outlineLevel="0" collapsed="false">
      <c r="A19" s="6" t="s">
        <v>204</v>
      </c>
      <c r="B19" s="59" t="n">
        <f aca="false">SUMPRODUCT(--(Monthly!$C$4:$BJ$4&lt;=$B$16),Monthly!$C$42:$BJ$42)</f>
        <v>80000</v>
      </c>
      <c r="C19" s="72" t="n">
        <f aca="false">IF($B$21=0,0,B19/$B$21)</f>
        <v>0.363636363636364</v>
      </c>
    </row>
    <row r="20" customFormat="false" ht="15" hidden="false" customHeight="false" outlineLevel="0" collapsed="false">
      <c r="A20" s="6" t="s">
        <v>205</v>
      </c>
      <c r="B20" s="59" t="n">
        <f aca="false">MAX(0,SUMPRODUCT(--(Monthly!$C$4:$BJ$4&lt;=$B$16),Monthly!$C$55:$BJ$55))</f>
        <v>0</v>
      </c>
      <c r="C20" s="72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79" t="n">
        <f aca="false">SUM(B18:B20)</f>
        <v>220000</v>
      </c>
      <c r="C21" s="80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50" t="s">
        <v>192</v>
      </c>
      <c r="C23" s="50" t="s">
        <v>193</v>
      </c>
    </row>
    <row r="24" customFormat="false" ht="15" hidden="false" customHeight="false" outlineLevel="0" collapsed="false">
      <c r="A24" s="6" t="s">
        <v>208</v>
      </c>
      <c r="B24" s="59" t="n">
        <f aca="false">MAX(0,-SUMPRODUCT(--(Monthly!$C$4:$BJ$4&lt;=$B$16),Monthly!$C$55:$BJ$55))</f>
        <v>4307.82222222226</v>
      </c>
      <c r="C24" s="72" t="n">
        <f aca="false">IF($B$28=0,0,B24/$B$28)</f>
        <v>0.0195810101010103</v>
      </c>
    </row>
    <row r="25" customFormat="false" ht="15" hidden="false" customHeight="false" outlineLevel="0" collapsed="false">
      <c r="A25" s="6" t="s">
        <v>82</v>
      </c>
      <c r="B25" s="59" t="n">
        <f aca="false">-SUMPRODUCT(--(Monthly!$C$4:$BJ$4&lt;=$B$16),Monthly!$C$56:$BJ$56)</f>
        <v>160000</v>
      </c>
      <c r="C25" s="72" t="n">
        <f aca="false">IF($B$28=0,0,B25/$B$28)</f>
        <v>0.727272727272727</v>
      </c>
    </row>
    <row r="26" customFormat="false" ht="15" hidden="false" customHeight="false" outlineLevel="0" collapsed="false">
      <c r="A26" s="6" t="s">
        <v>209</v>
      </c>
      <c r="B26" s="59" t="n">
        <f aca="false">-SUMPRODUCT(--(Monthly!$C$4:$BJ$4&lt;=$B$16),Monthly!$C$43:$BJ$43)</f>
        <v>14666.6666666667</v>
      </c>
      <c r="C26" s="72" t="n">
        <f aca="false">IF($B$28=0,0,B26/$B$28)</f>
        <v>0.0666666666666667</v>
      </c>
    </row>
    <row r="27" customFormat="false" ht="15" hidden="false" customHeight="false" outlineLevel="0" collapsed="false">
      <c r="A27" s="6" t="s">
        <v>210</v>
      </c>
      <c r="B27" s="59" t="n">
        <f aca="false">INDEX(Monthly!$C$61:$BJ$61,$B$16)</f>
        <v>41025.5111111111</v>
      </c>
      <c r="C27" s="72" t="n">
        <f aca="false">IF($B$28=0,0,B27/$B$28)</f>
        <v>0.186479595959596</v>
      </c>
    </row>
    <row r="28" customFormat="false" ht="15" hidden="false" customHeight="false" outlineLevel="0" collapsed="false">
      <c r="A28" s="4" t="s">
        <v>211</v>
      </c>
      <c r="B28" s="79" t="n">
        <f aca="false">SUM(B24:B27)</f>
        <v>220000</v>
      </c>
      <c r="C28" s="80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59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0" t="s">
        <v>216</v>
      </c>
    </row>
    <row r="6" customFormat="false" ht="15" hidden="false" customHeight="false" outlineLevel="0" collapsed="false">
      <c r="A6" s="38" t="s">
        <v>217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0.278204878048781</v>
      </c>
      <c r="D6" s="39" t="n">
        <f aca="false">IF(N('P&amp;L'!C5)&lt;=0,"n/a",'P&amp;L'!D5/'P&amp;L'!C5-1)</f>
        <v>0.0918000000000001</v>
      </c>
      <c r="E6" s="39" t="n">
        <f aca="false">IF(N('P&amp;L'!D5)&lt;=0,"n/a",'P&amp;L'!E5/'P&amp;L'!D5-1)</f>
        <v>0.0918000000000001</v>
      </c>
      <c r="F6" s="39" t="n">
        <f aca="false">IF(N('P&amp;L'!E5)&lt;=0,"n/a",'P&amp;L'!F5/'P&amp;L'!E5-1)</f>
        <v>0.0918000000000001</v>
      </c>
      <c r="G6" s="83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0.67</v>
      </c>
      <c r="C7" s="39" t="n">
        <f aca="false">IF('P&amp;L'!C5&lt;=0,"n/a",'P&amp;L'!C7/'P&amp;L'!C5)</f>
        <v>0.67</v>
      </c>
      <c r="D7" s="39" t="n">
        <f aca="false">IF('P&amp;L'!D5&lt;=0,"n/a",'P&amp;L'!D7/'P&amp;L'!D5)</f>
        <v>0.67</v>
      </c>
      <c r="E7" s="39" t="n">
        <f aca="false">IF('P&amp;L'!E5&lt;=0,"n/a",'P&amp;L'!E7/'P&amp;L'!E5)</f>
        <v>0.67</v>
      </c>
      <c r="F7" s="39" t="n">
        <f aca="false">IF('P&amp;L'!F5&lt;=0,"n/a",'P&amp;L'!F7/'P&amp;L'!F5)</f>
        <v>0.67</v>
      </c>
      <c r="G7" s="83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IF('P&amp;L'!B5&lt;=0,"n/a",'P&amp;L'!B14/'P&amp;L'!B5)</f>
        <v>0.00385240775484667</v>
      </c>
      <c r="C8" s="39" t="n">
        <f aca="false">IF('P&amp;L'!C5&lt;=0,"n/a",'P&amp;L'!C14/'P&amp;L'!C5)</f>
        <v>0.133105559234887</v>
      </c>
      <c r="D8" s="39" t="n">
        <f aca="false">IF('P&amp;L'!D5&lt;=0,"n/a",'P&amp;L'!D14/'P&amp;L'!D5)</f>
        <v>0.167040866163284</v>
      </c>
      <c r="E8" s="39" t="n">
        <f aca="false">IF('P&amp;L'!E5&lt;=0,"n/a",'P&amp;L'!E14/'P&amp;L'!E5)</f>
        <v>0.19861445403926</v>
      </c>
      <c r="F8" s="39" t="n">
        <f aca="false">IF('P&amp;L'!F5&lt;=0,"n/a",'P&amp;L'!F14/'P&amp;L'!F5)</f>
        <v>0.227997072549741</v>
      </c>
      <c r="G8" s="83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IF('P&amp;L'!B5&lt;=0,"n/a",'P&amp;L'!B21/'P&amp;L'!B5)</f>
        <v>-0.0859517357078334</v>
      </c>
      <c r="C9" s="39" t="n">
        <f aca="false">IF('P&amp;L'!C5&lt;=0,"n/a",'P&amp;L'!C21/'P&amp;L'!C5)</f>
        <v>0.0659680127055105</v>
      </c>
      <c r="D9" s="39" t="n">
        <f aca="false">IF('P&amp;L'!D5&lt;=0,"n/a",'P&amp;L'!D21/'P&amp;L'!D5)</f>
        <v>0.0858943960626331</v>
      </c>
      <c r="E9" s="39" t="n">
        <f aca="false">IF('P&amp;L'!E5&lt;=0,"n/a",'P&amp;L'!E21/'P&amp;L'!E5)</f>
        <v>0.116561428492778</v>
      </c>
      <c r="F9" s="39" t="n">
        <f aca="false">IF('P&amp;L'!F5&lt;=0,"n/a",'P&amp;L'!F21/'P&amp;L'!F5)</f>
        <v>0.145066640515692</v>
      </c>
      <c r="G9" s="83"/>
    </row>
    <row r="10" customFormat="false" ht="15" hidden="false" customHeight="false" outlineLevel="0" collapsed="false">
      <c r="A10" s="38" t="s">
        <v>218</v>
      </c>
      <c r="B10" s="39" t="n">
        <f aca="false">IF('P&amp;L'!B5&lt;=0,"n/a",-SUMIF(Headcount!$C$5:$BJ$5,B$5,Headcount!$C$13:$BJ$13)/'P&amp;L'!B5)</f>
        <v>0.392245153220763</v>
      </c>
      <c r="C10" s="39" t="n">
        <f aca="false">IF('P&amp;L'!C5&lt;=0,"n/a",-SUMIF(Headcount!$C$5:$BJ$5,C$5,Headcount!$C$13:$BJ$13)/'P&amp;L'!C5)</f>
        <v>0.316078051927109</v>
      </c>
      <c r="D10" s="39" t="n">
        <f aca="false">IF('P&amp;L'!D5&lt;=0,"n/a",-SUMIF(Headcount!$C$5:$BJ$5,D$5,Headcount!$C$13:$BJ$13)/'P&amp;L'!D5)</f>
        <v>0.298186841440668</v>
      </c>
      <c r="E10" s="39" t="n">
        <f aca="false">IF('P&amp;L'!E5&lt;=0,"n/a",-SUMIF(Headcount!$C$5:$BJ$5,E$5,Headcount!$C$13:$BJ$13)/'P&amp;L'!E5)</f>
        <v>0.281308340981763</v>
      </c>
      <c r="F10" s="39" t="n">
        <f aca="false">IF('P&amp;L'!F5&lt;=0,"n/a",-SUMIF(Headcount!$C$5:$BJ$5,F$5,Headcount!$C$13:$BJ$13)/'P&amp;L'!F5)</f>
        <v>0.265385227341286</v>
      </c>
      <c r="G10" s="83"/>
    </row>
    <row r="11" customFormat="false" ht="15" hidden="false" customHeight="false" outlineLevel="0" collapsed="false">
      <c r="A11" s="38" t="s">
        <v>219</v>
      </c>
      <c r="B11" s="39" t="n">
        <f aca="false">IF('P&amp;L'!B5&lt;=0,"n/a",-'P&amp;L'!B11/'P&amp;L'!B5)</f>
        <v>0.03</v>
      </c>
      <c r="C11" s="39" t="n">
        <f aca="false">IF('P&amp;L'!C5&lt;=0,"n/a",-'P&amp;L'!C11/'P&amp;L'!C5)</f>
        <v>0.03</v>
      </c>
      <c r="D11" s="39" t="n">
        <f aca="false">IF('P&amp;L'!D5&lt;=0,"n/a",-'P&amp;L'!D11/'P&amp;L'!D5)</f>
        <v>0.03</v>
      </c>
      <c r="E11" s="39" t="n">
        <f aca="false">IF('P&amp;L'!E5&lt;=0,"n/a",-'P&amp;L'!E11/'P&amp;L'!E5)</f>
        <v>0.03</v>
      </c>
      <c r="F11" s="39" t="n">
        <f aca="false">IF('P&amp;L'!F5&lt;=0,"n/a",-'P&amp;L'!F11/'P&amp;L'!F5)</f>
        <v>0.03</v>
      </c>
      <c r="G11" s="83"/>
    </row>
    <row r="12" customFormat="false" ht="15" hidden="false" customHeight="false" outlineLevel="0" collapsed="false">
      <c r="A12" s="38" t="s">
        <v>220</v>
      </c>
      <c r="B12" s="39" t="n">
        <f aca="false">IF('P&amp;L'!B5&lt;=0,"n/a",-'P&amp;L'!B13/'P&amp;L'!B5)</f>
        <v>0.666147592245153</v>
      </c>
      <c r="C12" s="39" t="n">
        <f aca="false">IF('P&amp;L'!C5&lt;=0,"n/a",-'P&amp;L'!C13/'P&amp;L'!C5)</f>
        <v>0.536894440765113</v>
      </c>
      <c r="D12" s="39" t="n">
        <f aca="false">IF('P&amp;L'!D5&lt;=0,"n/a",-'P&amp;L'!D13/'P&amp;L'!D5)</f>
        <v>0.502959133836716</v>
      </c>
      <c r="E12" s="39" t="n">
        <f aca="false">IF('P&amp;L'!E5&lt;=0,"n/a",-'P&amp;L'!E13/'P&amp;L'!E5)</f>
        <v>0.47138554596074</v>
      </c>
      <c r="F12" s="39" t="n">
        <f aca="false">IF('P&amp;L'!F5&lt;=0,"n/a",-'P&amp;L'!F13/'P&amp;L'!F5)</f>
        <v>0.442002927450259</v>
      </c>
      <c r="G12" s="83"/>
    </row>
    <row r="13" customFormat="false" ht="15" hidden="false" customHeight="false" outlineLevel="0" collapsed="false">
      <c r="A13" s="6" t="s">
        <v>221</v>
      </c>
      <c r="B13" s="84" t="n">
        <f aca="false">IF(('Balance Sheet'!B12-'Balance Sheet'!B11)&lt;=0,"n/a",('Balance Sheet'!B5+'Balance Sheet'!B6+'Balance Sheet'!B7)/('Balance Sheet'!B12-'Balance Sheet'!B11))</f>
        <v>9.47134347134347</v>
      </c>
      <c r="C13" s="84" t="n">
        <f aca="false">IF(('Balance Sheet'!C12-'Balance Sheet'!C11)&lt;=0,"n/a",('Balance Sheet'!C5+'Balance Sheet'!C6+'Balance Sheet'!C7)/('Balance Sheet'!C12-'Balance Sheet'!C11))</f>
        <v>15.2065743311393</v>
      </c>
      <c r="D13" s="84" t="n">
        <f aca="false">IF(('Balance Sheet'!D12-'Balance Sheet'!D11)&lt;=0,"n/a",('Balance Sheet'!D5+'Balance Sheet'!D6+'Balance Sheet'!D7)/('Balance Sheet'!D12-'Balance Sheet'!D11))</f>
        <v>21.9023777739654</v>
      </c>
      <c r="E13" s="84" t="n">
        <f aca="false">IF(('Balance Sheet'!E12-'Balance Sheet'!E11)&lt;=0,"n/a",('Balance Sheet'!E5+'Balance Sheet'!E6+'Balance Sheet'!E7)/('Balance Sheet'!E12-'Balance Sheet'!E11))</f>
        <v>30.3241623765369</v>
      </c>
      <c r="F13" s="84" t="n">
        <f aca="false">IF(('Balance Sheet'!F12-'Balance Sheet'!F11)&lt;=0,"n/a",('Balance Sheet'!F5+'Balance Sheet'!F6+'Balance Sheet'!F7)/('Balance Sheet'!F12-'Balance Sheet'!F11))</f>
        <v>40.1668159049221</v>
      </c>
      <c r="G13" s="85"/>
    </row>
    <row r="14" customFormat="false" ht="15" hidden="false" customHeight="false" outlineLevel="0" collapsed="false">
      <c r="A14" s="6" t="s">
        <v>222</v>
      </c>
      <c r="B14" s="84" t="n">
        <f aca="false">IF('Balance Sheet'!B15&lt;=0,"n/a",'Balance Sheet'!B11/'Balance Sheet'!B15)</f>
        <v>0.580675524837</v>
      </c>
      <c r="C14" s="84" t="n">
        <f aca="false">IF('Balance Sheet'!C15&lt;=0,"n/a",'Balance Sheet'!C11/'Balance Sheet'!C15)</f>
        <v>0.353698798236037</v>
      </c>
      <c r="D14" s="84" t="n">
        <f aca="false">IF('Balance Sheet'!D15&lt;=0,"n/a",'Balance Sheet'!D11/'Balance Sheet'!D15)</f>
        <v>0.18746326632113</v>
      </c>
      <c r="E14" s="84" t="n">
        <f aca="false">IF('Balance Sheet'!E15&lt;=0,"n/a",'Balance Sheet'!E11/'Balance Sheet'!E15)</f>
        <v>0.0738818222110334</v>
      </c>
      <c r="F14" s="84" t="n">
        <f aca="false">IF('Balance Sheet'!F15&lt;=0,"n/a",'Balance Sheet'!F11/'Balance Sheet'!F15)</f>
        <v>0.00427646837593861</v>
      </c>
      <c r="G14" s="85"/>
    </row>
    <row r="15" customFormat="false" ht="15" hidden="false" customHeight="false" outlineLevel="0" collapsed="false">
      <c r="A15" s="38" t="s">
        <v>223</v>
      </c>
      <c r="B15" s="39" t="n">
        <f aca="false">IF('Balance Sheet'!B9&lt;=0,"n/a",'P&amp;L'!B21/'Balance Sheet'!B9)</f>
        <v>-0.150491374014617</v>
      </c>
      <c r="C15" s="39" t="n">
        <f aca="false">IF('Balance Sheet'!C9&lt;=0,"n/a",'P&amp;L'!C21/'Balance Sheet'!C9)</f>
        <v>0.138957407079313</v>
      </c>
      <c r="D15" s="39" t="n">
        <f aca="false">IF('Balance Sheet'!D9&lt;=0,"n/a",'P&amp;L'!D21/'Balance Sheet'!D9)</f>
        <v>0.176758604252363</v>
      </c>
      <c r="E15" s="39" t="n">
        <f aca="false">IF('Balance Sheet'!E9&lt;=0,"n/a",'P&amp;L'!E21/'Balance Sheet'!E9)</f>
        <v>0.21997400041967</v>
      </c>
      <c r="F15" s="39" t="n">
        <f aca="false">IF('Balance Sheet'!F9&lt;=0,"n/a",'P&amp;L'!F21/'Balance Sheet'!F9)</f>
        <v>0.24121332514108</v>
      </c>
      <c r="G15" s="83"/>
    </row>
    <row r="16" customFormat="false" ht="15" hidden="false" customHeight="false" outlineLevel="0" collapsed="false">
      <c r="A16" s="38" t="s">
        <v>224</v>
      </c>
      <c r="B16" s="39" t="n">
        <f aca="false">IF('Balance Sheet'!B15&lt;=0,"n/a",'P&amp;L'!B21/'Balance Sheet'!B15)</f>
        <v>-0.244304696079284</v>
      </c>
      <c r="C16" s="39" t="n">
        <f aca="false">IF('Balance Sheet'!C15&lt;=0,"n/a",'P&amp;L'!C21/'Balance Sheet'!C15)</f>
        <v>0.193332761666247</v>
      </c>
      <c r="D16" s="39" t="n">
        <f aca="false">IF('Balance Sheet'!D15&lt;=0,"n/a",'P&amp;L'!D21/'Balance Sheet'!D15)</f>
        <v>0.215587851757068</v>
      </c>
      <c r="E16" s="39" t="n">
        <f aca="false">IF('Balance Sheet'!E15&lt;=0,"n/a",'P&amp;L'!E21/'Balance Sheet'!E15)</f>
        <v>0.242089236375929</v>
      </c>
      <c r="F16" s="39" t="n">
        <f aca="false">IF('Balance Sheet'!F15&lt;=0,"n/a",'P&amp;L'!F21/'Balance Sheet'!F15)</f>
        <v>0.247526831046411</v>
      </c>
      <c r="G16" s="83"/>
    </row>
    <row r="18" customFormat="false" ht="15.75" hidden="false" customHeight="true" outlineLevel="0" collapsed="false">
      <c r="A18" s="7" t="s">
        <v>225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51</v>
      </c>
      <c r="B20" s="39" t="n">
        <f aca="false">IF('P&amp;L'!B5&lt;=0,"n/a",'P&amp;L'!B21/'P&amp;L'!B5)</f>
        <v>-0.0859517357078334</v>
      </c>
      <c r="C20" s="39" t="n">
        <f aca="false">IF('P&amp;L'!C5&lt;=0,"n/a",'P&amp;L'!C21/'P&amp;L'!C5)</f>
        <v>0.0659680127055105</v>
      </c>
      <c r="D20" s="39" t="n">
        <f aca="false">IF('P&amp;L'!D5&lt;=0,"n/a",'P&amp;L'!D21/'P&amp;L'!D5)</f>
        <v>0.0858943960626331</v>
      </c>
      <c r="E20" s="39" t="n">
        <f aca="false">IF('P&amp;L'!E5&lt;=0,"n/a",'P&amp;L'!E21/'P&amp;L'!E5)</f>
        <v>0.116561428492778</v>
      </c>
      <c r="F20" s="39" t="n">
        <f aca="false">IF('P&amp;L'!F5&lt;=0,"n/a",'P&amp;L'!F21/'P&amp;L'!F5)</f>
        <v>0.145066640515692</v>
      </c>
    </row>
    <row r="21" customFormat="false" ht="15" hidden="false" customHeight="false" outlineLevel="0" collapsed="false">
      <c r="A21" s="49" t="s">
        <v>226</v>
      </c>
      <c r="B21" s="84" t="n">
        <f aca="false">IF('Balance Sheet'!B9&lt;=0,"n/a",'P&amp;L'!B5/'Balance Sheet'!B9)</f>
        <v>1.75088231523522</v>
      </c>
      <c r="C21" s="84" t="n">
        <f aca="false">IF('Balance Sheet'!C9&lt;=0,"n/a",'P&amp;L'!C5/'Balance Sheet'!C9)</f>
        <v>2.10643615565072</v>
      </c>
      <c r="D21" s="84" t="n">
        <f aca="false">IF('Balance Sheet'!D9&lt;=0,"n/a",'P&amp;L'!D5/'Balance Sheet'!D9)</f>
        <v>2.05785956191452</v>
      </c>
      <c r="E21" s="84" t="n">
        <f aca="false">IF('Balance Sheet'!E9&lt;=0,"n/a",'P&amp;L'!E5/'Balance Sheet'!E9)</f>
        <v>1.88719375924</v>
      </c>
      <c r="F21" s="84" t="n">
        <f aca="false">IF('Balance Sheet'!F9&lt;=0,"n/a",'P&amp;L'!F5/'Balance Sheet'!F9)</f>
        <v>1.66277597856819</v>
      </c>
    </row>
    <row r="22" customFormat="false" ht="15" hidden="false" customHeight="false" outlineLevel="0" collapsed="false">
      <c r="A22" s="49" t="s">
        <v>227</v>
      </c>
      <c r="B22" s="84" t="n">
        <f aca="false">IF('Balance Sheet'!B15&lt;=0,"n/a",'Balance Sheet'!B9/'Balance Sheet'!B15)</f>
        <v>1.62338006200644</v>
      </c>
      <c r="C22" s="84" t="n">
        <f aca="false">IF('Balance Sheet'!C15&lt;=0,"n/a",'Balance Sheet'!C9/'Balance Sheet'!C15)</f>
        <v>1.39130950792639</v>
      </c>
      <c r="D22" s="84" t="n">
        <f aca="false">IF('Balance Sheet'!D15&lt;=0,"n/a",'Balance Sheet'!D9/'Balance Sheet'!D15)</f>
        <v>1.2196738748246</v>
      </c>
      <c r="E22" s="84" t="n">
        <f aca="false">IF('Balance Sheet'!E15&lt;=0,"n/a",'Balance Sheet'!E9/'Balance Sheet'!E15)</f>
        <v>1.10053568109898</v>
      </c>
      <c r="F22" s="84" t="n">
        <f aca="false">IF('Balance Sheet'!F15&lt;=0,"n/a",'Balance Sheet'!F9/'Balance Sheet'!F15)</f>
        <v>1.02617395163239</v>
      </c>
    </row>
    <row r="23" customFormat="false" ht="15" hidden="false" customHeight="false" outlineLevel="0" collapsed="false">
      <c r="A23" s="40" t="s">
        <v>228</v>
      </c>
      <c r="B23" s="86" t="n">
        <f aca="false">IF(AND(ISNUMBER(B20),ISNUMBER(B21),ISNUMBER(B22)),B20*B21*B22,"n/a")</f>
        <v>-0.244304696079284</v>
      </c>
      <c r="C23" s="86" t="n">
        <f aca="false">IF(AND(ISNUMBER(C20),ISNUMBER(C21),ISNUMBER(C22)),C20*C21*C22,"n/a")</f>
        <v>0.193332761666247</v>
      </c>
      <c r="D23" s="86" t="n">
        <f aca="false">IF(AND(ISNUMBER(D20),ISNUMBER(D21),ISNUMBER(D22)),D20*D21*D22,"n/a")</f>
        <v>0.215587851757068</v>
      </c>
      <c r="E23" s="86" t="n">
        <f aca="false">IF(AND(ISNUMBER(E20),ISNUMBER(E21),ISNUMBER(E22)),E20*E21*E22,"n/a")</f>
        <v>0.242089236375929</v>
      </c>
      <c r="F23" s="86" t="n">
        <f aca="false">IF(AND(ISNUMBER(F20),ISNUMBER(F21),ISNUMBER(F22)),F20*F21*F22,"n/a")</f>
        <v>0.247526831046411</v>
      </c>
    </row>
    <row r="24" customFormat="false" ht="15" hidden="false" customHeight="false" outlineLevel="0" collapsed="false">
      <c r="A24" s="21" t="s">
        <v>229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0" t="s">
        <v>152</v>
      </c>
      <c r="B27" s="70" t="n">
        <v>1</v>
      </c>
      <c r="C27" s="70" t="n">
        <v>2</v>
      </c>
      <c r="D27" s="70" t="n">
        <v>3</v>
      </c>
      <c r="E27" s="70" t="n">
        <v>4</v>
      </c>
      <c r="F27" s="70" t="n">
        <v>5</v>
      </c>
    </row>
    <row r="28" customFormat="false" ht="15" hidden="false" customHeight="false" outlineLevel="0" collapsed="false">
      <c r="A28" s="33"/>
      <c r="B28" s="50" t="s">
        <v>153</v>
      </c>
      <c r="C28" s="50" t="s">
        <v>154</v>
      </c>
      <c r="D28" s="50" t="s">
        <v>155</v>
      </c>
      <c r="E28" s="50" t="s">
        <v>156</v>
      </c>
      <c r="F28" s="50" t="s">
        <v>157</v>
      </c>
      <c r="G28" s="50" t="s">
        <v>216</v>
      </c>
    </row>
    <row r="29" customFormat="false" ht="15" hidden="false" customHeight="false" outlineLevel="0" collapsed="false">
      <c r="A29" s="4" t="s">
        <v>58</v>
      </c>
      <c r="B29" s="87" t="n">
        <f aca="false">INDEX(Monthly!$C$9:$BJ$9,B$27*12)</f>
        <v>160</v>
      </c>
      <c r="C29" s="87" t="n">
        <f aca="false">INDEX(Monthly!$C$9:$BJ$9,C$27*12)</f>
        <v>169.6</v>
      </c>
      <c r="D29" s="87" t="n">
        <f aca="false">INDEX(Monthly!$C$9:$BJ$9,D$27*12)</f>
        <v>179.776</v>
      </c>
      <c r="E29" s="87" t="n">
        <f aca="false">INDEX(Monthly!$C$9:$BJ$9,E$27*12)</f>
        <v>190.56256</v>
      </c>
      <c r="F29" s="87" t="n">
        <f aca="false">INDEX(Monthly!$C$9:$BJ$9,F$27*12)</f>
        <v>201.9963136</v>
      </c>
      <c r="G29" s="88"/>
    </row>
    <row r="30" customFormat="false" ht="15" hidden="false" customHeight="false" outlineLevel="0" collapsed="false">
      <c r="A30" s="6" t="s">
        <v>231</v>
      </c>
      <c r="B30" s="89" t="n">
        <f aca="false">INDEX(Monthly!$C$10:$BJ$10,B$27*12)</f>
        <v>6.5</v>
      </c>
      <c r="C30" s="89" t="n">
        <f aca="false">INDEX(Monthly!$C$10:$BJ$10,C$27*12)</f>
        <v>6.695</v>
      </c>
      <c r="D30" s="89" t="n">
        <f aca="false">INDEX(Monthly!$C$10:$BJ$10,D$27*12)</f>
        <v>6.89585</v>
      </c>
      <c r="E30" s="89" t="n">
        <f aca="false">INDEX(Monthly!$C$10:$BJ$10,E$27*12)</f>
        <v>7.1027255</v>
      </c>
      <c r="F30" s="89" t="n">
        <f aca="false">INDEX(Monthly!$C$10:$BJ$10,F$27*12)</f>
        <v>7.315807265</v>
      </c>
      <c r="G30" s="90"/>
    </row>
    <row r="31" customFormat="false" ht="15" hidden="false" customHeight="false" outlineLevel="0" collapsed="false">
      <c r="A31" s="4" t="s">
        <v>44</v>
      </c>
      <c r="B31" s="91" t="n">
        <f aca="false">SUMIF(Monthly!$C$5:$BJ$5,B$27,Monthly!$C$12:$BJ$12)</f>
        <v>319800</v>
      </c>
      <c r="C31" s="91" t="n">
        <f aca="false">SUMIF(Monthly!$C$5:$BJ$5,C$27,Monthly!$C$12:$BJ$12)</f>
        <v>408769.92</v>
      </c>
      <c r="D31" s="91" t="n">
        <f aca="false">SUMIF(Monthly!$C$5:$BJ$5,D$27,Monthly!$C$12:$BJ$12)</f>
        <v>446294.998656</v>
      </c>
      <c r="E31" s="91" t="n">
        <f aca="false">SUMIF(Monthly!$C$5:$BJ$5,E$27,Monthly!$C$12:$BJ$12)</f>
        <v>487264.879532621</v>
      </c>
      <c r="F31" s="91" t="n">
        <f aca="false">SUMIF(Monthly!$C$5:$BJ$5,F$27,Monthly!$C$12:$BJ$12)</f>
        <v>531995.795473716</v>
      </c>
      <c r="G31" s="92"/>
    </row>
    <row r="32" customFormat="false" ht="15" hidden="false" customHeight="false" outlineLevel="0" collapsed="false">
      <c r="A32" s="6" t="s">
        <v>45</v>
      </c>
      <c r="B32" s="35" t="n">
        <f aca="false">SUMIF(Monthly!$C$5:$BJ$5,B$27,Monthly!$C$14:$BJ$14)</f>
        <v>214266</v>
      </c>
      <c r="C32" s="35" t="n">
        <f aca="false">SUMIF(Monthly!$C$5:$BJ$5,C$27,Monthly!$C$14:$BJ$14)</f>
        <v>273875.8464</v>
      </c>
      <c r="D32" s="35" t="n">
        <f aca="false">SUMIF(Monthly!$C$5:$BJ$5,D$27,Monthly!$C$14:$BJ$14)</f>
        <v>299017.64909952</v>
      </c>
      <c r="E32" s="35" t="n">
        <f aca="false">SUMIF(Monthly!$C$5:$BJ$5,E$27,Monthly!$C$14:$BJ$14)</f>
        <v>326467.469286856</v>
      </c>
      <c r="F32" s="35" t="n">
        <f aca="false">SUMIF(Monthly!$C$5:$BJ$5,F$27,Monthly!$C$14:$BJ$14)</f>
        <v>356437.182967389</v>
      </c>
      <c r="G32" s="92"/>
    </row>
    <row r="33" customFormat="false" ht="15" hidden="false" customHeight="false" outlineLevel="0" collapsed="false">
      <c r="A33" s="38" t="s">
        <v>46</v>
      </c>
      <c r="B33" s="93" t="n">
        <f aca="false">IF(B31=0,0,B32/B31)</f>
        <v>0.67</v>
      </c>
      <c r="C33" s="93" t="n">
        <f aca="false">IF(C31=0,0,C32/C31)</f>
        <v>0.67</v>
      </c>
      <c r="D33" s="93" t="n">
        <f aca="false">IF(D31=0,0,D32/D31)</f>
        <v>0.67</v>
      </c>
      <c r="E33" s="93" t="n">
        <f aca="false">IF(E31=0,0,E32/E31)</f>
        <v>0.67</v>
      </c>
      <c r="F33" s="93" t="n">
        <f aca="false">IF(F31=0,0,F32/F31)</f>
        <v>0.67</v>
      </c>
      <c r="G33" s="94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232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233</v>
      </c>
    </row>
    <row r="5" customFormat="false" ht="15" hidden="false" customHeight="false" outlineLevel="0" collapsed="false">
      <c r="A5" s="33" t="s">
        <v>102</v>
      </c>
      <c r="B5" s="50" t="s">
        <v>103</v>
      </c>
      <c r="C5" s="50" t="s">
        <v>104</v>
      </c>
      <c r="D5" s="50" t="s">
        <v>105</v>
      </c>
      <c r="E5" s="50" t="s">
        <v>106</v>
      </c>
      <c r="F5" s="33" t="s">
        <v>234</v>
      </c>
      <c r="G5" s="33" t="s">
        <v>235</v>
      </c>
    </row>
    <row r="6" customFormat="false" ht="15.75" hidden="false" customHeight="true" outlineLevel="0" collapsed="false">
      <c r="A6" s="7" t="s">
        <v>236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237</v>
      </c>
      <c r="B7" s="95" t="n">
        <v>120</v>
      </c>
      <c r="C7" s="95" t="n">
        <v>160</v>
      </c>
      <c r="D7" s="95" t="n">
        <v>210</v>
      </c>
      <c r="E7" s="96" t="n">
        <f aca="false">CHOOSE(Dashboard!$B$4,B7,C7,D7)</f>
        <v>160</v>
      </c>
      <c r="F7" s="38" t="s">
        <v>238</v>
      </c>
      <c r="G7" s="97" t="s">
        <v>239</v>
      </c>
    </row>
    <row r="8" customFormat="false" ht="15" hidden="false" customHeight="false" outlineLevel="0" collapsed="false">
      <c r="A8" s="6" t="s">
        <v>240</v>
      </c>
      <c r="B8" s="95" t="n">
        <v>9</v>
      </c>
      <c r="C8" s="95" t="n">
        <v>6</v>
      </c>
      <c r="D8" s="95" t="n">
        <v>4</v>
      </c>
      <c r="E8" s="96" t="n">
        <f aca="false">CHOOSE(Dashboard!$B$4,B8,C8,D8)</f>
        <v>6</v>
      </c>
      <c r="F8" s="38" t="s">
        <v>241</v>
      </c>
      <c r="G8" s="97" t="s">
        <v>242</v>
      </c>
    </row>
    <row r="9" customFormat="false" ht="15" hidden="false" customHeight="false" outlineLevel="0" collapsed="false">
      <c r="A9" s="6" t="s">
        <v>243</v>
      </c>
      <c r="B9" s="98" t="n">
        <v>0.4</v>
      </c>
      <c r="C9" s="98" t="n">
        <v>0.5</v>
      </c>
      <c r="D9" s="98" t="n">
        <v>0.6</v>
      </c>
      <c r="E9" s="99" t="n">
        <f aca="false">CHOOSE(Dashboard!$B$4,B9,C9,D9)</f>
        <v>0.5</v>
      </c>
      <c r="F9" s="38" t="s">
        <v>244</v>
      </c>
      <c r="G9" s="97" t="s">
        <v>239</v>
      </c>
    </row>
    <row r="10" customFormat="false" ht="15" hidden="false" customHeight="false" outlineLevel="0" collapsed="false">
      <c r="A10" s="6" t="s">
        <v>245</v>
      </c>
      <c r="B10" s="98" t="n">
        <v>0.03</v>
      </c>
      <c r="C10" s="98" t="n">
        <v>0.06</v>
      </c>
      <c r="D10" s="98" t="n">
        <v>0.09</v>
      </c>
      <c r="E10" s="99" t="n">
        <f aca="false">CHOOSE(Dashboard!$B$4,B10,C10,D10)</f>
        <v>0.06</v>
      </c>
      <c r="F10" s="38" t="s">
        <v>244</v>
      </c>
      <c r="G10" s="97" t="s">
        <v>239</v>
      </c>
    </row>
    <row r="11" customFormat="false" ht="15" hidden="false" customHeight="false" outlineLevel="0" collapsed="false">
      <c r="A11" s="6" t="s">
        <v>246</v>
      </c>
      <c r="B11" s="100" t="n">
        <v>5.5</v>
      </c>
      <c r="C11" s="100" t="n">
        <v>6.5</v>
      </c>
      <c r="D11" s="100" t="n">
        <v>7.5</v>
      </c>
      <c r="E11" s="101" t="n">
        <f aca="false">CHOOSE(Dashboard!$B$4,B11,C11,D11)</f>
        <v>6.5</v>
      </c>
      <c r="F11" s="38" t="s">
        <v>247</v>
      </c>
      <c r="G11" s="97" t="s">
        <v>239</v>
      </c>
    </row>
    <row r="12" customFormat="false" ht="15" hidden="false" customHeight="false" outlineLevel="0" collapsed="false">
      <c r="A12" s="6" t="s">
        <v>248</v>
      </c>
      <c r="B12" s="98" t="n">
        <v>0.02</v>
      </c>
      <c r="C12" s="98" t="n">
        <v>0.03</v>
      </c>
      <c r="D12" s="98" t="n">
        <v>0.04</v>
      </c>
      <c r="E12" s="99" t="n">
        <f aca="false">CHOOSE(Dashboard!$B$4,B12,C12,D12)</f>
        <v>0.03</v>
      </c>
      <c r="F12" s="38" t="s">
        <v>244</v>
      </c>
      <c r="G12" s="97" t="s">
        <v>239</v>
      </c>
    </row>
    <row r="13" customFormat="false" ht="15" hidden="false" customHeight="false" outlineLevel="0" collapsed="false">
      <c r="A13" s="6" t="s">
        <v>249</v>
      </c>
      <c r="B13" s="95" t="n">
        <v>30</v>
      </c>
      <c r="C13" s="95" t="n">
        <v>30</v>
      </c>
      <c r="D13" s="95" t="n">
        <v>30</v>
      </c>
      <c r="E13" s="96" t="n">
        <f aca="false">CHOOSE(Dashboard!$B$4,B13,C13,D13)</f>
        <v>30</v>
      </c>
      <c r="F13" s="38" t="s">
        <v>250</v>
      </c>
      <c r="G13" s="97"/>
    </row>
    <row r="14" customFormat="false" ht="15" hidden="false" customHeight="false" outlineLevel="0" collapsed="false">
      <c r="A14" s="6" t="s">
        <v>251</v>
      </c>
      <c r="B14" s="98" t="n">
        <v>0.36</v>
      </c>
      <c r="C14" s="98" t="n">
        <v>0.33</v>
      </c>
      <c r="D14" s="98" t="n">
        <v>0.3</v>
      </c>
      <c r="E14" s="99" t="n">
        <f aca="false">CHOOSE(Dashboard!$B$4,B14,C14,D14)</f>
        <v>0.33</v>
      </c>
      <c r="F14" s="38" t="s">
        <v>244</v>
      </c>
      <c r="G14" s="97" t="s">
        <v>242</v>
      </c>
    </row>
    <row r="15" customFormat="false" ht="15" hidden="false" customHeight="false" outlineLevel="0" collapsed="false">
      <c r="A15" s="6" t="s">
        <v>252</v>
      </c>
      <c r="B15" s="102" t="n">
        <v>4500</v>
      </c>
      <c r="C15" s="102" t="n">
        <v>4500</v>
      </c>
      <c r="D15" s="102" t="n">
        <v>4500</v>
      </c>
      <c r="E15" s="103" t="n">
        <f aca="false">CHOOSE(Dashboard!$B$4,B15,C15,D15)</f>
        <v>4500</v>
      </c>
      <c r="F15" s="38" t="s">
        <v>247</v>
      </c>
      <c r="G15" s="97"/>
    </row>
    <row r="16" customFormat="false" ht="15" hidden="false" customHeight="false" outlineLevel="0" collapsed="false">
      <c r="A16" s="6" t="s">
        <v>219</v>
      </c>
      <c r="B16" s="98" t="n">
        <v>0.04</v>
      </c>
      <c r="C16" s="98" t="n">
        <v>0.03</v>
      </c>
      <c r="D16" s="98" t="n">
        <v>0.03</v>
      </c>
      <c r="E16" s="99" t="n">
        <f aca="false">CHOOSE(Dashboard!$B$4,B16,C16,D16)</f>
        <v>0.03</v>
      </c>
      <c r="F16" s="38" t="s">
        <v>244</v>
      </c>
      <c r="G16" s="97" t="s">
        <v>242</v>
      </c>
    </row>
    <row r="17" customFormat="false" ht="15" hidden="false" customHeight="false" outlineLevel="0" collapsed="false">
      <c r="A17" s="6" t="s">
        <v>253</v>
      </c>
      <c r="B17" s="102" t="n">
        <v>2200</v>
      </c>
      <c r="C17" s="102" t="n">
        <v>2000</v>
      </c>
      <c r="D17" s="102" t="n">
        <v>2000</v>
      </c>
      <c r="E17" s="103" t="n">
        <f aca="false">CHOOSE(Dashboard!$B$4,B17,C17,D17)</f>
        <v>2000</v>
      </c>
      <c r="F17" s="38" t="s">
        <v>247</v>
      </c>
      <c r="G17" s="97" t="s">
        <v>242</v>
      </c>
    </row>
    <row r="18" customFormat="false" ht="15" hidden="false" customHeight="false" outlineLevel="0" collapsed="false">
      <c r="A18" s="6" t="s">
        <v>254</v>
      </c>
      <c r="B18" s="102" t="n">
        <v>180000</v>
      </c>
      <c r="C18" s="102" t="n">
        <v>160000</v>
      </c>
      <c r="D18" s="102" t="n">
        <v>150000</v>
      </c>
      <c r="E18" s="103" t="n">
        <f aca="false">CHOOSE(Dashboard!$B$4,B18,C18,D18)</f>
        <v>160000</v>
      </c>
      <c r="F18" s="38" t="s">
        <v>247</v>
      </c>
      <c r="G18" s="97" t="s">
        <v>242</v>
      </c>
    </row>
    <row r="20" customFormat="false" ht="15.75" hidden="false" customHeight="true" outlineLevel="0" collapsed="false">
      <c r="A20" s="7" t="s">
        <v>255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256</v>
      </c>
      <c r="B21" s="104" t="n">
        <v>3</v>
      </c>
      <c r="C21" s="104" t="n">
        <v>3.5</v>
      </c>
      <c r="D21" s="104" t="n">
        <v>4</v>
      </c>
      <c r="E21" s="105" t="n">
        <f aca="false">CHOOSE(Dashboard!$B$4,B21,C21,D21)</f>
        <v>3.5</v>
      </c>
      <c r="F21" s="38" t="s">
        <v>257</v>
      </c>
      <c r="G21" s="97" t="s">
        <v>239</v>
      </c>
    </row>
    <row r="22" customFormat="false" ht="15" hidden="false" customHeight="false" outlineLevel="0" collapsed="false">
      <c r="A22" s="6" t="s">
        <v>258</v>
      </c>
      <c r="B22" s="102" t="n">
        <v>30000</v>
      </c>
      <c r="C22" s="102" t="n">
        <v>32000</v>
      </c>
      <c r="D22" s="102" t="n">
        <v>34000</v>
      </c>
      <c r="E22" s="103" t="n">
        <f aca="false">CHOOSE(Dashboard!$B$4,B22,C22,D22)</f>
        <v>32000</v>
      </c>
      <c r="F22" s="38" t="s">
        <v>247</v>
      </c>
      <c r="G22" s="97"/>
    </row>
    <row r="23" customFormat="false" ht="15" hidden="false" customHeight="false" outlineLevel="0" collapsed="false">
      <c r="A23" s="6" t="s">
        <v>259</v>
      </c>
      <c r="B23" s="98" t="n">
        <v>0</v>
      </c>
      <c r="C23" s="98" t="n">
        <v>0</v>
      </c>
      <c r="D23" s="98" t="n">
        <v>0</v>
      </c>
      <c r="E23" s="99" t="n">
        <f aca="false">CHOOSE(Dashboard!$B$4,B23,C23,D23)</f>
        <v>0</v>
      </c>
      <c r="F23" s="38" t="s">
        <v>244</v>
      </c>
      <c r="G23" s="97" t="s">
        <v>239</v>
      </c>
    </row>
    <row r="24" customFormat="false" ht="15" hidden="false" customHeight="false" outlineLevel="0" collapsed="false">
      <c r="A24" s="6" t="s">
        <v>260</v>
      </c>
      <c r="B24" s="95" t="n">
        <v>1</v>
      </c>
      <c r="C24" s="95" t="n">
        <v>1</v>
      </c>
      <c r="D24" s="95" t="n">
        <v>1</v>
      </c>
      <c r="E24" s="96" t="n">
        <f aca="false">CHOOSE(Dashboard!$B$4,B24,C24,D24)</f>
        <v>1</v>
      </c>
      <c r="F24" s="38" t="s">
        <v>261</v>
      </c>
      <c r="G24" s="97"/>
    </row>
    <row r="25" customFormat="false" ht="15" hidden="false" customHeight="false" outlineLevel="0" collapsed="false">
      <c r="A25" s="6" t="s">
        <v>262</v>
      </c>
      <c r="B25" s="98" t="n">
        <v>0.12</v>
      </c>
      <c r="C25" s="98" t="n">
        <v>0.12</v>
      </c>
      <c r="D25" s="98" t="n">
        <v>0.12</v>
      </c>
      <c r="E25" s="99" t="n">
        <f aca="false">CHOOSE(Dashboard!$B$4,B25,C25,D25)</f>
        <v>0.12</v>
      </c>
      <c r="F25" s="38" t="s">
        <v>244</v>
      </c>
      <c r="G25" s="97"/>
    </row>
    <row r="26" customFormat="false" ht="15" hidden="false" customHeight="false" outlineLevel="0" collapsed="false">
      <c r="A26" s="6" t="s">
        <v>263</v>
      </c>
      <c r="B26" s="98" t="n">
        <v>0.03</v>
      </c>
      <c r="C26" s="98" t="n">
        <v>0.03</v>
      </c>
      <c r="D26" s="98" t="n">
        <v>0.03</v>
      </c>
      <c r="E26" s="99" t="n">
        <f aca="false">CHOOSE(Dashboard!$B$4,B26,C26,D26)</f>
        <v>0.03</v>
      </c>
      <c r="F26" s="38" t="s">
        <v>244</v>
      </c>
      <c r="G26" s="97"/>
    </row>
    <row r="28" customFormat="false" ht="15.75" hidden="false" customHeight="true" outlineLevel="0" collapsed="false">
      <c r="A28" s="7" t="s">
        <v>264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265</v>
      </c>
      <c r="B29" s="102" t="n">
        <v>140000</v>
      </c>
      <c r="C29" s="102" t="n">
        <v>140000</v>
      </c>
      <c r="D29" s="102" t="n">
        <v>140000</v>
      </c>
      <c r="E29" s="103" t="n">
        <f aca="false">CHOOSE(Dashboard!$B$4,B29,C29,D29)</f>
        <v>140000</v>
      </c>
      <c r="F29" s="38" t="s">
        <v>247</v>
      </c>
      <c r="G29" s="97"/>
    </row>
    <row r="30" customFormat="false" ht="15" hidden="false" customHeight="false" outlineLevel="0" collapsed="false">
      <c r="A30" s="6" t="s">
        <v>266</v>
      </c>
      <c r="B30" s="102" t="n">
        <v>80000</v>
      </c>
      <c r="C30" s="102" t="n">
        <v>80000</v>
      </c>
      <c r="D30" s="102" t="n">
        <v>80000</v>
      </c>
      <c r="E30" s="103" t="n">
        <f aca="false">CHOOSE(Dashboard!$B$4,B30,C30,D30)</f>
        <v>80000</v>
      </c>
      <c r="F30" s="38" t="s">
        <v>247</v>
      </c>
      <c r="G30" s="97"/>
    </row>
    <row r="31" customFormat="false" ht="15" hidden="false" customHeight="false" outlineLevel="0" collapsed="false">
      <c r="A31" s="6" t="s">
        <v>267</v>
      </c>
      <c r="B31" s="98" t="n">
        <v>0.08</v>
      </c>
      <c r="C31" s="98" t="n">
        <v>0.08</v>
      </c>
      <c r="D31" s="98" t="n">
        <v>0.08</v>
      </c>
      <c r="E31" s="99" t="n">
        <f aca="false">CHOOSE(Dashboard!$B$4,B31,C31,D31)</f>
        <v>0.08</v>
      </c>
      <c r="F31" s="38" t="s">
        <v>244</v>
      </c>
      <c r="G31" s="97"/>
    </row>
    <row r="32" customFormat="false" ht="15" hidden="false" customHeight="false" outlineLevel="0" collapsed="false">
      <c r="A32" s="6" t="s">
        <v>268</v>
      </c>
      <c r="B32" s="95" t="n">
        <v>5</v>
      </c>
      <c r="C32" s="95" t="n">
        <v>5</v>
      </c>
      <c r="D32" s="95" t="n">
        <v>5</v>
      </c>
      <c r="E32" s="96" t="n">
        <f aca="false">CHOOSE(Dashboard!$B$4,B32,C32,D32)</f>
        <v>5</v>
      </c>
      <c r="F32" s="38" t="s">
        <v>269</v>
      </c>
      <c r="G32" s="97"/>
    </row>
    <row r="34" customFormat="false" ht="15.75" hidden="false" customHeight="true" outlineLevel="0" collapsed="false">
      <c r="A34" s="7" t="s">
        <v>270</v>
      </c>
      <c r="B34" s="7"/>
      <c r="C34" s="7"/>
      <c r="D34" s="7"/>
      <c r="E34" s="7"/>
      <c r="F34" s="7"/>
      <c r="G34" s="7"/>
    </row>
    <row r="35" customFormat="false" ht="15" hidden="false" customHeight="false" outlineLevel="0" collapsed="false">
      <c r="A35" s="6" t="s">
        <v>271</v>
      </c>
      <c r="B35" s="95" t="n">
        <v>2</v>
      </c>
      <c r="C35" s="95" t="n">
        <v>2</v>
      </c>
      <c r="D35" s="95" t="n">
        <v>2</v>
      </c>
      <c r="E35" s="96" t="n">
        <f aca="false">CHOOSE(Dashboard!$B$4,B35,C35,D35)</f>
        <v>2</v>
      </c>
      <c r="F35" s="38" t="s">
        <v>250</v>
      </c>
      <c r="G35" s="97"/>
    </row>
    <row r="36" customFormat="false" ht="15" hidden="false" customHeight="false" outlineLevel="0" collapsed="false">
      <c r="A36" s="6" t="s">
        <v>272</v>
      </c>
      <c r="B36" s="95" t="n">
        <v>7</v>
      </c>
      <c r="C36" s="95" t="n">
        <v>7</v>
      </c>
      <c r="D36" s="95" t="n">
        <v>7</v>
      </c>
      <c r="E36" s="96" t="n">
        <f aca="false">CHOOSE(Dashboard!$B$4,B36,C36,D36)</f>
        <v>7</v>
      </c>
      <c r="F36" s="38" t="s">
        <v>250</v>
      </c>
      <c r="G36" s="97"/>
    </row>
    <row r="37" customFormat="false" ht="15" hidden="false" customHeight="false" outlineLevel="0" collapsed="false">
      <c r="A37" s="6" t="s">
        <v>273</v>
      </c>
      <c r="B37" s="95" t="n">
        <v>14</v>
      </c>
      <c r="C37" s="95" t="n">
        <v>14</v>
      </c>
      <c r="D37" s="95" t="n">
        <v>14</v>
      </c>
      <c r="E37" s="96" t="n">
        <f aca="false">CHOOSE(Dashboard!$B$4,B37,C37,D37)</f>
        <v>14</v>
      </c>
      <c r="F37" s="38" t="s">
        <v>250</v>
      </c>
      <c r="G37" s="97"/>
    </row>
    <row r="39" customFormat="false" ht="15.75" hidden="false" customHeight="true" outlineLevel="0" collapsed="false">
      <c r="A39" s="7" t="s">
        <v>274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275</v>
      </c>
      <c r="B40" s="95" t="n">
        <v>7</v>
      </c>
      <c r="C40" s="95" t="n">
        <v>7</v>
      </c>
      <c r="D40" s="95" t="n">
        <v>7</v>
      </c>
      <c r="E40" s="96" t="n">
        <f aca="false">CHOOSE(Dashboard!$B$4,B40,C40,D40)</f>
        <v>7</v>
      </c>
      <c r="F40" s="38" t="s">
        <v>269</v>
      </c>
      <c r="G40" s="97"/>
    </row>
    <row r="41" customFormat="false" ht="15" hidden="false" customHeight="false" outlineLevel="0" collapsed="false">
      <c r="A41" s="6" t="s">
        <v>276</v>
      </c>
      <c r="B41" s="98" t="n">
        <v>0.21</v>
      </c>
      <c r="C41" s="98" t="n">
        <v>0.21</v>
      </c>
      <c r="D41" s="98" t="n">
        <v>0.21</v>
      </c>
      <c r="E41" s="99" t="n">
        <f aca="false">CHOOSE(Dashboard!$B$4,B41,C41,D41)</f>
        <v>0.21</v>
      </c>
      <c r="F41" s="38" t="s">
        <v>244</v>
      </c>
      <c r="G41" s="97"/>
    </row>
    <row r="43" customFormat="false" ht="15.75" hidden="false" customHeight="true" outlineLevel="0" collapsed="false">
      <c r="A43" s="7" t="s">
        <v>277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139</v>
      </c>
      <c r="B44" s="102" t="n">
        <v>53000</v>
      </c>
      <c r="C44" s="102" t="n">
        <v>53000</v>
      </c>
      <c r="D44" s="102" t="n">
        <v>53000</v>
      </c>
      <c r="E44" s="103" t="n">
        <f aca="false">CHOOSE(Dashboard!$B$4,B44,C44,D44)</f>
        <v>53000</v>
      </c>
      <c r="F44" s="38" t="s">
        <v>247</v>
      </c>
      <c r="G44" s="97" t="s">
        <v>278</v>
      </c>
    </row>
    <row r="46" customFormat="false" ht="15.75" hidden="false" customHeight="true" outlineLevel="0" collapsed="false">
      <c r="A46" s="7" t="s">
        <v>279</v>
      </c>
      <c r="B46" s="7"/>
      <c r="C46" s="7"/>
      <c r="D46" s="7"/>
      <c r="E46" s="7"/>
      <c r="F46" s="7"/>
      <c r="G46" s="7"/>
    </row>
    <row r="47" customFormat="false" ht="15" hidden="false" customHeight="false" outlineLevel="0" collapsed="false">
      <c r="A47" s="6" t="s">
        <v>166</v>
      </c>
      <c r="B47" s="98" t="n">
        <v>0.25</v>
      </c>
      <c r="C47" s="98" t="n">
        <v>0.2</v>
      </c>
      <c r="D47" s="98" t="n">
        <v>0.17</v>
      </c>
      <c r="E47" s="99" t="n">
        <f aca="false">CHOOSE(Dashboard!$B$4,B47,C47,D47)</f>
        <v>0.2</v>
      </c>
      <c r="F47" s="38" t="s">
        <v>244</v>
      </c>
      <c r="G47" s="97" t="s">
        <v>242</v>
      </c>
    </row>
    <row r="48" customFormat="false" ht="15" hidden="false" customHeight="false" outlineLevel="0" collapsed="false">
      <c r="A48" s="6" t="s">
        <v>280</v>
      </c>
      <c r="B48" s="98" t="n">
        <v>0.01</v>
      </c>
      <c r="C48" s="98" t="n">
        <v>0.02</v>
      </c>
      <c r="D48" s="98" t="n">
        <v>0.03</v>
      </c>
      <c r="E48" s="99" t="n">
        <f aca="false">CHOOSE(Dashboard!$B$4,B48,C48,D48)</f>
        <v>0.02</v>
      </c>
      <c r="F48" s="38" t="s">
        <v>244</v>
      </c>
      <c r="G48" s="97" t="s">
        <v>239</v>
      </c>
    </row>
    <row r="49" customFormat="false" ht="15" hidden="false" customHeight="false" outlineLevel="0" collapsed="false">
      <c r="A49" s="6" t="s">
        <v>168</v>
      </c>
      <c r="B49" s="106" t="n">
        <v>3.5</v>
      </c>
      <c r="C49" s="106" t="n">
        <v>4.5</v>
      </c>
      <c r="D49" s="106" t="n">
        <v>6</v>
      </c>
      <c r="E49" s="107" t="n">
        <f aca="false">CHOOSE(Dashboard!$B$4,B49,C49,D49)</f>
        <v>4.5</v>
      </c>
      <c r="F49" s="38" t="s">
        <v>281</v>
      </c>
      <c r="G49" s="97" t="s">
        <v>239</v>
      </c>
    </row>
    <row r="50" customFormat="false" ht="15" hidden="false" customHeight="false" outlineLevel="0" collapsed="false">
      <c r="A50" s="6" t="s">
        <v>282</v>
      </c>
      <c r="B50" s="98" t="n">
        <v>0.01</v>
      </c>
      <c r="C50" s="98" t="n">
        <v>0.01</v>
      </c>
      <c r="D50" s="98" t="n">
        <v>0.01</v>
      </c>
      <c r="E50" s="99" t="n">
        <f aca="false">CHOOSE(Dashboard!$B$4,B50,C50,D50)</f>
        <v>0.01</v>
      </c>
      <c r="F50" s="38" t="s">
        <v>244</v>
      </c>
      <c r="G50" s="97"/>
    </row>
    <row r="51" customFormat="false" ht="15" hidden="false" customHeight="false" outlineLevel="0" collapsed="false">
      <c r="A51" s="6" t="s">
        <v>283</v>
      </c>
      <c r="B51" s="98" t="n">
        <v>0.005</v>
      </c>
      <c r="C51" s="98" t="n">
        <v>0.005</v>
      </c>
      <c r="D51" s="98" t="n">
        <v>0.005</v>
      </c>
      <c r="E51" s="99" t="n">
        <f aca="false">CHOOSE(Dashboard!$B$4,B51,C51,D51)</f>
        <v>0.005</v>
      </c>
      <c r="F51" s="38" t="s">
        <v>244</v>
      </c>
      <c r="G51" s="97"/>
    </row>
    <row r="53" customFormat="false" ht="15" hidden="false" customHeight="false" outlineLevel="0" collapsed="false">
      <c r="A53" s="21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153</v>
      </c>
      <c r="C4" s="50" t="s">
        <v>154</v>
      </c>
      <c r="D4" s="50" t="s">
        <v>155</v>
      </c>
      <c r="E4" s="50" t="s">
        <v>156</v>
      </c>
      <c r="F4" s="50" t="s">
        <v>157</v>
      </c>
    </row>
    <row r="5" customFormat="false" ht="15" hidden="false" customHeight="false" outlineLevel="0" collapsed="false">
      <c r="A5" s="4" t="s">
        <v>44</v>
      </c>
      <c r="B5" s="71" t="n">
        <f aca="false">SUMIF(Monthly!$C$5:$BJ$5,B$3,Monthly!$C$12:$BJ$12)</f>
        <v>319800</v>
      </c>
      <c r="C5" s="71" t="n">
        <f aca="false">SUMIF(Monthly!$C$5:$BJ$5,C$3,Monthly!$C$12:$BJ$12)</f>
        <v>408769.92</v>
      </c>
      <c r="D5" s="71" t="n">
        <f aca="false">SUMIF(Monthly!$C$5:$BJ$5,D$3,Monthly!$C$12:$BJ$12)</f>
        <v>446294.998656</v>
      </c>
      <c r="E5" s="71" t="n">
        <f aca="false">SUMIF(Monthly!$C$5:$BJ$5,E$3,Monthly!$C$12:$BJ$12)</f>
        <v>487264.879532621</v>
      </c>
      <c r="F5" s="71" t="n">
        <f aca="false">SUMIF(Monthly!$C$5:$BJ$5,F$3,Monthly!$C$12:$BJ$12)</f>
        <v>531995.795473716</v>
      </c>
    </row>
    <row r="6" customFormat="false" ht="15" hidden="false" customHeight="false" outlineLevel="0" collapsed="false">
      <c r="A6" s="6" t="s">
        <v>74</v>
      </c>
      <c r="B6" s="65" t="n">
        <f aca="false">SUMIF(Monthly!$C$5:$BJ$5,B$3,Monthly!$C$13:$BJ$13)</f>
        <v>-105534</v>
      </c>
      <c r="C6" s="65" t="n">
        <f aca="false">SUMIF(Monthly!$C$5:$BJ$5,C$3,Monthly!$C$13:$BJ$13)</f>
        <v>-134894.0736</v>
      </c>
      <c r="D6" s="65" t="n">
        <f aca="false">SUMIF(Monthly!$C$5:$BJ$5,D$3,Monthly!$C$13:$BJ$13)</f>
        <v>-147277.34955648</v>
      </c>
      <c r="E6" s="65" t="n">
        <f aca="false">SUMIF(Monthly!$C$5:$BJ$5,E$3,Monthly!$C$13:$BJ$13)</f>
        <v>-160797.410245765</v>
      </c>
      <c r="F6" s="65" t="n">
        <f aca="false">SUMIF(Monthly!$C$5:$BJ$5,F$3,Monthly!$C$13:$BJ$13)</f>
        <v>-175558.612506326</v>
      </c>
    </row>
    <row r="7" customFormat="false" ht="15" hidden="false" customHeight="false" outlineLevel="0" collapsed="false">
      <c r="A7" s="108" t="s">
        <v>45</v>
      </c>
      <c r="B7" s="66" t="n">
        <f aca="false">SUMIF(Monthly!$C$5:$BJ$5,B$3,Monthly!$C$14:$BJ$14)</f>
        <v>214266</v>
      </c>
      <c r="C7" s="66" t="n">
        <f aca="false">SUMIF(Monthly!$C$5:$BJ$5,C$3,Monthly!$C$14:$BJ$14)</f>
        <v>273875.8464</v>
      </c>
      <c r="D7" s="66" t="n">
        <f aca="false">SUMIF(Monthly!$C$5:$BJ$5,D$3,Monthly!$C$14:$BJ$14)</f>
        <v>299017.64909952</v>
      </c>
      <c r="E7" s="66" t="n">
        <f aca="false">SUMIF(Monthly!$C$5:$BJ$5,E$3,Monthly!$C$14:$BJ$14)</f>
        <v>326467.469286856</v>
      </c>
      <c r="F7" s="66" t="n">
        <f aca="false">SUMIF(Monthly!$C$5:$BJ$5,F$3,Monthly!$C$14:$BJ$14)</f>
        <v>356437.182967389</v>
      </c>
    </row>
    <row r="8" customFormat="false" ht="15" hidden="false" customHeight="false" outlineLevel="0" collapsed="false">
      <c r="A8" s="38" t="s">
        <v>46</v>
      </c>
      <c r="B8" s="72" t="n">
        <f aca="false">IF(B5=0,0,B7/B5)</f>
        <v>0.67</v>
      </c>
      <c r="C8" s="72" t="n">
        <f aca="false">IF(C5=0,0,C7/C5)</f>
        <v>0.67</v>
      </c>
      <c r="D8" s="72" t="n">
        <f aca="false">IF(D5=0,0,D7/D5)</f>
        <v>0.67</v>
      </c>
      <c r="E8" s="72" t="n">
        <f aca="false">IF(E5=0,0,E7/E5)</f>
        <v>0.67</v>
      </c>
      <c r="F8" s="72" t="n">
        <f aca="false">IF(F5=0,0,F7/F5)</f>
        <v>0.67</v>
      </c>
    </row>
    <row r="9" customFormat="false" ht="15" hidden="false" customHeight="false" outlineLevel="0" collapsed="false">
      <c r="A9" s="6" t="s">
        <v>286</v>
      </c>
      <c r="B9" s="65" t="n">
        <f aca="false">SUMIF(Monthly!$C$5:$BJ$5,B$3,Monthly!$C$17:$BJ$17)</f>
        <v>-54000</v>
      </c>
      <c r="C9" s="65" t="n">
        <f aca="false">SUMIF(Monthly!$C$5:$BJ$5,C$3,Monthly!$C$17:$BJ$17)</f>
        <v>-54000</v>
      </c>
      <c r="D9" s="65" t="n">
        <f aca="false">SUMIF(Monthly!$C$5:$BJ$5,D$3,Monthly!$C$17:$BJ$17)</f>
        <v>-54000</v>
      </c>
      <c r="E9" s="65" t="n">
        <f aca="false">SUMIF(Monthly!$C$5:$BJ$5,E$3,Monthly!$C$17:$BJ$17)</f>
        <v>-54000</v>
      </c>
      <c r="F9" s="65" t="n">
        <f aca="false">SUMIF(Monthly!$C$5:$BJ$5,F$3,Monthly!$C$17:$BJ$17)</f>
        <v>-54000</v>
      </c>
    </row>
    <row r="10" customFormat="false" ht="15" hidden="false" customHeight="false" outlineLevel="0" collapsed="false">
      <c r="A10" s="6" t="s">
        <v>287</v>
      </c>
      <c r="B10" s="65" t="n">
        <f aca="false">SUMIF(Monthly!$C$5:$BJ$5,B$3,Monthly!$C$18:$BJ$18)</f>
        <v>-125440</v>
      </c>
      <c r="C10" s="65" t="n">
        <f aca="false">SUMIF(Monthly!$C$5:$BJ$5,C$3,Monthly!$C$18:$BJ$18)</f>
        <v>-129203.2</v>
      </c>
      <c r="D10" s="65" t="n">
        <f aca="false">SUMIF(Monthly!$C$5:$BJ$5,D$3,Monthly!$C$18:$BJ$18)</f>
        <v>-133079.296</v>
      </c>
      <c r="E10" s="65" t="n">
        <f aca="false">SUMIF(Monthly!$C$5:$BJ$5,E$3,Monthly!$C$18:$BJ$18)</f>
        <v>-137071.67488</v>
      </c>
      <c r="F10" s="65" t="n">
        <f aca="false">SUMIF(Monthly!$C$5:$BJ$5,F$3,Monthly!$C$18:$BJ$18)</f>
        <v>-141183.8251264</v>
      </c>
    </row>
    <row r="11" customFormat="false" ht="15" hidden="false" customHeight="false" outlineLevel="0" collapsed="false">
      <c r="A11" s="6" t="s">
        <v>288</v>
      </c>
      <c r="B11" s="65" t="n">
        <f aca="false">SUMIF(Monthly!$C$5:$BJ$5,B$3,Monthly!$C$19:$BJ$19)</f>
        <v>-9594</v>
      </c>
      <c r="C11" s="65" t="n">
        <f aca="false">SUMIF(Monthly!$C$5:$BJ$5,C$3,Monthly!$C$19:$BJ$19)</f>
        <v>-12263.0976</v>
      </c>
      <c r="D11" s="65" t="n">
        <f aca="false">SUMIF(Monthly!$C$5:$BJ$5,D$3,Monthly!$C$19:$BJ$19)</f>
        <v>-13388.84995968</v>
      </c>
      <c r="E11" s="65" t="n">
        <f aca="false">SUMIF(Monthly!$C$5:$BJ$5,E$3,Monthly!$C$19:$BJ$19)</f>
        <v>-14617.9463859786</v>
      </c>
      <c r="F11" s="65" t="n">
        <f aca="false">SUMIF(Monthly!$C$5:$BJ$5,F$3,Monthly!$C$19:$BJ$19)</f>
        <v>-15959.8738642115</v>
      </c>
    </row>
    <row r="12" customFormat="false" ht="15" hidden="false" customHeight="false" outlineLevel="0" collapsed="false">
      <c r="A12" s="6" t="s">
        <v>289</v>
      </c>
      <c r="B12" s="65" t="n">
        <f aca="false">SUMIF(Monthly!$C$5:$BJ$5,B$3,Monthly!$C$20:$BJ$20)</f>
        <v>-24000</v>
      </c>
      <c r="C12" s="65" t="n">
        <f aca="false">SUMIF(Monthly!$C$5:$BJ$5,C$3,Monthly!$C$20:$BJ$20)</f>
        <v>-24000</v>
      </c>
      <c r="D12" s="65" t="n">
        <f aca="false">SUMIF(Monthly!$C$5:$BJ$5,D$3,Monthly!$C$20:$BJ$20)</f>
        <v>-24000</v>
      </c>
      <c r="E12" s="65" t="n">
        <f aca="false">SUMIF(Monthly!$C$5:$BJ$5,E$3,Monthly!$C$20:$BJ$20)</f>
        <v>-24000</v>
      </c>
      <c r="F12" s="65" t="n">
        <f aca="false">SUMIF(Monthly!$C$5:$BJ$5,F$3,Monthly!$C$20:$BJ$20)</f>
        <v>-24000</v>
      </c>
    </row>
    <row r="13" customFormat="false" ht="15" hidden="false" customHeight="false" outlineLevel="0" collapsed="false">
      <c r="A13" s="108" t="s">
        <v>75</v>
      </c>
      <c r="B13" s="66" t="n">
        <f aca="false">SUMIF(Monthly!$C$5:$BJ$5,B$3,Monthly!$C$21:$BJ$21)</f>
        <v>-213034</v>
      </c>
      <c r="C13" s="66" t="n">
        <f aca="false">SUMIF(Monthly!$C$5:$BJ$5,C$3,Monthly!$C$21:$BJ$21)</f>
        <v>-219466.2976</v>
      </c>
      <c r="D13" s="66" t="n">
        <f aca="false">SUMIF(Monthly!$C$5:$BJ$5,D$3,Monthly!$C$21:$BJ$21)</f>
        <v>-224468.14595968</v>
      </c>
      <c r="E13" s="66" t="n">
        <f aca="false">SUMIF(Monthly!$C$5:$BJ$5,E$3,Monthly!$C$21:$BJ$21)</f>
        <v>-229689.621265979</v>
      </c>
      <c r="F13" s="66" t="n">
        <f aca="false">SUMIF(Monthly!$C$5:$BJ$5,F$3,Monthly!$C$21:$BJ$21)</f>
        <v>-235143.698990612</v>
      </c>
    </row>
    <row r="14" customFormat="false" ht="15" hidden="false" customHeight="false" outlineLevel="0" collapsed="false">
      <c r="A14" s="108" t="s">
        <v>48</v>
      </c>
      <c r="B14" s="66" t="n">
        <f aca="false">SUMIF(Monthly!$C$5:$BJ$5,B$3,Monthly!$C$22:$BJ$22)</f>
        <v>1231.99999999997</v>
      </c>
      <c r="C14" s="66" t="n">
        <f aca="false">SUMIF(Monthly!$C$5:$BJ$5,C$3,Monthly!$C$22:$BJ$22)</f>
        <v>54409.5488</v>
      </c>
      <c r="D14" s="66" t="n">
        <f aca="false">SUMIF(Monthly!$C$5:$BJ$5,D$3,Monthly!$C$22:$BJ$22)</f>
        <v>74549.5031398401</v>
      </c>
      <c r="E14" s="66" t="n">
        <f aca="false">SUMIF(Monthly!$C$5:$BJ$5,E$3,Monthly!$C$22:$BJ$22)</f>
        <v>96777.8480208774</v>
      </c>
      <c r="F14" s="66" t="n">
        <f aca="false">SUMIF(Monthly!$C$5:$BJ$5,F$3,Monthly!$C$22:$BJ$22)</f>
        <v>121293.483976778</v>
      </c>
    </row>
    <row r="15" customFormat="false" ht="15" hidden="false" customHeight="false" outlineLevel="0" collapsed="false">
      <c r="A15" s="38" t="s">
        <v>49</v>
      </c>
      <c r="B15" s="72" t="n">
        <f aca="false">IF(B5=0,0,B14/B5)</f>
        <v>0.00385240775484667</v>
      </c>
      <c r="C15" s="72" t="n">
        <f aca="false">IF(C5=0,0,C14/C5)</f>
        <v>0.133105559234887</v>
      </c>
      <c r="D15" s="72" t="n">
        <f aca="false">IF(D5=0,0,D14/D5)</f>
        <v>0.167040866163284</v>
      </c>
      <c r="E15" s="72" t="n">
        <f aca="false">IF(E5=0,0,E14/E5)</f>
        <v>0.19861445403926</v>
      </c>
      <c r="F15" s="72" t="n">
        <f aca="false">IF(F5=0,0,F14/F5)</f>
        <v>0.227997072549741</v>
      </c>
    </row>
    <row r="16" customFormat="false" ht="15" hidden="false" customHeight="false" outlineLevel="0" collapsed="false">
      <c r="A16" s="6" t="s">
        <v>76</v>
      </c>
      <c r="B16" s="65" t="n">
        <f aca="false">SUMIF(Monthly!$C$5:$BJ$5,B$3,Monthly!$C$36:$BJ$36)</f>
        <v>-22857.1428571429</v>
      </c>
      <c r="C16" s="65" t="n">
        <f aca="false">SUMIF(Monthly!$C$5:$BJ$5,C$3,Monthly!$C$36:$BJ$36)</f>
        <v>-22857.1428571429</v>
      </c>
      <c r="D16" s="65" t="n">
        <f aca="false">SUMIF(Monthly!$C$5:$BJ$5,D$3,Monthly!$C$36:$BJ$36)</f>
        <v>-22857.1428571429</v>
      </c>
      <c r="E16" s="65" t="n">
        <f aca="false">SUMIF(Monthly!$C$5:$BJ$5,E$3,Monthly!$C$36:$BJ$36)</f>
        <v>-22857.1428571429</v>
      </c>
      <c r="F16" s="65" t="n">
        <f aca="false">SUMIF(Monthly!$C$5:$BJ$5,F$3,Monthly!$C$36:$BJ$36)</f>
        <v>-22857.1428571429</v>
      </c>
    </row>
    <row r="17" customFormat="false" ht="15" hidden="false" customHeight="false" outlineLevel="0" collapsed="false">
      <c r="A17" s="4" t="s">
        <v>77</v>
      </c>
      <c r="B17" s="71" t="n">
        <f aca="false">SUMIF(Monthly!$C$5:$BJ$5,B$3,Monthly!$C$25:$BJ$25)</f>
        <v>-21625.1428571429</v>
      </c>
      <c r="C17" s="71" t="n">
        <f aca="false">SUMIF(Monthly!$C$5:$BJ$5,C$3,Monthly!$C$25:$BJ$25)</f>
        <v>31552.4059428572</v>
      </c>
      <c r="D17" s="71" t="n">
        <f aca="false">SUMIF(Monthly!$C$5:$BJ$5,D$3,Monthly!$C$25:$BJ$25)</f>
        <v>51692.3602826972</v>
      </c>
      <c r="E17" s="71" t="n">
        <f aca="false">SUMIF(Monthly!$C$5:$BJ$5,E$3,Monthly!$C$25:$BJ$25)</f>
        <v>73920.7051637345</v>
      </c>
      <c r="F17" s="71" t="n">
        <f aca="false">SUMIF(Monthly!$C$5:$BJ$5,F$3,Monthly!$C$25:$BJ$25)</f>
        <v>98436.3411196351</v>
      </c>
    </row>
    <row r="18" customFormat="false" ht="15" hidden="false" customHeight="false" outlineLevel="0" collapsed="false">
      <c r="A18" s="6" t="s">
        <v>78</v>
      </c>
      <c r="B18" s="65" t="n">
        <f aca="false">SUMIF(Monthly!$C$5:$BJ$5,B$3,Monthly!$C$26:$BJ$26)</f>
        <v>-5862.22222222222</v>
      </c>
      <c r="C18" s="65" t="n">
        <f aca="false">SUMIF(Monthly!$C$5:$BJ$5,C$3,Monthly!$C$26:$BJ$26)</f>
        <v>-4586.66666666667</v>
      </c>
      <c r="D18" s="65" t="n">
        <f aca="false">SUMIF(Monthly!$C$5:$BJ$5,D$3,Monthly!$C$26:$BJ$26)</f>
        <v>-3306.66666666667</v>
      </c>
      <c r="E18" s="65" t="n">
        <f aca="false">SUMIF(Monthly!$C$5:$BJ$5,E$3,Monthly!$C$26:$BJ$26)</f>
        <v>-2026.66666666667</v>
      </c>
      <c r="F18" s="65" t="n">
        <f aca="false">SUMIF(Monthly!$C$5:$BJ$5,F$3,Monthly!$C$26:$BJ$26)</f>
        <v>-746.666666666667</v>
      </c>
    </row>
    <row r="19" customFormat="false" ht="15" hidden="false" customHeight="false" outlineLevel="0" collapsed="false">
      <c r="A19" s="109" t="s">
        <v>79</v>
      </c>
      <c r="B19" s="110" t="n">
        <f aca="false">SUMIF(Monthly!$C$5:$BJ$5,B$3,Monthly!$C$27:$BJ$27)</f>
        <v>-27487.3650793651</v>
      </c>
      <c r="C19" s="110" t="n">
        <f aca="false">SUMIF(Monthly!$C$5:$BJ$5,C$3,Monthly!$C$27:$BJ$27)</f>
        <v>26965.7392761905</v>
      </c>
      <c r="D19" s="110" t="n">
        <f aca="false">SUMIF(Monthly!$C$5:$BJ$5,D$3,Monthly!$C$27:$BJ$27)</f>
        <v>48385.6936160305</v>
      </c>
      <c r="E19" s="110" t="n">
        <f aca="false">SUMIF(Monthly!$C$5:$BJ$5,E$3,Monthly!$C$27:$BJ$27)</f>
        <v>71894.0384970679</v>
      </c>
      <c r="F19" s="110" t="n">
        <f aca="false">SUMIF(Monthly!$C$5:$BJ$5,F$3,Monthly!$C$27:$BJ$27)</f>
        <v>97689.6744529684</v>
      </c>
    </row>
    <row r="20" customFormat="false" ht="15" hidden="false" customHeight="false" outlineLevel="0" collapsed="false">
      <c r="A20" s="6" t="s">
        <v>80</v>
      </c>
      <c r="B20" s="65" t="n">
        <f aca="false">SUMIF(Monthly!$C$5:$BJ$5,B$3,Monthly!$C$30:$BJ$30)</f>
        <v>0</v>
      </c>
      <c r="C20" s="65" t="n">
        <f aca="false">SUMIF(Monthly!$C$5:$BJ$5,C$3,Monthly!$C$30:$BJ$30)</f>
        <v>0</v>
      </c>
      <c r="D20" s="65" t="n">
        <f aca="false">SUMIF(Monthly!$C$5:$BJ$5,D$3,Monthly!$C$30:$BJ$30)</f>
        <v>-10051.4542406997</v>
      </c>
      <c r="E20" s="65" t="n">
        <f aca="false">SUMIF(Monthly!$C$5:$BJ$5,E$3,Monthly!$C$30:$BJ$30)</f>
        <v>-15097.7480843843</v>
      </c>
      <c r="F20" s="65" t="n">
        <f aca="false">SUMIF(Monthly!$C$5:$BJ$5,F$3,Monthly!$C$30:$BJ$30)</f>
        <v>-20514.8316351234</v>
      </c>
    </row>
    <row r="21" customFormat="false" ht="15" hidden="false" customHeight="false" outlineLevel="0" collapsed="false">
      <c r="A21" s="68" t="s">
        <v>50</v>
      </c>
      <c r="B21" s="69" t="n">
        <f aca="false">SUMIF(Monthly!$C$5:$BJ$5,B$3,Monthly!$C$31:$BJ$31)</f>
        <v>-27487.3650793651</v>
      </c>
      <c r="C21" s="69" t="n">
        <f aca="false">SUMIF(Monthly!$C$5:$BJ$5,C$3,Monthly!$C$31:$BJ$31)</f>
        <v>26965.7392761905</v>
      </c>
      <c r="D21" s="69" t="n">
        <f aca="false">SUMIF(Monthly!$C$5:$BJ$5,D$3,Monthly!$C$31:$BJ$31)</f>
        <v>38334.2393753308</v>
      </c>
      <c r="E21" s="69" t="n">
        <f aca="false">SUMIF(Monthly!$C$5:$BJ$5,E$3,Monthly!$C$31:$BJ$31)</f>
        <v>56796.2904126836</v>
      </c>
      <c r="F21" s="69" t="n">
        <f aca="false">SUMIF(Monthly!$C$5:$BJ$5,F$3,Monthly!$C$31:$BJ$31)</f>
        <v>77174.842817845</v>
      </c>
    </row>
    <row r="22" customFormat="false" ht="15" hidden="false" customHeight="false" outlineLevel="0" collapsed="false">
      <c r="A22" s="38" t="s">
        <v>51</v>
      </c>
      <c r="B22" s="72" t="n">
        <f aca="false">IF(B5=0,0,B21/B5)</f>
        <v>-0.0859517357078334</v>
      </c>
      <c r="C22" s="72" t="n">
        <f aca="false">IF(C5=0,0,C21/C5)</f>
        <v>0.0659680127055105</v>
      </c>
      <c r="D22" s="72" t="n">
        <f aca="false">IF(D5=0,0,D21/D5)</f>
        <v>0.0858943960626331</v>
      </c>
      <c r="E22" s="72" t="n">
        <f aca="false">IF(E5=0,0,E21/E5)</f>
        <v>0.116561428492778</v>
      </c>
      <c r="F22" s="72" t="n">
        <f aca="false">IF(F5=0,0,F21/F5)</f>
        <v>0.145066640515692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153</v>
      </c>
      <c r="C4" s="50" t="s">
        <v>154</v>
      </c>
      <c r="D4" s="50" t="s">
        <v>155</v>
      </c>
      <c r="E4" s="50" t="s">
        <v>156</v>
      </c>
      <c r="F4" s="50" t="s">
        <v>157</v>
      </c>
    </row>
    <row r="5" customFormat="false" ht="15" hidden="false" customHeight="false" outlineLevel="0" collapsed="false">
      <c r="A5" s="6" t="s">
        <v>50</v>
      </c>
      <c r="B5" s="65" t="n">
        <f aca="false">SUMIF(Monthly!$C$5:$BJ$5,B$3,Monthly!$C$31:$BJ$31)</f>
        <v>-27487.3650793651</v>
      </c>
      <c r="C5" s="65" t="n">
        <f aca="false">SUMIF(Monthly!$C$5:$BJ$5,C$3,Monthly!$C$31:$BJ$31)</f>
        <v>26965.7392761905</v>
      </c>
      <c r="D5" s="65" t="n">
        <f aca="false">SUMIF(Monthly!$C$5:$BJ$5,D$3,Monthly!$C$31:$BJ$31)</f>
        <v>38334.2393753308</v>
      </c>
      <c r="E5" s="65" t="n">
        <f aca="false">SUMIF(Monthly!$C$5:$BJ$5,E$3,Monthly!$C$31:$BJ$31)</f>
        <v>56796.2904126836</v>
      </c>
      <c r="F5" s="65" t="n">
        <f aca="false">SUMIF(Monthly!$C$5:$BJ$5,F$3,Monthly!$C$31:$BJ$31)</f>
        <v>77174.842817845</v>
      </c>
    </row>
    <row r="6" customFormat="false" ht="15" hidden="false" customHeight="false" outlineLevel="0" collapsed="false">
      <c r="A6" s="6" t="s">
        <v>290</v>
      </c>
      <c r="B6" s="65" t="n">
        <f aca="false">-SUMIF(Monthly!$C$5:$BJ$5,B$3,Monthly!$C$36:$BJ$36)</f>
        <v>22857.1428571429</v>
      </c>
      <c r="C6" s="65" t="n">
        <f aca="false">-SUMIF(Monthly!$C$5:$BJ$5,C$3,Monthly!$C$36:$BJ$36)</f>
        <v>22857.1428571429</v>
      </c>
      <c r="D6" s="65" t="n">
        <f aca="false">-SUMIF(Monthly!$C$5:$BJ$5,D$3,Monthly!$C$36:$BJ$36)</f>
        <v>22857.1428571429</v>
      </c>
      <c r="E6" s="65" t="n">
        <f aca="false">-SUMIF(Monthly!$C$5:$BJ$5,E$3,Monthly!$C$36:$BJ$36)</f>
        <v>22857.1428571429</v>
      </c>
      <c r="F6" s="65" t="n">
        <f aca="false">-SUMIF(Monthly!$C$5:$BJ$5,F$3,Monthly!$C$36:$BJ$36)</f>
        <v>22857.1428571429</v>
      </c>
    </row>
    <row r="7" customFormat="false" ht="15" hidden="false" customHeight="false" outlineLevel="0" collapsed="false">
      <c r="A7" s="6" t="s">
        <v>291</v>
      </c>
      <c r="B7" s="65" t="n">
        <f aca="false">SUMIF(Monthly!$C$5:$BJ$5,B$3,Monthly!$C$50:$BJ$50)</f>
        <v>-2080</v>
      </c>
      <c r="C7" s="65" t="n">
        <f aca="false">SUMIF(Monthly!$C$5:$BJ$5,C$3,Monthly!$C$50:$BJ$50)</f>
        <v>-190.944</v>
      </c>
      <c r="D7" s="65" t="n">
        <f aca="false">SUMIF(Monthly!$C$5:$BJ$5,D$3,Monthly!$C$50:$BJ$50)</f>
        <v>-208.4726592</v>
      </c>
      <c r="E7" s="65" t="n">
        <f aca="false">SUMIF(Monthly!$C$5:$BJ$5,E$3,Monthly!$C$50:$BJ$50)</f>
        <v>-227.61044931456</v>
      </c>
      <c r="F7" s="65" t="n">
        <f aca="false">SUMIF(Monthly!$C$5:$BJ$5,F$3,Monthly!$C$50:$BJ$50)</f>
        <v>-248.505088561637</v>
      </c>
    </row>
    <row r="8" customFormat="false" ht="15" hidden="false" customHeight="false" outlineLevel="0" collapsed="false">
      <c r="A8" s="6" t="s">
        <v>292</v>
      </c>
      <c r="B8" s="65" t="n">
        <f aca="false">SUMIF(Monthly!$C$5:$BJ$5,B$3,Monthly!$C$51:$BJ$51)</f>
        <v>-2402.4</v>
      </c>
      <c r="C8" s="65" t="n">
        <f aca="false">SUMIF(Monthly!$C$5:$BJ$5,C$3,Monthly!$C$51:$BJ$51)</f>
        <v>-220.540320000001</v>
      </c>
      <c r="D8" s="65" t="n">
        <f aca="false">SUMIF(Monthly!$C$5:$BJ$5,D$3,Monthly!$C$51:$BJ$51)</f>
        <v>-240.785921376</v>
      </c>
      <c r="E8" s="65" t="n">
        <f aca="false">SUMIF(Monthly!$C$5:$BJ$5,E$3,Monthly!$C$51:$BJ$51)</f>
        <v>-262.890068958317</v>
      </c>
      <c r="F8" s="65" t="n">
        <f aca="false">SUMIF(Monthly!$C$5:$BJ$5,F$3,Monthly!$C$51:$BJ$51)</f>
        <v>-287.02337728869</v>
      </c>
    </row>
    <row r="9" customFormat="false" ht="15" hidden="false" customHeight="false" outlineLevel="0" collapsed="false">
      <c r="A9" s="6" t="s">
        <v>293</v>
      </c>
      <c r="B9" s="65" t="n">
        <f aca="false">SUMIF(Monthly!$C$5:$BJ$5,B$3,Monthly!$C$52:$BJ$52)</f>
        <v>4804.8</v>
      </c>
      <c r="C9" s="65" t="n">
        <f aca="false">SUMIF(Monthly!$C$5:$BJ$5,C$3,Monthly!$C$52:$BJ$52)</f>
        <v>441.080640000001</v>
      </c>
      <c r="D9" s="65" t="n">
        <f aca="false">SUMIF(Monthly!$C$5:$BJ$5,D$3,Monthly!$C$52:$BJ$52)</f>
        <v>481.571842752001</v>
      </c>
      <c r="E9" s="65" t="n">
        <f aca="false">SUMIF(Monthly!$C$5:$BJ$5,E$3,Monthly!$C$52:$BJ$52)</f>
        <v>525.780137916634</v>
      </c>
      <c r="F9" s="65" t="n">
        <f aca="false">SUMIF(Monthly!$C$5:$BJ$5,F$3,Monthly!$C$52:$BJ$52)</f>
        <v>574.046754577381</v>
      </c>
    </row>
    <row r="10" customFormat="false" ht="15" hidden="false" customHeight="false" outlineLevel="0" collapsed="false">
      <c r="A10" s="108" t="s">
        <v>52</v>
      </c>
      <c r="B10" s="66" t="n">
        <f aca="false">SUMIF(Monthly!$C$5:$BJ$5,B$3,Monthly!$C$55:$BJ$55)</f>
        <v>-4307.82222222226</v>
      </c>
      <c r="C10" s="66" t="n">
        <f aca="false">SUMIF(Monthly!$C$5:$BJ$5,C$3,Monthly!$C$55:$BJ$55)</f>
        <v>49852.4784533334</v>
      </c>
      <c r="D10" s="66" t="n">
        <f aca="false">SUMIF(Monthly!$C$5:$BJ$5,D$3,Monthly!$C$55:$BJ$55)</f>
        <v>61223.6954946496</v>
      </c>
      <c r="E10" s="66" t="n">
        <f aca="false">SUMIF(Monthly!$C$5:$BJ$5,E$3,Monthly!$C$55:$BJ$55)</f>
        <v>79688.7128894702</v>
      </c>
      <c r="F10" s="66" t="n">
        <f aca="false">SUMIF(Monthly!$C$5:$BJ$5,F$3,Monthly!$C$55:$BJ$55)</f>
        <v>100070.503963715</v>
      </c>
    </row>
    <row r="11" customFormat="false" ht="15" hidden="false" customHeight="false" outlineLevel="0" collapsed="false">
      <c r="A11" s="6" t="s">
        <v>82</v>
      </c>
      <c r="B11" s="65" t="n">
        <f aca="false">SUMIF(Monthly!$C$5:$BJ$5,B$3,Monthly!$C$56:$BJ$56)</f>
        <v>-160000</v>
      </c>
      <c r="C11" s="65" t="n">
        <f aca="false">SUMIF(Monthly!$C$5:$BJ$5,C$3,Monthly!$C$56:$BJ$56)</f>
        <v>0</v>
      </c>
      <c r="D11" s="65" t="n">
        <f aca="false">SUMIF(Monthly!$C$5:$BJ$5,D$3,Monthly!$C$56:$BJ$56)</f>
        <v>0</v>
      </c>
      <c r="E11" s="65" t="n">
        <f aca="false">SUMIF(Monthly!$C$5:$BJ$5,E$3,Monthly!$C$56:$BJ$56)</f>
        <v>0</v>
      </c>
      <c r="F11" s="65" t="n">
        <f aca="false">SUMIF(Monthly!$C$5:$BJ$5,F$3,Monthly!$C$56:$BJ$56)</f>
        <v>0</v>
      </c>
    </row>
    <row r="12" customFormat="false" ht="15" hidden="false" customHeight="false" outlineLevel="0" collapsed="false">
      <c r="A12" s="6" t="s">
        <v>62</v>
      </c>
      <c r="B12" s="65" t="n">
        <f aca="false">SUMIF(Monthly!$C$5:$BJ$5,B$3,Monthly!$C$57:$BJ$57)</f>
        <v>140000</v>
      </c>
      <c r="C12" s="65" t="n">
        <f aca="false">SUMIF(Monthly!$C$5:$BJ$5,C$3,Monthly!$C$57:$BJ$57)</f>
        <v>0</v>
      </c>
      <c r="D12" s="65" t="n">
        <f aca="false">SUMIF(Monthly!$C$5:$BJ$5,D$3,Monthly!$C$57:$BJ$57)</f>
        <v>0</v>
      </c>
      <c r="E12" s="65" t="n">
        <f aca="false">SUMIF(Monthly!$C$5:$BJ$5,E$3,Monthly!$C$57:$BJ$57)</f>
        <v>0</v>
      </c>
      <c r="F12" s="65" t="n">
        <f aca="false">SUMIF(Monthly!$C$5:$BJ$5,F$3,Monthly!$C$57:$BJ$57)</f>
        <v>0</v>
      </c>
    </row>
    <row r="13" customFormat="false" ht="15" hidden="false" customHeight="false" outlineLevel="0" collapsed="false">
      <c r="A13" s="6" t="s">
        <v>83</v>
      </c>
      <c r="B13" s="65" t="n">
        <f aca="false">SUMIF(Monthly!$C$5:$BJ$5,B$3,Monthly!$C$42:$BJ$42)</f>
        <v>80000</v>
      </c>
      <c r="C13" s="65" t="n">
        <f aca="false">SUMIF(Monthly!$C$5:$BJ$5,C$3,Monthly!$C$42:$BJ$42)</f>
        <v>0</v>
      </c>
      <c r="D13" s="65" t="n">
        <f aca="false">SUMIF(Monthly!$C$5:$BJ$5,D$3,Monthly!$C$42:$BJ$42)</f>
        <v>0</v>
      </c>
      <c r="E13" s="65" t="n">
        <f aca="false">SUMIF(Monthly!$C$5:$BJ$5,E$3,Monthly!$C$42:$BJ$42)</f>
        <v>0</v>
      </c>
      <c r="F13" s="65" t="n">
        <f aca="false">SUMIF(Monthly!$C$5:$BJ$5,F$3,Monthly!$C$42:$BJ$42)</f>
        <v>0</v>
      </c>
    </row>
    <row r="14" customFormat="false" ht="15" hidden="false" customHeight="false" outlineLevel="0" collapsed="false">
      <c r="A14" s="6" t="s">
        <v>84</v>
      </c>
      <c r="B14" s="65" t="n">
        <f aca="false">SUMIF(Monthly!$C$5:$BJ$5,B$3,Monthly!$C$43:$BJ$43)</f>
        <v>-14666.6666666667</v>
      </c>
      <c r="C14" s="65" t="n">
        <f aca="false">SUMIF(Monthly!$C$5:$BJ$5,C$3,Monthly!$C$43:$BJ$43)</f>
        <v>-16000</v>
      </c>
      <c r="D14" s="65" t="n">
        <f aca="false">SUMIF(Monthly!$C$5:$BJ$5,D$3,Monthly!$C$43:$BJ$43)</f>
        <v>-16000</v>
      </c>
      <c r="E14" s="65" t="n">
        <f aca="false">SUMIF(Monthly!$C$5:$BJ$5,E$3,Monthly!$C$43:$BJ$43)</f>
        <v>-16000</v>
      </c>
      <c r="F14" s="65" t="n">
        <f aca="false">SUMIF(Monthly!$C$5:$BJ$5,F$3,Monthly!$C$43:$BJ$43)</f>
        <v>-16000</v>
      </c>
    </row>
    <row r="15" customFormat="false" ht="15" hidden="false" customHeight="false" outlineLevel="0" collapsed="false">
      <c r="A15" s="108" t="s">
        <v>54</v>
      </c>
      <c r="B15" s="66" t="n">
        <f aca="false">SUMIF(Monthly!$C$5:$BJ$5,B$3,Monthly!$C$58:$BJ$58)</f>
        <v>205333.333333333</v>
      </c>
      <c r="C15" s="66" t="n">
        <f aca="false">SUMIF(Monthly!$C$5:$BJ$5,C$3,Monthly!$C$58:$BJ$58)</f>
        <v>-16000</v>
      </c>
      <c r="D15" s="66" t="n">
        <f aca="false">SUMIF(Monthly!$C$5:$BJ$5,D$3,Monthly!$C$58:$BJ$58)</f>
        <v>-16000</v>
      </c>
      <c r="E15" s="66" t="n">
        <f aca="false">SUMIF(Monthly!$C$5:$BJ$5,E$3,Monthly!$C$58:$BJ$58)</f>
        <v>-16000</v>
      </c>
      <c r="F15" s="66" t="n">
        <f aca="false">SUMIF(Monthly!$C$5:$BJ$5,F$3,Monthly!$C$58:$BJ$58)</f>
        <v>-16000</v>
      </c>
    </row>
    <row r="16" customFormat="false" ht="15" hidden="false" customHeight="false" outlineLevel="0" collapsed="false">
      <c r="A16" s="4" t="s">
        <v>55</v>
      </c>
      <c r="B16" s="71" t="n">
        <f aca="false">SUMIF(Monthly!$C$5:$BJ$5,B$3,Monthly!$C$59:$BJ$59)</f>
        <v>41025.5111111111</v>
      </c>
      <c r="C16" s="71" t="n">
        <f aca="false">SUMIF(Monthly!$C$5:$BJ$5,C$3,Monthly!$C$59:$BJ$59)</f>
        <v>33852.4784533334</v>
      </c>
      <c r="D16" s="71" t="n">
        <f aca="false">SUMIF(Monthly!$C$5:$BJ$5,D$3,Monthly!$C$59:$BJ$59)</f>
        <v>45223.6954946496</v>
      </c>
      <c r="E16" s="71" t="n">
        <f aca="false">SUMIF(Monthly!$C$5:$BJ$5,E$3,Monthly!$C$59:$BJ$59)</f>
        <v>63688.7128894702</v>
      </c>
      <c r="F16" s="71" t="n">
        <f aca="false">SUMIF(Monthly!$C$5:$BJ$5,F$3,Monthly!$C$59:$BJ$59)</f>
        <v>84070.5039637149</v>
      </c>
    </row>
    <row r="17" customFormat="false" ht="15" hidden="false" customHeight="false" outlineLevel="0" collapsed="false">
      <c r="A17" s="6" t="s">
        <v>294</v>
      </c>
      <c r="B17" s="65" t="n">
        <f aca="false">INDEX(Monthly!$C$60:$BJ$60,(B$3-1)*12+1)</f>
        <v>0</v>
      </c>
      <c r="C17" s="65" t="n">
        <f aca="false">INDEX(Monthly!$C$60:$BJ$60,(C$3-1)*12+1)</f>
        <v>41025.5111111111</v>
      </c>
      <c r="D17" s="65" t="n">
        <f aca="false">INDEX(Monthly!$C$60:$BJ$60,(D$3-1)*12+1)</f>
        <v>74877.9895644444</v>
      </c>
      <c r="E17" s="65" t="n">
        <f aca="false">INDEX(Monthly!$C$60:$BJ$60,(E$3-1)*12+1)</f>
        <v>120101.685059094</v>
      </c>
      <c r="F17" s="65" t="n">
        <f aca="false">INDEX(Monthly!$C$60:$BJ$60,(F$3-1)*12+1)</f>
        <v>183790.397948564</v>
      </c>
    </row>
    <row r="18" customFormat="false" ht="15" hidden="false" customHeight="false" outlineLevel="0" collapsed="false">
      <c r="A18" s="68" t="s">
        <v>85</v>
      </c>
      <c r="B18" s="69" t="n">
        <f aca="false">INDEX(Monthly!$C$61:$BJ$61,B$3*12)</f>
        <v>41025.5111111111</v>
      </c>
      <c r="C18" s="69" t="n">
        <f aca="false">INDEX(Monthly!$C$61:$BJ$61,C$3*12)</f>
        <v>74877.9895644444</v>
      </c>
      <c r="D18" s="69" t="n">
        <f aca="false">INDEX(Monthly!$C$61:$BJ$61,D$3*12)</f>
        <v>120101.685059094</v>
      </c>
      <c r="E18" s="69" t="n">
        <f aca="false">INDEX(Monthly!$C$61:$BJ$61,E$3*12)</f>
        <v>183790.397948564</v>
      </c>
      <c r="F18" s="69" t="n">
        <f aca="false">INDEX(Monthly!$C$61:$BJ$61,F$3*12)</f>
        <v>267860.901912279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153</v>
      </c>
      <c r="C4" s="50" t="s">
        <v>154</v>
      </c>
      <c r="D4" s="50" t="s">
        <v>155</v>
      </c>
      <c r="E4" s="50" t="s">
        <v>156</v>
      </c>
      <c r="F4" s="50" t="s">
        <v>157</v>
      </c>
    </row>
    <row r="5" customFormat="false" ht="15" hidden="false" customHeight="false" outlineLevel="0" collapsed="false">
      <c r="A5" s="6" t="s">
        <v>87</v>
      </c>
      <c r="B5" s="65" t="n">
        <f aca="false">INDEX(Monthly!$C$61:$BJ$61,B$3*12)</f>
        <v>41025.5111111111</v>
      </c>
      <c r="C5" s="65" t="n">
        <f aca="false">INDEX(Monthly!$C$61:$BJ$61,C$3*12)</f>
        <v>74877.9895644444</v>
      </c>
      <c r="D5" s="65" t="n">
        <f aca="false">INDEX(Monthly!$C$61:$BJ$61,D$3*12)</f>
        <v>120101.685059094</v>
      </c>
      <c r="E5" s="65" t="n">
        <f aca="false">INDEX(Monthly!$C$61:$BJ$61,E$3*12)</f>
        <v>183790.397948564</v>
      </c>
      <c r="F5" s="65" t="n">
        <f aca="false">INDEX(Monthly!$C$61:$BJ$61,F$3*12)</f>
        <v>267860.901912279</v>
      </c>
    </row>
    <row r="6" customFormat="false" ht="15" hidden="false" customHeight="false" outlineLevel="0" collapsed="false">
      <c r="A6" s="6" t="s">
        <v>88</v>
      </c>
      <c r="B6" s="65" t="n">
        <f aca="false">INDEX(Monthly!$C$47:$BJ$47,B$3*12)</f>
        <v>2080</v>
      </c>
      <c r="C6" s="65" t="n">
        <f aca="false">INDEX(Monthly!$C$47:$BJ$47,C$3*12)</f>
        <v>2270.944</v>
      </c>
      <c r="D6" s="65" t="n">
        <f aca="false">INDEX(Monthly!$C$47:$BJ$47,D$3*12)</f>
        <v>2479.4166592</v>
      </c>
      <c r="E6" s="65" t="n">
        <f aca="false">INDEX(Monthly!$C$47:$BJ$47,E$3*12)</f>
        <v>2707.02710851456</v>
      </c>
      <c r="F6" s="65" t="n">
        <f aca="false">INDEX(Monthly!$C$47:$BJ$47,F$3*12)</f>
        <v>2955.5321970762</v>
      </c>
    </row>
    <row r="7" customFormat="false" ht="15" hidden="false" customHeight="false" outlineLevel="0" collapsed="false">
      <c r="A7" s="6" t="s">
        <v>89</v>
      </c>
      <c r="B7" s="65" t="n">
        <f aca="false">INDEX(Monthly!$C$48:$BJ$48,B$3*12)</f>
        <v>2402.4</v>
      </c>
      <c r="C7" s="65" t="n">
        <f aca="false">INDEX(Monthly!$C$48:$BJ$48,C$3*12)</f>
        <v>2622.94032</v>
      </c>
      <c r="D7" s="65" t="n">
        <f aca="false">INDEX(Monthly!$C$48:$BJ$48,D$3*12)</f>
        <v>2863.726241376</v>
      </c>
      <c r="E7" s="65" t="n">
        <f aca="false">INDEX(Monthly!$C$48:$BJ$48,E$3*12)</f>
        <v>3126.61631033432</v>
      </c>
      <c r="F7" s="65" t="n">
        <f aca="false">INDEX(Monthly!$C$48:$BJ$48,F$3*12)</f>
        <v>3413.63968762301</v>
      </c>
    </row>
    <row r="8" customFormat="false" ht="15" hidden="false" customHeight="false" outlineLevel="0" collapsed="false">
      <c r="A8" s="6" t="s">
        <v>90</v>
      </c>
      <c r="B8" s="65" t="n">
        <f aca="false">INDEX(Monthly!$C$38:$BJ$38,B$3*12)</f>
        <v>137142.857142857</v>
      </c>
      <c r="C8" s="65" t="n">
        <f aca="false">INDEX(Monthly!$C$38:$BJ$38,C$3*12)</f>
        <v>114285.714285714</v>
      </c>
      <c r="D8" s="65" t="n">
        <f aca="false">INDEX(Monthly!$C$38:$BJ$38,D$3*12)</f>
        <v>91428.5714285714</v>
      </c>
      <c r="E8" s="65" t="n">
        <f aca="false">INDEX(Monthly!$C$38:$BJ$38,E$3*12)</f>
        <v>68571.4285714285</v>
      </c>
      <c r="F8" s="65" t="n">
        <f aca="false">INDEX(Monthly!$C$38:$BJ$38,F$3*12)</f>
        <v>45714.2857142856</v>
      </c>
    </row>
    <row r="9" customFormat="false" ht="15" hidden="false" customHeight="false" outlineLevel="0" collapsed="false">
      <c r="A9" s="108" t="s">
        <v>91</v>
      </c>
      <c r="B9" s="66" t="n">
        <f aca="false">INDEX(Monthly!$C$75:$BJ$75,B$3*12)</f>
        <v>182650.768253968</v>
      </c>
      <c r="C9" s="66" t="n">
        <f aca="false">INDEX(Monthly!$C$75:$BJ$75,C$3*12)</f>
        <v>194057.588170159</v>
      </c>
      <c r="D9" s="66" t="n">
        <f aca="false">INDEX(Monthly!$C$75:$BJ$75,D$3*12)</f>
        <v>216873.399388241</v>
      </c>
      <c r="E9" s="66" t="n">
        <f aca="false">INDEX(Monthly!$C$75:$BJ$75,E$3*12)</f>
        <v>258195.469938842</v>
      </c>
      <c r="F9" s="66" t="n">
        <f aca="false">INDEX(Monthly!$C$75:$BJ$75,F$3*12)</f>
        <v>319944.359511264</v>
      </c>
    </row>
    <row r="10" customFormat="false" ht="15" hidden="false" customHeight="false" outlineLevel="0" collapsed="false">
      <c r="A10" s="6" t="s">
        <v>92</v>
      </c>
      <c r="B10" s="65" t="n">
        <f aca="false">INDEX(Monthly!$C$49:$BJ$49,B$3*12)</f>
        <v>4804.8</v>
      </c>
      <c r="C10" s="65" t="n">
        <f aca="false">INDEX(Monthly!$C$49:$BJ$49,C$3*12)</f>
        <v>5245.88064</v>
      </c>
      <c r="D10" s="65" t="n">
        <f aca="false">INDEX(Monthly!$C$49:$BJ$49,D$3*12)</f>
        <v>5727.452482752</v>
      </c>
      <c r="E10" s="65" t="n">
        <f aca="false">INDEX(Monthly!$C$49:$BJ$49,E$3*12)</f>
        <v>6253.23262066864</v>
      </c>
      <c r="F10" s="65" t="n">
        <f aca="false">INDEX(Monthly!$C$49:$BJ$49,F$3*12)</f>
        <v>6827.27937524602</v>
      </c>
    </row>
    <row r="11" customFormat="false" ht="15" hidden="false" customHeight="false" outlineLevel="0" collapsed="false">
      <c r="A11" s="6" t="s">
        <v>93</v>
      </c>
      <c r="B11" s="65" t="n">
        <f aca="false">INDEX(Monthly!$C$44:$BJ$44,B$3*12)</f>
        <v>65333.3333333334</v>
      </c>
      <c r="C11" s="65" t="n">
        <f aca="false">INDEX(Monthly!$C$44:$BJ$44,C$3*12)</f>
        <v>49333.3333333334</v>
      </c>
      <c r="D11" s="65" t="n">
        <f aca="false">INDEX(Monthly!$C$44:$BJ$44,D$3*12)</f>
        <v>33333.3333333333</v>
      </c>
      <c r="E11" s="65" t="n">
        <f aca="false">INDEX(Monthly!$C$44:$BJ$44,E$3*12)</f>
        <v>17333.3333333333</v>
      </c>
      <c r="F11" s="65" t="n">
        <f aca="false">INDEX(Monthly!$C$44:$BJ$44,F$3*12)</f>
        <v>1333.33333333333</v>
      </c>
    </row>
    <row r="12" customFormat="false" ht="15" hidden="false" customHeight="false" outlineLevel="0" collapsed="false">
      <c r="A12" s="109" t="s">
        <v>94</v>
      </c>
      <c r="B12" s="110" t="n">
        <f aca="false">INDEX(Monthly!$C$76:$BJ$76,B$3*12)</f>
        <v>70138.1333333334</v>
      </c>
      <c r="C12" s="110" t="n">
        <f aca="false">INDEX(Monthly!$C$76:$BJ$76,C$3*12)</f>
        <v>54579.2139733334</v>
      </c>
      <c r="D12" s="110" t="n">
        <f aca="false">INDEX(Monthly!$C$76:$BJ$76,D$3*12)</f>
        <v>39060.7858160853</v>
      </c>
      <c r="E12" s="110" t="n">
        <f aca="false">INDEX(Monthly!$C$76:$BJ$76,E$3*12)</f>
        <v>23586.565954002</v>
      </c>
      <c r="F12" s="110" t="n">
        <f aca="false">INDEX(Monthly!$C$76:$BJ$76,F$3*12)</f>
        <v>8160.61270857935</v>
      </c>
    </row>
    <row r="13" customFormat="false" ht="15" hidden="false" customHeight="false" outlineLevel="0" collapsed="false">
      <c r="A13" s="6" t="s">
        <v>95</v>
      </c>
      <c r="B13" s="65" t="n">
        <f aca="false">INDEX(Monthly!$C$73:$BJ$73,B$3*12)</f>
        <v>140000</v>
      </c>
      <c r="C13" s="65" t="n">
        <f aca="false">INDEX(Monthly!$C$73:$BJ$73,C$3*12)</f>
        <v>140000</v>
      </c>
      <c r="D13" s="65" t="n">
        <f aca="false">INDEX(Monthly!$C$73:$BJ$73,D$3*12)</f>
        <v>140000</v>
      </c>
      <c r="E13" s="65" t="n">
        <f aca="false">INDEX(Monthly!$C$73:$BJ$73,E$3*12)</f>
        <v>140000</v>
      </c>
      <c r="F13" s="65" t="n">
        <f aca="false">INDEX(Monthly!$C$73:$BJ$73,F$3*12)</f>
        <v>140000</v>
      </c>
    </row>
    <row r="14" customFormat="false" ht="15" hidden="false" customHeight="false" outlineLevel="0" collapsed="false">
      <c r="A14" s="6" t="s">
        <v>96</v>
      </c>
      <c r="B14" s="65" t="n">
        <f aca="false">INDEX(Monthly!$C$74:$BJ$74,B$3*12)</f>
        <v>-27487.3650793651</v>
      </c>
      <c r="C14" s="65" t="n">
        <f aca="false">INDEX(Monthly!$C$74:$BJ$74,C$3*12)</f>
        <v>-521.625803174616</v>
      </c>
      <c r="D14" s="65" t="n">
        <f aca="false">INDEX(Monthly!$C$74:$BJ$74,D$3*12)</f>
        <v>37812.6135721562</v>
      </c>
      <c r="E14" s="65" t="n">
        <f aca="false">INDEX(Monthly!$C$74:$BJ$74,E$3*12)</f>
        <v>94608.9039848398</v>
      </c>
      <c r="F14" s="65" t="n">
        <f aca="false">INDEX(Monthly!$C$74:$BJ$74,F$3*12)</f>
        <v>171783.746802685</v>
      </c>
    </row>
    <row r="15" customFormat="false" ht="15" hidden="false" customHeight="false" outlineLevel="0" collapsed="false">
      <c r="A15" s="109" t="s">
        <v>97</v>
      </c>
      <c r="B15" s="110" t="n">
        <f aca="false">INDEX(Monthly!$C$77:$BJ$77,B$3*12)</f>
        <v>112512.634920635</v>
      </c>
      <c r="C15" s="110" t="n">
        <f aca="false">INDEX(Monthly!$C$77:$BJ$77,C$3*12)</f>
        <v>139478.374196825</v>
      </c>
      <c r="D15" s="110" t="n">
        <f aca="false">INDEX(Monthly!$C$77:$BJ$77,D$3*12)</f>
        <v>177812.613572156</v>
      </c>
      <c r="E15" s="110" t="n">
        <f aca="false">INDEX(Monthly!$C$77:$BJ$77,E$3*12)</f>
        <v>234608.90398484</v>
      </c>
      <c r="F15" s="110" t="n">
        <f aca="false">INDEX(Monthly!$C$77:$BJ$77,F$3*12)</f>
        <v>311783.746802685</v>
      </c>
    </row>
    <row r="16" customFormat="false" ht="15" hidden="false" customHeight="false" outlineLevel="0" collapsed="false">
      <c r="A16" s="68" t="s">
        <v>98</v>
      </c>
      <c r="B16" s="69" t="n">
        <f aca="false">INDEX(Monthly!$C$78:$BJ$78,B$3*12)</f>
        <v>182650.768253968</v>
      </c>
      <c r="C16" s="69" t="n">
        <f aca="false">INDEX(Monthly!$C$78:$BJ$78,C$3*12)</f>
        <v>194057.588170159</v>
      </c>
      <c r="D16" s="69" t="n">
        <f aca="false">INDEX(Monthly!$C$78:$BJ$78,D$3*12)</f>
        <v>216873.399388242</v>
      </c>
      <c r="E16" s="69" t="n">
        <f aca="false">INDEX(Monthly!$C$78:$BJ$78,E$3*12)</f>
        <v>258195.469938842</v>
      </c>
      <c r="F16" s="69" t="n">
        <f aca="false">INDEX(Monthly!$C$78:$BJ$78,F$3*12)</f>
        <v>319944.359511264</v>
      </c>
    </row>
    <row r="17" customFormat="false" ht="15" hidden="false" customHeight="false" outlineLevel="0" collapsed="false">
      <c r="A17" s="6" t="s">
        <v>295</v>
      </c>
      <c r="B17" s="65" t="n">
        <f aca="false">INDEX(Monthly!$C$79:$BJ$79,B$3*12)</f>
        <v>0</v>
      </c>
      <c r="C17" s="65" t="n">
        <f aca="false">INDEX(Monthly!$C$79:$BJ$79,C$3*12)</f>
        <v>0</v>
      </c>
      <c r="D17" s="65" t="n">
        <f aca="false">INDEX(Monthly!$C$79:$BJ$79,D$3*12)</f>
        <v>0</v>
      </c>
      <c r="E17" s="65" t="n">
        <f aca="false">INDEX(Monthly!$C$79:$BJ$79,E$3*12)</f>
        <v>0</v>
      </c>
      <c r="F17" s="65" t="n">
        <f aca="false">INDEX(Monthly!$C$79:$BJ$79,F$3*12)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296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297</v>
      </c>
    </row>
    <row r="3" customFormat="false" ht="15" hidden="false" customHeight="false" outlineLevel="0" collapsed="false">
      <c r="A3" s="33" t="s">
        <v>298</v>
      </c>
      <c r="C3" s="50" t="s">
        <v>299</v>
      </c>
      <c r="D3" s="50" t="s">
        <v>300</v>
      </c>
      <c r="E3" s="50" t="s">
        <v>301</v>
      </c>
      <c r="F3" s="50" t="s">
        <v>302</v>
      </c>
      <c r="G3" s="50" t="s">
        <v>303</v>
      </c>
      <c r="H3" s="50" t="s">
        <v>304</v>
      </c>
      <c r="I3" s="50" t="s">
        <v>305</v>
      </c>
      <c r="J3" s="50" t="s">
        <v>306</v>
      </c>
      <c r="K3" s="50" t="s">
        <v>307</v>
      </c>
      <c r="L3" s="50" t="s">
        <v>308</v>
      </c>
      <c r="M3" s="50" t="s">
        <v>309</v>
      </c>
      <c r="N3" s="50" t="s">
        <v>310</v>
      </c>
      <c r="O3" s="50" t="s">
        <v>311</v>
      </c>
      <c r="P3" s="50" t="s">
        <v>312</v>
      </c>
      <c r="Q3" s="50" t="s">
        <v>313</v>
      </c>
      <c r="R3" s="50" t="s">
        <v>314</v>
      </c>
      <c r="S3" s="50" t="s">
        <v>315</v>
      </c>
      <c r="T3" s="50" t="s">
        <v>316</v>
      </c>
      <c r="U3" s="50" t="s">
        <v>317</v>
      </c>
      <c r="V3" s="50" t="s">
        <v>318</v>
      </c>
      <c r="W3" s="50" t="s">
        <v>319</v>
      </c>
      <c r="X3" s="50" t="s">
        <v>320</v>
      </c>
      <c r="Y3" s="50" t="s">
        <v>321</v>
      </c>
      <c r="Z3" s="50" t="s">
        <v>322</v>
      </c>
      <c r="AA3" s="50" t="s">
        <v>323</v>
      </c>
      <c r="AB3" s="50" t="s">
        <v>324</v>
      </c>
      <c r="AC3" s="50" t="s">
        <v>325</v>
      </c>
      <c r="AD3" s="50" t="s">
        <v>326</v>
      </c>
      <c r="AE3" s="50" t="s">
        <v>327</v>
      </c>
      <c r="AF3" s="50" t="s">
        <v>328</v>
      </c>
      <c r="AG3" s="50" t="s">
        <v>329</v>
      </c>
      <c r="AH3" s="50" t="s">
        <v>330</v>
      </c>
      <c r="AI3" s="50" t="s">
        <v>331</v>
      </c>
      <c r="AJ3" s="50" t="s">
        <v>332</v>
      </c>
      <c r="AK3" s="50" t="s">
        <v>333</v>
      </c>
      <c r="AL3" s="50" t="s">
        <v>334</v>
      </c>
      <c r="AM3" s="50" t="s">
        <v>335</v>
      </c>
      <c r="AN3" s="50" t="s">
        <v>336</v>
      </c>
      <c r="AO3" s="50" t="s">
        <v>337</v>
      </c>
      <c r="AP3" s="50" t="s">
        <v>338</v>
      </c>
      <c r="AQ3" s="50" t="s">
        <v>339</v>
      </c>
      <c r="AR3" s="50" t="s">
        <v>340</v>
      </c>
      <c r="AS3" s="50" t="s">
        <v>341</v>
      </c>
      <c r="AT3" s="50" t="s">
        <v>342</v>
      </c>
      <c r="AU3" s="50" t="s">
        <v>343</v>
      </c>
      <c r="AV3" s="50" t="s">
        <v>344</v>
      </c>
      <c r="AW3" s="50" t="s">
        <v>345</v>
      </c>
      <c r="AX3" s="50" t="s">
        <v>346</v>
      </c>
      <c r="AY3" s="50" t="s">
        <v>347</v>
      </c>
      <c r="AZ3" s="50" t="s">
        <v>348</v>
      </c>
      <c r="BA3" s="50" t="s">
        <v>349</v>
      </c>
      <c r="BB3" s="50" t="s">
        <v>350</v>
      </c>
      <c r="BC3" s="50" t="s">
        <v>351</v>
      </c>
      <c r="BD3" s="50" t="s">
        <v>352</v>
      </c>
      <c r="BE3" s="50" t="s">
        <v>353</v>
      </c>
      <c r="BF3" s="50" t="s">
        <v>354</v>
      </c>
      <c r="BG3" s="50" t="s">
        <v>355</v>
      </c>
      <c r="BH3" s="50" t="s">
        <v>356</v>
      </c>
      <c r="BI3" s="50" t="s">
        <v>357</v>
      </c>
      <c r="BJ3" s="50" t="s">
        <v>358</v>
      </c>
    </row>
    <row r="4" customFormat="false" ht="15" hidden="false" customHeight="false" outlineLevel="0" collapsed="false">
      <c r="A4" s="70" t="s">
        <v>359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152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360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361</v>
      </c>
      <c r="C8" s="72" t="n">
        <f aca="false">MIN(1,Inputs!$E$9+(1-Inputs!$E$9)*(C$4-1)/MAX(1,Inputs!$E$8))</f>
        <v>0.5</v>
      </c>
      <c r="D8" s="72" t="n">
        <f aca="false">MIN(1,Inputs!$E$9+(1-Inputs!$E$9)*(D$4-1)/MAX(1,Inputs!$E$8))</f>
        <v>0.583333333333333</v>
      </c>
      <c r="E8" s="72" t="n">
        <f aca="false">MIN(1,Inputs!$E$9+(1-Inputs!$E$9)*(E$4-1)/MAX(1,Inputs!$E$8))</f>
        <v>0.666666666666667</v>
      </c>
      <c r="F8" s="72" t="n">
        <f aca="false">MIN(1,Inputs!$E$9+(1-Inputs!$E$9)*(F$4-1)/MAX(1,Inputs!$E$8))</f>
        <v>0.75</v>
      </c>
      <c r="G8" s="72" t="n">
        <f aca="false">MIN(1,Inputs!$E$9+(1-Inputs!$E$9)*(G$4-1)/MAX(1,Inputs!$E$8))</f>
        <v>0.833333333333333</v>
      </c>
      <c r="H8" s="72" t="n">
        <f aca="false">MIN(1,Inputs!$E$9+(1-Inputs!$E$9)*(H$4-1)/MAX(1,Inputs!$E$8))</f>
        <v>0.916666666666667</v>
      </c>
      <c r="I8" s="72" t="n">
        <f aca="false">MIN(1,Inputs!$E$9+(1-Inputs!$E$9)*(I$4-1)/MAX(1,Inputs!$E$8))</f>
        <v>1</v>
      </c>
      <c r="J8" s="72" t="n">
        <f aca="false">MIN(1,Inputs!$E$9+(1-Inputs!$E$9)*(J$4-1)/MAX(1,Inputs!$E$8))</f>
        <v>1</v>
      </c>
      <c r="K8" s="72" t="n">
        <f aca="false">MIN(1,Inputs!$E$9+(1-Inputs!$E$9)*(K$4-1)/MAX(1,Inputs!$E$8))</f>
        <v>1</v>
      </c>
      <c r="L8" s="72" t="n">
        <f aca="false">MIN(1,Inputs!$E$9+(1-Inputs!$E$9)*(L$4-1)/MAX(1,Inputs!$E$8))</f>
        <v>1</v>
      </c>
      <c r="M8" s="72" t="n">
        <f aca="false">MIN(1,Inputs!$E$9+(1-Inputs!$E$9)*(M$4-1)/MAX(1,Inputs!$E$8))</f>
        <v>1</v>
      </c>
      <c r="N8" s="72" t="n">
        <f aca="false">MIN(1,Inputs!$E$9+(1-Inputs!$E$9)*(N$4-1)/MAX(1,Inputs!$E$8))</f>
        <v>1</v>
      </c>
      <c r="O8" s="72" t="n">
        <f aca="false">MIN(1,Inputs!$E$9+(1-Inputs!$E$9)*(O$4-1)/MAX(1,Inputs!$E$8))</f>
        <v>1</v>
      </c>
      <c r="P8" s="72" t="n">
        <f aca="false">MIN(1,Inputs!$E$9+(1-Inputs!$E$9)*(P$4-1)/MAX(1,Inputs!$E$8))</f>
        <v>1</v>
      </c>
      <c r="Q8" s="72" t="n">
        <f aca="false">MIN(1,Inputs!$E$9+(1-Inputs!$E$9)*(Q$4-1)/MAX(1,Inputs!$E$8))</f>
        <v>1</v>
      </c>
      <c r="R8" s="72" t="n">
        <f aca="false">MIN(1,Inputs!$E$9+(1-Inputs!$E$9)*(R$4-1)/MAX(1,Inputs!$E$8))</f>
        <v>1</v>
      </c>
      <c r="S8" s="72" t="n">
        <f aca="false">MIN(1,Inputs!$E$9+(1-Inputs!$E$9)*(S$4-1)/MAX(1,Inputs!$E$8))</f>
        <v>1</v>
      </c>
      <c r="T8" s="72" t="n">
        <f aca="false">MIN(1,Inputs!$E$9+(1-Inputs!$E$9)*(T$4-1)/MAX(1,Inputs!$E$8))</f>
        <v>1</v>
      </c>
      <c r="U8" s="72" t="n">
        <f aca="false">MIN(1,Inputs!$E$9+(1-Inputs!$E$9)*(U$4-1)/MAX(1,Inputs!$E$8))</f>
        <v>1</v>
      </c>
      <c r="V8" s="72" t="n">
        <f aca="false">MIN(1,Inputs!$E$9+(1-Inputs!$E$9)*(V$4-1)/MAX(1,Inputs!$E$8))</f>
        <v>1</v>
      </c>
      <c r="W8" s="72" t="n">
        <f aca="false">MIN(1,Inputs!$E$9+(1-Inputs!$E$9)*(W$4-1)/MAX(1,Inputs!$E$8))</f>
        <v>1</v>
      </c>
      <c r="X8" s="72" t="n">
        <f aca="false">MIN(1,Inputs!$E$9+(1-Inputs!$E$9)*(X$4-1)/MAX(1,Inputs!$E$8))</f>
        <v>1</v>
      </c>
      <c r="Y8" s="72" t="n">
        <f aca="false">MIN(1,Inputs!$E$9+(1-Inputs!$E$9)*(Y$4-1)/MAX(1,Inputs!$E$8))</f>
        <v>1</v>
      </c>
      <c r="Z8" s="72" t="n">
        <f aca="false">MIN(1,Inputs!$E$9+(1-Inputs!$E$9)*(Z$4-1)/MAX(1,Inputs!$E$8))</f>
        <v>1</v>
      </c>
      <c r="AA8" s="72" t="n">
        <f aca="false">MIN(1,Inputs!$E$9+(1-Inputs!$E$9)*(AA$4-1)/MAX(1,Inputs!$E$8))</f>
        <v>1</v>
      </c>
      <c r="AB8" s="72" t="n">
        <f aca="false">MIN(1,Inputs!$E$9+(1-Inputs!$E$9)*(AB$4-1)/MAX(1,Inputs!$E$8))</f>
        <v>1</v>
      </c>
      <c r="AC8" s="72" t="n">
        <f aca="false">MIN(1,Inputs!$E$9+(1-Inputs!$E$9)*(AC$4-1)/MAX(1,Inputs!$E$8))</f>
        <v>1</v>
      </c>
      <c r="AD8" s="72" t="n">
        <f aca="false">MIN(1,Inputs!$E$9+(1-Inputs!$E$9)*(AD$4-1)/MAX(1,Inputs!$E$8))</f>
        <v>1</v>
      </c>
      <c r="AE8" s="72" t="n">
        <f aca="false">MIN(1,Inputs!$E$9+(1-Inputs!$E$9)*(AE$4-1)/MAX(1,Inputs!$E$8))</f>
        <v>1</v>
      </c>
      <c r="AF8" s="72" t="n">
        <f aca="false">MIN(1,Inputs!$E$9+(1-Inputs!$E$9)*(AF$4-1)/MAX(1,Inputs!$E$8))</f>
        <v>1</v>
      </c>
      <c r="AG8" s="72" t="n">
        <f aca="false">MIN(1,Inputs!$E$9+(1-Inputs!$E$9)*(AG$4-1)/MAX(1,Inputs!$E$8))</f>
        <v>1</v>
      </c>
      <c r="AH8" s="72" t="n">
        <f aca="false">MIN(1,Inputs!$E$9+(1-Inputs!$E$9)*(AH$4-1)/MAX(1,Inputs!$E$8))</f>
        <v>1</v>
      </c>
      <c r="AI8" s="72" t="n">
        <f aca="false">MIN(1,Inputs!$E$9+(1-Inputs!$E$9)*(AI$4-1)/MAX(1,Inputs!$E$8))</f>
        <v>1</v>
      </c>
      <c r="AJ8" s="72" t="n">
        <f aca="false">MIN(1,Inputs!$E$9+(1-Inputs!$E$9)*(AJ$4-1)/MAX(1,Inputs!$E$8))</f>
        <v>1</v>
      </c>
      <c r="AK8" s="72" t="n">
        <f aca="false">MIN(1,Inputs!$E$9+(1-Inputs!$E$9)*(AK$4-1)/MAX(1,Inputs!$E$8))</f>
        <v>1</v>
      </c>
      <c r="AL8" s="72" t="n">
        <f aca="false">MIN(1,Inputs!$E$9+(1-Inputs!$E$9)*(AL$4-1)/MAX(1,Inputs!$E$8))</f>
        <v>1</v>
      </c>
      <c r="AM8" s="72" t="n">
        <f aca="false">MIN(1,Inputs!$E$9+(1-Inputs!$E$9)*(AM$4-1)/MAX(1,Inputs!$E$8))</f>
        <v>1</v>
      </c>
      <c r="AN8" s="72" t="n">
        <f aca="false">MIN(1,Inputs!$E$9+(1-Inputs!$E$9)*(AN$4-1)/MAX(1,Inputs!$E$8))</f>
        <v>1</v>
      </c>
      <c r="AO8" s="72" t="n">
        <f aca="false">MIN(1,Inputs!$E$9+(1-Inputs!$E$9)*(AO$4-1)/MAX(1,Inputs!$E$8))</f>
        <v>1</v>
      </c>
      <c r="AP8" s="72" t="n">
        <f aca="false">MIN(1,Inputs!$E$9+(1-Inputs!$E$9)*(AP$4-1)/MAX(1,Inputs!$E$8))</f>
        <v>1</v>
      </c>
      <c r="AQ8" s="72" t="n">
        <f aca="false">MIN(1,Inputs!$E$9+(1-Inputs!$E$9)*(AQ$4-1)/MAX(1,Inputs!$E$8))</f>
        <v>1</v>
      </c>
      <c r="AR8" s="72" t="n">
        <f aca="false">MIN(1,Inputs!$E$9+(1-Inputs!$E$9)*(AR$4-1)/MAX(1,Inputs!$E$8))</f>
        <v>1</v>
      </c>
      <c r="AS8" s="72" t="n">
        <f aca="false">MIN(1,Inputs!$E$9+(1-Inputs!$E$9)*(AS$4-1)/MAX(1,Inputs!$E$8))</f>
        <v>1</v>
      </c>
      <c r="AT8" s="72" t="n">
        <f aca="false">MIN(1,Inputs!$E$9+(1-Inputs!$E$9)*(AT$4-1)/MAX(1,Inputs!$E$8))</f>
        <v>1</v>
      </c>
      <c r="AU8" s="72" t="n">
        <f aca="false">MIN(1,Inputs!$E$9+(1-Inputs!$E$9)*(AU$4-1)/MAX(1,Inputs!$E$8))</f>
        <v>1</v>
      </c>
      <c r="AV8" s="72" t="n">
        <f aca="false">MIN(1,Inputs!$E$9+(1-Inputs!$E$9)*(AV$4-1)/MAX(1,Inputs!$E$8))</f>
        <v>1</v>
      </c>
      <c r="AW8" s="72" t="n">
        <f aca="false">MIN(1,Inputs!$E$9+(1-Inputs!$E$9)*(AW$4-1)/MAX(1,Inputs!$E$8))</f>
        <v>1</v>
      </c>
      <c r="AX8" s="72" t="n">
        <f aca="false">MIN(1,Inputs!$E$9+(1-Inputs!$E$9)*(AX$4-1)/MAX(1,Inputs!$E$8))</f>
        <v>1</v>
      </c>
      <c r="AY8" s="72" t="n">
        <f aca="false">MIN(1,Inputs!$E$9+(1-Inputs!$E$9)*(AY$4-1)/MAX(1,Inputs!$E$8))</f>
        <v>1</v>
      </c>
      <c r="AZ8" s="72" t="n">
        <f aca="false">MIN(1,Inputs!$E$9+(1-Inputs!$E$9)*(AZ$4-1)/MAX(1,Inputs!$E$8))</f>
        <v>1</v>
      </c>
      <c r="BA8" s="72" t="n">
        <f aca="false">MIN(1,Inputs!$E$9+(1-Inputs!$E$9)*(BA$4-1)/MAX(1,Inputs!$E$8))</f>
        <v>1</v>
      </c>
      <c r="BB8" s="72" t="n">
        <f aca="false">MIN(1,Inputs!$E$9+(1-Inputs!$E$9)*(BB$4-1)/MAX(1,Inputs!$E$8))</f>
        <v>1</v>
      </c>
      <c r="BC8" s="72" t="n">
        <f aca="false">MIN(1,Inputs!$E$9+(1-Inputs!$E$9)*(BC$4-1)/MAX(1,Inputs!$E$8))</f>
        <v>1</v>
      </c>
      <c r="BD8" s="72" t="n">
        <f aca="false">MIN(1,Inputs!$E$9+(1-Inputs!$E$9)*(BD$4-1)/MAX(1,Inputs!$E$8))</f>
        <v>1</v>
      </c>
      <c r="BE8" s="72" t="n">
        <f aca="false">MIN(1,Inputs!$E$9+(1-Inputs!$E$9)*(BE$4-1)/MAX(1,Inputs!$E$8))</f>
        <v>1</v>
      </c>
      <c r="BF8" s="72" t="n">
        <f aca="false">MIN(1,Inputs!$E$9+(1-Inputs!$E$9)*(BF$4-1)/MAX(1,Inputs!$E$8))</f>
        <v>1</v>
      </c>
      <c r="BG8" s="72" t="n">
        <f aca="false">MIN(1,Inputs!$E$9+(1-Inputs!$E$9)*(BG$4-1)/MAX(1,Inputs!$E$8))</f>
        <v>1</v>
      </c>
      <c r="BH8" s="72" t="n">
        <f aca="false">MIN(1,Inputs!$E$9+(1-Inputs!$E$9)*(BH$4-1)/MAX(1,Inputs!$E$8))</f>
        <v>1</v>
      </c>
      <c r="BI8" s="72" t="n">
        <f aca="false">MIN(1,Inputs!$E$9+(1-Inputs!$E$9)*(BI$4-1)/MAX(1,Inputs!$E$8))</f>
        <v>1</v>
      </c>
      <c r="BJ8" s="72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362</v>
      </c>
      <c r="C9" s="111" t="n">
        <f aca="false">Inputs!$E$7*C8*(1+Inputs!$E$10)^(C$5-1)</f>
        <v>80</v>
      </c>
      <c r="D9" s="111" t="n">
        <f aca="false">Inputs!$E$7*D8*(1+Inputs!$E$10)^(D$5-1)</f>
        <v>93.3333333333333</v>
      </c>
      <c r="E9" s="111" t="n">
        <f aca="false">Inputs!$E$7*E8*(1+Inputs!$E$10)^(E$5-1)</f>
        <v>106.666666666667</v>
      </c>
      <c r="F9" s="111" t="n">
        <f aca="false">Inputs!$E$7*F8*(1+Inputs!$E$10)^(F$5-1)</f>
        <v>120</v>
      </c>
      <c r="G9" s="111" t="n">
        <f aca="false">Inputs!$E$7*G8*(1+Inputs!$E$10)^(G$5-1)</f>
        <v>133.333333333333</v>
      </c>
      <c r="H9" s="111" t="n">
        <f aca="false">Inputs!$E$7*H8*(1+Inputs!$E$10)^(H$5-1)</f>
        <v>146.666666666667</v>
      </c>
      <c r="I9" s="111" t="n">
        <f aca="false">Inputs!$E$7*I8*(1+Inputs!$E$10)^(I$5-1)</f>
        <v>160</v>
      </c>
      <c r="J9" s="111" t="n">
        <f aca="false">Inputs!$E$7*J8*(1+Inputs!$E$10)^(J$5-1)</f>
        <v>160</v>
      </c>
      <c r="K9" s="111" t="n">
        <f aca="false">Inputs!$E$7*K8*(1+Inputs!$E$10)^(K$5-1)</f>
        <v>160</v>
      </c>
      <c r="L9" s="111" t="n">
        <f aca="false">Inputs!$E$7*L8*(1+Inputs!$E$10)^(L$5-1)</f>
        <v>160</v>
      </c>
      <c r="M9" s="111" t="n">
        <f aca="false">Inputs!$E$7*M8*(1+Inputs!$E$10)^(M$5-1)</f>
        <v>160</v>
      </c>
      <c r="N9" s="111" t="n">
        <f aca="false">Inputs!$E$7*N8*(1+Inputs!$E$10)^(N$5-1)</f>
        <v>160</v>
      </c>
      <c r="O9" s="111" t="n">
        <f aca="false">Inputs!$E$7*O8*(1+Inputs!$E$10)^(O$5-1)</f>
        <v>169.6</v>
      </c>
      <c r="P9" s="111" t="n">
        <f aca="false">Inputs!$E$7*P8*(1+Inputs!$E$10)^(P$5-1)</f>
        <v>169.6</v>
      </c>
      <c r="Q9" s="111" t="n">
        <f aca="false">Inputs!$E$7*Q8*(1+Inputs!$E$10)^(Q$5-1)</f>
        <v>169.6</v>
      </c>
      <c r="R9" s="111" t="n">
        <f aca="false">Inputs!$E$7*R8*(1+Inputs!$E$10)^(R$5-1)</f>
        <v>169.6</v>
      </c>
      <c r="S9" s="111" t="n">
        <f aca="false">Inputs!$E$7*S8*(1+Inputs!$E$10)^(S$5-1)</f>
        <v>169.6</v>
      </c>
      <c r="T9" s="111" t="n">
        <f aca="false">Inputs!$E$7*T8*(1+Inputs!$E$10)^(T$5-1)</f>
        <v>169.6</v>
      </c>
      <c r="U9" s="111" t="n">
        <f aca="false">Inputs!$E$7*U8*(1+Inputs!$E$10)^(U$5-1)</f>
        <v>169.6</v>
      </c>
      <c r="V9" s="111" t="n">
        <f aca="false">Inputs!$E$7*V8*(1+Inputs!$E$10)^(V$5-1)</f>
        <v>169.6</v>
      </c>
      <c r="W9" s="111" t="n">
        <f aca="false">Inputs!$E$7*W8*(1+Inputs!$E$10)^(W$5-1)</f>
        <v>169.6</v>
      </c>
      <c r="X9" s="111" t="n">
        <f aca="false">Inputs!$E$7*X8*(1+Inputs!$E$10)^(X$5-1)</f>
        <v>169.6</v>
      </c>
      <c r="Y9" s="111" t="n">
        <f aca="false">Inputs!$E$7*Y8*(1+Inputs!$E$10)^(Y$5-1)</f>
        <v>169.6</v>
      </c>
      <c r="Z9" s="111" t="n">
        <f aca="false">Inputs!$E$7*Z8*(1+Inputs!$E$10)^(Z$5-1)</f>
        <v>169.6</v>
      </c>
      <c r="AA9" s="111" t="n">
        <f aca="false">Inputs!$E$7*AA8*(1+Inputs!$E$10)^(AA$5-1)</f>
        <v>179.776</v>
      </c>
      <c r="AB9" s="111" t="n">
        <f aca="false">Inputs!$E$7*AB8*(1+Inputs!$E$10)^(AB$5-1)</f>
        <v>179.776</v>
      </c>
      <c r="AC9" s="111" t="n">
        <f aca="false">Inputs!$E$7*AC8*(1+Inputs!$E$10)^(AC$5-1)</f>
        <v>179.776</v>
      </c>
      <c r="AD9" s="111" t="n">
        <f aca="false">Inputs!$E$7*AD8*(1+Inputs!$E$10)^(AD$5-1)</f>
        <v>179.776</v>
      </c>
      <c r="AE9" s="111" t="n">
        <f aca="false">Inputs!$E$7*AE8*(1+Inputs!$E$10)^(AE$5-1)</f>
        <v>179.776</v>
      </c>
      <c r="AF9" s="111" t="n">
        <f aca="false">Inputs!$E$7*AF8*(1+Inputs!$E$10)^(AF$5-1)</f>
        <v>179.776</v>
      </c>
      <c r="AG9" s="111" t="n">
        <f aca="false">Inputs!$E$7*AG8*(1+Inputs!$E$10)^(AG$5-1)</f>
        <v>179.776</v>
      </c>
      <c r="AH9" s="111" t="n">
        <f aca="false">Inputs!$E$7*AH8*(1+Inputs!$E$10)^(AH$5-1)</f>
        <v>179.776</v>
      </c>
      <c r="AI9" s="111" t="n">
        <f aca="false">Inputs!$E$7*AI8*(1+Inputs!$E$10)^(AI$5-1)</f>
        <v>179.776</v>
      </c>
      <c r="AJ9" s="111" t="n">
        <f aca="false">Inputs!$E$7*AJ8*(1+Inputs!$E$10)^(AJ$5-1)</f>
        <v>179.776</v>
      </c>
      <c r="AK9" s="111" t="n">
        <f aca="false">Inputs!$E$7*AK8*(1+Inputs!$E$10)^(AK$5-1)</f>
        <v>179.776</v>
      </c>
      <c r="AL9" s="111" t="n">
        <f aca="false">Inputs!$E$7*AL8*(1+Inputs!$E$10)^(AL$5-1)</f>
        <v>179.776</v>
      </c>
      <c r="AM9" s="111" t="n">
        <f aca="false">Inputs!$E$7*AM8*(1+Inputs!$E$10)^(AM$5-1)</f>
        <v>190.56256</v>
      </c>
      <c r="AN9" s="111" t="n">
        <f aca="false">Inputs!$E$7*AN8*(1+Inputs!$E$10)^(AN$5-1)</f>
        <v>190.56256</v>
      </c>
      <c r="AO9" s="111" t="n">
        <f aca="false">Inputs!$E$7*AO8*(1+Inputs!$E$10)^(AO$5-1)</f>
        <v>190.56256</v>
      </c>
      <c r="AP9" s="111" t="n">
        <f aca="false">Inputs!$E$7*AP8*(1+Inputs!$E$10)^(AP$5-1)</f>
        <v>190.56256</v>
      </c>
      <c r="AQ9" s="111" t="n">
        <f aca="false">Inputs!$E$7*AQ8*(1+Inputs!$E$10)^(AQ$5-1)</f>
        <v>190.56256</v>
      </c>
      <c r="AR9" s="111" t="n">
        <f aca="false">Inputs!$E$7*AR8*(1+Inputs!$E$10)^(AR$5-1)</f>
        <v>190.56256</v>
      </c>
      <c r="AS9" s="111" t="n">
        <f aca="false">Inputs!$E$7*AS8*(1+Inputs!$E$10)^(AS$5-1)</f>
        <v>190.56256</v>
      </c>
      <c r="AT9" s="111" t="n">
        <f aca="false">Inputs!$E$7*AT8*(1+Inputs!$E$10)^(AT$5-1)</f>
        <v>190.56256</v>
      </c>
      <c r="AU9" s="111" t="n">
        <f aca="false">Inputs!$E$7*AU8*(1+Inputs!$E$10)^(AU$5-1)</f>
        <v>190.56256</v>
      </c>
      <c r="AV9" s="111" t="n">
        <f aca="false">Inputs!$E$7*AV8*(1+Inputs!$E$10)^(AV$5-1)</f>
        <v>190.56256</v>
      </c>
      <c r="AW9" s="111" t="n">
        <f aca="false">Inputs!$E$7*AW8*(1+Inputs!$E$10)^(AW$5-1)</f>
        <v>190.56256</v>
      </c>
      <c r="AX9" s="111" t="n">
        <f aca="false">Inputs!$E$7*AX8*(1+Inputs!$E$10)^(AX$5-1)</f>
        <v>190.56256</v>
      </c>
      <c r="AY9" s="111" t="n">
        <f aca="false">Inputs!$E$7*AY8*(1+Inputs!$E$10)^(AY$5-1)</f>
        <v>201.9963136</v>
      </c>
      <c r="AZ9" s="111" t="n">
        <f aca="false">Inputs!$E$7*AZ8*(1+Inputs!$E$10)^(AZ$5-1)</f>
        <v>201.9963136</v>
      </c>
      <c r="BA9" s="111" t="n">
        <f aca="false">Inputs!$E$7*BA8*(1+Inputs!$E$10)^(BA$5-1)</f>
        <v>201.9963136</v>
      </c>
      <c r="BB9" s="111" t="n">
        <f aca="false">Inputs!$E$7*BB8*(1+Inputs!$E$10)^(BB$5-1)</f>
        <v>201.9963136</v>
      </c>
      <c r="BC9" s="111" t="n">
        <f aca="false">Inputs!$E$7*BC8*(1+Inputs!$E$10)^(BC$5-1)</f>
        <v>201.9963136</v>
      </c>
      <c r="BD9" s="111" t="n">
        <f aca="false">Inputs!$E$7*BD8*(1+Inputs!$E$10)^(BD$5-1)</f>
        <v>201.9963136</v>
      </c>
      <c r="BE9" s="111" t="n">
        <f aca="false">Inputs!$E$7*BE8*(1+Inputs!$E$10)^(BE$5-1)</f>
        <v>201.9963136</v>
      </c>
      <c r="BF9" s="111" t="n">
        <f aca="false">Inputs!$E$7*BF8*(1+Inputs!$E$10)^(BF$5-1)</f>
        <v>201.9963136</v>
      </c>
      <c r="BG9" s="111" t="n">
        <f aca="false">Inputs!$E$7*BG8*(1+Inputs!$E$10)^(BG$5-1)</f>
        <v>201.9963136</v>
      </c>
      <c r="BH9" s="111" t="n">
        <f aca="false">Inputs!$E$7*BH8*(1+Inputs!$E$10)^(BH$5-1)</f>
        <v>201.9963136</v>
      </c>
      <c r="BI9" s="111" t="n">
        <f aca="false">Inputs!$E$7*BI8*(1+Inputs!$E$10)^(BI$5-1)</f>
        <v>201.9963136</v>
      </c>
      <c r="BJ9" s="111" t="n">
        <f aca="false">Inputs!$E$7*BJ8*(1+Inputs!$E$10)^(BJ$5-1)</f>
        <v>201.9963136</v>
      </c>
    </row>
    <row r="10" customFormat="false" ht="15" hidden="false" customHeight="false" outlineLevel="0" collapsed="false">
      <c r="A10" s="6" t="s">
        <v>246</v>
      </c>
      <c r="C10" s="112" t="n">
        <f aca="false">Inputs!$E$11*(1+Inputs!$E$12)^(C$5-1)</f>
        <v>6.5</v>
      </c>
      <c r="D10" s="112" t="n">
        <f aca="false">Inputs!$E$11*(1+Inputs!$E$12)^(D$5-1)</f>
        <v>6.5</v>
      </c>
      <c r="E10" s="112" t="n">
        <f aca="false">Inputs!$E$11*(1+Inputs!$E$12)^(E$5-1)</f>
        <v>6.5</v>
      </c>
      <c r="F10" s="112" t="n">
        <f aca="false">Inputs!$E$11*(1+Inputs!$E$12)^(F$5-1)</f>
        <v>6.5</v>
      </c>
      <c r="G10" s="112" t="n">
        <f aca="false">Inputs!$E$11*(1+Inputs!$E$12)^(G$5-1)</f>
        <v>6.5</v>
      </c>
      <c r="H10" s="112" t="n">
        <f aca="false">Inputs!$E$11*(1+Inputs!$E$12)^(H$5-1)</f>
        <v>6.5</v>
      </c>
      <c r="I10" s="112" t="n">
        <f aca="false">Inputs!$E$11*(1+Inputs!$E$12)^(I$5-1)</f>
        <v>6.5</v>
      </c>
      <c r="J10" s="112" t="n">
        <f aca="false">Inputs!$E$11*(1+Inputs!$E$12)^(J$5-1)</f>
        <v>6.5</v>
      </c>
      <c r="K10" s="112" t="n">
        <f aca="false">Inputs!$E$11*(1+Inputs!$E$12)^(K$5-1)</f>
        <v>6.5</v>
      </c>
      <c r="L10" s="112" t="n">
        <f aca="false">Inputs!$E$11*(1+Inputs!$E$12)^(L$5-1)</f>
        <v>6.5</v>
      </c>
      <c r="M10" s="112" t="n">
        <f aca="false">Inputs!$E$11*(1+Inputs!$E$12)^(M$5-1)</f>
        <v>6.5</v>
      </c>
      <c r="N10" s="112" t="n">
        <f aca="false">Inputs!$E$11*(1+Inputs!$E$12)^(N$5-1)</f>
        <v>6.5</v>
      </c>
      <c r="O10" s="112" t="n">
        <f aca="false">Inputs!$E$11*(1+Inputs!$E$12)^(O$5-1)</f>
        <v>6.695</v>
      </c>
      <c r="P10" s="112" t="n">
        <f aca="false">Inputs!$E$11*(1+Inputs!$E$12)^(P$5-1)</f>
        <v>6.695</v>
      </c>
      <c r="Q10" s="112" t="n">
        <f aca="false">Inputs!$E$11*(1+Inputs!$E$12)^(Q$5-1)</f>
        <v>6.695</v>
      </c>
      <c r="R10" s="112" t="n">
        <f aca="false">Inputs!$E$11*(1+Inputs!$E$12)^(R$5-1)</f>
        <v>6.695</v>
      </c>
      <c r="S10" s="112" t="n">
        <f aca="false">Inputs!$E$11*(1+Inputs!$E$12)^(S$5-1)</f>
        <v>6.695</v>
      </c>
      <c r="T10" s="112" t="n">
        <f aca="false">Inputs!$E$11*(1+Inputs!$E$12)^(T$5-1)</f>
        <v>6.695</v>
      </c>
      <c r="U10" s="112" t="n">
        <f aca="false">Inputs!$E$11*(1+Inputs!$E$12)^(U$5-1)</f>
        <v>6.695</v>
      </c>
      <c r="V10" s="112" t="n">
        <f aca="false">Inputs!$E$11*(1+Inputs!$E$12)^(V$5-1)</f>
        <v>6.695</v>
      </c>
      <c r="W10" s="112" t="n">
        <f aca="false">Inputs!$E$11*(1+Inputs!$E$12)^(W$5-1)</f>
        <v>6.695</v>
      </c>
      <c r="X10" s="112" t="n">
        <f aca="false">Inputs!$E$11*(1+Inputs!$E$12)^(X$5-1)</f>
        <v>6.695</v>
      </c>
      <c r="Y10" s="112" t="n">
        <f aca="false">Inputs!$E$11*(1+Inputs!$E$12)^(Y$5-1)</f>
        <v>6.695</v>
      </c>
      <c r="Z10" s="112" t="n">
        <f aca="false">Inputs!$E$11*(1+Inputs!$E$12)^(Z$5-1)</f>
        <v>6.695</v>
      </c>
      <c r="AA10" s="112" t="n">
        <f aca="false">Inputs!$E$11*(1+Inputs!$E$12)^(AA$5-1)</f>
        <v>6.89585</v>
      </c>
      <c r="AB10" s="112" t="n">
        <f aca="false">Inputs!$E$11*(1+Inputs!$E$12)^(AB$5-1)</f>
        <v>6.89585</v>
      </c>
      <c r="AC10" s="112" t="n">
        <f aca="false">Inputs!$E$11*(1+Inputs!$E$12)^(AC$5-1)</f>
        <v>6.89585</v>
      </c>
      <c r="AD10" s="112" t="n">
        <f aca="false">Inputs!$E$11*(1+Inputs!$E$12)^(AD$5-1)</f>
        <v>6.89585</v>
      </c>
      <c r="AE10" s="112" t="n">
        <f aca="false">Inputs!$E$11*(1+Inputs!$E$12)^(AE$5-1)</f>
        <v>6.89585</v>
      </c>
      <c r="AF10" s="112" t="n">
        <f aca="false">Inputs!$E$11*(1+Inputs!$E$12)^(AF$5-1)</f>
        <v>6.89585</v>
      </c>
      <c r="AG10" s="112" t="n">
        <f aca="false">Inputs!$E$11*(1+Inputs!$E$12)^(AG$5-1)</f>
        <v>6.89585</v>
      </c>
      <c r="AH10" s="112" t="n">
        <f aca="false">Inputs!$E$11*(1+Inputs!$E$12)^(AH$5-1)</f>
        <v>6.89585</v>
      </c>
      <c r="AI10" s="112" t="n">
        <f aca="false">Inputs!$E$11*(1+Inputs!$E$12)^(AI$5-1)</f>
        <v>6.89585</v>
      </c>
      <c r="AJ10" s="112" t="n">
        <f aca="false">Inputs!$E$11*(1+Inputs!$E$12)^(AJ$5-1)</f>
        <v>6.89585</v>
      </c>
      <c r="AK10" s="112" t="n">
        <f aca="false">Inputs!$E$11*(1+Inputs!$E$12)^(AK$5-1)</f>
        <v>6.89585</v>
      </c>
      <c r="AL10" s="112" t="n">
        <f aca="false">Inputs!$E$11*(1+Inputs!$E$12)^(AL$5-1)</f>
        <v>6.89585</v>
      </c>
      <c r="AM10" s="112" t="n">
        <f aca="false">Inputs!$E$11*(1+Inputs!$E$12)^(AM$5-1)</f>
        <v>7.1027255</v>
      </c>
      <c r="AN10" s="112" t="n">
        <f aca="false">Inputs!$E$11*(1+Inputs!$E$12)^(AN$5-1)</f>
        <v>7.1027255</v>
      </c>
      <c r="AO10" s="112" t="n">
        <f aca="false">Inputs!$E$11*(1+Inputs!$E$12)^(AO$5-1)</f>
        <v>7.1027255</v>
      </c>
      <c r="AP10" s="112" t="n">
        <f aca="false">Inputs!$E$11*(1+Inputs!$E$12)^(AP$5-1)</f>
        <v>7.1027255</v>
      </c>
      <c r="AQ10" s="112" t="n">
        <f aca="false">Inputs!$E$11*(1+Inputs!$E$12)^(AQ$5-1)</f>
        <v>7.1027255</v>
      </c>
      <c r="AR10" s="112" t="n">
        <f aca="false">Inputs!$E$11*(1+Inputs!$E$12)^(AR$5-1)</f>
        <v>7.1027255</v>
      </c>
      <c r="AS10" s="112" t="n">
        <f aca="false">Inputs!$E$11*(1+Inputs!$E$12)^(AS$5-1)</f>
        <v>7.1027255</v>
      </c>
      <c r="AT10" s="112" t="n">
        <f aca="false">Inputs!$E$11*(1+Inputs!$E$12)^(AT$5-1)</f>
        <v>7.1027255</v>
      </c>
      <c r="AU10" s="112" t="n">
        <f aca="false">Inputs!$E$11*(1+Inputs!$E$12)^(AU$5-1)</f>
        <v>7.1027255</v>
      </c>
      <c r="AV10" s="112" t="n">
        <f aca="false">Inputs!$E$11*(1+Inputs!$E$12)^(AV$5-1)</f>
        <v>7.1027255</v>
      </c>
      <c r="AW10" s="112" t="n">
        <f aca="false">Inputs!$E$11*(1+Inputs!$E$12)^(AW$5-1)</f>
        <v>7.1027255</v>
      </c>
      <c r="AX10" s="112" t="n">
        <f aca="false">Inputs!$E$11*(1+Inputs!$E$12)^(AX$5-1)</f>
        <v>7.1027255</v>
      </c>
      <c r="AY10" s="112" t="n">
        <f aca="false">Inputs!$E$11*(1+Inputs!$E$12)^(AY$5-1)</f>
        <v>7.315807265</v>
      </c>
      <c r="AZ10" s="112" t="n">
        <f aca="false">Inputs!$E$11*(1+Inputs!$E$12)^(AZ$5-1)</f>
        <v>7.315807265</v>
      </c>
      <c r="BA10" s="112" t="n">
        <f aca="false">Inputs!$E$11*(1+Inputs!$E$12)^(BA$5-1)</f>
        <v>7.315807265</v>
      </c>
      <c r="BB10" s="112" t="n">
        <f aca="false">Inputs!$E$11*(1+Inputs!$E$12)^(BB$5-1)</f>
        <v>7.315807265</v>
      </c>
      <c r="BC10" s="112" t="n">
        <f aca="false">Inputs!$E$11*(1+Inputs!$E$12)^(BC$5-1)</f>
        <v>7.315807265</v>
      </c>
      <c r="BD10" s="112" t="n">
        <f aca="false">Inputs!$E$11*(1+Inputs!$E$12)^(BD$5-1)</f>
        <v>7.315807265</v>
      </c>
      <c r="BE10" s="112" t="n">
        <f aca="false">Inputs!$E$11*(1+Inputs!$E$12)^(BE$5-1)</f>
        <v>7.315807265</v>
      </c>
      <c r="BF10" s="112" t="n">
        <f aca="false">Inputs!$E$11*(1+Inputs!$E$12)^(BF$5-1)</f>
        <v>7.315807265</v>
      </c>
      <c r="BG10" s="112" t="n">
        <f aca="false">Inputs!$E$11*(1+Inputs!$E$12)^(BG$5-1)</f>
        <v>7.315807265</v>
      </c>
      <c r="BH10" s="112" t="n">
        <f aca="false">Inputs!$E$11*(1+Inputs!$E$12)^(BH$5-1)</f>
        <v>7.315807265</v>
      </c>
      <c r="BI10" s="112" t="n">
        <f aca="false">Inputs!$E$11*(1+Inputs!$E$12)^(BI$5-1)</f>
        <v>7.315807265</v>
      </c>
      <c r="BJ10" s="112" t="n">
        <f aca="false">Inputs!$E$11*(1+Inputs!$E$12)^(BJ$5-1)</f>
        <v>7.315807265</v>
      </c>
    </row>
    <row r="11" customFormat="false" ht="15" hidden="false" customHeight="false" outlineLevel="0" collapsed="false">
      <c r="A11" s="6" t="s">
        <v>363</v>
      </c>
      <c r="C11" s="113" t="n">
        <f aca="false">Inputs!$E$13*1</f>
        <v>30</v>
      </c>
      <c r="D11" s="113" t="n">
        <f aca="false">Inputs!$E$13*1</f>
        <v>30</v>
      </c>
      <c r="E11" s="113" t="n">
        <f aca="false">Inputs!$E$13*1</f>
        <v>30</v>
      </c>
      <c r="F11" s="113" t="n">
        <f aca="false">Inputs!$E$13*1</f>
        <v>30</v>
      </c>
      <c r="G11" s="113" t="n">
        <f aca="false">Inputs!$E$13*1</f>
        <v>30</v>
      </c>
      <c r="H11" s="113" t="n">
        <f aca="false">Inputs!$E$13*1</f>
        <v>30</v>
      </c>
      <c r="I11" s="113" t="n">
        <f aca="false">Inputs!$E$13*1</f>
        <v>30</v>
      </c>
      <c r="J11" s="113" t="n">
        <f aca="false">Inputs!$E$13*1</f>
        <v>30</v>
      </c>
      <c r="K11" s="113" t="n">
        <f aca="false">Inputs!$E$13*1</f>
        <v>30</v>
      </c>
      <c r="L11" s="113" t="n">
        <f aca="false">Inputs!$E$13*1</f>
        <v>30</v>
      </c>
      <c r="M11" s="113" t="n">
        <f aca="false">Inputs!$E$13*1</f>
        <v>30</v>
      </c>
      <c r="N11" s="113" t="n">
        <f aca="false">Inputs!$E$13*1</f>
        <v>30</v>
      </c>
      <c r="O11" s="113" t="n">
        <f aca="false">Inputs!$E$13*1</f>
        <v>30</v>
      </c>
      <c r="P11" s="113" t="n">
        <f aca="false">Inputs!$E$13*1</f>
        <v>30</v>
      </c>
      <c r="Q11" s="113" t="n">
        <f aca="false">Inputs!$E$13*1</f>
        <v>30</v>
      </c>
      <c r="R11" s="113" t="n">
        <f aca="false">Inputs!$E$13*1</f>
        <v>30</v>
      </c>
      <c r="S11" s="113" t="n">
        <f aca="false">Inputs!$E$13*1</f>
        <v>30</v>
      </c>
      <c r="T11" s="113" t="n">
        <f aca="false">Inputs!$E$13*1</f>
        <v>30</v>
      </c>
      <c r="U11" s="113" t="n">
        <f aca="false">Inputs!$E$13*1</f>
        <v>30</v>
      </c>
      <c r="V11" s="113" t="n">
        <f aca="false">Inputs!$E$13*1</f>
        <v>30</v>
      </c>
      <c r="W11" s="113" t="n">
        <f aca="false">Inputs!$E$13*1</f>
        <v>30</v>
      </c>
      <c r="X11" s="113" t="n">
        <f aca="false">Inputs!$E$13*1</f>
        <v>30</v>
      </c>
      <c r="Y11" s="113" t="n">
        <f aca="false">Inputs!$E$13*1</f>
        <v>30</v>
      </c>
      <c r="Z11" s="113" t="n">
        <f aca="false">Inputs!$E$13*1</f>
        <v>30</v>
      </c>
      <c r="AA11" s="113" t="n">
        <f aca="false">Inputs!$E$13*1</f>
        <v>30</v>
      </c>
      <c r="AB11" s="113" t="n">
        <f aca="false">Inputs!$E$13*1</f>
        <v>30</v>
      </c>
      <c r="AC11" s="113" t="n">
        <f aca="false">Inputs!$E$13*1</f>
        <v>30</v>
      </c>
      <c r="AD11" s="113" t="n">
        <f aca="false">Inputs!$E$13*1</f>
        <v>30</v>
      </c>
      <c r="AE11" s="113" t="n">
        <f aca="false">Inputs!$E$13*1</f>
        <v>30</v>
      </c>
      <c r="AF11" s="113" t="n">
        <f aca="false">Inputs!$E$13*1</f>
        <v>30</v>
      </c>
      <c r="AG11" s="113" t="n">
        <f aca="false">Inputs!$E$13*1</f>
        <v>30</v>
      </c>
      <c r="AH11" s="113" t="n">
        <f aca="false">Inputs!$E$13*1</f>
        <v>30</v>
      </c>
      <c r="AI11" s="113" t="n">
        <f aca="false">Inputs!$E$13*1</f>
        <v>30</v>
      </c>
      <c r="AJ11" s="113" t="n">
        <f aca="false">Inputs!$E$13*1</f>
        <v>30</v>
      </c>
      <c r="AK11" s="113" t="n">
        <f aca="false">Inputs!$E$13*1</f>
        <v>30</v>
      </c>
      <c r="AL11" s="113" t="n">
        <f aca="false">Inputs!$E$13*1</f>
        <v>30</v>
      </c>
      <c r="AM11" s="113" t="n">
        <f aca="false">Inputs!$E$13*1</f>
        <v>30</v>
      </c>
      <c r="AN11" s="113" t="n">
        <f aca="false">Inputs!$E$13*1</f>
        <v>30</v>
      </c>
      <c r="AO11" s="113" t="n">
        <f aca="false">Inputs!$E$13*1</f>
        <v>30</v>
      </c>
      <c r="AP11" s="113" t="n">
        <f aca="false">Inputs!$E$13*1</f>
        <v>30</v>
      </c>
      <c r="AQ11" s="113" t="n">
        <f aca="false">Inputs!$E$13*1</f>
        <v>30</v>
      </c>
      <c r="AR11" s="113" t="n">
        <f aca="false">Inputs!$E$13*1</f>
        <v>30</v>
      </c>
      <c r="AS11" s="113" t="n">
        <f aca="false">Inputs!$E$13*1</f>
        <v>30</v>
      </c>
      <c r="AT11" s="113" t="n">
        <f aca="false">Inputs!$E$13*1</f>
        <v>30</v>
      </c>
      <c r="AU11" s="113" t="n">
        <f aca="false">Inputs!$E$13*1</f>
        <v>30</v>
      </c>
      <c r="AV11" s="113" t="n">
        <f aca="false">Inputs!$E$13*1</f>
        <v>30</v>
      </c>
      <c r="AW11" s="113" t="n">
        <f aca="false">Inputs!$E$13*1</f>
        <v>30</v>
      </c>
      <c r="AX11" s="113" t="n">
        <f aca="false">Inputs!$E$13*1</f>
        <v>30</v>
      </c>
      <c r="AY11" s="113" t="n">
        <f aca="false">Inputs!$E$13*1</f>
        <v>30</v>
      </c>
      <c r="AZ11" s="113" t="n">
        <f aca="false">Inputs!$E$13*1</f>
        <v>30</v>
      </c>
      <c r="BA11" s="113" t="n">
        <f aca="false">Inputs!$E$13*1</f>
        <v>30</v>
      </c>
      <c r="BB11" s="113" t="n">
        <f aca="false">Inputs!$E$13*1</f>
        <v>30</v>
      </c>
      <c r="BC11" s="113" t="n">
        <f aca="false">Inputs!$E$13*1</f>
        <v>30</v>
      </c>
      <c r="BD11" s="113" t="n">
        <f aca="false">Inputs!$E$13*1</f>
        <v>30</v>
      </c>
      <c r="BE11" s="113" t="n">
        <f aca="false">Inputs!$E$13*1</f>
        <v>30</v>
      </c>
      <c r="BF11" s="113" t="n">
        <f aca="false">Inputs!$E$13*1</f>
        <v>30</v>
      </c>
      <c r="BG11" s="113" t="n">
        <f aca="false">Inputs!$E$13*1</f>
        <v>30</v>
      </c>
      <c r="BH11" s="113" t="n">
        <f aca="false">Inputs!$E$13*1</f>
        <v>30</v>
      </c>
      <c r="BI11" s="113" t="n">
        <f aca="false">Inputs!$E$13*1</f>
        <v>30</v>
      </c>
      <c r="BJ11" s="113" t="n">
        <f aca="false">Inputs!$E$13*1</f>
        <v>30</v>
      </c>
    </row>
    <row r="12" customFormat="false" ht="15" hidden="false" customHeight="false" outlineLevel="0" collapsed="false">
      <c r="A12" s="108" t="s">
        <v>44</v>
      </c>
      <c r="C12" s="66" t="n">
        <f aca="false">C9*C10*C11</f>
        <v>15600</v>
      </c>
      <c r="D12" s="66" t="n">
        <f aca="false">D9*D10*D11</f>
        <v>18200</v>
      </c>
      <c r="E12" s="66" t="n">
        <f aca="false">E9*E10*E11</f>
        <v>20800</v>
      </c>
      <c r="F12" s="66" t="n">
        <f aca="false">F9*F10*F11</f>
        <v>23400</v>
      </c>
      <c r="G12" s="66" t="n">
        <f aca="false">G9*G10*G11</f>
        <v>26000</v>
      </c>
      <c r="H12" s="66" t="n">
        <f aca="false">H9*H10*H11</f>
        <v>28600</v>
      </c>
      <c r="I12" s="66" t="n">
        <f aca="false">I9*I10*I11</f>
        <v>31200</v>
      </c>
      <c r="J12" s="66" t="n">
        <f aca="false">J9*J10*J11</f>
        <v>31200</v>
      </c>
      <c r="K12" s="66" t="n">
        <f aca="false">K9*K10*K11</f>
        <v>31200</v>
      </c>
      <c r="L12" s="66" t="n">
        <f aca="false">L9*L10*L11</f>
        <v>31200</v>
      </c>
      <c r="M12" s="66" t="n">
        <f aca="false">M9*M10*M11</f>
        <v>31200</v>
      </c>
      <c r="N12" s="66" t="n">
        <f aca="false">N9*N10*N11</f>
        <v>31200</v>
      </c>
      <c r="O12" s="66" t="n">
        <f aca="false">O9*O10*O11</f>
        <v>34064.16</v>
      </c>
      <c r="P12" s="66" t="n">
        <f aca="false">P9*P10*P11</f>
        <v>34064.16</v>
      </c>
      <c r="Q12" s="66" t="n">
        <f aca="false">Q9*Q10*Q11</f>
        <v>34064.16</v>
      </c>
      <c r="R12" s="66" t="n">
        <f aca="false">R9*R10*R11</f>
        <v>34064.16</v>
      </c>
      <c r="S12" s="66" t="n">
        <f aca="false">S9*S10*S11</f>
        <v>34064.16</v>
      </c>
      <c r="T12" s="66" t="n">
        <f aca="false">T9*T10*T11</f>
        <v>34064.16</v>
      </c>
      <c r="U12" s="66" t="n">
        <f aca="false">U9*U10*U11</f>
        <v>34064.16</v>
      </c>
      <c r="V12" s="66" t="n">
        <f aca="false">V9*V10*V11</f>
        <v>34064.16</v>
      </c>
      <c r="W12" s="66" t="n">
        <f aca="false">W9*W10*W11</f>
        <v>34064.16</v>
      </c>
      <c r="X12" s="66" t="n">
        <f aca="false">X9*X10*X11</f>
        <v>34064.16</v>
      </c>
      <c r="Y12" s="66" t="n">
        <f aca="false">Y9*Y10*Y11</f>
        <v>34064.16</v>
      </c>
      <c r="Z12" s="66" t="n">
        <f aca="false">Z9*Z10*Z11</f>
        <v>34064.16</v>
      </c>
      <c r="AA12" s="66" t="n">
        <f aca="false">AA9*AA10*AA11</f>
        <v>37191.249888</v>
      </c>
      <c r="AB12" s="66" t="n">
        <f aca="false">AB9*AB10*AB11</f>
        <v>37191.249888</v>
      </c>
      <c r="AC12" s="66" t="n">
        <f aca="false">AC9*AC10*AC11</f>
        <v>37191.249888</v>
      </c>
      <c r="AD12" s="66" t="n">
        <f aca="false">AD9*AD10*AD11</f>
        <v>37191.249888</v>
      </c>
      <c r="AE12" s="66" t="n">
        <f aca="false">AE9*AE10*AE11</f>
        <v>37191.249888</v>
      </c>
      <c r="AF12" s="66" t="n">
        <f aca="false">AF9*AF10*AF11</f>
        <v>37191.249888</v>
      </c>
      <c r="AG12" s="66" t="n">
        <f aca="false">AG9*AG10*AG11</f>
        <v>37191.249888</v>
      </c>
      <c r="AH12" s="66" t="n">
        <f aca="false">AH9*AH10*AH11</f>
        <v>37191.249888</v>
      </c>
      <c r="AI12" s="66" t="n">
        <f aca="false">AI9*AI10*AI11</f>
        <v>37191.249888</v>
      </c>
      <c r="AJ12" s="66" t="n">
        <f aca="false">AJ9*AJ10*AJ11</f>
        <v>37191.249888</v>
      </c>
      <c r="AK12" s="66" t="n">
        <f aca="false">AK9*AK10*AK11</f>
        <v>37191.249888</v>
      </c>
      <c r="AL12" s="66" t="n">
        <f aca="false">AL9*AL10*AL11</f>
        <v>37191.249888</v>
      </c>
      <c r="AM12" s="66" t="n">
        <f aca="false">AM9*AM10*AM11</f>
        <v>40605.4066277184</v>
      </c>
      <c r="AN12" s="66" t="n">
        <f aca="false">AN9*AN10*AN11</f>
        <v>40605.4066277184</v>
      </c>
      <c r="AO12" s="66" t="n">
        <f aca="false">AO9*AO10*AO11</f>
        <v>40605.4066277184</v>
      </c>
      <c r="AP12" s="66" t="n">
        <f aca="false">AP9*AP10*AP11</f>
        <v>40605.4066277184</v>
      </c>
      <c r="AQ12" s="66" t="n">
        <f aca="false">AQ9*AQ10*AQ11</f>
        <v>40605.4066277184</v>
      </c>
      <c r="AR12" s="66" t="n">
        <f aca="false">AR9*AR10*AR11</f>
        <v>40605.4066277184</v>
      </c>
      <c r="AS12" s="66" t="n">
        <f aca="false">AS9*AS10*AS11</f>
        <v>40605.4066277184</v>
      </c>
      <c r="AT12" s="66" t="n">
        <f aca="false">AT9*AT10*AT11</f>
        <v>40605.4066277184</v>
      </c>
      <c r="AU12" s="66" t="n">
        <f aca="false">AU9*AU10*AU11</f>
        <v>40605.4066277184</v>
      </c>
      <c r="AV12" s="66" t="n">
        <f aca="false">AV9*AV10*AV11</f>
        <v>40605.4066277184</v>
      </c>
      <c r="AW12" s="66" t="n">
        <f aca="false">AW9*AW10*AW11</f>
        <v>40605.4066277184</v>
      </c>
      <c r="AX12" s="66" t="n">
        <f aca="false">AX9*AX10*AX11</f>
        <v>40605.4066277184</v>
      </c>
      <c r="AY12" s="66" t="n">
        <f aca="false">AY9*AY10*AY11</f>
        <v>44332.982956143</v>
      </c>
      <c r="AZ12" s="66" t="n">
        <f aca="false">AZ9*AZ10*AZ11</f>
        <v>44332.982956143</v>
      </c>
      <c r="BA12" s="66" t="n">
        <f aca="false">BA9*BA10*BA11</f>
        <v>44332.982956143</v>
      </c>
      <c r="BB12" s="66" t="n">
        <f aca="false">BB9*BB10*BB11</f>
        <v>44332.982956143</v>
      </c>
      <c r="BC12" s="66" t="n">
        <f aca="false">BC9*BC10*BC11</f>
        <v>44332.982956143</v>
      </c>
      <c r="BD12" s="66" t="n">
        <f aca="false">BD9*BD10*BD11</f>
        <v>44332.982956143</v>
      </c>
      <c r="BE12" s="66" t="n">
        <f aca="false">BE9*BE10*BE11</f>
        <v>44332.982956143</v>
      </c>
      <c r="BF12" s="66" t="n">
        <f aca="false">BF9*BF10*BF11</f>
        <v>44332.982956143</v>
      </c>
      <c r="BG12" s="66" t="n">
        <f aca="false">BG9*BG10*BG11</f>
        <v>44332.982956143</v>
      </c>
      <c r="BH12" s="66" t="n">
        <f aca="false">BH9*BH10*BH11</f>
        <v>44332.982956143</v>
      </c>
      <c r="BI12" s="66" t="n">
        <f aca="false">BI9*BI10*BI11</f>
        <v>44332.982956143</v>
      </c>
      <c r="BJ12" s="66" t="n">
        <f aca="false">BJ9*BJ10*BJ11</f>
        <v>44332.982956143</v>
      </c>
    </row>
    <row r="13" customFormat="false" ht="15" hidden="false" customHeight="false" outlineLevel="0" collapsed="false">
      <c r="A13" s="6" t="s">
        <v>74</v>
      </c>
      <c r="C13" s="65" t="n">
        <f aca="false">-C12*Inputs!$E$14</f>
        <v>-5148</v>
      </c>
      <c r="D13" s="65" t="n">
        <f aca="false">-D12*Inputs!$E$14</f>
        <v>-6006</v>
      </c>
      <c r="E13" s="65" t="n">
        <f aca="false">-E12*Inputs!$E$14</f>
        <v>-6864</v>
      </c>
      <c r="F13" s="65" t="n">
        <f aca="false">-F12*Inputs!$E$14</f>
        <v>-7722</v>
      </c>
      <c r="G13" s="65" t="n">
        <f aca="false">-G12*Inputs!$E$14</f>
        <v>-8580</v>
      </c>
      <c r="H13" s="65" t="n">
        <f aca="false">-H12*Inputs!$E$14</f>
        <v>-9438</v>
      </c>
      <c r="I13" s="65" t="n">
        <f aca="false">-I12*Inputs!$E$14</f>
        <v>-10296</v>
      </c>
      <c r="J13" s="65" t="n">
        <f aca="false">-J12*Inputs!$E$14</f>
        <v>-10296</v>
      </c>
      <c r="K13" s="65" t="n">
        <f aca="false">-K12*Inputs!$E$14</f>
        <v>-10296</v>
      </c>
      <c r="L13" s="65" t="n">
        <f aca="false">-L12*Inputs!$E$14</f>
        <v>-10296</v>
      </c>
      <c r="M13" s="65" t="n">
        <f aca="false">-M12*Inputs!$E$14</f>
        <v>-10296</v>
      </c>
      <c r="N13" s="65" t="n">
        <f aca="false">-N12*Inputs!$E$14</f>
        <v>-10296</v>
      </c>
      <c r="O13" s="65" t="n">
        <f aca="false">-O12*Inputs!$E$14</f>
        <v>-11241.1728</v>
      </c>
      <c r="P13" s="65" t="n">
        <f aca="false">-P12*Inputs!$E$14</f>
        <v>-11241.1728</v>
      </c>
      <c r="Q13" s="65" t="n">
        <f aca="false">-Q12*Inputs!$E$14</f>
        <v>-11241.1728</v>
      </c>
      <c r="R13" s="65" t="n">
        <f aca="false">-R12*Inputs!$E$14</f>
        <v>-11241.1728</v>
      </c>
      <c r="S13" s="65" t="n">
        <f aca="false">-S12*Inputs!$E$14</f>
        <v>-11241.1728</v>
      </c>
      <c r="T13" s="65" t="n">
        <f aca="false">-T12*Inputs!$E$14</f>
        <v>-11241.1728</v>
      </c>
      <c r="U13" s="65" t="n">
        <f aca="false">-U12*Inputs!$E$14</f>
        <v>-11241.1728</v>
      </c>
      <c r="V13" s="65" t="n">
        <f aca="false">-V12*Inputs!$E$14</f>
        <v>-11241.1728</v>
      </c>
      <c r="W13" s="65" t="n">
        <f aca="false">-W12*Inputs!$E$14</f>
        <v>-11241.1728</v>
      </c>
      <c r="X13" s="65" t="n">
        <f aca="false">-X12*Inputs!$E$14</f>
        <v>-11241.1728</v>
      </c>
      <c r="Y13" s="65" t="n">
        <f aca="false">-Y12*Inputs!$E$14</f>
        <v>-11241.1728</v>
      </c>
      <c r="Z13" s="65" t="n">
        <f aca="false">-Z12*Inputs!$E$14</f>
        <v>-11241.1728</v>
      </c>
      <c r="AA13" s="65" t="n">
        <f aca="false">-AA12*Inputs!$E$14</f>
        <v>-12273.11246304</v>
      </c>
      <c r="AB13" s="65" t="n">
        <f aca="false">-AB12*Inputs!$E$14</f>
        <v>-12273.11246304</v>
      </c>
      <c r="AC13" s="65" t="n">
        <f aca="false">-AC12*Inputs!$E$14</f>
        <v>-12273.11246304</v>
      </c>
      <c r="AD13" s="65" t="n">
        <f aca="false">-AD12*Inputs!$E$14</f>
        <v>-12273.11246304</v>
      </c>
      <c r="AE13" s="65" t="n">
        <f aca="false">-AE12*Inputs!$E$14</f>
        <v>-12273.11246304</v>
      </c>
      <c r="AF13" s="65" t="n">
        <f aca="false">-AF12*Inputs!$E$14</f>
        <v>-12273.11246304</v>
      </c>
      <c r="AG13" s="65" t="n">
        <f aca="false">-AG12*Inputs!$E$14</f>
        <v>-12273.11246304</v>
      </c>
      <c r="AH13" s="65" t="n">
        <f aca="false">-AH12*Inputs!$E$14</f>
        <v>-12273.11246304</v>
      </c>
      <c r="AI13" s="65" t="n">
        <f aca="false">-AI12*Inputs!$E$14</f>
        <v>-12273.11246304</v>
      </c>
      <c r="AJ13" s="65" t="n">
        <f aca="false">-AJ12*Inputs!$E$14</f>
        <v>-12273.11246304</v>
      </c>
      <c r="AK13" s="65" t="n">
        <f aca="false">-AK12*Inputs!$E$14</f>
        <v>-12273.11246304</v>
      </c>
      <c r="AL13" s="65" t="n">
        <f aca="false">-AL12*Inputs!$E$14</f>
        <v>-12273.11246304</v>
      </c>
      <c r="AM13" s="65" t="n">
        <f aca="false">-AM12*Inputs!$E$14</f>
        <v>-13399.7841871471</v>
      </c>
      <c r="AN13" s="65" t="n">
        <f aca="false">-AN12*Inputs!$E$14</f>
        <v>-13399.7841871471</v>
      </c>
      <c r="AO13" s="65" t="n">
        <f aca="false">-AO12*Inputs!$E$14</f>
        <v>-13399.7841871471</v>
      </c>
      <c r="AP13" s="65" t="n">
        <f aca="false">-AP12*Inputs!$E$14</f>
        <v>-13399.7841871471</v>
      </c>
      <c r="AQ13" s="65" t="n">
        <f aca="false">-AQ12*Inputs!$E$14</f>
        <v>-13399.7841871471</v>
      </c>
      <c r="AR13" s="65" t="n">
        <f aca="false">-AR12*Inputs!$E$14</f>
        <v>-13399.7841871471</v>
      </c>
      <c r="AS13" s="65" t="n">
        <f aca="false">-AS12*Inputs!$E$14</f>
        <v>-13399.7841871471</v>
      </c>
      <c r="AT13" s="65" t="n">
        <f aca="false">-AT12*Inputs!$E$14</f>
        <v>-13399.7841871471</v>
      </c>
      <c r="AU13" s="65" t="n">
        <f aca="false">-AU12*Inputs!$E$14</f>
        <v>-13399.7841871471</v>
      </c>
      <c r="AV13" s="65" t="n">
        <f aca="false">-AV12*Inputs!$E$14</f>
        <v>-13399.7841871471</v>
      </c>
      <c r="AW13" s="65" t="n">
        <f aca="false">-AW12*Inputs!$E$14</f>
        <v>-13399.7841871471</v>
      </c>
      <c r="AX13" s="65" t="n">
        <f aca="false">-AX12*Inputs!$E$14</f>
        <v>-13399.7841871471</v>
      </c>
      <c r="AY13" s="65" t="n">
        <f aca="false">-AY12*Inputs!$E$14</f>
        <v>-14629.8843755272</v>
      </c>
      <c r="AZ13" s="65" t="n">
        <f aca="false">-AZ12*Inputs!$E$14</f>
        <v>-14629.8843755272</v>
      </c>
      <c r="BA13" s="65" t="n">
        <f aca="false">-BA12*Inputs!$E$14</f>
        <v>-14629.8843755272</v>
      </c>
      <c r="BB13" s="65" t="n">
        <f aca="false">-BB12*Inputs!$E$14</f>
        <v>-14629.8843755272</v>
      </c>
      <c r="BC13" s="65" t="n">
        <f aca="false">-BC12*Inputs!$E$14</f>
        <v>-14629.8843755272</v>
      </c>
      <c r="BD13" s="65" t="n">
        <f aca="false">-BD12*Inputs!$E$14</f>
        <v>-14629.8843755272</v>
      </c>
      <c r="BE13" s="65" t="n">
        <f aca="false">-BE12*Inputs!$E$14</f>
        <v>-14629.8843755272</v>
      </c>
      <c r="BF13" s="65" t="n">
        <f aca="false">-BF12*Inputs!$E$14</f>
        <v>-14629.8843755272</v>
      </c>
      <c r="BG13" s="65" t="n">
        <f aca="false">-BG12*Inputs!$E$14</f>
        <v>-14629.8843755272</v>
      </c>
      <c r="BH13" s="65" t="n">
        <f aca="false">-BH12*Inputs!$E$14</f>
        <v>-14629.8843755272</v>
      </c>
      <c r="BI13" s="65" t="n">
        <f aca="false">-BI12*Inputs!$E$14</f>
        <v>-14629.8843755272</v>
      </c>
      <c r="BJ13" s="65" t="n">
        <f aca="false">-BJ12*Inputs!$E$14</f>
        <v>-14629.8843755272</v>
      </c>
    </row>
    <row r="14" customFormat="false" ht="15" hidden="false" customHeight="false" outlineLevel="0" collapsed="false">
      <c r="A14" s="108" t="s">
        <v>45</v>
      </c>
      <c r="C14" s="66" t="n">
        <f aca="false">C12+C13</f>
        <v>10452</v>
      </c>
      <c r="D14" s="66" t="n">
        <f aca="false">D12+D13</f>
        <v>12194</v>
      </c>
      <c r="E14" s="66" t="n">
        <f aca="false">E12+E13</f>
        <v>13936</v>
      </c>
      <c r="F14" s="66" t="n">
        <f aca="false">F12+F13</f>
        <v>15678</v>
      </c>
      <c r="G14" s="66" t="n">
        <f aca="false">G12+G13</f>
        <v>17420</v>
      </c>
      <c r="H14" s="66" t="n">
        <f aca="false">H12+H13</f>
        <v>19162</v>
      </c>
      <c r="I14" s="66" t="n">
        <f aca="false">I12+I13</f>
        <v>20904</v>
      </c>
      <c r="J14" s="66" t="n">
        <f aca="false">J12+J13</f>
        <v>20904</v>
      </c>
      <c r="K14" s="66" t="n">
        <f aca="false">K12+K13</f>
        <v>20904</v>
      </c>
      <c r="L14" s="66" t="n">
        <f aca="false">L12+L13</f>
        <v>20904</v>
      </c>
      <c r="M14" s="66" t="n">
        <f aca="false">M12+M13</f>
        <v>20904</v>
      </c>
      <c r="N14" s="66" t="n">
        <f aca="false">N12+N13</f>
        <v>20904</v>
      </c>
      <c r="O14" s="66" t="n">
        <f aca="false">O12+O13</f>
        <v>22822.9872</v>
      </c>
      <c r="P14" s="66" t="n">
        <f aca="false">P12+P13</f>
        <v>22822.9872</v>
      </c>
      <c r="Q14" s="66" t="n">
        <f aca="false">Q12+Q13</f>
        <v>22822.9872</v>
      </c>
      <c r="R14" s="66" t="n">
        <f aca="false">R12+R13</f>
        <v>22822.9872</v>
      </c>
      <c r="S14" s="66" t="n">
        <f aca="false">S12+S13</f>
        <v>22822.9872</v>
      </c>
      <c r="T14" s="66" t="n">
        <f aca="false">T12+T13</f>
        <v>22822.9872</v>
      </c>
      <c r="U14" s="66" t="n">
        <f aca="false">U12+U13</f>
        <v>22822.9872</v>
      </c>
      <c r="V14" s="66" t="n">
        <f aca="false">V12+V13</f>
        <v>22822.9872</v>
      </c>
      <c r="W14" s="66" t="n">
        <f aca="false">W12+W13</f>
        <v>22822.9872</v>
      </c>
      <c r="X14" s="66" t="n">
        <f aca="false">X12+X13</f>
        <v>22822.9872</v>
      </c>
      <c r="Y14" s="66" t="n">
        <f aca="false">Y12+Y13</f>
        <v>22822.9872</v>
      </c>
      <c r="Z14" s="66" t="n">
        <f aca="false">Z12+Z13</f>
        <v>22822.9872</v>
      </c>
      <c r="AA14" s="66" t="n">
        <f aca="false">AA12+AA13</f>
        <v>24918.13742496</v>
      </c>
      <c r="AB14" s="66" t="n">
        <f aca="false">AB12+AB13</f>
        <v>24918.13742496</v>
      </c>
      <c r="AC14" s="66" t="n">
        <f aca="false">AC12+AC13</f>
        <v>24918.13742496</v>
      </c>
      <c r="AD14" s="66" t="n">
        <f aca="false">AD12+AD13</f>
        <v>24918.13742496</v>
      </c>
      <c r="AE14" s="66" t="n">
        <f aca="false">AE12+AE13</f>
        <v>24918.13742496</v>
      </c>
      <c r="AF14" s="66" t="n">
        <f aca="false">AF12+AF13</f>
        <v>24918.13742496</v>
      </c>
      <c r="AG14" s="66" t="n">
        <f aca="false">AG12+AG13</f>
        <v>24918.13742496</v>
      </c>
      <c r="AH14" s="66" t="n">
        <f aca="false">AH12+AH13</f>
        <v>24918.13742496</v>
      </c>
      <c r="AI14" s="66" t="n">
        <f aca="false">AI12+AI13</f>
        <v>24918.13742496</v>
      </c>
      <c r="AJ14" s="66" t="n">
        <f aca="false">AJ12+AJ13</f>
        <v>24918.13742496</v>
      </c>
      <c r="AK14" s="66" t="n">
        <f aca="false">AK12+AK13</f>
        <v>24918.13742496</v>
      </c>
      <c r="AL14" s="66" t="n">
        <f aca="false">AL12+AL13</f>
        <v>24918.13742496</v>
      </c>
      <c r="AM14" s="66" t="n">
        <f aca="false">AM12+AM13</f>
        <v>27205.6224405713</v>
      </c>
      <c r="AN14" s="66" t="n">
        <f aca="false">AN12+AN13</f>
        <v>27205.6224405713</v>
      </c>
      <c r="AO14" s="66" t="n">
        <f aca="false">AO12+AO13</f>
        <v>27205.6224405713</v>
      </c>
      <c r="AP14" s="66" t="n">
        <f aca="false">AP12+AP13</f>
        <v>27205.6224405713</v>
      </c>
      <c r="AQ14" s="66" t="n">
        <f aca="false">AQ12+AQ13</f>
        <v>27205.6224405713</v>
      </c>
      <c r="AR14" s="66" t="n">
        <f aca="false">AR12+AR13</f>
        <v>27205.6224405713</v>
      </c>
      <c r="AS14" s="66" t="n">
        <f aca="false">AS12+AS13</f>
        <v>27205.6224405713</v>
      </c>
      <c r="AT14" s="66" t="n">
        <f aca="false">AT12+AT13</f>
        <v>27205.6224405713</v>
      </c>
      <c r="AU14" s="66" t="n">
        <f aca="false">AU12+AU13</f>
        <v>27205.6224405713</v>
      </c>
      <c r="AV14" s="66" t="n">
        <f aca="false">AV12+AV13</f>
        <v>27205.6224405713</v>
      </c>
      <c r="AW14" s="66" t="n">
        <f aca="false">AW12+AW13</f>
        <v>27205.6224405713</v>
      </c>
      <c r="AX14" s="66" t="n">
        <f aca="false">AX12+AX13</f>
        <v>27205.6224405713</v>
      </c>
      <c r="AY14" s="66" t="n">
        <f aca="false">AY12+AY13</f>
        <v>29703.0985806158</v>
      </c>
      <c r="AZ14" s="66" t="n">
        <f aca="false">AZ12+AZ13</f>
        <v>29703.0985806158</v>
      </c>
      <c r="BA14" s="66" t="n">
        <f aca="false">BA12+BA13</f>
        <v>29703.0985806158</v>
      </c>
      <c r="BB14" s="66" t="n">
        <f aca="false">BB12+BB13</f>
        <v>29703.0985806158</v>
      </c>
      <c r="BC14" s="66" t="n">
        <f aca="false">BC12+BC13</f>
        <v>29703.0985806158</v>
      </c>
      <c r="BD14" s="66" t="n">
        <f aca="false">BD12+BD13</f>
        <v>29703.0985806158</v>
      </c>
      <c r="BE14" s="66" t="n">
        <f aca="false">BE12+BE13</f>
        <v>29703.0985806158</v>
      </c>
      <c r="BF14" s="66" t="n">
        <f aca="false">BF12+BF13</f>
        <v>29703.0985806158</v>
      </c>
      <c r="BG14" s="66" t="n">
        <f aca="false">BG12+BG13</f>
        <v>29703.0985806158</v>
      </c>
      <c r="BH14" s="66" t="n">
        <f aca="false">BH12+BH13</f>
        <v>29703.0985806158</v>
      </c>
      <c r="BI14" s="66" t="n">
        <f aca="false">BI12+BI13</f>
        <v>29703.0985806158</v>
      </c>
      <c r="BJ14" s="66" t="n">
        <f aca="false">BJ12+BJ13</f>
        <v>29703.0985806158</v>
      </c>
    </row>
    <row r="16" customFormat="false" ht="15.75" hidden="false" customHeight="true" outlineLevel="0" collapsed="false">
      <c r="A16" s="7" t="s">
        <v>47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286</v>
      </c>
      <c r="C17" s="65" t="n">
        <f aca="false">-Inputs!$E$15*1</f>
        <v>-4500</v>
      </c>
      <c r="D17" s="65" t="n">
        <f aca="false">-Inputs!$E$15*1</f>
        <v>-4500</v>
      </c>
      <c r="E17" s="65" t="n">
        <f aca="false">-Inputs!$E$15*1</f>
        <v>-4500</v>
      </c>
      <c r="F17" s="65" t="n">
        <f aca="false">-Inputs!$E$15*1</f>
        <v>-4500</v>
      </c>
      <c r="G17" s="65" t="n">
        <f aca="false">-Inputs!$E$15*1</f>
        <v>-4500</v>
      </c>
      <c r="H17" s="65" t="n">
        <f aca="false">-Inputs!$E$15*1</f>
        <v>-4500</v>
      </c>
      <c r="I17" s="65" t="n">
        <f aca="false">-Inputs!$E$15*1</f>
        <v>-4500</v>
      </c>
      <c r="J17" s="65" t="n">
        <f aca="false">-Inputs!$E$15*1</f>
        <v>-4500</v>
      </c>
      <c r="K17" s="65" t="n">
        <f aca="false">-Inputs!$E$15*1</f>
        <v>-4500</v>
      </c>
      <c r="L17" s="65" t="n">
        <f aca="false">-Inputs!$E$15*1</f>
        <v>-4500</v>
      </c>
      <c r="M17" s="65" t="n">
        <f aca="false">-Inputs!$E$15*1</f>
        <v>-4500</v>
      </c>
      <c r="N17" s="65" t="n">
        <f aca="false">-Inputs!$E$15*1</f>
        <v>-4500</v>
      </c>
      <c r="O17" s="65" t="n">
        <f aca="false">-Inputs!$E$15*1</f>
        <v>-4500</v>
      </c>
      <c r="P17" s="65" t="n">
        <f aca="false">-Inputs!$E$15*1</f>
        <v>-4500</v>
      </c>
      <c r="Q17" s="65" t="n">
        <f aca="false">-Inputs!$E$15*1</f>
        <v>-4500</v>
      </c>
      <c r="R17" s="65" t="n">
        <f aca="false">-Inputs!$E$15*1</f>
        <v>-4500</v>
      </c>
      <c r="S17" s="65" t="n">
        <f aca="false">-Inputs!$E$15*1</f>
        <v>-4500</v>
      </c>
      <c r="T17" s="65" t="n">
        <f aca="false">-Inputs!$E$15*1</f>
        <v>-4500</v>
      </c>
      <c r="U17" s="65" t="n">
        <f aca="false">-Inputs!$E$15*1</f>
        <v>-4500</v>
      </c>
      <c r="V17" s="65" t="n">
        <f aca="false">-Inputs!$E$15*1</f>
        <v>-4500</v>
      </c>
      <c r="W17" s="65" t="n">
        <f aca="false">-Inputs!$E$15*1</f>
        <v>-4500</v>
      </c>
      <c r="X17" s="65" t="n">
        <f aca="false">-Inputs!$E$15*1</f>
        <v>-4500</v>
      </c>
      <c r="Y17" s="65" t="n">
        <f aca="false">-Inputs!$E$15*1</f>
        <v>-4500</v>
      </c>
      <c r="Z17" s="65" t="n">
        <f aca="false">-Inputs!$E$15*1</f>
        <v>-4500</v>
      </c>
      <c r="AA17" s="65" t="n">
        <f aca="false">-Inputs!$E$15*1</f>
        <v>-4500</v>
      </c>
      <c r="AB17" s="65" t="n">
        <f aca="false">-Inputs!$E$15*1</f>
        <v>-4500</v>
      </c>
      <c r="AC17" s="65" t="n">
        <f aca="false">-Inputs!$E$15*1</f>
        <v>-4500</v>
      </c>
      <c r="AD17" s="65" t="n">
        <f aca="false">-Inputs!$E$15*1</f>
        <v>-4500</v>
      </c>
      <c r="AE17" s="65" t="n">
        <f aca="false">-Inputs!$E$15*1</f>
        <v>-4500</v>
      </c>
      <c r="AF17" s="65" t="n">
        <f aca="false">-Inputs!$E$15*1</f>
        <v>-4500</v>
      </c>
      <c r="AG17" s="65" t="n">
        <f aca="false">-Inputs!$E$15*1</f>
        <v>-4500</v>
      </c>
      <c r="AH17" s="65" t="n">
        <f aca="false">-Inputs!$E$15*1</f>
        <v>-4500</v>
      </c>
      <c r="AI17" s="65" t="n">
        <f aca="false">-Inputs!$E$15*1</f>
        <v>-4500</v>
      </c>
      <c r="AJ17" s="65" t="n">
        <f aca="false">-Inputs!$E$15*1</f>
        <v>-4500</v>
      </c>
      <c r="AK17" s="65" t="n">
        <f aca="false">-Inputs!$E$15*1</f>
        <v>-4500</v>
      </c>
      <c r="AL17" s="65" t="n">
        <f aca="false">-Inputs!$E$15*1</f>
        <v>-4500</v>
      </c>
      <c r="AM17" s="65" t="n">
        <f aca="false">-Inputs!$E$15*1</f>
        <v>-4500</v>
      </c>
      <c r="AN17" s="65" t="n">
        <f aca="false">-Inputs!$E$15*1</f>
        <v>-4500</v>
      </c>
      <c r="AO17" s="65" t="n">
        <f aca="false">-Inputs!$E$15*1</f>
        <v>-4500</v>
      </c>
      <c r="AP17" s="65" t="n">
        <f aca="false">-Inputs!$E$15*1</f>
        <v>-4500</v>
      </c>
      <c r="AQ17" s="65" t="n">
        <f aca="false">-Inputs!$E$15*1</f>
        <v>-4500</v>
      </c>
      <c r="AR17" s="65" t="n">
        <f aca="false">-Inputs!$E$15*1</f>
        <v>-4500</v>
      </c>
      <c r="AS17" s="65" t="n">
        <f aca="false">-Inputs!$E$15*1</f>
        <v>-4500</v>
      </c>
      <c r="AT17" s="65" t="n">
        <f aca="false">-Inputs!$E$15*1</f>
        <v>-4500</v>
      </c>
      <c r="AU17" s="65" t="n">
        <f aca="false">-Inputs!$E$15*1</f>
        <v>-4500</v>
      </c>
      <c r="AV17" s="65" t="n">
        <f aca="false">-Inputs!$E$15*1</f>
        <v>-4500</v>
      </c>
      <c r="AW17" s="65" t="n">
        <f aca="false">-Inputs!$E$15*1</f>
        <v>-4500</v>
      </c>
      <c r="AX17" s="65" t="n">
        <f aca="false">-Inputs!$E$15*1</f>
        <v>-4500</v>
      </c>
      <c r="AY17" s="65" t="n">
        <f aca="false">-Inputs!$E$15*1</f>
        <v>-4500</v>
      </c>
      <c r="AZ17" s="65" t="n">
        <f aca="false">-Inputs!$E$15*1</f>
        <v>-4500</v>
      </c>
      <c r="BA17" s="65" t="n">
        <f aca="false">-Inputs!$E$15*1</f>
        <v>-4500</v>
      </c>
      <c r="BB17" s="65" t="n">
        <f aca="false">-Inputs!$E$15*1</f>
        <v>-4500</v>
      </c>
      <c r="BC17" s="65" t="n">
        <f aca="false">-Inputs!$E$15*1</f>
        <v>-4500</v>
      </c>
      <c r="BD17" s="65" t="n">
        <f aca="false">-Inputs!$E$15*1</f>
        <v>-4500</v>
      </c>
      <c r="BE17" s="65" t="n">
        <f aca="false">-Inputs!$E$15*1</f>
        <v>-4500</v>
      </c>
      <c r="BF17" s="65" t="n">
        <f aca="false">-Inputs!$E$15*1</f>
        <v>-4500</v>
      </c>
      <c r="BG17" s="65" t="n">
        <f aca="false">-Inputs!$E$15*1</f>
        <v>-4500</v>
      </c>
      <c r="BH17" s="65" t="n">
        <f aca="false">-Inputs!$E$15*1</f>
        <v>-4500</v>
      </c>
      <c r="BI17" s="65" t="n">
        <f aca="false">-Inputs!$E$15*1</f>
        <v>-4500</v>
      </c>
      <c r="BJ17" s="65" t="n">
        <f aca="false">-Inputs!$E$15*1</f>
        <v>-4500</v>
      </c>
    </row>
    <row r="18" customFormat="false" ht="15" hidden="false" customHeight="false" outlineLevel="0" collapsed="false">
      <c r="A18" s="6" t="s">
        <v>287</v>
      </c>
      <c r="C18" s="67" t="n">
        <f aca="false">Headcount!C13</f>
        <v>-10453.3333333333</v>
      </c>
      <c r="D18" s="67" t="n">
        <f aca="false">Headcount!D13</f>
        <v>-10453.3333333333</v>
      </c>
      <c r="E18" s="67" t="n">
        <f aca="false">Headcount!E13</f>
        <v>-10453.3333333333</v>
      </c>
      <c r="F18" s="67" t="n">
        <f aca="false">Headcount!F13</f>
        <v>-10453.3333333333</v>
      </c>
      <c r="G18" s="67" t="n">
        <f aca="false">Headcount!G13</f>
        <v>-10453.3333333333</v>
      </c>
      <c r="H18" s="67" t="n">
        <f aca="false">Headcount!H13</f>
        <v>-10453.3333333333</v>
      </c>
      <c r="I18" s="67" t="n">
        <f aca="false">Headcount!I13</f>
        <v>-10453.3333333333</v>
      </c>
      <c r="J18" s="67" t="n">
        <f aca="false">Headcount!J13</f>
        <v>-10453.3333333333</v>
      </c>
      <c r="K18" s="67" t="n">
        <f aca="false">Headcount!K13</f>
        <v>-10453.3333333333</v>
      </c>
      <c r="L18" s="67" t="n">
        <f aca="false">Headcount!L13</f>
        <v>-10453.3333333333</v>
      </c>
      <c r="M18" s="67" t="n">
        <f aca="false">Headcount!M13</f>
        <v>-10453.3333333333</v>
      </c>
      <c r="N18" s="67" t="n">
        <f aca="false">Headcount!N13</f>
        <v>-10453.3333333333</v>
      </c>
      <c r="O18" s="67" t="n">
        <f aca="false">Headcount!O13</f>
        <v>-10766.9333333333</v>
      </c>
      <c r="P18" s="67" t="n">
        <f aca="false">Headcount!P13</f>
        <v>-10766.9333333333</v>
      </c>
      <c r="Q18" s="67" t="n">
        <f aca="false">Headcount!Q13</f>
        <v>-10766.9333333333</v>
      </c>
      <c r="R18" s="67" t="n">
        <f aca="false">Headcount!R13</f>
        <v>-10766.9333333333</v>
      </c>
      <c r="S18" s="67" t="n">
        <f aca="false">Headcount!S13</f>
        <v>-10766.9333333333</v>
      </c>
      <c r="T18" s="67" t="n">
        <f aca="false">Headcount!T13</f>
        <v>-10766.9333333333</v>
      </c>
      <c r="U18" s="67" t="n">
        <f aca="false">Headcount!U13</f>
        <v>-10766.9333333333</v>
      </c>
      <c r="V18" s="67" t="n">
        <f aca="false">Headcount!V13</f>
        <v>-10766.9333333333</v>
      </c>
      <c r="W18" s="67" t="n">
        <f aca="false">Headcount!W13</f>
        <v>-10766.9333333333</v>
      </c>
      <c r="X18" s="67" t="n">
        <f aca="false">Headcount!X13</f>
        <v>-10766.9333333333</v>
      </c>
      <c r="Y18" s="67" t="n">
        <f aca="false">Headcount!Y13</f>
        <v>-10766.9333333333</v>
      </c>
      <c r="Z18" s="67" t="n">
        <f aca="false">Headcount!Z13</f>
        <v>-10766.9333333333</v>
      </c>
      <c r="AA18" s="67" t="n">
        <f aca="false">Headcount!AA13</f>
        <v>-11089.9413333333</v>
      </c>
      <c r="AB18" s="67" t="n">
        <f aca="false">Headcount!AB13</f>
        <v>-11089.9413333333</v>
      </c>
      <c r="AC18" s="67" t="n">
        <f aca="false">Headcount!AC13</f>
        <v>-11089.9413333333</v>
      </c>
      <c r="AD18" s="67" t="n">
        <f aca="false">Headcount!AD13</f>
        <v>-11089.9413333333</v>
      </c>
      <c r="AE18" s="67" t="n">
        <f aca="false">Headcount!AE13</f>
        <v>-11089.9413333333</v>
      </c>
      <c r="AF18" s="67" t="n">
        <f aca="false">Headcount!AF13</f>
        <v>-11089.9413333333</v>
      </c>
      <c r="AG18" s="67" t="n">
        <f aca="false">Headcount!AG13</f>
        <v>-11089.9413333333</v>
      </c>
      <c r="AH18" s="67" t="n">
        <f aca="false">Headcount!AH13</f>
        <v>-11089.9413333333</v>
      </c>
      <c r="AI18" s="67" t="n">
        <f aca="false">Headcount!AI13</f>
        <v>-11089.9413333333</v>
      </c>
      <c r="AJ18" s="67" t="n">
        <f aca="false">Headcount!AJ13</f>
        <v>-11089.9413333333</v>
      </c>
      <c r="AK18" s="67" t="n">
        <f aca="false">Headcount!AK13</f>
        <v>-11089.9413333333</v>
      </c>
      <c r="AL18" s="67" t="n">
        <f aca="false">Headcount!AL13</f>
        <v>-11089.9413333333</v>
      </c>
      <c r="AM18" s="67" t="n">
        <f aca="false">Headcount!AM13</f>
        <v>-11422.6395733333</v>
      </c>
      <c r="AN18" s="67" t="n">
        <f aca="false">Headcount!AN13</f>
        <v>-11422.6395733333</v>
      </c>
      <c r="AO18" s="67" t="n">
        <f aca="false">Headcount!AO13</f>
        <v>-11422.6395733333</v>
      </c>
      <c r="AP18" s="67" t="n">
        <f aca="false">Headcount!AP13</f>
        <v>-11422.6395733333</v>
      </c>
      <c r="AQ18" s="67" t="n">
        <f aca="false">Headcount!AQ13</f>
        <v>-11422.6395733333</v>
      </c>
      <c r="AR18" s="67" t="n">
        <f aca="false">Headcount!AR13</f>
        <v>-11422.6395733333</v>
      </c>
      <c r="AS18" s="67" t="n">
        <f aca="false">Headcount!AS13</f>
        <v>-11422.6395733333</v>
      </c>
      <c r="AT18" s="67" t="n">
        <f aca="false">Headcount!AT13</f>
        <v>-11422.6395733333</v>
      </c>
      <c r="AU18" s="67" t="n">
        <f aca="false">Headcount!AU13</f>
        <v>-11422.6395733333</v>
      </c>
      <c r="AV18" s="67" t="n">
        <f aca="false">Headcount!AV13</f>
        <v>-11422.6395733333</v>
      </c>
      <c r="AW18" s="67" t="n">
        <f aca="false">Headcount!AW13</f>
        <v>-11422.6395733333</v>
      </c>
      <c r="AX18" s="67" t="n">
        <f aca="false">Headcount!AX13</f>
        <v>-11422.6395733333</v>
      </c>
      <c r="AY18" s="67" t="n">
        <f aca="false">Headcount!AY13</f>
        <v>-11765.3187605333</v>
      </c>
      <c r="AZ18" s="67" t="n">
        <f aca="false">Headcount!AZ13</f>
        <v>-11765.3187605333</v>
      </c>
      <c r="BA18" s="67" t="n">
        <f aca="false">Headcount!BA13</f>
        <v>-11765.3187605333</v>
      </c>
      <c r="BB18" s="67" t="n">
        <f aca="false">Headcount!BB13</f>
        <v>-11765.3187605333</v>
      </c>
      <c r="BC18" s="67" t="n">
        <f aca="false">Headcount!BC13</f>
        <v>-11765.3187605333</v>
      </c>
      <c r="BD18" s="67" t="n">
        <f aca="false">Headcount!BD13</f>
        <v>-11765.3187605333</v>
      </c>
      <c r="BE18" s="67" t="n">
        <f aca="false">Headcount!BE13</f>
        <v>-11765.3187605333</v>
      </c>
      <c r="BF18" s="67" t="n">
        <f aca="false">Headcount!BF13</f>
        <v>-11765.3187605333</v>
      </c>
      <c r="BG18" s="67" t="n">
        <f aca="false">Headcount!BG13</f>
        <v>-11765.3187605333</v>
      </c>
      <c r="BH18" s="67" t="n">
        <f aca="false">Headcount!BH13</f>
        <v>-11765.3187605333</v>
      </c>
      <c r="BI18" s="67" t="n">
        <f aca="false">Headcount!BI13</f>
        <v>-11765.3187605333</v>
      </c>
      <c r="BJ18" s="67" t="n">
        <f aca="false">Headcount!BJ13</f>
        <v>-11765.3187605333</v>
      </c>
    </row>
    <row r="19" customFormat="false" ht="15" hidden="false" customHeight="false" outlineLevel="0" collapsed="false">
      <c r="A19" s="6" t="s">
        <v>288</v>
      </c>
      <c r="C19" s="65" t="n">
        <f aca="false">-C12*Inputs!$E$16</f>
        <v>-468</v>
      </c>
      <c r="D19" s="65" t="n">
        <f aca="false">-D12*Inputs!$E$16</f>
        <v>-546</v>
      </c>
      <c r="E19" s="65" t="n">
        <f aca="false">-E12*Inputs!$E$16</f>
        <v>-624</v>
      </c>
      <c r="F19" s="65" t="n">
        <f aca="false">-F12*Inputs!$E$16</f>
        <v>-702</v>
      </c>
      <c r="G19" s="65" t="n">
        <f aca="false">-G12*Inputs!$E$16</f>
        <v>-780</v>
      </c>
      <c r="H19" s="65" t="n">
        <f aca="false">-H12*Inputs!$E$16</f>
        <v>-858</v>
      </c>
      <c r="I19" s="65" t="n">
        <f aca="false">-I12*Inputs!$E$16</f>
        <v>-936</v>
      </c>
      <c r="J19" s="65" t="n">
        <f aca="false">-J12*Inputs!$E$16</f>
        <v>-936</v>
      </c>
      <c r="K19" s="65" t="n">
        <f aca="false">-K12*Inputs!$E$16</f>
        <v>-936</v>
      </c>
      <c r="L19" s="65" t="n">
        <f aca="false">-L12*Inputs!$E$16</f>
        <v>-936</v>
      </c>
      <c r="M19" s="65" t="n">
        <f aca="false">-M12*Inputs!$E$16</f>
        <v>-936</v>
      </c>
      <c r="N19" s="65" t="n">
        <f aca="false">-N12*Inputs!$E$16</f>
        <v>-936</v>
      </c>
      <c r="O19" s="65" t="n">
        <f aca="false">-O12*Inputs!$E$16</f>
        <v>-1021.9248</v>
      </c>
      <c r="P19" s="65" t="n">
        <f aca="false">-P12*Inputs!$E$16</f>
        <v>-1021.9248</v>
      </c>
      <c r="Q19" s="65" t="n">
        <f aca="false">-Q12*Inputs!$E$16</f>
        <v>-1021.9248</v>
      </c>
      <c r="R19" s="65" t="n">
        <f aca="false">-R12*Inputs!$E$16</f>
        <v>-1021.9248</v>
      </c>
      <c r="S19" s="65" t="n">
        <f aca="false">-S12*Inputs!$E$16</f>
        <v>-1021.9248</v>
      </c>
      <c r="T19" s="65" t="n">
        <f aca="false">-T12*Inputs!$E$16</f>
        <v>-1021.9248</v>
      </c>
      <c r="U19" s="65" t="n">
        <f aca="false">-U12*Inputs!$E$16</f>
        <v>-1021.9248</v>
      </c>
      <c r="V19" s="65" t="n">
        <f aca="false">-V12*Inputs!$E$16</f>
        <v>-1021.9248</v>
      </c>
      <c r="W19" s="65" t="n">
        <f aca="false">-W12*Inputs!$E$16</f>
        <v>-1021.9248</v>
      </c>
      <c r="X19" s="65" t="n">
        <f aca="false">-X12*Inputs!$E$16</f>
        <v>-1021.9248</v>
      </c>
      <c r="Y19" s="65" t="n">
        <f aca="false">-Y12*Inputs!$E$16</f>
        <v>-1021.9248</v>
      </c>
      <c r="Z19" s="65" t="n">
        <f aca="false">-Z12*Inputs!$E$16</f>
        <v>-1021.9248</v>
      </c>
      <c r="AA19" s="65" t="n">
        <f aca="false">-AA12*Inputs!$E$16</f>
        <v>-1115.73749664</v>
      </c>
      <c r="AB19" s="65" t="n">
        <f aca="false">-AB12*Inputs!$E$16</f>
        <v>-1115.73749664</v>
      </c>
      <c r="AC19" s="65" t="n">
        <f aca="false">-AC12*Inputs!$E$16</f>
        <v>-1115.73749664</v>
      </c>
      <c r="AD19" s="65" t="n">
        <f aca="false">-AD12*Inputs!$E$16</f>
        <v>-1115.73749664</v>
      </c>
      <c r="AE19" s="65" t="n">
        <f aca="false">-AE12*Inputs!$E$16</f>
        <v>-1115.73749664</v>
      </c>
      <c r="AF19" s="65" t="n">
        <f aca="false">-AF12*Inputs!$E$16</f>
        <v>-1115.73749664</v>
      </c>
      <c r="AG19" s="65" t="n">
        <f aca="false">-AG12*Inputs!$E$16</f>
        <v>-1115.73749664</v>
      </c>
      <c r="AH19" s="65" t="n">
        <f aca="false">-AH12*Inputs!$E$16</f>
        <v>-1115.73749664</v>
      </c>
      <c r="AI19" s="65" t="n">
        <f aca="false">-AI12*Inputs!$E$16</f>
        <v>-1115.73749664</v>
      </c>
      <c r="AJ19" s="65" t="n">
        <f aca="false">-AJ12*Inputs!$E$16</f>
        <v>-1115.73749664</v>
      </c>
      <c r="AK19" s="65" t="n">
        <f aca="false">-AK12*Inputs!$E$16</f>
        <v>-1115.73749664</v>
      </c>
      <c r="AL19" s="65" t="n">
        <f aca="false">-AL12*Inputs!$E$16</f>
        <v>-1115.73749664</v>
      </c>
      <c r="AM19" s="65" t="n">
        <f aca="false">-AM12*Inputs!$E$16</f>
        <v>-1218.16219883155</v>
      </c>
      <c r="AN19" s="65" t="n">
        <f aca="false">-AN12*Inputs!$E$16</f>
        <v>-1218.16219883155</v>
      </c>
      <c r="AO19" s="65" t="n">
        <f aca="false">-AO12*Inputs!$E$16</f>
        <v>-1218.16219883155</v>
      </c>
      <c r="AP19" s="65" t="n">
        <f aca="false">-AP12*Inputs!$E$16</f>
        <v>-1218.16219883155</v>
      </c>
      <c r="AQ19" s="65" t="n">
        <f aca="false">-AQ12*Inputs!$E$16</f>
        <v>-1218.16219883155</v>
      </c>
      <c r="AR19" s="65" t="n">
        <f aca="false">-AR12*Inputs!$E$16</f>
        <v>-1218.16219883155</v>
      </c>
      <c r="AS19" s="65" t="n">
        <f aca="false">-AS12*Inputs!$E$16</f>
        <v>-1218.16219883155</v>
      </c>
      <c r="AT19" s="65" t="n">
        <f aca="false">-AT12*Inputs!$E$16</f>
        <v>-1218.16219883155</v>
      </c>
      <c r="AU19" s="65" t="n">
        <f aca="false">-AU12*Inputs!$E$16</f>
        <v>-1218.16219883155</v>
      </c>
      <c r="AV19" s="65" t="n">
        <f aca="false">-AV12*Inputs!$E$16</f>
        <v>-1218.16219883155</v>
      </c>
      <c r="AW19" s="65" t="n">
        <f aca="false">-AW12*Inputs!$E$16</f>
        <v>-1218.16219883155</v>
      </c>
      <c r="AX19" s="65" t="n">
        <f aca="false">-AX12*Inputs!$E$16</f>
        <v>-1218.16219883155</v>
      </c>
      <c r="AY19" s="65" t="n">
        <f aca="false">-AY12*Inputs!$E$16</f>
        <v>-1329.98948868429</v>
      </c>
      <c r="AZ19" s="65" t="n">
        <f aca="false">-AZ12*Inputs!$E$16</f>
        <v>-1329.98948868429</v>
      </c>
      <c r="BA19" s="65" t="n">
        <f aca="false">-BA12*Inputs!$E$16</f>
        <v>-1329.98948868429</v>
      </c>
      <c r="BB19" s="65" t="n">
        <f aca="false">-BB12*Inputs!$E$16</f>
        <v>-1329.98948868429</v>
      </c>
      <c r="BC19" s="65" t="n">
        <f aca="false">-BC12*Inputs!$E$16</f>
        <v>-1329.98948868429</v>
      </c>
      <c r="BD19" s="65" t="n">
        <f aca="false">-BD12*Inputs!$E$16</f>
        <v>-1329.98948868429</v>
      </c>
      <c r="BE19" s="65" t="n">
        <f aca="false">-BE12*Inputs!$E$16</f>
        <v>-1329.98948868429</v>
      </c>
      <c r="BF19" s="65" t="n">
        <f aca="false">-BF12*Inputs!$E$16</f>
        <v>-1329.98948868429</v>
      </c>
      <c r="BG19" s="65" t="n">
        <f aca="false">-BG12*Inputs!$E$16</f>
        <v>-1329.98948868429</v>
      </c>
      <c r="BH19" s="65" t="n">
        <f aca="false">-BH12*Inputs!$E$16</f>
        <v>-1329.98948868429</v>
      </c>
      <c r="BI19" s="65" t="n">
        <f aca="false">-BI12*Inputs!$E$16</f>
        <v>-1329.98948868429</v>
      </c>
      <c r="BJ19" s="65" t="n">
        <f aca="false">-BJ12*Inputs!$E$16</f>
        <v>-1329.98948868429</v>
      </c>
    </row>
    <row r="20" customFormat="false" ht="15" hidden="false" customHeight="false" outlineLevel="0" collapsed="false">
      <c r="A20" s="6" t="s">
        <v>289</v>
      </c>
      <c r="C20" s="65" t="n">
        <f aca="false">-Inputs!$E$17*1</f>
        <v>-2000</v>
      </c>
      <c r="D20" s="65" t="n">
        <f aca="false">-Inputs!$E$17*1</f>
        <v>-2000</v>
      </c>
      <c r="E20" s="65" t="n">
        <f aca="false">-Inputs!$E$17*1</f>
        <v>-2000</v>
      </c>
      <c r="F20" s="65" t="n">
        <f aca="false">-Inputs!$E$17*1</f>
        <v>-2000</v>
      </c>
      <c r="G20" s="65" t="n">
        <f aca="false">-Inputs!$E$17*1</f>
        <v>-2000</v>
      </c>
      <c r="H20" s="65" t="n">
        <f aca="false">-Inputs!$E$17*1</f>
        <v>-2000</v>
      </c>
      <c r="I20" s="65" t="n">
        <f aca="false">-Inputs!$E$17*1</f>
        <v>-2000</v>
      </c>
      <c r="J20" s="65" t="n">
        <f aca="false">-Inputs!$E$17*1</f>
        <v>-2000</v>
      </c>
      <c r="K20" s="65" t="n">
        <f aca="false">-Inputs!$E$17*1</f>
        <v>-2000</v>
      </c>
      <c r="L20" s="65" t="n">
        <f aca="false">-Inputs!$E$17*1</f>
        <v>-2000</v>
      </c>
      <c r="M20" s="65" t="n">
        <f aca="false">-Inputs!$E$17*1</f>
        <v>-2000</v>
      </c>
      <c r="N20" s="65" t="n">
        <f aca="false">-Inputs!$E$17*1</f>
        <v>-2000</v>
      </c>
      <c r="O20" s="65" t="n">
        <f aca="false">-Inputs!$E$17*1</f>
        <v>-2000</v>
      </c>
      <c r="P20" s="65" t="n">
        <f aca="false">-Inputs!$E$17*1</f>
        <v>-2000</v>
      </c>
      <c r="Q20" s="65" t="n">
        <f aca="false">-Inputs!$E$17*1</f>
        <v>-2000</v>
      </c>
      <c r="R20" s="65" t="n">
        <f aca="false">-Inputs!$E$17*1</f>
        <v>-2000</v>
      </c>
      <c r="S20" s="65" t="n">
        <f aca="false">-Inputs!$E$17*1</f>
        <v>-2000</v>
      </c>
      <c r="T20" s="65" t="n">
        <f aca="false">-Inputs!$E$17*1</f>
        <v>-2000</v>
      </c>
      <c r="U20" s="65" t="n">
        <f aca="false">-Inputs!$E$17*1</f>
        <v>-2000</v>
      </c>
      <c r="V20" s="65" t="n">
        <f aca="false">-Inputs!$E$17*1</f>
        <v>-2000</v>
      </c>
      <c r="W20" s="65" t="n">
        <f aca="false">-Inputs!$E$17*1</f>
        <v>-2000</v>
      </c>
      <c r="X20" s="65" t="n">
        <f aca="false">-Inputs!$E$17*1</f>
        <v>-2000</v>
      </c>
      <c r="Y20" s="65" t="n">
        <f aca="false">-Inputs!$E$17*1</f>
        <v>-2000</v>
      </c>
      <c r="Z20" s="65" t="n">
        <f aca="false">-Inputs!$E$17*1</f>
        <v>-2000</v>
      </c>
      <c r="AA20" s="65" t="n">
        <f aca="false">-Inputs!$E$17*1</f>
        <v>-2000</v>
      </c>
      <c r="AB20" s="65" t="n">
        <f aca="false">-Inputs!$E$17*1</f>
        <v>-2000</v>
      </c>
      <c r="AC20" s="65" t="n">
        <f aca="false">-Inputs!$E$17*1</f>
        <v>-2000</v>
      </c>
      <c r="AD20" s="65" t="n">
        <f aca="false">-Inputs!$E$17*1</f>
        <v>-2000</v>
      </c>
      <c r="AE20" s="65" t="n">
        <f aca="false">-Inputs!$E$17*1</f>
        <v>-2000</v>
      </c>
      <c r="AF20" s="65" t="n">
        <f aca="false">-Inputs!$E$17*1</f>
        <v>-2000</v>
      </c>
      <c r="AG20" s="65" t="n">
        <f aca="false">-Inputs!$E$17*1</f>
        <v>-2000</v>
      </c>
      <c r="AH20" s="65" t="n">
        <f aca="false">-Inputs!$E$17*1</f>
        <v>-2000</v>
      </c>
      <c r="AI20" s="65" t="n">
        <f aca="false">-Inputs!$E$17*1</f>
        <v>-2000</v>
      </c>
      <c r="AJ20" s="65" t="n">
        <f aca="false">-Inputs!$E$17*1</f>
        <v>-2000</v>
      </c>
      <c r="AK20" s="65" t="n">
        <f aca="false">-Inputs!$E$17*1</f>
        <v>-2000</v>
      </c>
      <c r="AL20" s="65" t="n">
        <f aca="false">-Inputs!$E$17*1</f>
        <v>-2000</v>
      </c>
      <c r="AM20" s="65" t="n">
        <f aca="false">-Inputs!$E$17*1</f>
        <v>-2000</v>
      </c>
      <c r="AN20" s="65" t="n">
        <f aca="false">-Inputs!$E$17*1</f>
        <v>-2000</v>
      </c>
      <c r="AO20" s="65" t="n">
        <f aca="false">-Inputs!$E$17*1</f>
        <v>-2000</v>
      </c>
      <c r="AP20" s="65" t="n">
        <f aca="false">-Inputs!$E$17*1</f>
        <v>-2000</v>
      </c>
      <c r="AQ20" s="65" t="n">
        <f aca="false">-Inputs!$E$17*1</f>
        <v>-2000</v>
      </c>
      <c r="AR20" s="65" t="n">
        <f aca="false">-Inputs!$E$17*1</f>
        <v>-2000</v>
      </c>
      <c r="AS20" s="65" t="n">
        <f aca="false">-Inputs!$E$17*1</f>
        <v>-2000</v>
      </c>
      <c r="AT20" s="65" t="n">
        <f aca="false">-Inputs!$E$17*1</f>
        <v>-2000</v>
      </c>
      <c r="AU20" s="65" t="n">
        <f aca="false">-Inputs!$E$17*1</f>
        <v>-2000</v>
      </c>
      <c r="AV20" s="65" t="n">
        <f aca="false">-Inputs!$E$17*1</f>
        <v>-2000</v>
      </c>
      <c r="AW20" s="65" t="n">
        <f aca="false">-Inputs!$E$17*1</f>
        <v>-2000</v>
      </c>
      <c r="AX20" s="65" t="n">
        <f aca="false">-Inputs!$E$17*1</f>
        <v>-2000</v>
      </c>
      <c r="AY20" s="65" t="n">
        <f aca="false">-Inputs!$E$17*1</f>
        <v>-2000</v>
      </c>
      <c r="AZ20" s="65" t="n">
        <f aca="false">-Inputs!$E$17*1</f>
        <v>-2000</v>
      </c>
      <c r="BA20" s="65" t="n">
        <f aca="false">-Inputs!$E$17*1</f>
        <v>-2000</v>
      </c>
      <c r="BB20" s="65" t="n">
        <f aca="false">-Inputs!$E$17*1</f>
        <v>-2000</v>
      </c>
      <c r="BC20" s="65" t="n">
        <f aca="false">-Inputs!$E$17*1</f>
        <v>-2000</v>
      </c>
      <c r="BD20" s="65" t="n">
        <f aca="false">-Inputs!$E$17*1</f>
        <v>-2000</v>
      </c>
      <c r="BE20" s="65" t="n">
        <f aca="false">-Inputs!$E$17*1</f>
        <v>-2000</v>
      </c>
      <c r="BF20" s="65" t="n">
        <f aca="false">-Inputs!$E$17*1</f>
        <v>-2000</v>
      </c>
      <c r="BG20" s="65" t="n">
        <f aca="false">-Inputs!$E$17*1</f>
        <v>-2000</v>
      </c>
      <c r="BH20" s="65" t="n">
        <f aca="false">-Inputs!$E$17*1</f>
        <v>-2000</v>
      </c>
      <c r="BI20" s="65" t="n">
        <f aca="false">-Inputs!$E$17*1</f>
        <v>-2000</v>
      </c>
      <c r="BJ20" s="65" t="n">
        <f aca="false">-Inputs!$E$17*1</f>
        <v>-2000</v>
      </c>
    </row>
    <row r="21" customFormat="false" ht="15" hidden="false" customHeight="false" outlineLevel="0" collapsed="false">
      <c r="A21" s="108" t="s">
        <v>75</v>
      </c>
      <c r="C21" s="66" t="n">
        <f aca="false">C17+C18+C19+C20</f>
        <v>-17421.3333333333</v>
      </c>
      <c r="D21" s="66" t="n">
        <f aca="false">D17+D18+D19+D20</f>
        <v>-17499.3333333333</v>
      </c>
      <c r="E21" s="66" t="n">
        <f aca="false">E17+E18+E19+E20</f>
        <v>-17577.3333333333</v>
      </c>
      <c r="F21" s="66" t="n">
        <f aca="false">F17+F18+F19+F20</f>
        <v>-17655.3333333333</v>
      </c>
      <c r="G21" s="66" t="n">
        <f aca="false">G17+G18+G19+G20</f>
        <v>-17733.3333333333</v>
      </c>
      <c r="H21" s="66" t="n">
        <f aca="false">H17+H18+H19+H20</f>
        <v>-17811.3333333333</v>
      </c>
      <c r="I21" s="66" t="n">
        <f aca="false">I17+I18+I19+I20</f>
        <v>-17889.3333333333</v>
      </c>
      <c r="J21" s="66" t="n">
        <f aca="false">J17+J18+J19+J20</f>
        <v>-17889.3333333333</v>
      </c>
      <c r="K21" s="66" t="n">
        <f aca="false">K17+K18+K19+K20</f>
        <v>-17889.3333333333</v>
      </c>
      <c r="L21" s="66" t="n">
        <f aca="false">L17+L18+L19+L20</f>
        <v>-17889.3333333333</v>
      </c>
      <c r="M21" s="66" t="n">
        <f aca="false">M17+M18+M19+M20</f>
        <v>-17889.3333333333</v>
      </c>
      <c r="N21" s="66" t="n">
        <f aca="false">N17+N18+N19+N20</f>
        <v>-17889.3333333333</v>
      </c>
      <c r="O21" s="66" t="n">
        <f aca="false">O17+O18+O19+O20</f>
        <v>-18288.8581333333</v>
      </c>
      <c r="P21" s="66" t="n">
        <f aca="false">P17+P18+P19+P20</f>
        <v>-18288.8581333333</v>
      </c>
      <c r="Q21" s="66" t="n">
        <f aca="false">Q17+Q18+Q19+Q20</f>
        <v>-18288.8581333333</v>
      </c>
      <c r="R21" s="66" t="n">
        <f aca="false">R17+R18+R19+R20</f>
        <v>-18288.8581333333</v>
      </c>
      <c r="S21" s="66" t="n">
        <f aca="false">S17+S18+S19+S20</f>
        <v>-18288.8581333333</v>
      </c>
      <c r="T21" s="66" t="n">
        <f aca="false">T17+T18+T19+T20</f>
        <v>-18288.8581333333</v>
      </c>
      <c r="U21" s="66" t="n">
        <f aca="false">U17+U18+U19+U20</f>
        <v>-18288.8581333333</v>
      </c>
      <c r="V21" s="66" t="n">
        <f aca="false">V17+V18+V19+V20</f>
        <v>-18288.8581333333</v>
      </c>
      <c r="W21" s="66" t="n">
        <f aca="false">W17+W18+W19+W20</f>
        <v>-18288.8581333333</v>
      </c>
      <c r="X21" s="66" t="n">
        <f aca="false">X17+X18+X19+X20</f>
        <v>-18288.8581333333</v>
      </c>
      <c r="Y21" s="66" t="n">
        <f aca="false">Y17+Y18+Y19+Y20</f>
        <v>-18288.8581333333</v>
      </c>
      <c r="Z21" s="66" t="n">
        <f aca="false">Z17+Z18+Z19+Z20</f>
        <v>-18288.8581333333</v>
      </c>
      <c r="AA21" s="66" t="n">
        <f aca="false">AA17+AA18+AA19+AA20</f>
        <v>-18705.6788299733</v>
      </c>
      <c r="AB21" s="66" t="n">
        <f aca="false">AB17+AB18+AB19+AB20</f>
        <v>-18705.6788299733</v>
      </c>
      <c r="AC21" s="66" t="n">
        <f aca="false">AC17+AC18+AC19+AC20</f>
        <v>-18705.6788299733</v>
      </c>
      <c r="AD21" s="66" t="n">
        <f aca="false">AD17+AD18+AD19+AD20</f>
        <v>-18705.6788299733</v>
      </c>
      <c r="AE21" s="66" t="n">
        <f aca="false">AE17+AE18+AE19+AE20</f>
        <v>-18705.6788299733</v>
      </c>
      <c r="AF21" s="66" t="n">
        <f aca="false">AF17+AF18+AF19+AF20</f>
        <v>-18705.6788299733</v>
      </c>
      <c r="AG21" s="66" t="n">
        <f aca="false">AG17+AG18+AG19+AG20</f>
        <v>-18705.6788299733</v>
      </c>
      <c r="AH21" s="66" t="n">
        <f aca="false">AH17+AH18+AH19+AH20</f>
        <v>-18705.6788299733</v>
      </c>
      <c r="AI21" s="66" t="n">
        <f aca="false">AI17+AI18+AI19+AI20</f>
        <v>-18705.6788299733</v>
      </c>
      <c r="AJ21" s="66" t="n">
        <f aca="false">AJ17+AJ18+AJ19+AJ20</f>
        <v>-18705.6788299733</v>
      </c>
      <c r="AK21" s="66" t="n">
        <f aca="false">AK17+AK18+AK19+AK20</f>
        <v>-18705.6788299733</v>
      </c>
      <c r="AL21" s="66" t="n">
        <f aca="false">AL17+AL18+AL19+AL20</f>
        <v>-18705.6788299733</v>
      </c>
      <c r="AM21" s="66" t="n">
        <f aca="false">AM17+AM18+AM19+AM20</f>
        <v>-19140.8017721649</v>
      </c>
      <c r="AN21" s="66" t="n">
        <f aca="false">AN17+AN18+AN19+AN20</f>
        <v>-19140.8017721649</v>
      </c>
      <c r="AO21" s="66" t="n">
        <f aca="false">AO17+AO18+AO19+AO20</f>
        <v>-19140.8017721649</v>
      </c>
      <c r="AP21" s="66" t="n">
        <f aca="false">AP17+AP18+AP19+AP20</f>
        <v>-19140.8017721649</v>
      </c>
      <c r="AQ21" s="66" t="n">
        <f aca="false">AQ17+AQ18+AQ19+AQ20</f>
        <v>-19140.8017721649</v>
      </c>
      <c r="AR21" s="66" t="n">
        <f aca="false">AR17+AR18+AR19+AR20</f>
        <v>-19140.8017721649</v>
      </c>
      <c r="AS21" s="66" t="n">
        <f aca="false">AS17+AS18+AS19+AS20</f>
        <v>-19140.8017721649</v>
      </c>
      <c r="AT21" s="66" t="n">
        <f aca="false">AT17+AT18+AT19+AT20</f>
        <v>-19140.8017721649</v>
      </c>
      <c r="AU21" s="66" t="n">
        <f aca="false">AU17+AU18+AU19+AU20</f>
        <v>-19140.8017721649</v>
      </c>
      <c r="AV21" s="66" t="n">
        <f aca="false">AV17+AV18+AV19+AV20</f>
        <v>-19140.8017721649</v>
      </c>
      <c r="AW21" s="66" t="n">
        <f aca="false">AW17+AW18+AW19+AW20</f>
        <v>-19140.8017721649</v>
      </c>
      <c r="AX21" s="66" t="n">
        <f aca="false">AX17+AX18+AX19+AX20</f>
        <v>-19140.8017721649</v>
      </c>
      <c r="AY21" s="66" t="n">
        <f aca="false">AY17+AY18+AY19+AY20</f>
        <v>-19595.3082492176</v>
      </c>
      <c r="AZ21" s="66" t="n">
        <f aca="false">AZ17+AZ18+AZ19+AZ20</f>
        <v>-19595.3082492176</v>
      </c>
      <c r="BA21" s="66" t="n">
        <f aca="false">BA17+BA18+BA19+BA20</f>
        <v>-19595.3082492176</v>
      </c>
      <c r="BB21" s="66" t="n">
        <f aca="false">BB17+BB18+BB19+BB20</f>
        <v>-19595.3082492176</v>
      </c>
      <c r="BC21" s="66" t="n">
        <f aca="false">BC17+BC18+BC19+BC20</f>
        <v>-19595.3082492176</v>
      </c>
      <c r="BD21" s="66" t="n">
        <f aca="false">BD17+BD18+BD19+BD20</f>
        <v>-19595.3082492176</v>
      </c>
      <c r="BE21" s="66" t="n">
        <f aca="false">BE17+BE18+BE19+BE20</f>
        <v>-19595.3082492176</v>
      </c>
      <c r="BF21" s="66" t="n">
        <f aca="false">BF17+BF18+BF19+BF20</f>
        <v>-19595.3082492176</v>
      </c>
      <c r="BG21" s="66" t="n">
        <f aca="false">BG17+BG18+BG19+BG20</f>
        <v>-19595.3082492176</v>
      </c>
      <c r="BH21" s="66" t="n">
        <f aca="false">BH17+BH18+BH19+BH20</f>
        <v>-19595.3082492176</v>
      </c>
      <c r="BI21" s="66" t="n">
        <f aca="false">BI17+BI18+BI19+BI20</f>
        <v>-19595.3082492176</v>
      </c>
      <c r="BJ21" s="66" t="n">
        <f aca="false">BJ17+BJ18+BJ19+BJ20</f>
        <v>-19595.3082492176</v>
      </c>
    </row>
    <row r="22" customFormat="false" ht="15" hidden="false" customHeight="false" outlineLevel="0" collapsed="false">
      <c r="A22" s="108" t="s">
        <v>48</v>
      </c>
      <c r="C22" s="66" t="n">
        <f aca="false">C14+C21</f>
        <v>-6969.33333333334</v>
      </c>
      <c r="D22" s="66" t="n">
        <f aca="false">D14+D21</f>
        <v>-5305.33333333333</v>
      </c>
      <c r="E22" s="66" t="n">
        <f aca="false">E14+E21</f>
        <v>-3641.33333333334</v>
      </c>
      <c r="F22" s="66" t="n">
        <f aca="false">F14+F21</f>
        <v>-1977.33333333334</v>
      </c>
      <c r="G22" s="66" t="n">
        <f aca="false">G14+G21</f>
        <v>-313.333333333339</v>
      </c>
      <c r="H22" s="66" t="n">
        <f aca="false">H14+H21</f>
        <v>1350.66666666666</v>
      </c>
      <c r="I22" s="66" t="n">
        <f aca="false">I14+I21</f>
        <v>3014.66666666666</v>
      </c>
      <c r="J22" s="66" t="n">
        <f aca="false">J14+J21</f>
        <v>3014.66666666666</v>
      </c>
      <c r="K22" s="66" t="n">
        <f aca="false">K14+K21</f>
        <v>3014.66666666666</v>
      </c>
      <c r="L22" s="66" t="n">
        <f aca="false">L14+L21</f>
        <v>3014.66666666666</v>
      </c>
      <c r="M22" s="66" t="n">
        <f aca="false">M14+M21</f>
        <v>3014.66666666666</v>
      </c>
      <c r="N22" s="66" t="n">
        <f aca="false">N14+N21</f>
        <v>3014.66666666666</v>
      </c>
      <c r="O22" s="66" t="n">
        <f aca="false">O14+O21</f>
        <v>4534.12906666667</v>
      </c>
      <c r="P22" s="66" t="n">
        <f aca="false">P14+P21</f>
        <v>4534.12906666667</v>
      </c>
      <c r="Q22" s="66" t="n">
        <f aca="false">Q14+Q21</f>
        <v>4534.12906666667</v>
      </c>
      <c r="R22" s="66" t="n">
        <f aca="false">R14+R21</f>
        <v>4534.12906666667</v>
      </c>
      <c r="S22" s="66" t="n">
        <f aca="false">S14+S21</f>
        <v>4534.12906666667</v>
      </c>
      <c r="T22" s="66" t="n">
        <f aca="false">T14+T21</f>
        <v>4534.12906666667</v>
      </c>
      <c r="U22" s="66" t="n">
        <f aca="false">U14+U21</f>
        <v>4534.12906666667</v>
      </c>
      <c r="V22" s="66" t="n">
        <f aca="false">V14+V21</f>
        <v>4534.12906666667</v>
      </c>
      <c r="W22" s="66" t="n">
        <f aca="false">W14+W21</f>
        <v>4534.12906666667</v>
      </c>
      <c r="X22" s="66" t="n">
        <f aca="false">X14+X21</f>
        <v>4534.12906666667</v>
      </c>
      <c r="Y22" s="66" t="n">
        <f aca="false">Y14+Y21</f>
        <v>4534.12906666667</v>
      </c>
      <c r="Z22" s="66" t="n">
        <f aca="false">Z14+Z21</f>
        <v>4534.12906666667</v>
      </c>
      <c r="AA22" s="66" t="n">
        <f aca="false">AA14+AA21</f>
        <v>6212.45859498667</v>
      </c>
      <c r="AB22" s="66" t="n">
        <f aca="false">AB14+AB21</f>
        <v>6212.45859498667</v>
      </c>
      <c r="AC22" s="66" t="n">
        <f aca="false">AC14+AC21</f>
        <v>6212.45859498667</v>
      </c>
      <c r="AD22" s="66" t="n">
        <f aca="false">AD14+AD21</f>
        <v>6212.45859498667</v>
      </c>
      <c r="AE22" s="66" t="n">
        <f aca="false">AE14+AE21</f>
        <v>6212.45859498667</v>
      </c>
      <c r="AF22" s="66" t="n">
        <f aca="false">AF14+AF21</f>
        <v>6212.45859498667</v>
      </c>
      <c r="AG22" s="66" t="n">
        <f aca="false">AG14+AG21</f>
        <v>6212.45859498667</v>
      </c>
      <c r="AH22" s="66" t="n">
        <f aca="false">AH14+AH21</f>
        <v>6212.45859498667</v>
      </c>
      <c r="AI22" s="66" t="n">
        <f aca="false">AI14+AI21</f>
        <v>6212.45859498667</v>
      </c>
      <c r="AJ22" s="66" t="n">
        <f aca="false">AJ14+AJ21</f>
        <v>6212.45859498667</v>
      </c>
      <c r="AK22" s="66" t="n">
        <f aca="false">AK14+AK21</f>
        <v>6212.45859498667</v>
      </c>
      <c r="AL22" s="66" t="n">
        <f aca="false">AL14+AL21</f>
        <v>6212.45859498667</v>
      </c>
      <c r="AM22" s="66" t="n">
        <f aca="false">AM14+AM21</f>
        <v>8064.82066840645</v>
      </c>
      <c r="AN22" s="66" t="n">
        <f aca="false">AN14+AN21</f>
        <v>8064.82066840645</v>
      </c>
      <c r="AO22" s="66" t="n">
        <f aca="false">AO14+AO21</f>
        <v>8064.82066840645</v>
      </c>
      <c r="AP22" s="66" t="n">
        <f aca="false">AP14+AP21</f>
        <v>8064.82066840645</v>
      </c>
      <c r="AQ22" s="66" t="n">
        <f aca="false">AQ14+AQ21</f>
        <v>8064.82066840645</v>
      </c>
      <c r="AR22" s="66" t="n">
        <f aca="false">AR14+AR21</f>
        <v>8064.82066840645</v>
      </c>
      <c r="AS22" s="66" t="n">
        <f aca="false">AS14+AS21</f>
        <v>8064.82066840645</v>
      </c>
      <c r="AT22" s="66" t="n">
        <f aca="false">AT14+AT21</f>
        <v>8064.82066840645</v>
      </c>
      <c r="AU22" s="66" t="n">
        <f aca="false">AU14+AU21</f>
        <v>8064.82066840645</v>
      </c>
      <c r="AV22" s="66" t="n">
        <f aca="false">AV14+AV21</f>
        <v>8064.82066840645</v>
      </c>
      <c r="AW22" s="66" t="n">
        <f aca="false">AW14+AW21</f>
        <v>8064.82066840645</v>
      </c>
      <c r="AX22" s="66" t="n">
        <f aca="false">AX14+AX21</f>
        <v>8064.82066840645</v>
      </c>
      <c r="AY22" s="66" t="n">
        <f aca="false">AY14+AY21</f>
        <v>10107.7903313982</v>
      </c>
      <c r="AZ22" s="66" t="n">
        <f aca="false">AZ14+AZ21</f>
        <v>10107.7903313982</v>
      </c>
      <c r="BA22" s="66" t="n">
        <f aca="false">BA14+BA21</f>
        <v>10107.7903313982</v>
      </c>
      <c r="BB22" s="66" t="n">
        <f aca="false">BB14+BB21</f>
        <v>10107.7903313982</v>
      </c>
      <c r="BC22" s="66" t="n">
        <f aca="false">BC14+BC21</f>
        <v>10107.7903313982</v>
      </c>
      <c r="BD22" s="66" t="n">
        <f aca="false">BD14+BD21</f>
        <v>10107.7903313982</v>
      </c>
      <c r="BE22" s="66" t="n">
        <f aca="false">BE14+BE21</f>
        <v>10107.7903313982</v>
      </c>
      <c r="BF22" s="66" t="n">
        <f aca="false">BF14+BF21</f>
        <v>10107.7903313982</v>
      </c>
      <c r="BG22" s="66" t="n">
        <f aca="false">BG14+BG21</f>
        <v>10107.7903313982</v>
      </c>
      <c r="BH22" s="66" t="n">
        <f aca="false">BH14+BH21</f>
        <v>10107.7903313982</v>
      </c>
      <c r="BI22" s="66" t="n">
        <f aca="false">BI14+BI21</f>
        <v>10107.7903313982</v>
      </c>
      <c r="BJ22" s="66" t="n">
        <f aca="false">BJ14+BJ21</f>
        <v>10107.7903313982</v>
      </c>
    </row>
    <row r="24" customFormat="false" ht="15.75" hidden="false" customHeight="true" outlineLevel="0" collapsed="false">
      <c r="A24" s="7" t="s">
        <v>364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4" t="s">
        <v>77</v>
      </c>
      <c r="C25" s="71" t="n">
        <f aca="false">C22+C36</f>
        <v>-8874.09523809524</v>
      </c>
      <c r="D25" s="71" t="n">
        <f aca="false">D22+D36</f>
        <v>-7210.09523809524</v>
      </c>
      <c r="E25" s="71" t="n">
        <f aca="false">E22+E36</f>
        <v>-5546.09523809524</v>
      </c>
      <c r="F25" s="71" t="n">
        <f aca="false">F22+F36</f>
        <v>-3882.09523809524</v>
      </c>
      <c r="G25" s="71" t="n">
        <f aca="false">G22+G36</f>
        <v>-2218.09523809524</v>
      </c>
      <c r="H25" s="71" t="n">
        <f aca="false">H22+H36</f>
        <v>-554.095238095241</v>
      </c>
      <c r="I25" s="71" t="n">
        <f aca="false">I22+I36</f>
        <v>1109.90476190476</v>
      </c>
      <c r="J25" s="71" t="n">
        <f aca="false">J22+J36</f>
        <v>1109.90476190476</v>
      </c>
      <c r="K25" s="71" t="n">
        <f aca="false">K22+K36</f>
        <v>1109.90476190476</v>
      </c>
      <c r="L25" s="71" t="n">
        <f aca="false">L22+L36</f>
        <v>1109.90476190476</v>
      </c>
      <c r="M25" s="71" t="n">
        <f aca="false">M22+M36</f>
        <v>1109.90476190476</v>
      </c>
      <c r="N25" s="71" t="n">
        <f aca="false">N22+N36</f>
        <v>1109.90476190476</v>
      </c>
      <c r="O25" s="71" t="n">
        <f aca="false">O22+O36</f>
        <v>2629.36716190476</v>
      </c>
      <c r="P25" s="71" t="n">
        <f aca="false">P22+P36</f>
        <v>2629.36716190476</v>
      </c>
      <c r="Q25" s="71" t="n">
        <f aca="false">Q22+Q36</f>
        <v>2629.36716190476</v>
      </c>
      <c r="R25" s="71" t="n">
        <f aca="false">R22+R36</f>
        <v>2629.36716190476</v>
      </c>
      <c r="S25" s="71" t="n">
        <f aca="false">S22+S36</f>
        <v>2629.36716190476</v>
      </c>
      <c r="T25" s="71" t="n">
        <f aca="false">T22+T36</f>
        <v>2629.36716190476</v>
      </c>
      <c r="U25" s="71" t="n">
        <f aca="false">U22+U36</f>
        <v>2629.36716190476</v>
      </c>
      <c r="V25" s="71" t="n">
        <f aca="false">V22+V36</f>
        <v>2629.36716190476</v>
      </c>
      <c r="W25" s="71" t="n">
        <f aca="false">W22+W36</f>
        <v>2629.36716190476</v>
      </c>
      <c r="X25" s="71" t="n">
        <f aca="false">X22+X36</f>
        <v>2629.36716190476</v>
      </c>
      <c r="Y25" s="71" t="n">
        <f aca="false">Y22+Y36</f>
        <v>2629.36716190476</v>
      </c>
      <c r="Z25" s="71" t="n">
        <f aca="false">Z22+Z36</f>
        <v>2629.36716190476</v>
      </c>
      <c r="AA25" s="71" t="n">
        <f aca="false">AA22+AA36</f>
        <v>4307.69669022477</v>
      </c>
      <c r="AB25" s="71" t="n">
        <f aca="false">AB22+AB36</f>
        <v>4307.69669022477</v>
      </c>
      <c r="AC25" s="71" t="n">
        <f aca="false">AC22+AC36</f>
        <v>4307.69669022477</v>
      </c>
      <c r="AD25" s="71" t="n">
        <f aca="false">AD22+AD36</f>
        <v>4307.69669022477</v>
      </c>
      <c r="AE25" s="71" t="n">
        <f aca="false">AE22+AE36</f>
        <v>4307.69669022477</v>
      </c>
      <c r="AF25" s="71" t="n">
        <f aca="false">AF22+AF36</f>
        <v>4307.69669022477</v>
      </c>
      <c r="AG25" s="71" t="n">
        <f aca="false">AG22+AG36</f>
        <v>4307.69669022477</v>
      </c>
      <c r="AH25" s="71" t="n">
        <f aca="false">AH22+AH36</f>
        <v>4307.69669022477</v>
      </c>
      <c r="AI25" s="71" t="n">
        <f aca="false">AI22+AI36</f>
        <v>4307.69669022477</v>
      </c>
      <c r="AJ25" s="71" t="n">
        <f aca="false">AJ22+AJ36</f>
        <v>4307.69669022477</v>
      </c>
      <c r="AK25" s="71" t="n">
        <f aca="false">AK22+AK36</f>
        <v>4307.69669022477</v>
      </c>
      <c r="AL25" s="71" t="n">
        <f aca="false">AL22+AL36</f>
        <v>4307.69669022477</v>
      </c>
      <c r="AM25" s="71" t="n">
        <f aca="false">AM22+AM36</f>
        <v>6160.05876364455</v>
      </c>
      <c r="AN25" s="71" t="n">
        <f aca="false">AN22+AN36</f>
        <v>6160.05876364455</v>
      </c>
      <c r="AO25" s="71" t="n">
        <f aca="false">AO22+AO36</f>
        <v>6160.05876364455</v>
      </c>
      <c r="AP25" s="71" t="n">
        <f aca="false">AP22+AP36</f>
        <v>6160.05876364455</v>
      </c>
      <c r="AQ25" s="71" t="n">
        <f aca="false">AQ22+AQ36</f>
        <v>6160.05876364455</v>
      </c>
      <c r="AR25" s="71" t="n">
        <f aca="false">AR22+AR36</f>
        <v>6160.05876364455</v>
      </c>
      <c r="AS25" s="71" t="n">
        <f aca="false">AS22+AS36</f>
        <v>6160.05876364455</v>
      </c>
      <c r="AT25" s="71" t="n">
        <f aca="false">AT22+AT36</f>
        <v>6160.05876364455</v>
      </c>
      <c r="AU25" s="71" t="n">
        <f aca="false">AU22+AU36</f>
        <v>6160.05876364455</v>
      </c>
      <c r="AV25" s="71" t="n">
        <f aca="false">AV22+AV36</f>
        <v>6160.05876364455</v>
      </c>
      <c r="AW25" s="71" t="n">
        <f aca="false">AW22+AW36</f>
        <v>6160.05876364455</v>
      </c>
      <c r="AX25" s="71" t="n">
        <f aca="false">AX22+AX36</f>
        <v>6160.05876364455</v>
      </c>
      <c r="AY25" s="71" t="n">
        <f aca="false">AY22+AY36</f>
        <v>8203.02842663625</v>
      </c>
      <c r="AZ25" s="71" t="n">
        <f aca="false">AZ22+AZ36</f>
        <v>8203.02842663625</v>
      </c>
      <c r="BA25" s="71" t="n">
        <f aca="false">BA22+BA36</f>
        <v>8203.02842663625</v>
      </c>
      <c r="BB25" s="71" t="n">
        <f aca="false">BB22+BB36</f>
        <v>8203.02842663625</v>
      </c>
      <c r="BC25" s="71" t="n">
        <f aca="false">BC22+BC36</f>
        <v>8203.02842663625</v>
      </c>
      <c r="BD25" s="71" t="n">
        <f aca="false">BD22+BD36</f>
        <v>8203.02842663625</v>
      </c>
      <c r="BE25" s="71" t="n">
        <f aca="false">BE22+BE36</f>
        <v>8203.02842663625</v>
      </c>
      <c r="BF25" s="71" t="n">
        <f aca="false">BF22+BF36</f>
        <v>8203.02842663625</v>
      </c>
      <c r="BG25" s="71" t="n">
        <f aca="false">BG22+BG36</f>
        <v>8203.02842663625</v>
      </c>
      <c r="BH25" s="71" t="n">
        <f aca="false">BH22+BH36</f>
        <v>8203.02842663625</v>
      </c>
      <c r="BI25" s="71" t="n">
        <f aca="false">BI22+BI36</f>
        <v>8203.02842663625</v>
      </c>
      <c r="BJ25" s="71" t="n">
        <f aca="false">BJ22+BJ36</f>
        <v>8203.02842663625</v>
      </c>
    </row>
    <row r="26" customFormat="false" ht="15" hidden="false" customHeight="false" outlineLevel="0" collapsed="false">
      <c r="A26" s="6" t="s">
        <v>365</v>
      </c>
      <c r="C26" s="65" t="n">
        <f aca="false">-(C41+C42+C44)/2*Inputs!$E$31/12</f>
        <v>-533.333333333333</v>
      </c>
      <c r="D26" s="65" t="n">
        <f aca="false">-(D41+D42+D44)/2*Inputs!$E$31/12</f>
        <v>-528.888888888889</v>
      </c>
      <c r="E26" s="65" t="n">
        <f aca="false">-(E41+E42+E44)/2*Inputs!$E$31/12</f>
        <v>-520</v>
      </c>
      <c r="F26" s="65" t="n">
        <f aca="false">-(F41+F42+F44)/2*Inputs!$E$31/12</f>
        <v>-511.111111111111</v>
      </c>
      <c r="G26" s="65" t="n">
        <f aca="false">-(G41+G42+G44)/2*Inputs!$E$31/12</f>
        <v>-502.222222222222</v>
      </c>
      <c r="H26" s="65" t="n">
        <f aca="false">-(H41+H42+H44)/2*Inputs!$E$31/12</f>
        <v>-493.333333333334</v>
      </c>
      <c r="I26" s="65" t="n">
        <f aca="false">-(I41+I42+I44)/2*Inputs!$E$31/12</f>
        <v>-484.444444444445</v>
      </c>
      <c r="J26" s="65" t="n">
        <f aca="false">-(J41+J42+J44)/2*Inputs!$E$31/12</f>
        <v>-475.555555555556</v>
      </c>
      <c r="K26" s="65" t="n">
        <f aca="false">-(K41+K42+K44)/2*Inputs!$E$31/12</f>
        <v>-466.666666666667</v>
      </c>
      <c r="L26" s="65" t="n">
        <f aca="false">-(L41+L42+L44)/2*Inputs!$E$31/12</f>
        <v>-457.777777777778</v>
      </c>
      <c r="M26" s="65" t="n">
        <f aca="false">-(M41+M42+M44)/2*Inputs!$E$31/12</f>
        <v>-448.888888888889</v>
      </c>
      <c r="N26" s="65" t="n">
        <f aca="false">-(N41+N42+N44)/2*Inputs!$E$31/12</f>
        <v>-440</v>
      </c>
      <c r="O26" s="65" t="n">
        <f aca="false">-(O41+O42+O44)/2*Inputs!$E$31/12</f>
        <v>-431.111111111112</v>
      </c>
      <c r="P26" s="65" t="n">
        <f aca="false">-(P41+P42+P44)/2*Inputs!$E$31/12</f>
        <v>-422.222222222222</v>
      </c>
      <c r="Q26" s="65" t="n">
        <f aca="false">-(Q41+Q42+Q44)/2*Inputs!$E$31/12</f>
        <v>-413.333333333334</v>
      </c>
      <c r="R26" s="65" t="n">
        <f aca="false">-(R41+R42+R44)/2*Inputs!$E$31/12</f>
        <v>-404.444444444445</v>
      </c>
      <c r="S26" s="65" t="n">
        <f aca="false">-(S41+S42+S44)/2*Inputs!$E$31/12</f>
        <v>-395.555555555556</v>
      </c>
      <c r="T26" s="65" t="n">
        <f aca="false">-(T41+T42+T44)/2*Inputs!$E$31/12</f>
        <v>-386.666666666667</v>
      </c>
      <c r="U26" s="65" t="n">
        <f aca="false">-(U41+U42+U44)/2*Inputs!$E$31/12</f>
        <v>-377.777777777778</v>
      </c>
      <c r="V26" s="65" t="n">
        <f aca="false">-(V41+V42+V44)/2*Inputs!$E$31/12</f>
        <v>-368.888888888889</v>
      </c>
      <c r="W26" s="65" t="n">
        <f aca="false">-(W41+W42+W44)/2*Inputs!$E$31/12</f>
        <v>-360</v>
      </c>
      <c r="X26" s="65" t="n">
        <f aca="false">-(X41+X42+X44)/2*Inputs!$E$31/12</f>
        <v>-351.111111111111</v>
      </c>
      <c r="Y26" s="65" t="n">
        <f aca="false">-(Y41+Y42+Y44)/2*Inputs!$E$31/12</f>
        <v>-342.222222222222</v>
      </c>
      <c r="Z26" s="65" t="n">
        <f aca="false">-(Z41+Z42+Z44)/2*Inputs!$E$31/12</f>
        <v>-333.333333333333</v>
      </c>
      <c r="AA26" s="65" t="n">
        <f aca="false">-(AA41+AA42+AA44)/2*Inputs!$E$31/12</f>
        <v>-324.444444444445</v>
      </c>
      <c r="AB26" s="65" t="n">
        <f aca="false">-(AB41+AB42+AB44)/2*Inputs!$E$31/12</f>
        <v>-315.555555555556</v>
      </c>
      <c r="AC26" s="65" t="n">
        <f aca="false">-(AC41+AC42+AC44)/2*Inputs!$E$31/12</f>
        <v>-306.666666666667</v>
      </c>
      <c r="AD26" s="65" t="n">
        <f aca="false">-(AD41+AD42+AD44)/2*Inputs!$E$31/12</f>
        <v>-297.777777777778</v>
      </c>
      <c r="AE26" s="65" t="n">
        <f aca="false">-(AE41+AE42+AE44)/2*Inputs!$E$31/12</f>
        <v>-288.888888888889</v>
      </c>
      <c r="AF26" s="65" t="n">
        <f aca="false">-(AF41+AF42+AF44)/2*Inputs!$E$31/12</f>
        <v>-280</v>
      </c>
      <c r="AG26" s="65" t="n">
        <f aca="false">-(AG41+AG42+AG44)/2*Inputs!$E$31/12</f>
        <v>-271.111111111111</v>
      </c>
      <c r="AH26" s="65" t="n">
        <f aca="false">-(AH41+AH42+AH44)/2*Inputs!$E$31/12</f>
        <v>-262.222222222222</v>
      </c>
      <c r="AI26" s="65" t="n">
        <f aca="false">-(AI41+AI42+AI44)/2*Inputs!$E$31/12</f>
        <v>-253.333333333333</v>
      </c>
      <c r="AJ26" s="65" t="n">
        <f aca="false">-(AJ41+AJ42+AJ44)/2*Inputs!$E$31/12</f>
        <v>-244.444444444444</v>
      </c>
      <c r="AK26" s="65" t="n">
        <f aca="false">-(AK41+AK42+AK44)/2*Inputs!$E$31/12</f>
        <v>-235.555555555556</v>
      </c>
      <c r="AL26" s="65" t="n">
        <f aca="false">-(AL41+AL42+AL44)/2*Inputs!$E$31/12</f>
        <v>-226.666666666667</v>
      </c>
      <c r="AM26" s="65" t="n">
        <f aca="false">-(AM41+AM42+AM44)/2*Inputs!$E$31/12</f>
        <v>-217.777777777778</v>
      </c>
      <c r="AN26" s="65" t="n">
        <f aca="false">-(AN41+AN42+AN44)/2*Inputs!$E$31/12</f>
        <v>-208.888888888889</v>
      </c>
      <c r="AO26" s="65" t="n">
        <f aca="false">-(AO41+AO42+AO44)/2*Inputs!$E$31/12</f>
        <v>-200</v>
      </c>
      <c r="AP26" s="65" t="n">
        <f aca="false">-(AP41+AP42+AP44)/2*Inputs!$E$31/12</f>
        <v>-191.111111111111</v>
      </c>
      <c r="AQ26" s="65" t="n">
        <f aca="false">-(AQ41+AQ42+AQ44)/2*Inputs!$E$31/12</f>
        <v>-182.222222222222</v>
      </c>
      <c r="AR26" s="65" t="n">
        <f aca="false">-(AR41+AR42+AR44)/2*Inputs!$E$31/12</f>
        <v>-173.333333333333</v>
      </c>
      <c r="AS26" s="65" t="n">
        <f aca="false">-(AS41+AS42+AS44)/2*Inputs!$E$31/12</f>
        <v>-164.444444444444</v>
      </c>
      <c r="AT26" s="65" t="n">
        <f aca="false">-(AT41+AT42+AT44)/2*Inputs!$E$31/12</f>
        <v>-155.555555555556</v>
      </c>
      <c r="AU26" s="65" t="n">
        <f aca="false">-(AU41+AU42+AU44)/2*Inputs!$E$31/12</f>
        <v>-146.666666666667</v>
      </c>
      <c r="AV26" s="65" t="n">
        <f aca="false">-(AV41+AV42+AV44)/2*Inputs!$E$31/12</f>
        <v>-137.777777777778</v>
      </c>
      <c r="AW26" s="65" t="n">
        <f aca="false">-(AW41+AW42+AW44)/2*Inputs!$E$31/12</f>
        <v>-128.888888888889</v>
      </c>
      <c r="AX26" s="65" t="n">
        <f aca="false">-(AX41+AX42+AX44)/2*Inputs!$E$31/12</f>
        <v>-120</v>
      </c>
      <c r="AY26" s="65" t="n">
        <f aca="false">-(AY41+AY42+AY44)/2*Inputs!$E$31/12</f>
        <v>-111.111111111111</v>
      </c>
      <c r="AZ26" s="65" t="n">
        <f aca="false">-(AZ41+AZ42+AZ44)/2*Inputs!$E$31/12</f>
        <v>-102.222222222222</v>
      </c>
      <c r="BA26" s="65" t="n">
        <f aca="false">-(BA41+BA42+BA44)/2*Inputs!$E$31/12</f>
        <v>-93.3333333333333</v>
      </c>
      <c r="BB26" s="65" t="n">
        <f aca="false">-(BB41+BB42+BB44)/2*Inputs!$E$31/12</f>
        <v>-84.4444444444445</v>
      </c>
      <c r="BC26" s="65" t="n">
        <f aca="false">-(BC41+BC42+BC44)/2*Inputs!$E$31/12</f>
        <v>-75.5555555555556</v>
      </c>
      <c r="BD26" s="65" t="n">
        <f aca="false">-(BD41+BD42+BD44)/2*Inputs!$E$31/12</f>
        <v>-66.6666666666667</v>
      </c>
      <c r="BE26" s="65" t="n">
        <f aca="false">-(BE41+BE42+BE44)/2*Inputs!$E$31/12</f>
        <v>-57.7777777777778</v>
      </c>
      <c r="BF26" s="65" t="n">
        <f aca="false">-(BF41+BF42+BF44)/2*Inputs!$E$31/12</f>
        <v>-48.8888888888889</v>
      </c>
      <c r="BG26" s="65" t="n">
        <f aca="false">-(BG41+BG42+BG44)/2*Inputs!$E$31/12</f>
        <v>-40</v>
      </c>
      <c r="BH26" s="65" t="n">
        <f aca="false">-(BH41+BH42+BH44)/2*Inputs!$E$31/12</f>
        <v>-31.1111111111111</v>
      </c>
      <c r="BI26" s="65" t="n">
        <f aca="false">-(BI41+BI42+BI44)/2*Inputs!$E$31/12</f>
        <v>-22.2222222222222</v>
      </c>
      <c r="BJ26" s="65" t="n">
        <f aca="false">-(BJ41+BJ42+BJ44)/2*Inputs!$E$31/12</f>
        <v>-13.3333333333333</v>
      </c>
    </row>
    <row r="27" customFormat="false" ht="15" hidden="false" customHeight="false" outlineLevel="0" collapsed="false">
      <c r="A27" s="108" t="s">
        <v>79</v>
      </c>
      <c r="C27" s="66" t="n">
        <f aca="false">C25+C26</f>
        <v>-9407.42857142857</v>
      </c>
      <c r="D27" s="66" t="n">
        <f aca="false">D25+D26</f>
        <v>-7738.98412698413</v>
      </c>
      <c r="E27" s="66" t="n">
        <f aca="false">E25+E26</f>
        <v>-6066.09523809524</v>
      </c>
      <c r="F27" s="66" t="n">
        <f aca="false">F25+F26</f>
        <v>-4393.20634920635</v>
      </c>
      <c r="G27" s="66" t="n">
        <f aca="false">G25+G26</f>
        <v>-2720.31746031747</v>
      </c>
      <c r="H27" s="66" t="n">
        <f aca="false">H25+H26</f>
        <v>-1047.42857142857</v>
      </c>
      <c r="I27" s="66" t="n">
        <f aca="false">I25+I26</f>
        <v>625.460317460315</v>
      </c>
      <c r="J27" s="66" t="n">
        <f aca="false">J25+J26</f>
        <v>634.349206349204</v>
      </c>
      <c r="K27" s="66" t="n">
        <f aca="false">K25+K26</f>
        <v>643.238095238093</v>
      </c>
      <c r="L27" s="66" t="n">
        <f aca="false">L25+L26</f>
        <v>652.126984126981</v>
      </c>
      <c r="M27" s="66" t="n">
        <f aca="false">M25+M26</f>
        <v>661.01587301587</v>
      </c>
      <c r="N27" s="66" t="n">
        <f aca="false">N25+N26</f>
        <v>669.904761904759</v>
      </c>
      <c r="O27" s="66" t="n">
        <f aca="false">O25+O26</f>
        <v>2198.25605079365</v>
      </c>
      <c r="P27" s="66" t="n">
        <f aca="false">P25+P26</f>
        <v>2207.14493968254</v>
      </c>
      <c r="Q27" s="66" t="n">
        <f aca="false">Q25+Q26</f>
        <v>2216.03382857143</v>
      </c>
      <c r="R27" s="66" t="n">
        <f aca="false">R25+R26</f>
        <v>2224.92271746032</v>
      </c>
      <c r="S27" s="66" t="n">
        <f aca="false">S25+S26</f>
        <v>2233.81160634921</v>
      </c>
      <c r="T27" s="66" t="n">
        <f aca="false">T25+T26</f>
        <v>2242.7004952381</v>
      </c>
      <c r="U27" s="66" t="n">
        <f aca="false">U25+U26</f>
        <v>2251.58938412699</v>
      </c>
      <c r="V27" s="66" t="n">
        <f aca="false">V25+V26</f>
        <v>2260.47827301587</v>
      </c>
      <c r="W27" s="66" t="n">
        <f aca="false">W25+W26</f>
        <v>2269.36716190476</v>
      </c>
      <c r="X27" s="66" t="n">
        <f aca="false">X25+X26</f>
        <v>2278.25605079365</v>
      </c>
      <c r="Y27" s="66" t="n">
        <f aca="false">Y25+Y26</f>
        <v>2287.14493968254</v>
      </c>
      <c r="Z27" s="66" t="n">
        <f aca="false">Z25+Z26</f>
        <v>2296.03382857143</v>
      </c>
      <c r="AA27" s="66" t="n">
        <f aca="false">AA25+AA26</f>
        <v>3983.25224578032</v>
      </c>
      <c r="AB27" s="66" t="n">
        <f aca="false">AB25+AB26</f>
        <v>3992.14113466921</v>
      </c>
      <c r="AC27" s="66" t="n">
        <f aca="false">AC25+AC26</f>
        <v>4001.0300235581</v>
      </c>
      <c r="AD27" s="66" t="n">
        <f aca="false">AD25+AD26</f>
        <v>4009.91891244699</v>
      </c>
      <c r="AE27" s="66" t="n">
        <f aca="false">AE25+AE26</f>
        <v>4018.80780133588</v>
      </c>
      <c r="AF27" s="66" t="n">
        <f aca="false">AF25+AF26</f>
        <v>4027.69669022477</v>
      </c>
      <c r="AG27" s="66" t="n">
        <f aca="false">AG25+AG26</f>
        <v>4036.58557911365</v>
      </c>
      <c r="AH27" s="66" t="n">
        <f aca="false">AH25+AH26</f>
        <v>4045.47446800254</v>
      </c>
      <c r="AI27" s="66" t="n">
        <f aca="false">AI25+AI26</f>
        <v>4054.36335689143</v>
      </c>
      <c r="AJ27" s="66" t="n">
        <f aca="false">AJ25+AJ26</f>
        <v>4063.25224578032</v>
      </c>
      <c r="AK27" s="66" t="n">
        <f aca="false">AK25+AK26</f>
        <v>4072.14113466921</v>
      </c>
      <c r="AL27" s="66" t="n">
        <f aca="false">AL25+AL26</f>
        <v>4081.0300235581</v>
      </c>
      <c r="AM27" s="66" t="n">
        <f aca="false">AM25+AM26</f>
        <v>5942.28098586677</v>
      </c>
      <c r="AN27" s="66" t="n">
        <f aca="false">AN25+AN26</f>
        <v>5951.16987475566</v>
      </c>
      <c r="AO27" s="66" t="n">
        <f aca="false">AO25+AO26</f>
        <v>5960.05876364455</v>
      </c>
      <c r="AP27" s="66" t="n">
        <f aca="false">AP25+AP26</f>
        <v>5968.94765253343</v>
      </c>
      <c r="AQ27" s="66" t="n">
        <f aca="false">AQ25+AQ26</f>
        <v>5977.83654142232</v>
      </c>
      <c r="AR27" s="66" t="n">
        <f aca="false">AR25+AR26</f>
        <v>5986.72543031121</v>
      </c>
      <c r="AS27" s="66" t="n">
        <f aca="false">AS25+AS26</f>
        <v>5995.6143192001</v>
      </c>
      <c r="AT27" s="66" t="n">
        <f aca="false">AT25+AT26</f>
        <v>6004.50320808899</v>
      </c>
      <c r="AU27" s="66" t="n">
        <f aca="false">AU25+AU26</f>
        <v>6013.39209697788</v>
      </c>
      <c r="AV27" s="66" t="n">
        <f aca="false">AV25+AV26</f>
        <v>6022.28098586677</v>
      </c>
      <c r="AW27" s="66" t="n">
        <f aca="false">AW25+AW26</f>
        <v>6031.16987475566</v>
      </c>
      <c r="AX27" s="66" t="n">
        <f aca="false">AX25+AX26</f>
        <v>6040.05876364455</v>
      </c>
      <c r="AY27" s="66" t="n">
        <f aca="false">AY25+AY26</f>
        <v>8091.91731552514</v>
      </c>
      <c r="AZ27" s="66" t="n">
        <f aca="false">AZ25+AZ26</f>
        <v>8100.80620441403</v>
      </c>
      <c r="BA27" s="66" t="n">
        <f aca="false">BA25+BA26</f>
        <v>8109.69509330292</v>
      </c>
      <c r="BB27" s="66" t="n">
        <f aca="false">BB25+BB26</f>
        <v>8118.58398219181</v>
      </c>
      <c r="BC27" s="66" t="n">
        <f aca="false">BC25+BC26</f>
        <v>8127.4728710807</v>
      </c>
      <c r="BD27" s="66" t="n">
        <f aca="false">BD25+BD26</f>
        <v>8136.36175996959</v>
      </c>
      <c r="BE27" s="66" t="n">
        <f aca="false">BE25+BE26</f>
        <v>8145.25064885848</v>
      </c>
      <c r="BF27" s="66" t="n">
        <f aca="false">BF25+BF26</f>
        <v>8154.13953774737</v>
      </c>
      <c r="BG27" s="66" t="n">
        <f aca="false">BG25+BG26</f>
        <v>8163.02842663625</v>
      </c>
      <c r="BH27" s="66" t="n">
        <f aca="false">BH25+BH26</f>
        <v>8171.91731552514</v>
      </c>
      <c r="BI27" s="66" t="n">
        <f aca="false">BI25+BI26</f>
        <v>8180.80620441403</v>
      </c>
      <c r="BJ27" s="66" t="n">
        <f aca="false">BJ25+BJ26</f>
        <v>8189.69509330292</v>
      </c>
    </row>
    <row r="28" customFormat="false" ht="15" hidden="false" customHeight="false" outlineLevel="0" collapsed="false">
      <c r="A28" s="114" t="s">
        <v>366</v>
      </c>
      <c r="C28" s="65" t="n">
        <f aca="false">C27</f>
        <v>-9407.42857142857</v>
      </c>
      <c r="D28" s="65" t="n">
        <f aca="false">C28+D27</f>
        <v>-17146.4126984127</v>
      </c>
      <c r="E28" s="65" t="n">
        <f aca="false">D28+E27</f>
        <v>-23212.5079365079</v>
      </c>
      <c r="F28" s="65" t="n">
        <f aca="false">E28+F27</f>
        <v>-27605.7142857143</v>
      </c>
      <c r="G28" s="65" t="n">
        <f aca="false">F28+G27</f>
        <v>-30326.0317460318</v>
      </c>
      <c r="H28" s="65" t="n">
        <f aca="false">G28+H27</f>
        <v>-31373.4603174603</v>
      </c>
      <c r="I28" s="65" t="n">
        <f aca="false">H28+I27</f>
        <v>-30748</v>
      </c>
      <c r="J28" s="65" t="n">
        <f aca="false">I28+J27</f>
        <v>-30113.6507936508</v>
      </c>
      <c r="K28" s="65" t="n">
        <f aca="false">J28+K27</f>
        <v>-29470.4126984127</v>
      </c>
      <c r="L28" s="65" t="n">
        <f aca="false">K28+L27</f>
        <v>-28818.2857142857</v>
      </c>
      <c r="M28" s="65" t="n">
        <f aca="false">L28+M27</f>
        <v>-28157.2698412699</v>
      </c>
      <c r="N28" s="65" t="n">
        <f aca="false">M28+N27</f>
        <v>-27487.3650793651</v>
      </c>
      <c r="O28" s="65" t="n">
        <f aca="false">N28+O27</f>
        <v>-25289.1090285715</v>
      </c>
      <c r="P28" s="65" t="n">
        <f aca="false">O28+P27</f>
        <v>-23081.9640888889</v>
      </c>
      <c r="Q28" s="65" t="n">
        <f aca="false">P28+Q27</f>
        <v>-20865.9302603175</v>
      </c>
      <c r="R28" s="65" t="n">
        <f aca="false">Q28+R27</f>
        <v>-18641.0075428572</v>
      </c>
      <c r="S28" s="65" t="n">
        <f aca="false">R28+S27</f>
        <v>-16407.195936508</v>
      </c>
      <c r="T28" s="65" t="n">
        <f aca="false">S28+T27</f>
        <v>-14164.4954412699</v>
      </c>
      <c r="U28" s="65" t="n">
        <f aca="false">T28+U27</f>
        <v>-11912.9060571429</v>
      </c>
      <c r="V28" s="65" t="n">
        <f aca="false">U28+V27</f>
        <v>-9652.427784127</v>
      </c>
      <c r="W28" s="65" t="n">
        <f aca="false">V28+W27</f>
        <v>-7383.06062222224</v>
      </c>
      <c r="X28" s="65" t="n">
        <f aca="false">W28+X27</f>
        <v>-5104.80457142859</v>
      </c>
      <c r="Y28" s="65" t="n">
        <f aca="false">X28+Y27</f>
        <v>-2817.65963174605</v>
      </c>
      <c r="Z28" s="65" t="n">
        <f aca="false">Y28+Z27</f>
        <v>-521.625803174616</v>
      </c>
      <c r="AA28" s="65" t="n">
        <f aca="false">Z28+AA27</f>
        <v>3461.62644260571</v>
      </c>
      <c r="AB28" s="65" t="n">
        <f aca="false">AA28+AB27</f>
        <v>7453.76757727492</v>
      </c>
      <c r="AC28" s="65" t="n">
        <f aca="false">AB28+AC27</f>
        <v>11454.797600833</v>
      </c>
      <c r="AD28" s="65" t="n">
        <f aca="false">AC28+AD27</f>
        <v>15464.71651328</v>
      </c>
      <c r="AE28" s="65" t="n">
        <f aca="false">AD28+AE27</f>
        <v>19483.5243146159</v>
      </c>
      <c r="AF28" s="65" t="n">
        <f aca="false">AE28+AF27</f>
        <v>23511.2210048406</v>
      </c>
      <c r="AG28" s="65" t="n">
        <f aca="false">AF28+AG27</f>
        <v>27547.8065839543</v>
      </c>
      <c r="AH28" s="65" t="n">
        <f aca="false">AG28+AH27</f>
        <v>31593.2810519568</v>
      </c>
      <c r="AI28" s="65" t="n">
        <f aca="false">AH28+AI27</f>
        <v>35647.6444088483</v>
      </c>
      <c r="AJ28" s="65" t="n">
        <f aca="false">AI28+AJ27</f>
        <v>39710.8966546286</v>
      </c>
      <c r="AK28" s="65" t="n">
        <f aca="false">AJ28+AK27</f>
        <v>43783.0377892978</v>
      </c>
      <c r="AL28" s="65" t="n">
        <f aca="false">AK28+AL27</f>
        <v>47864.0678128559</v>
      </c>
      <c r="AM28" s="65" t="n">
        <f aca="false">AL28+AM27</f>
        <v>53806.3487987227</v>
      </c>
      <c r="AN28" s="65" t="n">
        <f aca="false">AM28+AN27</f>
        <v>59757.5186734783</v>
      </c>
      <c r="AO28" s="65" t="n">
        <f aca="false">AN28+AO27</f>
        <v>65717.5774371229</v>
      </c>
      <c r="AP28" s="65" t="n">
        <f aca="false">AO28+AP27</f>
        <v>71686.5250896563</v>
      </c>
      <c r="AQ28" s="65" t="n">
        <f aca="false">AP28+AQ27</f>
        <v>77664.3616310786</v>
      </c>
      <c r="AR28" s="65" t="n">
        <f aca="false">AQ28+AR27</f>
        <v>83651.0870613898</v>
      </c>
      <c r="AS28" s="65" t="n">
        <f aca="false">AR28+AS27</f>
        <v>89646.70138059</v>
      </c>
      <c r="AT28" s="65" t="n">
        <f aca="false">AS28+AT27</f>
        <v>95651.2045886789</v>
      </c>
      <c r="AU28" s="65" t="n">
        <f aca="false">AT28+AU27</f>
        <v>101664.596685657</v>
      </c>
      <c r="AV28" s="65" t="n">
        <f aca="false">AU28+AV27</f>
        <v>107686.877671524</v>
      </c>
      <c r="AW28" s="65" t="n">
        <f aca="false">AV28+AW27</f>
        <v>113718.047546279</v>
      </c>
      <c r="AX28" s="65" t="n">
        <f aca="false">AW28+AX27</f>
        <v>119758.106309924</v>
      </c>
      <c r="AY28" s="65" t="n">
        <f aca="false">AX28+AY27</f>
        <v>127850.023625449</v>
      </c>
      <c r="AZ28" s="65" t="n">
        <f aca="false">AY28+AZ27</f>
        <v>135950.829829863</v>
      </c>
      <c r="BA28" s="65" t="n">
        <f aca="false">AZ28+BA27</f>
        <v>144060.524923166</v>
      </c>
      <c r="BB28" s="65" t="n">
        <f aca="false">BA28+BB27</f>
        <v>152179.108905358</v>
      </c>
      <c r="BC28" s="65" t="n">
        <f aca="false">BB28+BC27</f>
        <v>160306.581776438</v>
      </c>
      <c r="BD28" s="65" t="n">
        <f aca="false">BC28+BD27</f>
        <v>168442.943536408</v>
      </c>
      <c r="BE28" s="65" t="n">
        <f aca="false">BD28+BE27</f>
        <v>176588.194185267</v>
      </c>
      <c r="BF28" s="65" t="n">
        <f aca="false">BE28+BF27</f>
        <v>184742.333723014</v>
      </c>
      <c r="BG28" s="65" t="n">
        <f aca="false">BF28+BG27</f>
        <v>192905.36214965</v>
      </c>
      <c r="BH28" s="65" t="n">
        <f aca="false">BG28+BH27</f>
        <v>201077.279465175</v>
      </c>
      <c r="BI28" s="65" t="n">
        <f aca="false">BH28+BI27</f>
        <v>209258.085669589</v>
      </c>
      <c r="BJ28" s="65" t="n">
        <f aca="false">BI28+BJ27</f>
        <v>217447.780762892</v>
      </c>
    </row>
    <row r="29" customFormat="false" ht="15" hidden="false" customHeight="false" outlineLevel="0" collapsed="false">
      <c r="A29" s="114" t="s">
        <v>367</v>
      </c>
      <c r="C29" s="65" t="n">
        <f aca="false">MAX(0,C28)</f>
        <v>0</v>
      </c>
      <c r="D29" s="65" t="n">
        <f aca="false">MAX(C29,D28)</f>
        <v>0</v>
      </c>
      <c r="E29" s="65" t="n">
        <f aca="false">MAX(D29,E28)</f>
        <v>0</v>
      </c>
      <c r="F29" s="65" t="n">
        <f aca="false">MAX(E29,F28)</f>
        <v>0</v>
      </c>
      <c r="G29" s="65" t="n">
        <f aca="false">MAX(F29,G28)</f>
        <v>0</v>
      </c>
      <c r="H29" s="65" t="n">
        <f aca="false">MAX(G29,H28)</f>
        <v>0</v>
      </c>
      <c r="I29" s="65" t="n">
        <f aca="false">MAX(H29,I28)</f>
        <v>0</v>
      </c>
      <c r="J29" s="65" t="n">
        <f aca="false">MAX(I29,J28)</f>
        <v>0</v>
      </c>
      <c r="K29" s="65" t="n">
        <f aca="false">MAX(J29,K28)</f>
        <v>0</v>
      </c>
      <c r="L29" s="65" t="n">
        <f aca="false">MAX(K29,L28)</f>
        <v>0</v>
      </c>
      <c r="M29" s="65" t="n">
        <f aca="false">MAX(L29,M28)</f>
        <v>0</v>
      </c>
      <c r="N29" s="65" t="n">
        <f aca="false">MAX(M29,N28)</f>
        <v>0</v>
      </c>
      <c r="O29" s="65" t="n">
        <f aca="false">MAX(N29,O28)</f>
        <v>0</v>
      </c>
      <c r="P29" s="65" t="n">
        <f aca="false">MAX(O29,P28)</f>
        <v>0</v>
      </c>
      <c r="Q29" s="65" t="n">
        <f aca="false">MAX(P29,Q28)</f>
        <v>0</v>
      </c>
      <c r="R29" s="65" t="n">
        <f aca="false">MAX(Q29,R28)</f>
        <v>0</v>
      </c>
      <c r="S29" s="65" t="n">
        <f aca="false">MAX(R29,S28)</f>
        <v>0</v>
      </c>
      <c r="T29" s="65" t="n">
        <f aca="false">MAX(S29,T28)</f>
        <v>0</v>
      </c>
      <c r="U29" s="65" t="n">
        <f aca="false">MAX(T29,U28)</f>
        <v>0</v>
      </c>
      <c r="V29" s="65" t="n">
        <f aca="false">MAX(U29,V28)</f>
        <v>0</v>
      </c>
      <c r="W29" s="65" t="n">
        <f aca="false">MAX(V29,W28)</f>
        <v>0</v>
      </c>
      <c r="X29" s="65" t="n">
        <f aca="false">MAX(W29,X28)</f>
        <v>0</v>
      </c>
      <c r="Y29" s="65" t="n">
        <f aca="false">MAX(X29,Y28)</f>
        <v>0</v>
      </c>
      <c r="Z29" s="65" t="n">
        <f aca="false">MAX(Y29,Z28)</f>
        <v>0</v>
      </c>
      <c r="AA29" s="65" t="n">
        <f aca="false">MAX(Z29,AA28)</f>
        <v>3461.62644260571</v>
      </c>
      <c r="AB29" s="65" t="n">
        <f aca="false">MAX(AA29,AB28)</f>
        <v>7453.76757727492</v>
      </c>
      <c r="AC29" s="65" t="n">
        <f aca="false">MAX(AB29,AC28)</f>
        <v>11454.797600833</v>
      </c>
      <c r="AD29" s="65" t="n">
        <f aca="false">MAX(AC29,AD28)</f>
        <v>15464.71651328</v>
      </c>
      <c r="AE29" s="65" t="n">
        <f aca="false">MAX(AD29,AE28)</f>
        <v>19483.5243146159</v>
      </c>
      <c r="AF29" s="65" t="n">
        <f aca="false">MAX(AE29,AF28)</f>
        <v>23511.2210048406</v>
      </c>
      <c r="AG29" s="65" t="n">
        <f aca="false">MAX(AF29,AG28)</f>
        <v>27547.8065839543</v>
      </c>
      <c r="AH29" s="65" t="n">
        <f aca="false">MAX(AG29,AH28)</f>
        <v>31593.2810519568</v>
      </c>
      <c r="AI29" s="65" t="n">
        <f aca="false">MAX(AH29,AI28)</f>
        <v>35647.6444088483</v>
      </c>
      <c r="AJ29" s="65" t="n">
        <f aca="false">MAX(AI29,AJ28)</f>
        <v>39710.8966546286</v>
      </c>
      <c r="AK29" s="65" t="n">
        <f aca="false">MAX(AJ29,AK28)</f>
        <v>43783.0377892978</v>
      </c>
      <c r="AL29" s="65" t="n">
        <f aca="false">MAX(AK29,AL28)</f>
        <v>47864.0678128559</v>
      </c>
      <c r="AM29" s="65" t="n">
        <f aca="false">MAX(AL29,AM28)</f>
        <v>53806.3487987227</v>
      </c>
      <c r="AN29" s="65" t="n">
        <f aca="false">MAX(AM29,AN28)</f>
        <v>59757.5186734783</v>
      </c>
      <c r="AO29" s="65" t="n">
        <f aca="false">MAX(AN29,AO28)</f>
        <v>65717.5774371229</v>
      </c>
      <c r="AP29" s="65" t="n">
        <f aca="false">MAX(AO29,AP28)</f>
        <v>71686.5250896563</v>
      </c>
      <c r="AQ29" s="65" t="n">
        <f aca="false">MAX(AP29,AQ28)</f>
        <v>77664.3616310786</v>
      </c>
      <c r="AR29" s="65" t="n">
        <f aca="false">MAX(AQ29,AR28)</f>
        <v>83651.0870613898</v>
      </c>
      <c r="AS29" s="65" t="n">
        <f aca="false">MAX(AR29,AS28)</f>
        <v>89646.70138059</v>
      </c>
      <c r="AT29" s="65" t="n">
        <f aca="false">MAX(AS29,AT28)</f>
        <v>95651.2045886789</v>
      </c>
      <c r="AU29" s="65" t="n">
        <f aca="false">MAX(AT29,AU28)</f>
        <v>101664.596685657</v>
      </c>
      <c r="AV29" s="65" t="n">
        <f aca="false">MAX(AU29,AV28)</f>
        <v>107686.877671524</v>
      </c>
      <c r="AW29" s="65" t="n">
        <f aca="false">MAX(AV29,AW28)</f>
        <v>113718.047546279</v>
      </c>
      <c r="AX29" s="65" t="n">
        <f aca="false">MAX(AW29,AX28)</f>
        <v>119758.106309924</v>
      </c>
      <c r="AY29" s="65" t="n">
        <f aca="false">MAX(AX29,AY28)</f>
        <v>127850.023625449</v>
      </c>
      <c r="AZ29" s="65" t="n">
        <f aca="false">MAX(AY29,AZ28)</f>
        <v>135950.829829863</v>
      </c>
      <c r="BA29" s="65" t="n">
        <f aca="false">MAX(AZ29,BA28)</f>
        <v>144060.524923166</v>
      </c>
      <c r="BB29" s="65" t="n">
        <f aca="false">MAX(BA29,BB28)</f>
        <v>152179.108905358</v>
      </c>
      <c r="BC29" s="65" t="n">
        <f aca="false">MAX(BB29,BC28)</f>
        <v>160306.581776438</v>
      </c>
      <c r="BD29" s="65" t="n">
        <f aca="false">MAX(BC29,BD28)</f>
        <v>168442.943536408</v>
      </c>
      <c r="BE29" s="65" t="n">
        <f aca="false">MAX(BD29,BE28)</f>
        <v>176588.194185267</v>
      </c>
      <c r="BF29" s="65" t="n">
        <f aca="false">MAX(BE29,BF28)</f>
        <v>184742.333723014</v>
      </c>
      <c r="BG29" s="65" t="n">
        <f aca="false">MAX(BF29,BG28)</f>
        <v>192905.36214965</v>
      </c>
      <c r="BH29" s="65" t="n">
        <f aca="false">MAX(BG29,BH28)</f>
        <v>201077.279465175</v>
      </c>
      <c r="BI29" s="65" t="n">
        <f aca="false">MAX(BH29,BI28)</f>
        <v>209258.085669589</v>
      </c>
      <c r="BJ29" s="65" t="n">
        <f aca="false">MAX(BI29,BJ28)</f>
        <v>217447.780762892</v>
      </c>
    </row>
    <row r="30" customFormat="false" ht="15" hidden="false" customHeight="false" outlineLevel="0" collapsed="false">
      <c r="A30" s="6" t="s">
        <v>80</v>
      </c>
      <c r="C30" s="65" t="n">
        <f aca="false">-C29*Inputs!$E$41</f>
        <v>-0</v>
      </c>
      <c r="D30" s="65" t="n">
        <f aca="false">-(D29-C29)*Inputs!$E$41</f>
        <v>-0</v>
      </c>
      <c r="E30" s="65" t="n">
        <f aca="false">-(E29-D29)*Inputs!$E$41</f>
        <v>-0</v>
      </c>
      <c r="F30" s="65" t="n">
        <f aca="false">-(F29-E29)*Inputs!$E$41</f>
        <v>-0</v>
      </c>
      <c r="G30" s="65" t="n">
        <f aca="false">-(G29-F29)*Inputs!$E$41</f>
        <v>-0</v>
      </c>
      <c r="H30" s="65" t="n">
        <f aca="false">-(H29-G29)*Inputs!$E$41</f>
        <v>-0</v>
      </c>
      <c r="I30" s="65" t="n">
        <f aca="false">-(I29-H29)*Inputs!$E$41</f>
        <v>-0</v>
      </c>
      <c r="J30" s="65" t="n">
        <f aca="false">-(J29-I29)*Inputs!$E$41</f>
        <v>-0</v>
      </c>
      <c r="K30" s="65" t="n">
        <f aca="false">-(K29-J29)*Inputs!$E$41</f>
        <v>-0</v>
      </c>
      <c r="L30" s="65" t="n">
        <f aca="false">-(L29-K29)*Inputs!$E$41</f>
        <v>-0</v>
      </c>
      <c r="M30" s="65" t="n">
        <f aca="false">-(M29-L29)*Inputs!$E$41</f>
        <v>-0</v>
      </c>
      <c r="N30" s="65" t="n">
        <f aca="false">-(N29-M29)*Inputs!$E$41</f>
        <v>-0</v>
      </c>
      <c r="O30" s="65" t="n">
        <f aca="false">-(O29-N29)*Inputs!$E$41</f>
        <v>-0</v>
      </c>
      <c r="P30" s="65" t="n">
        <f aca="false">-(P29-O29)*Inputs!$E$41</f>
        <v>-0</v>
      </c>
      <c r="Q30" s="65" t="n">
        <f aca="false">-(Q29-P29)*Inputs!$E$41</f>
        <v>-0</v>
      </c>
      <c r="R30" s="65" t="n">
        <f aca="false">-(R29-Q29)*Inputs!$E$41</f>
        <v>-0</v>
      </c>
      <c r="S30" s="65" t="n">
        <f aca="false">-(S29-R29)*Inputs!$E$41</f>
        <v>-0</v>
      </c>
      <c r="T30" s="65" t="n">
        <f aca="false">-(T29-S29)*Inputs!$E$41</f>
        <v>-0</v>
      </c>
      <c r="U30" s="65" t="n">
        <f aca="false">-(U29-T29)*Inputs!$E$41</f>
        <v>-0</v>
      </c>
      <c r="V30" s="65" t="n">
        <f aca="false">-(V29-U29)*Inputs!$E$41</f>
        <v>-0</v>
      </c>
      <c r="W30" s="65" t="n">
        <f aca="false">-(W29-V29)*Inputs!$E$41</f>
        <v>-0</v>
      </c>
      <c r="X30" s="65" t="n">
        <f aca="false">-(X29-W29)*Inputs!$E$41</f>
        <v>-0</v>
      </c>
      <c r="Y30" s="65" t="n">
        <f aca="false">-(Y29-X29)*Inputs!$E$41</f>
        <v>-0</v>
      </c>
      <c r="Z30" s="65" t="n">
        <f aca="false">-(Z29-Y29)*Inputs!$E$41</f>
        <v>-0</v>
      </c>
      <c r="AA30" s="65" t="n">
        <f aca="false">-(AA29-Z29)*Inputs!$E$41</f>
        <v>-726.941552947198</v>
      </c>
      <c r="AB30" s="65" t="n">
        <f aca="false">-(AB29-AA29)*Inputs!$E$41</f>
        <v>-838.349638280534</v>
      </c>
      <c r="AC30" s="65" t="n">
        <f aca="false">-(AC29-AB29)*Inputs!$E$41</f>
        <v>-840.216304947201</v>
      </c>
      <c r="AD30" s="65" t="n">
        <f aca="false">-(AD29-AC29)*Inputs!$E$41</f>
        <v>-842.082971613868</v>
      </c>
      <c r="AE30" s="65" t="n">
        <f aca="false">-(AE29-AD29)*Inputs!$E$41</f>
        <v>-843.949638280534</v>
      </c>
      <c r="AF30" s="65" t="n">
        <f aca="false">-(AF29-AE29)*Inputs!$E$41</f>
        <v>-845.816304947201</v>
      </c>
      <c r="AG30" s="65" t="n">
        <f aca="false">-(AG29-AF29)*Inputs!$E$41</f>
        <v>-847.682971613867</v>
      </c>
      <c r="AH30" s="65" t="n">
        <f aca="false">-(AH29-AG29)*Inputs!$E$41</f>
        <v>-849.549638280534</v>
      </c>
      <c r="AI30" s="65" t="n">
        <f aca="false">-(AI29-AH29)*Inputs!$E$41</f>
        <v>-851.416304947201</v>
      </c>
      <c r="AJ30" s="65" t="n">
        <f aca="false">-(AJ29-AI29)*Inputs!$E$41</f>
        <v>-853.282971613867</v>
      </c>
      <c r="AK30" s="65" t="n">
        <f aca="false">-(AK29-AJ29)*Inputs!$E$41</f>
        <v>-855.149638280534</v>
      </c>
      <c r="AL30" s="65" t="n">
        <f aca="false">-(AL29-AK29)*Inputs!$E$41</f>
        <v>-857.016304947201</v>
      </c>
      <c r="AM30" s="65" t="n">
        <f aca="false">-(AM29-AL29)*Inputs!$E$41</f>
        <v>-1247.87900703202</v>
      </c>
      <c r="AN30" s="65" t="n">
        <f aca="false">-(AN29-AM29)*Inputs!$E$41</f>
        <v>-1249.74567369869</v>
      </c>
      <c r="AO30" s="65" t="n">
        <f aca="false">-(AO29-AN29)*Inputs!$E$41</f>
        <v>-1251.61234036535</v>
      </c>
      <c r="AP30" s="65" t="n">
        <f aca="false">-(AP29-AO29)*Inputs!$E$41</f>
        <v>-1253.47900703202</v>
      </c>
      <c r="AQ30" s="65" t="n">
        <f aca="false">-(AQ29-AP29)*Inputs!$E$41</f>
        <v>-1255.34567369869</v>
      </c>
      <c r="AR30" s="65" t="n">
        <f aca="false">-(AR29-AQ29)*Inputs!$E$41</f>
        <v>-1257.21234036535</v>
      </c>
      <c r="AS30" s="65" t="n">
        <f aca="false">-(AS29-AR29)*Inputs!$E$41</f>
        <v>-1259.07900703202</v>
      </c>
      <c r="AT30" s="65" t="n">
        <f aca="false">-(AT29-AS29)*Inputs!$E$41</f>
        <v>-1260.94567369869</v>
      </c>
      <c r="AU30" s="65" t="n">
        <f aca="false">-(AU29-AT29)*Inputs!$E$41</f>
        <v>-1262.81234036536</v>
      </c>
      <c r="AV30" s="65" t="n">
        <f aca="false">-(AV29-AU29)*Inputs!$E$41</f>
        <v>-1264.67900703202</v>
      </c>
      <c r="AW30" s="65" t="n">
        <f aca="false">-(AW29-AV29)*Inputs!$E$41</f>
        <v>-1266.54567369869</v>
      </c>
      <c r="AX30" s="65" t="n">
        <f aca="false">-(AX29-AW29)*Inputs!$E$41</f>
        <v>-1268.41234036535</v>
      </c>
      <c r="AY30" s="65" t="n">
        <f aca="false">-(AY29-AX29)*Inputs!$E$41</f>
        <v>-1699.30263626028</v>
      </c>
      <c r="AZ30" s="65" t="n">
        <f aca="false">-(AZ29-AY29)*Inputs!$E$41</f>
        <v>-1701.16930292695</v>
      </c>
      <c r="BA30" s="65" t="n">
        <f aca="false">-(BA29-AZ29)*Inputs!$E$41</f>
        <v>-1703.03596959362</v>
      </c>
      <c r="BB30" s="65" t="n">
        <f aca="false">-(BB29-BA29)*Inputs!$E$41</f>
        <v>-1704.90263626028</v>
      </c>
      <c r="BC30" s="65" t="n">
        <f aca="false">-(BC29-BB29)*Inputs!$E$41</f>
        <v>-1706.76930292695</v>
      </c>
      <c r="BD30" s="65" t="n">
        <f aca="false">-(BD29-BC29)*Inputs!$E$41</f>
        <v>-1708.63596959361</v>
      </c>
      <c r="BE30" s="65" t="n">
        <f aca="false">-(BE29-BD29)*Inputs!$E$41</f>
        <v>-1710.50263626028</v>
      </c>
      <c r="BF30" s="65" t="n">
        <f aca="false">-(BF29-BE29)*Inputs!$E$41</f>
        <v>-1712.36930292695</v>
      </c>
      <c r="BG30" s="65" t="n">
        <f aca="false">-(BG29-BF29)*Inputs!$E$41</f>
        <v>-1714.23596959361</v>
      </c>
      <c r="BH30" s="65" t="n">
        <f aca="false">-(BH29-BG29)*Inputs!$E$41</f>
        <v>-1716.10263626028</v>
      </c>
      <c r="BI30" s="65" t="n">
        <f aca="false">-(BI29-BH29)*Inputs!$E$41</f>
        <v>-1717.96930292695</v>
      </c>
      <c r="BJ30" s="65" t="n">
        <f aca="false">-(BJ29-BI29)*Inputs!$E$41</f>
        <v>-1719.83596959362</v>
      </c>
    </row>
    <row r="31" customFormat="false" ht="15" hidden="false" customHeight="false" outlineLevel="0" collapsed="false">
      <c r="A31" s="108" t="s">
        <v>50</v>
      </c>
      <c r="C31" s="66" t="n">
        <f aca="false">C27+C30</f>
        <v>-9407.42857142857</v>
      </c>
      <c r="D31" s="66" t="n">
        <f aca="false">D27+D30</f>
        <v>-7738.98412698413</v>
      </c>
      <c r="E31" s="66" t="n">
        <f aca="false">E27+E30</f>
        <v>-6066.09523809524</v>
      </c>
      <c r="F31" s="66" t="n">
        <f aca="false">F27+F30</f>
        <v>-4393.20634920635</v>
      </c>
      <c r="G31" s="66" t="n">
        <f aca="false">G27+G30</f>
        <v>-2720.31746031747</v>
      </c>
      <c r="H31" s="66" t="n">
        <f aca="false">H27+H30</f>
        <v>-1047.42857142857</v>
      </c>
      <c r="I31" s="66" t="n">
        <f aca="false">I27+I30</f>
        <v>625.460317460315</v>
      </c>
      <c r="J31" s="66" t="n">
        <f aca="false">J27+J30</f>
        <v>634.349206349204</v>
      </c>
      <c r="K31" s="66" t="n">
        <f aca="false">K27+K30</f>
        <v>643.238095238093</v>
      </c>
      <c r="L31" s="66" t="n">
        <f aca="false">L27+L30</f>
        <v>652.126984126981</v>
      </c>
      <c r="M31" s="66" t="n">
        <f aca="false">M27+M30</f>
        <v>661.01587301587</v>
      </c>
      <c r="N31" s="66" t="n">
        <f aca="false">N27+N30</f>
        <v>669.904761904759</v>
      </c>
      <c r="O31" s="66" t="n">
        <f aca="false">O27+O30</f>
        <v>2198.25605079365</v>
      </c>
      <c r="P31" s="66" t="n">
        <f aca="false">P27+P30</f>
        <v>2207.14493968254</v>
      </c>
      <c r="Q31" s="66" t="n">
        <f aca="false">Q27+Q30</f>
        <v>2216.03382857143</v>
      </c>
      <c r="R31" s="66" t="n">
        <f aca="false">R27+R30</f>
        <v>2224.92271746032</v>
      </c>
      <c r="S31" s="66" t="n">
        <f aca="false">S27+S30</f>
        <v>2233.81160634921</v>
      </c>
      <c r="T31" s="66" t="n">
        <f aca="false">T27+T30</f>
        <v>2242.7004952381</v>
      </c>
      <c r="U31" s="66" t="n">
        <f aca="false">U27+U30</f>
        <v>2251.58938412699</v>
      </c>
      <c r="V31" s="66" t="n">
        <f aca="false">V27+V30</f>
        <v>2260.47827301587</v>
      </c>
      <c r="W31" s="66" t="n">
        <f aca="false">W27+W30</f>
        <v>2269.36716190476</v>
      </c>
      <c r="X31" s="66" t="n">
        <f aca="false">X27+X30</f>
        <v>2278.25605079365</v>
      </c>
      <c r="Y31" s="66" t="n">
        <f aca="false">Y27+Y30</f>
        <v>2287.14493968254</v>
      </c>
      <c r="Z31" s="66" t="n">
        <f aca="false">Z27+Z30</f>
        <v>2296.03382857143</v>
      </c>
      <c r="AA31" s="66" t="n">
        <f aca="false">AA27+AA30</f>
        <v>3256.31069283312</v>
      </c>
      <c r="AB31" s="66" t="n">
        <f aca="false">AB27+AB30</f>
        <v>3153.79149638868</v>
      </c>
      <c r="AC31" s="66" t="n">
        <f aca="false">AC27+AC30</f>
        <v>3160.8137186109</v>
      </c>
      <c r="AD31" s="66" t="n">
        <f aca="false">AD27+AD30</f>
        <v>3167.83594083312</v>
      </c>
      <c r="AE31" s="66" t="n">
        <f aca="false">AE27+AE30</f>
        <v>3174.85816305534</v>
      </c>
      <c r="AF31" s="66" t="n">
        <f aca="false">AF27+AF30</f>
        <v>3181.88038527757</v>
      </c>
      <c r="AG31" s="66" t="n">
        <f aca="false">AG27+AG30</f>
        <v>3188.90260749979</v>
      </c>
      <c r="AH31" s="66" t="n">
        <f aca="false">AH27+AH30</f>
        <v>3195.92482972201</v>
      </c>
      <c r="AI31" s="66" t="n">
        <f aca="false">AI27+AI30</f>
        <v>3202.94705194423</v>
      </c>
      <c r="AJ31" s="66" t="n">
        <f aca="false">AJ27+AJ30</f>
        <v>3209.96927416645</v>
      </c>
      <c r="AK31" s="66" t="n">
        <f aca="false">AK27+AK30</f>
        <v>3216.99149638868</v>
      </c>
      <c r="AL31" s="66" t="n">
        <f aca="false">AL27+AL30</f>
        <v>3224.0137186109</v>
      </c>
      <c r="AM31" s="66" t="n">
        <f aca="false">AM27+AM30</f>
        <v>4694.40197883475</v>
      </c>
      <c r="AN31" s="66" t="n">
        <f aca="false">AN27+AN30</f>
        <v>4701.42420105697</v>
      </c>
      <c r="AO31" s="66" t="n">
        <f aca="false">AO27+AO30</f>
        <v>4708.44642327919</v>
      </c>
      <c r="AP31" s="66" t="n">
        <f aca="false">AP27+AP30</f>
        <v>4715.46864550141</v>
      </c>
      <c r="AQ31" s="66" t="n">
        <f aca="false">AQ27+AQ30</f>
        <v>4722.49086772363</v>
      </c>
      <c r="AR31" s="66" t="n">
        <f aca="false">AR27+AR30</f>
        <v>4729.51308994586</v>
      </c>
      <c r="AS31" s="66" t="n">
        <f aca="false">AS27+AS30</f>
        <v>4736.53531216808</v>
      </c>
      <c r="AT31" s="66" t="n">
        <f aca="false">AT27+AT30</f>
        <v>4743.5575343903</v>
      </c>
      <c r="AU31" s="66" t="n">
        <f aca="false">AU27+AU30</f>
        <v>4750.57975661252</v>
      </c>
      <c r="AV31" s="66" t="n">
        <f aca="false">AV27+AV30</f>
        <v>4757.60197883475</v>
      </c>
      <c r="AW31" s="66" t="n">
        <f aca="false">AW27+AW30</f>
        <v>4764.62420105697</v>
      </c>
      <c r="AX31" s="66" t="n">
        <f aca="false">AX27+AX30</f>
        <v>4771.64642327919</v>
      </c>
      <c r="AY31" s="66" t="n">
        <f aca="false">AY27+AY30</f>
        <v>6392.61467926486</v>
      </c>
      <c r="AZ31" s="66" t="n">
        <f aca="false">AZ27+AZ30</f>
        <v>6399.63690148708</v>
      </c>
      <c r="BA31" s="66" t="n">
        <f aca="false">BA27+BA30</f>
        <v>6406.65912370931</v>
      </c>
      <c r="BB31" s="66" t="n">
        <f aca="false">BB27+BB30</f>
        <v>6413.68134593153</v>
      </c>
      <c r="BC31" s="66" t="n">
        <f aca="false">BC27+BC30</f>
        <v>6420.70356815375</v>
      </c>
      <c r="BD31" s="66" t="n">
        <f aca="false">BD27+BD30</f>
        <v>6427.72579037598</v>
      </c>
      <c r="BE31" s="66" t="n">
        <f aca="false">BE27+BE30</f>
        <v>6434.74801259819</v>
      </c>
      <c r="BF31" s="66" t="n">
        <f aca="false">BF27+BF30</f>
        <v>6441.77023482042</v>
      </c>
      <c r="BG31" s="66" t="n">
        <f aca="false">BG27+BG30</f>
        <v>6448.79245704264</v>
      </c>
      <c r="BH31" s="66" t="n">
        <f aca="false">BH27+BH30</f>
        <v>6455.81467926486</v>
      </c>
      <c r="BI31" s="66" t="n">
        <f aca="false">BI27+BI30</f>
        <v>6462.83690148709</v>
      </c>
      <c r="BJ31" s="66" t="n">
        <f aca="false">BJ27+BJ30</f>
        <v>6469.85912370931</v>
      </c>
    </row>
    <row r="33" customFormat="false" ht="15.75" hidden="false" customHeight="true" outlineLevel="0" collapsed="false">
      <c r="A33" s="7" t="s">
        <v>368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82</v>
      </c>
      <c r="C34" s="65" t="n">
        <f aca="false">IF(C$4=1,Inputs!$E$18,0)</f>
        <v>160000</v>
      </c>
      <c r="D34" s="65" t="n">
        <f aca="false">IF(D$4=1,Inputs!$E$18,0)</f>
        <v>0</v>
      </c>
      <c r="E34" s="65" t="n">
        <f aca="false">IF(E$4=1,Inputs!$E$18,0)</f>
        <v>0</v>
      </c>
      <c r="F34" s="65" t="n">
        <f aca="false">IF(F$4=1,Inputs!$E$18,0)</f>
        <v>0</v>
      </c>
      <c r="G34" s="65" t="n">
        <f aca="false">IF(G$4=1,Inputs!$E$18,0)</f>
        <v>0</v>
      </c>
      <c r="H34" s="65" t="n">
        <f aca="false">IF(H$4=1,Inputs!$E$18,0)</f>
        <v>0</v>
      </c>
      <c r="I34" s="65" t="n">
        <f aca="false">IF(I$4=1,Inputs!$E$18,0)</f>
        <v>0</v>
      </c>
      <c r="J34" s="65" t="n">
        <f aca="false">IF(J$4=1,Inputs!$E$18,0)</f>
        <v>0</v>
      </c>
      <c r="K34" s="65" t="n">
        <f aca="false">IF(K$4=1,Inputs!$E$18,0)</f>
        <v>0</v>
      </c>
      <c r="L34" s="65" t="n">
        <f aca="false">IF(L$4=1,Inputs!$E$18,0)</f>
        <v>0</v>
      </c>
      <c r="M34" s="65" t="n">
        <f aca="false">IF(M$4=1,Inputs!$E$18,0)</f>
        <v>0</v>
      </c>
      <c r="N34" s="65" t="n">
        <f aca="false">IF(N$4=1,Inputs!$E$18,0)</f>
        <v>0</v>
      </c>
      <c r="O34" s="65" t="n">
        <f aca="false">IF(O$4=1,Inputs!$E$18,0)</f>
        <v>0</v>
      </c>
      <c r="P34" s="65" t="n">
        <f aca="false">IF(P$4=1,Inputs!$E$18,0)</f>
        <v>0</v>
      </c>
      <c r="Q34" s="65" t="n">
        <f aca="false">IF(Q$4=1,Inputs!$E$18,0)</f>
        <v>0</v>
      </c>
      <c r="R34" s="65" t="n">
        <f aca="false">IF(R$4=1,Inputs!$E$18,0)</f>
        <v>0</v>
      </c>
      <c r="S34" s="65" t="n">
        <f aca="false">IF(S$4=1,Inputs!$E$18,0)</f>
        <v>0</v>
      </c>
      <c r="T34" s="65" t="n">
        <f aca="false">IF(T$4=1,Inputs!$E$18,0)</f>
        <v>0</v>
      </c>
      <c r="U34" s="65" t="n">
        <f aca="false">IF(U$4=1,Inputs!$E$18,0)</f>
        <v>0</v>
      </c>
      <c r="V34" s="65" t="n">
        <f aca="false">IF(V$4=1,Inputs!$E$18,0)</f>
        <v>0</v>
      </c>
      <c r="W34" s="65" t="n">
        <f aca="false">IF(W$4=1,Inputs!$E$18,0)</f>
        <v>0</v>
      </c>
      <c r="X34" s="65" t="n">
        <f aca="false">IF(X$4=1,Inputs!$E$18,0)</f>
        <v>0</v>
      </c>
      <c r="Y34" s="65" t="n">
        <f aca="false">IF(Y$4=1,Inputs!$E$18,0)</f>
        <v>0</v>
      </c>
      <c r="Z34" s="65" t="n">
        <f aca="false">IF(Z$4=1,Inputs!$E$18,0)</f>
        <v>0</v>
      </c>
      <c r="AA34" s="65" t="n">
        <f aca="false">IF(AA$4=1,Inputs!$E$18,0)</f>
        <v>0</v>
      </c>
      <c r="AB34" s="65" t="n">
        <f aca="false">IF(AB$4=1,Inputs!$E$18,0)</f>
        <v>0</v>
      </c>
      <c r="AC34" s="65" t="n">
        <f aca="false">IF(AC$4=1,Inputs!$E$18,0)</f>
        <v>0</v>
      </c>
      <c r="AD34" s="65" t="n">
        <f aca="false">IF(AD$4=1,Inputs!$E$18,0)</f>
        <v>0</v>
      </c>
      <c r="AE34" s="65" t="n">
        <f aca="false">IF(AE$4=1,Inputs!$E$18,0)</f>
        <v>0</v>
      </c>
      <c r="AF34" s="65" t="n">
        <f aca="false">IF(AF$4=1,Inputs!$E$18,0)</f>
        <v>0</v>
      </c>
      <c r="AG34" s="65" t="n">
        <f aca="false">IF(AG$4=1,Inputs!$E$18,0)</f>
        <v>0</v>
      </c>
      <c r="AH34" s="65" t="n">
        <f aca="false">IF(AH$4=1,Inputs!$E$18,0)</f>
        <v>0</v>
      </c>
      <c r="AI34" s="65" t="n">
        <f aca="false">IF(AI$4=1,Inputs!$E$18,0)</f>
        <v>0</v>
      </c>
      <c r="AJ34" s="65" t="n">
        <f aca="false">IF(AJ$4=1,Inputs!$E$18,0)</f>
        <v>0</v>
      </c>
      <c r="AK34" s="65" t="n">
        <f aca="false">IF(AK$4=1,Inputs!$E$18,0)</f>
        <v>0</v>
      </c>
      <c r="AL34" s="65" t="n">
        <f aca="false">IF(AL$4=1,Inputs!$E$18,0)</f>
        <v>0</v>
      </c>
      <c r="AM34" s="65" t="n">
        <f aca="false">IF(AM$4=1,Inputs!$E$18,0)</f>
        <v>0</v>
      </c>
      <c r="AN34" s="65" t="n">
        <f aca="false">IF(AN$4=1,Inputs!$E$18,0)</f>
        <v>0</v>
      </c>
      <c r="AO34" s="65" t="n">
        <f aca="false">IF(AO$4=1,Inputs!$E$18,0)</f>
        <v>0</v>
      </c>
      <c r="AP34" s="65" t="n">
        <f aca="false">IF(AP$4=1,Inputs!$E$18,0)</f>
        <v>0</v>
      </c>
      <c r="AQ34" s="65" t="n">
        <f aca="false">IF(AQ$4=1,Inputs!$E$18,0)</f>
        <v>0</v>
      </c>
      <c r="AR34" s="65" t="n">
        <f aca="false">IF(AR$4=1,Inputs!$E$18,0)</f>
        <v>0</v>
      </c>
      <c r="AS34" s="65" t="n">
        <f aca="false">IF(AS$4=1,Inputs!$E$18,0)</f>
        <v>0</v>
      </c>
      <c r="AT34" s="65" t="n">
        <f aca="false">IF(AT$4=1,Inputs!$E$18,0)</f>
        <v>0</v>
      </c>
      <c r="AU34" s="65" t="n">
        <f aca="false">IF(AU$4=1,Inputs!$E$18,0)</f>
        <v>0</v>
      </c>
      <c r="AV34" s="65" t="n">
        <f aca="false">IF(AV$4=1,Inputs!$E$18,0)</f>
        <v>0</v>
      </c>
      <c r="AW34" s="65" t="n">
        <f aca="false">IF(AW$4=1,Inputs!$E$18,0)</f>
        <v>0</v>
      </c>
      <c r="AX34" s="65" t="n">
        <f aca="false">IF(AX$4=1,Inputs!$E$18,0)</f>
        <v>0</v>
      </c>
      <c r="AY34" s="65" t="n">
        <f aca="false">IF(AY$4=1,Inputs!$E$18,0)</f>
        <v>0</v>
      </c>
      <c r="AZ34" s="65" t="n">
        <f aca="false">IF(AZ$4=1,Inputs!$E$18,0)</f>
        <v>0</v>
      </c>
      <c r="BA34" s="65" t="n">
        <f aca="false">IF(BA$4=1,Inputs!$E$18,0)</f>
        <v>0</v>
      </c>
      <c r="BB34" s="65" t="n">
        <f aca="false">IF(BB$4=1,Inputs!$E$18,0)</f>
        <v>0</v>
      </c>
      <c r="BC34" s="65" t="n">
        <f aca="false">IF(BC$4=1,Inputs!$E$18,0)</f>
        <v>0</v>
      </c>
      <c r="BD34" s="65" t="n">
        <f aca="false">IF(BD$4=1,Inputs!$E$18,0)</f>
        <v>0</v>
      </c>
      <c r="BE34" s="65" t="n">
        <f aca="false">IF(BE$4=1,Inputs!$E$18,0)</f>
        <v>0</v>
      </c>
      <c r="BF34" s="65" t="n">
        <f aca="false">IF(BF$4=1,Inputs!$E$18,0)</f>
        <v>0</v>
      </c>
      <c r="BG34" s="65" t="n">
        <f aca="false">IF(BG$4=1,Inputs!$E$18,0)</f>
        <v>0</v>
      </c>
      <c r="BH34" s="65" t="n">
        <f aca="false">IF(BH$4=1,Inputs!$E$18,0)</f>
        <v>0</v>
      </c>
      <c r="BI34" s="65" t="n">
        <f aca="false">IF(BI$4=1,Inputs!$E$18,0)</f>
        <v>0</v>
      </c>
      <c r="BJ34" s="65" t="n">
        <f aca="false">IF(BJ$4=1,Inputs!$E$18,0)</f>
        <v>0</v>
      </c>
    </row>
    <row r="35" customFormat="false" ht="15" hidden="false" customHeight="false" outlineLevel="0" collapsed="false">
      <c r="A35" s="6" t="s">
        <v>369</v>
      </c>
      <c r="C35" s="65" t="n">
        <f aca="false">C34</f>
        <v>160000</v>
      </c>
      <c r="D35" s="65" t="n">
        <f aca="false">C35+D34</f>
        <v>160000</v>
      </c>
      <c r="E35" s="65" t="n">
        <f aca="false">D35+E34</f>
        <v>160000</v>
      </c>
      <c r="F35" s="65" t="n">
        <f aca="false">E35+F34</f>
        <v>160000</v>
      </c>
      <c r="G35" s="65" t="n">
        <f aca="false">F35+G34</f>
        <v>160000</v>
      </c>
      <c r="H35" s="65" t="n">
        <f aca="false">G35+H34</f>
        <v>160000</v>
      </c>
      <c r="I35" s="65" t="n">
        <f aca="false">H35+I34</f>
        <v>160000</v>
      </c>
      <c r="J35" s="65" t="n">
        <f aca="false">I35+J34</f>
        <v>160000</v>
      </c>
      <c r="K35" s="65" t="n">
        <f aca="false">J35+K34</f>
        <v>160000</v>
      </c>
      <c r="L35" s="65" t="n">
        <f aca="false">K35+L34</f>
        <v>160000</v>
      </c>
      <c r="M35" s="65" t="n">
        <f aca="false">L35+M34</f>
        <v>160000</v>
      </c>
      <c r="N35" s="65" t="n">
        <f aca="false">M35+N34</f>
        <v>160000</v>
      </c>
      <c r="O35" s="65" t="n">
        <f aca="false">N35+O34</f>
        <v>160000</v>
      </c>
      <c r="P35" s="65" t="n">
        <f aca="false">O35+P34</f>
        <v>160000</v>
      </c>
      <c r="Q35" s="65" t="n">
        <f aca="false">P35+Q34</f>
        <v>160000</v>
      </c>
      <c r="R35" s="65" t="n">
        <f aca="false">Q35+R34</f>
        <v>160000</v>
      </c>
      <c r="S35" s="65" t="n">
        <f aca="false">R35+S34</f>
        <v>160000</v>
      </c>
      <c r="T35" s="65" t="n">
        <f aca="false">S35+T34</f>
        <v>160000</v>
      </c>
      <c r="U35" s="65" t="n">
        <f aca="false">T35+U34</f>
        <v>160000</v>
      </c>
      <c r="V35" s="65" t="n">
        <f aca="false">U35+V34</f>
        <v>160000</v>
      </c>
      <c r="W35" s="65" t="n">
        <f aca="false">V35+W34</f>
        <v>160000</v>
      </c>
      <c r="X35" s="65" t="n">
        <f aca="false">W35+X34</f>
        <v>160000</v>
      </c>
      <c r="Y35" s="65" t="n">
        <f aca="false">X35+Y34</f>
        <v>160000</v>
      </c>
      <c r="Z35" s="65" t="n">
        <f aca="false">Y35+Z34</f>
        <v>160000</v>
      </c>
      <c r="AA35" s="65" t="n">
        <f aca="false">Z35+AA34</f>
        <v>160000</v>
      </c>
      <c r="AB35" s="65" t="n">
        <f aca="false">AA35+AB34</f>
        <v>160000</v>
      </c>
      <c r="AC35" s="65" t="n">
        <f aca="false">AB35+AC34</f>
        <v>160000</v>
      </c>
      <c r="AD35" s="65" t="n">
        <f aca="false">AC35+AD34</f>
        <v>160000</v>
      </c>
      <c r="AE35" s="65" t="n">
        <f aca="false">AD35+AE34</f>
        <v>160000</v>
      </c>
      <c r="AF35" s="65" t="n">
        <f aca="false">AE35+AF34</f>
        <v>160000</v>
      </c>
      <c r="AG35" s="65" t="n">
        <f aca="false">AF35+AG34</f>
        <v>160000</v>
      </c>
      <c r="AH35" s="65" t="n">
        <f aca="false">AG35+AH34</f>
        <v>160000</v>
      </c>
      <c r="AI35" s="65" t="n">
        <f aca="false">AH35+AI34</f>
        <v>160000</v>
      </c>
      <c r="AJ35" s="65" t="n">
        <f aca="false">AI35+AJ34</f>
        <v>160000</v>
      </c>
      <c r="AK35" s="65" t="n">
        <f aca="false">AJ35+AK34</f>
        <v>160000</v>
      </c>
      <c r="AL35" s="65" t="n">
        <f aca="false">AK35+AL34</f>
        <v>160000</v>
      </c>
      <c r="AM35" s="65" t="n">
        <f aca="false">AL35+AM34</f>
        <v>160000</v>
      </c>
      <c r="AN35" s="65" t="n">
        <f aca="false">AM35+AN34</f>
        <v>160000</v>
      </c>
      <c r="AO35" s="65" t="n">
        <f aca="false">AN35+AO34</f>
        <v>160000</v>
      </c>
      <c r="AP35" s="65" t="n">
        <f aca="false">AO35+AP34</f>
        <v>160000</v>
      </c>
      <c r="AQ35" s="65" t="n">
        <f aca="false">AP35+AQ34</f>
        <v>160000</v>
      </c>
      <c r="AR35" s="65" t="n">
        <f aca="false">AQ35+AR34</f>
        <v>160000</v>
      </c>
      <c r="AS35" s="65" t="n">
        <f aca="false">AR35+AS34</f>
        <v>160000</v>
      </c>
      <c r="AT35" s="65" t="n">
        <f aca="false">AS35+AT34</f>
        <v>160000</v>
      </c>
      <c r="AU35" s="65" t="n">
        <f aca="false">AT35+AU34</f>
        <v>160000</v>
      </c>
      <c r="AV35" s="65" t="n">
        <f aca="false">AU35+AV34</f>
        <v>160000</v>
      </c>
      <c r="AW35" s="65" t="n">
        <f aca="false">AV35+AW34</f>
        <v>160000</v>
      </c>
      <c r="AX35" s="65" t="n">
        <f aca="false">AW35+AX34</f>
        <v>160000</v>
      </c>
      <c r="AY35" s="65" t="n">
        <f aca="false">AX35+AY34</f>
        <v>160000</v>
      </c>
      <c r="AZ35" s="65" t="n">
        <f aca="false">AY35+AZ34</f>
        <v>160000</v>
      </c>
      <c r="BA35" s="65" t="n">
        <f aca="false">AZ35+BA34</f>
        <v>160000</v>
      </c>
      <c r="BB35" s="65" t="n">
        <f aca="false">BA35+BB34</f>
        <v>160000</v>
      </c>
      <c r="BC35" s="65" t="n">
        <f aca="false">BB35+BC34</f>
        <v>160000</v>
      </c>
      <c r="BD35" s="65" t="n">
        <f aca="false">BC35+BD34</f>
        <v>160000</v>
      </c>
      <c r="BE35" s="65" t="n">
        <f aca="false">BD35+BE34</f>
        <v>160000</v>
      </c>
      <c r="BF35" s="65" t="n">
        <f aca="false">BE35+BF34</f>
        <v>160000</v>
      </c>
      <c r="BG35" s="65" t="n">
        <f aca="false">BF35+BG34</f>
        <v>160000</v>
      </c>
      <c r="BH35" s="65" t="n">
        <f aca="false">BG35+BH34</f>
        <v>160000</v>
      </c>
      <c r="BI35" s="65" t="n">
        <f aca="false">BH35+BI34</f>
        <v>160000</v>
      </c>
      <c r="BJ35" s="65" t="n">
        <f aca="false">BI35+BJ34</f>
        <v>160000</v>
      </c>
    </row>
    <row r="36" customFormat="false" ht="15" hidden="false" customHeight="false" outlineLevel="0" collapsed="false">
      <c r="A36" s="6" t="s">
        <v>76</v>
      </c>
      <c r="C36" s="65" t="n">
        <f aca="false">-MIN(C35/MAX(1,Inputs!$E$40*12),C34)</f>
        <v>-1904.7619047619</v>
      </c>
      <c r="D36" s="65" t="n">
        <f aca="false">-MIN(D35/MAX(1,Inputs!$E$40*12),C38+D34)</f>
        <v>-1904.7619047619</v>
      </c>
      <c r="E36" s="65" t="n">
        <f aca="false">-MIN(E35/MAX(1,Inputs!$E$40*12),D38+E34)</f>
        <v>-1904.7619047619</v>
      </c>
      <c r="F36" s="65" t="n">
        <f aca="false">-MIN(F35/MAX(1,Inputs!$E$40*12),E38+F34)</f>
        <v>-1904.7619047619</v>
      </c>
      <c r="G36" s="65" t="n">
        <f aca="false">-MIN(G35/MAX(1,Inputs!$E$40*12),F38+G34)</f>
        <v>-1904.7619047619</v>
      </c>
      <c r="H36" s="65" t="n">
        <f aca="false">-MIN(H35/MAX(1,Inputs!$E$40*12),G38+H34)</f>
        <v>-1904.7619047619</v>
      </c>
      <c r="I36" s="65" t="n">
        <f aca="false">-MIN(I35/MAX(1,Inputs!$E$40*12),H38+I34)</f>
        <v>-1904.7619047619</v>
      </c>
      <c r="J36" s="65" t="n">
        <f aca="false">-MIN(J35/MAX(1,Inputs!$E$40*12),I38+J34)</f>
        <v>-1904.7619047619</v>
      </c>
      <c r="K36" s="65" t="n">
        <f aca="false">-MIN(K35/MAX(1,Inputs!$E$40*12),J38+K34)</f>
        <v>-1904.7619047619</v>
      </c>
      <c r="L36" s="65" t="n">
        <f aca="false">-MIN(L35/MAX(1,Inputs!$E$40*12),K38+L34)</f>
        <v>-1904.7619047619</v>
      </c>
      <c r="M36" s="65" t="n">
        <f aca="false">-MIN(M35/MAX(1,Inputs!$E$40*12),L38+M34)</f>
        <v>-1904.7619047619</v>
      </c>
      <c r="N36" s="65" t="n">
        <f aca="false">-MIN(N35/MAX(1,Inputs!$E$40*12),M38+N34)</f>
        <v>-1904.7619047619</v>
      </c>
      <c r="O36" s="65" t="n">
        <f aca="false">-MIN(O35/MAX(1,Inputs!$E$40*12),N38+O34)</f>
        <v>-1904.7619047619</v>
      </c>
      <c r="P36" s="65" t="n">
        <f aca="false">-MIN(P35/MAX(1,Inputs!$E$40*12),O38+P34)</f>
        <v>-1904.7619047619</v>
      </c>
      <c r="Q36" s="65" t="n">
        <f aca="false">-MIN(Q35/MAX(1,Inputs!$E$40*12),P38+Q34)</f>
        <v>-1904.7619047619</v>
      </c>
      <c r="R36" s="65" t="n">
        <f aca="false">-MIN(R35/MAX(1,Inputs!$E$40*12),Q38+R34)</f>
        <v>-1904.7619047619</v>
      </c>
      <c r="S36" s="65" t="n">
        <f aca="false">-MIN(S35/MAX(1,Inputs!$E$40*12),R38+S34)</f>
        <v>-1904.7619047619</v>
      </c>
      <c r="T36" s="65" t="n">
        <f aca="false">-MIN(T35/MAX(1,Inputs!$E$40*12),S38+T34)</f>
        <v>-1904.7619047619</v>
      </c>
      <c r="U36" s="65" t="n">
        <f aca="false">-MIN(U35/MAX(1,Inputs!$E$40*12),T38+U34)</f>
        <v>-1904.7619047619</v>
      </c>
      <c r="V36" s="65" t="n">
        <f aca="false">-MIN(V35/MAX(1,Inputs!$E$40*12),U38+V34)</f>
        <v>-1904.7619047619</v>
      </c>
      <c r="W36" s="65" t="n">
        <f aca="false">-MIN(W35/MAX(1,Inputs!$E$40*12),V38+W34)</f>
        <v>-1904.7619047619</v>
      </c>
      <c r="X36" s="65" t="n">
        <f aca="false">-MIN(X35/MAX(1,Inputs!$E$40*12),W38+X34)</f>
        <v>-1904.7619047619</v>
      </c>
      <c r="Y36" s="65" t="n">
        <f aca="false">-MIN(Y35/MAX(1,Inputs!$E$40*12),X38+Y34)</f>
        <v>-1904.7619047619</v>
      </c>
      <c r="Z36" s="65" t="n">
        <f aca="false">-MIN(Z35/MAX(1,Inputs!$E$40*12),Y38+Z34)</f>
        <v>-1904.7619047619</v>
      </c>
      <c r="AA36" s="65" t="n">
        <f aca="false">-MIN(AA35/MAX(1,Inputs!$E$40*12),Z38+AA34)</f>
        <v>-1904.7619047619</v>
      </c>
      <c r="AB36" s="65" t="n">
        <f aca="false">-MIN(AB35/MAX(1,Inputs!$E$40*12),AA38+AB34)</f>
        <v>-1904.7619047619</v>
      </c>
      <c r="AC36" s="65" t="n">
        <f aca="false">-MIN(AC35/MAX(1,Inputs!$E$40*12),AB38+AC34)</f>
        <v>-1904.7619047619</v>
      </c>
      <c r="AD36" s="65" t="n">
        <f aca="false">-MIN(AD35/MAX(1,Inputs!$E$40*12),AC38+AD34)</f>
        <v>-1904.7619047619</v>
      </c>
      <c r="AE36" s="65" t="n">
        <f aca="false">-MIN(AE35/MAX(1,Inputs!$E$40*12),AD38+AE34)</f>
        <v>-1904.7619047619</v>
      </c>
      <c r="AF36" s="65" t="n">
        <f aca="false">-MIN(AF35/MAX(1,Inputs!$E$40*12),AE38+AF34)</f>
        <v>-1904.7619047619</v>
      </c>
      <c r="AG36" s="65" t="n">
        <f aca="false">-MIN(AG35/MAX(1,Inputs!$E$40*12),AF38+AG34)</f>
        <v>-1904.7619047619</v>
      </c>
      <c r="AH36" s="65" t="n">
        <f aca="false">-MIN(AH35/MAX(1,Inputs!$E$40*12),AG38+AH34)</f>
        <v>-1904.7619047619</v>
      </c>
      <c r="AI36" s="65" t="n">
        <f aca="false">-MIN(AI35/MAX(1,Inputs!$E$40*12),AH38+AI34)</f>
        <v>-1904.7619047619</v>
      </c>
      <c r="AJ36" s="65" t="n">
        <f aca="false">-MIN(AJ35/MAX(1,Inputs!$E$40*12),AI38+AJ34)</f>
        <v>-1904.7619047619</v>
      </c>
      <c r="AK36" s="65" t="n">
        <f aca="false">-MIN(AK35/MAX(1,Inputs!$E$40*12),AJ38+AK34)</f>
        <v>-1904.7619047619</v>
      </c>
      <c r="AL36" s="65" t="n">
        <f aca="false">-MIN(AL35/MAX(1,Inputs!$E$40*12),AK38+AL34)</f>
        <v>-1904.7619047619</v>
      </c>
      <c r="AM36" s="65" t="n">
        <f aca="false">-MIN(AM35/MAX(1,Inputs!$E$40*12),AL38+AM34)</f>
        <v>-1904.7619047619</v>
      </c>
      <c r="AN36" s="65" t="n">
        <f aca="false">-MIN(AN35/MAX(1,Inputs!$E$40*12),AM38+AN34)</f>
        <v>-1904.7619047619</v>
      </c>
      <c r="AO36" s="65" t="n">
        <f aca="false">-MIN(AO35/MAX(1,Inputs!$E$40*12),AN38+AO34)</f>
        <v>-1904.7619047619</v>
      </c>
      <c r="AP36" s="65" t="n">
        <f aca="false">-MIN(AP35/MAX(1,Inputs!$E$40*12),AO38+AP34)</f>
        <v>-1904.7619047619</v>
      </c>
      <c r="AQ36" s="65" t="n">
        <f aca="false">-MIN(AQ35/MAX(1,Inputs!$E$40*12),AP38+AQ34)</f>
        <v>-1904.7619047619</v>
      </c>
      <c r="AR36" s="65" t="n">
        <f aca="false">-MIN(AR35/MAX(1,Inputs!$E$40*12),AQ38+AR34)</f>
        <v>-1904.7619047619</v>
      </c>
      <c r="AS36" s="65" t="n">
        <f aca="false">-MIN(AS35/MAX(1,Inputs!$E$40*12),AR38+AS34)</f>
        <v>-1904.7619047619</v>
      </c>
      <c r="AT36" s="65" t="n">
        <f aca="false">-MIN(AT35/MAX(1,Inputs!$E$40*12),AS38+AT34)</f>
        <v>-1904.7619047619</v>
      </c>
      <c r="AU36" s="65" t="n">
        <f aca="false">-MIN(AU35/MAX(1,Inputs!$E$40*12),AT38+AU34)</f>
        <v>-1904.7619047619</v>
      </c>
      <c r="AV36" s="65" t="n">
        <f aca="false">-MIN(AV35/MAX(1,Inputs!$E$40*12),AU38+AV34)</f>
        <v>-1904.7619047619</v>
      </c>
      <c r="AW36" s="65" t="n">
        <f aca="false">-MIN(AW35/MAX(1,Inputs!$E$40*12),AV38+AW34)</f>
        <v>-1904.7619047619</v>
      </c>
      <c r="AX36" s="65" t="n">
        <f aca="false">-MIN(AX35/MAX(1,Inputs!$E$40*12),AW38+AX34)</f>
        <v>-1904.7619047619</v>
      </c>
      <c r="AY36" s="65" t="n">
        <f aca="false">-MIN(AY35/MAX(1,Inputs!$E$40*12),AX38+AY34)</f>
        <v>-1904.7619047619</v>
      </c>
      <c r="AZ36" s="65" t="n">
        <f aca="false">-MIN(AZ35/MAX(1,Inputs!$E$40*12),AY38+AZ34)</f>
        <v>-1904.7619047619</v>
      </c>
      <c r="BA36" s="65" t="n">
        <f aca="false">-MIN(BA35/MAX(1,Inputs!$E$40*12),AZ38+BA34)</f>
        <v>-1904.7619047619</v>
      </c>
      <c r="BB36" s="65" t="n">
        <f aca="false">-MIN(BB35/MAX(1,Inputs!$E$40*12),BA38+BB34)</f>
        <v>-1904.7619047619</v>
      </c>
      <c r="BC36" s="65" t="n">
        <f aca="false">-MIN(BC35/MAX(1,Inputs!$E$40*12),BB38+BC34)</f>
        <v>-1904.7619047619</v>
      </c>
      <c r="BD36" s="65" t="n">
        <f aca="false">-MIN(BD35/MAX(1,Inputs!$E$40*12),BC38+BD34)</f>
        <v>-1904.7619047619</v>
      </c>
      <c r="BE36" s="65" t="n">
        <f aca="false">-MIN(BE35/MAX(1,Inputs!$E$40*12),BD38+BE34)</f>
        <v>-1904.7619047619</v>
      </c>
      <c r="BF36" s="65" t="n">
        <f aca="false">-MIN(BF35/MAX(1,Inputs!$E$40*12),BE38+BF34)</f>
        <v>-1904.7619047619</v>
      </c>
      <c r="BG36" s="65" t="n">
        <f aca="false">-MIN(BG35/MAX(1,Inputs!$E$40*12),BF38+BG34)</f>
        <v>-1904.7619047619</v>
      </c>
      <c r="BH36" s="65" t="n">
        <f aca="false">-MIN(BH35/MAX(1,Inputs!$E$40*12),BG38+BH34)</f>
        <v>-1904.7619047619</v>
      </c>
      <c r="BI36" s="65" t="n">
        <f aca="false">-MIN(BI35/MAX(1,Inputs!$E$40*12),BH38+BI34)</f>
        <v>-1904.7619047619</v>
      </c>
      <c r="BJ36" s="65" t="n">
        <f aca="false">-MIN(BJ35/MAX(1,Inputs!$E$40*12),BI38+BJ34)</f>
        <v>-1904.7619047619</v>
      </c>
    </row>
    <row r="37" customFormat="false" ht="15" hidden="false" customHeight="false" outlineLevel="0" collapsed="false">
      <c r="A37" s="6" t="s">
        <v>370</v>
      </c>
      <c r="C37" s="65" t="n">
        <f aca="false">C36</f>
        <v>-1904.7619047619</v>
      </c>
      <c r="D37" s="65" t="n">
        <f aca="false">C37+D36</f>
        <v>-3809.52380952381</v>
      </c>
      <c r="E37" s="65" t="n">
        <f aca="false">D37+E36</f>
        <v>-5714.28571428572</v>
      </c>
      <c r="F37" s="65" t="n">
        <f aca="false">E37+F36</f>
        <v>-7619.04761904762</v>
      </c>
      <c r="G37" s="65" t="n">
        <f aca="false">F37+G36</f>
        <v>-9523.80952380953</v>
      </c>
      <c r="H37" s="65" t="n">
        <f aca="false">G37+H36</f>
        <v>-11428.5714285714</v>
      </c>
      <c r="I37" s="65" t="n">
        <f aca="false">H37+I36</f>
        <v>-13333.3333333333</v>
      </c>
      <c r="J37" s="65" t="n">
        <f aca="false">I37+J36</f>
        <v>-15238.0952380952</v>
      </c>
      <c r="K37" s="65" t="n">
        <f aca="false">J37+K36</f>
        <v>-17142.8571428571</v>
      </c>
      <c r="L37" s="65" t="n">
        <f aca="false">K37+L36</f>
        <v>-19047.6190476191</v>
      </c>
      <c r="M37" s="65" t="n">
        <f aca="false">L37+M36</f>
        <v>-20952.380952381</v>
      </c>
      <c r="N37" s="65" t="n">
        <f aca="false">M37+N36</f>
        <v>-22857.1428571429</v>
      </c>
      <c r="O37" s="65" t="n">
        <f aca="false">N37+O36</f>
        <v>-24761.9047619048</v>
      </c>
      <c r="P37" s="65" t="n">
        <f aca="false">O37+P36</f>
        <v>-26666.6666666667</v>
      </c>
      <c r="Q37" s="65" t="n">
        <f aca="false">P37+Q36</f>
        <v>-28571.4285714286</v>
      </c>
      <c r="R37" s="65" t="n">
        <f aca="false">Q37+R36</f>
        <v>-30476.1904761905</v>
      </c>
      <c r="S37" s="65" t="n">
        <f aca="false">R37+S36</f>
        <v>-32380.9523809524</v>
      </c>
      <c r="T37" s="65" t="n">
        <f aca="false">S37+T36</f>
        <v>-34285.7142857143</v>
      </c>
      <c r="U37" s="65" t="n">
        <f aca="false">T37+U36</f>
        <v>-36190.4761904762</v>
      </c>
      <c r="V37" s="65" t="n">
        <f aca="false">U37+V36</f>
        <v>-38095.2380952381</v>
      </c>
      <c r="W37" s="65" t="n">
        <f aca="false">V37+W36</f>
        <v>-40000</v>
      </c>
      <c r="X37" s="65" t="n">
        <f aca="false">W37+X36</f>
        <v>-41904.7619047619</v>
      </c>
      <c r="Y37" s="65" t="n">
        <f aca="false">X37+Y36</f>
        <v>-43809.5238095238</v>
      </c>
      <c r="Z37" s="65" t="n">
        <f aca="false">Y37+Z36</f>
        <v>-45714.2857142857</v>
      </c>
      <c r="AA37" s="65" t="n">
        <f aca="false">Z37+AA36</f>
        <v>-47619.0476190477</v>
      </c>
      <c r="AB37" s="65" t="n">
        <f aca="false">AA37+AB36</f>
        <v>-49523.8095238096</v>
      </c>
      <c r="AC37" s="65" t="n">
        <f aca="false">AB37+AC36</f>
        <v>-51428.5714285715</v>
      </c>
      <c r="AD37" s="65" t="n">
        <f aca="false">AC37+AD36</f>
        <v>-53333.3333333334</v>
      </c>
      <c r="AE37" s="65" t="n">
        <f aca="false">AD37+AE36</f>
        <v>-55238.0952380953</v>
      </c>
      <c r="AF37" s="65" t="n">
        <f aca="false">AE37+AF36</f>
        <v>-57142.8571428572</v>
      </c>
      <c r="AG37" s="65" t="n">
        <f aca="false">AF37+AG36</f>
        <v>-59047.6190476191</v>
      </c>
      <c r="AH37" s="65" t="n">
        <f aca="false">AG37+AH36</f>
        <v>-60952.380952381</v>
      </c>
      <c r="AI37" s="65" t="n">
        <f aca="false">AH37+AI36</f>
        <v>-62857.1428571429</v>
      </c>
      <c r="AJ37" s="65" t="n">
        <f aca="false">AI37+AJ36</f>
        <v>-64761.9047619048</v>
      </c>
      <c r="AK37" s="65" t="n">
        <f aca="false">AJ37+AK36</f>
        <v>-66666.6666666667</v>
      </c>
      <c r="AL37" s="65" t="n">
        <f aca="false">AK37+AL36</f>
        <v>-68571.4285714286</v>
      </c>
      <c r="AM37" s="65" t="n">
        <f aca="false">AL37+AM36</f>
        <v>-70476.1904761906</v>
      </c>
      <c r="AN37" s="65" t="n">
        <f aca="false">AM37+AN36</f>
        <v>-72380.9523809525</v>
      </c>
      <c r="AO37" s="65" t="n">
        <f aca="false">AN37+AO36</f>
        <v>-74285.7142857144</v>
      </c>
      <c r="AP37" s="65" t="n">
        <f aca="false">AO37+AP36</f>
        <v>-76190.4761904763</v>
      </c>
      <c r="AQ37" s="65" t="n">
        <f aca="false">AP37+AQ36</f>
        <v>-78095.2380952382</v>
      </c>
      <c r="AR37" s="65" t="n">
        <f aca="false">AQ37+AR36</f>
        <v>-80000.0000000001</v>
      </c>
      <c r="AS37" s="65" t="n">
        <f aca="false">AR37+AS36</f>
        <v>-81904.761904762</v>
      </c>
      <c r="AT37" s="65" t="n">
        <f aca="false">AS37+AT36</f>
        <v>-83809.5238095239</v>
      </c>
      <c r="AU37" s="65" t="n">
        <f aca="false">AT37+AU36</f>
        <v>-85714.2857142858</v>
      </c>
      <c r="AV37" s="65" t="n">
        <f aca="false">AU37+AV36</f>
        <v>-87619.0476190477</v>
      </c>
      <c r="AW37" s="65" t="n">
        <f aca="false">AV37+AW36</f>
        <v>-89523.8095238096</v>
      </c>
      <c r="AX37" s="65" t="n">
        <f aca="false">AW37+AX36</f>
        <v>-91428.5714285715</v>
      </c>
      <c r="AY37" s="65" t="n">
        <f aca="false">AX37+AY36</f>
        <v>-93333.3333333334</v>
      </c>
      <c r="AZ37" s="65" t="n">
        <f aca="false">AY37+AZ36</f>
        <v>-95238.0952380954</v>
      </c>
      <c r="BA37" s="65" t="n">
        <f aca="false">AZ37+BA36</f>
        <v>-97142.8571428573</v>
      </c>
      <c r="BB37" s="65" t="n">
        <f aca="false">BA37+BB36</f>
        <v>-99047.6190476192</v>
      </c>
      <c r="BC37" s="65" t="n">
        <f aca="false">BB37+BC36</f>
        <v>-100952.380952381</v>
      </c>
      <c r="BD37" s="65" t="n">
        <f aca="false">BC37+BD36</f>
        <v>-102857.142857143</v>
      </c>
      <c r="BE37" s="65" t="n">
        <f aca="false">BD37+BE36</f>
        <v>-104761.904761905</v>
      </c>
      <c r="BF37" s="65" t="n">
        <f aca="false">BE37+BF36</f>
        <v>-106666.666666667</v>
      </c>
      <c r="BG37" s="65" t="n">
        <f aca="false">BF37+BG36</f>
        <v>-108571.428571429</v>
      </c>
      <c r="BH37" s="65" t="n">
        <f aca="false">BG37+BH36</f>
        <v>-110476.190476191</v>
      </c>
      <c r="BI37" s="65" t="n">
        <f aca="false">BH37+BI36</f>
        <v>-112380.952380953</v>
      </c>
      <c r="BJ37" s="65" t="n">
        <f aca="false">BI37+BJ36</f>
        <v>-114285.714285714</v>
      </c>
    </row>
    <row r="38" customFormat="false" ht="15" hidden="false" customHeight="false" outlineLevel="0" collapsed="false">
      <c r="A38" s="4" t="s">
        <v>90</v>
      </c>
      <c r="C38" s="71" t="n">
        <f aca="false">C35+C37</f>
        <v>158095.238095238</v>
      </c>
      <c r="D38" s="71" t="n">
        <f aca="false">D35+D37</f>
        <v>156190.476190476</v>
      </c>
      <c r="E38" s="71" t="n">
        <f aca="false">E35+E37</f>
        <v>154285.714285714</v>
      </c>
      <c r="F38" s="71" t="n">
        <f aca="false">F35+F37</f>
        <v>152380.952380952</v>
      </c>
      <c r="G38" s="71" t="n">
        <f aca="false">G35+G37</f>
        <v>150476.19047619</v>
      </c>
      <c r="H38" s="71" t="n">
        <f aca="false">H35+H37</f>
        <v>148571.428571429</v>
      </c>
      <c r="I38" s="71" t="n">
        <f aca="false">I35+I37</f>
        <v>146666.666666667</v>
      </c>
      <c r="J38" s="71" t="n">
        <f aca="false">J35+J37</f>
        <v>144761.904761905</v>
      </c>
      <c r="K38" s="71" t="n">
        <f aca="false">K35+K37</f>
        <v>142857.142857143</v>
      </c>
      <c r="L38" s="71" t="n">
        <f aca="false">L35+L37</f>
        <v>140952.380952381</v>
      </c>
      <c r="M38" s="71" t="n">
        <f aca="false">M35+M37</f>
        <v>139047.619047619</v>
      </c>
      <c r="N38" s="71" t="n">
        <f aca="false">N35+N37</f>
        <v>137142.857142857</v>
      </c>
      <c r="O38" s="71" t="n">
        <f aca="false">O35+O37</f>
        <v>135238.095238095</v>
      </c>
      <c r="P38" s="71" t="n">
        <f aca="false">P35+P37</f>
        <v>133333.333333333</v>
      </c>
      <c r="Q38" s="71" t="n">
        <f aca="false">Q35+Q37</f>
        <v>131428.571428571</v>
      </c>
      <c r="R38" s="71" t="n">
        <f aca="false">R35+R37</f>
        <v>129523.80952381</v>
      </c>
      <c r="S38" s="71" t="n">
        <f aca="false">S35+S37</f>
        <v>127619.047619048</v>
      </c>
      <c r="T38" s="71" t="n">
        <f aca="false">T35+T37</f>
        <v>125714.285714286</v>
      </c>
      <c r="U38" s="71" t="n">
        <f aca="false">U35+U37</f>
        <v>123809.523809524</v>
      </c>
      <c r="V38" s="71" t="n">
        <f aca="false">V35+V37</f>
        <v>121904.761904762</v>
      </c>
      <c r="W38" s="71" t="n">
        <f aca="false">W35+W37</f>
        <v>120000</v>
      </c>
      <c r="X38" s="71" t="n">
        <f aca="false">X35+X37</f>
        <v>118095.238095238</v>
      </c>
      <c r="Y38" s="71" t="n">
        <f aca="false">Y35+Y37</f>
        <v>116190.476190476</v>
      </c>
      <c r="Z38" s="71" t="n">
        <f aca="false">Z35+Z37</f>
        <v>114285.714285714</v>
      </c>
      <c r="AA38" s="71" t="n">
        <f aca="false">AA35+AA37</f>
        <v>112380.952380952</v>
      </c>
      <c r="AB38" s="71" t="n">
        <f aca="false">AB35+AB37</f>
        <v>110476.19047619</v>
      </c>
      <c r="AC38" s="71" t="n">
        <f aca="false">AC35+AC37</f>
        <v>108571.428571429</v>
      </c>
      <c r="AD38" s="71" t="n">
        <f aca="false">AD35+AD37</f>
        <v>106666.666666667</v>
      </c>
      <c r="AE38" s="71" t="n">
        <f aca="false">AE35+AE37</f>
        <v>104761.904761905</v>
      </c>
      <c r="AF38" s="71" t="n">
        <f aca="false">AF35+AF37</f>
        <v>102857.142857143</v>
      </c>
      <c r="AG38" s="71" t="n">
        <f aca="false">AG35+AG37</f>
        <v>100952.380952381</v>
      </c>
      <c r="AH38" s="71" t="n">
        <f aca="false">AH35+AH37</f>
        <v>99047.619047619</v>
      </c>
      <c r="AI38" s="71" t="n">
        <f aca="false">AI35+AI37</f>
        <v>97142.8571428571</v>
      </c>
      <c r="AJ38" s="71" t="n">
        <f aca="false">AJ35+AJ37</f>
        <v>95238.0952380952</v>
      </c>
      <c r="AK38" s="71" t="n">
        <f aca="false">AK35+AK37</f>
        <v>93333.3333333333</v>
      </c>
      <c r="AL38" s="71" t="n">
        <f aca="false">AL35+AL37</f>
        <v>91428.5714285714</v>
      </c>
      <c r="AM38" s="71" t="n">
        <f aca="false">AM35+AM37</f>
        <v>89523.8095238095</v>
      </c>
      <c r="AN38" s="71" t="n">
        <f aca="false">AN35+AN37</f>
        <v>87619.0476190476</v>
      </c>
      <c r="AO38" s="71" t="n">
        <f aca="false">AO35+AO37</f>
        <v>85714.2857142856</v>
      </c>
      <c r="AP38" s="71" t="n">
        <f aca="false">AP35+AP37</f>
        <v>83809.5238095237</v>
      </c>
      <c r="AQ38" s="71" t="n">
        <f aca="false">AQ35+AQ37</f>
        <v>81904.7619047618</v>
      </c>
      <c r="AR38" s="71" t="n">
        <f aca="false">AR35+AR37</f>
        <v>79999.9999999999</v>
      </c>
      <c r="AS38" s="71" t="n">
        <f aca="false">AS35+AS37</f>
        <v>78095.238095238</v>
      </c>
      <c r="AT38" s="71" t="n">
        <f aca="false">AT35+AT37</f>
        <v>76190.4761904761</v>
      </c>
      <c r="AU38" s="71" t="n">
        <f aca="false">AU35+AU37</f>
        <v>74285.7142857142</v>
      </c>
      <c r="AV38" s="71" t="n">
        <f aca="false">AV35+AV37</f>
        <v>72380.9523809523</v>
      </c>
      <c r="AW38" s="71" t="n">
        <f aca="false">AW35+AW37</f>
        <v>70476.1904761904</v>
      </c>
      <c r="AX38" s="71" t="n">
        <f aca="false">AX35+AX37</f>
        <v>68571.4285714285</v>
      </c>
      <c r="AY38" s="71" t="n">
        <f aca="false">AY35+AY37</f>
        <v>66666.6666666666</v>
      </c>
      <c r="AZ38" s="71" t="n">
        <f aca="false">AZ35+AZ37</f>
        <v>64761.9047619047</v>
      </c>
      <c r="BA38" s="71" t="n">
        <f aca="false">BA35+BA37</f>
        <v>62857.1428571427</v>
      </c>
      <c r="BB38" s="71" t="n">
        <f aca="false">BB35+BB37</f>
        <v>60952.3809523808</v>
      </c>
      <c r="BC38" s="71" t="n">
        <f aca="false">BC35+BC37</f>
        <v>59047.6190476189</v>
      </c>
      <c r="BD38" s="71" t="n">
        <f aca="false">BD35+BD37</f>
        <v>57142.857142857</v>
      </c>
      <c r="BE38" s="71" t="n">
        <f aca="false">BE35+BE37</f>
        <v>55238.0952380951</v>
      </c>
      <c r="BF38" s="71" t="n">
        <f aca="false">BF35+BF37</f>
        <v>53333.3333333332</v>
      </c>
      <c r="BG38" s="71" t="n">
        <f aca="false">BG35+BG37</f>
        <v>51428.5714285713</v>
      </c>
      <c r="BH38" s="71" t="n">
        <f aca="false">BH35+BH37</f>
        <v>49523.8095238094</v>
      </c>
      <c r="BI38" s="71" t="n">
        <f aca="false">BI35+BI37</f>
        <v>47619.0476190475</v>
      </c>
      <c r="BJ38" s="71" t="n">
        <f aca="false">BJ35+BJ37</f>
        <v>45714.2857142856</v>
      </c>
    </row>
    <row r="40" customFormat="false" ht="15.75" hidden="false" customHeight="true" outlineLevel="0" collapsed="false">
      <c r="A40" s="7" t="s">
        <v>371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372</v>
      </c>
      <c r="C41" s="65" t="n">
        <f aca="false">0</f>
        <v>0</v>
      </c>
      <c r="D41" s="65" t="n">
        <f aca="false">C44</f>
        <v>80000</v>
      </c>
      <c r="E41" s="65" t="n">
        <f aca="false">D44</f>
        <v>78666.6666666667</v>
      </c>
      <c r="F41" s="65" t="n">
        <f aca="false">E44</f>
        <v>77333.3333333333</v>
      </c>
      <c r="G41" s="65" t="n">
        <f aca="false">F44</f>
        <v>76000</v>
      </c>
      <c r="H41" s="65" t="n">
        <f aca="false">G44</f>
        <v>74666.6666666667</v>
      </c>
      <c r="I41" s="65" t="n">
        <f aca="false">H44</f>
        <v>73333.3333333334</v>
      </c>
      <c r="J41" s="65" t="n">
        <f aca="false">I44</f>
        <v>72000</v>
      </c>
      <c r="K41" s="65" t="n">
        <f aca="false">J44</f>
        <v>70666.6666666667</v>
      </c>
      <c r="L41" s="65" t="n">
        <f aca="false">K44</f>
        <v>69333.3333333334</v>
      </c>
      <c r="M41" s="65" t="n">
        <f aca="false">L44</f>
        <v>68000</v>
      </c>
      <c r="N41" s="65" t="n">
        <f aca="false">M44</f>
        <v>66666.6666666667</v>
      </c>
      <c r="O41" s="65" t="n">
        <f aca="false">N44</f>
        <v>65333.3333333334</v>
      </c>
      <c r="P41" s="65" t="n">
        <f aca="false">O44</f>
        <v>64000</v>
      </c>
      <c r="Q41" s="65" t="n">
        <f aca="false">P44</f>
        <v>62666.6666666667</v>
      </c>
      <c r="R41" s="65" t="n">
        <f aca="false">Q44</f>
        <v>61333.3333333334</v>
      </c>
      <c r="S41" s="65" t="n">
        <f aca="false">R44</f>
        <v>60000</v>
      </c>
      <c r="T41" s="65" t="n">
        <f aca="false">S44</f>
        <v>58666.6666666667</v>
      </c>
      <c r="U41" s="65" t="n">
        <f aca="false">T44</f>
        <v>57333.3333333334</v>
      </c>
      <c r="V41" s="65" t="n">
        <f aca="false">U44</f>
        <v>56000</v>
      </c>
      <c r="W41" s="65" t="n">
        <f aca="false">V44</f>
        <v>54666.6666666667</v>
      </c>
      <c r="X41" s="65" t="n">
        <f aca="false">W44</f>
        <v>53333.3333333334</v>
      </c>
      <c r="Y41" s="65" t="n">
        <f aca="false">X44</f>
        <v>52000</v>
      </c>
      <c r="Z41" s="65" t="n">
        <f aca="false">Y44</f>
        <v>50666.6666666667</v>
      </c>
      <c r="AA41" s="65" t="n">
        <f aca="false">Z44</f>
        <v>49333.3333333334</v>
      </c>
      <c r="AB41" s="65" t="n">
        <f aca="false">AA44</f>
        <v>48000</v>
      </c>
      <c r="AC41" s="65" t="n">
        <f aca="false">AB44</f>
        <v>46666.6666666667</v>
      </c>
      <c r="AD41" s="65" t="n">
        <f aca="false">AC44</f>
        <v>45333.3333333333</v>
      </c>
      <c r="AE41" s="65" t="n">
        <f aca="false">AD44</f>
        <v>44000</v>
      </c>
      <c r="AF41" s="65" t="n">
        <f aca="false">AE44</f>
        <v>42666.6666666667</v>
      </c>
      <c r="AG41" s="65" t="n">
        <f aca="false">AF44</f>
        <v>41333.3333333333</v>
      </c>
      <c r="AH41" s="65" t="n">
        <f aca="false">AG44</f>
        <v>40000</v>
      </c>
      <c r="AI41" s="65" t="n">
        <f aca="false">AH44</f>
        <v>38666.6666666667</v>
      </c>
      <c r="AJ41" s="65" t="n">
        <f aca="false">AI44</f>
        <v>37333.3333333333</v>
      </c>
      <c r="AK41" s="65" t="n">
        <f aca="false">AJ44</f>
        <v>36000</v>
      </c>
      <c r="AL41" s="65" t="n">
        <f aca="false">AK44</f>
        <v>34666.6666666667</v>
      </c>
      <c r="AM41" s="65" t="n">
        <f aca="false">AL44</f>
        <v>33333.3333333333</v>
      </c>
      <c r="AN41" s="65" t="n">
        <f aca="false">AM44</f>
        <v>32000</v>
      </c>
      <c r="AO41" s="65" t="n">
        <f aca="false">AN44</f>
        <v>30666.6666666667</v>
      </c>
      <c r="AP41" s="65" t="n">
        <f aca="false">AO44</f>
        <v>29333.3333333333</v>
      </c>
      <c r="AQ41" s="65" t="n">
        <f aca="false">AP44</f>
        <v>28000</v>
      </c>
      <c r="AR41" s="65" t="n">
        <f aca="false">AQ44</f>
        <v>26666.6666666667</v>
      </c>
      <c r="AS41" s="65" t="n">
        <f aca="false">AR44</f>
        <v>25333.3333333333</v>
      </c>
      <c r="AT41" s="65" t="n">
        <f aca="false">AS44</f>
        <v>24000</v>
      </c>
      <c r="AU41" s="65" t="n">
        <f aca="false">AT44</f>
        <v>22666.6666666667</v>
      </c>
      <c r="AV41" s="65" t="n">
        <f aca="false">AU44</f>
        <v>21333.3333333333</v>
      </c>
      <c r="AW41" s="65" t="n">
        <f aca="false">AV44</f>
        <v>20000</v>
      </c>
      <c r="AX41" s="65" t="n">
        <f aca="false">AW44</f>
        <v>18666.6666666667</v>
      </c>
      <c r="AY41" s="65" t="n">
        <f aca="false">AX44</f>
        <v>17333.3333333333</v>
      </c>
      <c r="AZ41" s="65" t="n">
        <f aca="false">AY44</f>
        <v>16000</v>
      </c>
      <c r="BA41" s="65" t="n">
        <f aca="false">AZ44</f>
        <v>14666.6666666667</v>
      </c>
      <c r="BB41" s="65" t="n">
        <f aca="false">BA44</f>
        <v>13333.3333333333</v>
      </c>
      <c r="BC41" s="65" t="n">
        <f aca="false">BB44</f>
        <v>12000</v>
      </c>
      <c r="BD41" s="65" t="n">
        <f aca="false">BC44</f>
        <v>10666.6666666667</v>
      </c>
      <c r="BE41" s="65" t="n">
        <f aca="false">BD44</f>
        <v>9333.33333333333</v>
      </c>
      <c r="BF41" s="65" t="n">
        <f aca="false">BE44</f>
        <v>8000</v>
      </c>
      <c r="BG41" s="65" t="n">
        <f aca="false">BF44</f>
        <v>6666.66666666667</v>
      </c>
      <c r="BH41" s="65" t="n">
        <f aca="false">BG44</f>
        <v>5333.33333333333</v>
      </c>
      <c r="BI41" s="65" t="n">
        <f aca="false">BH44</f>
        <v>4000</v>
      </c>
      <c r="BJ41" s="65" t="n">
        <f aca="false">BI44</f>
        <v>2666.66666666667</v>
      </c>
    </row>
    <row r="42" customFormat="false" ht="15" hidden="false" customHeight="false" outlineLevel="0" collapsed="false">
      <c r="A42" s="6" t="s">
        <v>83</v>
      </c>
      <c r="C42" s="65" t="n">
        <f aca="false">IF(C$4=1,Inputs!$E$30,0)</f>
        <v>80000</v>
      </c>
      <c r="D42" s="65" t="n">
        <f aca="false">IF(D$4=1,Inputs!$E$30,0)</f>
        <v>0</v>
      </c>
      <c r="E42" s="65" t="n">
        <f aca="false">IF(E$4=1,Inputs!$E$30,0)</f>
        <v>0</v>
      </c>
      <c r="F42" s="65" t="n">
        <f aca="false">IF(F$4=1,Inputs!$E$30,0)</f>
        <v>0</v>
      </c>
      <c r="G42" s="65" t="n">
        <f aca="false">IF(G$4=1,Inputs!$E$30,0)</f>
        <v>0</v>
      </c>
      <c r="H42" s="65" t="n">
        <f aca="false">IF(H$4=1,Inputs!$E$30,0)</f>
        <v>0</v>
      </c>
      <c r="I42" s="65" t="n">
        <f aca="false">IF(I$4=1,Inputs!$E$30,0)</f>
        <v>0</v>
      </c>
      <c r="J42" s="65" t="n">
        <f aca="false">IF(J$4=1,Inputs!$E$30,0)</f>
        <v>0</v>
      </c>
      <c r="K42" s="65" t="n">
        <f aca="false">IF(K$4=1,Inputs!$E$30,0)</f>
        <v>0</v>
      </c>
      <c r="L42" s="65" t="n">
        <f aca="false">IF(L$4=1,Inputs!$E$30,0)</f>
        <v>0</v>
      </c>
      <c r="M42" s="65" t="n">
        <f aca="false">IF(M$4=1,Inputs!$E$30,0)</f>
        <v>0</v>
      </c>
      <c r="N42" s="65" t="n">
        <f aca="false">IF(N$4=1,Inputs!$E$30,0)</f>
        <v>0</v>
      </c>
      <c r="O42" s="65" t="n">
        <f aca="false">IF(O$4=1,Inputs!$E$30,0)</f>
        <v>0</v>
      </c>
      <c r="P42" s="65" t="n">
        <f aca="false">IF(P$4=1,Inputs!$E$30,0)</f>
        <v>0</v>
      </c>
      <c r="Q42" s="65" t="n">
        <f aca="false">IF(Q$4=1,Inputs!$E$30,0)</f>
        <v>0</v>
      </c>
      <c r="R42" s="65" t="n">
        <f aca="false">IF(R$4=1,Inputs!$E$30,0)</f>
        <v>0</v>
      </c>
      <c r="S42" s="65" t="n">
        <f aca="false">IF(S$4=1,Inputs!$E$30,0)</f>
        <v>0</v>
      </c>
      <c r="T42" s="65" t="n">
        <f aca="false">IF(T$4=1,Inputs!$E$30,0)</f>
        <v>0</v>
      </c>
      <c r="U42" s="65" t="n">
        <f aca="false">IF(U$4=1,Inputs!$E$30,0)</f>
        <v>0</v>
      </c>
      <c r="V42" s="65" t="n">
        <f aca="false">IF(V$4=1,Inputs!$E$30,0)</f>
        <v>0</v>
      </c>
      <c r="W42" s="65" t="n">
        <f aca="false">IF(W$4=1,Inputs!$E$30,0)</f>
        <v>0</v>
      </c>
      <c r="X42" s="65" t="n">
        <f aca="false">IF(X$4=1,Inputs!$E$30,0)</f>
        <v>0</v>
      </c>
      <c r="Y42" s="65" t="n">
        <f aca="false">IF(Y$4=1,Inputs!$E$30,0)</f>
        <v>0</v>
      </c>
      <c r="Z42" s="65" t="n">
        <f aca="false">IF(Z$4=1,Inputs!$E$30,0)</f>
        <v>0</v>
      </c>
      <c r="AA42" s="65" t="n">
        <f aca="false">IF(AA$4=1,Inputs!$E$30,0)</f>
        <v>0</v>
      </c>
      <c r="AB42" s="65" t="n">
        <f aca="false">IF(AB$4=1,Inputs!$E$30,0)</f>
        <v>0</v>
      </c>
      <c r="AC42" s="65" t="n">
        <f aca="false">IF(AC$4=1,Inputs!$E$30,0)</f>
        <v>0</v>
      </c>
      <c r="AD42" s="65" t="n">
        <f aca="false">IF(AD$4=1,Inputs!$E$30,0)</f>
        <v>0</v>
      </c>
      <c r="AE42" s="65" t="n">
        <f aca="false">IF(AE$4=1,Inputs!$E$30,0)</f>
        <v>0</v>
      </c>
      <c r="AF42" s="65" t="n">
        <f aca="false">IF(AF$4=1,Inputs!$E$30,0)</f>
        <v>0</v>
      </c>
      <c r="AG42" s="65" t="n">
        <f aca="false">IF(AG$4=1,Inputs!$E$30,0)</f>
        <v>0</v>
      </c>
      <c r="AH42" s="65" t="n">
        <f aca="false">IF(AH$4=1,Inputs!$E$30,0)</f>
        <v>0</v>
      </c>
      <c r="AI42" s="65" t="n">
        <f aca="false">IF(AI$4=1,Inputs!$E$30,0)</f>
        <v>0</v>
      </c>
      <c r="AJ42" s="65" t="n">
        <f aca="false">IF(AJ$4=1,Inputs!$E$30,0)</f>
        <v>0</v>
      </c>
      <c r="AK42" s="65" t="n">
        <f aca="false">IF(AK$4=1,Inputs!$E$30,0)</f>
        <v>0</v>
      </c>
      <c r="AL42" s="65" t="n">
        <f aca="false">IF(AL$4=1,Inputs!$E$30,0)</f>
        <v>0</v>
      </c>
      <c r="AM42" s="65" t="n">
        <f aca="false">IF(AM$4=1,Inputs!$E$30,0)</f>
        <v>0</v>
      </c>
      <c r="AN42" s="65" t="n">
        <f aca="false">IF(AN$4=1,Inputs!$E$30,0)</f>
        <v>0</v>
      </c>
      <c r="AO42" s="65" t="n">
        <f aca="false">IF(AO$4=1,Inputs!$E$30,0)</f>
        <v>0</v>
      </c>
      <c r="AP42" s="65" t="n">
        <f aca="false">IF(AP$4=1,Inputs!$E$30,0)</f>
        <v>0</v>
      </c>
      <c r="AQ42" s="65" t="n">
        <f aca="false">IF(AQ$4=1,Inputs!$E$30,0)</f>
        <v>0</v>
      </c>
      <c r="AR42" s="65" t="n">
        <f aca="false">IF(AR$4=1,Inputs!$E$30,0)</f>
        <v>0</v>
      </c>
      <c r="AS42" s="65" t="n">
        <f aca="false">IF(AS$4=1,Inputs!$E$30,0)</f>
        <v>0</v>
      </c>
      <c r="AT42" s="65" t="n">
        <f aca="false">IF(AT$4=1,Inputs!$E$30,0)</f>
        <v>0</v>
      </c>
      <c r="AU42" s="65" t="n">
        <f aca="false">IF(AU$4=1,Inputs!$E$30,0)</f>
        <v>0</v>
      </c>
      <c r="AV42" s="65" t="n">
        <f aca="false">IF(AV$4=1,Inputs!$E$30,0)</f>
        <v>0</v>
      </c>
      <c r="AW42" s="65" t="n">
        <f aca="false">IF(AW$4=1,Inputs!$E$30,0)</f>
        <v>0</v>
      </c>
      <c r="AX42" s="65" t="n">
        <f aca="false">IF(AX$4=1,Inputs!$E$30,0)</f>
        <v>0</v>
      </c>
      <c r="AY42" s="65" t="n">
        <f aca="false">IF(AY$4=1,Inputs!$E$30,0)</f>
        <v>0</v>
      </c>
      <c r="AZ42" s="65" t="n">
        <f aca="false">IF(AZ$4=1,Inputs!$E$30,0)</f>
        <v>0</v>
      </c>
      <c r="BA42" s="65" t="n">
        <f aca="false">IF(BA$4=1,Inputs!$E$30,0)</f>
        <v>0</v>
      </c>
      <c r="BB42" s="65" t="n">
        <f aca="false">IF(BB$4=1,Inputs!$E$30,0)</f>
        <v>0</v>
      </c>
      <c r="BC42" s="65" t="n">
        <f aca="false">IF(BC$4=1,Inputs!$E$30,0)</f>
        <v>0</v>
      </c>
      <c r="BD42" s="65" t="n">
        <f aca="false">IF(BD$4=1,Inputs!$E$30,0)</f>
        <v>0</v>
      </c>
      <c r="BE42" s="65" t="n">
        <f aca="false">IF(BE$4=1,Inputs!$E$30,0)</f>
        <v>0</v>
      </c>
      <c r="BF42" s="65" t="n">
        <f aca="false">IF(BF$4=1,Inputs!$E$30,0)</f>
        <v>0</v>
      </c>
      <c r="BG42" s="65" t="n">
        <f aca="false">IF(BG$4=1,Inputs!$E$30,0)</f>
        <v>0</v>
      </c>
      <c r="BH42" s="65" t="n">
        <f aca="false">IF(BH$4=1,Inputs!$E$30,0)</f>
        <v>0</v>
      </c>
      <c r="BI42" s="65" t="n">
        <f aca="false">IF(BI$4=1,Inputs!$E$30,0)</f>
        <v>0</v>
      </c>
      <c r="BJ42" s="65" t="n">
        <f aca="false">IF(BJ$4=1,Inputs!$E$30,0)</f>
        <v>0</v>
      </c>
    </row>
    <row r="43" customFormat="false" ht="15" hidden="false" customHeight="false" outlineLevel="0" collapsed="false">
      <c r="A43" s="6" t="s">
        <v>84</v>
      </c>
      <c r="C43" s="65" t="n">
        <f aca="false">-MIN(C41,Inputs!$E$30/MAX(1,Inputs!$E$32*12))</f>
        <v>-0</v>
      </c>
      <c r="D43" s="65" t="n">
        <f aca="false">-MIN(D41,Inputs!$E$30/MAX(1,Inputs!$E$32*12))</f>
        <v>-1333.33333333333</v>
      </c>
      <c r="E43" s="65" t="n">
        <f aca="false">-MIN(E41,Inputs!$E$30/MAX(1,Inputs!$E$32*12))</f>
        <v>-1333.33333333333</v>
      </c>
      <c r="F43" s="65" t="n">
        <f aca="false">-MIN(F41,Inputs!$E$30/MAX(1,Inputs!$E$32*12))</f>
        <v>-1333.33333333333</v>
      </c>
      <c r="G43" s="65" t="n">
        <f aca="false">-MIN(G41,Inputs!$E$30/MAX(1,Inputs!$E$32*12))</f>
        <v>-1333.33333333333</v>
      </c>
      <c r="H43" s="65" t="n">
        <f aca="false">-MIN(H41,Inputs!$E$30/MAX(1,Inputs!$E$32*12))</f>
        <v>-1333.33333333333</v>
      </c>
      <c r="I43" s="65" t="n">
        <f aca="false">-MIN(I41,Inputs!$E$30/MAX(1,Inputs!$E$32*12))</f>
        <v>-1333.33333333333</v>
      </c>
      <c r="J43" s="65" t="n">
        <f aca="false">-MIN(J41,Inputs!$E$30/MAX(1,Inputs!$E$32*12))</f>
        <v>-1333.33333333333</v>
      </c>
      <c r="K43" s="65" t="n">
        <f aca="false">-MIN(K41,Inputs!$E$30/MAX(1,Inputs!$E$32*12))</f>
        <v>-1333.33333333333</v>
      </c>
      <c r="L43" s="65" t="n">
        <f aca="false">-MIN(L41,Inputs!$E$30/MAX(1,Inputs!$E$32*12))</f>
        <v>-1333.33333333333</v>
      </c>
      <c r="M43" s="65" t="n">
        <f aca="false">-MIN(M41,Inputs!$E$30/MAX(1,Inputs!$E$32*12))</f>
        <v>-1333.33333333333</v>
      </c>
      <c r="N43" s="65" t="n">
        <f aca="false">-MIN(N41,Inputs!$E$30/MAX(1,Inputs!$E$32*12))</f>
        <v>-1333.33333333333</v>
      </c>
      <c r="O43" s="65" t="n">
        <f aca="false">-MIN(O41,Inputs!$E$30/MAX(1,Inputs!$E$32*12))</f>
        <v>-1333.33333333333</v>
      </c>
      <c r="P43" s="65" t="n">
        <f aca="false">-MIN(P41,Inputs!$E$30/MAX(1,Inputs!$E$32*12))</f>
        <v>-1333.33333333333</v>
      </c>
      <c r="Q43" s="65" t="n">
        <f aca="false">-MIN(Q41,Inputs!$E$30/MAX(1,Inputs!$E$32*12))</f>
        <v>-1333.33333333333</v>
      </c>
      <c r="R43" s="65" t="n">
        <f aca="false">-MIN(R41,Inputs!$E$30/MAX(1,Inputs!$E$32*12))</f>
        <v>-1333.33333333333</v>
      </c>
      <c r="S43" s="65" t="n">
        <f aca="false">-MIN(S41,Inputs!$E$30/MAX(1,Inputs!$E$32*12))</f>
        <v>-1333.33333333333</v>
      </c>
      <c r="T43" s="65" t="n">
        <f aca="false">-MIN(T41,Inputs!$E$30/MAX(1,Inputs!$E$32*12))</f>
        <v>-1333.33333333333</v>
      </c>
      <c r="U43" s="65" t="n">
        <f aca="false">-MIN(U41,Inputs!$E$30/MAX(1,Inputs!$E$32*12))</f>
        <v>-1333.33333333333</v>
      </c>
      <c r="V43" s="65" t="n">
        <f aca="false">-MIN(V41,Inputs!$E$30/MAX(1,Inputs!$E$32*12))</f>
        <v>-1333.33333333333</v>
      </c>
      <c r="W43" s="65" t="n">
        <f aca="false">-MIN(W41,Inputs!$E$30/MAX(1,Inputs!$E$32*12))</f>
        <v>-1333.33333333333</v>
      </c>
      <c r="X43" s="65" t="n">
        <f aca="false">-MIN(X41,Inputs!$E$30/MAX(1,Inputs!$E$32*12))</f>
        <v>-1333.33333333333</v>
      </c>
      <c r="Y43" s="65" t="n">
        <f aca="false">-MIN(Y41,Inputs!$E$30/MAX(1,Inputs!$E$32*12))</f>
        <v>-1333.33333333333</v>
      </c>
      <c r="Z43" s="65" t="n">
        <f aca="false">-MIN(Z41,Inputs!$E$30/MAX(1,Inputs!$E$32*12))</f>
        <v>-1333.33333333333</v>
      </c>
      <c r="AA43" s="65" t="n">
        <f aca="false">-MIN(AA41,Inputs!$E$30/MAX(1,Inputs!$E$32*12))</f>
        <v>-1333.33333333333</v>
      </c>
      <c r="AB43" s="65" t="n">
        <f aca="false">-MIN(AB41,Inputs!$E$30/MAX(1,Inputs!$E$32*12))</f>
        <v>-1333.33333333333</v>
      </c>
      <c r="AC43" s="65" t="n">
        <f aca="false">-MIN(AC41,Inputs!$E$30/MAX(1,Inputs!$E$32*12))</f>
        <v>-1333.33333333333</v>
      </c>
      <c r="AD43" s="65" t="n">
        <f aca="false">-MIN(AD41,Inputs!$E$30/MAX(1,Inputs!$E$32*12))</f>
        <v>-1333.33333333333</v>
      </c>
      <c r="AE43" s="65" t="n">
        <f aca="false">-MIN(AE41,Inputs!$E$30/MAX(1,Inputs!$E$32*12))</f>
        <v>-1333.33333333333</v>
      </c>
      <c r="AF43" s="65" t="n">
        <f aca="false">-MIN(AF41,Inputs!$E$30/MAX(1,Inputs!$E$32*12))</f>
        <v>-1333.33333333333</v>
      </c>
      <c r="AG43" s="65" t="n">
        <f aca="false">-MIN(AG41,Inputs!$E$30/MAX(1,Inputs!$E$32*12))</f>
        <v>-1333.33333333333</v>
      </c>
      <c r="AH43" s="65" t="n">
        <f aca="false">-MIN(AH41,Inputs!$E$30/MAX(1,Inputs!$E$32*12))</f>
        <v>-1333.33333333333</v>
      </c>
      <c r="AI43" s="65" t="n">
        <f aca="false">-MIN(AI41,Inputs!$E$30/MAX(1,Inputs!$E$32*12))</f>
        <v>-1333.33333333333</v>
      </c>
      <c r="AJ43" s="65" t="n">
        <f aca="false">-MIN(AJ41,Inputs!$E$30/MAX(1,Inputs!$E$32*12))</f>
        <v>-1333.33333333333</v>
      </c>
      <c r="AK43" s="65" t="n">
        <f aca="false">-MIN(AK41,Inputs!$E$30/MAX(1,Inputs!$E$32*12))</f>
        <v>-1333.33333333333</v>
      </c>
      <c r="AL43" s="65" t="n">
        <f aca="false">-MIN(AL41,Inputs!$E$30/MAX(1,Inputs!$E$32*12))</f>
        <v>-1333.33333333333</v>
      </c>
      <c r="AM43" s="65" t="n">
        <f aca="false">-MIN(AM41,Inputs!$E$30/MAX(1,Inputs!$E$32*12))</f>
        <v>-1333.33333333333</v>
      </c>
      <c r="AN43" s="65" t="n">
        <f aca="false">-MIN(AN41,Inputs!$E$30/MAX(1,Inputs!$E$32*12))</f>
        <v>-1333.33333333333</v>
      </c>
      <c r="AO43" s="65" t="n">
        <f aca="false">-MIN(AO41,Inputs!$E$30/MAX(1,Inputs!$E$32*12))</f>
        <v>-1333.33333333333</v>
      </c>
      <c r="AP43" s="65" t="n">
        <f aca="false">-MIN(AP41,Inputs!$E$30/MAX(1,Inputs!$E$32*12))</f>
        <v>-1333.33333333333</v>
      </c>
      <c r="AQ43" s="65" t="n">
        <f aca="false">-MIN(AQ41,Inputs!$E$30/MAX(1,Inputs!$E$32*12))</f>
        <v>-1333.33333333333</v>
      </c>
      <c r="AR43" s="65" t="n">
        <f aca="false">-MIN(AR41,Inputs!$E$30/MAX(1,Inputs!$E$32*12))</f>
        <v>-1333.33333333333</v>
      </c>
      <c r="AS43" s="65" t="n">
        <f aca="false">-MIN(AS41,Inputs!$E$30/MAX(1,Inputs!$E$32*12))</f>
        <v>-1333.33333333333</v>
      </c>
      <c r="AT43" s="65" t="n">
        <f aca="false">-MIN(AT41,Inputs!$E$30/MAX(1,Inputs!$E$32*12))</f>
        <v>-1333.33333333333</v>
      </c>
      <c r="AU43" s="65" t="n">
        <f aca="false">-MIN(AU41,Inputs!$E$30/MAX(1,Inputs!$E$32*12))</f>
        <v>-1333.33333333333</v>
      </c>
      <c r="AV43" s="65" t="n">
        <f aca="false">-MIN(AV41,Inputs!$E$30/MAX(1,Inputs!$E$32*12))</f>
        <v>-1333.33333333333</v>
      </c>
      <c r="AW43" s="65" t="n">
        <f aca="false">-MIN(AW41,Inputs!$E$30/MAX(1,Inputs!$E$32*12))</f>
        <v>-1333.33333333333</v>
      </c>
      <c r="AX43" s="65" t="n">
        <f aca="false">-MIN(AX41,Inputs!$E$30/MAX(1,Inputs!$E$32*12))</f>
        <v>-1333.33333333333</v>
      </c>
      <c r="AY43" s="65" t="n">
        <f aca="false">-MIN(AY41,Inputs!$E$30/MAX(1,Inputs!$E$32*12))</f>
        <v>-1333.33333333333</v>
      </c>
      <c r="AZ43" s="65" t="n">
        <f aca="false">-MIN(AZ41,Inputs!$E$30/MAX(1,Inputs!$E$32*12))</f>
        <v>-1333.33333333333</v>
      </c>
      <c r="BA43" s="65" t="n">
        <f aca="false">-MIN(BA41,Inputs!$E$30/MAX(1,Inputs!$E$32*12))</f>
        <v>-1333.33333333333</v>
      </c>
      <c r="BB43" s="65" t="n">
        <f aca="false">-MIN(BB41,Inputs!$E$30/MAX(1,Inputs!$E$32*12))</f>
        <v>-1333.33333333333</v>
      </c>
      <c r="BC43" s="65" t="n">
        <f aca="false">-MIN(BC41,Inputs!$E$30/MAX(1,Inputs!$E$32*12))</f>
        <v>-1333.33333333333</v>
      </c>
      <c r="BD43" s="65" t="n">
        <f aca="false">-MIN(BD41,Inputs!$E$30/MAX(1,Inputs!$E$32*12))</f>
        <v>-1333.33333333333</v>
      </c>
      <c r="BE43" s="65" t="n">
        <f aca="false">-MIN(BE41,Inputs!$E$30/MAX(1,Inputs!$E$32*12))</f>
        <v>-1333.33333333333</v>
      </c>
      <c r="BF43" s="65" t="n">
        <f aca="false">-MIN(BF41,Inputs!$E$30/MAX(1,Inputs!$E$32*12))</f>
        <v>-1333.33333333333</v>
      </c>
      <c r="BG43" s="65" t="n">
        <f aca="false">-MIN(BG41,Inputs!$E$30/MAX(1,Inputs!$E$32*12))</f>
        <v>-1333.33333333333</v>
      </c>
      <c r="BH43" s="65" t="n">
        <f aca="false">-MIN(BH41,Inputs!$E$30/MAX(1,Inputs!$E$32*12))</f>
        <v>-1333.33333333333</v>
      </c>
      <c r="BI43" s="65" t="n">
        <f aca="false">-MIN(BI41,Inputs!$E$30/MAX(1,Inputs!$E$32*12))</f>
        <v>-1333.33333333333</v>
      </c>
      <c r="BJ43" s="65" t="n">
        <f aca="false">-MIN(BJ41,Inputs!$E$30/MAX(1,Inputs!$E$32*12))</f>
        <v>-1333.33333333333</v>
      </c>
    </row>
    <row r="44" customFormat="false" ht="15" hidden="false" customHeight="false" outlineLevel="0" collapsed="false">
      <c r="A44" s="4" t="s">
        <v>373</v>
      </c>
      <c r="C44" s="71" t="n">
        <f aca="false">C41+C42+C43</f>
        <v>80000</v>
      </c>
      <c r="D44" s="71" t="n">
        <f aca="false">D41+D42+D43</f>
        <v>78666.6666666667</v>
      </c>
      <c r="E44" s="71" t="n">
        <f aca="false">E41+E42+E43</f>
        <v>77333.3333333333</v>
      </c>
      <c r="F44" s="71" t="n">
        <f aca="false">F41+F42+F43</f>
        <v>76000</v>
      </c>
      <c r="G44" s="71" t="n">
        <f aca="false">G41+G42+G43</f>
        <v>74666.6666666667</v>
      </c>
      <c r="H44" s="71" t="n">
        <f aca="false">H41+H42+H43</f>
        <v>73333.3333333334</v>
      </c>
      <c r="I44" s="71" t="n">
        <f aca="false">I41+I42+I43</f>
        <v>72000</v>
      </c>
      <c r="J44" s="71" t="n">
        <f aca="false">J41+J42+J43</f>
        <v>70666.6666666667</v>
      </c>
      <c r="K44" s="71" t="n">
        <f aca="false">K41+K42+K43</f>
        <v>69333.3333333334</v>
      </c>
      <c r="L44" s="71" t="n">
        <f aca="false">L41+L42+L43</f>
        <v>68000</v>
      </c>
      <c r="M44" s="71" t="n">
        <f aca="false">M41+M42+M43</f>
        <v>66666.6666666667</v>
      </c>
      <c r="N44" s="71" t="n">
        <f aca="false">N41+N42+N43</f>
        <v>65333.3333333334</v>
      </c>
      <c r="O44" s="71" t="n">
        <f aca="false">O41+O42+O43</f>
        <v>64000</v>
      </c>
      <c r="P44" s="71" t="n">
        <f aca="false">P41+P42+P43</f>
        <v>62666.6666666667</v>
      </c>
      <c r="Q44" s="71" t="n">
        <f aca="false">Q41+Q42+Q43</f>
        <v>61333.3333333334</v>
      </c>
      <c r="R44" s="71" t="n">
        <f aca="false">R41+R42+R43</f>
        <v>60000</v>
      </c>
      <c r="S44" s="71" t="n">
        <f aca="false">S41+S42+S43</f>
        <v>58666.6666666667</v>
      </c>
      <c r="T44" s="71" t="n">
        <f aca="false">T41+T42+T43</f>
        <v>57333.3333333334</v>
      </c>
      <c r="U44" s="71" t="n">
        <f aca="false">U41+U42+U43</f>
        <v>56000</v>
      </c>
      <c r="V44" s="71" t="n">
        <f aca="false">V41+V42+V43</f>
        <v>54666.6666666667</v>
      </c>
      <c r="W44" s="71" t="n">
        <f aca="false">W41+W42+W43</f>
        <v>53333.3333333334</v>
      </c>
      <c r="X44" s="71" t="n">
        <f aca="false">X41+X42+X43</f>
        <v>52000</v>
      </c>
      <c r="Y44" s="71" t="n">
        <f aca="false">Y41+Y42+Y43</f>
        <v>50666.6666666667</v>
      </c>
      <c r="Z44" s="71" t="n">
        <f aca="false">Z41+Z42+Z43</f>
        <v>49333.3333333334</v>
      </c>
      <c r="AA44" s="71" t="n">
        <f aca="false">AA41+AA42+AA43</f>
        <v>48000</v>
      </c>
      <c r="AB44" s="71" t="n">
        <f aca="false">AB41+AB42+AB43</f>
        <v>46666.6666666667</v>
      </c>
      <c r="AC44" s="71" t="n">
        <f aca="false">AC41+AC42+AC43</f>
        <v>45333.3333333333</v>
      </c>
      <c r="AD44" s="71" t="n">
        <f aca="false">AD41+AD42+AD43</f>
        <v>44000</v>
      </c>
      <c r="AE44" s="71" t="n">
        <f aca="false">AE41+AE42+AE43</f>
        <v>42666.6666666667</v>
      </c>
      <c r="AF44" s="71" t="n">
        <f aca="false">AF41+AF42+AF43</f>
        <v>41333.3333333333</v>
      </c>
      <c r="AG44" s="71" t="n">
        <f aca="false">AG41+AG42+AG43</f>
        <v>40000</v>
      </c>
      <c r="AH44" s="71" t="n">
        <f aca="false">AH41+AH42+AH43</f>
        <v>38666.6666666667</v>
      </c>
      <c r="AI44" s="71" t="n">
        <f aca="false">AI41+AI42+AI43</f>
        <v>37333.3333333333</v>
      </c>
      <c r="AJ44" s="71" t="n">
        <f aca="false">AJ41+AJ42+AJ43</f>
        <v>36000</v>
      </c>
      <c r="AK44" s="71" t="n">
        <f aca="false">AK41+AK42+AK43</f>
        <v>34666.6666666667</v>
      </c>
      <c r="AL44" s="71" t="n">
        <f aca="false">AL41+AL42+AL43</f>
        <v>33333.3333333333</v>
      </c>
      <c r="AM44" s="71" t="n">
        <f aca="false">AM41+AM42+AM43</f>
        <v>32000</v>
      </c>
      <c r="AN44" s="71" t="n">
        <f aca="false">AN41+AN42+AN43</f>
        <v>30666.6666666667</v>
      </c>
      <c r="AO44" s="71" t="n">
        <f aca="false">AO41+AO42+AO43</f>
        <v>29333.3333333333</v>
      </c>
      <c r="AP44" s="71" t="n">
        <f aca="false">AP41+AP42+AP43</f>
        <v>28000</v>
      </c>
      <c r="AQ44" s="71" t="n">
        <f aca="false">AQ41+AQ42+AQ43</f>
        <v>26666.6666666667</v>
      </c>
      <c r="AR44" s="71" t="n">
        <f aca="false">AR41+AR42+AR43</f>
        <v>25333.3333333333</v>
      </c>
      <c r="AS44" s="71" t="n">
        <f aca="false">AS41+AS42+AS43</f>
        <v>24000</v>
      </c>
      <c r="AT44" s="71" t="n">
        <f aca="false">AT41+AT42+AT43</f>
        <v>22666.6666666667</v>
      </c>
      <c r="AU44" s="71" t="n">
        <f aca="false">AU41+AU42+AU43</f>
        <v>21333.3333333333</v>
      </c>
      <c r="AV44" s="71" t="n">
        <f aca="false">AV41+AV42+AV43</f>
        <v>20000</v>
      </c>
      <c r="AW44" s="71" t="n">
        <f aca="false">AW41+AW42+AW43</f>
        <v>18666.6666666667</v>
      </c>
      <c r="AX44" s="71" t="n">
        <f aca="false">AX41+AX42+AX43</f>
        <v>17333.3333333333</v>
      </c>
      <c r="AY44" s="71" t="n">
        <f aca="false">AY41+AY42+AY43</f>
        <v>16000</v>
      </c>
      <c r="AZ44" s="71" t="n">
        <f aca="false">AZ41+AZ42+AZ43</f>
        <v>14666.6666666667</v>
      </c>
      <c r="BA44" s="71" t="n">
        <f aca="false">BA41+BA42+BA43</f>
        <v>13333.3333333333</v>
      </c>
      <c r="BB44" s="71" t="n">
        <f aca="false">BB41+BB42+BB43</f>
        <v>12000</v>
      </c>
      <c r="BC44" s="71" t="n">
        <f aca="false">BC41+BC42+BC43</f>
        <v>10666.6666666667</v>
      </c>
      <c r="BD44" s="71" t="n">
        <f aca="false">BD41+BD42+BD43</f>
        <v>9333.33333333333</v>
      </c>
      <c r="BE44" s="71" t="n">
        <f aca="false">BE41+BE42+BE43</f>
        <v>8000</v>
      </c>
      <c r="BF44" s="71" t="n">
        <f aca="false">BF41+BF42+BF43</f>
        <v>6666.66666666667</v>
      </c>
      <c r="BG44" s="71" t="n">
        <f aca="false">BG41+BG42+BG43</f>
        <v>5333.33333333333</v>
      </c>
      <c r="BH44" s="71" t="n">
        <f aca="false">BH41+BH42+BH43</f>
        <v>4000</v>
      </c>
      <c r="BI44" s="71" t="n">
        <f aca="false">BI41+BI42+BI43</f>
        <v>2666.66666666667</v>
      </c>
      <c r="BJ44" s="71" t="n">
        <f aca="false">BJ41+BJ42+BJ43</f>
        <v>1333.33333333333</v>
      </c>
    </row>
    <row r="46" customFormat="false" ht="15.75" hidden="false" customHeight="true" outlineLevel="0" collapsed="false">
      <c r="A46" s="7" t="s">
        <v>270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88</v>
      </c>
      <c r="C47" s="65" t="n">
        <f aca="false">C12*Inputs!$E$35/30</f>
        <v>1040</v>
      </c>
      <c r="D47" s="65" t="n">
        <f aca="false">D12*Inputs!$E$35/30</f>
        <v>1213.33333333333</v>
      </c>
      <c r="E47" s="65" t="n">
        <f aca="false">E12*Inputs!$E$35/30</f>
        <v>1386.66666666667</v>
      </c>
      <c r="F47" s="65" t="n">
        <f aca="false">F12*Inputs!$E$35/30</f>
        <v>1560</v>
      </c>
      <c r="G47" s="65" t="n">
        <f aca="false">G12*Inputs!$E$35/30</f>
        <v>1733.33333333333</v>
      </c>
      <c r="H47" s="65" t="n">
        <f aca="false">H12*Inputs!$E$35/30</f>
        <v>1906.66666666667</v>
      </c>
      <c r="I47" s="65" t="n">
        <f aca="false">I12*Inputs!$E$35/30</f>
        <v>2080</v>
      </c>
      <c r="J47" s="65" t="n">
        <f aca="false">J12*Inputs!$E$35/30</f>
        <v>2080</v>
      </c>
      <c r="K47" s="65" t="n">
        <f aca="false">K12*Inputs!$E$35/30</f>
        <v>2080</v>
      </c>
      <c r="L47" s="65" t="n">
        <f aca="false">L12*Inputs!$E$35/30</f>
        <v>2080</v>
      </c>
      <c r="M47" s="65" t="n">
        <f aca="false">M12*Inputs!$E$35/30</f>
        <v>2080</v>
      </c>
      <c r="N47" s="65" t="n">
        <f aca="false">N12*Inputs!$E$35/30</f>
        <v>2080</v>
      </c>
      <c r="O47" s="65" t="n">
        <f aca="false">O12*Inputs!$E$35/30</f>
        <v>2270.944</v>
      </c>
      <c r="P47" s="65" t="n">
        <f aca="false">P12*Inputs!$E$35/30</f>
        <v>2270.944</v>
      </c>
      <c r="Q47" s="65" t="n">
        <f aca="false">Q12*Inputs!$E$35/30</f>
        <v>2270.944</v>
      </c>
      <c r="R47" s="65" t="n">
        <f aca="false">R12*Inputs!$E$35/30</f>
        <v>2270.944</v>
      </c>
      <c r="S47" s="65" t="n">
        <f aca="false">S12*Inputs!$E$35/30</f>
        <v>2270.944</v>
      </c>
      <c r="T47" s="65" t="n">
        <f aca="false">T12*Inputs!$E$35/30</f>
        <v>2270.944</v>
      </c>
      <c r="U47" s="65" t="n">
        <f aca="false">U12*Inputs!$E$35/30</f>
        <v>2270.944</v>
      </c>
      <c r="V47" s="65" t="n">
        <f aca="false">V12*Inputs!$E$35/30</f>
        <v>2270.944</v>
      </c>
      <c r="W47" s="65" t="n">
        <f aca="false">W12*Inputs!$E$35/30</f>
        <v>2270.944</v>
      </c>
      <c r="X47" s="65" t="n">
        <f aca="false">X12*Inputs!$E$35/30</f>
        <v>2270.944</v>
      </c>
      <c r="Y47" s="65" t="n">
        <f aca="false">Y12*Inputs!$E$35/30</f>
        <v>2270.944</v>
      </c>
      <c r="Z47" s="65" t="n">
        <f aca="false">Z12*Inputs!$E$35/30</f>
        <v>2270.944</v>
      </c>
      <c r="AA47" s="65" t="n">
        <f aca="false">AA12*Inputs!$E$35/30</f>
        <v>2479.4166592</v>
      </c>
      <c r="AB47" s="65" t="n">
        <f aca="false">AB12*Inputs!$E$35/30</f>
        <v>2479.4166592</v>
      </c>
      <c r="AC47" s="65" t="n">
        <f aca="false">AC12*Inputs!$E$35/30</f>
        <v>2479.4166592</v>
      </c>
      <c r="AD47" s="65" t="n">
        <f aca="false">AD12*Inputs!$E$35/30</f>
        <v>2479.4166592</v>
      </c>
      <c r="AE47" s="65" t="n">
        <f aca="false">AE12*Inputs!$E$35/30</f>
        <v>2479.4166592</v>
      </c>
      <c r="AF47" s="65" t="n">
        <f aca="false">AF12*Inputs!$E$35/30</f>
        <v>2479.4166592</v>
      </c>
      <c r="AG47" s="65" t="n">
        <f aca="false">AG12*Inputs!$E$35/30</f>
        <v>2479.4166592</v>
      </c>
      <c r="AH47" s="65" t="n">
        <f aca="false">AH12*Inputs!$E$35/30</f>
        <v>2479.4166592</v>
      </c>
      <c r="AI47" s="65" t="n">
        <f aca="false">AI12*Inputs!$E$35/30</f>
        <v>2479.4166592</v>
      </c>
      <c r="AJ47" s="65" t="n">
        <f aca="false">AJ12*Inputs!$E$35/30</f>
        <v>2479.4166592</v>
      </c>
      <c r="AK47" s="65" t="n">
        <f aca="false">AK12*Inputs!$E$35/30</f>
        <v>2479.4166592</v>
      </c>
      <c r="AL47" s="65" t="n">
        <f aca="false">AL12*Inputs!$E$35/30</f>
        <v>2479.4166592</v>
      </c>
      <c r="AM47" s="65" t="n">
        <f aca="false">AM12*Inputs!$E$35/30</f>
        <v>2707.02710851456</v>
      </c>
      <c r="AN47" s="65" t="n">
        <f aca="false">AN12*Inputs!$E$35/30</f>
        <v>2707.02710851456</v>
      </c>
      <c r="AO47" s="65" t="n">
        <f aca="false">AO12*Inputs!$E$35/30</f>
        <v>2707.02710851456</v>
      </c>
      <c r="AP47" s="65" t="n">
        <f aca="false">AP12*Inputs!$E$35/30</f>
        <v>2707.02710851456</v>
      </c>
      <c r="AQ47" s="65" t="n">
        <f aca="false">AQ12*Inputs!$E$35/30</f>
        <v>2707.02710851456</v>
      </c>
      <c r="AR47" s="65" t="n">
        <f aca="false">AR12*Inputs!$E$35/30</f>
        <v>2707.02710851456</v>
      </c>
      <c r="AS47" s="65" t="n">
        <f aca="false">AS12*Inputs!$E$35/30</f>
        <v>2707.02710851456</v>
      </c>
      <c r="AT47" s="65" t="n">
        <f aca="false">AT12*Inputs!$E$35/30</f>
        <v>2707.02710851456</v>
      </c>
      <c r="AU47" s="65" t="n">
        <f aca="false">AU12*Inputs!$E$35/30</f>
        <v>2707.02710851456</v>
      </c>
      <c r="AV47" s="65" t="n">
        <f aca="false">AV12*Inputs!$E$35/30</f>
        <v>2707.02710851456</v>
      </c>
      <c r="AW47" s="65" t="n">
        <f aca="false">AW12*Inputs!$E$35/30</f>
        <v>2707.02710851456</v>
      </c>
      <c r="AX47" s="65" t="n">
        <f aca="false">AX12*Inputs!$E$35/30</f>
        <v>2707.02710851456</v>
      </c>
      <c r="AY47" s="65" t="n">
        <f aca="false">AY12*Inputs!$E$35/30</f>
        <v>2955.5321970762</v>
      </c>
      <c r="AZ47" s="65" t="n">
        <f aca="false">AZ12*Inputs!$E$35/30</f>
        <v>2955.5321970762</v>
      </c>
      <c r="BA47" s="65" t="n">
        <f aca="false">BA12*Inputs!$E$35/30</f>
        <v>2955.5321970762</v>
      </c>
      <c r="BB47" s="65" t="n">
        <f aca="false">BB12*Inputs!$E$35/30</f>
        <v>2955.5321970762</v>
      </c>
      <c r="BC47" s="65" t="n">
        <f aca="false">BC12*Inputs!$E$35/30</f>
        <v>2955.5321970762</v>
      </c>
      <c r="BD47" s="65" t="n">
        <f aca="false">BD12*Inputs!$E$35/30</f>
        <v>2955.5321970762</v>
      </c>
      <c r="BE47" s="65" t="n">
        <f aca="false">BE12*Inputs!$E$35/30</f>
        <v>2955.5321970762</v>
      </c>
      <c r="BF47" s="65" t="n">
        <f aca="false">BF12*Inputs!$E$35/30</f>
        <v>2955.5321970762</v>
      </c>
      <c r="BG47" s="65" t="n">
        <f aca="false">BG12*Inputs!$E$35/30</f>
        <v>2955.5321970762</v>
      </c>
      <c r="BH47" s="65" t="n">
        <f aca="false">BH12*Inputs!$E$35/30</f>
        <v>2955.5321970762</v>
      </c>
      <c r="BI47" s="65" t="n">
        <f aca="false">BI12*Inputs!$E$35/30</f>
        <v>2955.5321970762</v>
      </c>
      <c r="BJ47" s="65" t="n">
        <f aca="false">BJ12*Inputs!$E$35/30</f>
        <v>2955.5321970762</v>
      </c>
    </row>
    <row r="48" customFormat="false" ht="15" hidden="false" customHeight="false" outlineLevel="0" collapsed="false">
      <c r="A48" s="6" t="s">
        <v>89</v>
      </c>
      <c r="C48" s="65" t="n">
        <f aca="false">-C13*Inputs!$E$36/30</f>
        <v>1201.2</v>
      </c>
      <c r="D48" s="65" t="n">
        <f aca="false">-D13*Inputs!$E$36/30</f>
        <v>1401.4</v>
      </c>
      <c r="E48" s="65" t="n">
        <f aca="false">-E13*Inputs!$E$36/30</f>
        <v>1601.6</v>
      </c>
      <c r="F48" s="65" t="n">
        <f aca="false">-F13*Inputs!$E$36/30</f>
        <v>1801.8</v>
      </c>
      <c r="G48" s="65" t="n">
        <f aca="false">-G13*Inputs!$E$36/30</f>
        <v>2002</v>
      </c>
      <c r="H48" s="65" t="n">
        <f aca="false">-H13*Inputs!$E$36/30</f>
        <v>2202.2</v>
      </c>
      <c r="I48" s="65" t="n">
        <f aca="false">-I13*Inputs!$E$36/30</f>
        <v>2402.4</v>
      </c>
      <c r="J48" s="65" t="n">
        <f aca="false">-J13*Inputs!$E$36/30</f>
        <v>2402.4</v>
      </c>
      <c r="K48" s="65" t="n">
        <f aca="false">-K13*Inputs!$E$36/30</f>
        <v>2402.4</v>
      </c>
      <c r="L48" s="65" t="n">
        <f aca="false">-L13*Inputs!$E$36/30</f>
        <v>2402.4</v>
      </c>
      <c r="M48" s="65" t="n">
        <f aca="false">-M13*Inputs!$E$36/30</f>
        <v>2402.4</v>
      </c>
      <c r="N48" s="65" t="n">
        <f aca="false">-N13*Inputs!$E$36/30</f>
        <v>2402.4</v>
      </c>
      <c r="O48" s="65" t="n">
        <f aca="false">-O13*Inputs!$E$36/30</f>
        <v>2622.94032</v>
      </c>
      <c r="P48" s="65" t="n">
        <f aca="false">-P13*Inputs!$E$36/30</f>
        <v>2622.94032</v>
      </c>
      <c r="Q48" s="65" t="n">
        <f aca="false">-Q13*Inputs!$E$36/30</f>
        <v>2622.94032</v>
      </c>
      <c r="R48" s="65" t="n">
        <f aca="false">-R13*Inputs!$E$36/30</f>
        <v>2622.94032</v>
      </c>
      <c r="S48" s="65" t="n">
        <f aca="false">-S13*Inputs!$E$36/30</f>
        <v>2622.94032</v>
      </c>
      <c r="T48" s="65" t="n">
        <f aca="false">-T13*Inputs!$E$36/30</f>
        <v>2622.94032</v>
      </c>
      <c r="U48" s="65" t="n">
        <f aca="false">-U13*Inputs!$E$36/30</f>
        <v>2622.94032</v>
      </c>
      <c r="V48" s="65" t="n">
        <f aca="false">-V13*Inputs!$E$36/30</f>
        <v>2622.94032</v>
      </c>
      <c r="W48" s="65" t="n">
        <f aca="false">-W13*Inputs!$E$36/30</f>
        <v>2622.94032</v>
      </c>
      <c r="X48" s="65" t="n">
        <f aca="false">-X13*Inputs!$E$36/30</f>
        <v>2622.94032</v>
      </c>
      <c r="Y48" s="65" t="n">
        <f aca="false">-Y13*Inputs!$E$36/30</f>
        <v>2622.94032</v>
      </c>
      <c r="Z48" s="65" t="n">
        <f aca="false">-Z13*Inputs!$E$36/30</f>
        <v>2622.94032</v>
      </c>
      <c r="AA48" s="65" t="n">
        <f aca="false">-AA13*Inputs!$E$36/30</f>
        <v>2863.726241376</v>
      </c>
      <c r="AB48" s="65" t="n">
        <f aca="false">-AB13*Inputs!$E$36/30</f>
        <v>2863.726241376</v>
      </c>
      <c r="AC48" s="65" t="n">
        <f aca="false">-AC13*Inputs!$E$36/30</f>
        <v>2863.726241376</v>
      </c>
      <c r="AD48" s="65" t="n">
        <f aca="false">-AD13*Inputs!$E$36/30</f>
        <v>2863.726241376</v>
      </c>
      <c r="AE48" s="65" t="n">
        <f aca="false">-AE13*Inputs!$E$36/30</f>
        <v>2863.726241376</v>
      </c>
      <c r="AF48" s="65" t="n">
        <f aca="false">-AF13*Inputs!$E$36/30</f>
        <v>2863.726241376</v>
      </c>
      <c r="AG48" s="65" t="n">
        <f aca="false">-AG13*Inputs!$E$36/30</f>
        <v>2863.726241376</v>
      </c>
      <c r="AH48" s="65" t="n">
        <f aca="false">-AH13*Inputs!$E$36/30</f>
        <v>2863.726241376</v>
      </c>
      <c r="AI48" s="65" t="n">
        <f aca="false">-AI13*Inputs!$E$36/30</f>
        <v>2863.726241376</v>
      </c>
      <c r="AJ48" s="65" t="n">
        <f aca="false">-AJ13*Inputs!$E$36/30</f>
        <v>2863.726241376</v>
      </c>
      <c r="AK48" s="65" t="n">
        <f aca="false">-AK13*Inputs!$E$36/30</f>
        <v>2863.726241376</v>
      </c>
      <c r="AL48" s="65" t="n">
        <f aca="false">-AL13*Inputs!$E$36/30</f>
        <v>2863.726241376</v>
      </c>
      <c r="AM48" s="65" t="n">
        <f aca="false">-AM13*Inputs!$E$36/30</f>
        <v>3126.61631033432</v>
      </c>
      <c r="AN48" s="65" t="n">
        <f aca="false">-AN13*Inputs!$E$36/30</f>
        <v>3126.61631033432</v>
      </c>
      <c r="AO48" s="65" t="n">
        <f aca="false">-AO13*Inputs!$E$36/30</f>
        <v>3126.61631033432</v>
      </c>
      <c r="AP48" s="65" t="n">
        <f aca="false">-AP13*Inputs!$E$36/30</f>
        <v>3126.61631033432</v>
      </c>
      <c r="AQ48" s="65" t="n">
        <f aca="false">-AQ13*Inputs!$E$36/30</f>
        <v>3126.61631033432</v>
      </c>
      <c r="AR48" s="65" t="n">
        <f aca="false">-AR13*Inputs!$E$36/30</f>
        <v>3126.61631033432</v>
      </c>
      <c r="AS48" s="65" t="n">
        <f aca="false">-AS13*Inputs!$E$36/30</f>
        <v>3126.61631033432</v>
      </c>
      <c r="AT48" s="65" t="n">
        <f aca="false">-AT13*Inputs!$E$36/30</f>
        <v>3126.61631033432</v>
      </c>
      <c r="AU48" s="65" t="n">
        <f aca="false">-AU13*Inputs!$E$36/30</f>
        <v>3126.61631033432</v>
      </c>
      <c r="AV48" s="65" t="n">
        <f aca="false">-AV13*Inputs!$E$36/30</f>
        <v>3126.61631033432</v>
      </c>
      <c r="AW48" s="65" t="n">
        <f aca="false">-AW13*Inputs!$E$36/30</f>
        <v>3126.61631033432</v>
      </c>
      <c r="AX48" s="65" t="n">
        <f aca="false">-AX13*Inputs!$E$36/30</f>
        <v>3126.61631033432</v>
      </c>
      <c r="AY48" s="65" t="n">
        <f aca="false">-AY13*Inputs!$E$36/30</f>
        <v>3413.63968762301</v>
      </c>
      <c r="AZ48" s="65" t="n">
        <f aca="false">-AZ13*Inputs!$E$36/30</f>
        <v>3413.63968762301</v>
      </c>
      <c r="BA48" s="65" t="n">
        <f aca="false">-BA13*Inputs!$E$36/30</f>
        <v>3413.63968762301</v>
      </c>
      <c r="BB48" s="65" t="n">
        <f aca="false">-BB13*Inputs!$E$36/30</f>
        <v>3413.63968762301</v>
      </c>
      <c r="BC48" s="65" t="n">
        <f aca="false">-BC13*Inputs!$E$36/30</f>
        <v>3413.63968762301</v>
      </c>
      <c r="BD48" s="65" t="n">
        <f aca="false">-BD13*Inputs!$E$36/30</f>
        <v>3413.63968762301</v>
      </c>
      <c r="BE48" s="65" t="n">
        <f aca="false">-BE13*Inputs!$E$36/30</f>
        <v>3413.63968762301</v>
      </c>
      <c r="BF48" s="65" t="n">
        <f aca="false">-BF13*Inputs!$E$36/30</f>
        <v>3413.63968762301</v>
      </c>
      <c r="BG48" s="65" t="n">
        <f aca="false">-BG13*Inputs!$E$36/30</f>
        <v>3413.63968762301</v>
      </c>
      <c r="BH48" s="65" t="n">
        <f aca="false">-BH13*Inputs!$E$36/30</f>
        <v>3413.63968762301</v>
      </c>
      <c r="BI48" s="65" t="n">
        <f aca="false">-BI13*Inputs!$E$36/30</f>
        <v>3413.63968762301</v>
      </c>
      <c r="BJ48" s="65" t="n">
        <f aca="false">-BJ13*Inputs!$E$36/30</f>
        <v>3413.63968762301</v>
      </c>
    </row>
    <row r="49" customFormat="false" ht="15" hidden="false" customHeight="false" outlineLevel="0" collapsed="false">
      <c r="A49" s="6" t="s">
        <v>92</v>
      </c>
      <c r="C49" s="65" t="n">
        <f aca="false">-C13*Inputs!$E$37/30</f>
        <v>2402.4</v>
      </c>
      <c r="D49" s="65" t="n">
        <f aca="false">-D13*Inputs!$E$37/30</f>
        <v>2802.8</v>
      </c>
      <c r="E49" s="65" t="n">
        <f aca="false">-E13*Inputs!$E$37/30</f>
        <v>3203.2</v>
      </c>
      <c r="F49" s="65" t="n">
        <f aca="false">-F13*Inputs!$E$37/30</f>
        <v>3603.6</v>
      </c>
      <c r="G49" s="65" t="n">
        <f aca="false">-G13*Inputs!$E$37/30</f>
        <v>4004</v>
      </c>
      <c r="H49" s="65" t="n">
        <f aca="false">-H13*Inputs!$E$37/30</f>
        <v>4404.4</v>
      </c>
      <c r="I49" s="65" t="n">
        <f aca="false">-I13*Inputs!$E$37/30</f>
        <v>4804.8</v>
      </c>
      <c r="J49" s="65" t="n">
        <f aca="false">-J13*Inputs!$E$37/30</f>
        <v>4804.8</v>
      </c>
      <c r="K49" s="65" t="n">
        <f aca="false">-K13*Inputs!$E$37/30</f>
        <v>4804.8</v>
      </c>
      <c r="L49" s="65" t="n">
        <f aca="false">-L13*Inputs!$E$37/30</f>
        <v>4804.8</v>
      </c>
      <c r="M49" s="65" t="n">
        <f aca="false">-M13*Inputs!$E$37/30</f>
        <v>4804.8</v>
      </c>
      <c r="N49" s="65" t="n">
        <f aca="false">-N13*Inputs!$E$37/30</f>
        <v>4804.8</v>
      </c>
      <c r="O49" s="65" t="n">
        <f aca="false">-O13*Inputs!$E$37/30</f>
        <v>5245.88064</v>
      </c>
      <c r="P49" s="65" t="n">
        <f aca="false">-P13*Inputs!$E$37/30</f>
        <v>5245.88064</v>
      </c>
      <c r="Q49" s="65" t="n">
        <f aca="false">-Q13*Inputs!$E$37/30</f>
        <v>5245.88064</v>
      </c>
      <c r="R49" s="65" t="n">
        <f aca="false">-R13*Inputs!$E$37/30</f>
        <v>5245.88064</v>
      </c>
      <c r="S49" s="65" t="n">
        <f aca="false">-S13*Inputs!$E$37/30</f>
        <v>5245.88064</v>
      </c>
      <c r="T49" s="65" t="n">
        <f aca="false">-T13*Inputs!$E$37/30</f>
        <v>5245.88064</v>
      </c>
      <c r="U49" s="65" t="n">
        <f aca="false">-U13*Inputs!$E$37/30</f>
        <v>5245.88064</v>
      </c>
      <c r="V49" s="65" t="n">
        <f aca="false">-V13*Inputs!$E$37/30</f>
        <v>5245.88064</v>
      </c>
      <c r="W49" s="65" t="n">
        <f aca="false">-W13*Inputs!$E$37/30</f>
        <v>5245.88064</v>
      </c>
      <c r="X49" s="65" t="n">
        <f aca="false">-X13*Inputs!$E$37/30</f>
        <v>5245.88064</v>
      </c>
      <c r="Y49" s="65" t="n">
        <f aca="false">-Y13*Inputs!$E$37/30</f>
        <v>5245.88064</v>
      </c>
      <c r="Z49" s="65" t="n">
        <f aca="false">-Z13*Inputs!$E$37/30</f>
        <v>5245.88064</v>
      </c>
      <c r="AA49" s="65" t="n">
        <f aca="false">-AA13*Inputs!$E$37/30</f>
        <v>5727.452482752</v>
      </c>
      <c r="AB49" s="65" t="n">
        <f aca="false">-AB13*Inputs!$E$37/30</f>
        <v>5727.452482752</v>
      </c>
      <c r="AC49" s="65" t="n">
        <f aca="false">-AC13*Inputs!$E$37/30</f>
        <v>5727.452482752</v>
      </c>
      <c r="AD49" s="65" t="n">
        <f aca="false">-AD13*Inputs!$E$37/30</f>
        <v>5727.452482752</v>
      </c>
      <c r="AE49" s="65" t="n">
        <f aca="false">-AE13*Inputs!$E$37/30</f>
        <v>5727.452482752</v>
      </c>
      <c r="AF49" s="65" t="n">
        <f aca="false">-AF13*Inputs!$E$37/30</f>
        <v>5727.452482752</v>
      </c>
      <c r="AG49" s="65" t="n">
        <f aca="false">-AG13*Inputs!$E$37/30</f>
        <v>5727.452482752</v>
      </c>
      <c r="AH49" s="65" t="n">
        <f aca="false">-AH13*Inputs!$E$37/30</f>
        <v>5727.452482752</v>
      </c>
      <c r="AI49" s="65" t="n">
        <f aca="false">-AI13*Inputs!$E$37/30</f>
        <v>5727.452482752</v>
      </c>
      <c r="AJ49" s="65" t="n">
        <f aca="false">-AJ13*Inputs!$E$37/30</f>
        <v>5727.452482752</v>
      </c>
      <c r="AK49" s="65" t="n">
        <f aca="false">-AK13*Inputs!$E$37/30</f>
        <v>5727.452482752</v>
      </c>
      <c r="AL49" s="65" t="n">
        <f aca="false">-AL13*Inputs!$E$37/30</f>
        <v>5727.452482752</v>
      </c>
      <c r="AM49" s="65" t="n">
        <f aca="false">-AM13*Inputs!$E$37/30</f>
        <v>6253.23262066864</v>
      </c>
      <c r="AN49" s="65" t="n">
        <f aca="false">-AN13*Inputs!$E$37/30</f>
        <v>6253.23262066864</v>
      </c>
      <c r="AO49" s="65" t="n">
        <f aca="false">-AO13*Inputs!$E$37/30</f>
        <v>6253.23262066864</v>
      </c>
      <c r="AP49" s="65" t="n">
        <f aca="false">-AP13*Inputs!$E$37/30</f>
        <v>6253.23262066864</v>
      </c>
      <c r="AQ49" s="65" t="n">
        <f aca="false">-AQ13*Inputs!$E$37/30</f>
        <v>6253.23262066864</v>
      </c>
      <c r="AR49" s="65" t="n">
        <f aca="false">-AR13*Inputs!$E$37/30</f>
        <v>6253.23262066864</v>
      </c>
      <c r="AS49" s="65" t="n">
        <f aca="false">-AS13*Inputs!$E$37/30</f>
        <v>6253.23262066864</v>
      </c>
      <c r="AT49" s="65" t="n">
        <f aca="false">-AT13*Inputs!$E$37/30</f>
        <v>6253.23262066864</v>
      </c>
      <c r="AU49" s="65" t="n">
        <f aca="false">-AU13*Inputs!$E$37/30</f>
        <v>6253.23262066864</v>
      </c>
      <c r="AV49" s="65" t="n">
        <f aca="false">-AV13*Inputs!$E$37/30</f>
        <v>6253.23262066864</v>
      </c>
      <c r="AW49" s="65" t="n">
        <f aca="false">-AW13*Inputs!$E$37/30</f>
        <v>6253.23262066864</v>
      </c>
      <c r="AX49" s="65" t="n">
        <f aca="false">-AX13*Inputs!$E$37/30</f>
        <v>6253.23262066864</v>
      </c>
      <c r="AY49" s="65" t="n">
        <f aca="false">-AY13*Inputs!$E$37/30</f>
        <v>6827.27937524602</v>
      </c>
      <c r="AZ49" s="65" t="n">
        <f aca="false">-AZ13*Inputs!$E$37/30</f>
        <v>6827.27937524602</v>
      </c>
      <c r="BA49" s="65" t="n">
        <f aca="false">-BA13*Inputs!$E$37/30</f>
        <v>6827.27937524602</v>
      </c>
      <c r="BB49" s="65" t="n">
        <f aca="false">-BB13*Inputs!$E$37/30</f>
        <v>6827.27937524602</v>
      </c>
      <c r="BC49" s="65" t="n">
        <f aca="false">-BC13*Inputs!$E$37/30</f>
        <v>6827.27937524602</v>
      </c>
      <c r="BD49" s="65" t="n">
        <f aca="false">-BD13*Inputs!$E$37/30</f>
        <v>6827.27937524602</v>
      </c>
      <c r="BE49" s="65" t="n">
        <f aca="false">-BE13*Inputs!$E$37/30</f>
        <v>6827.27937524602</v>
      </c>
      <c r="BF49" s="65" t="n">
        <f aca="false">-BF13*Inputs!$E$37/30</f>
        <v>6827.27937524602</v>
      </c>
      <c r="BG49" s="65" t="n">
        <f aca="false">-BG13*Inputs!$E$37/30</f>
        <v>6827.27937524602</v>
      </c>
      <c r="BH49" s="65" t="n">
        <f aca="false">-BH13*Inputs!$E$37/30</f>
        <v>6827.27937524602</v>
      </c>
      <c r="BI49" s="65" t="n">
        <f aca="false">-BI13*Inputs!$E$37/30</f>
        <v>6827.27937524602</v>
      </c>
      <c r="BJ49" s="65" t="n">
        <f aca="false">-BJ13*Inputs!$E$37/30</f>
        <v>6827.27937524602</v>
      </c>
    </row>
    <row r="50" customFormat="false" ht="15" hidden="false" customHeight="false" outlineLevel="0" collapsed="false">
      <c r="A50" s="6" t="s">
        <v>291</v>
      </c>
      <c r="C50" s="65" t="n">
        <f aca="false">-C47</f>
        <v>-1040</v>
      </c>
      <c r="D50" s="65" t="n">
        <f aca="false">C47-D47</f>
        <v>-173.333333333333</v>
      </c>
      <c r="E50" s="65" t="n">
        <f aca="false">D47-E47</f>
        <v>-173.333333333333</v>
      </c>
      <c r="F50" s="65" t="n">
        <f aca="false">E47-F47</f>
        <v>-173.333333333333</v>
      </c>
      <c r="G50" s="65" t="n">
        <f aca="false">F47-G47</f>
        <v>-173.333333333333</v>
      </c>
      <c r="H50" s="65" t="n">
        <f aca="false">G47-H47</f>
        <v>-173.333333333334</v>
      </c>
      <c r="I50" s="65" t="n">
        <f aca="false">H47-I47</f>
        <v>-173.333333333333</v>
      </c>
      <c r="J50" s="65" t="n">
        <f aca="false">I47-J47</f>
        <v>0</v>
      </c>
      <c r="K50" s="65" t="n">
        <f aca="false">J47-K47</f>
        <v>0</v>
      </c>
      <c r="L50" s="65" t="n">
        <f aca="false">K47-L47</f>
        <v>0</v>
      </c>
      <c r="M50" s="65" t="n">
        <f aca="false">L47-M47</f>
        <v>0</v>
      </c>
      <c r="N50" s="65" t="n">
        <f aca="false">M47-N47</f>
        <v>0</v>
      </c>
      <c r="O50" s="65" t="n">
        <f aca="false">N47-O47</f>
        <v>-190.944</v>
      </c>
      <c r="P50" s="65" t="n">
        <f aca="false">O47-P47</f>
        <v>0</v>
      </c>
      <c r="Q50" s="65" t="n">
        <f aca="false">P47-Q47</f>
        <v>0</v>
      </c>
      <c r="R50" s="65" t="n">
        <f aca="false">Q47-R47</f>
        <v>0</v>
      </c>
      <c r="S50" s="65" t="n">
        <f aca="false">R47-S47</f>
        <v>0</v>
      </c>
      <c r="T50" s="65" t="n">
        <f aca="false">S47-T47</f>
        <v>0</v>
      </c>
      <c r="U50" s="65" t="n">
        <f aca="false">T47-U47</f>
        <v>0</v>
      </c>
      <c r="V50" s="65" t="n">
        <f aca="false">U47-V47</f>
        <v>0</v>
      </c>
      <c r="W50" s="65" t="n">
        <f aca="false">V47-W47</f>
        <v>0</v>
      </c>
      <c r="X50" s="65" t="n">
        <f aca="false">W47-X47</f>
        <v>0</v>
      </c>
      <c r="Y50" s="65" t="n">
        <f aca="false">X47-Y47</f>
        <v>0</v>
      </c>
      <c r="Z50" s="65" t="n">
        <f aca="false">Y47-Z47</f>
        <v>0</v>
      </c>
      <c r="AA50" s="65" t="n">
        <f aca="false">Z47-AA47</f>
        <v>-208.4726592</v>
      </c>
      <c r="AB50" s="65" t="n">
        <f aca="false">AA47-AB47</f>
        <v>0</v>
      </c>
      <c r="AC50" s="65" t="n">
        <f aca="false">AB47-AC47</f>
        <v>0</v>
      </c>
      <c r="AD50" s="65" t="n">
        <f aca="false">AC47-AD47</f>
        <v>0</v>
      </c>
      <c r="AE50" s="65" t="n">
        <f aca="false">AD47-AE47</f>
        <v>0</v>
      </c>
      <c r="AF50" s="65" t="n">
        <f aca="false">AE47-AF47</f>
        <v>0</v>
      </c>
      <c r="AG50" s="65" t="n">
        <f aca="false">AF47-AG47</f>
        <v>0</v>
      </c>
      <c r="AH50" s="65" t="n">
        <f aca="false">AG47-AH47</f>
        <v>0</v>
      </c>
      <c r="AI50" s="65" t="n">
        <f aca="false">AH47-AI47</f>
        <v>0</v>
      </c>
      <c r="AJ50" s="65" t="n">
        <f aca="false">AI47-AJ47</f>
        <v>0</v>
      </c>
      <c r="AK50" s="65" t="n">
        <f aca="false">AJ47-AK47</f>
        <v>0</v>
      </c>
      <c r="AL50" s="65" t="n">
        <f aca="false">AK47-AL47</f>
        <v>0</v>
      </c>
      <c r="AM50" s="65" t="n">
        <f aca="false">AL47-AM47</f>
        <v>-227.61044931456</v>
      </c>
      <c r="AN50" s="65" t="n">
        <f aca="false">AM47-AN47</f>
        <v>0</v>
      </c>
      <c r="AO50" s="65" t="n">
        <f aca="false">AN47-AO47</f>
        <v>0</v>
      </c>
      <c r="AP50" s="65" t="n">
        <f aca="false">AO47-AP47</f>
        <v>0</v>
      </c>
      <c r="AQ50" s="65" t="n">
        <f aca="false">AP47-AQ47</f>
        <v>0</v>
      </c>
      <c r="AR50" s="65" t="n">
        <f aca="false">AQ47-AR47</f>
        <v>0</v>
      </c>
      <c r="AS50" s="65" t="n">
        <f aca="false">AR47-AS47</f>
        <v>0</v>
      </c>
      <c r="AT50" s="65" t="n">
        <f aca="false">AS47-AT47</f>
        <v>0</v>
      </c>
      <c r="AU50" s="65" t="n">
        <f aca="false">AT47-AU47</f>
        <v>0</v>
      </c>
      <c r="AV50" s="65" t="n">
        <f aca="false">AU47-AV47</f>
        <v>0</v>
      </c>
      <c r="AW50" s="65" t="n">
        <f aca="false">AV47-AW47</f>
        <v>0</v>
      </c>
      <c r="AX50" s="65" t="n">
        <f aca="false">AW47-AX47</f>
        <v>0</v>
      </c>
      <c r="AY50" s="65" t="n">
        <f aca="false">AX47-AY47</f>
        <v>-248.505088561637</v>
      </c>
      <c r="AZ50" s="65" t="n">
        <f aca="false">AY47-AZ47</f>
        <v>0</v>
      </c>
      <c r="BA50" s="65" t="n">
        <f aca="false">AZ47-BA47</f>
        <v>0</v>
      </c>
      <c r="BB50" s="65" t="n">
        <f aca="false">BA47-BB47</f>
        <v>0</v>
      </c>
      <c r="BC50" s="65" t="n">
        <f aca="false">BB47-BC47</f>
        <v>0</v>
      </c>
      <c r="BD50" s="65" t="n">
        <f aca="false">BC47-BD47</f>
        <v>0</v>
      </c>
      <c r="BE50" s="65" t="n">
        <f aca="false">BD47-BE47</f>
        <v>0</v>
      </c>
      <c r="BF50" s="65" t="n">
        <f aca="false">BE47-BF47</f>
        <v>0</v>
      </c>
      <c r="BG50" s="65" t="n">
        <f aca="false">BF47-BG47</f>
        <v>0</v>
      </c>
      <c r="BH50" s="65" t="n">
        <f aca="false">BG47-BH47</f>
        <v>0</v>
      </c>
      <c r="BI50" s="65" t="n">
        <f aca="false">BH47-BI47</f>
        <v>0</v>
      </c>
      <c r="BJ50" s="65" t="n">
        <f aca="false">BI47-BJ47</f>
        <v>0</v>
      </c>
    </row>
    <row r="51" customFormat="false" ht="15" hidden="false" customHeight="false" outlineLevel="0" collapsed="false">
      <c r="A51" s="6" t="s">
        <v>292</v>
      </c>
      <c r="C51" s="65" t="n">
        <f aca="false">-C48</f>
        <v>-1201.2</v>
      </c>
      <c r="D51" s="65" t="n">
        <f aca="false">C48-D48</f>
        <v>-200.200000000001</v>
      </c>
      <c r="E51" s="65" t="n">
        <f aca="false">D48-E48</f>
        <v>-200.199999999999</v>
      </c>
      <c r="F51" s="65" t="n">
        <f aca="false">E48-F48</f>
        <v>-200.2</v>
      </c>
      <c r="G51" s="65" t="n">
        <f aca="false">F48-G48</f>
        <v>-200.2</v>
      </c>
      <c r="H51" s="65" t="n">
        <f aca="false">G48-H48</f>
        <v>-200.2</v>
      </c>
      <c r="I51" s="65" t="n">
        <f aca="false">H48-I48</f>
        <v>-200.2</v>
      </c>
      <c r="J51" s="65" t="n">
        <f aca="false">I48-J48</f>
        <v>0</v>
      </c>
      <c r="K51" s="65" t="n">
        <f aca="false">J48-K48</f>
        <v>0</v>
      </c>
      <c r="L51" s="65" t="n">
        <f aca="false">K48-L48</f>
        <v>0</v>
      </c>
      <c r="M51" s="65" t="n">
        <f aca="false">L48-M48</f>
        <v>0</v>
      </c>
      <c r="N51" s="65" t="n">
        <f aca="false">M48-N48</f>
        <v>0</v>
      </c>
      <c r="O51" s="65" t="n">
        <f aca="false">N48-O48</f>
        <v>-220.540320000001</v>
      </c>
      <c r="P51" s="65" t="n">
        <f aca="false">O48-P48</f>
        <v>0</v>
      </c>
      <c r="Q51" s="65" t="n">
        <f aca="false">P48-Q48</f>
        <v>0</v>
      </c>
      <c r="R51" s="65" t="n">
        <f aca="false">Q48-R48</f>
        <v>0</v>
      </c>
      <c r="S51" s="65" t="n">
        <f aca="false">R48-S48</f>
        <v>0</v>
      </c>
      <c r="T51" s="65" t="n">
        <f aca="false">S48-T48</f>
        <v>0</v>
      </c>
      <c r="U51" s="65" t="n">
        <f aca="false">T48-U48</f>
        <v>0</v>
      </c>
      <c r="V51" s="65" t="n">
        <f aca="false">U48-V48</f>
        <v>0</v>
      </c>
      <c r="W51" s="65" t="n">
        <f aca="false">V48-W48</f>
        <v>0</v>
      </c>
      <c r="X51" s="65" t="n">
        <f aca="false">W48-X48</f>
        <v>0</v>
      </c>
      <c r="Y51" s="65" t="n">
        <f aca="false">X48-Y48</f>
        <v>0</v>
      </c>
      <c r="Z51" s="65" t="n">
        <f aca="false">Y48-Z48</f>
        <v>0</v>
      </c>
      <c r="AA51" s="65" t="n">
        <f aca="false">Z48-AA48</f>
        <v>-240.785921376</v>
      </c>
      <c r="AB51" s="65" t="n">
        <f aca="false">AA48-AB48</f>
        <v>0</v>
      </c>
      <c r="AC51" s="65" t="n">
        <f aca="false">AB48-AC48</f>
        <v>0</v>
      </c>
      <c r="AD51" s="65" t="n">
        <f aca="false">AC48-AD48</f>
        <v>0</v>
      </c>
      <c r="AE51" s="65" t="n">
        <f aca="false">AD48-AE48</f>
        <v>0</v>
      </c>
      <c r="AF51" s="65" t="n">
        <f aca="false">AE48-AF48</f>
        <v>0</v>
      </c>
      <c r="AG51" s="65" t="n">
        <f aca="false">AF48-AG48</f>
        <v>0</v>
      </c>
      <c r="AH51" s="65" t="n">
        <f aca="false">AG48-AH48</f>
        <v>0</v>
      </c>
      <c r="AI51" s="65" t="n">
        <f aca="false">AH48-AI48</f>
        <v>0</v>
      </c>
      <c r="AJ51" s="65" t="n">
        <f aca="false">AI48-AJ48</f>
        <v>0</v>
      </c>
      <c r="AK51" s="65" t="n">
        <f aca="false">AJ48-AK48</f>
        <v>0</v>
      </c>
      <c r="AL51" s="65" t="n">
        <f aca="false">AK48-AL48</f>
        <v>0</v>
      </c>
      <c r="AM51" s="65" t="n">
        <f aca="false">AL48-AM48</f>
        <v>-262.890068958317</v>
      </c>
      <c r="AN51" s="65" t="n">
        <f aca="false">AM48-AN48</f>
        <v>0</v>
      </c>
      <c r="AO51" s="65" t="n">
        <f aca="false">AN48-AO48</f>
        <v>0</v>
      </c>
      <c r="AP51" s="65" t="n">
        <f aca="false">AO48-AP48</f>
        <v>0</v>
      </c>
      <c r="AQ51" s="65" t="n">
        <f aca="false">AP48-AQ48</f>
        <v>0</v>
      </c>
      <c r="AR51" s="65" t="n">
        <f aca="false">AQ48-AR48</f>
        <v>0</v>
      </c>
      <c r="AS51" s="65" t="n">
        <f aca="false">AR48-AS48</f>
        <v>0</v>
      </c>
      <c r="AT51" s="65" t="n">
        <f aca="false">AS48-AT48</f>
        <v>0</v>
      </c>
      <c r="AU51" s="65" t="n">
        <f aca="false">AT48-AU48</f>
        <v>0</v>
      </c>
      <c r="AV51" s="65" t="n">
        <f aca="false">AU48-AV48</f>
        <v>0</v>
      </c>
      <c r="AW51" s="65" t="n">
        <f aca="false">AV48-AW48</f>
        <v>0</v>
      </c>
      <c r="AX51" s="65" t="n">
        <f aca="false">AW48-AX48</f>
        <v>0</v>
      </c>
      <c r="AY51" s="65" t="n">
        <f aca="false">AX48-AY48</f>
        <v>-287.02337728869</v>
      </c>
      <c r="AZ51" s="65" t="n">
        <f aca="false">AY48-AZ48</f>
        <v>0</v>
      </c>
      <c r="BA51" s="65" t="n">
        <f aca="false">AZ48-BA48</f>
        <v>0</v>
      </c>
      <c r="BB51" s="65" t="n">
        <f aca="false">BA48-BB48</f>
        <v>0</v>
      </c>
      <c r="BC51" s="65" t="n">
        <f aca="false">BB48-BC48</f>
        <v>0</v>
      </c>
      <c r="BD51" s="65" t="n">
        <f aca="false">BC48-BD48</f>
        <v>0</v>
      </c>
      <c r="BE51" s="65" t="n">
        <f aca="false">BD48-BE48</f>
        <v>0</v>
      </c>
      <c r="BF51" s="65" t="n">
        <f aca="false">BE48-BF48</f>
        <v>0</v>
      </c>
      <c r="BG51" s="65" t="n">
        <f aca="false">BF48-BG48</f>
        <v>0</v>
      </c>
      <c r="BH51" s="65" t="n">
        <f aca="false">BG48-BH48</f>
        <v>0</v>
      </c>
      <c r="BI51" s="65" t="n">
        <f aca="false">BH48-BI48</f>
        <v>0</v>
      </c>
      <c r="BJ51" s="65" t="n">
        <f aca="false">BI48-BJ48</f>
        <v>0</v>
      </c>
    </row>
    <row r="52" customFormat="false" ht="15" hidden="false" customHeight="false" outlineLevel="0" collapsed="false">
      <c r="A52" s="6" t="s">
        <v>293</v>
      </c>
      <c r="C52" s="65" t="n">
        <f aca="false">C49</f>
        <v>2402.4</v>
      </c>
      <c r="D52" s="65" t="n">
        <f aca="false">D49-C49</f>
        <v>400.400000000001</v>
      </c>
      <c r="E52" s="65" t="n">
        <f aca="false">E49-D49</f>
        <v>400.399999999998</v>
      </c>
      <c r="F52" s="65" t="n">
        <f aca="false">F49-E49</f>
        <v>400.400000000001</v>
      </c>
      <c r="G52" s="65" t="n">
        <f aca="false">G49-F49</f>
        <v>400.4</v>
      </c>
      <c r="H52" s="65" t="n">
        <f aca="false">H49-G49</f>
        <v>400.400000000001</v>
      </c>
      <c r="I52" s="65" t="n">
        <f aca="false">I49-H49</f>
        <v>400.4</v>
      </c>
      <c r="J52" s="65" t="n">
        <f aca="false">J49-I49</f>
        <v>0</v>
      </c>
      <c r="K52" s="65" t="n">
        <f aca="false">K49-J49</f>
        <v>0</v>
      </c>
      <c r="L52" s="65" t="n">
        <f aca="false">L49-K49</f>
        <v>0</v>
      </c>
      <c r="M52" s="65" t="n">
        <f aca="false">M49-L49</f>
        <v>0</v>
      </c>
      <c r="N52" s="65" t="n">
        <f aca="false">N49-M49</f>
        <v>0</v>
      </c>
      <c r="O52" s="65" t="n">
        <f aca="false">O49-N49</f>
        <v>441.080640000001</v>
      </c>
      <c r="P52" s="65" t="n">
        <f aca="false">P49-O49</f>
        <v>0</v>
      </c>
      <c r="Q52" s="65" t="n">
        <f aca="false">Q49-P49</f>
        <v>0</v>
      </c>
      <c r="R52" s="65" t="n">
        <f aca="false">R49-Q49</f>
        <v>0</v>
      </c>
      <c r="S52" s="65" t="n">
        <f aca="false">S49-R49</f>
        <v>0</v>
      </c>
      <c r="T52" s="65" t="n">
        <f aca="false">T49-S49</f>
        <v>0</v>
      </c>
      <c r="U52" s="65" t="n">
        <f aca="false">U49-T49</f>
        <v>0</v>
      </c>
      <c r="V52" s="65" t="n">
        <f aca="false">V49-U49</f>
        <v>0</v>
      </c>
      <c r="W52" s="65" t="n">
        <f aca="false">W49-V49</f>
        <v>0</v>
      </c>
      <c r="X52" s="65" t="n">
        <f aca="false">X49-W49</f>
        <v>0</v>
      </c>
      <c r="Y52" s="65" t="n">
        <f aca="false">Y49-X49</f>
        <v>0</v>
      </c>
      <c r="Z52" s="65" t="n">
        <f aca="false">Z49-Y49</f>
        <v>0</v>
      </c>
      <c r="AA52" s="65" t="n">
        <f aca="false">AA49-Z49</f>
        <v>481.571842752001</v>
      </c>
      <c r="AB52" s="65" t="n">
        <f aca="false">AB49-AA49</f>
        <v>0</v>
      </c>
      <c r="AC52" s="65" t="n">
        <f aca="false">AC49-AB49</f>
        <v>0</v>
      </c>
      <c r="AD52" s="65" t="n">
        <f aca="false">AD49-AC49</f>
        <v>0</v>
      </c>
      <c r="AE52" s="65" t="n">
        <f aca="false">AE49-AD49</f>
        <v>0</v>
      </c>
      <c r="AF52" s="65" t="n">
        <f aca="false">AF49-AE49</f>
        <v>0</v>
      </c>
      <c r="AG52" s="65" t="n">
        <f aca="false">AG49-AF49</f>
        <v>0</v>
      </c>
      <c r="AH52" s="65" t="n">
        <f aca="false">AH49-AG49</f>
        <v>0</v>
      </c>
      <c r="AI52" s="65" t="n">
        <f aca="false">AI49-AH49</f>
        <v>0</v>
      </c>
      <c r="AJ52" s="65" t="n">
        <f aca="false">AJ49-AI49</f>
        <v>0</v>
      </c>
      <c r="AK52" s="65" t="n">
        <f aca="false">AK49-AJ49</f>
        <v>0</v>
      </c>
      <c r="AL52" s="65" t="n">
        <f aca="false">AL49-AK49</f>
        <v>0</v>
      </c>
      <c r="AM52" s="65" t="n">
        <f aca="false">AM49-AL49</f>
        <v>525.780137916634</v>
      </c>
      <c r="AN52" s="65" t="n">
        <f aca="false">AN49-AM49</f>
        <v>0</v>
      </c>
      <c r="AO52" s="65" t="n">
        <f aca="false">AO49-AN49</f>
        <v>0</v>
      </c>
      <c r="AP52" s="65" t="n">
        <f aca="false">AP49-AO49</f>
        <v>0</v>
      </c>
      <c r="AQ52" s="65" t="n">
        <f aca="false">AQ49-AP49</f>
        <v>0</v>
      </c>
      <c r="AR52" s="65" t="n">
        <f aca="false">AR49-AQ49</f>
        <v>0</v>
      </c>
      <c r="AS52" s="65" t="n">
        <f aca="false">AS49-AR49</f>
        <v>0</v>
      </c>
      <c r="AT52" s="65" t="n">
        <f aca="false">AT49-AS49</f>
        <v>0</v>
      </c>
      <c r="AU52" s="65" t="n">
        <f aca="false">AU49-AT49</f>
        <v>0</v>
      </c>
      <c r="AV52" s="65" t="n">
        <f aca="false">AV49-AU49</f>
        <v>0</v>
      </c>
      <c r="AW52" s="65" t="n">
        <f aca="false">AW49-AV49</f>
        <v>0</v>
      </c>
      <c r="AX52" s="65" t="n">
        <f aca="false">AX49-AW49</f>
        <v>0</v>
      </c>
      <c r="AY52" s="65" t="n">
        <f aca="false">AY49-AX49</f>
        <v>574.046754577381</v>
      </c>
      <c r="AZ52" s="65" t="n">
        <f aca="false">AZ49-AY49</f>
        <v>0</v>
      </c>
      <c r="BA52" s="65" t="n">
        <f aca="false">BA49-AZ49</f>
        <v>0</v>
      </c>
      <c r="BB52" s="65" t="n">
        <f aca="false">BB49-BA49</f>
        <v>0</v>
      </c>
      <c r="BC52" s="65" t="n">
        <f aca="false">BC49-BB49</f>
        <v>0</v>
      </c>
      <c r="BD52" s="65" t="n">
        <f aca="false">BD49-BC49</f>
        <v>0</v>
      </c>
      <c r="BE52" s="65" t="n">
        <f aca="false">BE49-BD49</f>
        <v>0</v>
      </c>
      <c r="BF52" s="65" t="n">
        <f aca="false">BF49-BE49</f>
        <v>0</v>
      </c>
      <c r="BG52" s="65" t="n">
        <f aca="false">BG49-BF49</f>
        <v>0</v>
      </c>
      <c r="BH52" s="65" t="n">
        <f aca="false">BH49-BG49</f>
        <v>0</v>
      </c>
      <c r="BI52" s="65" t="n">
        <f aca="false">BI49-BH49</f>
        <v>0</v>
      </c>
      <c r="BJ52" s="65" t="n">
        <f aca="false">BJ49-BI49</f>
        <v>0</v>
      </c>
    </row>
    <row r="54" customFormat="false" ht="15.75" hidden="false" customHeight="true" outlineLevel="0" collapsed="false">
      <c r="A54" s="7" t="s">
        <v>374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52</v>
      </c>
      <c r="C55" s="71" t="n">
        <f aca="false">C31-C36+C50+C51+C52</f>
        <v>-7341.46666666667</v>
      </c>
      <c r="D55" s="71" t="n">
        <f aca="false">D31-D36+D50+D51+D52</f>
        <v>-5807.35555555556</v>
      </c>
      <c r="E55" s="71" t="n">
        <f aca="false">E31-E36+E50+E51+E52</f>
        <v>-4134.46666666667</v>
      </c>
      <c r="F55" s="71" t="n">
        <f aca="false">F31-F36+F50+F51+F52</f>
        <v>-2461.57777777778</v>
      </c>
      <c r="G55" s="71" t="n">
        <f aca="false">G31-G36+G50+G51+G52</f>
        <v>-788.688888888894</v>
      </c>
      <c r="H55" s="71" t="n">
        <f aca="false">H31-H36+H50+H51+H52</f>
        <v>884.199999999997</v>
      </c>
      <c r="I55" s="71" t="n">
        <f aca="false">I31-I36+I50+I51+I52</f>
        <v>2557.08888888889</v>
      </c>
      <c r="J55" s="71" t="n">
        <f aca="false">J31-J36+J50+J51+J52</f>
        <v>2539.11111111111</v>
      </c>
      <c r="K55" s="71" t="n">
        <f aca="false">K31-K36+K50+K51+K52</f>
        <v>2548</v>
      </c>
      <c r="L55" s="71" t="n">
        <f aca="false">L31-L36+L50+L51+L52</f>
        <v>2556.88888888889</v>
      </c>
      <c r="M55" s="71" t="n">
        <f aca="false">M31-M36+M50+M51+M52</f>
        <v>2565.77777777778</v>
      </c>
      <c r="N55" s="71" t="n">
        <f aca="false">N31-N36+N50+N51+N52</f>
        <v>2574.66666666666</v>
      </c>
      <c r="O55" s="71" t="n">
        <f aca="false">O31-O36+O50+O51+O52</f>
        <v>4132.61427555556</v>
      </c>
      <c r="P55" s="71" t="n">
        <f aca="false">P31-P36+P50+P51+P52</f>
        <v>4111.90684444445</v>
      </c>
      <c r="Q55" s="71" t="n">
        <f aca="false">Q31-Q36+Q50+Q51+Q52</f>
        <v>4120.79573333334</v>
      </c>
      <c r="R55" s="71" t="n">
        <f aca="false">R31-R36+R50+R51+R52</f>
        <v>4129.68462222222</v>
      </c>
      <c r="S55" s="71" t="n">
        <f aca="false">S31-S36+S50+S51+S52</f>
        <v>4138.57351111111</v>
      </c>
      <c r="T55" s="71" t="n">
        <f aca="false">T31-T36+T50+T51+T52</f>
        <v>4147.4624</v>
      </c>
      <c r="U55" s="71" t="n">
        <f aca="false">U31-U36+U50+U51+U52</f>
        <v>4156.35128888889</v>
      </c>
      <c r="V55" s="71" t="n">
        <f aca="false">V31-V36+V50+V51+V52</f>
        <v>4165.24017777778</v>
      </c>
      <c r="W55" s="71" t="n">
        <f aca="false">W31-W36+W50+W51+W52</f>
        <v>4174.12906666667</v>
      </c>
      <c r="X55" s="71" t="n">
        <f aca="false">X31-X36+X50+X51+X52</f>
        <v>4183.01795555556</v>
      </c>
      <c r="Y55" s="71" t="n">
        <f aca="false">Y31-Y36+Y50+Y51+Y52</f>
        <v>4191.90684444445</v>
      </c>
      <c r="Z55" s="71" t="n">
        <f aca="false">Z31-Z36+Z50+Z51+Z52</f>
        <v>4200.79573333334</v>
      </c>
      <c r="AA55" s="71" t="n">
        <f aca="false">AA31-AA36+AA50+AA51+AA52</f>
        <v>5193.38585977103</v>
      </c>
      <c r="AB55" s="71" t="n">
        <f aca="false">AB31-AB36+AB50+AB51+AB52</f>
        <v>5058.55340115058</v>
      </c>
      <c r="AC55" s="71" t="n">
        <f aca="false">AC31-AC36+AC50+AC51+AC52</f>
        <v>5065.5756233728</v>
      </c>
      <c r="AD55" s="71" t="n">
        <f aca="false">AD31-AD36+AD50+AD51+AD52</f>
        <v>5072.59784559503</v>
      </c>
      <c r="AE55" s="71" t="n">
        <f aca="false">AE31-AE36+AE50+AE51+AE52</f>
        <v>5079.62006781725</v>
      </c>
      <c r="AF55" s="71" t="n">
        <f aca="false">AF31-AF36+AF50+AF51+AF52</f>
        <v>5086.64229003947</v>
      </c>
      <c r="AG55" s="71" t="n">
        <f aca="false">AG31-AG36+AG50+AG51+AG52</f>
        <v>5093.66451226169</v>
      </c>
      <c r="AH55" s="71" t="n">
        <f aca="false">AH31-AH36+AH50+AH51+AH52</f>
        <v>5100.68673448392</v>
      </c>
      <c r="AI55" s="71" t="n">
        <f aca="false">AI31-AI36+AI50+AI51+AI52</f>
        <v>5107.70895670614</v>
      </c>
      <c r="AJ55" s="71" t="n">
        <f aca="false">AJ31-AJ36+AJ50+AJ51+AJ52</f>
        <v>5114.73117892836</v>
      </c>
      <c r="AK55" s="71" t="n">
        <f aca="false">AK31-AK36+AK50+AK51+AK52</f>
        <v>5121.75340115058</v>
      </c>
      <c r="AL55" s="71" t="n">
        <f aca="false">AL31-AL36+AL50+AL51+AL52</f>
        <v>5128.7756233728</v>
      </c>
      <c r="AM55" s="71" t="n">
        <f aca="false">AM31-AM36+AM50+AM51+AM52</f>
        <v>6634.44350324041</v>
      </c>
      <c r="AN55" s="71" t="n">
        <f aca="false">AN31-AN36+AN50+AN51+AN52</f>
        <v>6606.18610581887</v>
      </c>
      <c r="AO55" s="71" t="n">
        <f aca="false">AO31-AO36+AO50+AO51+AO52</f>
        <v>6613.2083280411</v>
      </c>
      <c r="AP55" s="71" t="n">
        <f aca="false">AP31-AP36+AP50+AP51+AP52</f>
        <v>6620.23055026332</v>
      </c>
      <c r="AQ55" s="71" t="n">
        <f aca="false">AQ31-AQ36+AQ50+AQ51+AQ52</f>
        <v>6627.25277248554</v>
      </c>
      <c r="AR55" s="71" t="n">
        <f aca="false">AR31-AR36+AR50+AR51+AR52</f>
        <v>6634.27499470776</v>
      </c>
      <c r="AS55" s="71" t="n">
        <f aca="false">AS31-AS36+AS50+AS51+AS52</f>
        <v>6641.29721692998</v>
      </c>
      <c r="AT55" s="71" t="n">
        <f aca="false">AT31-AT36+AT50+AT51+AT52</f>
        <v>6648.31943915221</v>
      </c>
      <c r="AU55" s="71" t="n">
        <f aca="false">AU31-AU36+AU50+AU51+AU52</f>
        <v>6655.34166137443</v>
      </c>
      <c r="AV55" s="71" t="n">
        <f aca="false">AV31-AV36+AV50+AV51+AV52</f>
        <v>6662.36388359665</v>
      </c>
      <c r="AW55" s="71" t="n">
        <f aca="false">AW31-AW36+AW50+AW51+AW52</f>
        <v>6669.38610581887</v>
      </c>
      <c r="AX55" s="71" t="n">
        <f aca="false">AX31-AX36+AX50+AX51+AX52</f>
        <v>6676.4083280411</v>
      </c>
      <c r="AY55" s="71" t="n">
        <f aca="false">AY31-AY36+AY50+AY51+AY52</f>
        <v>8335.89487275382</v>
      </c>
      <c r="AZ55" s="71" t="n">
        <f aca="false">AZ31-AZ36+AZ50+AZ51+AZ52</f>
        <v>8304.39880624899</v>
      </c>
      <c r="BA55" s="71" t="n">
        <f aca="false">BA31-BA36+BA50+BA51+BA52</f>
        <v>8311.42102847121</v>
      </c>
      <c r="BB55" s="71" t="n">
        <f aca="false">BB31-BB36+BB50+BB51+BB52</f>
        <v>8318.44325069344</v>
      </c>
      <c r="BC55" s="71" t="n">
        <f aca="false">BC31-BC36+BC50+BC51+BC52</f>
        <v>8325.46547291565</v>
      </c>
      <c r="BD55" s="71" t="n">
        <f aca="false">BD31-BD36+BD50+BD51+BD52</f>
        <v>8332.48769513788</v>
      </c>
      <c r="BE55" s="71" t="n">
        <f aca="false">BE31-BE36+BE50+BE51+BE52</f>
        <v>8339.5099173601</v>
      </c>
      <c r="BF55" s="71" t="n">
        <f aca="false">BF31-BF36+BF50+BF51+BF52</f>
        <v>8346.53213958232</v>
      </c>
      <c r="BG55" s="71" t="n">
        <f aca="false">BG31-BG36+BG50+BG51+BG52</f>
        <v>8353.55436180455</v>
      </c>
      <c r="BH55" s="71" t="n">
        <f aca="false">BH31-BH36+BH50+BH51+BH52</f>
        <v>8360.57658402677</v>
      </c>
      <c r="BI55" s="71" t="n">
        <f aca="false">BI31-BI36+BI50+BI51+BI52</f>
        <v>8367.59880624899</v>
      </c>
      <c r="BJ55" s="71" t="n">
        <f aca="false">BJ31-BJ36+BJ50+BJ51+BJ52</f>
        <v>8374.62102847121</v>
      </c>
    </row>
    <row r="56" customFormat="false" ht="15" hidden="false" customHeight="false" outlineLevel="0" collapsed="false">
      <c r="A56" s="6" t="s">
        <v>375</v>
      </c>
      <c r="C56" s="65" t="n">
        <f aca="false">-C34</f>
        <v>-160000</v>
      </c>
      <c r="D56" s="65" t="n">
        <f aca="false">-D34</f>
        <v>-0</v>
      </c>
      <c r="E56" s="65" t="n">
        <f aca="false">-E34</f>
        <v>-0</v>
      </c>
      <c r="F56" s="65" t="n">
        <f aca="false">-F34</f>
        <v>-0</v>
      </c>
      <c r="G56" s="65" t="n">
        <f aca="false">-G34</f>
        <v>-0</v>
      </c>
      <c r="H56" s="65" t="n">
        <f aca="false">-H34</f>
        <v>-0</v>
      </c>
      <c r="I56" s="65" t="n">
        <f aca="false">-I34</f>
        <v>-0</v>
      </c>
      <c r="J56" s="65" t="n">
        <f aca="false">-J34</f>
        <v>-0</v>
      </c>
      <c r="K56" s="65" t="n">
        <f aca="false">-K34</f>
        <v>-0</v>
      </c>
      <c r="L56" s="65" t="n">
        <f aca="false">-L34</f>
        <v>-0</v>
      </c>
      <c r="M56" s="65" t="n">
        <f aca="false">-M34</f>
        <v>-0</v>
      </c>
      <c r="N56" s="65" t="n">
        <f aca="false">-N34</f>
        <v>-0</v>
      </c>
      <c r="O56" s="65" t="n">
        <f aca="false">-O34</f>
        <v>-0</v>
      </c>
      <c r="P56" s="65" t="n">
        <f aca="false">-P34</f>
        <v>-0</v>
      </c>
      <c r="Q56" s="65" t="n">
        <f aca="false">-Q34</f>
        <v>-0</v>
      </c>
      <c r="R56" s="65" t="n">
        <f aca="false">-R34</f>
        <v>-0</v>
      </c>
      <c r="S56" s="65" t="n">
        <f aca="false">-S34</f>
        <v>-0</v>
      </c>
      <c r="T56" s="65" t="n">
        <f aca="false">-T34</f>
        <v>-0</v>
      </c>
      <c r="U56" s="65" t="n">
        <f aca="false">-U34</f>
        <v>-0</v>
      </c>
      <c r="V56" s="65" t="n">
        <f aca="false">-V34</f>
        <v>-0</v>
      </c>
      <c r="W56" s="65" t="n">
        <f aca="false">-W34</f>
        <v>-0</v>
      </c>
      <c r="X56" s="65" t="n">
        <f aca="false">-X34</f>
        <v>-0</v>
      </c>
      <c r="Y56" s="65" t="n">
        <f aca="false">-Y34</f>
        <v>-0</v>
      </c>
      <c r="Z56" s="65" t="n">
        <f aca="false">-Z34</f>
        <v>-0</v>
      </c>
      <c r="AA56" s="65" t="n">
        <f aca="false">-AA34</f>
        <v>-0</v>
      </c>
      <c r="AB56" s="65" t="n">
        <f aca="false">-AB34</f>
        <v>-0</v>
      </c>
      <c r="AC56" s="65" t="n">
        <f aca="false">-AC34</f>
        <v>-0</v>
      </c>
      <c r="AD56" s="65" t="n">
        <f aca="false">-AD34</f>
        <v>-0</v>
      </c>
      <c r="AE56" s="65" t="n">
        <f aca="false">-AE34</f>
        <v>-0</v>
      </c>
      <c r="AF56" s="65" t="n">
        <f aca="false">-AF34</f>
        <v>-0</v>
      </c>
      <c r="AG56" s="65" t="n">
        <f aca="false">-AG34</f>
        <v>-0</v>
      </c>
      <c r="AH56" s="65" t="n">
        <f aca="false">-AH34</f>
        <v>-0</v>
      </c>
      <c r="AI56" s="65" t="n">
        <f aca="false">-AI34</f>
        <v>-0</v>
      </c>
      <c r="AJ56" s="65" t="n">
        <f aca="false">-AJ34</f>
        <v>-0</v>
      </c>
      <c r="AK56" s="65" t="n">
        <f aca="false">-AK34</f>
        <v>-0</v>
      </c>
      <c r="AL56" s="65" t="n">
        <f aca="false">-AL34</f>
        <v>-0</v>
      </c>
      <c r="AM56" s="65" t="n">
        <f aca="false">-AM34</f>
        <v>-0</v>
      </c>
      <c r="AN56" s="65" t="n">
        <f aca="false">-AN34</f>
        <v>-0</v>
      </c>
      <c r="AO56" s="65" t="n">
        <f aca="false">-AO34</f>
        <v>-0</v>
      </c>
      <c r="AP56" s="65" t="n">
        <f aca="false">-AP34</f>
        <v>-0</v>
      </c>
      <c r="AQ56" s="65" t="n">
        <f aca="false">-AQ34</f>
        <v>-0</v>
      </c>
      <c r="AR56" s="65" t="n">
        <f aca="false">-AR34</f>
        <v>-0</v>
      </c>
      <c r="AS56" s="65" t="n">
        <f aca="false">-AS34</f>
        <v>-0</v>
      </c>
      <c r="AT56" s="65" t="n">
        <f aca="false">-AT34</f>
        <v>-0</v>
      </c>
      <c r="AU56" s="65" t="n">
        <f aca="false">-AU34</f>
        <v>-0</v>
      </c>
      <c r="AV56" s="65" t="n">
        <f aca="false">-AV34</f>
        <v>-0</v>
      </c>
      <c r="AW56" s="65" t="n">
        <f aca="false">-AW34</f>
        <v>-0</v>
      </c>
      <c r="AX56" s="65" t="n">
        <f aca="false">-AX34</f>
        <v>-0</v>
      </c>
      <c r="AY56" s="65" t="n">
        <f aca="false">-AY34</f>
        <v>-0</v>
      </c>
      <c r="AZ56" s="65" t="n">
        <f aca="false">-AZ34</f>
        <v>-0</v>
      </c>
      <c r="BA56" s="65" t="n">
        <f aca="false">-BA34</f>
        <v>-0</v>
      </c>
      <c r="BB56" s="65" t="n">
        <f aca="false">-BB34</f>
        <v>-0</v>
      </c>
      <c r="BC56" s="65" t="n">
        <f aca="false">-BC34</f>
        <v>-0</v>
      </c>
      <c r="BD56" s="65" t="n">
        <f aca="false">-BD34</f>
        <v>-0</v>
      </c>
      <c r="BE56" s="65" t="n">
        <f aca="false">-BE34</f>
        <v>-0</v>
      </c>
      <c r="BF56" s="65" t="n">
        <f aca="false">-BF34</f>
        <v>-0</v>
      </c>
      <c r="BG56" s="65" t="n">
        <f aca="false">-BG34</f>
        <v>-0</v>
      </c>
      <c r="BH56" s="65" t="n">
        <f aca="false">-BH34</f>
        <v>-0</v>
      </c>
      <c r="BI56" s="65" t="n">
        <f aca="false">-BI34</f>
        <v>-0</v>
      </c>
      <c r="BJ56" s="65" t="n">
        <f aca="false">-BJ34</f>
        <v>-0</v>
      </c>
    </row>
    <row r="57" customFormat="false" ht="15" hidden="false" customHeight="false" outlineLevel="0" collapsed="false">
      <c r="A57" s="6" t="s">
        <v>62</v>
      </c>
      <c r="C57" s="65" t="n">
        <f aca="false">IF(C$4=1,Inputs!$E$29,0)</f>
        <v>140000</v>
      </c>
      <c r="D57" s="65" t="n">
        <f aca="false">IF(D$4=1,Inputs!$E$29,0)</f>
        <v>0</v>
      </c>
      <c r="E57" s="65" t="n">
        <f aca="false">IF(E$4=1,Inputs!$E$29,0)</f>
        <v>0</v>
      </c>
      <c r="F57" s="65" t="n">
        <f aca="false">IF(F$4=1,Inputs!$E$29,0)</f>
        <v>0</v>
      </c>
      <c r="G57" s="65" t="n">
        <f aca="false">IF(G$4=1,Inputs!$E$29,0)</f>
        <v>0</v>
      </c>
      <c r="H57" s="65" t="n">
        <f aca="false">IF(H$4=1,Inputs!$E$29,0)</f>
        <v>0</v>
      </c>
      <c r="I57" s="65" t="n">
        <f aca="false">IF(I$4=1,Inputs!$E$29,0)</f>
        <v>0</v>
      </c>
      <c r="J57" s="65" t="n">
        <f aca="false">IF(J$4=1,Inputs!$E$29,0)</f>
        <v>0</v>
      </c>
      <c r="K57" s="65" t="n">
        <f aca="false">IF(K$4=1,Inputs!$E$29,0)</f>
        <v>0</v>
      </c>
      <c r="L57" s="65" t="n">
        <f aca="false">IF(L$4=1,Inputs!$E$29,0)</f>
        <v>0</v>
      </c>
      <c r="M57" s="65" t="n">
        <f aca="false">IF(M$4=1,Inputs!$E$29,0)</f>
        <v>0</v>
      </c>
      <c r="N57" s="65" t="n">
        <f aca="false">IF(N$4=1,Inputs!$E$29,0)</f>
        <v>0</v>
      </c>
      <c r="O57" s="65" t="n">
        <f aca="false">IF(O$4=1,Inputs!$E$29,0)</f>
        <v>0</v>
      </c>
      <c r="P57" s="65" t="n">
        <f aca="false">IF(P$4=1,Inputs!$E$29,0)</f>
        <v>0</v>
      </c>
      <c r="Q57" s="65" t="n">
        <f aca="false">IF(Q$4=1,Inputs!$E$29,0)</f>
        <v>0</v>
      </c>
      <c r="R57" s="65" t="n">
        <f aca="false">IF(R$4=1,Inputs!$E$29,0)</f>
        <v>0</v>
      </c>
      <c r="S57" s="65" t="n">
        <f aca="false">IF(S$4=1,Inputs!$E$29,0)</f>
        <v>0</v>
      </c>
      <c r="T57" s="65" t="n">
        <f aca="false">IF(T$4=1,Inputs!$E$29,0)</f>
        <v>0</v>
      </c>
      <c r="U57" s="65" t="n">
        <f aca="false">IF(U$4=1,Inputs!$E$29,0)</f>
        <v>0</v>
      </c>
      <c r="V57" s="65" t="n">
        <f aca="false">IF(V$4=1,Inputs!$E$29,0)</f>
        <v>0</v>
      </c>
      <c r="W57" s="65" t="n">
        <f aca="false">IF(W$4=1,Inputs!$E$29,0)</f>
        <v>0</v>
      </c>
      <c r="X57" s="65" t="n">
        <f aca="false">IF(X$4=1,Inputs!$E$29,0)</f>
        <v>0</v>
      </c>
      <c r="Y57" s="65" t="n">
        <f aca="false">IF(Y$4=1,Inputs!$E$29,0)</f>
        <v>0</v>
      </c>
      <c r="Z57" s="65" t="n">
        <f aca="false">IF(Z$4=1,Inputs!$E$29,0)</f>
        <v>0</v>
      </c>
      <c r="AA57" s="65" t="n">
        <f aca="false">IF(AA$4=1,Inputs!$E$29,0)</f>
        <v>0</v>
      </c>
      <c r="AB57" s="65" t="n">
        <f aca="false">IF(AB$4=1,Inputs!$E$29,0)</f>
        <v>0</v>
      </c>
      <c r="AC57" s="65" t="n">
        <f aca="false">IF(AC$4=1,Inputs!$E$29,0)</f>
        <v>0</v>
      </c>
      <c r="AD57" s="65" t="n">
        <f aca="false">IF(AD$4=1,Inputs!$E$29,0)</f>
        <v>0</v>
      </c>
      <c r="AE57" s="65" t="n">
        <f aca="false">IF(AE$4=1,Inputs!$E$29,0)</f>
        <v>0</v>
      </c>
      <c r="AF57" s="65" t="n">
        <f aca="false">IF(AF$4=1,Inputs!$E$29,0)</f>
        <v>0</v>
      </c>
      <c r="AG57" s="65" t="n">
        <f aca="false">IF(AG$4=1,Inputs!$E$29,0)</f>
        <v>0</v>
      </c>
      <c r="AH57" s="65" t="n">
        <f aca="false">IF(AH$4=1,Inputs!$E$29,0)</f>
        <v>0</v>
      </c>
      <c r="AI57" s="65" t="n">
        <f aca="false">IF(AI$4=1,Inputs!$E$29,0)</f>
        <v>0</v>
      </c>
      <c r="AJ57" s="65" t="n">
        <f aca="false">IF(AJ$4=1,Inputs!$E$29,0)</f>
        <v>0</v>
      </c>
      <c r="AK57" s="65" t="n">
        <f aca="false">IF(AK$4=1,Inputs!$E$29,0)</f>
        <v>0</v>
      </c>
      <c r="AL57" s="65" t="n">
        <f aca="false">IF(AL$4=1,Inputs!$E$29,0)</f>
        <v>0</v>
      </c>
      <c r="AM57" s="65" t="n">
        <f aca="false">IF(AM$4=1,Inputs!$E$29,0)</f>
        <v>0</v>
      </c>
      <c r="AN57" s="65" t="n">
        <f aca="false">IF(AN$4=1,Inputs!$E$29,0)</f>
        <v>0</v>
      </c>
      <c r="AO57" s="65" t="n">
        <f aca="false">IF(AO$4=1,Inputs!$E$29,0)</f>
        <v>0</v>
      </c>
      <c r="AP57" s="65" t="n">
        <f aca="false">IF(AP$4=1,Inputs!$E$29,0)</f>
        <v>0</v>
      </c>
      <c r="AQ57" s="65" t="n">
        <f aca="false">IF(AQ$4=1,Inputs!$E$29,0)</f>
        <v>0</v>
      </c>
      <c r="AR57" s="65" t="n">
        <f aca="false">IF(AR$4=1,Inputs!$E$29,0)</f>
        <v>0</v>
      </c>
      <c r="AS57" s="65" t="n">
        <f aca="false">IF(AS$4=1,Inputs!$E$29,0)</f>
        <v>0</v>
      </c>
      <c r="AT57" s="65" t="n">
        <f aca="false">IF(AT$4=1,Inputs!$E$29,0)</f>
        <v>0</v>
      </c>
      <c r="AU57" s="65" t="n">
        <f aca="false">IF(AU$4=1,Inputs!$E$29,0)</f>
        <v>0</v>
      </c>
      <c r="AV57" s="65" t="n">
        <f aca="false">IF(AV$4=1,Inputs!$E$29,0)</f>
        <v>0</v>
      </c>
      <c r="AW57" s="65" t="n">
        <f aca="false">IF(AW$4=1,Inputs!$E$29,0)</f>
        <v>0</v>
      </c>
      <c r="AX57" s="65" t="n">
        <f aca="false">IF(AX$4=1,Inputs!$E$29,0)</f>
        <v>0</v>
      </c>
      <c r="AY57" s="65" t="n">
        <f aca="false">IF(AY$4=1,Inputs!$E$29,0)</f>
        <v>0</v>
      </c>
      <c r="AZ57" s="65" t="n">
        <f aca="false">IF(AZ$4=1,Inputs!$E$29,0)</f>
        <v>0</v>
      </c>
      <c r="BA57" s="65" t="n">
        <f aca="false">IF(BA$4=1,Inputs!$E$29,0)</f>
        <v>0</v>
      </c>
      <c r="BB57" s="65" t="n">
        <f aca="false">IF(BB$4=1,Inputs!$E$29,0)</f>
        <v>0</v>
      </c>
      <c r="BC57" s="65" t="n">
        <f aca="false">IF(BC$4=1,Inputs!$E$29,0)</f>
        <v>0</v>
      </c>
      <c r="BD57" s="65" t="n">
        <f aca="false">IF(BD$4=1,Inputs!$E$29,0)</f>
        <v>0</v>
      </c>
      <c r="BE57" s="65" t="n">
        <f aca="false">IF(BE$4=1,Inputs!$E$29,0)</f>
        <v>0</v>
      </c>
      <c r="BF57" s="65" t="n">
        <f aca="false">IF(BF$4=1,Inputs!$E$29,0)</f>
        <v>0</v>
      </c>
      <c r="BG57" s="65" t="n">
        <f aca="false">IF(BG$4=1,Inputs!$E$29,0)</f>
        <v>0</v>
      </c>
      <c r="BH57" s="65" t="n">
        <f aca="false">IF(BH$4=1,Inputs!$E$29,0)</f>
        <v>0</v>
      </c>
      <c r="BI57" s="65" t="n">
        <f aca="false">IF(BI$4=1,Inputs!$E$29,0)</f>
        <v>0</v>
      </c>
      <c r="BJ57" s="65" t="n">
        <f aca="false">IF(BJ$4=1,Inputs!$E$29,0)</f>
        <v>0</v>
      </c>
    </row>
    <row r="58" customFormat="false" ht="15" hidden="false" customHeight="false" outlineLevel="0" collapsed="false">
      <c r="A58" s="6" t="s">
        <v>54</v>
      </c>
      <c r="C58" s="65" t="n">
        <f aca="false">C57+C42+C43</f>
        <v>220000</v>
      </c>
      <c r="D58" s="65" t="n">
        <f aca="false">D57+D42+D43</f>
        <v>-1333.33333333333</v>
      </c>
      <c r="E58" s="65" t="n">
        <f aca="false">E57+E42+E43</f>
        <v>-1333.33333333333</v>
      </c>
      <c r="F58" s="65" t="n">
        <f aca="false">F57+F42+F43</f>
        <v>-1333.33333333333</v>
      </c>
      <c r="G58" s="65" t="n">
        <f aca="false">G57+G42+G43</f>
        <v>-1333.33333333333</v>
      </c>
      <c r="H58" s="65" t="n">
        <f aca="false">H57+H42+H43</f>
        <v>-1333.33333333333</v>
      </c>
      <c r="I58" s="65" t="n">
        <f aca="false">I57+I42+I43</f>
        <v>-1333.33333333333</v>
      </c>
      <c r="J58" s="65" t="n">
        <f aca="false">J57+J42+J43</f>
        <v>-1333.33333333333</v>
      </c>
      <c r="K58" s="65" t="n">
        <f aca="false">K57+K42+K43</f>
        <v>-1333.33333333333</v>
      </c>
      <c r="L58" s="65" t="n">
        <f aca="false">L57+L42+L43</f>
        <v>-1333.33333333333</v>
      </c>
      <c r="M58" s="65" t="n">
        <f aca="false">M57+M42+M43</f>
        <v>-1333.33333333333</v>
      </c>
      <c r="N58" s="65" t="n">
        <f aca="false">N57+N42+N43</f>
        <v>-1333.33333333333</v>
      </c>
      <c r="O58" s="65" t="n">
        <f aca="false">O57+O42+O43</f>
        <v>-1333.33333333333</v>
      </c>
      <c r="P58" s="65" t="n">
        <f aca="false">P57+P42+P43</f>
        <v>-1333.33333333333</v>
      </c>
      <c r="Q58" s="65" t="n">
        <f aca="false">Q57+Q42+Q43</f>
        <v>-1333.33333333333</v>
      </c>
      <c r="R58" s="65" t="n">
        <f aca="false">R57+R42+R43</f>
        <v>-1333.33333333333</v>
      </c>
      <c r="S58" s="65" t="n">
        <f aca="false">S57+S42+S43</f>
        <v>-1333.33333333333</v>
      </c>
      <c r="T58" s="65" t="n">
        <f aca="false">T57+T42+T43</f>
        <v>-1333.33333333333</v>
      </c>
      <c r="U58" s="65" t="n">
        <f aca="false">U57+U42+U43</f>
        <v>-1333.33333333333</v>
      </c>
      <c r="V58" s="65" t="n">
        <f aca="false">V57+V42+V43</f>
        <v>-1333.33333333333</v>
      </c>
      <c r="W58" s="65" t="n">
        <f aca="false">W57+W42+W43</f>
        <v>-1333.33333333333</v>
      </c>
      <c r="X58" s="65" t="n">
        <f aca="false">X57+X42+X43</f>
        <v>-1333.33333333333</v>
      </c>
      <c r="Y58" s="65" t="n">
        <f aca="false">Y57+Y42+Y43</f>
        <v>-1333.33333333333</v>
      </c>
      <c r="Z58" s="65" t="n">
        <f aca="false">Z57+Z42+Z43</f>
        <v>-1333.33333333333</v>
      </c>
      <c r="AA58" s="65" t="n">
        <f aca="false">AA57+AA42+AA43</f>
        <v>-1333.33333333333</v>
      </c>
      <c r="AB58" s="65" t="n">
        <f aca="false">AB57+AB42+AB43</f>
        <v>-1333.33333333333</v>
      </c>
      <c r="AC58" s="65" t="n">
        <f aca="false">AC57+AC42+AC43</f>
        <v>-1333.33333333333</v>
      </c>
      <c r="AD58" s="65" t="n">
        <f aca="false">AD57+AD42+AD43</f>
        <v>-1333.33333333333</v>
      </c>
      <c r="AE58" s="65" t="n">
        <f aca="false">AE57+AE42+AE43</f>
        <v>-1333.33333333333</v>
      </c>
      <c r="AF58" s="65" t="n">
        <f aca="false">AF57+AF42+AF43</f>
        <v>-1333.33333333333</v>
      </c>
      <c r="AG58" s="65" t="n">
        <f aca="false">AG57+AG42+AG43</f>
        <v>-1333.33333333333</v>
      </c>
      <c r="AH58" s="65" t="n">
        <f aca="false">AH57+AH42+AH43</f>
        <v>-1333.33333333333</v>
      </c>
      <c r="AI58" s="65" t="n">
        <f aca="false">AI57+AI42+AI43</f>
        <v>-1333.33333333333</v>
      </c>
      <c r="AJ58" s="65" t="n">
        <f aca="false">AJ57+AJ42+AJ43</f>
        <v>-1333.33333333333</v>
      </c>
      <c r="AK58" s="65" t="n">
        <f aca="false">AK57+AK42+AK43</f>
        <v>-1333.33333333333</v>
      </c>
      <c r="AL58" s="65" t="n">
        <f aca="false">AL57+AL42+AL43</f>
        <v>-1333.33333333333</v>
      </c>
      <c r="AM58" s="65" t="n">
        <f aca="false">AM57+AM42+AM43</f>
        <v>-1333.33333333333</v>
      </c>
      <c r="AN58" s="65" t="n">
        <f aca="false">AN57+AN42+AN43</f>
        <v>-1333.33333333333</v>
      </c>
      <c r="AO58" s="65" t="n">
        <f aca="false">AO57+AO42+AO43</f>
        <v>-1333.33333333333</v>
      </c>
      <c r="AP58" s="65" t="n">
        <f aca="false">AP57+AP42+AP43</f>
        <v>-1333.33333333333</v>
      </c>
      <c r="AQ58" s="65" t="n">
        <f aca="false">AQ57+AQ42+AQ43</f>
        <v>-1333.33333333333</v>
      </c>
      <c r="AR58" s="65" t="n">
        <f aca="false">AR57+AR42+AR43</f>
        <v>-1333.33333333333</v>
      </c>
      <c r="AS58" s="65" t="n">
        <f aca="false">AS57+AS42+AS43</f>
        <v>-1333.33333333333</v>
      </c>
      <c r="AT58" s="65" t="n">
        <f aca="false">AT57+AT42+AT43</f>
        <v>-1333.33333333333</v>
      </c>
      <c r="AU58" s="65" t="n">
        <f aca="false">AU57+AU42+AU43</f>
        <v>-1333.33333333333</v>
      </c>
      <c r="AV58" s="65" t="n">
        <f aca="false">AV57+AV42+AV43</f>
        <v>-1333.33333333333</v>
      </c>
      <c r="AW58" s="65" t="n">
        <f aca="false">AW57+AW42+AW43</f>
        <v>-1333.33333333333</v>
      </c>
      <c r="AX58" s="65" t="n">
        <f aca="false">AX57+AX42+AX43</f>
        <v>-1333.33333333333</v>
      </c>
      <c r="AY58" s="65" t="n">
        <f aca="false">AY57+AY42+AY43</f>
        <v>-1333.33333333333</v>
      </c>
      <c r="AZ58" s="65" t="n">
        <f aca="false">AZ57+AZ42+AZ43</f>
        <v>-1333.33333333333</v>
      </c>
      <c r="BA58" s="65" t="n">
        <f aca="false">BA57+BA42+BA43</f>
        <v>-1333.33333333333</v>
      </c>
      <c r="BB58" s="65" t="n">
        <f aca="false">BB57+BB42+BB43</f>
        <v>-1333.33333333333</v>
      </c>
      <c r="BC58" s="65" t="n">
        <f aca="false">BC57+BC42+BC43</f>
        <v>-1333.33333333333</v>
      </c>
      <c r="BD58" s="65" t="n">
        <f aca="false">BD57+BD42+BD43</f>
        <v>-1333.33333333333</v>
      </c>
      <c r="BE58" s="65" t="n">
        <f aca="false">BE57+BE42+BE43</f>
        <v>-1333.33333333333</v>
      </c>
      <c r="BF58" s="65" t="n">
        <f aca="false">BF57+BF42+BF43</f>
        <v>-1333.33333333333</v>
      </c>
      <c r="BG58" s="65" t="n">
        <f aca="false">BG57+BG42+BG43</f>
        <v>-1333.33333333333</v>
      </c>
      <c r="BH58" s="65" t="n">
        <f aca="false">BH57+BH42+BH43</f>
        <v>-1333.33333333333</v>
      </c>
      <c r="BI58" s="65" t="n">
        <f aca="false">BI57+BI42+BI43</f>
        <v>-1333.33333333333</v>
      </c>
      <c r="BJ58" s="65" t="n">
        <f aca="false">BJ57+BJ42+BJ43</f>
        <v>-1333.33333333333</v>
      </c>
    </row>
    <row r="59" customFormat="false" ht="15" hidden="false" customHeight="false" outlineLevel="0" collapsed="false">
      <c r="A59" s="108" t="s">
        <v>376</v>
      </c>
      <c r="C59" s="66" t="n">
        <f aca="false">C55+C56+C58</f>
        <v>52658.5333333333</v>
      </c>
      <c r="D59" s="66" t="n">
        <f aca="false">D55+D56+D58</f>
        <v>-7140.68888888889</v>
      </c>
      <c r="E59" s="66" t="n">
        <f aca="false">E55+E56+E58</f>
        <v>-5467.80000000001</v>
      </c>
      <c r="F59" s="66" t="n">
        <f aca="false">F55+F56+F58</f>
        <v>-3794.91111111111</v>
      </c>
      <c r="G59" s="66" t="n">
        <f aca="false">G55+G56+G58</f>
        <v>-2122.02222222223</v>
      </c>
      <c r="H59" s="66" t="n">
        <f aca="false">H55+H56+H58</f>
        <v>-449.133333333336</v>
      </c>
      <c r="I59" s="66" t="n">
        <f aca="false">I55+I56+I58</f>
        <v>1223.75555555555</v>
      </c>
      <c r="J59" s="66" t="n">
        <f aca="false">J55+J56+J58</f>
        <v>1205.77777777778</v>
      </c>
      <c r="K59" s="66" t="n">
        <f aca="false">K55+K56+K58</f>
        <v>1214.66666666666</v>
      </c>
      <c r="L59" s="66" t="n">
        <f aca="false">L55+L56+L58</f>
        <v>1223.55555555555</v>
      </c>
      <c r="M59" s="66" t="n">
        <f aca="false">M55+M56+M58</f>
        <v>1232.44444444444</v>
      </c>
      <c r="N59" s="66" t="n">
        <f aca="false">N55+N56+N58</f>
        <v>1241.33333333333</v>
      </c>
      <c r="O59" s="66" t="n">
        <f aca="false">O55+O56+O58</f>
        <v>2799.28094222222</v>
      </c>
      <c r="P59" s="66" t="n">
        <f aca="false">P55+P56+P58</f>
        <v>2778.57351111111</v>
      </c>
      <c r="Q59" s="66" t="n">
        <f aca="false">Q55+Q56+Q58</f>
        <v>2787.4624</v>
      </c>
      <c r="R59" s="66" t="n">
        <f aca="false">R55+R56+R58</f>
        <v>2796.35128888889</v>
      </c>
      <c r="S59" s="66" t="n">
        <f aca="false">S55+S56+S58</f>
        <v>2805.24017777778</v>
      </c>
      <c r="T59" s="66" t="n">
        <f aca="false">T55+T56+T58</f>
        <v>2814.12906666667</v>
      </c>
      <c r="U59" s="66" t="n">
        <f aca="false">U55+U56+U58</f>
        <v>2823.01795555556</v>
      </c>
      <c r="V59" s="66" t="n">
        <f aca="false">V55+V56+V58</f>
        <v>2831.90684444445</v>
      </c>
      <c r="W59" s="66" t="n">
        <f aca="false">W55+W56+W58</f>
        <v>2840.79573333334</v>
      </c>
      <c r="X59" s="66" t="n">
        <f aca="false">X55+X56+X58</f>
        <v>2849.68462222222</v>
      </c>
      <c r="Y59" s="66" t="n">
        <f aca="false">Y55+Y56+Y58</f>
        <v>2858.57351111111</v>
      </c>
      <c r="Z59" s="66" t="n">
        <f aca="false">Z55+Z56+Z58</f>
        <v>2867.4624</v>
      </c>
      <c r="AA59" s="66" t="n">
        <f aca="false">AA55+AA56+AA58</f>
        <v>3860.05252643769</v>
      </c>
      <c r="AB59" s="66" t="n">
        <f aca="false">AB55+AB56+AB58</f>
        <v>3725.22006781725</v>
      </c>
      <c r="AC59" s="66" t="n">
        <f aca="false">AC55+AC56+AC58</f>
        <v>3732.24229003947</v>
      </c>
      <c r="AD59" s="66" t="n">
        <f aca="false">AD55+AD56+AD58</f>
        <v>3739.26451226169</v>
      </c>
      <c r="AE59" s="66" t="n">
        <f aca="false">AE55+AE56+AE58</f>
        <v>3746.28673448392</v>
      </c>
      <c r="AF59" s="66" t="n">
        <f aca="false">AF55+AF56+AF58</f>
        <v>3753.30895670614</v>
      </c>
      <c r="AG59" s="66" t="n">
        <f aca="false">AG55+AG56+AG58</f>
        <v>3760.33117892836</v>
      </c>
      <c r="AH59" s="66" t="n">
        <f aca="false">AH55+AH56+AH58</f>
        <v>3767.35340115058</v>
      </c>
      <c r="AI59" s="66" t="n">
        <f aca="false">AI55+AI56+AI58</f>
        <v>3774.3756233728</v>
      </c>
      <c r="AJ59" s="66" t="n">
        <f aca="false">AJ55+AJ56+AJ58</f>
        <v>3781.39784559503</v>
      </c>
      <c r="AK59" s="66" t="n">
        <f aca="false">AK55+AK56+AK58</f>
        <v>3788.42006781725</v>
      </c>
      <c r="AL59" s="66" t="n">
        <f aca="false">AL55+AL56+AL58</f>
        <v>3795.44229003947</v>
      </c>
      <c r="AM59" s="66" t="n">
        <f aca="false">AM55+AM56+AM58</f>
        <v>5301.11016990708</v>
      </c>
      <c r="AN59" s="66" t="n">
        <f aca="false">AN55+AN56+AN58</f>
        <v>5272.85277248554</v>
      </c>
      <c r="AO59" s="66" t="n">
        <f aca="false">AO55+AO56+AO58</f>
        <v>5279.87499470776</v>
      </c>
      <c r="AP59" s="66" t="n">
        <f aca="false">AP55+AP56+AP58</f>
        <v>5286.89721692999</v>
      </c>
      <c r="AQ59" s="66" t="n">
        <f aca="false">AQ55+AQ56+AQ58</f>
        <v>5293.91943915221</v>
      </c>
      <c r="AR59" s="66" t="n">
        <f aca="false">AR55+AR56+AR58</f>
        <v>5300.94166137443</v>
      </c>
      <c r="AS59" s="66" t="n">
        <f aca="false">AS55+AS56+AS58</f>
        <v>5307.96388359665</v>
      </c>
      <c r="AT59" s="66" t="n">
        <f aca="false">AT55+AT56+AT58</f>
        <v>5314.98610581887</v>
      </c>
      <c r="AU59" s="66" t="n">
        <f aca="false">AU55+AU56+AU58</f>
        <v>5322.00832804109</v>
      </c>
      <c r="AV59" s="66" t="n">
        <f aca="false">AV55+AV56+AV58</f>
        <v>5329.03055026332</v>
      </c>
      <c r="AW59" s="66" t="n">
        <f aca="false">AW55+AW56+AW58</f>
        <v>5336.05277248554</v>
      </c>
      <c r="AX59" s="66" t="n">
        <f aca="false">AX55+AX56+AX58</f>
        <v>5343.07499470776</v>
      </c>
      <c r="AY59" s="66" t="n">
        <f aca="false">AY55+AY56+AY58</f>
        <v>7002.56153942049</v>
      </c>
      <c r="AZ59" s="66" t="n">
        <f aca="false">AZ55+AZ56+AZ58</f>
        <v>6971.06547291566</v>
      </c>
      <c r="BA59" s="66" t="n">
        <f aca="false">BA55+BA56+BA58</f>
        <v>6978.08769513788</v>
      </c>
      <c r="BB59" s="66" t="n">
        <f aca="false">BB55+BB56+BB58</f>
        <v>6985.1099173601</v>
      </c>
      <c r="BC59" s="66" t="n">
        <f aca="false">BC55+BC56+BC58</f>
        <v>6992.13213958232</v>
      </c>
      <c r="BD59" s="66" t="n">
        <f aca="false">BD55+BD56+BD58</f>
        <v>6999.15436180455</v>
      </c>
      <c r="BE59" s="66" t="n">
        <f aca="false">BE55+BE56+BE58</f>
        <v>7006.17658402677</v>
      </c>
      <c r="BF59" s="66" t="n">
        <f aca="false">BF55+BF56+BF58</f>
        <v>7013.19880624899</v>
      </c>
      <c r="BG59" s="66" t="n">
        <f aca="false">BG55+BG56+BG58</f>
        <v>7020.22102847122</v>
      </c>
      <c r="BH59" s="66" t="n">
        <f aca="false">BH55+BH56+BH58</f>
        <v>7027.24325069343</v>
      </c>
      <c r="BI59" s="66" t="n">
        <f aca="false">BI55+BI56+BI58</f>
        <v>7034.26547291566</v>
      </c>
      <c r="BJ59" s="66" t="n">
        <f aca="false">BJ55+BJ56+BJ58</f>
        <v>7041.28769513788</v>
      </c>
    </row>
    <row r="60" customFormat="false" ht="15" hidden="false" customHeight="false" outlineLevel="0" collapsed="false">
      <c r="A60" s="6" t="s">
        <v>294</v>
      </c>
      <c r="C60" s="65" t="n">
        <f aca="false">0</f>
        <v>0</v>
      </c>
      <c r="D60" s="65" t="n">
        <f aca="false">C61</f>
        <v>52658.5333333333</v>
      </c>
      <c r="E60" s="65" t="n">
        <f aca="false">D61</f>
        <v>45517.8444444444</v>
      </c>
      <c r="F60" s="65" t="n">
        <f aca="false">E61</f>
        <v>40050.0444444444</v>
      </c>
      <c r="G60" s="65" t="n">
        <f aca="false">F61</f>
        <v>36255.1333333333</v>
      </c>
      <c r="H60" s="65" t="n">
        <f aca="false">G61</f>
        <v>34133.1111111111</v>
      </c>
      <c r="I60" s="65" t="n">
        <f aca="false">H61</f>
        <v>33683.9777777778</v>
      </c>
      <c r="J60" s="65" t="n">
        <f aca="false">I61</f>
        <v>34907.7333333333</v>
      </c>
      <c r="K60" s="65" t="n">
        <f aca="false">J61</f>
        <v>36113.5111111111</v>
      </c>
      <c r="L60" s="65" t="n">
        <f aca="false">K61</f>
        <v>37328.1777777777</v>
      </c>
      <c r="M60" s="65" t="n">
        <f aca="false">L61</f>
        <v>38551.7333333333</v>
      </c>
      <c r="N60" s="65" t="n">
        <f aca="false">M61</f>
        <v>39784.1777777777</v>
      </c>
      <c r="O60" s="65" t="n">
        <f aca="false">N61</f>
        <v>41025.5111111111</v>
      </c>
      <c r="P60" s="65" t="n">
        <f aca="false">O61</f>
        <v>43824.7920533333</v>
      </c>
      <c r="Q60" s="65" t="n">
        <f aca="false">P61</f>
        <v>46603.3655644444</v>
      </c>
      <c r="R60" s="65" t="n">
        <f aca="false">Q61</f>
        <v>49390.8279644444</v>
      </c>
      <c r="S60" s="65" t="n">
        <f aca="false">R61</f>
        <v>52187.1792533333</v>
      </c>
      <c r="T60" s="65" t="n">
        <f aca="false">S61</f>
        <v>54992.4194311111</v>
      </c>
      <c r="U60" s="65" t="n">
        <f aca="false">T61</f>
        <v>57806.5484977778</v>
      </c>
      <c r="V60" s="65" t="n">
        <f aca="false">U61</f>
        <v>60629.5664533333</v>
      </c>
      <c r="W60" s="65" t="n">
        <f aca="false">V61</f>
        <v>63461.4732977778</v>
      </c>
      <c r="X60" s="65" t="n">
        <f aca="false">W61</f>
        <v>66302.2690311111</v>
      </c>
      <c r="Y60" s="65" t="n">
        <f aca="false">X61</f>
        <v>69151.9536533333</v>
      </c>
      <c r="Z60" s="65" t="n">
        <f aca="false">Y61</f>
        <v>72010.5271644444</v>
      </c>
      <c r="AA60" s="65" t="n">
        <f aca="false">Z61</f>
        <v>74877.9895644444</v>
      </c>
      <c r="AB60" s="65" t="n">
        <f aca="false">AA61</f>
        <v>78738.0420908821</v>
      </c>
      <c r="AC60" s="65" t="n">
        <f aca="false">AB61</f>
        <v>82463.2621586994</v>
      </c>
      <c r="AD60" s="65" t="n">
        <f aca="false">AC61</f>
        <v>86195.5044487389</v>
      </c>
      <c r="AE60" s="65" t="n">
        <f aca="false">AD61</f>
        <v>89934.7689610006</v>
      </c>
      <c r="AF60" s="65" t="n">
        <f aca="false">AE61</f>
        <v>93681.0556954845</v>
      </c>
      <c r="AG60" s="65" t="n">
        <f aca="false">AF61</f>
        <v>97434.3646521906</v>
      </c>
      <c r="AH60" s="65" t="n">
        <f aca="false">AG61</f>
        <v>101194.695831119</v>
      </c>
      <c r="AI60" s="65" t="n">
        <f aca="false">AH61</f>
        <v>104962.04923227</v>
      </c>
      <c r="AJ60" s="65" t="n">
        <f aca="false">AI61</f>
        <v>108736.424855642</v>
      </c>
      <c r="AK60" s="65" t="n">
        <f aca="false">AJ61</f>
        <v>112517.822701237</v>
      </c>
      <c r="AL60" s="65" t="n">
        <f aca="false">AK61</f>
        <v>116306.242769055</v>
      </c>
      <c r="AM60" s="65" t="n">
        <f aca="false">AL61</f>
        <v>120101.685059094</v>
      </c>
      <c r="AN60" s="65" t="n">
        <f aca="false">AM61</f>
        <v>125402.795229001</v>
      </c>
      <c r="AO60" s="65" t="n">
        <f aca="false">AN61</f>
        <v>130675.648001487</v>
      </c>
      <c r="AP60" s="65" t="n">
        <f aca="false">AO61</f>
        <v>135955.522996195</v>
      </c>
      <c r="AQ60" s="65" t="n">
        <f aca="false">AP61</f>
        <v>141242.420213124</v>
      </c>
      <c r="AR60" s="65" t="n">
        <f aca="false">AQ61</f>
        <v>146536.339652277</v>
      </c>
      <c r="AS60" s="65" t="n">
        <f aca="false">AR61</f>
        <v>151837.281313651</v>
      </c>
      <c r="AT60" s="65" t="n">
        <f aca="false">AS61</f>
        <v>157145.245197248</v>
      </c>
      <c r="AU60" s="65" t="n">
        <f aca="false">AT61</f>
        <v>162460.231303067</v>
      </c>
      <c r="AV60" s="65" t="n">
        <f aca="false">AU61</f>
        <v>167782.239631108</v>
      </c>
      <c r="AW60" s="65" t="n">
        <f aca="false">AV61</f>
        <v>173111.270181371</v>
      </c>
      <c r="AX60" s="65" t="n">
        <f aca="false">AW61</f>
        <v>178447.322953857</v>
      </c>
      <c r="AY60" s="65" t="n">
        <f aca="false">AX61</f>
        <v>183790.397948564</v>
      </c>
      <c r="AZ60" s="65" t="n">
        <f aca="false">AY61</f>
        <v>190792.959487985</v>
      </c>
      <c r="BA60" s="65" t="n">
        <f aca="false">AZ61</f>
        <v>197764.024960901</v>
      </c>
      <c r="BB60" s="65" t="n">
        <f aca="false">BA61</f>
        <v>204742.112656038</v>
      </c>
      <c r="BC60" s="65" t="n">
        <f aca="false">BB61</f>
        <v>211727.222573399</v>
      </c>
      <c r="BD60" s="65" t="n">
        <f aca="false">BC61</f>
        <v>218719.354712981</v>
      </c>
      <c r="BE60" s="65" t="n">
        <f aca="false">BD61</f>
        <v>225718.509074785</v>
      </c>
      <c r="BF60" s="65" t="n">
        <f aca="false">BE61</f>
        <v>232724.685658812</v>
      </c>
      <c r="BG60" s="65" t="n">
        <f aca="false">BF61</f>
        <v>239737.884465061</v>
      </c>
      <c r="BH60" s="65" t="n">
        <f aca="false">BG61</f>
        <v>246758.105493532</v>
      </c>
      <c r="BI60" s="65" t="n">
        <f aca="false">BH61</f>
        <v>253785.348744226</v>
      </c>
      <c r="BJ60" s="65" t="n">
        <f aca="false">BI61</f>
        <v>260819.614217141</v>
      </c>
    </row>
    <row r="61" customFormat="false" ht="15" hidden="false" customHeight="false" outlineLevel="0" collapsed="false">
      <c r="A61" s="108" t="s">
        <v>85</v>
      </c>
      <c r="C61" s="66" t="n">
        <f aca="false">C60+C59</f>
        <v>52658.5333333333</v>
      </c>
      <c r="D61" s="66" t="n">
        <f aca="false">D60+D59</f>
        <v>45517.8444444444</v>
      </c>
      <c r="E61" s="66" t="n">
        <f aca="false">E60+E59</f>
        <v>40050.0444444444</v>
      </c>
      <c r="F61" s="66" t="n">
        <f aca="false">F60+F59</f>
        <v>36255.1333333333</v>
      </c>
      <c r="G61" s="66" t="n">
        <f aca="false">G60+G59</f>
        <v>34133.1111111111</v>
      </c>
      <c r="H61" s="66" t="n">
        <f aca="false">H60+H59</f>
        <v>33683.9777777778</v>
      </c>
      <c r="I61" s="66" t="n">
        <f aca="false">I60+I59</f>
        <v>34907.7333333333</v>
      </c>
      <c r="J61" s="66" t="n">
        <f aca="false">J60+J59</f>
        <v>36113.5111111111</v>
      </c>
      <c r="K61" s="66" t="n">
        <f aca="false">K60+K59</f>
        <v>37328.1777777777</v>
      </c>
      <c r="L61" s="66" t="n">
        <f aca="false">L60+L59</f>
        <v>38551.7333333333</v>
      </c>
      <c r="M61" s="66" t="n">
        <f aca="false">M60+M59</f>
        <v>39784.1777777777</v>
      </c>
      <c r="N61" s="66" t="n">
        <f aca="false">N60+N59</f>
        <v>41025.5111111111</v>
      </c>
      <c r="O61" s="66" t="n">
        <f aca="false">O60+O59</f>
        <v>43824.7920533333</v>
      </c>
      <c r="P61" s="66" t="n">
        <f aca="false">P60+P59</f>
        <v>46603.3655644444</v>
      </c>
      <c r="Q61" s="66" t="n">
        <f aca="false">Q60+Q59</f>
        <v>49390.8279644444</v>
      </c>
      <c r="R61" s="66" t="n">
        <f aca="false">R60+R59</f>
        <v>52187.1792533333</v>
      </c>
      <c r="S61" s="66" t="n">
        <f aca="false">S60+S59</f>
        <v>54992.4194311111</v>
      </c>
      <c r="T61" s="66" t="n">
        <f aca="false">T60+T59</f>
        <v>57806.5484977778</v>
      </c>
      <c r="U61" s="66" t="n">
        <f aca="false">U60+U59</f>
        <v>60629.5664533333</v>
      </c>
      <c r="V61" s="66" t="n">
        <f aca="false">V60+V59</f>
        <v>63461.4732977778</v>
      </c>
      <c r="W61" s="66" t="n">
        <f aca="false">W60+W59</f>
        <v>66302.2690311111</v>
      </c>
      <c r="X61" s="66" t="n">
        <f aca="false">X60+X59</f>
        <v>69151.9536533333</v>
      </c>
      <c r="Y61" s="66" t="n">
        <f aca="false">Y60+Y59</f>
        <v>72010.5271644444</v>
      </c>
      <c r="Z61" s="66" t="n">
        <f aca="false">Z60+Z59</f>
        <v>74877.9895644444</v>
      </c>
      <c r="AA61" s="66" t="n">
        <f aca="false">AA60+AA59</f>
        <v>78738.0420908821</v>
      </c>
      <c r="AB61" s="66" t="n">
        <f aca="false">AB60+AB59</f>
        <v>82463.2621586994</v>
      </c>
      <c r="AC61" s="66" t="n">
        <f aca="false">AC60+AC59</f>
        <v>86195.5044487389</v>
      </c>
      <c r="AD61" s="66" t="n">
        <f aca="false">AD60+AD59</f>
        <v>89934.7689610006</v>
      </c>
      <c r="AE61" s="66" t="n">
        <f aca="false">AE60+AE59</f>
        <v>93681.0556954845</v>
      </c>
      <c r="AF61" s="66" t="n">
        <f aca="false">AF60+AF59</f>
        <v>97434.3646521906</v>
      </c>
      <c r="AG61" s="66" t="n">
        <f aca="false">AG60+AG59</f>
        <v>101194.695831119</v>
      </c>
      <c r="AH61" s="66" t="n">
        <f aca="false">AH60+AH59</f>
        <v>104962.04923227</v>
      </c>
      <c r="AI61" s="66" t="n">
        <f aca="false">AI60+AI59</f>
        <v>108736.424855642</v>
      </c>
      <c r="AJ61" s="66" t="n">
        <f aca="false">AJ60+AJ59</f>
        <v>112517.822701237</v>
      </c>
      <c r="AK61" s="66" t="n">
        <f aca="false">AK60+AK59</f>
        <v>116306.242769055</v>
      </c>
      <c r="AL61" s="66" t="n">
        <f aca="false">AL60+AL59</f>
        <v>120101.685059094</v>
      </c>
      <c r="AM61" s="66" t="n">
        <f aca="false">AM60+AM59</f>
        <v>125402.795229001</v>
      </c>
      <c r="AN61" s="66" t="n">
        <f aca="false">AN60+AN59</f>
        <v>130675.648001487</v>
      </c>
      <c r="AO61" s="66" t="n">
        <f aca="false">AO60+AO59</f>
        <v>135955.522996195</v>
      </c>
      <c r="AP61" s="66" t="n">
        <f aca="false">AP60+AP59</f>
        <v>141242.420213124</v>
      </c>
      <c r="AQ61" s="66" t="n">
        <f aca="false">AQ60+AQ59</f>
        <v>146536.339652277</v>
      </c>
      <c r="AR61" s="66" t="n">
        <f aca="false">AR60+AR59</f>
        <v>151837.281313651</v>
      </c>
      <c r="AS61" s="66" t="n">
        <f aca="false">AS60+AS59</f>
        <v>157145.245197248</v>
      </c>
      <c r="AT61" s="66" t="n">
        <f aca="false">AT60+AT59</f>
        <v>162460.231303067</v>
      </c>
      <c r="AU61" s="66" t="n">
        <f aca="false">AU60+AU59</f>
        <v>167782.239631108</v>
      </c>
      <c r="AV61" s="66" t="n">
        <f aca="false">AV60+AV59</f>
        <v>173111.270181371</v>
      </c>
      <c r="AW61" s="66" t="n">
        <f aca="false">AW60+AW59</f>
        <v>178447.322953857</v>
      </c>
      <c r="AX61" s="66" t="n">
        <f aca="false">AX60+AX59</f>
        <v>183790.397948564</v>
      </c>
      <c r="AY61" s="66" t="n">
        <f aca="false">AY60+AY59</f>
        <v>190792.959487985</v>
      </c>
      <c r="AZ61" s="66" t="n">
        <f aca="false">AZ60+AZ59</f>
        <v>197764.024960901</v>
      </c>
      <c r="BA61" s="66" t="n">
        <f aca="false">BA60+BA59</f>
        <v>204742.112656038</v>
      </c>
      <c r="BB61" s="66" t="n">
        <f aca="false">BB60+BB59</f>
        <v>211727.222573399</v>
      </c>
      <c r="BC61" s="66" t="n">
        <f aca="false">BC60+BC59</f>
        <v>218719.354712981</v>
      </c>
      <c r="BD61" s="66" t="n">
        <f aca="false">BD60+BD59</f>
        <v>225718.509074785</v>
      </c>
      <c r="BE61" s="66" t="n">
        <f aca="false">BE60+BE59</f>
        <v>232724.685658812</v>
      </c>
      <c r="BF61" s="66" t="n">
        <f aca="false">BF60+BF59</f>
        <v>239737.884465061</v>
      </c>
      <c r="BG61" s="66" t="n">
        <f aca="false">BG60+BG59</f>
        <v>246758.105493532</v>
      </c>
      <c r="BH61" s="66" t="n">
        <f aca="false">BH60+BH59</f>
        <v>253785.348744226</v>
      </c>
      <c r="BI61" s="66" t="n">
        <f aca="false">BI60+BI59</f>
        <v>260819.614217141</v>
      </c>
      <c r="BJ61" s="66" t="n">
        <f aca="false">BJ60+BJ59</f>
        <v>267860.901912279</v>
      </c>
    </row>
    <row r="62" customFormat="false" ht="15" hidden="false" customHeight="false" outlineLevel="0" collapsed="false">
      <c r="A62" s="114" t="s">
        <v>377</v>
      </c>
      <c r="C62" s="113" t="n">
        <f aca="false">IF(C22&gt;0,1,0)</f>
        <v>0</v>
      </c>
      <c r="D62" s="113" t="n">
        <f aca="false">IF(D22&gt;0,1,0)</f>
        <v>0</v>
      </c>
      <c r="E62" s="113" t="n">
        <f aca="false">IF(E22&gt;0,1,0)</f>
        <v>0</v>
      </c>
      <c r="F62" s="113" t="n">
        <f aca="false">IF(F22&gt;0,1,0)</f>
        <v>0</v>
      </c>
      <c r="G62" s="113" t="n">
        <f aca="false">IF(G22&gt;0,1,0)</f>
        <v>0</v>
      </c>
      <c r="H62" s="113" t="n">
        <f aca="false">IF(H22&gt;0,1,0)</f>
        <v>1</v>
      </c>
      <c r="I62" s="113" t="n">
        <f aca="false">IF(I22&gt;0,1,0)</f>
        <v>1</v>
      </c>
      <c r="J62" s="113" t="n">
        <f aca="false">IF(J22&gt;0,1,0)</f>
        <v>1</v>
      </c>
      <c r="K62" s="113" t="n">
        <f aca="false">IF(K22&gt;0,1,0)</f>
        <v>1</v>
      </c>
      <c r="L62" s="113" t="n">
        <f aca="false">IF(L22&gt;0,1,0)</f>
        <v>1</v>
      </c>
      <c r="M62" s="113" t="n">
        <f aca="false">IF(M22&gt;0,1,0)</f>
        <v>1</v>
      </c>
      <c r="N62" s="113" t="n">
        <f aca="false">IF(N22&gt;0,1,0)</f>
        <v>1</v>
      </c>
      <c r="O62" s="113" t="n">
        <f aca="false">IF(O22&gt;0,1,0)</f>
        <v>1</v>
      </c>
      <c r="P62" s="113" t="n">
        <f aca="false">IF(P22&gt;0,1,0)</f>
        <v>1</v>
      </c>
      <c r="Q62" s="113" t="n">
        <f aca="false">IF(Q22&gt;0,1,0)</f>
        <v>1</v>
      </c>
      <c r="R62" s="113" t="n">
        <f aca="false">IF(R22&gt;0,1,0)</f>
        <v>1</v>
      </c>
      <c r="S62" s="113" t="n">
        <f aca="false">IF(S22&gt;0,1,0)</f>
        <v>1</v>
      </c>
      <c r="T62" s="113" t="n">
        <f aca="false">IF(T22&gt;0,1,0)</f>
        <v>1</v>
      </c>
      <c r="U62" s="113" t="n">
        <f aca="false">IF(U22&gt;0,1,0)</f>
        <v>1</v>
      </c>
      <c r="V62" s="113" t="n">
        <f aca="false">IF(V22&gt;0,1,0)</f>
        <v>1</v>
      </c>
      <c r="W62" s="113" t="n">
        <f aca="false">IF(W22&gt;0,1,0)</f>
        <v>1</v>
      </c>
      <c r="X62" s="113" t="n">
        <f aca="false">IF(X22&gt;0,1,0)</f>
        <v>1</v>
      </c>
      <c r="Y62" s="113" t="n">
        <f aca="false">IF(Y22&gt;0,1,0)</f>
        <v>1</v>
      </c>
      <c r="Z62" s="113" t="n">
        <f aca="false">IF(Z22&gt;0,1,0)</f>
        <v>1</v>
      </c>
      <c r="AA62" s="113" t="n">
        <f aca="false">IF(AA22&gt;0,1,0)</f>
        <v>1</v>
      </c>
      <c r="AB62" s="113" t="n">
        <f aca="false">IF(AB22&gt;0,1,0)</f>
        <v>1</v>
      </c>
      <c r="AC62" s="113" t="n">
        <f aca="false">IF(AC22&gt;0,1,0)</f>
        <v>1</v>
      </c>
      <c r="AD62" s="113" t="n">
        <f aca="false">IF(AD22&gt;0,1,0)</f>
        <v>1</v>
      </c>
      <c r="AE62" s="113" t="n">
        <f aca="false">IF(AE22&gt;0,1,0)</f>
        <v>1</v>
      </c>
      <c r="AF62" s="113" t="n">
        <f aca="false">IF(AF22&gt;0,1,0)</f>
        <v>1</v>
      </c>
      <c r="AG62" s="113" t="n">
        <f aca="false">IF(AG22&gt;0,1,0)</f>
        <v>1</v>
      </c>
      <c r="AH62" s="113" t="n">
        <f aca="false">IF(AH22&gt;0,1,0)</f>
        <v>1</v>
      </c>
      <c r="AI62" s="113" t="n">
        <f aca="false">IF(AI22&gt;0,1,0)</f>
        <v>1</v>
      </c>
      <c r="AJ62" s="113" t="n">
        <f aca="false">IF(AJ22&gt;0,1,0)</f>
        <v>1</v>
      </c>
      <c r="AK62" s="113" t="n">
        <f aca="false">IF(AK22&gt;0,1,0)</f>
        <v>1</v>
      </c>
      <c r="AL62" s="113" t="n">
        <f aca="false">IF(AL22&gt;0,1,0)</f>
        <v>1</v>
      </c>
      <c r="AM62" s="113" t="n">
        <f aca="false">IF(AM22&gt;0,1,0)</f>
        <v>1</v>
      </c>
      <c r="AN62" s="113" t="n">
        <f aca="false">IF(AN22&gt;0,1,0)</f>
        <v>1</v>
      </c>
      <c r="AO62" s="113" t="n">
        <f aca="false">IF(AO22&gt;0,1,0)</f>
        <v>1</v>
      </c>
      <c r="AP62" s="113" t="n">
        <f aca="false">IF(AP22&gt;0,1,0)</f>
        <v>1</v>
      </c>
      <c r="AQ62" s="113" t="n">
        <f aca="false">IF(AQ22&gt;0,1,0)</f>
        <v>1</v>
      </c>
      <c r="AR62" s="113" t="n">
        <f aca="false">IF(AR22&gt;0,1,0)</f>
        <v>1</v>
      </c>
      <c r="AS62" s="113" t="n">
        <f aca="false">IF(AS22&gt;0,1,0)</f>
        <v>1</v>
      </c>
      <c r="AT62" s="113" t="n">
        <f aca="false">IF(AT22&gt;0,1,0)</f>
        <v>1</v>
      </c>
      <c r="AU62" s="113" t="n">
        <f aca="false">IF(AU22&gt;0,1,0)</f>
        <v>1</v>
      </c>
      <c r="AV62" s="113" t="n">
        <f aca="false">IF(AV22&gt;0,1,0)</f>
        <v>1</v>
      </c>
      <c r="AW62" s="113" t="n">
        <f aca="false">IF(AW22&gt;0,1,0)</f>
        <v>1</v>
      </c>
      <c r="AX62" s="113" t="n">
        <f aca="false">IF(AX22&gt;0,1,0)</f>
        <v>1</v>
      </c>
      <c r="AY62" s="113" t="n">
        <f aca="false">IF(AY22&gt;0,1,0)</f>
        <v>1</v>
      </c>
      <c r="AZ62" s="113" t="n">
        <f aca="false">IF(AZ22&gt;0,1,0)</f>
        <v>1</v>
      </c>
      <c r="BA62" s="113" t="n">
        <f aca="false">IF(BA22&gt;0,1,0)</f>
        <v>1</v>
      </c>
      <c r="BB62" s="113" t="n">
        <f aca="false">IF(BB22&gt;0,1,0)</f>
        <v>1</v>
      </c>
      <c r="BC62" s="113" t="n">
        <f aca="false">IF(BC22&gt;0,1,0)</f>
        <v>1</v>
      </c>
      <c r="BD62" s="113" t="n">
        <f aca="false">IF(BD22&gt;0,1,0)</f>
        <v>1</v>
      </c>
      <c r="BE62" s="113" t="n">
        <f aca="false">IF(BE22&gt;0,1,0)</f>
        <v>1</v>
      </c>
      <c r="BF62" s="113" t="n">
        <f aca="false">IF(BF22&gt;0,1,0)</f>
        <v>1</v>
      </c>
      <c r="BG62" s="113" t="n">
        <f aca="false">IF(BG22&gt;0,1,0)</f>
        <v>1</v>
      </c>
      <c r="BH62" s="113" t="n">
        <f aca="false">IF(BH22&gt;0,1,0)</f>
        <v>1</v>
      </c>
      <c r="BI62" s="113" t="n">
        <f aca="false">IF(BI22&gt;0,1,0)</f>
        <v>1</v>
      </c>
      <c r="BJ62" s="113" t="n">
        <f aca="false">IF(BJ22&gt;0,1,0)</f>
        <v>1</v>
      </c>
    </row>
    <row r="64" customFormat="false" ht="15.75" hidden="false" customHeight="true" outlineLevel="0" collapsed="false">
      <c r="A64" s="7" t="s">
        <v>378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114" t="s">
        <v>379</v>
      </c>
      <c r="C65" s="113" t="n">
        <f aca="false">IF(C31&gt;0,1,0)</f>
        <v>0</v>
      </c>
      <c r="D65" s="113" t="n">
        <f aca="false">IF(D31&gt;0,1,0)</f>
        <v>0</v>
      </c>
      <c r="E65" s="113" t="n">
        <f aca="false">IF(E31&gt;0,1,0)</f>
        <v>0</v>
      </c>
      <c r="F65" s="113" t="n">
        <f aca="false">IF(F31&gt;0,1,0)</f>
        <v>0</v>
      </c>
      <c r="G65" s="113" t="n">
        <f aca="false">IF(G31&gt;0,1,0)</f>
        <v>0</v>
      </c>
      <c r="H65" s="113" t="n">
        <f aca="false">IF(H31&gt;0,1,0)</f>
        <v>0</v>
      </c>
      <c r="I65" s="113" t="n">
        <f aca="false">IF(I31&gt;0,1,0)</f>
        <v>1</v>
      </c>
      <c r="J65" s="113" t="n">
        <f aca="false">IF(J31&gt;0,1,0)</f>
        <v>1</v>
      </c>
      <c r="K65" s="113" t="n">
        <f aca="false">IF(K31&gt;0,1,0)</f>
        <v>1</v>
      </c>
      <c r="L65" s="113" t="n">
        <f aca="false">IF(L31&gt;0,1,0)</f>
        <v>1</v>
      </c>
      <c r="M65" s="113" t="n">
        <f aca="false">IF(M31&gt;0,1,0)</f>
        <v>1</v>
      </c>
      <c r="N65" s="113" t="n">
        <f aca="false">IF(N31&gt;0,1,0)</f>
        <v>1</v>
      </c>
      <c r="O65" s="113" t="n">
        <f aca="false">IF(O31&gt;0,1,0)</f>
        <v>1</v>
      </c>
      <c r="P65" s="113" t="n">
        <f aca="false">IF(P31&gt;0,1,0)</f>
        <v>1</v>
      </c>
      <c r="Q65" s="113" t="n">
        <f aca="false">IF(Q31&gt;0,1,0)</f>
        <v>1</v>
      </c>
      <c r="R65" s="113" t="n">
        <f aca="false">IF(R31&gt;0,1,0)</f>
        <v>1</v>
      </c>
      <c r="S65" s="113" t="n">
        <f aca="false">IF(S31&gt;0,1,0)</f>
        <v>1</v>
      </c>
      <c r="T65" s="113" t="n">
        <f aca="false">IF(T31&gt;0,1,0)</f>
        <v>1</v>
      </c>
      <c r="U65" s="113" t="n">
        <f aca="false">IF(U31&gt;0,1,0)</f>
        <v>1</v>
      </c>
      <c r="V65" s="113" t="n">
        <f aca="false">IF(V31&gt;0,1,0)</f>
        <v>1</v>
      </c>
      <c r="W65" s="113" t="n">
        <f aca="false">IF(W31&gt;0,1,0)</f>
        <v>1</v>
      </c>
      <c r="X65" s="113" t="n">
        <f aca="false">IF(X31&gt;0,1,0)</f>
        <v>1</v>
      </c>
      <c r="Y65" s="113" t="n">
        <f aca="false">IF(Y31&gt;0,1,0)</f>
        <v>1</v>
      </c>
      <c r="Z65" s="113" t="n">
        <f aca="false">IF(Z31&gt;0,1,0)</f>
        <v>1</v>
      </c>
      <c r="AA65" s="113" t="n">
        <f aca="false">IF(AA31&gt;0,1,0)</f>
        <v>1</v>
      </c>
      <c r="AB65" s="113" t="n">
        <f aca="false">IF(AB31&gt;0,1,0)</f>
        <v>1</v>
      </c>
      <c r="AC65" s="113" t="n">
        <f aca="false">IF(AC31&gt;0,1,0)</f>
        <v>1</v>
      </c>
      <c r="AD65" s="113" t="n">
        <f aca="false">IF(AD31&gt;0,1,0)</f>
        <v>1</v>
      </c>
      <c r="AE65" s="113" t="n">
        <f aca="false">IF(AE31&gt;0,1,0)</f>
        <v>1</v>
      </c>
      <c r="AF65" s="113" t="n">
        <f aca="false">IF(AF31&gt;0,1,0)</f>
        <v>1</v>
      </c>
      <c r="AG65" s="113" t="n">
        <f aca="false">IF(AG31&gt;0,1,0)</f>
        <v>1</v>
      </c>
      <c r="AH65" s="113" t="n">
        <f aca="false">IF(AH31&gt;0,1,0)</f>
        <v>1</v>
      </c>
      <c r="AI65" s="113" t="n">
        <f aca="false">IF(AI31&gt;0,1,0)</f>
        <v>1</v>
      </c>
      <c r="AJ65" s="113" t="n">
        <f aca="false">IF(AJ31&gt;0,1,0)</f>
        <v>1</v>
      </c>
      <c r="AK65" s="113" t="n">
        <f aca="false">IF(AK31&gt;0,1,0)</f>
        <v>1</v>
      </c>
      <c r="AL65" s="113" t="n">
        <f aca="false">IF(AL31&gt;0,1,0)</f>
        <v>1</v>
      </c>
      <c r="AM65" s="113" t="n">
        <f aca="false">IF(AM31&gt;0,1,0)</f>
        <v>1</v>
      </c>
      <c r="AN65" s="113" t="n">
        <f aca="false">IF(AN31&gt;0,1,0)</f>
        <v>1</v>
      </c>
      <c r="AO65" s="113" t="n">
        <f aca="false">IF(AO31&gt;0,1,0)</f>
        <v>1</v>
      </c>
      <c r="AP65" s="113" t="n">
        <f aca="false">IF(AP31&gt;0,1,0)</f>
        <v>1</v>
      </c>
      <c r="AQ65" s="113" t="n">
        <f aca="false">IF(AQ31&gt;0,1,0)</f>
        <v>1</v>
      </c>
      <c r="AR65" s="113" t="n">
        <f aca="false">IF(AR31&gt;0,1,0)</f>
        <v>1</v>
      </c>
      <c r="AS65" s="113" t="n">
        <f aca="false">IF(AS31&gt;0,1,0)</f>
        <v>1</v>
      </c>
      <c r="AT65" s="113" t="n">
        <f aca="false">IF(AT31&gt;0,1,0)</f>
        <v>1</v>
      </c>
      <c r="AU65" s="113" t="n">
        <f aca="false">IF(AU31&gt;0,1,0)</f>
        <v>1</v>
      </c>
      <c r="AV65" s="113" t="n">
        <f aca="false">IF(AV31&gt;0,1,0)</f>
        <v>1</v>
      </c>
      <c r="AW65" s="113" t="n">
        <f aca="false">IF(AW31&gt;0,1,0)</f>
        <v>1</v>
      </c>
      <c r="AX65" s="113" t="n">
        <f aca="false">IF(AX31&gt;0,1,0)</f>
        <v>1</v>
      </c>
      <c r="AY65" s="113" t="n">
        <f aca="false">IF(AY31&gt;0,1,0)</f>
        <v>1</v>
      </c>
      <c r="AZ65" s="113" t="n">
        <f aca="false">IF(AZ31&gt;0,1,0)</f>
        <v>1</v>
      </c>
      <c r="BA65" s="113" t="n">
        <f aca="false">IF(BA31&gt;0,1,0)</f>
        <v>1</v>
      </c>
      <c r="BB65" s="113" t="n">
        <f aca="false">IF(BB31&gt;0,1,0)</f>
        <v>1</v>
      </c>
      <c r="BC65" s="113" t="n">
        <f aca="false">IF(BC31&gt;0,1,0)</f>
        <v>1</v>
      </c>
      <c r="BD65" s="113" t="n">
        <f aca="false">IF(BD31&gt;0,1,0)</f>
        <v>1</v>
      </c>
      <c r="BE65" s="113" t="n">
        <f aca="false">IF(BE31&gt;0,1,0)</f>
        <v>1</v>
      </c>
      <c r="BF65" s="113" t="n">
        <f aca="false">IF(BF31&gt;0,1,0)</f>
        <v>1</v>
      </c>
      <c r="BG65" s="113" t="n">
        <f aca="false">IF(BG31&gt;0,1,0)</f>
        <v>1</v>
      </c>
      <c r="BH65" s="113" t="n">
        <f aca="false">IF(BH31&gt;0,1,0)</f>
        <v>1</v>
      </c>
      <c r="BI65" s="113" t="n">
        <f aca="false">IF(BI31&gt;0,1,0)</f>
        <v>1</v>
      </c>
      <c r="BJ65" s="113" t="n">
        <f aca="false">IF(BJ31&gt;0,1,0)</f>
        <v>1</v>
      </c>
    </row>
    <row r="66" customFormat="false" ht="15" hidden="false" customHeight="false" outlineLevel="0" collapsed="false">
      <c r="A66" s="6" t="s">
        <v>380</v>
      </c>
      <c r="C66" s="65" t="n">
        <f aca="false">C55+C56</f>
        <v>-167341.466666667</v>
      </c>
      <c r="D66" s="65" t="n">
        <f aca="false">D55+D56</f>
        <v>-5807.35555555556</v>
      </c>
      <c r="E66" s="65" t="n">
        <f aca="false">E55+E56</f>
        <v>-4134.46666666667</v>
      </c>
      <c r="F66" s="65" t="n">
        <f aca="false">F55+F56</f>
        <v>-2461.57777777778</v>
      </c>
      <c r="G66" s="65" t="n">
        <f aca="false">G55+G56</f>
        <v>-788.688888888894</v>
      </c>
      <c r="H66" s="65" t="n">
        <f aca="false">H55+H56</f>
        <v>884.199999999997</v>
      </c>
      <c r="I66" s="65" t="n">
        <f aca="false">I55+I56</f>
        <v>2557.08888888889</v>
      </c>
      <c r="J66" s="65" t="n">
        <f aca="false">J55+J56</f>
        <v>2539.11111111111</v>
      </c>
      <c r="K66" s="65" t="n">
        <f aca="false">K55+K56</f>
        <v>2548</v>
      </c>
      <c r="L66" s="65" t="n">
        <f aca="false">L55+L56</f>
        <v>2556.88888888889</v>
      </c>
      <c r="M66" s="65" t="n">
        <f aca="false">M55+M56</f>
        <v>2565.77777777778</v>
      </c>
      <c r="N66" s="65" t="n">
        <f aca="false">N55+N56</f>
        <v>2574.66666666666</v>
      </c>
      <c r="O66" s="65" t="n">
        <f aca="false">O55+O56</f>
        <v>4132.61427555556</v>
      </c>
      <c r="P66" s="65" t="n">
        <f aca="false">P55+P56</f>
        <v>4111.90684444445</v>
      </c>
      <c r="Q66" s="65" t="n">
        <f aca="false">Q55+Q56</f>
        <v>4120.79573333334</v>
      </c>
      <c r="R66" s="65" t="n">
        <f aca="false">R55+R56</f>
        <v>4129.68462222222</v>
      </c>
      <c r="S66" s="65" t="n">
        <f aca="false">S55+S56</f>
        <v>4138.57351111111</v>
      </c>
      <c r="T66" s="65" t="n">
        <f aca="false">T55+T56</f>
        <v>4147.4624</v>
      </c>
      <c r="U66" s="65" t="n">
        <f aca="false">U55+U56</f>
        <v>4156.35128888889</v>
      </c>
      <c r="V66" s="65" t="n">
        <f aca="false">V55+V56</f>
        <v>4165.24017777778</v>
      </c>
      <c r="W66" s="65" t="n">
        <f aca="false">W55+W56</f>
        <v>4174.12906666667</v>
      </c>
      <c r="X66" s="65" t="n">
        <f aca="false">X55+X56</f>
        <v>4183.01795555556</v>
      </c>
      <c r="Y66" s="65" t="n">
        <f aca="false">Y55+Y56</f>
        <v>4191.90684444445</v>
      </c>
      <c r="Z66" s="65" t="n">
        <f aca="false">Z55+Z56</f>
        <v>4200.79573333334</v>
      </c>
      <c r="AA66" s="65" t="n">
        <f aca="false">AA55+AA56</f>
        <v>5193.38585977103</v>
      </c>
      <c r="AB66" s="65" t="n">
        <f aca="false">AB55+AB56</f>
        <v>5058.55340115058</v>
      </c>
      <c r="AC66" s="65" t="n">
        <f aca="false">AC55+AC56</f>
        <v>5065.5756233728</v>
      </c>
      <c r="AD66" s="65" t="n">
        <f aca="false">AD55+AD56</f>
        <v>5072.59784559503</v>
      </c>
      <c r="AE66" s="65" t="n">
        <f aca="false">AE55+AE56</f>
        <v>5079.62006781725</v>
      </c>
      <c r="AF66" s="65" t="n">
        <f aca="false">AF55+AF56</f>
        <v>5086.64229003947</v>
      </c>
      <c r="AG66" s="65" t="n">
        <f aca="false">AG55+AG56</f>
        <v>5093.66451226169</v>
      </c>
      <c r="AH66" s="65" t="n">
        <f aca="false">AH55+AH56</f>
        <v>5100.68673448392</v>
      </c>
      <c r="AI66" s="65" t="n">
        <f aca="false">AI55+AI56</f>
        <v>5107.70895670614</v>
      </c>
      <c r="AJ66" s="65" t="n">
        <f aca="false">AJ55+AJ56</f>
        <v>5114.73117892836</v>
      </c>
      <c r="AK66" s="65" t="n">
        <f aca="false">AK55+AK56</f>
        <v>5121.75340115058</v>
      </c>
      <c r="AL66" s="65" t="n">
        <f aca="false">AL55+AL56</f>
        <v>5128.7756233728</v>
      </c>
      <c r="AM66" s="65" t="n">
        <f aca="false">AM55+AM56</f>
        <v>6634.44350324041</v>
      </c>
      <c r="AN66" s="65" t="n">
        <f aca="false">AN55+AN56</f>
        <v>6606.18610581887</v>
      </c>
      <c r="AO66" s="65" t="n">
        <f aca="false">AO55+AO56</f>
        <v>6613.2083280411</v>
      </c>
      <c r="AP66" s="65" t="n">
        <f aca="false">AP55+AP56</f>
        <v>6620.23055026332</v>
      </c>
      <c r="AQ66" s="65" t="n">
        <f aca="false">AQ55+AQ56</f>
        <v>6627.25277248554</v>
      </c>
      <c r="AR66" s="65" t="n">
        <f aca="false">AR55+AR56</f>
        <v>6634.27499470776</v>
      </c>
      <c r="AS66" s="65" t="n">
        <f aca="false">AS55+AS56</f>
        <v>6641.29721692998</v>
      </c>
      <c r="AT66" s="65" t="n">
        <f aca="false">AT55+AT56</f>
        <v>6648.31943915221</v>
      </c>
      <c r="AU66" s="65" t="n">
        <f aca="false">AU55+AU56</f>
        <v>6655.34166137443</v>
      </c>
      <c r="AV66" s="65" t="n">
        <f aca="false">AV55+AV56</f>
        <v>6662.36388359665</v>
      </c>
      <c r="AW66" s="65" t="n">
        <f aca="false">AW55+AW56</f>
        <v>6669.38610581887</v>
      </c>
      <c r="AX66" s="65" t="n">
        <f aca="false">AX55+AX56</f>
        <v>6676.4083280411</v>
      </c>
      <c r="AY66" s="65" t="n">
        <f aca="false">AY55+AY56</f>
        <v>8335.89487275382</v>
      </c>
      <c r="AZ66" s="65" t="n">
        <f aca="false">AZ55+AZ56</f>
        <v>8304.39880624899</v>
      </c>
      <c r="BA66" s="65" t="n">
        <f aca="false">BA55+BA56</f>
        <v>8311.42102847121</v>
      </c>
      <c r="BB66" s="65" t="n">
        <f aca="false">BB55+BB56</f>
        <v>8318.44325069344</v>
      </c>
      <c r="BC66" s="65" t="n">
        <f aca="false">BC55+BC56</f>
        <v>8325.46547291565</v>
      </c>
      <c r="BD66" s="65" t="n">
        <f aca="false">BD55+BD56</f>
        <v>8332.48769513788</v>
      </c>
      <c r="BE66" s="65" t="n">
        <f aca="false">BE55+BE56</f>
        <v>8339.5099173601</v>
      </c>
      <c r="BF66" s="65" t="n">
        <f aca="false">BF55+BF56</f>
        <v>8346.53213958232</v>
      </c>
      <c r="BG66" s="65" t="n">
        <f aca="false">BG55+BG56</f>
        <v>8353.55436180455</v>
      </c>
      <c r="BH66" s="65" t="n">
        <f aca="false">BH55+BH56</f>
        <v>8360.57658402677</v>
      </c>
      <c r="BI66" s="65" t="n">
        <f aca="false">BI55+BI56</f>
        <v>8367.59880624899</v>
      </c>
      <c r="BJ66" s="65" t="n">
        <f aca="false">BJ55+BJ56</f>
        <v>8374.62102847121</v>
      </c>
    </row>
    <row r="67" customFormat="false" ht="15" hidden="false" customHeight="false" outlineLevel="0" collapsed="false">
      <c r="A67" s="6" t="s">
        <v>381</v>
      </c>
      <c r="C67" s="65" t="n">
        <f aca="false">C66</f>
        <v>-167341.466666667</v>
      </c>
      <c r="D67" s="65" t="n">
        <f aca="false">C67+D66</f>
        <v>-173148.822222222</v>
      </c>
      <c r="E67" s="65" t="n">
        <f aca="false">D67+E66</f>
        <v>-177283.288888889</v>
      </c>
      <c r="F67" s="65" t="n">
        <f aca="false">E67+F66</f>
        <v>-179744.866666667</v>
      </c>
      <c r="G67" s="65" t="n">
        <f aca="false">F67+G66</f>
        <v>-180533.555555556</v>
      </c>
      <c r="H67" s="65" t="n">
        <f aca="false">G67+H66</f>
        <v>-179649.355555556</v>
      </c>
      <c r="I67" s="65" t="n">
        <f aca="false">H67+I66</f>
        <v>-177092.266666667</v>
      </c>
      <c r="J67" s="65" t="n">
        <f aca="false">I67+J66</f>
        <v>-174553.155555556</v>
      </c>
      <c r="K67" s="65" t="n">
        <f aca="false">J67+K66</f>
        <v>-172005.155555556</v>
      </c>
      <c r="L67" s="65" t="n">
        <f aca="false">K67+L66</f>
        <v>-169448.266666667</v>
      </c>
      <c r="M67" s="65" t="n">
        <f aca="false">L67+M66</f>
        <v>-166882.488888889</v>
      </c>
      <c r="N67" s="65" t="n">
        <f aca="false">M67+N66</f>
        <v>-164307.822222222</v>
      </c>
      <c r="O67" s="65" t="n">
        <f aca="false">N67+O66</f>
        <v>-160175.207946667</v>
      </c>
      <c r="P67" s="65" t="n">
        <f aca="false">O67+P66</f>
        <v>-156063.301102222</v>
      </c>
      <c r="Q67" s="65" t="n">
        <f aca="false">P67+Q66</f>
        <v>-151942.505368889</v>
      </c>
      <c r="R67" s="65" t="n">
        <f aca="false">Q67+R66</f>
        <v>-147812.820746667</v>
      </c>
      <c r="S67" s="65" t="n">
        <f aca="false">R67+S66</f>
        <v>-143674.247235556</v>
      </c>
      <c r="T67" s="65" t="n">
        <f aca="false">S67+T66</f>
        <v>-139526.784835556</v>
      </c>
      <c r="U67" s="65" t="n">
        <f aca="false">T67+U66</f>
        <v>-135370.433546667</v>
      </c>
      <c r="V67" s="65" t="n">
        <f aca="false">U67+V66</f>
        <v>-131205.193368889</v>
      </c>
      <c r="W67" s="65" t="n">
        <f aca="false">V67+W66</f>
        <v>-127031.064302222</v>
      </c>
      <c r="X67" s="65" t="n">
        <f aca="false">W67+X66</f>
        <v>-122848.046346667</v>
      </c>
      <c r="Y67" s="65" t="n">
        <f aca="false">X67+Y66</f>
        <v>-118656.139502222</v>
      </c>
      <c r="Z67" s="65" t="n">
        <f aca="false">Y67+Z66</f>
        <v>-114455.343768889</v>
      </c>
      <c r="AA67" s="65" t="n">
        <f aca="false">Z67+AA66</f>
        <v>-109261.957909118</v>
      </c>
      <c r="AB67" s="65" t="n">
        <f aca="false">AA67+AB66</f>
        <v>-104203.404507967</v>
      </c>
      <c r="AC67" s="65" t="n">
        <f aca="false">AB67+AC66</f>
        <v>-99137.8288845945</v>
      </c>
      <c r="AD67" s="65" t="n">
        <f aca="false">AC67+AD66</f>
        <v>-94065.2310389995</v>
      </c>
      <c r="AE67" s="65" t="n">
        <f aca="false">AD67+AE66</f>
        <v>-88985.6109711822</v>
      </c>
      <c r="AF67" s="65" t="n">
        <f aca="false">AE67+AF66</f>
        <v>-83898.9686811427</v>
      </c>
      <c r="AG67" s="65" t="n">
        <f aca="false">AF67+AG66</f>
        <v>-78805.3041688811</v>
      </c>
      <c r="AH67" s="65" t="n">
        <f aca="false">AG67+AH66</f>
        <v>-73704.6174343971</v>
      </c>
      <c r="AI67" s="65" t="n">
        <f aca="false">AH67+AI66</f>
        <v>-68596.908477691</v>
      </c>
      <c r="AJ67" s="65" t="n">
        <f aca="false">AI67+AJ66</f>
        <v>-63482.1772987627</v>
      </c>
      <c r="AK67" s="65" t="n">
        <f aca="false">AJ67+AK66</f>
        <v>-58360.4238976121</v>
      </c>
      <c r="AL67" s="65" t="n">
        <f aca="false">AK67+AL66</f>
        <v>-53231.6482742393</v>
      </c>
      <c r="AM67" s="65" t="n">
        <f aca="false">AL67+AM66</f>
        <v>-46597.2047709989</v>
      </c>
      <c r="AN67" s="65" t="n">
        <f aca="false">AM67+AN66</f>
        <v>-39991.01866518</v>
      </c>
      <c r="AO67" s="65" t="n">
        <f aca="false">AN67+AO66</f>
        <v>-33377.8103371389</v>
      </c>
      <c r="AP67" s="65" t="n">
        <f aca="false">AO67+AP66</f>
        <v>-26757.5797868756</v>
      </c>
      <c r="AQ67" s="65" t="n">
        <f aca="false">AP67+AQ66</f>
        <v>-20130.32701439</v>
      </c>
      <c r="AR67" s="65" t="n">
        <f aca="false">AQ67+AR66</f>
        <v>-13496.0520196823</v>
      </c>
      <c r="AS67" s="65" t="n">
        <f aca="false">AR67+AS66</f>
        <v>-6854.75480275229</v>
      </c>
      <c r="AT67" s="65" t="n">
        <f aca="false">AS67+AT66</f>
        <v>-206.435363600087</v>
      </c>
      <c r="AU67" s="65" t="n">
        <f aca="false">AT67+AU66</f>
        <v>6448.90629777434</v>
      </c>
      <c r="AV67" s="65" t="n">
        <f aca="false">AU67+AV66</f>
        <v>13111.270181371</v>
      </c>
      <c r="AW67" s="65" t="n">
        <f aca="false">AV67+AW66</f>
        <v>19780.6562871899</v>
      </c>
      <c r="AX67" s="65" t="n">
        <f aca="false">AW67+AX66</f>
        <v>26457.064615231</v>
      </c>
      <c r="AY67" s="65" t="n">
        <f aca="false">AX67+AY66</f>
        <v>34792.9594879848</v>
      </c>
      <c r="AZ67" s="65" t="n">
        <f aca="false">AY67+AZ66</f>
        <v>43097.3582942338</v>
      </c>
      <c r="BA67" s="65" t="n">
        <f aca="false">AZ67+BA66</f>
        <v>51408.779322705</v>
      </c>
      <c r="BB67" s="65" t="n">
        <f aca="false">BA67+BB66</f>
        <v>59727.2225733984</v>
      </c>
      <c r="BC67" s="65" t="n">
        <f aca="false">BB67+BC66</f>
        <v>68052.6880463141</v>
      </c>
      <c r="BD67" s="65" t="n">
        <f aca="false">BC67+BD66</f>
        <v>76385.1757414519</v>
      </c>
      <c r="BE67" s="65" t="n">
        <f aca="false">BD67+BE66</f>
        <v>84724.685658812</v>
      </c>
      <c r="BF67" s="65" t="n">
        <f aca="false">BE67+BF66</f>
        <v>93071.2177983944</v>
      </c>
      <c r="BG67" s="65" t="n">
        <f aca="false">BF67+BG66</f>
        <v>101424.772160199</v>
      </c>
      <c r="BH67" s="65" t="n">
        <f aca="false">BG67+BH66</f>
        <v>109785.348744226</v>
      </c>
      <c r="BI67" s="65" t="n">
        <f aca="false">BH67+BI66</f>
        <v>118152.947550475</v>
      </c>
      <c r="BJ67" s="65" t="n">
        <f aca="false">BI67+BJ66</f>
        <v>126527.568578946</v>
      </c>
    </row>
    <row r="68" customFormat="false" ht="15" hidden="false" customHeight="false" outlineLevel="0" collapsed="false">
      <c r="A68" s="114" t="s">
        <v>382</v>
      </c>
      <c r="C68" s="65" t="n">
        <f aca="false">C67</f>
        <v>-167341.466666667</v>
      </c>
      <c r="D68" s="65" t="n">
        <f aca="false">MIN(C68,D67)</f>
        <v>-173148.822222222</v>
      </c>
      <c r="E68" s="65" t="n">
        <f aca="false">MIN(D68,E67)</f>
        <v>-177283.288888889</v>
      </c>
      <c r="F68" s="65" t="n">
        <f aca="false">MIN(E68,F67)</f>
        <v>-179744.866666667</v>
      </c>
      <c r="G68" s="65" t="n">
        <f aca="false">MIN(F68,G67)</f>
        <v>-180533.555555556</v>
      </c>
      <c r="H68" s="65" t="n">
        <f aca="false">MIN(G68,H67)</f>
        <v>-180533.555555556</v>
      </c>
      <c r="I68" s="65" t="n">
        <f aca="false">MIN(H68,I67)</f>
        <v>-180533.555555556</v>
      </c>
      <c r="J68" s="65" t="n">
        <f aca="false">MIN(I68,J67)</f>
        <v>-180533.555555556</v>
      </c>
      <c r="K68" s="65" t="n">
        <f aca="false">MIN(J68,K67)</f>
        <v>-180533.555555556</v>
      </c>
      <c r="L68" s="65" t="n">
        <f aca="false">MIN(K68,L67)</f>
        <v>-180533.555555556</v>
      </c>
      <c r="M68" s="65" t="n">
        <f aca="false">MIN(L68,M67)</f>
        <v>-180533.555555556</v>
      </c>
      <c r="N68" s="65" t="n">
        <f aca="false">MIN(M68,N67)</f>
        <v>-180533.555555556</v>
      </c>
      <c r="O68" s="65" t="n">
        <f aca="false">MIN(N68,O67)</f>
        <v>-180533.555555556</v>
      </c>
      <c r="P68" s="65" t="n">
        <f aca="false">MIN(O68,P67)</f>
        <v>-180533.555555556</v>
      </c>
      <c r="Q68" s="65" t="n">
        <f aca="false">MIN(P68,Q67)</f>
        <v>-180533.555555556</v>
      </c>
      <c r="R68" s="65" t="n">
        <f aca="false">MIN(Q68,R67)</f>
        <v>-180533.555555556</v>
      </c>
      <c r="S68" s="65" t="n">
        <f aca="false">MIN(R68,S67)</f>
        <v>-180533.555555556</v>
      </c>
      <c r="T68" s="65" t="n">
        <f aca="false">MIN(S68,T67)</f>
        <v>-180533.555555556</v>
      </c>
      <c r="U68" s="65" t="n">
        <f aca="false">MIN(T68,U67)</f>
        <v>-180533.555555556</v>
      </c>
      <c r="V68" s="65" t="n">
        <f aca="false">MIN(U68,V67)</f>
        <v>-180533.555555556</v>
      </c>
      <c r="W68" s="65" t="n">
        <f aca="false">MIN(V68,W67)</f>
        <v>-180533.555555556</v>
      </c>
      <c r="X68" s="65" t="n">
        <f aca="false">MIN(W68,X67)</f>
        <v>-180533.555555556</v>
      </c>
      <c r="Y68" s="65" t="n">
        <f aca="false">MIN(X68,Y67)</f>
        <v>-180533.555555556</v>
      </c>
      <c r="Z68" s="65" t="n">
        <f aca="false">MIN(Y68,Z67)</f>
        <v>-180533.555555556</v>
      </c>
      <c r="AA68" s="65" t="n">
        <f aca="false">MIN(Z68,AA67)</f>
        <v>-180533.555555556</v>
      </c>
      <c r="AB68" s="65" t="n">
        <f aca="false">MIN(AA68,AB67)</f>
        <v>-180533.555555556</v>
      </c>
      <c r="AC68" s="65" t="n">
        <f aca="false">MIN(AB68,AC67)</f>
        <v>-180533.555555556</v>
      </c>
      <c r="AD68" s="65" t="n">
        <f aca="false">MIN(AC68,AD67)</f>
        <v>-180533.555555556</v>
      </c>
      <c r="AE68" s="65" t="n">
        <f aca="false">MIN(AD68,AE67)</f>
        <v>-180533.555555556</v>
      </c>
      <c r="AF68" s="65" t="n">
        <f aca="false">MIN(AE68,AF67)</f>
        <v>-180533.555555556</v>
      </c>
      <c r="AG68" s="65" t="n">
        <f aca="false">MIN(AF68,AG67)</f>
        <v>-180533.555555556</v>
      </c>
      <c r="AH68" s="65" t="n">
        <f aca="false">MIN(AG68,AH67)</f>
        <v>-180533.555555556</v>
      </c>
      <c r="AI68" s="65" t="n">
        <f aca="false">MIN(AH68,AI67)</f>
        <v>-180533.555555556</v>
      </c>
      <c r="AJ68" s="65" t="n">
        <f aca="false">MIN(AI68,AJ67)</f>
        <v>-180533.555555556</v>
      </c>
      <c r="AK68" s="65" t="n">
        <f aca="false">MIN(AJ68,AK67)</f>
        <v>-180533.555555556</v>
      </c>
      <c r="AL68" s="65" t="n">
        <f aca="false">MIN(AK68,AL67)</f>
        <v>-180533.555555556</v>
      </c>
      <c r="AM68" s="65" t="n">
        <f aca="false">MIN(AL68,AM67)</f>
        <v>-180533.555555556</v>
      </c>
      <c r="AN68" s="65" t="n">
        <f aca="false">MIN(AM68,AN67)</f>
        <v>-180533.555555556</v>
      </c>
      <c r="AO68" s="65" t="n">
        <f aca="false">MIN(AN68,AO67)</f>
        <v>-180533.555555556</v>
      </c>
      <c r="AP68" s="65" t="n">
        <f aca="false">MIN(AO68,AP67)</f>
        <v>-180533.555555556</v>
      </c>
      <c r="AQ68" s="65" t="n">
        <f aca="false">MIN(AP68,AQ67)</f>
        <v>-180533.555555556</v>
      </c>
      <c r="AR68" s="65" t="n">
        <f aca="false">MIN(AQ68,AR67)</f>
        <v>-180533.555555556</v>
      </c>
      <c r="AS68" s="65" t="n">
        <f aca="false">MIN(AR68,AS67)</f>
        <v>-180533.555555556</v>
      </c>
      <c r="AT68" s="65" t="n">
        <f aca="false">MIN(AS68,AT67)</f>
        <v>-180533.555555556</v>
      </c>
      <c r="AU68" s="65" t="n">
        <f aca="false">MIN(AT68,AU67)</f>
        <v>-180533.555555556</v>
      </c>
      <c r="AV68" s="65" t="n">
        <f aca="false">MIN(AU68,AV67)</f>
        <v>-180533.555555556</v>
      </c>
      <c r="AW68" s="65" t="n">
        <f aca="false">MIN(AV68,AW67)</f>
        <v>-180533.555555556</v>
      </c>
      <c r="AX68" s="65" t="n">
        <f aca="false">MIN(AW68,AX67)</f>
        <v>-180533.555555556</v>
      </c>
      <c r="AY68" s="65" t="n">
        <f aca="false">MIN(AX68,AY67)</f>
        <v>-180533.555555556</v>
      </c>
      <c r="AZ68" s="65" t="n">
        <f aca="false">MIN(AY68,AZ67)</f>
        <v>-180533.555555556</v>
      </c>
      <c r="BA68" s="65" t="n">
        <f aca="false">MIN(AZ68,BA67)</f>
        <v>-180533.555555556</v>
      </c>
      <c r="BB68" s="65" t="n">
        <f aca="false">MIN(BA68,BB67)</f>
        <v>-180533.555555556</v>
      </c>
      <c r="BC68" s="65" t="n">
        <f aca="false">MIN(BB68,BC67)</f>
        <v>-180533.555555556</v>
      </c>
      <c r="BD68" s="65" t="n">
        <f aca="false">MIN(BC68,BD67)</f>
        <v>-180533.555555556</v>
      </c>
      <c r="BE68" s="65" t="n">
        <f aca="false">MIN(BD68,BE67)</f>
        <v>-180533.555555556</v>
      </c>
      <c r="BF68" s="65" t="n">
        <f aca="false">MIN(BE68,BF67)</f>
        <v>-180533.555555556</v>
      </c>
      <c r="BG68" s="65" t="n">
        <f aca="false">MIN(BF68,BG67)</f>
        <v>-180533.555555556</v>
      </c>
      <c r="BH68" s="65" t="n">
        <f aca="false">MIN(BG68,BH67)</f>
        <v>-180533.555555556</v>
      </c>
      <c r="BI68" s="65" t="n">
        <f aca="false">MIN(BH68,BI67)</f>
        <v>-180533.555555556</v>
      </c>
      <c r="BJ68" s="65" t="n">
        <f aca="false">MIN(BI68,BJ67)</f>
        <v>-180533.555555556</v>
      </c>
    </row>
    <row r="69" customFormat="false" ht="15" hidden="false" customHeight="false" outlineLevel="0" collapsed="false">
      <c r="A69" s="114" t="s">
        <v>383</v>
      </c>
      <c r="C69" s="113" t="n">
        <f aca="false">IF(AND(C67&gt;=0,C68&lt;0),1,0)</f>
        <v>0</v>
      </c>
      <c r="D69" s="113" t="n">
        <f aca="false">IF(AND(D67&gt;=0,D68&lt;0),1,0)</f>
        <v>0</v>
      </c>
      <c r="E69" s="113" t="n">
        <f aca="false">IF(AND(E67&gt;=0,E68&lt;0),1,0)</f>
        <v>0</v>
      </c>
      <c r="F69" s="113" t="n">
        <f aca="false">IF(AND(F67&gt;=0,F68&lt;0),1,0)</f>
        <v>0</v>
      </c>
      <c r="G69" s="113" t="n">
        <f aca="false">IF(AND(G67&gt;=0,G68&lt;0),1,0)</f>
        <v>0</v>
      </c>
      <c r="H69" s="113" t="n">
        <f aca="false">IF(AND(H67&gt;=0,H68&lt;0),1,0)</f>
        <v>0</v>
      </c>
      <c r="I69" s="113" t="n">
        <f aca="false">IF(AND(I67&gt;=0,I68&lt;0),1,0)</f>
        <v>0</v>
      </c>
      <c r="J69" s="113" t="n">
        <f aca="false">IF(AND(J67&gt;=0,J68&lt;0),1,0)</f>
        <v>0</v>
      </c>
      <c r="K69" s="113" t="n">
        <f aca="false">IF(AND(K67&gt;=0,K68&lt;0),1,0)</f>
        <v>0</v>
      </c>
      <c r="L69" s="113" t="n">
        <f aca="false">IF(AND(L67&gt;=0,L68&lt;0),1,0)</f>
        <v>0</v>
      </c>
      <c r="M69" s="113" t="n">
        <f aca="false">IF(AND(M67&gt;=0,M68&lt;0),1,0)</f>
        <v>0</v>
      </c>
      <c r="N69" s="113" t="n">
        <f aca="false">IF(AND(N67&gt;=0,N68&lt;0),1,0)</f>
        <v>0</v>
      </c>
      <c r="O69" s="113" t="n">
        <f aca="false">IF(AND(O67&gt;=0,O68&lt;0),1,0)</f>
        <v>0</v>
      </c>
      <c r="P69" s="113" t="n">
        <f aca="false">IF(AND(P67&gt;=0,P68&lt;0),1,0)</f>
        <v>0</v>
      </c>
      <c r="Q69" s="113" t="n">
        <f aca="false">IF(AND(Q67&gt;=0,Q68&lt;0),1,0)</f>
        <v>0</v>
      </c>
      <c r="R69" s="113" t="n">
        <f aca="false">IF(AND(R67&gt;=0,R68&lt;0),1,0)</f>
        <v>0</v>
      </c>
      <c r="S69" s="113" t="n">
        <f aca="false">IF(AND(S67&gt;=0,S68&lt;0),1,0)</f>
        <v>0</v>
      </c>
      <c r="T69" s="113" t="n">
        <f aca="false">IF(AND(T67&gt;=0,T68&lt;0),1,0)</f>
        <v>0</v>
      </c>
      <c r="U69" s="113" t="n">
        <f aca="false">IF(AND(U67&gt;=0,U68&lt;0),1,0)</f>
        <v>0</v>
      </c>
      <c r="V69" s="113" t="n">
        <f aca="false">IF(AND(V67&gt;=0,V68&lt;0),1,0)</f>
        <v>0</v>
      </c>
      <c r="W69" s="113" t="n">
        <f aca="false">IF(AND(W67&gt;=0,W68&lt;0),1,0)</f>
        <v>0</v>
      </c>
      <c r="X69" s="113" t="n">
        <f aca="false">IF(AND(X67&gt;=0,X68&lt;0),1,0)</f>
        <v>0</v>
      </c>
      <c r="Y69" s="113" t="n">
        <f aca="false">IF(AND(Y67&gt;=0,Y68&lt;0),1,0)</f>
        <v>0</v>
      </c>
      <c r="Z69" s="113" t="n">
        <f aca="false">IF(AND(Z67&gt;=0,Z68&lt;0),1,0)</f>
        <v>0</v>
      </c>
      <c r="AA69" s="113" t="n">
        <f aca="false">IF(AND(AA67&gt;=0,AA68&lt;0),1,0)</f>
        <v>0</v>
      </c>
      <c r="AB69" s="113" t="n">
        <f aca="false">IF(AND(AB67&gt;=0,AB68&lt;0),1,0)</f>
        <v>0</v>
      </c>
      <c r="AC69" s="113" t="n">
        <f aca="false">IF(AND(AC67&gt;=0,AC68&lt;0),1,0)</f>
        <v>0</v>
      </c>
      <c r="AD69" s="113" t="n">
        <f aca="false">IF(AND(AD67&gt;=0,AD68&lt;0),1,0)</f>
        <v>0</v>
      </c>
      <c r="AE69" s="113" t="n">
        <f aca="false">IF(AND(AE67&gt;=0,AE68&lt;0),1,0)</f>
        <v>0</v>
      </c>
      <c r="AF69" s="113" t="n">
        <f aca="false">IF(AND(AF67&gt;=0,AF68&lt;0),1,0)</f>
        <v>0</v>
      </c>
      <c r="AG69" s="113" t="n">
        <f aca="false">IF(AND(AG67&gt;=0,AG68&lt;0),1,0)</f>
        <v>0</v>
      </c>
      <c r="AH69" s="113" t="n">
        <f aca="false">IF(AND(AH67&gt;=0,AH68&lt;0),1,0)</f>
        <v>0</v>
      </c>
      <c r="AI69" s="113" t="n">
        <f aca="false">IF(AND(AI67&gt;=0,AI68&lt;0),1,0)</f>
        <v>0</v>
      </c>
      <c r="AJ69" s="113" t="n">
        <f aca="false">IF(AND(AJ67&gt;=0,AJ68&lt;0),1,0)</f>
        <v>0</v>
      </c>
      <c r="AK69" s="113" t="n">
        <f aca="false">IF(AND(AK67&gt;=0,AK68&lt;0),1,0)</f>
        <v>0</v>
      </c>
      <c r="AL69" s="113" t="n">
        <f aca="false">IF(AND(AL67&gt;=0,AL68&lt;0),1,0)</f>
        <v>0</v>
      </c>
      <c r="AM69" s="113" t="n">
        <f aca="false">IF(AND(AM67&gt;=0,AM68&lt;0),1,0)</f>
        <v>0</v>
      </c>
      <c r="AN69" s="113" t="n">
        <f aca="false">IF(AND(AN67&gt;=0,AN68&lt;0),1,0)</f>
        <v>0</v>
      </c>
      <c r="AO69" s="113" t="n">
        <f aca="false">IF(AND(AO67&gt;=0,AO68&lt;0),1,0)</f>
        <v>0</v>
      </c>
      <c r="AP69" s="113" t="n">
        <f aca="false">IF(AND(AP67&gt;=0,AP68&lt;0),1,0)</f>
        <v>0</v>
      </c>
      <c r="AQ69" s="113" t="n">
        <f aca="false">IF(AND(AQ67&gt;=0,AQ68&lt;0),1,0)</f>
        <v>0</v>
      </c>
      <c r="AR69" s="113" t="n">
        <f aca="false">IF(AND(AR67&gt;=0,AR68&lt;0),1,0)</f>
        <v>0</v>
      </c>
      <c r="AS69" s="113" t="n">
        <f aca="false">IF(AND(AS67&gt;=0,AS68&lt;0),1,0)</f>
        <v>0</v>
      </c>
      <c r="AT69" s="113" t="n">
        <f aca="false">IF(AND(AT67&gt;=0,AT68&lt;0),1,0)</f>
        <v>0</v>
      </c>
      <c r="AU69" s="113" t="n">
        <f aca="false">IF(AND(AU67&gt;=0,AU68&lt;0),1,0)</f>
        <v>1</v>
      </c>
      <c r="AV69" s="113" t="n">
        <f aca="false">IF(AND(AV67&gt;=0,AV68&lt;0),1,0)</f>
        <v>1</v>
      </c>
      <c r="AW69" s="113" t="n">
        <f aca="false">IF(AND(AW67&gt;=0,AW68&lt;0),1,0)</f>
        <v>1</v>
      </c>
      <c r="AX69" s="113" t="n">
        <f aca="false">IF(AND(AX67&gt;=0,AX68&lt;0),1,0)</f>
        <v>1</v>
      </c>
      <c r="AY69" s="113" t="n">
        <f aca="false">IF(AND(AY67&gt;=0,AY68&lt;0),1,0)</f>
        <v>1</v>
      </c>
      <c r="AZ69" s="113" t="n">
        <f aca="false">IF(AND(AZ67&gt;=0,AZ68&lt;0),1,0)</f>
        <v>1</v>
      </c>
      <c r="BA69" s="113" t="n">
        <f aca="false">IF(AND(BA67&gt;=0,BA68&lt;0),1,0)</f>
        <v>1</v>
      </c>
      <c r="BB69" s="113" t="n">
        <f aca="false">IF(AND(BB67&gt;=0,BB68&lt;0),1,0)</f>
        <v>1</v>
      </c>
      <c r="BC69" s="113" t="n">
        <f aca="false">IF(AND(BC67&gt;=0,BC68&lt;0),1,0)</f>
        <v>1</v>
      </c>
      <c r="BD69" s="113" t="n">
        <f aca="false">IF(AND(BD67&gt;=0,BD68&lt;0),1,0)</f>
        <v>1</v>
      </c>
      <c r="BE69" s="113" t="n">
        <f aca="false">IF(AND(BE67&gt;=0,BE68&lt;0),1,0)</f>
        <v>1</v>
      </c>
      <c r="BF69" s="113" t="n">
        <f aca="false">IF(AND(BF67&gt;=0,BF68&lt;0),1,0)</f>
        <v>1</v>
      </c>
      <c r="BG69" s="113" t="n">
        <f aca="false">IF(AND(BG67&gt;=0,BG68&lt;0),1,0)</f>
        <v>1</v>
      </c>
      <c r="BH69" s="113" t="n">
        <f aca="false">IF(AND(BH67&gt;=0,BH68&lt;0),1,0)</f>
        <v>1</v>
      </c>
      <c r="BI69" s="113" t="n">
        <f aca="false">IF(AND(BI67&gt;=0,BI68&lt;0),1,0)</f>
        <v>1</v>
      </c>
      <c r="BJ69" s="113" t="n">
        <f aca="false">IF(AND(BJ67&gt;=0,BJ68&lt;0),1,0)</f>
        <v>1</v>
      </c>
    </row>
    <row r="70" customFormat="false" ht="15" hidden="false" customHeight="false" outlineLevel="0" collapsed="false">
      <c r="A70" s="6" t="s">
        <v>384</v>
      </c>
      <c r="C70" s="65" t="n">
        <f aca="false">C55-C26*(1-Inputs!$E$41)+C56</f>
        <v>-166920.133333333</v>
      </c>
      <c r="D70" s="65" t="n">
        <f aca="false">D55-D26*(1-Inputs!$E$41)+D56</f>
        <v>-5389.53333333333</v>
      </c>
      <c r="E70" s="65" t="n">
        <f aca="false">E55-E26*(1-Inputs!$E$41)+E56</f>
        <v>-3723.66666666667</v>
      </c>
      <c r="F70" s="65" t="n">
        <f aca="false">F55-F26*(1-Inputs!$E$41)+F56</f>
        <v>-2057.8</v>
      </c>
      <c r="G70" s="65" t="n">
        <f aca="false">G55-G26*(1-Inputs!$E$41)+G56</f>
        <v>-391.933333333339</v>
      </c>
      <c r="H70" s="65" t="n">
        <f aca="false">H55-H26*(1-Inputs!$E$41)+H56</f>
        <v>1273.93333333333</v>
      </c>
      <c r="I70" s="65" t="n">
        <f aca="false">I55-I26*(1-Inputs!$E$41)+I56</f>
        <v>2939.8</v>
      </c>
      <c r="J70" s="65" t="n">
        <f aca="false">J55-J26*(1-Inputs!$E$41)+J56</f>
        <v>2914.8</v>
      </c>
      <c r="K70" s="65" t="n">
        <f aca="false">K55-K26*(1-Inputs!$E$41)+K56</f>
        <v>2916.66666666666</v>
      </c>
      <c r="L70" s="65" t="n">
        <f aca="false">L55-L26*(1-Inputs!$E$41)+L56</f>
        <v>2918.53333333333</v>
      </c>
      <c r="M70" s="65" t="n">
        <f aca="false">M55-M26*(1-Inputs!$E$41)+M56</f>
        <v>2920.4</v>
      </c>
      <c r="N70" s="65" t="n">
        <f aca="false">N55-N26*(1-Inputs!$E$41)+N56</f>
        <v>2922.26666666666</v>
      </c>
      <c r="O70" s="65" t="n">
        <f aca="false">O55-O26*(1-Inputs!$E$41)+O56</f>
        <v>4473.19205333334</v>
      </c>
      <c r="P70" s="65" t="n">
        <f aca="false">P55-P26*(1-Inputs!$E$41)+P56</f>
        <v>4445.4624</v>
      </c>
      <c r="Q70" s="65" t="n">
        <f aca="false">Q55-Q26*(1-Inputs!$E$41)+Q56</f>
        <v>4447.32906666667</v>
      </c>
      <c r="R70" s="65" t="n">
        <f aca="false">R55-R26*(1-Inputs!$E$41)+R56</f>
        <v>4449.19573333334</v>
      </c>
      <c r="S70" s="65" t="n">
        <f aca="false">S55-S26*(1-Inputs!$E$41)+S56</f>
        <v>4451.0624</v>
      </c>
      <c r="T70" s="65" t="n">
        <f aca="false">T55-T26*(1-Inputs!$E$41)+T56</f>
        <v>4452.92906666667</v>
      </c>
      <c r="U70" s="65" t="n">
        <f aca="false">U55-U26*(1-Inputs!$E$41)+U56</f>
        <v>4454.79573333334</v>
      </c>
      <c r="V70" s="65" t="n">
        <f aca="false">V55-V26*(1-Inputs!$E$41)+V56</f>
        <v>4456.6624</v>
      </c>
      <c r="W70" s="65" t="n">
        <f aca="false">W55-W26*(1-Inputs!$E$41)+W56</f>
        <v>4458.52906666667</v>
      </c>
      <c r="X70" s="65" t="n">
        <f aca="false">X55-X26*(1-Inputs!$E$41)+X56</f>
        <v>4460.39573333334</v>
      </c>
      <c r="Y70" s="65" t="n">
        <f aca="false">Y55-Y26*(1-Inputs!$E$41)+Y56</f>
        <v>4462.2624</v>
      </c>
      <c r="Z70" s="65" t="n">
        <f aca="false">Z55-Z26*(1-Inputs!$E$41)+Z56</f>
        <v>4464.12906666667</v>
      </c>
      <c r="AA70" s="65" t="n">
        <f aca="false">AA55-AA26*(1-Inputs!$E$41)+AA56</f>
        <v>5449.69697088214</v>
      </c>
      <c r="AB70" s="65" t="n">
        <f aca="false">AB55-AB26*(1-Inputs!$E$41)+AB56</f>
        <v>5307.84229003947</v>
      </c>
      <c r="AC70" s="65" t="n">
        <f aca="false">AC55-AC26*(1-Inputs!$E$41)+AC56</f>
        <v>5307.84229003947</v>
      </c>
      <c r="AD70" s="65" t="n">
        <f aca="false">AD55-AD26*(1-Inputs!$E$41)+AD56</f>
        <v>5307.84229003947</v>
      </c>
      <c r="AE70" s="65" t="n">
        <f aca="false">AE55-AE26*(1-Inputs!$E$41)+AE56</f>
        <v>5307.84229003947</v>
      </c>
      <c r="AF70" s="65" t="n">
        <f aca="false">AF55-AF26*(1-Inputs!$E$41)+AF56</f>
        <v>5307.84229003947</v>
      </c>
      <c r="AG70" s="65" t="n">
        <f aca="false">AG55-AG26*(1-Inputs!$E$41)+AG56</f>
        <v>5307.84229003947</v>
      </c>
      <c r="AH70" s="65" t="n">
        <f aca="false">AH55-AH26*(1-Inputs!$E$41)+AH56</f>
        <v>5307.84229003947</v>
      </c>
      <c r="AI70" s="65" t="n">
        <f aca="false">AI55-AI26*(1-Inputs!$E$41)+AI56</f>
        <v>5307.84229003947</v>
      </c>
      <c r="AJ70" s="65" t="n">
        <f aca="false">AJ55-AJ26*(1-Inputs!$E$41)+AJ56</f>
        <v>5307.84229003947</v>
      </c>
      <c r="AK70" s="65" t="n">
        <f aca="false">AK55-AK26*(1-Inputs!$E$41)+AK56</f>
        <v>5307.84229003947</v>
      </c>
      <c r="AL70" s="65" t="n">
        <f aca="false">AL55-AL26*(1-Inputs!$E$41)+AL56</f>
        <v>5307.84229003947</v>
      </c>
      <c r="AM70" s="65" t="n">
        <f aca="false">AM55-AM26*(1-Inputs!$E$41)+AM56</f>
        <v>6806.48794768485</v>
      </c>
      <c r="AN70" s="65" t="n">
        <f aca="false">AN55-AN26*(1-Inputs!$E$41)+AN56</f>
        <v>6771.2083280411</v>
      </c>
      <c r="AO70" s="65" t="n">
        <f aca="false">AO55-AO26*(1-Inputs!$E$41)+AO56</f>
        <v>6771.2083280411</v>
      </c>
      <c r="AP70" s="65" t="n">
        <f aca="false">AP55-AP26*(1-Inputs!$E$41)+AP56</f>
        <v>6771.2083280411</v>
      </c>
      <c r="AQ70" s="65" t="n">
        <f aca="false">AQ55-AQ26*(1-Inputs!$E$41)+AQ56</f>
        <v>6771.20832804109</v>
      </c>
      <c r="AR70" s="65" t="n">
        <f aca="false">AR55-AR26*(1-Inputs!$E$41)+AR56</f>
        <v>6771.2083280411</v>
      </c>
      <c r="AS70" s="65" t="n">
        <f aca="false">AS55-AS26*(1-Inputs!$E$41)+AS56</f>
        <v>6771.2083280411</v>
      </c>
      <c r="AT70" s="65" t="n">
        <f aca="false">AT55-AT26*(1-Inputs!$E$41)+AT56</f>
        <v>6771.20832804109</v>
      </c>
      <c r="AU70" s="65" t="n">
        <f aca="false">AU55-AU26*(1-Inputs!$E$41)+AU56</f>
        <v>6771.20832804109</v>
      </c>
      <c r="AV70" s="65" t="n">
        <f aca="false">AV55-AV26*(1-Inputs!$E$41)+AV56</f>
        <v>6771.20832804109</v>
      </c>
      <c r="AW70" s="65" t="n">
        <f aca="false">AW55-AW26*(1-Inputs!$E$41)+AW56</f>
        <v>6771.2083280411</v>
      </c>
      <c r="AX70" s="65" t="n">
        <f aca="false">AX55-AX26*(1-Inputs!$E$41)+AX56</f>
        <v>6771.2083280411</v>
      </c>
      <c r="AY70" s="65" t="n">
        <f aca="false">AY55-AY26*(1-Inputs!$E$41)+AY56</f>
        <v>8423.6726505316</v>
      </c>
      <c r="AZ70" s="65" t="n">
        <f aca="false">AZ55-AZ26*(1-Inputs!$E$41)+AZ56</f>
        <v>8385.15436180454</v>
      </c>
      <c r="BA70" s="65" t="n">
        <f aca="false">BA55-BA26*(1-Inputs!$E$41)+BA56</f>
        <v>8385.15436180455</v>
      </c>
      <c r="BB70" s="65" t="n">
        <f aca="false">BB55-BB26*(1-Inputs!$E$41)+BB56</f>
        <v>8385.15436180455</v>
      </c>
      <c r="BC70" s="65" t="n">
        <f aca="false">BC55-BC26*(1-Inputs!$E$41)+BC56</f>
        <v>8385.15436180454</v>
      </c>
      <c r="BD70" s="65" t="n">
        <f aca="false">BD55-BD26*(1-Inputs!$E$41)+BD56</f>
        <v>8385.15436180455</v>
      </c>
      <c r="BE70" s="65" t="n">
        <f aca="false">BE55-BE26*(1-Inputs!$E$41)+BE56</f>
        <v>8385.15436180454</v>
      </c>
      <c r="BF70" s="65" t="n">
        <f aca="false">BF55-BF26*(1-Inputs!$E$41)+BF56</f>
        <v>8385.15436180455</v>
      </c>
      <c r="BG70" s="65" t="n">
        <f aca="false">BG55-BG26*(1-Inputs!$E$41)+BG56</f>
        <v>8385.15436180455</v>
      </c>
      <c r="BH70" s="65" t="n">
        <f aca="false">BH55-BH26*(1-Inputs!$E$41)+BH56</f>
        <v>8385.15436180455</v>
      </c>
      <c r="BI70" s="65" t="n">
        <f aca="false">BI55-BI26*(1-Inputs!$E$41)+BI56</f>
        <v>8385.15436180455</v>
      </c>
      <c r="BJ70" s="65" t="n">
        <f aca="false">BJ55-BJ26*(1-Inputs!$E$41)+BJ56</f>
        <v>8385.15436180454</v>
      </c>
    </row>
    <row r="72" customFormat="false" ht="15.75" hidden="false" customHeight="true" outlineLevel="0" collapsed="false">
      <c r="A72" s="7" t="s">
        <v>385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95</v>
      </c>
      <c r="C73" s="65" t="n">
        <f aca="false">C57</f>
        <v>140000</v>
      </c>
      <c r="D73" s="65" t="n">
        <f aca="false">C73+D57</f>
        <v>140000</v>
      </c>
      <c r="E73" s="65" t="n">
        <f aca="false">D73+E57</f>
        <v>140000</v>
      </c>
      <c r="F73" s="65" t="n">
        <f aca="false">E73+F57</f>
        <v>140000</v>
      </c>
      <c r="G73" s="65" t="n">
        <f aca="false">F73+G57</f>
        <v>140000</v>
      </c>
      <c r="H73" s="65" t="n">
        <f aca="false">G73+H57</f>
        <v>140000</v>
      </c>
      <c r="I73" s="65" t="n">
        <f aca="false">H73+I57</f>
        <v>140000</v>
      </c>
      <c r="J73" s="65" t="n">
        <f aca="false">I73+J57</f>
        <v>140000</v>
      </c>
      <c r="K73" s="65" t="n">
        <f aca="false">J73+K57</f>
        <v>140000</v>
      </c>
      <c r="L73" s="65" t="n">
        <f aca="false">K73+L57</f>
        <v>140000</v>
      </c>
      <c r="M73" s="65" t="n">
        <f aca="false">L73+M57</f>
        <v>140000</v>
      </c>
      <c r="N73" s="65" t="n">
        <f aca="false">M73+N57</f>
        <v>140000</v>
      </c>
      <c r="O73" s="65" t="n">
        <f aca="false">N73+O57</f>
        <v>140000</v>
      </c>
      <c r="P73" s="65" t="n">
        <f aca="false">O73+P57</f>
        <v>140000</v>
      </c>
      <c r="Q73" s="65" t="n">
        <f aca="false">P73+Q57</f>
        <v>140000</v>
      </c>
      <c r="R73" s="65" t="n">
        <f aca="false">Q73+R57</f>
        <v>140000</v>
      </c>
      <c r="S73" s="65" t="n">
        <f aca="false">R73+S57</f>
        <v>140000</v>
      </c>
      <c r="T73" s="65" t="n">
        <f aca="false">S73+T57</f>
        <v>140000</v>
      </c>
      <c r="U73" s="65" t="n">
        <f aca="false">T73+U57</f>
        <v>140000</v>
      </c>
      <c r="V73" s="65" t="n">
        <f aca="false">U73+V57</f>
        <v>140000</v>
      </c>
      <c r="W73" s="65" t="n">
        <f aca="false">V73+W57</f>
        <v>140000</v>
      </c>
      <c r="X73" s="65" t="n">
        <f aca="false">W73+X57</f>
        <v>140000</v>
      </c>
      <c r="Y73" s="65" t="n">
        <f aca="false">X73+Y57</f>
        <v>140000</v>
      </c>
      <c r="Z73" s="65" t="n">
        <f aca="false">Y73+Z57</f>
        <v>140000</v>
      </c>
      <c r="AA73" s="65" t="n">
        <f aca="false">Z73+AA57</f>
        <v>140000</v>
      </c>
      <c r="AB73" s="65" t="n">
        <f aca="false">AA73+AB57</f>
        <v>140000</v>
      </c>
      <c r="AC73" s="65" t="n">
        <f aca="false">AB73+AC57</f>
        <v>140000</v>
      </c>
      <c r="AD73" s="65" t="n">
        <f aca="false">AC73+AD57</f>
        <v>140000</v>
      </c>
      <c r="AE73" s="65" t="n">
        <f aca="false">AD73+AE57</f>
        <v>140000</v>
      </c>
      <c r="AF73" s="65" t="n">
        <f aca="false">AE73+AF57</f>
        <v>140000</v>
      </c>
      <c r="AG73" s="65" t="n">
        <f aca="false">AF73+AG57</f>
        <v>140000</v>
      </c>
      <c r="AH73" s="65" t="n">
        <f aca="false">AG73+AH57</f>
        <v>140000</v>
      </c>
      <c r="AI73" s="65" t="n">
        <f aca="false">AH73+AI57</f>
        <v>140000</v>
      </c>
      <c r="AJ73" s="65" t="n">
        <f aca="false">AI73+AJ57</f>
        <v>140000</v>
      </c>
      <c r="AK73" s="65" t="n">
        <f aca="false">AJ73+AK57</f>
        <v>140000</v>
      </c>
      <c r="AL73" s="65" t="n">
        <f aca="false">AK73+AL57</f>
        <v>140000</v>
      </c>
      <c r="AM73" s="65" t="n">
        <f aca="false">AL73+AM57</f>
        <v>140000</v>
      </c>
      <c r="AN73" s="65" t="n">
        <f aca="false">AM73+AN57</f>
        <v>140000</v>
      </c>
      <c r="AO73" s="65" t="n">
        <f aca="false">AN73+AO57</f>
        <v>140000</v>
      </c>
      <c r="AP73" s="65" t="n">
        <f aca="false">AO73+AP57</f>
        <v>140000</v>
      </c>
      <c r="AQ73" s="65" t="n">
        <f aca="false">AP73+AQ57</f>
        <v>140000</v>
      </c>
      <c r="AR73" s="65" t="n">
        <f aca="false">AQ73+AR57</f>
        <v>140000</v>
      </c>
      <c r="AS73" s="65" t="n">
        <f aca="false">AR73+AS57</f>
        <v>140000</v>
      </c>
      <c r="AT73" s="65" t="n">
        <f aca="false">AS73+AT57</f>
        <v>140000</v>
      </c>
      <c r="AU73" s="65" t="n">
        <f aca="false">AT73+AU57</f>
        <v>140000</v>
      </c>
      <c r="AV73" s="65" t="n">
        <f aca="false">AU73+AV57</f>
        <v>140000</v>
      </c>
      <c r="AW73" s="65" t="n">
        <f aca="false">AV73+AW57</f>
        <v>140000</v>
      </c>
      <c r="AX73" s="65" t="n">
        <f aca="false">AW73+AX57</f>
        <v>140000</v>
      </c>
      <c r="AY73" s="65" t="n">
        <f aca="false">AX73+AY57</f>
        <v>140000</v>
      </c>
      <c r="AZ73" s="65" t="n">
        <f aca="false">AY73+AZ57</f>
        <v>140000</v>
      </c>
      <c r="BA73" s="65" t="n">
        <f aca="false">AZ73+BA57</f>
        <v>140000</v>
      </c>
      <c r="BB73" s="65" t="n">
        <f aca="false">BA73+BB57</f>
        <v>140000</v>
      </c>
      <c r="BC73" s="65" t="n">
        <f aca="false">BB73+BC57</f>
        <v>140000</v>
      </c>
      <c r="BD73" s="65" t="n">
        <f aca="false">BC73+BD57</f>
        <v>140000</v>
      </c>
      <c r="BE73" s="65" t="n">
        <f aca="false">BD73+BE57</f>
        <v>140000</v>
      </c>
      <c r="BF73" s="65" t="n">
        <f aca="false">BE73+BF57</f>
        <v>140000</v>
      </c>
      <c r="BG73" s="65" t="n">
        <f aca="false">BF73+BG57</f>
        <v>140000</v>
      </c>
      <c r="BH73" s="65" t="n">
        <f aca="false">BG73+BH57</f>
        <v>140000</v>
      </c>
      <c r="BI73" s="65" t="n">
        <f aca="false">BH73+BI57</f>
        <v>140000</v>
      </c>
      <c r="BJ73" s="65" t="n">
        <f aca="false">BI73+BJ57</f>
        <v>140000</v>
      </c>
    </row>
    <row r="74" customFormat="false" ht="15" hidden="false" customHeight="false" outlineLevel="0" collapsed="false">
      <c r="A74" s="6" t="s">
        <v>96</v>
      </c>
      <c r="C74" s="65" t="n">
        <f aca="false">C31</f>
        <v>-9407.42857142857</v>
      </c>
      <c r="D74" s="65" t="n">
        <f aca="false">C74+D31</f>
        <v>-17146.4126984127</v>
      </c>
      <c r="E74" s="65" t="n">
        <f aca="false">D74+E31</f>
        <v>-23212.5079365079</v>
      </c>
      <c r="F74" s="65" t="n">
        <f aca="false">E74+F31</f>
        <v>-27605.7142857143</v>
      </c>
      <c r="G74" s="65" t="n">
        <f aca="false">F74+G31</f>
        <v>-30326.0317460318</v>
      </c>
      <c r="H74" s="65" t="n">
        <f aca="false">G74+H31</f>
        <v>-31373.4603174603</v>
      </c>
      <c r="I74" s="65" t="n">
        <f aca="false">H74+I31</f>
        <v>-30748</v>
      </c>
      <c r="J74" s="65" t="n">
        <f aca="false">I74+J31</f>
        <v>-30113.6507936508</v>
      </c>
      <c r="K74" s="65" t="n">
        <f aca="false">J74+K31</f>
        <v>-29470.4126984127</v>
      </c>
      <c r="L74" s="65" t="n">
        <f aca="false">K74+L31</f>
        <v>-28818.2857142857</v>
      </c>
      <c r="M74" s="65" t="n">
        <f aca="false">L74+M31</f>
        <v>-28157.2698412699</v>
      </c>
      <c r="N74" s="65" t="n">
        <f aca="false">M74+N31</f>
        <v>-27487.3650793651</v>
      </c>
      <c r="O74" s="65" t="n">
        <f aca="false">N74+O31</f>
        <v>-25289.1090285715</v>
      </c>
      <c r="P74" s="65" t="n">
        <f aca="false">O74+P31</f>
        <v>-23081.9640888889</v>
      </c>
      <c r="Q74" s="65" t="n">
        <f aca="false">P74+Q31</f>
        <v>-20865.9302603175</v>
      </c>
      <c r="R74" s="65" t="n">
        <f aca="false">Q74+R31</f>
        <v>-18641.0075428572</v>
      </c>
      <c r="S74" s="65" t="n">
        <f aca="false">R74+S31</f>
        <v>-16407.195936508</v>
      </c>
      <c r="T74" s="65" t="n">
        <f aca="false">S74+T31</f>
        <v>-14164.4954412699</v>
      </c>
      <c r="U74" s="65" t="n">
        <f aca="false">T74+U31</f>
        <v>-11912.9060571429</v>
      </c>
      <c r="V74" s="65" t="n">
        <f aca="false">U74+V31</f>
        <v>-9652.427784127</v>
      </c>
      <c r="W74" s="65" t="n">
        <f aca="false">V74+W31</f>
        <v>-7383.06062222224</v>
      </c>
      <c r="X74" s="65" t="n">
        <f aca="false">W74+X31</f>
        <v>-5104.80457142859</v>
      </c>
      <c r="Y74" s="65" t="n">
        <f aca="false">X74+Y31</f>
        <v>-2817.65963174605</v>
      </c>
      <c r="Z74" s="65" t="n">
        <f aca="false">Y74+Z31</f>
        <v>-521.625803174616</v>
      </c>
      <c r="AA74" s="65" t="n">
        <f aca="false">Z74+AA31</f>
        <v>2734.68488965851</v>
      </c>
      <c r="AB74" s="65" t="n">
        <f aca="false">AA74+AB31</f>
        <v>5888.47638604718</v>
      </c>
      <c r="AC74" s="65" t="n">
        <f aca="false">AB74+AC31</f>
        <v>9049.29010465808</v>
      </c>
      <c r="AD74" s="65" t="n">
        <f aca="false">AC74+AD31</f>
        <v>12217.1260454912</v>
      </c>
      <c r="AE74" s="65" t="n">
        <f aca="false">AD74+AE31</f>
        <v>15391.9842085465</v>
      </c>
      <c r="AF74" s="65" t="n">
        <f aca="false">AE74+AF31</f>
        <v>18573.8645938241</v>
      </c>
      <c r="AG74" s="65" t="n">
        <f aca="false">AF74+AG31</f>
        <v>21762.7672013239</v>
      </c>
      <c r="AH74" s="65" t="n">
        <f aca="false">AG74+AH31</f>
        <v>24958.6920310459</v>
      </c>
      <c r="AI74" s="65" t="n">
        <f aca="false">AH74+AI31</f>
        <v>28161.6390829901</v>
      </c>
      <c r="AJ74" s="65" t="n">
        <f aca="false">AI74+AJ31</f>
        <v>31371.6083571566</v>
      </c>
      <c r="AK74" s="65" t="n">
        <f aca="false">AJ74+AK31</f>
        <v>34588.5998535453</v>
      </c>
      <c r="AL74" s="65" t="n">
        <f aca="false">AK74+AL31</f>
        <v>37812.6135721562</v>
      </c>
      <c r="AM74" s="65" t="n">
        <f aca="false">AL74+AM31</f>
        <v>42507.0155509909</v>
      </c>
      <c r="AN74" s="65" t="n">
        <f aca="false">AM74+AN31</f>
        <v>47208.4397520479</v>
      </c>
      <c r="AO74" s="65" t="n">
        <f aca="false">AN74+AO31</f>
        <v>51916.8861753271</v>
      </c>
      <c r="AP74" s="65" t="n">
        <f aca="false">AO74+AP31</f>
        <v>56632.3548208285</v>
      </c>
      <c r="AQ74" s="65" t="n">
        <f aca="false">AP74+AQ31</f>
        <v>61354.8456885521</v>
      </c>
      <c r="AR74" s="65" t="n">
        <f aca="false">AQ74+AR31</f>
        <v>66084.358778498</v>
      </c>
      <c r="AS74" s="65" t="n">
        <f aca="false">AR74+AS31</f>
        <v>70820.8940906661</v>
      </c>
      <c r="AT74" s="65" t="n">
        <f aca="false">AS74+AT31</f>
        <v>75564.4516250564</v>
      </c>
      <c r="AU74" s="65" t="n">
        <f aca="false">AT74+AU31</f>
        <v>80315.0313816689</v>
      </c>
      <c r="AV74" s="65" t="n">
        <f aca="false">AU74+AV31</f>
        <v>85072.6333605037</v>
      </c>
      <c r="AW74" s="65" t="n">
        <f aca="false">AV74+AW31</f>
        <v>89837.2575615606</v>
      </c>
      <c r="AX74" s="65" t="n">
        <f aca="false">AW74+AX31</f>
        <v>94608.9039848398</v>
      </c>
      <c r="AY74" s="65" t="n">
        <f aca="false">AX74+AY31</f>
        <v>101001.518664105</v>
      </c>
      <c r="AZ74" s="65" t="n">
        <f aca="false">AY74+AZ31</f>
        <v>107401.155565592</v>
      </c>
      <c r="BA74" s="65" t="n">
        <f aca="false">AZ74+BA31</f>
        <v>113807.814689301</v>
      </c>
      <c r="BB74" s="65" t="n">
        <f aca="false">BA74+BB31</f>
        <v>120221.496035233</v>
      </c>
      <c r="BC74" s="65" t="n">
        <f aca="false">BB74+BC31</f>
        <v>126642.199603386</v>
      </c>
      <c r="BD74" s="65" t="n">
        <f aca="false">BC74+BD31</f>
        <v>133069.925393762</v>
      </c>
      <c r="BE74" s="65" t="n">
        <f aca="false">BD74+BE31</f>
        <v>139504.673406361</v>
      </c>
      <c r="BF74" s="65" t="n">
        <f aca="false">BE74+BF31</f>
        <v>145946.443641181</v>
      </c>
      <c r="BG74" s="65" t="n">
        <f aca="false">BF74+BG31</f>
        <v>152395.236098224</v>
      </c>
      <c r="BH74" s="65" t="n">
        <f aca="false">BG74+BH31</f>
        <v>158851.050777489</v>
      </c>
      <c r="BI74" s="65" t="n">
        <f aca="false">BH74+BI31</f>
        <v>165313.887678976</v>
      </c>
      <c r="BJ74" s="65" t="n">
        <f aca="false">BI74+BJ31</f>
        <v>171783.746802685</v>
      </c>
    </row>
    <row r="75" customFormat="false" ht="15" hidden="false" customHeight="false" outlineLevel="0" collapsed="false">
      <c r="A75" s="4" t="s">
        <v>91</v>
      </c>
      <c r="C75" s="71" t="n">
        <f aca="false">C61+C47+C48+C38</f>
        <v>212994.971428571</v>
      </c>
      <c r="D75" s="71" t="n">
        <f aca="false">D61+D47+D48+D38</f>
        <v>204323.053968254</v>
      </c>
      <c r="E75" s="71" t="n">
        <f aca="false">E61+E47+E48+E38</f>
        <v>197324.025396825</v>
      </c>
      <c r="F75" s="71" t="n">
        <f aca="false">F61+F47+F48+F38</f>
        <v>191997.885714286</v>
      </c>
      <c r="G75" s="71" t="n">
        <f aca="false">G61+G47+G48+G38</f>
        <v>188344.634920635</v>
      </c>
      <c r="H75" s="71" t="n">
        <f aca="false">H61+H47+H48+H38</f>
        <v>186364.273015873</v>
      </c>
      <c r="I75" s="71" t="n">
        <f aca="false">I61+I47+I48+I38</f>
        <v>186056.8</v>
      </c>
      <c r="J75" s="71" t="n">
        <f aca="false">J61+J47+J48+J38</f>
        <v>185357.815873016</v>
      </c>
      <c r="K75" s="71" t="n">
        <f aca="false">K61+K47+K48+K38</f>
        <v>184667.720634921</v>
      </c>
      <c r="L75" s="71" t="n">
        <f aca="false">L61+L47+L48+L38</f>
        <v>183986.514285714</v>
      </c>
      <c r="M75" s="71" t="n">
        <f aca="false">M61+M47+M48+M38</f>
        <v>183314.196825397</v>
      </c>
      <c r="N75" s="71" t="n">
        <f aca="false">N61+N47+N48+N38</f>
        <v>182650.768253968</v>
      </c>
      <c r="O75" s="71" t="n">
        <f aca="false">O61+O47+O48+O38</f>
        <v>183956.771611429</v>
      </c>
      <c r="P75" s="71" t="n">
        <f aca="false">P61+P47+P48+P38</f>
        <v>184830.583217778</v>
      </c>
      <c r="Q75" s="71" t="n">
        <f aca="false">Q61+Q47+Q48+Q38</f>
        <v>185713.283713016</v>
      </c>
      <c r="R75" s="71" t="n">
        <f aca="false">R61+R47+R48+R38</f>
        <v>186604.873097143</v>
      </c>
      <c r="S75" s="71" t="n">
        <f aca="false">S61+S47+S48+S38</f>
        <v>187505.351370159</v>
      </c>
      <c r="T75" s="71" t="n">
        <f aca="false">T61+T47+T48+T38</f>
        <v>188414.718532063</v>
      </c>
      <c r="U75" s="71" t="n">
        <f aca="false">U61+U47+U48+U38</f>
        <v>189332.974582857</v>
      </c>
      <c r="V75" s="71" t="n">
        <f aca="false">V61+V47+V48+V38</f>
        <v>190260.11952254</v>
      </c>
      <c r="W75" s="71" t="n">
        <f aca="false">W61+W47+W48+W38</f>
        <v>191196.153351111</v>
      </c>
      <c r="X75" s="71" t="n">
        <f aca="false">X61+X47+X48+X38</f>
        <v>192141.076068571</v>
      </c>
      <c r="Y75" s="71" t="n">
        <f aca="false">Y61+Y47+Y48+Y38</f>
        <v>193094.887674921</v>
      </c>
      <c r="Z75" s="71" t="n">
        <f aca="false">Z61+Z47+Z48+Z38</f>
        <v>194057.588170159</v>
      </c>
      <c r="AA75" s="71" t="n">
        <f aca="false">AA61+AA47+AA48+AA38</f>
        <v>196462.13737241</v>
      </c>
      <c r="AB75" s="71" t="n">
        <f aca="false">AB61+AB47+AB48+AB38</f>
        <v>198282.595535466</v>
      </c>
      <c r="AC75" s="71" t="n">
        <f aca="false">AC61+AC47+AC48+AC38</f>
        <v>200110.075920743</v>
      </c>
      <c r="AD75" s="71" t="n">
        <f aca="false">AD61+AD47+AD48+AD38</f>
        <v>201944.578528243</v>
      </c>
      <c r="AE75" s="71" t="n">
        <f aca="false">AE61+AE47+AE48+AE38</f>
        <v>203786.103357965</v>
      </c>
      <c r="AF75" s="71" t="n">
        <f aca="false">AF61+AF47+AF48+AF38</f>
        <v>205634.650409909</v>
      </c>
      <c r="AG75" s="71" t="n">
        <f aca="false">AG61+AG47+AG48+AG38</f>
        <v>207490.219684076</v>
      </c>
      <c r="AH75" s="71" t="n">
        <f aca="false">AH61+AH47+AH48+AH38</f>
        <v>209352.811180465</v>
      </c>
      <c r="AI75" s="71" t="n">
        <f aca="false">AI61+AI47+AI48+AI38</f>
        <v>211222.424899075</v>
      </c>
      <c r="AJ75" s="71" t="n">
        <f aca="false">AJ61+AJ47+AJ48+AJ38</f>
        <v>213099.060839909</v>
      </c>
      <c r="AK75" s="71" t="n">
        <f aca="false">AK61+AK47+AK48+AK38</f>
        <v>214982.719002964</v>
      </c>
      <c r="AL75" s="71" t="n">
        <f aca="false">AL61+AL47+AL48+AL38</f>
        <v>216873.399388241</v>
      </c>
      <c r="AM75" s="71" t="n">
        <f aca="false">AM61+AM47+AM48+AM38</f>
        <v>220760.24817166</v>
      </c>
      <c r="AN75" s="71" t="n">
        <f aca="false">AN61+AN47+AN48+AN38</f>
        <v>224128.339039383</v>
      </c>
      <c r="AO75" s="71" t="n">
        <f aca="false">AO61+AO47+AO48+AO38</f>
        <v>227503.452129329</v>
      </c>
      <c r="AP75" s="71" t="n">
        <f aca="false">AP61+AP47+AP48+AP38</f>
        <v>230885.587441497</v>
      </c>
      <c r="AQ75" s="71" t="n">
        <f aca="false">AQ61+AQ47+AQ48+AQ38</f>
        <v>234274.744975887</v>
      </c>
      <c r="AR75" s="71" t="n">
        <f aca="false">AR61+AR47+AR48+AR38</f>
        <v>237670.9247325</v>
      </c>
      <c r="AS75" s="71" t="n">
        <f aca="false">AS61+AS47+AS48+AS38</f>
        <v>241074.126711335</v>
      </c>
      <c r="AT75" s="71" t="n">
        <f aca="false">AT61+AT47+AT48+AT38</f>
        <v>244484.350912392</v>
      </c>
      <c r="AU75" s="71" t="n">
        <f aca="false">AU61+AU47+AU48+AU38</f>
        <v>247901.597335671</v>
      </c>
      <c r="AV75" s="71" t="n">
        <f aca="false">AV61+AV47+AV48+AV38</f>
        <v>251325.865981172</v>
      </c>
      <c r="AW75" s="71" t="n">
        <f aca="false">AW61+AW47+AW48+AW38</f>
        <v>254757.156848896</v>
      </c>
      <c r="AX75" s="71" t="n">
        <f aca="false">AX61+AX47+AX48+AX38</f>
        <v>258195.469938842</v>
      </c>
      <c r="AY75" s="71" t="n">
        <f aca="false">AY61+AY47+AY48+AY38</f>
        <v>263828.798039351</v>
      </c>
      <c r="AZ75" s="71" t="n">
        <f aca="false">AZ61+AZ47+AZ48+AZ38</f>
        <v>268895.101607504</v>
      </c>
      <c r="BA75" s="71" t="n">
        <f aca="false">BA61+BA47+BA48+BA38</f>
        <v>273968.42739788</v>
      </c>
      <c r="BB75" s="71" t="n">
        <f aca="false">BB61+BB47+BB48+BB38</f>
        <v>279048.775410479</v>
      </c>
      <c r="BC75" s="71" t="n">
        <f aca="false">BC61+BC47+BC48+BC38</f>
        <v>284136.145645299</v>
      </c>
      <c r="BD75" s="71" t="n">
        <f aca="false">BD61+BD47+BD48+BD38</f>
        <v>289230.538102342</v>
      </c>
      <c r="BE75" s="71" t="n">
        <f aca="false">BE61+BE47+BE48+BE38</f>
        <v>294331.952781606</v>
      </c>
      <c r="BF75" s="71" t="n">
        <f aca="false">BF61+BF47+BF48+BF38</f>
        <v>299440.389683094</v>
      </c>
      <c r="BG75" s="71" t="n">
        <f aca="false">BG61+BG47+BG48+BG38</f>
        <v>304555.848806803</v>
      </c>
      <c r="BH75" s="71" t="n">
        <f aca="false">BH61+BH47+BH48+BH38</f>
        <v>309678.330152734</v>
      </c>
      <c r="BI75" s="71" t="n">
        <f aca="false">BI61+BI47+BI48+BI38</f>
        <v>314807.833720888</v>
      </c>
      <c r="BJ75" s="71" t="n">
        <f aca="false">BJ61+BJ47+BJ48+BJ38</f>
        <v>319944.359511264</v>
      </c>
    </row>
    <row r="76" customFormat="false" ht="15" hidden="false" customHeight="false" outlineLevel="0" collapsed="false">
      <c r="A76" s="6" t="s">
        <v>94</v>
      </c>
      <c r="C76" s="65" t="n">
        <f aca="false">C49+C44</f>
        <v>82402.4</v>
      </c>
      <c r="D76" s="65" t="n">
        <f aca="false">D49+D44</f>
        <v>81469.4666666667</v>
      </c>
      <c r="E76" s="65" t="n">
        <f aca="false">E49+E44</f>
        <v>80536.5333333333</v>
      </c>
      <c r="F76" s="65" t="n">
        <f aca="false">F49+F44</f>
        <v>79603.6</v>
      </c>
      <c r="G76" s="65" t="n">
        <f aca="false">G49+G44</f>
        <v>78670.6666666667</v>
      </c>
      <c r="H76" s="65" t="n">
        <f aca="false">H49+H44</f>
        <v>77737.7333333334</v>
      </c>
      <c r="I76" s="65" t="n">
        <f aca="false">I49+I44</f>
        <v>76804.8</v>
      </c>
      <c r="J76" s="65" t="n">
        <f aca="false">J49+J44</f>
        <v>75471.4666666667</v>
      </c>
      <c r="K76" s="65" t="n">
        <f aca="false">K49+K44</f>
        <v>74138.1333333334</v>
      </c>
      <c r="L76" s="65" t="n">
        <f aca="false">L49+L44</f>
        <v>72804.8000000001</v>
      </c>
      <c r="M76" s="65" t="n">
        <f aca="false">M49+M44</f>
        <v>71471.4666666667</v>
      </c>
      <c r="N76" s="65" t="n">
        <f aca="false">N49+N44</f>
        <v>70138.1333333334</v>
      </c>
      <c r="O76" s="65" t="n">
        <f aca="false">O49+O44</f>
        <v>69245.8806400001</v>
      </c>
      <c r="P76" s="65" t="n">
        <f aca="false">P49+P44</f>
        <v>67912.5473066667</v>
      </c>
      <c r="Q76" s="65" t="n">
        <f aca="false">Q49+Q44</f>
        <v>66579.2139733334</v>
      </c>
      <c r="R76" s="65" t="n">
        <f aca="false">R49+R44</f>
        <v>65245.88064</v>
      </c>
      <c r="S76" s="65" t="n">
        <f aca="false">S49+S44</f>
        <v>63912.5473066667</v>
      </c>
      <c r="T76" s="65" t="n">
        <f aca="false">T49+T44</f>
        <v>62579.2139733334</v>
      </c>
      <c r="U76" s="65" t="n">
        <f aca="false">U49+U44</f>
        <v>61245.88064</v>
      </c>
      <c r="V76" s="65" t="n">
        <f aca="false">V49+V44</f>
        <v>59912.5473066667</v>
      </c>
      <c r="W76" s="65" t="n">
        <f aca="false">W49+W44</f>
        <v>58579.2139733334</v>
      </c>
      <c r="X76" s="65" t="n">
        <f aca="false">X49+X44</f>
        <v>57245.88064</v>
      </c>
      <c r="Y76" s="65" t="n">
        <f aca="false">Y49+Y44</f>
        <v>55912.5473066667</v>
      </c>
      <c r="Z76" s="65" t="n">
        <f aca="false">Z49+Z44</f>
        <v>54579.2139733334</v>
      </c>
      <c r="AA76" s="65" t="n">
        <f aca="false">AA49+AA44</f>
        <v>53727.452482752</v>
      </c>
      <c r="AB76" s="65" t="n">
        <f aca="false">AB49+AB44</f>
        <v>52394.1191494187</v>
      </c>
      <c r="AC76" s="65" t="n">
        <f aca="false">AC49+AC44</f>
        <v>51060.7858160853</v>
      </c>
      <c r="AD76" s="65" t="n">
        <f aca="false">AD49+AD44</f>
        <v>49727.452482752</v>
      </c>
      <c r="AE76" s="65" t="n">
        <f aca="false">AE49+AE44</f>
        <v>48394.1191494187</v>
      </c>
      <c r="AF76" s="65" t="n">
        <f aca="false">AF49+AF44</f>
        <v>47060.7858160853</v>
      </c>
      <c r="AG76" s="65" t="n">
        <f aca="false">AG49+AG44</f>
        <v>45727.452482752</v>
      </c>
      <c r="AH76" s="65" t="n">
        <f aca="false">AH49+AH44</f>
        <v>44394.1191494187</v>
      </c>
      <c r="AI76" s="65" t="n">
        <f aca="false">AI49+AI44</f>
        <v>43060.7858160853</v>
      </c>
      <c r="AJ76" s="65" t="n">
        <f aca="false">AJ49+AJ44</f>
        <v>41727.452482752</v>
      </c>
      <c r="AK76" s="65" t="n">
        <f aca="false">AK49+AK44</f>
        <v>40394.1191494187</v>
      </c>
      <c r="AL76" s="65" t="n">
        <f aca="false">AL49+AL44</f>
        <v>39060.7858160853</v>
      </c>
      <c r="AM76" s="65" t="n">
        <f aca="false">AM49+AM44</f>
        <v>38253.2326206686</v>
      </c>
      <c r="AN76" s="65" t="n">
        <f aca="false">AN49+AN44</f>
        <v>36919.8992873353</v>
      </c>
      <c r="AO76" s="65" t="n">
        <f aca="false">AO49+AO44</f>
        <v>35586.565954002</v>
      </c>
      <c r="AP76" s="65" t="n">
        <f aca="false">AP49+AP44</f>
        <v>34253.2326206686</v>
      </c>
      <c r="AQ76" s="65" t="n">
        <f aca="false">AQ49+AQ44</f>
        <v>32919.8992873353</v>
      </c>
      <c r="AR76" s="65" t="n">
        <f aca="false">AR49+AR44</f>
        <v>31586.565954002</v>
      </c>
      <c r="AS76" s="65" t="n">
        <f aca="false">AS49+AS44</f>
        <v>30253.2326206686</v>
      </c>
      <c r="AT76" s="65" t="n">
        <f aca="false">AT49+AT44</f>
        <v>28919.8992873353</v>
      </c>
      <c r="AU76" s="65" t="n">
        <f aca="false">AU49+AU44</f>
        <v>27586.565954002</v>
      </c>
      <c r="AV76" s="65" t="n">
        <f aca="false">AV49+AV44</f>
        <v>26253.2326206686</v>
      </c>
      <c r="AW76" s="65" t="n">
        <f aca="false">AW49+AW44</f>
        <v>24919.8992873353</v>
      </c>
      <c r="AX76" s="65" t="n">
        <f aca="false">AX49+AX44</f>
        <v>23586.565954002</v>
      </c>
      <c r="AY76" s="65" t="n">
        <f aca="false">AY49+AY44</f>
        <v>22827.279375246</v>
      </c>
      <c r="AZ76" s="65" t="n">
        <f aca="false">AZ49+AZ44</f>
        <v>21493.9460419127</v>
      </c>
      <c r="BA76" s="65" t="n">
        <f aca="false">BA49+BA44</f>
        <v>20160.6127085794</v>
      </c>
      <c r="BB76" s="65" t="n">
        <f aca="false">BB49+BB44</f>
        <v>18827.279375246</v>
      </c>
      <c r="BC76" s="65" t="n">
        <f aca="false">BC49+BC44</f>
        <v>17493.9460419127</v>
      </c>
      <c r="BD76" s="65" t="n">
        <f aca="false">BD49+BD44</f>
        <v>16160.6127085793</v>
      </c>
      <c r="BE76" s="65" t="n">
        <f aca="false">BE49+BE44</f>
        <v>14827.279375246</v>
      </c>
      <c r="BF76" s="65" t="n">
        <f aca="false">BF49+BF44</f>
        <v>13493.9460419127</v>
      </c>
      <c r="BG76" s="65" t="n">
        <f aca="false">BG49+BG44</f>
        <v>12160.6127085793</v>
      </c>
      <c r="BH76" s="65" t="n">
        <f aca="false">BH49+BH44</f>
        <v>10827.279375246</v>
      </c>
      <c r="BI76" s="65" t="n">
        <f aca="false">BI49+BI44</f>
        <v>9493.94604191268</v>
      </c>
      <c r="BJ76" s="65" t="n">
        <f aca="false">BJ49+BJ44</f>
        <v>8160.61270857935</v>
      </c>
    </row>
    <row r="77" customFormat="false" ht="15" hidden="false" customHeight="false" outlineLevel="0" collapsed="false">
      <c r="A77" s="6" t="s">
        <v>97</v>
      </c>
      <c r="C77" s="65" t="n">
        <f aca="false">C73+C74</f>
        <v>130592.571428571</v>
      </c>
      <c r="D77" s="65" t="n">
        <f aca="false">D73+D74</f>
        <v>122853.587301587</v>
      </c>
      <c r="E77" s="65" t="n">
        <f aca="false">E73+E74</f>
        <v>116787.492063492</v>
      </c>
      <c r="F77" s="65" t="n">
        <f aca="false">F73+F74</f>
        <v>112394.285714286</v>
      </c>
      <c r="G77" s="65" t="n">
        <f aca="false">G73+G74</f>
        <v>109673.968253968</v>
      </c>
      <c r="H77" s="65" t="n">
        <f aca="false">H73+H74</f>
        <v>108626.53968254</v>
      </c>
      <c r="I77" s="65" t="n">
        <f aca="false">I73+I74</f>
        <v>109252</v>
      </c>
      <c r="J77" s="65" t="n">
        <f aca="false">J73+J74</f>
        <v>109886.349206349</v>
      </c>
      <c r="K77" s="65" t="n">
        <f aca="false">K73+K74</f>
        <v>110529.587301587</v>
      </c>
      <c r="L77" s="65" t="n">
        <f aca="false">L73+L74</f>
        <v>111181.714285714</v>
      </c>
      <c r="M77" s="65" t="n">
        <f aca="false">M73+M74</f>
        <v>111842.73015873</v>
      </c>
      <c r="N77" s="65" t="n">
        <f aca="false">N73+N74</f>
        <v>112512.634920635</v>
      </c>
      <c r="O77" s="65" t="n">
        <f aca="false">O73+O74</f>
        <v>114710.890971429</v>
      </c>
      <c r="P77" s="65" t="n">
        <f aca="false">P73+P74</f>
        <v>116918.035911111</v>
      </c>
      <c r="Q77" s="65" t="n">
        <f aca="false">Q73+Q74</f>
        <v>119134.069739683</v>
      </c>
      <c r="R77" s="65" t="n">
        <f aca="false">R73+R74</f>
        <v>121358.992457143</v>
      </c>
      <c r="S77" s="65" t="n">
        <f aca="false">S73+S74</f>
        <v>123592.804063492</v>
      </c>
      <c r="T77" s="65" t="n">
        <f aca="false">T73+T74</f>
        <v>125835.50455873</v>
      </c>
      <c r="U77" s="65" t="n">
        <f aca="false">U73+U74</f>
        <v>128087.093942857</v>
      </c>
      <c r="V77" s="65" t="n">
        <f aca="false">V73+V74</f>
        <v>130347.572215873</v>
      </c>
      <c r="W77" s="65" t="n">
        <f aca="false">W73+W74</f>
        <v>132616.939377778</v>
      </c>
      <c r="X77" s="65" t="n">
        <f aca="false">X73+X74</f>
        <v>134895.195428571</v>
      </c>
      <c r="Y77" s="65" t="n">
        <f aca="false">Y73+Y74</f>
        <v>137182.340368254</v>
      </c>
      <c r="Z77" s="65" t="n">
        <f aca="false">Z73+Z74</f>
        <v>139478.374196825</v>
      </c>
      <c r="AA77" s="65" t="n">
        <f aca="false">AA73+AA74</f>
        <v>142734.684889659</v>
      </c>
      <c r="AB77" s="65" t="n">
        <f aca="false">AB73+AB74</f>
        <v>145888.476386047</v>
      </c>
      <c r="AC77" s="65" t="n">
        <f aca="false">AC73+AC74</f>
        <v>149049.290104658</v>
      </c>
      <c r="AD77" s="65" t="n">
        <f aca="false">AD73+AD74</f>
        <v>152217.126045491</v>
      </c>
      <c r="AE77" s="65" t="n">
        <f aca="false">AE73+AE74</f>
        <v>155391.984208547</v>
      </c>
      <c r="AF77" s="65" t="n">
        <f aca="false">AF73+AF74</f>
        <v>158573.864593824</v>
      </c>
      <c r="AG77" s="65" t="n">
        <f aca="false">AG73+AG74</f>
        <v>161762.767201324</v>
      </c>
      <c r="AH77" s="65" t="n">
        <f aca="false">AH73+AH74</f>
        <v>164958.692031046</v>
      </c>
      <c r="AI77" s="65" t="n">
        <f aca="false">AI73+AI74</f>
        <v>168161.63908299</v>
      </c>
      <c r="AJ77" s="65" t="n">
        <f aca="false">AJ73+AJ74</f>
        <v>171371.608357157</v>
      </c>
      <c r="AK77" s="65" t="n">
        <f aca="false">AK73+AK74</f>
        <v>174588.599853545</v>
      </c>
      <c r="AL77" s="65" t="n">
        <f aca="false">AL73+AL74</f>
        <v>177812.613572156</v>
      </c>
      <c r="AM77" s="65" t="n">
        <f aca="false">AM73+AM74</f>
        <v>182507.015550991</v>
      </c>
      <c r="AN77" s="65" t="n">
        <f aca="false">AN73+AN74</f>
        <v>187208.439752048</v>
      </c>
      <c r="AO77" s="65" t="n">
        <f aca="false">AO73+AO74</f>
        <v>191916.886175327</v>
      </c>
      <c r="AP77" s="65" t="n">
        <f aca="false">AP73+AP74</f>
        <v>196632.354820829</v>
      </c>
      <c r="AQ77" s="65" t="n">
        <f aca="false">AQ73+AQ74</f>
        <v>201354.845688552</v>
      </c>
      <c r="AR77" s="65" t="n">
        <f aca="false">AR73+AR74</f>
        <v>206084.358778498</v>
      </c>
      <c r="AS77" s="65" t="n">
        <f aca="false">AS73+AS74</f>
        <v>210820.894090666</v>
      </c>
      <c r="AT77" s="65" t="n">
        <f aca="false">AT73+AT74</f>
        <v>215564.451625056</v>
      </c>
      <c r="AU77" s="65" t="n">
        <f aca="false">AU73+AU74</f>
        <v>220315.031381669</v>
      </c>
      <c r="AV77" s="65" t="n">
        <f aca="false">AV73+AV74</f>
        <v>225072.633360504</v>
      </c>
      <c r="AW77" s="65" t="n">
        <f aca="false">AW73+AW74</f>
        <v>229837.257561561</v>
      </c>
      <c r="AX77" s="65" t="n">
        <f aca="false">AX73+AX74</f>
        <v>234608.90398484</v>
      </c>
      <c r="AY77" s="65" t="n">
        <f aca="false">AY73+AY74</f>
        <v>241001.518664105</v>
      </c>
      <c r="AZ77" s="65" t="n">
        <f aca="false">AZ73+AZ74</f>
        <v>247401.155565592</v>
      </c>
      <c r="BA77" s="65" t="n">
        <f aca="false">BA73+BA74</f>
        <v>253807.814689301</v>
      </c>
      <c r="BB77" s="65" t="n">
        <f aca="false">BB73+BB74</f>
        <v>260221.496035233</v>
      </c>
      <c r="BC77" s="65" t="n">
        <f aca="false">BC73+BC74</f>
        <v>266642.199603386</v>
      </c>
      <c r="BD77" s="65" t="n">
        <f aca="false">BD73+BD74</f>
        <v>273069.925393762</v>
      </c>
      <c r="BE77" s="65" t="n">
        <f aca="false">BE73+BE74</f>
        <v>279504.673406361</v>
      </c>
      <c r="BF77" s="65" t="n">
        <f aca="false">BF73+BF74</f>
        <v>285946.443641181</v>
      </c>
      <c r="BG77" s="65" t="n">
        <f aca="false">BG73+BG74</f>
        <v>292395.236098224</v>
      </c>
      <c r="BH77" s="65" t="n">
        <f aca="false">BH73+BH74</f>
        <v>298851.050777489</v>
      </c>
      <c r="BI77" s="65" t="n">
        <f aca="false">BI73+BI74</f>
        <v>305313.887678976</v>
      </c>
      <c r="BJ77" s="65" t="n">
        <f aca="false">BJ73+BJ74</f>
        <v>311783.746802685</v>
      </c>
    </row>
    <row r="78" customFormat="false" ht="15" hidden="false" customHeight="false" outlineLevel="0" collapsed="false">
      <c r="A78" s="4" t="s">
        <v>98</v>
      </c>
      <c r="C78" s="71" t="n">
        <f aca="false">C76+C77</f>
        <v>212994.971428571</v>
      </c>
      <c r="D78" s="71" t="n">
        <f aca="false">D76+D77</f>
        <v>204323.053968254</v>
      </c>
      <c r="E78" s="71" t="n">
        <f aca="false">E76+E77</f>
        <v>197324.025396825</v>
      </c>
      <c r="F78" s="71" t="n">
        <f aca="false">F76+F77</f>
        <v>191997.885714286</v>
      </c>
      <c r="G78" s="71" t="n">
        <f aca="false">G76+G77</f>
        <v>188344.634920635</v>
      </c>
      <c r="H78" s="71" t="n">
        <f aca="false">H76+H77</f>
        <v>186364.273015873</v>
      </c>
      <c r="I78" s="71" t="n">
        <f aca="false">I76+I77</f>
        <v>186056.8</v>
      </c>
      <c r="J78" s="71" t="n">
        <f aca="false">J76+J77</f>
        <v>185357.815873016</v>
      </c>
      <c r="K78" s="71" t="n">
        <f aca="false">K76+K77</f>
        <v>184667.720634921</v>
      </c>
      <c r="L78" s="71" t="n">
        <f aca="false">L76+L77</f>
        <v>183986.514285714</v>
      </c>
      <c r="M78" s="71" t="n">
        <f aca="false">M76+M77</f>
        <v>183314.196825397</v>
      </c>
      <c r="N78" s="71" t="n">
        <f aca="false">N76+N77</f>
        <v>182650.768253968</v>
      </c>
      <c r="O78" s="71" t="n">
        <f aca="false">O76+O77</f>
        <v>183956.771611429</v>
      </c>
      <c r="P78" s="71" t="n">
        <f aca="false">P76+P77</f>
        <v>184830.583217778</v>
      </c>
      <c r="Q78" s="71" t="n">
        <f aca="false">Q76+Q77</f>
        <v>185713.283713016</v>
      </c>
      <c r="R78" s="71" t="n">
        <f aca="false">R76+R77</f>
        <v>186604.873097143</v>
      </c>
      <c r="S78" s="71" t="n">
        <f aca="false">S76+S77</f>
        <v>187505.351370159</v>
      </c>
      <c r="T78" s="71" t="n">
        <f aca="false">T76+T77</f>
        <v>188414.718532064</v>
      </c>
      <c r="U78" s="71" t="n">
        <f aca="false">U76+U77</f>
        <v>189332.974582857</v>
      </c>
      <c r="V78" s="71" t="n">
        <f aca="false">V76+V77</f>
        <v>190260.11952254</v>
      </c>
      <c r="W78" s="71" t="n">
        <f aca="false">W76+W77</f>
        <v>191196.153351111</v>
      </c>
      <c r="X78" s="71" t="n">
        <f aca="false">X76+X77</f>
        <v>192141.076068571</v>
      </c>
      <c r="Y78" s="71" t="n">
        <f aca="false">Y76+Y77</f>
        <v>193094.887674921</v>
      </c>
      <c r="Z78" s="71" t="n">
        <f aca="false">Z76+Z77</f>
        <v>194057.588170159</v>
      </c>
      <c r="AA78" s="71" t="n">
        <f aca="false">AA76+AA77</f>
        <v>196462.137372411</v>
      </c>
      <c r="AB78" s="71" t="n">
        <f aca="false">AB76+AB77</f>
        <v>198282.595535466</v>
      </c>
      <c r="AC78" s="71" t="n">
        <f aca="false">AC76+AC77</f>
        <v>200110.075920743</v>
      </c>
      <c r="AD78" s="71" t="n">
        <f aca="false">AD76+AD77</f>
        <v>201944.578528243</v>
      </c>
      <c r="AE78" s="71" t="n">
        <f aca="false">AE76+AE77</f>
        <v>203786.103357965</v>
      </c>
      <c r="AF78" s="71" t="n">
        <f aca="false">AF76+AF77</f>
        <v>205634.650409909</v>
      </c>
      <c r="AG78" s="71" t="n">
        <f aca="false">AG76+AG77</f>
        <v>207490.219684076</v>
      </c>
      <c r="AH78" s="71" t="n">
        <f aca="false">AH76+AH77</f>
        <v>209352.811180465</v>
      </c>
      <c r="AI78" s="71" t="n">
        <f aca="false">AI76+AI77</f>
        <v>211222.424899075</v>
      </c>
      <c r="AJ78" s="71" t="n">
        <f aca="false">AJ76+AJ77</f>
        <v>213099.060839909</v>
      </c>
      <c r="AK78" s="71" t="n">
        <f aca="false">AK76+AK77</f>
        <v>214982.719002964</v>
      </c>
      <c r="AL78" s="71" t="n">
        <f aca="false">AL76+AL77</f>
        <v>216873.399388242</v>
      </c>
      <c r="AM78" s="71" t="n">
        <f aca="false">AM76+AM77</f>
        <v>220760.24817166</v>
      </c>
      <c r="AN78" s="71" t="n">
        <f aca="false">AN76+AN77</f>
        <v>224128.339039383</v>
      </c>
      <c r="AO78" s="71" t="n">
        <f aca="false">AO76+AO77</f>
        <v>227503.452129329</v>
      </c>
      <c r="AP78" s="71" t="n">
        <f aca="false">AP76+AP77</f>
        <v>230885.587441497</v>
      </c>
      <c r="AQ78" s="71" t="n">
        <f aca="false">AQ76+AQ77</f>
        <v>234274.744975887</v>
      </c>
      <c r="AR78" s="71" t="n">
        <f aca="false">AR76+AR77</f>
        <v>237670.9247325</v>
      </c>
      <c r="AS78" s="71" t="n">
        <f aca="false">AS76+AS77</f>
        <v>241074.126711335</v>
      </c>
      <c r="AT78" s="71" t="n">
        <f aca="false">AT76+AT77</f>
        <v>244484.350912392</v>
      </c>
      <c r="AU78" s="71" t="n">
        <f aca="false">AU76+AU77</f>
        <v>247901.597335671</v>
      </c>
      <c r="AV78" s="71" t="n">
        <f aca="false">AV76+AV77</f>
        <v>251325.865981172</v>
      </c>
      <c r="AW78" s="71" t="n">
        <f aca="false">AW76+AW77</f>
        <v>254757.156848896</v>
      </c>
      <c r="AX78" s="71" t="n">
        <f aca="false">AX76+AX77</f>
        <v>258195.469938842</v>
      </c>
      <c r="AY78" s="71" t="n">
        <f aca="false">AY76+AY77</f>
        <v>263828.798039351</v>
      </c>
      <c r="AZ78" s="71" t="n">
        <f aca="false">AZ76+AZ77</f>
        <v>268895.101607504</v>
      </c>
      <c r="BA78" s="71" t="n">
        <f aca="false">BA76+BA77</f>
        <v>273968.42739788</v>
      </c>
      <c r="BB78" s="71" t="n">
        <f aca="false">BB76+BB77</f>
        <v>279048.775410479</v>
      </c>
      <c r="BC78" s="71" t="n">
        <f aca="false">BC76+BC77</f>
        <v>284136.145645299</v>
      </c>
      <c r="BD78" s="71" t="n">
        <f aca="false">BD76+BD77</f>
        <v>289230.538102342</v>
      </c>
      <c r="BE78" s="71" t="n">
        <f aca="false">BE76+BE77</f>
        <v>294331.952781607</v>
      </c>
      <c r="BF78" s="71" t="n">
        <f aca="false">BF76+BF77</f>
        <v>299440.389683094</v>
      </c>
      <c r="BG78" s="71" t="n">
        <f aca="false">BG76+BG77</f>
        <v>304555.848806803</v>
      </c>
      <c r="BH78" s="71" t="n">
        <f aca="false">BH76+BH77</f>
        <v>309678.330152735</v>
      </c>
      <c r="BI78" s="71" t="n">
        <f aca="false">BI76+BI77</f>
        <v>314807.833720888</v>
      </c>
      <c r="BJ78" s="71" t="n">
        <f aca="false">BJ76+BJ77</f>
        <v>319944.359511264</v>
      </c>
    </row>
    <row r="79" customFormat="false" ht="15" hidden="false" customHeight="false" outlineLevel="0" collapsed="false">
      <c r="A79" s="6" t="s">
        <v>386</v>
      </c>
      <c r="C79" s="65" t="n">
        <f aca="false">C75-C78</f>
        <v>0</v>
      </c>
      <c r="D79" s="65" t="n">
        <f aca="false">D75-D78</f>
        <v>0</v>
      </c>
      <c r="E79" s="65" t="n">
        <f aca="false">E75-E78</f>
        <v>0</v>
      </c>
      <c r="F79" s="65" t="n">
        <f aca="false">F75-F78</f>
        <v>0</v>
      </c>
      <c r="G79" s="65" t="n">
        <f aca="false">G75-G78</f>
        <v>0</v>
      </c>
      <c r="H79" s="65" t="n">
        <f aca="false">H75-H78</f>
        <v>0</v>
      </c>
      <c r="I79" s="65" t="n">
        <f aca="false">I75-I78</f>
        <v>0</v>
      </c>
      <c r="J79" s="65" t="n">
        <f aca="false">J75-J78</f>
        <v>0</v>
      </c>
      <c r="K79" s="65" t="n">
        <f aca="false">K75-K78</f>
        <v>0</v>
      </c>
      <c r="L79" s="65" t="n">
        <f aca="false">L75-L78</f>
        <v>0</v>
      </c>
      <c r="M79" s="65" t="n">
        <f aca="false">M75-M78</f>
        <v>0</v>
      </c>
      <c r="N79" s="65" t="n">
        <f aca="false">N75-N78</f>
        <v>0</v>
      </c>
      <c r="O79" s="65" t="n">
        <f aca="false">O75-O78</f>
        <v>0</v>
      </c>
      <c r="P79" s="65" t="n">
        <f aca="false">P75-P78</f>
        <v>0</v>
      </c>
      <c r="Q79" s="65" t="n">
        <f aca="false">Q75-Q78</f>
        <v>0</v>
      </c>
      <c r="R79" s="65" t="n">
        <f aca="false">R75-R78</f>
        <v>0</v>
      </c>
      <c r="S79" s="65" t="n">
        <f aca="false">S75-S78</f>
        <v>0</v>
      </c>
      <c r="T79" s="65" t="n">
        <f aca="false">T75-T78</f>
        <v>0</v>
      </c>
      <c r="U79" s="65" t="n">
        <f aca="false">U75-U78</f>
        <v>0</v>
      </c>
      <c r="V79" s="65" t="n">
        <f aca="false">V75-V78</f>
        <v>0</v>
      </c>
      <c r="W79" s="65" t="n">
        <f aca="false">W75-W78</f>
        <v>0</v>
      </c>
      <c r="X79" s="65" t="n">
        <f aca="false">X75-X78</f>
        <v>0</v>
      </c>
      <c r="Y79" s="65" t="n">
        <f aca="false">Y75-Y78</f>
        <v>0</v>
      </c>
      <c r="Z79" s="65" t="n">
        <f aca="false">Z75-Z78</f>
        <v>0</v>
      </c>
      <c r="AA79" s="65" t="n">
        <f aca="false">AA75-AA78</f>
        <v>0</v>
      </c>
      <c r="AB79" s="65" t="n">
        <f aca="false">AB75-AB78</f>
        <v>0</v>
      </c>
      <c r="AC79" s="65" t="n">
        <f aca="false">AC75-AC78</f>
        <v>0</v>
      </c>
      <c r="AD79" s="65" t="n">
        <f aca="false">AD75-AD78</f>
        <v>0</v>
      </c>
      <c r="AE79" s="65" t="n">
        <f aca="false">AE75-AE78</f>
        <v>0</v>
      </c>
      <c r="AF79" s="65" t="n">
        <f aca="false">AF75-AF78</f>
        <v>0</v>
      </c>
      <c r="AG79" s="65" t="n">
        <f aca="false">AG75-AG78</f>
        <v>0</v>
      </c>
      <c r="AH79" s="65" t="n">
        <f aca="false">AH75-AH78</f>
        <v>0</v>
      </c>
      <c r="AI79" s="65" t="n">
        <f aca="false">AI75-AI78</f>
        <v>0</v>
      </c>
      <c r="AJ79" s="65" t="n">
        <f aca="false">AJ75-AJ78</f>
        <v>0</v>
      </c>
      <c r="AK79" s="65" t="n">
        <f aca="false">AK75-AK78</f>
        <v>0</v>
      </c>
      <c r="AL79" s="65" t="n">
        <f aca="false">AL75-AL78</f>
        <v>0</v>
      </c>
      <c r="AM79" s="65" t="n">
        <f aca="false">AM75-AM78</f>
        <v>0</v>
      </c>
      <c r="AN79" s="65" t="n">
        <f aca="false">AN75-AN78</f>
        <v>0</v>
      </c>
      <c r="AO79" s="65" t="n">
        <f aca="false">AO75-AO78</f>
        <v>0</v>
      </c>
      <c r="AP79" s="65" t="n">
        <f aca="false">AP75-AP78</f>
        <v>0</v>
      </c>
      <c r="AQ79" s="65" t="n">
        <f aca="false">AQ75-AQ78</f>
        <v>0</v>
      </c>
      <c r="AR79" s="65" t="n">
        <f aca="false">AR75-AR78</f>
        <v>0</v>
      </c>
      <c r="AS79" s="65" t="n">
        <f aca="false">AS75-AS78</f>
        <v>0</v>
      </c>
      <c r="AT79" s="65" t="n">
        <f aca="false">AT75-AT78</f>
        <v>0</v>
      </c>
      <c r="AU79" s="65" t="n">
        <f aca="false">AU75-AU78</f>
        <v>0</v>
      </c>
      <c r="AV79" s="65" t="n">
        <f aca="false">AV75-AV78</f>
        <v>0</v>
      </c>
      <c r="AW79" s="65" t="n">
        <f aca="false">AW75-AW78</f>
        <v>0</v>
      </c>
      <c r="AX79" s="65" t="n">
        <f aca="false">AX75-AX78</f>
        <v>0</v>
      </c>
      <c r="AY79" s="65" t="n">
        <f aca="false">AY75-AY78</f>
        <v>0</v>
      </c>
      <c r="AZ79" s="65" t="n">
        <f aca="false">AZ75-AZ78</f>
        <v>0</v>
      </c>
      <c r="BA79" s="65" t="n">
        <f aca="false">BA75-BA78</f>
        <v>0</v>
      </c>
      <c r="BB79" s="65" t="n">
        <f aca="false">BB75-BB78</f>
        <v>0</v>
      </c>
      <c r="BC79" s="65" t="n">
        <f aca="false">BC75-BC78</f>
        <v>0</v>
      </c>
      <c r="BD79" s="65" t="n">
        <f aca="false">BD75-BD78</f>
        <v>0</v>
      </c>
      <c r="BE79" s="65" t="n">
        <f aca="false">BE75-BE78</f>
        <v>0</v>
      </c>
      <c r="BF79" s="65" t="n">
        <f aca="false">BF75-BF78</f>
        <v>0</v>
      </c>
      <c r="BG79" s="65" t="n">
        <f aca="false">BG75-BG78</f>
        <v>0</v>
      </c>
      <c r="BH79" s="65" t="n">
        <f aca="false">BH75-BH78</f>
        <v>0</v>
      </c>
      <c r="BI79" s="65" t="n">
        <f aca="false">BI75-BI78</f>
        <v>0</v>
      </c>
      <c r="BJ79" s="65" t="n">
        <f aca="false">BJ75-BJ78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387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297</v>
      </c>
    </row>
    <row r="3" customFormat="false" ht="15" hidden="false" customHeight="false" outlineLevel="0" collapsed="false">
      <c r="A3" s="33" t="s">
        <v>298</v>
      </c>
      <c r="C3" s="50" t="s">
        <v>299</v>
      </c>
      <c r="D3" s="50" t="s">
        <v>300</v>
      </c>
      <c r="E3" s="50" t="s">
        <v>301</v>
      </c>
      <c r="F3" s="50" t="s">
        <v>302</v>
      </c>
      <c r="G3" s="50" t="s">
        <v>303</v>
      </c>
      <c r="H3" s="50" t="s">
        <v>304</v>
      </c>
      <c r="I3" s="50" t="s">
        <v>305</v>
      </c>
      <c r="J3" s="50" t="s">
        <v>306</v>
      </c>
      <c r="K3" s="50" t="s">
        <v>307</v>
      </c>
      <c r="L3" s="50" t="s">
        <v>308</v>
      </c>
      <c r="M3" s="50" t="s">
        <v>309</v>
      </c>
      <c r="N3" s="50" t="s">
        <v>310</v>
      </c>
      <c r="O3" s="50" t="s">
        <v>311</v>
      </c>
      <c r="P3" s="50" t="s">
        <v>312</v>
      </c>
      <c r="Q3" s="50" t="s">
        <v>313</v>
      </c>
      <c r="R3" s="50" t="s">
        <v>314</v>
      </c>
      <c r="S3" s="50" t="s">
        <v>315</v>
      </c>
      <c r="T3" s="50" t="s">
        <v>316</v>
      </c>
      <c r="U3" s="50" t="s">
        <v>317</v>
      </c>
      <c r="V3" s="50" t="s">
        <v>318</v>
      </c>
      <c r="W3" s="50" t="s">
        <v>319</v>
      </c>
      <c r="X3" s="50" t="s">
        <v>320</v>
      </c>
      <c r="Y3" s="50" t="s">
        <v>321</v>
      </c>
      <c r="Z3" s="50" t="s">
        <v>322</v>
      </c>
      <c r="AA3" s="50" t="s">
        <v>323</v>
      </c>
      <c r="AB3" s="50" t="s">
        <v>324</v>
      </c>
      <c r="AC3" s="50" t="s">
        <v>325</v>
      </c>
      <c r="AD3" s="50" t="s">
        <v>326</v>
      </c>
      <c r="AE3" s="50" t="s">
        <v>327</v>
      </c>
      <c r="AF3" s="50" t="s">
        <v>328</v>
      </c>
      <c r="AG3" s="50" t="s">
        <v>329</v>
      </c>
      <c r="AH3" s="50" t="s">
        <v>330</v>
      </c>
      <c r="AI3" s="50" t="s">
        <v>331</v>
      </c>
      <c r="AJ3" s="50" t="s">
        <v>332</v>
      </c>
      <c r="AK3" s="50" t="s">
        <v>333</v>
      </c>
      <c r="AL3" s="50" t="s">
        <v>334</v>
      </c>
      <c r="AM3" s="50" t="s">
        <v>335</v>
      </c>
      <c r="AN3" s="50" t="s">
        <v>336</v>
      </c>
      <c r="AO3" s="50" t="s">
        <v>337</v>
      </c>
      <c r="AP3" s="50" t="s">
        <v>338</v>
      </c>
      <c r="AQ3" s="50" t="s">
        <v>339</v>
      </c>
      <c r="AR3" s="50" t="s">
        <v>340</v>
      </c>
      <c r="AS3" s="50" t="s">
        <v>341</v>
      </c>
      <c r="AT3" s="50" t="s">
        <v>342</v>
      </c>
      <c r="AU3" s="50" t="s">
        <v>343</v>
      </c>
      <c r="AV3" s="50" t="s">
        <v>344</v>
      </c>
      <c r="AW3" s="50" t="s">
        <v>345</v>
      </c>
      <c r="AX3" s="50" t="s">
        <v>346</v>
      </c>
      <c r="AY3" s="50" t="s">
        <v>347</v>
      </c>
      <c r="AZ3" s="50" t="s">
        <v>348</v>
      </c>
      <c r="BA3" s="50" t="s">
        <v>349</v>
      </c>
      <c r="BB3" s="50" t="s">
        <v>350</v>
      </c>
      <c r="BC3" s="50" t="s">
        <v>351</v>
      </c>
      <c r="BD3" s="50" t="s">
        <v>352</v>
      </c>
      <c r="BE3" s="50" t="s">
        <v>353</v>
      </c>
      <c r="BF3" s="50" t="s">
        <v>354</v>
      </c>
      <c r="BG3" s="50" t="s">
        <v>355</v>
      </c>
      <c r="BH3" s="50" t="s">
        <v>356</v>
      </c>
      <c r="BI3" s="50" t="s">
        <v>357</v>
      </c>
      <c r="BJ3" s="50" t="s">
        <v>358</v>
      </c>
    </row>
    <row r="4" customFormat="false" ht="15" hidden="false" customHeight="false" outlineLevel="0" collapsed="false">
      <c r="A4" s="70" t="s">
        <v>359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152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388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389</v>
      </c>
      <c r="C8" s="111" t="n">
        <f aca="false">Inputs!$E$21*(1+Inputs!$E$23)^(C$5-1)*MAX(0,MIN(1,C$4*1-Inputs!$E$24+1))/1</f>
        <v>3.5</v>
      </c>
      <c r="D8" s="111" t="n">
        <f aca="false">Inputs!$E$21*(1+Inputs!$E$23)^(D$5-1)*MAX(0,MIN(1,D$4*1-Inputs!$E$24+1))/1</f>
        <v>3.5</v>
      </c>
      <c r="E8" s="111" t="n">
        <f aca="false">Inputs!$E$21*(1+Inputs!$E$23)^(E$5-1)*MAX(0,MIN(1,E$4*1-Inputs!$E$24+1))/1</f>
        <v>3.5</v>
      </c>
      <c r="F8" s="111" t="n">
        <f aca="false">Inputs!$E$21*(1+Inputs!$E$23)^(F$5-1)*MAX(0,MIN(1,F$4*1-Inputs!$E$24+1))/1</f>
        <v>3.5</v>
      </c>
      <c r="G8" s="111" t="n">
        <f aca="false">Inputs!$E$21*(1+Inputs!$E$23)^(G$5-1)*MAX(0,MIN(1,G$4*1-Inputs!$E$24+1))/1</f>
        <v>3.5</v>
      </c>
      <c r="H8" s="111" t="n">
        <f aca="false">Inputs!$E$21*(1+Inputs!$E$23)^(H$5-1)*MAX(0,MIN(1,H$4*1-Inputs!$E$24+1))/1</f>
        <v>3.5</v>
      </c>
      <c r="I8" s="111" t="n">
        <f aca="false">Inputs!$E$21*(1+Inputs!$E$23)^(I$5-1)*MAX(0,MIN(1,I$4*1-Inputs!$E$24+1))/1</f>
        <v>3.5</v>
      </c>
      <c r="J8" s="111" t="n">
        <f aca="false">Inputs!$E$21*(1+Inputs!$E$23)^(J$5-1)*MAX(0,MIN(1,J$4*1-Inputs!$E$24+1))/1</f>
        <v>3.5</v>
      </c>
      <c r="K8" s="111" t="n">
        <f aca="false">Inputs!$E$21*(1+Inputs!$E$23)^(K$5-1)*MAX(0,MIN(1,K$4*1-Inputs!$E$24+1))/1</f>
        <v>3.5</v>
      </c>
      <c r="L8" s="111" t="n">
        <f aca="false">Inputs!$E$21*(1+Inputs!$E$23)^(L$5-1)*MAX(0,MIN(1,L$4*1-Inputs!$E$24+1))/1</f>
        <v>3.5</v>
      </c>
      <c r="M8" s="111" t="n">
        <f aca="false">Inputs!$E$21*(1+Inputs!$E$23)^(M$5-1)*MAX(0,MIN(1,M$4*1-Inputs!$E$24+1))/1</f>
        <v>3.5</v>
      </c>
      <c r="N8" s="111" t="n">
        <f aca="false">Inputs!$E$21*(1+Inputs!$E$23)^(N$5-1)*MAX(0,MIN(1,N$4*1-Inputs!$E$24+1))/1</f>
        <v>3.5</v>
      </c>
      <c r="O8" s="111" t="n">
        <f aca="false">Inputs!$E$21*(1+Inputs!$E$23)^(O$5-1)*MAX(0,MIN(1,O$4*1-Inputs!$E$24+1))/1</f>
        <v>3.5</v>
      </c>
      <c r="P8" s="111" t="n">
        <f aca="false">Inputs!$E$21*(1+Inputs!$E$23)^(P$5-1)*MAX(0,MIN(1,P$4*1-Inputs!$E$24+1))/1</f>
        <v>3.5</v>
      </c>
      <c r="Q8" s="111" t="n">
        <f aca="false">Inputs!$E$21*(1+Inputs!$E$23)^(Q$5-1)*MAX(0,MIN(1,Q$4*1-Inputs!$E$24+1))/1</f>
        <v>3.5</v>
      </c>
      <c r="R8" s="111" t="n">
        <f aca="false">Inputs!$E$21*(1+Inputs!$E$23)^(R$5-1)*MAX(0,MIN(1,R$4*1-Inputs!$E$24+1))/1</f>
        <v>3.5</v>
      </c>
      <c r="S8" s="111" t="n">
        <f aca="false">Inputs!$E$21*(1+Inputs!$E$23)^(S$5-1)*MAX(0,MIN(1,S$4*1-Inputs!$E$24+1))/1</f>
        <v>3.5</v>
      </c>
      <c r="T8" s="111" t="n">
        <f aca="false">Inputs!$E$21*(1+Inputs!$E$23)^(T$5-1)*MAX(0,MIN(1,T$4*1-Inputs!$E$24+1))/1</f>
        <v>3.5</v>
      </c>
      <c r="U8" s="111" t="n">
        <f aca="false">Inputs!$E$21*(1+Inputs!$E$23)^(U$5-1)*MAX(0,MIN(1,U$4*1-Inputs!$E$24+1))/1</f>
        <v>3.5</v>
      </c>
      <c r="V8" s="111" t="n">
        <f aca="false">Inputs!$E$21*(1+Inputs!$E$23)^(V$5-1)*MAX(0,MIN(1,V$4*1-Inputs!$E$24+1))/1</f>
        <v>3.5</v>
      </c>
      <c r="W8" s="111" t="n">
        <f aca="false">Inputs!$E$21*(1+Inputs!$E$23)^(W$5-1)*MAX(0,MIN(1,W$4*1-Inputs!$E$24+1))/1</f>
        <v>3.5</v>
      </c>
      <c r="X8" s="111" t="n">
        <f aca="false">Inputs!$E$21*(1+Inputs!$E$23)^(X$5-1)*MAX(0,MIN(1,X$4*1-Inputs!$E$24+1))/1</f>
        <v>3.5</v>
      </c>
      <c r="Y8" s="111" t="n">
        <f aca="false">Inputs!$E$21*(1+Inputs!$E$23)^(Y$5-1)*MAX(0,MIN(1,Y$4*1-Inputs!$E$24+1))/1</f>
        <v>3.5</v>
      </c>
      <c r="Z8" s="111" t="n">
        <f aca="false">Inputs!$E$21*(1+Inputs!$E$23)^(Z$5-1)*MAX(0,MIN(1,Z$4*1-Inputs!$E$24+1))/1</f>
        <v>3.5</v>
      </c>
      <c r="AA8" s="111" t="n">
        <f aca="false">Inputs!$E$21*(1+Inputs!$E$23)^(AA$5-1)*MAX(0,MIN(1,AA$4*1-Inputs!$E$24+1))/1</f>
        <v>3.5</v>
      </c>
      <c r="AB8" s="111" t="n">
        <f aca="false">Inputs!$E$21*(1+Inputs!$E$23)^(AB$5-1)*MAX(0,MIN(1,AB$4*1-Inputs!$E$24+1))/1</f>
        <v>3.5</v>
      </c>
      <c r="AC8" s="111" t="n">
        <f aca="false">Inputs!$E$21*(1+Inputs!$E$23)^(AC$5-1)*MAX(0,MIN(1,AC$4*1-Inputs!$E$24+1))/1</f>
        <v>3.5</v>
      </c>
      <c r="AD8" s="111" t="n">
        <f aca="false">Inputs!$E$21*(1+Inputs!$E$23)^(AD$5-1)*MAX(0,MIN(1,AD$4*1-Inputs!$E$24+1))/1</f>
        <v>3.5</v>
      </c>
      <c r="AE8" s="111" t="n">
        <f aca="false">Inputs!$E$21*(1+Inputs!$E$23)^(AE$5-1)*MAX(0,MIN(1,AE$4*1-Inputs!$E$24+1))/1</f>
        <v>3.5</v>
      </c>
      <c r="AF8" s="111" t="n">
        <f aca="false">Inputs!$E$21*(1+Inputs!$E$23)^(AF$5-1)*MAX(0,MIN(1,AF$4*1-Inputs!$E$24+1))/1</f>
        <v>3.5</v>
      </c>
      <c r="AG8" s="111" t="n">
        <f aca="false">Inputs!$E$21*(1+Inputs!$E$23)^(AG$5-1)*MAX(0,MIN(1,AG$4*1-Inputs!$E$24+1))/1</f>
        <v>3.5</v>
      </c>
      <c r="AH8" s="111" t="n">
        <f aca="false">Inputs!$E$21*(1+Inputs!$E$23)^(AH$5-1)*MAX(0,MIN(1,AH$4*1-Inputs!$E$24+1))/1</f>
        <v>3.5</v>
      </c>
      <c r="AI8" s="111" t="n">
        <f aca="false">Inputs!$E$21*(1+Inputs!$E$23)^(AI$5-1)*MAX(0,MIN(1,AI$4*1-Inputs!$E$24+1))/1</f>
        <v>3.5</v>
      </c>
      <c r="AJ8" s="111" t="n">
        <f aca="false">Inputs!$E$21*(1+Inputs!$E$23)^(AJ$5-1)*MAX(0,MIN(1,AJ$4*1-Inputs!$E$24+1))/1</f>
        <v>3.5</v>
      </c>
      <c r="AK8" s="111" t="n">
        <f aca="false">Inputs!$E$21*(1+Inputs!$E$23)^(AK$5-1)*MAX(0,MIN(1,AK$4*1-Inputs!$E$24+1))/1</f>
        <v>3.5</v>
      </c>
      <c r="AL8" s="111" t="n">
        <f aca="false">Inputs!$E$21*(1+Inputs!$E$23)^(AL$5-1)*MAX(0,MIN(1,AL$4*1-Inputs!$E$24+1))/1</f>
        <v>3.5</v>
      </c>
      <c r="AM8" s="111" t="n">
        <f aca="false">Inputs!$E$21*(1+Inputs!$E$23)^(AM$5-1)*MAX(0,MIN(1,AM$4*1-Inputs!$E$24+1))/1</f>
        <v>3.5</v>
      </c>
      <c r="AN8" s="111" t="n">
        <f aca="false">Inputs!$E$21*(1+Inputs!$E$23)^(AN$5-1)*MAX(0,MIN(1,AN$4*1-Inputs!$E$24+1))/1</f>
        <v>3.5</v>
      </c>
      <c r="AO8" s="111" t="n">
        <f aca="false">Inputs!$E$21*(1+Inputs!$E$23)^(AO$5-1)*MAX(0,MIN(1,AO$4*1-Inputs!$E$24+1))/1</f>
        <v>3.5</v>
      </c>
      <c r="AP8" s="111" t="n">
        <f aca="false">Inputs!$E$21*(1+Inputs!$E$23)^(AP$5-1)*MAX(0,MIN(1,AP$4*1-Inputs!$E$24+1))/1</f>
        <v>3.5</v>
      </c>
      <c r="AQ8" s="111" t="n">
        <f aca="false">Inputs!$E$21*(1+Inputs!$E$23)^(AQ$5-1)*MAX(0,MIN(1,AQ$4*1-Inputs!$E$24+1))/1</f>
        <v>3.5</v>
      </c>
      <c r="AR8" s="111" t="n">
        <f aca="false">Inputs!$E$21*(1+Inputs!$E$23)^(AR$5-1)*MAX(0,MIN(1,AR$4*1-Inputs!$E$24+1))/1</f>
        <v>3.5</v>
      </c>
      <c r="AS8" s="111" t="n">
        <f aca="false">Inputs!$E$21*(1+Inputs!$E$23)^(AS$5-1)*MAX(0,MIN(1,AS$4*1-Inputs!$E$24+1))/1</f>
        <v>3.5</v>
      </c>
      <c r="AT8" s="111" t="n">
        <f aca="false">Inputs!$E$21*(1+Inputs!$E$23)^(AT$5-1)*MAX(0,MIN(1,AT$4*1-Inputs!$E$24+1))/1</f>
        <v>3.5</v>
      </c>
      <c r="AU8" s="111" t="n">
        <f aca="false">Inputs!$E$21*(1+Inputs!$E$23)^(AU$5-1)*MAX(0,MIN(1,AU$4*1-Inputs!$E$24+1))/1</f>
        <v>3.5</v>
      </c>
      <c r="AV8" s="111" t="n">
        <f aca="false">Inputs!$E$21*(1+Inputs!$E$23)^(AV$5-1)*MAX(0,MIN(1,AV$4*1-Inputs!$E$24+1))/1</f>
        <v>3.5</v>
      </c>
      <c r="AW8" s="111" t="n">
        <f aca="false">Inputs!$E$21*(1+Inputs!$E$23)^(AW$5-1)*MAX(0,MIN(1,AW$4*1-Inputs!$E$24+1))/1</f>
        <v>3.5</v>
      </c>
      <c r="AX8" s="111" t="n">
        <f aca="false">Inputs!$E$21*(1+Inputs!$E$23)^(AX$5-1)*MAX(0,MIN(1,AX$4*1-Inputs!$E$24+1))/1</f>
        <v>3.5</v>
      </c>
      <c r="AY8" s="111" t="n">
        <f aca="false">Inputs!$E$21*(1+Inputs!$E$23)^(AY$5-1)*MAX(0,MIN(1,AY$4*1-Inputs!$E$24+1))/1</f>
        <v>3.5</v>
      </c>
      <c r="AZ8" s="111" t="n">
        <f aca="false">Inputs!$E$21*(1+Inputs!$E$23)^(AZ$5-1)*MAX(0,MIN(1,AZ$4*1-Inputs!$E$24+1))/1</f>
        <v>3.5</v>
      </c>
      <c r="BA8" s="111" t="n">
        <f aca="false">Inputs!$E$21*(1+Inputs!$E$23)^(BA$5-1)*MAX(0,MIN(1,BA$4*1-Inputs!$E$24+1))/1</f>
        <v>3.5</v>
      </c>
      <c r="BB8" s="111" t="n">
        <f aca="false">Inputs!$E$21*(1+Inputs!$E$23)^(BB$5-1)*MAX(0,MIN(1,BB$4*1-Inputs!$E$24+1))/1</f>
        <v>3.5</v>
      </c>
      <c r="BC8" s="111" t="n">
        <f aca="false">Inputs!$E$21*(1+Inputs!$E$23)^(BC$5-1)*MAX(0,MIN(1,BC$4*1-Inputs!$E$24+1))/1</f>
        <v>3.5</v>
      </c>
      <c r="BD8" s="111" t="n">
        <f aca="false">Inputs!$E$21*(1+Inputs!$E$23)^(BD$5-1)*MAX(0,MIN(1,BD$4*1-Inputs!$E$24+1))/1</f>
        <v>3.5</v>
      </c>
      <c r="BE8" s="111" t="n">
        <f aca="false">Inputs!$E$21*(1+Inputs!$E$23)^(BE$5-1)*MAX(0,MIN(1,BE$4*1-Inputs!$E$24+1))/1</f>
        <v>3.5</v>
      </c>
      <c r="BF8" s="111" t="n">
        <f aca="false">Inputs!$E$21*(1+Inputs!$E$23)^(BF$5-1)*MAX(0,MIN(1,BF$4*1-Inputs!$E$24+1))/1</f>
        <v>3.5</v>
      </c>
      <c r="BG8" s="111" t="n">
        <f aca="false">Inputs!$E$21*(1+Inputs!$E$23)^(BG$5-1)*MAX(0,MIN(1,BG$4*1-Inputs!$E$24+1))/1</f>
        <v>3.5</v>
      </c>
      <c r="BH8" s="111" t="n">
        <f aca="false">Inputs!$E$21*(1+Inputs!$E$23)^(BH$5-1)*MAX(0,MIN(1,BH$4*1-Inputs!$E$24+1))/1</f>
        <v>3.5</v>
      </c>
      <c r="BI8" s="111" t="n">
        <f aca="false">Inputs!$E$21*(1+Inputs!$E$23)^(BI$5-1)*MAX(0,MIN(1,BI$4*1-Inputs!$E$24+1))/1</f>
        <v>3.5</v>
      </c>
      <c r="BJ8" s="111" t="n">
        <f aca="false">Inputs!$E$21*(1+Inputs!$E$23)^(BJ$5-1)*MAX(0,MIN(1,BJ$4*1-Inputs!$E$24+1))/1</f>
        <v>3.5</v>
      </c>
    </row>
    <row r="9" customFormat="false" ht="15" hidden="false" customHeight="false" outlineLevel="0" collapsed="false">
      <c r="A9" s="108" t="s">
        <v>390</v>
      </c>
      <c r="C9" s="115" t="n">
        <f aca="false">C8</f>
        <v>3.5</v>
      </c>
      <c r="D9" s="115" t="n">
        <f aca="false">D8</f>
        <v>3.5</v>
      </c>
      <c r="E9" s="115" t="n">
        <f aca="false">E8</f>
        <v>3.5</v>
      </c>
      <c r="F9" s="115" t="n">
        <f aca="false">F8</f>
        <v>3.5</v>
      </c>
      <c r="G9" s="115" t="n">
        <f aca="false">G8</f>
        <v>3.5</v>
      </c>
      <c r="H9" s="115" t="n">
        <f aca="false">H8</f>
        <v>3.5</v>
      </c>
      <c r="I9" s="115" t="n">
        <f aca="false">I8</f>
        <v>3.5</v>
      </c>
      <c r="J9" s="115" t="n">
        <f aca="false">J8</f>
        <v>3.5</v>
      </c>
      <c r="K9" s="115" t="n">
        <f aca="false">K8</f>
        <v>3.5</v>
      </c>
      <c r="L9" s="115" t="n">
        <f aca="false">L8</f>
        <v>3.5</v>
      </c>
      <c r="M9" s="115" t="n">
        <f aca="false">M8</f>
        <v>3.5</v>
      </c>
      <c r="N9" s="115" t="n">
        <f aca="false">N8</f>
        <v>3.5</v>
      </c>
      <c r="O9" s="115" t="n">
        <f aca="false">O8</f>
        <v>3.5</v>
      </c>
      <c r="P9" s="115" t="n">
        <f aca="false">P8</f>
        <v>3.5</v>
      </c>
      <c r="Q9" s="115" t="n">
        <f aca="false">Q8</f>
        <v>3.5</v>
      </c>
      <c r="R9" s="115" t="n">
        <f aca="false">R8</f>
        <v>3.5</v>
      </c>
      <c r="S9" s="115" t="n">
        <f aca="false">S8</f>
        <v>3.5</v>
      </c>
      <c r="T9" s="115" t="n">
        <f aca="false">T8</f>
        <v>3.5</v>
      </c>
      <c r="U9" s="115" t="n">
        <f aca="false">U8</f>
        <v>3.5</v>
      </c>
      <c r="V9" s="115" t="n">
        <f aca="false">V8</f>
        <v>3.5</v>
      </c>
      <c r="W9" s="115" t="n">
        <f aca="false">W8</f>
        <v>3.5</v>
      </c>
      <c r="X9" s="115" t="n">
        <f aca="false">X8</f>
        <v>3.5</v>
      </c>
      <c r="Y9" s="115" t="n">
        <f aca="false">Y8</f>
        <v>3.5</v>
      </c>
      <c r="Z9" s="115" t="n">
        <f aca="false">Z8</f>
        <v>3.5</v>
      </c>
      <c r="AA9" s="115" t="n">
        <f aca="false">AA8</f>
        <v>3.5</v>
      </c>
      <c r="AB9" s="115" t="n">
        <f aca="false">AB8</f>
        <v>3.5</v>
      </c>
      <c r="AC9" s="115" t="n">
        <f aca="false">AC8</f>
        <v>3.5</v>
      </c>
      <c r="AD9" s="115" t="n">
        <f aca="false">AD8</f>
        <v>3.5</v>
      </c>
      <c r="AE9" s="115" t="n">
        <f aca="false">AE8</f>
        <v>3.5</v>
      </c>
      <c r="AF9" s="115" t="n">
        <f aca="false">AF8</f>
        <v>3.5</v>
      </c>
      <c r="AG9" s="115" t="n">
        <f aca="false">AG8</f>
        <v>3.5</v>
      </c>
      <c r="AH9" s="115" t="n">
        <f aca="false">AH8</f>
        <v>3.5</v>
      </c>
      <c r="AI9" s="115" t="n">
        <f aca="false">AI8</f>
        <v>3.5</v>
      </c>
      <c r="AJ9" s="115" t="n">
        <f aca="false">AJ8</f>
        <v>3.5</v>
      </c>
      <c r="AK9" s="115" t="n">
        <f aca="false">AK8</f>
        <v>3.5</v>
      </c>
      <c r="AL9" s="115" t="n">
        <f aca="false">AL8</f>
        <v>3.5</v>
      </c>
      <c r="AM9" s="115" t="n">
        <f aca="false">AM8</f>
        <v>3.5</v>
      </c>
      <c r="AN9" s="115" t="n">
        <f aca="false">AN8</f>
        <v>3.5</v>
      </c>
      <c r="AO9" s="115" t="n">
        <f aca="false">AO8</f>
        <v>3.5</v>
      </c>
      <c r="AP9" s="115" t="n">
        <f aca="false">AP8</f>
        <v>3.5</v>
      </c>
      <c r="AQ9" s="115" t="n">
        <f aca="false">AQ8</f>
        <v>3.5</v>
      </c>
      <c r="AR9" s="115" t="n">
        <f aca="false">AR8</f>
        <v>3.5</v>
      </c>
      <c r="AS9" s="115" t="n">
        <f aca="false">AS8</f>
        <v>3.5</v>
      </c>
      <c r="AT9" s="115" t="n">
        <f aca="false">AT8</f>
        <v>3.5</v>
      </c>
      <c r="AU9" s="115" t="n">
        <f aca="false">AU8</f>
        <v>3.5</v>
      </c>
      <c r="AV9" s="115" t="n">
        <f aca="false">AV8</f>
        <v>3.5</v>
      </c>
      <c r="AW9" s="115" t="n">
        <f aca="false">AW8</f>
        <v>3.5</v>
      </c>
      <c r="AX9" s="115" t="n">
        <f aca="false">AX8</f>
        <v>3.5</v>
      </c>
      <c r="AY9" s="115" t="n">
        <f aca="false">AY8</f>
        <v>3.5</v>
      </c>
      <c r="AZ9" s="115" t="n">
        <f aca="false">AZ8</f>
        <v>3.5</v>
      </c>
      <c r="BA9" s="115" t="n">
        <f aca="false">BA8</f>
        <v>3.5</v>
      </c>
      <c r="BB9" s="115" t="n">
        <f aca="false">BB8</f>
        <v>3.5</v>
      </c>
      <c r="BC9" s="115" t="n">
        <f aca="false">BC8</f>
        <v>3.5</v>
      </c>
      <c r="BD9" s="115" t="n">
        <f aca="false">BD8</f>
        <v>3.5</v>
      </c>
      <c r="BE9" s="115" t="n">
        <f aca="false">BE8</f>
        <v>3.5</v>
      </c>
      <c r="BF9" s="115" t="n">
        <f aca="false">BF8</f>
        <v>3.5</v>
      </c>
      <c r="BG9" s="115" t="n">
        <f aca="false">BG8</f>
        <v>3.5</v>
      </c>
      <c r="BH9" s="115" t="n">
        <f aca="false">BH8</f>
        <v>3.5</v>
      </c>
      <c r="BI9" s="115" t="n">
        <f aca="false">BI8</f>
        <v>3.5</v>
      </c>
      <c r="BJ9" s="115" t="n">
        <f aca="false">BJ8</f>
        <v>3.5</v>
      </c>
    </row>
    <row r="11" customFormat="false" ht="15.75" hidden="false" customHeight="true" outlineLevel="0" collapsed="false">
      <c r="A11" s="7" t="s">
        <v>391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customFormat="false" ht="15" hidden="false" customHeight="false" outlineLevel="0" collapsed="false">
      <c r="A12" s="6" t="s">
        <v>392</v>
      </c>
      <c r="C12" s="65" t="n">
        <f aca="false">-C8*Inputs!$E$22/12*1*(1+Inputs!$E$25)*(1+Inputs!$E$26)^(C$5-1)</f>
        <v>-10453.3333333333</v>
      </c>
      <c r="D12" s="65" t="n">
        <f aca="false">-D8*Inputs!$E$22/12*1*(1+Inputs!$E$25)*(1+Inputs!$E$26)^(D$5-1)</f>
        <v>-10453.3333333333</v>
      </c>
      <c r="E12" s="65" t="n">
        <f aca="false">-E8*Inputs!$E$22/12*1*(1+Inputs!$E$25)*(1+Inputs!$E$26)^(E$5-1)</f>
        <v>-10453.3333333333</v>
      </c>
      <c r="F12" s="65" t="n">
        <f aca="false">-F8*Inputs!$E$22/12*1*(1+Inputs!$E$25)*(1+Inputs!$E$26)^(F$5-1)</f>
        <v>-10453.3333333333</v>
      </c>
      <c r="G12" s="65" t="n">
        <f aca="false">-G8*Inputs!$E$22/12*1*(1+Inputs!$E$25)*(1+Inputs!$E$26)^(G$5-1)</f>
        <v>-10453.3333333333</v>
      </c>
      <c r="H12" s="65" t="n">
        <f aca="false">-H8*Inputs!$E$22/12*1*(1+Inputs!$E$25)*(1+Inputs!$E$26)^(H$5-1)</f>
        <v>-10453.3333333333</v>
      </c>
      <c r="I12" s="65" t="n">
        <f aca="false">-I8*Inputs!$E$22/12*1*(1+Inputs!$E$25)*(1+Inputs!$E$26)^(I$5-1)</f>
        <v>-10453.3333333333</v>
      </c>
      <c r="J12" s="65" t="n">
        <f aca="false">-J8*Inputs!$E$22/12*1*(1+Inputs!$E$25)*(1+Inputs!$E$26)^(J$5-1)</f>
        <v>-10453.3333333333</v>
      </c>
      <c r="K12" s="65" t="n">
        <f aca="false">-K8*Inputs!$E$22/12*1*(1+Inputs!$E$25)*(1+Inputs!$E$26)^(K$5-1)</f>
        <v>-10453.3333333333</v>
      </c>
      <c r="L12" s="65" t="n">
        <f aca="false">-L8*Inputs!$E$22/12*1*(1+Inputs!$E$25)*(1+Inputs!$E$26)^(L$5-1)</f>
        <v>-10453.3333333333</v>
      </c>
      <c r="M12" s="65" t="n">
        <f aca="false">-M8*Inputs!$E$22/12*1*(1+Inputs!$E$25)*(1+Inputs!$E$26)^(M$5-1)</f>
        <v>-10453.3333333333</v>
      </c>
      <c r="N12" s="65" t="n">
        <f aca="false">-N8*Inputs!$E$22/12*1*(1+Inputs!$E$25)*(1+Inputs!$E$26)^(N$5-1)</f>
        <v>-10453.3333333333</v>
      </c>
      <c r="O12" s="65" t="n">
        <f aca="false">-O8*Inputs!$E$22/12*1*(1+Inputs!$E$25)*(1+Inputs!$E$26)^(O$5-1)</f>
        <v>-10766.9333333333</v>
      </c>
      <c r="P12" s="65" t="n">
        <f aca="false">-P8*Inputs!$E$22/12*1*(1+Inputs!$E$25)*(1+Inputs!$E$26)^(P$5-1)</f>
        <v>-10766.9333333333</v>
      </c>
      <c r="Q12" s="65" t="n">
        <f aca="false">-Q8*Inputs!$E$22/12*1*(1+Inputs!$E$25)*(1+Inputs!$E$26)^(Q$5-1)</f>
        <v>-10766.9333333333</v>
      </c>
      <c r="R12" s="65" t="n">
        <f aca="false">-R8*Inputs!$E$22/12*1*(1+Inputs!$E$25)*(1+Inputs!$E$26)^(R$5-1)</f>
        <v>-10766.9333333333</v>
      </c>
      <c r="S12" s="65" t="n">
        <f aca="false">-S8*Inputs!$E$22/12*1*(1+Inputs!$E$25)*(1+Inputs!$E$26)^(S$5-1)</f>
        <v>-10766.9333333333</v>
      </c>
      <c r="T12" s="65" t="n">
        <f aca="false">-T8*Inputs!$E$22/12*1*(1+Inputs!$E$25)*(1+Inputs!$E$26)^(T$5-1)</f>
        <v>-10766.9333333333</v>
      </c>
      <c r="U12" s="65" t="n">
        <f aca="false">-U8*Inputs!$E$22/12*1*(1+Inputs!$E$25)*(1+Inputs!$E$26)^(U$5-1)</f>
        <v>-10766.9333333333</v>
      </c>
      <c r="V12" s="65" t="n">
        <f aca="false">-V8*Inputs!$E$22/12*1*(1+Inputs!$E$25)*(1+Inputs!$E$26)^(V$5-1)</f>
        <v>-10766.9333333333</v>
      </c>
      <c r="W12" s="65" t="n">
        <f aca="false">-W8*Inputs!$E$22/12*1*(1+Inputs!$E$25)*(1+Inputs!$E$26)^(W$5-1)</f>
        <v>-10766.9333333333</v>
      </c>
      <c r="X12" s="65" t="n">
        <f aca="false">-X8*Inputs!$E$22/12*1*(1+Inputs!$E$25)*(1+Inputs!$E$26)^(X$5-1)</f>
        <v>-10766.9333333333</v>
      </c>
      <c r="Y12" s="65" t="n">
        <f aca="false">-Y8*Inputs!$E$22/12*1*(1+Inputs!$E$25)*(1+Inputs!$E$26)^(Y$5-1)</f>
        <v>-10766.9333333333</v>
      </c>
      <c r="Z12" s="65" t="n">
        <f aca="false">-Z8*Inputs!$E$22/12*1*(1+Inputs!$E$25)*(1+Inputs!$E$26)^(Z$5-1)</f>
        <v>-10766.9333333333</v>
      </c>
      <c r="AA12" s="65" t="n">
        <f aca="false">-AA8*Inputs!$E$22/12*1*(1+Inputs!$E$25)*(1+Inputs!$E$26)^(AA$5-1)</f>
        <v>-11089.9413333333</v>
      </c>
      <c r="AB12" s="65" t="n">
        <f aca="false">-AB8*Inputs!$E$22/12*1*(1+Inputs!$E$25)*(1+Inputs!$E$26)^(AB$5-1)</f>
        <v>-11089.9413333333</v>
      </c>
      <c r="AC12" s="65" t="n">
        <f aca="false">-AC8*Inputs!$E$22/12*1*(1+Inputs!$E$25)*(1+Inputs!$E$26)^(AC$5-1)</f>
        <v>-11089.9413333333</v>
      </c>
      <c r="AD12" s="65" t="n">
        <f aca="false">-AD8*Inputs!$E$22/12*1*(1+Inputs!$E$25)*(1+Inputs!$E$26)^(AD$5-1)</f>
        <v>-11089.9413333333</v>
      </c>
      <c r="AE12" s="65" t="n">
        <f aca="false">-AE8*Inputs!$E$22/12*1*(1+Inputs!$E$25)*(1+Inputs!$E$26)^(AE$5-1)</f>
        <v>-11089.9413333333</v>
      </c>
      <c r="AF12" s="65" t="n">
        <f aca="false">-AF8*Inputs!$E$22/12*1*(1+Inputs!$E$25)*(1+Inputs!$E$26)^(AF$5-1)</f>
        <v>-11089.9413333333</v>
      </c>
      <c r="AG12" s="65" t="n">
        <f aca="false">-AG8*Inputs!$E$22/12*1*(1+Inputs!$E$25)*(1+Inputs!$E$26)^(AG$5-1)</f>
        <v>-11089.9413333333</v>
      </c>
      <c r="AH12" s="65" t="n">
        <f aca="false">-AH8*Inputs!$E$22/12*1*(1+Inputs!$E$25)*(1+Inputs!$E$26)^(AH$5-1)</f>
        <v>-11089.9413333333</v>
      </c>
      <c r="AI12" s="65" t="n">
        <f aca="false">-AI8*Inputs!$E$22/12*1*(1+Inputs!$E$25)*(1+Inputs!$E$26)^(AI$5-1)</f>
        <v>-11089.9413333333</v>
      </c>
      <c r="AJ12" s="65" t="n">
        <f aca="false">-AJ8*Inputs!$E$22/12*1*(1+Inputs!$E$25)*(1+Inputs!$E$26)^(AJ$5-1)</f>
        <v>-11089.9413333333</v>
      </c>
      <c r="AK12" s="65" t="n">
        <f aca="false">-AK8*Inputs!$E$22/12*1*(1+Inputs!$E$25)*(1+Inputs!$E$26)^(AK$5-1)</f>
        <v>-11089.9413333333</v>
      </c>
      <c r="AL12" s="65" t="n">
        <f aca="false">-AL8*Inputs!$E$22/12*1*(1+Inputs!$E$25)*(1+Inputs!$E$26)^(AL$5-1)</f>
        <v>-11089.9413333333</v>
      </c>
      <c r="AM12" s="65" t="n">
        <f aca="false">-AM8*Inputs!$E$22/12*1*(1+Inputs!$E$25)*(1+Inputs!$E$26)^(AM$5-1)</f>
        <v>-11422.6395733333</v>
      </c>
      <c r="AN12" s="65" t="n">
        <f aca="false">-AN8*Inputs!$E$22/12*1*(1+Inputs!$E$25)*(1+Inputs!$E$26)^(AN$5-1)</f>
        <v>-11422.6395733333</v>
      </c>
      <c r="AO12" s="65" t="n">
        <f aca="false">-AO8*Inputs!$E$22/12*1*(1+Inputs!$E$25)*(1+Inputs!$E$26)^(AO$5-1)</f>
        <v>-11422.6395733333</v>
      </c>
      <c r="AP12" s="65" t="n">
        <f aca="false">-AP8*Inputs!$E$22/12*1*(1+Inputs!$E$25)*(1+Inputs!$E$26)^(AP$5-1)</f>
        <v>-11422.6395733333</v>
      </c>
      <c r="AQ12" s="65" t="n">
        <f aca="false">-AQ8*Inputs!$E$22/12*1*(1+Inputs!$E$25)*(1+Inputs!$E$26)^(AQ$5-1)</f>
        <v>-11422.6395733333</v>
      </c>
      <c r="AR12" s="65" t="n">
        <f aca="false">-AR8*Inputs!$E$22/12*1*(1+Inputs!$E$25)*(1+Inputs!$E$26)^(AR$5-1)</f>
        <v>-11422.6395733333</v>
      </c>
      <c r="AS12" s="65" t="n">
        <f aca="false">-AS8*Inputs!$E$22/12*1*(1+Inputs!$E$25)*(1+Inputs!$E$26)^(AS$5-1)</f>
        <v>-11422.6395733333</v>
      </c>
      <c r="AT12" s="65" t="n">
        <f aca="false">-AT8*Inputs!$E$22/12*1*(1+Inputs!$E$25)*(1+Inputs!$E$26)^(AT$5-1)</f>
        <v>-11422.6395733333</v>
      </c>
      <c r="AU12" s="65" t="n">
        <f aca="false">-AU8*Inputs!$E$22/12*1*(1+Inputs!$E$25)*(1+Inputs!$E$26)^(AU$5-1)</f>
        <v>-11422.6395733333</v>
      </c>
      <c r="AV12" s="65" t="n">
        <f aca="false">-AV8*Inputs!$E$22/12*1*(1+Inputs!$E$25)*(1+Inputs!$E$26)^(AV$5-1)</f>
        <v>-11422.6395733333</v>
      </c>
      <c r="AW12" s="65" t="n">
        <f aca="false">-AW8*Inputs!$E$22/12*1*(1+Inputs!$E$25)*(1+Inputs!$E$26)^(AW$5-1)</f>
        <v>-11422.6395733333</v>
      </c>
      <c r="AX12" s="65" t="n">
        <f aca="false">-AX8*Inputs!$E$22/12*1*(1+Inputs!$E$25)*(1+Inputs!$E$26)^(AX$5-1)</f>
        <v>-11422.6395733333</v>
      </c>
      <c r="AY12" s="65" t="n">
        <f aca="false">-AY8*Inputs!$E$22/12*1*(1+Inputs!$E$25)*(1+Inputs!$E$26)^(AY$5-1)</f>
        <v>-11765.3187605333</v>
      </c>
      <c r="AZ12" s="65" t="n">
        <f aca="false">-AZ8*Inputs!$E$22/12*1*(1+Inputs!$E$25)*(1+Inputs!$E$26)^(AZ$5-1)</f>
        <v>-11765.3187605333</v>
      </c>
      <c r="BA12" s="65" t="n">
        <f aca="false">-BA8*Inputs!$E$22/12*1*(1+Inputs!$E$25)*(1+Inputs!$E$26)^(BA$5-1)</f>
        <v>-11765.3187605333</v>
      </c>
      <c r="BB12" s="65" t="n">
        <f aca="false">-BB8*Inputs!$E$22/12*1*(1+Inputs!$E$25)*(1+Inputs!$E$26)^(BB$5-1)</f>
        <v>-11765.3187605333</v>
      </c>
      <c r="BC12" s="65" t="n">
        <f aca="false">-BC8*Inputs!$E$22/12*1*(1+Inputs!$E$25)*(1+Inputs!$E$26)^(BC$5-1)</f>
        <v>-11765.3187605333</v>
      </c>
      <c r="BD12" s="65" t="n">
        <f aca="false">-BD8*Inputs!$E$22/12*1*(1+Inputs!$E$25)*(1+Inputs!$E$26)^(BD$5-1)</f>
        <v>-11765.3187605333</v>
      </c>
      <c r="BE12" s="65" t="n">
        <f aca="false">-BE8*Inputs!$E$22/12*1*(1+Inputs!$E$25)*(1+Inputs!$E$26)^(BE$5-1)</f>
        <v>-11765.3187605333</v>
      </c>
      <c r="BF12" s="65" t="n">
        <f aca="false">-BF8*Inputs!$E$22/12*1*(1+Inputs!$E$25)*(1+Inputs!$E$26)^(BF$5-1)</f>
        <v>-11765.3187605333</v>
      </c>
      <c r="BG12" s="65" t="n">
        <f aca="false">-BG8*Inputs!$E$22/12*1*(1+Inputs!$E$25)*(1+Inputs!$E$26)^(BG$5-1)</f>
        <v>-11765.3187605333</v>
      </c>
      <c r="BH12" s="65" t="n">
        <f aca="false">-BH8*Inputs!$E$22/12*1*(1+Inputs!$E$25)*(1+Inputs!$E$26)^(BH$5-1)</f>
        <v>-11765.3187605333</v>
      </c>
      <c r="BI12" s="65" t="n">
        <f aca="false">-BI8*Inputs!$E$22/12*1*(1+Inputs!$E$25)*(1+Inputs!$E$26)^(BI$5-1)</f>
        <v>-11765.3187605333</v>
      </c>
      <c r="BJ12" s="65" t="n">
        <f aca="false">-BJ8*Inputs!$E$22/12*1*(1+Inputs!$E$25)*(1+Inputs!$E$26)^(BJ$5-1)</f>
        <v>-11765.3187605333</v>
      </c>
    </row>
    <row r="13" customFormat="false" ht="15" hidden="false" customHeight="false" outlineLevel="0" collapsed="false">
      <c r="A13" s="108" t="s">
        <v>393</v>
      </c>
      <c r="C13" s="66" t="n">
        <f aca="false">C12</f>
        <v>-10453.3333333333</v>
      </c>
      <c r="D13" s="66" t="n">
        <f aca="false">D12</f>
        <v>-10453.3333333333</v>
      </c>
      <c r="E13" s="66" t="n">
        <f aca="false">E12</f>
        <v>-10453.3333333333</v>
      </c>
      <c r="F13" s="66" t="n">
        <f aca="false">F12</f>
        <v>-10453.3333333333</v>
      </c>
      <c r="G13" s="66" t="n">
        <f aca="false">G12</f>
        <v>-10453.3333333333</v>
      </c>
      <c r="H13" s="66" t="n">
        <f aca="false">H12</f>
        <v>-10453.3333333333</v>
      </c>
      <c r="I13" s="66" t="n">
        <f aca="false">I12</f>
        <v>-10453.3333333333</v>
      </c>
      <c r="J13" s="66" t="n">
        <f aca="false">J12</f>
        <v>-10453.3333333333</v>
      </c>
      <c r="K13" s="66" t="n">
        <f aca="false">K12</f>
        <v>-10453.3333333333</v>
      </c>
      <c r="L13" s="66" t="n">
        <f aca="false">L12</f>
        <v>-10453.3333333333</v>
      </c>
      <c r="M13" s="66" t="n">
        <f aca="false">M12</f>
        <v>-10453.3333333333</v>
      </c>
      <c r="N13" s="66" t="n">
        <f aca="false">N12</f>
        <v>-10453.3333333333</v>
      </c>
      <c r="O13" s="66" t="n">
        <f aca="false">O12</f>
        <v>-10766.9333333333</v>
      </c>
      <c r="P13" s="66" t="n">
        <f aca="false">P12</f>
        <v>-10766.9333333333</v>
      </c>
      <c r="Q13" s="66" t="n">
        <f aca="false">Q12</f>
        <v>-10766.9333333333</v>
      </c>
      <c r="R13" s="66" t="n">
        <f aca="false">R12</f>
        <v>-10766.9333333333</v>
      </c>
      <c r="S13" s="66" t="n">
        <f aca="false">S12</f>
        <v>-10766.9333333333</v>
      </c>
      <c r="T13" s="66" t="n">
        <f aca="false">T12</f>
        <v>-10766.9333333333</v>
      </c>
      <c r="U13" s="66" t="n">
        <f aca="false">U12</f>
        <v>-10766.9333333333</v>
      </c>
      <c r="V13" s="66" t="n">
        <f aca="false">V12</f>
        <v>-10766.9333333333</v>
      </c>
      <c r="W13" s="66" t="n">
        <f aca="false">W12</f>
        <v>-10766.9333333333</v>
      </c>
      <c r="X13" s="66" t="n">
        <f aca="false">X12</f>
        <v>-10766.9333333333</v>
      </c>
      <c r="Y13" s="66" t="n">
        <f aca="false">Y12</f>
        <v>-10766.9333333333</v>
      </c>
      <c r="Z13" s="66" t="n">
        <f aca="false">Z12</f>
        <v>-10766.9333333333</v>
      </c>
      <c r="AA13" s="66" t="n">
        <f aca="false">AA12</f>
        <v>-11089.9413333333</v>
      </c>
      <c r="AB13" s="66" t="n">
        <f aca="false">AB12</f>
        <v>-11089.9413333333</v>
      </c>
      <c r="AC13" s="66" t="n">
        <f aca="false">AC12</f>
        <v>-11089.9413333333</v>
      </c>
      <c r="AD13" s="66" t="n">
        <f aca="false">AD12</f>
        <v>-11089.9413333333</v>
      </c>
      <c r="AE13" s="66" t="n">
        <f aca="false">AE12</f>
        <v>-11089.9413333333</v>
      </c>
      <c r="AF13" s="66" t="n">
        <f aca="false">AF12</f>
        <v>-11089.9413333333</v>
      </c>
      <c r="AG13" s="66" t="n">
        <f aca="false">AG12</f>
        <v>-11089.9413333333</v>
      </c>
      <c r="AH13" s="66" t="n">
        <f aca="false">AH12</f>
        <v>-11089.9413333333</v>
      </c>
      <c r="AI13" s="66" t="n">
        <f aca="false">AI12</f>
        <v>-11089.9413333333</v>
      </c>
      <c r="AJ13" s="66" t="n">
        <f aca="false">AJ12</f>
        <v>-11089.9413333333</v>
      </c>
      <c r="AK13" s="66" t="n">
        <f aca="false">AK12</f>
        <v>-11089.9413333333</v>
      </c>
      <c r="AL13" s="66" t="n">
        <f aca="false">AL12</f>
        <v>-11089.9413333333</v>
      </c>
      <c r="AM13" s="66" t="n">
        <f aca="false">AM12</f>
        <v>-11422.6395733333</v>
      </c>
      <c r="AN13" s="66" t="n">
        <f aca="false">AN12</f>
        <v>-11422.6395733333</v>
      </c>
      <c r="AO13" s="66" t="n">
        <f aca="false">AO12</f>
        <v>-11422.6395733333</v>
      </c>
      <c r="AP13" s="66" t="n">
        <f aca="false">AP12</f>
        <v>-11422.6395733333</v>
      </c>
      <c r="AQ13" s="66" t="n">
        <f aca="false">AQ12</f>
        <v>-11422.6395733333</v>
      </c>
      <c r="AR13" s="66" t="n">
        <f aca="false">AR12</f>
        <v>-11422.6395733333</v>
      </c>
      <c r="AS13" s="66" t="n">
        <f aca="false">AS12</f>
        <v>-11422.6395733333</v>
      </c>
      <c r="AT13" s="66" t="n">
        <f aca="false">AT12</f>
        <v>-11422.6395733333</v>
      </c>
      <c r="AU13" s="66" t="n">
        <f aca="false">AU12</f>
        <v>-11422.6395733333</v>
      </c>
      <c r="AV13" s="66" t="n">
        <f aca="false">AV12</f>
        <v>-11422.6395733333</v>
      </c>
      <c r="AW13" s="66" t="n">
        <f aca="false">AW12</f>
        <v>-11422.6395733333</v>
      </c>
      <c r="AX13" s="66" t="n">
        <f aca="false">AX12</f>
        <v>-11422.6395733333</v>
      </c>
      <c r="AY13" s="66" t="n">
        <f aca="false">AY12</f>
        <v>-11765.3187605333</v>
      </c>
      <c r="AZ13" s="66" t="n">
        <f aca="false">AZ12</f>
        <v>-11765.3187605333</v>
      </c>
      <c r="BA13" s="66" t="n">
        <f aca="false">BA12</f>
        <v>-11765.3187605333</v>
      </c>
      <c r="BB13" s="66" t="n">
        <f aca="false">BB12</f>
        <v>-11765.3187605333</v>
      </c>
      <c r="BC13" s="66" t="n">
        <f aca="false">BC12</f>
        <v>-11765.3187605333</v>
      </c>
      <c r="BD13" s="66" t="n">
        <f aca="false">BD12</f>
        <v>-11765.3187605333</v>
      </c>
      <c r="BE13" s="66" t="n">
        <f aca="false">BE12</f>
        <v>-11765.3187605333</v>
      </c>
      <c r="BF13" s="66" t="n">
        <f aca="false">BF12</f>
        <v>-11765.3187605333</v>
      </c>
      <c r="BG13" s="66" t="n">
        <f aca="false">BG12</f>
        <v>-11765.3187605333</v>
      </c>
      <c r="BH13" s="66" t="n">
        <f aca="false">BH12</f>
        <v>-11765.3187605333</v>
      </c>
      <c r="BI13" s="66" t="n">
        <f aca="false">BI12</f>
        <v>-11765.3187605333</v>
      </c>
      <c r="BJ13" s="66" t="n">
        <f aca="false">BJ12</f>
        <v>-11765.3187605333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26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394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395</v>
      </c>
    </row>
    <row r="4" customFormat="false" ht="15.75" hidden="false" customHeight="true" outlineLevel="0" collapsed="false">
      <c r="A4" s="7" t="s">
        <v>396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298</v>
      </c>
      <c r="C5" s="50" t="s">
        <v>299</v>
      </c>
      <c r="D5" s="50" t="s">
        <v>300</v>
      </c>
      <c r="E5" s="50" t="s">
        <v>301</v>
      </c>
      <c r="F5" s="50" t="s">
        <v>302</v>
      </c>
      <c r="G5" s="50" t="s">
        <v>303</v>
      </c>
      <c r="H5" s="50" t="s">
        <v>304</v>
      </c>
      <c r="I5" s="50" t="s">
        <v>305</v>
      </c>
      <c r="J5" s="50" t="s">
        <v>306</v>
      </c>
      <c r="K5" s="50" t="s">
        <v>307</v>
      </c>
      <c r="L5" s="50" t="s">
        <v>308</v>
      </c>
      <c r="M5" s="50" t="s">
        <v>309</v>
      </c>
      <c r="N5" s="50" t="s">
        <v>310</v>
      </c>
      <c r="O5" s="50" t="s">
        <v>311</v>
      </c>
      <c r="P5" s="50" t="s">
        <v>312</v>
      </c>
      <c r="Q5" s="50" t="s">
        <v>313</v>
      </c>
      <c r="R5" s="50" t="s">
        <v>314</v>
      </c>
      <c r="S5" s="50" t="s">
        <v>315</v>
      </c>
      <c r="T5" s="50" t="s">
        <v>316</v>
      </c>
      <c r="U5" s="50" t="s">
        <v>317</v>
      </c>
      <c r="V5" s="50" t="s">
        <v>318</v>
      </c>
      <c r="W5" s="50" t="s">
        <v>319</v>
      </c>
      <c r="X5" s="50" t="s">
        <v>320</v>
      </c>
      <c r="Y5" s="50" t="s">
        <v>321</v>
      </c>
      <c r="Z5" s="50" t="s">
        <v>322</v>
      </c>
      <c r="AA5" s="50" t="s">
        <v>323</v>
      </c>
      <c r="AB5" s="50" t="s">
        <v>324</v>
      </c>
      <c r="AC5" s="50" t="s">
        <v>325</v>
      </c>
      <c r="AD5" s="50" t="s">
        <v>326</v>
      </c>
      <c r="AE5" s="50" t="s">
        <v>327</v>
      </c>
      <c r="AF5" s="50" t="s">
        <v>328</v>
      </c>
      <c r="AG5" s="50" t="s">
        <v>329</v>
      </c>
      <c r="AH5" s="50" t="s">
        <v>330</v>
      </c>
      <c r="AI5" s="50" t="s">
        <v>331</v>
      </c>
      <c r="AJ5" s="50" t="s">
        <v>332</v>
      </c>
      <c r="AK5" s="50" t="s">
        <v>333</v>
      </c>
      <c r="AL5" s="50" t="s">
        <v>334</v>
      </c>
      <c r="AM5" s="50" t="s">
        <v>335</v>
      </c>
      <c r="AN5" s="50" t="s">
        <v>336</v>
      </c>
      <c r="AO5" s="50" t="s">
        <v>337</v>
      </c>
      <c r="AP5" s="50" t="s">
        <v>338</v>
      </c>
      <c r="AQ5" s="50" t="s">
        <v>339</v>
      </c>
      <c r="AR5" s="50" t="s">
        <v>340</v>
      </c>
      <c r="AS5" s="50" t="s">
        <v>341</v>
      </c>
      <c r="AT5" s="50" t="s">
        <v>342</v>
      </c>
      <c r="AU5" s="50" t="s">
        <v>343</v>
      </c>
      <c r="AV5" s="50" t="s">
        <v>344</v>
      </c>
      <c r="AW5" s="50" t="s">
        <v>345</v>
      </c>
      <c r="AX5" s="50" t="s">
        <v>346</v>
      </c>
      <c r="AY5" s="50" t="s">
        <v>347</v>
      </c>
      <c r="AZ5" s="50" t="s">
        <v>348</v>
      </c>
      <c r="BA5" s="50" t="s">
        <v>349</v>
      </c>
      <c r="BB5" s="50" t="s">
        <v>350</v>
      </c>
      <c r="BC5" s="50" t="s">
        <v>351</v>
      </c>
      <c r="BD5" s="50" t="s">
        <v>352</v>
      </c>
      <c r="BE5" s="50" t="s">
        <v>353</v>
      </c>
      <c r="BF5" s="50" t="s">
        <v>354</v>
      </c>
      <c r="BG5" s="50" t="s">
        <v>355</v>
      </c>
      <c r="BH5" s="50" t="s">
        <v>356</v>
      </c>
      <c r="BI5" s="50" t="s">
        <v>357</v>
      </c>
      <c r="BJ5" s="50" t="s">
        <v>358</v>
      </c>
    </row>
    <row r="6" customFormat="false" ht="15" hidden="false" customHeight="false" outlineLevel="0" collapsed="false">
      <c r="A6" s="70" t="s">
        <v>359</v>
      </c>
      <c r="C6" s="70" t="n">
        <v>1</v>
      </c>
      <c r="D6" s="70" t="n">
        <v>2</v>
      </c>
      <c r="E6" s="70" t="n">
        <v>3</v>
      </c>
      <c r="F6" s="70" t="n">
        <v>4</v>
      </c>
      <c r="G6" s="70" t="n">
        <v>5</v>
      </c>
      <c r="H6" s="70" t="n">
        <v>6</v>
      </c>
      <c r="I6" s="70" t="n">
        <v>7</v>
      </c>
      <c r="J6" s="70" t="n">
        <v>8</v>
      </c>
      <c r="K6" s="70" t="n">
        <v>9</v>
      </c>
      <c r="L6" s="70" t="n">
        <v>10</v>
      </c>
      <c r="M6" s="70" t="n">
        <v>11</v>
      </c>
      <c r="N6" s="70" t="n">
        <v>12</v>
      </c>
      <c r="O6" s="70" t="n">
        <v>13</v>
      </c>
      <c r="P6" s="70" t="n">
        <v>14</v>
      </c>
      <c r="Q6" s="70" t="n">
        <v>15</v>
      </c>
      <c r="R6" s="70" t="n">
        <v>16</v>
      </c>
      <c r="S6" s="70" t="n">
        <v>17</v>
      </c>
      <c r="T6" s="70" t="n">
        <v>18</v>
      </c>
      <c r="U6" s="70" t="n">
        <v>19</v>
      </c>
      <c r="V6" s="70" t="n">
        <v>20</v>
      </c>
      <c r="W6" s="70" t="n">
        <v>21</v>
      </c>
      <c r="X6" s="70" t="n">
        <v>22</v>
      </c>
      <c r="Y6" s="70" t="n">
        <v>23</v>
      </c>
      <c r="Z6" s="70" t="n">
        <v>24</v>
      </c>
      <c r="AA6" s="70" t="n">
        <v>25</v>
      </c>
      <c r="AB6" s="70" t="n">
        <v>26</v>
      </c>
      <c r="AC6" s="70" t="n">
        <v>27</v>
      </c>
      <c r="AD6" s="70" t="n">
        <v>28</v>
      </c>
      <c r="AE6" s="70" t="n">
        <v>29</v>
      </c>
      <c r="AF6" s="70" t="n">
        <v>30</v>
      </c>
      <c r="AG6" s="70" t="n">
        <v>31</v>
      </c>
      <c r="AH6" s="70" t="n">
        <v>32</v>
      </c>
      <c r="AI6" s="70" t="n">
        <v>33</v>
      </c>
      <c r="AJ6" s="70" t="n">
        <v>34</v>
      </c>
      <c r="AK6" s="70" t="n">
        <v>35</v>
      </c>
      <c r="AL6" s="70" t="n">
        <v>36</v>
      </c>
      <c r="AM6" s="70" t="n">
        <v>37</v>
      </c>
      <c r="AN6" s="70" t="n">
        <v>38</v>
      </c>
      <c r="AO6" s="70" t="n">
        <v>39</v>
      </c>
      <c r="AP6" s="70" t="n">
        <v>40</v>
      </c>
      <c r="AQ6" s="70" t="n">
        <v>41</v>
      </c>
      <c r="AR6" s="70" t="n">
        <v>42</v>
      </c>
      <c r="AS6" s="70" t="n">
        <v>43</v>
      </c>
      <c r="AT6" s="70" t="n">
        <v>44</v>
      </c>
      <c r="AU6" s="70" t="n">
        <v>45</v>
      </c>
      <c r="AV6" s="70" t="n">
        <v>46</v>
      </c>
      <c r="AW6" s="70" t="n">
        <v>47</v>
      </c>
      <c r="AX6" s="70" t="n">
        <v>48</v>
      </c>
      <c r="AY6" s="70" t="n">
        <v>49</v>
      </c>
      <c r="AZ6" s="70" t="n">
        <v>50</v>
      </c>
      <c r="BA6" s="70" t="n">
        <v>51</v>
      </c>
      <c r="BB6" s="70" t="n">
        <v>52</v>
      </c>
      <c r="BC6" s="70" t="n">
        <v>53</v>
      </c>
      <c r="BD6" s="70" t="n">
        <v>54</v>
      </c>
      <c r="BE6" s="70" t="n">
        <v>55</v>
      </c>
      <c r="BF6" s="70" t="n">
        <v>56</v>
      </c>
      <c r="BG6" s="70" t="n">
        <v>57</v>
      </c>
      <c r="BH6" s="70" t="n">
        <v>58</v>
      </c>
      <c r="BI6" s="70" t="n">
        <v>59</v>
      </c>
      <c r="BJ6" s="70" t="n">
        <v>60</v>
      </c>
    </row>
    <row r="7" customFormat="false" ht="15" hidden="false" customHeight="false" outlineLevel="0" collapsed="false">
      <c r="A7" s="70" t="s">
        <v>152</v>
      </c>
      <c r="C7" s="70" t="n">
        <f aca="false">ROUNDUP(C6*1/12,0)</f>
        <v>1</v>
      </c>
      <c r="D7" s="70" t="n">
        <f aca="false">ROUNDUP(D6*1/12,0)</f>
        <v>1</v>
      </c>
      <c r="E7" s="70" t="n">
        <f aca="false">ROUNDUP(E6*1/12,0)</f>
        <v>1</v>
      </c>
      <c r="F7" s="70" t="n">
        <f aca="false">ROUNDUP(F6*1/12,0)</f>
        <v>1</v>
      </c>
      <c r="G7" s="70" t="n">
        <f aca="false">ROUNDUP(G6*1/12,0)</f>
        <v>1</v>
      </c>
      <c r="H7" s="70" t="n">
        <f aca="false">ROUNDUP(H6*1/12,0)</f>
        <v>1</v>
      </c>
      <c r="I7" s="70" t="n">
        <f aca="false">ROUNDUP(I6*1/12,0)</f>
        <v>1</v>
      </c>
      <c r="J7" s="70" t="n">
        <f aca="false">ROUNDUP(J6*1/12,0)</f>
        <v>1</v>
      </c>
      <c r="K7" s="70" t="n">
        <f aca="false">ROUNDUP(K6*1/12,0)</f>
        <v>1</v>
      </c>
      <c r="L7" s="70" t="n">
        <f aca="false">ROUNDUP(L6*1/12,0)</f>
        <v>1</v>
      </c>
      <c r="M7" s="70" t="n">
        <f aca="false">ROUNDUP(M6*1/12,0)</f>
        <v>1</v>
      </c>
      <c r="N7" s="70" t="n">
        <f aca="false">ROUNDUP(N6*1/12,0)</f>
        <v>1</v>
      </c>
      <c r="O7" s="70" t="n">
        <f aca="false">ROUNDUP(O6*1/12,0)</f>
        <v>2</v>
      </c>
      <c r="P7" s="70" t="n">
        <f aca="false">ROUNDUP(P6*1/12,0)</f>
        <v>2</v>
      </c>
      <c r="Q7" s="70" t="n">
        <f aca="false">ROUNDUP(Q6*1/12,0)</f>
        <v>2</v>
      </c>
      <c r="R7" s="70" t="n">
        <f aca="false">ROUNDUP(R6*1/12,0)</f>
        <v>2</v>
      </c>
      <c r="S7" s="70" t="n">
        <f aca="false">ROUNDUP(S6*1/12,0)</f>
        <v>2</v>
      </c>
      <c r="T7" s="70" t="n">
        <f aca="false">ROUNDUP(T6*1/12,0)</f>
        <v>2</v>
      </c>
      <c r="U7" s="70" t="n">
        <f aca="false">ROUNDUP(U6*1/12,0)</f>
        <v>2</v>
      </c>
      <c r="V7" s="70" t="n">
        <f aca="false">ROUNDUP(V6*1/12,0)</f>
        <v>2</v>
      </c>
      <c r="W7" s="70" t="n">
        <f aca="false">ROUNDUP(W6*1/12,0)</f>
        <v>2</v>
      </c>
      <c r="X7" s="70" t="n">
        <f aca="false">ROUNDUP(X6*1/12,0)</f>
        <v>2</v>
      </c>
      <c r="Y7" s="70" t="n">
        <f aca="false">ROUNDUP(Y6*1/12,0)</f>
        <v>2</v>
      </c>
      <c r="Z7" s="70" t="n">
        <f aca="false">ROUNDUP(Z6*1/12,0)</f>
        <v>2</v>
      </c>
      <c r="AA7" s="70" t="n">
        <f aca="false">ROUNDUP(AA6*1/12,0)</f>
        <v>3</v>
      </c>
      <c r="AB7" s="70" t="n">
        <f aca="false">ROUNDUP(AB6*1/12,0)</f>
        <v>3</v>
      </c>
      <c r="AC7" s="70" t="n">
        <f aca="false">ROUNDUP(AC6*1/12,0)</f>
        <v>3</v>
      </c>
      <c r="AD7" s="70" t="n">
        <f aca="false">ROUNDUP(AD6*1/12,0)</f>
        <v>3</v>
      </c>
      <c r="AE7" s="70" t="n">
        <f aca="false">ROUNDUP(AE6*1/12,0)</f>
        <v>3</v>
      </c>
      <c r="AF7" s="70" t="n">
        <f aca="false">ROUNDUP(AF6*1/12,0)</f>
        <v>3</v>
      </c>
      <c r="AG7" s="70" t="n">
        <f aca="false">ROUNDUP(AG6*1/12,0)</f>
        <v>3</v>
      </c>
      <c r="AH7" s="70" t="n">
        <f aca="false">ROUNDUP(AH6*1/12,0)</f>
        <v>3</v>
      </c>
      <c r="AI7" s="70" t="n">
        <f aca="false">ROUNDUP(AI6*1/12,0)</f>
        <v>3</v>
      </c>
      <c r="AJ7" s="70" t="n">
        <f aca="false">ROUNDUP(AJ6*1/12,0)</f>
        <v>3</v>
      </c>
      <c r="AK7" s="70" t="n">
        <f aca="false">ROUNDUP(AK6*1/12,0)</f>
        <v>3</v>
      </c>
      <c r="AL7" s="70" t="n">
        <f aca="false">ROUNDUP(AL6*1/12,0)</f>
        <v>3</v>
      </c>
      <c r="AM7" s="70" t="n">
        <f aca="false">ROUNDUP(AM6*1/12,0)</f>
        <v>4</v>
      </c>
      <c r="AN7" s="70" t="n">
        <f aca="false">ROUNDUP(AN6*1/12,0)</f>
        <v>4</v>
      </c>
      <c r="AO7" s="70" t="n">
        <f aca="false">ROUNDUP(AO6*1/12,0)</f>
        <v>4</v>
      </c>
      <c r="AP7" s="70" t="n">
        <f aca="false">ROUNDUP(AP6*1/12,0)</f>
        <v>4</v>
      </c>
      <c r="AQ7" s="70" t="n">
        <f aca="false">ROUNDUP(AQ6*1/12,0)</f>
        <v>4</v>
      </c>
      <c r="AR7" s="70" t="n">
        <f aca="false">ROUNDUP(AR6*1/12,0)</f>
        <v>4</v>
      </c>
      <c r="AS7" s="70" t="n">
        <f aca="false">ROUNDUP(AS6*1/12,0)</f>
        <v>4</v>
      </c>
      <c r="AT7" s="70" t="n">
        <f aca="false">ROUNDUP(AT6*1/12,0)</f>
        <v>4</v>
      </c>
      <c r="AU7" s="70" t="n">
        <f aca="false">ROUNDUP(AU6*1/12,0)</f>
        <v>4</v>
      </c>
      <c r="AV7" s="70" t="n">
        <f aca="false">ROUNDUP(AV6*1/12,0)</f>
        <v>4</v>
      </c>
      <c r="AW7" s="70" t="n">
        <f aca="false">ROUNDUP(AW6*1/12,0)</f>
        <v>4</v>
      </c>
      <c r="AX7" s="70" t="n">
        <f aca="false">ROUNDUP(AX6*1/12,0)</f>
        <v>4</v>
      </c>
      <c r="AY7" s="70" t="n">
        <f aca="false">ROUNDUP(AY6*1/12,0)</f>
        <v>5</v>
      </c>
      <c r="AZ7" s="70" t="n">
        <f aca="false">ROUNDUP(AZ6*1/12,0)</f>
        <v>5</v>
      </c>
      <c r="BA7" s="70" t="n">
        <f aca="false">ROUNDUP(BA6*1/12,0)</f>
        <v>5</v>
      </c>
      <c r="BB7" s="70" t="n">
        <f aca="false">ROUNDUP(BB6*1/12,0)</f>
        <v>5</v>
      </c>
      <c r="BC7" s="70" t="n">
        <f aca="false">ROUNDUP(BC6*1/12,0)</f>
        <v>5</v>
      </c>
      <c r="BD7" s="70" t="n">
        <f aca="false">ROUNDUP(BD6*1/12,0)</f>
        <v>5</v>
      </c>
      <c r="BE7" s="70" t="n">
        <f aca="false">ROUNDUP(BE6*1/12,0)</f>
        <v>5</v>
      </c>
      <c r="BF7" s="70" t="n">
        <f aca="false">ROUNDUP(BF6*1/12,0)</f>
        <v>5</v>
      </c>
      <c r="BG7" s="70" t="n">
        <f aca="false">ROUNDUP(BG6*1/12,0)</f>
        <v>5</v>
      </c>
      <c r="BH7" s="70" t="n">
        <f aca="false">ROUNDUP(BH6*1/12,0)</f>
        <v>5</v>
      </c>
      <c r="BI7" s="70" t="n">
        <f aca="false">ROUNDUP(BI6*1/12,0)</f>
        <v>5</v>
      </c>
      <c r="BJ7" s="70" t="n">
        <f aca="false">ROUNDUP(BJ6*1/12,0)</f>
        <v>5</v>
      </c>
    </row>
    <row r="9" customFormat="false" ht="15.75" hidden="false" customHeight="true" outlineLevel="0" collapsed="false">
      <c r="A9" s="7" t="s">
        <v>360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8" t="s">
        <v>361</v>
      </c>
      <c r="C10" s="72" t="n">
        <f aca="false">MIN(1,Inputs!$B$9+(1-Inputs!$B$9)*(C$6-1)/MAX(1,Inputs!$B$8))</f>
        <v>0.4</v>
      </c>
      <c r="D10" s="72" t="n">
        <f aca="false">MIN(1,Inputs!$B$9+(1-Inputs!$B$9)*(D$6-1)/MAX(1,Inputs!$B$8))</f>
        <v>0.466666666666667</v>
      </c>
      <c r="E10" s="72" t="n">
        <f aca="false">MIN(1,Inputs!$B$9+(1-Inputs!$B$9)*(E$6-1)/MAX(1,Inputs!$B$8))</f>
        <v>0.533333333333333</v>
      </c>
      <c r="F10" s="72" t="n">
        <f aca="false">MIN(1,Inputs!$B$9+(1-Inputs!$B$9)*(F$6-1)/MAX(1,Inputs!$B$8))</f>
        <v>0.6</v>
      </c>
      <c r="G10" s="72" t="n">
        <f aca="false">MIN(1,Inputs!$B$9+(1-Inputs!$B$9)*(G$6-1)/MAX(1,Inputs!$B$8))</f>
        <v>0.666666666666667</v>
      </c>
      <c r="H10" s="72" t="n">
        <f aca="false">MIN(1,Inputs!$B$9+(1-Inputs!$B$9)*(H$6-1)/MAX(1,Inputs!$B$8))</f>
        <v>0.733333333333333</v>
      </c>
      <c r="I10" s="72" t="n">
        <f aca="false">MIN(1,Inputs!$B$9+(1-Inputs!$B$9)*(I$6-1)/MAX(1,Inputs!$B$8))</f>
        <v>0.8</v>
      </c>
      <c r="J10" s="72" t="n">
        <f aca="false">MIN(1,Inputs!$B$9+(1-Inputs!$B$9)*(J$6-1)/MAX(1,Inputs!$B$8))</f>
        <v>0.866666666666667</v>
      </c>
      <c r="K10" s="72" t="n">
        <f aca="false">MIN(1,Inputs!$B$9+(1-Inputs!$B$9)*(K$6-1)/MAX(1,Inputs!$B$8))</f>
        <v>0.933333333333333</v>
      </c>
      <c r="L10" s="72" t="n">
        <f aca="false">MIN(1,Inputs!$B$9+(1-Inputs!$B$9)*(L$6-1)/MAX(1,Inputs!$B$8))</f>
        <v>1</v>
      </c>
      <c r="M10" s="72" t="n">
        <f aca="false">MIN(1,Inputs!$B$9+(1-Inputs!$B$9)*(M$6-1)/MAX(1,Inputs!$B$8))</f>
        <v>1</v>
      </c>
      <c r="N10" s="72" t="n">
        <f aca="false">MIN(1,Inputs!$B$9+(1-Inputs!$B$9)*(N$6-1)/MAX(1,Inputs!$B$8))</f>
        <v>1</v>
      </c>
      <c r="O10" s="72" t="n">
        <f aca="false">MIN(1,Inputs!$B$9+(1-Inputs!$B$9)*(O$6-1)/MAX(1,Inputs!$B$8))</f>
        <v>1</v>
      </c>
      <c r="P10" s="72" t="n">
        <f aca="false">MIN(1,Inputs!$B$9+(1-Inputs!$B$9)*(P$6-1)/MAX(1,Inputs!$B$8))</f>
        <v>1</v>
      </c>
      <c r="Q10" s="72" t="n">
        <f aca="false">MIN(1,Inputs!$B$9+(1-Inputs!$B$9)*(Q$6-1)/MAX(1,Inputs!$B$8))</f>
        <v>1</v>
      </c>
      <c r="R10" s="72" t="n">
        <f aca="false">MIN(1,Inputs!$B$9+(1-Inputs!$B$9)*(R$6-1)/MAX(1,Inputs!$B$8))</f>
        <v>1</v>
      </c>
      <c r="S10" s="72" t="n">
        <f aca="false">MIN(1,Inputs!$B$9+(1-Inputs!$B$9)*(S$6-1)/MAX(1,Inputs!$B$8))</f>
        <v>1</v>
      </c>
      <c r="T10" s="72" t="n">
        <f aca="false">MIN(1,Inputs!$B$9+(1-Inputs!$B$9)*(T$6-1)/MAX(1,Inputs!$B$8))</f>
        <v>1</v>
      </c>
      <c r="U10" s="72" t="n">
        <f aca="false">MIN(1,Inputs!$B$9+(1-Inputs!$B$9)*(U$6-1)/MAX(1,Inputs!$B$8))</f>
        <v>1</v>
      </c>
      <c r="V10" s="72" t="n">
        <f aca="false">MIN(1,Inputs!$B$9+(1-Inputs!$B$9)*(V$6-1)/MAX(1,Inputs!$B$8))</f>
        <v>1</v>
      </c>
      <c r="W10" s="72" t="n">
        <f aca="false">MIN(1,Inputs!$B$9+(1-Inputs!$B$9)*(W$6-1)/MAX(1,Inputs!$B$8))</f>
        <v>1</v>
      </c>
      <c r="X10" s="72" t="n">
        <f aca="false">MIN(1,Inputs!$B$9+(1-Inputs!$B$9)*(X$6-1)/MAX(1,Inputs!$B$8))</f>
        <v>1</v>
      </c>
      <c r="Y10" s="72" t="n">
        <f aca="false">MIN(1,Inputs!$B$9+(1-Inputs!$B$9)*(Y$6-1)/MAX(1,Inputs!$B$8))</f>
        <v>1</v>
      </c>
      <c r="Z10" s="72" t="n">
        <f aca="false">MIN(1,Inputs!$B$9+(1-Inputs!$B$9)*(Z$6-1)/MAX(1,Inputs!$B$8))</f>
        <v>1</v>
      </c>
      <c r="AA10" s="72" t="n">
        <f aca="false">MIN(1,Inputs!$B$9+(1-Inputs!$B$9)*(AA$6-1)/MAX(1,Inputs!$B$8))</f>
        <v>1</v>
      </c>
      <c r="AB10" s="72" t="n">
        <f aca="false">MIN(1,Inputs!$B$9+(1-Inputs!$B$9)*(AB$6-1)/MAX(1,Inputs!$B$8))</f>
        <v>1</v>
      </c>
      <c r="AC10" s="72" t="n">
        <f aca="false">MIN(1,Inputs!$B$9+(1-Inputs!$B$9)*(AC$6-1)/MAX(1,Inputs!$B$8))</f>
        <v>1</v>
      </c>
      <c r="AD10" s="72" t="n">
        <f aca="false">MIN(1,Inputs!$B$9+(1-Inputs!$B$9)*(AD$6-1)/MAX(1,Inputs!$B$8))</f>
        <v>1</v>
      </c>
      <c r="AE10" s="72" t="n">
        <f aca="false">MIN(1,Inputs!$B$9+(1-Inputs!$B$9)*(AE$6-1)/MAX(1,Inputs!$B$8))</f>
        <v>1</v>
      </c>
      <c r="AF10" s="72" t="n">
        <f aca="false">MIN(1,Inputs!$B$9+(1-Inputs!$B$9)*(AF$6-1)/MAX(1,Inputs!$B$8))</f>
        <v>1</v>
      </c>
      <c r="AG10" s="72" t="n">
        <f aca="false">MIN(1,Inputs!$B$9+(1-Inputs!$B$9)*(AG$6-1)/MAX(1,Inputs!$B$8))</f>
        <v>1</v>
      </c>
      <c r="AH10" s="72" t="n">
        <f aca="false">MIN(1,Inputs!$B$9+(1-Inputs!$B$9)*(AH$6-1)/MAX(1,Inputs!$B$8))</f>
        <v>1</v>
      </c>
      <c r="AI10" s="72" t="n">
        <f aca="false">MIN(1,Inputs!$B$9+(1-Inputs!$B$9)*(AI$6-1)/MAX(1,Inputs!$B$8))</f>
        <v>1</v>
      </c>
      <c r="AJ10" s="72" t="n">
        <f aca="false">MIN(1,Inputs!$B$9+(1-Inputs!$B$9)*(AJ$6-1)/MAX(1,Inputs!$B$8))</f>
        <v>1</v>
      </c>
      <c r="AK10" s="72" t="n">
        <f aca="false">MIN(1,Inputs!$B$9+(1-Inputs!$B$9)*(AK$6-1)/MAX(1,Inputs!$B$8))</f>
        <v>1</v>
      </c>
      <c r="AL10" s="72" t="n">
        <f aca="false">MIN(1,Inputs!$B$9+(1-Inputs!$B$9)*(AL$6-1)/MAX(1,Inputs!$B$8))</f>
        <v>1</v>
      </c>
      <c r="AM10" s="72" t="n">
        <f aca="false">MIN(1,Inputs!$B$9+(1-Inputs!$B$9)*(AM$6-1)/MAX(1,Inputs!$B$8))</f>
        <v>1</v>
      </c>
      <c r="AN10" s="72" t="n">
        <f aca="false">MIN(1,Inputs!$B$9+(1-Inputs!$B$9)*(AN$6-1)/MAX(1,Inputs!$B$8))</f>
        <v>1</v>
      </c>
      <c r="AO10" s="72" t="n">
        <f aca="false">MIN(1,Inputs!$B$9+(1-Inputs!$B$9)*(AO$6-1)/MAX(1,Inputs!$B$8))</f>
        <v>1</v>
      </c>
      <c r="AP10" s="72" t="n">
        <f aca="false">MIN(1,Inputs!$B$9+(1-Inputs!$B$9)*(AP$6-1)/MAX(1,Inputs!$B$8))</f>
        <v>1</v>
      </c>
      <c r="AQ10" s="72" t="n">
        <f aca="false">MIN(1,Inputs!$B$9+(1-Inputs!$B$9)*(AQ$6-1)/MAX(1,Inputs!$B$8))</f>
        <v>1</v>
      </c>
      <c r="AR10" s="72" t="n">
        <f aca="false">MIN(1,Inputs!$B$9+(1-Inputs!$B$9)*(AR$6-1)/MAX(1,Inputs!$B$8))</f>
        <v>1</v>
      </c>
      <c r="AS10" s="72" t="n">
        <f aca="false">MIN(1,Inputs!$B$9+(1-Inputs!$B$9)*(AS$6-1)/MAX(1,Inputs!$B$8))</f>
        <v>1</v>
      </c>
      <c r="AT10" s="72" t="n">
        <f aca="false">MIN(1,Inputs!$B$9+(1-Inputs!$B$9)*(AT$6-1)/MAX(1,Inputs!$B$8))</f>
        <v>1</v>
      </c>
      <c r="AU10" s="72" t="n">
        <f aca="false">MIN(1,Inputs!$B$9+(1-Inputs!$B$9)*(AU$6-1)/MAX(1,Inputs!$B$8))</f>
        <v>1</v>
      </c>
      <c r="AV10" s="72" t="n">
        <f aca="false">MIN(1,Inputs!$B$9+(1-Inputs!$B$9)*(AV$6-1)/MAX(1,Inputs!$B$8))</f>
        <v>1</v>
      </c>
      <c r="AW10" s="72" t="n">
        <f aca="false">MIN(1,Inputs!$B$9+(1-Inputs!$B$9)*(AW$6-1)/MAX(1,Inputs!$B$8))</f>
        <v>1</v>
      </c>
      <c r="AX10" s="72" t="n">
        <f aca="false">MIN(1,Inputs!$B$9+(1-Inputs!$B$9)*(AX$6-1)/MAX(1,Inputs!$B$8))</f>
        <v>1</v>
      </c>
      <c r="AY10" s="72" t="n">
        <f aca="false">MIN(1,Inputs!$B$9+(1-Inputs!$B$9)*(AY$6-1)/MAX(1,Inputs!$B$8))</f>
        <v>1</v>
      </c>
      <c r="AZ10" s="72" t="n">
        <f aca="false">MIN(1,Inputs!$B$9+(1-Inputs!$B$9)*(AZ$6-1)/MAX(1,Inputs!$B$8))</f>
        <v>1</v>
      </c>
      <c r="BA10" s="72" t="n">
        <f aca="false">MIN(1,Inputs!$B$9+(1-Inputs!$B$9)*(BA$6-1)/MAX(1,Inputs!$B$8))</f>
        <v>1</v>
      </c>
      <c r="BB10" s="72" t="n">
        <f aca="false">MIN(1,Inputs!$B$9+(1-Inputs!$B$9)*(BB$6-1)/MAX(1,Inputs!$B$8))</f>
        <v>1</v>
      </c>
      <c r="BC10" s="72" t="n">
        <f aca="false">MIN(1,Inputs!$B$9+(1-Inputs!$B$9)*(BC$6-1)/MAX(1,Inputs!$B$8))</f>
        <v>1</v>
      </c>
      <c r="BD10" s="72" t="n">
        <f aca="false">MIN(1,Inputs!$B$9+(1-Inputs!$B$9)*(BD$6-1)/MAX(1,Inputs!$B$8))</f>
        <v>1</v>
      </c>
      <c r="BE10" s="72" t="n">
        <f aca="false">MIN(1,Inputs!$B$9+(1-Inputs!$B$9)*(BE$6-1)/MAX(1,Inputs!$B$8))</f>
        <v>1</v>
      </c>
      <c r="BF10" s="72" t="n">
        <f aca="false">MIN(1,Inputs!$B$9+(1-Inputs!$B$9)*(BF$6-1)/MAX(1,Inputs!$B$8))</f>
        <v>1</v>
      </c>
      <c r="BG10" s="72" t="n">
        <f aca="false">MIN(1,Inputs!$B$9+(1-Inputs!$B$9)*(BG$6-1)/MAX(1,Inputs!$B$8))</f>
        <v>1</v>
      </c>
      <c r="BH10" s="72" t="n">
        <f aca="false">MIN(1,Inputs!$B$9+(1-Inputs!$B$9)*(BH$6-1)/MAX(1,Inputs!$B$8))</f>
        <v>1</v>
      </c>
      <c r="BI10" s="72" t="n">
        <f aca="false">MIN(1,Inputs!$B$9+(1-Inputs!$B$9)*(BI$6-1)/MAX(1,Inputs!$B$8))</f>
        <v>1</v>
      </c>
      <c r="BJ10" s="72" t="n">
        <f aca="false">MIN(1,Inputs!$B$9+(1-Inputs!$B$9)*(BJ$6-1)/MAX(1,Inputs!$B$8))</f>
        <v>1</v>
      </c>
    </row>
    <row r="11" customFormat="false" ht="15" hidden="false" customHeight="false" outlineLevel="0" collapsed="false">
      <c r="A11" s="6" t="s">
        <v>362</v>
      </c>
      <c r="C11" s="111" t="n">
        <f aca="false">Inputs!$B$7*C10*(1+Inputs!$B$10)^(C$7-1)</f>
        <v>48</v>
      </c>
      <c r="D11" s="111" t="n">
        <f aca="false">Inputs!$B$7*D10*(1+Inputs!$B$10)^(D$7-1)</f>
        <v>56</v>
      </c>
      <c r="E11" s="111" t="n">
        <f aca="false">Inputs!$B$7*E10*(1+Inputs!$B$10)^(E$7-1)</f>
        <v>64</v>
      </c>
      <c r="F11" s="111" t="n">
        <f aca="false">Inputs!$B$7*F10*(1+Inputs!$B$10)^(F$7-1)</f>
        <v>72</v>
      </c>
      <c r="G11" s="111" t="n">
        <f aca="false">Inputs!$B$7*G10*(1+Inputs!$B$10)^(G$7-1)</f>
        <v>80</v>
      </c>
      <c r="H11" s="111" t="n">
        <f aca="false">Inputs!$B$7*H10*(1+Inputs!$B$10)^(H$7-1)</f>
        <v>88</v>
      </c>
      <c r="I11" s="111" t="n">
        <f aca="false">Inputs!$B$7*I10*(1+Inputs!$B$10)^(I$7-1)</f>
        <v>96</v>
      </c>
      <c r="J11" s="111" t="n">
        <f aca="false">Inputs!$B$7*J10*(1+Inputs!$B$10)^(J$7-1)</f>
        <v>104</v>
      </c>
      <c r="K11" s="111" t="n">
        <f aca="false">Inputs!$B$7*K10*(1+Inputs!$B$10)^(K$7-1)</f>
        <v>112</v>
      </c>
      <c r="L11" s="111" t="n">
        <f aca="false">Inputs!$B$7*L10*(1+Inputs!$B$10)^(L$7-1)</f>
        <v>120</v>
      </c>
      <c r="M11" s="111" t="n">
        <f aca="false">Inputs!$B$7*M10*(1+Inputs!$B$10)^(M$7-1)</f>
        <v>120</v>
      </c>
      <c r="N11" s="111" t="n">
        <f aca="false">Inputs!$B$7*N10*(1+Inputs!$B$10)^(N$7-1)</f>
        <v>120</v>
      </c>
      <c r="O11" s="111" t="n">
        <f aca="false">Inputs!$B$7*O10*(1+Inputs!$B$10)^(O$7-1)</f>
        <v>123.6</v>
      </c>
      <c r="P11" s="111" t="n">
        <f aca="false">Inputs!$B$7*P10*(1+Inputs!$B$10)^(P$7-1)</f>
        <v>123.6</v>
      </c>
      <c r="Q11" s="111" t="n">
        <f aca="false">Inputs!$B$7*Q10*(1+Inputs!$B$10)^(Q$7-1)</f>
        <v>123.6</v>
      </c>
      <c r="R11" s="111" t="n">
        <f aca="false">Inputs!$B$7*R10*(1+Inputs!$B$10)^(R$7-1)</f>
        <v>123.6</v>
      </c>
      <c r="S11" s="111" t="n">
        <f aca="false">Inputs!$B$7*S10*(1+Inputs!$B$10)^(S$7-1)</f>
        <v>123.6</v>
      </c>
      <c r="T11" s="111" t="n">
        <f aca="false">Inputs!$B$7*T10*(1+Inputs!$B$10)^(T$7-1)</f>
        <v>123.6</v>
      </c>
      <c r="U11" s="111" t="n">
        <f aca="false">Inputs!$B$7*U10*(1+Inputs!$B$10)^(U$7-1)</f>
        <v>123.6</v>
      </c>
      <c r="V11" s="111" t="n">
        <f aca="false">Inputs!$B$7*V10*(1+Inputs!$B$10)^(V$7-1)</f>
        <v>123.6</v>
      </c>
      <c r="W11" s="111" t="n">
        <f aca="false">Inputs!$B$7*W10*(1+Inputs!$B$10)^(W$7-1)</f>
        <v>123.6</v>
      </c>
      <c r="X11" s="111" t="n">
        <f aca="false">Inputs!$B$7*X10*(1+Inputs!$B$10)^(X$7-1)</f>
        <v>123.6</v>
      </c>
      <c r="Y11" s="111" t="n">
        <f aca="false">Inputs!$B$7*Y10*(1+Inputs!$B$10)^(Y$7-1)</f>
        <v>123.6</v>
      </c>
      <c r="Z11" s="111" t="n">
        <f aca="false">Inputs!$B$7*Z10*(1+Inputs!$B$10)^(Z$7-1)</f>
        <v>123.6</v>
      </c>
      <c r="AA11" s="111" t="n">
        <f aca="false">Inputs!$B$7*AA10*(1+Inputs!$B$10)^(AA$7-1)</f>
        <v>127.308</v>
      </c>
      <c r="AB11" s="111" t="n">
        <f aca="false">Inputs!$B$7*AB10*(1+Inputs!$B$10)^(AB$7-1)</f>
        <v>127.308</v>
      </c>
      <c r="AC11" s="111" t="n">
        <f aca="false">Inputs!$B$7*AC10*(1+Inputs!$B$10)^(AC$7-1)</f>
        <v>127.308</v>
      </c>
      <c r="AD11" s="111" t="n">
        <f aca="false">Inputs!$B$7*AD10*(1+Inputs!$B$10)^(AD$7-1)</f>
        <v>127.308</v>
      </c>
      <c r="AE11" s="111" t="n">
        <f aca="false">Inputs!$B$7*AE10*(1+Inputs!$B$10)^(AE$7-1)</f>
        <v>127.308</v>
      </c>
      <c r="AF11" s="111" t="n">
        <f aca="false">Inputs!$B$7*AF10*(1+Inputs!$B$10)^(AF$7-1)</f>
        <v>127.308</v>
      </c>
      <c r="AG11" s="111" t="n">
        <f aca="false">Inputs!$B$7*AG10*(1+Inputs!$B$10)^(AG$7-1)</f>
        <v>127.308</v>
      </c>
      <c r="AH11" s="111" t="n">
        <f aca="false">Inputs!$B$7*AH10*(1+Inputs!$B$10)^(AH$7-1)</f>
        <v>127.308</v>
      </c>
      <c r="AI11" s="111" t="n">
        <f aca="false">Inputs!$B$7*AI10*(1+Inputs!$B$10)^(AI$7-1)</f>
        <v>127.308</v>
      </c>
      <c r="AJ11" s="111" t="n">
        <f aca="false">Inputs!$B$7*AJ10*(1+Inputs!$B$10)^(AJ$7-1)</f>
        <v>127.308</v>
      </c>
      <c r="AK11" s="111" t="n">
        <f aca="false">Inputs!$B$7*AK10*(1+Inputs!$B$10)^(AK$7-1)</f>
        <v>127.308</v>
      </c>
      <c r="AL11" s="111" t="n">
        <f aca="false">Inputs!$B$7*AL10*(1+Inputs!$B$10)^(AL$7-1)</f>
        <v>127.308</v>
      </c>
      <c r="AM11" s="111" t="n">
        <f aca="false">Inputs!$B$7*AM10*(1+Inputs!$B$10)^(AM$7-1)</f>
        <v>131.12724</v>
      </c>
      <c r="AN11" s="111" t="n">
        <f aca="false">Inputs!$B$7*AN10*(1+Inputs!$B$10)^(AN$7-1)</f>
        <v>131.12724</v>
      </c>
      <c r="AO11" s="111" t="n">
        <f aca="false">Inputs!$B$7*AO10*(1+Inputs!$B$10)^(AO$7-1)</f>
        <v>131.12724</v>
      </c>
      <c r="AP11" s="111" t="n">
        <f aca="false">Inputs!$B$7*AP10*(1+Inputs!$B$10)^(AP$7-1)</f>
        <v>131.12724</v>
      </c>
      <c r="AQ11" s="111" t="n">
        <f aca="false">Inputs!$B$7*AQ10*(1+Inputs!$B$10)^(AQ$7-1)</f>
        <v>131.12724</v>
      </c>
      <c r="AR11" s="111" t="n">
        <f aca="false">Inputs!$B$7*AR10*(1+Inputs!$B$10)^(AR$7-1)</f>
        <v>131.12724</v>
      </c>
      <c r="AS11" s="111" t="n">
        <f aca="false">Inputs!$B$7*AS10*(1+Inputs!$B$10)^(AS$7-1)</f>
        <v>131.12724</v>
      </c>
      <c r="AT11" s="111" t="n">
        <f aca="false">Inputs!$B$7*AT10*(1+Inputs!$B$10)^(AT$7-1)</f>
        <v>131.12724</v>
      </c>
      <c r="AU11" s="111" t="n">
        <f aca="false">Inputs!$B$7*AU10*(1+Inputs!$B$10)^(AU$7-1)</f>
        <v>131.12724</v>
      </c>
      <c r="AV11" s="111" t="n">
        <f aca="false">Inputs!$B$7*AV10*(1+Inputs!$B$10)^(AV$7-1)</f>
        <v>131.12724</v>
      </c>
      <c r="AW11" s="111" t="n">
        <f aca="false">Inputs!$B$7*AW10*(1+Inputs!$B$10)^(AW$7-1)</f>
        <v>131.12724</v>
      </c>
      <c r="AX11" s="111" t="n">
        <f aca="false">Inputs!$B$7*AX10*(1+Inputs!$B$10)^(AX$7-1)</f>
        <v>131.12724</v>
      </c>
      <c r="AY11" s="111" t="n">
        <f aca="false">Inputs!$B$7*AY10*(1+Inputs!$B$10)^(AY$7-1)</f>
        <v>135.0610572</v>
      </c>
      <c r="AZ11" s="111" t="n">
        <f aca="false">Inputs!$B$7*AZ10*(1+Inputs!$B$10)^(AZ$7-1)</f>
        <v>135.0610572</v>
      </c>
      <c r="BA11" s="111" t="n">
        <f aca="false">Inputs!$B$7*BA10*(1+Inputs!$B$10)^(BA$7-1)</f>
        <v>135.0610572</v>
      </c>
      <c r="BB11" s="111" t="n">
        <f aca="false">Inputs!$B$7*BB10*(1+Inputs!$B$10)^(BB$7-1)</f>
        <v>135.0610572</v>
      </c>
      <c r="BC11" s="111" t="n">
        <f aca="false">Inputs!$B$7*BC10*(1+Inputs!$B$10)^(BC$7-1)</f>
        <v>135.0610572</v>
      </c>
      <c r="BD11" s="111" t="n">
        <f aca="false">Inputs!$B$7*BD10*(1+Inputs!$B$10)^(BD$7-1)</f>
        <v>135.0610572</v>
      </c>
      <c r="BE11" s="111" t="n">
        <f aca="false">Inputs!$B$7*BE10*(1+Inputs!$B$10)^(BE$7-1)</f>
        <v>135.0610572</v>
      </c>
      <c r="BF11" s="111" t="n">
        <f aca="false">Inputs!$B$7*BF10*(1+Inputs!$B$10)^(BF$7-1)</f>
        <v>135.0610572</v>
      </c>
      <c r="BG11" s="111" t="n">
        <f aca="false">Inputs!$B$7*BG10*(1+Inputs!$B$10)^(BG$7-1)</f>
        <v>135.0610572</v>
      </c>
      <c r="BH11" s="111" t="n">
        <f aca="false">Inputs!$B$7*BH10*(1+Inputs!$B$10)^(BH$7-1)</f>
        <v>135.0610572</v>
      </c>
      <c r="BI11" s="111" t="n">
        <f aca="false">Inputs!$B$7*BI10*(1+Inputs!$B$10)^(BI$7-1)</f>
        <v>135.0610572</v>
      </c>
      <c r="BJ11" s="111" t="n">
        <f aca="false">Inputs!$B$7*BJ10*(1+Inputs!$B$10)^(BJ$7-1)</f>
        <v>135.0610572</v>
      </c>
    </row>
    <row r="12" customFormat="false" ht="15" hidden="false" customHeight="false" outlineLevel="0" collapsed="false">
      <c r="A12" s="6" t="s">
        <v>246</v>
      </c>
      <c r="C12" s="112" t="n">
        <f aca="false">Inputs!$B$11*(1+Inputs!$B$12)^(C$7-1)</f>
        <v>5.5</v>
      </c>
      <c r="D12" s="112" t="n">
        <f aca="false">Inputs!$B$11*(1+Inputs!$B$12)^(D$7-1)</f>
        <v>5.5</v>
      </c>
      <c r="E12" s="112" t="n">
        <f aca="false">Inputs!$B$11*(1+Inputs!$B$12)^(E$7-1)</f>
        <v>5.5</v>
      </c>
      <c r="F12" s="112" t="n">
        <f aca="false">Inputs!$B$11*(1+Inputs!$B$12)^(F$7-1)</f>
        <v>5.5</v>
      </c>
      <c r="G12" s="112" t="n">
        <f aca="false">Inputs!$B$11*(1+Inputs!$B$12)^(G$7-1)</f>
        <v>5.5</v>
      </c>
      <c r="H12" s="112" t="n">
        <f aca="false">Inputs!$B$11*(1+Inputs!$B$12)^(H$7-1)</f>
        <v>5.5</v>
      </c>
      <c r="I12" s="112" t="n">
        <f aca="false">Inputs!$B$11*(1+Inputs!$B$12)^(I$7-1)</f>
        <v>5.5</v>
      </c>
      <c r="J12" s="112" t="n">
        <f aca="false">Inputs!$B$11*(1+Inputs!$B$12)^(J$7-1)</f>
        <v>5.5</v>
      </c>
      <c r="K12" s="112" t="n">
        <f aca="false">Inputs!$B$11*(1+Inputs!$B$12)^(K$7-1)</f>
        <v>5.5</v>
      </c>
      <c r="L12" s="112" t="n">
        <f aca="false">Inputs!$B$11*(1+Inputs!$B$12)^(L$7-1)</f>
        <v>5.5</v>
      </c>
      <c r="M12" s="112" t="n">
        <f aca="false">Inputs!$B$11*(1+Inputs!$B$12)^(M$7-1)</f>
        <v>5.5</v>
      </c>
      <c r="N12" s="112" t="n">
        <f aca="false">Inputs!$B$11*(1+Inputs!$B$12)^(N$7-1)</f>
        <v>5.5</v>
      </c>
      <c r="O12" s="112" t="n">
        <f aca="false">Inputs!$B$11*(1+Inputs!$B$12)^(O$7-1)</f>
        <v>5.61</v>
      </c>
      <c r="P12" s="112" t="n">
        <f aca="false">Inputs!$B$11*(1+Inputs!$B$12)^(P$7-1)</f>
        <v>5.61</v>
      </c>
      <c r="Q12" s="112" t="n">
        <f aca="false">Inputs!$B$11*(1+Inputs!$B$12)^(Q$7-1)</f>
        <v>5.61</v>
      </c>
      <c r="R12" s="112" t="n">
        <f aca="false">Inputs!$B$11*(1+Inputs!$B$12)^(R$7-1)</f>
        <v>5.61</v>
      </c>
      <c r="S12" s="112" t="n">
        <f aca="false">Inputs!$B$11*(1+Inputs!$B$12)^(S$7-1)</f>
        <v>5.61</v>
      </c>
      <c r="T12" s="112" t="n">
        <f aca="false">Inputs!$B$11*(1+Inputs!$B$12)^(T$7-1)</f>
        <v>5.61</v>
      </c>
      <c r="U12" s="112" t="n">
        <f aca="false">Inputs!$B$11*(1+Inputs!$B$12)^(U$7-1)</f>
        <v>5.61</v>
      </c>
      <c r="V12" s="112" t="n">
        <f aca="false">Inputs!$B$11*(1+Inputs!$B$12)^(V$7-1)</f>
        <v>5.61</v>
      </c>
      <c r="W12" s="112" t="n">
        <f aca="false">Inputs!$B$11*(1+Inputs!$B$12)^(W$7-1)</f>
        <v>5.61</v>
      </c>
      <c r="X12" s="112" t="n">
        <f aca="false">Inputs!$B$11*(1+Inputs!$B$12)^(X$7-1)</f>
        <v>5.61</v>
      </c>
      <c r="Y12" s="112" t="n">
        <f aca="false">Inputs!$B$11*(1+Inputs!$B$12)^(Y$7-1)</f>
        <v>5.61</v>
      </c>
      <c r="Z12" s="112" t="n">
        <f aca="false">Inputs!$B$11*(1+Inputs!$B$12)^(Z$7-1)</f>
        <v>5.61</v>
      </c>
      <c r="AA12" s="112" t="n">
        <f aca="false">Inputs!$B$11*(1+Inputs!$B$12)^(AA$7-1)</f>
        <v>5.7222</v>
      </c>
      <c r="AB12" s="112" t="n">
        <f aca="false">Inputs!$B$11*(1+Inputs!$B$12)^(AB$7-1)</f>
        <v>5.7222</v>
      </c>
      <c r="AC12" s="112" t="n">
        <f aca="false">Inputs!$B$11*(1+Inputs!$B$12)^(AC$7-1)</f>
        <v>5.7222</v>
      </c>
      <c r="AD12" s="112" t="n">
        <f aca="false">Inputs!$B$11*(1+Inputs!$B$12)^(AD$7-1)</f>
        <v>5.7222</v>
      </c>
      <c r="AE12" s="112" t="n">
        <f aca="false">Inputs!$B$11*(1+Inputs!$B$12)^(AE$7-1)</f>
        <v>5.7222</v>
      </c>
      <c r="AF12" s="112" t="n">
        <f aca="false">Inputs!$B$11*(1+Inputs!$B$12)^(AF$7-1)</f>
        <v>5.7222</v>
      </c>
      <c r="AG12" s="112" t="n">
        <f aca="false">Inputs!$B$11*(1+Inputs!$B$12)^(AG$7-1)</f>
        <v>5.7222</v>
      </c>
      <c r="AH12" s="112" t="n">
        <f aca="false">Inputs!$B$11*(1+Inputs!$B$12)^(AH$7-1)</f>
        <v>5.7222</v>
      </c>
      <c r="AI12" s="112" t="n">
        <f aca="false">Inputs!$B$11*(1+Inputs!$B$12)^(AI$7-1)</f>
        <v>5.7222</v>
      </c>
      <c r="AJ12" s="112" t="n">
        <f aca="false">Inputs!$B$11*(1+Inputs!$B$12)^(AJ$7-1)</f>
        <v>5.7222</v>
      </c>
      <c r="AK12" s="112" t="n">
        <f aca="false">Inputs!$B$11*(1+Inputs!$B$12)^(AK$7-1)</f>
        <v>5.7222</v>
      </c>
      <c r="AL12" s="112" t="n">
        <f aca="false">Inputs!$B$11*(1+Inputs!$B$12)^(AL$7-1)</f>
        <v>5.7222</v>
      </c>
      <c r="AM12" s="112" t="n">
        <f aca="false">Inputs!$B$11*(1+Inputs!$B$12)^(AM$7-1)</f>
        <v>5.836644</v>
      </c>
      <c r="AN12" s="112" t="n">
        <f aca="false">Inputs!$B$11*(1+Inputs!$B$12)^(AN$7-1)</f>
        <v>5.836644</v>
      </c>
      <c r="AO12" s="112" t="n">
        <f aca="false">Inputs!$B$11*(1+Inputs!$B$12)^(AO$7-1)</f>
        <v>5.836644</v>
      </c>
      <c r="AP12" s="112" t="n">
        <f aca="false">Inputs!$B$11*(1+Inputs!$B$12)^(AP$7-1)</f>
        <v>5.836644</v>
      </c>
      <c r="AQ12" s="112" t="n">
        <f aca="false">Inputs!$B$11*(1+Inputs!$B$12)^(AQ$7-1)</f>
        <v>5.836644</v>
      </c>
      <c r="AR12" s="112" t="n">
        <f aca="false">Inputs!$B$11*(1+Inputs!$B$12)^(AR$7-1)</f>
        <v>5.836644</v>
      </c>
      <c r="AS12" s="112" t="n">
        <f aca="false">Inputs!$B$11*(1+Inputs!$B$12)^(AS$7-1)</f>
        <v>5.836644</v>
      </c>
      <c r="AT12" s="112" t="n">
        <f aca="false">Inputs!$B$11*(1+Inputs!$B$12)^(AT$7-1)</f>
        <v>5.836644</v>
      </c>
      <c r="AU12" s="112" t="n">
        <f aca="false">Inputs!$B$11*(1+Inputs!$B$12)^(AU$7-1)</f>
        <v>5.836644</v>
      </c>
      <c r="AV12" s="112" t="n">
        <f aca="false">Inputs!$B$11*(1+Inputs!$B$12)^(AV$7-1)</f>
        <v>5.836644</v>
      </c>
      <c r="AW12" s="112" t="n">
        <f aca="false">Inputs!$B$11*(1+Inputs!$B$12)^(AW$7-1)</f>
        <v>5.836644</v>
      </c>
      <c r="AX12" s="112" t="n">
        <f aca="false">Inputs!$B$11*(1+Inputs!$B$12)^(AX$7-1)</f>
        <v>5.836644</v>
      </c>
      <c r="AY12" s="112" t="n">
        <f aca="false">Inputs!$B$11*(1+Inputs!$B$12)^(AY$7-1)</f>
        <v>5.95337688</v>
      </c>
      <c r="AZ12" s="112" t="n">
        <f aca="false">Inputs!$B$11*(1+Inputs!$B$12)^(AZ$7-1)</f>
        <v>5.95337688</v>
      </c>
      <c r="BA12" s="112" t="n">
        <f aca="false">Inputs!$B$11*(1+Inputs!$B$12)^(BA$7-1)</f>
        <v>5.95337688</v>
      </c>
      <c r="BB12" s="112" t="n">
        <f aca="false">Inputs!$B$11*(1+Inputs!$B$12)^(BB$7-1)</f>
        <v>5.95337688</v>
      </c>
      <c r="BC12" s="112" t="n">
        <f aca="false">Inputs!$B$11*(1+Inputs!$B$12)^(BC$7-1)</f>
        <v>5.95337688</v>
      </c>
      <c r="BD12" s="112" t="n">
        <f aca="false">Inputs!$B$11*(1+Inputs!$B$12)^(BD$7-1)</f>
        <v>5.95337688</v>
      </c>
      <c r="BE12" s="112" t="n">
        <f aca="false">Inputs!$B$11*(1+Inputs!$B$12)^(BE$7-1)</f>
        <v>5.95337688</v>
      </c>
      <c r="BF12" s="112" t="n">
        <f aca="false">Inputs!$B$11*(1+Inputs!$B$12)^(BF$7-1)</f>
        <v>5.95337688</v>
      </c>
      <c r="BG12" s="112" t="n">
        <f aca="false">Inputs!$B$11*(1+Inputs!$B$12)^(BG$7-1)</f>
        <v>5.95337688</v>
      </c>
      <c r="BH12" s="112" t="n">
        <f aca="false">Inputs!$B$11*(1+Inputs!$B$12)^(BH$7-1)</f>
        <v>5.95337688</v>
      </c>
      <c r="BI12" s="112" t="n">
        <f aca="false">Inputs!$B$11*(1+Inputs!$B$12)^(BI$7-1)</f>
        <v>5.95337688</v>
      </c>
      <c r="BJ12" s="112" t="n">
        <f aca="false">Inputs!$B$11*(1+Inputs!$B$12)^(BJ$7-1)</f>
        <v>5.95337688</v>
      </c>
    </row>
    <row r="13" customFormat="false" ht="15" hidden="false" customHeight="false" outlineLevel="0" collapsed="false">
      <c r="A13" s="6" t="s">
        <v>363</v>
      </c>
      <c r="C13" s="113" t="n">
        <f aca="false">Inputs!$B$13*1</f>
        <v>30</v>
      </c>
      <c r="D13" s="113" t="n">
        <f aca="false">Inputs!$B$13*1</f>
        <v>30</v>
      </c>
      <c r="E13" s="113" t="n">
        <f aca="false">Inputs!$B$13*1</f>
        <v>30</v>
      </c>
      <c r="F13" s="113" t="n">
        <f aca="false">Inputs!$B$13*1</f>
        <v>30</v>
      </c>
      <c r="G13" s="113" t="n">
        <f aca="false">Inputs!$B$13*1</f>
        <v>30</v>
      </c>
      <c r="H13" s="113" t="n">
        <f aca="false">Inputs!$B$13*1</f>
        <v>30</v>
      </c>
      <c r="I13" s="113" t="n">
        <f aca="false">Inputs!$B$13*1</f>
        <v>30</v>
      </c>
      <c r="J13" s="113" t="n">
        <f aca="false">Inputs!$B$13*1</f>
        <v>30</v>
      </c>
      <c r="K13" s="113" t="n">
        <f aca="false">Inputs!$B$13*1</f>
        <v>30</v>
      </c>
      <c r="L13" s="113" t="n">
        <f aca="false">Inputs!$B$13*1</f>
        <v>30</v>
      </c>
      <c r="M13" s="113" t="n">
        <f aca="false">Inputs!$B$13*1</f>
        <v>30</v>
      </c>
      <c r="N13" s="113" t="n">
        <f aca="false">Inputs!$B$13*1</f>
        <v>30</v>
      </c>
      <c r="O13" s="113" t="n">
        <f aca="false">Inputs!$B$13*1</f>
        <v>30</v>
      </c>
      <c r="P13" s="113" t="n">
        <f aca="false">Inputs!$B$13*1</f>
        <v>30</v>
      </c>
      <c r="Q13" s="113" t="n">
        <f aca="false">Inputs!$B$13*1</f>
        <v>30</v>
      </c>
      <c r="R13" s="113" t="n">
        <f aca="false">Inputs!$B$13*1</f>
        <v>30</v>
      </c>
      <c r="S13" s="113" t="n">
        <f aca="false">Inputs!$B$13*1</f>
        <v>30</v>
      </c>
      <c r="T13" s="113" t="n">
        <f aca="false">Inputs!$B$13*1</f>
        <v>30</v>
      </c>
      <c r="U13" s="113" t="n">
        <f aca="false">Inputs!$B$13*1</f>
        <v>30</v>
      </c>
      <c r="V13" s="113" t="n">
        <f aca="false">Inputs!$B$13*1</f>
        <v>30</v>
      </c>
      <c r="W13" s="113" t="n">
        <f aca="false">Inputs!$B$13*1</f>
        <v>30</v>
      </c>
      <c r="X13" s="113" t="n">
        <f aca="false">Inputs!$B$13*1</f>
        <v>30</v>
      </c>
      <c r="Y13" s="113" t="n">
        <f aca="false">Inputs!$B$13*1</f>
        <v>30</v>
      </c>
      <c r="Z13" s="113" t="n">
        <f aca="false">Inputs!$B$13*1</f>
        <v>30</v>
      </c>
      <c r="AA13" s="113" t="n">
        <f aca="false">Inputs!$B$13*1</f>
        <v>30</v>
      </c>
      <c r="AB13" s="113" t="n">
        <f aca="false">Inputs!$B$13*1</f>
        <v>30</v>
      </c>
      <c r="AC13" s="113" t="n">
        <f aca="false">Inputs!$B$13*1</f>
        <v>30</v>
      </c>
      <c r="AD13" s="113" t="n">
        <f aca="false">Inputs!$B$13*1</f>
        <v>30</v>
      </c>
      <c r="AE13" s="113" t="n">
        <f aca="false">Inputs!$B$13*1</f>
        <v>30</v>
      </c>
      <c r="AF13" s="113" t="n">
        <f aca="false">Inputs!$B$13*1</f>
        <v>30</v>
      </c>
      <c r="AG13" s="113" t="n">
        <f aca="false">Inputs!$B$13*1</f>
        <v>30</v>
      </c>
      <c r="AH13" s="113" t="n">
        <f aca="false">Inputs!$B$13*1</f>
        <v>30</v>
      </c>
      <c r="AI13" s="113" t="n">
        <f aca="false">Inputs!$B$13*1</f>
        <v>30</v>
      </c>
      <c r="AJ13" s="113" t="n">
        <f aca="false">Inputs!$B$13*1</f>
        <v>30</v>
      </c>
      <c r="AK13" s="113" t="n">
        <f aca="false">Inputs!$B$13*1</f>
        <v>30</v>
      </c>
      <c r="AL13" s="113" t="n">
        <f aca="false">Inputs!$B$13*1</f>
        <v>30</v>
      </c>
      <c r="AM13" s="113" t="n">
        <f aca="false">Inputs!$B$13*1</f>
        <v>30</v>
      </c>
      <c r="AN13" s="113" t="n">
        <f aca="false">Inputs!$B$13*1</f>
        <v>30</v>
      </c>
      <c r="AO13" s="113" t="n">
        <f aca="false">Inputs!$B$13*1</f>
        <v>30</v>
      </c>
      <c r="AP13" s="113" t="n">
        <f aca="false">Inputs!$B$13*1</f>
        <v>30</v>
      </c>
      <c r="AQ13" s="113" t="n">
        <f aca="false">Inputs!$B$13*1</f>
        <v>30</v>
      </c>
      <c r="AR13" s="113" t="n">
        <f aca="false">Inputs!$B$13*1</f>
        <v>30</v>
      </c>
      <c r="AS13" s="113" t="n">
        <f aca="false">Inputs!$B$13*1</f>
        <v>30</v>
      </c>
      <c r="AT13" s="113" t="n">
        <f aca="false">Inputs!$B$13*1</f>
        <v>30</v>
      </c>
      <c r="AU13" s="113" t="n">
        <f aca="false">Inputs!$B$13*1</f>
        <v>30</v>
      </c>
      <c r="AV13" s="113" t="n">
        <f aca="false">Inputs!$B$13*1</f>
        <v>30</v>
      </c>
      <c r="AW13" s="113" t="n">
        <f aca="false">Inputs!$B$13*1</f>
        <v>30</v>
      </c>
      <c r="AX13" s="113" t="n">
        <f aca="false">Inputs!$B$13*1</f>
        <v>30</v>
      </c>
      <c r="AY13" s="113" t="n">
        <f aca="false">Inputs!$B$13*1</f>
        <v>30</v>
      </c>
      <c r="AZ13" s="113" t="n">
        <f aca="false">Inputs!$B$13*1</f>
        <v>30</v>
      </c>
      <c r="BA13" s="113" t="n">
        <f aca="false">Inputs!$B$13*1</f>
        <v>30</v>
      </c>
      <c r="BB13" s="113" t="n">
        <f aca="false">Inputs!$B$13*1</f>
        <v>30</v>
      </c>
      <c r="BC13" s="113" t="n">
        <f aca="false">Inputs!$B$13*1</f>
        <v>30</v>
      </c>
      <c r="BD13" s="113" t="n">
        <f aca="false">Inputs!$B$13*1</f>
        <v>30</v>
      </c>
      <c r="BE13" s="113" t="n">
        <f aca="false">Inputs!$B$13*1</f>
        <v>30</v>
      </c>
      <c r="BF13" s="113" t="n">
        <f aca="false">Inputs!$B$13*1</f>
        <v>30</v>
      </c>
      <c r="BG13" s="113" t="n">
        <f aca="false">Inputs!$B$13*1</f>
        <v>30</v>
      </c>
      <c r="BH13" s="113" t="n">
        <f aca="false">Inputs!$B$13*1</f>
        <v>30</v>
      </c>
      <c r="BI13" s="113" t="n">
        <f aca="false">Inputs!$B$13*1</f>
        <v>30</v>
      </c>
      <c r="BJ13" s="113" t="n">
        <f aca="false">Inputs!$B$13*1</f>
        <v>30</v>
      </c>
    </row>
    <row r="14" customFormat="false" ht="15" hidden="false" customHeight="false" outlineLevel="0" collapsed="false">
      <c r="A14" s="108" t="s">
        <v>44</v>
      </c>
      <c r="C14" s="66" t="n">
        <f aca="false">C11*C12*C13</f>
        <v>7920</v>
      </c>
      <c r="D14" s="66" t="n">
        <f aca="false">D11*D12*D13</f>
        <v>9240</v>
      </c>
      <c r="E14" s="66" t="n">
        <f aca="false">E11*E12*E13</f>
        <v>10560</v>
      </c>
      <c r="F14" s="66" t="n">
        <f aca="false">F11*F12*F13</f>
        <v>11880</v>
      </c>
      <c r="G14" s="66" t="n">
        <f aca="false">G11*G12*G13</f>
        <v>13200</v>
      </c>
      <c r="H14" s="66" t="n">
        <f aca="false">H11*H12*H13</f>
        <v>14520</v>
      </c>
      <c r="I14" s="66" t="n">
        <f aca="false">I11*I12*I13</f>
        <v>15840</v>
      </c>
      <c r="J14" s="66" t="n">
        <f aca="false">J11*J12*J13</f>
        <v>17160</v>
      </c>
      <c r="K14" s="66" t="n">
        <f aca="false">K11*K12*K13</f>
        <v>18480</v>
      </c>
      <c r="L14" s="66" t="n">
        <f aca="false">L11*L12*L13</f>
        <v>19800</v>
      </c>
      <c r="M14" s="66" t="n">
        <f aca="false">M11*M12*M13</f>
        <v>19800</v>
      </c>
      <c r="N14" s="66" t="n">
        <f aca="false">N11*N12*N13</f>
        <v>19800</v>
      </c>
      <c r="O14" s="66" t="n">
        <f aca="false">O11*O12*O13</f>
        <v>20801.88</v>
      </c>
      <c r="P14" s="66" t="n">
        <f aca="false">P11*P12*P13</f>
        <v>20801.88</v>
      </c>
      <c r="Q14" s="66" t="n">
        <f aca="false">Q11*Q12*Q13</f>
        <v>20801.88</v>
      </c>
      <c r="R14" s="66" t="n">
        <f aca="false">R11*R12*R13</f>
        <v>20801.88</v>
      </c>
      <c r="S14" s="66" t="n">
        <f aca="false">S11*S12*S13</f>
        <v>20801.88</v>
      </c>
      <c r="T14" s="66" t="n">
        <f aca="false">T11*T12*T13</f>
        <v>20801.88</v>
      </c>
      <c r="U14" s="66" t="n">
        <f aca="false">U11*U12*U13</f>
        <v>20801.88</v>
      </c>
      <c r="V14" s="66" t="n">
        <f aca="false">V11*V12*V13</f>
        <v>20801.88</v>
      </c>
      <c r="W14" s="66" t="n">
        <f aca="false">W11*W12*W13</f>
        <v>20801.88</v>
      </c>
      <c r="X14" s="66" t="n">
        <f aca="false">X11*X12*X13</f>
        <v>20801.88</v>
      </c>
      <c r="Y14" s="66" t="n">
        <f aca="false">Y11*Y12*Y13</f>
        <v>20801.88</v>
      </c>
      <c r="Z14" s="66" t="n">
        <f aca="false">Z11*Z12*Z13</f>
        <v>20801.88</v>
      </c>
      <c r="AA14" s="66" t="n">
        <f aca="false">AA11*AA12*AA13</f>
        <v>21854.455128</v>
      </c>
      <c r="AB14" s="66" t="n">
        <f aca="false">AB11*AB12*AB13</f>
        <v>21854.455128</v>
      </c>
      <c r="AC14" s="66" t="n">
        <f aca="false">AC11*AC12*AC13</f>
        <v>21854.455128</v>
      </c>
      <c r="AD14" s="66" t="n">
        <f aca="false">AD11*AD12*AD13</f>
        <v>21854.455128</v>
      </c>
      <c r="AE14" s="66" t="n">
        <f aca="false">AE11*AE12*AE13</f>
        <v>21854.455128</v>
      </c>
      <c r="AF14" s="66" t="n">
        <f aca="false">AF11*AF12*AF13</f>
        <v>21854.455128</v>
      </c>
      <c r="AG14" s="66" t="n">
        <f aca="false">AG11*AG12*AG13</f>
        <v>21854.455128</v>
      </c>
      <c r="AH14" s="66" t="n">
        <f aca="false">AH11*AH12*AH13</f>
        <v>21854.455128</v>
      </c>
      <c r="AI14" s="66" t="n">
        <f aca="false">AI11*AI12*AI13</f>
        <v>21854.455128</v>
      </c>
      <c r="AJ14" s="66" t="n">
        <f aca="false">AJ11*AJ12*AJ13</f>
        <v>21854.455128</v>
      </c>
      <c r="AK14" s="66" t="n">
        <f aca="false">AK11*AK12*AK13</f>
        <v>21854.455128</v>
      </c>
      <c r="AL14" s="66" t="n">
        <f aca="false">AL11*AL12*AL13</f>
        <v>21854.455128</v>
      </c>
      <c r="AM14" s="66" t="n">
        <f aca="false">AM11*AM12*AM13</f>
        <v>22960.2905574768</v>
      </c>
      <c r="AN14" s="66" t="n">
        <f aca="false">AN11*AN12*AN13</f>
        <v>22960.2905574768</v>
      </c>
      <c r="AO14" s="66" t="n">
        <f aca="false">AO11*AO12*AO13</f>
        <v>22960.2905574768</v>
      </c>
      <c r="AP14" s="66" t="n">
        <f aca="false">AP11*AP12*AP13</f>
        <v>22960.2905574768</v>
      </c>
      <c r="AQ14" s="66" t="n">
        <f aca="false">AQ11*AQ12*AQ13</f>
        <v>22960.2905574768</v>
      </c>
      <c r="AR14" s="66" t="n">
        <f aca="false">AR11*AR12*AR13</f>
        <v>22960.2905574768</v>
      </c>
      <c r="AS14" s="66" t="n">
        <f aca="false">AS11*AS12*AS13</f>
        <v>22960.2905574768</v>
      </c>
      <c r="AT14" s="66" t="n">
        <f aca="false">AT11*AT12*AT13</f>
        <v>22960.2905574768</v>
      </c>
      <c r="AU14" s="66" t="n">
        <f aca="false">AU11*AU12*AU13</f>
        <v>22960.2905574768</v>
      </c>
      <c r="AV14" s="66" t="n">
        <f aca="false">AV11*AV12*AV13</f>
        <v>22960.2905574768</v>
      </c>
      <c r="AW14" s="66" t="n">
        <f aca="false">AW11*AW12*AW13</f>
        <v>22960.2905574768</v>
      </c>
      <c r="AX14" s="66" t="n">
        <f aca="false">AX11*AX12*AX13</f>
        <v>22960.2905574768</v>
      </c>
      <c r="AY14" s="66" t="n">
        <f aca="false">AY11*AY12*AY13</f>
        <v>24122.0812596851</v>
      </c>
      <c r="AZ14" s="66" t="n">
        <f aca="false">AZ11*AZ12*AZ13</f>
        <v>24122.0812596851</v>
      </c>
      <c r="BA14" s="66" t="n">
        <f aca="false">BA11*BA12*BA13</f>
        <v>24122.0812596851</v>
      </c>
      <c r="BB14" s="66" t="n">
        <f aca="false">BB11*BB12*BB13</f>
        <v>24122.0812596851</v>
      </c>
      <c r="BC14" s="66" t="n">
        <f aca="false">BC11*BC12*BC13</f>
        <v>24122.0812596851</v>
      </c>
      <c r="BD14" s="66" t="n">
        <f aca="false">BD11*BD12*BD13</f>
        <v>24122.0812596851</v>
      </c>
      <c r="BE14" s="66" t="n">
        <f aca="false">BE11*BE12*BE13</f>
        <v>24122.0812596851</v>
      </c>
      <c r="BF14" s="66" t="n">
        <f aca="false">BF11*BF12*BF13</f>
        <v>24122.0812596851</v>
      </c>
      <c r="BG14" s="66" t="n">
        <f aca="false">BG11*BG12*BG13</f>
        <v>24122.0812596851</v>
      </c>
      <c r="BH14" s="66" t="n">
        <f aca="false">BH11*BH12*BH13</f>
        <v>24122.0812596851</v>
      </c>
      <c r="BI14" s="66" t="n">
        <f aca="false">BI11*BI12*BI13</f>
        <v>24122.0812596851</v>
      </c>
      <c r="BJ14" s="66" t="n">
        <f aca="false">BJ11*BJ12*BJ13</f>
        <v>24122.0812596851</v>
      </c>
    </row>
    <row r="15" customFormat="false" ht="15" hidden="false" customHeight="false" outlineLevel="0" collapsed="false">
      <c r="A15" s="6" t="s">
        <v>74</v>
      </c>
      <c r="C15" s="65" t="n">
        <f aca="false">-C14*Inputs!$B$14</f>
        <v>-2851.2</v>
      </c>
      <c r="D15" s="65" t="n">
        <f aca="false">-D14*Inputs!$B$14</f>
        <v>-3326.4</v>
      </c>
      <c r="E15" s="65" t="n">
        <f aca="false">-E14*Inputs!$B$14</f>
        <v>-3801.6</v>
      </c>
      <c r="F15" s="65" t="n">
        <f aca="false">-F14*Inputs!$B$14</f>
        <v>-4276.8</v>
      </c>
      <c r="G15" s="65" t="n">
        <f aca="false">-G14*Inputs!$B$14</f>
        <v>-4752</v>
      </c>
      <c r="H15" s="65" t="n">
        <f aca="false">-H14*Inputs!$B$14</f>
        <v>-5227.2</v>
      </c>
      <c r="I15" s="65" t="n">
        <f aca="false">-I14*Inputs!$B$14</f>
        <v>-5702.4</v>
      </c>
      <c r="J15" s="65" t="n">
        <f aca="false">-J14*Inputs!$B$14</f>
        <v>-6177.6</v>
      </c>
      <c r="K15" s="65" t="n">
        <f aca="false">-K14*Inputs!$B$14</f>
        <v>-6652.8</v>
      </c>
      <c r="L15" s="65" t="n">
        <f aca="false">-L14*Inputs!$B$14</f>
        <v>-7128</v>
      </c>
      <c r="M15" s="65" t="n">
        <f aca="false">-M14*Inputs!$B$14</f>
        <v>-7128</v>
      </c>
      <c r="N15" s="65" t="n">
        <f aca="false">-N14*Inputs!$B$14</f>
        <v>-7128</v>
      </c>
      <c r="O15" s="65" t="n">
        <f aca="false">-O14*Inputs!$B$14</f>
        <v>-7488.6768</v>
      </c>
      <c r="P15" s="65" t="n">
        <f aca="false">-P14*Inputs!$B$14</f>
        <v>-7488.6768</v>
      </c>
      <c r="Q15" s="65" t="n">
        <f aca="false">-Q14*Inputs!$B$14</f>
        <v>-7488.6768</v>
      </c>
      <c r="R15" s="65" t="n">
        <f aca="false">-R14*Inputs!$B$14</f>
        <v>-7488.6768</v>
      </c>
      <c r="S15" s="65" t="n">
        <f aca="false">-S14*Inputs!$B$14</f>
        <v>-7488.6768</v>
      </c>
      <c r="T15" s="65" t="n">
        <f aca="false">-T14*Inputs!$B$14</f>
        <v>-7488.6768</v>
      </c>
      <c r="U15" s="65" t="n">
        <f aca="false">-U14*Inputs!$B$14</f>
        <v>-7488.6768</v>
      </c>
      <c r="V15" s="65" t="n">
        <f aca="false">-V14*Inputs!$B$14</f>
        <v>-7488.6768</v>
      </c>
      <c r="W15" s="65" t="n">
        <f aca="false">-W14*Inputs!$B$14</f>
        <v>-7488.6768</v>
      </c>
      <c r="X15" s="65" t="n">
        <f aca="false">-X14*Inputs!$B$14</f>
        <v>-7488.6768</v>
      </c>
      <c r="Y15" s="65" t="n">
        <f aca="false">-Y14*Inputs!$B$14</f>
        <v>-7488.6768</v>
      </c>
      <c r="Z15" s="65" t="n">
        <f aca="false">-Z14*Inputs!$B$14</f>
        <v>-7488.6768</v>
      </c>
      <c r="AA15" s="65" t="n">
        <f aca="false">-AA14*Inputs!$B$14</f>
        <v>-7867.60384608</v>
      </c>
      <c r="AB15" s="65" t="n">
        <f aca="false">-AB14*Inputs!$B$14</f>
        <v>-7867.60384608</v>
      </c>
      <c r="AC15" s="65" t="n">
        <f aca="false">-AC14*Inputs!$B$14</f>
        <v>-7867.60384608</v>
      </c>
      <c r="AD15" s="65" t="n">
        <f aca="false">-AD14*Inputs!$B$14</f>
        <v>-7867.60384608</v>
      </c>
      <c r="AE15" s="65" t="n">
        <f aca="false">-AE14*Inputs!$B$14</f>
        <v>-7867.60384608</v>
      </c>
      <c r="AF15" s="65" t="n">
        <f aca="false">-AF14*Inputs!$B$14</f>
        <v>-7867.60384608</v>
      </c>
      <c r="AG15" s="65" t="n">
        <f aca="false">-AG14*Inputs!$B$14</f>
        <v>-7867.60384608</v>
      </c>
      <c r="AH15" s="65" t="n">
        <f aca="false">-AH14*Inputs!$B$14</f>
        <v>-7867.60384608</v>
      </c>
      <c r="AI15" s="65" t="n">
        <f aca="false">-AI14*Inputs!$B$14</f>
        <v>-7867.60384608</v>
      </c>
      <c r="AJ15" s="65" t="n">
        <f aca="false">-AJ14*Inputs!$B$14</f>
        <v>-7867.60384608</v>
      </c>
      <c r="AK15" s="65" t="n">
        <f aca="false">-AK14*Inputs!$B$14</f>
        <v>-7867.60384608</v>
      </c>
      <c r="AL15" s="65" t="n">
        <f aca="false">-AL14*Inputs!$B$14</f>
        <v>-7867.60384608</v>
      </c>
      <c r="AM15" s="65" t="n">
        <f aca="false">-AM14*Inputs!$B$14</f>
        <v>-8265.70460069165</v>
      </c>
      <c r="AN15" s="65" t="n">
        <f aca="false">-AN14*Inputs!$B$14</f>
        <v>-8265.70460069165</v>
      </c>
      <c r="AO15" s="65" t="n">
        <f aca="false">-AO14*Inputs!$B$14</f>
        <v>-8265.70460069165</v>
      </c>
      <c r="AP15" s="65" t="n">
        <f aca="false">-AP14*Inputs!$B$14</f>
        <v>-8265.70460069165</v>
      </c>
      <c r="AQ15" s="65" t="n">
        <f aca="false">-AQ14*Inputs!$B$14</f>
        <v>-8265.70460069165</v>
      </c>
      <c r="AR15" s="65" t="n">
        <f aca="false">-AR14*Inputs!$B$14</f>
        <v>-8265.70460069165</v>
      </c>
      <c r="AS15" s="65" t="n">
        <f aca="false">-AS14*Inputs!$B$14</f>
        <v>-8265.70460069165</v>
      </c>
      <c r="AT15" s="65" t="n">
        <f aca="false">-AT14*Inputs!$B$14</f>
        <v>-8265.70460069165</v>
      </c>
      <c r="AU15" s="65" t="n">
        <f aca="false">-AU14*Inputs!$B$14</f>
        <v>-8265.70460069165</v>
      </c>
      <c r="AV15" s="65" t="n">
        <f aca="false">-AV14*Inputs!$B$14</f>
        <v>-8265.70460069165</v>
      </c>
      <c r="AW15" s="65" t="n">
        <f aca="false">-AW14*Inputs!$B$14</f>
        <v>-8265.70460069165</v>
      </c>
      <c r="AX15" s="65" t="n">
        <f aca="false">-AX14*Inputs!$B$14</f>
        <v>-8265.70460069165</v>
      </c>
      <c r="AY15" s="65" t="n">
        <f aca="false">-AY14*Inputs!$B$14</f>
        <v>-8683.94925348665</v>
      </c>
      <c r="AZ15" s="65" t="n">
        <f aca="false">-AZ14*Inputs!$B$14</f>
        <v>-8683.94925348665</v>
      </c>
      <c r="BA15" s="65" t="n">
        <f aca="false">-BA14*Inputs!$B$14</f>
        <v>-8683.94925348665</v>
      </c>
      <c r="BB15" s="65" t="n">
        <f aca="false">-BB14*Inputs!$B$14</f>
        <v>-8683.94925348665</v>
      </c>
      <c r="BC15" s="65" t="n">
        <f aca="false">-BC14*Inputs!$B$14</f>
        <v>-8683.94925348665</v>
      </c>
      <c r="BD15" s="65" t="n">
        <f aca="false">-BD14*Inputs!$B$14</f>
        <v>-8683.94925348665</v>
      </c>
      <c r="BE15" s="65" t="n">
        <f aca="false">-BE14*Inputs!$B$14</f>
        <v>-8683.94925348665</v>
      </c>
      <c r="BF15" s="65" t="n">
        <f aca="false">-BF14*Inputs!$B$14</f>
        <v>-8683.94925348665</v>
      </c>
      <c r="BG15" s="65" t="n">
        <f aca="false">-BG14*Inputs!$B$14</f>
        <v>-8683.94925348665</v>
      </c>
      <c r="BH15" s="65" t="n">
        <f aca="false">-BH14*Inputs!$B$14</f>
        <v>-8683.94925348665</v>
      </c>
      <c r="BI15" s="65" t="n">
        <f aca="false">-BI14*Inputs!$B$14</f>
        <v>-8683.94925348665</v>
      </c>
      <c r="BJ15" s="65" t="n">
        <f aca="false">-BJ14*Inputs!$B$14</f>
        <v>-8683.94925348665</v>
      </c>
    </row>
    <row r="16" customFormat="false" ht="15" hidden="false" customHeight="false" outlineLevel="0" collapsed="false">
      <c r="A16" s="108" t="s">
        <v>45</v>
      </c>
      <c r="C16" s="66" t="n">
        <f aca="false">C14+C15</f>
        <v>5068.8</v>
      </c>
      <c r="D16" s="66" t="n">
        <f aca="false">D14+D15</f>
        <v>5913.6</v>
      </c>
      <c r="E16" s="66" t="n">
        <f aca="false">E14+E15</f>
        <v>6758.4</v>
      </c>
      <c r="F16" s="66" t="n">
        <f aca="false">F14+F15</f>
        <v>7603.2</v>
      </c>
      <c r="G16" s="66" t="n">
        <f aca="false">G14+G15</f>
        <v>8448</v>
      </c>
      <c r="H16" s="66" t="n">
        <f aca="false">H14+H15</f>
        <v>9292.8</v>
      </c>
      <c r="I16" s="66" t="n">
        <f aca="false">I14+I15</f>
        <v>10137.6</v>
      </c>
      <c r="J16" s="66" t="n">
        <f aca="false">J14+J15</f>
        <v>10982.4</v>
      </c>
      <c r="K16" s="66" t="n">
        <f aca="false">K14+K15</f>
        <v>11827.2</v>
      </c>
      <c r="L16" s="66" t="n">
        <f aca="false">L14+L15</f>
        <v>12672</v>
      </c>
      <c r="M16" s="66" t="n">
        <f aca="false">M14+M15</f>
        <v>12672</v>
      </c>
      <c r="N16" s="66" t="n">
        <f aca="false">N14+N15</f>
        <v>12672</v>
      </c>
      <c r="O16" s="66" t="n">
        <f aca="false">O14+O15</f>
        <v>13313.2032</v>
      </c>
      <c r="P16" s="66" t="n">
        <f aca="false">P14+P15</f>
        <v>13313.2032</v>
      </c>
      <c r="Q16" s="66" t="n">
        <f aca="false">Q14+Q15</f>
        <v>13313.2032</v>
      </c>
      <c r="R16" s="66" t="n">
        <f aca="false">R14+R15</f>
        <v>13313.2032</v>
      </c>
      <c r="S16" s="66" t="n">
        <f aca="false">S14+S15</f>
        <v>13313.2032</v>
      </c>
      <c r="T16" s="66" t="n">
        <f aca="false">T14+T15</f>
        <v>13313.2032</v>
      </c>
      <c r="U16" s="66" t="n">
        <f aca="false">U14+U15</f>
        <v>13313.2032</v>
      </c>
      <c r="V16" s="66" t="n">
        <f aca="false">V14+V15</f>
        <v>13313.2032</v>
      </c>
      <c r="W16" s="66" t="n">
        <f aca="false">W14+W15</f>
        <v>13313.2032</v>
      </c>
      <c r="X16" s="66" t="n">
        <f aca="false">X14+X15</f>
        <v>13313.2032</v>
      </c>
      <c r="Y16" s="66" t="n">
        <f aca="false">Y14+Y15</f>
        <v>13313.2032</v>
      </c>
      <c r="Z16" s="66" t="n">
        <f aca="false">Z14+Z15</f>
        <v>13313.2032</v>
      </c>
      <c r="AA16" s="66" t="n">
        <f aca="false">AA14+AA15</f>
        <v>13986.85128192</v>
      </c>
      <c r="AB16" s="66" t="n">
        <f aca="false">AB14+AB15</f>
        <v>13986.85128192</v>
      </c>
      <c r="AC16" s="66" t="n">
        <f aca="false">AC14+AC15</f>
        <v>13986.85128192</v>
      </c>
      <c r="AD16" s="66" t="n">
        <f aca="false">AD14+AD15</f>
        <v>13986.85128192</v>
      </c>
      <c r="AE16" s="66" t="n">
        <f aca="false">AE14+AE15</f>
        <v>13986.85128192</v>
      </c>
      <c r="AF16" s="66" t="n">
        <f aca="false">AF14+AF15</f>
        <v>13986.85128192</v>
      </c>
      <c r="AG16" s="66" t="n">
        <f aca="false">AG14+AG15</f>
        <v>13986.85128192</v>
      </c>
      <c r="AH16" s="66" t="n">
        <f aca="false">AH14+AH15</f>
        <v>13986.85128192</v>
      </c>
      <c r="AI16" s="66" t="n">
        <f aca="false">AI14+AI15</f>
        <v>13986.85128192</v>
      </c>
      <c r="AJ16" s="66" t="n">
        <f aca="false">AJ14+AJ15</f>
        <v>13986.85128192</v>
      </c>
      <c r="AK16" s="66" t="n">
        <f aca="false">AK14+AK15</f>
        <v>13986.85128192</v>
      </c>
      <c r="AL16" s="66" t="n">
        <f aca="false">AL14+AL15</f>
        <v>13986.85128192</v>
      </c>
      <c r="AM16" s="66" t="n">
        <f aca="false">AM14+AM15</f>
        <v>14694.5859567852</v>
      </c>
      <c r="AN16" s="66" t="n">
        <f aca="false">AN14+AN15</f>
        <v>14694.5859567852</v>
      </c>
      <c r="AO16" s="66" t="n">
        <f aca="false">AO14+AO15</f>
        <v>14694.5859567852</v>
      </c>
      <c r="AP16" s="66" t="n">
        <f aca="false">AP14+AP15</f>
        <v>14694.5859567852</v>
      </c>
      <c r="AQ16" s="66" t="n">
        <f aca="false">AQ14+AQ15</f>
        <v>14694.5859567852</v>
      </c>
      <c r="AR16" s="66" t="n">
        <f aca="false">AR14+AR15</f>
        <v>14694.5859567852</v>
      </c>
      <c r="AS16" s="66" t="n">
        <f aca="false">AS14+AS15</f>
        <v>14694.5859567852</v>
      </c>
      <c r="AT16" s="66" t="n">
        <f aca="false">AT14+AT15</f>
        <v>14694.5859567852</v>
      </c>
      <c r="AU16" s="66" t="n">
        <f aca="false">AU14+AU15</f>
        <v>14694.5859567852</v>
      </c>
      <c r="AV16" s="66" t="n">
        <f aca="false">AV14+AV15</f>
        <v>14694.5859567852</v>
      </c>
      <c r="AW16" s="66" t="n">
        <f aca="false">AW14+AW15</f>
        <v>14694.5859567852</v>
      </c>
      <c r="AX16" s="66" t="n">
        <f aca="false">AX14+AX15</f>
        <v>14694.5859567852</v>
      </c>
      <c r="AY16" s="66" t="n">
        <f aca="false">AY14+AY15</f>
        <v>15438.1320061985</v>
      </c>
      <c r="AZ16" s="66" t="n">
        <f aca="false">AZ14+AZ15</f>
        <v>15438.1320061985</v>
      </c>
      <c r="BA16" s="66" t="n">
        <f aca="false">BA14+BA15</f>
        <v>15438.1320061985</v>
      </c>
      <c r="BB16" s="66" t="n">
        <f aca="false">BB14+BB15</f>
        <v>15438.1320061985</v>
      </c>
      <c r="BC16" s="66" t="n">
        <f aca="false">BC14+BC15</f>
        <v>15438.1320061985</v>
      </c>
      <c r="BD16" s="66" t="n">
        <f aca="false">BD14+BD15</f>
        <v>15438.1320061985</v>
      </c>
      <c r="BE16" s="66" t="n">
        <f aca="false">BE14+BE15</f>
        <v>15438.1320061985</v>
      </c>
      <c r="BF16" s="66" t="n">
        <f aca="false">BF14+BF15</f>
        <v>15438.1320061985</v>
      </c>
      <c r="BG16" s="66" t="n">
        <f aca="false">BG14+BG15</f>
        <v>15438.1320061985</v>
      </c>
      <c r="BH16" s="66" t="n">
        <f aca="false">BH14+BH15</f>
        <v>15438.1320061985</v>
      </c>
      <c r="BI16" s="66" t="n">
        <f aca="false">BI14+BI15</f>
        <v>15438.1320061985</v>
      </c>
      <c r="BJ16" s="66" t="n">
        <f aca="false">BJ14+BJ15</f>
        <v>15438.1320061985</v>
      </c>
    </row>
    <row r="18" customFormat="false" ht="15.75" hidden="false" customHeight="true" outlineLevel="0" collapsed="false">
      <c r="A18" s="7" t="s">
        <v>47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286</v>
      </c>
      <c r="C19" s="65" t="n">
        <f aca="false">-Inputs!$B$15*1</f>
        <v>-4500</v>
      </c>
      <c r="D19" s="65" t="n">
        <f aca="false">-Inputs!$B$15*1</f>
        <v>-4500</v>
      </c>
      <c r="E19" s="65" t="n">
        <f aca="false">-Inputs!$B$15*1</f>
        <v>-4500</v>
      </c>
      <c r="F19" s="65" t="n">
        <f aca="false">-Inputs!$B$15*1</f>
        <v>-4500</v>
      </c>
      <c r="G19" s="65" t="n">
        <f aca="false">-Inputs!$B$15*1</f>
        <v>-4500</v>
      </c>
      <c r="H19" s="65" t="n">
        <f aca="false">-Inputs!$B$15*1</f>
        <v>-4500</v>
      </c>
      <c r="I19" s="65" t="n">
        <f aca="false">-Inputs!$B$15*1</f>
        <v>-4500</v>
      </c>
      <c r="J19" s="65" t="n">
        <f aca="false">-Inputs!$B$15*1</f>
        <v>-4500</v>
      </c>
      <c r="K19" s="65" t="n">
        <f aca="false">-Inputs!$B$15*1</f>
        <v>-4500</v>
      </c>
      <c r="L19" s="65" t="n">
        <f aca="false">-Inputs!$B$15*1</f>
        <v>-4500</v>
      </c>
      <c r="M19" s="65" t="n">
        <f aca="false">-Inputs!$B$15*1</f>
        <v>-4500</v>
      </c>
      <c r="N19" s="65" t="n">
        <f aca="false">-Inputs!$B$15*1</f>
        <v>-4500</v>
      </c>
      <c r="O19" s="65" t="n">
        <f aca="false">-Inputs!$B$15*1</f>
        <v>-4500</v>
      </c>
      <c r="P19" s="65" t="n">
        <f aca="false">-Inputs!$B$15*1</f>
        <v>-4500</v>
      </c>
      <c r="Q19" s="65" t="n">
        <f aca="false">-Inputs!$B$15*1</f>
        <v>-4500</v>
      </c>
      <c r="R19" s="65" t="n">
        <f aca="false">-Inputs!$B$15*1</f>
        <v>-4500</v>
      </c>
      <c r="S19" s="65" t="n">
        <f aca="false">-Inputs!$B$15*1</f>
        <v>-4500</v>
      </c>
      <c r="T19" s="65" t="n">
        <f aca="false">-Inputs!$B$15*1</f>
        <v>-4500</v>
      </c>
      <c r="U19" s="65" t="n">
        <f aca="false">-Inputs!$B$15*1</f>
        <v>-4500</v>
      </c>
      <c r="V19" s="65" t="n">
        <f aca="false">-Inputs!$B$15*1</f>
        <v>-4500</v>
      </c>
      <c r="W19" s="65" t="n">
        <f aca="false">-Inputs!$B$15*1</f>
        <v>-4500</v>
      </c>
      <c r="X19" s="65" t="n">
        <f aca="false">-Inputs!$B$15*1</f>
        <v>-4500</v>
      </c>
      <c r="Y19" s="65" t="n">
        <f aca="false">-Inputs!$B$15*1</f>
        <v>-4500</v>
      </c>
      <c r="Z19" s="65" t="n">
        <f aca="false">-Inputs!$B$15*1</f>
        <v>-4500</v>
      </c>
      <c r="AA19" s="65" t="n">
        <f aca="false">-Inputs!$B$15*1</f>
        <v>-4500</v>
      </c>
      <c r="AB19" s="65" t="n">
        <f aca="false">-Inputs!$B$15*1</f>
        <v>-4500</v>
      </c>
      <c r="AC19" s="65" t="n">
        <f aca="false">-Inputs!$B$15*1</f>
        <v>-4500</v>
      </c>
      <c r="AD19" s="65" t="n">
        <f aca="false">-Inputs!$B$15*1</f>
        <v>-4500</v>
      </c>
      <c r="AE19" s="65" t="n">
        <f aca="false">-Inputs!$B$15*1</f>
        <v>-4500</v>
      </c>
      <c r="AF19" s="65" t="n">
        <f aca="false">-Inputs!$B$15*1</f>
        <v>-4500</v>
      </c>
      <c r="AG19" s="65" t="n">
        <f aca="false">-Inputs!$B$15*1</f>
        <v>-4500</v>
      </c>
      <c r="AH19" s="65" t="n">
        <f aca="false">-Inputs!$B$15*1</f>
        <v>-4500</v>
      </c>
      <c r="AI19" s="65" t="n">
        <f aca="false">-Inputs!$B$15*1</f>
        <v>-4500</v>
      </c>
      <c r="AJ19" s="65" t="n">
        <f aca="false">-Inputs!$B$15*1</f>
        <v>-4500</v>
      </c>
      <c r="AK19" s="65" t="n">
        <f aca="false">-Inputs!$B$15*1</f>
        <v>-4500</v>
      </c>
      <c r="AL19" s="65" t="n">
        <f aca="false">-Inputs!$B$15*1</f>
        <v>-4500</v>
      </c>
      <c r="AM19" s="65" t="n">
        <f aca="false">-Inputs!$B$15*1</f>
        <v>-4500</v>
      </c>
      <c r="AN19" s="65" t="n">
        <f aca="false">-Inputs!$B$15*1</f>
        <v>-4500</v>
      </c>
      <c r="AO19" s="65" t="n">
        <f aca="false">-Inputs!$B$15*1</f>
        <v>-4500</v>
      </c>
      <c r="AP19" s="65" t="n">
        <f aca="false">-Inputs!$B$15*1</f>
        <v>-4500</v>
      </c>
      <c r="AQ19" s="65" t="n">
        <f aca="false">-Inputs!$B$15*1</f>
        <v>-4500</v>
      </c>
      <c r="AR19" s="65" t="n">
        <f aca="false">-Inputs!$B$15*1</f>
        <v>-4500</v>
      </c>
      <c r="AS19" s="65" t="n">
        <f aca="false">-Inputs!$B$15*1</f>
        <v>-4500</v>
      </c>
      <c r="AT19" s="65" t="n">
        <f aca="false">-Inputs!$B$15*1</f>
        <v>-4500</v>
      </c>
      <c r="AU19" s="65" t="n">
        <f aca="false">-Inputs!$B$15*1</f>
        <v>-4500</v>
      </c>
      <c r="AV19" s="65" t="n">
        <f aca="false">-Inputs!$B$15*1</f>
        <v>-4500</v>
      </c>
      <c r="AW19" s="65" t="n">
        <f aca="false">-Inputs!$B$15*1</f>
        <v>-4500</v>
      </c>
      <c r="AX19" s="65" t="n">
        <f aca="false">-Inputs!$B$15*1</f>
        <v>-4500</v>
      </c>
      <c r="AY19" s="65" t="n">
        <f aca="false">-Inputs!$B$15*1</f>
        <v>-4500</v>
      </c>
      <c r="AZ19" s="65" t="n">
        <f aca="false">-Inputs!$B$15*1</f>
        <v>-4500</v>
      </c>
      <c r="BA19" s="65" t="n">
        <f aca="false">-Inputs!$B$15*1</f>
        <v>-4500</v>
      </c>
      <c r="BB19" s="65" t="n">
        <f aca="false">-Inputs!$B$15*1</f>
        <v>-4500</v>
      </c>
      <c r="BC19" s="65" t="n">
        <f aca="false">-Inputs!$B$15*1</f>
        <v>-4500</v>
      </c>
      <c r="BD19" s="65" t="n">
        <f aca="false">-Inputs!$B$15*1</f>
        <v>-4500</v>
      </c>
      <c r="BE19" s="65" t="n">
        <f aca="false">-Inputs!$B$15*1</f>
        <v>-4500</v>
      </c>
      <c r="BF19" s="65" t="n">
        <f aca="false">-Inputs!$B$15*1</f>
        <v>-4500</v>
      </c>
      <c r="BG19" s="65" t="n">
        <f aca="false">-Inputs!$B$15*1</f>
        <v>-4500</v>
      </c>
      <c r="BH19" s="65" t="n">
        <f aca="false">-Inputs!$B$15*1</f>
        <v>-4500</v>
      </c>
      <c r="BI19" s="65" t="n">
        <f aca="false">-Inputs!$B$15*1</f>
        <v>-4500</v>
      </c>
      <c r="BJ19" s="65" t="n">
        <f aca="false">-Inputs!$B$15*1</f>
        <v>-4500</v>
      </c>
    </row>
    <row r="20" customFormat="false" ht="15" hidden="false" customHeight="false" outlineLevel="0" collapsed="false">
      <c r="A20" s="6" t="s">
        <v>287</v>
      </c>
      <c r="C20" s="65" t="n">
        <f aca="false">C89</f>
        <v>-8400</v>
      </c>
      <c r="D20" s="65" t="n">
        <f aca="false">D89</f>
        <v>-8400</v>
      </c>
      <c r="E20" s="65" t="n">
        <f aca="false">E89</f>
        <v>-8400</v>
      </c>
      <c r="F20" s="65" t="n">
        <f aca="false">F89</f>
        <v>-8400</v>
      </c>
      <c r="G20" s="65" t="n">
        <f aca="false">G89</f>
        <v>-8400</v>
      </c>
      <c r="H20" s="65" t="n">
        <f aca="false">H89</f>
        <v>-8400</v>
      </c>
      <c r="I20" s="65" t="n">
        <f aca="false">I89</f>
        <v>-8400</v>
      </c>
      <c r="J20" s="65" t="n">
        <f aca="false">J89</f>
        <v>-8400</v>
      </c>
      <c r="K20" s="65" t="n">
        <f aca="false">K89</f>
        <v>-8400</v>
      </c>
      <c r="L20" s="65" t="n">
        <f aca="false">L89</f>
        <v>-8400</v>
      </c>
      <c r="M20" s="65" t="n">
        <f aca="false">M89</f>
        <v>-8400</v>
      </c>
      <c r="N20" s="65" t="n">
        <f aca="false">N89</f>
        <v>-8400</v>
      </c>
      <c r="O20" s="65" t="n">
        <f aca="false">O89</f>
        <v>-8652</v>
      </c>
      <c r="P20" s="65" t="n">
        <f aca="false">P89</f>
        <v>-8652</v>
      </c>
      <c r="Q20" s="65" t="n">
        <f aca="false">Q89</f>
        <v>-8652</v>
      </c>
      <c r="R20" s="65" t="n">
        <f aca="false">R89</f>
        <v>-8652</v>
      </c>
      <c r="S20" s="65" t="n">
        <f aca="false">S89</f>
        <v>-8652</v>
      </c>
      <c r="T20" s="65" t="n">
        <f aca="false">T89</f>
        <v>-8652</v>
      </c>
      <c r="U20" s="65" t="n">
        <f aca="false">U89</f>
        <v>-8652</v>
      </c>
      <c r="V20" s="65" t="n">
        <f aca="false">V89</f>
        <v>-8652</v>
      </c>
      <c r="W20" s="65" t="n">
        <f aca="false">W89</f>
        <v>-8652</v>
      </c>
      <c r="X20" s="65" t="n">
        <f aca="false">X89</f>
        <v>-8652</v>
      </c>
      <c r="Y20" s="65" t="n">
        <f aca="false">Y89</f>
        <v>-8652</v>
      </c>
      <c r="Z20" s="65" t="n">
        <f aca="false">Z89</f>
        <v>-8652</v>
      </c>
      <c r="AA20" s="65" t="n">
        <f aca="false">AA89</f>
        <v>-8911.56</v>
      </c>
      <c r="AB20" s="65" t="n">
        <f aca="false">AB89</f>
        <v>-8911.56</v>
      </c>
      <c r="AC20" s="65" t="n">
        <f aca="false">AC89</f>
        <v>-8911.56</v>
      </c>
      <c r="AD20" s="65" t="n">
        <f aca="false">AD89</f>
        <v>-8911.56</v>
      </c>
      <c r="AE20" s="65" t="n">
        <f aca="false">AE89</f>
        <v>-8911.56</v>
      </c>
      <c r="AF20" s="65" t="n">
        <f aca="false">AF89</f>
        <v>-8911.56</v>
      </c>
      <c r="AG20" s="65" t="n">
        <f aca="false">AG89</f>
        <v>-8911.56</v>
      </c>
      <c r="AH20" s="65" t="n">
        <f aca="false">AH89</f>
        <v>-8911.56</v>
      </c>
      <c r="AI20" s="65" t="n">
        <f aca="false">AI89</f>
        <v>-8911.56</v>
      </c>
      <c r="AJ20" s="65" t="n">
        <f aca="false">AJ89</f>
        <v>-8911.56</v>
      </c>
      <c r="AK20" s="65" t="n">
        <f aca="false">AK89</f>
        <v>-8911.56</v>
      </c>
      <c r="AL20" s="65" t="n">
        <f aca="false">AL89</f>
        <v>-8911.56</v>
      </c>
      <c r="AM20" s="65" t="n">
        <f aca="false">AM89</f>
        <v>-9178.9068</v>
      </c>
      <c r="AN20" s="65" t="n">
        <f aca="false">AN89</f>
        <v>-9178.9068</v>
      </c>
      <c r="AO20" s="65" t="n">
        <f aca="false">AO89</f>
        <v>-9178.9068</v>
      </c>
      <c r="AP20" s="65" t="n">
        <f aca="false">AP89</f>
        <v>-9178.9068</v>
      </c>
      <c r="AQ20" s="65" t="n">
        <f aca="false">AQ89</f>
        <v>-9178.9068</v>
      </c>
      <c r="AR20" s="65" t="n">
        <f aca="false">AR89</f>
        <v>-9178.9068</v>
      </c>
      <c r="AS20" s="65" t="n">
        <f aca="false">AS89</f>
        <v>-9178.9068</v>
      </c>
      <c r="AT20" s="65" t="n">
        <f aca="false">AT89</f>
        <v>-9178.9068</v>
      </c>
      <c r="AU20" s="65" t="n">
        <f aca="false">AU89</f>
        <v>-9178.9068</v>
      </c>
      <c r="AV20" s="65" t="n">
        <f aca="false">AV89</f>
        <v>-9178.9068</v>
      </c>
      <c r="AW20" s="65" t="n">
        <f aca="false">AW89</f>
        <v>-9178.9068</v>
      </c>
      <c r="AX20" s="65" t="n">
        <f aca="false">AX89</f>
        <v>-9178.9068</v>
      </c>
      <c r="AY20" s="65" t="n">
        <f aca="false">AY89</f>
        <v>-9454.274004</v>
      </c>
      <c r="AZ20" s="65" t="n">
        <f aca="false">AZ89</f>
        <v>-9454.274004</v>
      </c>
      <c r="BA20" s="65" t="n">
        <f aca="false">BA89</f>
        <v>-9454.274004</v>
      </c>
      <c r="BB20" s="65" t="n">
        <f aca="false">BB89</f>
        <v>-9454.274004</v>
      </c>
      <c r="BC20" s="65" t="n">
        <f aca="false">BC89</f>
        <v>-9454.274004</v>
      </c>
      <c r="BD20" s="65" t="n">
        <f aca="false">BD89</f>
        <v>-9454.274004</v>
      </c>
      <c r="BE20" s="65" t="n">
        <f aca="false">BE89</f>
        <v>-9454.274004</v>
      </c>
      <c r="BF20" s="65" t="n">
        <f aca="false">BF89</f>
        <v>-9454.274004</v>
      </c>
      <c r="BG20" s="65" t="n">
        <f aca="false">BG89</f>
        <v>-9454.274004</v>
      </c>
      <c r="BH20" s="65" t="n">
        <f aca="false">BH89</f>
        <v>-9454.274004</v>
      </c>
      <c r="BI20" s="65" t="n">
        <f aca="false">BI89</f>
        <v>-9454.274004</v>
      </c>
      <c r="BJ20" s="65" t="n">
        <f aca="false">BJ89</f>
        <v>-9454.274004</v>
      </c>
    </row>
    <row r="21" customFormat="false" ht="15" hidden="false" customHeight="false" outlineLevel="0" collapsed="false">
      <c r="A21" s="6" t="s">
        <v>288</v>
      </c>
      <c r="C21" s="65" t="n">
        <f aca="false">-C14*Inputs!$B$16</f>
        <v>-316.8</v>
      </c>
      <c r="D21" s="65" t="n">
        <f aca="false">-D14*Inputs!$B$16</f>
        <v>-369.6</v>
      </c>
      <c r="E21" s="65" t="n">
        <f aca="false">-E14*Inputs!$B$16</f>
        <v>-422.4</v>
      </c>
      <c r="F21" s="65" t="n">
        <f aca="false">-F14*Inputs!$B$16</f>
        <v>-475.2</v>
      </c>
      <c r="G21" s="65" t="n">
        <f aca="false">-G14*Inputs!$B$16</f>
        <v>-528</v>
      </c>
      <c r="H21" s="65" t="n">
        <f aca="false">-H14*Inputs!$B$16</f>
        <v>-580.8</v>
      </c>
      <c r="I21" s="65" t="n">
        <f aca="false">-I14*Inputs!$B$16</f>
        <v>-633.6</v>
      </c>
      <c r="J21" s="65" t="n">
        <f aca="false">-J14*Inputs!$B$16</f>
        <v>-686.4</v>
      </c>
      <c r="K21" s="65" t="n">
        <f aca="false">-K14*Inputs!$B$16</f>
        <v>-739.2</v>
      </c>
      <c r="L21" s="65" t="n">
        <f aca="false">-L14*Inputs!$B$16</f>
        <v>-792</v>
      </c>
      <c r="M21" s="65" t="n">
        <f aca="false">-M14*Inputs!$B$16</f>
        <v>-792</v>
      </c>
      <c r="N21" s="65" t="n">
        <f aca="false">-N14*Inputs!$B$16</f>
        <v>-792</v>
      </c>
      <c r="O21" s="65" t="n">
        <f aca="false">-O14*Inputs!$B$16</f>
        <v>-832.0752</v>
      </c>
      <c r="P21" s="65" t="n">
        <f aca="false">-P14*Inputs!$B$16</f>
        <v>-832.0752</v>
      </c>
      <c r="Q21" s="65" t="n">
        <f aca="false">-Q14*Inputs!$B$16</f>
        <v>-832.0752</v>
      </c>
      <c r="R21" s="65" t="n">
        <f aca="false">-R14*Inputs!$B$16</f>
        <v>-832.0752</v>
      </c>
      <c r="S21" s="65" t="n">
        <f aca="false">-S14*Inputs!$B$16</f>
        <v>-832.0752</v>
      </c>
      <c r="T21" s="65" t="n">
        <f aca="false">-T14*Inputs!$B$16</f>
        <v>-832.0752</v>
      </c>
      <c r="U21" s="65" t="n">
        <f aca="false">-U14*Inputs!$B$16</f>
        <v>-832.0752</v>
      </c>
      <c r="V21" s="65" t="n">
        <f aca="false">-V14*Inputs!$B$16</f>
        <v>-832.0752</v>
      </c>
      <c r="W21" s="65" t="n">
        <f aca="false">-W14*Inputs!$B$16</f>
        <v>-832.0752</v>
      </c>
      <c r="X21" s="65" t="n">
        <f aca="false">-X14*Inputs!$B$16</f>
        <v>-832.0752</v>
      </c>
      <c r="Y21" s="65" t="n">
        <f aca="false">-Y14*Inputs!$B$16</f>
        <v>-832.0752</v>
      </c>
      <c r="Z21" s="65" t="n">
        <f aca="false">-Z14*Inputs!$B$16</f>
        <v>-832.0752</v>
      </c>
      <c r="AA21" s="65" t="n">
        <f aca="false">-AA14*Inputs!$B$16</f>
        <v>-874.17820512</v>
      </c>
      <c r="AB21" s="65" t="n">
        <f aca="false">-AB14*Inputs!$B$16</f>
        <v>-874.17820512</v>
      </c>
      <c r="AC21" s="65" t="n">
        <f aca="false">-AC14*Inputs!$B$16</f>
        <v>-874.17820512</v>
      </c>
      <c r="AD21" s="65" t="n">
        <f aca="false">-AD14*Inputs!$B$16</f>
        <v>-874.17820512</v>
      </c>
      <c r="AE21" s="65" t="n">
        <f aca="false">-AE14*Inputs!$B$16</f>
        <v>-874.17820512</v>
      </c>
      <c r="AF21" s="65" t="n">
        <f aca="false">-AF14*Inputs!$B$16</f>
        <v>-874.17820512</v>
      </c>
      <c r="AG21" s="65" t="n">
        <f aca="false">-AG14*Inputs!$B$16</f>
        <v>-874.17820512</v>
      </c>
      <c r="AH21" s="65" t="n">
        <f aca="false">-AH14*Inputs!$B$16</f>
        <v>-874.17820512</v>
      </c>
      <c r="AI21" s="65" t="n">
        <f aca="false">-AI14*Inputs!$B$16</f>
        <v>-874.17820512</v>
      </c>
      <c r="AJ21" s="65" t="n">
        <f aca="false">-AJ14*Inputs!$B$16</f>
        <v>-874.17820512</v>
      </c>
      <c r="AK21" s="65" t="n">
        <f aca="false">-AK14*Inputs!$B$16</f>
        <v>-874.17820512</v>
      </c>
      <c r="AL21" s="65" t="n">
        <f aca="false">-AL14*Inputs!$B$16</f>
        <v>-874.17820512</v>
      </c>
      <c r="AM21" s="65" t="n">
        <f aca="false">-AM14*Inputs!$B$16</f>
        <v>-918.411622299072</v>
      </c>
      <c r="AN21" s="65" t="n">
        <f aca="false">-AN14*Inputs!$B$16</f>
        <v>-918.411622299072</v>
      </c>
      <c r="AO21" s="65" t="n">
        <f aca="false">-AO14*Inputs!$B$16</f>
        <v>-918.411622299072</v>
      </c>
      <c r="AP21" s="65" t="n">
        <f aca="false">-AP14*Inputs!$B$16</f>
        <v>-918.411622299072</v>
      </c>
      <c r="AQ21" s="65" t="n">
        <f aca="false">-AQ14*Inputs!$B$16</f>
        <v>-918.411622299072</v>
      </c>
      <c r="AR21" s="65" t="n">
        <f aca="false">-AR14*Inputs!$B$16</f>
        <v>-918.411622299072</v>
      </c>
      <c r="AS21" s="65" t="n">
        <f aca="false">-AS14*Inputs!$B$16</f>
        <v>-918.411622299072</v>
      </c>
      <c r="AT21" s="65" t="n">
        <f aca="false">-AT14*Inputs!$B$16</f>
        <v>-918.411622299072</v>
      </c>
      <c r="AU21" s="65" t="n">
        <f aca="false">-AU14*Inputs!$B$16</f>
        <v>-918.411622299072</v>
      </c>
      <c r="AV21" s="65" t="n">
        <f aca="false">-AV14*Inputs!$B$16</f>
        <v>-918.411622299072</v>
      </c>
      <c r="AW21" s="65" t="n">
        <f aca="false">-AW14*Inputs!$B$16</f>
        <v>-918.411622299072</v>
      </c>
      <c r="AX21" s="65" t="n">
        <f aca="false">-AX14*Inputs!$B$16</f>
        <v>-918.411622299072</v>
      </c>
      <c r="AY21" s="65" t="n">
        <f aca="false">-AY14*Inputs!$B$16</f>
        <v>-964.883250387405</v>
      </c>
      <c r="AZ21" s="65" t="n">
        <f aca="false">-AZ14*Inputs!$B$16</f>
        <v>-964.883250387405</v>
      </c>
      <c r="BA21" s="65" t="n">
        <f aca="false">-BA14*Inputs!$B$16</f>
        <v>-964.883250387405</v>
      </c>
      <c r="BB21" s="65" t="n">
        <f aca="false">-BB14*Inputs!$B$16</f>
        <v>-964.883250387405</v>
      </c>
      <c r="BC21" s="65" t="n">
        <f aca="false">-BC14*Inputs!$B$16</f>
        <v>-964.883250387405</v>
      </c>
      <c r="BD21" s="65" t="n">
        <f aca="false">-BD14*Inputs!$B$16</f>
        <v>-964.883250387405</v>
      </c>
      <c r="BE21" s="65" t="n">
        <f aca="false">-BE14*Inputs!$B$16</f>
        <v>-964.883250387405</v>
      </c>
      <c r="BF21" s="65" t="n">
        <f aca="false">-BF14*Inputs!$B$16</f>
        <v>-964.883250387405</v>
      </c>
      <c r="BG21" s="65" t="n">
        <f aca="false">-BG14*Inputs!$B$16</f>
        <v>-964.883250387405</v>
      </c>
      <c r="BH21" s="65" t="n">
        <f aca="false">-BH14*Inputs!$B$16</f>
        <v>-964.883250387405</v>
      </c>
      <c r="BI21" s="65" t="n">
        <f aca="false">-BI14*Inputs!$B$16</f>
        <v>-964.883250387405</v>
      </c>
      <c r="BJ21" s="65" t="n">
        <f aca="false">-BJ14*Inputs!$B$16</f>
        <v>-964.883250387405</v>
      </c>
    </row>
    <row r="22" customFormat="false" ht="15" hidden="false" customHeight="false" outlineLevel="0" collapsed="false">
      <c r="A22" s="6" t="s">
        <v>289</v>
      </c>
      <c r="C22" s="65" t="n">
        <f aca="false">-Inputs!$B$17*1</f>
        <v>-2200</v>
      </c>
      <c r="D22" s="65" t="n">
        <f aca="false">-Inputs!$B$17*1</f>
        <v>-2200</v>
      </c>
      <c r="E22" s="65" t="n">
        <f aca="false">-Inputs!$B$17*1</f>
        <v>-2200</v>
      </c>
      <c r="F22" s="65" t="n">
        <f aca="false">-Inputs!$B$17*1</f>
        <v>-2200</v>
      </c>
      <c r="G22" s="65" t="n">
        <f aca="false">-Inputs!$B$17*1</f>
        <v>-2200</v>
      </c>
      <c r="H22" s="65" t="n">
        <f aca="false">-Inputs!$B$17*1</f>
        <v>-2200</v>
      </c>
      <c r="I22" s="65" t="n">
        <f aca="false">-Inputs!$B$17*1</f>
        <v>-2200</v>
      </c>
      <c r="J22" s="65" t="n">
        <f aca="false">-Inputs!$B$17*1</f>
        <v>-2200</v>
      </c>
      <c r="K22" s="65" t="n">
        <f aca="false">-Inputs!$B$17*1</f>
        <v>-2200</v>
      </c>
      <c r="L22" s="65" t="n">
        <f aca="false">-Inputs!$B$17*1</f>
        <v>-2200</v>
      </c>
      <c r="M22" s="65" t="n">
        <f aca="false">-Inputs!$B$17*1</f>
        <v>-2200</v>
      </c>
      <c r="N22" s="65" t="n">
        <f aca="false">-Inputs!$B$17*1</f>
        <v>-2200</v>
      </c>
      <c r="O22" s="65" t="n">
        <f aca="false">-Inputs!$B$17*1</f>
        <v>-2200</v>
      </c>
      <c r="P22" s="65" t="n">
        <f aca="false">-Inputs!$B$17*1</f>
        <v>-2200</v>
      </c>
      <c r="Q22" s="65" t="n">
        <f aca="false">-Inputs!$B$17*1</f>
        <v>-2200</v>
      </c>
      <c r="R22" s="65" t="n">
        <f aca="false">-Inputs!$B$17*1</f>
        <v>-2200</v>
      </c>
      <c r="S22" s="65" t="n">
        <f aca="false">-Inputs!$B$17*1</f>
        <v>-2200</v>
      </c>
      <c r="T22" s="65" t="n">
        <f aca="false">-Inputs!$B$17*1</f>
        <v>-2200</v>
      </c>
      <c r="U22" s="65" t="n">
        <f aca="false">-Inputs!$B$17*1</f>
        <v>-2200</v>
      </c>
      <c r="V22" s="65" t="n">
        <f aca="false">-Inputs!$B$17*1</f>
        <v>-2200</v>
      </c>
      <c r="W22" s="65" t="n">
        <f aca="false">-Inputs!$B$17*1</f>
        <v>-2200</v>
      </c>
      <c r="X22" s="65" t="n">
        <f aca="false">-Inputs!$B$17*1</f>
        <v>-2200</v>
      </c>
      <c r="Y22" s="65" t="n">
        <f aca="false">-Inputs!$B$17*1</f>
        <v>-2200</v>
      </c>
      <c r="Z22" s="65" t="n">
        <f aca="false">-Inputs!$B$17*1</f>
        <v>-2200</v>
      </c>
      <c r="AA22" s="65" t="n">
        <f aca="false">-Inputs!$B$17*1</f>
        <v>-2200</v>
      </c>
      <c r="AB22" s="65" t="n">
        <f aca="false">-Inputs!$B$17*1</f>
        <v>-2200</v>
      </c>
      <c r="AC22" s="65" t="n">
        <f aca="false">-Inputs!$B$17*1</f>
        <v>-2200</v>
      </c>
      <c r="AD22" s="65" t="n">
        <f aca="false">-Inputs!$B$17*1</f>
        <v>-2200</v>
      </c>
      <c r="AE22" s="65" t="n">
        <f aca="false">-Inputs!$B$17*1</f>
        <v>-2200</v>
      </c>
      <c r="AF22" s="65" t="n">
        <f aca="false">-Inputs!$B$17*1</f>
        <v>-2200</v>
      </c>
      <c r="AG22" s="65" t="n">
        <f aca="false">-Inputs!$B$17*1</f>
        <v>-2200</v>
      </c>
      <c r="AH22" s="65" t="n">
        <f aca="false">-Inputs!$B$17*1</f>
        <v>-2200</v>
      </c>
      <c r="AI22" s="65" t="n">
        <f aca="false">-Inputs!$B$17*1</f>
        <v>-2200</v>
      </c>
      <c r="AJ22" s="65" t="n">
        <f aca="false">-Inputs!$B$17*1</f>
        <v>-2200</v>
      </c>
      <c r="AK22" s="65" t="n">
        <f aca="false">-Inputs!$B$17*1</f>
        <v>-2200</v>
      </c>
      <c r="AL22" s="65" t="n">
        <f aca="false">-Inputs!$B$17*1</f>
        <v>-2200</v>
      </c>
      <c r="AM22" s="65" t="n">
        <f aca="false">-Inputs!$B$17*1</f>
        <v>-2200</v>
      </c>
      <c r="AN22" s="65" t="n">
        <f aca="false">-Inputs!$B$17*1</f>
        <v>-2200</v>
      </c>
      <c r="AO22" s="65" t="n">
        <f aca="false">-Inputs!$B$17*1</f>
        <v>-2200</v>
      </c>
      <c r="AP22" s="65" t="n">
        <f aca="false">-Inputs!$B$17*1</f>
        <v>-2200</v>
      </c>
      <c r="AQ22" s="65" t="n">
        <f aca="false">-Inputs!$B$17*1</f>
        <v>-2200</v>
      </c>
      <c r="AR22" s="65" t="n">
        <f aca="false">-Inputs!$B$17*1</f>
        <v>-2200</v>
      </c>
      <c r="AS22" s="65" t="n">
        <f aca="false">-Inputs!$B$17*1</f>
        <v>-2200</v>
      </c>
      <c r="AT22" s="65" t="n">
        <f aca="false">-Inputs!$B$17*1</f>
        <v>-2200</v>
      </c>
      <c r="AU22" s="65" t="n">
        <f aca="false">-Inputs!$B$17*1</f>
        <v>-2200</v>
      </c>
      <c r="AV22" s="65" t="n">
        <f aca="false">-Inputs!$B$17*1</f>
        <v>-2200</v>
      </c>
      <c r="AW22" s="65" t="n">
        <f aca="false">-Inputs!$B$17*1</f>
        <v>-2200</v>
      </c>
      <c r="AX22" s="65" t="n">
        <f aca="false">-Inputs!$B$17*1</f>
        <v>-2200</v>
      </c>
      <c r="AY22" s="65" t="n">
        <f aca="false">-Inputs!$B$17*1</f>
        <v>-2200</v>
      </c>
      <c r="AZ22" s="65" t="n">
        <f aca="false">-Inputs!$B$17*1</f>
        <v>-2200</v>
      </c>
      <c r="BA22" s="65" t="n">
        <f aca="false">-Inputs!$B$17*1</f>
        <v>-2200</v>
      </c>
      <c r="BB22" s="65" t="n">
        <f aca="false">-Inputs!$B$17*1</f>
        <v>-2200</v>
      </c>
      <c r="BC22" s="65" t="n">
        <f aca="false">-Inputs!$B$17*1</f>
        <v>-2200</v>
      </c>
      <c r="BD22" s="65" t="n">
        <f aca="false">-Inputs!$B$17*1</f>
        <v>-2200</v>
      </c>
      <c r="BE22" s="65" t="n">
        <f aca="false">-Inputs!$B$17*1</f>
        <v>-2200</v>
      </c>
      <c r="BF22" s="65" t="n">
        <f aca="false">-Inputs!$B$17*1</f>
        <v>-2200</v>
      </c>
      <c r="BG22" s="65" t="n">
        <f aca="false">-Inputs!$B$17*1</f>
        <v>-2200</v>
      </c>
      <c r="BH22" s="65" t="n">
        <f aca="false">-Inputs!$B$17*1</f>
        <v>-2200</v>
      </c>
      <c r="BI22" s="65" t="n">
        <f aca="false">-Inputs!$B$17*1</f>
        <v>-2200</v>
      </c>
      <c r="BJ22" s="65" t="n">
        <f aca="false">-Inputs!$B$17*1</f>
        <v>-2200</v>
      </c>
    </row>
    <row r="23" customFormat="false" ht="15" hidden="false" customHeight="false" outlineLevel="0" collapsed="false">
      <c r="A23" s="108" t="s">
        <v>75</v>
      </c>
      <c r="C23" s="66" t="n">
        <f aca="false">C19+C20+C21+C22</f>
        <v>-15416.8</v>
      </c>
      <c r="D23" s="66" t="n">
        <f aca="false">D19+D20+D21+D22</f>
        <v>-15469.6</v>
      </c>
      <c r="E23" s="66" t="n">
        <f aca="false">E19+E20+E21+E22</f>
        <v>-15522.4</v>
      </c>
      <c r="F23" s="66" t="n">
        <f aca="false">F19+F20+F21+F22</f>
        <v>-15575.2</v>
      </c>
      <c r="G23" s="66" t="n">
        <f aca="false">G19+G20+G21+G22</f>
        <v>-15628</v>
      </c>
      <c r="H23" s="66" t="n">
        <f aca="false">H19+H20+H21+H22</f>
        <v>-15680.8</v>
      </c>
      <c r="I23" s="66" t="n">
        <f aca="false">I19+I20+I21+I22</f>
        <v>-15733.6</v>
      </c>
      <c r="J23" s="66" t="n">
        <f aca="false">J19+J20+J21+J22</f>
        <v>-15786.4</v>
      </c>
      <c r="K23" s="66" t="n">
        <f aca="false">K19+K20+K21+K22</f>
        <v>-15839.2</v>
      </c>
      <c r="L23" s="66" t="n">
        <f aca="false">L19+L20+L21+L22</f>
        <v>-15892</v>
      </c>
      <c r="M23" s="66" t="n">
        <f aca="false">M19+M20+M21+M22</f>
        <v>-15892</v>
      </c>
      <c r="N23" s="66" t="n">
        <f aca="false">N19+N20+N21+N22</f>
        <v>-15892</v>
      </c>
      <c r="O23" s="66" t="n">
        <f aca="false">O19+O20+O21+O22</f>
        <v>-16184.0752</v>
      </c>
      <c r="P23" s="66" t="n">
        <f aca="false">P19+P20+P21+P22</f>
        <v>-16184.0752</v>
      </c>
      <c r="Q23" s="66" t="n">
        <f aca="false">Q19+Q20+Q21+Q22</f>
        <v>-16184.0752</v>
      </c>
      <c r="R23" s="66" t="n">
        <f aca="false">R19+R20+R21+R22</f>
        <v>-16184.0752</v>
      </c>
      <c r="S23" s="66" t="n">
        <f aca="false">S19+S20+S21+S22</f>
        <v>-16184.0752</v>
      </c>
      <c r="T23" s="66" t="n">
        <f aca="false">T19+T20+T21+T22</f>
        <v>-16184.0752</v>
      </c>
      <c r="U23" s="66" t="n">
        <f aca="false">U19+U20+U21+U22</f>
        <v>-16184.0752</v>
      </c>
      <c r="V23" s="66" t="n">
        <f aca="false">V19+V20+V21+V22</f>
        <v>-16184.0752</v>
      </c>
      <c r="W23" s="66" t="n">
        <f aca="false">W19+W20+W21+W22</f>
        <v>-16184.0752</v>
      </c>
      <c r="X23" s="66" t="n">
        <f aca="false">X19+X20+X21+X22</f>
        <v>-16184.0752</v>
      </c>
      <c r="Y23" s="66" t="n">
        <f aca="false">Y19+Y20+Y21+Y22</f>
        <v>-16184.0752</v>
      </c>
      <c r="Z23" s="66" t="n">
        <f aca="false">Z19+Z20+Z21+Z22</f>
        <v>-16184.0752</v>
      </c>
      <c r="AA23" s="66" t="n">
        <f aca="false">AA19+AA20+AA21+AA22</f>
        <v>-16485.73820512</v>
      </c>
      <c r="AB23" s="66" t="n">
        <f aca="false">AB19+AB20+AB21+AB22</f>
        <v>-16485.73820512</v>
      </c>
      <c r="AC23" s="66" t="n">
        <f aca="false">AC19+AC20+AC21+AC22</f>
        <v>-16485.73820512</v>
      </c>
      <c r="AD23" s="66" t="n">
        <f aca="false">AD19+AD20+AD21+AD22</f>
        <v>-16485.73820512</v>
      </c>
      <c r="AE23" s="66" t="n">
        <f aca="false">AE19+AE20+AE21+AE22</f>
        <v>-16485.73820512</v>
      </c>
      <c r="AF23" s="66" t="n">
        <f aca="false">AF19+AF20+AF21+AF22</f>
        <v>-16485.73820512</v>
      </c>
      <c r="AG23" s="66" t="n">
        <f aca="false">AG19+AG20+AG21+AG22</f>
        <v>-16485.73820512</v>
      </c>
      <c r="AH23" s="66" t="n">
        <f aca="false">AH19+AH20+AH21+AH22</f>
        <v>-16485.73820512</v>
      </c>
      <c r="AI23" s="66" t="n">
        <f aca="false">AI19+AI20+AI21+AI22</f>
        <v>-16485.73820512</v>
      </c>
      <c r="AJ23" s="66" t="n">
        <f aca="false">AJ19+AJ20+AJ21+AJ22</f>
        <v>-16485.73820512</v>
      </c>
      <c r="AK23" s="66" t="n">
        <f aca="false">AK19+AK20+AK21+AK22</f>
        <v>-16485.73820512</v>
      </c>
      <c r="AL23" s="66" t="n">
        <f aca="false">AL19+AL20+AL21+AL22</f>
        <v>-16485.73820512</v>
      </c>
      <c r="AM23" s="66" t="n">
        <f aca="false">AM19+AM20+AM21+AM22</f>
        <v>-16797.3184222991</v>
      </c>
      <c r="AN23" s="66" t="n">
        <f aca="false">AN19+AN20+AN21+AN22</f>
        <v>-16797.3184222991</v>
      </c>
      <c r="AO23" s="66" t="n">
        <f aca="false">AO19+AO20+AO21+AO22</f>
        <v>-16797.3184222991</v>
      </c>
      <c r="AP23" s="66" t="n">
        <f aca="false">AP19+AP20+AP21+AP22</f>
        <v>-16797.3184222991</v>
      </c>
      <c r="AQ23" s="66" t="n">
        <f aca="false">AQ19+AQ20+AQ21+AQ22</f>
        <v>-16797.3184222991</v>
      </c>
      <c r="AR23" s="66" t="n">
        <f aca="false">AR19+AR20+AR21+AR22</f>
        <v>-16797.3184222991</v>
      </c>
      <c r="AS23" s="66" t="n">
        <f aca="false">AS19+AS20+AS21+AS22</f>
        <v>-16797.3184222991</v>
      </c>
      <c r="AT23" s="66" t="n">
        <f aca="false">AT19+AT20+AT21+AT22</f>
        <v>-16797.3184222991</v>
      </c>
      <c r="AU23" s="66" t="n">
        <f aca="false">AU19+AU20+AU21+AU22</f>
        <v>-16797.3184222991</v>
      </c>
      <c r="AV23" s="66" t="n">
        <f aca="false">AV19+AV20+AV21+AV22</f>
        <v>-16797.3184222991</v>
      </c>
      <c r="AW23" s="66" t="n">
        <f aca="false">AW19+AW20+AW21+AW22</f>
        <v>-16797.3184222991</v>
      </c>
      <c r="AX23" s="66" t="n">
        <f aca="false">AX19+AX20+AX21+AX22</f>
        <v>-16797.3184222991</v>
      </c>
      <c r="AY23" s="66" t="n">
        <f aca="false">AY19+AY20+AY21+AY22</f>
        <v>-17119.1572543874</v>
      </c>
      <c r="AZ23" s="66" t="n">
        <f aca="false">AZ19+AZ20+AZ21+AZ22</f>
        <v>-17119.1572543874</v>
      </c>
      <c r="BA23" s="66" t="n">
        <f aca="false">BA19+BA20+BA21+BA22</f>
        <v>-17119.1572543874</v>
      </c>
      <c r="BB23" s="66" t="n">
        <f aca="false">BB19+BB20+BB21+BB22</f>
        <v>-17119.1572543874</v>
      </c>
      <c r="BC23" s="66" t="n">
        <f aca="false">BC19+BC20+BC21+BC22</f>
        <v>-17119.1572543874</v>
      </c>
      <c r="BD23" s="66" t="n">
        <f aca="false">BD19+BD20+BD21+BD22</f>
        <v>-17119.1572543874</v>
      </c>
      <c r="BE23" s="66" t="n">
        <f aca="false">BE19+BE20+BE21+BE22</f>
        <v>-17119.1572543874</v>
      </c>
      <c r="BF23" s="66" t="n">
        <f aca="false">BF19+BF20+BF21+BF22</f>
        <v>-17119.1572543874</v>
      </c>
      <c r="BG23" s="66" t="n">
        <f aca="false">BG19+BG20+BG21+BG22</f>
        <v>-17119.1572543874</v>
      </c>
      <c r="BH23" s="66" t="n">
        <f aca="false">BH19+BH20+BH21+BH22</f>
        <v>-17119.1572543874</v>
      </c>
      <c r="BI23" s="66" t="n">
        <f aca="false">BI19+BI20+BI21+BI22</f>
        <v>-17119.1572543874</v>
      </c>
      <c r="BJ23" s="66" t="n">
        <f aca="false">BJ19+BJ20+BJ21+BJ22</f>
        <v>-17119.1572543874</v>
      </c>
    </row>
    <row r="24" customFormat="false" ht="15" hidden="false" customHeight="false" outlineLevel="0" collapsed="false">
      <c r="A24" s="108" t="s">
        <v>48</v>
      </c>
      <c r="C24" s="66" t="n">
        <f aca="false">C16+C23</f>
        <v>-10348</v>
      </c>
      <c r="D24" s="66" t="n">
        <f aca="false">D16+D23</f>
        <v>-9556</v>
      </c>
      <c r="E24" s="66" t="n">
        <f aca="false">E16+E23</f>
        <v>-8764</v>
      </c>
      <c r="F24" s="66" t="n">
        <f aca="false">F16+F23</f>
        <v>-7972</v>
      </c>
      <c r="G24" s="66" t="n">
        <f aca="false">G16+G23</f>
        <v>-7180</v>
      </c>
      <c r="H24" s="66" t="n">
        <f aca="false">H16+H23</f>
        <v>-6388</v>
      </c>
      <c r="I24" s="66" t="n">
        <f aca="false">I16+I23</f>
        <v>-5596</v>
      </c>
      <c r="J24" s="66" t="n">
        <f aca="false">J16+J23</f>
        <v>-4804</v>
      </c>
      <c r="K24" s="66" t="n">
        <f aca="false">K16+K23</f>
        <v>-4012</v>
      </c>
      <c r="L24" s="66" t="n">
        <f aca="false">L16+L23</f>
        <v>-3220</v>
      </c>
      <c r="M24" s="66" t="n">
        <f aca="false">M16+M23</f>
        <v>-3220</v>
      </c>
      <c r="N24" s="66" t="n">
        <f aca="false">N16+N23</f>
        <v>-3220</v>
      </c>
      <c r="O24" s="66" t="n">
        <f aca="false">O16+O23</f>
        <v>-2870.872</v>
      </c>
      <c r="P24" s="66" t="n">
        <f aca="false">P16+P23</f>
        <v>-2870.872</v>
      </c>
      <c r="Q24" s="66" t="n">
        <f aca="false">Q16+Q23</f>
        <v>-2870.872</v>
      </c>
      <c r="R24" s="66" t="n">
        <f aca="false">R16+R23</f>
        <v>-2870.872</v>
      </c>
      <c r="S24" s="66" t="n">
        <f aca="false">S16+S23</f>
        <v>-2870.872</v>
      </c>
      <c r="T24" s="66" t="n">
        <f aca="false">T16+T23</f>
        <v>-2870.872</v>
      </c>
      <c r="U24" s="66" t="n">
        <f aca="false">U16+U23</f>
        <v>-2870.872</v>
      </c>
      <c r="V24" s="66" t="n">
        <f aca="false">V16+V23</f>
        <v>-2870.872</v>
      </c>
      <c r="W24" s="66" t="n">
        <f aca="false">W16+W23</f>
        <v>-2870.872</v>
      </c>
      <c r="X24" s="66" t="n">
        <f aca="false">X16+X23</f>
        <v>-2870.872</v>
      </c>
      <c r="Y24" s="66" t="n">
        <f aca="false">Y16+Y23</f>
        <v>-2870.872</v>
      </c>
      <c r="Z24" s="66" t="n">
        <f aca="false">Z16+Z23</f>
        <v>-2870.872</v>
      </c>
      <c r="AA24" s="66" t="n">
        <f aca="false">AA16+AA23</f>
        <v>-2498.8869232</v>
      </c>
      <c r="AB24" s="66" t="n">
        <f aca="false">AB16+AB23</f>
        <v>-2498.8869232</v>
      </c>
      <c r="AC24" s="66" t="n">
        <f aca="false">AC16+AC23</f>
        <v>-2498.8869232</v>
      </c>
      <c r="AD24" s="66" t="n">
        <f aca="false">AD16+AD23</f>
        <v>-2498.8869232</v>
      </c>
      <c r="AE24" s="66" t="n">
        <f aca="false">AE16+AE23</f>
        <v>-2498.8869232</v>
      </c>
      <c r="AF24" s="66" t="n">
        <f aca="false">AF16+AF23</f>
        <v>-2498.8869232</v>
      </c>
      <c r="AG24" s="66" t="n">
        <f aca="false">AG16+AG23</f>
        <v>-2498.8869232</v>
      </c>
      <c r="AH24" s="66" t="n">
        <f aca="false">AH16+AH23</f>
        <v>-2498.8869232</v>
      </c>
      <c r="AI24" s="66" t="n">
        <f aca="false">AI16+AI23</f>
        <v>-2498.8869232</v>
      </c>
      <c r="AJ24" s="66" t="n">
        <f aca="false">AJ16+AJ23</f>
        <v>-2498.8869232</v>
      </c>
      <c r="AK24" s="66" t="n">
        <f aca="false">AK16+AK23</f>
        <v>-2498.8869232</v>
      </c>
      <c r="AL24" s="66" t="n">
        <f aca="false">AL16+AL23</f>
        <v>-2498.8869232</v>
      </c>
      <c r="AM24" s="66" t="n">
        <f aca="false">AM16+AM23</f>
        <v>-2102.73246551392</v>
      </c>
      <c r="AN24" s="66" t="n">
        <f aca="false">AN16+AN23</f>
        <v>-2102.73246551392</v>
      </c>
      <c r="AO24" s="66" t="n">
        <f aca="false">AO16+AO23</f>
        <v>-2102.73246551392</v>
      </c>
      <c r="AP24" s="66" t="n">
        <f aca="false">AP16+AP23</f>
        <v>-2102.73246551392</v>
      </c>
      <c r="AQ24" s="66" t="n">
        <f aca="false">AQ16+AQ23</f>
        <v>-2102.73246551392</v>
      </c>
      <c r="AR24" s="66" t="n">
        <f aca="false">AR16+AR23</f>
        <v>-2102.73246551392</v>
      </c>
      <c r="AS24" s="66" t="n">
        <f aca="false">AS16+AS23</f>
        <v>-2102.73246551392</v>
      </c>
      <c r="AT24" s="66" t="n">
        <f aca="false">AT16+AT23</f>
        <v>-2102.73246551392</v>
      </c>
      <c r="AU24" s="66" t="n">
        <f aca="false">AU16+AU23</f>
        <v>-2102.73246551392</v>
      </c>
      <c r="AV24" s="66" t="n">
        <f aca="false">AV16+AV23</f>
        <v>-2102.73246551392</v>
      </c>
      <c r="AW24" s="66" t="n">
        <f aca="false">AW16+AW23</f>
        <v>-2102.73246551392</v>
      </c>
      <c r="AX24" s="66" t="n">
        <f aca="false">AX16+AX23</f>
        <v>-2102.73246551392</v>
      </c>
      <c r="AY24" s="66" t="n">
        <f aca="false">AY16+AY23</f>
        <v>-1681.02524818892</v>
      </c>
      <c r="AZ24" s="66" t="n">
        <f aca="false">AZ16+AZ23</f>
        <v>-1681.02524818892</v>
      </c>
      <c r="BA24" s="66" t="n">
        <f aca="false">BA16+BA23</f>
        <v>-1681.02524818892</v>
      </c>
      <c r="BB24" s="66" t="n">
        <f aca="false">BB16+BB23</f>
        <v>-1681.02524818892</v>
      </c>
      <c r="BC24" s="66" t="n">
        <f aca="false">BC16+BC23</f>
        <v>-1681.02524818892</v>
      </c>
      <c r="BD24" s="66" t="n">
        <f aca="false">BD16+BD23</f>
        <v>-1681.02524818892</v>
      </c>
      <c r="BE24" s="66" t="n">
        <f aca="false">BE16+BE23</f>
        <v>-1681.02524818892</v>
      </c>
      <c r="BF24" s="66" t="n">
        <f aca="false">BF16+BF23</f>
        <v>-1681.02524818892</v>
      </c>
      <c r="BG24" s="66" t="n">
        <f aca="false">BG16+BG23</f>
        <v>-1681.02524818892</v>
      </c>
      <c r="BH24" s="66" t="n">
        <f aca="false">BH16+BH23</f>
        <v>-1681.02524818892</v>
      </c>
      <c r="BI24" s="66" t="n">
        <f aca="false">BI16+BI23</f>
        <v>-1681.02524818892</v>
      </c>
      <c r="BJ24" s="66" t="n">
        <f aca="false">BJ16+BJ23</f>
        <v>-1681.02524818892</v>
      </c>
    </row>
    <row r="26" customFormat="false" ht="15.75" hidden="false" customHeight="true" outlineLevel="0" collapsed="false">
      <c r="A26" s="7" t="s">
        <v>364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4" t="s">
        <v>77</v>
      </c>
      <c r="C27" s="71" t="n">
        <f aca="false">C24+C38</f>
        <v>-12490.8571428571</v>
      </c>
      <c r="D27" s="71" t="n">
        <f aca="false">D24+D38</f>
        <v>-11698.8571428571</v>
      </c>
      <c r="E27" s="71" t="n">
        <f aca="false">E24+E38</f>
        <v>-10906.8571428571</v>
      </c>
      <c r="F27" s="71" t="n">
        <f aca="false">F24+F38</f>
        <v>-10114.8571428571</v>
      </c>
      <c r="G27" s="71" t="n">
        <f aca="false">G24+G38</f>
        <v>-9322.85714285714</v>
      </c>
      <c r="H27" s="71" t="n">
        <f aca="false">H24+H38</f>
        <v>-8530.85714285714</v>
      </c>
      <c r="I27" s="71" t="n">
        <f aca="false">I24+I38</f>
        <v>-7738.85714285714</v>
      </c>
      <c r="J27" s="71" t="n">
        <f aca="false">J24+J38</f>
        <v>-6946.85714285714</v>
      </c>
      <c r="K27" s="71" t="n">
        <f aca="false">K24+K38</f>
        <v>-6154.85714285714</v>
      </c>
      <c r="L27" s="71" t="n">
        <f aca="false">L24+L38</f>
        <v>-5362.85714285714</v>
      </c>
      <c r="M27" s="71" t="n">
        <f aca="false">M24+M38</f>
        <v>-5362.85714285714</v>
      </c>
      <c r="N27" s="71" t="n">
        <f aca="false">N24+N38</f>
        <v>-5362.85714285714</v>
      </c>
      <c r="O27" s="71" t="n">
        <f aca="false">O24+O38</f>
        <v>-5013.72914285714</v>
      </c>
      <c r="P27" s="71" t="n">
        <f aca="false">P24+P38</f>
        <v>-5013.72914285714</v>
      </c>
      <c r="Q27" s="71" t="n">
        <f aca="false">Q24+Q38</f>
        <v>-5013.72914285714</v>
      </c>
      <c r="R27" s="71" t="n">
        <f aca="false">R24+R38</f>
        <v>-5013.72914285714</v>
      </c>
      <c r="S27" s="71" t="n">
        <f aca="false">S24+S38</f>
        <v>-5013.72914285714</v>
      </c>
      <c r="T27" s="71" t="n">
        <f aca="false">T24+T38</f>
        <v>-5013.72914285714</v>
      </c>
      <c r="U27" s="71" t="n">
        <f aca="false">U24+U38</f>
        <v>-5013.72914285714</v>
      </c>
      <c r="V27" s="71" t="n">
        <f aca="false">V24+V38</f>
        <v>-5013.72914285714</v>
      </c>
      <c r="W27" s="71" t="n">
        <f aca="false">W24+W38</f>
        <v>-5013.72914285714</v>
      </c>
      <c r="X27" s="71" t="n">
        <f aca="false">X24+X38</f>
        <v>-5013.72914285714</v>
      </c>
      <c r="Y27" s="71" t="n">
        <f aca="false">Y24+Y38</f>
        <v>-5013.72914285714</v>
      </c>
      <c r="Z27" s="71" t="n">
        <f aca="false">Z24+Z38</f>
        <v>-5013.72914285714</v>
      </c>
      <c r="AA27" s="71" t="n">
        <f aca="false">AA24+AA38</f>
        <v>-4641.74406605715</v>
      </c>
      <c r="AB27" s="71" t="n">
        <f aca="false">AB24+AB38</f>
        <v>-4641.74406605715</v>
      </c>
      <c r="AC27" s="71" t="n">
        <f aca="false">AC24+AC38</f>
        <v>-4641.74406605715</v>
      </c>
      <c r="AD27" s="71" t="n">
        <f aca="false">AD24+AD38</f>
        <v>-4641.74406605715</v>
      </c>
      <c r="AE27" s="71" t="n">
        <f aca="false">AE24+AE38</f>
        <v>-4641.74406605715</v>
      </c>
      <c r="AF27" s="71" t="n">
        <f aca="false">AF24+AF38</f>
        <v>-4641.74406605715</v>
      </c>
      <c r="AG27" s="71" t="n">
        <f aca="false">AG24+AG38</f>
        <v>-4641.74406605715</v>
      </c>
      <c r="AH27" s="71" t="n">
        <f aca="false">AH24+AH38</f>
        <v>-4641.74406605715</v>
      </c>
      <c r="AI27" s="71" t="n">
        <f aca="false">AI24+AI38</f>
        <v>-4641.74406605715</v>
      </c>
      <c r="AJ27" s="71" t="n">
        <f aca="false">AJ24+AJ38</f>
        <v>-4641.74406605715</v>
      </c>
      <c r="AK27" s="71" t="n">
        <f aca="false">AK24+AK38</f>
        <v>-4641.74406605715</v>
      </c>
      <c r="AL27" s="71" t="n">
        <f aca="false">AL24+AL38</f>
        <v>-4641.74406605715</v>
      </c>
      <c r="AM27" s="71" t="n">
        <f aca="false">AM24+AM38</f>
        <v>-4245.58960837107</v>
      </c>
      <c r="AN27" s="71" t="n">
        <f aca="false">AN24+AN38</f>
        <v>-4245.58960837107</v>
      </c>
      <c r="AO27" s="71" t="n">
        <f aca="false">AO24+AO38</f>
        <v>-4245.58960837107</v>
      </c>
      <c r="AP27" s="71" t="n">
        <f aca="false">AP24+AP38</f>
        <v>-4245.58960837107</v>
      </c>
      <c r="AQ27" s="71" t="n">
        <f aca="false">AQ24+AQ38</f>
        <v>-4245.58960837107</v>
      </c>
      <c r="AR27" s="71" t="n">
        <f aca="false">AR24+AR38</f>
        <v>-4245.58960837107</v>
      </c>
      <c r="AS27" s="71" t="n">
        <f aca="false">AS24+AS38</f>
        <v>-4245.58960837107</v>
      </c>
      <c r="AT27" s="71" t="n">
        <f aca="false">AT24+AT38</f>
        <v>-4245.58960837107</v>
      </c>
      <c r="AU27" s="71" t="n">
        <f aca="false">AU24+AU38</f>
        <v>-4245.58960837107</v>
      </c>
      <c r="AV27" s="71" t="n">
        <f aca="false">AV24+AV38</f>
        <v>-4245.58960837107</v>
      </c>
      <c r="AW27" s="71" t="n">
        <f aca="false">AW24+AW38</f>
        <v>-4245.58960837107</v>
      </c>
      <c r="AX27" s="71" t="n">
        <f aca="false">AX24+AX38</f>
        <v>-4245.58960837107</v>
      </c>
      <c r="AY27" s="71" t="n">
        <f aca="false">AY24+AY38</f>
        <v>-3823.88239104607</v>
      </c>
      <c r="AZ27" s="71" t="n">
        <f aca="false">AZ24+AZ38</f>
        <v>-3823.88239104607</v>
      </c>
      <c r="BA27" s="71" t="n">
        <f aca="false">BA24+BA38</f>
        <v>-3823.88239104607</v>
      </c>
      <c r="BB27" s="71" t="n">
        <f aca="false">BB24+BB38</f>
        <v>-3823.88239104607</v>
      </c>
      <c r="BC27" s="71" t="n">
        <f aca="false">BC24+BC38</f>
        <v>-3823.88239104607</v>
      </c>
      <c r="BD27" s="71" t="n">
        <f aca="false">BD24+BD38</f>
        <v>-3823.88239104607</v>
      </c>
      <c r="BE27" s="71" t="n">
        <f aca="false">BE24+BE38</f>
        <v>-3823.88239104607</v>
      </c>
      <c r="BF27" s="71" t="n">
        <f aca="false">BF24+BF38</f>
        <v>-3823.88239104607</v>
      </c>
      <c r="BG27" s="71" t="n">
        <f aca="false">BG24+BG38</f>
        <v>-3823.88239104607</v>
      </c>
      <c r="BH27" s="71" t="n">
        <f aca="false">BH24+BH38</f>
        <v>-3823.88239104607</v>
      </c>
      <c r="BI27" s="71" t="n">
        <f aca="false">BI24+BI38</f>
        <v>-3823.88239104607</v>
      </c>
      <c r="BJ27" s="71" t="n">
        <f aca="false">BJ24+BJ38</f>
        <v>-3823.88239104607</v>
      </c>
    </row>
    <row r="28" customFormat="false" ht="15" hidden="false" customHeight="false" outlineLevel="0" collapsed="false">
      <c r="A28" s="6" t="s">
        <v>365</v>
      </c>
      <c r="C28" s="65" t="n">
        <f aca="false">-(C43+C44+C46)/2*Inputs!$B$31/12</f>
        <v>-533.333333333333</v>
      </c>
      <c r="D28" s="65" t="n">
        <f aca="false">-(D43+D44+D46)/2*Inputs!$B$31/12</f>
        <v>-528.888888888889</v>
      </c>
      <c r="E28" s="65" t="n">
        <f aca="false">-(E43+E44+E46)/2*Inputs!$B$31/12</f>
        <v>-520</v>
      </c>
      <c r="F28" s="65" t="n">
        <f aca="false">-(F43+F44+F46)/2*Inputs!$B$31/12</f>
        <v>-511.111111111111</v>
      </c>
      <c r="G28" s="65" t="n">
        <f aca="false">-(G43+G44+G46)/2*Inputs!$B$31/12</f>
        <v>-502.222222222222</v>
      </c>
      <c r="H28" s="65" t="n">
        <f aca="false">-(H43+H44+H46)/2*Inputs!$B$31/12</f>
        <v>-493.333333333334</v>
      </c>
      <c r="I28" s="65" t="n">
        <f aca="false">-(I43+I44+I46)/2*Inputs!$B$31/12</f>
        <v>-484.444444444445</v>
      </c>
      <c r="J28" s="65" t="n">
        <f aca="false">-(J43+J44+J46)/2*Inputs!$B$31/12</f>
        <v>-475.555555555556</v>
      </c>
      <c r="K28" s="65" t="n">
        <f aca="false">-(K43+K44+K46)/2*Inputs!$B$31/12</f>
        <v>-466.666666666667</v>
      </c>
      <c r="L28" s="65" t="n">
        <f aca="false">-(L43+L44+L46)/2*Inputs!$B$31/12</f>
        <v>-457.777777777778</v>
      </c>
      <c r="M28" s="65" t="n">
        <f aca="false">-(M43+M44+M46)/2*Inputs!$B$31/12</f>
        <v>-448.888888888889</v>
      </c>
      <c r="N28" s="65" t="n">
        <f aca="false">-(N43+N44+N46)/2*Inputs!$B$31/12</f>
        <v>-440</v>
      </c>
      <c r="O28" s="65" t="n">
        <f aca="false">-(O43+O44+O46)/2*Inputs!$B$31/12</f>
        <v>-431.111111111112</v>
      </c>
      <c r="P28" s="65" t="n">
        <f aca="false">-(P43+P44+P46)/2*Inputs!$B$31/12</f>
        <v>-422.222222222222</v>
      </c>
      <c r="Q28" s="65" t="n">
        <f aca="false">-(Q43+Q44+Q46)/2*Inputs!$B$31/12</f>
        <v>-413.333333333334</v>
      </c>
      <c r="R28" s="65" t="n">
        <f aca="false">-(R43+R44+R46)/2*Inputs!$B$31/12</f>
        <v>-404.444444444445</v>
      </c>
      <c r="S28" s="65" t="n">
        <f aca="false">-(S43+S44+S46)/2*Inputs!$B$31/12</f>
        <v>-395.555555555556</v>
      </c>
      <c r="T28" s="65" t="n">
        <f aca="false">-(T43+T44+T46)/2*Inputs!$B$31/12</f>
        <v>-386.666666666667</v>
      </c>
      <c r="U28" s="65" t="n">
        <f aca="false">-(U43+U44+U46)/2*Inputs!$B$31/12</f>
        <v>-377.777777777778</v>
      </c>
      <c r="V28" s="65" t="n">
        <f aca="false">-(V43+V44+V46)/2*Inputs!$B$31/12</f>
        <v>-368.888888888889</v>
      </c>
      <c r="W28" s="65" t="n">
        <f aca="false">-(W43+W44+W46)/2*Inputs!$B$31/12</f>
        <v>-360</v>
      </c>
      <c r="X28" s="65" t="n">
        <f aca="false">-(X43+X44+X46)/2*Inputs!$B$31/12</f>
        <v>-351.111111111111</v>
      </c>
      <c r="Y28" s="65" t="n">
        <f aca="false">-(Y43+Y44+Y46)/2*Inputs!$B$31/12</f>
        <v>-342.222222222222</v>
      </c>
      <c r="Z28" s="65" t="n">
        <f aca="false">-(Z43+Z44+Z46)/2*Inputs!$B$31/12</f>
        <v>-333.333333333333</v>
      </c>
      <c r="AA28" s="65" t="n">
        <f aca="false">-(AA43+AA44+AA46)/2*Inputs!$B$31/12</f>
        <v>-324.444444444445</v>
      </c>
      <c r="AB28" s="65" t="n">
        <f aca="false">-(AB43+AB44+AB46)/2*Inputs!$B$31/12</f>
        <v>-315.555555555556</v>
      </c>
      <c r="AC28" s="65" t="n">
        <f aca="false">-(AC43+AC44+AC46)/2*Inputs!$B$31/12</f>
        <v>-306.666666666667</v>
      </c>
      <c r="AD28" s="65" t="n">
        <f aca="false">-(AD43+AD44+AD46)/2*Inputs!$B$31/12</f>
        <v>-297.777777777778</v>
      </c>
      <c r="AE28" s="65" t="n">
        <f aca="false">-(AE43+AE44+AE46)/2*Inputs!$B$31/12</f>
        <v>-288.888888888889</v>
      </c>
      <c r="AF28" s="65" t="n">
        <f aca="false">-(AF43+AF44+AF46)/2*Inputs!$B$31/12</f>
        <v>-280</v>
      </c>
      <c r="AG28" s="65" t="n">
        <f aca="false">-(AG43+AG44+AG46)/2*Inputs!$B$31/12</f>
        <v>-271.111111111111</v>
      </c>
      <c r="AH28" s="65" t="n">
        <f aca="false">-(AH43+AH44+AH46)/2*Inputs!$B$31/12</f>
        <v>-262.222222222222</v>
      </c>
      <c r="AI28" s="65" t="n">
        <f aca="false">-(AI43+AI44+AI46)/2*Inputs!$B$31/12</f>
        <v>-253.333333333333</v>
      </c>
      <c r="AJ28" s="65" t="n">
        <f aca="false">-(AJ43+AJ44+AJ46)/2*Inputs!$B$31/12</f>
        <v>-244.444444444444</v>
      </c>
      <c r="AK28" s="65" t="n">
        <f aca="false">-(AK43+AK44+AK46)/2*Inputs!$B$31/12</f>
        <v>-235.555555555556</v>
      </c>
      <c r="AL28" s="65" t="n">
        <f aca="false">-(AL43+AL44+AL46)/2*Inputs!$B$31/12</f>
        <v>-226.666666666667</v>
      </c>
      <c r="AM28" s="65" t="n">
        <f aca="false">-(AM43+AM44+AM46)/2*Inputs!$B$31/12</f>
        <v>-217.777777777778</v>
      </c>
      <c r="AN28" s="65" t="n">
        <f aca="false">-(AN43+AN44+AN46)/2*Inputs!$B$31/12</f>
        <v>-208.888888888889</v>
      </c>
      <c r="AO28" s="65" t="n">
        <f aca="false">-(AO43+AO44+AO46)/2*Inputs!$B$31/12</f>
        <v>-200</v>
      </c>
      <c r="AP28" s="65" t="n">
        <f aca="false">-(AP43+AP44+AP46)/2*Inputs!$B$31/12</f>
        <v>-191.111111111111</v>
      </c>
      <c r="AQ28" s="65" t="n">
        <f aca="false">-(AQ43+AQ44+AQ46)/2*Inputs!$B$31/12</f>
        <v>-182.222222222222</v>
      </c>
      <c r="AR28" s="65" t="n">
        <f aca="false">-(AR43+AR44+AR46)/2*Inputs!$B$31/12</f>
        <v>-173.333333333333</v>
      </c>
      <c r="AS28" s="65" t="n">
        <f aca="false">-(AS43+AS44+AS46)/2*Inputs!$B$31/12</f>
        <v>-164.444444444444</v>
      </c>
      <c r="AT28" s="65" t="n">
        <f aca="false">-(AT43+AT44+AT46)/2*Inputs!$B$31/12</f>
        <v>-155.555555555556</v>
      </c>
      <c r="AU28" s="65" t="n">
        <f aca="false">-(AU43+AU44+AU46)/2*Inputs!$B$31/12</f>
        <v>-146.666666666667</v>
      </c>
      <c r="AV28" s="65" t="n">
        <f aca="false">-(AV43+AV44+AV46)/2*Inputs!$B$31/12</f>
        <v>-137.777777777778</v>
      </c>
      <c r="AW28" s="65" t="n">
        <f aca="false">-(AW43+AW44+AW46)/2*Inputs!$B$31/12</f>
        <v>-128.888888888889</v>
      </c>
      <c r="AX28" s="65" t="n">
        <f aca="false">-(AX43+AX44+AX46)/2*Inputs!$B$31/12</f>
        <v>-120</v>
      </c>
      <c r="AY28" s="65" t="n">
        <f aca="false">-(AY43+AY44+AY46)/2*Inputs!$B$31/12</f>
        <v>-111.111111111111</v>
      </c>
      <c r="AZ28" s="65" t="n">
        <f aca="false">-(AZ43+AZ44+AZ46)/2*Inputs!$B$31/12</f>
        <v>-102.222222222222</v>
      </c>
      <c r="BA28" s="65" t="n">
        <f aca="false">-(BA43+BA44+BA46)/2*Inputs!$B$31/12</f>
        <v>-93.3333333333333</v>
      </c>
      <c r="BB28" s="65" t="n">
        <f aca="false">-(BB43+BB44+BB46)/2*Inputs!$B$31/12</f>
        <v>-84.4444444444445</v>
      </c>
      <c r="BC28" s="65" t="n">
        <f aca="false">-(BC43+BC44+BC46)/2*Inputs!$B$31/12</f>
        <v>-75.5555555555556</v>
      </c>
      <c r="BD28" s="65" t="n">
        <f aca="false">-(BD43+BD44+BD46)/2*Inputs!$B$31/12</f>
        <v>-66.6666666666667</v>
      </c>
      <c r="BE28" s="65" t="n">
        <f aca="false">-(BE43+BE44+BE46)/2*Inputs!$B$31/12</f>
        <v>-57.7777777777778</v>
      </c>
      <c r="BF28" s="65" t="n">
        <f aca="false">-(BF43+BF44+BF46)/2*Inputs!$B$31/12</f>
        <v>-48.8888888888889</v>
      </c>
      <c r="BG28" s="65" t="n">
        <f aca="false">-(BG43+BG44+BG46)/2*Inputs!$B$31/12</f>
        <v>-40</v>
      </c>
      <c r="BH28" s="65" t="n">
        <f aca="false">-(BH43+BH44+BH46)/2*Inputs!$B$31/12</f>
        <v>-31.1111111111111</v>
      </c>
      <c r="BI28" s="65" t="n">
        <f aca="false">-(BI43+BI44+BI46)/2*Inputs!$B$31/12</f>
        <v>-22.2222222222222</v>
      </c>
      <c r="BJ28" s="65" t="n">
        <f aca="false">-(BJ43+BJ44+BJ46)/2*Inputs!$B$31/12</f>
        <v>-13.3333333333333</v>
      </c>
    </row>
    <row r="29" customFormat="false" ht="15" hidden="false" customHeight="false" outlineLevel="0" collapsed="false">
      <c r="A29" s="108" t="s">
        <v>79</v>
      </c>
      <c r="C29" s="66" t="n">
        <f aca="false">C27+C28</f>
        <v>-13024.1904761905</v>
      </c>
      <c r="D29" s="66" t="n">
        <f aca="false">D27+D28</f>
        <v>-12227.746031746</v>
      </c>
      <c r="E29" s="66" t="n">
        <f aca="false">E27+E28</f>
        <v>-11426.8571428571</v>
      </c>
      <c r="F29" s="66" t="n">
        <f aca="false">F27+F28</f>
        <v>-10625.9682539683</v>
      </c>
      <c r="G29" s="66" t="n">
        <f aca="false">G27+G28</f>
        <v>-9825.07936507937</v>
      </c>
      <c r="H29" s="66" t="n">
        <f aca="false">H27+H28</f>
        <v>-9024.19047619048</v>
      </c>
      <c r="I29" s="66" t="n">
        <f aca="false">I27+I28</f>
        <v>-8223.30158730159</v>
      </c>
      <c r="J29" s="66" t="n">
        <f aca="false">J27+J28</f>
        <v>-7422.4126984127</v>
      </c>
      <c r="K29" s="66" t="n">
        <f aca="false">K27+K28</f>
        <v>-6621.52380952381</v>
      </c>
      <c r="L29" s="66" t="n">
        <f aca="false">L27+L28</f>
        <v>-5820.63492063492</v>
      </c>
      <c r="M29" s="66" t="n">
        <f aca="false">M27+M28</f>
        <v>-5811.74603174603</v>
      </c>
      <c r="N29" s="66" t="n">
        <f aca="false">N27+N28</f>
        <v>-5802.85714285714</v>
      </c>
      <c r="O29" s="66" t="n">
        <f aca="false">O27+O28</f>
        <v>-5444.84025396825</v>
      </c>
      <c r="P29" s="66" t="n">
        <f aca="false">P27+P28</f>
        <v>-5435.95136507937</v>
      </c>
      <c r="Q29" s="66" t="n">
        <f aca="false">Q27+Q28</f>
        <v>-5427.06247619048</v>
      </c>
      <c r="R29" s="66" t="n">
        <f aca="false">R27+R28</f>
        <v>-5418.17358730159</v>
      </c>
      <c r="S29" s="66" t="n">
        <f aca="false">S27+S28</f>
        <v>-5409.2846984127</v>
      </c>
      <c r="T29" s="66" t="n">
        <f aca="false">T27+T28</f>
        <v>-5400.39580952381</v>
      </c>
      <c r="U29" s="66" t="n">
        <f aca="false">U27+U28</f>
        <v>-5391.50692063492</v>
      </c>
      <c r="V29" s="66" t="n">
        <f aca="false">V27+V28</f>
        <v>-5382.61803174603</v>
      </c>
      <c r="W29" s="66" t="n">
        <f aca="false">W27+W28</f>
        <v>-5373.72914285714</v>
      </c>
      <c r="X29" s="66" t="n">
        <f aca="false">X27+X28</f>
        <v>-5364.84025396825</v>
      </c>
      <c r="Y29" s="66" t="n">
        <f aca="false">Y27+Y28</f>
        <v>-5355.95136507937</v>
      </c>
      <c r="Z29" s="66" t="n">
        <f aca="false">Z27+Z28</f>
        <v>-5347.06247619048</v>
      </c>
      <c r="AA29" s="66" t="n">
        <f aca="false">AA27+AA28</f>
        <v>-4966.18851050159</v>
      </c>
      <c r="AB29" s="66" t="n">
        <f aca="false">AB27+AB28</f>
        <v>-4957.2996216127</v>
      </c>
      <c r="AC29" s="66" t="n">
        <f aca="false">AC27+AC28</f>
        <v>-4948.41073272381</v>
      </c>
      <c r="AD29" s="66" t="n">
        <f aca="false">AD27+AD28</f>
        <v>-4939.52184383492</v>
      </c>
      <c r="AE29" s="66" t="n">
        <f aca="false">AE27+AE28</f>
        <v>-4930.63295494603</v>
      </c>
      <c r="AF29" s="66" t="n">
        <f aca="false">AF27+AF28</f>
        <v>-4921.74406605715</v>
      </c>
      <c r="AG29" s="66" t="n">
        <f aca="false">AG27+AG28</f>
        <v>-4912.85517716826</v>
      </c>
      <c r="AH29" s="66" t="n">
        <f aca="false">AH27+AH28</f>
        <v>-4903.96628827937</v>
      </c>
      <c r="AI29" s="66" t="n">
        <f aca="false">AI27+AI28</f>
        <v>-4895.07739939048</v>
      </c>
      <c r="AJ29" s="66" t="n">
        <f aca="false">AJ27+AJ28</f>
        <v>-4886.18851050159</v>
      </c>
      <c r="AK29" s="66" t="n">
        <f aca="false">AK27+AK28</f>
        <v>-4877.2996216127</v>
      </c>
      <c r="AL29" s="66" t="n">
        <f aca="false">AL27+AL28</f>
        <v>-4868.41073272381</v>
      </c>
      <c r="AM29" s="66" t="n">
        <f aca="false">AM27+AM28</f>
        <v>-4463.36738614884</v>
      </c>
      <c r="AN29" s="66" t="n">
        <f aca="false">AN27+AN28</f>
        <v>-4454.47849725995</v>
      </c>
      <c r="AO29" s="66" t="n">
        <f aca="false">AO27+AO28</f>
        <v>-4445.58960837107</v>
      </c>
      <c r="AP29" s="66" t="n">
        <f aca="false">AP27+AP28</f>
        <v>-4436.70071948218</v>
      </c>
      <c r="AQ29" s="66" t="n">
        <f aca="false">AQ27+AQ28</f>
        <v>-4427.81183059329</v>
      </c>
      <c r="AR29" s="66" t="n">
        <f aca="false">AR27+AR28</f>
        <v>-4418.9229417044</v>
      </c>
      <c r="AS29" s="66" t="n">
        <f aca="false">AS27+AS28</f>
        <v>-4410.03405281551</v>
      </c>
      <c r="AT29" s="66" t="n">
        <f aca="false">AT27+AT28</f>
        <v>-4401.14516392662</v>
      </c>
      <c r="AU29" s="66" t="n">
        <f aca="false">AU27+AU28</f>
        <v>-4392.25627503773</v>
      </c>
      <c r="AV29" s="66" t="n">
        <f aca="false">AV27+AV28</f>
        <v>-4383.36738614884</v>
      </c>
      <c r="AW29" s="66" t="n">
        <f aca="false">AW27+AW28</f>
        <v>-4374.47849725995</v>
      </c>
      <c r="AX29" s="66" t="n">
        <f aca="false">AX27+AX28</f>
        <v>-4365.58960837107</v>
      </c>
      <c r="AY29" s="66" t="n">
        <f aca="false">AY27+AY28</f>
        <v>-3934.99350215718</v>
      </c>
      <c r="AZ29" s="66" t="n">
        <f aca="false">AZ27+AZ28</f>
        <v>-3926.10461326829</v>
      </c>
      <c r="BA29" s="66" t="n">
        <f aca="false">BA27+BA28</f>
        <v>-3917.2157243794</v>
      </c>
      <c r="BB29" s="66" t="n">
        <f aca="false">BB27+BB28</f>
        <v>-3908.32683549051</v>
      </c>
      <c r="BC29" s="66" t="n">
        <f aca="false">BC27+BC28</f>
        <v>-3899.43794660162</v>
      </c>
      <c r="BD29" s="66" t="n">
        <f aca="false">BD27+BD28</f>
        <v>-3890.54905771273</v>
      </c>
      <c r="BE29" s="66" t="n">
        <f aca="false">BE27+BE28</f>
        <v>-3881.66016882384</v>
      </c>
      <c r="BF29" s="66" t="n">
        <f aca="false">BF27+BF28</f>
        <v>-3872.77127993496</v>
      </c>
      <c r="BG29" s="66" t="n">
        <f aca="false">BG27+BG28</f>
        <v>-3863.88239104607</v>
      </c>
      <c r="BH29" s="66" t="n">
        <f aca="false">BH27+BH28</f>
        <v>-3854.99350215718</v>
      </c>
      <c r="BI29" s="66" t="n">
        <f aca="false">BI27+BI28</f>
        <v>-3846.10461326829</v>
      </c>
      <c r="BJ29" s="66" t="n">
        <f aca="false">BJ27+BJ28</f>
        <v>-3837.2157243794</v>
      </c>
    </row>
    <row r="30" customFormat="false" ht="15" hidden="false" customHeight="false" outlineLevel="0" collapsed="false">
      <c r="A30" s="114" t="s">
        <v>366</v>
      </c>
      <c r="C30" s="65" t="n">
        <f aca="false">C29</f>
        <v>-13024.1904761905</v>
      </c>
      <c r="D30" s="65" t="n">
        <f aca="false">C30+D29</f>
        <v>-25251.9365079365</v>
      </c>
      <c r="E30" s="65" t="n">
        <f aca="false">D30+E29</f>
        <v>-36678.7936507937</v>
      </c>
      <c r="F30" s="65" t="n">
        <f aca="false">E30+F29</f>
        <v>-47304.7619047619</v>
      </c>
      <c r="G30" s="65" t="n">
        <f aca="false">F30+G29</f>
        <v>-57129.8412698413</v>
      </c>
      <c r="H30" s="65" t="n">
        <f aca="false">G30+H29</f>
        <v>-66154.0317460318</v>
      </c>
      <c r="I30" s="65" t="n">
        <f aca="false">H30+I29</f>
        <v>-74377.3333333333</v>
      </c>
      <c r="J30" s="65" t="n">
        <f aca="false">I30+J29</f>
        <v>-81799.746031746</v>
      </c>
      <c r="K30" s="65" t="n">
        <f aca="false">J30+K29</f>
        <v>-88421.2698412698</v>
      </c>
      <c r="L30" s="65" t="n">
        <f aca="false">K30+L29</f>
        <v>-94241.9047619048</v>
      </c>
      <c r="M30" s="65" t="n">
        <f aca="false">L30+M29</f>
        <v>-100053.650793651</v>
      </c>
      <c r="N30" s="65" t="n">
        <f aca="false">M30+N29</f>
        <v>-105856.507936508</v>
      </c>
      <c r="O30" s="65" t="n">
        <f aca="false">N30+O29</f>
        <v>-111301.348190476</v>
      </c>
      <c r="P30" s="65" t="n">
        <f aca="false">O30+P29</f>
        <v>-116737.299555556</v>
      </c>
      <c r="Q30" s="65" t="n">
        <f aca="false">P30+Q29</f>
        <v>-122164.362031746</v>
      </c>
      <c r="R30" s="65" t="n">
        <f aca="false">Q30+R29</f>
        <v>-127582.535619048</v>
      </c>
      <c r="S30" s="65" t="n">
        <f aca="false">R30+S29</f>
        <v>-132991.82031746</v>
      </c>
      <c r="T30" s="65" t="n">
        <f aca="false">S30+T29</f>
        <v>-138392.216126984</v>
      </c>
      <c r="U30" s="65" t="n">
        <f aca="false">T30+U29</f>
        <v>-143783.723047619</v>
      </c>
      <c r="V30" s="65" t="n">
        <f aca="false">U30+V29</f>
        <v>-149166.341079365</v>
      </c>
      <c r="W30" s="65" t="n">
        <f aca="false">V30+W29</f>
        <v>-154540.070222222</v>
      </c>
      <c r="X30" s="65" t="n">
        <f aca="false">W30+X29</f>
        <v>-159904.910476191</v>
      </c>
      <c r="Y30" s="65" t="n">
        <f aca="false">X30+Y29</f>
        <v>-165260.86184127</v>
      </c>
      <c r="Z30" s="65" t="n">
        <f aca="false">Y30+Z29</f>
        <v>-170607.92431746</v>
      </c>
      <c r="AA30" s="65" t="n">
        <f aca="false">Z30+AA29</f>
        <v>-175574.112827962</v>
      </c>
      <c r="AB30" s="65" t="n">
        <f aca="false">AA30+AB29</f>
        <v>-180531.412449575</v>
      </c>
      <c r="AC30" s="65" t="n">
        <f aca="false">AB30+AC29</f>
        <v>-185479.823182298</v>
      </c>
      <c r="AD30" s="65" t="n">
        <f aca="false">AC30+AD29</f>
        <v>-190419.345026133</v>
      </c>
      <c r="AE30" s="65" t="n">
        <f aca="false">AD30+AE29</f>
        <v>-195349.977981079</v>
      </c>
      <c r="AF30" s="65" t="n">
        <f aca="false">AE30+AF29</f>
        <v>-200271.722047137</v>
      </c>
      <c r="AG30" s="65" t="n">
        <f aca="false">AF30+AG29</f>
        <v>-205184.577224305</v>
      </c>
      <c r="AH30" s="65" t="n">
        <f aca="false">AG30+AH29</f>
        <v>-210088.543512584</v>
      </c>
      <c r="AI30" s="65" t="n">
        <f aca="false">AH30+AI29</f>
        <v>-214983.620911975</v>
      </c>
      <c r="AJ30" s="65" t="n">
        <f aca="false">AI30+AJ29</f>
        <v>-219869.809422476</v>
      </c>
      <c r="AK30" s="65" t="n">
        <f aca="false">AJ30+AK29</f>
        <v>-224747.109044089</v>
      </c>
      <c r="AL30" s="65" t="n">
        <f aca="false">AK30+AL29</f>
        <v>-229615.519776813</v>
      </c>
      <c r="AM30" s="65" t="n">
        <f aca="false">AL30+AM29</f>
        <v>-234078.887162962</v>
      </c>
      <c r="AN30" s="65" t="n">
        <f aca="false">AM30+AN29</f>
        <v>-238533.365660222</v>
      </c>
      <c r="AO30" s="65" t="n">
        <f aca="false">AN30+AO29</f>
        <v>-242978.955268593</v>
      </c>
      <c r="AP30" s="65" t="n">
        <f aca="false">AO30+AP29</f>
        <v>-247415.655988075</v>
      </c>
      <c r="AQ30" s="65" t="n">
        <f aca="false">AP30+AQ29</f>
        <v>-251843.467818668</v>
      </c>
      <c r="AR30" s="65" t="n">
        <f aca="false">AQ30+AR29</f>
        <v>-256262.390760372</v>
      </c>
      <c r="AS30" s="65" t="n">
        <f aca="false">AR30+AS29</f>
        <v>-260672.424813188</v>
      </c>
      <c r="AT30" s="65" t="n">
        <f aca="false">AS30+AT29</f>
        <v>-265073.569977115</v>
      </c>
      <c r="AU30" s="65" t="n">
        <f aca="false">AT30+AU29</f>
        <v>-269465.826252152</v>
      </c>
      <c r="AV30" s="65" t="n">
        <f aca="false">AU30+AV29</f>
        <v>-273849.193638301</v>
      </c>
      <c r="AW30" s="65" t="n">
        <f aca="false">AV30+AW29</f>
        <v>-278223.672135561</v>
      </c>
      <c r="AX30" s="65" t="n">
        <f aca="false">AW30+AX29</f>
        <v>-282589.261743932</v>
      </c>
      <c r="AY30" s="65" t="n">
        <f aca="false">AX30+AY29</f>
        <v>-286524.255246089</v>
      </c>
      <c r="AZ30" s="65" t="n">
        <f aca="false">AY30+AZ29</f>
        <v>-290450.359859358</v>
      </c>
      <c r="BA30" s="65" t="n">
        <f aca="false">AZ30+BA29</f>
        <v>-294367.575583737</v>
      </c>
      <c r="BB30" s="65" t="n">
        <f aca="false">BA30+BB29</f>
        <v>-298275.902419228</v>
      </c>
      <c r="BC30" s="65" t="n">
        <f aca="false">BB30+BC29</f>
        <v>-302175.340365829</v>
      </c>
      <c r="BD30" s="65" t="n">
        <f aca="false">BC30+BD29</f>
        <v>-306065.889423542</v>
      </c>
      <c r="BE30" s="65" t="n">
        <f aca="false">BD30+BE29</f>
        <v>-309947.549592366</v>
      </c>
      <c r="BF30" s="65" t="n">
        <f aca="false">BE30+BF29</f>
        <v>-313820.320872301</v>
      </c>
      <c r="BG30" s="65" t="n">
        <f aca="false">BF30+BG29</f>
        <v>-317684.203263347</v>
      </c>
      <c r="BH30" s="65" t="n">
        <f aca="false">BG30+BH29</f>
        <v>-321539.196765504</v>
      </c>
      <c r="BI30" s="65" t="n">
        <f aca="false">BH30+BI29</f>
        <v>-325385.301378772</v>
      </c>
      <c r="BJ30" s="65" t="n">
        <f aca="false">BI30+BJ29</f>
        <v>-329222.517103152</v>
      </c>
    </row>
    <row r="31" customFormat="false" ht="15" hidden="false" customHeight="false" outlineLevel="0" collapsed="false">
      <c r="A31" s="114" t="s">
        <v>367</v>
      </c>
      <c r="C31" s="65" t="n">
        <f aca="false">MAX(0,C30)</f>
        <v>0</v>
      </c>
      <c r="D31" s="65" t="n">
        <f aca="false">MAX(C31,D30)</f>
        <v>0</v>
      </c>
      <c r="E31" s="65" t="n">
        <f aca="false">MAX(D31,E30)</f>
        <v>0</v>
      </c>
      <c r="F31" s="65" t="n">
        <f aca="false">MAX(E31,F30)</f>
        <v>0</v>
      </c>
      <c r="G31" s="65" t="n">
        <f aca="false">MAX(F31,G30)</f>
        <v>0</v>
      </c>
      <c r="H31" s="65" t="n">
        <f aca="false">MAX(G31,H30)</f>
        <v>0</v>
      </c>
      <c r="I31" s="65" t="n">
        <f aca="false">MAX(H31,I30)</f>
        <v>0</v>
      </c>
      <c r="J31" s="65" t="n">
        <f aca="false">MAX(I31,J30)</f>
        <v>0</v>
      </c>
      <c r="K31" s="65" t="n">
        <f aca="false">MAX(J31,K30)</f>
        <v>0</v>
      </c>
      <c r="L31" s="65" t="n">
        <f aca="false">MAX(K31,L30)</f>
        <v>0</v>
      </c>
      <c r="M31" s="65" t="n">
        <f aca="false">MAX(L31,M30)</f>
        <v>0</v>
      </c>
      <c r="N31" s="65" t="n">
        <f aca="false">MAX(M31,N30)</f>
        <v>0</v>
      </c>
      <c r="O31" s="65" t="n">
        <f aca="false">MAX(N31,O30)</f>
        <v>0</v>
      </c>
      <c r="P31" s="65" t="n">
        <f aca="false">MAX(O31,P30)</f>
        <v>0</v>
      </c>
      <c r="Q31" s="65" t="n">
        <f aca="false">MAX(P31,Q30)</f>
        <v>0</v>
      </c>
      <c r="R31" s="65" t="n">
        <f aca="false">MAX(Q31,R30)</f>
        <v>0</v>
      </c>
      <c r="S31" s="65" t="n">
        <f aca="false">MAX(R31,S30)</f>
        <v>0</v>
      </c>
      <c r="T31" s="65" t="n">
        <f aca="false">MAX(S31,T30)</f>
        <v>0</v>
      </c>
      <c r="U31" s="65" t="n">
        <f aca="false">MAX(T31,U30)</f>
        <v>0</v>
      </c>
      <c r="V31" s="65" t="n">
        <f aca="false">MAX(U31,V30)</f>
        <v>0</v>
      </c>
      <c r="W31" s="65" t="n">
        <f aca="false">MAX(V31,W30)</f>
        <v>0</v>
      </c>
      <c r="X31" s="65" t="n">
        <f aca="false">MAX(W31,X30)</f>
        <v>0</v>
      </c>
      <c r="Y31" s="65" t="n">
        <f aca="false">MAX(X31,Y30)</f>
        <v>0</v>
      </c>
      <c r="Z31" s="65" t="n">
        <f aca="false">MAX(Y31,Z30)</f>
        <v>0</v>
      </c>
      <c r="AA31" s="65" t="n">
        <f aca="false">MAX(Z31,AA30)</f>
        <v>0</v>
      </c>
      <c r="AB31" s="65" t="n">
        <f aca="false">MAX(AA31,AB30)</f>
        <v>0</v>
      </c>
      <c r="AC31" s="65" t="n">
        <f aca="false">MAX(AB31,AC30)</f>
        <v>0</v>
      </c>
      <c r="AD31" s="65" t="n">
        <f aca="false">MAX(AC31,AD30)</f>
        <v>0</v>
      </c>
      <c r="AE31" s="65" t="n">
        <f aca="false">MAX(AD31,AE30)</f>
        <v>0</v>
      </c>
      <c r="AF31" s="65" t="n">
        <f aca="false">MAX(AE31,AF30)</f>
        <v>0</v>
      </c>
      <c r="AG31" s="65" t="n">
        <f aca="false">MAX(AF31,AG30)</f>
        <v>0</v>
      </c>
      <c r="AH31" s="65" t="n">
        <f aca="false">MAX(AG31,AH30)</f>
        <v>0</v>
      </c>
      <c r="AI31" s="65" t="n">
        <f aca="false">MAX(AH31,AI30)</f>
        <v>0</v>
      </c>
      <c r="AJ31" s="65" t="n">
        <f aca="false">MAX(AI31,AJ30)</f>
        <v>0</v>
      </c>
      <c r="AK31" s="65" t="n">
        <f aca="false">MAX(AJ31,AK30)</f>
        <v>0</v>
      </c>
      <c r="AL31" s="65" t="n">
        <f aca="false">MAX(AK31,AL30)</f>
        <v>0</v>
      </c>
      <c r="AM31" s="65" t="n">
        <f aca="false">MAX(AL31,AM30)</f>
        <v>0</v>
      </c>
      <c r="AN31" s="65" t="n">
        <f aca="false">MAX(AM31,AN30)</f>
        <v>0</v>
      </c>
      <c r="AO31" s="65" t="n">
        <f aca="false">MAX(AN31,AO30)</f>
        <v>0</v>
      </c>
      <c r="AP31" s="65" t="n">
        <f aca="false">MAX(AO31,AP30)</f>
        <v>0</v>
      </c>
      <c r="AQ31" s="65" t="n">
        <f aca="false">MAX(AP31,AQ30)</f>
        <v>0</v>
      </c>
      <c r="AR31" s="65" t="n">
        <f aca="false">MAX(AQ31,AR30)</f>
        <v>0</v>
      </c>
      <c r="AS31" s="65" t="n">
        <f aca="false">MAX(AR31,AS30)</f>
        <v>0</v>
      </c>
      <c r="AT31" s="65" t="n">
        <f aca="false">MAX(AS31,AT30)</f>
        <v>0</v>
      </c>
      <c r="AU31" s="65" t="n">
        <f aca="false">MAX(AT31,AU30)</f>
        <v>0</v>
      </c>
      <c r="AV31" s="65" t="n">
        <f aca="false">MAX(AU31,AV30)</f>
        <v>0</v>
      </c>
      <c r="AW31" s="65" t="n">
        <f aca="false">MAX(AV31,AW30)</f>
        <v>0</v>
      </c>
      <c r="AX31" s="65" t="n">
        <f aca="false">MAX(AW31,AX30)</f>
        <v>0</v>
      </c>
      <c r="AY31" s="65" t="n">
        <f aca="false">MAX(AX31,AY30)</f>
        <v>0</v>
      </c>
      <c r="AZ31" s="65" t="n">
        <f aca="false">MAX(AY31,AZ30)</f>
        <v>0</v>
      </c>
      <c r="BA31" s="65" t="n">
        <f aca="false">MAX(AZ31,BA30)</f>
        <v>0</v>
      </c>
      <c r="BB31" s="65" t="n">
        <f aca="false">MAX(BA31,BB30)</f>
        <v>0</v>
      </c>
      <c r="BC31" s="65" t="n">
        <f aca="false">MAX(BB31,BC30)</f>
        <v>0</v>
      </c>
      <c r="BD31" s="65" t="n">
        <f aca="false">MAX(BC31,BD30)</f>
        <v>0</v>
      </c>
      <c r="BE31" s="65" t="n">
        <f aca="false">MAX(BD31,BE30)</f>
        <v>0</v>
      </c>
      <c r="BF31" s="65" t="n">
        <f aca="false">MAX(BE31,BF30)</f>
        <v>0</v>
      </c>
      <c r="BG31" s="65" t="n">
        <f aca="false">MAX(BF31,BG30)</f>
        <v>0</v>
      </c>
      <c r="BH31" s="65" t="n">
        <f aca="false">MAX(BG31,BH30)</f>
        <v>0</v>
      </c>
      <c r="BI31" s="65" t="n">
        <f aca="false">MAX(BH31,BI30)</f>
        <v>0</v>
      </c>
      <c r="BJ31" s="65" t="n">
        <f aca="false">MAX(BI31,BJ30)</f>
        <v>0</v>
      </c>
    </row>
    <row r="32" customFormat="false" ht="15" hidden="false" customHeight="false" outlineLevel="0" collapsed="false">
      <c r="A32" s="6" t="s">
        <v>80</v>
      </c>
      <c r="C32" s="65" t="n">
        <f aca="false">-C31*Inputs!$B$41</f>
        <v>-0</v>
      </c>
      <c r="D32" s="65" t="n">
        <f aca="false">-(D31-C31)*Inputs!$B$41</f>
        <v>-0</v>
      </c>
      <c r="E32" s="65" t="n">
        <f aca="false">-(E31-D31)*Inputs!$B$41</f>
        <v>-0</v>
      </c>
      <c r="F32" s="65" t="n">
        <f aca="false">-(F31-E31)*Inputs!$B$41</f>
        <v>-0</v>
      </c>
      <c r="G32" s="65" t="n">
        <f aca="false">-(G31-F31)*Inputs!$B$41</f>
        <v>-0</v>
      </c>
      <c r="H32" s="65" t="n">
        <f aca="false">-(H31-G31)*Inputs!$B$41</f>
        <v>-0</v>
      </c>
      <c r="I32" s="65" t="n">
        <f aca="false">-(I31-H31)*Inputs!$B$41</f>
        <v>-0</v>
      </c>
      <c r="J32" s="65" t="n">
        <f aca="false">-(J31-I31)*Inputs!$B$41</f>
        <v>-0</v>
      </c>
      <c r="K32" s="65" t="n">
        <f aca="false">-(K31-J31)*Inputs!$B$41</f>
        <v>-0</v>
      </c>
      <c r="L32" s="65" t="n">
        <f aca="false">-(L31-K31)*Inputs!$B$41</f>
        <v>-0</v>
      </c>
      <c r="M32" s="65" t="n">
        <f aca="false">-(M31-L31)*Inputs!$B$41</f>
        <v>-0</v>
      </c>
      <c r="N32" s="65" t="n">
        <f aca="false">-(N31-M31)*Inputs!$B$41</f>
        <v>-0</v>
      </c>
      <c r="O32" s="65" t="n">
        <f aca="false">-(O31-N31)*Inputs!$B$41</f>
        <v>-0</v>
      </c>
      <c r="P32" s="65" t="n">
        <f aca="false">-(P31-O31)*Inputs!$B$41</f>
        <v>-0</v>
      </c>
      <c r="Q32" s="65" t="n">
        <f aca="false">-(Q31-P31)*Inputs!$B$41</f>
        <v>-0</v>
      </c>
      <c r="R32" s="65" t="n">
        <f aca="false">-(R31-Q31)*Inputs!$B$41</f>
        <v>-0</v>
      </c>
      <c r="S32" s="65" t="n">
        <f aca="false">-(S31-R31)*Inputs!$B$41</f>
        <v>-0</v>
      </c>
      <c r="T32" s="65" t="n">
        <f aca="false">-(T31-S31)*Inputs!$B$41</f>
        <v>-0</v>
      </c>
      <c r="U32" s="65" t="n">
        <f aca="false">-(U31-T31)*Inputs!$B$41</f>
        <v>-0</v>
      </c>
      <c r="V32" s="65" t="n">
        <f aca="false">-(V31-U31)*Inputs!$B$41</f>
        <v>-0</v>
      </c>
      <c r="W32" s="65" t="n">
        <f aca="false">-(W31-V31)*Inputs!$B$41</f>
        <v>-0</v>
      </c>
      <c r="X32" s="65" t="n">
        <f aca="false">-(X31-W31)*Inputs!$B$41</f>
        <v>-0</v>
      </c>
      <c r="Y32" s="65" t="n">
        <f aca="false">-(Y31-X31)*Inputs!$B$41</f>
        <v>-0</v>
      </c>
      <c r="Z32" s="65" t="n">
        <f aca="false">-(Z31-Y31)*Inputs!$B$41</f>
        <v>-0</v>
      </c>
      <c r="AA32" s="65" t="n">
        <f aca="false">-(AA31-Z31)*Inputs!$B$41</f>
        <v>-0</v>
      </c>
      <c r="AB32" s="65" t="n">
        <f aca="false">-(AB31-AA31)*Inputs!$B$41</f>
        <v>-0</v>
      </c>
      <c r="AC32" s="65" t="n">
        <f aca="false">-(AC31-AB31)*Inputs!$B$41</f>
        <v>-0</v>
      </c>
      <c r="AD32" s="65" t="n">
        <f aca="false">-(AD31-AC31)*Inputs!$B$41</f>
        <v>-0</v>
      </c>
      <c r="AE32" s="65" t="n">
        <f aca="false">-(AE31-AD31)*Inputs!$B$41</f>
        <v>-0</v>
      </c>
      <c r="AF32" s="65" t="n">
        <f aca="false">-(AF31-AE31)*Inputs!$B$41</f>
        <v>-0</v>
      </c>
      <c r="AG32" s="65" t="n">
        <f aca="false">-(AG31-AF31)*Inputs!$B$41</f>
        <v>-0</v>
      </c>
      <c r="AH32" s="65" t="n">
        <f aca="false">-(AH31-AG31)*Inputs!$B$41</f>
        <v>-0</v>
      </c>
      <c r="AI32" s="65" t="n">
        <f aca="false">-(AI31-AH31)*Inputs!$B$41</f>
        <v>-0</v>
      </c>
      <c r="AJ32" s="65" t="n">
        <f aca="false">-(AJ31-AI31)*Inputs!$B$41</f>
        <v>-0</v>
      </c>
      <c r="AK32" s="65" t="n">
        <f aca="false">-(AK31-AJ31)*Inputs!$B$41</f>
        <v>-0</v>
      </c>
      <c r="AL32" s="65" t="n">
        <f aca="false">-(AL31-AK31)*Inputs!$B$41</f>
        <v>-0</v>
      </c>
      <c r="AM32" s="65" t="n">
        <f aca="false">-(AM31-AL31)*Inputs!$B$41</f>
        <v>-0</v>
      </c>
      <c r="AN32" s="65" t="n">
        <f aca="false">-(AN31-AM31)*Inputs!$B$41</f>
        <v>-0</v>
      </c>
      <c r="AO32" s="65" t="n">
        <f aca="false">-(AO31-AN31)*Inputs!$B$41</f>
        <v>-0</v>
      </c>
      <c r="AP32" s="65" t="n">
        <f aca="false">-(AP31-AO31)*Inputs!$B$41</f>
        <v>-0</v>
      </c>
      <c r="AQ32" s="65" t="n">
        <f aca="false">-(AQ31-AP31)*Inputs!$B$41</f>
        <v>-0</v>
      </c>
      <c r="AR32" s="65" t="n">
        <f aca="false">-(AR31-AQ31)*Inputs!$B$41</f>
        <v>-0</v>
      </c>
      <c r="AS32" s="65" t="n">
        <f aca="false">-(AS31-AR31)*Inputs!$B$41</f>
        <v>-0</v>
      </c>
      <c r="AT32" s="65" t="n">
        <f aca="false">-(AT31-AS31)*Inputs!$B$41</f>
        <v>-0</v>
      </c>
      <c r="AU32" s="65" t="n">
        <f aca="false">-(AU31-AT31)*Inputs!$B$41</f>
        <v>-0</v>
      </c>
      <c r="AV32" s="65" t="n">
        <f aca="false">-(AV31-AU31)*Inputs!$B$41</f>
        <v>-0</v>
      </c>
      <c r="AW32" s="65" t="n">
        <f aca="false">-(AW31-AV31)*Inputs!$B$41</f>
        <v>-0</v>
      </c>
      <c r="AX32" s="65" t="n">
        <f aca="false">-(AX31-AW31)*Inputs!$B$41</f>
        <v>-0</v>
      </c>
      <c r="AY32" s="65" t="n">
        <f aca="false">-(AY31-AX31)*Inputs!$B$41</f>
        <v>-0</v>
      </c>
      <c r="AZ32" s="65" t="n">
        <f aca="false">-(AZ31-AY31)*Inputs!$B$41</f>
        <v>-0</v>
      </c>
      <c r="BA32" s="65" t="n">
        <f aca="false">-(BA31-AZ31)*Inputs!$B$41</f>
        <v>-0</v>
      </c>
      <c r="BB32" s="65" t="n">
        <f aca="false">-(BB31-BA31)*Inputs!$B$41</f>
        <v>-0</v>
      </c>
      <c r="BC32" s="65" t="n">
        <f aca="false">-(BC31-BB31)*Inputs!$B$41</f>
        <v>-0</v>
      </c>
      <c r="BD32" s="65" t="n">
        <f aca="false">-(BD31-BC31)*Inputs!$B$41</f>
        <v>-0</v>
      </c>
      <c r="BE32" s="65" t="n">
        <f aca="false">-(BE31-BD31)*Inputs!$B$41</f>
        <v>-0</v>
      </c>
      <c r="BF32" s="65" t="n">
        <f aca="false">-(BF31-BE31)*Inputs!$B$41</f>
        <v>-0</v>
      </c>
      <c r="BG32" s="65" t="n">
        <f aca="false">-(BG31-BF31)*Inputs!$B$41</f>
        <v>-0</v>
      </c>
      <c r="BH32" s="65" t="n">
        <f aca="false">-(BH31-BG31)*Inputs!$B$41</f>
        <v>-0</v>
      </c>
      <c r="BI32" s="65" t="n">
        <f aca="false">-(BI31-BH31)*Inputs!$B$41</f>
        <v>-0</v>
      </c>
      <c r="BJ32" s="65" t="n">
        <f aca="false">-(BJ31-BI31)*Inputs!$B$41</f>
        <v>-0</v>
      </c>
    </row>
    <row r="33" customFormat="false" ht="15" hidden="false" customHeight="false" outlineLevel="0" collapsed="false">
      <c r="A33" s="108" t="s">
        <v>50</v>
      </c>
      <c r="C33" s="66" t="n">
        <f aca="false">C29+C32</f>
        <v>-13024.1904761905</v>
      </c>
      <c r="D33" s="66" t="n">
        <f aca="false">D29+D32</f>
        <v>-12227.746031746</v>
      </c>
      <c r="E33" s="66" t="n">
        <f aca="false">E29+E32</f>
        <v>-11426.8571428571</v>
      </c>
      <c r="F33" s="66" t="n">
        <f aca="false">F29+F32</f>
        <v>-10625.9682539683</v>
      </c>
      <c r="G33" s="66" t="n">
        <f aca="false">G29+G32</f>
        <v>-9825.07936507937</v>
      </c>
      <c r="H33" s="66" t="n">
        <f aca="false">H29+H32</f>
        <v>-9024.19047619048</v>
      </c>
      <c r="I33" s="66" t="n">
        <f aca="false">I29+I32</f>
        <v>-8223.30158730159</v>
      </c>
      <c r="J33" s="66" t="n">
        <f aca="false">J29+J32</f>
        <v>-7422.4126984127</v>
      </c>
      <c r="K33" s="66" t="n">
        <f aca="false">K29+K32</f>
        <v>-6621.52380952381</v>
      </c>
      <c r="L33" s="66" t="n">
        <f aca="false">L29+L32</f>
        <v>-5820.63492063492</v>
      </c>
      <c r="M33" s="66" t="n">
        <f aca="false">M29+M32</f>
        <v>-5811.74603174603</v>
      </c>
      <c r="N33" s="66" t="n">
        <f aca="false">N29+N32</f>
        <v>-5802.85714285714</v>
      </c>
      <c r="O33" s="66" t="n">
        <f aca="false">O29+O32</f>
        <v>-5444.84025396825</v>
      </c>
      <c r="P33" s="66" t="n">
        <f aca="false">P29+P32</f>
        <v>-5435.95136507937</v>
      </c>
      <c r="Q33" s="66" t="n">
        <f aca="false">Q29+Q32</f>
        <v>-5427.06247619048</v>
      </c>
      <c r="R33" s="66" t="n">
        <f aca="false">R29+R32</f>
        <v>-5418.17358730159</v>
      </c>
      <c r="S33" s="66" t="n">
        <f aca="false">S29+S32</f>
        <v>-5409.2846984127</v>
      </c>
      <c r="T33" s="66" t="n">
        <f aca="false">T29+T32</f>
        <v>-5400.39580952381</v>
      </c>
      <c r="U33" s="66" t="n">
        <f aca="false">U29+U32</f>
        <v>-5391.50692063492</v>
      </c>
      <c r="V33" s="66" t="n">
        <f aca="false">V29+V32</f>
        <v>-5382.61803174603</v>
      </c>
      <c r="W33" s="66" t="n">
        <f aca="false">W29+W32</f>
        <v>-5373.72914285714</v>
      </c>
      <c r="X33" s="66" t="n">
        <f aca="false">X29+X32</f>
        <v>-5364.84025396825</v>
      </c>
      <c r="Y33" s="66" t="n">
        <f aca="false">Y29+Y32</f>
        <v>-5355.95136507937</v>
      </c>
      <c r="Z33" s="66" t="n">
        <f aca="false">Z29+Z32</f>
        <v>-5347.06247619048</v>
      </c>
      <c r="AA33" s="66" t="n">
        <f aca="false">AA29+AA32</f>
        <v>-4966.18851050159</v>
      </c>
      <c r="AB33" s="66" t="n">
        <f aca="false">AB29+AB32</f>
        <v>-4957.2996216127</v>
      </c>
      <c r="AC33" s="66" t="n">
        <f aca="false">AC29+AC32</f>
        <v>-4948.41073272381</v>
      </c>
      <c r="AD33" s="66" t="n">
        <f aca="false">AD29+AD32</f>
        <v>-4939.52184383492</v>
      </c>
      <c r="AE33" s="66" t="n">
        <f aca="false">AE29+AE32</f>
        <v>-4930.63295494603</v>
      </c>
      <c r="AF33" s="66" t="n">
        <f aca="false">AF29+AF32</f>
        <v>-4921.74406605715</v>
      </c>
      <c r="AG33" s="66" t="n">
        <f aca="false">AG29+AG32</f>
        <v>-4912.85517716826</v>
      </c>
      <c r="AH33" s="66" t="n">
        <f aca="false">AH29+AH32</f>
        <v>-4903.96628827937</v>
      </c>
      <c r="AI33" s="66" t="n">
        <f aca="false">AI29+AI32</f>
        <v>-4895.07739939048</v>
      </c>
      <c r="AJ33" s="66" t="n">
        <f aca="false">AJ29+AJ32</f>
        <v>-4886.18851050159</v>
      </c>
      <c r="AK33" s="66" t="n">
        <f aca="false">AK29+AK32</f>
        <v>-4877.2996216127</v>
      </c>
      <c r="AL33" s="66" t="n">
        <f aca="false">AL29+AL32</f>
        <v>-4868.41073272381</v>
      </c>
      <c r="AM33" s="66" t="n">
        <f aca="false">AM29+AM32</f>
        <v>-4463.36738614884</v>
      </c>
      <c r="AN33" s="66" t="n">
        <f aca="false">AN29+AN32</f>
        <v>-4454.47849725995</v>
      </c>
      <c r="AO33" s="66" t="n">
        <f aca="false">AO29+AO32</f>
        <v>-4445.58960837107</v>
      </c>
      <c r="AP33" s="66" t="n">
        <f aca="false">AP29+AP32</f>
        <v>-4436.70071948218</v>
      </c>
      <c r="AQ33" s="66" t="n">
        <f aca="false">AQ29+AQ32</f>
        <v>-4427.81183059329</v>
      </c>
      <c r="AR33" s="66" t="n">
        <f aca="false">AR29+AR32</f>
        <v>-4418.9229417044</v>
      </c>
      <c r="AS33" s="66" t="n">
        <f aca="false">AS29+AS32</f>
        <v>-4410.03405281551</v>
      </c>
      <c r="AT33" s="66" t="n">
        <f aca="false">AT29+AT32</f>
        <v>-4401.14516392662</v>
      </c>
      <c r="AU33" s="66" t="n">
        <f aca="false">AU29+AU32</f>
        <v>-4392.25627503773</v>
      </c>
      <c r="AV33" s="66" t="n">
        <f aca="false">AV29+AV32</f>
        <v>-4383.36738614884</v>
      </c>
      <c r="AW33" s="66" t="n">
        <f aca="false">AW29+AW32</f>
        <v>-4374.47849725995</v>
      </c>
      <c r="AX33" s="66" t="n">
        <f aca="false">AX29+AX32</f>
        <v>-4365.58960837107</v>
      </c>
      <c r="AY33" s="66" t="n">
        <f aca="false">AY29+AY32</f>
        <v>-3934.99350215718</v>
      </c>
      <c r="AZ33" s="66" t="n">
        <f aca="false">AZ29+AZ32</f>
        <v>-3926.10461326829</v>
      </c>
      <c r="BA33" s="66" t="n">
        <f aca="false">BA29+BA32</f>
        <v>-3917.2157243794</v>
      </c>
      <c r="BB33" s="66" t="n">
        <f aca="false">BB29+BB32</f>
        <v>-3908.32683549051</v>
      </c>
      <c r="BC33" s="66" t="n">
        <f aca="false">BC29+BC32</f>
        <v>-3899.43794660162</v>
      </c>
      <c r="BD33" s="66" t="n">
        <f aca="false">BD29+BD32</f>
        <v>-3890.54905771273</v>
      </c>
      <c r="BE33" s="66" t="n">
        <f aca="false">BE29+BE32</f>
        <v>-3881.66016882384</v>
      </c>
      <c r="BF33" s="66" t="n">
        <f aca="false">BF29+BF32</f>
        <v>-3872.77127993496</v>
      </c>
      <c r="BG33" s="66" t="n">
        <f aca="false">BG29+BG32</f>
        <v>-3863.88239104607</v>
      </c>
      <c r="BH33" s="66" t="n">
        <f aca="false">BH29+BH32</f>
        <v>-3854.99350215718</v>
      </c>
      <c r="BI33" s="66" t="n">
        <f aca="false">BI29+BI32</f>
        <v>-3846.10461326829</v>
      </c>
      <c r="BJ33" s="66" t="n">
        <f aca="false">BJ29+BJ32</f>
        <v>-3837.2157243794</v>
      </c>
    </row>
    <row r="35" customFormat="false" ht="15.75" hidden="false" customHeight="true" outlineLevel="0" collapsed="false">
      <c r="A35" s="7" t="s">
        <v>368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82</v>
      </c>
      <c r="C36" s="65" t="n">
        <f aca="false">IF(C$6=1,Inputs!$B$18,0)</f>
        <v>180000</v>
      </c>
      <c r="D36" s="65" t="n">
        <f aca="false">IF(D$6=1,Inputs!$B$18,0)</f>
        <v>0</v>
      </c>
      <c r="E36" s="65" t="n">
        <f aca="false">IF(E$6=1,Inputs!$B$18,0)</f>
        <v>0</v>
      </c>
      <c r="F36" s="65" t="n">
        <f aca="false">IF(F$6=1,Inputs!$B$18,0)</f>
        <v>0</v>
      </c>
      <c r="G36" s="65" t="n">
        <f aca="false">IF(G$6=1,Inputs!$B$18,0)</f>
        <v>0</v>
      </c>
      <c r="H36" s="65" t="n">
        <f aca="false">IF(H$6=1,Inputs!$B$18,0)</f>
        <v>0</v>
      </c>
      <c r="I36" s="65" t="n">
        <f aca="false">IF(I$6=1,Inputs!$B$18,0)</f>
        <v>0</v>
      </c>
      <c r="J36" s="65" t="n">
        <f aca="false">IF(J$6=1,Inputs!$B$18,0)</f>
        <v>0</v>
      </c>
      <c r="K36" s="65" t="n">
        <f aca="false">IF(K$6=1,Inputs!$B$18,0)</f>
        <v>0</v>
      </c>
      <c r="L36" s="65" t="n">
        <f aca="false">IF(L$6=1,Inputs!$B$18,0)</f>
        <v>0</v>
      </c>
      <c r="M36" s="65" t="n">
        <f aca="false">IF(M$6=1,Inputs!$B$18,0)</f>
        <v>0</v>
      </c>
      <c r="N36" s="65" t="n">
        <f aca="false">IF(N$6=1,Inputs!$B$18,0)</f>
        <v>0</v>
      </c>
      <c r="O36" s="65" t="n">
        <f aca="false">IF(O$6=1,Inputs!$B$18,0)</f>
        <v>0</v>
      </c>
      <c r="P36" s="65" t="n">
        <f aca="false">IF(P$6=1,Inputs!$B$18,0)</f>
        <v>0</v>
      </c>
      <c r="Q36" s="65" t="n">
        <f aca="false">IF(Q$6=1,Inputs!$B$18,0)</f>
        <v>0</v>
      </c>
      <c r="R36" s="65" t="n">
        <f aca="false">IF(R$6=1,Inputs!$B$18,0)</f>
        <v>0</v>
      </c>
      <c r="S36" s="65" t="n">
        <f aca="false">IF(S$6=1,Inputs!$B$18,0)</f>
        <v>0</v>
      </c>
      <c r="T36" s="65" t="n">
        <f aca="false">IF(T$6=1,Inputs!$B$18,0)</f>
        <v>0</v>
      </c>
      <c r="U36" s="65" t="n">
        <f aca="false">IF(U$6=1,Inputs!$B$18,0)</f>
        <v>0</v>
      </c>
      <c r="V36" s="65" t="n">
        <f aca="false">IF(V$6=1,Inputs!$B$18,0)</f>
        <v>0</v>
      </c>
      <c r="W36" s="65" t="n">
        <f aca="false">IF(W$6=1,Inputs!$B$18,0)</f>
        <v>0</v>
      </c>
      <c r="X36" s="65" t="n">
        <f aca="false">IF(X$6=1,Inputs!$B$18,0)</f>
        <v>0</v>
      </c>
      <c r="Y36" s="65" t="n">
        <f aca="false">IF(Y$6=1,Inputs!$B$18,0)</f>
        <v>0</v>
      </c>
      <c r="Z36" s="65" t="n">
        <f aca="false">IF(Z$6=1,Inputs!$B$18,0)</f>
        <v>0</v>
      </c>
      <c r="AA36" s="65" t="n">
        <f aca="false">IF(AA$6=1,Inputs!$B$18,0)</f>
        <v>0</v>
      </c>
      <c r="AB36" s="65" t="n">
        <f aca="false">IF(AB$6=1,Inputs!$B$18,0)</f>
        <v>0</v>
      </c>
      <c r="AC36" s="65" t="n">
        <f aca="false">IF(AC$6=1,Inputs!$B$18,0)</f>
        <v>0</v>
      </c>
      <c r="AD36" s="65" t="n">
        <f aca="false">IF(AD$6=1,Inputs!$B$18,0)</f>
        <v>0</v>
      </c>
      <c r="AE36" s="65" t="n">
        <f aca="false">IF(AE$6=1,Inputs!$B$18,0)</f>
        <v>0</v>
      </c>
      <c r="AF36" s="65" t="n">
        <f aca="false">IF(AF$6=1,Inputs!$B$18,0)</f>
        <v>0</v>
      </c>
      <c r="AG36" s="65" t="n">
        <f aca="false">IF(AG$6=1,Inputs!$B$18,0)</f>
        <v>0</v>
      </c>
      <c r="AH36" s="65" t="n">
        <f aca="false">IF(AH$6=1,Inputs!$B$18,0)</f>
        <v>0</v>
      </c>
      <c r="AI36" s="65" t="n">
        <f aca="false">IF(AI$6=1,Inputs!$B$18,0)</f>
        <v>0</v>
      </c>
      <c r="AJ36" s="65" t="n">
        <f aca="false">IF(AJ$6=1,Inputs!$B$18,0)</f>
        <v>0</v>
      </c>
      <c r="AK36" s="65" t="n">
        <f aca="false">IF(AK$6=1,Inputs!$B$18,0)</f>
        <v>0</v>
      </c>
      <c r="AL36" s="65" t="n">
        <f aca="false">IF(AL$6=1,Inputs!$B$18,0)</f>
        <v>0</v>
      </c>
      <c r="AM36" s="65" t="n">
        <f aca="false">IF(AM$6=1,Inputs!$B$18,0)</f>
        <v>0</v>
      </c>
      <c r="AN36" s="65" t="n">
        <f aca="false">IF(AN$6=1,Inputs!$B$18,0)</f>
        <v>0</v>
      </c>
      <c r="AO36" s="65" t="n">
        <f aca="false">IF(AO$6=1,Inputs!$B$18,0)</f>
        <v>0</v>
      </c>
      <c r="AP36" s="65" t="n">
        <f aca="false">IF(AP$6=1,Inputs!$B$18,0)</f>
        <v>0</v>
      </c>
      <c r="AQ36" s="65" t="n">
        <f aca="false">IF(AQ$6=1,Inputs!$B$18,0)</f>
        <v>0</v>
      </c>
      <c r="AR36" s="65" t="n">
        <f aca="false">IF(AR$6=1,Inputs!$B$18,0)</f>
        <v>0</v>
      </c>
      <c r="AS36" s="65" t="n">
        <f aca="false">IF(AS$6=1,Inputs!$B$18,0)</f>
        <v>0</v>
      </c>
      <c r="AT36" s="65" t="n">
        <f aca="false">IF(AT$6=1,Inputs!$B$18,0)</f>
        <v>0</v>
      </c>
      <c r="AU36" s="65" t="n">
        <f aca="false">IF(AU$6=1,Inputs!$B$18,0)</f>
        <v>0</v>
      </c>
      <c r="AV36" s="65" t="n">
        <f aca="false">IF(AV$6=1,Inputs!$B$18,0)</f>
        <v>0</v>
      </c>
      <c r="AW36" s="65" t="n">
        <f aca="false">IF(AW$6=1,Inputs!$B$18,0)</f>
        <v>0</v>
      </c>
      <c r="AX36" s="65" t="n">
        <f aca="false">IF(AX$6=1,Inputs!$B$18,0)</f>
        <v>0</v>
      </c>
      <c r="AY36" s="65" t="n">
        <f aca="false">IF(AY$6=1,Inputs!$B$18,0)</f>
        <v>0</v>
      </c>
      <c r="AZ36" s="65" t="n">
        <f aca="false">IF(AZ$6=1,Inputs!$B$18,0)</f>
        <v>0</v>
      </c>
      <c r="BA36" s="65" t="n">
        <f aca="false">IF(BA$6=1,Inputs!$B$18,0)</f>
        <v>0</v>
      </c>
      <c r="BB36" s="65" t="n">
        <f aca="false">IF(BB$6=1,Inputs!$B$18,0)</f>
        <v>0</v>
      </c>
      <c r="BC36" s="65" t="n">
        <f aca="false">IF(BC$6=1,Inputs!$B$18,0)</f>
        <v>0</v>
      </c>
      <c r="BD36" s="65" t="n">
        <f aca="false">IF(BD$6=1,Inputs!$B$18,0)</f>
        <v>0</v>
      </c>
      <c r="BE36" s="65" t="n">
        <f aca="false">IF(BE$6=1,Inputs!$B$18,0)</f>
        <v>0</v>
      </c>
      <c r="BF36" s="65" t="n">
        <f aca="false">IF(BF$6=1,Inputs!$B$18,0)</f>
        <v>0</v>
      </c>
      <c r="BG36" s="65" t="n">
        <f aca="false">IF(BG$6=1,Inputs!$B$18,0)</f>
        <v>0</v>
      </c>
      <c r="BH36" s="65" t="n">
        <f aca="false">IF(BH$6=1,Inputs!$B$18,0)</f>
        <v>0</v>
      </c>
      <c r="BI36" s="65" t="n">
        <f aca="false">IF(BI$6=1,Inputs!$B$18,0)</f>
        <v>0</v>
      </c>
      <c r="BJ36" s="65" t="n">
        <f aca="false">IF(BJ$6=1,Inputs!$B$18,0)</f>
        <v>0</v>
      </c>
    </row>
    <row r="37" customFormat="false" ht="15" hidden="false" customHeight="false" outlineLevel="0" collapsed="false">
      <c r="A37" s="6" t="s">
        <v>369</v>
      </c>
      <c r="C37" s="65" t="n">
        <f aca="false">C36</f>
        <v>180000</v>
      </c>
      <c r="D37" s="65" t="n">
        <f aca="false">C37+D36</f>
        <v>180000</v>
      </c>
      <c r="E37" s="65" t="n">
        <f aca="false">D37+E36</f>
        <v>180000</v>
      </c>
      <c r="F37" s="65" t="n">
        <f aca="false">E37+F36</f>
        <v>180000</v>
      </c>
      <c r="G37" s="65" t="n">
        <f aca="false">F37+G36</f>
        <v>180000</v>
      </c>
      <c r="H37" s="65" t="n">
        <f aca="false">G37+H36</f>
        <v>180000</v>
      </c>
      <c r="I37" s="65" t="n">
        <f aca="false">H37+I36</f>
        <v>180000</v>
      </c>
      <c r="J37" s="65" t="n">
        <f aca="false">I37+J36</f>
        <v>180000</v>
      </c>
      <c r="K37" s="65" t="n">
        <f aca="false">J37+K36</f>
        <v>180000</v>
      </c>
      <c r="L37" s="65" t="n">
        <f aca="false">K37+L36</f>
        <v>180000</v>
      </c>
      <c r="M37" s="65" t="n">
        <f aca="false">L37+M36</f>
        <v>180000</v>
      </c>
      <c r="N37" s="65" t="n">
        <f aca="false">M37+N36</f>
        <v>180000</v>
      </c>
      <c r="O37" s="65" t="n">
        <f aca="false">N37+O36</f>
        <v>180000</v>
      </c>
      <c r="P37" s="65" t="n">
        <f aca="false">O37+P36</f>
        <v>180000</v>
      </c>
      <c r="Q37" s="65" t="n">
        <f aca="false">P37+Q36</f>
        <v>180000</v>
      </c>
      <c r="R37" s="65" t="n">
        <f aca="false">Q37+R36</f>
        <v>180000</v>
      </c>
      <c r="S37" s="65" t="n">
        <f aca="false">R37+S36</f>
        <v>180000</v>
      </c>
      <c r="T37" s="65" t="n">
        <f aca="false">S37+T36</f>
        <v>180000</v>
      </c>
      <c r="U37" s="65" t="n">
        <f aca="false">T37+U36</f>
        <v>180000</v>
      </c>
      <c r="V37" s="65" t="n">
        <f aca="false">U37+V36</f>
        <v>180000</v>
      </c>
      <c r="W37" s="65" t="n">
        <f aca="false">V37+W36</f>
        <v>180000</v>
      </c>
      <c r="X37" s="65" t="n">
        <f aca="false">W37+X36</f>
        <v>180000</v>
      </c>
      <c r="Y37" s="65" t="n">
        <f aca="false">X37+Y36</f>
        <v>180000</v>
      </c>
      <c r="Z37" s="65" t="n">
        <f aca="false">Y37+Z36</f>
        <v>180000</v>
      </c>
      <c r="AA37" s="65" t="n">
        <f aca="false">Z37+AA36</f>
        <v>180000</v>
      </c>
      <c r="AB37" s="65" t="n">
        <f aca="false">AA37+AB36</f>
        <v>180000</v>
      </c>
      <c r="AC37" s="65" t="n">
        <f aca="false">AB37+AC36</f>
        <v>180000</v>
      </c>
      <c r="AD37" s="65" t="n">
        <f aca="false">AC37+AD36</f>
        <v>180000</v>
      </c>
      <c r="AE37" s="65" t="n">
        <f aca="false">AD37+AE36</f>
        <v>180000</v>
      </c>
      <c r="AF37" s="65" t="n">
        <f aca="false">AE37+AF36</f>
        <v>180000</v>
      </c>
      <c r="AG37" s="65" t="n">
        <f aca="false">AF37+AG36</f>
        <v>180000</v>
      </c>
      <c r="AH37" s="65" t="n">
        <f aca="false">AG37+AH36</f>
        <v>180000</v>
      </c>
      <c r="AI37" s="65" t="n">
        <f aca="false">AH37+AI36</f>
        <v>180000</v>
      </c>
      <c r="AJ37" s="65" t="n">
        <f aca="false">AI37+AJ36</f>
        <v>180000</v>
      </c>
      <c r="AK37" s="65" t="n">
        <f aca="false">AJ37+AK36</f>
        <v>180000</v>
      </c>
      <c r="AL37" s="65" t="n">
        <f aca="false">AK37+AL36</f>
        <v>180000</v>
      </c>
      <c r="AM37" s="65" t="n">
        <f aca="false">AL37+AM36</f>
        <v>180000</v>
      </c>
      <c r="AN37" s="65" t="n">
        <f aca="false">AM37+AN36</f>
        <v>180000</v>
      </c>
      <c r="AO37" s="65" t="n">
        <f aca="false">AN37+AO36</f>
        <v>180000</v>
      </c>
      <c r="AP37" s="65" t="n">
        <f aca="false">AO37+AP36</f>
        <v>180000</v>
      </c>
      <c r="AQ37" s="65" t="n">
        <f aca="false">AP37+AQ36</f>
        <v>180000</v>
      </c>
      <c r="AR37" s="65" t="n">
        <f aca="false">AQ37+AR36</f>
        <v>180000</v>
      </c>
      <c r="AS37" s="65" t="n">
        <f aca="false">AR37+AS36</f>
        <v>180000</v>
      </c>
      <c r="AT37" s="65" t="n">
        <f aca="false">AS37+AT36</f>
        <v>180000</v>
      </c>
      <c r="AU37" s="65" t="n">
        <f aca="false">AT37+AU36</f>
        <v>180000</v>
      </c>
      <c r="AV37" s="65" t="n">
        <f aca="false">AU37+AV36</f>
        <v>180000</v>
      </c>
      <c r="AW37" s="65" t="n">
        <f aca="false">AV37+AW36</f>
        <v>180000</v>
      </c>
      <c r="AX37" s="65" t="n">
        <f aca="false">AW37+AX36</f>
        <v>180000</v>
      </c>
      <c r="AY37" s="65" t="n">
        <f aca="false">AX37+AY36</f>
        <v>180000</v>
      </c>
      <c r="AZ37" s="65" t="n">
        <f aca="false">AY37+AZ36</f>
        <v>180000</v>
      </c>
      <c r="BA37" s="65" t="n">
        <f aca="false">AZ37+BA36</f>
        <v>180000</v>
      </c>
      <c r="BB37" s="65" t="n">
        <f aca="false">BA37+BB36</f>
        <v>180000</v>
      </c>
      <c r="BC37" s="65" t="n">
        <f aca="false">BB37+BC36</f>
        <v>180000</v>
      </c>
      <c r="BD37" s="65" t="n">
        <f aca="false">BC37+BD36</f>
        <v>180000</v>
      </c>
      <c r="BE37" s="65" t="n">
        <f aca="false">BD37+BE36</f>
        <v>180000</v>
      </c>
      <c r="BF37" s="65" t="n">
        <f aca="false">BE37+BF36</f>
        <v>180000</v>
      </c>
      <c r="BG37" s="65" t="n">
        <f aca="false">BF37+BG36</f>
        <v>180000</v>
      </c>
      <c r="BH37" s="65" t="n">
        <f aca="false">BG37+BH36</f>
        <v>180000</v>
      </c>
      <c r="BI37" s="65" t="n">
        <f aca="false">BH37+BI36</f>
        <v>180000</v>
      </c>
      <c r="BJ37" s="65" t="n">
        <f aca="false">BI37+BJ36</f>
        <v>180000</v>
      </c>
    </row>
    <row r="38" customFormat="false" ht="15" hidden="false" customHeight="false" outlineLevel="0" collapsed="false">
      <c r="A38" s="6" t="s">
        <v>76</v>
      </c>
      <c r="C38" s="65" t="n">
        <f aca="false">-MIN(C37/MAX(1,Inputs!$B$40*12),C36)</f>
        <v>-2142.85714285714</v>
      </c>
      <c r="D38" s="65" t="n">
        <f aca="false">-MIN(D37/MAX(1,Inputs!$B$40*12),C40+D36)</f>
        <v>-2142.85714285714</v>
      </c>
      <c r="E38" s="65" t="n">
        <f aca="false">-MIN(E37/MAX(1,Inputs!$B$40*12),D40+E36)</f>
        <v>-2142.85714285714</v>
      </c>
      <c r="F38" s="65" t="n">
        <f aca="false">-MIN(F37/MAX(1,Inputs!$B$40*12),E40+F36)</f>
        <v>-2142.85714285714</v>
      </c>
      <c r="G38" s="65" t="n">
        <f aca="false">-MIN(G37/MAX(1,Inputs!$B$40*12),F40+G36)</f>
        <v>-2142.85714285714</v>
      </c>
      <c r="H38" s="65" t="n">
        <f aca="false">-MIN(H37/MAX(1,Inputs!$B$40*12),G40+H36)</f>
        <v>-2142.85714285714</v>
      </c>
      <c r="I38" s="65" t="n">
        <f aca="false">-MIN(I37/MAX(1,Inputs!$B$40*12),H40+I36)</f>
        <v>-2142.85714285714</v>
      </c>
      <c r="J38" s="65" t="n">
        <f aca="false">-MIN(J37/MAX(1,Inputs!$B$40*12),I40+J36)</f>
        <v>-2142.85714285714</v>
      </c>
      <c r="K38" s="65" t="n">
        <f aca="false">-MIN(K37/MAX(1,Inputs!$B$40*12),J40+K36)</f>
        <v>-2142.85714285714</v>
      </c>
      <c r="L38" s="65" t="n">
        <f aca="false">-MIN(L37/MAX(1,Inputs!$B$40*12),K40+L36)</f>
        <v>-2142.85714285714</v>
      </c>
      <c r="M38" s="65" t="n">
        <f aca="false">-MIN(M37/MAX(1,Inputs!$B$40*12),L40+M36)</f>
        <v>-2142.85714285714</v>
      </c>
      <c r="N38" s="65" t="n">
        <f aca="false">-MIN(N37/MAX(1,Inputs!$B$40*12),M40+N36)</f>
        <v>-2142.85714285714</v>
      </c>
      <c r="O38" s="65" t="n">
        <f aca="false">-MIN(O37/MAX(1,Inputs!$B$40*12),N40+O36)</f>
        <v>-2142.85714285714</v>
      </c>
      <c r="P38" s="65" t="n">
        <f aca="false">-MIN(P37/MAX(1,Inputs!$B$40*12),O40+P36)</f>
        <v>-2142.85714285714</v>
      </c>
      <c r="Q38" s="65" t="n">
        <f aca="false">-MIN(Q37/MAX(1,Inputs!$B$40*12),P40+Q36)</f>
        <v>-2142.85714285714</v>
      </c>
      <c r="R38" s="65" t="n">
        <f aca="false">-MIN(R37/MAX(1,Inputs!$B$40*12),Q40+R36)</f>
        <v>-2142.85714285714</v>
      </c>
      <c r="S38" s="65" t="n">
        <f aca="false">-MIN(S37/MAX(1,Inputs!$B$40*12),R40+S36)</f>
        <v>-2142.85714285714</v>
      </c>
      <c r="T38" s="65" t="n">
        <f aca="false">-MIN(T37/MAX(1,Inputs!$B$40*12),S40+T36)</f>
        <v>-2142.85714285714</v>
      </c>
      <c r="U38" s="65" t="n">
        <f aca="false">-MIN(U37/MAX(1,Inputs!$B$40*12),T40+U36)</f>
        <v>-2142.85714285714</v>
      </c>
      <c r="V38" s="65" t="n">
        <f aca="false">-MIN(V37/MAX(1,Inputs!$B$40*12),U40+V36)</f>
        <v>-2142.85714285714</v>
      </c>
      <c r="W38" s="65" t="n">
        <f aca="false">-MIN(W37/MAX(1,Inputs!$B$40*12),V40+W36)</f>
        <v>-2142.85714285714</v>
      </c>
      <c r="X38" s="65" t="n">
        <f aca="false">-MIN(X37/MAX(1,Inputs!$B$40*12),W40+X36)</f>
        <v>-2142.85714285714</v>
      </c>
      <c r="Y38" s="65" t="n">
        <f aca="false">-MIN(Y37/MAX(1,Inputs!$B$40*12),X40+Y36)</f>
        <v>-2142.85714285714</v>
      </c>
      <c r="Z38" s="65" t="n">
        <f aca="false">-MIN(Z37/MAX(1,Inputs!$B$40*12),Y40+Z36)</f>
        <v>-2142.85714285714</v>
      </c>
      <c r="AA38" s="65" t="n">
        <f aca="false">-MIN(AA37/MAX(1,Inputs!$B$40*12),Z40+AA36)</f>
        <v>-2142.85714285714</v>
      </c>
      <c r="AB38" s="65" t="n">
        <f aca="false">-MIN(AB37/MAX(1,Inputs!$B$40*12),AA40+AB36)</f>
        <v>-2142.85714285714</v>
      </c>
      <c r="AC38" s="65" t="n">
        <f aca="false">-MIN(AC37/MAX(1,Inputs!$B$40*12),AB40+AC36)</f>
        <v>-2142.85714285714</v>
      </c>
      <c r="AD38" s="65" t="n">
        <f aca="false">-MIN(AD37/MAX(1,Inputs!$B$40*12),AC40+AD36)</f>
        <v>-2142.85714285714</v>
      </c>
      <c r="AE38" s="65" t="n">
        <f aca="false">-MIN(AE37/MAX(1,Inputs!$B$40*12),AD40+AE36)</f>
        <v>-2142.85714285714</v>
      </c>
      <c r="AF38" s="65" t="n">
        <f aca="false">-MIN(AF37/MAX(1,Inputs!$B$40*12),AE40+AF36)</f>
        <v>-2142.85714285714</v>
      </c>
      <c r="AG38" s="65" t="n">
        <f aca="false">-MIN(AG37/MAX(1,Inputs!$B$40*12),AF40+AG36)</f>
        <v>-2142.85714285714</v>
      </c>
      <c r="AH38" s="65" t="n">
        <f aca="false">-MIN(AH37/MAX(1,Inputs!$B$40*12),AG40+AH36)</f>
        <v>-2142.85714285714</v>
      </c>
      <c r="AI38" s="65" t="n">
        <f aca="false">-MIN(AI37/MAX(1,Inputs!$B$40*12),AH40+AI36)</f>
        <v>-2142.85714285714</v>
      </c>
      <c r="AJ38" s="65" t="n">
        <f aca="false">-MIN(AJ37/MAX(1,Inputs!$B$40*12),AI40+AJ36)</f>
        <v>-2142.85714285714</v>
      </c>
      <c r="AK38" s="65" t="n">
        <f aca="false">-MIN(AK37/MAX(1,Inputs!$B$40*12),AJ40+AK36)</f>
        <v>-2142.85714285714</v>
      </c>
      <c r="AL38" s="65" t="n">
        <f aca="false">-MIN(AL37/MAX(1,Inputs!$B$40*12),AK40+AL36)</f>
        <v>-2142.85714285714</v>
      </c>
      <c r="AM38" s="65" t="n">
        <f aca="false">-MIN(AM37/MAX(1,Inputs!$B$40*12),AL40+AM36)</f>
        <v>-2142.85714285714</v>
      </c>
      <c r="AN38" s="65" t="n">
        <f aca="false">-MIN(AN37/MAX(1,Inputs!$B$40*12),AM40+AN36)</f>
        <v>-2142.85714285714</v>
      </c>
      <c r="AO38" s="65" t="n">
        <f aca="false">-MIN(AO37/MAX(1,Inputs!$B$40*12),AN40+AO36)</f>
        <v>-2142.85714285714</v>
      </c>
      <c r="AP38" s="65" t="n">
        <f aca="false">-MIN(AP37/MAX(1,Inputs!$B$40*12),AO40+AP36)</f>
        <v>-2142.85714285714</v>
      </c>
      <c r="AQ38" s="65" t="n">
        <f aca="false">-MIN(AQ37/MAX(1,Inputs!$B$40*12),AP40+AQ36)</f>
        <v>-2142.85714285714</v>
      </c>
      <c r="AR38" s="65" t="n">
        <f aca="false">-MIN(AR37/MAX(1,Inputs!$B$40*12),AQ40+AR36)</f>
        <v>-2142.85714285714</v>
      </c>
      <c r="AS38" s="65" t="n">
        <f aca="false">-MIN(AS37/MAX(1,Inputs!$B$40*12),AR40+AS36)</f>
        <v>-2142.85714285714</v>
      </c>
      <c r="AT38" s="65" t="n">
        <f aca="false">-MIN(AT37/MAX(1,Inputs!$B$40*12),AS40+AT36)</f>
        <v>-2142.85714285714</v>
      </c>
      <c r="AU38" s="65" t="n">
        <f aca="false">-MIN(AU37/MAX(1,Inputs!$B$40*12),AT40+AU36)</f>
        <v>-2142.85714285714</v>
      </c>
      <c r="AV38" s="65" t="n">
        <f aca="false">-MIN(AV37/MAX(1,Inputs!$B$40*12),AU40+AV36)</f>
        <v>-2142.85714285714</v>
      </c>
      <c r="AW38" s="65" t="n">
        <f aca="false">-MIN(AW37/MAX(1,Inputs!$B$40*12),AV40+AW36)</f>
        <v>-2142.85714285714</v>
      </c>
      <c r="AX38" s="65" t="n">
        <f aca="false">-MIN(AX37/MAX(1,Inputs!$B$40*12),AW40+AX36)</f>
        <v>-2142.85714285714</v>
      </c>
      <c r="AY38" s="65" t="n">
        <f aca="false">-MIN(AY37/MAX(1,Inputs!$B$40*12),AX40+AY36)</f>
        <v>-2142.85714285714</v>
      </c>
      <c r="AZ38" s="65" t="n">
        <f aca="false">-MIN(AZ37/MAX(1,Inputs!$B$40*12),AY40+AZ36)</f>
        <v>-2142.85714285714</v>
      </c>
      <c r="BA38" s="65" t="n">
        <f aca="false">-MIN(BA37/MAX(1,Inputs!$B$40*12),AZ40+BA36)</f>
        <v>-2142.85714285714</v>
      </c>
      <c r="BB38" s="65" t="n">
        <f aca="false">-MIN(BB37/MAX(1,Inputs!$B$40*12),BA40+BB36)</f>
        <v>-2142.85714285714</v>
      </c>
      <c r="BC38" s="65" t="n">
        <f aca="false">-MIN(BC37/MAX(1,Inputs!$B$40*12),BB40+BC36)</f>
        <v>-2142.85714285714</v>
      </c>
      <c r="BD38" s="65" t="n">
        <f aca="false">-MIN(BD37/MAX(1,Inputs!$B$40*12),BC40+BD36)</f>
        <v>-2142.85714285714</v>
      </c>
      <c r="BE38" s="65" t="n">
        <f aca="false">-MIN(BE37/MAX(1,Inputs!$B$40*12),BD40+BE36)</f>
        <v>-2142.85714285714</v>
      </c>
      <c r="BF38" s="65" t="n">
        <f aca="false">-MIN(BF37/MAX(1,Inputs!$B$40*12),BE40+BF36)</f>
        <v>-2142.85714285714</v>
      </c>
      <c r="BG38" s="65" t="n">
        <f aca="false">-MIN(BG37/MAX(1,Inputs!$B$40*12),BF40+BG36)</f>
        <v>-2142.85714285714</v>
      </c>
      <c r="BH38" s="65" t="n">
        <f aca="false">-MIN(BH37/MAX(1,Inputs!$B$40*12),BG40+BH36)</f>
        <v>-2142.85714285714</v>
      </c>
      <c r="BI38" s="65" t="n">
        <f aca="false">-MIN(BI37/MAX(1,Inputs!$B$40*12),BH40+BI36)</f>
        <v>-2142.85714285714</v>
      </c>
      <c r="BJ38" s="65" t="n">
        <f aca="false">-MIN(BJ37/MAX(1,Inputs!$B$40*12),BI40+BJ36)</f>
        <v>-2142.85714285714</v>
      </c>
    </row>
    <row r="39" customFormat="false" ht="15" hidden="false" customHeight="false" outlineLevel="0" collapsed="false">
      <c r="A39" s="6" t="s">
        <v>370</v>
      </c>
      <c r="C39" s="65" t="n">
        <f aca="false">C38</f>
        <v>-2142.85714285714</v>
      </c>
      <c r="D39" s="65" t="n">
        <f aca="false">C39+D38</f>
        <v>-4285.71428571429</v>
      </c>
      <c r="E39" s="65" t="n">
        <f aca="false">D39+E38</f>
        <v>-6428.57142857143</v>
      </c>
      <c r="F39" s="65" t="n">
        <f aca="false">E39+F38</f>
        <v>-8571.42857142857</v>
      </c>
      <c r="G39" s="65" t="n">
        <f aca="false">F39+G38</f>
        <v>-10714.2857142857</v>
      </c>
      <c r="H39" s="65" t="n">
        <f aca="false">G39+H38</f>
        <v>-12857.1428571429</v>
      </c>
      <c r="I39" s="65" t="n">
        <f aca="false">H39+I38</f>
        <v>-15000</v>
      </c>
      <c r="J39" s="65" t="n">
        <f aca="false">I39+J38</f>
        <v>-17142.8571428571</v>
      </c>
      <c r="K39" s="65" t="n">
        <f aca="false">J39+K38</f>
        <v>-19285.7142857143</v>
      </c>
      <c r="L39" s="65" t="n">
        <f aca="false">K39+L38</f>
        <v>-21428.5714285714</v>
      </c>
      <c r="M39" s="65" t="n">
        <f aca="false">L39+M38</f>
        <v>-23571.4285714286</v>
      </c>
      <c r="N39" s="65" t="n">
        <f aca="false">M39+N38</f>
        <v>-25714.2857142857</v>
      </c>
      <c r="O39" s="65" t="n">
        <f aca="false">N39+O38</f>
        <v>-27857.1428571428</v>
      </c>
      <c r="P39" s="65" t="n">
        <f aca="false">O39+P38</f>
        <v>-30000</v>
      </c>
      <c r="Q39" s="65" t="n">
        <f aca="false">P39+Q38</f>
        <v>-32142.8571428571</v>
      </c>
      <c r="R39" s="65" t="n">
        <f aca="false">Q39+R38</f>
        <v>-34285.7142857143</v>
      </c>
      <c r="S39" s="65" t="n">
        <f aca="false">R39+S38</f>
        <v>-36428.5714285714</v>
      </c>
      <c r="T39" s="65" t="n">
        <f aca="false">S39+T38</f>
        <v>-38571.4285714286</v>
      </c>
      <c r="U39" s="65" t="n">
        <f aca="false">T39+U38</f>
        <v>-40714.2857142857</v>
      </c>
      <c r="V39" s="65" t="n">
        <f aca="false">U39+V38</f>
        <v>-42857.1428571429</v>
      </c>
      <c r="W39" s="65" t="n">
        <f aca="false">V39+W38</f>
        <v>-45000</v>
      </c>
      <c r="X39" s="65" t="n">
        <f aca="false">W39+X38</f>
        <v>-47142.8571428571</v>
      </c>
      <c r="Y39" s="65" t="n">
        <f aca="false">X39+Y38</f>
        <v>-49285.7142857143</v>
      </c>
      <c r="Z39" s="65" t="n">
        <f aca="false">Y39+Z38</f>
        <v>-51428.5714285714</v>
      </c>
      <c r="AA39" s="65" t="n">
        <f aca="false">Z39+AA38</f>
        <v>-53571.4285714286</v>
      </c>
      <c r="AB39" s="65" t="n">
        <f aca="false">AA39+AB38</f>
        <v>-55714.2857142857</v>
      </c>
      <c r="AC39" s="65" t="n">
        <f aca="false">AB39+AC38</f>
        <v>-57857.1428571429</v>
      </c>
      <c r="AD39" s="65" t="n">
        <f aca="false">AC39+AD38</f>
        <v>-60000</v>
      </c>
      <c r="AE39" s="65" t="n">
        <f aca="false">AD39+AE38</f>
        <v>-62142.8571428572</v>
      </c>
      <c r="AF39" s="65" t="n">
        <f aca="false">AE39+AF38</f>
        <v>-64285.7142857143</v>
      </c>
      <c r="AG39" s="65" t="n">
        <f aca="false">AF39+AG38</f>
        <v>-66428.5714285715</v>
      </c>
      <c r="AH39" s="65" t="n">
        <f aca="false">AG39+AH38</f>
        <v>-68571.4285714286</v>
      </c>
      <c r="AI39" s="65" t="n">
        <f aca="false">AH39+AI38</f>
        <v>-70714.2857142857</v>
      </c>
      <c r="AJ39" s="65" t="n">
        <f aca="false">AI39+AJ38</f>
        <v>-72857.1428571429</v>
      </c>
      <c r="AK39" s="65" t="n">
        <f aca="false">AJ39+AK38</f>
        <v>-75000</v>
      </c>
      <c r="AL39" s="65" t="n">
        <f aca="false">AK39+AL38</f>
        <v>-77142.8571428572</v>
      </c>
      <c r="AM39" s="65" t="n">
        <f aca="false">AL39+AM38</f>
        <v>-79285.7142857143</v>
      </c>
      <c r="AN39" s="65" t="n">
        <f aca="false">AM39+AN38</f>
        <v>-81428.5714285715</v>
      </c>
      <c r="AO39" s="65" t="n">
        <f aca="false">AN39+AO38</f>
        <v>-83571.4285714286</v>
      </c>
      <c r="AP39" s="65" t="n">
        <f aca="false">AO39+AP38</f>
        <v>-85714.2857142858</v>
      </c>
      <c r="AQ39" s="65" t="n">
        <f aca="false">AP39+AQ38</f>
        <v>-87857.1428571429</v>
      </c>
      <c r="AR39" s="65" t="n">
        <f aca="false">AQ39+AR38</f>
        <v>-90000</v>
      </c>
      <c r="AS39" s="65" t="n">
        <f aca="false">AR39+AS38</f>
        <v>-92142.8571428572</v>
      </c>
      <c r="AT39" s="65" t="n">
        <f aca="false">AS39+AT38</f>
        <v>-94285.7142857143</v>
      </c>
      <c r="AU39" s="65" t="n">
        <f aca="false">AT39+AU38</f>
        <v>-96428.5714285715</v>
      </c>
      <c r="AV39" s="65" t="n">
        <f aca="false">AU39+AV38</f>
        <v>-98571.4285714286</v>
      </c>
      <c r="AW39" s="65" t="n">
        <f aca="false">AV39+AW38</f>
        <v>-100714.285714286</v>
      </c>
      <c r="AX39" s="65" t="n">
        <f aca="false">AW39+AX38</f>
        <v>-102857.142857143</v>
      </c>
      <c r="AY39" s="65" t="n">
        <f aca="false">AX39+AY38</f>
        <v>-105000</v>
      </c>
      <c r="AZ39" s="65" t="n">
        <f aca="false">AY39+AZ38</f>
        <v>-107142.857142857</v>
      </c>
      <c r="BA39" s="65" t="n">
        <f aca="false">AZ39+BA38</f>
        <v>-109285.714285714</v>
      </c>
      <c r="BB39" s="65" t="n">
        <f aca="false">BA39+BB38</f>
        <v>-111428.571428572</v>
      </c>
      <c r="BC39" s="65" t="n">
        <f aca="false">BB39+BC38</f>
        <v>-113571.428571429</v>
      </c>
      <c r="BD39" s="65" t="n">
        <f aca="false">BC39+BD38</f>
        <v>-115714.285714286</v>
      </c>
      <c r="BE39" s="65" t="n">
        <f aca="false">BD39+BE38</f>
        <v>-117857.142857143</v>
      </c>
      <c r="BF39" s="65" t="n">
        <f aca="false">BE39+BF38</f>
        <v>-120000</v>
      </c>
      <c r="BG39" s="65" t="n">
        <f aca="false">BF39+BG38</f>
        <v>-122142.857142857</v>
      </c>
      <c r="BH39" s="65" t="n">
        <f aca="false">BG39+BH38</f>
        <v>-124285.714285714</v>
      </c>
      <c r="BI39" s="65" t="n">
        <f aca="false">BH39+BI38</f>
        <v>-126428.571428572</v>
      </c>
      <c r="BJ39" s="65" t="n">
        <f aca="false">BI39+BJ38</f>
        <v>-128571.428571429</v>
      </c>
    </row>
    <row r="40" customFormat="false" ht="15" hidden="false" customHeight="false" outlineLevel="0" collapsed="false">
      <c r="A40" s="4" t="s">
        <v>90</v>
      </c>
      <c r="C40" s="71" t="n">
        <f aca="false">C37+C39</f>
        <v>177857.142857143</v>
      </c>
      <c r="D40" s="71" t="n">
        <f aca="false">D37+D39</f>
        <v>175714.285714286</v>
      </c>
      <c r="E40" s="71" t="n">
        <f aca="false">E37+E39</f>
        <v>173571.428571429</v>
      </c>
      <c r="F40" s="71" t="n">
        <f aca="false">F37+F39</f>
        <v>171428.571428571</v>
      </c>
      <c r="G40" s="71" t="n">
        <f aca="false">G37+G39</f>
        <v>169285.714285714</v>
      </c>
      <c r="H40" s="71" t="n">
        <f aca="false">H37+H39</f>
        <v>167142.857142857</v>
      </c>
      <c r="I40" s="71" t="n">
        <f aca="false">I37+I39</f>
        <v>165000</v>
      </c>
      <c r="J40" s="71" t="n">
        <f aca="false">J37+J39</f>
        <v>162857.142857143</v>
      </c>
      <c r="K40" s="71" t="n">
        <f aca="false">K37+K39</f>
        <v>160714.285714286</v>
      </c>
      <c r="L40" s="71" t="n">
        <f aca="false">L37+L39</f>
        <v>158571.428571429</v>
      </c>
      <c r="M40" s="71" t="n">
        <f aca="false">M37+M39</f>
        <v>156428.571428571</v>
      </c>
      <c r="N40" s="71" t="n">
        <f aca="false">N37+N39</f>
        <v>154285.714285714</v>
      </c>
      <c r="O40" s="71" t="n">
        <f aca="false">O37+O39</f>
        <v>152142.857142857</v>
      </c>
      <c r="P40" s="71" t="n">
        <f aca="false">P37+P39</f>
        <v>150000</v>
      </c>
      <c r="Q40" s="71" t="n">
        <f aca="false">Q37+Q39</f>
        <v>147857.142857143</v>
      </c>
      <c r="R40" s="71" t="n">
        <f aca="false">R37+R39</f>
        <v>145714.285714286</v>
      </c>
      <c r="S40" s="71" t="n">
        <f aca="false">S37+S39</f>
        <v>143571.428571429</v>
      </c>
      <c r="T40" s="71" t="n">
        <f aca="false">T37+T39</f>
        <v>141428.571428571</v>
      </c>
      <c r="U40" s="71" t="n">
        <f aca="false">U37+U39</f>
        <v>139285.714285714</v>
      </c>
      <c r="V40" s="71" t="n">
        <f aca="false">V37+V39</f>
        <v>137142.857142857</v>
      </c>
      <c r="W40" s="71" t="n">
        <f aca="false">W37+W39</f>
        <v>135000</v>
      </c>
      <c r="X40" s="71" t="n">
        <f aca="false">X37+X39</f>
        <v>132857.142857143</v>
      </c>
      <c r="Y40" s="71" t="n">
        <f aca="false">Y37+Y39</f>
        <v>130714.285714286</v>
      </c>
      <c r="Z40" s="71" t="n">
        <f aca="false">Z37+Z39</f>
        <v>128571.428571429</v>
      </c>
      <c r="AA40" s="71" t="n">
        <f aca="false">AA37+AA39</f>
        <v>126428.571428571</v>
      </c>
      <c r="AB40" s="71" t="n">
        <f aca="false">AB37+AB39</f>
        <v>124285.714285714</v>
      </c>
      <c r="AC40" s="71" t="n">
        <f aca="false">AC37+AC39</f>
        <v>122142.857142857</v>
      </c>
      <c r="AD40" s="71" t="n">
        <f aca="false">AD37+AD39</f>
        <v>120000</v>
      </c>
      <c r="AE40" s="71" t="n">
        <f aca="false">AE37+AE39</f>
        <v>117857.142857143</v>
      </c>
      <c r="AF40" s="71" t="n">
        <f aca="false">AF37+AF39</f>
        <v>115714.285714286</v>
      </c>
      <c r="AG40" s="71" t="n">
        <f aca="false">AG37+AG39</f>
        <v>113571.428571429</v>
      </c>
      <c r="AH40" s="71" t="n">
        <f aca="false">AH37+AH39</f>
        <v>111428.571428571</v>
      </c>
      <c r="AI40" s="71" t="n">
        <f aca="false">AI37+AI39</f>
        <v>109285.714285714</v>
      </c>
      <c r="AJ40" s="71" t="n">
        <f aca="false">AJ37+AJ39</f>
        <v>107142.857142857</v>
      </c>
      <c r="AK40" s="71" t="n">
        <f aca="false">AK37+AK39</f>
        <v>105000</v>
      </c>
      <c r="AL40" s="71" t="n">
        <f aca="false">AL37+AL39</f>
        <v>102857.142857143</v>
      </c>
      <c r="AM40" s="71" t="n">
        <f aca="false">AM37+AM39</f>
        <v>100714.285714286</v>
      </c>
      <c r="AN40" s="71" t="n">
        <f aca="false">AN37+AN39</f>
        <v>98571.4285714285</v>
      </c>
      <c r="AO40" s="71" t="n">
        <f aca="false">AO37+AO39</f>
        <v>96428.5714285714</v>
      </c>
      <c r="AP40" s="71" t="n">
        <f aca="false">AP37+AP39</f>
        <v>94285.7142857143</v>
      </c>
      <c r="AQ40" s="71" t="n">
        <f aca="false">AQ37+AQ39</f>
        <v>92142.8571428571</v>
      </c>
      <c r="AR40" s="71" t="n">
        <f aca="false">AR37+AR39</f>
        <v>90000</v>
      </c>
      <c r="AS40" s="71" t="n">
        <f aca="false">AS37+AS39</f>
        <v>87857.1428571428</v>
      </c>
      <c r="AT40" s="71" t="n">
        <f aca="false">AT37+AT39</f>
        <v>85714.2857142857</v>
      </c>
      <c r="AU40" s="71" t="n">
        <f aca="false">AU37+AU39</f>
        <v>83571.4285714285</v>
      </c>
      <c r="AV40" s="71" t="n">
        <f aca="false">AV37+AV39</f>
        <v>81428.5714285714</v>
      </c>
      <c r="AW40" s="71" t="n">
        <f aca="false">AW37+AW39</f>
        <v>79285.7142857142</v>
      </c>
      <c r="AX40" s="71" t="n">
        <f aca="false">AX37+AX39</f>
        <v>77142.8571428571</v>
      </c>
      <c r="AY40" s="71" t="n">
        <f aca="false">AY37+AY39</f>
        <v>74999.9999999999</v>
      </c>
      <c r="AZ40" s="71" t="n">
        <f aca="false">AZ37+AZ39</f>
        <v>72857.1428571428</v>
      </c>
      <c r="BA40" s="71" t="n">
        <f aca="false">BA37+BA39</f>
        <v>70714.2857142857</v>
      </c>
      <c r="BB40" s="71" t="n">
        <f aca="false">BB37+BB39</f>
        <v>68571.4285714285</v>
      </c>
      <c r="BC40" s="71" t="n">
        <f aca="false">BC37+BC39</f>
        <v>66428.5714285714</v>
      </c>
      <c r="BD40" s="71" t="n">
        <f aca="false">BD37+BD39</f>
        <v>64285.7142857142</v>
      </c>
      <c r="BE40" s="71" t="n">
        <f aca="false">BE37+BE39</f>
        <v>62142.8571428571</v>
      </c>
      <c r="BF40" s="71" t="n">
        <f aca="false">BF37+BF39</f>
        <v>59999.9999999999</v>
      </c>
      <c r="BG40" s="71" t="n">
        <f aca="false">BG37+BG39</f>
        <v>57857.1428571428</v>
      </c>
      <c r="BH40" s="71" t="n">
        <f aca="false">BH37+BH39</f>
        <v>55714.2857142856</v>
      </c>
      <c r="BI40" s="71" t="n">
        <f aca="false">BI37+BI39</f>
        <v>53571.4285714285</v>
      </c>
      <c r="BJ40" s="71" t="n">
        <f aca="false">BJ37+BJ39</f>
        <v>51428.5714285714</v>
      </c>
    </row>
    <row r="42" customFormat="false" ht="15.75" hidden="false" customHeight="true" outlineLevel="0" collapsed="false">
      <c r="A42" s="7" t="s">
        <v>371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372</v>
      </c>
      <c r="C43" s="65" t="n">
        <f aca="false">0</f>
        <v>0</v>
      </c>
      <c r="D43" s="65" t="n">
        <f aca="false">C46</f>
        <v>80000</v>
      </c>
      <c r="E43" s="65" t="n">
        <f aca="false">D46</f>
        <v>78666.6666666667</v>
      </c>
      <c r="F43" s="65" t="n">
        <f aca="false">E46</f>
        <v>77333.3333333333</v>
      </c>
      <c r="G43" s="65" t="n">
        <f aca="false">F46</f>
        <v>76000</v>
      </c>
      <c r="H43" s="65" t="n">
        <f aca="false">G46</f>
        <v>74666.6666666667</v>
      </c>
      <c r="I43" s="65" t="n">
        <f aca="false">H46</f>
        <v>73333.3333333334</v>
      </c>
      <c r="J43" s="65" t="n">
        <f aca="false">I46</f>
        <v>72000</v>
      </c>
      <c r="K43" s="65" t="n">
        <f aca="false">J46</f>
        <v>70666.6666666667</v>
      </c>
      <c r="L43" s="65" t="n">
        <f aca="false">K46</f>
        <v>69333.3333333334</v>
      </c>
      <c r="M43" s="65" t="n">
        <f aca="false">L46</f>
        <v>68000</v>
      </c>
      <c r="N43" s="65" t="n">
        <f aca="false">M46</f>
        <v>66666.6666666667</v>
      </c>
      <c r="O43" s="65" t="n">
        <f aca="false">N46</f>
        <v>65333.3333333334</v>
      </c>
      <c r="P43" s="65" t="n">
        <f aca="false">O46</f>
        <v>64000</v>
      </c>
      <c r="Q43" s="65" t="n">
        <f aca="false">P46</f>
        <v>62666.6666666667</v>
      </c>
      <c r="R43" s="65" t="n">
        <f aca="false">Q46</f>
        <v>61333.3333333334</v>
      </c>
      <c r="S43" s="65" t="n">
        <f aca="false">R46</f>
        <v>60000</v>
      </c>
      <c r="T43" s="65" t="n">
        <f aca="false">S46</f>
        <v>58666.6666666667</v>
      </c>
      <c r="U43" s="65" t="n">
        <f aca="false">T46</f>
        <v>57333.3333333334</v>
      </c>
      <c r="V43" s="65" t="n">
        <f aca="false">U46</f>
        <v>56000</v>
      </c>
      <c r="W43" s="65" t="n">
        <f aca="false">V46</f>
        <v>54666.6666666667</v>
      </c>
      <c r="X43" s="65" t="n">
        <f aca="false">W46</f>
        <v>53333.3333333334</v>
      </c>
      <c r="Y43" s="65" t="n">
        <f aca="false">X46</f>
        <v>52000</v>
      </c>
      <c r="Z43" s="65" t="n">
        <f aca="false">Y46</f>
        <v>50666.6666666667</v>
      </c>
      <c r="AA43" s="65" t="n">
        <f aca="false">Z46</f>
        <v>49333.3333333334</v>
      </c>
      <c r="AB43" s="65" t="n">
        <f aca="false">AA46</f>
        <v>48000</v>
      </c>
      <c r="AC43" s="65" t="n">
        <f aca="false">AB46</f>
        <v>46666.6666666667</v>
      </c>
      <c r="AD43" s="65" t="n">
        <f aca="false">AC46</f>
        <v>45333.3333333333</v>
      </c>
      <c r="AE43" s="65" t="n">
        <f aca="false">AD46</f>
        <v>44000</v>
      </c>
      <c r="AF43" s="65" t="n">
        <f aca="false">AE46</f>
        <v>42666.6666666667</v>
      </c>
      <c r="AG43" s="65" t="n">
        <f aca="false">AF46</f>
        <v>41333.3333333333</v>
      </c>
      <c r="AH43" s="65" t="n">
        <f aca="false">AG46</f>
        <v>40000</v>
      </c>
      <c r="AI43" s="65" t="n">
        <f aca="false">AH46</f>
        <v>38666.6666666667</v>
      </c>
      <c r="AJ43" s="65" t="n">
        <f aca="false">AI46</f>
        <v>37333.3333333333</v>
      </c>
      <c r="AK43" s="65" t="n">
        <f aca="false">AJ46</f>
        <v>36000</v>
      </c>
      <c r="AL43" s="65" t="n">
        <f aca="false">AK46</f>
        <v>34666.6666666667</v>
      </c>
      <c r="AM43" s="65" t="n">
        <f aca="false">AL46</f>
        <v>33333.3333333333</v>
      </c>
      <c r="AN43" s="65" t="n">
        <f aca="false">AM46</f>
        <v>32000</v>
      </c>
      <c r="AO43" s="65" t="n">
        <f aca="false">AN46</f>
        <v>30666.6666666667</v>
      </c>
      <c r="AP43" s="65" t="n">
        <f aca="false">AO46</f>
        <v>29333.3333333333</v>
      </c>
      <c r="AQ43" s="65" t="n">
        <f aca="false">AP46</f>
        <v>28000</v>
      </c>
      <c r="AR43" s="65" t="n">
        <f aca="false">AQ46</f>
        <v>26666.6666666667</v>
      </c>
      <c r="AS43" s="65" t="n">
        <f aca="false">AR46</f>
        <v>25333.3333333333</v>
      </c>
      <c r="AT43" s="65" t="n">
        <f aca="false">AS46</f>
        <v>24000</v>
      </c>
      <c r="AU43" s="65" t="n">
        <f aca="false">AT46</f>
        <v>22666.6666666667</v>
      </c>
      <c r="AV43" s="65" t="n">
        <f aca="false">AU46</f>
        <v>21333.3333333333</v>
      </c>
      <c r="AW43" s="65" t="n">
        <f aca="false">AV46</f>
        <v>20000</v>
      </c>
      <c r="AX43" s="65" t="n">
        <f aca="false">AW46</f>
        <v>18666.6666666667</v>
      </c>
      <c r="AY43" s="65" t="n">
        <f aca="false">AX46</f>
        <v>17333.3333333333</v>
      </c>
      <c r="AZ43" s="65" t="n">
        <f aca="false">AY46</f>
        <v>16000</v>
      </c>
      <c r="BA43" s="65" t="n">
        <f aca="false">AZ46</f>
        <v>14666.6666666667</v>
      </c>
      <c r="BB43" s="65" t="n">
        <f aca="false">BA46</f>
        <v>13333.3333333333</v>
      </c>
      <c r="BC43" s="65" t="n">
        <f aca="false">BB46</f>
        <v>12000</v>
      </c>
      <c r="BD43" s="65" t="n">
        <f aca="false">BC46</f>
        <v>10666.6666666667</v>
      </c>
      <c r="BE43" s="65" t="n">
        <f aca="false">BD46</f>
        <v>9333.33333333333</v>
      </c>
      <c r="BF43" s="65" t="n">
        <f aca="false">BE46</f>
        <v>8000</v>
      </c>
      <c r="BG43" s="65" t="n">
        <f aca="false">BF46</f>
        <v>6666.66666666667</v>
      </c>
      <c r="BH43" s="65" t="n">
        <f aca="false">BG46</f>
        <v>5333.33333333333</v>
      </c>
      <c r="BI43" s="65" t="n">
        <f aca="false">BH46</f>
        <v>4000</v>
      </c>
      <c r="BJ43" s="65" t="n">
        <f aca="false">BI46</f>
        <v>2666.66666666667</v>
      </c>
    </row>
    <row r="44" customFormat="false" ht="15" hidden="false" customHeight="false" outlineLevel="0" collapsed="false">
      <c r="A44" s="6" t="s">
        <v>83</v>
      </c>
      <c r="C44" s="65" t="n">
        <f aca="false">IF(C$6=1,Inputs!$B$30,0)</f>
        <v>80000</v>
      </c>
      <c r="D44" s="65" t="n">
        <f aca="false">IF(D$6=1,Inputs!$B$30,0)</f>
        <v>0</v>
      </c>
      <c r="E44" s="65" t="n">
        <f aca="false">IF(E$6=1,Inputs!$B$30,0)</f>
        <v>0</v>
      </c>
      <c r="F44" s="65" t="n">
        <f aca="false">IF(F$6=1,Inputs!$B$30,0)</f>
        <v>0</v>
      </c>
      <c r="G44" s="65" t="n">
        <f aca="false">IF(G$6=1,Inputs!$B$30,0)</f>
        <v>0</v>
      </c>
      <c r="H44" s="65" t="n">
        <f aca="false">IF(H$6=1,Inputs!$B$30,0)</f>
        <v>0</v>
      </c>
      <c r="I44" s="65" t="n">
        <f aca="false">IF(I$6=1,Inputs!$B$30,0)</f>
        <v>0</v>
      </c>
      <c r="J44" s="65" t="n">
        <f aca="false">IF(J$6=1,Inputs!$B$30,0)</f>
        <v>0</v>
      </c>
      <c r="K44" s="65" t="n">
        <f aca="false">IF(K$6=1,Inputs!$B$30,0)</f>
        <v>0</v>
      </c>
      <c r="L44" s="65" t="n">
        <f aca="false">IF(L$6=1,Inputs!$B$30,0)</f>
        <v>0</v>
      </c>
      <c r="M44" s="65" t="n">
        <f aca="false">IF(M$6=1,Inputs!$B$30,0)</f>
        <v>0</v>
      </c>
      <c r="N44" s="65" t="n">
        <f aca="false">IF(N$6=1,Inputs!$B$30,0)</f>
        <v>0</v>
      </c>
      <c r="O44" s="65" t="n">
        <f aca="false">IF(O$6=1,Inputs!$B$30,0)</f>
        <v>0</v>
      </c>
      <c r="P44" s="65" t="n">
        <f aca="false">IF(P$6=1,Inputs!$B$30,0)</f>
        <v>0</v>
      </c>
      <c r="Q44" s="65" t="n">
        <f aca="false">IF(Q$6=1,Inputs!$B$30,0)</f>
        <v>0</v>
      </c>
      <c r="R44" s="65" t="n">
        <f aca="false">IF(R$6=1,Inputs!$B$30,0)</f>
        <v>0</v>
      </c>
      <c r="S44" s="65" t="n">
        <f aca="false">IF(S$6=1,Inputs!$B$30,0)</f>
        <v>0</v>
      </c>
      <c r="T44" s="65" t="n">
        <f aca="false">IF(T$6=1,Inputs!$B$30,0)</f>
        <v>0</v>
      </c>
      <c r="U44" s="65" t="n">
        <f aca="false">IF(U$6=1,Inputs!$B$30,0)</f>
        <v>0</v>
      </c>
      <c r="V44" s="65" t="n">
        <f aca="false">IF(V$6=1,Inputs!$B$30,0)</f>
        <v>0</v>
      </c>
      <c r="W44" s="65" t="n">
        <f aca="false">IF(W$6=1,Inputs!$B$30,0)</f>
        <v>0</v>
      </c>
      <c r="X44" s="65" t="n">
        <f aca="false">IF(X$6=1,Inputs!$B$30,0)</f>
        <v>0</v>
      </c>
      <c r="Y44" s="65" t="n">
        <f aca="false">IF(Y$6=1,Inputs!$B$30,0)</f>
        <v>0</v>
      </c>
      <c r="Z44" s="65" t="n">
        <f aca="false">IF(Z$6=1,Inputs!$B$30,0)</f>
        <v>0</v>
      </c>
      <c r="AA44" s="65" t="n">
        <f aca="false">IF(AA$6=1,Inputs!$B$30,0)</f>
        <v>0</v>
      </c>
      <c r="AB44" s="65" t="n">
        <f aca="false">IF(AB$6=1,Inputs!$B$30,0)</f>
        <v>0</v>
      </c>
      <c r="AC44" s="65" t="n">
        <f aca="false">IF(AC$6=1,Inputs!$B$30,0)</f>
        <v>0</v>
      </c>
      <c r="AD44" s="65" t="n">
        <f aca="false">IF(AD$6=1,Inputs!$B$30,0)</f>
        <v>0</v>
      </c>
      <c r="AE44" s="65" t="n">
        <f aca="false">IF(AE$6=1,Inputs!$B$30,0)</f>
        <v>0</v>
      </c>
      <c r="AF44" s="65" t="n">
        <f aca="false">IF(AF$6=1,Inputs!$B$30,0)</f>
        <v>0</v>
      </c>
      <c r="AG44" s="65" t="n">
        <f aca="false">IF(AG$6=1,Inputs!$B$30,0)</f>
        <v>0</v>
      </c>
      <c r="AH44" s="65" t="n">
        <f aca="false">IF(AH$6=1,Inputs!$B$30,0)</f>
        <v>0</v>
      </c>
      <c r="AI44" s="65" t="n">
        <f aca="false">IF(AI$6=1,Inputs!$B$30,0)</f>
        <v>0</v>
      </c>
      <c r="AJ44" s="65" t="n">
        <f aca="false">IF(AJ$6=1,Inputs!$B$30,0)</f>
        <v>0</v>
      </c>
      <c r="AK44" s="65" t="n">
        <f aca="false">IF(AK$6=1,Inputs!$B$30,0)</f>
        <v>0</v>
      </c>
      <c r="AL44" s="65" t="n">
        <f aca="false">IF(AL$6=1,Inputs!$B$30,0)</f>
        <v>0</v>
      </c>
      <c r="AM44" s="65" t="n">
        <f aca="false">IF(AM$6=1,Inputs!$B$30,0)</f>
        <v>0</v>
      </c>
      <c r="AN44" s="65" t="n">
        <f aca="false">IF(AN$6=1,Inputs!$B$30,0)</f>
        <v>0</v>
      </c>
      <c r="AO44" s="65" t="n">
        <f aca="false">IF(AO$6=1,Inputs!$B$30,0)</f>
        <v>0</v>
      </c>
      <c r="AP44" s="65" t="n">
        <f aca="false">IF(AP$6=1,Inputs!$B$30,0)</f>
        <v>0</v>
      </c>
      <c r="AQ44" s="65" t="n">
        <f aca="false">IF(AQ$6=1,Inputs!$B$30,0)</f>
        <v>0</v>
      </c>
      <c r="AR44" s="65" t="n">
        <f aca="false">IF(AR$6=1,Inputs!$B$30,0)</f>
        <v>0</v>
      </c>
      <c r="AS44" s="65" t="n">
        <f aca="false">IF(AS$6=1,Inputs!$B$30,0)</f>
        <v>0</v>
      </c>
      <c r="AT44" s="65" t="n">
        <f aca="false">IF(AT$6=1,Inputs!$B$30,0)</f>
        <v>0</v>
      </c>
      <c r="AU44" s="65" t="n">
        <f aca="false">IF(AU$6=1,Inputs!$B$30,0)</f>
        <v>0</v>
      </c>
      <c r="AV44" s="65" t="n">
        <f aca="false">IF(AV$6=1,Inputs!$B$30,0)</f>
        <v>0</v>
      </c>
      <c r="AW44" s="65" t="n">
        <f aca="false">IF(AW$6=1,Inputs!$B$30,0)</f>
        <v>0</v>
      </c>
      <c r="AX44" s="65" t="n">
        <f aca="false">IF(AX$6=1,Inputs!$B$30,0)</f>
        <v>0</v>
      </c>
      <c r="AY44" s="65" t="n">
        <f aca="false">IF(AY$6=1,Inputs!$B$30,0)</f>
        <v>0</v>
      </c>
      <c r="AZ44" s="65" t="n">
        <f aca="false">IF(AZ$6=1,Inputs!$B$30,0)</f>
        <v>0</v>
      </c>
      <c r="BA44" s="65" t="n">
        <f aca="false">IF(BA$6=1,Inputs!$B$30,0)</f>
        <v>0</v>
      </c>
      <c r="BB44" s="65" t="n">
        <f aca="false">IF(BB$6=1,Inputs!$B$30,0)</f>
        <v>0</v>
      </c>
      <c r="BC44" s="65" t="n">
        <f aca="false">IF(BC$6=1,Inputs!$B$30,0)</f>
        <v>0</v>
      </c>
      <c r="BD44" s="65" t="n">
        <f aca="false">IF(BD$6=1,Inputs!$B$30,0)</f>
        <v>0</v>
      </c>
      <c r="BE44" s="65" t="n">
        <f aca="false">IF(BE$6=1,Inputs!$B$30,0)</f>
        <v>0</v>
      </c>
      <c r="BF44" s="65" t="n">
        <f aca="false">IF(BF$6=1,Inputs!$B$30,0)</f>
        <v>0</v>
      </c>
      <c r="BG44" s="65" t="n">
        <f aca="false">IF(BG$6=1,Inputs!$B$30,0)</f>
        <v>0</v>
      </c>
      <c r="BH44" s="65" t="n">
        <f aca="false">IF(BH$6=1,Inputs!$B$30,0)</f>
        <v>0</v>
      </c>
      <c r="BI44" s="65" t="n">
        <f aca="false">IF(BI$6=1,Inputs!$B$30,0)</f>
        <v>0</v>
      </c>
      <c r="BJ44" s="65" t="n">
        <f aca="false">IF(BJ$6=1,Inputs!$B$30,0)</f>
        <v>0</v>
      </c>
    </row>
    <row r="45" customFormat="false" ht="15" hidden="false" customHeight="false" outlineLevel="0" collapsed="false">
      <c r="A45" s="6" t="s">
        <v>84</v>
      </c>
      <c r="C45" s="65" t="n">
        <f aca="false">-MIN(C43,Inputs!$B$30/MAX(1,Inputs!$B$32*12))</f>
        <v>-0</v>
      </c>
      <c r="D45" s="65" t="n">
        <f aca="false">-MIN(D43,Inputs!$B$30/MAX(1,Inputs!$B$32*12))</f>
        <v>-1333.33333333333</v>
      </c>
      <c r="E45" s="65" t="n">
        <f aca="false">-MIN(E43,Inputs!$B$30/MAX(1,Inputs!$B$32*12))</f>
        <v>-1333.33333333333</v>
      </c>
      <c r="F45" s="65" t="n">
        <f aca="false">-MIN(F43,Inputs!$B$30/MAX(1,Inputs!$B$32*12))</f>
        <v>-1333.33333333333</v>
      </c>
      <c r="G45" s="65" t="n">
        <f aca="false">-MIN(G43,Inputs!$B$30/MAX(1,Inputs!$B$32*12))</f>
        <v>-1333.33333333333</v>
      </c>
      <c r="H45" s="65" t="n">
        <f aca="false">-MIN(H43,Inputs!$B$30/MAX(1,Inputs!$B$32*12))</f>
        <v>-1333.33333333333</v>
      </c>
      <c r="I45" s="65" t="n">
        <f aca="false">-MIN(I43,Inputs!$B$30/MAX(1,Inputs!$B$32*12))</f>
        <v>-1333.33333333333</v>
      </c>
      <c r="J45" s="65" t="n">
        <f aca="false">-MIN(J43,Inputs!$B$30/MAX(1,Inputs!$B$32*12))</f>
        <v>-1333.33333333333</v>
      </c>
      <c r="K45" s="65" t="n">
        <f aca="false">-MIN(K43,Inputs!$B$30/MAX(1,Inputs!$B$32*12))</f>
        <v>-1333.33333333333</v>
      </c>
      <c r="L45" s="65" t="n">
        <f aca="false">-MIN(L43,Inputs!$B$30/MAX(1,Inputs!$B$32*12))</f>
        <v>-1333.33333333333</v>
      </c>
      <c r="M45" s="65" t="n">
        <f aca="false">-MIN(M43,Inputs!$B$30/MAX(1,Inputs!$B$32*12))</f>
        <v>-1333.33333333333</v>
      </c>
      <c r="N45" s="65" t="n">
        <f aca="false">-MIN(N43,Inputs!$B$30/MAX(1,Inputs!$B$32*12))</f>
        <v>-1333.33333333333</v>
      </c>
      <c r="O45" s="65" t="n">
        <f aca="false">-MIN(O43,Inputs!$B$30/MAX(1,Inputs!$B$32*12))</f>
        <v>-1333.33333333333</v>
      </c>
      <c r="P45" s="65" t="n">
        <f aca="false">-MIN(P43,Inputs!$B$30/MAX(1,Inputs!$B$32*12))</f>
        <v>-1333.33333333333</v>
      </c>
      <c r="Q45" s="65" t="n">
        <f aca="false">-MIN(Q43,Inputs!$B$30/MAX(1,Inputs!$B$32*12))</f>
        <v>-1333.33333333333</v>
      </c>
      <c r="R45" s="65" t="n">
        <f aca="false">-MIN(R43,Inputs!$B$30/MAX(1,Inputs!$B$32*12))</f>
        <v>-1333.33333333333</v>
      </c>
      <c r="S45" s="65" t="n">
        <f aca="false">-MIN(S43,Inputs!$B$30/MAX(1,Inputs!$B$32*12))</f>
        <v>-1333.33333333333</v>
      </c>
      <c r="T45" s="65" t="n">
        <f aca="false">-MIN(T43,Inputs!$B$30/MAX(1,Inputs!$B$32*12))</f>
        <v>-1333.33333333333</v>
      </c>
      <c r="U45" s="65" t="n">
        <f aca="false">-MIN(U43,Inputs!$B$30/MAX(1,Inputs!$B$32*12))</f>
        <v>-1333.33333333333</v>
      </c>
      <c r="V45" s="65" t="n">
        <f aca="false">-MIN(V43,Inputs!$B$30/MAX(1,Inputs!$B$32*12))</f>
        <v>-1333.33333333333</v>
      </c>
      <c r="W45" s="65" t="n">
        <f aca="false">-MIN(W43,Inputs!$B$30/MAX(1,Inputs!$B$32*12))</f>
        <v>-1333.33333333333</v>
      </c>
      <c r="X45" s="65" t="n">
        <f aca="false">-MIN(X43,Inputs!$B$30/MAX(1,Inputs!$B$32*12))</f>
        <v>-1333.33333333333</v>
      </c>
      <c r="Y45" s="65" t="n">
        <f aca="false">-MIN(Y43,Inputs!$B$30/MAX(1,Inputs!$B$32*12))</f>
        <v>-1333.33333333333</v>
      </c>
      <c r="Z45" s="65" t="n">
        <f aca="false">-MIN(Z43,Inputs!$B$30/MAX(1,Inputs!$B$32*12))</f>
        <v>-1333.33333333333</v>
      </c>
      <c r="AA45" s="65" t="n">
        <f aca="false">-MIN(AA43,Inputs!$B$30/MAX(1,Inputs!$B$32*12))</f>
        <v>-1333.33333333333</v>
      </c>
      <c r="AB45" s="65" t="n">
        <f aca="false">-MIN(AB43,Inputs!$B$30/MAX(1,Inputs!$B$32*12))</f>
        <v>-1333.33333333333</v>
      </c>
      <c r="AC45" s="65" t="n">
        <f aca="false">-MIN(AC43,Inputs!$B$30/MAX(1,Inputs!$B$32*12))</f>
        <v>-1333.33333333333</v>
      </c>
      <c r="AD45" s="65" t="n">
        <f aca="false">-MIN(AD43,Inputs!$B$30/MAX(1,Inputs!$B$32*12))</f>
        <v>-1333.33333333333</v>
      </c>
      <c r="AE45" s="65" t="n">
        <f aca="false">-MIN(AE43,Inputs!$B$30/MAX(1,Inputs!$B$32*12))</f>
        <v>-1333.33333333333</v>
      </c>
      <c r="AF45" s="65" t="n">
        <f aca="false">-MIN(AF43,Inputs!$B$30/MAX(1,Inputs!$B$32*12))</f>
        <v>-1333.33333333333</v>
      </c>
      <c r="AG45" s="65" t="n">
        <f aca="false">-MIN(AG43,Inputs!$B$30/MAX(1,Inputs!$B$32*12))</f>
        <v>-1333.33333333333</v>
      </c>
      <c r="AH45" s="65" t="n">
        <f aca="false">-MIN(AH43,Inputs!$B$30/MAX(1,Inputs!$B$32*12))</f>
        <v>-1333.33333333333</v>
      </c>
      <c r="AI45" s="65" t="n">
        <f aca="false">-MIN(AI43,Inputs!$B$30/MAX(1,Inputs!$B$32*12))</f>
        <v>-1333.33333333333</v>
      </c>
      <c r="AJ45" s="65" t="n">
        <f aca="false">-MIN(AJ43,Inputs!$B$30/MAX(1,Inputs!$B$32*12))</f>
        <v>-1333.33333333333</v>
      </c>
      <c r="AK45" s="65" t="n">
        <f aca="false">-MIN(AK43,Inputs!$B$30/MAX(1,Inputs!$B$32*12))</f>
        <v>-1333.33333333333</v>
      </c>
      <c r="AL45" s="65" t="n">
        <f aca="false">-MIN(AL43,Inputs!$B$30/MAX(1,Inputs!$B$32*12))</f>
        <v>-1333.33333333333</v>
      </c>
      <c r="AM45" s="65" t="n">
        <f aca="false">-MIN(AM43,Inputs!$B$30/MAX(1,Inputs!$B$32*12))</f>
        <v>-1333.33333333333</v>
      </c>
      <c r="AN45" s="65" t="n">
        <f aca="false">-MIN(AN43,Inputs!$B$30/MAX(1,Inputs!$B$32*12))</f>
        <v>-1333.33333333333</v>
      </c>
      <c r="AO45" s="65" t="n">
        <f aca="false">-MIN(AO43,Inputs!$B$30/MAX(1,Inputs!$B$32*12))</f>
        <v>-1333.33333333333</v>
      </c>
      <c r="AP45" s="65" t="n">
        <f aca="false">-MIN(AP43,Inputs!$B$30/MAX(1,Inputs!$B$32*12))</f>
        <v>-1333.33333333333</v>
      </c>
      <c r="AQ45" s="65" t="n">
        <f aca="false">-MIN(AQ43,Inputs!$B$30/MAX(1,Inputs!$B$32*12))</f>
        <v>-1333.33333333333</v>
      </c>
      <c r="AR45" s="65" t="n">
        <f aca="false">-MIN(AR43,Inputs!$B$30/MAX(1,Inputs!$B$32*12))</f>
        <v>-1333.33333333333</v>
      </c>
      <c r="AS45" s="65" t="n">
        <f aca="false">-MIN(AS43,Inputs!$B$30/MAX(1,Inputs!$B$32*12))</f>
        <v>-1333.33333333333</v>
      </c>
      <c r="AT45" s="65" t="n">
        <f aca="false">-MIN(AT43,Inputs!$B$30/MAX(1,Inputs!$B$32*12))</f>
        <v>-1333.33333333333</v>
      </c>
      <c r="AU45" s="65" t="n">
        <f aca="false">-MIN(AU43,Inputs!$B$30/MAX(1,Inputs!$B$32*12))</f>
        <v>-1333.33333333333</v>
      </c>
      <c r="AV45" s="65" t="n">
        <f aca="false">-MIN(AV43,Inputs!$B$30/MAX(1,Inputs!$B$32*12))</f>
        <v>-1333.33333333333</v>
      </c>
      <c r="AW45" s="65" t="n">
        <f aca="false">-MIN(AW43,Inputs!$B$30/MAX(1,Inputs!$B$32*12))</f>
        <v>-1333.33333333333</v>
      </c>
      <c r="AX45" s="65" t="n">
        <f aca="false">-MIN(AX43,Inputs!$B$30/MAX(1,Inputs!$B$32*12))</f>
        <v>-1333.33333333333</v>
      </c>
      <c r="AY45" s="65" t="n">
        <f aca="false">-MIN(AY43,Inputs!$B$30/MAX(1,Inputs!$B$32*12))</f>
        <v>-1333.33333333333</v>
      </c>
      <c r="AZ45" s="65" t="n">
        <f aca="false">-MIN(AZ43,Inputs!$B$30/MAX(1,Inputs!$B$32*12))</f>
        <v>-1333.33333333333</v>
      </c>
      <c r="BA45" s="65" t="n">
        <f aca="false">-MIN(BA43,Inputs!$B$30/MAX(1,Inputs!$B$32*12))</f>
        <v>-1333.33333333333</v>
      </c>
      <c r="BB45" s="65" t="n">
        <f aca="false">-MIN(BB43,Inputs!$B$30/MAX(1,Inputs!$B$32*12))</f>
        <v>-1333.33333333333</v>
      </c>
      <c r="BC45" s="65" t="n">
        <f aca="false">-MIN(BC43,Inputs!$B$30/MAX(1,Inputs!$B$32*12))</f>
        <v>-1333.33333333333</v>
      </c>
      <c r="BD45" s="65" t="n">
        <f aca="false">-MIN(BD43,Inputs!$B$30/MAX(1,Inputs!$B$32*12))</f>
        <v>-1333.33333333333</v>
      </c>
      <c r="BE45" s="65" t="n">
        <f aca="false">-MIN(BE43,Inputs!$B$30/MAX(1,Inputs!$B$32*12))</f>
        <v>-1333.33333333333</v>
      </c>
      <c r="BF45" s="65" t="n">
        <f aca="false">-MIN(BF43,Inputs!$B$30/MAX(1,Inputs!$B$32*12))</f>
        <v>-1333.33333333333</v>
      </c>
      <c r="BG45" s="65" t="n">
        <f aca="false">-MIN(BG43,Inputs!$B$30/MAX(1,Inputs!$B$32*12))</f>
        <v>-1333.33333333333</v>
      </c>
      <c r="BH45" s="65" t="n">
        <f aca="false">-MIN(BH43,Inputs!$B$30/MAX(1,Inputs!$B$32*12))</f>
        <v>-1333.33333333333</v>
      </c>
      <c r="BI45" s="65" t="n">
        <f aca="false">-MIN(BI43,Inputs!$B$30/MAX(1,Inputs!$B$32*12))</f>
        <v>-1333.33333333333</v>
      </c>
      <c r="BJ45" s="65" t="n">
        <f aca="false">-MIN(BJ43,Inputs!$B$30/MAX(1,Inputs!$B$32*12))</f>
        <v>-1333.33333333333</v>
      </c>
    </row>
    <row r="46" customFormat="false" ht="15" hidden="false" customHeight="false" outlineLevel="0" collapsed="false">
      <c r="A46" s="4" t="s">
        <v>373</v>
      </c>
      <c r="C46" s="71" t="n">
        <f aca="false">C43+C44+C45</f>
        <v>80000</v>
      </c>
      <c r="D46" s="71" t="n">
        <f aca="false">D43+D44+D45</f>
        <v>78666.6666666667</v>
      </c>
      <c r="E46" s="71" t="n">
        <f aca="false">E43+E44+E45</f>
        <v>77333.3333333333</v>
      </c>
      <c r="F46" s="71" t="n">
        <f aca="false">F43+F44+F45</f>
        <v>76000</v>
      </c>
      <c r="G46" s="71" t="n">
        <f aca="false">G43+G44+G45</f>
        <v>74666.6666666667</v>
      </c>
      <c r="H46" s="71" t="n">
        <f aca="false">H43+H44+H45</f>
        <v>73333.3333333334</v>
      </c>
      <c r="I46" s="71" t="n">
        <f aca="false">I43+I44+I45</f>
        <v>72000</v>
      </c>
      <c r="J46" s="71" t="n">
        <f aca="false">J43+J44+J45</f>
        <v>70666.6666666667</v>
      </c>
      <c r="K46" s="71" t="n">
        <f aca="false">K43+K44+K45</f>
        <v>69333.3333333334</v>
      </c>
      <c r="L46" s="71" t="n">
        <f aca="false">L43+L44+L45</f>
        <v>68000</v>
      </c>
      <c r="M46" s="71" t="n">
        <f aca="false">M43+M44+M45</f>
        <v>66666.6666666667</v>
      </c>
      <c r="N46" s="71" t="n">
        <f aca="false">N43+N44+N45</f>
        <v>65333.3333333334</v>
      </c>
      <c r="O46" s="71" t="n">
        <f aca="false">O43+O44+O45</f>
        <v>64000</v>
      </c>
      <c r="P46" s="71" t="n">
        <f aca="false">P43+P44+P45</f>
        <v>62666.6666666667</v>
      </c>
      <c r="Q46" s="71" t="n">
        <f aca="false">Q43+Q44+Q45</f>
        <v>61333.3333333334</v>
      </c>
      <c r="R46" s="71" t="n">
        <f aca="false">R43+R44+R45</f>
        <v>60000</v>
      </c>
      <c r="S46" s="71" t="n">
        <f aca="false">S43+S44+S45</f>
        <v>58666.6666666667</v>
      </c>
      <c r="T46" s="71" t="n">
        <f aca="false">T43+T44+T45</f>
        <v>57333.3333333334</v>
      </c>
      <c r="U46" s="71" t="n">
        <f aca="false">U43+U44+U45</f>
        <v>56000</v>
      </c>
      <c r="V46" s="71" t="n">
        <f aca="false">V43+V44+V45</f>
        <v>54666.6666666667</v>
      </c>
      <c r="W46" s="71" t="n">
        <f aca="false">W43+W44+W45</f>
        <v>53333.3333333334</v>
      </c>
      <c r="X46" s="71" t="n">
        <f aca="false">X43+X44+X45</f>
        <v>52000</v>
      </c>
      <c r="Y46" s="71" t="n">
        <f aca="false">Y43+Y44+Y45</f>
        <v>50666.6666666667</v>
      </c>
      <c r="Z46" s="71" t="n">
        <f aca="false">Z43+Z44+Z45</f>
        <v>49333.3333333334</v>
      </c>
      <c r="AA46" s="71" t="n">
        <f aca="false">AA43+AA44+AA45</f>
        <v>48000</v>
      </c>
      <c r="AB46" s="71" t="n">
        <f aca="false">AB43+AB44+AB45</f>
        <v>46666.6666666667</v>
      </c>
      <c r="AC46" s="71" t="n">
        <f aca="false">AC43+AC44+AC45</f>
        <v>45333.3333333333</v>
      </c>
      <c r="AD46" s="71" t="n">
        <f aca="false">AD43+AD44+AD45</f>
        <v>44000</v>
      </c>
      <c r="AE46" s="71" t="n">
        <f aca="false">AE43+AE44+AE45</f>
        <v>42666.6666666667</v>
      </c>
      <c r="AF46" s="71" t="n">
        <f aca="false">AF43+AF44+AF45</f>
        <v>41333.3333333333</v>
      </c>
      <c r="AG46" s="71" t="n">
        <f aca="false">AG43+AG44+AG45</f>
        <v>40000</v>
      </c>
      <c r="AH46" s="71" t="n">
        <f aca="false">AH43+AH44+AH45</f>
        <v>38666.6666666667</v>
      </c>
      <c r="AI46" s="71" t="n">
        <f aca="false">AI43+AI44+AI45</f>
        <v>37333.3333333333</v>
      </c>
      <c r="AJ46" s="71" t="n">
        <f aca="false">AJ43+AJ44+AJ45</f>
        <v>36000</v>
      </c>
      <c r="AK46" s="71" t="n">
        <f aca="false">AK43+AK44+AK45</f>
        <v>34666.6666666667</v>
      </c>
      <c r="AL46" s="71" t="n">
        <f aca="false">AL43+AL44+AL45</f>
        <v>33333.3333333333</v>
      </c>
      <c r="AM46" s="71" t="n">
        <f aca="false">AM43+AM44+AM45</f>
        <v>32000</v>
      </c>
      <c r="AN46" s="71" t="n">
        <f aca="false">AN43+AN44+AN45</f>
        <v>30666.6666666667</v>
      </c>
      <c r="AO46" s="71" t="n">
        <f aca="false">AO43+AO44+AO45</f>
        <v>29333.3333333333</v>
      </c>
      <c r="AP46" s="71" t="n">
        <f aca="false">AP43+AP44+AP45</f>
        <v>28000</v>
      </c>
      <c r="AQ46" s="71" t="n">
        <f aca="false">AQ43+AQ44+AQ45</f>
        <v>26666.6666666667</v>
      </c>
      <c r="AR46" s="71" t="n">
        <f aca="false">AR43+AR44+AR45</f>
        <v>25333.3333333333</v>
      </c>
      <c r="AS46" s="71" t="n">
        <f aca="false">AS43+AS44+AS45</f>
        <v>24000</v>
      </c>
      <c r="AT46" s="71" t="n">
        <f aca="false">AT43+AT44+AT45</f>
        <v>22666.6666666667</v>
      </c>
      <c r="AU46" s="71" t="n">
        <f aca="false">AU43+AU44+AU45</f>
        <v>21333.3333333333</v>
      </c>
      <c r="AV46" s="71" t="n">
        <f aca="false">AV43+AV44+AV45</f>
        <v>20000</v>
      </c>
      <c r="AW46" s="71" t="n">
        <f aca="false">AW43+AW44+AW45</f>
        <v>18666.6666666667</v>
      </c>
      <c r="AX46" s="71" t="n">
        <f aca="false">AX43+AX44+AX45</f>
        <v>17333.3333333333</v>
      </c>
      <c r="AY46" s="71" t="n">
        <f aca="false">AY43+AY44+AY45</f>
        <v>16000</v>
      </c>
      <c r="AZ46" s="71" t="n">
        <f aca="false">AZ43+AZ44+AZ45</f>
        <v>14666.6666666667</v>
      </c>
      <c r="BA46" s="71" t="n">
        <f aca="false">BA43+BA44+BA45</f>
        <v>13333.3333333333</v>
      </c>
      <c r="BB46" s="71" t="n">
        <f aca="false">BB43+BB44+BB45</f>
        <v>12000</v>
      </c>
      <c r="BC46" s="71" t="n">
        <f aca="false">BC43+BC44+BC45</f>
        <v>10666.6666666667</v>
      </c>
      <c r="BD46" s="71" t="n">
        <f aca="false">BD43+BD44+BD45</f>
        <v>9333.33333333333</v>
      </c>
      <c r="BE46" s="71" t="n">
        <f aca="false">BE43+BE44+BE45</f>
        <v>8000</v>
      </c>
      <c r="BF46" s="71" t="n">
        <f aca="false">BF43+BF44+BF45</f>
        <v>6666.66666666667</v>
      </c>
      <c r="BG46" s="71" t="n">
        <f aca="false">BG43+BG44+BG45</f>
        <v>5333.33333333333</v>
      </c>
      <c r="BH46" s="71" t="n">
        <f aca="false">BH43+BH44+BH45</f>
        <v>4000</v>
      </c>
      <c r="BI46" s="71" t="n">
        <f aca="false">BI43+BI44+BI45</f>
        <v>2666.66666666667</v>
      </c>
      <c r="BJ46" s="71" t="n">
        <f aca="false">BJ43+BJ44+BJ45</f>
        <v>1333.33333333333</v>
      </c>
    </row>
    <row r="48" customFormat="false" ht="15.75" hidden="false" customHeight="true" outlineLevel="0" collapsed="false">
      <c r="A48" s="7" t="s">
        <v>270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88</v>
      </c>
      <c r="C49" s="65" t="n">
        <f aca="false">C14*Inputs!$B$35/30</f>
        <v>528</v>
      </c>
      <c r="D49" s="65" t="n">
        <f aca="false">D14*Inputs!$B$35/30</f>
        <v>616</v>
      </c>
      <c r="E49" s="65" t="n">
        <f aca="false">E14*Inputs!$B$35/30</f>
        <v>704</v>
      </c>
      <c r="F49" s="65" t="n">
        <f aca="false">F14*Inputs!$B$35/30</f>
        <v>792</v>
      </c>
      <c r="G49" s="65" t="n">
        <f aca="false">G14*Inputs!$B$35/30</f>
        <v>880</v>
      </c>
      <c r="H49" s="65" t="n">
        <f aca="false">H14*Inputs!$B$35/30</f>
        <v>968</v>
      </c>
      <c r="I49" s="65" t="n">
        <f aca="false">I14*Inputs!$B$35/30</f>
        <v>1056</v>
      </c>
      <c r="J49" s="65" t="n">
        <f aca="false">J14*Inputs!$B$35/30</f>
        <v>1144</v>
      </c>
      <c r="K49" s="65" t="n">
        <f aca="false">K14*Inputs!$B$35/30</f>
        <v>1232</v>
      </c>
      <c r="L49" s="65" t="n">
        <f aca="false">L14*Inputs!$B$35/30</f>
        <v>1320</v>
      </c>
      <c r="M49" s="65" t="n">
        <f aca="false">M14*Inputs!$B$35/30</f>
        <v>1320</v>
      </c>
      <c r="N49" s="65" t="n">
        <f aca="false">N14*Inputs!$B$35/30</f>
        <v>1320</v>
      </c>
      <c r="O49" s="65" t="n">
        <f aca="false">O14*Inputs!$B$35/30</f>
        <v>1386.792</v>
      </c>
      <c r="P49" s="65" t="n">
        <f aca="false">P14*Inputs!$B$35/30</f>
        <v>1386.792</v>
      </c>
      <c r="Q49" s="65" t="n">
        <f aca="false">Q14*Inputs!$B$35/30</f>
        <v>1386.792</v>
      </c>
      <c r="R49" s="65" t="n">
        <f aca="false">R14*Inputs!$B$35/30</f>
        <v>1386.792</v>
      </c>
      <c r="S49" s="65" t="n">
        <f aca="false">S14*Inputs!$B$35/30</f>
        <v>1386.792</v>
      </c>
      <c r="T49" s="65" t="n">
        <f aca="false">T14*Inputs!$B$35/30</f>
        <v>1386.792</v>
      </c>
      <c r="U49" s="65" t="n">
        <f aca="false">U14*Inputs!$B$35/30</f>
        <v>1386.792</v>
      </c>
      <c r="V49" s="65" t="n">
        <f aca="false">V14*Inputs!$B$35/30</f>
        <v>1386.792</v>
      </c>
      <c r="W49" s="65" t="n">
        <f aca="false">W14*Inputs!$B$35/30</f>
        <v>1386.792</v>
      </c>
      <c r="X49" s="65" t="n">
        <f aca="false">X14*Inputs!$B$35/30</f>
        <v>1386.792</v>
      </c>
      <c r="Y49" s="65" t="n">
        <f aca="false">Y14*Inputs!$B$35/30</f>
        <v>1386.792</v>
      </c>
      <c r="Z49" s="65" t="n">
        <f aca="false">Z14*Inputs!$B$35/30</f>
        <v>1386.792</v>
      </c>
      <c r="AA49" s="65" t="n">
        <f aca="false">AA14*Inputs!$B$35/30</f>
        <v>1456.9636752</v>
      </c>
      <c r="AB49" s="65" t="n">
        <f aca="false">AB14*Inputs!$B$35/30</f>
        <v>1456.9636752</v>
      </c>
      <c r="AC49" s="65" t="n">
        <f aca="false">AC14*Inputs!$B$35/30</f>
        <v>1456.9636752</v>
      </c>
      <c r="AD49" s="65" t="n">
        <f aca="false">AD14*Inputs!$B$35/30</f>
        <v>1456.9636752</v>
      </c>
      <c r="AE49" s="65" t="n">
        <f aca="false">AE14*Inputs!$B$35/30</f>
        <v>1456.9636752</v>
      </c>
      <c r="AF49" s="65" t="n">
        <f aca="false">AF14*Inputs!$B$35/30</f>
        <v>1456.9636752</v>
      </c>
      <c r="AG49" s="65" t="n">
        <f aca="false">AG14*Inputs!$B$35/30</f>
        <v>1456.9636752</v>
      </c>
      <c r="AH49" s="65" t="n">
        <f aca="false">AH14*Inputs!$B$35/30</f>
        <v>1456.9636752</v>
      </c>
      <c r="AI49" s="65" t="n">
        <f aca="false">AI14*Inputs!$B$35/30</f>
        <v>1456.9636752</v>
      </c>
      <c r="AJ49" s="65" t="n">
        <f aca="false">AJ14*Inputs!$B$35/30</f>
        <v>1456.9636752</v>
      </c>
      <c r="AK49" s="65" t="n">
        <f aca="false">AK14*Inputs!$B$35/30</f>
        <v>1456.9636752</v>
      </c>
      <c r="AL49" s="65" t="n">
        <f aca="false">AL14*Inputs!$B$35/30</f>
        <v>1456.9636752</v>
      </c>
      <c r="AM49" s="65" t="n">
        <f aca="false">AM14*Inputs!$B$35/30</f>
        <v>1530.68603716512</v>
      </c>
      <c r="AN49" s="65" t="n">
        <f aca="false">AN14*Inputs!$B$35/30</f>
        <v>1530.68603716512</v>
      </c>
      <c r="AO49" s="65" t="n">
        <f aca="false">AO14*Inputs!$B$35/30</f>
        <v>1530.68603716512</v>
      </c>
      <c r="AP49" s="65" t="n">
        <f aca="false">AP14*Inputs!$B$35/30</f>
        <v>1530.68603716512</v>
      </c>
      <c r="AQ49" s="65" t="n">
        <f aca="false">AQ14*Inputs!$B$35/30</f>
        <v>1530.68603716512</v>
      </c>
      <c r="AR49" s="65" t="n">
        <f aca="false">AR14*Inputs!$B$35/30</f>
        <v>1530.68603716512</v>
      </c>
      <c r="AS49" s="65" t="n">
        <f aca="false">AS14*Inputs!$B$35/30</f>
        <v>1530.68603716512</v>
      </c>
      <c r="AT49" s="65" t="n">
        <f aca="false">AT14*Inputs!$B$35/30</f>
        <v>1530.68603716512</v>
      </c>
      <c r="AU49" s="65" t="n">
        <f aca="false">AU14*Inputs!$B$35/30</f>
        <v>1530.68603716512</v>
      </c>
      <c r="AV49" s="65" t="n">
        <f aca="false">AV14*Inputs!$B$35/30</f>
        <v>1530.68603716512</v>
      </c>
      <c r="AW49" s="65" t="n">
        <f aca="false">AW14*Inputs!$B$35/30</f>
        <v>1530.68603716512</v>
      </c>
      <c r="AX49" s="65" t="n">
        <f aca="false">AX14*Inputs!$B$35/30</f>
        <v>1530.68603716512</v>
      </c>
      <c r="AY49" s="65" t="n">
        <f aca="false">AY14*Inputs!$B$35/30</f>
        <v>1608.13875064568</v>
      </c>
      <c r="AZ49" s="65" t="n">
        <f aca="false">AZ14*Inputs!$B$35/30</f>
        <v>1608.13875064568</v>
      </c>
      <c r="BA49" s="65" t="n">
        <f aca="false">BA14*Inputs!$B$35/30</f>
        <v>1608.13875064568</v>
      </c>
      <c r="BB49" s="65" t="n">
        <f aca="false">BB14*Inputs!$B$35/30</f>
        <v>1608.13875064568</v>
      </c>
      <c r="BC49" s="65" t="n">
        <f aca="false">BC14*Inputs!$B$35/30</f>
        <v>1608.13875064568</v>
      </c>
      <c r="BD49" s="65" t="n">
        <f aca="false">BD14*Inputs!$B$35/30</f>
        <v>1608.13875064568</v>
      </c>
      <c r="BE49" s="65" t="n">
        <f aca="false">BE14*Inputs!$B$35/30</f>
        <v>1608.13875064568</v>
      </c>
      <c r="BF49" s="65" t="n">
        <f aca="false">BF14*Inputs!$B$35/30</f>
        <v>1608.13875064568</v>
      </c>
      <c r="BG49" s="65" t="n">
        <f aca="false">BG14*Inputs!$B$35/30</f>
        <v>1608.13875064568</v>
      </c>
      <c r="BH49" s="65" t="n">
        <f aca="false">BH14*Inputs!$B$35/30</f>
        <v>1608.13875064568</v>
      </c>
      <c r="BI49" s="65" t="n">
        <f aca="false">BI14*Inputs!$B$35/30</f>
        <v>1608.13875064568</v>
      </c>
      <c r="BJ49" s="65" t="n">
        <f aca="false">BJ14*Inputs!$B$35/30</f>
        <v>1608.13875064568</v>
      </c>
    </row>
    <row r="50" customFormat="false" ht="15" hidden="false" customHeight="false" outlineLevel="0" collapsed="false">
      <c r="A50" s="6" t="s">
        <v>89</v>
      </c>
      <c r="C50" s="65" t="n">
        <f aca="false">-C15*Inputs!$B$36/30</f>
        <v>665.28</v>
      </c>
      <c r="D50" s="65" t="n">
        <f aca="false">-D15*Inputs!$B$36/30</f>
        <v>776.16</v>
      </c>
      <c r="E50" s="65" t="n">
        <f aca="false">-E15*Inputs!$B$36/30</f>
        <v>887.04</v>
      </c>
      <c r="F50" s="65" t="n">
        <f aca="false">-F15*Inputs!$B$36/30</f>
        <v>997.92</v>
      </c>
      <c r="G50" s="65" t="n">
        <f aca="false">-G15*Inputs!$B$36/30</f>
        <v>1108.8</v>
      </c>
      <c r="H50" s="65" t="n">
        <f aca="false">-H15*Inputs!$B$36/30</f>
        <v>1219.68</v>
      </c>
      <c r="I50" s="65" t="n">
        <f aca="false">-I15*Inputs!$B$36/30</f>
        <v>1330.56</v>
      </c>
      <c r="J50" s="65" t="n">
        <f aca="false">-J15*Inputs!$B$36/30</f>
        <v>1441.44</v>
      </c>
      <c r="K50" s="65" t="n">
        <f aca="false">-K15*Inputs!$B$36/30</f>
        <v>1552.32</v>
      </c>
      <c r="L50" s="65" t="n">
        <f aca="false">-L15*Inputs!$B$36/30</f>
        <v>1663.2</v>
      </c>
      <c r="M50" s="65" t="n">
        <f aca="false">-M15*Inputs!$B$36/30</f>
        <v>1663.2</v>
      </c>
      <c r="N50" s="65" t="n">
        <f aca="false">-N15*Inputs!$B$36/30</f>
        <v>1663.2</v>
      </c>
      <c r="O50" s="65" t="n">
        <f aca="false">-O15*Inputs!$B$36/30</f>
        <v>1747.35792</v>
      </c>
      <c r="P50" s="65" t="n">
        <f aca="false">-P15*Inputs!$B$36/30</f>
        <v>1747.35792</v>
      </c>
      <c r="Q50" s="65" t="n">
        <f aca="false">-Q15*Inputs!$B$36/30</f>
        <v>1747.35792</v>
      </c>
      <c r="R50" s="65" t="n">
        <f aca="false">-R15*Inputs!$B$36/30</f>
        <v>1747.35792</v>
      </c>
      <c r="S50" s="65" t="n">
        <f aca="false">-S15*Inputs!$B$36/30</f>
        <v>1747.35792</v>
      </c>
      <c r="T50" s="65" t="n">
        <f aca="false">-T15*Inputs!$B$36/30</f>
        <v>1747.35792</v>
      </c>
      <c r="U50" s="65" t="n">
        <f aca="false">-U15*Inputs!$B$36/30</f>
        <v>1747.35792</v>
      </c>
      <c r="V50" s="65" t="n">
        <f aca="false">-V15*Inputs!$B$36/30</f>
        <v>1747.35792</v>
      </c>
      <c r="W50" s="65" t="n">
        <f aca="false">-W15*Inputs!$B$36/30</f>
        <v>1747.35792</v>
      </c>
      <c r="X50" s="65" t="n">
        <f aca="false">-X15*Inputs!$B$36/30</f>
        <v>1747.35792</v>
      </c>
      <c r="Y50" s="65" t="n">
        <f aca="false">-Y15*Inputs!$B$36/30</f>
        <v>1747.35792</v>
      </c>
      <c r="Z50" s="65" t="n">
        <f aca="false">-Z15*Inputs!$B$36/30</f>
        <v>1747.35792</v>
      </c>
      <c r="AA50" s="65" t="n">
        <f aca="false">-AA15*Inputs!$B$36/30</f>
        <v>1835.774230752</v>
      </c>
      <c r="AB50" s="65" t="n">
        <f aca="false">-AB15*Inputs!$B$36/30</f>
        <v>1835.774230752</v>
      </c>
      <c r="AC50" s="65" t="n">
        <f aca="false">-AC15*Inputs!$B$36/30</f>
        <v>1835.774230752</v>
      </c>
      <c r="AD50" s="65" t="n">
        <f aca="false">-AD15*Inputs!$B$36/30</f>
        <v>1835.774230752</v>
      </c>
      <c r="AE50" s="65" t="n">
        <f aca="false">-AE15*Inputs!$B$36/30</f>
        <v>1835.774230752</v>
      </c>
      <c r="AF50" s="65" t="n">
        <f aca="false">-AF15*Inputs!$B$36/30</f>
        <v>1835.774230752</v>
      </c>
      <c r="AG50" s="65" t="n">
        <f aca="false">-AG15*Inputs!$B$36/30</f>
        <v>1835.774230752</v>
      </c>
      <c r="AH50" s="65" t="n">
        <f aca="false">-AH15*Inputs!$B$36/30</f>
        <v>1835.774230752</v>
      </c>
      <c r="AI50" s="65" t="n">
        <f aca="false">-AI15*Inputs!$B$36/30</f>
        <v>1835.774230752</v>
      </c>
      <c r="AJ50" s="65" t="n">
        <f aca="false">-AJ15*Inputs!$B$36/30</f>
        <v>1835.774230752</v>
      </c>
      <c r="AK50" s="65" t="n">
        <f aca="false">-AK15*Inputs!$B$36/30</f>
        <v>1835.774230752</v>
      </c>
      <c r="AL50" s="65" t="n">
        <f aca="false">-AL15*Inputs!$B$36/30</f>
        <v>1835.774230752</v>
      </c>
      <c r="AM50" s="65" t="n">
        <f aca="false">-AM15*Inputs!$B$36/30</f>
        <v>1928.66440682805</v>
      </c>
      <c r="AN50" s="65" t="n">
        <f aca="false">-AN15*Inputs!$B$36/30</f>
        <v>1928.66440682805</v>
      </c>
      <c r="AO50" s="65" t="n">
        <f aca="false">-AO15*Inputs!$B$36/30</f>
        <v>1928.66440682805</v>
      </c>
      <c r="AP50" s="65" t="n">
        <f aca="false">-AP15*Inputs!$B$36/30</f>
        <v>1928.66440682805</v>
      </c>
      <c r="AQ50" s="65" t="n">
        <f aca="false">-AQ15*Inputs!$B$36/30</f>
        <v>1928.66440682805</v>
      </c>
      <c r="AR50" s="65" t="n">
        <f aca="false">-AR15*Inputs!$B$36/30</f>
        <v>1928.66440682805</v>
      </c>
      <c r="AS50" s="65" t="n">
        <f aca="false">-AS15*Inputs!$B$36/30</f>
        <v>1928.66440682805</v>
      </c>
      <c r="AT50" s="65" t="n">
        <f aca="false">-AT15*Inputs!$B$36/30</f>
        <v>1928.66440682805</v>
      </c>
      <c r="AU50" s="65" t="n">
        <f aca="false">-AU15*Inputs!$B$36/30</f>
        <v>1928.66440682805</v>
      </c>
      <c r="AV50" s="65" t="n">
        <f aca="false">-AV15*Inputs!$B$36/30</f>
        <v>1928.66440682805</v>
      </c>
      <c r="AW50" s="65" t="n">
        <f aca="false">-AW15*Inputs!$B$36/30</f>
        <v>1928.66440682805</v>
      </c>
      <c r="AX50" s="65" t="n">
        <f aca="false">-AX15*Inputs!$B$36/30</f>
        <v>1928.66440682805</v>
      </c>
      <c r="AY50" s="65" t="n">
        <f aca="false">-AY15*Inputs!$B$36/30</f>
        <v>2026.25482581355</v>
      </c>
      <c r="AZ50" s="65" t="n">
        <f aca="false">-AZ15*Inputs!$B$36/30</f>
        <v>2026.25482581355</v>
      </c>
      <c r="BA50" s="65" t="n">
        <f aca="false">-BA15*Inputs!$B$36/30</f>
        <v>2026.25482581355</v>
      </c>
      <c r="BB50" s="65" t="n">
        <f aca="false">-BB15*Inputs!$B$36/30</f>
        <v>2026.25482581355</v>
      </c>
      <c r="BC50" s="65" t="n">
        <f aca="false">-BC15*Inputs!$B$36/30</f>
        <v>2026.25482581355</v>
      </c>
      <c r="BD50" s="65" t="n">
        <f aca="false">-BD15*Inputs!$B$36/30</f>
        <v>2026.25482581355</v>
      </c>
      <c r="BE50" s="65" t="n">
        <f aca="false">-BE15*Inputs!$B$36/30</f>
        <v>2026.25482581355</v>
      </c>
      <c r="BF50" s="65" t="n">
        <f aca="false">-BF15*Inputs!$B$36/30</f>
        <v>2026.25482581355</v>
      </c>
      <c r="BG50" s="65" t="n">
        <f aca="false">-BG15*Inputs!$B$36/30</f>
        <v>2026.25482581355</v>
      </c>
      <c r="BH50" s="65" t="n">
        <f aca="false">-BH15*Inputs!$B$36/30</f>
        <v>2026.25482581355</v>
      </c>
      <c r="BI50" s="65" t="n">
        <f aca="false">-BI15*Inputs!$B$36/30</f>
        <v>2026.25482581355</v>
      </c>
      <c r="BJ50" s="65" t="n">
        <f aca="false">-BJ15*Inputs!$B$36/30</f>
        <v>2026.25482581355</v>
      </c>
    </row>
    <row r="51" customFormat="false" ht="15" hidden="false" customHeight="false" outlineLevel="0" collapsed="false">
      <c r="A51" s="6" t="s">
        <v>92</v>
      </c>
      <c r="C51" s="65" t="n">
        <f aca="false">-C15*Inputs!$B$37/30</f>
        <v>1330.56</v>
      </c>
      <c r="D51" s="65" t="n">
        <f aca="false">-D15*Inputs!$B$37/30</f>
        <v>1552.32</v>
      </c>
      <c r="E51" s="65" t="n">
        <f aca="false">-E15*Inputs!$B$37/30</f>
        <v>1774.08</v>
      </c>
      <c r="F51" s="65" t="n">
        <f aca="false">-F15*Inputs!$B$37/30</f>
        <v>1995.84</v>
      </c>
      <c r="G51" s="65" t="n">
        <f aca="false">-G15*Inputs!$B$37/30</f>
        <v>2217.6</v>
      </c>
      <c r="H51" s="65" t="n">
        <f aca="false">-H15*Inputs!$B$37/30</f>
        <v>2439.36</v>
      </c>
      <c r="I51" s="65" t="n">
        <f aca="false">-I15*Inputs!$B$37/30</f>
        <v>2661.12</v>
      </c>
      <c r="J51" s="65" t="n">
        <f aca="false">-J15*Inputs!$B$37/30</f>
        <v>2882.88</v>
      </c>
      <c r="K51" s="65" t="n">
        <f aca="false">-K15*Inputs!$B$37/30</f>
        <v>3104.64</v>
      </c>
      <c r="L51" s="65" t="n">
        <f aca="false">-L15*Inputs!$B$37/30</f>
        <v>3326.4</v>
      </c>
      <c r="M51" s="65" t="n">
        <f aca="false">-M15*Inputs!$B$37/30</f>
        <v>3326.4</v>
      </c>
      <c r="N51" s="65" t="n">
        <f aca="false">-N15*Inputs!$B$37/30</f>
        <v>3326.4</v>
      </c>
      <c r="O51" s="65" t="n">
        <f aca="false">-O15*Inputs!$B$37/30</f>
        <v>3494.71584</v>
      </c>
      <c r="P51" s="65" t="n">
        <f aca="false">-P15*Inputs!$B$37/30</f>
        <v>3494.71584</v>
      </c>
      <c r="Q51" s="65" t="n">
        <f aca="false">-Q15*Inputs!$B$37/30</f>
        <v>3494.71584</v>
      </c>
      <c r="R51" s="65" t="n">
        <f aca="false">-R15*Inputs!$B$37/30</f>
        <v>3494.71584</v>
      </c>
      <c r="S51" s="65" t="n">
        <f aca="false">-S15*Inputs!$B$37/30</f>
        <v>3494.71584</v>
      </c>
      <c r="T51" s="65" t="n">
        <f aca="false">-T15*Inputs!$B$37/30</f>
        <v>3494.71584</v>
      </c>
      <c r="U51" s="65" t="n">
        <f aca="false">-U15*Inputs!$B$37/30</f>
        <v>3494.71584</v>
      </c>
      <c r="V51" s="65" t="n">
        <f aca="false">-V15*Inputs!$B$37/30</f>
        <v>3494.71584</v>
      </c>
      <c r="W51" s="65" t="n">
        <f aca="false">-W15*Inputs!$B$37/30</f>
        <v>3494.71584</v>
      </c>
      <c r="X51" s="65" t="n">
        <f aca="false">-X15*Inputs!$B$37/30</f>
        <v>3494.71584</v>
      </c>
      <c r="Y51" s="65" t="n">
        <f aca="false">-Y15*Inputs!$B$37/30</f>
        <v>3494.71584</v>
      </c>
      <c r="Z51" s="65" t="n">
        <f aca="false">-Z15*Inputs!$B$37/30</f>
        <v>3494.71584</v>
      </c>
      <c r="AA51" s="65" t="n">
        <f aca="false">-AA15*Inputs!$B$37/30</f>
        <v>3671.548461504</v>
      </c>
      <c r="AB51" s="65" t="n">
        <f aca="false">-AB15*Inputs!$B$37/30</f>
        <v>3671.548461504</v>
      </c>
      <c r="AC51" s="65" t="n">
        <f aca="false">-AC15*Inputs!$B$37/30</f>
        <v>3671.548461504</v>
      </c>
      <c r="AD51" s="65" t="n">
        <f aca="false">-AD15*Inputs!$B$37/30</f>
        <v>3671.548461504</v>
      </c>
      <c r="AE51" s="65" t="n">
        <f aca="false">-AE15*Inputs!$B$37/30</f>
        <v>3671.548461504</v>
      </c>
      <c r="AF51" s="65" t="n">
        <f aca="false">-AF15*Inputs!$B$37/30</f>
        <v>3671.548461504</v>
      </c>
      <c r="AG51" s="65" t="n">
        <f aca="false">-AG15*Inputs!$B$37/30</f>
        <v>3671.548461504</v>
      </c>
      <c r="AH51" s="65" t="n">
        <f aca="false">-AH15*Inputs!$B$37/30</f>
        <v>3671.548461504</v>
      </c>
      <c r="AI51" s="65" t="n">
        <f aca="false">-AI15*Inputs!$B$37/30</f>
        <v>3671.548461504</v>
      </c>
      <c r="AJ51" s="65" t="n">
        <f aca="false">-AJ15*Inputs!$B$37/30</f>
        <v>3671.548461504</v>
      </c>
      <c r="AK51" s="65" t="n">
        <f aca="false">-AK15*Inputs!$B$37/30</f>
        <v>3671.548461504</v>
      </c>
      <c r="AL51" s="65" t="n">
        <f aca="false">-AL15*Inputs!$B$37/30</f>
        <v>3671.548461504</v>
      </c>
      <c r="AM51" s="65" t="n">
        <f aca="false">-AM15*Inputs!$B$37/30</f>
        <v>3857.3288136561</v>
      </c>
      <c r="AN51" s="65" t="n">
        <f aca="false">-AN15*Inputs!$B$37/30</f>
        <v>3857.3288136561</v>
      </c>
      <c r="AO51" s="65" t="n">
        <f aca="false">-AO15*Inputs!$B$37/30</f>
        <v>3857.3288136561</v>
      </c>
      <c r="AP51" s="65" t="n">
        <f aca="false">-AP15*Inputs!$B$37/30</f>
        <v>3857.3288136561</v>
      </c>
      <c r="AQ51" s="65" t="n">
        <f aca="false">-AQ15*Inputs!$B$37/30</f>
        <v>3857.3288136561</v>
      </c>
      <c r="AR51" s="65" t="n">
        <f aca="false">-AR15*Inputs!$B$37/30</f>
        <v>3857.3288136561</v>
      </c>
      <c r="AS51" s="65" t="n">
        <f aca="false">-AS15*Inputs!$B$37/30</f>
        <v>3857.3288136561</v>
      </c>
      <c r="AT51" s="65" t="n">
        <f aca="false">-AT15*Inputs!$B$37/30</f>
        <v>3857.3288136561</v>
      </c>
      <c r="AU51" s="65" t="n">
        <f aca="false">-AU15*Inputs!$B$37/30</f>
        <v>3857.3288136561</v>
      </c>
      <c r="AV51" s="65" t="n">
        <f aca="false">-AV15*Inputs!$B$37/30</f>
        <v>3857.3288136561</v>
      </c>
      <c r="AW51" s="65" t="n">
        <f aca="false">-AW15*Inputs!$B$37/30</f>
        <v>3857.3288136561</v>
      </c>
      <c r="AX51" s="65" t="n">
        <f aca="false">-AX15*Inputs!$B$37/30</f>
        <v>3857.3288136561</v>
      </c>
      <c r="AY51" s="65" t="n">
        <f aca="false">-AY15*Inputs!$B$37/30</f>
        <v>4052.5096516271</v>
      </c>
      <c r="AZ51" s="65" t="n">
        <f aca="false">-AZ15*Inputs!$B$37/30</f>
        <v>4052.5096516271</v>
      </c>
      <c r="BA51" s="65" t="n">
        <f aca="false">-BA15*Inputs!$B$37/30</f>
        <v>4052.5096516271</v>
      </c>
      <c r="BB51" s="65" t="n">
        <f aca="false">-BB15*Inputs!$B$37/30</f>
        <v>4052.5096516271</v>
      </c>
      <c r="BC51" s="65" t="n">
        <f aca="false">-BC15*Inputs!$B$37/30</f>
        <v>4052.5096516271</v>
      </c>
      <c r="BD51" s="65" t="n">
        <f aca="false">-BD15*Inputs!$B$37/30</f>
        <v>4052.5096516271</v>
      </c>
      <c r="BE51" s="65" t="n">
        <f aca="false">-BE15*Inputs!$B$37/30</f>
        <v>4052.5096516271</v>
      </c>
      <c r="BF51" s="65" t="n">
        <f aca="false">-BF15*Inputs!$B$37/30</f>
        <v>4052.5096516271</v>
      </c>
      <c r="BG51" s="65" t="n">
        <f aca="false">-BG15*Inputs!$B$37/30</f>
        <v>4052.5096516271</v>
      </c>
      <c r="BH51" s="65" t="n">
        <f aca="false">-BH15*Inputs!$B$37/30</f>
        <v>4052.5096516271</v>
      </c>
      <c r="BI51" s="65" t="n">
        <f aca="false">-BI15*Inputs!$B$37/30</f>
        <v>4052.5096516271</v>
      </c>
      <c r="BJ51" s="65" t="n">
        <f aca="false">-BJ15*Inputs!$B$37/30</f>
        <v>4052.5096516271</v>
      </c>
    </row>
    <row r="52" customFormat="false" ht="15" hidden="false" customHeight="false" outlineLevel="0" collapsed="false">
      <c r="A52" s="6" t="s">
        <v>291</v>
      </c>
      <c r="C52" s="65" t="n">
        <f aca="false">-C49</f>
        <v>-528</v>
      </c>
      <c r="D52" s="65" t="n">
        <f aca="false">C49-D49</f>
        <v>-88</v>
      </c>
      <c r="E52" s="65" t="n">
        <f aca="false">D49-E49</f>
        <v>-88</v>
      </c>
      <c r="F52" s="65" t="n">
        <f aca="false">E49-F49</f>
        <v>-88</v>
      </c>
      <c r="G52" s="65" t="n">
        <f aca="false">F49-G49</f>
        <v>-88.0000000000001</v>
      </c>
      <c r="H52" s="65" t="n">
        <f aca="false">G49-H49</f>
        <v>-87.9999999999999</v>
      </c>
      <c r="I52" s="65" t="n">
        <f aca="false">H49-I49</f>
        <v>-88</v>
      </c>
      <c r="J52" s="65" t="n">
        <f aca="false">I49-J49</f>
        <v>-88</v>
      </c>
      <c r="K52" s="65" t="n">
        <f aca="false">J49-K49</f>
        <v>-88</v>
      </c>
      <c r="L52" s="65" t="n">
        <f aca="false">K49-L49</f>
        <v>-88</v>
      </c>
      <c r="M52" s="65" t="n">
        <f aca="false">L49-M49</f>
        <v>0</v>
      </c>
      <c r="N52" s="65" t="n">
        <f aca="false">M49-N49</f>
        <v>0</v>
      </c>
      <c r="O52" s="65" t="n">
        <f aca="false">N49-O49</f>
        <v>-66.7920000000001</v>
      </c>
      <c r="P52" s="65" t="n">
        <f aca="false">O49-P49</f>
        <v>0</v>
      </c>
      <c r="Q52" s="65" t="n">
        <f aca="false">P49-Q49</f>
        <v>0</v>
      </c>
      <c r="R52" s="65" t="n">
        <f aca="false">Q49-R49</f>
        <v>0</v>
      </c>
      <c r="S52" s="65" t="n">
        <f aca="false">R49-S49</f>
        <v>0</v>
      </c>
      <c r="T52" s="65" t="n">
        <f aca="false">S49-T49</f>
        <v>0</v>
      </c>
      <c r="U52" s="65" t="n">
        <f aca="false">T49-U49</f>
        <v>0</v>
      </c>
      <c r="V52" s="65" t="n">
        <f aca="false">U49-V49</f>
        <v>0</v>
      </c>
      <c r="W52" s="65" t="n">
        <f aca="false">V49-W49</f>
        <v>0</v>
      </c>
      <c r="X52" s="65" t="n">
        <f aca="false">W49-X49</f>
        <v>0</v>
      </c>
      <c r="Y52" s="65" t="n">
        <f aca="false">X49-Y49</f>
        <v>0</v>
      </c>
      <c r="Z52" s="65" t="n">
        <f aca="false">Y49-Z49</f>
        <v>0</v>
      </c>
      <c r="AA52" s="65" t="n">
        <f aca="false">Z49-AA49</f>
        <v>-70.1716751999998</v>
      </c>
      <c r="AB52" s="65" t="n">
        <f aca="false">AA49-AB49</f>
        <v>0</v>
      </c>
      <c r="AC52" s="65" t="n">
        <f aca="false">AB49-AC49</f>
        <v>0</v>
      </c>
      <c r="AD52" s="65" t="n">
        <f aca="false">AC49-AD49</f>
        <v>0</v>
      </c>
      <c r="AE52" s="65" t="n">
        <f aca="false">AD49-AE49</f>
        <v>0</v>
      </c>
      <c r="AF52" s="65" t="n">
        <f aca="false">AE49-AF49</f>
        <v>0</v>
      </c>
      <c r="AG52" s="65" t="n">
        <f aca="false">AF49-AG49</f>
        <v>0</v>
      </c>
      <c r="AH52" s="65" t="n">
        <f aca="false">AG49-AH49</f>
        <v>0</v>
      </c>
      <c r="AI52" s="65" t="n">
        <f aca="false">AH49-AI49</f>
        <v>0</v>
      </c>
      <c r="AJ52" s="65" t="n">
        <f aca="false">AI49-AJ49</f>
        <v>0</v>
      </c>
      <c r="AK52" s="65" t="n">
        <f aca="false">AJ49-AK49</f>
        <v>0</v>
      </c>
      <c r="AL52" s="65" t="n">
        <f aca="false">AK49-AL49</f>
        <v>0</v>
      </c>
      <c r="AM52" s="65" t="n">
        <f aca="false">AL49-AM49</f>
        <v>-73.7223619651202</v>
      </c>
      <c r="AN52" s="65" t="n">
        <f aca="false">AM49-AN49</f>
        <v>0</v>
      </c>
      <c r="AO52" s="65" t="n">
        <f aca="false">AN49-AO49</f>
        <v>0</v>
      </c>
      <c r="AP52" s="65" t="n">
        <f aca="false">AO49-AP49</f>
        <v>0</v>
      </c>
      <c r="AQ52" s="65" t="n">
        <f aca="false">AP49-AQ49</f>
        <v>0</v>
      </c>
      <c r="AR52" s="65" t="n">
        <f aca="false">AQ49-AR49</f>
        <v>0</v>
      </c>
      <c r="AS52" s="65" t="n">
        <f aca="false">AR49-AS49</f>
        <v>0</v>
      </c>
      <c r="AT52" s="65" t="n">
        <f aca="false">AS49-AT49</f>
        <v>0</v>
      </c>
      <c r="AU52" s="65" t="n">
        <f aca="false">AT49-AU49</f>
        <v>0</v>
      </c>
      <c r="AV52" s="65" t="n">
        <f aca="false">AU49-AV49</f>
        <v>0</v>
      </c>
      <c r="AW52" s="65" t="n">
        <f aca="false">AV49-AW49</f>
        <v>0</v>
      </c>
      <c r="AX52" s="65" t="n">
        <f aca="false">AW49-AX49</f>
        <v>0</v>
      </c>
      <c r="AY52" s="65" t="n">
        <f aca="false">AX49-AY49</f>
        <v>-77.4527134805551</v>
      </c>
      <c r="AZ52" s="65" t="n">
        <f aca="false">AY49-AZ49</f>
        <v>0</v>
      </c>
      <c r="BA52" s="65" t="n">
        <f aca="false">AZ49-BA49</f>
        <v>0</v>
      </c>
      <c r="BB52" s="65" t="n">
        <f aca="false">BA49-BB49</f>
        <v>0</v>
      </c>
      <c r="BC52" s="65" t="n">
        <f aca="false">BB49-BC49</f>
        <v>0</v>
      </c>
      <c r="BD52" s="65" t="n">
        <f aca="false">BC49-BD49</f>
        <v>0</v>
      </c>
      <c r="BE52" s="65" t="n">
        <f aca="false">BD49-BE49</f>
        <v>0</v>
      </c>
      <c r="BF52" s="65" t="n">
        <f aca="false">BE49-BF49</f>
        <v>0</v>
      </c>
      <c r="BG52" s="65" t="n">
        <f aca="false">BF49-BG49</f>
        <v>0</v>
      </c>
      <c r="BH52" s="65" t="n">
        <f aca="false">BG49-BH49</f>
        <v>0</v>
      </c>
      <c r="BI52" s="65" t="n">
        <f aca="false">BH49-BI49</f>
        <v>0</v>
      </c>
      <c r="BJ52" s="65" t="n">
        <f aca="false">BI49-BJ49</f>
        <v>0</v>
      </c>
    </row>
    <row r="53" customFormat="false" ht="15" hidden="false" customHeight="false" outlineLevel="0" collapsed="false">
      <c r="A53" s="6" t="s">
        <v>292</v>
      </c>
      <c r="C53" s="65" t="n">
        <f aca="false">-C50</f>
        <v>-665.28</v>
      </c>
      <c r="D53" s="65" t="n">
        <f aca="false">C50-D50</f>
        <v>-110.88</v>
      </c>
      <c r="E53" s="65" t="n">
        <f aca="false">D50-E50</f>
        <v>-110.88</v>
      </c>
      <c r="F53" s="65" t="n">
        <f aca="false">E50-F50</f>
        <v>-110.88</v>
      </c>
      <c r="G53" s="65" t="n">
        <f aca="false">F50-G50</f>
        <v>-110.88</v>
      </c>
      <c r="H53" s="65" t="n">
        <f aca="false">G50-H50</f>
        <v>-110.88</v>
      </c>
      <c r="I53" s="65" t="n">
        <f aca="false">H50-I50</f>
        <v>-110.88</v>
      </c>
      <c r="J53" s="65" t="n">
        <f aca="false">I50-J50</f>
        <v>-110.88</v>
      </c>
      <c r="K53" s="65" t="n">
        <f aca="false">J50-K50</f>
        <v>-110.88</v>
      </c>
      <c r="L53" s="65" t="n">
        <f aca="false">K50-L50</f>
        <v>-110.88</v>
      </c>
      <c r="M53" s="65" t="n">
        <f aca="false">L50-M50</f>
        <v>0</v>
      </c>
      <c r="N53" s="65" t="n">
        <f aca="false">M50-N50</f>
        <v>0</v>
      </c>
      <c r="O53" s="65" t="n">
        <f aca="false">N50-O50</f>
        <v>-84.1579199999999</v>
      </c>
      <c r="P53" s="65" t="n">
        <f aca="false">O50-P50</f>
        <v>0</v>
      </c>
      <c r="Q53" s="65" t="n">
        <f aca="false">P50-Q50</f>
        <v>0</v>
      </c>
      <c r="R53" s="65" t="n">
        <f aca="false">Q50-R50</f>
        <v>0</v>
      </c>
      <c r="S53" s="65" t="n">
        <f aca="false">R50-S50</f>
        <v>0</v>
      </c>
      <c r="T53" s="65" t="n">
        <f aca="false">S50-T50</f>
        <v>0</v>
      </c>
      <c r="U53" s="65" t="n">
        <f aca="false">T50-U50</f>
        <v>0</v>
      </c>
      <c r="V53" s="65" t="n">
        <f aca="false">U50-V50</f>
        <v>0</v>
      </c>
      <c r="W53" s="65" t="n">
        <f aca="false">V50-W50</f>
        <v>0</v>
      </c>
      <c r="X53" s="65" t="n">
        <f aca="false">W50-X50</f>
        <v>0</v>
      </c>
      <c r="Y53" s="65" t="n">
        <f aca="false">X50-Y50</f>
        <v>0</v>
      </c>
      <c r="Z53" s="65" t="n">
        <f aca="false">Y50-Z50</f>
        <v>0</v>
      </c>
      <c r="AA53" s="65" t="n">
        <f aca="false">Z50-AA50</f>
        <v>-88.4163107519998</v>
      </c>
      <c r="AB53" s="65" t="n">
        <f aca="false">AA50-AB50</f>
        <v>0</v>
      </c>
      <c r="AC53" s="65" t="n">
        <f aca="false">AB50-AC50</f>
        <v>0</v>
      </c>
      <c r="AD53" s="65" t="n">
        <f aca="false">AC50-AD50</f>
        <v>0</v>
      </c>
      <c r="AE53" s="65" t="n">
        <f aca="false">AD50-AE50</f>
        <v>0</v>
      </c>
      <c r="AF53" s="65" t="n">
        <f aca="false">AE50-AF50</f>
        <v>0</v>
      </c>
      <c r="AG53" s="65" t="n">
        <f aca="false">AF50-AG50</f>
        <v>0</v>
      </c>
      <c r="AH53" s="65" t="n">
        <f aca="false">AG50-AH50</f>
        <v>0</v>
      </c>
      <c r="AI53" s="65" t="n">
        <f aca="false">AH50-AI50</f>
        <v>0</v>
      </c>
      <c r="AJ53" s="65" t="n">
        <f aca="false">AI50-AJ50</f>
        <v>0</v>
      </c>
      <c r="AK53" s="65" t="n">
        <f aca="false">AJ50-AK50</f>
        <v>0</v>
      </c>
      <c r="AL53" s="65" t="n">
        <f aca="false">AK50-AL50</f>
        <v>0</v>
      </c>
      <c r="AM53" s="65" t="n">
        <f aca="false">AL50-AM50</f>
        <v>-92.8901760760514</v>
      </c>
      <c r="AN53" s="65" t="n">
        <f aca="false">AM50-AN50</f>
        <v>0</v>
      </c>
      <c r="AO53" s="65" t="n">
        <f aca="false">AN50-AO50</f>
        <v>0</v>
      </c>
      <c r="AP53" s="65" t="n">
        <f aca="false">AO50-AP50</f>
        <v>0</v>
      </c>
      <c r="AQ53" s="65" t="n">
        <f aca="false">AP50-AQ50</f>
        <v>0</v>
      </c>
      <c r="AR53" s="65" t="n">
        <f aca="false">AQ50-AR50</f>
        <v>0</v>
      </c>
      <c r="AS53" s="65" t="n">
        <f aca="false">AR50-AS50</f>
        <v>0</v>
      </c>
      <c r="AT53" s="65" t="n">
        <f aca="false">AS50-AT50</f>
        <v>0</v>
      </c>
      <c r="AU53" s="65" t="n">
        <f aca="false">AT50-AU50</f>
        <v>0</v>
      </c>
      <c r="AV53" s="65" t="n">
        <f aca="false">AU50-AV50</f>
        <v>0</v>
      </c>
      <c r="AW53" s="65" t="n">
        <f aca="false">AV50-AW50</f>
        <v>0</v>
      </c>
      <c r="AX53" s="65" t="n">
        <f aca="false">AW50-AX50</f>
        <v>0</v>
      </c>
      <c r="AY53" s="65" t="n">
        <f aca="false">AX50-AY50</f>
        <v>-97.5904189854996</v>
      </c>
      <c r="AZ53" s="65" t="n">
        <f aca="false">AY50-AZ50</f>
        <v>0</v>
      </c>
      <c r="BA53" s="65" t="n">
        <f aca="false">AZ50-BA50</f>
        <v>0</v>
      </c>
      <c r="BB53" s="65" t="n">
        <f aca="false">BA50-BB50</f>
        <v>0</v>
      </c>
      <c r="BC53" s="65" t="n">
        <f aca="false">BB50-BC50</f>
        <v>0</v>
      </c>
      <c r="BD53" s="65" t="n">
        <f aca="false">BC50-BD50</f>
        <v>0</v>
      </c>
      <c r="BE53" s="65" t="n">
        <f aca="false">BD50-BE50</f>
        <v>0</v>
      </c>
      <c r="BF53" s="65" t="n">
        <f aca="false">BE50-BF50</f>
        <v>0</v>
      </c>
      <c r="BG53" s="65" t="n">
        <f aca="false">BF50-BG50</f>
        <v>0</v>
      </c>
      <c r="BH53" s="65" t="n">
        <f aca="false">BG50-BH50</f>
        <v>0</v>
      </c>
      <c r="BI53" s="65" t="n">
        <f aca="false">BH50-BI50</f>
        <v>0</v>
      </c>
      <c r="BJ53" s="65" t="n">
        <f aca="false">BI50-BJ50</f>
        <v>0</v>
      </c>
    </row>
    <row r="54" customFormat="false" ht="15" hidden="false" customHeight="false" outlineLevel="0" collapsed="false">
      <c r="A54" s="6" t="s">
        <v>293</v>
      </c>
      <c r="C54" s="65" t="n">
        <f aca="false">C51</f>
        <v>1330.56</v>
      </c>
      <c r="D54" s="65" t="n">
        <f aca="false">D51-C51</f>
        <v>221.76</v>
      </c>
      <c r="E54" s="65" t="n">
        <f aca="false">E51-D51</f>
        <v>221.76</v>
      </c>
      <c r="F54" s="65" t="n">
        <f aca="false">F51-E51</f>
        <v>221.76</v>
      </c>
      <c r="G54" s="65" t="n">
        <f aca="false">G51-F51</f>
        <v>221.76</v>
      </c>
      <c r="H54" s="65" t="n">
        <f aca="false">H51-G51</f>
        <v>221.76</v>
      </c>
      <c r="I54" s="65" t="n">
        <f aca="false">I51-H51</f>
        <v>221.76</v>
      </c>
      <c r="J54" s="65" t="n">
        <f aca="false">J51-I51</f>
        <v>221.76</v>
      </c>
      <c r="K54" s="65" t="n">
        <f aca="false">K51-J51</f>
        <v>221.76</v>
      </c>
      <c r="L54" s="65" t="n">
        <f aca="false">L51-K51</f>
        <v>221.76</v>
      </c>
      <c r="M54" s="65" t="n">
        <f aca="false">M51-L51</f>
        <v>0</v>
      </c>
      <c r="N54" s="65" t="n">
        <f aca="false">N51-M51</f>
        <v>0</v>
      </c>
      <c r="O54" s="65" t="n">
        <f aca="false">O51-N51</f>
        <v>168.31584</v>
      </c>
      <c r="P54" s="65" t="n">
        <f aca="false">P51-O51</f>
        <v>0</v>
      </c>
      <c r="Q54" s="65" t="n">
        <f aca="false">Q51-P51</f>
        <v>0</v>
      </c>
      <c r="R54" s="65" t="n">
        <f aca="false">R51-Q51</f>
        <v>0</v>
      </c>
      <c r="S54" s="65" t="n">
        <f aca="false">S51-R51</f>
        <v>0</v>
      </c>
      <c r="T54" s="65" t="n">
        <f aca="false">T51-S51</f>
        <v>0</v>
      </c>
      <c r="U54" s="65" t="n">
        <f aca="false">U51-T51</f>
        <v>0</v>
      </c>
      <c r="V54" s="65" t="n">
        <f aca="false">V51-U51</f>
        <v>0</v>
      </c>
      <c r="W54" s="65" t="n">
        <f aca="false">W51-V51</f>
        <v>0</v>
      </c>
      <c r="X54" s="65" t="n">
        <f aca="false">X51-W51</f>
        <v>0</v>
      </c>
      <c r="Y54" s="65" t="n">
        <f aca="false">Y51-X51</f>
        <v>0</v>
      </c>
      <c r="Z54" s="65" t="n">
        <f aca="false">Z51-Y51</f>
        <v>0</v>
      </c>
      <c r="AA54" s="65" t="n">
        <f aca="false">AA51-Z51</f>
        <v>176.832621504</v>
      </c>
      <c r="AB54" s="65" t="n">
        <f aca="false">AB51-AA51</f>
        <v>0</v>
      </c>
      <c r="AC54" s="65" t="n">
        <f aca="false">AC51-AB51</f>
        <v>0</v>
      </c>
      <c r="AD54" s="65" t="n">
        <f aca="false">AD51-AC51</f>
        <v>0</v>
      </c>
      <c r="AE54" s="65" t="n">
        <f aca="false">AE51-AD51</f>
        <v>0</v>
      </c>
      <c r="AF54" s="65" t="n">
        <f aca="false">AF51-AE51</f>
        <v>0</v>
      </c>
      <c r="AG54" s="65" t="n">
        <f aca="false">AG51-AF51</f>
        <v>0</v>
      </c>
      <c r="AH54" s="65" t="n">
        <f aca="false">AH51-AG51</f>
        <v>0</v>
      </c>
      <c r="AI54" s="65" t="n">
        <f aca="false">AI51-AH51</f>
        <v>0</v>
      </c>
      <c r="AJ54" s="65" t="n">
        <f aca="false">AJ51-AI51</f>
        <v>0</v>
      </c>
      <c r="AK54" s="65" t="n">
        <f aca="false">AK51-AJ51</f>
        <v>0</v>
      </c>
      <c r="AL54" s="65" t="n">
        <f aca="false">AL51-AK51</f>
        <v>0</v>
      </c>
      <c r="AM54" s="65" t="n">
        <f aca="false">AM51-AL51</f>
        <v>185.780352152103</v>
      </c>
      <c r="AN54" s="65" t="n">
        <f aca="false">AN51-AM51</f>
        <v>0</v>
      </c>
      <c r="AO54" s="65" t="n">
        <f aca="false">AO51-AN51</f>
        <v>0</v>
      </c>
      <c r="AP54" s="65" t="n">
        <f aca="false">AP51-AO51</f>
        <v>0</v>
      </c>
      <c r="AQ54" s="65" t="n">
        <f aca="false">AQ51-AP51</f>
        <v>0</v>
      </c>
      <c r="AR54" s="65" t="n">
        <f aca="false">AR51-AQ51</f>
        <v>0</v>
      </c>
      <c r="AS54" s="65" t="n">
        <f aca="false">AS51-AR51</f>
        <v>0</v>
      </c>
      <c r="AT54" s="65" t="n">
        <f aca="false">AT51-AS51</f>
        <v>0</v>
      </c>
      <c r="AU54" s="65" t="n">
        <f aca="false">AU51-AT51</f>
        <v>0</v>
      </c>
      <c r="AV54" s="65" t="n">
        <f aca="false">AV51-AU51</f>
        <v>0</v>
      </c>
      <c r="AW54" s="65" t="n">
        <f aca="false">AW51-AV51</f>
        <v>0</v>
      </c>
      <c r="AX54" s="65" t="n">
        <f aca="false">AX51-AW51</f>
        <v>0</v>
      </c>
      <c r="AY54" s="65" t="n">
        <f aca="false">AY51-AX51</f>
        <v>195.180837970999</v>
      </c>
      <c r="AZ54" s="65" t="n">
        <f aca="false">AZ51-AY51</f>
        <v>0</v>
      </c>
      <c r="BA54" s="65" t="n">
        <f aca="false">BA51-AZ51</f>
        <v>0</v>
      </c>
      <c r="BB54" s="65" t="n">
        <f aca="false">BB51-BA51</f>
        <v>0</v>
      </c>
      <c r="BC54" s="65" t="n">
        <f aca="false">BC51-BB51</f>
        <v>0</v>
      </c>
      <c r="BD54" s="65" t="n">
        <f aca="false">BD51-BC51</f>
        <v>0</v>
      </c>
      <c r="BE54" s="65" t="n">
        <f aca="false">BE51-BD51</f>
        <v>0</v>
      </c>
      <c r="BF54" s="65" t="n">
        <f aca="false">BF51-BE51</f>
        <v>0</v>
      </c>
      <c r="BG54" s="65" t="n">
        <f aca="false">BG51-BF51</f>
        <v>0</v>
      </c>
      <c r="BH54" s="65" t="n">
        <f aca="false">BH51-BG51</f>
        <v>0</v>
      </c>
      <c r="BI54" s="65" t="n">
        <f aca="false">BI51-BH51</f>
        <v>0</v>
      </c>
      <c r="BJ54" s="65" t="n">
        <f aca="false">BJ51-BI51</f>
        <v>0</v>
      </c>
    </row>
    <row r="56" customFormat="false" ht="15.75" hidden="false" customHeight="true" outlineLevel="0" collapsed="false">
      <c r="A56" s="7" t="s">
        <v>374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4" t="s">
        <v>52</v>
      </c>
      <c r="C57" s="71" t="n">
        <f aca="false">C33-C38+C52+C53+C54</f>
        <v>-10744.0533333333</v>
      </c>
      <c r="D57" s="71" t="n">
        <f aca="false">D33-D38+D52+D53+D54</f>
        <v>-10062.0088888889</v>
      </c>
      <c r="E57" s="71" t="n">
        <f aca="false">E33-E38+E52+E53+E54</f>
        <v>-9261.12</v>
      </c>
      <c r="F57" s="71" t="n">
        <f aca="false">F33-F38+F52+F53+F54</f>
        <v>-8460.23111111111</v>
      </c>
      <c r="G57" s="71" t="n">
        <f aca="false">G33-G38+G52+G53+G54</f>
        <v>-7659.34222222222</v>
      </c>
      <c r="H57" s="71" t="n">
        <f aca="false">H33-H38+H52+H53+H54</f>
        <v>-6858.45333333334</v>
      </c>
      <c r="I57" s="71" t="n">
        <f aca="false">I33-I38+I52+I53+I54</f>
        <v>-6057.56444444445</v>
      </c>
      <c r="J57" s="71" t="n">
        <f aca="false">J33-J38+J52+J53+J54</f>
        <v>-5256.67555555556</v>
      </c>
      <c r="K57" s="71" t="n">
        <f aca="false">K33-K38+K52+K53+K54</f>
        <v>-4455.78666666667</v>
      </c>
      <c r="L57" s="71" t="n">
        <f aca="false">L33-L38+L52+L53+L54</f>
        <v>-3654.89777777778</v>
      </c>
      <c r="M57" s="71" t="n">
        <f aca="false">M33-M38+M52+M53+M54</f>
        <v>-3668.88888888889</v>
      </c>
      <c r="N57" s="71" t="n">
        <f aca="false">N33-N38+N52+N53+N54</f>
        <v>-3660</v>
      </c>
      <c r="O57" s="71" t="n">
        <f aca="false">O33-O38+O52+O53+O54</f>
        <v>-3284.61719111111</v>
      </c>
      <c r="P57" s="71" t="n">
        <f aca="false">P33-P38+P52+P53+P54</f>
        <v>-3293.09422222222</v>
      </c>
      <c r="Q57" s="71" t="n">
        <f aca="false">Q33-Q38+Q52+Q53+Q54</f>
        <v>-3284.20533333333</v>
      </c>
      <c r="R57" s="71" t="n">
        <f aca="false">R33-R38+R52+R53+R54</f>
        <v>-3275.31644444444</v>
      </c>
      <c r="S57" s="71" t="n">
        <f aca="false">S33-S38+S52+S53+S54</f>
        <v>-3266.42755555556</v>
      </c>
      <c r="T57" s="71" t="n">
        <f aca="false">T33-T38+T52+T53+T54</f>
        <v>-3257.53866666667</v>
      </c>
      <c r="U57" s="71" t="n">
        <f aca="false">U33-U38+U52+U53+U54</f>
        <v>-3248.64977777778</v>
      </c>
      <c r="V57" s="71" t="n">
        <f aca="false">V33-V38+V52+V53+V54</f>
        <v>-3239.76088888889</v>
      </c>
      <c r="W57" s="71" t="n">
        <f aca="false">W33-W38+W52+W53+W54</f>
        <v>-3230.872</v>
      </c>
      <c r="X57" s="71" t="n">
        <f aca="false">X33-X38+X52+X53+X54</f>
        <v>-3221.98311111111</v>
      </c>
      <c r="Y57" s="71" t="n">
        <f aca="false">Y33-Y38+Y52+Y53+Y54</f>
        <v>-3213.09422222222</v>
      </c>
      <c r="Z57" s="71" t="n">
        <f aca="false">Z33-Z38+Z52+Z53+Z54</f>
        <v>-3204.20533333333</v>
      </c>
      <c r="AA57" s="71" t="n">
        <f aca="false">AA33-AA38+AA52+AA53+AA54</f>
        <v>-2805.08673209245</v>
      </c>
      <c r="AB57" s="71" t="n">
        <f aca="false">AB33-AB38+AB52+AB53+AB54</f>
        <v>-2814.44247875556</v>
      </c>
      <c r="AC57" s="71" t="n">
        <f aca="false">AC33-AC38+AC52+AC53+AC54</f>
        <v>-2805.55358986667</v>
      </c>
      <c r="AD57" s="71" t="n">
        <f aca="false">AD33-AD38+AD52+AD53+AD54</f>
        <v>-2796.66470097778</v>
      </c>
      <c r="AE57" s="71" t="n">
        <f aca="false">AE33-AE38+AE52+AE53+AE54</f>
        <v>-2787.77581208889</v>
      </c>
      <c r="AF57" s="71" t="n">
        <f aca="false">AF33-AF38+AF52+AF53+AF54</f>
        <v>-2778.8869232</v>
      </c>
      <c r="AG57" s="71" t="n">
        <f aca="false">AG33-AG38+AG52+AG53+AG54</f>
        <v>-2769.99803431111</v>
      </c>
      <c r="AH57" s="71" t="n">
        <f aca="false">AH33-AH38+AH52+AH53+AH54</f>
        <v>-2761.10914542222</v>
      </c>
      <c r="AI57" s="71" t="n">
        <f aca="false">AI33-AI38+AI52+AI53+AI54</f>
        <v>-2752.22025653334</v>
      </c>
      <c r="AJ57" s="71" t="n">
        <f aca="false">AJ33-AJ38+AJ52+AJ53+AJ54</f>
        <v>-2743.33136764445</v>
      </c>
      <c r="AK57" s="71" t="n">
        <f aca="false">AK33-AK38+AK52+AK53+AK54</f>
        <v>-2734.44247875556</v>
      </c>
      <c r="AL57" s="71" t="n">
        <f aca="false">AL33-AL38+AL52+AL53+AL54</f>
        <v>-2725.55358986667</v>
      </c>
      <c r="AM57" s="71" t="n">
        <f aca="false">AM33-AM38+AM52+AM53+AM54</f>
        <v>-2301.34242918077</v>
      </c>
      <c r="AN57" s="71" t="n">
        <f aca="false">AN33-AN38+AN52+AN53+AN54</f>
        <v>-2311.62135440281</v>
      </c>
      <c r="AO57" s="71" t="n">
        <f aca="false">AO33-AO38+AO52+AO53+AO54</f>
        <v>-2302.73246551392</v>
      </c>
      <c r="AP57" s="71" t="n">
        <f aca="false">AP33-AP38+AP52+AP53+AP54</f>
        <v>-2293.84357662503</v>
      </c>
      <c r="AQ57" s="71" t="n">
        <f aca="false">AQ33-AQ38+AQ52+AQ53+AQ54</f>
        <v>-2284.95468773615</v>
      </c>
      <c r="AR57" s="71" t="n">
        <f aca="false">AR33-AR38+AR52+AR53+AR54</f>
        <v>-2276.06579884726</v>
      </c>
      <c r="AS57" s="71" t="n">
        <f aca="false">AS33-AS38+AS52+AS53+AS54</f>
        <v>-2267.17690995837</v>
      </c>
      <c r="AT57" s="71" t="n">
        <f aca="false">AT33-AT38+AT52+AT53+AT54</f>
        <v>-2258.28802106948</v>
      </c>
      <c r="AU57" s="71" t="n">
        <f aca="false">AU33-AU38+AU52+AU53+AU54</f>
        <v>-2249.39913218059</v>
      </c>
      <c r="AV57" s="71" t="n">
        <f aca="false">AV33-AV38+AV52+AV53+AV54</f>
        <v>-2240.5102432917</v>
      </c>
      <c r="AW57" s="71" t="n">
        <f aca="false">AW33-AW38+AW52+AW53+AW54</f>
        <v>-2231.62135440281</v>
      </c>
      <c r="AX57" s="71" t="n">
        <f aca="false">AX33-AX38+AX52+AX53+AX54</f>
        <v>-2222.73246551392</v>
      </c>
      <c r="AY57" s="71" t="n">
        <f aca="false">AY33-AY38+AY52+AY53+AY54</f>
        <v>-1771.99865379509</v>
      </c>
      <c r="AZ57" s="71" t="n">
        <f aca="false">AZ33-AZ38+AZ52+AZ53+AZ54</f>
        <v>-1783.24747041115</v>
      </c>
      <c r="BA57" s="71" t="n">
        <f aca="false">BA33-BA38+BA52+BA53+BA54</f>
        <v>-1774.35858152226</v>
      </c>
      <c r="BB57" s="71" t="n">
        <f aca="false">BB33-BB38+BB52+BB53+BB54</f>
        <v>-1765.46969263337</v>
      </c>
      <c r="BC57" s="71" t="n">
        <f aca="false">BC33-BC38+BC52+BC53+BC54</f>
        <v>-1756.58080374448</v>
      </c>
      <c r="BD57" s="71" t="n">
        <f aca="false">BD33-BD38+BD52+BD53+BD54</f>
        <v>-1747.69191485559</v>
      </c>
      <c r="BE57" s="71" t="n">
        <f aca="false">BE33-BE38+BE52+BE53+BE54</f>
        <v>-1738.8030259667</v>
      </c>
      <c r="BF57" s="71" t="n">
        <f aca="false">BF33-BF38+BF52+BF53+BF54</f>
        <v>-1729.91413707781</v>
      </c>
      <c r="BG57" s="71" t="n">
        <f aca="false">BG33-BG38+BG52+BG53+BG54</f>
        <v>-1721.02524818892</v>
      </c>
      <c r="BH57" s="71" t="n">
        <f aca="false">BH33-BH38+BH52+BH53+BH54</f>
        <v>-1712.13635930004</v>
      </c>
      <c r="BI57" s="71" t="n">
        <f aca="false">BI33-BI38+BI52+BI53+BI54</f>
        <v>-1703.24747041115</v>
      </c>
      <c r="BJ57" s="71" t="n">
        <f aca="false">BJ33-BJ38+BJ52+BJ53+BJ54</f>
        <v>-1694.35858152226</v>
      </c>
    </row>
    <row r="58" customFormat="false" ht="15" hidden="false" customHeight="false" outlineLevel="0" collapsed="false">
      <c r="A58" s="6" t="s">
        <v>375</v>
      </c>
      <c r="C58" s="65" t="n">
        <f aca="false">-C36</f>
        <v>-180000</v>
      </c>
      <c r="D58" s="65" t="n">
        <f aca="false">-D36</f>
        <v>-0</v>
      </c>
      <c r="E58" s="65" t="n">
        <f aca="false">-E36</f>
        <v>-0</v>
      </c>
      <c r="F58" s="65" t="n">
        <f aca="false">-F36</f>
        <v>-0</v>
      </c>
      <c r="G58" s="65" t="n">
        <f aca="false">-G36</f>
        <v>-0</v>
      </c>
      <c r="H58" s="65" t="n">
        <f aca="false">-H36</f>
        <v>-0</v>
      </c>
      <c r="I58" s="65" t="n">
        <f aca="false">-I36</f>
        <v>-0</v>
      </c>
      <c r="J58" s="65" t="n">
        <f aca="false">-J36</f>
        <v>-0</v>
      </c>
      <c r="K58" s="65" t="n">
        <f aca="false">-K36</f>
        <v>-0</v>
      </c>
      <c r="L58" s="65" t="n">
        <f aca="false">-L36</f>
        <v>-0</v>
      </c>
      <c r="M58" s="65" t="n">
        <f aca="false">-M36</f>
        <v>-0</v>
      </c>
      <c r="N58" s="65" t="n">
        <f aca="false">-N36</f>
        <v>-0</v>
      </c>
      <c r="O58" s="65" t="n">
        <f aca="false">-O36</f>
        <v>-0</v>
      </c>
      <c r="P58" s="65" t="n">
        <f aca="false">-P36</f>
        <v>-0</v>
      </c>
      <c r="Q58" s="65" t="n">
        <f aca="false">-Q36</f>
        <v>-0</v>
      </c>
      <c r="R58" s="65" t="n">
        <f aca="false">-R36</f>
        <v>-0</v>
      </c>
      <c r="S58" s="65" t="n">
        <f aca="false">-S36</f>
        <v>-0</v>
      </c>
      <c r="T58" s="65" t="n">
        <f aca="false">-T36</f>
        <v>-0</v>
      </c>
      <c r="U58" s="65" t="n">
        <f aca="false">-U36</f>
        <v>-0</v>
      </c>
      <c r="V58" s="65" t="n">
        <f aca="false">-V36</f>
        <v>-0</v>
      </c>
      <c r="W58" s="65" t="n">
        <f aca="false">-W36</f>
        <v>-0</v>
      </c>
      <c r="X58" s="65" t="n">
        <f aca="false">-X36</f>
        <v>-0</v>
      </c>
      <c r="Y58" s="65" t="n">
        <f aca="false">-Y36</f>
        <v>-0</v>
      </c>
      <c r="Z58" s="65" t="n">
        <f aca="false">-Z36</f>
        <v>-0</v>
      </c>
      <c r="AA58" s="65" t="n">
        <f aca="false">-AA36</f>
        <v>-0</v>
      </c>
      <c r="AB58" s="65" t="n">
        <f aca="false">-AB36</f>
        <v>-0</v>
      </c>
      <c r="AC58" s="65" t="n">
        <f aca="false">-AC36</f>
        <v>-0</v>
      </c>
      <c r="AD58" s="65" t="n">
        <f aca="false">-AD36</f>
        <v>-0</v>
      </c>
      <c r="AE58" s="65" t="n">
        <f aca="false">-AE36</f>
        <v>-0</v>
      </c>
      <c r="AF58" s="65" t="n">
        <f aca="false">-AF36</f>
        <v>-0</v>
      </c>
      <c r="AG58" s="65" t="n">
        <f aca="false">-AG36</f>
        <v>-0</v>
      </c>
      <c r="AH58" s="65" t="n">
        <f aca="false">-AH36</f>
        <v>-0</v>
      </c>
      <c r="AI58" s="65" t="n">
        <f aca="false">-AI36</f>
        <v>-0</v>
      </c>
      <c r="AJ58" s="65" t="n">
        <f aca="false">-AJ36</f>
        <v>-0</v>
      </c>
      <c r="AK58" s="65" t="n">
        <f aca="false">-AK36</f>
        <v>-0</v>
      </c>
      <c r="AL58" s="65" t="n">
        <f aca="false">-AL36</f>
        <v>-0</v>
      </c>
      <c r="AM58" s="65" t="n">
        <f aca="false">-AM36</f>
        <v>-0</v>
      </c>
      <c r="AN58" s="65" t="n">
        <f aca="false">-AN36</f>
        <v>-0</v>
      </c>
      <c r="AO58" s="65" t="n">
        <f aca="false">-AO36</f>
        <v>-0</v>
      </c>
      <c r="AP58" s="65" t="n">
        <f aca="false">-AP36</f>
        <v>-0</v>
      </c>
      <c r="AQ58" s="65" t="n">
        <f aca="false">-AQ36</f>
        <v>-0</v>
      </c>
      <c r="AR58" s="65" t="n">
        <f aca="false">-AR36</f>
        <v>-0</v>
      </c>
      <c r="AS58" s="65" t="n">
        <f aca="false">-AS36</f>
        <v>-0</v>
      </c>
      <c r="AT58" s="65" t="n">
        <f aca="false">-AT36</f>
        <v>-0</v>
      </c>
      <c r="AU58" s="65" t="n">
        <f aca="false">-AU36</f>
        <v>-0</v>
      </c>
      <c r="AV58" s="65" t="n">
        <f aca="false">-AV36</f>
        <v>-0</v>
      </c>
      <c r="AW58" s="65" t="n">
        <f aca="false">-AW36</f>
        <v>-0</v>
      </c>
      <c r="AX58" s="65" t="n">
        <f aca="false">-AX36</f>
        <v>-0</v>
      </c>
      <c r="AY58" s="65" t="n">
        <f aca="false">-AY36</f>
        <v>-0</v>
      </c>
      <c r="AZ58" s="65" t="n">
        <f aca="false">-AZ36</f>
        <v>-0</v>
      </c>
      <c r="BA58" s="65" t="n">
        <f aca="false">-BA36</f>
        <v>-0</v>
      </c>
      <c r="BB58" s="65" t="n">
        <f aca="false">-BB36</f>
        <v>-0</v>
      </c>
      <c r="BC58" s="65" t="n">
        <f aca="false">-BC36</f>
        <v>-0</v>
      </c>
      <c r="BD58" s="65" t="n">
        <f aca="false">-BD36</f>
        <v>-0</v>
      </c>
      <c r="BE58" s="65" t="n">
        <f aca="false">-BE36</f>
        <v>-0</v>
      </c>
      <c r="BF58" s="65" t="n">
        <f aca="false">-BF36</f>
        <v>-0</v>
      </c>
      <c r="BG58" s="65" t="n">
        <f aca="false">-BG36</f>
        <v>-0</v>
      </c>
      <c r="BH58" s="65" t="n">
        <f aca="false">-BH36</f>
        <v>-0</v>
      </c>
      <c r="BI58" s="65" t="n">
        <f aca="false">-BI36</f>
        <v>-0</v>
      </c>
      <c r="BJ58" s="65" t="n">
        <f aca="false">-BJ36</f>
        <v>-0</v>
      </c>
    </row>
    <row r="59" customFormat="false" ht="15" hidden="false" customHeight="false" outlineLevel="0" collapsed="false">
      <c r="A59" s="6" t="s">
        <v>62</v>
      </c>
      <c r="C59" s="65" t="n">
        <f aca="false">IF(C$6=1,Inputs!$B$29,0)</f>
        <v>140000</v>
      </c>
      <c r="D59" s="65" t="n">
        <f aca="false">IF(D$6=1,Inputs!$B$29,0)</f>
        <v>0</v>
      </c>
      <c r="E59" s="65" t="n">
        <f aca="false">IF(E$6=1,Inputs!$B$29,0)</f>
        <v>0</v>
      </c>
      <c r="F59" s="65" t="n">
        <f aca="false">IF(F$6=1,Inputs!$B$29,0)</f>
        <v>0</v>
      </c>
      <c r="G59" s="65" t="n">
        <f aca="false">IF(G$6=1,Inputs!$B$29,0)</f>
        <v>0</v>
      </c>
      <c r="H59" s="65" t="n">
        <f aca="false">IF(H$6=1,Inputs!$B$29,0)</f>
        <v>0</v>
      </c>
      <c r="I59" s="65" t="n">
        <f aca="false">IF(I$6=1,Inputs!$B$29,0)</f>
        <v>0</v>
      </c>
      <c r="J59" s="65" t="n">
        <f aca="false">IF(J$6=1,Inputs!$B$29,0)</f>
        <v>0</v>
      </c>
      <c r="K59" s="65" t="n">
        <f aca="false">IF(K$6=1,Inputs!$B$29,0)</f>
        <v>0</v>
      </c>
      <c r="L59" s="65" t="n">
        <f aca="false">IF(L$6=1,Inputs!$B$29,0)</f>
        <v>0</v>
      </c>
      <c r="M59" s="65" t="n">
        <f aca="false">IF(M$6=1,Inputs!$B$29,0)</f>
        <v>0</v>
      </c>
      <c r="N59" s="65" t="n">
        <f aca="false">IF(N$6=1,Inputs!$B$29,0)</f>
        <v>0</v>
      </c>
      <c r="O59" s="65" t="n">
        <f aca="false">IF(O$6=1,Inputs!$B$29,0)</f>
        <v>0</v>
      </c>
      <c r="P59" s="65" t="n">
        <f aca="false">IF(P$6=1,Inputs!$B$29,0)</f>
        <v>0</v>
      </c>
      <c r="Q59" s="65" t="n">
        <f aca="false">IF(Q$6=1,Inputs!$B$29,0)</f>
        <v>0</v>
      </c>
      <c r="R59" s="65" t="n">
        <f aca="false">IF(R$6=1,Inputs!$B$29,0)</f>
        <v>0</v>
      </c>
      <c r="S59" s="65" t="n">
        <f aca="false">IF(S$6=1,Inputs!$B$29,0)</f>
        <v>0</v>
      </c>
      <c r="T59" s="65" t="n">
        <f aca="false">IF(T$6=1,Inputs!$B$29,0)</f>
        <v>0</v>
      </c>
      <c r="U59" s="65" t="n">
        <f aca="false">IF(U$6=1,Inputs!$B$29,0)</f>
        <v>0</v>
      </c>
      <c r="V59" s="65" t="n">
        <f aca="false">IF(V$6=1,Inputs!$B$29,0)</f>
        <v>0</v>
      </c>
      <c r="W59" s="65" t="n">
        <f aca="false">IF(W$6=1,Inputs!$B$29,0)</f>
        <v>0</v>
      </c>
      <c r="X59" s="65" t="n">
        <f aca="false">IF(X$6=1,Inputs!$B$29,0)</f>
        <v>0</v>
      </c>
      <c r="Y59" s="65" t="n">
        <f aca="false">IF(Y$6=1,Inputs!$B$29,0)</f>
        <v>0</v>
      </c>
      <c r="Z59" s="65" t="n">
        <f aca="false">IF(Z$6=1,Inputs!$B$29,0)</f>
        <v>0</v>
      </c>
      <c r="AA59" s="65" t="n">
        <f aca="false">IF(AA$6=1,Inputs!$B$29,0)</f>
        <v>0</v>
      </c>
      <c r="AB59" s="65" t="n">
        <f aca="false">IF(AB$6=1,Inputs!$B$29,0)</f>
        <v>0</v>
      </c>
      <c r="AC59" s="65" t="n">
        <f aca="false">IF(AC$6=1,Inputs!$B$29,0)</f>
        <v>0</v>
      </c>
      <c r="AD59" s="65" t="n">
        <f aca="false">IF(AD$6=1,Inputs!$B$29,0)</f>
        <v>0</v>
      </c>
      <c r="AE59" s="65" t="n">
        <f aca="false">IF(AE$6=1,Inputs!$B$29,0)</f>
        <v>0</v>
      </c>
      <c r="AF59" s="65" t="n">
        <f aca="false">IF(AF$6=1,Inputs!$B$29,0)</f>
        <v>0</v>
      </c>
      <c r="AG59" s="65" t="n">
        <f aca="false">IF(AG$6=1,Inputs!$B$29,0)</f>
        <v>0</v>
      </c>
      <c r="AH59" s="65" t="n">
        <f aca="false">IF(AH$6=1,Inputs!$B$29,0)</f>
        <v>0</v>
      </c>
      <c r="AI59" s="65" t="n">
        <f aca="false">IF(AI$6=1,Inputs!$B$29,0)</f>
        <v>0</v>
      </c>
      <c r="AJ59" s="65" t="n">
        <f aca="false">IF(AJ$6=1,Inputs!$B$29,0)</f>
        <v>0</v>
      </c>
      <c r="AK59" s="65" t="n">
        <f aca="false">IF(AK$6=1,Inputs!$B$29,0)</f>
        <v>0</v>
      </c>
      <c r="AL59" s="65" t="n">
        <f aca="false">IF(AL$6=1,Inputs!$B$29,0)</f>
        <v>0</v>
      </c>
      <c r="AM59" s="65" t="n">
        <f aca="false">IF(AM$6=1,Inputs!$B$29,0)</f>
        <v>0</v>
      </c>
      <c r="AN59" s="65" t="n">
        <f aca="false">IF(AN$6=1,Inputs!$B$29,0)</f>
        <v>0</v>
      </c>
      <c r="AO59" s="65" t="n">
        <f aca="false">IF(AO$6=1,Inputs!$B$29,0)</f>
        <v>0</v>
      </c>
      <c r="AP59" s="65" t="n">
        <f aca="false">IF(AP$6=1,Inputs!$B$29,0)</f>
        <v>0</v>
      </c>
      <c r="AQ59" s="65" t="n">
        <f aca="false">IF(AQ$6=1,Inputs!$B$29,0)</f>
        <v>0</v>
      </c>
      <c r="AR59" s="65" t="n">
        <f aca="false">IF(AR$6=1,Inputs!$B$29,0)</f>
        <v>0</v>
      </c>
      <c r="AS59" s="65" t="n">
        <f aca="false">IF(AS$6=1,Inputs!$B$29,0)</f>
        <v>0</v>
      </c>
      <c r="AT59" s="65" t="n">
        <f aca="false">IF(AT$6=1,Inputs!$B$29,0)</f>
        <v>0</v>
      </c>
      <c r="AU59" s="65" t="n">
        <f aca="false">IF(AU$6=1,Inputs!$B$29,0)</f>
        <v>0</v>
      </c>
      <c r="AV59" s="65" t="n">
        <f aca="false">IF(AV$6=1,Inputs!$B$29,0)</f>
        <v>0</v>
      </c>
      <c r="AW59" s="65" t="n">
        <f aca="false">IF(AW$6=1,Inputs!$B$29,0)</f>
        <v>0</v>
      </c>
      <c r="AX59" s="65" t="n">
        <f aca="false">IF(AX$6=1,Inputs!$B$29,0)</f>
        <v>0</v>
      </c>
      <c r="AY59" s="65" t="n">
        <f aca="false">IF(AY$6=1,Inputs!$B$29,0)</f>
        <v>0</v>
      </c>
      <c r="AZ59" s="65" t="n">
        <f aca="false">IF(AZ$6=1,Inputs!$B$29,0)</f>
        <v>0</v>
      </c>
      <c r="BA59" s="65" t="n">
        <f aca="false">IF(BA$6=1,Inputs!$B$29,0)</f>
        <v>0</v>
      </c>
      <c r="BB59" s="65" t="n">
        <f aca="false">IF(BB$6=1,Inputs!$B$29,0)</f>
        <v>0</v>
      </c>
      <c r="BC59" s="65" t="n">
        <f aca="false">IF(BC$6=1,Inputs!$B$29,0)</f>
        <v>0</v>
      </c>
      <c r="BD59" s="65" t="n">
        <f aca="false">IF(BD$6=1,Inputs!$B$29,0)</f>
        <v>0</v>
      </c>
      <c r="BE59" s="65" t="n">
        <f aca="false">IF(BE$6=1,Inputs!$B$29,0)</f>
        <v>0</v>
      </c>
      <c r="BF59" s="65" t="n">
        <f aca="false">IF(BF$6=1,Inputs!$B$29,0)</f>
        <v>0</v>
      </c>
      <c r="BG59" s="65" t="n">
        <f aca="false">IF(BG$6=1,Inputs!$B$29,0)</f>
        <v>0</v>
      </c>
      <c r="BH59" s="65" t="n">
        <f aca="false">IF(BH$6=1,Inputs!$B$29,0)</f>
        <v>0</v>
      </c>
      <c r="BI59" s="65" t="n">
        <f aca="false">IF(BI$6=1,Inputs!$B$29,0)</f>
        <v>0</v>
      </c>
      <c r="BJ59" s="65" t="n">
        <f aca="false">IF(BJ$6=1,Inputs!$B$29,0)</f>
        <v>0</v>
      </c>
    </row>
    <row r="60" customFormat="false" ht="15" hidden="false" customHeight="false" outlineLevel="0" collapsed="false">
      <c r="A60" s="6" t="s">
        <v>54</v>
      </c>
      <c r="C60" s="65" t="n">
        <f aca="false">C59+C44+C45</f>
        <v>220000</v>
      </c>
      <c r="D60" s="65" t="n">
        <f aca="false">D59+D44+D45</f>
        <v>-1333.33333333333</v>
      </c>
      <c r="E60" s="65" t="n">
        <f aca="false">E59+E44+E45</f>
        <v>-1333.33333333333</v>
      </c>
      <c r="F60" s="65" t="n">
        <f aca="false">F59+F44+F45</f>
        <v>-1333.33333333333</v>
      </c>
      <c r="G60" s="65" t="n">
        <f aca="false">G59+G44+G45</f>
        <v>-1333.33333333333</v>
      </c>
      <c r="H60" s="65" t="n">
        <f aca="false">H59+H44+H45</f>
        <v>-1333.33333333333</v>
      </c>
      <c r="I60" s="65" t="n">
        <f aca="false">I59+I44+I45</f>
        <v>-1333.33333333333</v>
      </c>
      <c r="J60" s="65" t="n">
        <f aca="false">J59+J44+J45</f>
        <v>-1333.33333333333</v>
      </c>
      <c r="K60" s="65" t="n">
        <f aca="false">K59+K44+K45</f>
        <v>-1333.33333333333</v>
      </c>
      <c r="L60" s="65" t="n">
        <f aca="false">L59+L44+L45</f>
        <v>-1333.33333333333</v>
      </c>
      <c r="M60" s="65" t="n">
        <f aca="false">M59+M44+M45</f>
        <v>-1333.33333333333</v>
      </c>
      <c r="N60" s="65" t="n">
        <f aca="false">N59+N44+N45</f>
        <v>-1333.33333333333</v>
      </c>
      <c r="O60" s="65" t="n">
        <f aca="false">O59+O44+O45</f>
        <v>-1333.33333333333</v>
      </c>
      <c r="P60" s="65" t="n">
        <f aca="false">P59+P44+P45</f>
        <v>-1333.33333333333</v>
      </c>
      <c r="Q60" s="65" t="n">
        <f aca="false">Q59+Q44+Q45</f>
        <v>-1333.33333333333</v>
      </c>
      <c r="R60" s="65" t="n">
        <f aca="false">R59+R44+R45</f>
        <v>-1333.33333333333</v>
      </c>
      <c r="S60" s="65" t="n">
        <f aca="false">S59+S44+S45</f>
        <v>-1333.33333333333</v>
      </c>
      <c r="T60" s="65" t="n">
        <f aca="false">T59+T44+T45</f>
        <v>-1333.33333333333</v>
      </c>
      <c r="U60" s="65" t="n">
        <f aca="false">U59+U44+U45</f>
        <v>-1333.33333333333</v>
      </c>
      <c r="V60" s="65" t="n">
        <f aca="false">V59+V44+V45</f>
        <v>-1333.33333333333</v>
      </c>
      <c r="W60" s="65" t="n">
        <f aca="false">W59+W44+W45</f>
        <v>-1333.33333333333</v>
      </c>
      <c r="X60" s="65" t="n">
        <f aca="false">X59+X44+X45</f>
        <v>-1333.33333333333</v>
      </c>
      <c r="Y60" s="65" t="n">
        <f aca="false">Y59+Y44+Y45</f>
        <v>-1333.33333333333</v>
      </c>
      <c r="Z60" s="65" t="n">
        <f aca="false">Z59+Z44+Z45</f>
        <v>-1333.33333333333</v>
      </c>
      <c r="AA60" s="65" t="n">
        <f aca="false">AA59+AA44+AA45</f>
        <v>-1333.33333333333</v>
      </c>
      <c r="AB60" s="65" t="n">
        <f aca="false">AB59+AB44+AB45</f>
        <v>-1333.33333333333</v>
      </c>
      <c r="AC60" s="65" t="n">
        <f aca="false">AC59+AC44+AC45</f>
        <v>-1333.33333333333</v>
      </c>
      <c r="AD60" s="65" t="n">
        <f aca="false">AD59+AD44+AD45</f>
        <v>-1333.33333333333</v>
      </c>
      <c r="AE60" s="65" t="n">
        <f aca="false">AE59+AE44+AE45</f>
        <v>-1333.33333333333</v>
      </c>
      <c r="AF60" s="65" t="n">
        <f aca="false">AF59+AF44+AF45</f>
        <v>-1333.33333333333</v>
      </c>
      <c r="AG60" s="65" t="n">
        <f aca="false">AG59+AG44+AG45</f>
        <v>-1333.33333333333</v>
      </c>
      <c r="AH60" s="65" t="n">
        <f aca="false">AH59+AH44+AH45</f>
        <v>-1333.33333333333</v>
      </c>
      <c r="AI60" s="65" t="n">
        <f aca="false">AI59+AI44+AI45</f>
        <v>-1333.33333333333</v>
      </c>
      <c r="AJ60" s="65" t="n">
        <f aca="false">AJ59+AJ44+AJ45</f>
        <v>-1333.33333333333</v>
      </c>
      <c r="AK60" s="65" t="n">
        <f aca="false">AK59+AK44+AK45</f>
        <v>-1333.33333333333</v>
      </c>
      <c r="AL60" s="65" t="n">
        <f aca="false">AL59+AL44+AL45</f>
        <v>-1333.33333333333</v>
      </c>
      <c r="AM60" s="65" t="n">
        <f aca="false">AM59+AM44+AM45</f>
        <v>-1333.33333333333</v>
      </c>
      <c r="AN60" s="65" t="n">
        <f aca="false">AN59+AN44+AN45</f>
        <v>-1333.33333333333</v>
      </c>
      <c r="AO60" s="65" t="n">
        <f aca="false">AO59+AO44+AO45</f>
        <v>-1333.33333333333</v>
      </c>
      <c r="AP60" s="65" t="n">
        <f aca="false">AP59+AP44+AP45</f>
        <v>-1333.33333333333</v>
      </c>
      <c r="AQ60" s="65" t="n">
        <f aca="false">AQ59+AQ44+AQ45</f>
        <v>-1333.33333333333</v>
      </c>
      <c r="AR60" s="65" t="n">
        <f aca="false">AR59+AR44+AR45</f>
        <v>-1333.33333333333</v>
      </c>
      <c r="AS60" s="65" t="n">
        <f aca="false">AS59+AS44+AS45</f>
        <v>-1333.33333333333</v>
      </c>
      <c r="AT60" s="65" t="n">
        <f aca="false">AT59+AT44+AT45</f>
        <v>-1333.33333333333</v>
      </c>
      <c r="AU60" s="65" t="n">
        <f aca="false">AU59+AU44+AU45</f>
        <v>-1333.33333333333</v>
      </c>
      <c r="AV60" s="65" t="n">
        <f aca="false">AV59+AV44+AV45</f>
        <v>-1333.33333333333</v>
      </c>
      <c r="AW60" s="65" t="n">
        <f aca="false">AW59+AW44+AW45</f>
        <v>-1333.33333333333</v>
      </c>
      <c r="AX60" s="65" t="n">
        <f aca="false">AX59+AX44+AX45</f>
        <v>-1333.33333333333</v>
      </c>
      <c r="AY60" s="65" t="n">
        <f aca="false">AY59+AY44+AY45</f>
        <v>-1333.33333333333</v>
      </c>
      <c r="AZ60" s="65" t="n">
        <f aca="false">AZ59+AZ44+AZ45</f>
        <v>-1333.33333333333</v>
      </c>
      <c r="BA60" s="65" t="n">
        <f aca="false">BA59+BA44+BA45</f>
        <v>-1333.33333333333</v>
      </c>
      <c r="BB60" s="65" t="n">
        <f aca="false">BB59+BB44+BB45</f>
        <v>-1333.33333333333</v>
      </c>
      <c r="BC60" s="65" t="n">
        <f aca="false">BC59+BC44+BC45</f>
        <v>-1333.33333333333</v>
      </c>
      <c r="BD60" s="65" t="n">
        <f aca="false">BD59+BD44+BD45</f>
        <v>-1333.33333333333</v>
      </c>
      <c r="BE60" s="65" t="n">
        <f aca="false">BE59+BE44+BE45</f>
        <v>-1333.33333333333</v>
      </c>
      <c r="BF60" s="65" t="n">
        <f aca="false">BF59+BF44+BF45</f>
        <v>-1333.33333333333</v>
      </c>
      <c r="BG60" s="65" t="n">
        <f aca="false">BG59+BG44+BG45</f>
        <v>-1333.33333333333</v>
      </c>
      <c r="BH60" s="65" t="n">
        <f aca="false">BH59+BH44+BH45</f>
        <v>-1333.33333333333</v>
      </c>
      <c r="BI60" s="65" t="n">
        <f aca="false">BI59+BI44+BI45</f>
        <v>-1333.33333333333</v>
      </c>
      <c r="BJ60" s="65" t="n">
        <f aca="false">BJ59+BJ44+BJ45</f>
        <v>-1333.33333333333</v>
      </c>
    </row>
    <row r="61" customFormat="false" ht="15" hidden="false" customHeight="false" outlineLevel="0" collapsed="false">
      <c r="A61" s="108" t="s">
        <v>376</v>
      </c>
      <c r="C61" s="66" t="n">
        <f aca="false">C57+C58+C60</f>
        <v>29255.9466666667</v>
      </c>
      <c r="D61" s="66" t="n">
        <f aca="false">D57+D58+D60</f>
        <v>-11395.3422222222</v>
      </c>
      <c r="E61" s="66" t="n">
        <f aca="false">E57+E58+E60</f>
        <v>-10594.4533333333</v>
      </c>
      <c r="F61" s="66" t="n">
        <f aca="false">F57+F58+F60</f>
        <v>-9793.56444444444</v>
      </c>
      <c r="G61" s="66" t="n">
        <f aca="false">G57+G58+G60</f>
        <v>-8992.67555555556</v>
      </c>
      <c r="H61" s="66" t="n">
        <f aca="false">H57+H58+H60</f>
        <v>-8191.78666666667</v>
      </c>
      <c r="I61" s="66" t="n">
        <f aca="false">I57+I58+I60</f>
        <v>-7390.89777777778</v>
      </c>
      <c r="J61" s="66" t="n">
        <f aca="false">J57+J58+J60</f>
        <v>-6590.00888888889</v>
      </c>
      <c r="K61" s="66" t="n">
        <f aca="false">K57+K58+K60</f>
        <v>-5789.12</v>
      </c>
      <c r="L61" s="66" t="n">
        <f aca="false">L57+L58+L60</f>
        <v>-4988.23111111111</v>
      </c>
      <c r="M61" s="66" t="n">
        <f aca="false">M57+M58+M60</f>
        <v>-5002.22222222222</v>
      </c>
      <c r="N61" s="66" t="n">
        <f aca="false">N57+N58+N60</f>
        <v>-4993.33333333333</v>
      </c>
      <c r="O61" s="66" t="n">
        <f aca="false">O57+O58+O60</f>
        <v>-4617.95052444444</v>
      </c>
      <c r="P61" s="66" t="n">
        <f aca="false">P57+P58+P60</f>
        <v>-4626.42755555556</v>
      </c>
      <c r="Q61" s="66" t="n">
        <f aca="false">Q57+Q58+Q60</f>
        <v>-4617.53866666667</v>
      </c>
      <c r="R61" s="66" t="n">
        <f aca="false">R57+R58+R60</f>
        <v>-4608.64977777778</v>
      </c>
      <c r="S61" s="66" t="n">
        <f aca="false">S57+S58+S60</f>
        <v>-4599.76088888889</v>
      </c>
      <c r="T61" s="66" t="n">
        <f aca="false">T57+T58+T60</f>
        <v>-4590.872</v>
      </c>
      <c r="U61" s="66" t="n">
        <f aca="false">U57+U58+U60</f>
        <v>-4581.98311111111</v>
      </c>
      <c r="V61" s="66" t="n">
        <f aca="false">V57+V58+V60</f>
        <v>-4573.09422222222</v>
      </c>
      <c r="W61" s="66" t="n">
        <f aca="false">W57+W58+W60</f>
        <v>-4564.20533333333</v>
      </c>
      <c r="X61" s="66" t="n">
        <f aca="false">X57+X58+X60</f>
        <v>-4555.31644444445</v>
      </c>
      <c r="Y61" s="66" t="n">
        <f aca="false">Y57+Y58+Y60</f>
        <v>-4546.42755555556</v>
      </c>
      <c r="Z61" s="66" t="n">
        <f aca="false">Z57+Z58+Z60</f>
        <v>-4537.53866666667</v>
      </c>
      <c r="AA61" s="66" t="n">
        <f aca="false">AA57+AA58+AA60</f>
        <v>-4138.42006542578</v>
      </c>
      <c r="AB61" s="66" t="n">
        <f aca="false">AB57+AB58+AB60</f>
        <v>-4147.77581208889</v>
      </c>
      <c r="AC61" s="66" t="n">
        <f aca="false">AC57+AC58+AC60</f>
        <v>-4138.8869232</v>
      </c>
      <c r="AD61" s="66" t="n">
        <f aca="false">AD57+AD58+AD60</f>
        <v>-4129.99803431111</v>
      </c>
      <c r="AE61" s="66" t="n">
        <f aca="false">AE57+AE58+AE60</f>
        <v>-4121.10914542222</v>
      </c>
      <c r="AF61" s="66" t="n">
        <f aca="false">AF57+AF58+AF60</f>
        <v>-4112.22025653334</v>
      </c>
      <c r="AG61" s="66" t="n">
        <f aca="false">AG57+AG58+AG60</f>
        <v>-4103.33136764445</v>
      </c>
      <c r="AH61" s="66" t="n">
        <f aca="false">AH57+AH58+AH60</f>
        <v>-4094.44247875556</v>
      </c>
      <c r="AI61" s="66" t="n">
        <f aca="false">AI57+AI58+AI60</f>
        <v>-4085.55358986667</v>
      </c>
      <c r="AJ61" s="66" t="n">
        <f aca="false">AJ57+AJ58+AJ60</f>
        <v>-4076.66470097778</v>
      </c>
      <c r="AK61" s="66" t="n">
        <f aca="false">AK57+AK58+AK60</f>
        <v>-4067.77581208889</v>
      </c>
      <c r="AL61" s="66" t="n">
        <f aca="false">AL57+AL58+AL60</f>
        <v>-4058.8869232</v>
      </c>
      <c r="AM61" s="66" t="n">
        <f aca="false">AM57+AM58+AM60</f>
        <v>-3634.6757625141</v>
      </c>
      <c r="AN61" s="66" t="n">
        <f aca="false">AN57+AN58+AN60</f>
        <v>-3644.95468773614</v>
      </c>
      <c r="AO61" s="66" t="n">
        <f aca="false">AO57+AO58+AO60</f>
        <v>-3636.06579884726</v>
      </c>
      <c r="AP61" s="66" t="n">
        <f aca="false">AP57+AP58+AP60</f>
        <v>-3627.17690995837</v>
      </c>
      <c r="AQ61" s="66" t="n">
        <f aca="false">AQ57+AQ58+AQ60</f>
        <v>-3618.28802106948</v>
      </c>
      <c r="AR61" s="66" t="n">
        <f aca="false">AR57+AR58+AR60</f>
        <v>-3609.39913218059</v>
      </c>
      <c r="AS61" s="66" t="n">
        <f aca="false">AS57+AS58+AS60</f>
        <v>-3600.5102432917</v>
      </c>
      <c r="AT61" s="66" t="n">
        <f aca="false">AT57+AT58+AT60</f>
        <v>-3591.62135440281</v>
      </c>
      <c r="AU61" s="66" t="n">
        <f aca="false">AU57+AU58+AU60</f>
        <v>-3582.73246551392</v>
      </c>
      <c r="AV61" s="66" t="n">
        <f aca="false">AV57+AV58+AV60</f>
        <v>-3573.84357662503</v>
      </c>
      <c r="AW61" s="66" t="n">
        <f aca="false">AW57+AW58+AW60</f>
        <v>-3564.95468773614</v>
      </c>
      <c r="AX61" s="66" t="n">
        <f aca="false">AX57+AX58+AX60</f>
        <v>-3556.06579884726</v>
      </c>
      <c r="AY61" s="66" t="n">
        <f aca="false">AY57+AY58+AY60</f>
        <v>-3105.33198712842</v>
      </c>
      <c r="AZ61" s="66" t="n">
        <f aca="false">AZ57+AZ58+AZ60</f>
        <v>-3116.58080374448</v>
      </c>
      <c r="BA61" s="66" t="n">
        <f aca="false">BA57+BA58+BA60</f>
        <v>-3107.69191485559</v>
      </c>
      <c r="BB61" s="66" t="n">
        <f aca="false">BB57+BB58+BB60</f>
        <v>-3098.8030259667</v>
      </c>
      <c r="BC61" s="66" t="n">
        <f aca="false">BC57+BC58+BC60</f>
        <v>-3089.91413707781</v>
      </c>
      <c r="BD61" s="66" t="n">
        <f aca="false">BD57+BD58+BD60</f>
        <v>-3081.02524818892</v>
      </c>
      <c r="BE61" s="66" t="n">
        <f aca="false">BE57+BE58+BE60</f>
        <v>-3072.13635930004</v>
      </c>
      <c r="BF61" s="66" t="n">
        <f aca="false">BF57+BF58+BF60</f>
        <v>-3063.24747041115</v>
      </c>
      <c r="BG61" s="66" t="n">
        <f aca="false">BG57+BG58+BG60</f>
        <v>-3054.35858152226</v>
      </c>
      <c r="BH61" s="66" t="n">
        <f aca="false">BH57+BH58+BH60</f>
        <v>-3045.46969263337</v>
      </c>
      <c r="BI61" s="66" t="n">
        <f aca="false">BI57+BI58+BI60</f>
        <v>-3036.58080374448</v>
      </c>
      <c r="BJ61" s="66" t="n">
        <f aca="false">BJ57+BJ58+BJ60</f>
        <v>-3027.69191485559</v>
      </c>
    </row>
    <row r="62" customFormat="false" ht="15" hidden="false" customHeight="false" outlineLevel="0" collapsed="false">
      <c r="A62" s="6" t="s">
        <v>294</v>
      </c>
      <c r="C62" s="65" t="n">
        <f aca="false">0</f>
        <v>0</v>
      </c>
      <c r="D62" s="65" t="n">
        <f aca="false">C63</f>
        <v>29255.9466666667</v>
      </c>
      <c r="E62" s="65" t="n">
        <f aca="false">D63</f>
        <v>17860.6044444444</v>
      </c>
      <c r="F62" s="65" t="n">
        <f aca="false">E63</f>
        <v>7266.1511111111</v>
      </c>
      <c r="G62" s="65" t="n">
        <f aca="false">F63</f>
        <v>-2527.41333333335</v>
      </c>
      <c r="H62" s="65" t="n">
        <f aca="false">G63</f>
        <v>-11520.0888888889</v>
      </c>
      <c r="I62" s="65" t="n">
        <f aca="false">H63</f>
        <v>-19711.8755555556</v>
      </c>
      <c r="J62" s="65" t="n">
        <f aca="false">I63</f>
        <v>-27102.7733333334</v>
      </c>
      <c r="K62" s="65" t="n">
        <f aca="false">J63</f>
        <v>-33692.7822222222</v>
      </c>
      <c r="L62" s="65" t="n">
        <f aca="false">K63</f>
        <v>-39481.9022222222</v>
      </c>
      <c r="M62" s="65" t="n">
        <f aca="false">L63</f>
        <v>-44470.1333333334</v>
      </c>
      <c r="N62" s="65" t="n">
        <f aca="false">M63</f>
        <v>-49472.3555555556</v>
      </c>
      <c r="O62" s="65" t="n">
        <f aca="false">N63</f>
        <v>-54465.6888888889</v>
      </c>
      <c r="P62" s="65" t="n">
        <f aca="false">O63</f>
        <v>-59083.6394133334</v>
      </c>
      <c r="Q62" s="65" t="n">
        <f aca="false">P63</f>
        <v>-63710.0669688889</v>
      </c>
      <c r="R62" s="65" t="n">
        <f aca="false">Q63</f>
        <v>-68327.6056355556</v>
      </c>
      <c r="S62" s="65" t="n">
        <f aca="false">R63</f>
        <v>-72936.2554133334</v>
      </c>
      <c r="T62" s="65" t="n">
        <f aca="false">S63</f>
        <v>-77536.0163022223</v>
      </c>
      <c r="U62" s="65" t="n">
        <f aca="false">T63</f>
        <v>-82126.8883022223</v>
      </c>
      <c r="V62" s="65" t="n">
        <f aca="false">U63</f>
        <v>-86708.8714133334</v>
      </c>
      <c r="W62" s="65" t="n">
        <f aca="false">V63</f>
        <v>-91281.9656355556</v>
      </c>
      <c r="X62" s="65" t="n">
        <f aca="false">W63</f>
        <v>-95846.1709688889</v>
      </c>
      <c r="Y62" s="65" t="n">
        <f aca="false">X63</f>
        <v>-100401.487413333</v>
      </c>
      <c r="Z62" s="65" t="n">
        <f aca="false">Y63</f>
        <v>-104947.914968889</v>
      </c>
      <c r="AA62" s="65" t="n">
        <f aca="false">Z63</f>
        <v>-109485.453635556</v>
      </c>
      <c r="AB62" s="65" t="n">
        <f aca="false">AA63</f>
        <v>-113623.873700981</v>
      </c>
      <c r="AC62" s="65" t="n">
        <f aca="false">AB63</f>
        <v>-117771.64951307</v>
      </c>
      <c r="AD62" s="65" t="n">
        <f aca="false">AC63</f>
        <v>-121910.53643627</v>
      </c>
      <c r="AE62" s="65" t="n">
        <f aca="false">AD63</f>
        <v>-126040.534470581</v>
      </c>
      <c r="AF62" s="65" t="n">
        <f aca="false">AE63</f>
        <v>-130161.643616004</v>
      </c>
      <c r="AG62" s="65" t="n">
        <f aca="false">AF63</f>
        <v>-134273.863872537</v>
      </c>
      <c r="AH62" s="65" t="n">
        <f aca="false">AG63</f>
        <v>-138377.195240181</v>
      </c>
      <c r="AI62" s="65" t="n">
        <f aca="false">AH63</f>
        <v>-142471.637718937</v>
      </c>
      <c r="AJ62" s="65" t="n">
        <f aca="false">AI63</f>
        <v>-146557.191308804</v>
      </c>
      <c r="AK62" s="65" t="n">
        <f aca="false">AJ63</f>
        <v>-150633.856009781</v>
      </c>
      <c r="AL62" s="65" t="n">
        <f aca="false">AK63</f>
        <v>-154701.63182187</v>
      </c>
      <c r="AM62" s="65" t="n">
        <f aca="false">AL63</f>
        <v>-158760.51874507</v>
      </c>
      <c r="AN62" s="65" t="n">
        <f aca="false">AM63</f>
        <v>-162395.194507584</v>
      </c>
      <c r="AO62" s="65" t="n">
        <f aca="false">AN63</f>
        <v>-166040.14919532</v>
      </c>
      <c r="AP62" s="65" t="n">
        <f aca="false">AO63</f>
        <v>-169676.214994168</v>
      </c>
      <c r="AQ62" s="65" t="n">
        <f aca="false">AP63</f>
        <v>-173303.391904126</v>
      </c>
      <c r="AR62" s="65" t="n">
        <f aca="false">AQ63</f>
        <v>-176921.679925196</v>
      </c>
      <c r="AS62" s="65" t="n">
        <f aca="false">AR63</f>
        <v>-180531.079057376</v>
      </c>
      <c r="AT62" s="65" t="n">
        <f aca="false">AS63</f>
        <v>-184131.589300668</v>
      </c>
      <c r="AU62" s="65" t="n">
        <f aca="false">AT63</f>
        <v>-187723.210655071</v>
      </c>
      <c r="AV62" s="65" t="n">
        <f aca="false">AU63</f>
        <v>-191305.943120585</v>
      </c>
      <c r="AW62" s="65" t="n">
        <f aca="false">AV63</f>
        <v>-194879.78669721</v>
      </c>
      <c r="AX62" s="65" t="n">
        <f aca="false">AW63</f>
        <v>-198444.741384946</v>
      </c>
      <c r="AY62" s="65" t="n">
        <f aca="false">AX63</f>
        <v>-202000.807183793</v>
      </c>
      <c r="AZ62" s="65" t="n">
        <f aca="false">AY63</f>
        <v>-205106.139170921</v>
      </c>
      <c r="BA62" s="65" t="n">
        <f aca="false">AZ63</f>
        <v>-208222.719974666</v>
      </c>
      <c r="BB62" s="65" t="n">
        <f aca="false">BA63</f>
        <v>-211330.411889522</v>
      </c>
      <c r="BC62" s="65" t="n">
        <f aca="false">BB63</f>
        <v>-214429.214915488</v>
      </c>
      <c r="BD62" s="65" t="n">
        <f aca="false">BC63</f>
        <v>-217519.129052566</v>
      </c>
      <c r="BE62" s="65" t="n">
        <f aca="false">BD63</f>
        <v>-220600.154300755</v>
      </c>
      <c r="BF62" s="65" t="n">
        <f aca="false">BE63</f>
        <v>-223672.290660055</v>
      </c>
      <c r="BG62" s="65" t="n">
        <f aca="false">BF63</f>
        <v>-226735.538130466</v>
      </c>
      <c r="BH62" s="65" t="n">
        <f aca="false">BG63</f>
        <v>-229789.896711988</v>
      </c>
      <c r="BI62" s="65" t="n">
        <f aca="false">BH63</f>
        <v>-232835.366404622</v>
      </c>
      <c r="BJ62" s="65" t="n">
        <f aca="false">BI63</f>
        <v>-235871.947208366</v>
      </c>
    </row>
    <row r="63" customFormat="false" ht="15" hidden="false" customHeight="false" outlineLevel="0" collapsed="false">
      <c r="A63" s="108" t="s">
        <v>85</v>
      </c>
      <c r="C63" s="66" t="n">
        <f aca="false">C62+C61</f>
        <v>29255.9466666667</v>
      </c>
      <c r="D63" s="66" t="n">
        <f aca="false">D62+D61</f>
        <v>17860.6044444444</v>
      </c>
      <c r="E63" s="66" t="n">
        <f aca="false">E62+E61</f>
        <v>7266.1511111111</v>
      </c>
      <c r="F63" s="66" t="n">
        <f aca="false">F62+F61</f>
        <v>-2527.41333333335</v>
      </c>
      <c r="G63" s="66" t="n">
        <f aca="false">G62+G61</f>
        <v>-11520.0888888889</v>
      </c>
      <c r="H63" s="66" t="n">
        <f aca="false">H62+H61</f>
        <v>-19711.8755555556</v>
      </c>
      <c r="I63" s="66" t="n">
        <f aca="false">I62+I61</f>
        <v>-27102.7733333334</v>
      </c>
      <c r="J63" s="66" t="n">
        <f aca="false">J62+J61</f>
        <v>-33692.7822222222</v>
      </c>
      <c r="K63" s="66" t="n">
        <f aca="false">K62+K61</f>
        <v>-39481.9022222222</v>
      </c>
      <c r="L63" s="66" t="n">
        <f aca="false">L62+L61</f>
        <v>-44470.1333333334</v>
      </c>
      <c r="M63" s="66" t="n">
        <f aca="false">M62+M61</f>
        <v>-49472.3555555556</v>
      </c>
      <c r="N63" s="66" t="n">
        <f aca="false">N62+N61</f>
        <v>-54465.6888888889</v>
      </c>
      <c r="O63" s="66" t="n">
        <f aca="false">O62+O61</f>
        <v>-59083.6394133334</v>
      </c>
      <c r="P63" s="66" t="n">
        <f aca="false">P62+P61</f>
        <v>-63710.0669688889</v>
      </c>
      <c r="Q63" s="66" t="n">
        <f aca="false">Q62+Q61</f>
        <v>-68327.6056355556</v>
      </c>
      <c r="R63" s="66" t="n">
        <f aca="false">R62+R61</f>
        <v>-72936.2554133334</v>
      </c>
      <c r="S63" s="66" t="n">
        <f aca="false">S62+S61</f>
        <v>-77536.0163022223</v>
      </c>
      <c r="T63" s="66" t="n">
        <f aca="false">T62+T61</f>
        <v>-82126.8883022223</v>
      </c>
      <c r="U63" s="66" t="n">
        <f aca="false">U62+U61</f>
        <v>-86708.8714133334</v>
      </c>
      <c r="V63" s="66" t="n">
        <f aca="false">V62+V61</f>
        <v>-91281.9656355556</v>
      </c>
      <c r="W63" s="66" t="n">
        <f aca="false">W62+W61</f>
        <v>-95846.1709688889</v>
      </c>
      <c r="X63" s="66" t="n">
        <f aca="false">X62+X61</f>
        <v>-100401.487413333</v>
      </c>
      <c r="Y63" s="66" t="n">
        <f aca="false">Y62+Y61</f>
        <v>-104947.914968889</v>
      </c>
      <c r="Z63" s="66" t="n">
        <f aca="false">Z62+Z61</f>
        <v>-109485.453635556</v>
      </c>
      <c r="AA63" s="66" t="n">
        <f aca="false">AA62+AA61</f>
        <v>-113623.873700981</v>
      </c>
      <c r="AB63" s="66" t="n">
        <f aca="false">AB62+AB61</f>
        <v>-117771.64951307</v>
      </c>
      <c r="AC63" s="66" t="n">
        <f aca="false">AC62+AC61</f>
        <v>-121910.53643627</v>
      </c>
      <c r="AD63" s="66" t="n">
        <f aca="false">AD62+AD61</f>
        <v>-126040.534470581</v>
      </c>
      <c r="AE63" s="66" t="n">
        <f aca="false">AE62+AE61</f>
        <v>-130161.643616004</v>
      </c>
      <c r="AF63" s="66" t="n">
        <f aca="false">AF62+AF61</f>
        <v>-134273.863872537</v>
      </c>
      <c r="AG63" s="66" t="n">
        <f aca="false">AG62+AG61</f>
        <v>-138377.195240181</v>
      </c>
      <c r="AH63" s="66" t="n">
        <f aca="false">AH62+AH61</f>
        <v>-142471.637718937</v>
      </c>
      <c r="AI63" s="66" t="n">
        <f aca="false">AI62+AI61</f>
        <v>-146557.191308804</v>
      </c>
      <c r="AJ63" s="66" t="n">
        <f aca="false">AJ62+AJ61</f>
        <v>-150633.856009781</v>
      </c>
      <c r="AK63" s="66" t="n">
        <f aca="false">AK62+AK61</f>
        <v>-154701.63182187</v>
      </c>
      <c r="AL63" s="66" t="n">
        <f aca="false">AL62+AL61</f>
        <v>-158760.51874507</v>
      </c>
      <c r="AM63" s="66" t="n">
        <f aca="false">AM62+AM61</f>
        <v>-162395.194507584</v>
      </c>
      <c r="AN63" s="66" t="n">
        <f aca="false">AN62+AN61</f>
        <v>-166040.14919532</v>
      </c>
      <c r="AO63" s="66" t="n">
        <f aca="false">AO62+AO61</f>
        <v>-169676.214994168</v>
      </c>
      <c r="AP63" s="66" t="n">
        <f aca="false">AP62+AP61</f>
        <v>-173303.391904126</v>
      </c>
      <c r="AQ63" s="66" t="n">
        <f aca="false">AQ62+AQ61</f>
        <v>-176921.679925196</v>
      </c>
      <c r="AR63" s="66" t="n">
        <f aca="false">AR62+AR61</f>
        <v>-180531.079057376</v>
      </c>
      <c r="AS63" s="66" t="n">
        <f aca="false">AS62+AS61</f>
        <v>-184131.589300668</v>
      </c>
      <c r="AT63" s="66" t="n">
        <f aca="false">AT62+AT61</f>
        <v>-187723.210655071</v>
      </c>
      <c r="AU63" s="66" t="n">
        <f aca="false">AU62+AU61</f>
        <v>-191305.943120585</v>
      </c>
      <c r="AV63" s="66" t="n">
        <f aca="false">AV62+AV61</f>
        <v>-194879.78669721</v>
      </c>
      <c r="AW63" s="66" t="n">
        <f aca="false">AW62+AW61</f>
        <v>-198444.741384946</v>
      </c>
      <c r="AX63" s="66" t="n">
        <f aca="false">AX62+AX61</f>
        <v>-202000.807183793</v>
      </c>
      <c r="AY63" s="66" t="n">
        <f aca="false">AY62+AY61</f>
        <v>-205106.139170921</v>
      </c>
      <c r="AZ63" s="66" t="n">
        <f aca="false">AZ62+AZ61</f>
        <v>-208222.719974666</v>
      </c>
      <c r="BA63" s="66" t="n">
        <f aca="false">BA62+BA61</f>
        <v>-211330.411889522</v>
      </c>
      <c r="BB63" s="66" t="n">
        <f aca="false">BB62+BB61</f>
        <v>-214429.214915488</v>
      </c>
      <c r="BC63" s="66" t="n">
        <f aca="false">BC62+BC61</f>
        <v>-217519.129052566</v>
      </c>
      <c r="BD63" s="66" t="n">
        <f aca="false">BD62+BD61</f>
        <v>-220600.154300755</v>
      </c>
      <c r="BE63" s="66" t="n">
        <f aca="false">BE62+BE61</f>
        <v>-223672.290660055</v>
      </c>
      <c r="BF63" s="66" t="n">
        <f aca="false">BF62+BF61</f>
        <v>-226735.538130466</v>
      </c>
      <c r="BG63" s="66" t="n">
        <f aca="false">BG62+BG61</f>
        <v>-229789.896711988</v>
      </c>
      <c r="BH63" s="66" t="n">
        <f aca="false">BH62+BH61</f>
        <v>-232835.366404622</v>
      </c>
      <c r="BI63" s="66" t="n">
        <f aca="false">BI62+BI61</f>
        <v>-235871.947208366</v>
      </c>
      <c r="BJ63" s="66" t="n">
        <f aca="false">BJ62+BJ61</f>
        <v>-238899.639123222</v>
      </c>
    </row>
    <row r="64" customFormat="false" ht="15" hidden="false" customHeight="false" outlineLevel="0" collapsed="false">
      <c r="A64" s="114" t="s">
        <v>377</v>
      </c>
      <c r="C64" s="113" t="n">
        <f aca="false">IF(C24&gt;0,1,0)</f>
        <v>0</v>
      </c>
      <c r="D64" s="113" t="n">
        <f aca="false">IF(D24&gt;0,1,0)</f>
        <v>0</v>
      </c>
      <c r="E64" s="113" t="n">
        <f aca="false">IF(E24&gt;0,1,0)</f>
        <v>0</v>
      </c>
      <c r="F64" s="113" t="n">
        <f aca="false">IF(F24&gt;0,1,0)</f>
        <v>0</v>
      </c>
      <c r="G64" s="113" t="n">
        <f aca="false">IF(G24&gt;0,1,0)</f>
        <v>0</v>
      </c>
      <c r="H64" s="113" t="n">
        <f aca="false">IF(H24&gt;0,1,0)</f>
        <v>0</v>
      </c>
      <c r="I64" s="113" t="n">
        <f aca="false">IF(I24&gt;0,1,0)</f>
        <v>0</v>
      </c>
      <c r="J64" s="113" t="n">
        <f aca="false">IF(J24&gt;0,1,0)</f>
        <v>0</v>
      </c>
      <c r="K64" s="113" t="n">
        <f aca="false">IF(K24&gt;0,1,0)</f>
        <v>0</v>
      </c>
      <c r="L64" s="113" t="n">
        <f aca="false">IF(L24&gt;0,1,0)</f>
        <v>0</v>
      </c>
      <c r="M64" s="113" t="n">
        <f aca="false">IF(M24&gt;0,1,0)</f>
        <v>0</v>
      </c>
      <c r="N64" s="113" t="n">
        <f aca="false">IF(N24&gt;0,1,0)</f>
        <v>0</v>
      </c>
      <c r="O64" s="113" t="n">
        <f aca="false">IF(O24&gt;0,1,0)</f>
        <v>0</v>
      </c>
      <c r="P64" s="113" t="n">
        <f aca="false">IF(P24&gt;0,1,0)</f>
        <v>0</v>
      </c>
      <c r="Q64" s="113" t="n">
        <f aca="false">IF(Q24&gt;0,1,0)</f>
        <v>0</v>
      </c>
      <c r="R64" s="113" t="n">
        <f aca="false">IF(R24&gt;0,1,0)</f>
        <v>0</v>
      </c>
      <c r="S64" s="113" t="n">
        <f aca="false">IF(S24&gt;0,1,0)</f>
        <v>0</v>
      </c>
      <c r="T64" s="113" t="n">
        <f aca="false">IF(T24&gt;0,1,0)</f>
        <v>0</v>
      </c>
      <c r="U64" s="113" t="n">
        <f aca="false">IF(U24&gt;0,1,0)</f>
        <v>0</v>
      </c>
      <c r="V64" s="113" t="n">
        <f aca="false">IF(V24&gt;0,1,0)</f>
        <v>0</v>
      </c>
      <c r="W64" s="113" t="n">
        <f aca="false">IF(W24&gt;0,1,0)</f>
        <v>0</v>
      </c>
      <c r="X64" s="113" t="n">
        <f aca="false">IF(X24&gt;0,1,0)</f>
        <v>0</v>
      </c>
      <c r="Y64" s="113" t="n">
        <f aca="false">IF(Y24&gt;0,1,0)</f>
        <v>0</v>
      </c>
      <c r="Z64" s="113" t="n">
        <f aca="false">IF(Z24&gt;0,1,0)</f>
        <v>0</v>
      </c>
      <c r="AA64" s="113" t="n">
        <f aca="false">IF(AA24&gt;0,1,0)</f>
        <v>0</v>
      </c>
      <c r="AB64" s="113" t="n">
        <f aca="false">IF(AB24&gt;0,1,0)</f>
        <v>0</v>
      </c>
      <c r="AC64" s="113" t="n">
        <f aca="false">IF(AC24&gt;0,1,0)</f>
        <v>0</v>
      </c>
      <c r="AD64" s="113" t="n">
        <f aca="false">IF(AD24&gt;0,1,0)</f>
        <v>0</v>
      </c>
      <c r="AE64" s="113" t="n">
        <f aca="false">IF(AE24&gt;0,1,0)</f>
        <v>0</v>
      </c>
      <c r="AF64" s="113" t="n">
        <f aca="false">IF(AF24&gt;0,1,0)</f>
        <v>0</v>
      </c>
      <c r="AG64" s="113" t="n">
        <f aca="false">IF(AG24&gt;0,1,0)</f>
        <v>0</v>
      </c>
      <c r="AH64" s="113" t="n">
        <f aca="false">IF(AH24&gt;0,1,0)</f>
        <v>0</v>
      </c>
      <c r="AI64" s="113" t="n">
        <f aca="false">IF(AI24&gt;0,1,0)</f>
        <v>0</v>
      </c>
      <c r="AJ64" s="113" t="n">
        <f aca="false">IF(AJ24&gt;0,1,0)</f>
        <v>0</v>
      </c>
      <c r="AK64" s="113" t="n">
        <f aca="false">IF(AK24&gt;0,1,0)</f>
        <v>0</v>
      </c>
      <c r="AL64" s="113" t="n">
        <f aca="false">IF(AL24&gt;0,1,0)</f>
        <v>0</v>
      </c>
      <c r="AM64" s="113" t="n">
        <f aca="false">IF(AM24&gt;0,1,0)</f>
        <v>0</v>
      </c>
      <c r="AN64" s="113" t="n">
        <f aca="false">IF(AN24&gt;0,1,0)</f>
        <v>0</v>
      </c>
      <c r="AO64" s="113" t="n">
        <f aca="false">IF(AO24&gt;0,1,0)</f>
        <v>0</v>
      </c>
      <c r="AP64" s="113" t="n">
        <f aca="false">IF(AP24&gt;0,1,0)</f>
        <v>0</v>
      </c>
      <c r="AQ64" s="113" t="n">
        <f aca="false">IF(AQ24&gt;0,1,0)</f>
        <v>0</v>
      </c>
      <c r="AR64" s="113" t="n">
        <f aca="false">IF(AR24&gt;0,1,0)</f>
        <v>0</v>
      </c>
      <c r="AS64" s="113" t="n">
        <f aca="false">IF(AS24&gt;0,1,0)</f>
        <v>0</v>
      </c>
      <c r="AT64" s="113" t="n">
        <f aca="false">IF(AT24&gt;0,1,0)</f>
        <v>0</v>
      </c>
      <c r="AU64" s="113" t="n">
        <f aca="false">IF(AU24&gt;0,1,0)</f>
        <v>0</v>
      </c>
      <c r="AV64" s="113" t="n">
        <f aca="false">IF(AV24&gt;0,1,0)</f>
        <v>0</v>
      </c>
      <c r="AW64" s="113" t="n">
        <f aca="false">IF(AW24&gt;0,1,0)</f>
        <v>0</v>
      </c>
      <c r="AX64" s="113" t="n">
        <f aca="false">IF(AX24&gt;0,1,0)</f>
        <v>0</v>
      </c>
      <c r="AY64" s="113" t="n">
        <f aca="false">IF(AY24&gt;0,1,0)</f>
        <v>0</v>
      </c>
      <c r="AZ64" s="113" t="n">
        <f aca="false">IF(AZ24&gt;0,1,0)</f>
        <v>0</v>
      </c>
      <c r="BA64" s="113" t="n">
        <f aca="false">IF(BA24&gt;0,1,0)</f>
        <v>0</v>
      </c>
      <c r="BB64" s="113" t="n">
        <f aca="false">IF(BB24&gt;0,1,0)</f>
        <v>0</v>
      </c>
      <c r="BC64" s="113" t="n">
        <f aca="false">IF(BC24&gt;0,1,0)</f>
        <v>0</v>
      </c>
      <c r="BD64" s="113" t="n">
        <f aca="false">IF(BD24&gt;0,1,0)</f>
        <v>0</v>
      </c>
      <c r="BE64" s="113" t="n">
        <f aca="false">IF(BE24&gt;0,1,0)</f>
        <v>0</v>
      </c>
      <c r="BF64" s="113" t="n">
        <f aca="false">IF(BF24&gt;0,1,0)</f>
        <v>0</v>
      </c>
      <c r="BG64" s="113" t="n">
        <f aca="false">IF(BG24&gt;0,1,0)</f>
        <v>0</v>
      </c>
      <c r="BH64" s="113" t="n">
        <f aca="false">IF(BH24&gt;0,1,0)</f>
        <v>0</v>
      </c>
      <c r="BI64" s="113" t="n">
        <f aca="false">IF(BI24&gt;0,1,0)</f>
        <v>0</v>
      </c>
      <c r="BJ64" s="113" t="n">
        <f aca="false">IF(BJ24&gt;0,1,0)</f>
        <v>0</v>
      </c>
    </row>
    <row r="66" customFormat="false" ht="15.75" hidden="false" customHeight="true" outlineLevel="0" collapsed="false">
      <c r="A66" s="7" t="s">
        <v>378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114" t="s">
        <v>379</v>
      </c>
      <c r="C67" s="113" t="n">
        <f aca="false">IF(C33&gt;0,1,0)</f>
        <v>0</v>
      </c>
      <c r="D67" s="113" t="n">
        <f aca="false">IF(D33&gt;0,1,0)</f>
        <v>0</v>
      </c>
      <c r="E67" s="113" t="n">
        <f aca="false">IF(E33&gt;0,1,0)</f>
        <v>0</v>
      </c>
      <c r="F67" s="113" t="n">
        <f aca="false">IF(F33&gt;0,1,0)</f>
        <v>0</v>
      </c>
      <c r="G67" s="113" t="n">
        <f aca="false">IF(G33&gt;0,1,0)</f>
        <v>0</v>
      </c>
      <c r="H67" s="113" t="n">
        <f aca="false">IF(H33&gt;0,1,0)</f>
        <v>0</v>
      </c>
      <c r="I67" s="113" t="n">
        <f aca="false">IF(I33&gt;0,1,0)</f>
        <v>0</v>
      </c>
      <c r="J67" s="113" t="n">
        <f aca="false">IF(J33&gt;0,1,0)</f>
        <v>0</v>
      </c>
      <c r="K67" s="113" t="n">
        <f aca="false">IF(K33&gt;0,1,0)</f>
        <v>0</v>
      </c>
      <c r="L67" s="113" t="n">
        <f aca="false">IF(L33&gt;0,1,0)</f>
        <v>0</v>
      </c>
      <c r="M67" s="113" t="n">
        <f aca="false">IF(M33&gt;0,1,0)</f>
        <v>0</v>
      </c>
      <c r="N67" s="113" t="n">
        <f aca="false">IF(N33&gt;0,1,0)</f>
        <v>0</v>
      </c>
      <c r="O67" s="113" t="n">
        <f aca="false">IF(O33&gt;0,1,0)</f>
        <v>0</v>
      </c>
      <c r="P67" s="113" t="n">
        <f aca="false">IF(P33&gt;0,1,0)</f>
        <v>0</v>
      </c>
      <c r="Q67" s="113" t="n">
        <f aca="false">IF(Q33&gt;0,1,0)</f>
        <v>0</v>
      </c>
      <c r="R67" s="113" t="n">
        <f aca="false">IF(R33&gt;0,1,0)</f>
        <v>0</v>
      </c>
      <c r="S67" s="113" t="n">
        <f aca="false">IF(S33&gt;0,1,0)</f>
        <v>0</v>
      </c>
      <c r="T67" s="113" t="n">
        <f aca="false">IF(T33&gt;0,1,0)</f>
        <v>0</v>
      </c>
      <c r="U67" s="113" t="n">
        <f aca="false">IF(U33&gt;0,1,0)</f>
        <v>0</v>
      </c>
      <c r="V67" s="113" t="n">
        <f aca="false">IF(V33&gt;0,1,0)</f>
        <v>0</v>
      </c>
      <c r="W67" s="113" t="n">
        <f aca="false">IF(W33&gt;0,1,0)</f>
        <v>0</v>
      </c>
      <c r="X67" s="113" t="n">
        <f aca="false">IF(X33&gt;0,1,0)</f>
        <v>0</v>
      </c>
      <c r="Y67" s="113" t="n">
        <f aca="false">IF(Y33&gt;0,1,0)</f>
        <v>0</v>
      </c>
      <c r="Z67" s="113" t="n">
        <f aca="false">IF(Z33&gt;0,1,0)</f>
        <v>0</v>
      </c>
      <c r="AA67" s="113" t="n">
        <f aca="false">IF(AA33&gt;0,1,0)</f>
        <v>0</v>
      </c>
      <c r="AB67" s="113" t="n">
        <f aca="false">IF(AB33&gt;0,1,0)</f>
        <v>0</v>
      </c>
      <c r="AC67" s="113" t="n">
        <f aca="false">IF(AC33&gt;0,1,0)</f>
        <v>0</v>
      </c>
      <c r="AD67" s="113" t="n">
        <f aca="false">IF(AD33&gt;0,1,0)</f>
        <v>0</v>
      </c>
      <c r="AE67" s="113" t="n">
        <f aca="false">IF(AE33&gt;0,1,0)</f>
        <v>0</v>
      </c>
      <c r="AF67" s="113" t="n">
        <f aca="false">IF(AF33&gt;0,1,0)</f>
        <v>0</v>
      </c>
      <c r="AG67" s="113" t="n">
        <f aca="false">IF(AG33&gt;0,1,0)</f>
        <v>0</v>
      </c>
      <c r="AH67" s="113" t="n">
        <f aca="false">IF(AH33&gt;0,1,0)</f>
        <v>0</v>
      </c>
      <c r="AI67" s="113" t="n">
        <f aca="false">IF(AI33&gt;0,1,0)</f>
        <v>0</v>
      </c>
      <c r="AJ67" s="113" t="n">
        <f aca="false">IF(AJ33&gt;0,1,0)</f>
        <v>0</v>
      </c>
      <c r="AK67" s="113" t="n">
        <f aca="false">IF(AK33&gt;0,1,0)</f>
        <v>0</v>
      </c>
      <c r="AL67" s="113" t="n">
        <f aca="false">IF(AL33&gt;0,1,0)</f>
        <v>0</v>
      </c>
      <c r="AM67" s="113" t="n">
        <f aca="false">IF(AM33&gt;0,1,0)</f>
        <v>0</v>
      </c>
      <c r="AN67" s="113" t="n">
        <f aca="false">IF(AN33&gt;0,1,0)</f>
        <v>0</v>
      </c>
      <c r="AO67" s="113" t="n">
        <f aca="false">IF(AO33&gt;0,1,0)</f>
        <v>0</v>
      </c>
      <c r="AP67" s="113" t="n">
        <f aca="false">IF(AP33&gt;0,1,0)</f>
        <v>0</v>
      </c>
      <c r="AQ67" s="113" t="n">
        <f aca="false">IF(AQ33&gt;0,1,0)</f>
        <v>0</v>
      </c>
      <c r="AR67" s="113" t="n">
        <f aca="false">IF(AR33&gt;0,1,0)</f>
        <v>0</v>
      </c>
      <c r="AS67" s="113" t="n">
        <f aca="false">IF(AS33&gt;0,1,0)</f>
        <v>0</v>
      </c>
      <c r="AT67" s="113" t="n">
        <f aca="false">IF(AT33&gt;0,1,0)</f>
        <v>0</v>
      </c>
      <c r="AU67" s="113" t="n">
        <f aca="false">IF(AU33&gt;0,1,0)</f>
        <v>0</v>
      </c>
      <c r="AV67" s="113" t="n">
        <f aca="false">IF(AV33&gt;0,1,0)</f>
        <v>0</v>
      </c>
      <c r="AW67" s="113" t="n">
        <f aca="false">IF(AW33&gt;0,1,0)</f>
        <v>0</v>
      </c>
      <c r="AX67" s="113" t="n">
        <f aca="false">IF(AX33&gt;0,1,0)</f>
        <v>0</v>
      </c>
      <c r="AY67" s="113" t="n">
        <f aca="false">IF(AY33&gt;0,1,0)</f>
        <v>0</v>
      </c>
      <c r="AZ67" s="113" t="n">
        <f aca="false">IF(AZ33&gt;0,1,0)</f>
        <v>0</v>
      </c>
      <c r="BA67" s="113" t="n">
        <f aca="false">IF(BA33&gt;0,1,0)</f>
        <v>0</v>
      </c>
      <c r="BB67" s="113" t="n">
        <f aca="false">IF(BB33&gt;0,1,0)</f>
        <v>0</v>
      </c>
      <c r="BC67" s="113" t="n">
        <f aca="false">IF(BC33&gt;0,1,0)</f>
        <v>0</v>
      </c>
      <c r="BD67" s="113" t="n">
        <f aca="false">IF(BD33&gt;0,1,0)</f>
        <v>0</v>
      </c>
      <c r="BE67" s="113" t="n">
        <f aca="false">IF(BE33&gt;0,1,0)</f>
        <v>0</v>
      </c>
      <c r="BF67" s="113" t="n">
        <f aca="false">IF(BF33&gt;0,1,0)</f>
        <v>0</v>
      </c>
      <c r="BG67" s="113" t="n">
        <f aca="false">IF(BG33&gt;0,1,0)</f>
        <v>0</v>
      </c>
      <c r="BH67" s="113" t="n">
        <f aca="false">IF(BH33&gt;0,1,0)</f>
        <v>0</v>
      </c>
      <c r="BI67" s="113" t="n">
        <f aca="false">IF(BI33&gt;0,1,0)</f>
        <v>0</v>
      </c>
      <c r="BJ67" s="113" t="n">
        <f aca="false">IF(BJ33&gt;0,1,0)</f>
        <v>0</v>
      </c>
    </row>
    <row r="68" customFormat="false" ht="15" hidden="false" customHeight="false" outlineLevel="0" collapsed="false">
      <c r="A68" s="6" t="s">
        <v>380</v>
      </c>
      <c r="C68" s="65" t="n">
        <f aca="false">C57+C58</f>
        <v>-190744.053333333</v>
      </c>
      <c r="D68" s="65" t="n">
        <f aca="false">D57+D58</f>
        <v>-10062.0088888889</v>
      </c>
      <c r="E68" s="65" t="n">
        <f aca="false">E57+E58</f>
        <v>-9261.12</v>
      </c>
      <c r="F68" s="65" t="n">
        <f aca="false">F57+F58</f>
        <v>-8460.23111111111</v>
      </c>
      <c r="G68" s="65" t="n">
        <f aca="false">G57+G58</f>
        <v>-7659.34222222222</v>
      </c>
      <c r="H68" s="65" t="n">
        <f aca="false">H57+H58</f>
        <v>-6858.45333333334</v>
      </c>
      <c r="I68" s="65" t="n">
        <f aca="false">I57+I58</f>
        <v>-6057.56444444445</v>
      </c>
      <c r="J68" s="65" t="n">
        <f aca="false">J57+J58</f>
        <v>-5256.67555555556</v>
      </c>
      <c r="K68" s="65" t="n">
        <f aca="false">K57+K58</f>
        <v>-4455.78666666667</v>
      </c>
      <c r="L68" s="65" t="n">
        <f aca="false">L57+L58</f>
        <v>-3654.89777777778</v>
      </c>
      <c r="M68" s="65" t="n">
        <f aca="false">M57+M58</f>
        <v>-3668.88888888889</v>
      </c>
      <c r="N68" s="65" t="n">
        <f aca="false">N57+N58</f>
        <v>-3660</v>
      </c>
      <c r="O68" s="65" t="n">
        <f aca="false">O57+O58</f>
        <v>-3284.61719111111</v>
      </c>
      <c r="P68" s="65" t="n">
        <f aca="false">P57+P58</f>
        <v>-3293.09422222222</v>
      </c>
      <c r="Q68" s="65" t="n">
        <f aca="false">Q57+Q58</f>
        <v>-3284.20533333333</v>
      </c>
      <c r="R68" s="65" t="n">
        <f aca="false">R57+R58</f>
        <v>-3275.31644444444</v>
      </c>
      <c r="S68" s="65" t="n">
        <f aca="false">S57+S58</f>
        <v>-3266.42755555556</v>
      </c>
      <c r="T68" s="65" t="n">
        <f aca="false">T57+T58</f>
        <v>-3257.53866666667</v>
      </c>
      <c r="U68" s="65" t="n">
        <f aca="false">U57+U58</f>
        <v>-3248.64977777778</v>
      </c>
      <c r="V68" s="65" t="n">
        <f aca="false">V57+V58</f>
        <v>-3239.76088888889</v>
      </c>
      <c r="W68" s="65" t="n">
        <f aca="false">W57+W58</f>
        <v>-3230.872</v>
      </c>
      <c r="X68" s="65" t="n">
        <f aca="false">X57+X58</f>
        <v>-3221.98311111111</v>
      </c>
      <c r="Y68" s="65" t="n">
        <f aca="false">Y57+Y58</f>
        <v>-3213.09422222222</v>
      </c>
      <c r="Z68" s="65" t="n">
        <f aca="false">Z57+Z58</f>
        <v>-3204.20533333333</v>
      </c>
      <c r="AA68" s="65" t="n">
        <f aca="false">AA57+AA58</f>
        <v>-2805.08673209245</v>
      </c>
      <c r="AB68" s="65" t="n">
        <f aca="false">AB57+AB58</f>
        <v>-2814.44247875556</v>
      </c>
      <c r="AC68" s="65" t="n">
        <f aca="false">AC57+AC58</f>
        <v>-2805.55358986667</v>
      </c>
      <c r="AD68" s="65" t="n">
        <f aca="false">AD57+AD58</f>
        <v>-2796.66470097778</v>
      </c>
      <c r="AE68" s="65" t="n">
        <f aca="false">AE57+AE58</f>
        <v>-2787.77581208889</v>
      </c>
      <c r="AF68" s="65" t="n">
        <f aca="false">AF57+AF58</f>
        <v>-2778.8869232</v>
      </c>
      <c r="AG68" s="65" t="n">
        <f aca="false">AG57+AG58</f>
        <v>-2769.99803431111</v>
      </c>
      <c r="AH68" s="65" t="n">
        <f aca="false">AH57+AH58</f>
        <v>-2761.10914542222</v>
      </c>
      <c r="AI68" s="65" t="n">
        <f aca="false">AI57+AI58</f>
        <v>-2752.22025653334</v>
      </c>
      <c r="AJ68" s="65" t="n">
        <f aca="false">AJ57+AJ58</f>
        <v>-2743.33136764445</v>
      </c>
      <c r="AK68" s="65" t="n">
        <f aca="false">AK57+AK58</f>
        <v>-2734.44247875556</v>
      </c>
      <c r="AL68" s="65" t="n">
        <f aca="false">AL57+AL58</f>
        <v>-2725.55358986667</v>
      </c>
      <c r="AM68" s="65" t="n">
        <f aca="false">AM57+AM58</f>
        <v>-2301.34242918077</v>
      </c>
      <c r="AN68" s="65" t="n">
        <f aca="false">AN57+AN58</f>
        <v>-2311.62135440281</v>
      </c>
      <c r="AO68" s="65" t="n">
        <f aca="false">AO57+AO58</f>
        <v>-2302.73246551392</v>
      </c>
      <c r="AP68" s="65" t="n">
        <f aca="false">AP57+AP58</f>
        <v>-2293.84357662503</v>
      </c>
      <c r="AQ68" s="65" t="n">
        <f aca="false">AQ57+AQ58</f>
        <v>-2284.95468773615</v>
      </c>
      <c r="AR68" s="65" t="n">
        <f aca="false">AR57+AR58</f>
        <v>-2276.06579884726</v>
      </c>
      <c r="AS68" s="65" t="n">
        <f aca="false">AS57+AS58</f>
        <v>-2267.17690995837</v>
      </c>
      <c r="AT68" s="65" t="n">
        <f aca="false">AT57+AT58</f>
        <v>-2258.28802106948</v>
      </c>
      <c r="AU68" s="65" t="n">
        <f aca="false">AU57+AU58</f>
        <v>-2249.39913218059</v>
      </c>
      <c r="AV68" s="65" t="n">
        <f aca="false">AV57+AV58</f>
        <v>-2240.5102432917</v>
      </c>
      <c r="AW68" s="65" t="n">
        <f aca="false">AW57+AW58</f>
        <v>-2231.62135440281</v>
      </c>
      <c r="AX68" s="65" t="n">
        <f aca="false">AX57+AX58</f>
        <v>-2222.73246551392</v>
      </c>
      <c r="AY68" s="65" t="n">
        <f aca="false">AY57+AY58</f>
        <v>-1771.99865379509</v>
      </c>
      <c r="AZ68" s="65" t="n">
        <f aca="false">AZ57+AZ58</f>
        <v>-1783.24747041115</v>
      </c>
      <c r="BA68" s="65" t="n">
        <f aca="false">BA57+BA58</f>
        <v>-1774.35858152226</v>
      </c>
      <c r="BB68" s="65" t="n">
        <f aca="false">BB57+BB58</f>
        <v>-1765.46969263337</v>
      </c>
      <c r="BC68" s="65" t="n">
        <f aca="false">BC57+BC58</f>
        <v>-1756.58080374448</v>
      </c>
      <c r="BD68" s="65" t="n">
        <f aca="false">BD57+BD58</f>
        <v>-1747.69191485559</v>
      </c>
      <c r="BE68" s="65" t="n">
        <f aca="false">BE57+BE58</f>
        <v>-1738.8030259667</v>
      </c>
      <c r="BF68" s="65" t="n">
        <f aca="false">BF57+BF58</f>
        <v>-1729.91413707781</v>
      </c>
      <c r="BG68" s="65" t="n">
        <f aca="false">BG57+BG58</f>
        <v>-1721.02524818892</v>
      </c>
      <c r="BH68" s="65" t="n">
        <f aca="false">BH57+BH58</f>
        <v>-1712.13635930004</v>
      </c>
      <c r="BI68" s="65" t="n">
        <f aca="false">BI57+BI58</f>
        <v>-1703.24747041115</v>
      </c>
      <c r="BJ68" s="65" t="n">
        <f aca="false">BJ57+BJ58</f>
        <v>-1694.35858152226</v>
      </c>
    </row>
    <row r="69" customFormat="false" ht="15" hidden="false" customHeight="false" outlineLevel="0" collapsed="false">
      <c r="A69" s="6" t="s">
        <v>381</v>
      </c>
      <c r="C69" s="65" t="n">
        <f aca="false">C68</f>
        <v>-190744.053333333</v>
      </c>
      <c r="D69" s="65" t="n">
        <f aca="false">C69+D68</f>
        <v>-200806.062222222</v>
      </c>
      <c r="E69" s="65" t="n">
        <f aca="false">D69+E68</f>
        <v>-210067.182222222</v>
      </c>
      <c r="F69" s="65" t="n">
        <f aca="false">E69+F68</f>
        <v>-218527.413333333</v>
      </c>
      <c r="G69" s="65" t="n">
        <f aca="false">F69+G68</f>
        <v>-226186.755555556</v>
      </c>
      <c r="H69" s="65" t="n">
        <f aca="false">G69+H68</f>
        <v>-233045.208888889</v>
      </c>
      <c r="I69" s="65" t="n">
        <f aca="false">H69+I68</f>
        <v>-239102.773333333</v>
      </c>
      <c r="J69" s="65" t="n">
        <f aca="false">I69+J68</f>
        <v>-244359.448888889</v>
      </c>
      <c r="K69" s="65" t="n">
        <f aca="false">J69+K68</f>
        <v>-248815.235555556</v>
      </c>
      <c r="L69" s="65" t="n">
        <f aca="false">K69+L68</f>
        <v>-252470.133333333</v>
      </c>
      <c r="M69" s="65" t="n">
        <f aca="false">L69+M68</f>
        <v>-256139.022222222</v>
      </c>
      <c r="N69" s="65" t="n">
        <f aca="false">M69+N68</f>
        <v>-259799.022222222</v>
      </c>
      <c r="O69" s="65" t="n">
        <f aca="false">N69+O68</f>
        <v>-263083.639413333</v>
      </c>
      <c r="P69" s="65" t="n">
        <f aca="false">O69+P68</f>
        <v>-266376.733635556</v>
      </c>
      <c r="Q69" s="65" t="n">
        <f aca="false">P69+Q68</f>
        <v>-269660.938968889</v>
      </c>
      <c r="R69" s="65" t="n">
        <f aca="false">Q69+R68</f>
        <v>-272936.255413333</v>
      </c>
      <c r="S69" s="65" t="n">
        <f aca="false">R69+S68</f>
        <v>-276202.682968889</v>
      </c>
      <c r="T69" s="65" t="n">
        <f aca="false">S69+T68</f>
        <v>-279460.221635556</v>
      </c>
      <c r="U69" s="65" t="n">
        <f aca="false">T69+U68</f>
        <v>-282708.871413333</v>
      </c>
      <c r="V69" s="65" t="n">
        <f aca="false">U69+V68</f>
        <v>-285948.632302222</v>
      </c>
      <c r="W69" s="65" t="n">
        <f aca="false">V69+W68</f>
        <v>-289179.504302222</v>
      </c>
      <c r="X69" s="65" t="n">
        <f aca="false">W69+X68</f>
        <v>-292401.487413333</v>
      </c>
      <c r="Y69" s="65" t="n">
        <f aca="false">X69+Y68</f>
        <v>-295614.581635556</v>
      </c>
      <c r="Z69" s="65" t="n">
        <f aca="false">Y69+Z68</f>
        <v>-298818.786968889</v>
      </c>
      <c r="AA69" s="65" t="n">
        <f aca="false">Z69+AA68</f>
        <v>-301623.873700981</v>
      </c>
      <c r="AB69" s="65" t="n">
        <f aca="false">AA69+AB68</f>
        <v>-304438.316179737</v>
      </c>
      <c r="AC69" s="65" t="n">
        <f aca="false">AB69+AC68</f>
        <v>-307243.869769604</v>
      </c>
      <c r="AD69" s="65" t="n">
        <f aca="false">AC69+AD68</f>
        <v>-310040.534470581</v>
      </c>
      <c r="AE69" s="65" t="n">
        <f aca="false">AD69+AE68</f>
        <v>-312828.31028267</v>
      </c>
      <c r="AF69" s="65" t="n">
        <f aca="false">AE69+AF68</f>
        <v>-315607.19720587</v>
      </c>
      <c r="AG69" s="65" t="n">
        <f aca="false">AF69+AG68</f>
        <v>-318377.195240181</v>
      </c>
      <c r="AH69" s="65" t="n">
        <f aca="false">AG69+AH68</f>
        <v>-321138.304385604</v>
      </c>
      <c r="AI69" s="65" t="n">
        <f aca="false">AH69+AI68</f>
        <v>-323890.524642137</v>
      </c>
      <c r="AJ69" s="65" t="n">
        <f aca="false">AI69+AJ68</f>
        <v>-326633.856009781</v>
      </c>
      <c r="AK69" s="65" t="n">
        <f aca="false">AJ69+AK68</f>
        <v>-329368.298488537</v>
      </c>
      <c r="AL69" s="65" t="n">
        <f aca="false">AK69+AL68</f>
        <v>-332093.852078404</v>
      </c>
      <c r="AM69" s="65" t="n">
        <f aca="false">AL69+AM68</f>
        <v>-334395.194507584</v>
      </c>
      <c r="AN69" s="65" t="n">
        <f aca="false">AM69+AN68</f>
        <v>-336706.815861987</v>
      </c>
      <c r="AO69" s="65" t="n">
        <f aca="false">AN69+AO68</f>
        <v>-339009.548327501</v>
      </c>
      <c r="AP69" s="65" t="n">
        <f aca="false">AO69+AP68</f>
        <v>-341303.391904126</v>
      </c>
      <c r="AQ69" s="65" t="n">
        <f aca="false">AP69+AQ68</f>
        <v>-343588.346591862</v>
      </c>
      <c r="AR69" s="65" t="n">
        <f aca="false">AQ69+AR68</f>
        <v>-345864.41239071</v>
      </c>
      <c r="AS69" s="65" t="n">
        <f aca="false">AR69+AS68</f>
        <v>-348131.589300668</v>
      </c>
      <c r="AT69" s="65" t="n">
        <f aca="false">AS69+AT68</f>
        <v>-350389.877321737</v>
      </c>
      <c r="AU69" s="65" t="n">
        <f aca="false">AT69+AU68</f>
        <v>-352639.276453918</v>
      </c>
      <c r="AV69" s="65" t="n">
        <f aca="false">AU69+AV68</f>
        <v>-354879.78669721</v>
      </c>
      <c r="AW69" s="65" t="n">
        <f aca="false">AV69+AW68</f>
        <v>-357111.408051612</v>
      </c>
      <c r="AX69" s="65" t="n">
        <f aca="false">AW69+AX68</f>
        <v>-359334.140517126</v>
      </c>
      <c r="AY69" s="65" t="n">
        <f aca="false">AX69+AY68</f>
        <v>-361106.139170921</v>
      </c>
      <c r="AZ69" s="65" t="n">
        <f aca="false">AY69+AZ68</f>
        <v>-362889.386641333</v>
      </c>
      <c r="BA69" s="65" t="n">
        <f aca="false">AZ69+BA68</f>
        <v>-364663.745222855</v>
      </c>
      <c r="BB69" s="65" t="n">
        <f aca="false">BA69+BB68</f>
        <v>-366429.214915488</v>
      </c>
      <c r="BC69" s="65" t="n">
        <f aca="false">BB69+BC68</f>
        <v>-368185.795719233</v>
      </c>
      <c r="BD69" s="65" t="n">
        <f aca="false">BC69+BD68</f>
        <v>-369933.487634088</v>
      </c>
      <c r="BE69" s="65" t="n">
        <f aca="false">BD69+BE68</f>
        <v>-371672.290660055</v>
      </c>
      <c r="BF69" s="65" t="n">
        <f aca="false">BE69+BF68</f>
        <v>-373402.204797133</v>
      </c>
      <c r="BG69" s="65" t="n">
        <f aca="false">BF69+BG68</f>
        <v>-375123.230045322</v>
      </c>
      <c r="BH69" s="65" t="n">
        <f aca="false">BG69+BH68</f>
        <v>-376835.366404622</v>
      </c>
      <c r="BI69" s="65" t="n">
        <f aca="false">BH69+BI68</f>
        <v>-378538.613875033</v>
      </c>
      <c r="BJ69" s="65" t="n">
        <f aca="false">BI69+BJ68</f>
        <v>-380232.972456555</v>
      </c>
    </row>
    <row r="70" customFormat="false" ht="15" hidden="false" customHeight="false" outlineLevel="0" collapsed="false">
      <c r="A70" s="114" t="s">
        <v>382</v>
      </c>
      <c r="C70" s="65" t="n">
        <f aca="false">C69</f>
        <v>-190744.053333333</v>
      </c>
      <c r="D70" s="65" t="n">
        <f aca="false">MIN(C70,D69)</f>
        <v>-200806.062222222</v>
      </c>
      <c r="E70" s="65" t="n">
        <f aca="false">MIN(D70,E69)</f>
        <v>-210067.182222222</v>
      </c>
      <c r="F70" s="65" t="n">
        <f aca="false">MIN(E70,F69)</f>
        <v>-218527.413333333</v>
      </c>
      <c r="G70" s="65" t="n">
        <f aca="false">MIN(F70,G69)</f>
        <v>-226186.755555556</v>
      </c>
      <c r="H70" s="65" t="n">
        <f aca="false">MIN(G70,H69)</f>
        <v>-233045.208888889</v>
      </c>
      <c r="I70" s="65" t="n">
        <f aca="false">MIN(H70,I69)</f>
        <v>-239102.773333333</v>
      </c>
      <c r="J70" s="65" t="n">
        <f aca="false">MIN(I70,J69)</f>
        <v>-244359.448888889</v>
      </c>
      <c r="K70" s="65" t="n">
        <f aca="false">MIN(J70,K69)</f>
        <v>-248815.235555556</v>
      </c>
      <c r="L70" s="65" t="n">
        <f aca="false">MIN(K70,L69)</f>
        <v>-252470.133333333</v>
      </c>
      <c r="M70" s="65" t="n">
        <f aca="false">MIN(L70,M69)</f>
        <v>-256139.022222222</v>
      </c>
      <c r="N70" s="65" t="n">
        <f aca="false">MIN(M70,N69)</f>
        <v>-259799.022222222</v>
      </c>
      <c r="O70" s="65" t="n">
        <f aca="false">MIN(N70,O69)</f>
        <v>-263083.639413333</v>
      </c>
      <c r="P70" s="65" t="n">
        <f aca="false">MIN(O70,P69)</f>
        <v>-266376.733635556</v>
      </c>
      <c r="Q70" s="65" t="n">
        <f aca="false">MIN(P70,Q69)</f>
        <v>-269660.938968889</v>
      </c>
      <c r="R70" s="65" t="n">
        <f aca="false">MIN(Q70,R69)</f>
        <v>-272936.255413333</v>
      </c>
      <c r="S70" s="65" t="n">
        <f aca="false">MIN(R70,S69)</f>
        <v>-276202.682968889</v>
      </c>
      <c r="T70" s="65" t="n">
        <f aca="false">MIN(S70,T69)</f>
        <v>-279460.221635556</v>
      </c>
      <c r="U70" s="65" t="n">
        <f aca="false">MIN(T70,U69)</f>
        <v>-282708.871413333</v>
      </c>
      <c r="V70" s="65" t="n">
        <f aca="false">MIN(U70,V69)</f>
        <v>-285948.632302222</v>
      </c>
      <c r="W70" s="65" t="n">
        <f aca="false">MIN(V70,W69)</f>
        <v>-289179.504302222</v>
      </c>
      <c r="X70" s="65" t="n">
        <f aca="false">MIN(W70,X69)</f>
        <v>-292401.487413333</v>
      </c>
      <c r="Y70" s="65" t="n">
        <f aca="false">MIN(X70,Y69)</f>
        <v>-295614.581635556</v>
      </c>
      <c r="Z70" s="65" t="n">
        <f aca="false">MIN(Y70,Z69)</f>
        <v>-298818.786968889</v>
      </c>
      <c r="AA70" s="65" t="n">
        <f aca="false">MIN(Z70,AA69)</f>
        <v>-301623.873700981</v>
      </c>
      <c r="AB70" s="65" t="n">
        <f aca="false">MIN(AA70,AB69)</f>
        <v>-304438.316179737</v>
      </c>
      <c r="AC70" s="65" t="n">
        <f aca="false">MIN(AB70,AC69)</f>
        <v>-307243.869769604</v>
      </c>
      <c r="AD70" s="65" t="n">
        <f aca="false">MIN(AC70,AD69)</f>
        <v>-310040.534470581</v>
      </c>
      <c r="AE70" s="65" t="n">
        <f aca="false">MIN(AD70,AE69)</f>
        <v>-312828.31028267</v>
      </c>
      <c r="AF70" s="65" t="n">
        <f aca="false">MIN(AE70,AF69)</f>
        <v>-315607.19720587</v>
      </c>
      <c r="AG70" s="65" t="n">
        <f aca="false">MIN(AF70,AG69)</f>
        <v>-318377.195240181</v>
      </c>
      <c r="AH70" s="65" t="n">
        <f aca="false">MIN(AG70,AH69)</f>
        <v>-321138.304385604</v>
      </c>
      <c r="AI70" s="65" t="n">
        <f aca="false">MIN(AH70,AI69)</f>
        <v>-323890.524642137</v>
      </c>
      <c r="AJ70" s="65" t="n">
        <f aca="false">MIN(AI70,AJ69)</f>
        <v>-326633.856009781</v>
      </c>
      <c r="AK70" s="65" t="n">
        <f aca="false">MIN(AJ70,AK69)</f>
        <v>-329368.298488537</v>
      </c>
      <c r="AL70" s="65" t="n">
        <f aca="false">MIN(AK70,AL69)</f>
        <v>-332093.852078404</v>
      </c>
      <c r="AM70" s="65" t="n">
        <f aca="false">MIN(AL70,AM69)</f>
        <v>-334395.194507584</v>
      </c>
      <c r="AN70" s="65" t="n">
        <f aca="false">MIN(AM70,AN69)</f>
        <v>-336706.815861987</v>
      </c>
      <c r="AO70" s="65" t="n">
        <f aca="false">MIN(AN70,AO69)</f>
        <v>-339009.548327501</v>
      </c>
      <c r="AP70" s="65" t="n">
        <f aca="false">MIN(AO70,AP69)</f>
        <v>-341303.391904126</v>
      </c>
      <c r="AQ70" s="65" t="n">
        <f aca="false">MIN(AP70,AQ69)</f>
        <v>-343588.346591862</v>
      </c>
      <c r="AR70" s="65" t="n">
        <f aca="false">MIN(AQ70,AR69)</f>
        <v>-345864.41239071</v>
      </c>
      <c r="AS70" s="65" t="n">
        <f aca="false">MIN(AR70,AS69)</f>
        <v>-348131.589300668</v>
      </c>
      <c r="AT70" s="65" t="n">
        <f aca="false">MIN(AS70,AT69)</f>
        <v>-350389.877321737</v>
      </c>
      <c r="AU70" s="65" t="n">
        <f aca="false">MIN(AT70,AU69)</f>
        <v>-352639.276453918</v>
      </c>
      <c r="AV70" s="65" t="n">
        <f aca="false">MIN(AU70,AV69)</f>
        <v>-354879.78669721</v>
      </c>
      <c r="AW70" s="65" t="n">
        <f aca="false">MIN(AV70,AW69)</f>
        <v>-357111.408051612</v>
      </c>
      <c r="AX70" s="65" t="n">
        <f aca="false">MIN(AW70,AX69)</f>
        <v>-359334.140517126</v>
      </c>
      <c r="AY70" s="65" t="n">
        <f aca="false">MIN(AX70,AY69)</f>
        <v>-361106.139170921</v>
      </c>
      <c r="AZ70" s="65" t="n">
        <f aca="false">MIN(AY70,AZ69)</f>
        <v>-362889.386641333</v>
      </c>
      <c r="BA70" s="65" t="n">
        <f aca="false">MIN(AZ70,BA69)</f>
        <v>-364663.745222855</v>
      </c>
      <c r="BB70" s="65" t="n">
        <f aca="false">MIN(BA70,BB69)</f>
        <v>-366429.214915488</v>
      </c>
      <c r="BC70" s="65" t="n">
        <f aca="false">MIN(BB70,BC69)</f>
        <v>-368185.795719233</v>
      </c>
      <c r="BD70" s="65" t="n">
        <f aca="false">MIN(BC70,BD69)</f>
        <v>-369933.487634088</v>
      </c>
      <c r="BE70" s="65" t="n">
        <f aca="false">MIN(BD70,BE69)</f>
        <v>-371672.290660055</v>
      </c>
      <c r="BF70" s="65" t="n">
        <f aca="false">MIN(BE70,BF69)</f>
        <v>-373402.204797133</v>
      </c>
      <c r="BG70" s="65" t="n">
        <f aca="false">MIN(BF70,BG69)</f>
        <v>-375123.230045322</v>
      </c>
      <c r="BH70" s="65" t="n">
        <f aca="false">MIN(BG70,BH69)</f>
        <v>-376835.366404622</v>
      </c>
      <c r="BI70" s="65" t="n">
        <f aca="false">MIN(BH70,BI69)</f>
        <v>-378538.613875033</v>
      </c>
      <c r="BJ70" s="65" t="n">
        <f aca="false">MIN(BI70,BJ69)</f>
        <v>-380232.972456555</v>
      </c>
    </row>
    <row r="71" customFormat="false" ht="15" hidden="false" customHeight="false" outlineLevel="0" collapsed="false">
      <c r="A71" s="114" t="s">
        <v>383</v>
      </c>
      <c r="C71" s="113" t="n">
        <f aca="false">IF(AND(C69&gt;=0,C70&lt;0),1,0)</f>
        <v>0</v>
      </c>
      <c r="D71" s="113" t="n">
        <f aca="false">IF(AND(D69&gt;=0,D70&lt;0),1,0)</f>
        <v>0</v>
      </c>
      <c r="E71" s="113" t="n">
        <f aca="false">IF(AND(E69&gt;=0,E70&lt;0),1,0)</f>
        <v>0</v>
      </c>
      <c r="F71" s="113" t="n">
        <f aca="false">IF(AND(F69&gt;=0,F70&lt;0),1,0)</f>
        <v>0</v>
      </c>
      <c r="G71" s="113" t="n">
        <f aca="false">IF(AND(G69&gt;=0,G70&lt;0),1,0)</f>
        <v>0</v>
      </c>
      <c r="H71" s="113" t="n">
        <f aca="false">IF(AND(H69&gt;=0,H70&lt;0),1,0)</f>
        <v>0</v>
      </c>
      <c r="I71" s="113" t="n">
        <f aca="false">IF(AND(I69&gt;=0,I70&lt;0),1,0)</f>
        <v>0</v>
      </c>
      <c r="J71" s="113" t="n">
        <f aca="false">IF(AND(J69&gt;=0,J70&lt;0),1,0)</f>
        <v>0</v>
      </c>
      <c r="K71" s="113" t="n">
        <f aca="false">IF(AND(K69&gt;=0,K70&lt;0),1,0)</f>
        <v>0</v>
      </c>
      <c r="L71" s="113" t="n">
        <f aca="false">IF(AND(L69&gt;=0,L70&lt;0),1,0)</f>
        <v>0</v>
      </c>
      <c r="M71" s="113" t="n">
        <f aca="false">IF(AND(M69&gt;=0,M70&lt;0),1,0)</f>
        <v>0</v>
      </c>
      <c r="N71" s="113" t="n">
        <f aca="false">IF(AND(N69&gt;=0,N70&lt;0),1,0)</f>
        <v>0</v>
      </c>
      <c r="O71" s="113" t="n">
        <f aca="false">IF(AND(O69&gt;=0,O70&lt;0),1,0)</f>
        <v>0</v>
      </c>
      <c r="P71" s="113" t="n">
        <f aca="false">IF(AND(P69&gt;=0,P70&lt;0),1,0)</f>
        <v>0</v>
      </c>
      <c r="Q71" s="113" t="n">
        <f aca="false">IF(AND(Q69&gt;=0,Q70&lt;0),1,0)</f>
        <v>0</v>
      </c>
      <c r="R71" s="113" t="n">
        <f aca="false">IF(AND(R69&gt;=0,R70&lt;0),1,0)</f>
        <v>0</v>
      </c>
      <c r="S71" s="113" t="n">
        <f aca="false">IF(AND(S69&gt;=0,S70&lt;0),1,0)</f>
        <v>0</v>
      </c>
      <c r="T71" s="113" t="n">
        <f aca="false">IF(AND(T69&gt;=0,T70&lt;0),1,0)</f>
        <v>0</v>
      </c>
      <c r="U71" s="113" t="n">
        <f aca="false">IF(AND(U69&gt;=0,U70&lt;0),1,0)</f>
        <v>0</v>
      </c>
      <c r="V71" s="113" t="n">
        <f aca="false">IF(AND(V69&gt;=0,V70&lt;0),1,0)</f>
        <v>0</v>
      </c>
      <c r="W71" s="113" t="n">
        <f aca="false">IF(AND(W69&gt;=0,W70&lt;0),1,0)</f>
        <v>0</v>
      </c>
      <c r="X71" s="113" t="n">
        <f aca="false">IF(AND(X69&gt;=0,X70&lt;0),1,0)</f>
        <v>0</v>
      </c>
      <c r="Y71" s="113" t="n">
        <f aca="false">IF(AND(Y69&gt;=0,Y70&lt;0),1,0)</f>
        <v>0</v>
      </c>
      <c r="Z71" s="113" t="n">
        <f aca="false">IF(AND(Z69&gt;=0,Z70&lt;0),1,0)</f>
        <v>0</v>
      </c>
      <c r="AA71" s="113" t="n">
        <f aca="false">IF(AND(AA69&gt;=0,AA70&lt;0),1,0)</f>
        <v>0</v>
      </c>
      <c r="AB71" s="113" t="n">
        <f aca="false">IF(AND(AB69&gt;=0,AB70&lt;0),1,0)</f>
        <v>0</v>
      </c>
      <c r="AC71" s="113" t="n">
        <f aca="false">IF(AND(AC69&gt;=0,AC70&lt;0),1,0)</f>
        <v>0</v>
      </c>
      <c r="AD71" s="113" t="n">
        <f aca="false">IF(AND(AD69&gt;=0,AD70&lt;0),1,0)</f>
        <v>0</v>
      </c>
      <c r="AE71" s="113" t="n">
        <f aca="false">IF(AND(AE69&gt;=0,AE70&lt;0),1,0)</f>
        <v>0</v>
      </c>
      <c r="AF71" s="113" t="n">
        <f aca="false">IF(AND(AF69&gt;=0,AF70&lt;0),1,0)</f>
        <v>0</v>
      </c>
      <c r="AG71" s="113" t="n">
        <f aca="false">IF(AND(AG69&gt;=0,AG70&lt;0),1,0)</f>
        <v>0</v>
      </c>
      <c r="AH71" s="113" t="n">
        <f aca="false">IF(AND(AH69&gt;=0,AH70&lt;0),1,0)</f>
        <v>0</v>
      </c>
      <c r="AI71" s="113" t="n">
        <f aca="false">IF(AND(AI69&gt;=0,AI70&lt;0),1,0)</f>
        <v>0</v>
      </c>
      <c r="AJ71" s="113" t="n">
        <f aca="false">IF(AND(AJ69&gt;=0,AJ70&lt;0),1,0)</f>
        <v>0</v>
      </c>
      <c r="AK71" s="113" t="n">
        <f aca="false">IF(AND(AK69&gt;=0,AK70&lt;0),1,0)</f>
        <v>0</v>
      </c>
      <c r="AL71" s="113" t="n">
        <f aca="false">IF(AND(AL69&gt;=0,AL70&lt;0),1,0)</f>
        <v>0</v>
      </c>
      <c r="AM71" s="113" t="n">
        <f aca="false">IF(AND(AM69&gt;=0,AM70&lt;0),1,0)</f>
        <v>0</v>
      </c>
      <c r="AN71" s="113" t="n">
        <f aca="false">IF(AND(AN69&gt;=0,AN70&lt;0),1,0)</f>
        <v>0</v>
      </c>
      <c r="AO71" s="113" t="n">
        <f aca="false">IF(AND(AO69&gt;=0,AO70&lt;0),1,0)</f>
        <v>0</v>
      </c>
      <c r="AP71" s="113" t="n">
        <f aca="false">IF(AND(AP69&gt;=0,AP70&lt;0),1,0)</f>
        <v>0</v>
      </c>
      <c r="AQ71" s="113" t="n">
        <f aca="false">IF(AND(AQ69&gt;=0,AQ70&lt;0),1,0)</f>
        <v>0</v>
      </c>
      <c r="AR71" s="113" t="n">
        <f aca="false">IF(AND(AR69&gt;=0,AR70&lt;0),1,0)</f>
        <v>0</v>
      </c>
      <c r="AS71" s="113" t="n">
        <f aca="false">IF(AND(AS69&gt;=0,AS70&lt;0),1,0)</f>
        <v>0</v>
      </c>
      <c r="AT71" s="113" t="n">
        <f aca="false">IF(AND(AT69&gt;=0,AT70&lt;0),1,0)</f>
        <v>0</v>
      </c>
      <c r="AU71" s="113" t="n">
        <f aca="false">IF(AND(AU69&gt;=0,AU70&lt;0),1,0)</f>
        <v>0</v>
      </c>
      <c r="AV71" s="113" t="n">
        <f aca="false">IF(AND(AV69&gt;=0,AV70&lt;0),1,0)</f>
        <v>0</v>
      </c>
      <c r="AW71" s="113" t="n">
        <f aca="false">IF(AND(AW69&gt;=0,AW70&lt;0),1,0)</f>
        <v>0</v>
      </c>
      <c r="AX71" s="113" t="n">
        <f aca="false">IF(AND(AX69&gt;=0,AX70&lt;0),1,0)</f>
        <v>0</v>
      </c>
      <c r="AY71" s="113" t="n">
        <f aca="false">IF(AND(AY69&gt;=0,AY70&lt;0),1,0)</f>
        <v>0</v>
      </c>
      <c r="AZ71" s="113" t="n">
        <f aca="false">IF(AND(AZ69&gt;=0,AZ70&lt;0),1,0)</f>
        <v>0</v>
      </c>
      <c r="BA71" s="113" t="n">
        <f aca="false">IF(AND(BA69&gt;=0,BA70&lt;0),1,0)</f>
        <v>0</v>
      </c>
      <c r="BB71" s="113" t="n">
        <f aca="false">IF(AND(BB69&gt;=0,BB70&lt;0),1,0)</f>
        <v>0</v>
      </c>
      <c r="BC71" s="113" t="n">
        <f aca="false">IF(AND(BC69&gt;=0,BC70&lt;0),1,0)</f>
        <v>0</v>
      </c>
      <c r="BD71" s="113" t="n">
        <f aca="false">IF(AND(BD69&gt;=0,BD70&lt;0),1,0)</f>
        <v>0</v>
      </c>
      <c r="BE71" s="113" t="n">
        <f aca="false">IF(AND(BE69&gt;=0,BE70&lt;0),1,0)</f>
        <v>0</v>
      </c>
      <c r="BF71" s="113" t="n">
        <f aca="false">IF(AND(BF69&gt;=0,BF70&lt;0),1,0)</f>
        <v>0</v>
      </c>
      <c r="BG71" s="113" t="n">
        <f aca="false">IF(AND(BG69&gt;=0,BG70&lt;0),1,0)</f>
        <v>0</v>
      </c>
      <c r="BH71" s="113" t="n">
        <f aca="false">IF(AND(BH69&gt;=0,BH70&lt;0),1,0)</f>
        <v>0</v>
      </c>
      <c r="BI71" s="113" t="n">
        <f aca="false">IF(AND(BI69&gt;=0,BI70&lt;0),1,0)</f>
        <v>0</v>
      </c>
      <c r="BJ71" s="113" t="n">
        <f aca="false">IF(AND(BJ69&gt;=0,BJ70&lt;0),1,0)</f>
        <v>0</v>
      </c>
    </row>
    <row r="72" customFormat="false" ht="15" hidden="false" customHeight="false" outlineLevel="0" collapsed="false">
      <c r="A72" s="6" t="s">
        <v>384</v>
      </c>
      <c r="C72" s="65" t="n">
        <f aca="false">C57-C28*(1-Inputs!$B$41)+C58</f>
        <v>-190322.72</v>
      </c>
      <c r="D72" s="65" t="n">
        <f aca="false">D57-D28*(1-Inputs!$B$41)+D58</f>
        <v>-9644.18666666667</v>
      </c>
      <c r="E72" s="65" t="n">
        <f aca="false">E57-E28*(1-Inputs!$B$41)+E58</f>
        <v>-8850.32</v>
      </c>
      <c r="F72" s="65" t="n">
        <f aca="false">F57-F28*(1-Inputs!$B$41)+F58</f>
        <v>-8056.45333333333</v>
      </c>
      <c r="G72" s="65" t="n">
        <f aca="false">G57-G28*(1-Inputs!$B$41)+G58</f>
        <v>-7262.58666666667</v>
      </c>
      <c r="H72" s="65" t="n">
        <f aca="false">H57-H28*(1-Inputs!$B$41)+H58</f>
        <v>-6468.72</v>
      </c>
      <c r="I72" s="65" t="n">
        <f aca="false">I57-I28*(1-Inputs!$B$41)+I58</f>
        <v>-5674.85333333333</v>
      </c>
      <c r="J72" s="65" t="n">
        <f aca="false">J57-J28*(1-Inputs!$B$41)+J58</f>
        <v>-4880.98666666667</v>
      </c>
      <c r="K72" s="65" t="n">
        <f aca="false">K57-K28*(1-Inputs!$B$41)+K58</f>
        <v>-4087.12</v>
      </c>
      <c r="L72" s="65" t="n">
        <f aca="false">L57-L28*(1-Inputs!$B$41)+L58</f>
        <v>-3293.25333333333</v>
      </c>
      <c r="M72" s="65" t="n">
        <f aca="false">M57-M28*(1-Inputs!$B$41)+M58</f>
        <v>-3314.26666666667</v>
      </c>
      <c r="N72" s="65" t="n">
        <f aca="false">N57-N28*(1-Inputs!$B$41)+N58</f>
        <v>-3312.4</v>
      </c>
      <c r="O72" s="65" t="n">
        <f aca="false">O57-O28*(1-Inputs!$B$41)+O58</f>
        <v>-2944.03941333333</v>
      </c>
      <c r="P72" s="65" t="n">
        <f aca="false">P57-P28*(1-Inputs!$B$41)+P58</f>
        <v>-2959.53866666667</v>
      </c>
      <c r="Q72" s="65" t="n">
        <f aca="false">Q57-Q28*(1-Inputs!$B$41)+Q58</f>
        <v>-2957.672</v>
      </c>
      <c r="R72" s="65" t="n">
        <f aca="false">R57-R28*(1-Inputs!$B$41)+R58</f>
        <v>-2955.80533333333</v>
      </c>
      <c r="S72" s="65" t="n">
        <f aca="false">S57-S28*(1-Inputs!$B$41)+S58</f>
        <v>-2953.93866666667</v>
      </c>
      <c r="T72" s="65" t="n">
        <f aca="false">T57-T28*(1-Inputs!$B$41)+T58</f>
        <v>-2952.072</v>
      </c>
      <c r="U72" s="65" t="n">
        <f aca="false">U57-U28*(1-Inputs!$B$41)+U58</f>
        <v>-2950.20533333333</v>
      </c>
      <c r="V72" s="65" t="n">
        <f aca="false">V57-V28*(1-Inputs!$B$41)+V58</f>
        <v>-2948.33866666667</v>
      </c>
      <c r="W72" s="65" t="n">
        <f aca="false">W57-W28*(1-Inputs!$B$41)+W58</f>
        <v>-2946.472</v>
      </c>
      <c r="X72" s="65" t="n">
        <f aca="false">X57-X28*(1-Inputs!$B$41)+X58</f>
        <v>-2944.60533333333</v>
      </c>
      <c r="Y72" s="65" t="n">
        <f aca="false">Y57-Y28*(1-Inputs!$B$41)+Y58</f>
        <v>-2942.73866666667</v>
      </c>
      <c r="Z72" s="65" t="n">
        <f aca="false">Z57-Z28*(1-Inputs!$B$41)+Z58</f>
        <v>-2940.872</v>
      </c>
      <c r="AA72" s="65" t="n">
        <f aca="false">AA57-AA28*(1-Inputs!$B$41)+AA58</f>
        <v>-2548.77562098134</v>
      </c>
      <c r="AB72" s="65" t="n">
        <f aca="false">AB57-AB28*(1-Inputs!$B$41)+AB58</f>
        <v>-2565.15358986667</v>
      </c>
      <c r="AC72" s="65" t="n">
        <f aca="false">AC57-AC28*(1-Inputs!$B$41)+AC58</f>
        <v>-2563.2869232</v>
      </c>
      <c r="AD72" s="65" t="n">
        <f aca="false">AD57-AD28*(1-Inputs!$B$41)+AD58</f>
        <v>-2561.42025653334</v>
      </c>
      <c r="AE72" s="65" t="n">
        <f aca="false">AE57-AE28*(1-Inputs!$B$41)+AE58</f>
        <v>-2559.55358986667</v>
      </c>
      <c r="AF72" s="65" t="n">
        <f aca="false">AF57-AF28*(1-Inputs!$B$41)+AF58</f>
        <v>-2557.6869232</v>
      </c>
      <c r="AG72" s="65" t="n">
        <f aca="false">AG57-AG28*(1-Inputs!$B$41)+AG58</f>
        <v>-2555.82025653334</v>
      </c>
      <c r="AH72" s="65" t="n">
        <f aca="false">AH57-AH28*(1-Inputs!$B$41)+AH58</f>
        <v>-2553.95358986667</v>
      </c>
      <c r="AI72" s="65" t="n">
        <f aca="false">AI57-AI28*(1-Inputs!$B$41)+AI58</f>
        <v>-2552.0869232</v>
      </c>
      <c r="AJ72" s="65" t="n">
        <f aca="false">AJ57-AJ28*(1-Inputs!$B$41)+AJ58</f>
        <v>-2550.22025653334</v>
      </c>
      <c r="AK72" s="65" t="n">
        <f aca="false">AK57-AK28*(1-Inputs!$B$41)+AK58</f>
        <v>-2548.35358986667</v>
      </c>
      <c r="AL72" s="65" t="n">
        <f aca="false">AL57-AL28*(1-Inputs!$B$41)+AL58</f>
        <v>-2546.4869232</v>
      </c>
      <c r="AM72" s="65" t="n">
        <f aca="false">AM57-AM28*(1-Inputs!$B$41)+AM58</f>
        <v>-2129.29798473632</v>
      </c>
      <c r="AN72" s="65" t="n">
        <f aca="false">AN57-AN28*(1-Inputs!$B$41)+AN58</f>
        <v>-2146.59913218059</v>
      </c>
      <c r="AO72" s="65" t="n">
        <f aca="false">AO57-AO28*(1-Inputs!$B$41)+AO58</f>
        <v>-2144.73246551392</v>
      </c>
      <c r="AP72" s="65" t="n">
        <f aca="false">AP57-AP28*(1-Inputs!$B$41)+AP58</f>
        <v>-2142.86579884726</v>
      </c>
      <c r="AQ72" s="65" t="n">
        <f aca="false">AQ57-AQ28*(1-Inputs!$B$41)+AQ58</f>
        <v>-2140.99913218059</v>
      </c>
      <c r="AR72" s="65" t="n">
        <f aca="false">AR57-AR28*(1-Inputs!$B$41)+AR58</f>
        <v>-2139.13246551392</v>
      </c>
      <c r="AS72" s="65" t="n">
        <f aca="false">AS57-AS28*(1-Inputs!$B$41)+AS58</f>
        <v>-2137.26579884726</v>
      </c>
      <c r="AT72" s="65" t="n">
        <f aca="false">AT57-AT28*(1-Inputs!$B$41)+AT58</f>
        <v>-2135.39913218059</v>
      </c>
      <c r="AU72" s="65" t="n">
        <f aca="false">AU57-AU28*(1-Inputs!$B$41)+AU58</f>
        <v>-2133.53246551392</v>
      </c>
      <c r="AV72" s="65" t="n">
        <f aca="false">AV57-AV28*(1-Inputs!$B$41)+AV58</f>
        <v>-2131.66579884726</v>
      </c>
      <c r="AW72" s="65" t="n">
        <f aca="false">AW57-AW28*(1-Inputs!$B$41)+AW58</f>
        <v>-2129.79913218059</v>
      </c>
      <c r="AX72" s="65" t="n">
        <f aca="false">AX57-AX28*(1-Inputs!$B$41)+AX58</f>
        <v>-2127.93246551392</v>
      </c>
      <c r="AY72" s="65" t="n">
        <f aca="false">AY57-AY28*(1-Inputs!$B$41)+AY58</f>
        <v>-1684.22087601731</v>
      </c>
      <c r="AZ72" s="65" t="n">
        <f aca="false">AZ57-AZ28*(1-Inputs!$B$41)+AZ58</f>
        <v>-1702.49191485559</v>
      </c>
      <c r="BA72" s="65" t="n">
        <f aca="false">BA57-BA28*(1-Inputs!$B$41)+BA58</f>
        <v>-1700.62524818892</v>
      </c>
      <c r="BB72" s="65" t="n">
        <f aca="false">BB57-BB28*(1-Inputs!$B$41)+BB58</f>
        <v>-1698.75858152226</v>
      </c>
      <c r="BC72" s="65" t="n">
        <f aca="false">BC57-BC28*(1-Inputs!$B$41)+BC58</f>
        <v>-1696.89191485559</v>
      </c>
      <c r="BD72" s="65" t="n">
        <f aca="false">BD57-BD28*(1-Inputs!$B$41)+BD58</f>
        <v>-1695.02524818892</v>
      </c>
      <c r="BE72" s="65" t="n">
        <f aca="false">BE57-BE28*(1-Inputs!$B$41)+BE58</f>
        <v>-1693.15858152226</v>
      </c>
      <c r="BF72" s="65" t="n">
        <f aca="false">BF57-BF28*(1-Inputs!$B$41)+BF58</f>
        <v>-1691.29191485559</v>
      </c>
      <c r="BG72" s="65" t="n">
        <f aca="false">BG57-BG28*(1-Inputs!$B$41)+BG58</f>
        <v>-1689.42524818892</v>
      </c>
      <c r="BH72" s="65" t="n">
        <f aca="false">BH57-BH28*(1-Inputs!$B$41)+BH58</f>
        <v>-1687.55858152226</v>
      </c>
      <c r="BI72" s="65" t="n">
        <f aca="false">BI57-BI28*(1-Inputs!$B$41)+BI58</f>
        <v>-1685.69191485559</v>
      </c>
      <c r="BJ72" s="65" t="n">
        <f aca="false">BJ57-BJ28*(1-Inputs!$B$41)+BJ58</f>
        <v>-1683.82524818892</v>
      </c>
    </row>
    <row r="74" customFormat="false" ht="15.75" hidden="false" customHeight="true" outlineLevel="0" collapsed="false">
      <c r="A74" s="7" t="s">
        <v>385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95</v>
      </c>
      <c r="C75" s="65" t="n">
        <f aca="false">C59</f>
        <v>140000</v>
      </c>
      <c r="D75" s="65" t="n">
        <f aca="false">C75+D59</f>
        <v>140000</v>
      </c>
      <c r="E75" s="65" t="n">
        <f aca="false">D75+E59</f>
        <v>140000</v>
      </c>
      <c r="F75" s="65" t="n">
        <f aca="false">E75+F59</f>
        <v>140000</v>
      </c>
      <c r="G75" s="65" t="n">
        <f aca="false">F75+G59</f>
        <v>140000</v>
      </c>
      <c r="H75" s="65" t="n">
        <f aca="false">G75+H59</f>
        <v>140000</v>
      </c>
      <c r="I75" s="65" t="n">
        <f aca="false">H75+I59</f>
        <v>140000</v>
      </c>
      <c r="J75" s="65" t="n">
        <f aca="false">I75+J59</f>
        <v>140000</v>
      </c>
      <c r="K75" s="65" t="n">
        <f aca="false">J75+K59</f>
        <v>140000</v>
      </c>
      <c r="L75" s="65" t="n">
        <f aca="false">K75+L59</f>
        <v>140000</v>
      </c>
      <c r="M75" s="65" t="n">
        <f aca="false">L75+M59</f>
        <v>140000</v>
      </c>
      <c r="N75" s="65" t="n">
        <f aca="false">M75+N59</f>
        <v>140000</v>
      </c>
      <c r="O75" s="65" t="n">
        <f aca="false">N75+O59</f>
        <v>140000</v>
      </c>
      <c r="P75" s="65" t="n">
        <f aca="false">O75+P59</f>
        <v>140000</v>
      </c>
      <c r="Q75" s="65" t="n">
        <f aca="false">P75+Q59</f>
        <v>140000</v>
      </c>
      <c r="R75" s="65" t="n">
        <f aca="false">Q75+R59</f>
        <v>140000</v>
      </c>
      <c r="S75" s="65" t="n">
        <f aca="false">R75+S59</f>
        <v>140000</v>
      </c>
      <c r="T75" s="65" t="n">
        <f aca="false">S75+T59</f>
        <v>140000</v>
      </c>
      <c r="U75" s="65" t="n">
        <f aca="false">T75+U59</f>
        <v>140000</v>
      </c>
      <c r="V75" s="65" t="n">
        <f aca="false">U75+V59</f>
        <v>140000</v>
      </c>
      <c r="W75" s="65" t="n">
        <f aca="false">V75+W59</f>
        <v>140000</v>
      </c>
      <c r="X75" s="65" t="n">
        <f aca="false">W75+X59</f>
        <v>140000</v>
      </c>
      <c r="Y75" s="65" t="n">
        <f aca="false">X75+Y59</f>
        <v>140000</v>
      </c>
      <c r="Z75" s="65" t="n">
        <f aca="false">Y75+Z59</f>
        <v>140000</v>
      </c>
      <c r="AA75" s="65" t="n">
        <f aca="false">Z75+AA59</f>
        <v>140000</v>
      </c>
      <c r="AB75" s="65" t="n">
        <f aca="false">AA75+AB59</f>
        <v>140000</v>
      </c>
      <c r="AC75" s="65" t="n">
        <f aca="false">AB75+AC59</f>
        <v>140000</v>
      </c>
      <c r="AD75" s="65" t="n">
        <f aca="false">AC75+AD59</f>
        <v>140000</v>
      </c>
      <c r="AE75" s="65" t="n">
        <f aca="false">AD75+AE59</f>
        <v>140000</v>
      </c>
      <c r="AF75" s="65" t="n">
        <f aca="false">AE75+AF59</f>
        <v>140000</v>
      </c>
      <c r="AG75" s="65" t="n">
        <f aca="false">AF75+AG59</f>
        <v>140000</v>
      </c>
      <c r="AH75" s="65" t="n">
        <f aca="false">AG75+AH59</f>
        <v>140000</v>
      </c>
      <c r="AI75" s="65" t="n">
        <f aca="false">AH75+AI59</f>
        <v>140000</v>
      </c>
      <c r="AJ75" s="65" t="n">
        <f aca="false">AI75+AJ59</f>
        <v>140000</v>
      </c>
      <c r="AK75" s="65" t="n">
        <f aca="false">AJ75+AK59</f>
        <v>140000</v>
      </c>
      <c r="AL75" s="65" t="n">
        <f aca="false">AK75+AL59</f>
        <v>140000</v>
      </c>
      <c r="AM75" s="65" t="n">
        <f aca="false">AL75+AM59</f>
        <v>140000</v>
      </c>
      <c r="AN75" s="65" t="n">
        <f aca="false">AM75+AN59</f>
        <v>140000</v>
      </c>
      <c r="AO75" s="65" t="n">
        <f aca="false">AN75+AO59</f>
        <v>140000</v>
      </c>
      <c r="AP75" s="65" t="n">
        <f aca="false">AO75+AP59</f>
        <v>140000</v>
      </c>
      <c r="AQ75" s="65" t="n">
        <f aca="false">AP75+AQ59</f>
        <v>140000</v>
      </c>
      <c r="AR75" s="65" t="n">
        <f aca="false">AQ75+AR59</f>
        <v>140000</v>
      </c>
      <c r="AS75" s="65" t="n">
        <f aca="false">AR75+AS59</f>
        <v>140000</v>
      </c>
      <c r="AT75" s="65" t="n">
        <f aca="false">AS75+AT59</f>
        <v>140000</v>
      </c>
      <c r="AU75" s="65" t="n">
        <f aca="false">AT75+AU59</f>
        <v>140000</v>
      </c>
      <c r="AV75" s="65" t="n">
        <f aca="false">AU75+AV59</f>
        <v>140000</v>
      </c>
      <c r="AW75" s="65" t="n">
        <f aca="false">AV75+AW59</f>
        <v>140000</v>
      </c>
      <c r="AX75" s="65" t="n">
        <f aca="false">AW75+AX59</f>
        <v>140000</v>
      </c>
      <c r="AY75" s="65" t="n">
        <f aca="false">AX75+AY59</f>
        <v>140000</v>
      </c>
      <c r="AZ75" s="65" t="n">
        <f aca="false">AY75+AZ59</f>
        <v>140000</v>
      </c>
      <c r="BA75" s="65" t="n">
        <f aca="false">AZ75+BA59</f>
        <v>140000</v>
      </c>
      <c r="BB75" s="65" t="n">
        <f aca="false">BA75+BB59</f>
        <v>140000</v>
      </c>
      <c r="BC75" s="65" t="n">
        <f aca="false">BB75+BC59</f>
        <v>140000</v>
      </c>
      <c r="BD75" s="65" t="n">
        <f aca="false">BC75+BD59</f>
        <v>140000</v>
      </c>
      <c r="BE75" s="65" t="n">
        <f aca="false">BD75+BE59</f>
        <v>140000</v>
      </c>
      <c r="BF75" s="65" t="n">
        <f aca="false">BE75+BF59</f>
        <v>140000</v>
      </c>
      <c r="BG75" s="65" t="n">
        <f aca="false">BF75+BG59</f>
        <v>140000</v>
      </c>
      <c r="BH75" s="65" t="n">
        <f aca="false">BG75+BH59</f>
        <v>140000</v>
      </c>
      <c r="BI75" s="65" t="n">
        <f aca="false">BH75+BI59</f>
        <v>140000</v>
      </c>
      <c r="BJ75" s="65" t="n">
        <f aca="false">BI75+BJ59</f>
        <v>140000</v>
      </c>
    </row>
    <row r="76" customFormat="false" ht="15" hidden="false" customHeight="false" outlineLevel="0" collapsed="false">
      <c r="A76" s="6" t="s">
        <v>96</v>
      </c>
      <c r="C76" s="65" t="n">
        <f aca="false">C33</f>
        <v>-13024.1904761905</v>
      </c>
      <c r="D76" s="65" t="n">
        <f aca="false">C76+D33</f>
        <v>-25251.9365079365</v>
      </c>
      <c r="E76" s="65" t="n">
        <f aca="false">D76+E33</f>
        <v>-36678.7936507937</v>
      </c>
      <c r="F76" s="65" t="n">
        <f aca="false">E76+F33</f>
        <v>-47304.7619047619</v>
      </c>
      <c r="G76" s="65" t="n">
        <f aca="false">F76+G33</f>
        <v>-57129.8412698413</v>
      </c>
      <c r="H76" s="65" t="n">
        <f aca="false">G76+H33</f>
        <v>-66154.0317460318</v>
      </c>
      <c r="I76" s="65" t="n">
        <f aca="false">H76+I33</f>
        <v>-74377.3333333333</v>
      </c>
      <c r="J76" s="65" t="n">
        <f aca="false">I76+J33</f>
        <v>-81799.746031746</v>
      </c>
      <c r="K76" s="65" t="n">
        <f aca="false">J76+K33</f>
        <v>-88421.2698412698</v>
      </c>
      <c r="L76" s="65" t="n">
        <f aca="false">K76+L33</f>
        <v>-94241.9047619048</v>
      </c>
      <c r="M76" s="65" t="n">
        <f aca="false">L76+M33</f>
        <v>-100053.650793651</v>
      </c>
      <c r="N76" s="65" t="n">
        <f aca="false">M76+N33</f>
        <v>-105856.507936508</v>
      </c>
      <c r="O76" s="65" t="n">
        <f aca="false">N76+O33</f>
        <v>-111301.348190476</v>
      </c>
      <c r="P76" s="65" t="n">
        <f aca="false">O76+P33</f>
        <v>-116737.299555556</v>
      </c>
      <c r="Q76" s="65" t="n">
        <f aca="false">P76+Q33</f>
        <v>-122164.362031746</v>
      </c>
      <c r="R76" s="65" t="n">
        <f aca="false">Q76+R33</f>
        <v>-127582.535619048</v>
      </c>
      <c r="S76" s="65" t="n">
        <f aca="false">R76+S33</f>
        <v>-132991.82031746</v>
      </c>
      <c r="T76" s="65" t="n">
        <f aca="false">S76+T33</f>
        <v>-138392.216126984</v>
      </c>
      <c r="U76" s="65" t="n">
        <f aca="false">T76+U33</f>
        <v>-143783.723047619</v>
      </c>
      <c r="V76" s="65" t="n">
        <f aca="false">U76+V33</f>
        <v>-149166.341079365</v>
      </c>
      <c r="W76" s="65" t="n">
        <f aca="false">V76+W33</f>
        <v>-154540.070222222</v>
      </c>
      <c r="X76" s="65" t="n">
        <f aca="false">W76+X33</f>
        <v>-159904.910476191</v>
      </c>
      <c r="Y76" s="65" t="n">
        <f aca="false">X76+Y33</f>
        <v>-165260.86184127</v>
      </c>
      <c r="Z76" s="65" t="n">
        <f aca="false">Y76+Z33</f>
        <v>-170607.92431746</v>
      </c>
      <c r="AA76" s="65" t="n">
        <f aca="false">Z76+AA33</f>
        <v>-175574.112827962</v>
      </c>
      <c r="AB76" s="65" t="n">
        <f aca="false">AA76+AB33</f>
        <v>-180531.412449575</v>
      </c>
      <c r="AC76" s="65" t="n">
        <f aca="false">AB76+AC33</f>
        <v>-185479.823182298</v>
      </c>
      <c r="AD76" s="65" t="n">
        <f aca="false">AC76+AD33</f>
        <v>-190419.345026133</v>
      </c>
      <c r="AE76" s="65" t="n">
        <f aca="false">AD76+AE33</f>
        <v>-195349.977981079</v>
      </c>
      <c r="AF76" s="65" t="n">
        <f aca="false">AE76+AF33</f>
        <v>-200271.722047137</v>
      </c>
      <c r="AG76" s="65" t="n">
        <f aca="false">AF76+AG33</f>
        <v>-205184.577224305</v>
      </c>
      <c r="AH76" s="65" t="n">
        <f aca="false">AG76+AH33</f>
        <v>-210088.543512584</v>
      </c>
      <c r="AI76" s="65" t="n">
        <f aca="false">AH76+AI33</f>
        <v>-214983.620911975</v>
      </c>
      <c r="AJ76" s="65" t="n">
        <f aca="false">AI76+AJ33</f>
        <v>-219869.809422476</v>
      </c>
      <c r="AK76" s="65" t="n">
        <f aca="false">AJ76+AK33</f>
        <v>-224747.109044089</v>
      </c>
      <c r="AL76" s="65" t="n">
        <f aca="false">AK76+AL33</f>
        <v>-229615.519776813</v>
      </c>
      <c r="AM76" s="65" t="n">
        <f aca="false">AL76+AM33</f>
        <v>-234078.887162962</v>
      </c>
      <c r="AN76" s="65" t="n">
        <f aca="false">AM76+AN33</f>
        <v>-238533.365660222</v>
      </c>
      <c r="AO76" s="65" t="n">
        <f aca="false">AN76+AO33</f>
        <v>-242978.955268593</v>
      </c>
      <c r="AP76" s="65" t="n">
        <f aca="false">AO76+AP33</f>
        <v>-247415.655988075</v>
      </c>
      <c r="AQ76" s="65" t="n">
        <f aca="false">AP76+AQ33</f>
        <v>-251843.467818668</v>
      </c>
      <c r="AR76" s="65" t="n">
        <f aca="false">AQ76+AR33</f>
        <v>-256262.390760372</v>
      </c>
      <c r="AS76" s="65" t="n">
        <f aca="false">AR76+AS33</f>
        <v>-260672.424813188</v>
      </c>
      <c r="AT76" s="65" t="n">
        <f aca="false">AS76+AT33</f>
        <v>-265073.569977115</v>
      </c>
      <c r="AU76" s="65" t="n">
        <f aca="false">AT76+AU33</f>
        <v>-269465.826252152</v>
      </c>
      <c r="AV76" s="65" t="n">
        <f aca="false">AU76+AV33</f>
        <v>-273849.193638301</v>
      </c>
      <c r="AW76" s="65" t="n">
        <f aca="false">AV76+AW33</f>
        <v>-278223.672135561</v>
      </c>
      <c r="AX76" s="65" t="n">
        <f aca="false">AW76+AX33</f>
        <v>-282589.261743932</v>
      </c>
      <c r="AY76" s="65" t="n">
        <f aca="false">AX76+AY33</f>
        <v>-286524.255246089</v>
      </c>
      <c r="AZ76" s="65" t="n">
        <f aca="false">AY76+AZ33</f>
        <v>-290450.359859358</v>
      </c>
      <c r="BA76" s="65" t="n">
        <f aca="false">AZ76+BA33</f>
        <v>-294367.575583737</v>
      </c>
      <c r="BB76" s="65" t="n">
        <f aca="false">BA76+BB33</f>
        <v>-298275.902419228</v>
      </c>
      <c r="BC76" s="65" t="n">
        <f aca="false">BB76+BC33</f>
        <v>-302175.340365829</v>
      </c>
      <c r="BD76" s="65" t="n">
        <f aca="false">BC76+BD33</f>
        <v>-306065.889423542</v>
      </c>
      <c r="BE76" s="65" t="n">
        <f aca="false">BD76+BE33</f>
        <v>-309947.549592366</v>
      </c>
      <c r="BF76" s="65" t="n">
        <f aca="false">BE76+BF33</f>
        <v>-313820.320872301</v>
      </c>
      <c r="BG76" s="65" t="n">
        <f aca="false">BF76+BG33</f>
        <v>-317684.203263347</v>
      </c>
      <c r="BH76" s="65" t="n">
        <f aca="false">BG76+BH33</f>
        <v>-321539.196765504</v>
      </c>
      <c r="BI76" s="65" t="n">
        <f aca="false">BH76+BI33</f>
        <v>-325385.301378772</v>
      </c>
      <c r="BJ76" s="65" t="n">
        <f aca="false">BI76+BJ33</f>
        <v>-329222.517103152</v>
      </c>
    </row>
    <row r="77" customFormat="false" ht="15" hidden="false" customHeight="false" outlineLevel="0" collapsed="false">
      <c r="A77" s="4" t="s">
        <v>91</v>
      </c>
      <c r="C77" s="71" t="n">
        <f aca="false">C63+C49+C50+C40</f>
        <v>208306.36952381</v>
      </c>
      <c r="D77" s="71" t="n">
        <f aca="false">D63+D49+D50+D40</f>
        <v>194967.05015873</v>
      </c>
      <c r="E77" s="71" t="n">
        <f aca="false">E63+E49+E50+E40</f>
        <v>182428.61968254</v>
      </c>
      <c r="F77" s="71" t="n">
        <f aca="false">F63+F49+F50+F40</f>
        <v>170691.078095238</v>
      </c>
      <c r="G77" s="71" t="n">
        <f aca="false">G63+G49+G50+G40</f>
        <v>159754.425396825</v>
      </c>
      <c r="H77" s="71" t="n">
        <f aca="false">H63+H49+H50+H40</f>
        <v>149618.661587302</v>
      </c>
      <c r="I77" s="71" t="n">
        <f aca="false">I63+I49+I50+I40</f>
        <v>140283.786666667</v>
      </c>
      <c r="J77" s="71" t="n">
        <f aca="false">J63+J49+J50+J40</f>
        <v>131749.800634921</v>
      </c>
      <c r="K77" s="71" t="n">
        <f aca="false">K63+K49+K50+K40</f>
        <v>124016.703492063</v>
      </c>
      <c r="L77" s="71" t="n">
        <f aca="false">L63+L49+L50+L40</f>
        <v>117084.495238095</v>
      </c>
      <c r="M77" s="71" t="n">
        <f aca="false">M63+M49+M50+M40</f>
        <v>109939.415873016</v>
      </c>
      <c r="N77" s="71" t="n">
        <f aca="false">N63+N49+N50+N40</f>
        <v>102803.225396825</v>
      </c>
      <c r="O77" s="71" t="n">
        <f aca="false">O63+O49+O50+O40</f>
        <v>96193.3676495238</v>
      </c>
      <c r="P77" s="71" t="n">
        <f aca="false">P63+P49+P50+P40</f>
        <v>89424.0829511111</v>
      </c>
      <c r="Q77" s="71" t="n">
        <f aca="false">Q63+Q49+Q50+Q40</f>
        <v>82663.6871415873</v>
      </c>
      <c r="R77" s="71" t="n">
        <f aca="false">R63+R49+R50+R40</f>
        <v>75912.1802209524</v>
      </c>
      <c r="S77" s="71" t="n">
        <f aca="false">S63+S49+S50+S40</f>
        <v>69169.5621892063</v>
      </c>
      <c r="T77" s="71" t="n">
        <f aca="false">T63+T49+T50+T40</f>
        <v>62435.8330463492</v>
      </c>
      <c r="U77" s="71" t="n">
        <f aca="false">U63+U49+U50+U40</f>
        <v>55710.9927923809</v>
      </c>
      <c r="V77" s="71" t="n">
        <f aca="false">V63+V49+V50+V40</f>
        <v>48995.0414273016</v>
      </c>
      <c r="W77" s="71" t="n">
        <f aca="false">W63+W49+W50+W40</f>
        <v>42287.9789511111</v>
      </c>
      <c r="X77" s="71" t="n">
        <f aca="false">X63+X49+X50+X40</f>
        <v>35589.8053638095</v>
      </c>
      <c r="Y77" s="71" t="n">
        <f aca="false">Y63+Y49+Y50+Y40</f>
        <v>28900.5206653968</v>
      </c>
      <c r="Z77" s="71" t="n">
        <f aca="false">Z63+Z49+Z50+Z40</f>
        <v>22220.124855873</v>
      </c>
      <c r="AA77" s="71" t="n">
        <f aca="false">AA63+AA49+AA50+AA40</f>
        <v>16097.4356335421</v>
      </c>
      <c r="AB77" s="71" t="n">
        <f aca="false">AB63+AB49+AB50+AB40</f>
        <v>9806.80267859603</v>
      </c>
      <c r="AC77" s="71" t="n">
        <f aca="false">AC63+AC49+AC50+AC40</f>
        <v>3525.05861253888</v>
      </c>
      <c r="AD77" s="71" t="n">
        <f aca="false">AD63+AD49+AD50+AD40</f>
        <v>-2747.79656462937</v>
      </c>
      <c r="AE77" s="71" t="n">
        <f aca="false">AE63+AE49+AE50+AE40</f>
        <v>-9011.76285290874</v>
      </c>
      <c r="AF77" s="71" t="n">
        <f aca="false">AF63+AF49+AF50+AF40</f>
        <v>-15266.8402522992</v>
      </c>
      <c r="AG77" s="71" t="n">
        <f aca="false">AG63+AG49+AG50+AG40</f>
        <v>-21513.0287628008</v>
      </c>
      <c r="AH77" s="71" t="n">
        <f aca="false">AH63+AH49+AH50+AH40</f>
        <v>-27750.3283844135</v>
      </c>
      <c r="AI77" s="71" t="n">
        <f aca="false">AI63+AI49+AI50+AI40</f>
        <v>-33978.7391171373</v>
      </c>
      <c r="AJ77" s="71" t="n">
        <f aca="false">AJ63+AJ49+AJ50+AJ40</f>
        <v>-40198.2609609722</v>
      </c>
      <c r="AK77" s="71" t="n">
        <f aca="false">AK63+AK49+AK50+AK40</f>
        <v>-46408.8939159183</v>
      </c>
      <c r="AL77" s="71" t="n">
        <f aca="false">AL63+AL49+AL50+AL40</f>
        <v>-52610.6379819754</v>
      </c>
      <c r="AM77" s="71" t="n">
        <f aca="false">AM63+AM49+AM50+AM40</f>
        <v>-58221.5583493055</v>
      </c>
      <c r="AN77" s="71" t="n">
        <f aca="false">AN63+AN49+AN50+AN40</f>
        <v>-64009.3701798988</v>
      </c>
      <c r="AO77" s="71" t="n">
        <f aca="false">AO63+AO49+AO50+AO40</f>
        <v>-69788.2931216032</v>
      </c>
      <c r="AP77" s="71" t="n">
        <f aca="false">AP63+AP49+AP50+AP40</f>
        <v>-75558.3271744187</v>
      </c>
      <c r="AQ77" s="71" t="n">
        <f aca="false">AQ63+AQ49+AQ50+AQ40</f>
        <v>-81319.4723383453</v>
      </c>
      <c r="AR77" s="71" t="n">
        <f aca="false">AR63+AR49+AR50+AR40</f>
        <v>-87071.728613383</v>
      </c>
      <c r="AS77" s="71" t="n">
        <f aca="false">AS63+AS49+AS50+AS40</f>
        <v>-92815.0959995319</v>
      </c>
      <c r="AT77" s="71" t="n">
        <f aca="false">AT63+AT49+AT50+AT40</f>
        <v>-98549.5744967918</v>
      </c>
      <c r="AU77" s="71" t="n">
        <f aca="false">AU63+AU49+AU50+AU40</f>
        <v>-104275.164105163</v>
      </c>
      <c r="AV77" s="71" t="n">
        <f aca="false">AV63+AV49+AV50+AV40</f>
        <v>-109991.864824645</v>
      </c>
      <c r="AW77" s="71" t="n">
        <f aca="false">AW63+AW49+AW50+AW40</f>
        <v>-115699.676655238</v>
      </c>
      <c r="AX77" s="71" t="n">
        <f aca="false">AX63+AX49+AX50+AX40</f>
        <v>-121398.599596943</v>
      </c>
      <c r="AY77" s="71" t="n">
        <f aca="false">AY63+AY49+AY50+AY40</f>
        <v>-126471.745594462</v>
      </c>
      <c r="AZ77" s="71" t="n">
        <f aca="false">AZ63+AZ49+AZ50+AZ40</f>
        <v>-131731.183541064</v>
      </c>
      <c r="BA77" s="71" t="n">
        <f aca="false">BA63+BA49+BA50+BA40</f>
        <v>-136981.732598777</v>
      </c>
      <c r="BB77" s="71" t="n">
        <f aca="false">BB63+BB49+BB50+BB40</f>
        <v>-142223.3927676</v>
      </c>
      <c r="BC77" s="71" t="n">
        <f aca="false">BC63+BC49+BC50+BC40</f>
        <v>-147456.164047535</v>
      </c>
      <c r="BD77" s="71" t="n">
        <f aca="false">BD63+BD49+BD50+BD40</f>
        <v>-152680.046438582</v>
      </c>
      <c r="BE77" s="71" t="n">
        <f aca="false">BE63+BE49+BE50+BE40</f>
        <v>-157895.039940739</v>
      </c>
      <c r="BF77" s="71" t="n">
        <f aca="false">BF63+BF49+BF50+BF40</f>
        <v>-163101.144554007</v>
      </c>
      <c r="BG77" s="71" t="n">
        <f aca="false">BG63+BG49+BG50+BG40</f>
        <v>-168298.360278386</v>
      </c>
      <c r="BH77" s="71" t="n">
        <f aca="false">BH63+BH49+BH50+BH40</f>
        <v>-173486.687113877</v>
      </c>
      <c r="BI77" s="71" t="n">
        <f aca="false">BI63+BI49+BI50+BI40</f>
        <v>-178666.125060479</v>
      </c>
      <c r="BJ77" s="71" t="n">
        <f aca="false">BJ63+BJ49+BJ50+BJ40</f>
        <v>-183836.674118191</v>
      </c>
    </row>
    <row r="78" customFormat="false" ht="15" hidden="false" customHeight="false" outlineLevel="0" collapsed="false">
      <c r="A78" s="6" t="s">
        <v>94</v>
      </c>
      <c r="C78" s="65" t="n">
        <f aca="false">C51+C46</f>
        <v>81330.56</v>
      </c>
      <c r="D78" s="65" t="n">
        <f aca="false">D51+D46</f>
        <v>80218.9866666667</v>
      </c>
      <c r="E78" s="65" t="n">
        <f aca="false">E51+E46</f>
        <v>79107.4133333333</v>
      </c>
      <c r="F78" s="65" t="n">
        <f aca="false">F51+F46</f>
        <v>77995.84</v>
      </c>
      <c r="G78" s="65" t="n">
        <f aca="false">G51+G46</f>
        <v>76884.2666666667</v>
      </c>
      <c r="H78" s="65" t="n">
        <f aca="false">H51+H46</f>
        <v>75772.6933333334</v>
      </c>
      <c r="I78" s="65" t="n">
        <f aca="false">I51+I46</f>
        <v>74661.12</v>
      </c>
      <c r="J78" s="65" t="n">
        <f aca="false">J51+J46</f>
        <v>73549.5466666667</v>
      </c>
      <c r="K78" s="65" t="n">
        <f aca="false">K51+K46</f>
        <v>72437.9733333334</v>
      </c>
      <c r="L78" s="65" t="n">
        <f aca="false">L51+L46</f>
        <v>71326.4</v>
      </c>
      <c r="M78" s="65" t="n">
        <f aca="false">M51+M46</f>
        <v>69993.0666666667</v>
      </c>
      <c r="N78" s="65" t="n">
        <f aca="false">N51+N46</f>
        <v>68659.7333333334</v>
      </c>
      <c r="O78" s="65" t="n">
        <f aca="false">O51+O46</f>
        <v>67494.7158400001</v>
      </c>
      <c r="P78" s="65" t="n">
        <f aca="false">P51+P46</f>
        <v>66161.3825066667</v>
      </c>
      <c r="Q78" s="65" t="n">
        <f aca="false">Q51+Q46</f>
        <v>64828.0491733334</v>
      </c>
      <c r="R78" s="65" t="n">
        <f aca="false">R51+R46</f>
        <v>63494.71584</v>
      </c>
      <c r="S78" s="65" t="n">
        <f aca="false">S51+S46</f>
        <v>62161.3825066667</v>
      </c>
      <c r="T78" s="65" t="n">
        <f aca="false">T51+T46</f>
        <v>60828.0491733334</v>
      </c>
      <c r="U78" s="65" t="n">
        <f aca="false">U51+U46</f>
        <v>59494.71584</v>
      </c>
      <c r="V78" s="65" t="n">
        <f aca="false">V51+V46</f>
        <v>58161.3825066667</v>
      </c>
      <c r="W78" s="65" t="n">
        <f aca="false">W51+W46</f>
        <v>56828.0491733334</v>
      </c>
      <c r="X78" s="65" t="n">
        <f aca="false">X51+X46</f>
        <v>55494.71584</v>
      </c>
      <c r="Y78" s="65" t="n">
        <f aca="false">Y51+Y46</f>
        <v>54161.3825066667</v>
      </c>
      <c r="Z78" s="65" t="n">
        <f aca="false">Z51+Z46</f>
        <v>52828.0491733334</v>
      </c>
      <c r="AA78" s="65" t="n">
        <f aca="false">AA51+AA46</f>
        <v>51671.548461504</v>
      </c>
      <c r="AB78" s="65" t="n">
        <f aca="false">AB51+AB46</f>
        <v>50338.2151281707</v>
      </c>
      <c r="AC78" s="65" t="n">
        <f aca="false">AC51+AC46</f>
        <v>49004.8817948373</v>
      </c>
      <c r="AD78" s="65" t="n">
        <f aca="false">AD51+AD46</f>
        <v>47671.548461504</v>
      </c>
      <c r="AE78" s="65" t="n">
        <f aca="false">AE51+AE46</f>
        <v>46338.2151281707</v>
      </c>
      <c r="AF78" s="65" t="n">
        <f aca="false">AF51+AF46</f>
        <v>45004.8817948373</v>
      </c>
      <c r="AG78" s="65" t="n">
        <f aca="false">AG51+AG46</f>
        <v>43671.548461504</v>
      </c>
      <c r="AH78" s="65" t="n">
        <f aca="false">AH51+AH46</f>
        <v>42338.2151281707</v>
      </c>
      <c r="AI78" s="65" t="n">
        <f aca="false">AI51+AI46</f>
        <v>41004.8817948373</v>
      </c>
      <c r="AJ78" s="65" t="n">
        <f aca="false">AJ51+AJ46</f>
        <v>39671.548461504</v>
      </c>
      <c r="AK78" s="65" t="n">
        <f aca="false">AK51+AK46</f>
        <v>38338.2151281707</v>
      </c>
      <c r="AL78" s="65" t="n">
        <f aca="false">AL51+AL46</f>
        <v>37004.8817948373</v>
      </c>
      <c r="AM78" s="65" t="n">
        <f aca="false">AM51+AM46</f>
        <v>35857.3288136561</v>
      </c>
      <c r="AN78" s="65" t="n">
        <f aca="false">AN51+AN46</f>
        <v>34523.9954803228</v>
      </c>
      <c r="AO78" s="65" t="n">
        <f aca="false">AO51+AO46</f>
        <v>33190.6621469894</v>
      </c>
      <c r="AP78" s="65" t="n">
        <f aca="false">AP51+AP46</f>
        <v>31857.3288136561</v>
      </c>
      <c r="AQ78" s="65" t="n">
        <f aca="false">AQ51+AQ46</f>
        <v>30523.9954803228</v>
      </c>
      <c r="AR78" s="65" t="n">
        <f aca="false">AR51+AR46</f>
        <v>29190.6621469894</v>
      </c>
      <c r="AS78" s="65" t="n">
        <f aca="false">AS51+AS46</f>
        <v>27857.3288136561</v>
      </c>
      <c r="AT78" s="65" t="n">
        <f aca="false">AT51+AT46</f>
        <v>26523.9954803228</v>
      </c>
      <c r="AU78" s="65" t="n">
        <f aca="false">AU51+AU46</f>
        <v>25190.6621469894</v>
      </c>
      <c r="AV78" s="65" t="n">
        <f aca="false">AV51+AV46</f>
        <v>23857.3288136561</v>
      </c>
      <c r="AW78" s="65" t="n">
        <f aca="false">AW51+AW46</f>
        <v>22523.9954803228</v>
      </c>
      <c r="AX78" s="65" t="n">
        <f aca="false">AX51+AX46</f>
        <v>21190.6621469894</v>
      </c>
      <c r="AY78" s="65" t="n">
        <f aca="false">AY51+AY46</f>
        <v>20052.5096516271</v>
      </c>
      <c r="AZ78" s="65" t="n">
        <f aca="false">AZ51+AZ46</f>
        <v>18719.1763182938</v>
      </c>
      <c r="BA78" s="65" t="n">
        <f aca="false">BA51+BA46</f>
        <v>17385.8429849604</v>
      </c>
      <c r="BB78" s="65" t="n">
        <f aca="false">BB51+BB46</f>
        <v>16052.5096516271</v>
      </c>
      <c r="BC78" s="65" t="n">
        <f aca="false">BC51+BC46</f>
        <v>14719.1763182938</v>
      </c>
      <c r="BD78" s="65" t="n">
        <f aca="false">BD51+BD46</f>
        <v>13385.8429849604</v>
      </c>
      <c r="BE78" s="65" t="n">
        <f aca="false">BE51+BE46</f>
        <v>12052.5096516271</v>
      </c>
      <c r="BF78" s="65" t="n">
        <f aca="false">BF51+BF46</f>
        <v>10719.1763182938</v>
      </c>
      <c r="BG78" s="65" t="n">
        <f aca="false">BG51+BG46</f>
        <v>9385.84298496043</v>
      </c>
      <c r="BH78" s="65" t="n">
        <f aca="false">BH51+BH46</f>
        <v>8052.5096516271</v>
      </c>
      <c r="BI78" s="65" t="n">
        <f aca="false">BI51+BI46</f>
        <v>6719.17631829377</v>
      </c>
      <c r="BJ78" s="65" t="n">
        <f aca="false">BJ51+BJ46</f>
        <v>5385.84298496044</v>
      </c>
    </row>
    <row r="79" customFormat="false" ht="15" hidden="false" customHeight="false" outlineLevel="0" collapsed="false">
      <c r="A79" s="6" t="s">
        <v>97</v>
      </c>
      <c r="C79" s="65" t="n">
        <f aca="false">C75+C76</f>
        <v>126975.80952381</v>
      </c>
      <c r="D79" s="65" t="n">
        <f aca="false">D75+D76</f>
        <v>114748.063492063</v>
      </c>
      <c r="E79" s="65" t="n">
        <f aca="false">E75+E76</f>
        <v>103321.206349206</v>
      </c>
      <c r="F79" s="65" t="n">
        <f aca="false">F75+F76</f>
        <v>92695.2380952381</v>
      </c>
      <c r="G79" s="65" t="n">
        <f aca="false">G75+G76</f>
        <v>82870.1587301587</v>
      </c>
      <c r="H79" s="65" t="n">
        <f aca="false">H75+H76</f>
        <v>73845.9682539683</v>
      </c>
      <c r="I79" s="65" t="n">
        <f aca="false">I75+I76</f>
        <v>65622.6666666667</v>
      </c>
      <c r="J79" s="65" t="n">
        <f aca="false">J75+J76</f>
        <v>58200.253968254</v>
      </c>
      <c r="K79" s="65" t="n">
        <f aca="false">K75+K76</f>
        <v>51578.7301587302</v>
      </c>
      <c r="L79" s="65" t="n">
        <f aca="false">L75+L76</f>
        <v>45758.0952380952</v>
      </c>
      <c r="M79" s="65" t="n">
        <f aca="false">M75+M76</f>
        <v>39946.3492063492</v>
      </c>
      <c r="N79" s="65" t="n">
        <f aca="false">N75+N76</f>
        <v>34143.4920634921</v>
      </c>
      <c r="O79" s="65" t="n">
        <f aca="false">O75+O76</f>
        <v>28698.6518095238</v>
      </c>
      <c r="P79" s="65" t="n">
        <f aca="false">P75+P76</f>
        <v>23262.7004444444</v>
      </c>
      <c r="Q79" s="65" t="n">
        <f aca="false">Q75+Q76</f>
        <v>17835.637968254</v>
      </c>
      <c r="R79" s="65" t="n">
        <f aca="false">R75+R76</f>
        <v>12417.4643809524</v>
      </c>
      <c r="S79" s="65" t="n">
        <f aca="false">S75+S76</f>
        <v>7008.17968253966</v>
      </c>
      <c r="T79" s="65" t="n">
        <f aca="false">T75+T76</f>
        <v>1607.78387301584</v>
      </c>
      <c r="U79" s="65" t="n">
        <f aca="false">U75+U76</f>
        <v>-3783.72304761907</v>
      </c>
      <c r="V79" s="65" t="n">
        <f aca="false">V75+V76</f>
        <v>-9166.34107936511</v>
      </c>
      <c r="W79" s="65" t="n">
        <f aca="false">W75+W76</f>
        <v>-14540.0702222222</v>
      </c>
      <c r="X79" s="65" t="n">
        <f aca="false">X75+X76</f>
        <v>-19904.9104761905</v>
      </c>
      <c r="Y79" s="65" t="n">
        <f aca="false">Y75+Y76</f>
        <v>-25260.8618412699</v>
      </c>
      <c r="Z79" s="65" t="n">
        <f aca="false">Z75+Z76</f>
        <v>-30607.9243174603</v>
      </c>
      <c r="AA79" s="65" t="n">
        <f aca="false">AA75+AA76</f>
        <v>-35574.1128279619</v>
      </c>
      <c r="AB79" s="65" t="n">
        <f aca="false">AB75+AB76</f>
        <v>-40531.4124495746</v>
      </c>
      <c r="AC79" s="65" t="n">
        <f aca="false">AC75+AC76</f>
        <v>-45479.8231822984</v>
      </c>
      <c r="AD79" s="65" t="n">
        <f aca="false">AD75+AD76</f>
        <v>-50419.3450261334</v>
      </c>
      <c r="AE79" s="65" t="n">
        <f aca="false">AE75+AE76</f>
        <v>-55349.9779810794</v>
      </c>
      <c r="AF79" s="65" t="n">
        <f aca="false">AF75+AF76</f>
        <v>-60271.7220471365</v>
      </c>
      <c r="AG79" s="65" t="n">
        <f aca="false">AG75+AG76</f>
        <v>-65184.5772243048</v>
      </c>
      <c r="AH79" s="65" t="n">
        <f aca="false">AH75+AH76</f>
        <v>-70088.5435125842</v>
      </c>
      <c r="AI79" s="65" t="n">
        <f aca="false">AI75+AI76</f>
        <v>-74983.6209119746</v>
      </c>
      <c r="AJ79" s="65" t="n">
        <f aca="false">AJ75+AJ76</f>
        <v>-79869.8094224762</v>
      </c>
      <c r="AK79" s="65" t="n">
        <f aca="false">AK75+AK76</f>
        <v>-84747.1090440889</v>
      </c>
      <c r="AL79" s="65" t="n">
        <f aca="false">AL75+AL76</f>
        <v>-89615.5197768127</v>
      </c>
      <c r="AM79" s="65" t="n">
        <f aca="false">AM75+AM76</f>
        <v>-94078.8871629616</v>
      </c>
      <c r="AN79" s="65" t="n">
        <f aca="false">AN75+AN76</f>
        <v>-98533.3656602215</v>
      </c>
      <c r="AO79" s="65" t="n">
        <f aca="false">AO75+AO76</f>
        <v>-102978.955268593</v>
      </c>
      <c r="AP79" s="65" t="n">
        <f aca="false">AP75+AP76</f>
        <v>-107415.655988075</v>
      </c>
      <c r="AQ79" s="65" t="n">
        <f aca="false">AQ75+AQ76</f>
        <v>-111843.467818668</v>
      </c>
      <c r="AR79" s="65" t="n">
        <f aca="false">AR75+AR76</f>
        <v>-116262.390760372</v>
      </c>
      <c r="AS79" s="65" t="n">
        <f aca="false">AS75+AS76</f>
        <v>-120672.424813188</v>
      </c>
      <c r="AT79" s="65" t="n">
        <f aca="false">AT75+AT76</f>
        <v>-125073.569977115</v>
      </c>
      <c r="AU79" s="65" t="n">
        <f aca="false">AU75+AU76</f>
        <v>-129465.826252152</v>
      </c>
      <c r="AV79" s="65" t="n">
        <f aca="false">AV75+AV76</f>
        <v>-133849.193638301</v>
      </c>
      <c r="AW79" s="65" t="n">
        <f aca="false">AW75+AW76</f>
        <v>-138223.672135561</v>
      </c>
      <c r="AX79" s="65" t="n">
        <f aca="false">AX75+AX76</f>
        <v>-142589.261743932</v>
      </c>
      <c r="AY79" s="65" t="n">
        <f aca="false">AY75+AY76</f>
        <v>-146524.255246089</v>
      </c>
      <c r="AZ79" s="65" t="n">
        <f aca="false">AZ75+AZ76</f>
        <v>-150450.359859358</v>
      </c>
      <c r="BA79" s="65" t="n">
        <f aca="false">BA75+BA76</f>
        <v>-154367.575583737</v>
      </c>
      <c r="BB79" s="65" t="n">
        <f aca="false">BB75+BB76</f>
        <v>-158275.902419228</v>
      </c>
      <c r="BC79" s="65" t="n">
        <f aca="false">BC75+BC76</f>
        <v>-162175.340365829</v>
      </c>
      <c r="BD79" s="65" t="n">
        <f aca="false">BD75+BD76</f>
        <v>-166065.889423542</v>
      </c>
      <c r="BE79" s="65" t="n">
        <f aca="false">BE75+BE76</f>
        <v>-169947.549592366</v>
      </c>
      <c r="BF79" s="65" t="n">
        <f aca="false">BF75+BF76</f>
        <v>-173820.320872301</v>
      </c>
      <c r="BG79" s="65" t="n">
        <f aca="false">BG75+BG76</f>
        <v>-177684.203263347</v>
      </c>
      <c r="BH79" s="65" t="n">
        <f aca="false">BH75+BH76</f>
        <v>-181539.196765504</v>
      </c>
      <c r="BI79" s="65" t="n">
        <f aca="false">BI75+BI76</f>
        <v>-185385.301378772</v>
      </c>
      <c r="BJ79" s="65" t="n">
        <f aca="false">BJ75+BJ76</f>
        <v>-189222.517103152</v>
      </c>
    </row>
    <row r="80" customFormat="false" ht="15" hidden="false" customHeight="false" outlineLevel="0" collapsed="false">
      <c r="A80" s="4" t="s">
        <v>98</v>
      </c>
      <c r="C80" s="71" t="n">
        <f aca="false">C78+C79</f>
        <v>208306.36952381</v>
      </c>
      <c r="D80" s="71" t="n">
        <f aca="false">D78+D79</f>
        <v>194967.05015873</v>
      </c>
      <c r="E80" s="71" t="n">
        <f aca="false">E78+E79</f>
        <v>182428.61968254</v>
      </c>
      <c r="F80" s="71" t="n">
        <f aca="false">F78+F79</f>
        <v>170691.078095238</v>
      </c>
      <c r="G80" s="71" t="n">
        <f aca="false">G78+G79</f>
        <v>159754.425396825</v>
      </c>
      <c r="H80" s="71" t="n">
        <f aca="false">H78+H79</f>
        <v>149618.661587302</v>
      </c>
      <c r="I80" s="71" t="n">
        <f aca="false">I78+I79</f>
        <v>140283.786666667</v>
      </c>
      <c r="J80" s="71" t="n">
        <f aca="false">J78+J79</f>
        <v>131749.800634921</v>
      </c>
      <c r="K80" s="71" t="n">
        <f aca="false">K78+K79</f>
        <v>124016.703492064</v>
      </c>
      <c r="L80" s="71" t="n">
        <f aca="false">L78+L79</f>
        <v>117084.495238095</v>
      </c>
      <c r="M80" s="71" t="n">
        <f aca="false">M78+M79</f>
        <v>109939.415873016</v>
      </c>
      <c r="N80" s="71" t="n">
        <f aca="false">N78+N79</f>
        <v>102803.225396825</v>
      </c>
      <c r="O80" s="71" t="n">
        <f aca="false">O78+O79</f>
        <v>96193.3676495239</v>
      </c>
      <c r="P80" s="71" t="n">
        <f aca="false">P78+P79</f>
        <v>89424.0829511111</v>
      </c>
      <c r="Q80" s="71" t="n">
        <f aca="false">Q78+Q79</f>
        <v>82663.6871415873</v>
      </c>
      <c r="R80" s="71" t="n">
        <f aca="false">R78+R79</f>
        <v>75912.1802209524</v>
      </c>
      <c r="S80" s="71" t="n">
        <f aca="false">S78+S79</f>
        <v>69169.5621892064</v>
      </c>
      <c r="T80" s="71" t="n">
        <f aca="false">T78+T79</f>
        <v>62435.8330463492</v>
      </c>
      <c r="U80" s="71" t="n">
        <f aca="false">U78+U79</f>
        <v>55710.992792381</v>
      </c>
      <c r="V80" s="71" t="n">
        <f aca="false">V78+V79</f>
        <v>48995.0414273016</v>
      </c>
      <c r="W80" s="71" t="n">
        <f aca="false">W78+W79</f>
        <v>42287.9789511111</v>
      </c>
      <c r="X80" s="71" t="n">
        <f aca="false">X78+X79</f>
        <v>35589.8053638095</v>
      </c>
      <c r="Y80" s="71" t="n">
        <f aca="false">Y78+Y79</f>
        <v>28900.5206653968</v>
      </c>
      <c r="Z80" s="71" t="n">
        <f aca="false">Z78+Z79</f>
        <v>22220.124855873</v>
      </c>
      <c r="AA80" s="71" t="n">
        <f aca="false">AA78+AA79</f>
        <v>16097.4356335421</v>
      </c>
      <c r="AB80" s="71" t="n">
        <f aca="false">AB78+AB79</f>
        <v>9806.80267859605</v>
      </c>
      <c r="AC80" s="71" t="n">
        <f aca="false">AC78+AC79</f>
        <v>3525.05861253892</v>
      </c>
      <c r="AD80" s="71" t="n">
        <f aca="false">AD78+AD79</f>
        <v>-2747.79656462935</v>
      </c>
      <c r="AE80" s="71" t="n">
        <f aca="false">AE78+AE79</f>
        <v>-9011.7628529087</v>
      </c>
      <c r="AF80" s="71" t="n">
        <f aca="false">AF78+AF79</f>
        <v>-15266.8402522992</v>
      </c>
      <c r="AG80" s="71" t="n">
        <f aca="false">AG78+AG79</f>
        <v>-21513.0287628008</v>
      </c>
      <c r="AH80" s="71" t="n">
        <f aca="false">AH78+AH79</f>
        <v>-27750.3283844135</v>
      </c>
      <c r="AI80" s="71" t="n">
        <f aca="false">AI78+AI79</f>
        <v>-33978.7391171373</v>
      </c>
      <c r="AJ80" s="71" t="n">
        <f aca="false">AJ78+AJ79</f>
        <v>-40198.2609609722</v>
      </c>
      <c r="AK80" s="71" t="n">
        <f aca="false">AK78+AK79</f>
        <v>-46408.8939159183</v>
      </c>
      <c r="AL80" s="71" t="n">
        <f aca="false">AL78+AL79</f>
        <v>-52610.6379819754</v>
      </c>
      <c r="AM80" s="71" t="n">
        <f aca="false">AM78+AM79</f>
        <v>-58221.5583493055</v>
      </c>
      <c r="AN80" s="71" t="n">
        <f aca="false">AN78+AN79</f>
        <v>-64009.3701798988</v>
      </c>
      <c r="AO80" s="71" t="n">
        <f aca="false">AO78+AO79</f>
        <v>-69788.2931216031</v>
      </c>
      <c r="AP80" s="71" t="n">
        <f aca="false">AP78+AP79</f>
        <v>-75558.3271744187</v>
      </c>
      <c r="AQ80" s="71" t="n">
        <f aca="false">AQ78+AQ79</f>
        <v>-81319.4723383453</v>
      </c>
      <c r="AR80" s="71" t="n">
        <f aca="false">AR78+AR79</f>
        <v>-87071.728613383</v>
      </c>
      <c r="AS80" s="71" t="n">
        <f aca="false">AS78+AS79</f>
        <v>-92815.0959995319</v>
      </c>
      <c r="AT80" s="71" t="n">
        <f aca="false">AT78+AT79</f>
        <v>-98549.5744967918</v>
      </c>
      <c r="AU80" s="71" t="n">
        <f aca="false">AU78+AU79</f>
        <v>-104275.164105163</v>
      </c>
      <c r="AV80" s="71" t="n">
        <f aca="false">AV78+AV79</f>
        <v>-109991.864824645</v>
      </c>
      <c r="AW80" s="71" t="n">
        <f aca="false">AW78+AW79</f>
        <v>-115699.676655238</v>
      </c>
      <c r="AX80" s="71" t="n">
        <f aca="false">AX78+AX79</f>
        <v>-121398.599596943</v>
      </c>
      <c r="AY80" s="71" t="n">
        <f aca="false">AY78+AY79</f>
        <v>-126471.745594462</v>
      </c>
      <c r="AZ80" s="71" t="n">
        <f aca="false">AZ78+AZ79</f>
        <v>-131731.183541064</v>
      </c>
      <c r="BA80" s="71" t="n">
        <f aca="false">BA78+BA79</f>
        <v>-136981.732598777</v>
      </c>
      <c r="BB80" s="71" t="n">
        <f aca="false">BB78+BB79</f>
        <v>-142223.3927676</v>
      </c>
      <c r="BC80" s="71" t="n">
        <f aca="false">BC78+BC79</f>
        <v>-147456.164047535</v>
      </c>
      <c r="BD80" s="71" t="n">
        <f aca="false">BD78+BD79</f>
        <v>-152680.046438581</v>
      </c>
      <c r="BE80" s="71" t="n">
        <f aca="false">BE78+BE79</f>
        <v>-157895.039940739</v>
      </c>
      <c r="BF80" s="71" t="n">
        <f aca="false">BF78+BF79</f>
        <v>-163101.144554007</v>
      </c>
      <c r="BG80" s="71" t="n">
        <f aca="false">BG78+BG79</f>
        <v>-168298.360278386</v>
      </c>
      <c r="BH80" s="71" t="n">
        <f aca="false">BH78+BH79</f>
        <v>-173486.687113877</v>
      </c>
      <c r="BI80" s="71" t="n">
        <f aca="false">BI78+BI79</f>
        <v>-178666.125060479</v>
      </c>
      <c r="BJ80" s="71" t="n">
        <f aca="false">BJ78+BJ79</f>
        <v>-183836.674118191</v>
      </c>
    </row>
    <row r="81" customFormat="false" ht="15" hidden="false" customHeight="false" outlineLevel="0" collapsed="false">
      <c r="A81" s="6" t="s">
        <v>386</v>
      </c>
      <c r="C81" s="65" t="n">
        <f aca="false">C77-C80</f>
        <v>0</v>
      </c>
      <c r="D81" s="65" t="n">
        <f aca="false">D77-D80</f>
        <v>0</v>
      </c>
      <c r="E81" s="65" t="n">
        <f aca="false">E77-E80</f>
        <v>0</v>
      </c>
      <c r="F81" s="65" t="n">
        <f aca="false">F77-F80</f>
        <v>0</v>
      </c>
      <c r="G81" s="65" t="n">
        <f aca="false">G77-G80</f>
        <v>0</v>
      </c>
      <c r="H81" s="65" t="n">
        <f aca="false">H77-H80</f>
        <v>0</v>
      </c>
      <c r="I81" s="65" t="n">
        <f aca="false">I77-I80</f>
        <v>0</v>
      </c>
      <c r="J81" s="65" t="n">
        <f aca="false">J77-J80</f>
        <v>0</v>
      </c>
      <c r="K81" s="65" t="n">
        <f aca="false">K77-K80</f>
        <v>0</v>
      </c>
      <c r="L81" s="65" t="n">
        <f aca="false">L77-L80</f>
        <v>0</v>
      </c>
      <c r="M81" s="65" t="n">
        <f aca="false">M77-M80</f>
        <v>0</v>
      </c>
      <c r="N81" s="65" t="n">
        <f aca="false">N77-N80</f>
        <v>0</v>
      </c>
      <c r="O81" s="65" t="n">
        <f aca="false">O77-O80</f>
        <v>0</v>
      </c>
      <c r="P81" s="65" t="n">
        <f aca="false">P77-P80</f>
        <v>0</v>
      </c>
      <c r="Q81" s="65" t="n">
        <f aca="false">Q77-Q80</f>
        <v>0</v>
      </c>
      <c r="R81" s="65" t="n">
        <f aca="false">R77-R80</f>
        <v>0</v>
      </c>
      <c r="S81" s="65" t="n">
        <f aca="false">S77-S80</f>
        <v>0</v>
      </c>
      <c r="T81" s="65" t="n">
        <f aca="false">T77-T80</f>
        <v>0</v>
      </c>
      <c r="U81" s="65" t="n">
        <f aca="false">U77-U80</f>
        <v>0</v>
      </c>
      <c r="V81" s="65" t="n">
        <f aca="false">V77-V80</f>
        <v>0</v>
      </c>
      <c r="W81" s="65" t="n">
        <f aca="false">W77-W80</f>
        <v>0</v>
      </c>
      <c r="X81" s="65" t="n">
        <f aca="false">X77-X80</f>
        <v>0</v>
      </c>
      <c r="Y81" s="65" t="n">
        <f aca="false">Y77-Y80</f>
        <v>0</v>
      </c>
      <c r="Z81" s="65" t="n">
        <f aca="false">Z77-Z80</f>
        <v>0</v>
      </c>
      <c r="AA81" s="65" t="n">
        <f aca="false">AA77-AA80</f>
        <v>0</v>
      </c>
      <c r="AB81" s="65" t="n">
        <f aca="false">AB77-AB80</f>
        <v>0</v>
      </c>
      <c r="AC81" s="65" t="n">
        <f aca="false">AC77-AC80</f>
        <v>-3.63797880709171E-011</v>
      </c>
      <c r="AD81" s="65" t="n">
        <f aca="false">AD77-AD80</f>
        <v>-2.91038304567337E-011</v>
      </c>
      <c r="AE81" s="65" t="n">
        <f aca="false">AE77-AE80</f>
        <v>-3.63797880709171E-011</v>
      </c>
      <c r="AF81" s="65" t="n">
        <f aca="false">AF77-AF80</f>
        <v>0</v>
      </c>
      <c r="AG81" s="65" t="n">
        <f aca="false">AG77-AG80</f>
        <v>0</v>
      </c>
      <c r="AH81" s="65" t="n">
        <f aca="false">AH77-AH80</f>
        <v>0</v>
      </c>
      <c r="AI81" s="65" t="n">
        <f aca="false">AI77-AI80</f>
        <v>0</v>
      </c>
      <c r="AJ81" s="65" t="n">
        <f aca="false">AJ77-AJ80</f>
        <v>0</v>
      </c>
      <c r="AK81" s="65" t="n">
        <f aca="false">AK77-AK80</f>
        <v>0</v>
      </c>
      <c r="AL81" s="65" t="n">
        <f aca="false">AL77-AL80</f>
        <v>0</v>
      </c>
      <c r="AM81" s="65" t="n">
        <f aca="false">AM77-AM80</f>
        <v>0</v>
      </c>
      <c r="AN81" s="65" t="n">
        <f aca="false">AN77-AN80</f>
        <v>0</v>
      </c>
      <c r="AO81" s="65" t="n">
        <f aca="false">AO77-AO80</f>
        <v>0</v>
      </c>
      <c r="AP81" s="65" t="n">
        <f aca="false">AP77-AP80</f>
        <v>0</v>
      </c>
      <c r="AQ81" s="65" t="n">
        <f aca="false">AQ77-AQ80</f>
        <v>0</v>
      </c>
      <c r="AR81" s="65" t="n">
        <f aca="false">AR77-AR80</f>
        <v>0</v>
      </c>
      <c r="AS81" s="65" t="n">
        <f aca="false">AS77-AS80</f>
        <v>0</v>
      </c>
      <c r="AT81" s="65" t="n">
        <f aca="false">AT77-AT80</f>
        <v>0</v>
      </c>
      <c r="AU81" s="65" t="n">
        <f aca="false">AU77-AU80</f>
        <v>0</v>
      </c>
      <c r="AV81" s="65" t="n">
        <f aca="false">AV77-AV80</f>
        <v>0</v>
      </c>
      <c r="AW81" s="65" t="n">
        <f aca="false">AW77-AW80</f>
        <v>0</v>
      </c>
      <c r="AX81" s="65" t="n">
        <f aca="false">AX77-AX80</f>
        <v>0</v>
      </c>
      <c r="AY81" s="65" t="n">
        <f aca="false">AY77-AY80</f>
        <v>0</v>
      </c>
      <c r="AZ81" s="65" t="n">
        <f aca="false">AZ77-AZ80</f>
        <v>0</v>
      </c>
      <c r="BA81" s="65" t="n">
        <f aca="false">BA77-BA80</f>
        <v>0</v>
      </c>
      <c r="BB81" s="65" t="n">
        <f aca="false">BB77-BB80</f>
        <v>0</v>
      </c>
      <c r="BC81" s="65" t="n">
        <f aca="false">BC77-BC80</f>
        <v>0</v>
      </c>
      <c r="BD81" s="65" t="n">
        <f aca="false">BD77-BD80</f>
        <v>0</v>
      </c>
      <c r="BE81" s="65" t="n">
        <f aca="false">BE77-BE80</f>
        <v>0</v>
      </c>
      <c r="BF81" s="65" t="n">
        <f aca="false">BF77-BF80</f>
        <v>0</v>
      </c>
      <c r="BG81" s="65" t="n">
        <f aca="false">BG77-BG80</f>
        <v>0</v>
      </c>
      <c r="BH81" s="65" t="n">
        <f aca="false">BH77-BH80</f>
        <v>0</v>
      </c>
      <c r="BI81" s="65" t="n">
        <f aca="false">BI77-BI80</f>
        <v>0</v>
      </c>
      <c r="BJ81" s="65" t="n">
        <f aca="false">BJ77-BJ80</f>
        <v>0</v>
      </c>
    </row>
    <row r="83" customFormat="false" ht="15.75" hidden="false" customHeight="true" outlineLevel="0" collapsed="false">
      <c r="A83" s="7" t="s">
        <v>388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389</v>
      </c>
      <c r="C84" s="111" t="n">
        <f aca="false">Inputs!$B$21*(1+Inputs!$B$23)^(C$7-1)*MAX(0,MIN(1,C$6*1-Inputs!$B$24+1))/1</f>
        <v>3</v>
      </c>
      <c r="D84" s="111" t="n">
        <f aca="false">Inputs!$B$21*(1+Inputs!$B$23)^(D$7-1)*MAX(0,MIN(1,D$6*1-Inputs!$B$24+1))/1</f>
        <v>3</v>
      </c>
      <c r="E84" s="111" t="n">
        <f aca="false">Inputs!$B$21*(1+Inputs!$B$23)^(E$7-1)*MAX(0,MIN(1,E$6*1-Inputs!$B$24+1))/1</f>
        <v>3</v>
      </c>
      <c r="F84" s="111" t="n">
        <f aca="false">Inputs!$B$21*(1+Inputs!$B$23)^(F$7-1)*MAX(0,MIN(1,F$6*1-Inputs!$B$24+1))/1</f>
        <v>3</v>
      </c>
      <c r="G84" s="111" t="n">
        <f aca="false">Inputs!$B$21*(1+Inputs!$B$23)^(G$7-1)*MAX(0,MIN(1,G$6*1-Inputs!$B$24+1))/1</f>
        <v>3</v>
      </c>
      <c r="H84" s="111" t="n">
        <f aca="false">Inputs!$B$21*(1+Inputs!$B$23)^(H$7-1)*MAX(0,MIN(1,H$6*1-Inputs!$B$24+1))/1</f>
        <v>3</v>
      </c>
      <c r="I84" s="111" t="n">
        <f aca="false">Inputs!$B$21*(1+Inputs!$B$23)^(I$7-1)*MAX(0,MIN(1,I$6*1-Inputs!$B$24+1))/1</f>
        <v>3</v>
      </c>
      <c r="J84" s="111" t="n">
        <f aca="false">Inputs!$B$21*(1+Inputs!$B$23)^(J$7-1)*MAX(0,MIN(1,J$6*1-Inputs!$B$24+1))/1</f>
        <v>3</v>
      </c>
      <c r="K84" s="111" t="n">
        <f aca="false">Inputs!$B$21*(1+Inputs!$B$23)^(K$7-1)*MAX(0,MIN(1,K$6*1-Inputs!$B$24+1))/1</f>
        <v>3</v>
      </c>
      <c r="L84" s="111" t="n">
        <f aca="false">Inputs!$B$21*(1+Inputs!$B$23)^(L$7-1)*MAX(0,MIN(1,L$6*1-Inputs!$B$24+1))/1</f>
        <v>3</v>
      </c>
      <c r="M84" s="111" t="n">
        <f aca="false">Inputs!$B$21*(1+Inputs!$B$23)^(M$7-1)*MAX(0,MIN(1,M$6*1-Inputs!$B$24+1))/1</f>
        <v>3</v>
      </c>
      <c r="N84" s="111" t="n">
        <f aca="false">Inputs!$B$21*(1+Inputs!$B$23)^(N$7-1)*MAX(0,MIN(1,N$6*1-Inputs!$B$24+1))/1</f>
        <v>3</v>
      </c>
      <c r="O84" s="111" t="n">
        <f aca="false">Inputs!$B$21*(1+Inputs!$B$23)^(O$7-1)*MAX(0,MIN(1,O$6*1-Inputs!$B$24+1))/1</f>
        <v>3</v>
      </c>
      <c r="P84" s="111" t="n">
        <f aca="false">Inputs!$B$21*(1+Inputs!$B$23)^(P$7-1)*MAX(0,MIN(1,P$6*1-Inputs!$B$24+1))/1</f>
        <v>3</v>
      </c>
      <c r="Q84" s="111" t="n">
        <f aca="false">Inputs!$B$21*(1+Inputs!$B$23)^(Q$7-1)*MAX(0,MIN(1,Q$6*1-Inputs!$B$24+1))/1</f>
        <v>3</v>
      </c>
      <c r="R84" s="111" t="n">
        <f aca="false">Inputs!$B$21*(1+Inputs!$B$23)^(R$7-1)*MAX(0,MIN(1,R$6*1-Inputs!$B$24+1))/1</f>
        <v>3</v>
      </c>
      <c r="S84" s="111" t="n">
        <f aca="false">Inputs!$B$21*(1+Inputs!$B$23)^(S$7-1)*MAX(0,MIN(1,S$6*1-Inputs!$B$24+1))/1</f>
        <v>3</v>
      </c>
      <c r="T84" s="111" t="n">
        <f aca="false">Inputs!$B$21*(1+Inputs!$B$23)^(T$7-1)*MAX(0,MIN(1,T$6*1-Inputs!$B$24+1))/1</f>
        <v>3</v>
      </c>
      <c r="U84" s="111" t="n">
        <f aca="false">Inputs!$B$21*(1+Inputs!$B$23)^(U$7-1)*MAX(0,MIN(1,U$6*1-Inputs!$B$24+1))/1</f>
        <v>3</v>
      </c>
      <c r="V84" s="111" t="n">
        <f aca="false">Inputs!$B$21*(1+Inputs!$B$23)^(V$7-1)*MAX(0,MIN(1,V$6*1-Inputs!$B$24+1))/1</f>
        <v>3</v>
      </c>
      <c r="W84" s="111" t="n">
        <f aca="false">Inputs!$B$21*(1+Inputs!$B$23)^(W$7-1)*MAX(0,MIN(1,W$6*1-Inputs!$B$24+1))/1</f>
        <v>3</v>
      </c>
      <c r="X84" s="111" t="n">
        <f aca="false">Inputs!$B$21*(1+Inputs!$B$23)^(X$7-1)*MAX(0,MIN(1,X$6*1-Inputs!$B$24+1))/1</f>
        <v>3</v>
      </c>
      <c r="Y84" s="111" t="n">
        <f aca="false">Inputs!$B$21*(1+Inputs!$B$23)^(Y$7-1)*MAX(0,MIN(1,Y$6*1-Inputs!$B$24+1))/1</f>
        <v>3</v>
      </c>
      <c r="Z84" s="111" t="n">
        <f aca="false">Inputs!$B$21*(1+Inputs!$B$23)^(Z$7-1)*MAX(0,MIN(1,Z$6*1-Inputs!$B$24+1))/1</f>
        <v>3</v>
      </c>
      <c r="AA84" s="111" t="n">
        <f aca="false">Inputs!$B$21*(1+Inputs!$B$23)^(AA$7-1)*MAX(0,MIN(1,AA$6*1-Inputs!$B$24+1))/1</f>
        <v>3</v>
      </c>
      <c r="AB84" s="111" t="n">
        <f aca="false">Inputs!$B$21*(1+Inputs!$B$23)^(AB$7-1)*MAX(0,MIN(1,AB$6*1-Inputs!$B$24+1))/1</f>
        <v>3</v>
      </c>
      <c r="AC84" s="111" t="n">
        <f aca="false">Inputs!$B$21*(1+Inputs!$B$23)^(AC$7-1)*MAX(0,MIN(1,AC$6*1-Inputs!$B$24+1))/1</f>
        <v>3</v>
      </c>
      <c r="AD84" s="111" t="n">
        <f aca="false">Inputs!$B$21*(1+Inputs!$B$23)^(AD$7-1)*MAX(0,MIN(1,AD$6*1-Inputs!$B$24+1))/1</f>
        <v>3</v>
      </c>
      <c r="AE84" s="111" t="n">
        <f aca="false">Inputs!$B$21*(1+Inputs!$B$23)^(AE$7-1)*MAX(0,MIN(1,AE$6*1-Inputs!$B$24+1))/1</f>
        <v>3</v>
      </c>
      <c r="AF84" s="111" t="n">
        <f aca="false">Inputs!$B$21*(1+Inputs!$B$23)^(AF$7-1)*MAX(0,MIN(1,AF$6*1-Inputs!$B$24+1))/1</f>
        <v>3</v>
      </c>
      <c r="AG84" s="111" t="n">
        <f aca="false">Inputs!$B$21*(1+Inputs!$B$23)^(AG$7-1)*MAX(0,MIN(1,AG$6*1-Inputs!$B$24+1))/1</f>
        <v>3</v>
      </c>
      <c r="AH84" s="111" t="n">
        <f aca="false">Inputs!$B$21*(1+Inputs!$B$23)^(AH$7-1)*MAX(0,MIN(1,AH$6*1-Inputs!$B$24+1))/1</f>
        <v>3</v>
      </c>
      <c r="AI84" s="111" t="n">
        <f aca="false">Inputs!$B$21*(1+Inputs!$B$23)^(AI$7-1)*MAX(0,MIN(1,AI$6*1-Inputs!$B$24+1))/1</f>
        <v>3</v>
      </c>
      <c r="AJ84" s="111" t="n">
        <f aca="false">Inputs!$B$21*(1+Inputs!$B$23)^(AJ$7-1)*MAX(0,MIN(1,AJ$6*1-Inputs!$B$24+1))/1</f>
        <v>3</v>
      </c>
      <c r="AK84" s="111" t="n">
        <f aca="false">Inputs!$B$21*(1+Inputs!$B$23)^(AK$7-1)*MAX(0,MIN(1,AK$6*1-Inputs!$B$24+1))/1</f>
        <v>3</v>
      </c>
      <c r="AL84" s="111" t="n">
        <f aca="false">Inputs!$B$21*(1+Inputs!$B$23)^(AL$7-1)*MAX(0,MIN(1,AL$6*1-Inputs!$B$24+1))/1</f>
        <v>3</v>
      </c>
      <c r="AM84" s="111" t="n">
        <f aca="false">Inputs!$B$21*(1+Inputs!$B$23)^(AM$7-1)*MAX(0,MIN(1,AM$6*1-Inputs!$B$24+1))/1</f>
        <v>3</v>
      </c>
      <c r="AN84" s="111" t="n">
        <f aca="false">Inputs!$B$21*(1+Inputs!$B$23)^(AN$7-1)*MAX(0,MIN(1,AN$6*1-Inputs!$B$24+1))/1</f>
        <v>3</v>
      </c>
      <c r="AO84" s="111" t="n">
        <f aca="false">Inputs!$B$21*(1+Inputs!$B$23)^(AO$7-1)*MAX(0,MIN(1,AO$6*1-Inputs!$B$24+1))/1</f>
        <v>3</v>
      </c>
      <c r="AP84" s="111" t="n">
        <f aca="false">Inputs!$B$21*(1+Inputs!$B$23)^(AP$7-1)*MAX(0,MIN(1,AP$6*1-Inputs!$B$24+1))/1</f>
        <v>3</v>
      </c>
      <c r="AQ84" s="111" t="n">
        <f aca="false">Inputs!$B$21*(1+Inputs!$B$23)^(AQ$7-1)*MAX(0,MIN(1,AQ$6*1-Inputs!$B$24+1))/1</f>
        <v>3</v>
      </c>
      <c r="AR84" s="111" t="n">
        <f aca="false">Inputs!$B$21*(1+Inputs!$B$23)^(AR$7-1)*MAX(0,MIN(1,AR$6*1-Inputs!$B$24+1))/1</f>
        <v>3</v>
      </c>
      <c r="AS84" s="111" t="n">
        <f aca="false">Inputs!$B$21*(1+Inputs!$B$23)^(AS$7-1)*MAX(0,MIN(1,AS$6*1-Inputs!$B$24+1))/1</f>
        <v>3</v>
      </c>
      <c r="AT84" s="111" t="n">
        <f aca="false">Inputs!$B$21*(1+Inputs!$B$23)^(AT$7-1)*MAX(0,MIN(1,AT$6*1-Inputs!$B$24+1))/1</f>
        <v>3</v>
      </c>
      <c r="AU84" s="111" t="n">
        <f aca="false">Inputs!$B$21*(1+Inputs!$B$23)^(AU$7-1)*MAX(0,MIN(1,AU$6*1-Inputs!$B$24+1))/1</f>
        <v>3</v>
      </c>
      <c r="AV84" s="111" t="n">
        <f aca="false">Inputs!$B$21*(1+Inputs!$B$23)^(AV$7-1)*MAX(0,MIN(1,AV$6*1-Inputs!$B$24+1))/1</f>
        <v>3</v>
      </c>
      <c r="AW84" s="111" t="n">
        <f aca="false">Inputs!$B$21*(1+Inputs!$B$23)^(AW$7-1)*MAX(0,MIN(1,AW$6*1-Inputs!$B$24+1))/1</f>
        <v>3</v>
      </c>
      <c r="AX84" s="111" t="n">
        <f aca="false">Inputs!$B$21*(1+Inputs!$B$23)^(AX$7-1)*MAX(0,MIN(1,AX$6*1-Inputs!$B$24+1))/1</f>
        <v>3</v>
      </c>
      <c r="AY84" s="111" t="n">
        <f aca="false">Inputs!$B$21*(1+Inputs!$B$23)^(AY$7-1)*MAX(0,MIN(1,AY$6*1-Inputs!$B$24+1))/1</f>
        <v>3</v>
      </c>
      <c r="AZ84" s="111" t="n">
        <f aca="false">Inputs!$B$21*(1+Inputs!$B$23)^(AZ$7-1)*MAX(0,MIN(1,AZ$6*1-Inputs!$B$24+1))/1</f>
        <v>3</v>
      </c>
      <c r="BA84" s="111" t="n">
        <f aca="false">Inputs!$B$21*(1+Inputs!$B$23)^(BA$7-1)*MAX(0,MIN(1,BA$6*1-Inputs!$B$24+1))/1</f>
        <v>3</v>
      </c>
      <c r="BB84" s="111" t="n">
        <f aca="false">Inputs!$B$21*(1+Inputs!$B$23)^(BB$7-1)*MAX(0,MIN(1,BB$6*1-Inputs!$B$24+1))/1</f>
        <v>3</v>
      </c>
      <c r="BC84" s="111" t="n">
        <f aca="false">Inputs!$B$21*(1+Inputs!$B$23)^(BC$7-1)*MAX(0,MIN(1,BC$6*1-Inputs!$B$24+1))/1</f>
        <v>3</v>
      </c>
      <c r="BD84" s="111" t="n">
        <f aca="false">Inputs!$B$21*(1+Inputs!$B$23)^(BD$7-1)*MAX(0,MIN(1,BD$6*1-Inputs!$B$24+1))/1</f>
        <v>3</v>
      </c>
      <c r="BE84" s="111" t="n">
        <f aca="false">Inputs!$B$21*(1+Inputs!$B$23)^(BE$7-1)*MAX(0,MIN(1,BE$6*1-Inputs!$B$24+1))/1</f>
        <v>3</v>
      </c>
      <c r="BF84" s="111" t="n">
        <f aca="false">Inputs!$B$21*(1+Inputs!$B$23)^(BF$7-1)*MAX(0,MIN(1,BF$6*1-Inputs!$B$24+1))/1</f>
        <v>3</v>
      </c>
      <c r="BG84" s="111" t="n">
        <f aca="false">Inputs!$B$21*(1+Inputs!$B$23)^(BG$7-1)*MAX(0,MIN(1,BG$6*1-Inputs!$B$24+1))/1</f>
        <v>3</v>
      </c>
      <c r="BH84" s="111" t="n">
        <f aca="false">Inputs!$B$21*(1+Inputs!$B$23)^(BH$7-1)*MAX(0,MIN(1,BH$6*1-Inputs!$B$24+1))/1</f>
        <v>3</v>
      </c>
      <c r="BI84" s="111" t="n">
        <f aca="false">Inputs!$B$21*(1+Inputs!$B$23)^(BI$7-1)*MAX(0,MIN(1,BI$6*1-Inputs!$B$24+1))/1</f>
        <v>3</v>
      </c>
      <c r="BJ84" s="111" t="n">
        <f aca="false">Inputs!$B$21*(1+Inputs!$B$23)^(BJ$7-1)*MAX(0,MIN(1,BJ$6*1-Inputs!$B$24+1))/1</f>
        <v>3</v>
      </c>
    </row>
    <row r="85" customFormat="false" ht="15" hidden="false" customHeight="false" outlineLevel="0" collapsed="false">
      <c r="A85" s="108" t="s">
        <v>390</v>
      </c>
      <c r="C85" s="115" t="n">
        <f aca="false">C84</f>
        <v>3</v>
      </c>
      <c r="D85" s="115" t="n">
        <f aca="false">D84</f>
        <v>3</v>
      </c>
      <c r="E85" s="115" t="n">
        <f aca="false">E84</f>
        <v>3</v>
      </c>
      <c r="F85" s="115" t="n">
        <f aca="false">F84</f>
        <v>3</v>
      </c>
      <c r="G85" s="115" t="n">
        <f aca="false">G84</f>
        <v>3</v>
      </c>
      <c r="H85" s="115" t="n">
        <f aca="false">H84</f>
        <v>3</v>
      </c>
      <c r="I85" s="115" t="n">
        <f aca="false">I84</f>
        <v>3</v>
      </c>
      <c r="J85" s="115" t="n">
        <f aca="false">J84</f>
        <v>3</v>
      </c>
      <c r="K85" s="115" t="n">
        <f aca="false">K84</f>
        <v>3</v>
      </c>
      <c r="L85" s="115" t="n">
        <f aca="false">L84</f>
        <v>3</v>
      </c>
      <c r="M85" s="115" t="n">
        <f aca="false">M84</f>
        <v>3</v>
      </c>
      <c r="N85" s="115" t="n">
        <f aca="false">N84</f>
        <v>3</v>
      </c>
      <c r="O85" s="115" t="n">
        <f aca="false">O84</f>
        <v>3</v>
      </c>
      <c r="P85" s="115" t="n">
        <f aca="false">P84</f>
        <v>3</v>
      </c>
      <c r="Q85" s="115" t="n">
        <f aca="false">Q84</f>
        <v>3</v>
      </c>
      <c r="R85" s="115" t="n">
        <f aca="false">R84</f>
        <v>3</v>
      </c>
      <c r="S85" s="115" t="n">
        <f aca="false">S84</f>
        <v>3</v>
      </c>
      <c r="T85" s="115" t="n">
        <f aca="false">T84</f>
        <v>3</v>
      </c>
      <c r="U85" s="115" t="n">
        <f aca="false">U84</f>
        <v>3</v>
      </c>
      <c r="V85" s="115" t="n">
        <f aca="false">V84</f>
        <v>3</v>
      </c>
      <c r="W85" s="115" t="n">
        <f aca="false">W84</f>
        <v>3</v>
      </c>
      <c r="X85" s="115" t="n">
        <f aca="false">X84</f>
        <v>3</v>
      </c>
      <c r="Y85" s="115" t="n">
        <f aca="false">Y84</f>
        <v>3</v>
      </c>
      <c r="Z85" s="115" t="n">
        <f aca="false">Z84</f>
        <v>3</v>
      </c>
      <c r="AA85" s="115" t="n">
        <f aca="false">AA84</f>
        <v>3</v>
      </c>
      <c r="AB85" s="115" t="n">
        <f aca="false">AB84</f>
        <v>3</v>
      </c>
      <c r="AC85" s="115" t="n">
        <f aca="false">AC84</f>
        <v>3</v>
      </c>
      <c r="AD85" s="115" t="n">
        <f aca="false">AD84</f>
        <v>3</v>
      </c>
      <c r="AE85" s="115" t="n">
        <f aca="false">AE84</f>
        <v>3</v>
      </c>
      <c r="AF85" s="115" t="n">
        <f aca="false">AF84</f>
        <v>3</v>
      </c>
      <c r="AG85" s="115" t="n">
        <f aca="false">AG84</f>
        <v>3</v>
      </c>
      <c r="AH85" s="115" t="n">
        <f aca="false">AH84</f>
        <v>3</v>
      </c>
      <c r="AI85" s="115" t="n">
        <f aca="false">AI84</f>
        <v>3</v>
      </c>
      <c r="AJ85" s="115" t="n">
        <f aca="false">AJ84</f>
        <v>3</v>
      </c>
      <c r="AK85" s="115" t="n">
        <f aca="false">AK84</f>
        <v>3</v>
      </c>
      <c r="AL85" s="115" t="n">
        <f aca="false">AL84</f>
        <v>3</v>
      </c>
      <c r="AM85" s="115" t="n">
        <f aca="false">AM84</f>
        <v>3</v>
      </c>
      <c r="AN85" s="115" t="n">
        <f aca="false">AN84</f>
        <v>3</v>
      </c>
      <c r="AO85" s="115" t="n">
        <f aca="false">AO84</f>
        <v>3</v>
      </c>
      <c r="AP85" s="115" t="n">
        <f aca="false">AP84</f>
        <v>3</v>
      </c>
      <c r="AQ85" s="115" t="n">
        <f aca="false">AQ84</f>
        <v>3</v>
      </c>
      <c r="AR85" s="115" t="n">
        <f aca="false">AR84</f>
        <v>3</v>
      </c>
      <c r="AS85" s="115" t="n">
        <f aca="false">AS84</f>
        <v>3</v>
      </c>
      <c r="AT85" s="115" t="n">
        <f aca="false">AT84</f>
        <v>3</v>
      </c>
      <c r="AU85" s="115" t="n">
        <f aca="false">AU84</f>
        <v>3</v>
      </c>
      <c r="AV85" s="115" t="n">
        <f aca="false">AV84</f>
        <v>3</v>
      </c>
      <c r="AW85" s="115" t="n">
        <f aca="false">AW84</f>
        <v>3</v>
      </c>
      <c r="AX85" s="115" t="n">
        <f aca="false">AX84</f>
        <v>3</v>
      </c>
      <c r="AY85" s="115" t="n">
        <f aca="false">AY84</f>
        <v>3</v>
      </c>
      <c r="AZ85" s="115" t="n">
        <f aca="false">AZ84</f>
        <v>3</v>
      </c>
      <c r="BA85" s="115" t="n">
        <f aca="false">BA84</f>
        <v>3</v>
      </c>
      <c r="BB85" s="115" t="n">
        <f aca="false">BB84</f>
        <v>3</v>
      </c>
      <c r="BC85" s="115" t="n">
        <f aca="false">BC84</f>
        <v>3</v>
      </c>
      <c r="BD85" s="115" t="n">
        <f aca="false">BD84</f>
        <v>3</v>
      </c>
      <c r="BE85" s="115" t="n">
        <f aca="false">BE84</f>
        <v>3</v>
      </c>
      <c r="BF85" s="115" t="n">
        <f aca="false">BF84</f>
        <v>3</v>
      </c>
      <c r="BG85" s="115" t="n">
        <f aca="false">BG84</f>
        <v>3</v>
      </c>
      <c r="BH85" s="115" t="n">
        <f aca="false">BH84</f>
        <v>3</v>
      </c>
      <c r="BI85" s="115" t="n">
        <f aca="false">BI84</f>
        <v>3</v>
      </c>
      <c r="BJ85" s="115" t="n">
        <f aca="false">BJ84</f>
        <v>3</v>
      </c>
    </row>
    <row r="87" customFormat="false" ht="15.75" hidden="false" customHeight="true" outlineLevel="0" collapsed="false">
      <c r="A87" s="7" t="s">
        <v>391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customFormat="false" ht="15" hidden="false" customHeight="false" outlineLevel="0" collapsed="false">
      <c r="A88" s="6" t="s">
        <v>392</v>
      </c>
      <c r="C88" s="65" t="n">
        <f aca="false">-C84*Inputs!$B$22/12*1*(1+Inputs!$B$25)*(1+Inputs!$B$26)^(C$7-1)</f>
        <v>-8400</v>
      </c>
      <c r="D88" s="65" t="n">
        <f aca="false">-D84*Inputs!$B$22/12*1*(1+Inputs!$B$25)*(1+Inputs!$B$26)^(D$7-1)</f>
        <v>-8400</v>
      </c>
      <c r="E88" s="65" t="n">
        <f aca="false">-E84*Inputs!$B$22/12*1*(1+Inputs!$B$25)*(1+Inputs!$B$26)^(E$7-1)</f>
        <v>-8400</v>
      </c>
      <c r="F88" s="65" t="n">
        <f aca="false">-F84*Inputs!$B$22/12*1*(1+Inputs!$B$25)*(1+Inputs!$B$26)^(F$7-1)</f>
        <v>-8400</v>
      </c>
      <c r="G88" s="65" t="n">
        <f aca="false">-G84*Inputs!$B$22/12*1*(1+Inputs!$B$25)*(1+Inputs!$B$26)^(G$7-1)</f>
        <v>-8400</v>
      </c>
      <c r="H88" s="65" t="n">
        <f aca="false">-H84*Inputs!$B$22/12*1*(1+Inputs!$B$25)*(1+Inputs!$B$26)^(H$7-1)</f>
        <v>-8400</v>
      </c>
      <c r="I88" s="65" t="n">
        <f aca="false">-I84*Inputs!$B$22/12*1*(1+Inputs!$B$25)*(1+Inputs!$B$26)^(I$7-1)</f>
        <v>-8400</v>
      </c>
      <c r="J88" s="65" t="n">
        <f aca="false">-J84*Inputs!$B$22/12*1*(1+Inputs!$B$25)*(1+Inputs!$B$26)^(J$7-1)</f>
        <v>-8400</v>
      </c>
      <c r="K88" s="65" t="n">
        <f aca="false">-K84*Inputs!$B$22/12*1*(1+Inputs!$B$25)*(1+Inputs!$B$26)^(K$7-1)</f>
        <v>-8400</v>
      </c>
      <c r="L88" s="65" t="n">
        <f aca="false">-L84*Inputs!$B$22/12*1*(1+Inputs!$B$25)*(1+Inputs!$B$26)^(L$7-1)</f>
        <v>-8400</v>
      </c>
      <c r="M88" s="65" t="n">
        <f aca="false">-M84*Inputs!$B$22/12*1*(1+Inputs!$B$25)*(1+Inputs!$B$26)^(M$7-1)</f>
        <v>-8400</v>
      </c>
      <c r="N88" s="65" t="n">
        <f aca="false">-N84*Inputs!$B$22/12*1*(1+Inputs!$B$25)*(1+Inputs!$B$26)^(N$7-1)</f>
        <v>-8400</v>
      </c>
      <c r="O88" s="65" t="n">
        <f aca="false">-O84*Inputs!$B$22/12*1*(1+Inputs!$B$25)*(1+Inputs!$B$26)^(O$7-1)</f>
        <v>-8652</v>
      </c>
      <c r="P88" s="65" t="n">
        <f aca="false">-P84*Inputs!$B$22/12*1*(1+Inputs!$B$25)*(1+Inputs!$B$26)^(P$7-1)</f>
        <v>-8652</v>
      </c>
      <c r="Q88" s="65" t="n">
        <f aca="false">-Q84*Inputs!$B$22/12*1*(1+Inputs!$B$25)*(1+Inputs!$B$26)^(Q$7-1)</f>
        <v>-8652</v>
      </c>
      <c r="R88" s="65" t="n">
        <f aca="false">-R84*Inputs!$B$22/12*1*(1+Inputs!$B$25)*(1+Inputs!$B$26)^(R$7-1)</f>
        <v>-8652</v>
      </c>
      <c r="S88" s="65" t="n">
        <f aca="false">-S84*Inputs!$B$22/12*1*(1+Inputs!$B$25)*(1+Inputs!$B$26)^(S$7-1)</f>
        <v>-8652</v>
      </c>
      <c r="T88" s="65" t="n">
        <f aca="false">-T84*Inputs!$B$22/12*1*(1+Inputs!$B$25)*(1+Inputs!$B$26)^(T$7-1)</f>
        <v>-8652</v>
      </c>
      <c r="U88" s="65" t="n">
        <f aca="false">-U84*Inputs!$B$22/12*1*(1+Inputs!$B$25)*(1+Inputs!$B$26)^(U$7-1)</f>
        <v>-8652</v>
      </c>
      <c r="V88" s="65" t="n">
        <f aca="false">-V84*Inputs!$B$22/12*1*(1+Inputs!$B$25)*(1+Inputs!$B$26)^(V$7-1)</f>
        <v>-8652</v>
      </c>
      <c r="W88" s="65" t="n">
        <f aca="false">-W84*Inputs!$B$22/12*1*(1+Inputs!$B$25)*(1+Inputs!$B$26)^(W$7-1)</f>
        <v>-8652</v>
      </c>
      <c r="X88" s="65" t="n">
        <f aca="false">-X84*Inputs!$B$22/12*1*(1+Inputs!$B$25)*(1+Inputs!$B$26)^(X$7-1)</f>
        <v>-8652</v>
      </c>
      <c r="Y88" s="65" t="n">
        <f aca="false">-Y84*Inputs!$B$22/12*1*(1+Inputs!$B$25)*(1+Inputs!$B$26)^(Y$7-1)</f>
        <v>-8652</v>
      </c>
      <c r="Z88" s="65" t="n">
        <f aca="false">-Z84*Inputs!$B$22/12*1*(1+Inputs!$B$25)*(1+Inputs!$B$26)^(Z$7-1)</f>
        <v>-8652</v>
      </c>
      <c r="AA88" s="65" t="n">
        <f aca="false">-AA84*Inputs!$B$22/12*1*(1+Inputs!$B$25)*(1+Inputs!$B$26)^(AA$7-1)</f>
        <v>-8911.56</v>
      </c>
      <c r="AB88" s="65" t="n">
        <f aca="false">-AB84*Inputs!$B$22/12*1*(1+Inputs!$B$25)*(1+Inputs!$B$26)^(AB$7-1)</f>
        <v>-8911.56</v>
      </c>
      <c r="AC88" s="65" t="n">
        <f aca="false">-AC84*Inputs!$B$22/12*1*(1+Inputs!$B$25)*(1+Inputs!$B$26)^(AC$7-1)</f>
        <v>-8911.56</v>
      </c>
      <c r="AD88" s="65" t="n">
        <f aca="false">-AD84*Inputs!$B$22/12*1*(1+Inputs!$B$25)*(1+Inputs!$B$26)^(AD$7-1)</f>
        <v>-8911.56</v>
      </c>
      <c r="AE88" s="65" t="n">
        <f aca="false">-AE84*Inputs!$B$22/12*1*(1+Inputs!$B$25)*(1+Inputs!$B$26)^(AE$7-1)</f>
        <v>-8911.56</v>
      </c>
      <c r="AF88" s="65" t="n">
        <f aca="false">-AF84*Inputs!$B$22/12*1*(1+Inputs!$B$25)*(1+Inputs!$B$26)^(AF$7-1)</f>
        <v>-8911.56</v>
      </c>
      <c r="AG88" s="65" t="n">
        <f aca="false">-AG84*Inputs!$B$22/12*1*(1+Inputs!$B$25)*(1+Inputs!$B$26)^(AG$7-1)</f>
        <v>-8911.56</v>
      </c>
      <c r="AH88" s="65" t="n">
        <f aca="false">-AH84*Inputs!$B$22/12*1*(1+Inputs!$B$25)*(1+Inputs!$B$26)^(AH$7-1)</f>
        <v>-8911.56</v>
      </c>
      <c r="AI88" s="65" t="n">
        <f aca="false">-AI84*Inputs!$B$22/12*1*(1+Inputs!$B$25)*(1+Inputs!$B$26)^(AI$7-1)</f>
        <v>-8911.56</v>
      </c>
      <c r="AJ88" s="65" t="n">
        <f aca="false">-AJ84*Inputs!$B$22/12*1*(1+Inputs!$B$25)*(1+Inputs!$B$26)^(AJ$7-1)</f>
        <v>-8911.56</v>
      </c>
      <c r="AK88" s="65" t="n">
        <f aca="false">-AK84*Inputs!$B$22/12*1*(1+Inputs!$B$25)*(1+Inputs!$B$26)^(AK$7-1)</f>
        <v>-8911.56</v>
      </c>
      <c r="AL88" s="65" t="n">
        <f aca="false">-AL84*Inputs!$B$22/12*1*(1+Inputs!$B$25)*(1+Inputs!$B$26)^(AL$7-1)</f>
        <v>-8911.56</v>
      </c>
      <c r="AM88" s="65" t="n">
        <f aca="false">-AM84*Inputs!$B$22/12*1*(1+Inputs!$B$25)*(1+Inputs!$B$26)^(AM$7-1)</f>
        <v>-9178.9068</v>
      </c>
      <c r="AN88" s="65" t="n">
        <f aca="false">-AN84*Inputs!$B$22/12*1*(1+Inputs!$B$25)*(1+Inputs!$B$26)^(AN$7-1)</f>
        <v>-9178.9068</v>
      </c>
      <c r="AO88" s="65" t="n">
        <f aca="false">-AO84*Inputs!$B$22/12*1*(1+Inputs!$B$25)*(1+Inputs!$B$26)^(AO$7-1)</f>
        <v>-9178.9068</v>
      </c>
      <c r="AP88" s="65" t="n">
        <f aca="false">-AP84*Inputs!$B$22/12*1*(1+Inputs!$B$25)*(1+Inputs!$B$26)^(AP$7-1)</f>
        <v>-9178.9068</v>
      </c>
      <c r="AQ88" s="65" t="n">
        <f aca="false">-AQ84*Inputs!$B$22/12*1*(1+Inputs!$B$25)*(1+Inputs!$B$26)^(AQ$7-1)</f>
        <v>-9178.9068</v>
      </c>
      <c r="AR88" s="65" t="n">
        <f aca="false">-AR84*Inputs!$B$22/12*1*(1+Inputs!$B$25)*(1+Inputs!$B$26)^(AR$7-1)</f>
        <v>-9178.9068</v>
      </c>
      <c r="AS88" s="65" t="n">
        <f aca="false">-AS84*Inputs!$B$22/12*1*(1+Inputs!$B$25)*(1+Inputs!$B$26)^(AS$7-1)</f>
        <v>-9178.9068</v>
      </c>
      <c r="AT88" s="65" t="n">
        <f aca="false">-AT84*Inputs!$B$22/12*1*(1+Inputs!$B$25)*(1+Inputs!$B$26)^(AT$7-1)</f>
        <v>-9178.9068</v>
      </c>
      <c r="AU88" s="65" t="n">
        <f aca="false">-AU84*Inputs!$B$22/12*1*(1+Inputs!$B$25)*(1+Inputs!$B$26)^(AU$7-1)</f>
        <v>-9178.9068</v>
      </c>
      <c r="AV88" s="65" t="n">
        <f aca="false">-AV84*Inputs!$B$22/12*1*(1+Inputs!$B$25)*(1+Inputs!$B$26)^(AV$7-1)</f>
        <v>-9178.9068</v>
      </c>
      <c r="AW88" s="65" t="n">
        <f aca="false">-AW84*Inputs!$B$22/12*1*(1+Inputs!$B$25)*(1+Inputs!$B$26)^(AW$7-1)</f>
        <v>-9178.9068</v>
      </c>
      <c r="AX88" s="65" t="n">
        <f aca="false">-AX84*Inputs!$B$22/12*1*(1+Inputs!$B$25)*(1+Inputs!$B$26)^(AX$7-1)</f>
        <v>-9178.9068</v>
      </c>
      <c r="AY88" s="65" t="n">
        <f aca="false">-AY84*Inputs!$B$22/12*1*(1+Inputs!$B$25)*(1+Inputs!$B$26)^(AY$7-1)</f>
        <v>-9454.274004</v>
      </c>
      <c r="AZ88" s="65" t="n">
        <f aca="false">-AZ84*Inputs!$B$22/12*1*(1+Inputs!$B$25)*(1+Inputs!$B$26)^(AZ$7-1)</f>
        <v>-9454.274004</v>
      </c>
      <c r="BA88" s="65" t="n">
        <f aca="false">-BA84*Inputs!$B$22/12*1*(1+Inputs!$B$25)*(1+Inputs!$B$26)^(BA$7-1)</f>
        <v>-9454.274004</v>
      </c>
      <c r="BB88" s="65" t="n">
        <f aca="false">-BB84*Inputs!$B$22/12*1*(1+Inputs!$B$25)*(1+Inputs!$B$26)^(BB$7-1)</f>
        <v>-9454.274004</v>
      </c>
      <c r="BC88" s="65" t="n">
        <f aca="false">-BC84*Inputs!$B$22/12*1*(1+Inputs!$B$25)*(1+Inputs!$B$26)^(BC$7-1)</f>
        <v>-9454.274004</v>
      </c>
      <c r="BD88" s="65" t="n">
        <f aca="false">-BD84*Inputs!$B$22/12*1*(1+Inputs!$B$25)*(1+Inputs!$B$26)^(BD$7-1)</f>
        <v>-9454.274004</v>
      </c>
      <c r="BE88" s="65" t="n">
        <f aca="false">-BE84*Inputs!$B$22/12*1*(1+Inputs!$B$25)*(1+Inputs!$B$26)^(BE$7-1)</f>
        <v>-9454.274004</v>
      </c>
      <c r="BF88" s="65" t="n">
        <f aca="false">-BF84*Inputs!$B$22/12*1*(1+Inputs!$B$25)*(1+Inputs!$B$26)^(BF$7-1)</f>
        <v>-9454.274004</v>
      </c>
      <c r="BG88" s="65" t="n">
        <f aca="false">-BG84*Inputs!$B$22/12*1*(1+Inputs!$B$25)*(1+Inputs!$B$26)^(BG$7-1)</f>
        <v>-9454.274004</v>
      </c>
      <c r="BH88" s="65" t="n">
        <f aca="false">-BH84*Inputs!$B$22/12*1*(1+Inputs!$B$25)*(1+Inputs!$B$26)^(BH$7-1)</f>
        <v>-9454.274004</v>
      </c>
      <c r="BI88" s="65" t="n">
        <f aca="false">-BI84*Inputs!$B$22/12*1*(1+Inputs!$B$25)*(1+Inputs!$B$26)^(BI$7-1)</f>
        <v>-9454.274004</v>
      </c>
      <c r="BJ88" s="65" t="n">
        <f aca="false">-BJ84*Inputs!$B$22/12*1*(1+Inputs!$B$25)*(1+Inputs!$B$26)^(BJ$7-1)</f>
        <v>-9454.274004</v>
      </c>
    </row>
    <row r="89" customFormat="false" ht="15" hidden="false" customHeight="false" outlineLevel="0" collapsed="false">
      <c r="A89" s="108" t="s">
        <v>393</v>
      </c>
      <c r="C89" s="66" t="n">
        <f aca="false">C88</f>
        <v>-8400</v>
      </c>
      <c r="D89" s="66" t="n">
        <f aca="false">D88</f>
        <v>-8400</v>
      </c>
      <c r="E89" s="66" t="n">
        <f aca="false">E88</f>
        <v>-8400</v>
      </c>
      <c r="F89" s="66" t="n">
        <f aca="false">F88</f>
        <v>-8400</v>
      </c>
      <c r="G89" s="66" t="n">
        <f aca="false">G88</f>
        <v>-8400</v>
      </c>
      <c r="H89" s="66" t="n">
        <f aca="false">H88</f>
        <v>-8400</v>
      </c>
      <c r="I89" s="66" t="n">
        <f aca="false">I88</f>
        <v>-8400</v>
      </c>
      <c r="J89" s="66" t="n">
        <f aca="false">J88</f>
        <v>-8400</v>
      </c>
      <c r="K89" s="66" t="n">
        <f aca="false">K88</f>
        <v>-8400</v>
      </c>
      <c r="L89" s="66" t="n">
        <f aca="false">L88</f>
        <v>-8400</v>
      </c>
      <c r="M89" s="66" t="n">
        <f aca="false">M88</f>
        <v>-8400</v>
      </c>
      <c r="N89" s="66" t="n">
        <f aca="false">N88</f>
        <v>-8400</v>
      </c>
      <c r="O89" s="66" t="n">
        <f aca="false">O88</f>
        <v>-8652</v>
      </c>
      <c r="P89" s="66" t="n">
        <f aca="false">P88</f>
        <v>-8652</v>
      </c>
      <c r="Q89" s="66" t="n">
        <f aca="false">Q88</f>
        <v>-8652</v>
      </c>
      <c r="R89" s="66" t="n">
        <f aca="false">R88</f>
        <v>-8652</v>
      </c>
      <c r="S89" s="66" t="n">
        <f aca="false">S88</f>
        <v>-8652</v>
      </c>
      <c r="T89" s="66" t="n">
        <f aca="false">T88</f>
        <v>-8652</v>
      </c>
      <c r="U89" s="66" t="n">
        <f aca="false">U88</f>
        <v>-8652</v>
      </c>
      <c r="V89" s="66" t="n">
        <f aca="false">V88</f>
        <v>-8652</v>
      </c>
      <c r="W89" s="66" t="n">
        <f aca="false">W88</f>
        <v>-8652</v>
      </c>
      <c r="X89" s="66" t="n">
        <f aca="false">X88</f>
        <v>-8652</v>
      </c>
      <c r="Y89" s="66" t="n">
        <f aca="false">Y88</f>
        <v>-8652</v>
      </c>
      <c r="Z89" s="66" t="n">
        <f aca="false">Z88</f>
        <v>-8652</v>
      </c>
      <c r="AA89" s="66" t="n">
        <f aca="false">AA88</f>
        <v>-8911.56</v>
      </c>
      <c r="AB89" s="66" t="n">
        <f aca="false">AB88</f>
        <v>-8911.56</v>
      </c>
      <c r="AC89" s="66" t="n">
        <f aca="false">AC88</f>
        <v>-8911.56</v>
      </c>
      <c r="AD89" s="66" t="n">
        <f aca="false">AD88</f>
        <v>-8911.56</v>
      </c>
      <c r="AE89" s="66" t="n">
        <f aca="false">AE88</f>
        <v>-8911.56</v>
      </c>
      <c r="AF89" s="66" t="n">
        <f aca="false">AF88</f>
        <v>-8911.56</v>
      </c>
      <c r="AG89" s="66" t="n">
        <f aca="false">AG88</f>
        <v>-8911.56</v>
      </c>
      <c r="AH89" s="66" t="n">
        <f aca="false">AH88</f>
        <v>-8911.56</v>
      </c>
      <c r="AI89" s="66" t="n">
        <f aca="false">AI88</f>
        <v>-8911.56</v>
      </c>
      <c r="AJ89" s="66" t="n">
        <f aca="false">AJ88</f>
        <v>-8911.56</v>
      </c>
      <c r="AK89" s="66" t="n">
        <f aca="false">AK88</f>
        <v>-8911.56</v>
      </c>
      <c r="AL89" s="66" t="n">
        <f aca="false">AL88</f>
        <v>-8911.56</v>
      </c>
      <c r="AM89" s="66" t="n">
        <f aca="false">AM88</f>
        <v>-9178.9068</v>
      </c>
      <c r="AN89" s="66" t="n">
        <f aca="false">AN88</f>
        <v>-9178.9068</v>
      </c>
      <c r="AO89" s="66" t="n">
        <f aca="false">AO88</f>
        <v>-9178.9068</v>
      </c>
      <c r="AP89" s="66" t="n">
        <f aca="false">AP88</f>
        <v>-9178.9068</v>
      </c>
      <c r="AQ89" s="66" t="n">
        <f aca="false">AQ88</f>
        <v>-9178.9068</v>
      </c>
      <c r="AR89" s="66" t="n">
        <f aca="false">AR88</f>
        <v>-9178.9068</v>
      </c>
      <c r="AS89" s="66" t="n">
        <f aca="false">AS88</f>
        <v>-9178.9068</v>
      </c>
      <c r="AT89" s="66" t="n">
        <f aca="false">AT88</f>
        <v>-9178.9068</v>
      </c>
      <c r="AU89" s="66" t="n">
        <f aca="false">AU88</f>
        <v>-9178.9068</v>
      </c>
      <c r="AV89" s="66" t="n">
        <f aca="false">AV88</f>
        <v>-9178.9068</v>
      </c>
      <c r="AW89" s="66" t="n">
        <f aca="false">AW88</f>
        <v>-9178.9068</v>
      </c>
      <c r="AX89" s="66" t="n">
        <f aca="false">AX88</f>
        <v>-9178.9068</v>
      </c>
      <c r="AY89" s="66" t="n">
        <f aca="false">AY88</f>
        <v>-9454.274004</v>
      </c>
      <c r="AZ89" s="66" t="n">
        <f aca="false">AZ88</f>
        <v>-9454.274004</v>
      </c>
      <c r="BA89" s="66" t="n">
        <f aca="false">BA88</f>
        <v>-9454.274004</v>
      </c>
      <c r="BB89" s="66" t="n">
        <f aca="false">BB88</f>
        <v>-9454.274004</v>
      </c>
      <c r="BC89" s="66" t="n">
        <f aca="false">BC88</f>
        <v>-9454.274004</v>
      </c>
      <c r="BD89" s="66" t="n">
        <f aca="false">BD88</f>
        <v>-9454.274004</v>
      </c>
      <c r="BE89" s="66" t="n">
        <f aca="false">BE88</f>
        <v>-9454.274004</v>
      </c>
      <c r="BF89" s="66" t="n">
        <f aca="false">BF88</f>
        <v>-9454.274004</v>
      </c>
      <c r="BG89" s="66" t="n">
        <f aca="false">BG88</f>
        <v>-9454.274004</v>
      </c>
      <c r="BH89" s="66" t="n">
        <f aca="false">BH88</f>
        <v>-9454.274004</v>
      </c>
      <c r="BI89" s="66" t="n">
        <f aca="false">BI88</f>
        <v>-9454.274004</v>
      </c>
      <c r="BJ89" s="66" t="n">
        <f aca="false">BJ88</f>
        <v>-9454.274004</v>
      </c>
    </row>
    <row r="92" customFormat="false" ht="15.75" hidden="false" customHeight="true" outlineLevel="0" collapsed="false">
      <c r="A92" s="7" t="s">
        <v>397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33" t="s">
        <v>298</v>
      </c>
      <c r="C93" s="50" t="s">
        <v>299</v>
      </c>
      <c r="D93" s="50" t="s">
        <v>300</v>
      </c>
      <c r="E93" s="50" t="s">
        <v>301</v>
      </c>
      <c r="F93" s="50" t="s">
        <v>302</v>
      </c>
      <c r="G93" s="50" t="s">
        <v>303</v>
      </c>
      <c r="H93" s="50" t="s">
        <v>304</v>
      </c>
      <c r="I93" s="50" t="s">
        <v>305</v>
      </c>
      <c r="J93" s="50" t="s">
        <v>306</v>
      </c>
      <c r="K93" s="50" t="s">
        <v>307</v>
      </c>
      <c r="L93" s="50" t="s">
        <v>308</v>
      </c>
      <c r="M93" s="50" t="s">
        <v>309</v>
      </c>
      <c r="N93" s="50" t="s">
        <v>310</v>
      </c>
      <c r="O93" s="50" t="s">
        <v>311</v>
      </c>
      <c r="P93" s="50" t="s">
        <v>312</v>
      </c>
      <c r="Q93" s="50" t="s">
        <v>313</v>
      </c>
      <c r="R93" s="50" t="s">
        <v>314</v>
      </c>
      <c r="S93" s="50" t="s">
        <v>315</v>
      </c>
      <c r="T93" s="50" t="s">
        <v>316</v>
      </c>
      <c r="U93" s="50" t="s">
        <v>317</v>
      </c>
      <c r="V93" s="50" t="s">
        <v>318</v>
      </c>
      <c r="W93" s="50" t="s">
        <v>319</v>
      </c>
      <c r="X93" s="50" t="s">
        <v>320</v>
      </c>
      <c r="Y93" s="50" t="s">
        <v>321</v>
      </c>
      <c r="Z93" s="50" t="s">
        <v>322</v>
      </c>
      <c r="AA93" s="50" t="s">
        <v>323</v>
      </c>
      <c r="AB93" s="50" t="s">
        <v>324</v>
      </c>
      <c r="AC93" s="50" t="s">
        <v>325</v>
      </c>
      <c r="AD93" s="50" t="s">
        <v>326</v>
      </c>
      <c r="AE93" s="50" t="s">
        <v>327</v>
      </c>
      <c r="AF93" s="50" t="s">
        <v>328</v>
      </c>
      <c r="AG93" s="50" t="s">
        <v>329</v>
      </c>
      <c r="AH93" s="50" t="s">
        <v>330</v>
      </c>
      <c r="AI93" s="50" t="s">
        <v>331</v>
      </c>
      <c r="AJ93" s="50" t="s">
        <v>332</v>
      </c>
      <c r="AK93" s="50" t="s">
        <v>333</v>
      </c>
      <c r="AL93" s="50" t="s">
        <v>334</v>
      </c>
      <c r="AM93" s="50" t="s">
        <v>335</v>
      </c>
      <c r="AN93" s="50" t="s">
        <v>336</v>
      </c>
      <c r="AO93" s="50" t="s">
        <v>337</v>
      </c>
      <c r="AP93" s="50" t="s">
        <v>338</v>
      </c>
      <c r="AQ93" s="50" t="s">
        <v>339</v>
      </c>
      <c r="AR93" s="50" t="s">
        <v>340</v>
      </c>
      <c r="AS93" s="50" t="s">
        <v>341</v>
      </c>
      <c r="AT93" s="50" t="s">
        <v>342</v>
      </c>
      <c r="AU93" s="50" t="s">
        <v>343</v>
      </c>
      <c r="AV93" s="50" t="s">
        <v>344</v>
      </c>
      <c r="AW93" s="50" t="s">
        <v>345</v>
      </c>
      <c r="AX93" s="50" t="s">
        <v>346</v>
      </c>
      <c r="AY93" s="50" t="s">
        <v>347</v>
      </c>
      <c r="AZ93" s="50" t="s">
        <v>348</v>
      </c>
      <c r="BA93" s="50" t="s">
        <v>349</v>
      </c>
      <c r="BB93" s="50" t="s">
        <v>350</v>
      </c>
      <c r="BC93" s="50" t="s">
        <v>351</v>
      </c>
      <c r="BD93" s="50" t="s">
        <v>352</v>
      </c>
      <c r="BE93" s="50" t="s">
        <v>353</v>
      </c>
      <c r="BF93" s="50" t="s">
        <v>354</v>
      </c>
      <c r="BG93" s="50" t="s">
        <v>355</v>
      </c>
      <c r="BH93" s="50" t="s">
        <v>356</v>
      </c>
      <c r="BI93" s="50" t="s">
        <v>357</v>
      </c>
      <c r="BJ93" s="50" t="s">
        <v>358</v>
      </c>
    </row>
    <row r="94" customFormat="false" ht="15" hidden="false" customHeight="false" outlineLevel="0" collapsed="false">
      <c r="A94" s="70" t="s">
        <v>359</v>
      </c>
      <c r="C94" s="70" t="n">
        <v>1</v>
      </c>
      <c r="D94" s="70" t="n">
        <v>2</v>
      </c>
      <c r="E94" s="70" t="n">
        <v>3</v>
      </c>
      <c r="F94" s="70" t="n">
        <v>4</v>
      </c>
      <c r="G94" s="70" t="n">
        <v>5</v>
      </c>
      <c r="H94" s="70" t="n">
        <v>6</v>
      </c>
      <c r="I94" s="70" t="n">
        <v>7</v>
      </c>
      <c r="J94" s="70" t="n">
        <v>8</v>
      </c>
      <c r="K94" s="70" t="n">
        <v>9</v>
      </c>
      <c r="L94" s="70" t="n">
        <v>10</v>
      </c>
      <c r="M94" s="70" t="n">
        <v>11</v>
      </c>
      <c r="N94" s="70" t="n">
        <v>12</v>
      </c>
      <c r="O94" s="70" t="n">
        <v>13</v>
      </c>
      <c r="P94" s="70" t="n">
        <v>14</v>
      </c>
      <c r="Q94" s="70" t="n">
        <v>15</v>
      </c>
      <c r="R94" s="70" t="n">
        <v>16</v>
      </c>
      <c r="S94" s="70" t="n">
        <v>17</v>
      </c>
      <c r="T94" s="70" t="n">
        <v>18</v>
      </c>
      <c r="U94" s="70" t="n">
        <v>19</v>
      </c>
      <c r="V94" s="70" t="n">
        <v>20</v>
      </c>
      <c r="W94" s="70" t="n">
        <v>21</v>
      </c>
      <c r="X94" s="70" t="n">
        <v>22</v>
      </c>
      <c r="Y94" s="70" t="n">
        <v>23</v>
      </c>
      <c r="Z94" s="70" t="n">
        <v>24</v>
      </c>
      <c r="AA94" s="70" t="n">
        <v>25</v>
      </c>
      <c r="AB94" s="70" t="n">
        <v>26</v>
      </c>
      <c r="AC94" s="70" t="n">
        <v>27</v>
      </c>
      <c r="AD94" s="70" t="n">
        <v>28</v>
      </c>
      <c r="AE94" s="70" t="n">
        <v>29</v>
      </c>
      <c r="AF94" s="70" t="n">
        <v>30</v>
      </c>
      <c r="AG94" s="70" t="n">
        <v>31</v>
      </c>
      <c r="AH94" s="70" t="n">
        <v>32</v>
      </c>
      <c r="AI94" s="70" t="n">
        <v>33</v>
      </c>
      <c r="AJ94" s="70" t="n">
        <v>34</v>
      </c>
      <c r="AK94" s="70" t="n">
        <v>35</v>
      </c>
      <c r="AL94" s="70" t="n">
        <v>36</v>
      </c>
      <c r="AM94" s="70" t="n">
        <v>37</v>
      </c>
      <c r="AN94" s="70" t="n">
        <v>38</v>
      </c>
      <c r="AO94" s="70" t="n">
        <v>39</v>
      </c>
      <c r="AP94" s="70" t="n">
        <v>40</v>
      </c>
      <c r="AQ94" s="70" t="n">
        <v>41</v>
      </c>
      <c r="AR94" s="70" t="n">
        <v>42</v>
      </c>
      <c r="AS94" s="70" t="n">
        <v>43</v>
      </c>
      <c r="AT94" s="70" t="n">
        <v>44</v>
      </c>
      <c r="AU94" s="70" t="n">
        <v>45</v>
      </c>
      <c r="AV94" s="70" t="n">
        <v>46</v>
      </c>
      <c r="AW94" s="70" t="n">
        <v>47</v>
      </c>
      <c r="AX94" s="70" t="n">
        <v>48</v>
      </c>
      <c r="AY94" s="70" t="n">
        <v>49</v>
      </c>
      <c r="AZ94" s="70" t="n">
        <v>50</v>
      </c>
      <c r="BA94" s="70" t="n">
        <v>51</v>
      </c>
      <c r="BB94" s="70" t="n">
        <v>52</v>
      </c>
      <c r="BC94" s="70" t="n">
        <v>53</v>
      </c>
      <c r="BD94" s="70" t="n">
        <v>54</v>
      </c>
      <c r="BE94" s="70" t="n">
        <v>55</v>
      </c>
      <c r="BF94" s="70" t="n">
        <v>56</v>
      </c>
      <c r="BG94" s="70" t="n">
        <v>57</v>
      </c>
      <c r="BH94" s="70" t="n">
        <v>58</v>
      </c>
      <c r="BI94" s="70" t="n">
        <v>59</v>
      </c>
      <c r="BJ94" s="70" t="n">
        <v>60</v>
      </c>
    </row>
    <row r="95" customFormat="false" ht="15" hidden="false" customHeight="false" outlineLevel="0" collapsed="false">
      <c r="A95" s="70" t="s">
        <v>152</v>
      </c>
      <c r="C95" s="70" t="n">
        <f aca="false">ROUNDUP(C94*1/12,0)</f>
        <v>1</v>
      </c>
      <c r="D95" s="70" t="n">
        <f aca="false">ROUNDUP(D94*1/12,0)</f>
        <v>1</v>
      </c>
      <c r="E95" s="70" t="n">
        <f aca="false">ROUNDUP(E94*1/12,0)</f>
        <v>1</v>
      </c>
      <c r="F95" s="70" t="n">
        <f aca="false">ROUNDUP(F94*1/12,0)</f>
        <v>1</v>
      </c>
      <c r="G95" s="70" t="n">
        <f aca="false">ROUNDUP(G94*1/12,0)</f>
        <v>1</v>
      </c>
      <c r="H95" s="70" t="n">
        <f aca="false">ROUNDUP(H94*1/12,0)</f>
        <v>1</v>
      </c>
      <c r="I95" s="70" t="n">
        <f aca="false">ROUNDUP(I94*1/12,0)</f>
        <v>1</v>
      </c>
      <c r="J95" s="70" t="n">
        <f aca="false">ROUNDUP(J94*1/12,0)</f>
        <v>1</v>
      </c>
      <c r="K95" s="70" t="n">
        <f aca="false">ROUNDUP(K94*1/12,0)</f>
        <v>1</v>
      </c>
      <c r="L95" s="70" t="n">
        <f aca="false">ROUNDUP(L94*1/12,0)</f>
        <v>1</v>
      </c>
      <c r="M95" s="70" t="n">
        <f aca="false">ROUNDUP(M94*1/12,0)</f>
        <v>1</v>
      </c>
      <c r="N95" s="70" t="n">
        <f aca="false">ROUNDUP(N94*1/12,0)</f>
        <v>1</v>
      </c>
      <c r="O95" s="70" t="n">
        <f aca="false">ROUNDUP(O94*1/12,0)</f>
        <v>2</v>
      </c>
      <c r="P95" s="70" t="n">
        <f aca="false">ROUNDUP(P94*1/12,0)</f>
        <v>2</v>
      </c>
      <c r="Q95" s="70" t="n">
        <f aca="false">ROUNDUP(Q94*1/12,0)</f>
        <v>2</v>
      </c>
      <c r="R95" s="70" t="n">
        <f aca="false">ROUNDUP(R94*1/12,0)</f>
        <v>2</v>
      </c>
      <c r="S95" s="70" t="n">
        <f aca="false">ROUNDUP(S94*1/12,0)</f>
        <v>2</v>
      </c>
      <c r="T95" s="70" t="n">
        <f aca="false">ROUNDUP(T94*1/12,0)</f>
        <v>2</v>
      </c>
      <c r="U95" s="70" t="n">
        <f aca="false">ROUNDUP(U94*1/12,0)</f>
        <v>2</v>
      </c>
      <c r="V95" s="70" t="n">
        <f aca="false">ROUNDUP(V94*1/12,0)</f>
        <v>2</v>
      </c>
      <c r="W95" s="70" t="n">
        <f aca="false">ROUNDUP(W94*1/12,0)</f>
        <v>2</v>
      </c>
      <c r="X95" s="70" t="n">
        <f aca="false">ROUNDUP(X94*1/12,0)</f>
        <v>2</v>
      </c>
      <c r="Y95" s="70" t="n">
        <f aca="false">ROUNDUP(Y94*1/12,0)</f>
        <v>2</v>
      </c>
      <c r="Z95" s="70" t="n">
        <f aca="false">ROUNDUP(Z94*1/12,0)</f>
        <v>2</v>
      </c>
      <c r="AA95" s="70" t="n">
        <f aca="false">ROUNDUP(AA94*1/12,0)</f>
        <v>3</v>
      </c>
      <c r="AB95" s="70" t="n">
        <f aca="false">ROUNDUP(AB94*1/12,0)</f>
        <v>3</v>
      </c>
      <c r="AC95" s="70" t="n">
        <f aca="false">ROUNDUP(AC94*1/12,0)</f>
        <v>3</v>
      </c>
      <c r="AD95" s="70" t="n">
        <f aca="false">ROUNDUP(AD94*1/12,0)</f>
        <v>3</v>
      </c>
      <c r="AE95" s="70" t="n">
        <f aca="false">ROUNDUP(AE94*1/12,0)</f>
        <v>3</v>
      </c>
      <c r="AF95" s="70" t="n">
        <f aca="false">ROUNDUP(AF94*1/12,0)</f>
        <v>3</v>
      </c>
      <c r="AG95" s="70" t="n">
        <f aca="false">ROUNDUP(AG94*1/12,0)</f>
        <v>3</v>
      </c>
      <c r="AH95" s="70" t="n">
        <f aca="false">ROUNDUP(AH94*1/12,0)</f>
        <v>3</v>
      </c>
      <c r="AI95" s="70" t="n">
        <f aca="false">ROUNDUP(AI94*1/12,0)</f>
        <v>3</v>
      </c>
      <c r="AJ95" s="70" t="n">
        <f aca="false">ROUNDUP(AJ94*1/12,0)</f>
        <v>3</v>
      </c>
      <c r="AK95" s="70" t="n">
        <f aca="false">ROUNDUP(AK94*1/12,0)</f>
        <v>3</v>
      </c>
      <c r="AL95" s="70" t="n">
        <f aca="false">ROUNDUP(AL94*1/12,0)</f>
        <v>3</v>
      </c>
      <c r="AM95" s="70" t="n">
        <f aca="false">ROUNDUP(AM94*1/12,0)</f>
        <v>4</v>
      </c>
      <c r="AN95" s="70" t="n">
        <f aca="false">ROUNDUP(AN94*1/12,0)</f>
        <v>4</v>
      </c>
      <c r="AO95" s="70" t="n">
        <f aca="false">ROUNDUP(AO94*1/12,0)</f>
        <v>4</v>
      </c>
      <c r="AP95" s="70" t="n">
        <f aca="false">ROUNDUP(AP94*1/12,0)</f>
        <v>4</v>
      </c>
      <c r="AQ95" s="70" t="n">
        <f aca="false">ROUNDUP(AQ94*1/12,0)</f>
        <v>4</v>
      </c>
      <c r="AR95" s="70" t="n">
        <f aca="false">ROUNDUP(AR94*1/12,0)</f>
        <v>4</v>
      </c>
      <c r="AS95" s="70" t="n">
        <f aca="false">ROUNDUP(AS94*1/12,0)</f>
        <v>4</v>
      </c>
      <c r="AT95" s="70" t="n">
        <f aca="false">ROUNDUP(AT94*1/12,0)</f>
        <v>4</v>
      </c>
      <c r="AU95" s="70" t="n">
        <f aca="false">ROUNDUP(AU94*1/12,0)</f>
        <v>4</v>
      </c>
      <c r="AV95" s="70" t="n">
        <f aca="false">ROUNDUP(AV94*1/12,0)</f>
        <v>4</v>
      </c>
      <c r="AW95" s="70" t="n">
        <f aca="false">ROUNDUP(AW94*1/12,0)</f>
        <v>4</v>
      </c>
      <c r="AX95" s="70" t="n">
        <f aca="false">ROUNDUP(AX94*1/12,0)</f>
        <v>4</v>
      </c>
      <c r="AY95" s="70" t="n">
        <f aca="false">ROUNDUP(AY94*1/12,0)</f>
        <v>5</v>
      </c>
      <c r="AZ95" s="70" t="n">
        <f aca="false">ROUNDUP(AZ94*1/12,0)</f>
        <v>5</v>
      </c>
      <c r="BA95" s="70" t="n">
        <f aca="false">ROUNDUP(BA94*1/12,0)</f>
        <v>5</v>
      </c>
      <c r="BB95" s="70" t="n">
        <f aca="false">ROUNDUP(BB94*1/12,0)</f>
        <v>5</v>
      </c>
      <c r="BC95" s="70" t="n">
        <f aca="false">ROUNDUP(BC94*1/12,0)</f>
        <v>5</v>
      </c>
      <c r="BD95" s="70" t="n">
        <f aca="false">ROUNDUP(BD94*1/12,0)</f>
        <v>5</v>
      </c>
      <c r="BE95" s="70" t="n">
        <f aca="false">ROUNDUP(BE94*1/12,0)</f>
        <v>5</v>
      </c>
      <c r="BF95" s="70" t="n">
        <f aca="false">ROUNDUP(BF94*1/12,0)</f>
        <v>5</v>
      </c>
      <c r="BG95" s="70" t="n">
        <f aca="false">ROUNDUP(BG94*1/12,0)</f>
        <v>5</v>
      </c>
      <c r="BH95" s="70" t="n">
        <f aca="false">ROUNDUP(BH94*1/12,0)</f>
        <v>5</v>
      </c>
      <c r="BI95" s="70" t="n">
        <f aca="false">ROUNDUP(BI94*1/12,0)</f>
        <v>5</v>
      </c>
      <c r="BJ95" s="70" t="n">
        <f aca="false">ROUNDUP(BJ94*1/12,0)</f>
        <v>5</v>
      </c>
    </row>
    <row r="97" customFormat="false" ht="15.75" hidden="false" customHeight="true" outlineLevel="0" collapsed="false">
      <c r="A97" s="7" t="s">
        <v>360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customFormat="false" ht="15" hidden="false" customHeight="false" outlineLevel="0" collapsed="false">
      <c r="A98" s="38" t="s">
        <v>361</v>
      </c>
      <c r="C98" s="72" t="n">
        <f aca="false">MIN(1,Inputs!$C$9+(1-Inputs!$C$9)*(C$94-1)/MAX(1,Inputs!$C$8))</f>
        <v>0.5</v>
      </c>
      <c r="D98" s="72" t="n">
        <f aca="false">MIN(1,Inputs!$C$9+(1-Inputs!$C$9)*(D$94-1)/MAX(1,Inputs!$C$8))</f>
        <v>0.583333333333333</v>
      </c>
      <c r="E98" s="72" t="n">
        <f aca="false">MIN(1,Inputs!$C$9+(1-Inputs!$C$9)*(E$94-1)/MAX(1,Inputs!$C$8))</f>
        <v>0.666666666666667</v>
      </c>
      <c r="F98" s="72" t="n">
        <f aca="false">MIN(1,Inputs!$C$9+(1-Inputs!$C$9)*(F$94-1)/MAX(1,Inputs!$C$8))</f>
        <v>0.75</v>
      </c>
      <c r="G98" s="72" t="n">
        <f aca="false">MIN(1,Inputs!$C$9+(1-Inputs!$C$9)*(G$94-1)/MAX(1,Inputs!$C$8))</f>
        <v>0.833333333333333</v>
      </c>
      <c r="H98" s="72" t="n">
        <f aca="false">MIN(1,Inputs!$C$9+(1-Inputs!$C$9)*(H$94-1)/MAX(1,Inputs!$C$8))</f>
        <v>0.916666666666667</v>
      </c>
      <c r="I98" s="72" t="n">
        <f aca="false">MIN(1,Inputs!$C$9+(1-Inputs!$C$9)*(I$94-1)/MAX(1,Inputs!$C$8))</f>
        <v>1</v>
      </c>
      <c r="J98" s="72" t="n">
        <f aca="false">MIN(1,Inputs!$C$9+(1-Inputs!$C$9)*(J$94-1)/MAX(1,Inputs!$C$8))</f>
        <v>1</v>
      </c>
      <c r="K98" s="72" t="n">
        <f aca="false">MIN(1,Inputs!$C$9+(1-Inputs!$C$9)*(K$94-1)/MAX(1,Inputs!$C$8))</f>
        <v>1</v>
      </c>
      <c r="L98" s="72" t="n">
        <f aca="false">MIN(1,Inputs!$C$9+(1-Inputs!$C$9)*(L$94-1)/MAX(1,Inputs!$C$8))</f>
        <v>1</v>
      </c>
      <c r="M98" s="72" t="n">
        <f aca="false">MIN(1,Inputs!$C$9+(1-Inputs!$C$9)*(M$94-1)/MAX(1,Inputs!$C$8))</f>
        <v>1</v>
      </c>
      <c r="N98" s="72" t="n">
        <f aca="false">MIN(1,Inputs!$C$9+(1-Inputs!$C$9)*(N$94-1)/MAX(1,Inputs!$C$8))</f>
        <v>1</v>
      </c>
      <c r="O98" s="72" t="n">
        <f aca="false">MIN(1,Inputs!$C$9+(1-Inputs!$C$9)*(O$94-1)/MAX(1,Inputs!$C$8))</f>
        <v>1</v>
      </c>
      <c r="P98" s="72" t="n">
        <f aca="false">MIN(1,Inputs!$C$9+(1-Inputs!$C$9)*(P$94-1)/MAX(1,Inputs!$C$8))</f>
        <v>1</v>
      </c>
      <c r="Q98" s="72" t="n">
        <f aca="false">MIN(1,Inputs!$C$9+(1-Inputs!$C$9)*(Q$94-1)/MAX(1,Inputs!$C$8))</f>
        <v>1</v>
      </c>
      <c r="R98" s="72" t="n">
        <f aca="false">MIN(1,Inputs!$C$9+(1-Inputs!$C$9)*(R$94-1)/MAX(1,Inputs!$C$8))</f>
        <v>1</v>
      </c>
      <c r="S98" s="72" t="n">
        <f aca="false">MIN(1,Inputs!$C$9+(1-Inputs!$C$9)*(S$94-1)/MAX(1,Inputs!$C$8))</f>
        <v>1</v>
      </c>
      <c r="T98" s="72" t="n">
        <f aca="false">MIN(1,Inputs!$C$9+(1-Inputs!$C$9)*(T$94-1)/MAX(1,Inputs!$C$8))</f>
        <v>1</v>
      </c>
      <c r="U98" s="72" t="n">
        <f aca="false">MIN(1,Inputs!$C$9+(1-Inputs!$C$9)*(U$94-1)/MAX(1,Inputs!$C$8))</f>
        <v>1</v>
      </c>
      <c r="V98" s="72" t="n">
        <f aca="false">MIN(1,Inputs!$C$9+(1-Inputs!$C$9)*(V$94-1)/MAX(1,Inputs!$C$8))</f>
        <v>1</v>
      </c>
      <c r="W98" s="72" t="n">
        <f aca="false">MIN(1,Inputs!$C$9+(1-Inputs!$C$9)*(W$94-1)/MAX(1,Inputs!$C$8))</f>
        <v>1</v>
      </c>
      <c r="X98" s="72" t="n">
        <f aca="false">MIN(1,Inputs!$C$9+(1-Inputs!$C$9)*(X$94-1)/MAX(1,Inputs!$C$8))</f>
        <v>1</v>
      </c>
      <c r="Y98" s="72" t="n">
        <f aca="false">MIN(1,Inputs!$C$9+(1-Inputs!$C$9)*(Y$94-1)/MAX(1,Inputs!$C$8))</f>
        <v>1</v>
      </c>
      <c r="Z98" s="72" t="n">
        <f aca="false">MIN(1,Inputs!$C$9+(1-Inputs!$C$9)*(Z$94-1)/MAX(1,Inputs!$C$8))</f>
        <v>1</v>
      </c>
      <c r="AA98" s="72" t="n">
        <f aca="false">MIN(1,Inputs!$C$9+(1-Inputs!$C$9)*(AA$94-1)/MAX(1,Inputs!$C$8))</f>
        <v>1</v>
      </c>
      <c r="AB98" s="72" t="n">
        <f aca="false">MIN(1,Inputs!$C$9+(1-Inputs!$C$9)*(AB$94-1)/MAX(1,Inputs!$C$8))</f>
        <v>1</v>
      </c>
      <c r="AC98" s="72" t="n">
        <f aca="false">MIN(1,Inputs!$C$9+(1-Inputs!$C$9)*(AC$94-1)/MAX(1,Inputs!$C$8))</f>
        <v>1</v>
      </c>
      <c r="AD98" s="72" t="n">
        <f aca="false">MIN(1,Inputs!$C$9+(1-Inputs!$C$9)*(AD$94-1)/MAX(1,Inputs!$C$8))</f>
        <v>1</v>
      </c>
      <c r="AE98" s="72" t="n">
        <f aca="false">MIN(1,Inputs!$C$9+(1-Inputs!$C$9)*(AE$94-1)/MAX(1,Inputs!$C$8))</f>
        <v>1</v>
      </c>
      <c r="AF98" s="72" t="n">
        <f aca="false">MIN(1,Inputs!$C$9+(1-Inputs!$C$9)*(AF$94-1)/MAX(1,Inputs!$C$8))</f>
        <v>1</v>
      </c>
      <c r="AG98" s="72" t="n">
        <f aca="false">MIN(1,Inputs!$C$9+(1-Inputs!$C$9)*(AG$94-1)/MAX(1,Inputs!$C$8))</f>
        <v>1</v>
      </c>
      <c r="AH98" s="72" t="n">
        <f aca="false">MIN(1,Inputs!$C$9+(1-Inputs!$C$9)*(AH$94-1)/MAX(1,Inputs!$C$8))</f>
        <v>1</v>
      </c>
      <c r="AI98" s="72" t="n">
        <f aca="false">MIN(1,Inputs!$C$9+(1-Inputs!$C$9)*(AI$94-1)/MAX(1,Inputs!$C$8))</f>
        <v>1</v>
      </c>
      <c r="AJ98" s="72" t="n">
        <f aca="false">MIN(1,Inputs!$C$9+(1-Inputs!$C$9)*(AJ$94-1)/MAX(1,Inputs!$C$8))</f>
        <v>1</v>
      </c>
      <c r="AK98" s="72" t="n">
        <f aca="false">MIN(1,Inputs!$C$9+(1-Inputs!$C$9)*(AK$94-1)/MAX(1,Inputs!$C$8))</f>
        <v>1</v>
      </c>
      <c r="AL98" s="72" t="n">
        <f aca="false">MIN(1,Inputs!$C$9+(1-Inputs!$C$9)*(AL$94-1)/MAX(1,Inputs!$C$8))</f>
        <v>1</v>
      </c>
      <c r="AM98" s="72" t="n">
        <f aca="false">MIN(1,Inputs!$C$9+(1-Inputs!$C$9)*(AM$94-1)/MAX(1,Inputs!$C$8))</f>
        <v>1</v>
      </c>
      <c r="AN98" s="72" t="n">
        <f aca="false">MIN(1,Inputs!$C$9+(1-Inputs!$C$9)*(AN$94-1)/MAX(1,Inputs!$C$8))</f>
        <v>1</v>
      </c>
      <c r="AO98" s="72" t="n">
        <f aca="false">MIN(1,Inputs!$C$9+(1-Inputs!$C$9)*(AO$94-1)/MAX(1,Inputs!$C$8))</f>
        <v>1</v>
      </c>
      <c r="AP98" s="72" t="n">
        <f aca="false">MIN(1,Inputs!$C$9+(1-Inputs!$C$9)*(AP$94-1)/MAX(1,Inputs!$C$8))</f>
        <v>1</v>
      </c>
      <c r="AQ98" s="72" t="n">
        <f aca="false">MIN(1,Inputs!$C$9+(1-Inputs!$C$9)*(AQ$94-1)/MAX(1,Inputs!$C$8))</f>
        <v>1</v>
      </c>
      <c r="AR98" s="72" t="n">
        <f aca="false">MIN(1,Inputs!$C$9+(1-Inputs!$C$9)*(AR$94-1)/MAX(1,Inputs!$C$8))</f>
        <v>1</v>
      </c>
      <c r="AS98" s="72" t="n">
        <f aca="false">MIN(1,Inputs!$C$9+(1-Inputs!$C$9)*(AS$94-1)/MAX(1,Inputs!$C$8))</f>
        <v>1</v>
      </c>
      <c r="AT98" s="72" t="n">
        <f aca="false">MIN(1,Inputs!$C$9+(1-Inputs!$C$9)*(AT$94-1)/MAX(1,Inputs!$C$8))</f>
        <v>1</v>
      </c>
      <c r="AU98" s="72" t="n">
        <f aca="false">MIN(1,Inputs!$C$9+(1-Inputs!$C$9)*(AU$94-1)/MAX(1,Inputs!$C$8))</f>
        <v>1</v>
      </c>
      <c r="AV98" s="72" t="n">
        <f aca="false">MIN(1,Inputs!$C$9+(1-Inputs!$C$9)*(AV$94-1)/MAX(1,Inputs!$C$8))</f>
        <v>1</v>
      </c>
      <c r="AW98" s="72" t="n">
        <f aca="false">MIN(1,Inputs!$C$9+(1-Inputs!$C$9)*(AW$94-1)/MAX(1,Inputs!$C$8))</f>
        <v>1</v>
      </c>
      <c r="AX98" s="72" t="n">
        <f aca="false">MIN(1,Inputs!$C$9+(1-Inputs!$C$9)*(AX$94-1)/MAX(1,Inputs!$C$8))</f>
        <v>1</v>
      </c>
      <c r="AY98" s="72" t="n">
        <f aca="false">MIN(1,Inputs!$C$9+(1-Inputs!$C$9)*(AY$94-1)/MAX(1,Inputs!$C$8))</f>
        <v>1</v>
      </c>
      <c r="AZ98" s="72" t="n">
        <f aca="false">MIN(1,Inputs!$C$9+(1-Inputs!$C$9)*(AZ$94-1)/MAX(1,Inputs!$C$8))</f>
        <v>1</v>
      </c>
      <c r="BA98" s="72" t="n">
        <f aca="false">MIN(1,Inputs!$C$9+(1-Inputs!$C$9)*(BA$94-1)/MAX(1,Inputs!$C$8))</f>
        <v>1</v>
      </c>
      <c r="BB98" s="72" t="n">
        <f aca="false">MIN(1,Inputs!$C$9+(1-Inputs!$C$9)*(BB$94-1)/MAX(1,Inputs!$C$8))</f>
        <v>1</v>
      </c>
      <c r="BC98" s="72" t="n">
        <f aca="false">MIN(1,Inputs!$C$9+(1-Inputs!$C$9)*(BC$94-1)/MAX(1,Inputs!$C$8))</f>
        <v>1</v>
      </c>
      <c r="BD98" s="72" t="n">
        <f aca="false">MIN(1,Inputs!$C$9+(1-Inputs!$C$9)*(BD$94-1)/MAX(1,Inputs!$C$8))</f>
        <v>1</v>
      </c>
      <c r="BE98" s="72" t="n">
        <f aca="false">MIN(1,Inputs!$C$9+(1-Inputs!$C$9)*(BE$94-1)/MAX(1,Inputs!$C$8))</f>
        <v>1</v>
      </c>
      <c r="BF98" s="72" t="n">
        <f aca="false">MIN(1,Inputs!$C$9+(1-Inputs!$C$9)*(BF$94-1)/MAX(1,Inputs!$C$8))</f>
        <v>1</v>
      </c>
      <c r="BG98" s="72" t="n">
        <f aca="false">MIN(1,Inputs!$C$9+(1-Inputs!$C$9)*(BG$94-1)/MAX(1,Inputs!$C$8))</f>
        <v>1</v>
      </c>
      <c r="BH98" s="72" t="n">
        <f aca="false">MIN(1,Inputs!$C$9+(1-Inputs!$C$9)*(BH$94-1)/MAX(1,Inputs!$C$8))</f>
        <v>1</v>
      </c>
      <c r="BI98" s="72" t="n">
        <f aca="false">MIN(1,Inputs!$C$9+(1-Inputs!$C$9)*(BI$94-1)/MAX(1,Inputs!$C$8))</f>
        <v>1</v>
      </c>
      <c r="BJ98" s="72" t="n">
        <f aca="false">MIN(1,Inputs!$C$9+(1-Inputs!$C$9)*(BJ$94-1)/MAX(1,Inputs!$C$8))</f>
        <v>1</v>
      </c>
    </row>
    <row r="99" customFormat="false" ht="15" hidden="false" customHeight="false" outlineLevel="0" collapsed="false">
      <c r="A99" s="6" t="s">
        <v>362</v>
      </c>
      <c r="C99" s="111" t="n">
        <f aca="false">Inputs!$C$7*C98*(1+Inputs!$C$10)^(C$95-1)</f>
        <v>80</v>
      </c>
      <c r="D99" s="111" t="n">
        <f aca="false">Inputs!$C$7*D98*(1+Inputs!$C$10)^(D$95-1)</f>
        <v>93.3333333333333</v>
      </c>
      <c r="E99" s="111" t="n">
        <f aca="false">Inputs!$C$7*E98*(1+Inputs!$C$10)^(E$95-1)</f>
        <v>106.666666666667</v>
      </c>
      <c r="F99" s="111" t="n">
        <f aca="false">Inputs!$C$7*F98*(1+Inputs!$C$10)^(F$95-1)</f>
        <v>120</v>
      </c>
      <c r="G99" s="111" t="n">
        <f aca="false">Inputs!$C$7*G98*(1+Inputs!$C$10)^(G$95-1)</f>
        <v>133.333333333333</v>
      </c>
      <c r="H99" s="111" t="n">
        <f aca="false">Inputs!$C$7*H98*(1+Inputs!$C$10)^(H$95-1)</f>
        <v>146.666666666667</v>
      </c>
      <c r="I99" s="111" t="n">
        <f aca="false">Inputs!$C$7*I98*(1+Inputs!$C$10)^(I$95-1)</f>
        <v>160</v>
      </c>
      <c r="J99" s="111" t="n">
        <f aca="false">Inputs!$C$7*J98*(1+Inputs!$C$10)^(J$95-1)</f>
        <v>160</v>
      </c>
      <c r="K99" s="111" t="n">
        <f aca="false">Inputs!$C$7*K98*(1+Inputs!$C$10)^(K$95-1)</f>
        <v>160</v>
      </c>
      <c r="L99" s="111" t="n">
        <f aca="false">Inputs!$C$7*L98*(1+Inputs!$C$10)^(L$95-1)</f>
        <v>160</v>
      </c>
      <c r="M99" s="111" t="n">
        <f aca="false">Inputs!$C$7*M98*(1+Inputs!$C$10)^(M$95-1)</f>
        <v>160</v>
      </c>
      <c r="N99" s="111" t="n">
        <f aca="false">Inputs!$C$7*N98*(1+Inputs!$C$10)^(N$95-1)</f>
        <v>160</v>
      </c>
      <c r="O99" s="111" t="n">
        <f aca="false">Inputs!$C$7*O98*(1+Inputs!$C$10)^(O$95-1)</f>
        <v>169.6</v>
      </c>
      <c r="P99" s="111" t="n">
        <f aca="false">Inputs!$C$7*P98*(1+Inputs!$C$10)^(P$95-1)</f>
        <v>169.6</v>
      </c>
      <c r="Q99" s="111" t="n">
        <f aca="false">Inputs!$C$7*Q98*(1+Inputs!$C$10)^(Q$95-1)</f>
        <v>169.6</v>
      </c>
      <c r="R99" s="111" t="n">
        <f aca="false">Inputs!$C$7*R98*(1+Inputs!$C$10)^(R$95-1)</f>
        <v>169.6</v>
      </c>
      <c r="S99" s="111" t="n">
        <f aca="false">Inputs!$C$7*S98*(1+Inputs!$C$10)^(S$95-1)</f>
        <v>169.6</v>
      </c>
      <c r="T99" s="111" t="n">
        <f aca="false">Inputs!$C$7*T98*(1+Inputs!$C$10)^(T$95-1)</f>
        <v>169.6</v>
      </c>
      <c r="U99" s="111" t="n">
        <f aca="false">Inputs!$C$7*U98*(1+Inputs!$C$10)^(U$95-1)</f>
        <v>169.6</v>
      </c>
      <c r="V99" s="111" t="n">
        <f aca="false">Inputs!$C$7*V98*(1+Inputs!$C$10)^(V$95-1)</f>
        <v>169.6</v>
      </c>
      <c r="W99" s="111" t="n">
        <f aca="false">Inputs!$C$7*W98*(1+Inputs!$C$10)^(W$95-1)</f>
        <v>169.6</v>
      </c>
      <c r="X99" s="111" t="n">
        <f aca="false">Inputs!$C$7*X98*(1+Inputs!$C$10)^(X$95-1)</f>
        <v>169.6</v>
      </c>
      <c r="Y99" s="111" t="n">
        <f aca="false">Inputs!$C$7*Y98*(1+Inputs!$C$10)^(Y$95-1)</f>
        <v>169.6</v>
      </c>
      <c r="Z99" s="111" t="n">
        <f aca="false">Inputs!$C$7*Z98*(1+Inputs!$C$10)^(Z$95-1)</f>
        <v>169.6</v>
      </c>
      <c r="AA99" s="111" t="n">
        <f aca="false">Inputs!$C$7*AA98*(1+Inputs!$C$10)^(AA$95-1)</f>
        <v>179.776</v>
      </c>
      <c r="AB99" s="111" t="n">
        <f aca="false">Inputs!$C$7*AB98*(1+Inputs!$C$10)^(AB$95-1)</f>
        <v>179.776</v>
      </c>
      <c r="AC99" s="111" t="n">
        <f aca="false">Inputs!$C$7*AC98*(1+Inputs!$C$10)^(AC$95-1)</f>
        <v>179.776</v>
      </c>
      <c r="AD99" s="111" t="n">
        <f aca="false">Inputs!$C$7*AD98*(1+Inputs!$C$10)^(AD$95-1)</f>
        <v>179.776</v>
      </c>
      <c r="AE99" s="111" t="n">
        <f aca="false">Inputs!$C$7*AE98*(1+Inputs!$C$10)^(AE$95-1)</f>
        <v>179.776</v>
      </c>
      <c r="AF99" s="111" t="n">
        <f aca="false">Inputs!$C$7*AF98*(1+Inputs!$C$10)^(AF$95-1)</f>
        <v>179.776</v>
      </c>
      <c r="AG99" s="111" t="n">
        <f aca="false">Inputs!$C$7*AG98*(1+Inputs!$C$10)^(AG$95-1)</f>
        <v>179.776</v>
      </c>
      <c r="AH99" s="111" t="n">
        <f aca="false">Inputs!$C$7*AH98*(1+Inputs!$C$10)^(AH$95-1)</f>
        <v>179.776</v>
      </c>
      <c r="AI99" s="111" t="n">
        <f aca="false">Inputs!$C$7*AI98*(1+Inputs!$C$10)^(AI$95-1)</f>
        <v>179.776</v>
      </c>
      <c r="AJ99" s="111" t="n">
        <f aca="false">Inputs!$C$7*AJ98*(1+Inputs!$C$10)^(AJ$95-1)</f>
        <v>179.776</v>
      </c>
      <c r="AK99" s="111" t="n">
        <f aca="false">Inputs!$C$7*AK98*(1+Inputs!$C$10)^(AK$95-1)</f>
        <v>179.776</v>
      </c>
      <c r="AL99" s="111" t="n">
        <f aca="false">Inputs!$C$7*AL98*(1+Inputs!$C$10)^(AL$95-1)</f>
        <v>179.776</v>
      </c>
      <c r="AM99" s="111" t="n">
        <f aca="false">Inputs!$C$7*AM98*(1+Inputs!$C$10)^(AM$95-1)</f>
        <v>190.56256</v>
      </c>
      <c r="AN99" s="111" t="n">
        <f aca="false">Inputs!$C$7*AN98*(1+Inputs!$C$10)^(AN$95-1)</f>
        <v>190.56256</v>
      </c>
      <c r="AO99" s="111" t="n">
        <f aca="false">Inputs!$C$7*AO98*(1+Inputs!$C$10)^(AO$95-1)</f>
        <v>190.56256</v>
      </c>
      <c r="AP99" s="111" t="n">
        <f aca="false">Inputs!$C$7*AP98*(1+Inputs!$C$10)^(AP$95-1)</f>
        <v>190.56256</v>
      </c>
      <c r="AQ99" s="111" t="n">
        <f aca="false">Inputs!$C$7*AQ98*(1+Inputs!$C$10)^(AQ$95-1)</f>
        <v>190.56256</v>
      </c>
      <c r="AR99" s="111" t="n">
        <f aca="false">Inputs!$C$7*AR98*(1+Inputs!$C$10)^(AR$95-1)</f>
        <v>190.56256</v>
      </c>
      <c r="AS99" s="111" t="n">
        <f aca="false">Inputs!$C$7*AS98*(1+Inputs!$C$10)^(AS$95-1)</f>
        <v>190.56256</v>
      </c>
      <c r="AT99" s="111" t="n">
        <f aca="false">Inputs!$C$7*AT98*(1+Inputs!$C$10)^(AT$95-1)</f>
        <v>190.56256</v>
      </c>
      <c r="AU99" s="111" t="n">
        <f aca="false">Inputs!$C$7*AU98*(1+Inputs!$C$10)^(AU$95-1)</f>
        <v>190.56256</v>
      </c>
      <c r="AV99" s="111" t="n">
        <f aca="false">Inputs!$C$7*AV98*(1+Inputs!$C$10)^(AV$95-1)</f>
        <v>190.56256</v>
      </c>
      <c r="AW99" s="111" t="n">
        <f aca="false">Inputs!$C$7*AW98*(1+Inputs!$C$10)^(AW$95-1)</f>
        <v>190.56256</v>
      </c>
      <c r="AX99" s="111" t="n">
        <f aca="false">Inputs!$C$7*AX98*(1+Inputs!$C$10)^(AX$95-1)</f>
        <v>190.56256</v>
      </c>
      <c r="AY99" s="111" t="n">
        <f aca="false">Inputs!$C$7*AY98*(1+Inputs!$C$10)^(AY$95-1)</f>
        <v>201.9963136</v>
      </c>
      <c r="AZ99" s="111" t="n">
        <f aca="false">Inputs!$C$7*AZ98*(1+Inputs!$C$10)^(AZ$95-1)</f>
        <v>201.9963136</v>
      </c>
      <c r="BA99" s="111" t="n">
        <f aca="false">Inputs!$C$7*BA98*(1+Inputs!$C$10)^(BA$95-1)</f>
        <v>201.9963136</v>
      </c>
      <c r="BB99" s="111" t="n">
        <f aca="false">Inputs!$C$7*BB98*(1+Inputs!$C$10)^(BB$95-1)</f>
        <v>201.9963136</v>
      </c>
      <c r="BC99" s="111" t="n">
        <f aca="false">Inputs!$C$7*BC98*(1+Inputs!$C$10)^(BC$95-1)</f>
        <v>201.9963136</v>
      </c>
      <c r="BD99" s="111" t="n">
        <f aca="false">Inputs!$C$7*BD98*(1+Inputs!$C$10)^(BD$95-1)</f>
        <v>201.9963136</v>
      </c>
      <c r="BE99" s="111" t="n">
        <f aca="false">Inputs!$C$7*BE98*(1+Inputs!$C$10)^(BE$95-1)</f>
        <v>201.9963136</v>
      </c>
      <c r="BF99" s="111" t="n">
        <f aca="false">Inputs!$C$7*BF98*(1+Inputs!$C$10)^(BF$95-1)</f>
        <v>201.9963136</v>
      </c>
      <c r="BG99" s="111" t="n">
        <f aca="false">Inputs!$C$7*BG98*(1+Inputs!$C$10)^(BG$95-1)</f>
        <v>201.9963136</v>
      </c>
      <c r="BH99" s="111" t="n">
        <f aca="false">Inputs!$C$7*BH98*(1+Inputs!$C$10)^(BH$95-1)</f>
        <v>201.9963136</v>
      </c>
      <c r="BI99" s="111" t="n">
        <f aca="false">Inputs!$C$7*BI98*(1+Inputs!$C$10)^(BI$95-1)</f>
        <v>201.9963136</v>
      </c>
      <c r="BJ99" s="111" t="n">
        <f aca="false">Inputs!$C$7*BJ98*(1+Inputs!$C$10)^(BJ$95-1)</f>
        <v>201.9963136</v>
      </c>
    </row>
    <row r="100" customFormat="false" ht="15" hidden="false" customHeight="false" outlineLevel="0" collapsed="false">
      <c r="A100" s="6" t="s">
        <v>246</v>
      </c>
      <c r="C100" s="112" t="n">
        <f aca="false">Inputs!$C$11*(1+Inputs!$C$12)^(C$95-1)</f>
        <v>6.5</v>
      </c>
      <c r="D100" s="112" t="n">
        <f aca="false">Inputs!$C$11*(1+Inputs!$C$12)^(D$95-1)</f>
        <v>6.5</v>
      </c>
      <c r="E100" s="112" t="n">
        <f aca="false">Inputs!$C$11*(1+Inputs!$C$12)^(E$95-1)</f>
        <v>6.5</v>
      </c>
      <c r="F100" s="112" t="n">
        <f aca="false">Inputs!$C$11*(1+Inputs!$C$12)^(F$95-1)</f>
        <v>6.5</v>
      </c>
      <c r="G100" s="112" t="n">
        <f aca="false">Inputs!$C$11*(1+Inputs!$C$12)^(G$95-1)</f>
        <v>6.5</v>
      </c>
      <c r="H100" s="112" t="n">
        <f aca="false">Inputs!$C$11*(1+Inputs!$C$12)^(H$95-1)</f>
        <v>6.5</v>
      </c>
      <c r="I100" s="112" t="n">
        <f aca="false">Inputs!$C$11*(1+Inputs!$C$12)^(I$95-1)</f>
        <v>6.5</v>
      </c>
      <c r="J100" s="112" t="n">
        <f aca="false">Inputs!$C$11*(1+Inputs!$C$12)^(J$95-1)</f>
        <v>6.5</v>
      </c>
      <c r="K100" s="112" t="n">
        <f aca="false">Inputs!$C$11*(1+Inputs!$C$12)^(K$95-1)</f>
        <v>6.5</v>
      </c>
      <c r="L100" s="112" t="n">
        <f aca="false">Inputs!$C$11*(1+Inputs!$C$12)^(L$95-1)</f>
        <v>6.5</v>
      </c>
      <c r="M100" s="112" t="n">
        <f aca="false">Inputs!$C$11*(1+Inputs!$C$12)^(M$95-1)</f>
        <v>6.5</v>
      </c>
      <c r="N100" s="112" t="n">
        <f aca="false">Inputs!$C$11*(1+Inputs!$C$12)^(N$95-1)</f>
        <v>6.5</v>
      </c>
      <c r="O100" s="112" t="n">
        <f aca="false">Inputs!$C$11*(1+Inputs!$C$12)^(O$95-1)</f>
        <v>6.695</v>
      </c>
      <c r="P100" s="112" t="n">
        <f aca="false">Inputs!$C$11*(1+Inputs!$C$12)^(P$95-1)</f>
        <v>6.695</v>
      </c>
      <c r="Q100" s="112" t="n">
        <f aca="false">Inputs!$C$11*(1+Inputs!$C$12)^(Q$95-1)</f>
        <v>6.695</v>
      </c>
      <c r="R100" s="112" t="n">
        <f aca="false">Inputs!$C$11*(1+Inputs!$C$12)^(R$95-1)</f>
        <v>6.695</v>
      </c>
      <c r="S100" s="112" t="n">
        <f aca="false">Inputs!$C$11*(1+Inputs!$C$12)^(S$95-1)</f>
        <v>6.695</v>
      </c>
      <c r="T100" s="112" t="n">
        <f aca="false">Inputs!$C$11*(1+Inputs!$C$12)^(T$95-1)</f>
        <v>6.695</v>
      </c>
      <c r="U100" s="112" t="n">
        <f aca="false">Inputs!$C$11*(1+Inputs!$C$12)^(U$95-1)</f>
        <v>6.695</v>
      </c>
      <c r="V100" s="112" t="n">
        <f aca="false">Inputs!$C$11*(1+Inputs!$C$12)^(V$95-1)</f>
        <v>6.695</v>
      </c>
      <c r="W100" s="112" t="n">
        <f aca="false">Inputs!$C$11*(1+Inputs!$C$12)^(W$95-1)</f>
        <v>6.695</v>
      </c>
      <c r="X100" s="112" t="n">
        <f aca="false">Inputs!$C$11*(1+Inputs!$C$12)^(X$95-1)</f>
        <v>6.695</v>
      </c>
      <c r="Y100" s="112" t="n">
        <f aca="false">Inputs!$C$11*(1+Inputs!$C$12)^(Y$95-1)</f>
        <v>6.695</v>
      </c>
      <c r="Z100" s="112" t="n">
        <f aca="false">Inputs!$C$11*(1+Inputs!$C$12)^(Z$95-1)</f>
        <v>6.695</v>
      </c>
      <c r="AA100" s="112" t="n">
        <f aca="false">Inputs!$C$11*(1+Inputs!$C$12)^(AA$95-1)</f>
        <v>6.89585</v>
      </c>
      <c r="AB100" s="112" t="n">
        <f aca="false">Inputs!$C$11*(1+Inputs!$C$12)^(AB$95-1)</f>
        <v>6.89585</v>
      </c>
      <c r="AC100" s="112" t="n">
        <f aca="false">Inputs!$C$11*(1+Inputs!$C$12)^(AC$95-1)</f>
        <v>6.89585</v>
      </c>
      <c r="AD100" s="112" t="n">
        <f aca="false">Inputs!$C$11*(1+Inputs!$C$12)^(AD$95-1)</f>
        <v>6.89585</v>
      </c>
      <c r="AE100" s="112" t="n">
        <f aca="false">Inputs!$C$11*(1+Inputs!$C$12)^(AE$95-1)</f>
        <v>6.89585</v>
      </c>
      <c r="AF100" s="112" t="n">
        <f aca="false">Inputs!$C$11*(1+Inputs!$C$12)^(AF$95-1)</f>
        <v>6.89585</v>
      </c>
      <c r="AG100" s="112" t="n">
        <f aca="false">Inputs!$C$11*(1+Inputs!$C$12)^(AG$95-1)</f>
        <v>6.89585</v>
      </c>
      <c r="AH100" s="112" t="n">
        <f aca="false">Inputs!$C$11*(1+Inputs!$C$12)^(AH$95-1)</f>
        <v>6.89585</v>
      </c>
      <c r="AI100" s="112" t="n">
        <f aca="false">Inputs!$C$11*(1+Inputs!$C$12)^(AI$95-1)</f>
        <v>6.89585</v>
      </c>
      <c r="AJ100" s="112" t="n">
        <f aca="false">Inputs!$C$11*(1+Inputs!$C$12)^(AJ$95-1)</f>
        <v>6.89585</v>
      </c>
      <c r="AK100" s="112" t="n">
        <f aca="false">Inputs!$C$11*(1+Inputs!$C$12)^(AK$95-1)</f>
        <v>6.89585</v>
      </c>
      <c r="AL100" s="112" t="n">
        <f aca="false">Inputs!$C$11*(1+Inputs!$C$12)^(AL$95-1)</f>
        <v>6.89585</v>
      </c>
      <c r="AM100" s="112" t="n">
        <f aca="false">Inputs!$C$11*(1+Inputs!$C$12)^(AM$95-1)</f>
        <v>7.1027255</v>
      </c>
      <c r="AN100" s="112" t="n">
        <f aca="false">Inputs!$C$11*(1+Inputs!$C$12)^(AN$95-1)</f>
        <v>7.1027255</v>
      </c>
      <c r="AO100" s="112" t="n">
        <f aca="false">Inputs!$C$11*(1+Inputs!$C$12)^(AO$95-1)</f>
        <v>7.1027255</v>
      </c>
      <c r="AP100" s="112" t="n">
        <f aca="false">Inputs!$C$11*(1+Inputs!$C$12)^(AP$95-1)</f>
        <v>7.1027255</v>
      </c>
      <c r="AQ100" s="112" t="n">
        <f aca="false">Inputs!$C$11*(1+Inputs!$C$12)^(AQ$95-1)</f>
        <v>7.1027255</v>
      </c>
      <c r="AR100" s="112" t="n">
        <f aca="false">Inputs!$C$11*(1+Inputs!$C$12)^(AR$95-1)</f>
        <v>7.1027255</v>
      </c>
      <c r="AS100" s="112" t="n">
        <f aca="false">Inputs!$C$11*(1+Inputs!$C$12)^(AS$95-1)</f>
        <v>7.1027255</v>
      </c>
      <c r="AT100" s="112" t="n">
        <f aca="false">Inputs!$C$11*(1+Inputs!$C$12)^(AT$95-1)</f>
        <v>7.1027255</v>
      </c>
      <c r="AU100" s="112" t="n">
        <f aca="false">Inputs!$C$11*(1+Inputs!$C$12)^(AU$95-1)</f>
        <v>7.1027255</v>
      </c>
      <c r="AV100" s="112" t="n">
        <f aca="false">Inputs!$C$11*(1+Inputs!$C$12)^(AV$95-1)</f>
        <v>7.1027255</v>
      </c>
      <c r="AW100" s="112" t="n">
        <f aca="false">Inputs!$C$11*(1+Inputs!$C$12)^(AW$95-1)</f>
        <v>7.1027255</v>
      </c>
      <c r="AX100" s="112" t="n">
        <f aca="false">Inputs!$C$11*(1+Inputs!$C$12)^(AX$95-1)</f>
        <v>7.1027255</v>
      </c>
      <c r="AY100" s="112" t="n">
        <f aca="false">Inputs!$C$11*(1+Inputs!$C$12)^(AY$95-1)</f>
        <v>7.315807265</v>
      </c>
      <c r="AZ100" s="112" t="n">
        <f aca="false">Inputs!$C$11*(1+Inputs!$C$12)^(AZ$95-1)</f>
        <v>7.315807265</v>
      </c>
      <c r="BA100" s="112" t="n">
        <f aca="false">Inputs!$C$11*(1+Inputs!$C$12)^(BA$95-1)</f>
        <v>7.315807265</v>
      </c>
      <c r="BB100" s="112" t="n">
        <f aca="false">Inputs!$C$11*(1+Inputs!$C$12)^(BB$95-1)</f>
        <v>7.315807265</v>
      </c>
      <c r="BC100" s="112" t="n">
        <f aca="false">Inputs!$C$11*(1+Inputs!$C$12)^(BC$95-1)</f>
        <v>7.315807265</v>
      </c>
      <c r="BD100" s="112" t="n">
        <f aca="false">Inputs!$C$11*(1+Inputs!$C$12)^(BD$95-1)</f>
        <v>7.315807265</v>
      </c>
      <c r="BE100" s="112" t="n">
        <f aca="false">Inputs!$C$11*(1+Inputs!$C$12)^(BE$95-1)</f>
        <v>7.315807265</v>
      </c>
      <c r="BF100" s="112" t="n">
        <f aca="false">Inputs!$C$11*(1+Inputs!$C$12)^(BF$95-1)</f>
        <v>7.315807265</v>
      </c>
      <c r="BG100" s="112" t="n">
        <f aca="false">Inputs!$C$11*(1+Inputs!$C$12)^(BG$95-1)</f>
        <v>7.315807265</v>
      </c>
      <c r="BH100" s="112" t="n">
        <f aca="false">Inputs!$C$11*(1+Inputs!$C$12)^(BH$95-1)</f>
        <v>7.315807265</v>
      </c>
      <c r="BI100" s="112" t="n">
        <f aca="false">Inputs!$C$11*(1+Inputs!$C$12)^(BI$95-1)</f>
        <v>7.315807265</v>
      </c>
      <c r="BJ100" s="112" t="n">
        <f aca="false">Inputs!$C$11*(1+Inputs!$C$12)^(BJ$95-1)</f>
        <v>7.315807265</v>
      </c>
    </row>
    <row r="101" customFormat="false" ht="15" hidden="false" customHeight="false" outlineLevel="0" collapsed="false">
      <c r="A101" s="6" t="s">
        <v>363</v>
      </c>
      <c r="C101" s="113" t="n">
        <f aca="false">Inputs!$C$13*1</f>
        <v>30</v>
      </c>
      <c r="D101" s="113" t="n">
        <f aca="false">Inputs!$C$13*1</f>
        <v>30</v>
      </c>
      <c r="E101" s="113" t="n">
        <f aca="false">Inputs!$C$13*1</f>
        <v>30</v>
      </c>
      <c r="F101" s="113" t="n">
        <f aca="false">Inputs!$C$13*1</f>
        <v>30</v>
      </c>
      <c r="G101" s="113" t="n">
        <f aca="false">Inputs!$C$13*1</f>
        <v>30</v>
      </c>
      <c r="H101" s="113" t="n">
        <f aca="false">Inputs!$C$13*1</f>
        <v>30</v>
      </c>
      <c r="I101" s="113" t="n">
        <f aca="false">Inputs!$C$13*1</f>
        <v>30</v>
      </c>
      <c r="J101" s="113" t="n">
        <f aca="false">Inputs!$C$13*1</f>
        <v>30</v>
      </c>
      <c r="K101" s="113" t="n">
        <f aca="false">Inputs!$C$13*1</f>
        <v>30</v>
      </c>
      <c r="L101" s="113" t="n">
        <f aca="false">Inputs!$C$13*1</f>
        <v>30</v>
      </c>
      <c r="M101" s="113" t="n">
        <f aca="false">Inputs!$C$13*1</f>
        <v>30</v>
      </c>
      <c r="N101" s="113" t="n">
        <f aca="false">Inputs!$C$13*1</f>
        <v>30</v>
      </c>
      <c r="O101" s="113" t="n">
        <f aca="false">Inputs!$C$13*1</f>
        <v>30</v>
      </c>
      <c r="P101" s="113" t="n">
        <f aca="false">Inputs!$C$13*1</f>
        <v>30</v>
      </c>
      <c r="Q101" s="113" t="n">
        <f aca="false">Inputs!$C$13*1</f>
        <v>30</v>
      </c>
      <c r="R101" s="113" t="n">
        <f aca="false">Inputs!$C$13*1</f>
        <v>30</v>
      </c>
      <c r="S101" s="113" t="n">
        <f aca="false">Inputs!$C$13*1</f>
        <v>30</v>
      </c>
      <c r="T101" s="113" t="n">
        <f aca="false">Inputs!$C$13*1</f>
        <v>30</v>
      </c>
      <c r="U101" s="113" t="n">
        <f aca="false">Inputs!$C$13*1</f>
        <v>30</v>
      </c>
      <c r="V101" s="113" t="n">
        <f aca="false">Inputs!$C$13*1</f>
        <v>30</v>
      </c>
      <c r="W101" s="113" t="n">
        <f aca="false">Inputs!$C$13*1</f>
        <v>30</v>
      </c>
      <c r="X101" s="113" t="n">
        <f aca="false">Inputs!$C$13*1</f>
        <v>30</v>
      </c>
      <c r="Y101" s="113" t="n">
        <f aca="false">Inputs!$C$13*1</f>
        <v>30</v>
      </c>
      <c r="Z101" s="113" t="n">
        <f aca="false">Inputs!$C$13*1</f>
        <v>30</v>
      </c>
      <c r="AA101" s="113" t="n">
        <f aca="false">Inputs!$C$13*1</f>
        <v>30</v>
      </c>
      <c r="AB101" s="113" t="n">
        <f aca="false">Inputs!$C$13*1</f>
        <v>30</v>
      </c>
      <c r="AC101" s="113" t="n">
        <f aca="false">Inputs!$C$13*1</f>
        <v>30</v>
      </c>
      <c r="AD101" s="113" t="n">
        <f aca="false">Inputs!$C$13*1</f>
        <v>30</v>
      </c>
      <c r="AE101" s="113" t="n">
        <f aca="false">Inputs!$C$13*1</f>
        <v>30</v>
      </c>
      <c r="AF101" s="113" t="n">
        <f aca="false">Inputs!$C$13*1</f>
        <v>30</v>
      </c>
      <c r="AG101" s="113" t="n">
        <f aca="false">Inputs!$C$13*1</f>
        <v>30</v>
      </c>
      <c r="AH101" s="113" t="n">
        <f aca="false">Inputs!$C$13*1</f>
        <v>30</v>
      </c>
      <c r="AI101" s="113" t="n">
        <f aca="false">Inputs!$C$13*1</f>
        <v>30</v>
      </c>
      <c r="AJ101" s="113" t="n">
        <f aca="false">Inputs!$C$13*1</f>
        <v>30</v>
      </c>
      <c r="AK101" s="113" t="n">
        <f aca="false">Inputs!$C$13*1</f>
        <v>30</v>
      </c>
      <c r="AL101" s="113" t="n">
        <f aca="false">Inputs!$C$13*1</f>
        <v>30</v>
      </c>
      <c r="AM101" s="113" t="n">
        <f aca="false">Inputs!$C$13*1</f>
        <v>30</v>
      </c>
      <c r="AN101" s="113" t="n">
        <f aca="false">Inputs!$C$13*1</f>
        <v>30</v>
      </c>
      <c r="AO101" s="113" t="n">
        <f aca="false">Inputs!$C$13*1</f>
        <v>30</v>
      </c>
      <c r="AP101" s="113" t="n">
        <f aca="false">Inputs!$C$13*1</f>
        <v>30</v>
      </c>
      <c r="AQ101" s="113" t="n">
        <f aca="false">Inputs!$C$13*1</f>
        <v>30</v>
      </c>
      <c r="AR101" s="113" t="n">
        <f aca="false">Inputs!$C$13*1</f>
        <v>30</v>
      </c>
      <c r="AS101" s="113" t="n">
        <f aca="false">Inputs!$C$13*1</f>
        <v>30</v>
      </c>
      <c r="AT101" s="113" t="n">
        <f aca="false">Inputs!$C$13*1</f>
        <v>30</v>
      </c>
      <c r="AU101" s="113" t="n">
        <f aca="false">Inputs!$C$13*1</f>
        <v>30</v>
      </c>
      <c r="AV101" s="113" t="n">
        <f aca="false">Inputs!$C$13*1</f>
        <v>30</v>
      </c>
      <c r="AW101" s="113" t="n">
        <f aca="false">Inputs!$C$13*1</f>
        <v>30</v>
      </c>
      <c r="AX101" s="113" t="n">
        <f aca="false">Inputs!$C$13*1</f>
        <v>30</v>
      </c>
      <c r="AY101" s="113" t="n">
        <f aca="false">Inputs!$C$13*1</f>
        <v>30</v>
      </c>
      <c r="AZ101" s="113" t="n">
        <f aca="false">Inputs!$C$13*1</f>
        <v>30</v>
      </c>
      <c r="BA101" s="113" t="n">
        <f aca="false">Inputs!$C$13*1</f>
        <v>30</v>
      </c>
      <c r="BB101" s="113" t="n">
        <f aca="false">Inputs!$C$13*1</f>
        <v>30</v>
      </c>
      <c r="BC101" s="113" t="n">
        <f aca="false">Inputs!$C$13*1</f>
        <v>30</v>
      </c>
      <c r="BD101" s="113" t="n">
        <f aca="false">Inputs!$C$13*1</f>
        <v>30</v>
      </c>
      <c r="BE101" s="113" t="n">
        <f aca="false">Inputs!$C$13*1</f>
        <v>30</v>
      </c>
      <c r="BF101" s="113" t="n">
        <f aca="false">Inputs!$C$13*1</f>
        <v>30</v>
      </c>
      <c r="BG101" s="113" t="n">
        <f aca="false">Inputs!$C$13*1</f>
        <v>30</v>
      </c>
      <c r="BH101" s="113" t="n">
        <f aca="false">Inputs!$C$13*1</f>
        <v>30</v>
      </c>
      <c r="BI101" s="113" t="n">
        <f aca="false">Inputs!$C$13*1</f>
        <v>30</v>
      </c>
      <c r="BJ101" s="113" t="n">
        <f aca="false">Inputs!$C$13*1</f>
        <v>30</v>
      </c>
    </row>
    <row r="102" customFormat="false" ht="15" hidden="false" customHeight="false" outlineLevel="0" collapsed="false">
      <c r="A102" s="108" t="s">
        <v>44</v>
      </c>
      <c r="C102" s="66" t="n">
        <f aca="false">C99*C100*C101</f>
        <v>15600</v>
      </c>
      <c r="D102" s="66" t="n">
        <f aca="false">D99*D100*D101</f>
        <v>18200</v>
      </c>
      <c r="E102" s="66" t="n">
        <f aca="false">E99*E100*E101</f>
        <v>20800</v>
      </c>
      <c r="F102" s="66" t="n">
        <f aca="false">F99*F100*F101</f>
        <v>23400</v>
      </c>
      <c r="G102" s="66" t="n">
        <f aca="false">G99*G100*G101</f>
        <v>26000</v>
      </c>
      <c r="H102" s="66" t="n">
        <f aca="false">H99*H100*H101</f>
        <v>28600</v>
      </c>
      <c r="I102" s="66" t="n">
        <f aca="false">I99*I100*I101</f>
        <v>31200</v>
      </c>
      <c r="J102" s="66" t="n">
        <f aca="false">J99*J100*J101</f>
        <v>31200</v>
      </c>
      <c r="K102" s="66" t="n">
        <f aca="false">K99*K100*K101</f>
        <v>31200</v>
      </c>
      <c r="L102" s="66" t="n">
        <f aca="false">L99*L100*L101</f>
        <v>31200</v>
      </c>
      <c r="M102" s="66" t="n">
        <f aca="false">M99*M100*M101</f>
        <v>31200</v>
      </c>
      <c r="N102" s="66" t="n">
        <f aca="false">N99*N100*N101</f>
        <v>31200</v>
      </c>
      <c r="O102" s="66" t="n">
        <f aca="false">O99*O100*O101</f>
        <v>34064.16</v>
      </c>
      <c r="P102" s="66" t="n">
        <f aca="false">P99*P100*P101</f>
        <v>34064.16</v>
      </c>
      <c r="Q102" s="66" t="n">
        <f aca="false">Q99*Q100*Q101</f>
        <v>34064.16</v>
      </c>
      <c r="R102" s="66" t="n">
        <f aca="false">R99*R100*R101</f>
        <v>34064.16</v>
      </c>
      <c r="S102" s="66" t="n">
        <f aca="false">S99*S100*S101</f>
        <v>34064.16</v>
      </c>
      <c r="T102" s="66" t="n">
        <f aca="false">T99*T100*T101</f>
        <v>34064.16</v>
      </c>
      <c r="U102" s="66" t="n">
        <f aca="false">U99*U100*U101</f>
        <v>34064.16</v>
      </c>
      <c r="V102" s="66" t="n">
        <f aca="false">V99*V100*V101</f>
        <v>34064.16</v>
      </c>
      <c r="W102" s="66" t="n">
        <f aca="false">W99*W100*W101</f>
        <v>34064.16</v>
      </c>
      <c r="X102" s="66" t="n">
        <f aca="false">X99*X100*X101</f>
        <v>34064.16</v>
      </c>
      <c r="Y102" s="66" t="n">
        <f aca="false">Y99*Y100*Y101</f>
        <v>34064.16</v>
      </c>
      <c r="Z102" s="66" t="n">
        <f aca="false">Z99*Z100*Z101</f>
        <v>34064.16</v>
      </c>
      <c r="AA102" s="66" t="n">
        <f aca="false">AA99*AA100*AA101</f>
        <v>37191.249888</v>
      </c>
      <c r="AB102" s="66" t="n">
        <f aca="false">AB99*AB100*AB101</f>
        <v>37191.249888</v>
      </c>
      <c r="AC102" s="66" t="n">
        <f aca="false">AC99*AC100*AC101</f>
        <v>37191.249888</v>
      </c>
      <c r="AD102" s="66" t="n">
        <f aca="false">AD99*AD100*AD101</f>
        <v>37191.249888</v>
      </c>
      <c r="AE102" s="66" t="n">
        <f aca="false">AE99*AE100*AE101</f>
        <v>37191.249888</v>
      </c>
      <c r="AF102" s="66" t="n">
        <f aca="false">AF99*AF100*AF101</f>
        <v>37191.249888</v>
      </c>
      <c r="AG102" s="66" t="n">
        <f aca="false">AG99*AG100*AG101</f>
        <v>37191.249888</v>
      </c>
      <c r="AH102" s="66" t="n">
        <f aca="false">AH99*AH100*AH101</f>
        <v>37191.249888</v>
      </c>
      <c r="AI102" s="66" t="n">
        <f aca="false">AI99*AI100*AI101</f>
        <v>37191.249888</v>
      </c>
      <c r="AJ102" s="66" t="n">
        <f aca="false">AJ99*AJ100*AJ101</f>
        <v>37191.249888</v>
      </c>
      <c r="AK102" s="66" t="n">
        <f aca="false">AK99*AK100*AK101</f>
        <v>37191.249888</v>
      </c>
      <c r="AL102" s="66" t="n">
        <f aca="false">AL99*AL100*AL101</f>
        <v>37191.249888</v>
      </c>
      <c r="AM102" s="66" t="n">
        <f aca="false">AM99*AM100*AM101</f>
        <v>40605.4066277184</v>
      </c>
      <c r="AN102" s="66" t="n">
        <f aca="false">AN99*AN100*AN101</f>
        <v>40605.4066277184</v>
      </c>
      <c r="AO102" s="66" t="n">
        <f aca="false">AO99*AO100*AO101</f>
        <v>40605.4066277184</v>
      </c>
      <c r="AP102" s="66" t="n">
        <f aca="false">AP99*AP100*AP101</f>
        <v>40605.4066277184</v>
      </c>
      <c r="AQ102" s="66" t="n">
        <f aca="false">AQ99*AQ100*AQ101</f>
        <v>40605.4066277184</v>
      </c>
      <c r="AR102" s="66" t="n">
        <f aca="false">AR99*AR100*AR101</f>
        <v>40605.4066277184</v>
      </c>
      <c r="AS102" s="66" t="n">
        <f aca="false">AS99*AS100*AS101</f>
        <v>40605.4066277184</v>
      </c>
      <c r="AT102" s="66" t="n">
        <f aca="false">AT99*AT100*AT101</f>
        <v>40605.4066277184</v>
      </c>
      <c r="AU102" s="66" t="n">
        <f aca="false">AU99*AU100*AU101</f>
        <v>40605.4066277184</v>
      </c>
      <c r="AV102" s="66" t="n">
        <f aca="false">AV99*AV100*AV101</f>
        <v>40605.4066277184</v>
      </c>
      <c r="AW102" s="66" t="n">
        <f aca="false">AW99*AW100*AW101</f>
        <v>40605.4066277184</v>
      </c>
      <c r="AX102" s="66" t="n">
        <f aca="false">AX99*AX100*AX101</f>
        <v>40605.4066277184</v>
      </c>
      <c r="AY102" s="66" t="n">
        <f aca="false">AY99*AY100*AY101</f>
        <v>44332.982956143</v>
      </c>
      <c r="AZ102" s="66" t="n">
        <f aca="false">AZ99*AZ100*AZ101</f>
        <v>44332.982956143</v>
      </c>
      <c r="BA102" s="66" t="n">
        <f aca="false">BA99*BA100*BA101</f>
        <v>44332.982956143</v>
      </c>
      <c r="BB102" s="66" t="n">
        <f aca="false">BB99*BB100*BB101</f>
        <v>44332.982956143</v>
      </c>
      <c r="BC102" s="66" t="n">
        <f aca="false">BC99*BC100*BC101</f>
        <v>44332.982956143</v>
      </c>
      <c r="BD102" s="66" t="n">
        <f aca="false">BD99*BD100*BD101</f>
        <v>44332.982956143</v>
      </c>
      <c r="BE102" s="66" t="n">
        <f aca="false">BE99*BE100*BE101</f>
        <v>44332.982956143</v>
      </c>
      <c r="BF102" s="66" t="n">
        <f aca="false">BF99*BF100*BF101</f>
        <v>44332.982956143</v>
      </c>
      <c r="BG102" s="66" t="n">
        <f aca="false">BG99*BG100*BG101</f>
        <v>44332.982956143</v>
      </c>
      <c r="BH102" s="66" t="n">
        <f aca="false">BH99*BH100*BH101</f>
        <v>44332.982956143</v>
      </c>
      <c r="BI102" s="66" t="n">
        <f aca="false">BI99*BI100*BI101</f>
        <v>44332.982956143</v>
      </c>
      <c r="BJ102" s="66" t="n">
        <f aca="false">BJ99*BJ100*BJ101</f>
        <v>44332.982956143</v>
      </c>
    </row>
    <row r="103" customFormat="false" ht="15" hidden="false" customHeight="false" outlineLevel="0" collapsed="false">
      <c r="A103" s="6" t="s">
        <v>74</v>
      </c>
      <c r="C103" s="65" t="n">
        <f aca="false">-C102*Inputs!$C$14</f>
        <v>-5148</v>
      </c>
      <c r="D103" s="65" t="n">
        <f aca="false">-D102*Inputs!$C$14</f>
        <v>-6006</v>
      </c>
      <c r="E103" s="65" t="n">
        <f aca="false">-E102*Inputs!$C$14</f>
        <v>-6864</v>
      </c>
      <c r="F103" s="65" t="n">
        <f aca="false">-F102*Inputs!$C$14</f>
        <v>-7722</v>
      </c>
      <c r="G103" s="65" t="n">
        <f aca="false">-G102*Inputs!$C$14</f>
        <v>-8580</v>
      </c>
      <c r="H103" s="65" t="n">
        <f aca="false">-H102*Inputs!$C$14</f>
        <v>-9438</v>
      </c>
      <c r="I103" s="65" t="n">
        <f aca="false">-I102*Inputs!$C$14</f>
        <v>-10296</v>
      </c>
      <c r="J103" s="65" t="n">
        <f aca="false">-J102*Inputs!$C$14</f>
        <v>-10296</v>
      </c>
      <c r="K103" s="65" t="n">
        <f aca="false">-K102*Inputs!$C$14</f>
        <v>-10296</v>
      </c>
      <c r="L103" s="65" t="n">
        <f aca="false">-L102*Inputs!$C$14</f>
        <v>-10296</v>
      </c>
      <c r="M103" s="65" t="n">
        <f aca="false">-M102*Inputs!$C$14</f>
        <v>-10296</v>
      </c>
      <c r="N103" s="65" t="n">
        <f aca="false">-N102*Inputs!$C$14</f>
        <v>-10296</v>
      </c>
      <c r="O103" s="65" t="n">
        <f aca="false">-O102*Inputs!$C$14</f>
        <v>-11241.1728</v>
      </c>
      <c r="P103" s="65" t="n">
        <f aca="false">-P102*Inputs!$C$14</f>
        <v>-11241.1728</v>
      </c>
      <c r="Q103" s="65" t="n">
        <f aca="false">-Q102*Inputs!$C$14</f>
        <v>-11241.1728</v>
      </c>
      <c r="R103" s="65" t="n">
        <f aca="false">-R102*Inputs!$C$14</f>
        <v>-11241.1728</v>
      </c>
      <c r="S103" s="65" t="n">
        <f aca="false">-S102*Inputs!$C$14</f>
        <v>-11241.1728</v>
      </c>
      <c r="T103" s="65" t="n">
        <f aca="false">-T102*Inputs!$C$14</f>
        <v>-11241.1728</v>
      </c>
      <c r="U103" s="65" t="n">
        <f aca="false">-U102*Inputs!$C$14</f>
        <v>-11241.1728</v>
      </c>
      <c r="V103" s="65" t="n">
        <f aca="false">-V102*Inputs!$C$14</f>
        <v>-11241.1728</v>
      </c>
      <c r="W103" s="65" t="n">
        <f aca="false">-W102*Inputs!$C$14</f>
        <v>-11241.1728</v>
      </c>
      <c r="X103" s="65" t="n">
        <f aca="false">-X102*Inputs!$C$14</f>
        <v>-11241.1728</v>
      </c>
      <c r="Y103" s="65" t="n">
        <f aca="false">-Y102*Inputs!$C$14</f>
        <v>-11241.1728</v>
      </c>
      <c r="Z103" s="65" t="n">
        <f aca="false">-Z102*Inputs!$C$14</f>
        <v>-11241.1728</v>
      </c>
      <c r="AA103" s="65" t="n">
        <f aca="false">-AA102*Inputs!$C$14</f>
        <v>-12273.11246304</v>
      </c>
      <c r="AB103" s="65" t="n">
        <f aca="false">-AB102*Inputs!$C$14</f>
        <v>-12273.11246304</v>
      </c>
      <c r="AC103" s="65" t="n">
        <f aca="false">-AC102*Inputs!$C$14</f>
        <v>-12273.11246304</v>
      </c>
      <c r="AD103" s="65" t="n">
        <f aca="false">-AD102*Inputs!$C$14</f>
        <v>-12273.11246304</v>
      </c>
      <c r="AE103" s="65" t="n">
        <f aca="false">-AE102*Inputs!$C$14</f>
        <v>-12273.11246304</v>
      </c>
      <c r="AF103" s="65" t="n">
        <f aca="false">-AF102*Inputs!$C$14</f>
        <v>-12273.11246304</v>
      </c>
      <c r="AG103" s="65" t="n">
        <f aca="false">-AG102*Inputs!$C$14</f>
        <v>-12273.11246304</v>
      </c>
      <c r="AH103" s="65" t="n">
        <f aca="false">-AH102*Inputs!$C$14</f>
        <v>-12273.11246304</v>
      </c>
      <c r="AI103" s="65" t="n">
        <f aca="false">-AI102*Inputs!$C$14</f>
        <v>-12273.11246304</v>
      </c>
      <c r="AJ103" s="65" t="n">
        <f aca="false">-AJ102*Inputs!$C$14</f>
        <v>-12273.11246304</v>
      </c>
      <c r="AK103" s="65" t="n">
        <f aca="false">-AK102*Inputs!$C$14</f>
        <v>-12273.11246304</v>
      </c>
      <c r="AL103" s="65" t="n">
        <f aca="false">-AL102*Inputs!$C$14</f>
        <v>-12273.11246304</v>
      </c>
      <c r="AM103" s="65" t="n">
        <f aca="false">-AM102*Inputs!$C$14</f>
        <v>-13399.7841871471</v>
      </c>
      <c r="AN103" s="65" t="n">
        <f aca="false">-AN102*Inputs!$C$14</f>
        <v>-13399.7841871471</v>
      </c>
      <c r="AO103" s="65" t="n">
        <f aca="false">-AO102*Inputs!$C$14</f>
        <v>-13399.7841871471</v>
      </c>
      <c r="AP103" s="65" t="n">
        <f aca="false">-AP102*Inputs!$C$14</f>
        <v>-13399.7841871471</v>
      </c>
      <c r="AQ103" s="65" t="n">
        <f aca="false">-AQ102*Inputs!$C$14</f>
        <v>-13399.7841871471</v>
      </c>
      <c r="AR103" s="65" t="n">
        <f aca="false">-AR102*Inputs!$C$14</f>
        <v>-13399.7841871471</v>
      </c>
      <c r="AS103" s="65" t="n">
        <f aca="false">-AS102*Inputs!$C$14</f>
        <v>-13399.7841871471</v>
      </c>
      <c r="AT103" s="65" t="n">
        <f aca="false">-AT102*Inputs!$C$14</f>
        <v>-13399.7841871471</v>
      </c>
      <c r="AU103" s="65" t="n">
        <f aca="false">-AU102*Inputs!$C$14</f>
        <v>-13399.7841871471</v>
      </c>
      <c r="AV103" s="65" t="n">
        <f aca="false">-AV102*Inputs!$C$14</f>
        <v>-13399.7841871471</v>
      </c>
      <c r="AW103" s="65" t="n">
        <f aca="false">-AW102*Inputs!$C$14</f>
        <v>-13399.7841871471</v>
      </c>
      <c r="AX103" s="65" t="n">
        <f aca="false">-AX102*Inputs!$C$14</f>
        <v>-13399.7841871471</v>
      </c>
      <c r="AY103" s="65" t="n">
        <f aca="false">-AY102*Inputs!$C$14</f>
        <v>-14629.8843755272</v>
      </c>
      <c r="AZ103" s="65" t="n">
        <f aca="false">-AZ102*Inputs!$C$14</f>
        <v>-14629.8843755272</v>
      </c>
      <c r="BA103" s="65" t="n">
        <f aca="false">-BA102*Inputs!$C$14</f>
        <v>-14629.8843755272</v>
      </c>
      <c r="BB103" s="65" t="n">
        <f aca="false">-BB102*Inputs!$C$14</f>
        <v>-14629.8843755272</v>
      </c>
      <c r="BC103" s="65" t="n">
        <f aca="false">-BC102*Inputs!$C$14</f>
        <v>-14629.8843755272</v>
      </c>
      <c r="BD103" s="65" t="n">
        <f aca="false">-BD102*Inputs!$C$14</f>
        <v>-14629.8843755272</v>
      </c>
      <c r="BE103" s="65" t="n">
        <f aca="false">-BE102*Inputs!$C$14</f>
        <v>-14629.8843755272</v>
      </c>
      <c r="BF103" s="65" t="n">
        <f aca="false">-BF102*Inputs!$C$14</f>
        <v>-14629.8843755272</v>
      </c>
      <c r="BG103" s="65" t="n">
        <f aca="false">-BG102*Inputs!$C$14</f>
        <v>-14629.8843755272</v>
      </c>
      <c r="BH103" s="65" t="n">
        <f aca="false">-BH102*Inputs!$C$14</f>
        <v>-14629.8843755272</v>
      </c>
      <c r="BI103" s="65" t="n">
        <f aca="false">-BI102*Inputs!$C$14</f>
        <v>-14629.8843755272</v>
      </c>
      <c r="BJ103" s="65" t="n">
        <f aca="false">-BJ102*Inputs!$C$14</f>
        <v>-14629.8843755272</v>
      </c>
    </row>
    <row r="104" customFormat="false" ht="15" hidden="false" customHeight="false" outlineLevel="0" collapsed="false">
      <c r="A104" s="108" t="s">
        <v>45</v>
      </c>
      <c r="C104" s="66" t="n">
        <f aca="false">C102+C103</f>
        <v>10452</v>
      </c>
      <c r="D104" s="66" t="n">
        <f aca="false">D102+D103</f>
        <v>12194</v>
      </c>
      <c r="E104" s="66" t="n">
        <f aca="false">E102+E103</f>
        <v>13936</v>
      </c>
      <c r="F104" s="66" t="n">
        <f aca="false">F102+F103</f>
        <v>15678</v>
      </c>
      <c r="G104" s="66" t="n">
        <f aca="false">G102+G103</f>
        <v>17420</v>
      </c>
      <c r="H104" s="66" t="n">
        <f aca="false">H102+H103</f>
        <v>19162</v>
      </c>
      <c r="I104" s="66" t="n">
        <f aca="false">I102+I103</f>
        <v>20904</v>
      </c>
      <c r="J104" s="66" t="n">
        <f aca="false">J102+J103</f>
        <v>20904</v>
      </c>
      <c r="K104" s="66" t="n">
        <f aca="false">K102+K103</f>
        <v>20904</v>
      </c>
      <c r="L104" s="66" t="n">
        <f aca="false">L102+L103</f>
        <v>20904</v>
      </c>
      <c r="M104" s="66" t="n">
        <f aca="false">M102+M103</f>
        <v>20904</v>
      </c>
      <c r="N104" s="66" t="n">
        <f aca="false">N102+N103</f>
        <v>20904</v>
      </c>
      <c r="O104" s="66" t="n">
        <f aca="false">O102+O103</f>
        <v>22822.9872</v>
      </c>
      <c r="P104" s="66" t="n">
        <f aca="false">P102+P103</f>
        <v>22822.9872</v>
      </c>
      <c r="Q104" s="66" t="n">
        <f aca="false">Q102+Q103</f>
        <v>22822.9872</v>
      </c>
      <c r="R104" s="66" t="n">
        <f aca="false">R102+R103</f>
        <v>22822.9872</v>
      </c>
      <c r="S104" s="66" t="n">
        <f aca="false">S102+S103</f>
        <v>22822.9872</v>
      </c>
      <c r="T104" s="66" t="n">
        <f aca="false">T102+T103</f>
        <v>22822.9872</v>
      </c>
      <c r="U104" s="66" t="n">
        <f aca="false">U102+U103</f>
        <v>22822.9872</v>
      </c>
      <c r="V104" s="66" t="n">
        <f aca="false">V102+V103</f>
        <v>22822.9872</v>
      </c>
      <c r="W104" s="66" t="n">
        <f aca="false">W102+W103</f>
        <v>22822.9872</v>
      </c>
      <c r="X104" s="66" t="n">
        <f aca="false">X102+X103</f>
        <v>22822.9872</v>
      </c>
      <c r="Y104" s="66" t="n">
        <f aca="false">Y102+Y103</f>
        <v>22822.9872</v>
      </c>
      <c r="Z104" s="66" t="n">
        <f aca="false">Z102+Z103</f>
        <v>22822.9872</v>
      </c>
      <c r="AA104" s="66" t="n">
        <f aca="false">AA102+AA103</f>
        <v>24918.13742496</v>
      </c>
      <c r="AB104" s="66" t="n">
        <f aca="false">AB102+AB103</f>
        <v>24918.13742496</v>
      </c>
      <c r="AC104" s="66" t="n">
        <f aca="false">AC102+AC103</f>
        <v>24918.13742496</v>
      </c>
      <c r="AD104" s="66" t="n">
        <f aca="false">AD102+AD103</f>
        <v>24918.13742496</v>
      </c>
      <c r="AE104" s="66" t="n">
        <f aca="false">AE102+AE103</f>
        <v>24918.13742496</v>
      </c>
      <c r="AF104" s="66" t="n">
        <f aca="false">AF102+AF103</f>
        <v>24918.13742496</v>
      </c>
      <c r="AG104" s="66" t="n">
        <f aca="false">AG102+AG103</f>
        <v>24918.13742496</v>
      </c>
      <c r="AH104" s="66" t="n">
        <f aca="false">AH102+AH103</f>
        <v>24918.13742496</v>
      </c>
      <c r="AI104" s="66" t="n">
        <f aca="false">AI102+AI103</f>
        <v>24918.13742496</v>
      </c>
      <c r="AJ104" s="66" t="n">
        <f aca="false">AJ102+AJ103</f>
        <v>24918.13742496</v>
      </c>
      <c r="AK104" s="66" t="n">
        <f aca="false">AK102+AK103</f>
        <v>24918.13742496</v>
      </c>
      <c r="AL104" s="66" t="n">
        <f aca="false">AL102+AL103</f>
        <v>24918.13742496</v>
      </c>
      <c r="AM104" s="66" t="n">
        <f aca="false">AM102+AM103</f>
        <v>27205.6224405713</v>
      </c>
      <c r="AN104" s="66" t="n">
        <f aca="false">AN102+AN103</f>
        <v>27205.6224405713</v>
      </c>
      <c r="AO104" s="66" t="n">
        <f aca="false">AO102+AO103</f>
        <v>27205.6224405713</v>
      </c>
      <c r="AP104" s="66" t="n">
        <f aca="false">AP102+AP103</f>
        <v>27205.6224405713</v>
      </c>
      <c r="AQ104" s="66" t="n">
        <f aca="false">AQ102+AQ103</f>
        <v>27205.6224405713</v>
      </c>
      <c r="AR104" s="66" t="n">
        <f aca="false">AR102+AR103</f>
        <v>27205.6224405713</v>
      </c>
      <c r="AS104" s="66" t="n">
        <f aca="false">AS102+AS103</f>
        <v>27205.6224405713</v>
      </c>
      <c r="AT104" s="66" t="n">
        <f aca="false">AT102+AT103</f>
        <v>27205.6224405713</v>
      </c>
      <c r="AU104" s="66" t="n">
        <f aca="false">AU102+AU103</f>
        <v>27205.6224405713</v>
      </c>
      <c r="AV104" s="66" t="n">
        <f aca="false">AV102+AV103</f>
        <v>27205.6224405713</v>
      </c>
      <c r="AW104" s="66" t="n">
        <f aca="false">AW102+AW103</f>
        <v>27205.6224405713</v>
      </c>
      <c r="AX104" s="66" t="n">
        <f aca="false">AX102+AX103</f>
        <v>27205.6224405713</v>
      </c>
      <c r="AY104" s="66" t="n">
        <f aca="false">AY102+AY103</f>
        <v>29703.0985806158</v>
      </c>
      <c r="AZ104" s="66" t="n">
        <f aca="false">AZ102+AZ103</f>
        <v>29703.0985806158</v>
      </c>
      <c r="BA104" s="66" t="n">
        <f aca="false">BA102+BA103</f>
        <v>29703.0985806158</v>
      </c>
      <c r="BB104" s="66" t="n">
        <f aca="false">BB102+BB103</f>
        <v>29703.0985806158</v>
      </c>
      <c r="BC104" s="66" t="n">
        <f aca="false">BC102+BC103</f>
        <v>29703.0985806158</v>
      </c>
      <c r="BD104" s="66" t="n">
        <f aca="false">BD102+BD103</f>
        <v>29703.0985806158</v>
      </c>
      <c r="BE104" s="66" t="n">
        <f aca="false">BE102+BE103</f>
        <v>29703.0985806158</v>
      </c>
      <c r="BF104" s="66" t="n">
        <f aca="false">BF102+BF103</f>
        <v>29703.0985806158</v>
      </c>
      <c r="BG104" s="66" t="n">
        <f aca="false">BG102+BG103</f>
        <v>29703.0985806158</v>
      </c>
      <c r="BH104" s="66" t="n">
        <f aca="false">BH102+BH103</f>
        <v>29703.0985806158</v>
      </c>
      <c r="BI104" s="66" t="n">
        <f aca="false">BI102+BI103</f>
        <v>29703.0985806158</v>
      </c>
      <c r="BJ104" s="66" t="n">
        <f aca="false">BJ102+BJ103</f>
        <v>29703.0985806158</v>
      </c>
    </row>
    <row r="106" customFormat="false" ht="15.75" hidden="false" customHeight="true" outlineLevel="0" collapsed="false">
      <c r="A106" s="7" t="s">
        <v>47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286</v>
      </c>
      <c r="C107" s="65" t="n">
        <f aca="false">-Inputs!$C$15*1</f>
        <v>-4500</v>
      </c>
      <c r="D107" s="65" t="n">
        <f aca="false">-Inputs!$C$15*1</f>
        <v>-4500</v>
      </c>
      <c r="E107" s="65" t="n">
        <f aca="false">-Inputs!$C$15*1</f>
        <v>-4500</v>
      </c>
      <c r="F107" s="65" t="n">
        <f aca="false">-Inputs!$C$15*1</f>
        <v>-4500</v>
      </c>
      <c r="G107" s="65" t="n">
        <f aca="false">-Inputs!$C$15*1</f>
        <v>-4500</v>
      </c>
      <c r="H107" s="65" t="n">
        <f aca="false">-Inputs!$C$15*1</f>
        <v>-4500</v>
      </c>
      <c r="I107" s="65" t="n">
        <f aca="false">-Inputs!$C$15*1</f>
        <v>-4500</v>
      </c>
      <c r="J107" s="65" t="n">
        <f aca="false">-Inputs!$C$15*1</f>
        <v>-4500</v>
      </c>
      <c r="K107" s="65" t="n">
        <f aca="false">-Inputs!$C$15*1</f>
        <v>-4500</v>
      </c>
      <c r="L107" s="65" t="n">
        <f aca="false">-Inputs!$C$15*1</f>
        <v>-4500</v>
      </c>
      <c r="M107" s="65" t="n">
        <f aca="false">-Inputs!$C$15*1</f>
        <v>-4500</v>
      </c>
      <c r="N107" s="65" t="n">
        <f aca="false">-Inputs!$C$15*1</f>
        <v>-4500</v>
      </c>
      <c r="O107" s="65" t="n">
        <f aca="false">-Inputs!$C$15*1</f>
        <v>-4500</v>
      </c>
      <c r="P107" s="65" t="n">
        <f aca="false">-Inputs!$C$15*1</f>
        <v>-4500</v>
      </c>
      <c r="Q107" s="65" t="n">
        <f aca="false">-Inputs!$C$15*1</f>
        <v>-4500</v>
      </c>
      <c r="R107" s="65" t="n">
        <f aca="false">-Inputs!$C$15*1</f>
        <v>-4500</v>
      </c>
      <c r="S107" s="65" t="n">
        <f aca="false">-Inputs!$C$15*1</f>
        <v>-4500</v>
      </c>
      <c r="T107" s="65" t="n">
        <f aca="false">-Inputs!$C$15*1</f>
        <v>-4500</v>
      </c>
      <c r="U107" s="65" t="n">
        <f aca="false">-Inputs!$C$15*1</f>
        <v>-4500</v>
      </c>
      <c r="V107" s="65" t="n">
        <f aca="false">-Inputs!$C$15*1</f>
        <v>-4500</v>
      </c>
      <c r="W107" s="65" t="n">
        <f aca="false">-Inputs!$C$15*1</f>
        <v>-4500</v>
      </c>
      <c r="X107" s="65" t="n">
        <f aca="false">-Inputs!$C$15*1</f>
        <v>-4500</v>
      </c>
      <c r="Y107" s="65" t="n">
        <f aca="false">-Inputs!$C$15*1</f>
        <v>-4500</v>
      </c>
      <c r="Z107" s="65" t="n">
        <f aca="false">-Inputs!$C$15*1</f>
        <v>-4500</v>
      </c>
      <c r="AA107" s="65" t="n">
        <f aca="false">-Inputs!$C$15*1</f>
        <v>-4500</v>
      </c>
      <c r="AB107" s="65" t="n">
        <f aca="false">-Inputs!$C$15*1</f>
        <v>-4500</v>
      </c>
      <c r="AC107" s="65" t="n">
        <f aca="false">-Inputs!$C$15*1</f>
        <v>-4500</v>
      </c>
      <c r="AD107" s="65" t="n">
        <f aca="false">-Inputs!$C$15*1</f>
        <v>-4500</v>
      </c>
      <c r="AE107" s="65" t="n">
        <f aca="false">-Inputs!$C$15*1</f>
        <v>-4500</v>
      </c>
      <c r="AF107" s="65" t="n">
        <f aca="false">-Inputs!$C$15*1</f>
        <v>-4500</v>
      </c>
      <c r="AG107" s="65" t="n">
        <f aca="false">-Inputs!$C$15*1</f>
        <v>-4500</v>
      </c>
      <c r="AH107" s="65" t="n">
        <f aca="false">-Inputs!$C$15*1</f>
        <v>-4500</v>
      </c>
      <c r="AI107" s="65" t="n">
        <f aca="false">-Inputs!$C$15*1</f>
        <v>-4500</v>
      </c>
      <c r="AJ107" s="65" t="n">
        <f aca="false">-Inputs!$C$15*1</f>
        <v>-4500</v>
      </c>
      <c r="AK107" s="65" t="n">
        <f aca="false">-Inputs!$C$15*1</f>
        <v>-4500</v>
      </c>
      <c r="AL107" s="65" t="n">
        <f aca="false">-Inputs!$C$15*1</f>
        <v>-4500</v>
      </c>
      <c r="AM107" s="65" t="n">
        <f aca="false">-Inputs!$C$15*1</f>
        <v>-4500</v>
      </c>
      <c r="AN107" s="65" t="n">
        <f aca="false">-Inputs!$C$15*1</f>
        <v>-4500</v>
      </c>
      <c r="AO107" s="65" t="n">
        <f aca="false">-Inputs!$C$15*1</f>
        <v>-4500</v>
      </c>
      <c r="AP107" s="65" t="n">
        <f aca="false">-Inputs!$C$15*1</f>
        <v>-4500</v>
      </c>
      <c r="AQ107" s="65" t="n">
        <f aca="false">-Inputs!$C$15*1</f>
        <v>-4500</v>
      </c>
      <c r="AR107" s="65" t="n">
        <f aca="false">-Inputs!$C$15*1</f>
        <v>-4500</v>
      </c>
      <c r="AS107" s="65" t="n">
        <f aca="false">-Inputs!$C$15*1</f>
        <v>-4500</v>
      </c>
      <c r="AT107" s="65" t="n">
        <f aca="false">-Inputs!$C$15*1</f>
        <v>-4500</v>
      </c>
      <c r="AU107" s="65" t="n">
        <f aca="false">-Inputs!$C$15*1</f>
        <v>-4500</v>
      </c>
      <c r="AV107" s="65" t="n">
        <f aca="false">-Inputs!$C$15*1</f>
        <v>-4500</v>
      </c>
      <c r="AW107" s="65" t="n">
        <f aca="false">-Inputs!$C$15*1</f>
        <v>-4500</v>
      </c>
      <c r="AX107" s="65" t="n">
        <f aca="false">-Inputs!$C$15*1</f>
        <v>-4500</v>
      </c>
      <c r="AY107" s="65" t="n">
        <f aca="false">-Inputs!$C$15*1</f>
        <v>-4500</v>
      </c>
      <c r="AZ107" s="65" t="n">
        <f aca="false">-Inputs!$C$15*1</f>
        <v>-4500</v>
      </c>
      <c r="BA107" s="65" t="n">
        <f aca="false">-Inputs!$C$15*1</f>
        <v>-4500</v>
      </c>
      <c r="BB107" s="65" t="n">
        <f aca="false">-Inputs!$C$15*1</f>
        <v>-4500</v>
      </c>
      <c r="BC107" s="65" t="n">
        <f aca="false">-Inputs!$C$15*1</f>
        <v>-4500</v>
      </c>
      <c r="BD107" s="65" t="n">
        <f aca="false">-Inputs!$C$15*1</f>
        <v>-4500</v>
      </c>
      <c r="BE107" s="65" t="n">
        <f aca="false">-Inputs!$C$15*1</f>
        <v>-4500</v>
      </c>
      <c r="BF107" s="65" t="n">
        <f aca="false">-Inputs!$C$15*1</f>
        <v>-4500</v>
      </c>
      <c r="BG107" s="65" t="n">
        <f aca="false">-Inputs!$C$15*1</f>
        <v>-4500</v>
      </c>
      <c r="BH107" s="65" t="n">
        <f aca="false">-Inputs!$C$15*1</f>
        <v>-4500</v>
      </c>
      <c r="BI107" s="65" t="n">
        <f aca="false">-Inputs!$C$15*1</f>
        <v>-4500</v>
      </c>
      <c r="BJ107" s="65" t="n">
        <f aca="false">-Inputs!$C$15*1</f>
        <v>-4500</v>
      </c>
    </row>
    <row r="108" customFormat="false" ht="15" hidden="false" customHeight="false" outlineLevel="0" collapsed="false">
      <c r="A108" s="6" t="s">
        <v>287</v>
      </c>
      <c r="C108" s="65" t="n">
        <f aca="false">C177</f>
        <v>-10453.3333333333</v>
      </c>
      <c r="D108" s="65" t="n">
        <f aca="false">D177</f>
        <v>-10453.3333333333</v>
      </c>
      <c r="E108" s="65" t="n">
        <f aca="false">E177</f>
        <v>-10453.3333333333</v>
      </c>
      <c r="F108" s="65" t="n">
        <f aca="false">F177</f>
        <v>-10453.3333333333</v>
      </c>
      <c r="G108" s="65" t="n">
        <f aca="false">G177</f>
        <v>-10453.3333333333</v>
      </c>
      <c r="H108" s="65" t="n">
        <f aca="false">H177</f>
        <v>-10453.3333333333</v>
      </c>
      <c r="I108" s="65" t="n">
        <f aca="false">I177</f>
        <v>-10453.3333333333</v>
      </c>
      <c r="J108" s="65" t="n">
        <f aca="false">J177</f>
        <v>-10453.3333333333</v>
      </c>
      <c r="K108" s="65" t="n">
        <f aca="false">K177</f>
        <v>-10453.3333333333</v>
      </c>
      <c r="L108" s="65" t="n">
        <f aca="false">L177</f>
        <v>-10453.3333333333</v>
      </c>
      <c r="M108" s="65" t="n">
        <f aca="false">M177</f>
        <v>-10453.3333333333</v>
      </c>
      <c r="N108" s="65" t="n">
        <f aca="false">N177</f>
        <v>-10453.3333333333</v>
      </c>
      <c r="O108" s="65" t="n">
        <f aca="false">O177</f>
        <v>-10766.9333333333</v>
      </c>
      <c r="P108" s="65" t="n">
        <f aca="false">P177</f>
        <v>-10766.9333333333</v>
      </c>
      <c r="Q108" s="65" t="n">
        <f aca="false">Q177</f>
        <v>-10766.9333333333</v>
      </c>
      <c r="R108" s="65" t="n">
        <f aca="false">R177</f>
        <v>-10766.9333333333</v>
      </c>
      <c r="S108" s="65" t="n">
        <f aca="false">S177</f>
        <v>-10766.9333333333</v>
      </c>
      <c r="T108" s="65" t="n">
        <f aca="false">T177</f>
        <v>-10766.9333333333</v>
      </c>
      <c r="U108" s="65" t="n">
        <f aca="false">U177</f>
        <v>-10766.9333333333</v>
      </c>
      <c r="V108" s="65" t="n">
        <f aca="false">V177</f>
        <v>-10766.9333333333</v>
      </c>
      <c r="W108" s="65" t="n">
        <f aca="false">W177</f>
        <v>-10766.9333333333</v>
      </c>
      <c r="X108" s="65" t="n">
        <f aca="false">X177</f>
        <v>-10766.9333333333</v>
      </c>
      <c r="Y108" s="65" t="n">
        <f aca="false">Y177</f>
        <v>-10766.9333333333</v>
      </c>
      <c r="Z108" s="65" t="n">
        <f aca="false">Z177</f>
        <v>-10766.9333333333</v>
      </c>
      <c r="AA108" s="65" t="n">
        <f aca="false">AA177</f>
        <v>-11089.9413333333</v>
      </c>
      <c r="AB108" s="65" t="n">
        <f aca="false">AB177</f>
        <v>-11089.9413333333</v>
      </c>
      <c r="AC108" s="65" t="n">
        <f aca="false">AC177</f>
        <v>-11089.9413333333</v>
      </c>
      <c r="AD108" s="65" t="n">
        <f aca="false">AD177</f>
        <v>-11089.9413333333</v>
      </c>
      <c r="AE108" s="65" t="n">
        <f aca="false">AE177</f>
        <v>-11089.9413333333</v>
      </c>
      <c r="AF108" s="65" t="n">
        <f aca="false">AF177</f>
        <v>-11089.9413333333</v>
      </c>
      <c r="AG108" s="65" t="n">
        <f aca="false">AG177</f>
        <v>-11089.9413333333</v>
      </c>
      <c r="AH108" s="65" t="n">
        <f aca="false">AH177</f>
        <v>-11089.9413333333</v>
      </c>
      <c r="AI108" s="65" t="n">
        <f aca="false">AI177</f>
        <v>-11089.9413333333</v>
      </c>
      <c r="AJ108" s="65" t="n">
        <f aca="false">AJ177</f>
        <v>-11089.9413333333</v>
      </c>
      <c r="AK108" s="65" t="n">
        <f aca="false">AK177</f>
        <v>-11089.9413333333</v>
      </c>
      <c r="AL108" s="65" t="n">
        <f aca="false">AL177</f>
        <v>-11089.9413333333</v>
      </c>
      <c r="AM108" s="65" t="n">
        <f aca="false">AM177</f>
        <v>-11422.6395733333</v>
      </c>
      <c r="AN108" s="65" t="n">
        <f aca="false">AN177</f>
        <v>-11422.6395733333</v>
      </c>
      <c r="AO108" s="65" t="n">
        <f aca="false">AO177</f>
        <v>-11422.6395733333</v>
      </c>
      <c r="AP108" s="65" t="n">
        <f aca="false">AP177</f>
        <v>-11422.6395733333</v>
      </c>
      <c r="AQ108" s="65" t="n">
        <f aca="false">AQ177</f>
        <v>-11422.6395733333</v>
      </c>
      <c r="AR108" s="65" t="n">
        <f aca="false">AR177</f>
        <v>-11422.6395733333</v>
      </c>
      <c r="AS108" s="65" t="n">
        <f aca="false">AS177</f>
        <v>-11422.6395733333</v>
      </c>
      <c r="AT108" s="65" t="n">
        <f aca="false">AT177</f>
        <v>-11422.6395733333</v>
      </c>
      <c r="AU108" s="65" t="n">
        <f aca="false">AU177</f>
        <v>-11422.6395733333</v>
      </c>
      <c r="AV108" s="65" t="n">
        <f aca="false">AV177</f>
        <v>-11422.6395733333</v>
      </c>
      <c r="AW108" s="65" t="n">
        <f aca="false">AW177</f>
        <v>-11422.6395733333</v>
      </c>
      <c r="AX108" s="65" t="n">
        <f aca="false">AX177</f>
        <v>-11422.6395733333</v>
      </c>
      <c r="AY108" s="65" t="n">
        <f aca="false">AY177</f>
        <v>-11765.3187605333</v>
      </c>
      <c r="AZ108" s="65" t="n">
        <f aca="false">AZ177</f>
        <v>-11765.3187605333</v>
      </c>
      <c r="BA108" s="65" t="n">
        <f aca="false">BA177</f>
        <v>-11765.3187605333</v>
      </c>
      <c r="BB108" s="65" t="n">
        <f aca="false">BB177</f>
        <v>-11765.3187605333</v>
      </c>
      <c r="BC108" s="65" t="n">
        <f aca="false">BC177</f>
        <v>-11765.3187605333</v>
      </c>
      <c r="BD108" s="65" t="n">
        <f aca="false">BD177</f>
        <v>-11765.3187605333</v>
      </c>
      <c r="BE108" s="65" t="n">
        <f aca="false">BE177</f>
        <v>-11765.3187605333</v>
      </c>
      <c r="BF108" s="65" t="n">
        <f aca="false">BF177</f>
        <v>-11765.3187605333</v>
      </c>
      <c r="BG108" s="65" t="n">
        <f aca="false">BG177</f>
        <v>-11765.3187605333</v>
      </c>
      <c r="BH108" s="65" t="n">
        <f aca="false">BH177</f>
        <v>-11765.3187605333</v>
      </c>
      <c r="BI108" s="65" t="n">
        <f aca="false">BI177</f>
        <v>-11765.3187605333</v>
      </c>
      <c r="BJ108" s="65" t="n">
        <f aca="false">BJ177</f>
        <v>-11765.3187605333</v>
      </c>
    </row>
    <row r="109" customFormat="false" ht="15" hidden="false" customHeight="false" outlineLevel="0" collapsed="false">
      <c r="A109" s="6" t="s">
        <v>288</v>
      </c>
      <c r="C109" s="65" t="n">
        <f aca="false">-C102*Inputs!$C$16</f>
        <v>-468</v>
      </c>
      <c r="D109" s="65" t="n">
        <f aca="false">-D102*Inputs!$C$16</f>
        <v>-546</v>
      </c>
      <c r="E109" s="65" t="n">
        <f aca="false">-E102*Inputs!$C$16</f>
        <v>-624</v>
      </c>
      <c r="F109" s="65" t="n">
        <f aca="false">-F102*Inputs!$C$16</f>
        <v>-702</v>
      </c>
      <c r="G109" s="65" t="n">
        <f aca="false">-G102*Inputs!$C$16</f>
        <v>-780</v>
      </c>
      <c r="H109" s="65" t="n">
        <f aca="false">-H102*Inputs!$C$16</f>
        <v>-858</v>
      </c>
      <c r="I109" s="65" t="n">
        <f aca="false">-I102*Inputs!$C$16</f>
        <v>-936</v>
      </c>
      <c r="J109" s="65" t="n">
        <f aca="false">-J102*Inputs!$C$16</f>
        <v>-936</v>
      </c>
      <c r="K109" s="65" t="n">
        <f aca="false">-K102*Inputs!$C$16</f>
        <v>-936</v>
      </c>
      <c r="L109" s="65" t="n">
        <f aca="false">-L102*Inputs!$C$16</f>
        <v>-936</v>
      </c>
      <c r="M109" s="65" t="n">
        <f aca="false">-M102*Inputs!$C$16</f>
        <v>-936</v>
      </c>
      <c r="N109" s="65" t="n">
        <f aca="false">-N102*Inputs!$C$16</f>
        <v>-936</v>
      </c>
      <c r="O109" s="65" t="n">
        <f aca="false">-O102*Inputs!$C$16</f>
        <v>-1021.9248</v>
      </c>
      <c r="P109" s="65" t="n">
        <f aca="false">-P102*Inputs!$C$16</f>
        <v>-1021.9248</v>
      </c>
      <c r="Q109" s="65" t="n">
        <f aca="false">-Q102*Inputs!$C$16</f>
        <v>-1021.9248</v>
      </c>
      <c r="R109" s="65" t="n">
        <f aca="false">-R102*Inputs!$C$16</f>
        <v>-1021.9248</v>
      </c>
      <c r="S109" s="65" t="n">
        <f aca="false">-S102*Inputs!$C$16</f>
        <v>-1021.9248</v>
      </c>
      <c r="T109" s="65" t="n">
        <f aca="false">-T102*Inputs!$C$16</f>
        <v>-1021.9248</v>
      </c>
      <c r="U109" s="65" t="n">
        <f aca="false">-U102*Inputs!$C$16</f>
        <v>-1021.9248</v>
      </c>
      <c r="V109" s="65" t="n">
        <f aca="false">-V102*Inputs!$C$16</f>
        <v>-1021.9248</v>
      </c>
      <c r="W109" s="65" t="n">
        <f aca="false">-W102*Inputs!$C$16</f>
        <v>-1021.9248</v>
      </c>
      <c r="X109" s="65" t="n">
        <f aca="false">-X102*Inputs!$C$16</f>
        <v>-1021.9248</v>
      </c>
      <c r="Y109" s="65" t="n">
        <f aca="false">-Y102*Inputs!$C$16</f>
        <v>-1021.9248</v>
      </c>
      <c r="Z109" s="65" t="n">
        <f aca="false">-Z102*Inputs!$C$16</f>
        <v>-1021.9248</v>
      </c>
      <c r="AA109" s="65" t="n">
        <f aca="false">-AA102*Inputs!$C$16</f>
        <v>-1115.73749664</v>
      </c>
      <c r="AB109" s="65" t="n">
        <f aca="false">-AB102*Inputs!$C$16</f>
        <v>-1115.73749664</v>
      </c>
      <c r="AC109" s="65" t="n">
        <f aca="false">-AC102*Inputs!$C$16</f>
        <v>-1115.73749664</v>
      </c>
      <c r="AD109" s="65" t="n">
        <f aca="false">-AD102*Inputs!$C$16</f>
        <v>-1115.73749664</v>
      </c>
      <c r="AE109" s="65" t="n">
        <f aca="false">-AE102*Inputs!$C$16</f>
        <v>-1115.73749664</v>
      </c>
      <c r="AF109" s="65" t="n">
        <f aca="false">-AF102*Inputs!$C$16</f>
        <v>-1115.73749664</v>
      </c>
      <c r="AG109" s="65" t="n">
        <f aca="false">-AG102*Inputs!$C$16</f>
        <v>-1115.73749664</v>
      </c>
      <c r="AH109" s="65" t="n">
        <f aca="false">-AH102*Inputs!$C$16</f>
        <v>-1115.73749664</v>
      </c>
      <c r="AI109" s="65" t="n">
        <f aca="false">-AI102*Inputs!$C$16</f>
        <v>-1115.73749664</v>
      </c>
      <c r="AJ109" s="65" t="n">
        <f aca="false">-AJ102*Inputs!$C$16</f>
        <v>-1115.73749664</v>
      </c>
      <c r="AK109" s="65" t="n">
        <f aca="false">-AK102*Inputs!$C$16</f>
        <v>-1115.73749664</v>
      </c>
      <c r="AL109" s="65" t="n">
        <f aca="false">-AL102*Inputs!$C$16</f>
        <v>-1115.73749664</v>
      </c>
      <c r="AM109" s="65" t="n">
        <f aca="false">-AM102*Inputs!$C$16</f>
        <v>-1218.16219883155</v>
      </c>
      <c r="AN109" s="65" t="n">
        <f aca="false">-AN102*Inputs!$C$16</f>
        <v>-1218.16219883155</v>
      </c>
      <c r="AO109" s="65" t="n">
        <f aca="false">-AO102*Inputs!$C$16</f>
        <v>-1218.16219883155</v>
      </c>
      <c r="AP109" s="65" t="n">
        <f aca="false">-AP102*Inputs!$C$16</f>
        <v>-1218.16219883155</v>
      </c>
      <c r="AQ109" s="65" t="n">
        <f aca="false">-AQ102*Inputs!$C$16</f>
        <v>-1218.16219883155</v>
      </c>
      <c r="AR109" s="65" t="n">
        <f aca="false">-AR102*Inputs!$C$16</f>
        <v>-1218.16219883155</v>
      </c>
      <c r="AS109" s="65" t="n">
        <f aca="false">-AS102*Inputs!$C$16</f>
        <v>-1218.16219883155</v>
      </c>
      <c r="AT109" s="65" t="n">
        <f aca="false">-AT102*Inputs!$C$16</f>
        <v>-1218.16219883155</v>
      </c>
      <c r="AU109" s="65" t="n">
        <f aca="false">-AU102*Inputs!$C$16</f>
        <v>-1218.16219883155</v>
      </c>
      <c r="AV109" s="65" t="n">
        <f aca="false">-AV102*Inputs!$C$16</f>
        <v>-1218.16219883155</v>
      </c>
      <c r="AW109" s="65" t="n">
        <f aca="false">-AW102*Inputs!$C$16</f>
        <v>-1218.16219883155</v>
      </c>
      <c r="AX109" s="65" t="n">
        <f aca="false">-AX102*Inputs!$C$16</f>
        <v>-1218.16219883155</v>
      </c>
      <c r="AY109" s="65" t="n">
        <f aca="false">-AY102*Inputs!$C$16</f>
        <v>-1329.98948868429</v>
      </c>
      <c r="AZ109" s="65" t="n">
        <f aca="false">-AZ102*Inputs!$C$16</f>
        <v>-1329.98948868429</v>
      </c>
      <c r="BA109" s="65" t="n">
        <f aca="false">-BA102*Inputs!$C$16</f>
        <v>-1329.98948868429</v>
      </c>
      <c r="BB109" s="65" t="n">
        <f aca="false">-BB102*Inputs!$C$16</f>
        <v>-1329.98948868429</v>
      </c>
      <c r="BC109" s="65" t="n">
        <f aca="false">-BC102*Inputs!$C$16</f>
        <v>-1329.98948868429</v>
      </c>
      <c r="BD109" s="65" t="n">
        <f aca="false">-BD102*Inputs!$C$16</f>
        <v>-1329.98948868429</v>
      </c>
      <c r="BE109" s="65" t="n">
        <f aca="false">-BE102*Inputs!$C$16</f>
        <v>-1329.98948868429</v>
      </c>
      <c r="BF109" s="65" t="n">
        <f aca="false">-BF102*Inputs!$C$16</f>
        <v>-1329.98948868429</v>
      </c>
      <c r="BG109" s="65" t="n">
        <f aca="false">-BG102*Inputs!$C$16</f>
        <v>-1329.98948868429</v>
      </c>
      <c r="BH109" s="65" t="n">
        <f aca="false">-BH102*Inputs!$C$16</f>
        <v>-1329.98948868429</v>
      </c>
      <c r="BI109" s="65" t="n">
        <f aca="false">-BI102*Inputs!$C$16</f>
        <v>-1329.98948868429</v>
      </c>
      <c r="BJ109" s="65" t="n">
        <f aca="false">-BJ102*Inputs!$C$16</f>
        <v>-1329.98948868429</v>
      </c>
    </row>
    <row r="110" customFormat="false" ht="15" hidden="false" customHeight="false" outlineLevel="0" collapsed="false">
      <c r="A110" s="6" t="s">
        <v>289</v>
      </c>
      <c r="C110" s="65" t="n">
        <f aca="false">-Inputs!$C$17*1</f>
        <v>-2000</v>
      </c>
      <c r="D110" s="65" t="n">
        <f aca="false">-Inputs!$C$17*1</f>
        <v>-2000</v>
      </c>
      <c r="E110" s="65" t="n">
        <f aca="false">-Inputs!$C$17*1</f>
        <v>-2000</v>
      </c>
      <c r="F110" s="65" t="n">
        <f aca="false">-Inputs!$C$17*1</f>
        <v>-2000</v>
      </c>
      <c r="G110" s="65" t="n">
        <f aca="false">-Inputs!$C$17*1</f>
        <v>-2000</v>
      </c>
      <c r="H110" s="65" t="n">
        <f aca="false">-Inputs!$C$17*1</f>
        <v>-2000</v>
      </c>
      <c r="I110" s="65" t="n">
        <f aca="false">-Inputs!$C$17*1</f>
        <v>-2000</v>
      </c>
      <c r="J110" s="65" t="n">
        <f aca="false">-Inputs!$C$17*1</f>
        <v>-2000</v>
      </c>
      <c r="K110" s="65" t="n">
        <f aca="false">-Inputs!$C$17*1</f>
        <v>-2000</v>
      </c>
      <c r="L110" s="65" t="n">
        <f aca="false">-Inputs!$C$17*1</f>
        <v>-2000</v>
      </c>
      <c r="M110" s="65" t="n">
        <f aca="false">-Inputs!$C$17*1</f>
        <v>-2000</v>
      </c>
      <c r="N110" s="65" t="n">
        <f aca="false">-Inputs!$C$17*1</f>
        <v>-2000</v>
      </c>
      <c r="O110" s="65" t="n">
        <f aca="false">-Inputs!$C$17*1</f>
        <v>-2000</v>
      </c>
      <c r="P110" s="65" t="n">
        <f aca="false">-Inputs!$C$17*1</f>
        <v>-2000</v>
      </c>
      <c r="Q110" s="65" t="n">
        <f aca="false">-Inputs!$C$17*1</f>
        <v>-2000</v>
      </c>
      <c r="R110" s="65" t="n">
        <f aca="false">-Inputs!$C$17*1</f>
        <v>-2000</v>
      </c>
      <c r="S110" s="65" t="n">
        <f aca="false">-Inputs!$C$17*1</f>
        <v>-2000</v>
      </c>
      <c r="T110" s="65" t="n">
        <f aca="false">-Inputs!$C$17*1</f>
        <v>-2000</v>
      </c>
      <c r="U110" s="65" t="n">
        <f aca="false">-Inputs!$C$17*1</f>
        <v>-2000</v>
      </c>
      <c r="V110" s="65" t="n">
        <f aca="false">-Inputs!$C$17*1</f>
        <v>-2000</v>
      </c>
      <c r="W110" s="65" t="n">
        <f aca="false">-Inputs!$C$17*1</f>
        <v>-2000</v>
      </c>
      <c r="X110" s="65" t="n">
        <f aca="false">-Inputs!$C$17*1</f>
        <v>-2000</v>
      </c>
      <c r="Y110" s="65" t="n">
        <f aca="false">-Inputs!$C$17*1</f>
        <v>-2000</v>
      </c>
      <c r="Z110" s="65" t="n">
        <f aca="false">-Inputs!$C$17*1</f>
        <v>-2000</v>
      </c>
      <c r="AA110" s="65" t="n">
        <f aca="false">-Inputs!$C$17*1</f>
        <v>-2000</v>
      </c>
      <c r="AB110" s="65" t="n">
        <f aca="false">-Inputs!$C$17*1</f>
        <v>-2000</v>
      </c>
      <c r="AC110" s="65" t="n">
        <f aca="false">-Inputs!$C$17*1</f>
        <v>-2000</v>
      </c>
      <c r="AD110" s="65" t="n">
        <f aca="false">-Inputs!$C$17*1</f>
        <v>-2000</v>
      </c>
      <c r="AE110" s="65" t="n">
        <f aca="false">-Inputs!$C$17*1</f>
        <v>-2000</v>
      </c>
      <c r="AF110" s="65" t="n">
        <f aca="false">-Inputs!$C$17*1</f>
        <v>-2000</v>
      </c>
      <c r="AG110" s="65" t="n">
        <f aca="false">-Inputs!$C$17*1</f>
        <v>-2000</v>
      </c>
      <c r="AH110" s="65" t="n">
        <f aca="false">-Inputs!$C$17*1</f>
        <v>-2000</v>
      </c>
      <c r="AI110" s="65" t="n">
        <f aca="false">-Inputs!$C$17*1</f>
        <v>-2000</v>
      </c>
      <c r="AJ110" s="65" t="n">
        <f aca="false">-Inputs!$C$17*1</f>
        <v>-2000</v>
      </c>
      <c r="AK110" s="65" t="n">
        <f aca="false">-Inputs!$C$17*1</f>
        <v>-2000</v>
      </c>
      <c r="AL110" s="65" t="n">
        <f aca="false">-Inputs!$C$17*1</f>
        <v>-2000</v>
      </c>
      <c r="AM110" s="65" t="n">
        <f aca="false">-Inputs!$C$17*1</f>
        <v>-2000</v>
      </c>
      <c r="AN110" s="65" t="n">
        <f aca="false">-Inputs!$C$17*1</f>
        <v>-2000</v>
      </c>
      <c r="AO110" s="65" t="n">
        <f aca="false">-Inputs!$C$17*1</f>
        <v>-2000</v>
      </c>
      <c r="AP110" s="65" t="n">
        <f aca="false">-Inputs!$C$17*1</f>
        <v>-2000</v>
      </c>
      <c r="AQ110" s="65" t="n">
        <f aca="false">-Inputs!$C$17*1</f>
        <v>-2000</v>
      </c>
      <c r="AR110" s="65" t="n">
        <f aca="false">-Inputs!$C$17*1</f>
        <v>-2000</v>
      </c>
      <c r="AS110" s="65" t="n">
        <f aca="false">-Inputs!$C$17*1</f>
        <v>-2000</v>
      </c>
      <c r="AT110" s="65" t="n">
        <f aca="false">-Inputs!$C$17*1</f>
        <v>-2000</v>
      </c>
      <c r="AU110" s="65" t="n">
        <f aca="false">-Inputs!$C$17*1</f>
        <v>-2000</v>
      </c>
      <c r="AV110" s="65" t="n">
        <f aca="false">-Inputs!$C$17*1</f>
        <v>-2000</v>
      </c>
      <c r="AW110" s="65" t="n">
        <f aca="false">-Inputs!$C$17*1</f>
        <v>-2000</v>
      </c>
      <c r="AX110" s="65" t="n">
        <f aca="false">-Inputs!$C$17*1</f>
        <v>-2000</v>
      </c>
      <c r="AY110" s="65" t="n">
        <f aca="false">-Inputs!$C$17*1</f>
        <v>-2000</v>
      </c>
      <c r="AZ110" s="65" t="n">
        <f aca="false">-Inputs!$C$17*1</f>
        <v>-2000</v>
      </c>
      <c r="BA110" s="65" t="n">
        <f aca="false">-Inputs!$C$17*1</f>
        <v>-2000</v>
      </c>
      <c r="BB110" s="65" t="n">
        <f aca="false">-Inputs!$C$17*1</f>
        <v>-2000</v>
      </c>
      <c r="BC110" s="65" t="n">
        <f aca="false">-Inputs!$C$17*1</f>
        <v>-2000</v>
      </c>
      <c r="BD110" s="65" t="n">
        <f aca="false">-Inputs!$C$17*1</f>
        <v>-2000</v>
      </c>
      <c r="BE110" s="65" t="n">
        <f aca="false">-Inputs!$C$17*1</f>
        <v>-2000</v>
      </c>
      <c r="BF110" s="65" t="n">
        <f aca="false">-Inputs!$C$17*1</f>
        <v>-2000</v>
      </c>
      <c r="BG110" s="65" t="n">
        <f aca="false">-Inputs!$C$17*1</f>
        <v>-2000</v>
      </c>
      <c r="BH110" s="65" t="n">
        <f aca="false">-Inputs!$C$17*1</f>
        <v>-2000</v>
      </c>
      <c r="BI110" s="65" t="n">
        <f aca="false">-Inputs!$C$17*1</f>
        <v>-2000</v>
      </c>
      <c r="BJ110" s="65" t="n">
        <f aca="false">-Inputs!$C$17*1</f>
        <v>-2000</v>
      </c>
    </row>
    <row r="111" customFormat="false" ht="15" hidden="false" customHeight="false" outlineLevel="0" collapsed="false">
      <c r="A111" s="108" t="s">
        <v>75</v>
      </c>
      <c r="C111" s="66" t="n">
        <f aca="false">C107+C108+C109+C110</f>
        <v>-17421.3333333333</v>
      </c>
      <c r="D111" s="66" t="n">
        <f aca="false">D107+D108+D109+D110</f>
        <v>-17499.3333333333</v>
      </c>
      <c r="E111" s="66" t="n">
        <f aca="false">E107+E108+E109+E110</f>
        <v>-17577.3333333333</v>
      </c>
      <c r="F111" s="66" t="n">
        <f aca="false">F107+F108+F109+F110</f>
        <v>-17655.3333333333</v>
      </c>
      <c r="G111" s="66" t="n">
        <f aca="false">G107+G108+G109+G110</f>
        <v>-17733.3333333333</v>
      </c>
      <c r="H111" s="66" t="n">
        <f aca="false">H107+H108+H109+H110</f>
        <v>-17811.3333333333</v>
      </c>
      <c r="I111" s="66" t="n">
        <f aca="false">I107+I108+I109+I110</f>
        <v>-17889.3333333333</v>
      </c>
      <c r="J111" s="66" t="n">
        <f aca="false">J107+J108+J109+J110</f>
        <v>-17889.3333333333</v>
      </c>
      <c r="K111" s="66" t="n">
        <f aca="false">K107+K108+K109+K110</f>
        <v>-17889.3333333333</v>
      </c>
      <c r="L111" s="66" t="n">
        <f aca="false">L107+L108+L109+L110</f>
        <v>-17889.3333333333</v>
      </c>
      <c r="M111" s="66" t="n">
        <f aca="false">M107+M108+M109+M110</f>
        <v>-17889.3333333333</v>
      </c>
      <c r="N111" s="66" t="n">
        <f aca="false">N107+N108+N109+N110</f>
        <v>-17889.3333333333</v>
      </c>
      <c r="O111" s="66" t="n">
        <f aca="false">O107+O108+O109+O110</f>
        <v>-18288.8581333333</v>
      </c>
      <c r="P111" s="66" t="n">
        <f aca="false">P107+P108+P109+P110</f>
        <v>-18288.8581333333</v>
      </c>
      <c r="Q111" s="66" t="n">
        <f aca="false">Q107+Q108+Q109+Q110</f>
        <v>-18288.8581333333</v>
      </c>
      <c r="R111" s="66" t="n">
        <f aca="false">R107+R108+R109+R110</f>
        <v>-18288.8581333333</v>
      </c>
      <c r="S111" s="66" t="n">
        <f aca="false">S107+S108+S109+S110</f>
        <v>-18288.8581333333</v>
      </c>
      <c r="T111" s="66" t="n">
        <f aca="false">T107+T108+T109+T110</f>
        <v>-18288.8581333333</v>
      </c>
      <c r="U111" s="66" t="n">
        <f aca="false">U107+U108+U109+U110</f>
        <v>-18288.8581333333</v>
      </c>
      <c r="V111" s="66" t="n">
        <f aca="false">V107+V108+V109+V110</f>
        <v>-18288.8581333333</v>
      </c>
      <c r="W111" s="66" t="n">
        <f aca="false">W107+W108+W109+W110</f>
        <v>-18288.8581333333</v>
      </c>
      <c r="X111" s="66" t="n">
        <f aca="false">X107+X108+X109+X110</f>
        <v>-18288.8581333333</v>
      </c>
      <c r="Y111" s="66" t="n">
        <f aca="false">Y107+Y108+Y109+Y110</f>
        <v>-18288.8581333333</v>
      </c>
      <c r="Z111" s="66" t="n">
        <f aca="false">Z107+Z108+Z109+Z110</f>
        <v>-18288.8581333333</v>
      </c>
      <c r="AA111" s="66" t="n">
        <f aca="false">AA107+AA108+AA109+AA110</f>
        <v>-18705.6788299733</v>
      </c>
      <c r="AB111" s="66" t="n">
        <f aca="false">AB107+AB108+AB109+AB110</f>
        <v>-18705.6788299733</v>
      </c>
      <c r="AC111" s="66" t="n">
        <f aca="false">AC107+AC108+AC109+AC110</f>
        <v>-18705.6788299733</v>
      </c>
      <c r="AD111" s="66" t="n">
        <f aca="false">AD107+AD108+AD109+AD110</f>
        <v>-18705.6788299733</v>
      </c>
      <c r="AE111" s="66" t="n">
        <f aca="false">AE107+AE108+AE109+AE110</f>
        <v>-18705.6788299733</v>
      </c>
      <c r="AF111" s="66" t="n">
        <f aca="false">AF107+AF108+AF109+AF110</f>
        <v>-18705.6788299733</v>
      </c>
      <c r="AG111" s="66" t="n">
        <f aca="false">AG107+AG108+AG109+AG110</f>
        <v>-18705.6788299733</v>
      </c>
      <c r="AH111" s="66" t="n">
        <f aca="false">AH107+AH108+AH109+AH110</f>
        <v>-18705.6788299733</v>
      </c>
      <c r="AI111" s="66" t="n">
        <f aca="false">AI107+AI108+AI109+AI110</f>
        <v>-18705.6788299733</v>
      </c>
      <c r="AJ111" s="66" t="n">
        <f aca="false">AJ107+AJ108+AJ109+AJ110</f>
        <v>-18705.6788299733</v>
      </c>
      <c r="AK111" s="66" t="n">
        <f aca="false">AK107+AK108+AK109+AK110</f>
        <v>-18705.6788299733</v>
      </c>
      <c r="AL111" s="66" t="n">
        <f aca="false">AL107+AL108+AL109+AL110</f>
        <v>-18705.6788299733</v>
      </c>
      <c r="AM111" s="66" t="n">
        <f aca="false">AM107+AM108+AM109+AM110</f>
        <v>-19140.8017721649</v>
      </c>
      <c r="AN111" s="66" t="n">
        <f aca="false">AN107+AN108+AN109+AN110</f>
        <v>-19140.8017721649</v>
      </c>
      <c r="AO111" s="66" t="n">
        <f aca="false">AO107+AO108+AO109+AO110</f>
        <v>-19140.8017721649</v>
      </c>
      <c r="AP111" s="66" t="n">
        <f aca="false">AP107+AP108+AP109+AP110</f>
        <v>-19140.8017721649</v>
      </c>
      <c r="AQ111" s="66" t="n">
        <f aca="false">AQ107+AQ108+AQ109+AQ110</f>
        <v>-19140.8017721649</v>
      </c>
      <c r="AR111" s="66" t="n">
        <f aca="false">AR107+AR108+AR109+AR110</f>
        <v>-19140.8017721649</v>
      </c>
      <c r="AS111" s="66" t="n">
        <f aca="false">AS107+AS108+AS109+AS110</f>
        <v>-19140.8017721649</v>
      </c>
      <c r="AT111" s="66" t="n">
        <f aca="false">AT107+AT108+AT109+AT110</f>
        <v>-19140.8017721649</v>
      </c>
      <c r="AU111" s="66" t="n">
        <f aca="false">AU107+AU108+AU109+AU110</f>
        <v>-19140.8017721649</v>
      </c>
      <c r="AV111" s="66" t="n">
        <f aca="false">AV107+AV108+AV109+AV110</f>
        <v>-19140.8017721649</v>
      </c>
      <c r="AW111" s="66" t="n">
        <f aca="false">AW107+AW108+AW109+AW110</f>
        <v>-19140.8017721649</v>
      </c>
      <c r="AX111" s="66" t="n">
        <f aca="false">AX107+AX108+AX109+AX110</f>
        <v>-19140.8017721649</v>
      </c>
      <c r="AY111" s="66" t="n">
        <f aca="false">AY107+AY108+AY109+AY110</f>
        <v>-19595.3082492176</v>
      </c>
      <c r="AZ111" s="66" t="n">
        <f aca="false">AZ107+AZ108+AZ109+AZ110</f>
        <v>-19595.3082492176</v>
      </c>
      <c r="BA111" s="66" t="n">
        <f aca="false">BA107+BA108+BA109+BA110</f>
        <v>-19595.3082492176</v>
      </c>
      <c r="BB111" s="66" t="n">
        <f aca="false">BB107+BB108+BB109+BB110</f>
        <v>-19595.3082492176</v>
      </c>
      <c r="BC111" s="66" t="n">
        <f aca="false">BC107+BC108+BC109+BC110</f>
        <v>-19595.3082492176</v>
      </c>
      <c r="BD111" s="66" t="n">
        <f aca="false">BD107+BD108+BD109+BD110</f>
        <v>-19595.3082492176</v>
      </c>
      <c r="BE111" s="66" t="n">
        <f aca="false">BE107+BE108+BE109+BE110</f>
        <v>-19595.3082492176</v>
      </c>
      <c r="BF111" s="66" t="n">
        <f aca="false">BF107+BF108+BF109+BF110</f>
        <v>-19595.3082492176</v>
      </c>
      <c r="BG111" s="66" t="n">
        <f aca="false">BG107+BG108+BG109+BG110</f>
        <v>-19595.3082492176</v>
      </c>
      <c r="BH111" s="66" t="n">
        <f aca="false">BH107+BH108+BH109+BH110</f>
        <v>-19595.3082492176</v>
      </c>
      <c r="BI111" s="66" t="n">
        <f aca="false">BI107+BI108+BI109+BI110</f>
        <v>-19595.3082492176</v>
      </c>
      <c r="BJ111" s="66" t="n">
        <f aca="false">BJ107+BJ108+BJ109+BJ110</f>
        <v>-19595.3082492176</v>
      </c>
    </row>
    <row r="112" customFormat="false" ht="15" hidden="false" customHeight="false" outlineLevel="0" collapsed="false">
      <c r="A112" s="108" t="s">
        <v>48</v>
      </c>
      <c r="C112" s="66" t="n">
        <f aca="false">C104+C111</f>
        <v>-6969.33333333334</v>
      </c>
      <c r="D112" s="66" t="n">
        <f aca="false">D104+D111</f>
        <v>-5305.33333333333</v>
      </c>
      <c r="E112" s="66" t="n">
        <f aca="false">E104+E111</f>
        <v>-3641.33333333334</v>
      </c>
      <c r="F112" s="66" t="n">
        <f aca="false">F104+F111</f>
        <v>-1977.33333333334</v>
      </c>
      <c r="G112" s="66" t="n">
        <f aca="false">G104+G111</f>
        <v>-313.333333333339</v>
      </c>
      <c r="H112" s="66" t="n">
        <f aca="false">H104+H111</f>
        <v>1350.66666666666</v>
      </c>
      <c r="I112" s="66" t="n">
        <f aca="false">I104+I111</f>
        <v>3014.66666666666</v>
      </c>
      <c r="J112" s="66" t="n">
        <f aca="false">J104+J111</f>
        <v>3014.66666666666</v>
      </c>
      <c r="K112" s="66" t="n">
        <f aca="false">K104+K111</f>
        <v>3014.66666666666</v>
      </c>
      <c r="L112" s="66" t="n">
        <f aca="false">L104+L111</f>
        <v>3014.66666666666</v>
      </c>
      <c r="M112" s="66" t="n">
        <f aca="false">M104+M111</f>
        <v>3014.66666666666</v>
      </c>
      <c r="N112" s="66" t="n">
        <f aca="false">N104+N111</f>
        <v>3014.66666666666</v>
      </c>
      <c r="O112" s="66" t="n">
        <f aca="false">O104+O111</f>
        <v>4534.12906666667</v>
      </c>
      <c r="P112" s="66" t="n">
        <f aca="false">P104+P111</f>
        <v>4534.12906666667</v>
      </c>
      <c r="Q112" s="66" t="n">
        <f aca="false">Q104+Q111</f>
        <v>4534.12906666667</v>
      </c>
      <c r="R112" s="66" t="n">
        <f aca="false">R104+R111</f>
        <v>4534.12906666667</v>
      </c>
      <c r="S112" s="66" t="n">
        <f aca="false">S104+S111</f>
        <v>4534.12906666667</v>
      </c>
      <c r="T112" s="66" t="n">
        <f aca="false">T104+T111</f>
        <v>4534.12906666667</v>
      </c>
      <c r="U112" s="66" t="n">
        <f aca="false">U104+U111</f>
        <v>4534.12906666667</v>
      </c>
      <c r="V112" s="66" t="n">
        <f aca="false">V104+V111</f>
        <v>4534.12906666667</v>
      </c>
      <c r="W112" s="66" t="n">
        <f aca="false">W104+W111</f>
        <v>4534.12906666667</v>
      </c>
      <c r="X112" s="66" t="n">
        <f aca="false">X104+X111</f>
        <v>4534.12906666667</v>
      </c>
      <c r="Y112" s="66" t="n">
        <f aca="false">Y104+Y111</f>
        <v>4534.12906666667</v>
      </c>
      <c r="Z112" s="66" t="n">
        <f aca="false">Z104+Z111</f>
        <v>4534.12906666667</v>
      </c>
      <c r="AA112" s="66" t="n">
        <f aca="false">AA104+AA111</f>
        <v>6212.45859498667</v>
      </c>
      <c r="AB112" s="66" t="n">
        <f aca="false">AB104+AB111</f>
        <v>6212.45859498667</v>
      </c>
      <c r="AC112" s="66" t="n">
        <f aca="false">AC104+AC111</f>
        <v>6212.45859498667</v>
      </c>
      <c r="AD112" s="66" t="n">
        <f aca="false">AD104+AD111</f>
        <v>6212.45859498667</v>
      </c>
      <c r="AE112" s="66" t="n">
        <f aca="false">AE104+AE111</f>
        <v>6212.45859498667</v>
      </c>
      <c r="AF112" s="66" t="n">
        <f aca="false">AF104+AF111</f>
        <v>6212.45859498667</v>
      </c>
      <c r="AG112" s="66" t="n">
        <f aca="false">AG104+AG111</f>
        <v>6212.45859498667</v>
      </c>
      <c r="AH112" s="66" t="n">
        <f aca="false">AH104+AH111</f>
        <v>6212.45859498667</v>
      </c>
      <c r="AI112" s="66" t="n">
        <f aca="false">AI104+AI111</f>
        <v>6212.45859498667</v>
      </c>
      <c r="AJ112" s="66" t="n">
        <f aca="false">AJ104+AJ111</f>
        <v>6212.45859498667</v>
      </c>
      <c r="AK112" s="66" t="n">
        <f aca="false">AK104+AK111</f>
        <v>6212.45859498667</v>
      </c>
      <c r="AL112" s="66" t="n">
        <f aca="false">AL104+AL111</f>
        <v>6212.45859498667</v>
      </c>
      <c r="AM112" s="66" t="n">
        <f aca="false">AM104+AM111</f>
        <v>8064.82066840645</v>
      </c>
      <c r="AN112" s="66" t="n">
        <f aca="false">AN104+AN111</f>
        <v>8064.82066840645</v>
      </c>
      <c r="AO112" s="66" t="n">
        <f aca="false">AO104+AO111</f>
        <v>8064.82066840645</v>
      </c>
      <c r="AP112" s="66" t="n">
        <f aca="false">AP104+AP111</f>
        <v>8064.82066840645</v>
      </c>
      <c r="AQ112" s="66" t="n">
        <f aca="false">AQ104+AQ111</f>
        <v>8064.82066840645</v>
      </c>
      <c r="AR112" s="66" t="n">
        <f aca="false">AR104+AR111</f>
        <v>8064.82066840645</v>
      </c>
      <c r="AS112" s="66" t="n">
        <f aca="false">AS104+AS111</f>
        <v>8064.82066840645</v>
      </c>
      <c r="AT112" s="66" t="n">
        <f aca="false">AT104+AT111</f>
        <v>8064.82066840645</v>
      </c>
      <c r="AU112" s="66" t="n">
        <f aca="false">AU104+AU111</f>
        <v>8064.82066840645</v>
      </c>
      <c r="AV112" s="66" t="n">
        <f aca="false">AV104+AV111</f>
        <v>8064.82066840645</v>
      </c>
      <c r="AW112" s="66" t="n">
        <f aca="false">AW104+AW111</f>
        <v>8064.82066840645</v>
      </c>
      <c r="AX112" s="66" t="n">
        <f aca="false">AX104+AX111</f>
        <v>8064.82066840645</v>
      </c>
      <c r="AY112" s="66" t="n">
        <f aca="false">AY104+AY111</f>
        <v>10107.7903313982</v>
      </c>
      <c r="AZ112" s="66" t="n">
        <f aca="false">AZ104+AZ111</f>
        <v>10107.7903313982</v>
      </c>
      <c r="BA112" s="66" t="n">
        <f aca="false">BA104+BA111</f>
        <v>10107.7903313982</v>
      </c>
      <c r="BB112" s="66" t="n">
        <f aca="false">BB104+BB111</f>
        <v>10107.7903313982</v>
      </c>
      <c r="BC112" s="66" t="n">
        <f aca="false">BC104+BC111</f>
        <v>10107.7903313982</v>
      </c>
      <c r="BD112" s="66" t="n">
        <f aca="false">BD104+BD111</f>
        <v>10107.7903313982</v>
      </c>
      <c r="BE112" s="66" t="n">
        <f aca="false">BE104+BE111</f>
        <v>10107.7903313982</v>
      </c>
      <c r="BF112" s="66" t="n">
        <f aca="false">BF104+BF111</f>
        <v>10107.7903313982</v>
      </c>
      <c r="BG112" s="66" t="n">
        <f aca="false">BG104+BG111</f>
        <v>10107.7903313982</v>
      </c>
      <c r="BH112" s="66" t="n">
        <f aca="false">BH104+BH111</f>
        <v>10107.7903313982</v>
      </c>
      <c r="BI112" s="66" t="n">
        <f aca="false">BI104+BI111</f>
        <v>10107.7903313982</v>
      </c>
      <c r="BJ112" s="66" t="n">
        <f aca="false">BJ104+BJ111</f>
        <v>10107.7903313982</v>
      </c>
    </row>
    <row r="114" customFormat="false" ht="15.75" hidden="false" customHeight="true" outlineLevel="0" collapsed="false">
      <c r="A114" s="7" t="s">
        <v>364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4" t="s">
        <v>77</v>
      </c>
      <c r="C115" s="71" t="n">
        <f aca="false">C112+C126</f>
        <v>-8874.09523809524</v>
      </c>
      <c r="D115" s="71" t="n">
        <f aca="false">D112+D126</f>
        <v>-7210.09523809524</v>
      </c>
      <c r="E115" s="71" t="n">
        <f aca="false">E112+E126</f>
        <v>-5546.09523809524</v>
      </c>
      <c r="F115" s="71" t="n">
        <f aca="false">F112+F126</f>
        <v>-3882.09523809524</v>
      </c>
      <c r="G115" s="71" t="n">
        <f aca="false">G112+G126</f>
        <v>-2218.09523809524</v>
      </c>
      <c r="H115" s="71" t="n">
        <f aca="false">H112+H126</f>
        <v>-554.095238095241</v>
      </c>
      <c r="I115" s="71" t="n">
        <f aca="false">I112+I126</f>
        <v>1109.90476190476</v>
      </c>
      <c r="J115" s="71" t="n">
        <f aca="false">J112+J126</f>
        <v>1109.90476190476</v>
      </c>
      <c r="K115" s="71" t="n">
        <f aca="false">K112+K126</f>
        <v>1109.90476190476</v>
      </c>
      <c r="L115" s="71" t="n">
        <f aca="false">L112+L126</f>
        <v>1109.90476190476</v>
      </c>
      <c r="M115" s="71" t="n">
        <f aca="false">M112+M126</f>
        <v>1109.90476190476</v>
      </c>
      <c r="N115" s="71" t="n">
        <f aca="false">N112+N126</f>
        <v>1109.90476190476</v>
      </c>
      <c r="O115" s="71" t="n">
        <f aca="false">O112+O126</f>
        <v>2629.36716190476</v>
      </c>
      <c r="P115" s="71" t="n">
        <f aca="false">P112+P126</f>
        <v>2629.36716190476</v>
      </c>
      <c r="Q115" s="71" t="n">
        <f aca="false">Q112+Q126</f>
        <v>2629.36716190476</v>
      </c>
      <c r="R115" s="71" t="n">
        <f aca="false">R112+R126</f>
        <v>2629.36716190476</v>
      </c>
      <c r="S115" s="71" t="n">
        <f aca="false">S112+S126</f>
        <v>2629.36716190476</v>
      </c>
      <c r="T115" s="71" t="n">
        <f aca="false">T112+T126</f>
        <v>2629.36716190476</v>
      </c>
      <c r="U115" s="71" t="n">
        <f aca="false">U112+U126</f>
        <v>2629.36716190476</v>
      </c>
      <c r="V115" s="71" t="n">
        <f aca="false">V112+V126</f>
        <v>2629.36716190476</v>
      </c>
      <c r="W115" s="71" t="n">
        <f aca="false">W112+W126</f>
        <v>2629.36716190476</v>
      </c>
      <c r="X115" s="71" t="n">
        <f aca="false">X112+X126</f>
        <v>2629.36716190476</v>
      </c>
      <c r="Y115" s="71" t="n">
        <f aca="false">Y112+Y126</f>
        <v>2629.36716190476</v>
      </c>
      <c r="Z115" s="71" t="n">
        <f aca="false">Z112+Z126</f>
        <v>2629.36716190476</v>
      </c>
      <c r="AA115" s="71" t="n">
        <f aca="false">AA112+AA126</f>
        <v>4307.69669022477</v>
      </c>
      <c r="AB115" s="71" t="n">
        <f aca="false">AB112+AB126</f>
        <v>4307.69669022477</v>
      </c>
      <c r="AC115" s="71" t="n">
        <f aca="false">AC112+AC126</f>
        <v>4307.69669022477</v>
      </c>
      <c r="AD115" s="71" t="n">
        <f aca="false">AD112+AD126</f>
        <v>4307.69669022477</v>
      </c>
      <c r="AE115" s="71" t="n">
        <f aca="false">AE112+AE126</f>
        <v>4307.69669022477</v>
      </c>
      <c r="AF115" s="71" t="n">
        <f aca="false">AF112+AF126</f>
        <v>4307.69669022477</v>
      </c>
      <c r="AG115" s="71" t="n">
        <f aca="false">AG112+AG126</f>
        <v>4307.69669022477</v>
      </c>
      <c r="AH115" s="71" t="n">
        <f aca="false">AH112+AH126</f>
        <v>4307.69669022477</v>
      </c>
      <c r="AI115" s="71" t="n">
        <f aca="false">AI112+AI126</f>
        <v>4307.69669022477</v>
      </c>
      <c r="AJ115" s="71" t="n">
        <f aca="false">AJ112+AJ126</f>
        <v>4307.69669022477</v>
      </c>
      <c r="AK115" s="71" t="n">
        <f aca="false">AK112+AK126</f>
        <v>4307.69669022477</v>
      </c>
      <c r="AL115" s="71" t="n">
        <f aca="false">AL112+AL126</f>
        <v>4307.69669022477</v>
      </c>
      <c r="AM115" s="71" t="n">
        <f aca="false">AM112+AM126</f>
        <v>6160.05876364455</v>
      </c>
      <c r="AN115" s="71" t="n">
        <f aca="false">AN112+AN126</f>
        <v>6160.05876364455</v>
      </c>
      <c r="AO115" s="71" t="n">
        <f aca="false">AO112+AO126</f>
        <v>6160.05876364455</v>
      </c>
      <c r="AP115" s="71" t="n">
        <f aca="false">AP112+AP126</f>
        <v>6160.05876364455</v>
      </c>
      <c r="AQ115" s="71" t="n">
        <f aca="false">AQ112+AQ126</f>
        <v>6160.05876364455</v>
      </c>
      <c r="AR115" s="71" t="n">
        <f aca="false">AR112+AR126</f>
        <v>6160.05876364455</v>
      </c>
      <c r="AS115" s="71" t="n">
        <f aca="false">AS112+AS126</f>
        <v>6160.05876364455</v>
      </c>
      <c r="AT115" s="71" t="n">
        <f aca="false">AT112+AT126</f>
        <v>6160.05876364455</v>
      </c>
      <c r="AU115" s="71" t="n">
        <f aca="false">AU112+AU126</f>
        <v>6160.05876364455</v>
      </c>
      <c r="AV115" s="71" t="n">
        <f aca="false">AV112+AV126</f>
        <v>6160.05876364455</v>
      </c>
      <c r="AW115" s="71" t="n">
        <f aca="false">AW112+AW126</f>
        <v>6160.05876364455</v>
      </c>
      <c r="AX115" s="71" t="n">
        <f aca="false">AX112+AX126</f>
        <v>6160.05876364455</v>
      </c>
      <c r="AY115" s="71" t="n">
        <f aca="false">AY112+AY126</f>
        <v>8203.02842663625</v>
      </c>
      <c r="AZ115" s="71" t="n">
        <f aca="false">AZ112+AZ126</f>
        <v>8203.02842663625</v>
      </c>
      <c r="BA115" s="71" t="n">
        <f aca="false">BA112+BA126</f>
        <v>8203.02842663625</v>
      </c>
      <c r="BB115" s="71" t="n">
        <f aca="false">BB112+BB126</f>
        <v>8203.02842663625</v>
      </c>
      <c r="BC115" s="71" t="n">
        <f aca="false">BC112+BC126</f>
        <v>8203.02842663625</v>
      </c>
      <c r="BD115" s="71" t="n">
        <f aca="false">BD112+BD126</f>
        <v>8203.02842663625</v>
      </c>
      <c r="BE115" s="71" t="n">
        <f aca="false">BE112+BE126</f>
        <v>8203.02842663625</v>
      </c>
      <c r="BF115" s="71" t="n">
        <f aca="false">BF112+BF126</f>
        <v>8203.02842663625</v>
      </c>
      <c r="BG115" s="71" t="n">
        <f aca="false">BG112+BG126</f>
        <v>8203.02842663625</v>
      </c>
      <c r="BH115" s="71" t="n">
        <f aca="false">BH112+BH126</f>
        <v>8203.02842663625</v>
      </c>
      <c r="BI115" s="71" t="n">
        <f aca="false">BI112+BI126</f>
        <v>8203.02842663625</v>
      </c>
      <c r="BJ115" s="71" t="n">
        <f aca="false">BJ112+BJ126</f>
        <v>8203.02842663625</v>
      </c>
    </row>
    <row r="116" customFormat="false" ht="15" hidden="false" customHeight="false" outlineLevel="0" collapsed="false">
      <c r="A116" s="6" t="s">
        <v>365</v>
      </c>
      <c r="C116" s="65" t="n">
        <f aca="false">-(C131+C132+C134)/2*Inputs!$C$31/12</f>
        <v>-533.333333333333</v>
      </c>
      <c r="D116" s="65" t="n">
        <f aca="false">-(D131+D132+D134)/2*Inputs!$C$31/12</f>
        <v>-528.888888888889</v>
      </c>
      <c r="E116" s="65" t="n">
        <f aca="false">-(E131+E132+E134)/2*Inputs!$C$31/12</f>
        <v>-520</v>
      </c>
      <c r="F116" s="65" t="n">
        <f aca="false">-(F131+F132+F134)/2*Inputs!$C$31/12</f>
        <v>-511.111111111111</v>
      </c>
      <c r="G116" s="65" t="n">
        <f aca="false">-(G131+G132+G134)/2*Inputs!$C$31/12</f>
        <v>-502.222222222222</v>
      </c>
      <c r="H116" s="65" t="n">
        <f aca="false">-(H131+H132+H134)/2*Inputs!$C$31/12</f>
        <v>-493.333333333334</v>
      </c>
      <c r="I116" s="65" t="n">
        <f aca="false">-(I131+I132+I134)/2*Inputs!$C$31/12</f>
        <v>-484.444444444445</v>
      </c>
      <c r="J116" s="65" t="n">
        <f aca="false">-(J131+J132+J134)/2*Inputs!$C$31/12</f>
        <v>-475.555555555556</v>
      </c>
      <c r="K116" s="65" t="n">
        <f aca="false">-(K131+K132+K134)/2*Inputs!$C$31/12</f>
        <v>-466.666666666667</v>
      </c>
      <c r="L116" s="65" t="n">
        <f aca="false">-(L131+L132+L134)/2*Inputs!$C$31/12</f>
        <v>-457.777777777778</v>
      </c>
      <c r="M116" s="65" t="n">
        <f aca="false">-(M131+M132+M134)/2*Inputs!$C$31/12</f>
        <v>-448.888888888889</v>
      </c>
      <c r="N116" s="65" t="n">
        <f aca="false">-(N131+N132+N134)/2*Inputs!$C$31/12</f>
        <v>-440</v>
      </c>
      <c r="O116" s="65" t="n">
        <f aca="false">-(O131+O132+O134)/2*Inputs!$C$31/12</f>
        <v>-431.111111111112</v>
      </c>
      <c r="P116" s="65" t="n">
        <f aca="false">-(P131+P132+P134)/2*Inputs!$C$31/12</f>
        <v>-422.222222222222</v>
      </c>
      <c r="Q116" s="65" t="n">
        <f aca="false">-(Q131+Q132+Q134)/2*Inputs!$C$31/12</f>
        <v>-413.333333333334</v>
      </c>
      <c r="R116" s="65" t="n">
        <f aca="false">-(R131+R132+R134)/2*Inputs!$C$31/12</f>
        <v>-404.444444444445</v>
      </c>
      <c r="S116" s="65" t="n">
        <f aca="false">-(S131+S132+S134)/2*Inputs!$C$31/12</f>
        <v>-395.555555555556</v>
      </c>
      <c r="T116" s="65" t="n">
        <f aca="false">-(T131+T132+T134)/2*Inputs!$C$31/12</f>
        <v>-386.666666666667</v>
      </c>
      <c r="U116" s="65" t="n">
        <f aca="false">-(U131+U132+U134)/2*Inputs!$C$31/12</f>
        <v>-377.777777777778</v>
      </c>
      <c r="V116" s="65" t="n">
        <f aca="false">-(V131+V132+V134)/2*Inputs!$C$31/12</f>
        <v>-368.888888888889</v>
      </c>
      <c r="W116" s="65" t="n">
        <f aca="false">-(W131+W132+W134)/2*Inputs!$C$31/12</f>
        <v>-360</v>
      </c>
      <c r="X116" s="65" t="n">
        <f aca="false">-(X131+X132+X134)/2*Inputs!$C$31/12</f>
        <v>-351.111111111111</v>
      </c>
      <c r="Y116" s="65" t="n">
        <f aca="false">-(Y131+Y132+Y134)/2*Inputs!$C$31/12</f>
        <v>-342.222222222222</v>
      </c>
      <c r="Z116" s="65" t="n">
        <f aca="false">-(Z131+Z132+Z134)/2*Inputs!$C$31/12</f>
        <v>-333.333333333333</v>
      </c>
      <c r="AA116" s="65" t="n">
        <f aca="false">-(AA131+AA132+AA134)/2*Inputs!$C$31/12</f>
        <v>-324.444444444445</v>
      </c>
      <c r="AB116" s="65" t="n">
        <f aca="false">-(AB131+AB132+AB134)/2*Inputs!$C$31/12</f>
        <v>-315.555555555556</v>
      </c>
      <c r="AC116" s="65" t="n">
        <f aca="false">-(AC131+AC132+AC134)/2*Inputs!$C$31/12</f>
        <v>-306.666666666667</v>
      </c>
      <c r="AD116" s="65" t="n">
        <f aca="false">-(AD131+AD132+AD134)/2*Inputs!$C$31/12</f>
        <v>-297.777777777778</v>
      </c>
      <c r="AE116" s="65" t="n">
        <f aca="false">-(AE131+AE132+AE134)/2*Inputs!$C$31/12</f>
        <v>-288.888888888889</v>
      </c>
      <c r="AF116" s="65" t="n">
        <f aca="false">-(AF131+AF132+AF134)/2*Inputs!$C$31/12</f>
        <v>-280</v>
      </c>
      <c r="AG116" s="65" t="n">
        <f aca="false">-(AG131+AG132+AG134)/2*Inputs!$C$31/12</f>
        <v>-271.111111111111</v>
      </c>
      <c r="AH116" s="65" t="n">
        <f aca="false">-(AH131+AH132+AH134)/2*Inputs!$C$31/12</f>
        <v>-262.222222222222</v>
      </c>
      <c r="AI116" s="65" t="n">
        <f aca="false">-(AI131+AI132+AI134)/2*Inputs!$C$31/12</f>
        <v>-253.333333333333</v>
      </c>
      <c r="AJ116" s="65" t="n">
        <f aca="false">-(AJ131+AJ132+AJ134)/2*Inputs!$C$31/12</f>
        <v>-244.444444444444</v>
      </c>
      <c r="AK116" s="65" t="n">
        <f aca="false">-(AK131+AK132+AK134)/2*Inputs!$C$31/12</f>
        <v>-235.555555555556</v>
      </c>
      <c r="AL116" s="65" t="n">
        <f aca="false">-(AL131+AL132+AL134)/2*Inputs!$C$31/12</f>
        <v>-226.666666666667</v>
      </c>
      <c r="AM116" s="65" t="n">
        <f aca="false">-(AM131+AM132+AM134)/2*Inputs!$C$31/12</f>
        <v>-217.777777777778</v>
      </c>
      <c r="AN116" s="65" t="n">
        <f aca="false">-(AN131+AN132+AN134)/2*Inputs!$C$31/12</f>
        <v>-208.888888888889</v>
      </c>
      <c r="AO116" s="65" t="n">
        <f aca="false">-(AO131+AO132+AO134)/2*Inputs!$C$31/12</f>
        <v>-200</v>
      </c>
      <c r="AP116" s="65" t="n">
        <f aca="false">-(AP131+AP132+AP134)/2*Inputs!$C$31/12</f>
        <v>-191.111111111111</v>
      </c>
      <c r="AQ116" s="65" t="n">
        <f aca="false">-(AQ131+AQ132+AQ134)/2*Inputs!$C$31/12</f>
        <v>-182.222222222222</v>
      </c>
      <c r="AR116" s="65" t="n">
        <f aca="false">-(AR131+AR132+AR134)/2*Inputs!$C$31/12</f>
        <v>-173.333333333333</v>
      </c>
      <c r="AS116" s="65" t="n">
        <f aca="false">-(AS131+AS132+AS134)/2*Inputs!$C$31/12</f>
        <v>-164.444444444444</v>
      </c>
      <c r="AT116" s="65" t="n">
        <f aca="false">-(AT131+AT132+AT134)/2*Inputs!$C$31/12</f>
        <v>-155.555555555556</v>
      </c>
      <c r="AU116" s="65" t="n">
        <f aca="false">-(AU131+AU132+AU134)/2*Inputs!$C$31/12</f>
        <v>-146.666666666667</v>
      </c>
      <c r="AV116" s="65" t="n">
        <f aca="false">-(AV131+AV132+AV134)/2*Inputs!$C$31/12</f>
        <v>-137.777777777778</v>
      </c>
      <c r="AW116" s="65" t="n">
        <f aca="false">-(AW131+AW132+AW134)/2*Inputs!$C$31/12</f>
        <v>-128.888888888889</v>
      </c>
      <c r="AX116" s="65" t="n">
        <f aca="false">-(AX131+AX132+AX134)/2*Inputs!$C$31/12</f>
        <v>-120</v>
      </c>
      <c r="AY116" s="65" t="n">
        <f aca="false">-(AY131+AY132+AY134)/2*Inputs!$C$31/12</f>
        <v>-111.111111111111</v>
      </c>
      <c r="AZ116" s="65" t="n">
        <f aca="false">-(AZ131+AZ132+AZ134)/2*Inputs!$C$31/12</f>
        <v>-102.222222222222</v>
      </c>
      <c r="BA116" s="65" t="n">
        <f aca="false">-(BA131+BA132+BA134)/2*Inputs!$C$31/12</f>
        <v>-93.3333333333333</v>
      </c>
      <c r="BB116" s="65" t="n">
        <f aca="false">-(BB131+BB132+BB134)/2*Inputs!$C$31/12</f>
        <v>-84.4444444444445</v>
      </c>
      <c r="BC116" s="65" t="n">
        <f aca="false">-(BC131+BC132+BC134)/2*Inputs!$C$31/12</f>
        <v>-75.5555555555556</v>
      </c>
      <c r="BD116" s="65" t="n">
        <f aca="false">-(BD131+BD132+BD134)/2*Inputs!$C$31/12</f>
        <v>-66.6666666666667</v>
      </c>
      <c r="BE116" s="65" t="n">
        <f aca="false">-(BE131+BE132+BE134)/2*Inputs!$C$31/12</f>
        <v>-57.7777777777778</v>
      </c>
      <c r="BF116" s="65" t="n">
        <f aca="false">-(BF131+BF132+BF134)/2*Inputs!$C$31/12</f>
        <v>-48.8888888888889</v>
      </c>
      <c r="BG116" s="65" t="n">
        <f aca="false">-(BG131+BG132+BG134)/2*Inputs!$C$31/12</f>
        <v>-40</v>
      </c>
      <c r="BH116" s="65" t="n">
        <f aca="false">-(BH131+BH132+BH134)/2*Inputs!$C$31/12</f>
        <v>-31.1111111111111</v>
      </c>
      <c r="BI116" s="65" t="n">
        <f aca="false">-(BI131+BI132+BI134)/2*Inputs!$C$31/12</f>
        <v>-22.2222222222222</v>
      </c>
      <c r="BJ116" s="65" t="n">
        <f aca="false">-(BJ131+BJ132+BJ134)/2*Inputs!$C$31/12</f>
        <v>-13.3333333333333</v>
      </c>
    </row>
    <row r="117" customFormat="false" ht="15" hidden="false" customHeight="false" outlineLevel="0" collapsed="false">
      <c r="A117" s="108" t="s">
        <v>79</v>
      </c>
      <c r="C117" s="66" t="n">
        <f aca="false">C115+C116</f>
        <v>-9407.42857142857</v>
      </c>
      <c r="D117" s="66" t="n">
        <f aca="false">D115+D116</f>
        <v>-7738.98412698413</v>
      </c>
      <c r="E117" s="66" t="n">
        <f aca="false">E115+E116</f>
        <v>-6066.09523809524</v>
      </c>
      <c r="F117" s="66" t="n">
        <f aca="false">F115+F116</f>
        <v>-4393.20634920635</v>
      </c>
      <c r="G117" s="66" t="n">
        <f aca="false">G115+G116</f>
        <v>-2720.31746031747</v>
      </c>
      <c r="H117" s="66" t="n">
        <f aca="false">H115+H116</f>
        <v>-1047.42857142857</v>
      </c>
      <c r="I117" s="66" t="n">
        <f aca="false">I115+I116</f>
        <v>625.460317460315</v>
      </c>
      <c r="J117" s="66" t="n">
        <f aca="false">J115+J116</f>
        <v>634.349206349204</v>
      </c>
      <c r="K117" s="66" t="n">
        <f aca="false">K115+K116</f>
        <v>643.238095238093</v>
      </c>
      <c r="L117" s="66" t="n">
        <f aca="false">L115+L116</f>
        <v>652.126984126981</v>
      </c>
      <c r="M117" s="66" t="n">
        <f aca="false">M115+M116</f>
        <v>661.01587301587</v>
      </c>
      <c r="N117" s="66" t="n">
        <f aca="false">N115+N116</f>
        <v>669.904761904759</v>
      </c>
      <c r="O117" s="66" t="n">
        <f aca="false">O115+O116</f>
        <v>2198.25605079365</v>
      </c>
      <c r="P117" s="66" t="n">
        <f aca="false">P115+P116</f>
        <v>2207.14493968254</v>
      </c>
      <c r="Q117" s="66" t="n">
        <f aca="false">Q115+Q116</f>
        <v>2216.03382857143</v>
      </c>
      <c r="R117" s="66" t="n">
        <f aca="false">R115+R116</f>
        <v>2224.92271746032</v>
      </c>
      <c r="S117" s="66" t="n">
        <f aca="false">S115+S116</f>
        <v>2233.81160634921</v>
      </c>
      <c r="T117" s="66" t="n">
        <f aca="false">T115+T116</f>
        <v>2242.7004952381</v>
      </c>
      <c r="U117" s="66" t="n">
        <f aca="false">U115+U116</f>
        <v>2251.58938412699</v>
      </c>
      <c r="V117" s="66" t="n">
        <f aca="false">V115+V116</f>
        <v>2260.47827301587</v>
      </c>
      <c r="W117" s="66" t="n">
        <f aca="false">W115+W116</f>
        <v>2269.36716190476</v>
      </c>
      <c r="X117" s="66" t="n">
        <f aca="false">X115+X116</f>
        <v>2278.25605079365</v>
      </c>
      <c r="Y117" s="66" t="n">
        <f aca="false">Y115+Y116</f>
        <v>2287.14493968254</v>
      </c>
      <c r="Z117" s="66" t="n">
        <f aca="false">Z115+Z116</f>
        <v>2296.03382857143</v>
      </c>
      <c r="AA117" s="66" t="n">
        <f aca="false">AA115+AA116</f>
        <v>3983.25224578032</v>
      </c>
      <c r="AB117" s="66" t="n">
        <f aca="false">AB115+AB116</f>
        <v>3992.14113466921</v>
      </c>
      <c r="AC117" s="66" t="n">
        <f aca="false">AC115+AC116</f>
        <v>4001.0300235581</v>
      </c>
      <c r="AD117" s="66" t="n">
        <f aca="false">AD115+AD116</f>
        <v>4009.91891244699</v>
      </c>
      <c r="AE117" s="66" t="n">
        <f aca="false">AE115+AE116</f>
        <v>4018.80780133588</v>
      </c>
      <c r="AF117" s="66" t="n">
        <f aca="false">AF115+AF116</f>
        <v>4027.69669022477</v>
      </c>
      <c r="AG117" s="66" t="n">
        <f aca="false">AG115+AG116</f>
        <v>4036.58557911365</v>
      </c>
      <c r="AH117" s="66" t="n">
        <f aca="false">AH115+AH116</f>
        <v>4045.47446800254</v>
      </c>
      <c r="AI117" s="66" t="n">
        <f aca="false">AI115+AI116</f>
        <v>4054.36335689143</v>
      </c>
      <c r="AJ117" s="66" t="n">
        <f aca="false">AJ115+AJ116</f>
        <v>4063.25224578032</v>
      </c>
      <c r="AK117" s="66" t="n">
        <f aca="false">AK115+AK116</f>
        <v>4072.14113466921</v>
      </c>
      <c r="AL117" s="66" t="n">
        <f aca="false">AL115+AL116</f>
        <v>4081.0300235581</v>
      </c>
      <c r="AM117" s="66" t="n">
        <f aca="false">AM115+AM116</f>
        <v>5942.28098586677</v>
      </c>
      <c r="AN117" s="66" t="n">
        <f aca="false">AN115+AN116</f>
        <v>5951.16987475566</v>
      </c>
      <c r="AO117" s="66" t="n">
        <f aca="false">AO115+AO116</f>
        <v>5960.05876364455</v>
      </c>
      <c r="AP117" s="66" t="n">
        <f aca="false">AP115+AP116</f>
        <v>5968.94765253343</v>
      </c>
      <c r="AQ117" s="66" t="n">
        <f aca="false">AQ115+AQ116</f>
        <v>5977.83654142232</v>
      </c>
      <c r="AR117" s="66" t="n">
        <f aca="false">AR115+AR116</f>
        <v>5986.72543031121</v>
      </c>
      <c r="AS117" s="66" t="n">
        <f aca="false">AS115+AS116</f>
        <v>5995.6143192001</v>
      </c>
      <c r="AT117" s="66" t="n">
        <f aca="false">AT115+AT116</f>
        <v>6004.50320808899</v>
      </c>
      <c r="AU117" s="66" t="n">
        <f aca="false">AU115+AU116</f>
        <v>6013.39209697788</v>
      </c>
      <c r="AV117" s="66" t="n">
        <f aca="false">AV115+AV116</f>
        <v>6022.28098586677</v>
      </c>
      <c r="AW117" s="66" t="n">
        <f aca="false">AW115+AW116</f>
        <v>6031.16987475566</v>
      </c>
      <c r="AX117" s="66" t="n">
        <f aca="false">AX115+AX116</f>
        <v>6040.05876364455</v>
      </c>
      <c r="AY117" s="66" t="n">
        <f aca="false">AY115+AY116</f>
        <v>8091.91731552514</v>
      </c>
      <c r="AZ117" s="66" t="n">
        <f aca="false">AZ115+AZ116</f>
        <v>8100.80620441403</v>
      </c>
      <c r="BA117" s="66" t="n">
        <f aca="false">BA115+BA116</f>
        <v>8109.69509330292</v>
      </c>
      <c r="BB117" s="66" t="n">
        <f aca="false">BB115+BB116</f>
        <v>8118.58398219181</v>
      </c>
      <c r="BC117" s="66" t="n">
        <f aca="false">BC115+BC116</f>
        <v>8127.4728710807</v>
      </c>
      <c r="BD117" s="66" t="n">
        <f aca="false">BD115+BD116</f>
        <v>8136.36175996959</v>
      </c>
      <c r="BE117" s="66" t="n">
        <f aca="false">BE115+BE116</f>
        <v>8145.25064885848</v>
      </c>
      <c r="BF117" s="66" t="n">
        <f aca="false">BF115+BF116</f>
        <v>8154.13953774737</v>
      </c>
      <c r="BG117" s="66" t="n">
        <f aca="false">BG115+BG116</f>
        <v>8163.02842663625</v>
      </c>
      <c r="BH117" s="66" t="n">
        <f aca="false">BH115+BH116</f>
        <v>8171.91731552514</v>
      </c>
      <c r="BI117" s="66" t="n">
        <f aca="false">BI115+BI116</f>
        <v>8180.80620441403</v>
      </c>
      <c r="BJ117" s="66" t="n">
        <f aca="false">BJ115+BJ116</f>
        <v>8189.69509330292</v>
      </c>
    </row>
    <row r="118" customFormat="false" ht="15" hidden="false" customHeight="false" outlineLevel="0" collapsed="false">
      <c r="A118" s="114" t="s">
        <v>366</v>
      </c>
      <c r="C118" s="65" t="n">
        <f aca="false">C117</f>
        <v>-9407.42857142857</v>
      </c>
      <c r="D118" s="65" t="n">
        <f aca="false">C118+D117</f>
        <v>-17146.4126984127</v>
      </c>
      <c r="E118" s="65" t="n">
        <f aca="false">D118+E117</f>
        <v>-23212.5079365079</v>
      </c>
      <c r="F118" s="65" t="n">
        <f aca="false">E118+F117</f>
        <v>-27605.7142857143</v>
      </c>
      <c r="G118" s="65" t="n">
        <f aca="false">F118+G117</f>
        <v>-30326.0317460318</v>
      </c>
      <c r="H118" s="65" t="n">
        <f aca="false">G118+H117</f>
        <v>-31373.4603174603</v>
      </c>
      <c r="I118" s="65" t="n">
        <f aca="false">H118+I117</f>
        <v>-30748</v>
      </c>
      <c r="J118" s="65" t="n">
        <f aca="false">I118+J117</f>
        <v>-30113.6507936508</v>
      </c>
      <c r="K118" s="65" t="n">
        <f aca="false">J118+K117</f>
        <v>-29470.4126984127</v>
      </c>
      <c r="L118" s="65" t="n">
        <f aca="false">K118+L117</f>
        <v>-28818.2857142857</v>
      </c>
      <c r="M118" s="65" t="n">
        <f aca="false">L118+M117</f>
        <v>-28157.2698412699</v>
      </c>
      <c r="N118" s="65" t="n">
        <f aca="false">M118+N117</f>
        <v>-27487.3650793651</v>
      </c>
      <c r="O118" s="65" t="n">
        <f aca="false">N118+O117</f>
        <v>-25289.1090285715</v>
      </c>
      <c r="P118" s="65" t="n">
        <f aca="false">O118+P117</f>
        <v>-23081.9640888889</v>
      </c>
      <c r="Q118" s="65" t="n">
        <f aca="false">P118+Q117</f>
        <v>-20865.9302603175</v>
      </c>
      <c r="R118" s="65" t="n">
        <f aca="false">Q118+R117</f>
        <v>-18641.0075428572</v>
      </c>
      <c r="S118" s="65" t="n">
        <f aca="false">R118+S117</f>
        <v>-16407.195936508</v>
      </c>
      <c r="T118" s="65" t="n">
        <f aca="false">S118+T117</f>
        <v>-14164.4954412699</v>
      </c>
      <c r="U118" s="65" t="n">
        <f aca="false">T118+U117</f>
        <v>-11912.9060571429</v>
      </c>
      <c r="V118" s="65" t="n">
        <f aca="false">U118+V117</f>
        <v>-9652.427784127</v>
      </c>
      <c r="W118" s="65" t="n">
        <f aca="false">V118+W117</f>
        <v>-7383.06062222224</v>
      </c>
      <c r="X118" s="65" t="n">
        <f aca="false">W118+X117</f>
        <v>-5104.80457142859</v>
      </c>
      <c r="Y118" s="65" t="n">
        <f aca="false">X118+Y117</f>
        <v>-2817.65963174605</v>
      </c>
      <c r="Z118" s="65" t="n">
        <f aca="false">Y118+Z117</f>
        <v>-521.625803174616</v>
      </c>
      <c r="AA118" s="65" t="n">
        <f aca="false">Z118+AA117</f>
        <v>3461.62644260571</v>
      </c>
      <c r="AB118" s="65" t="n">
        <f aca="false">AA118+AB117</f>
        <v>7453.76757727492</v>
      </c>
      <c r="AC118" s="65" t="n">
        <f aca="false">AB118+AC117</f>
        <v>11454.797600833</v>
      </c>
      <c r="AD118" s="65" t="n">
        <f aca="false">AC118+AD117</f>
        <v>15464.71651328</v>
      </c>
      <c r="AE118" s="65" t="n">
        <f aca="false">AD118+AE117</f>
        <v>19483.5243146159</v>
      </c>
      <c r="AF118" s="65" t="n">
        <f aca="false">AE118+AF117</f>
        <v>23511.2210048406</v>
      </c>
      <c r="AG118" s="65" t="n">
        <f aca="false">AF118+AG117</f>
        <v>27547.8065839543</v>
      </c>
      <c r="AH118" s="65" t="n">
        <f aca="false">AG118+AH117</f>
        <v>31593.2810519568</v>
      </c>
      <c r="AI118" s="65" t="n">
        <f aca="false">AH118+AI117</f>
        <v>35647.6444088483</v>
      </c>
      <c r="AJ118" s="65" t="n">
        <f aca="false">AI118+AJ117</f>
        <v>39710.8966546286</v>
      </c>
      <c r="AK118" s="65" t="n">
        <f aca="false">AJ118+AK117</f>
        <v>43783.0377892978</v>
      </c>
      <c r="AL118" s="65" t="n">
        <f aca="false">AK118+AL117</f>
        <v>47864.0678128559</v>
      </c>
      <c r="AM118" s="65" t="n">
        <f aca="false">AL118+AM117</f>
        <v>53806.3487987227</v>
      </c>
      <c r="AN118" s="65" t="n">
        <f aca="false">AM118+AN117</f>
        <v>59757.5186734783</v>
      </c>
      <c r="AO118" s="65" t="n">
        <f aca="false">AN118+AO117</f>
        <v>65717.5774371229</v>
      </c>
      <c r="AP118" s="65" t="n">
        <f aca="false">AO118+AP117</f>
        <v>71686.5250896563</v>
      </c>
      <c r="AQ118" s="65" t="n">
        <f aca="false">AP118+AQ117</f>
        <v>77664.3616310786</v>
      </c>
      <c r="AR118" s="65" t="n">
        <f aca="false">AQ118+AR117</f>
        <v>83651.0870613898</v>
      </c>
      <c r="AS118" s="65" t="n">
        <f aca="false">AR118+AS117</f>
        <v>89646.70138059</v>
      </c>
      <c r="AT118" s="65" t="n">
        <f aca="false">AS118+AT117</f>
        <v>95651.2045886789</v>
      </c>
      <c r="AU118" s="65" t="n">
        <f aca="false">AT118+AU117</f>
        <v>101664.596685657</v>
      </c>
      <c r="AV118" s="65" t="n">
        <f aca="false">AU118+AV117</f>
        <v>107686.877671524</v>
      </c>
      <c r="AW118" s="65" t="n">
        <f aca="false">AV118+AW117</f>
        <v>113718.047546279</v>
      </c>
      <c r="AX118" s="65" t="n">
        <f aca="false">AW118+AX117</f>
        <v>119758.106309924</v>
      </c>
      <c r="AY118" s="65" t="n">
        <f aca="false">AX118+AY117</f>
        <v>127850.023625449</v>
      </c>
      <c r="AZ118" s="65" t="n">
        <f aca="false">AY118+AZ117</f>
        <v>135950.829829863</v>
      </c>
      <c r="BA118" s="65" t="n">
        <f aca="false">AZ118+BA117</f>
        <v>144060.524923166</v>
      </c>
      <c r="BB118" s="65" t="n">
        <f aca="false">BA118+BB117</f>
        <v>152179.108905358</v>
      </c>
      <c r="BC118" s="65" t="n">
        <f aca="false">BB118+BC117</f>
        <v>160306.581776438</v>
      </c>
      <c r="BD118" s="65" t="n">
        <f aca="false">BC118+BD117</f>
        <v>168442.943536408</v>
      </c>
      <c r="BE118" s="65" t="n">
        <f aca="false">BD118+BE117</f>
        <v>176588.194185267</v>
      </c>
      <c r="BF118" s="65" t="n">
        <f aca="false">BE118+BF117</f>
        <v>184742.333723014</v>
      </c>
      <c r="BG118" s="65" t="n">
        <f aca="false">BF118+BG117</f>
        <v>192905.36214965</v>
      </c>
      <c r="BH118" s="65" t="n">
        <f aca="false">BG118+BH117</f>
        <v>201077.279465175</v>
      </c>
      <c r="BI118" s="65" t="n">
        <f aca="false">BH118+BI117</f>
        <v>209258.085669589</v>
      </c>
      <c r="BJ118" s="65" t="n">
        <f aca="false">BI118+BJ117</f>
        <v>217447.780762892</v>
      </c>
    </row>
    <row r="119" customFormat="false" ht="15" hidden="false" customHeight="false" outlineLevel="0" collapsed="false">
      <c r="A119" s="114" t="s">
        <v>367</v>
      </c>
      <c r="C119" s="65" t="n">
        <f aca="false">MAX(0,C118)</f>
        <v>0</v>
      </c>
      <c r="D119" s="65" t="n">
        <f aca="false">MAX(C119,D118)</f>
        <v>0</v>
      </c>
      <c r="E119" s="65" t="n">
        <f aca="false">MAX(D119,E118)</f>
        <v>0</v>
      </c>
      <c r="F119" s="65" t="n">
        <f aca="false">MAX(E119,F118)</f>
        <v>0</v>
      </c>
      <c r="G119" s="65" t="n">
        <f aca="false">MAX(F119,G118)</f>
        <v>0</v>
      </c>
      <c r="H119" s="65" t="n">
        <f aca="false">MAX(G119,H118)</f>
        <v>0</v>
      </c>
      <c r="I119" s="65" t="n">
        <f aca="false">MAX(H119,I118)</f>
        <v>0</v>
      </c>
      <c r="J119" s="65" t="n">
        <f aca="false">MAX(I119,J118)</f>
        <v>0</v>
      </c>
      <c r="K119" s="65" t="n">
        <f aca="false">MAX(J119,K118)</f>
        <v>0</v>
      </c>
      <c r="L119" s="65" t="n">
        <f aca="false">MAX(K119,L118)</f>
        <v>0</v>
      </c>
      <c r="M119" s="65" t="n">
        <f aca="false">MAX(L119,M118)</f>
        <v>0</v>
      </c>
      <c r="N119" s="65" t="n">
        <f aca="false">MAX(M119,N118)</f>
        <v>0</v>
      </c>
      <c r="O119" s="65" t="n">
        <f aca="false">MAX(N119,O118)</f>
        <v>0</v>
      </c>
      <c r="P119" s="65" t="n">
        <f aca="false">MAX(O119,P118)</f>
        <v>0</v>
      </c>
      <c r="Q119" s="65" t="n">
        <f aca="false">MAX(P119,Q118)</f>
        <v>0</v>
      </c>
      <c r="R119" s="65" t="n">
        <f aca="false">MAX(Q119,R118)</f>
        <v>0</v>
      </c>
      <c r="S119" s="65" t="n">
        <f aca="false">MAX(R119,S118)</f>
        <v>0</v>
      </c>
      <c r="T119" s="65" t="n">
        <f aca="false">MAX(S119,T118)</f>
        <v>0</v>
      </c>
      <c r="U119" s="65" t="n">
        <f aca="false">MAX(T119,U118)</f>
        <v>0</v>
      </c>
      <c r="V119" s="65" t="n">
        <f aca="false">MAX(U119,V118)</f>
        <v>0</v>
      </c>
      <c r="W119" s="65" t="n">
        <f aca="false">MAX(V119,W118)</f>
        <v>0</v>
      </c>
      <c r="X119" s="65" t="n">
        <f aca="false">MAX(W119,X118)</f>
        <v>0</v>
      </c>
      <c r="Y119" s="65" t="n">
        <f aca="false">MAX(X119,Y118)</f>
        <v>0</v>
      </c>
      <c r="Z119" s="65" t="n">
        <f aca="false">MAX(Y119,Z118)</f>
        <v>0</v>
      </c>
      <c r="AA119" s="65" t="n">
        <f aca="false">MAX(Z119,AA118)</f>
        <v>3461.62644260571</v>
      </c>
      <c r="AB119" s="65" t="n">
        <f aca="false">MAX(AA119,AB118)</f>
        <v>7453.76757727492</v>
      </c>
      <c r="AC119" s="65" t="n">
        <f aca="false">MAX(AB119,AC118)</f>
        <v>11454.797600833</v>
      </c>
      <c r="AD119" s="65" t="n">
        <f aca="false">MAX(AC119,AD118)</f>
        <v>15464.71651328</v>
      </c>
      <c r="AE119" s="65" t="n">
        <f aca="false">MAX(AD119,AE118)</f>
        <v>19483.5243146159</v>
      </c>
      <c r="AF119" s="65" t="n">
        <f aca="false">MAX(AE119,AF118)</f>
        <v>23511.2210048406</v>
      </c>
      <c r="AG119" s="65" t="n">
        <f aca="false">MAX(AF119,AG118)</f>
        <v>27547.8065839543</v>
      </c>
      <c r="AH119" s="65" t="n">
        <f aca="false">MAX(AG119,AH118)</f>
        <v>31593.2810519568</v>
      </c>
      <c r="AI119" s="65" t="n">
        <f aca="false">MAX(AH119,AI118)</f>
        <v>35647.6444088483</v>
      </c>
      <c r="AJ119" s="65" t="n">
        <f aca="false">MAX(AI119,AJ118)</f>
        <v>39710.8966546286</v>
      </c>
      <c r="AK119" s="65" t="n">
        <f aca="false">MAX(AJ119,AK118)</f>
        <v>43783.0377892978</v>
      </c>
      <c r="AL119" s="65" t="n">
        <f aca="false">MAX(AK119,AL118)</f>
        <v>47864.0678128559</v>
      </c>
      <c r="AM119" s="65" t="n">
        <f aca="false">MAX(AL119,AM118)</f>
        <v>53806.3487987227</v>
      </c>
      <c r="AN119" s="65" t="n">
        <f aca="false">MAX(AM119,AN118)</f>
        <v>59757.5186734783</v>
      </c>
      <c r="AO119" s="65" t="n">
        <f aca="false">MAX(AN119,AO118)</f>
        <v>65717.5774371229</v>
      </c>
      <c r="AP119" s="65" t="n">
        <f aca="false">MAX(AO119,AP118)</f>
        <v>71686.5250896563</v>
      </c>
      <c r="AQ119" s="65" t="n">
        <f aca="false">MAX(AP119,AQ118)</f>
        <v>77664.3616310786</v>
      </c>
      <c r="AR119" s="65" t="n">
        <f aca="false">MAX(AQ119,AR118)</f>
        <v>83651.0870613898</v>
      </c>
      <c r="AS119" s="65" t="n">
        <f aca="false">MAX(AR119,AS118)</f>
        <v>89646.70138059</v>
      </c>
      <c r="AT119" s="65" t="n">
        <f aca="false">MAX(AS119,AT118)</f>
        <v>95651.2045886789</v>
      </c>
      <c r="AU119" s="65" t="n">
        <f aca="false">MAX(AT119,AU118)</f>
        <v>101664.596685657</v>
      </c>
      <c r="AV119" s="65" t="n">
        <f aca="false">MAX(AU119,AV118)</f>
        <v>107686.877671524</v>
      </c>
      <c r="AW119" s="65" t="n">
        <f aca="false">MAX(AV119,AW118)</f>
        <v>113718.047546279</v>
      </c>
      <c r="AX119" s="65" t="n">
        <f aca="false">MAX(AW119,AX118)</f>
        <v>119758.106309924</v>
      </c>
      <c r="AY119" s="65" t="n">
        <f aca="false">MAX(AX119,AY118)</f>
        <v>127850.023625449</v>
      </c>
      <c r="AZ119" s="65" t="n">
        <f aca="false">MAX(AY119,AZ118)</f>
        <v>135950.829829863</v>
      </c>
      <c r="BA119" s="65" t="n">
        <f aca="false">MAX(AZ119,BA118)</f>
        <v>144060.524923166</v>
      </c>
      <c r="BB119" s="65" t="n">
        <f aca="false">MAX(BA119,BB118)</f>
        <v>152179.108905358</v>
      </c>
      <c r="BC119" s="65" t="n">
        <f aca="false">MAX(BB119,BC118)</f>
        <v>160306.581776438</v>
      </c>
      <c r="BD119" s="65" t="n">
        <f aca="false">MAX(BC119,BD118)</f>
        <v>168442.943536408</v>
      </c>
      <c r="BE119" s="65" t="n">
        <f aca="false">MAX(BD119,BE118)</f>
        <v>176588.194185267</v>
      </c>
      <c r="BF119" s="65" t="n">
        <f aca="false">MAX(BE119,BF118)</f>
        <v>184742.333723014</v>
      </c>
      <c r="BG119" s="65" t="n">
        <f aca="false">MAX(BF119,BG118)</f>
        <v>192905.36214965</v>
      </c>
      <c r="BH119" s="65" t="n">
        <f aca="false">MAX(BG119,BH118)</f>
        <v>201077.279465175</v>
      </c>
      <c r="BI119" s="65" t="n">
        <f aca="false">MAX(BH119,BI118)</f>
        <v>209258.085669589</v>
      </c>
      <c r="BJ119" s="65" t="n">
        <f aca="false">MAX(BI119,BJ118)</f>
        <v>217447.780762892</v>
      </c>
    </row>
    <row r="120" customFormat="false" ht="15" hidden="false" customHeight="false" outlineLevel="0" collapsed="false">
      <c r="A120" s="6" t="s">
        <v>80</v>
      </c>
      <c r="C120" s="65" t="n">
        <f aca="false">-C119*Inputs!$C$41</f>
        <v>-0</v>
      </c>
      <c r="D120" s="65" t="n">
        <f aca="false">-(D119-C119)*Inputs!$C$41</f>
        <v>-0</v>
      </c>
      <c r="E120" s="65" t="n">
        <f aca="false">-(E119-D119)*Inputs!$C$41</f>
        <v>-0</v>
      </c>
      <c r="F120" s="65" t="n">
        <f aca="false">-(F119-E119)*Inputs!$C$41</f>
        <v>-0</v>
      </c>
      <c r="G120" s="65" t="n">
        <f aca="false">-(G119-F119)*Inputs!$C$41</f>
        <v>-0</v>
      </c>
      <c r="H120" s="65" t="n">
        <f aca="false">-(H119-G119)*Inputs!$C$41</f>
        <v>-0</v>
      </c>
      <c r="I120" s="65" t="n">
        <f aca="false">-(I119-H119)*Inputs!$C$41</f>
        <v>-0</v>
      </c>
      <c r="J120" s="65" t="n">
        <f aca="false">-(J119-I119)*Inputs!$C$41</f>
        <v>-0</v>
      </c>
      <c r="K120" s="65" t="n">
        <f aca="false">-(K119-J119)*Inputs!$C$41</f>
        <v>-0</v>
      </c>
      <c r="L120" s="65" t="n">
        <f aca="false">-(L119-K119)*Inputs!$C$41</f>
        <v>-0</v>
      </c>
      <c r="M120" s="65" t="n">
        <f aca="false">-(M119-L119)*Inputs!$C$41</f>
        <v>-0</v>
      </c>
      <c r="N120" s="65" t="n">
        <f aca="false">-(N119-M119)*Inputs!$C$41</f>
        <v>-0</v>
      </c>
      <c r="O120" s="65" t="n">
        <f aca="false">-(O119-N119)*Inputs!$C$41</f>
        <v>-0</v>
      </c>
      <c r="P120" s="65" t="n">
        <f aca="false">-(P119-O119)*Inputs!$C$41</f>
        <v>-0</v>
      </c>
      <c r="Q120" s="65" t="n">
        <f aca="false">-(Q119-P119)*Inputs!$C$41</f>
        <v>-0</v>
      </c>
      <c r="R120" s="65" t="n">
        <f aca="false">-(R119-Q119)*Inputs!$C$41</f>
        <v>-0</v>
      </c>
      <c r="S120" s="65" t="n">
        <f aca="false">-(S119-R119)*Inputs!$C$41</f>
        <v>-0</v>
      </c>
      <c r="T120" s="65" t="n">
        <f aca="false">-(T119-S119)*Inputs!$C$41</f>
        <v>-0</v>
      </c>
      <c r="U120" s="65" t="n">
        <f aca="false">-(U119-T119)*Inputs!$C$41</f>
        <v>-0</v>
      </c>
      <c r="V120" s="65" t="n">
        <f aca="false">-(V119-U119)*Inputs!$C$41</f>
        <v>-0</v>
      </c>
      <c r="W120" s="65" t="n">
        <f aca="false">-(W119-V119)*Inputs!$C$41</f>
        <v>-0</v>
      </c>
      <c r="X120" s="65" t="n">
        <f aca="false">-(X119-W119)*Inputs!$C$41</f>
        <v>-0</v>
      </c>
      <c r="Y120" s="65" t="n">
        <f aca="false">-(Y119-X119)*Inputs!$C$41</f>
        <v>-0</v>
      </c>
      <c r="Z120" s="65" t="n">
        <f aca="false">-(Z119-Y119)*Inputs!$C$41</f>
        <v>-0</v>
      </c>
      <c r="AA120" s="65" t="n">
        <f aca="false">-(AA119-Z119)*Inputs!$C$41</f>
        <v>-726.941552947198</v>
      </c>
      <c r="AB120" s="65" t="n">
        <f aca="false">-(AB119-AA119)*Inputs!$C$41</f>
        <v>-838.349638280534</v>
      </c>
      <c r="AC120" s="65" t="n">
        <f aca="false">-(AC119-AB119)*Inputs!$C$41</f>
        <v>-840.216304947201</v>
      </c>
      <c r="AD120" s="65" t="n">
        <f aca="false">-(AD119-AC119)*Inputs!$C$41</f>
        <v>-842.082971613868</v>
      </c>
      <c r="AE120" s="65" t="n">
        <f aca="false">-(AE119-AD119)*Inputs!$C$41</f>
        <v>-843.949638280534</v>
      </c>
      <c r="AF120" s="65" t="n">
        <f aca="false">-(AF119-AE119)*Inputs!$C$41</f>
        <v>-845.816304947201</v>
      </c>
      <c r="AG120" s="65" t="n">
        <f aca="false">-(AG119-AF119)*Inputs!$C$41</f>
        <v>-847.682971613867</v>
      </c>
      <c r="AH120" s="65" t="n">
        <f aca="false">-(AH119-AG119)*Inputs!$C$41</f>
        <v>-849.549638280534</v>
      </c>
      <c r="AI120" s="65" t="n">
        <f aca="false">-(AI119-AH119)*Inputs!$C$41</f>
        <v>-851.416304947201</v>
      </c>
      <c r="AJ120" s="65" t="n">
        <f aca="false">-(AJ119-AI119)*Inputs!$C$41</f>
        <v>-853.282971613867</v>
      </c>
      <c r="AK120" s="65" t="n">
        <f aca="false">-(AK119-AJ119)*Inputs!$C$41</f>
        <v>-855.149638280534</v>
      </c>
      <c r="AL120" s="65" t="n">
        <f aca="false">-(AL119-AK119)*Inputs!$C$41</f>
        <v>-857.016304947201</v>
      </c>
      <c r="AM120" s="65" t="n">
        <f aca="false">-(AM119-AL119)*Inputs!$C$41</f>
        <v>-1247.87900703202</v>
      </c>
      <c r="AN120" s="65" t="n">
        <f aca="false">-(AN119-AM119)*Inputs!$C$41</f>
        <v>-1249.74567369869</v>
      </c>
      <c r="AO120" s="65" t="n">
        <f aca="false">-(AO119-AN119)*Inputs!$C$41</f>
        <v>-1251.61234036535</v>
      </c>
      <c r="AP120" s="65" t="n">
        <f aca="false">-(AP119-AO119)*Inputs!$C$41</f>
        <v>-1253.47900703202</v>
      </c>
      <c r="AQ120" s="65" t="n">
        <f aca="false">-(AQ119-AP119)*Inputs!$C$41</f>
        <v>-1255.34567369869</v>
      </c>
      <c r="AR120" s="65" t="n">
        <f aca="false">-(AR119-AQ119)*Inputs!$C$41</f>
        <v>-1257.21234036535</v>
      </c>
      <c r="AS120" s="65" t="n">
        <f aca="false">-(AS119-AR119)*Inputs!$C$41</f>
        <v>-1259.07900703202</v>
      </c>
      <c r="AT120" s="65" t="n">
        <f aca="false">-(AT119-AS119)*Inputs!$C$41</f>
        <v>-1260.94567369869</v>
      </c>
      <c r="AU120" s="65" t="n">
        <f aca="false">-(AU119-AT119)*Inputs!$C$41</f>
        <v>-1262.81234036536</v>
      </c>
      <c r="AV120" s="65" t="n">
        <f aca="false">-(AV119-AU119)*Inputs!$C$41</f>
        <v>-1264.67900703202</v>
      </c>
      <c r="AW120" s="65" t="n">
        <f aca="false">-(AW119-AV119)*Inputs!$C$41</f>
        <v>-1266.54567369869</v>
      </c>
      <c r="AX120" s="65" t="n">
        <f aca="false">-(AX119-AW119)*Inputs!$C$41</f>
        <v>-1268.41234036535</v>
      </c>
      <c r="AY120" s="65" t="n">
        <f aca="false">-(AY119-AX119)*Inputs!$C$41</f>
        <v>-1699.30263626028</v>
      </c>
      <c r="AZ120" s="65" t="n">
        <f aca="false">-(AZ119-AY119)*Inputs!$C$41</f>
        <v>-1701.16930292695</v>
      </c>
      <c r="BA120" s="65" t="n">
        <f aca="false">-(BA119-AZ119)*Inputs!$C$41</f>
        <v>-1703.03596959362</v>
      </c>
      <c r="BB120" s="65" t="n">
        <f aca="false">-(BB119-BA119)*Inputs!$C$41</f>
        <v>-1704.90263626028</v>
      </c>
      <c r="BC120" s="65" t="n">
        <f aca="false">-(BC119-BB119)*Inputs!$C$41</f>
        <v>-1706.76930292695</v>
      </c>
      <c r="BD120" s="65" t="n">
        <f aca="false">-(BD119-BC119)*Inputs!$C$41</f>
        <v>-1708.63596959361</v>
      </c>
      <c r="BE120" s="65" t="n">
        <f aca="false">-(BE119-BD119)*Inputs!$C$41</f>
        <v>-1710.50263626028</v>
      </c>
      <c r="BF120" s="65" t="n">
        <f aca="false">-(BF119-BE119)*Inputs!$C$41</f>
        <v>-1712.36930292695</v>
      </c>
      <c r="BG120" s="65" t="n">
        <f aca="false">-(BG119-BF119)*Inputs!$C$41</f>
        <v>-1714.23596959361</v>
      </c>
      <c r="BH120" s="65" t="n">
        <f aca="false">-(BH119-BG119)*Inputs!$C$41</f>
        <v>-1716.10263626028</v>
      </c>
      <c r="BI120" s="65" t="n">
        <f aca="false">-(BI119-BH119)*Inputs!$C$41</f>
        <v>-1717.96930292695</v>
      </c>
      <c r="BJ120" s="65" t="n">
        <f aca="false">-(BJ119-BI119)*Inputs!$C$41</f>
        <v>-1719.83596959362</v>
      </c>
    </row>
    <row r="121" customFormat="false" ht="15" hidden="false" customHeight="false" outlineLevel="0" collapsed="false">
      <c r="A121" s="108" t="s">
        <v>50</v>
      </c>
      <c r="C121" s="66" t="n">
        <f aca="false">C117+C120</f>
        <v>-9407.42857142857</v>
      </c>
      <c r="D121" s="66" t="n">
        <f aca="false">D117+D120</f>
        <v>-7738.98412698413</v>
      </c>
      <c r="E121" s="66" t="n">
        <f aca="false">E117+E120</f>
        <v>-6066.09523809524</v>
      </c>
      <c r="F121" s="66" t="n">
        <f aca="false">F117+F120</f>
        <v>-4393.20634920635</v>
      </c>
      <c r="G121" s="66" t="n">
        <f aca="false">G117+G120</f>
        <v>-2720.31746031747</v>
      </c>
      <c r="H121" s="66" t="n">
        <f aca="false">H117+H120</f>
        <v>-1047.42857142857</v>
      </c>
      <c r="I121" s="66" t="n">
        <f aca="false">I117+I120</f>
        <v>625.460317460315</v>
      </c>
      <c r="J121" s="66" t="n">
        <f aca="false">J117+J120</f>
        <v>634.349206349204</v>
      </c>
      <c r="K121" s="66" t="n">
        <f aca="false">K117+K120</f>
        <v>643.238095238093</v>
      </c>
      <c r="L121" s="66" t="n">
        <f aca="false">L117+L120</f>
        <v>652.126984126981</v>
      </c>
      <c r="M121" s="66" t="n">
        <f aca="false">M117+M120</f>
        <v>661.01587301587</v>
      </c>
      <c r="N121" s="66" t="n">
        <f aca="false">N117+N120</f>
        <v>669.904761904759</v>
      </c>
      <c r="O121" s="66" t="n">
        <f aca="false">O117+O120</f>
        <v>2198.25605079365</v>
      </c>
      <c r="P121" s="66" t="n">
        <f aca="false">P117+P120</f>
        <v>2207.14493968254</v>
      </c>
      <c r="Q121" s="66" t="n">
        <f aca="false">Q117+Q120</f>
        <v>2216.03382857143</v>
      </c>
      <c r="R121" s="66" t="n">
        <f aca="false">R117+R120</f>
        <v>2224.92271746032</v>
      </c>
      <c r="S121" s="66" t="n">
        <f aca="false">S117+S120</f>
        <v>2233.81160634921</v>
      </c>
      <c r="T121" s="66" t="n">
        <f aca="false">T117+T120</f>
        <v>2242.7004952381</v>
      </c>
      <c r="U121" s="66" t="n">
        <f aca="false">U117+U120</f>
        <v>2251.58938412699</v>
      </c>
      <c r="V121" s="66" t="n">
        <f aca="false">V117+V120</f>
        <v>2260.47827301587</v>
      </c>
      <c r="W121" s="66" t="n">
        <f aca="false">W117+W120</f>
        <v>2269.36716190476</v>
      </c>
      <c r="X121" s="66" t="n">
        <f aca="false">X117+X120</f>
        <v>2278.25605079365</v>
      </c>
      <c r="Y121" s="66" t="n">
        <f aca="false">Y117+Y120</f>
        <v>2287.14493968254</v>
      </c>
      <c r="Z121" s="66" t="n">
        <f aca="false">Z117+Z120</f>
        <v>2296.03382857143</v>
      </c>
      <c r="AA121" s="66" t="n">
        <f aca="false">AA117+AA120</f>
        <v>3256.31069283312</v>
      </c>
      <c r="AB121" s="66" t="n">
        <f aca="false">AB117+AB120</f>
        <v>3153.79149638868</v>
      </c>
      <c r="AC121" s="66" t="n">
        <f aca="false">AC117+AC120</f>
        <v>3160.8137186109</v>
      </c>
      <c r="AD121" s="66" t="n">
        <f aca="false">AD117+AD120</f>
        <v>3167.83594083312</v>
      </c>
      <c r="AE121" s="66" t="n">
        <f aca="false">AE117+AE120</f>
        <v>3174.85816305534</v>
      </c>
      <c r="AF121" s="66" t="n">
        <f aca="false">AF117+AF120</f>
        <v>3181.88038527757</v>
      </c>
      <c r="AG121" s="66" t="n">
        <f aca="false">AG117+AG120</f>
        <v>3188.90260749979</v>
      </c>
      <c r="AH121" s="66" t="n">
        <f aca="false">AH117+AH120</f>
        <v>3195.92482972201</v>
      </c>
      <c r="AI121" s="66" t="n">
        <f aca="false">AI117+AI120</f>
        <v>3202.94705194423</v>
      </c>
      <c r="AJ121" s="66" t="n">
        <f aca="false">AJ117+AJ120</f>
        <v>3209.96927416645</v>
      </c>
      <c r="AK121" s="66" t="n">
        <f aca="false">AK117+AK120</f>
        <v>3216.99149638868</v>
      </c>
      <c r="AL121" s="66" t="n">
        <f aca="false">AL117+AL120</f>
        <v>3224.0137186109</v>
      </c>
      <c r="AM121" s="66" t="n">
        <f aca="false">AM117+AM120</f>
        <v>4694.40197883475</v>
      </c>
      <c r="AN121" s="66" t="n">
        <f aca="false">AN117+AN120</f>
        <v>4701.42420105697</v>
      </c>
      <c r="AO121" s="66" t="n">
        <f aca="false">AO117+AO120</f>
        <v>4708.44642327919</v>
      </c>
      <c r="AP121" s="66" t="n">
        <f aca="false">AP117+AP120</f>
        <v>4715.46864550141</v>
      </c>
      <c r="AQ121" s="66" t="n">
        <f aca="false">AQ117+AQ120</f>
        <v>4722.49086772363</v>
      </c>
      <c r="AR121" s="66" t="n">
        <f aca="false">AR117+AR120</f>
        <v>4729.51308994586</v>
      </c>
      <c r="AS121" s="66" t="n">
        <f aca="false">AS117+AS120</f>
        <v>4736.53531216808</v>
      </c>
      <c r="AT121" s="66" t="n">
        <f aca="false">AT117+AT120</f>
        <v>4743.5575343903</v>
      </c>
      <c r="AU121" s="66" t="n">
        <f aca="false">AU117+AU120</f>
        <v>4750.57975661252</v>
      </c>
      <c r="AV121" s="66" t="n">
        <f aca="false">AV117+AV120</f>
        <v>4757.60197883475</v>
      </c>
      <c r="AW121" s="66" t="n">
        <f aca="false">AW117+AW120</f>
        <v>4764.62420105697</v>
      </c>
      <c r="AX121" s="66" t="n">
        <f aca="false">AX117+AX120</f>
        <v>4771.64642327919</v>
      </c>
      <c r="AY121" s="66" t="n">
        <f aca="false">AY117+AY120</f>
        <v>6392.61467926486</v>
      </c>
      <c r="AZ121" s="66" t="n">
        <f aca="false">AZ117+AZ120</f>
        <v>6399.63690148708</v>
      </c>
      <c r="BA121" s="66" t="n">
        <f aca="false">BA117+BA120</f>
        <v>6406.65912370931</v>
      </c>
      <c r="BB121" s="66" t="n">
        <f aca="false">BB117+BB120</f>
        <v>6413.68134593153</v>
      </c>
      <c r="BC121" s="66" t="n">
        <f aca="false">BC117+BC120</f>
        <v>6420.70356815375</v>
      </c>
      <c r="BD121" s="66" t="n">
        <f aca="false">BD117+BD120</f>
        <v>6427.72579037598</v>
      </c>
      <c r="BE121" s="66" t="n">
        <f aca="false">BE117+BE120</f>
        <v>6434.74801259819</v>
      </c>
      <c r="BF121" s="66" t="n">
        <f aca="false">BF117+BF120</f>
        <v>6441.77023482042</v>
      </c>
      <c r="BG121" s="66" t="n">
        <f aca="false">BG117+BG120</f>
        <v>6448.79245704264</v>
      </c>
      <c r="BH121" s="66" t="n">
        <f aca="false">BH117+BH120</f>
        <v>6455.81467926486</v>
      </c>
      <c r="BI121" s="66" t="n">
        <f aca="false">BI117+BI120</f>
        <v>6462.83690148709</v>
      </c>
      <c r="BJ121" s="66" t="n">
        <f aca="false">BJ117+BJ120</f>
        <v>6469.85912370931</v>
      </c>
    </row>
    <row r="123" customFormat="false" ht="15.75" hidden="false" customHeight="true" outlineLevel="0" collapsed="false">
      <c r="A123" s="7" t="s">
        <v>368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82</v>
      </c>
      <c r="C124" s="65" t="n">
        <f aca="false">IF(C$94=1,Inputs!$C$18,0)</f>
        <v>160000</v>
      </c>
      <c r="D124" s="65" t="n">
        <f aca="false">IF(D$94=1,Inputs!$C$18,0)</f>
        <v>0</v>
      </c>
      <c r="E124" s="65" t="n">
        <f aca="false">IF(E$94=1,Inputs!$C$18,0)</f>
        <v>0</v>
      </c>
      <c r="F124" s="65" t="n">
        <f aca="false">IF(F$94=1,Inputs!$C$18,0)</f>
        <v>0</v>
      </c>
      <c r="G124" s="65" t="n">
        <f aca="false">IF(G$94=1,Inputs!$C$18,0)</f>
        <v>0</v>
      </c>
      <c r="H124" s="65" t="n">
        <f aca="false">IF(H$94=1,Inputs!$C$18,0)</f>
        <v>0</v>
      </c>
      <c r="I124" s="65" t="n">
        <f aca="false">IF(I$94=1,Inputs!$C$18,0)</f>
        <v>0</v>
      </c>
      <c r="J124" s="65" t="n">
        <f aca="false">IF(J$94=1,Inputs!$C$18,0)</f>
        <v>0</v>
      </c>
      <c r="K124" s="65" t="n">
        <f aca="false">IF(K$94=1,Inputs!$C$18,0)</f>
        <v>0</v>
      </c>
      <c r="L124" s="65" t="n">
        <f aca="false">IF(L$94=1,Inputs!$C$18,0)</f>
        <v>0</v>
      </c>
      <c r="M124" s="65" t="n">
        <f aca="false">IF(M$94=1,Inputs!$C$18,0)</f>
        <v>0</v>
      </c>
      <c r="N124" s="65" t="n">
        <f aca="false">IF(N$94=1,Inputs!$C$18,0)</f>
        <v>0</v>
      </c>
      <c r="O124" s="65" t="n">
        <f aca="false">IF(O$94=1,Inputs!$C$18,0)</f>
        <v>0</v>
      </c>
      <c r="P124" s="65" t="n">
        <f aca="false">IF(P$94=1,Inputs!$C$18,0)</f>
        <v>0</v>
      </c>
      <c r="Q124" s="65" t="n">
        <f aca="false">IF(Q$94=1,Inputs!$C$18,0)</f>
        <v>0</v>
      </c>
      <c r="R124" s="65" t="n">
        <f aca="false">IF(R$94=1,Inputs!$C$18,0)</f>
        <v>0</v>
      </c>
      <c r="S124" s="65" t="n">
        <f aca="false">IF(S$94=1,Inputs!$C$18,0)</f>
        <v>0</v>
      </c>
      <c r="T124" s="65" t="n">
        <f aca="false">IF(T$94=1,Inputs!$C$18,0)</f>
        <v>0</v>
      </c>
      <c r="U124" s="65" t="n">
        <f aca="false">IF(U$94=1,Inputs!$C$18,0)</f>
        <v>0</v>
      </c>
      <c r="V124" s="65" t="n">
        <f aca="false">IF(V$94=1,Inputs!$C$18,0)</f>
        <v>0</v>
      </c>
      <c r="W124" s="65" t="n">
        <f aca="false">IF(W$94=1,Inputs!$C$18,0)</f>
        <v>0</v>
      </c>
      <c r="X124" s="65" t="n">
        <f aca="false">IF(X$94=1,Inputs!$C$18,0)</f>
        <v>0</v>
      </c>
      <c r="Y124" s="65" t="n">
        <f aca="false">IF(Y$94=1,Inputs!$C$18,0)</f>
        <v>0</v>
      </c>
      <c r="Z124" s="65" t="n">
        <f aca="false">IF(Z$94=1,Inputs!$C$18,0)</f>
        <v>0</v>
      </c>
      <c r="AA124" s="65" t="n">
        <f aca="false">IF(AA$94=1,Inputs!$C$18,0)</f>
        <v>0</v>
      </c>
      <c r="AB124" s="65" t="n">
        <f aca="false">IF(AB$94=1,Inputs!$C$18,0)</f>
        <v>0</v>
      </c>
      <c r="AC124" s="65" t="n">
        <f aca="false">IF(AC$94=1,Inputs!$C$18,0)</f>
        <v>0</v>
      </c>
      <c r="AD124" s="65" t="n">
        <f aca="false">IF(AD$94=1,Inputs!$C$18,0)</f>
        <v>0</v>
      </c>
      <c r="AE124" s="65" t="n">
        <f aca="false">IF(AE$94=1,Inputs!$C$18,0)</f>
        <v>0</v>
      </c>
      <c r="AF124" s="65" t="n">
        <f aca="false">IF(AF$94=1,Inputs!$C$18,0)</f>
        <v>0</v>
      </c>
      <c r="AG124" s="65" t="n">
        <f aca="false">IF(AG$94=1,Inputs!$C$18,0)</f>
        <v>0</v>
      </c>
      <c r="AH124" s="65" t="n">
        <f aca="false">IF(AH$94=1,Inputs!$C$18,0)</f>
        <v>0</v>
      </c>
      <c r="AI124" s="65" t="n">
        <f aca="false">IF(AI$94=1,Inputs!$C$18,0)</f>
        <v>0</v>
      </c>
      <c r="AJ124" s="65" t="n">
        <f aca="false">IF(AJ$94=1,Inputs!$C$18,0)</f>
        <v>0</v>
      </c>
      <c r="AK124" s="65" t="n">
        <f aca="false">IF(AK$94=1,Inputs!$C$18,0)</f>
        <v>0</v>
      </c>
      <c r="AL124" s="65" t="n">
        <f aca="false">IF(AL$94=1,Inputs!$C$18,0)</f>
        <v>0</v>
      </c>
      <c r="AM124" s="65" t="n">
        <f aca="false">IF(AM$94=1,Inputs!$C$18,0)</f>
        <v>0</v>
      </c>
      <c r="AN124" s="65" t="n">
        <f aca="false">IF(AN$94=1,Inputs!$C$18,0)</f>
        <v>0</v>
      </c>
      <c r="AO124" s="65" t="n">
        <f aca="false">IF(AO$94=1,Inputs!$C$18,0)</f>
        <v>0</v>
      </c>
      <c r="AP124" s="65" t="n">
        <f aca="false">IF(AP$94=1,Inputs!$C$18,0)</f>
        <v>0</v>
      </c>
      <c r="AQ124" s="65" t="n">
        <f aca="false">IF(AQ$94=1,Inputs!$C$18,0)</f>
        <v>0</v>
      </c>
      <c r="AR124" s="65" t="n">
        <f aca="false">IF(AR$94=1,Inputs!$C$18,0)</f>
        <v>0</v>
      </c>
      <c r="AS124" s="65" t="n">
        <f aca="false">IF(AS$94=1,Inputs!$C$18,0)</f>
        <v>0</v>
      </c>
      <c r="AT124" s="65" t="n">
        <f aca="false">IF(AT$94=1,Inputs!$C$18,0)</f>
        <v>0</v>
      </c>
      <c r="AU124" s="65" t="n">
        <f aca="false">IF(AU$94=1,Inputs!$C$18,0)</f>
        <v>0</v>
      </c>
      <c r="AV124" s="65" t="n">
        <f aca="false">IF(AV$94=1,Inputs!$C$18,0)</f>
        <v>0</v>
      </c>
      <c r="AW124" s="65" t="n">
        <f aca="false">IF(AW$94=1,Inputs!$C$18,0)</f>
        <v>0</v>
      </c>
      <c r="AX124" s="65" t="n">
        <f aca="false">IF(AX$94=1,Inputs!$C$18,0)</f>
        <v>0</v>
      </c>
      <c r="AY124" s="65" t="n">
        <f aca="false">IF(AY$94=1,Inputs!$C$18,0)</f>
        <v>0</v>
      </c>
      <c r="AZ124" s="65" t="n">
        <f aca="false">IF(AZ$94=1,Inputs!$C$18,0)</f>
        <v>0</v>
      </c>
      <c r="BA124" s="65" t="n">
        <f aca="false">IF(BA$94=1,Inputs!$C$18,0)</f>
        <v>0</v>
      </c>
      <c r="BB124" s="65" t="n">
        <f aca="false">IF(BB$94=1,Inputs!$C$18,0)</f>
        <v>0</v>
      </c>
      <c r="BC124" s="65" t="n">
        <f aca="false">IF(BC$94=1,Inputs!$C$18,0)</f>
        <v>0</v>
      </c>
      <c r="BD124" s="65" t="n">
        <f aca="false">IF(BD$94=1,Inputs!$C$18,0)</f>
        <v>0</v>
      </c>
      <c r="BE124" s="65" t="n">
        <f aca="false">IF(BE$94=1,Inputs!$C$18,0)</f>
        <v>0</v>
      </c>
      <c r="BF124" s="65" t="n">
        <f aca="false">IF(BF$94=1,Inputs!$C$18,0)</f>
        <v>0</v>
      </c>
      <c r="BG124" s="65" t="n">
        <f aca="false">IF(BG$94=1,Inputs!$C$18,0)</f>
        <v>0</v>
      </c>
      <c r="BH124" s="65" t="n">
        <f aca="false">IF(BH$94=1,Inputs!$C$18,0)</f>
        <v>0</v>
      </c>
      <c r="BI124" s="65" t="n">
        <f aca="false">IF(BI$94=1,Inputs!$C$18,0)</f>
        <v>0</v>
      </c>
      <c r="BJ124" s="65" t="n">
        <f aca="false">IF(BJ$94=1,Inputs!$C$18,0)</f>
        <v>0</v>
      </c>
    </row>
    <row r="125" customFormat="false" ht="15" hidden="false" customHeight="false" outlineLevel="0" collapsed="false">
      <c r="A125" s="6" t="s">
        <v>369</v>
      </c>
      <c r="C125" s="65" t="n">
        <f aca="false">C124</f>
        <v>160000</v>
      </c>
      <c r="D125" s="65" t="n">
        <f aca="false">C125+D124</f>
        <v>160000</v>
      </c>
      <c r="E125" s="65" t="n">
        <f aca="false">D125+E124</f>
        <v>160000</v>
      </c>
      <c r="F125" s="65" t="n">
        <f aca="false">E125+F124</f>
        <v>160000</v>
      </c>
      <c r="G125" s="65" t="n">
        <f aca="false">F125+G124</f>
        <v>160000</v>
      </c>
      <c r="H125" s="65" t="n">
        <f aca="false">G125+H124</f>
        <v>160000</v>
      </c>
      <c r="I125" s="65" t="n">
        <f aca="false">H125+I124</f>
        <v>160000</v>
      </c>
      <c r="J125" s="65" t="n">
        <f aca="false">I125+J124</f>
        <v>160000</v>
      </c>
      <c r="K125" s="65" t="n">
        <f aca="false">J125+K124</f>
        <v>160000</v>
      </c>
      <c r="L125" s="65" t="n">
        <f aca="false">K125+L124</f>
        <v>160000</v>
      </c>
      <c r="M125" s="65" t="n">
        <f aca="false">L125+M124</f>
        <v>160000</v>
      </c>
      <c r="N125" s="65" t="n">
        <f aca="false">M125+N124</f>
        <v>160000</v>
      </c>
      <c r="O125" s="65" t="n">
        <f aca="false">N125+O124</f>
        <v>160000</v>
      </c>
      <c r="P125" s="65" t="n">
        <f aca="false">O125+P124</f>
        <v>160000</v>
      </c>
      <c r="Q125" s="65" t="n">
        <f aca="false">P125+Q124</f>
        <v>160000</v>
      </c>
      <c r="R125" s="65" t="n">
        <f aca="false">Q125+R124</f>
        <v>160000</v>
      </c>
      <c r="S125" s="65" t="n">
        <f aca="false">R125+S124</f>
        <v>160000</v>
      </c>
      <c r="T125" s="65" t="n">
        <f aca="false">S125+T124</f>
        <v>160000</v>
      </c>
      <c r="U125" s="65" t="n">
        <f aca="false">T125+U124</f>
        <v>160000</v>
      </c>
      <c r="V125" s="65" t="n">
        <f aca="false">U125+V124</f>
        <v>160000</v>
      </c>
      <c r="W125" s="65" t="n">
        <f aca="false">V125+W124</f>
        <v>160000</v>
      </c>
      <c r="X125" s="65" t="n">
        <f aca="false">W125+X124</f>
        <v>160000</v>
      </c>
      <c r="Y125" s="65" t="n">
        <f aca="false">X125+Y124</f>
        <v>160000</v>
      </c>
      <c r="Z125" s="65" t="n">
        <f aca="false">Y125+Z124</f>
        <v>160000</v>
      </c>
      <c r="AA125" s="65" t="n">
        <f aca="false">Z125+AA124</f>
        <v>160000</v>
      </c>
      <c r="AB125" s="65" t="n">
        <f aca="false">AA125+AB124</f>
        <v>160000</v>
      </c>
      <c r="AC125" s="65" t="n">
        <f aca="false">AB125+AC124</f>
        <v>160000</v>
      </c>
      <c r="AD125" s="65" t="n">
        <f aca="false">AC125+AD124</f>
        <v>160000</v>
      </c>
      <c r="AE125" s="65" t="n">
        <f aca="false">AD125+AE124</f>
        <v>160000</v>
      </c>
      <c r="AF125" s="65" t="n">
        <f aca="false">AE125+AF124</f>
        <v>160000</v>
      </c>
      <c r="AG125" s="65" t="n">
        <f aca="false">AF125+AG124</f>
        <v>160000</v>
      </c>
      <c r="AH125" s="65" t="n">
        <f aca="false">AG125+AH124</f>
        <v>160000</v>
      </c>
      <c r="AI125" s="65" t="n">
        <f aca="false">AH125+AI124</f>
        <v>160000</v>
      </c>
      <c r="AJ125" s="65" t="n">
        <f aca="false">AI125+AJ124</f>
        <v>160000</v>
      </c>
      <c r="AK125" s="65" t="n">
        <f aca="false">AJ125+AK124</f>
        <v>160000</v>
      </c>
      <c r="AL125" s="65" t="n">
        <f aca="false">AK125+AL124</f>
        <v>160000</v>
      </c>
      <c r="AM125" s="65" t="n">
        <f aca="false">AL125+AM124</f>
        <v>160000</v>
      </c>
      <c r="AN125" s="65" t="n">
        <f aca="false">AM125+AN124</f>
        <v>160000</v>
      </c>
      <c r="AO125" s="65" t="n">
        <f aca="false">AN125+AO124</f>
        <v>160000</v>
      </c>
      <c r="AP125" s="65" t="n">
        <f aca="false">AO125+AP124</f>
        <v>160000</v>
      </c>
      <c r="AQ125" s="65" t="n">
        <f aca="false">AP125+AQ124</f>
        <v>160000</v>
      </c>
      <c r="AR125" s="65" t="n">
        <f aca="false">AQ125+AR124</f>
        <v>160000</v>
      </c>
      <c r="AS125" s="65" t="n">
        <f aca="false">AR125+AS124</f>
        <v>160000</v>
      </c>
      <c r="AT125" s="65" t="n">
        <f aca="false">AS125+AT124</f>
        <v>160000</v>
      </c>
      <c r="AU125" s="65" t="n">
        <f aca="false">AT125+AU124</f>
        <v>160000</v>
      </c>
      <c r="AV125" s="65" t="n">
        <f aca="false">AU125+AV124</f>
        <v>160000</v>
      </c>
      <c r="AW125" s="65" t="n">
        <f aca="false">AV125+AW124</f>
        <v>160000</v>
      </c>
      <c r="AX125" s="65" t="n">
        <f aca="false">AW125+AX124</f>
        <v>160000</v>
      </c>
      <c r="AY125" s="65" t="n">
        <f aca="false">AX125+AY124</f>
        <v>160000</v>
      </c>
      <c r="AZ125" s="65" t="n">
        <f aca="false">AY125+AZ124</f>
        <v>160000</v>
      </c>
      <c r="BA125" s="65" t="n">
        <f aca="false">AZ125+BA124</f>
        <v>160000</v>
      </c>
      <c r="BB125" s="65" t="n">
        <f aca="false">BA125+BB124</f>
        <v>160000</v>
      </c>
      <c r="BC125" s="65" t="n">
        <f aca="false">BB125+BC124</f>
        <v>160000</v>
      </c>
      <c r="BD125" s="65" t="n">
        <f aca="false">BC125+BD124</f>
        <v>160000</v>
      </c>
      <c r="BE125" s="65" t="n">
        <f aca="false">BD125+BE124</f>
        <v>160000</v>
      </c>
      <c r="BF125" s="65" t="n">
        <f aca="false">BE125+BF124</f>
        <v>160000</v>
      </c>
      <c r="BG125" s="65" t="n">
        <f aca="false">BF125+BG124</f>
        <v>160000</v>
      </c>
      <c r="BH125" s="65" t="n">
        <f aca="false">BG125+BH124</f>
        <v>160000</v>
      </c>
      <c r="BI125" s="65" t="n">
        <f aca="false">BH125+BI124</f>
        <v>160000</v>
      </c>
      <c r="BJ125" s="65" t="n">
        <f aca="false">BI125+BJ124</f>
        <v>160000</v>
      </c>
    </row>
    <row r="126" customFormat="false" ht="15" hidden="false" customHeight="false" outlineLevel="0" collapsed="false">
      <c r="A126" s="6" t="s">
        <v>76</v>
      </c>
      <c r="C126" s="65" t="n">
        <f aca="false">-MIN(C125/MAX(1,Inputs!$C$40*12),C124)</f>
        <v>-1904.7619047619</v>
      </c>
      <c r="D126" s="65" t="n">
        <f aca="false">-MIN(D125/MAX(1,Inputs!$C$40*12),C128+D124)</f>
        <v>-1904.7619047619</v>
      </c>
      <c r="E126" s="65" t="n">
        <f aca="false">-MIN(E125/MAX(1,Inputs!$C$40*12),D128+E124)</f>
        <v>-1904.7619047619</v>
      </c>
      <c r="F126" s="65" t="n">
        <f aca="false">-MIN(F125/MAX(1,Inputs!$C$40*12),E128+F124)</f>
        <v>-1904.7619047619</v>
      </c>
      <c r="G126" s="65" t="n">
        <f aca="false">-MIN(G125/MAX(1,Inputs!$C$40*12),F128+G124)</f>
        <v>-1904.7619047619</v>
      </c>
      <c r="H126" s="65" t="n">
        <f aca="false">-MIN(H125/MAX(1,Inputs!$C$40*12),G128+H124)</f>
        <v>-1904.7619047619</v>
      </c>
      <c r="I126" s="65" t="n">
        <f aca="false">-MIN(I125/MAX(1,Inputs!$C$40*12),H128+I124)</f>
        <v>-1904.7619047619</v>
      </c>
      <c r="J126" s="65" t="n">
        <f aca="false">-MIN(J125/MAX(1,Inputs!$C$40*12),I128+J124)</f>
        <v>-1904.7619047619</v>
      </c>
      <c r="K126" s="65" t="n">
        <f aca="false">-MIN(K125/MAX(1,Inputs!$C$40*12),J128+K124)</f>
        <v>-1904.7619047619</v>
      </c>
      <c r="L126" s="65" t="n">
        <f aca="false">-MIN(L125/MAX(1,Inputs!$C$40*12),K128+L124)</f>
        <v>-1904.7619047619</v>
      </c>
      <c r="M126" s="65" t="n">
        <f aca="false">-MIN(M125/MAX(1,Inputs!$C$40*12),L128+M124)</f>
        <v>-1904.7619047619</v>
      </c>
      <c r="N126" s="65" t="n">
        <f aca="false">-MIN(N125/MAX(1,Inputs!$C$40*12),M128+N124)</f>
        <v>-1904.7619047619</v>
      </c>
      <c r="O126" s="65" t="n">
        <f aca="false">-MIN(O125/MAX(1,Inputs!$C$40*12),N128+O124)</f>
        <v>-1904.7619047619</v>
      </c>
      <c r="P126" s="65" t="n">
        <f aca="false">-MIN(P125/MAX(1,Inputs!$C$40*12),O128+P124)</f>
        <v>-1904.7619047619</v>
      </c>
      <c r="Q126" s="65" t="n">
        <f aca="false">-MIN(Q125/MAX(1,Inputs!$C$40*12),P128+Q124)</f>
        <v>-1904.7619047619</v>
      </c>
      <c r="R126" s="65" t="n">
        <f aca="false">-MIN(R125/MAX(1,Inputs!$C$40*12),Q128+R124)</f>
        <v>-1904.7619047619</v>
      </c>
      <c r="S126" s="65" t="n">
        <f aca="false">-MIN(S125/MAX(1,Inputs!$C$40*12),R128+S124)</f>
        <v>-1904.7619047619</v>
      </c>
      <c r="T126" s="65" t="n">
        <f aca="false">-MIN(T125/MAX(1,Inputs!$C$40*12),S128+T124)</f>
        <v>-1904.7619047619</v>
      </c>
      <c r="U126" s="65" t="n">
        <f aca="false">-MIN(U125/MAX(1,Inputs!$C$40*12),T128+U124)</f>
        <v>-1904.7619047619</v>
      </c>
      <c r="V126" s="65" t="n">
        <f aca="false">-MIN(V125/MAX(1,Inputs!$C$40*12),U128+V124)</f>
        <v>-1904.7619047619</v>
      </c>
      <c r="W126" s="65" t="n">
        <f aca="false">-MIN(W125/MAX(1,Inputs!$C$40*12),V128+W124)</f>
        <v>-1904.7619047619</v>
      </c>
      <c r="X126" s="65" t="n">
        <f aca="false">-MIN(X125/MAX(1,Inputs!$C$40*12),W128+X124)</f>
        <v>-1904.7619047619</v>
      </c>
      <c r="Y126" s="65" t="n">
        <f aca="false">-MIN(Y125/MAX(1,Inputs!$C$40*12),X128+Y124)</f>
        <v>-1904.7619047619</v>
      </c>
      <c r="Z126" s="65" t="n">
        <f aca="false">-MIN(Z125/MAX(1,Inputs!$C$40*12),Y128+Z124)</f>
        <v>-1904.7619047619</v>
      </c>
      <c r="AA126" s="65" t="n">
        <f aca="false">-MIN(AA125/MAX(1,Inputs!$C$40*12),Z128+AA124)</f>
        <v>-1904.7619047619</v>
      </c>
      <c r="AB126" s="65" t="n">
        <f aca="false">-MIN(AB125/MAX(1,Inputs!$C$40*12),AA128+AB124)</f>
        <v>-1904.7619047619</v>
      </c>
      <c r="AC126" s="65" t="n">
        <f aca="false">-MIN(AC125/MAX(1,Inputs!$C$40*12),AB128+AC124)</f>
        <v>-1904.7619047619</v>
      </c>
      <c r="AD126" s="65" t="n">
        <f aca="false">-MIN(AD125/MAX(1,Inputs!$C$40*12),AC128+AD124)</f>
        <v>-1904.7619047619</v>
      </c>
      <c r="AE126" s="65" t="n">
        <f aca="false">-MIN(AE125/MAX(1,Inputs!$C$40*12),AD128+AE124)</f>
        <v>-1904.7619047619</v>
      </c>
      <c r="AF126" s="65" t="n">
        <f aca="false">-MIN(AF125/MAX(1,Inputs!$C$40*12),AE128+AF124)</f>
        <v>-1904.7619047619</v>
      </c>
      <c r="AG126" s="65" t="n">
        <f aca="false">-MIN(AG125/MAX(1,Inputs!$C$40*12),AF128+AG124)</f>
        <v>-1904.7619047619</v>
      </c>
      <c r="AH126" s="65" t="n">
        <f aca="false">-MIN(AH125/MAX(1,Inputs!$C$40*12),AG128+AH124)</f>
        <v>-1904.7619047619</v>
      </c>
      <c r="AI126" s="65" t="n">
        <f aca="false">-MIN(AI125/MAX(1,Inputs!$C$40*12),AH128+AI124)</f>
        <v>-1904.7619047619</v>
      </c>
      <c r="AJ126" s="65" t="n">
        <f aca="false">-MIN(AJ125/MAX(1,Inputs!$C$40*12),AI128+AJ124)</f>
        <v>-1904.7619047619</v>
      </c>
      <c r="AK126" s="65" t="n">
        <f aca="false">-MIN(AK125/MAX(1,Inputs!$C$40*12),AJ128+AK124)</f>
        <v>-1904.7619047619</v>
      </c>
      <c r="AL126" s="65" t="n">
        <f aca="false">-MIN(AL125/MAX(1,Inputs!$C$40*12),AK128+AL124)</f>
        <v>-1904.7619047619</v>
      </c>
      <c r="AM126" s="65" t="n">
        <f aca="false">-MIN(AM125/MAX(1,Inputs!$C$40*12),AL128+AM124)</f>
        <v>-1904.7619047619</v>
      </c>
      <c r="AN126" s="65" t="n">
        <f aca="false">-MIN(AN125/MAX(1,Inputs!$C$40*12),AM128+AN124)</f>
        <v>-1904.7619047619</v>
      </c>
      <c r="AO126" s="65" t="n">
        <f aca="false">-MIN(AO125/MAX(1,Inputs!$C$40*12),AN128+AO124)</f>
        <v>-1904.7619047619</v>
      </c>
      <c r="AP126" s="65" t="n">
        <f aca="false">-MIN(AP125/MAX(1,Inputs!$C$40*12),AO128+AP124)</f>
        <v>-1904.7619047619</v>
      </c>
      <c r="AQ126" s="65" t="n">
        <f aca="false">-MIN(AQ125/MAX(1,Inputs!$C$40*12),AP128+AQ124)</f>
        <v>-1904.7619047619</v>
      </c>
      <c r="AR126" s="65" t="n">
        <f aca="false">-MIN(AR125/MAX(1,Inputs!$C$40*12),AQ128+AR124)</f>
        <v>-1904.7619047619</v>
      </c>
      <c r="AS126" s="65" t="n">
        <f aca="false">-MIN(AS125/MAX(1,Inputs!$C$40*12),AR128+AS124)</f>
        <v>-1904.7619047619</v>
      </c>
      <c r="AT126" s="65" t="n">
        <f aca="false">-MIN(AT125/MAX(1,Inputs!$C$40*12),AS128+AT124)</f>
        <v>-1904.7619047619</v>
      </c>
      <c r="AU126" s="65" t="n">
        <f aca="false">-MIN(AU125/MAX(1,Inputs!$C$40*12),AT128+AU124)</f>
        <v>-1904.7619047619</v>
      </c>
      <c r="AV126" s="65" t="n">
        <f aca="false">-MIN(AV125/MAX(1,Inputs!$C$40*12),AU128+AV124)</f>
        <v>-1904.7619047619</v>
      </c>
      <c r="AW126" s="65" t="n">
        <f aca="false">-MIN(AW125/MAX(1,Inputs!$C$40*12),AV128+AW124)</f>
        <v>-1904.7619047619</v>
      </c>
      <c r="AX126" s="65" t="n">
        <f aca="false">-MIN(AX125/MAX(1,Inputs!$C$40*12),AW128+AX124)</f>
        <v>-1904.7619047619</v>
      </c>
      <c r="AY126" s="65" t="n">
        <f aca="false">-MIN(AY125/MAX(1,Inputs!$C$40*12),AX128+AY124)</f>
        <v>-1904.7619047619</v>
      </c>
      <c r="AZ126" s="65" t="n">
        <f aca="false">-MIN(AZ125/MAX(1,Inputs!$C$40*12),AY128+AZ124)</f>
        <v>-1904.7619047619</v>
      </c>
      <c r="BA126" s="65" t="n">
        <f aca="false">-MIN(BA125/MAX(1,Inputs!$C$40*12),AZ128+BA124)</f>
        <v>-1904.7619047619</v>
      </c>
      <c r="BB126" s="65" t="n">
        <f aca="false">-MIN(BB125/MAX(1,Inputs!$C$40*12),BA128+BB124)</f>
        <v>-1904.7619047619</v>
      </c>
      <c r="BC126" s="65" t="n">
        <f aca="false">-MIN(BC125/MAX(1,Inputs!$C$40*12),BB128+BC124)</f>
        <v>-1904.7619047619</v>
      </c>
      <c r="BD126" s="65" t="n">
        <f aca="false">-MIN(BD125/MAX(1,Inputs!$C$40*12),BC128+BD124)</f>
        <v>-1904.7619047619</v>
      </c>
      <c r="BE126" s="65" t="n">
        <f aca="false">-MIN(BE125/MAX(1,Inputs!$C$40*12),BD128+BE124)</f>
        <v>-1904.7619047619</v>
      </c>
      <c r="BF126" s="65" t="n">
        <f aca="false">-MIN(BF125/MAX(1,Inputs!$C$40*12),BE128+BF124)</f>
        <v>-1904.7619047619</v>
      </c>
      <c r="BG126" s="65" t="n">
        <f aca="false">-MIN(BG125/MAX(1,Inputs!$C$40*12),BF128+BG124)</f>
        <v>-1904.7619047619</v>
      </c>
      <c r="BH126" s="65" t="n">
        <f aca="false">-MIN(BH125/MAX(1,Inputs!$C$40*12),BG128+BH124)</f>
        <v>-1904.7619047619</v>
      </c>
      <c r="BI126" s="65" t="n">
        <f aca="false">-MIN(BI125/MAX(1,Inputs!$C$40*12),BH128+BI124)</f>
        <v>-1904.7619047619</v>
      </c>
      <c r="BJ126" s="65" t="n">
        <f aca="false">-MIN(BJ125/MAX(1,Inputs!$C$40*12),BI128+BJ124)</f>
        <v>-1904.7619047619</v>
      </c>
    </row>
    <row r="127" customFormat="false" ht="15" hidden="false" customHeight="false" outlineLevel="0" collapsed="false">
      <c r="A127" s="6" t="s">
        <v>370</v>
      </c>
      <c r="C127" s="65" t="n">
        <f aca="false">C126</f>
        <v>-1904.7619047619</v>
      </c>
      <c r="D127" s="65" t="n">
        <f aca="false">C127+D126</f>
        <v>-3809.52380952381</v>
      </c>
      <c r="E127" s="65" t="n">
        <f aca="false">D127+E126</f>
        <v>-5714.28571428572</v>
      </c>
      <c r="F127" s="65" t="n">
        <f aca="false">E127+F126</f>
        <v>-7619.04761904762</v>
      </c>
      <c r="G127" s="65" t="n">
        <f aca="false">F127+G126</f>
        <v>-9523.80952380953</v>
      </c>
      <c r="H127" s="65" t="n">
        <f aca="false">G127+H126</f>
        <v>-11428.5714285714</v>
      </c>
      <c r="I127" s="65" t="n">
        <f aca="false">H127+I126</f>
        <v>-13333.3333333333</v>
      </c>
      <c r="J127" s="65" t="n">
        <f aca="false">I127+J126</f>
        <v>-15238.0952380952</v>
      </c>
      <c r="K127" s="65" t="n">
        <f aca="false">J127+K126</f>
        <v>-17142.8571428571</v>
      </c>
      <c r="L127" s="65" t="n">
        <f aca="false">K127+L126</f>
        <v>-19047.6190476191</v>
      </c>
      <c r="M127" s="65" t="n">
        <f aca="false">L127+M126</f>
        <v>-20952.380952381</v>
      </c>
      <c r="N127" s="65" t="n">
        <f aca="false">M127+N126</f>
        <v>-22857.1428571429</v>
      </c>
      <c r="O127" s="65" t="n">
        <f aca="false">N127+O126</f>
        <v>-24761.9047619048</v>
      </c>
      <c r="P127" s="65" t="n">
        <f aca="false">O127+P126</f>
        <v>-26666.6666666667</v>
      </c>
      <c r="Q127" s="65" t="n">
        <f aca="false">P127+Q126</f>
        <v>-28571.4285714286</v>
      </c>
      <c r="R127" s="65" t="n">
        <f aca="false">Q127+R126</f>
        <v>-30476.1904761905</v>
      </c>
      <c r="S127" s="65" t="n">
        <f aca="false">R127+S126</f>
        <v>-32380.9523809524</v>
      </c>
      <c r="T127" s="65" t="n">
        <f aca="false">S127+T126</f>
        <v>-34285.7142857143</v>
      </c>
      <c r="U127" s="65" t="n">
        <f aca="false">T127+U126</f>
        <v>-36190.4761904762</v>
      </c>
      <c r="V127" s="65" t="n">
        <f aca="false">U127+V126</f>
        <v>-38095.2380952381</v>
      </c>
      <c r="W127" s="65" t="n">
        <f aca="false">V127+W126</f>
        <v>-40000</v>
      </c>
      <c r="X127" s="65" t="n">
        <f aca="false">W127+X126</f>
        <v>-41904.7619047619</v>
      </c>
      <c r="Y127" s="65" t="n">
        <f aca="false">X127+Y126</f>
        <v>-43809.5238095238</v>
      </c>
      <c r="Z127" s="65" t="n">
        <f aca="false">Y127+Z126</f>
        <v>-45714.2857142857</v>
      </c>
      <c r="AA127" s="65" t="n">
        <f aca="false">Z127+AA126</f>
        <v>-47619.0476190477</v>
      </c>
      <c r="AB127" s="65" t="n">
        <f aca="false">AA127+AB126</f>
        <v>-49523.8095238096</v>
      </c>
      <c r="AC127" s="65" t="n">
        <f aca="false">AB127+AC126</f>
        <v>-51428.5714285715</v>
      </c>
      <c r="AD127" s="65" t="n">
        <f aca="false">AC127+AD126</f>
        <v>-53333.3333333334</v>
      </c>
      <c r="AE127" s="65" t="n">
        <f aca="false">AD127+AE126</f>
        <v>-55238.0952380953</v>
      </c>
      <c r="AF127" s="65" t="n">
        <f aca="false">AE127+AF126</f>
        <v>-57142.8571428572</v>
      </c>
      <c r="AG127" s="65" t="n">
        <f aca="false">AF127+AG126</f>
        <v>-59047.6190476191</v>
      </c>
      <c r="AH127" s="65" t="n">
        <f aca="false">AG127+AH126</f>
        <v>-60952.380952381</v>
      </c>
      <c r="AI127" s="65" t="n">
        <f aca="false">AH127+AI126</f>
        <v>-62857.1428571429</v>
      </c>
      <c r="AJ127" s="65" t="n">
        <f aca="false">AI127+AJ126</f>
        <v>-64761.9047619048</v>
      </c>
      <c r="AK127" s="65" t="n">
        <f aca="false">AJ127+AK126</f>
        <v>-66666.6666666667</v>
      </c>
      <c r="AL127" s="65" t="n">
        <f aca="false">AK127+AL126</f>
        <v>-68571.4285714286</v>
      </c>
      <c r="AM127" s="65" t="n">
        <f aca="false">AL127+AM126</f>
        <v>-70476.1904761906</v>
      </c>
      <c r="AN127" s="65" t="n">
        <f aca="false">AM127+AN126</f>
        <v>-72380.9523809525</v>
      </c>
      <c r="AO127" s="65" t="n">
        <f aca="false">AN127+AO126</f>
        <v>-74285.7142857144</v>
      </c>
      <c r="AP127" s="65" t="n">
        <f aca="false">AO127+AP126</f>
        <v>-76190.4761904763</v>
      </c>
      <c r="AQ127" s="65" t="n">
        <f aca="false">AP127+AQ126</f>
        <v>-78095.2380952382</v>
      </c>
      <c r="AR127" s="65" t="n">
        <f aca="false">AQ127+AR126</f>
        <v>-80000.0000000001</v>
      </c>
      <c r="AS127" s="65" t="n">
        <f aca="false">AR127+AS126</f>
        <v>-81904.761904762</v>
      </c>
      <c r="AT127" s="65" t="n">
        <f aca="false">AS127+AT126</f>
        <v>-83809.5238095239</v>
      </c>
      <c r="AU127" s="65" t="n">
        <f aca="false">AT127+AU126</f>
        <v>-85714.2857142858</v>
      </c>
      <c r="AV127" s="65" t="n">
        <f aca="false">AU127+AV126</f>
        <v>-87619.0476190477</v>
      </c>
      <c r="AW127" s="65" t="n">
        <f aca="false">AV127+AW126</f>
        <v>-89523.8095238096</v>
      </c>
      <c r="AX127" s="65" t="n">
        <f aca="false">AW127+AX126</f>
        <v>-91428.5714285715</v>
      </c>
      <c r="AY127" s="65" t="n">
        <f aca="false">AX127+AY126</f>
        <v>-93333.3333333334</v>
      </c>
      <c r="AZ127" s="65" t="n">
        <f aca="false">AY127+AZ126</f>
        <v>-95238.0952380954</v>
      </c>
      <c r="BA127" s="65" t="n">
        <f aca="false">AZ127+BA126</f>
        <v>-97142.8571428573</v>
      </c>
      <c r="BB127" s="65" t="n">
        <f aca="false">BA127+BB126</f>
        <v>-99047.6190476192</v>
      </c>
      <c r="BC127" s="65" t="n">
        <f aca="false">BB127+BC126</f>
        <v>-100952.380952381</v>
      </c>
      <c r="BD127" s="65" t="n">
        <f aca="false">BC127+BD126</f>
        <v>-102857.142857143</v>
      </c>
      <c r="BE127" s="65" t="n">
        <f aca="false">BD127+BE126</f>
        <v>-104761.904761905</v>
      </c>
      <c r="BF127" s="65" t="n">
        <f aca="false">BE127+BF126</f>
        <v>-106666.666666667</v>
      </c>
      <c r="BG127" s="65" t="n">
        <f aca="false">BF127+BG126</f>
        <v>-108571.428571429</v>
      </c>
      <c r="BH127" s="65" t="n">
        <f aca="false">BG127+BH126</f>
        <v>-110476.190476191</v>
      </c>
      <c r="BI127" s="65" t="n">
        <f aca="false">BH127+BI126</f>
        <v>-112380.952380953</v>
      </c>
      <c r="BJ127" s="65" t="n">
        <f aca="false">BI127+BJ126</f>
        <v>-114285.714285714</v>
      </c>
    </row>
    <row r="128" customFormat="false" ht="15" hidden="false" customHeight="false" outlineLevel="0" collapsed="false">
      <c r="A128" s="4" t="s">
        <v>90</v>
      </c>
      <c r="C128" s="71" t="n">
        <f aca="false">C125+C127</f>
        <v>158095.238095238</v>
      </c>
      <c r="D128" s="71" t="n">
        <f aca="false">D125+D127</f>
        <v>156190.476190476</v>
      </c>
      <c r="E128" s="71" t="n">
        <f aca="false">E125+E127</f>
        <v>154285.714285714</v>
      </c>
      <c r="F128" s="71" t="n">
        <f aca="false">F125+F127</f>
        <v>152380.952380952</v>
      </c>
      <c r="G128" s="71" t="n">
        <f aca="false">G125+G127</f>
        <v>150476.19047619</v>
      </c>
      <c r="H128" s="71" t="n">
        <f aca="false">H125+H127</f>
        <v>148571.428571429</v>
      </c>
      <c r="I128" s="71" t="n">
        <f aca="false">I125+I127</f>
        <v>146666.666666667</v>
      </c>
      <c r="J128" s="71" t="n">
        <f aca="false">J125+J127</f>
        <v>144761.904761905</v>
      </c>
      <c r="K128" s="71" t="n">
        <f aca="false">K125+K127</f>
        <v>142857.142857143</v>
      </c>
      <c r="L128" s="71" t="n">
        <f aca="false">L125+L127</f>
        <v>140952.380952381</v>
      </c>
      <c r="M128" s="71" t="n">
        <f aca="false">M125+M127</f>
        <v>139047.619047619</v>
      </c>
      <c r="N128" s="71" t="n">
        <f aca="false">N125+N127</f>
        <v>137142.857142857</v>
      </c>
      <c r="O128" s="71" t="n">
        <f aca="false">O125+O127</f>
        <v>135238.095238095</v>
      </c>
      <c r="P128" s="71" t="n">
        <f aca="false">P125+P127</f>
        <v>133333.333333333</v>
      </c>
      <c r="Q128" s="71" t="n">
        <f aca="false">Q125+Q127</f>
        <v>131428.571428571</v>
      </c>
      <c r="R128" s="71" t="n">
        <f aca="false">R125+R127</f>
        <v>129523.80952381</v>
      </c>
      <c r="S128" s="71" t="n">
        <f aca="false">S125+S127</f>
        <v>127619.047619048</v>
      </c>
      <c r="T128" s="71" t="n">
        <f aca="false">T125+T127</f>
        <v>125714.285714286</v>
      </c>
      <c r="U128" s="71" t="n">
        <f aca="false">U125+U127</f>
        <v>123809.523809524</v>
      </c>
      <c r="V128" s="71" t="n">
        <f aca="false">V125+V127</f>
        <v>121904.761904762</v>
      </c>
      <c r="W128" s="71" t="n">
        <f aca="false">W125+W127</f>
        <v>120000</v>
      </c>
      <c r="X128" s="71" t="n">
        <f aca="false">X125+X127</f>
        <v>118095.238095238</v>
      </c>
      <c r="Y128" s="71" t="n">
        <f aca="false">Y125+Y127</f>
        <v>116190.476190476</v>
      </c>
      <c r="Z128" s="71" t="n">
        <f aca="false">Z125+Z127</f>
        <v>114285.714285714</v>
      </c>
      <c r="AA128" s="71" t="n">
        <f aca="false">AA125+AA127</f>
        <v>112380.952380952</v>
      </c>
      <c r="AB128" s="71" t="n">
        <f aca="false">AB125+AB127</f>
        <v>110476.19047619</v>
      </c>
      <c r="AC128" s="71" t="n">
        <f aca="false">AC125+AC127</f>
        <v>108571.428571429</v>
      </c>
      <c r="AD128" s="71" t="n">
        <f aca="false">AD125+AD127</f>
        <v>106666.666666667</v>
      </c>
      <c r="AE128" s="71" t="n">
        <f aca="false">AE125+AE127</f>
        <v>104761.904761905</v>
      </c>
      <c r="AF128" s="71" t="n">
        <f aca="false">AF125+AF127</f>
        <v>102857.142857143</v>
      </c>
      <c r="AG128" s="71" t="n">
        <f aca="false">AG125+AG127</f>
        <v>100952.380952381</v>
      </c>
      <c r="AH128" s="71" t="n">
        <f aca="false">AH125+AH127</f>
        <v>99047.619047619</v>
      </c>
      <c r="AI128" s="71" t="n">
        <f aca="false">AI125+AI127</f>
        <v>97142.8571428571</v>
      </c>
      <c r="AJ128" s="71" t="n">
        <f aca="false">AJ125+AJ127</f>
        <v>95238.0952380952</v>
      </c>
      <c r="AK128" s="71" t="n">
        <f aca="false">AK125+AK127</f>
        <v>93333.3333333333</v>
      </c>
      <c r="AL128" s="71" t="n">
        <f aca="false">AL125+AL127</f>
        <v>91428.5714285714</v>
      </c>
      <c r="AM128" s="71" t="n">
        <f aca="false">AM125+AM127</f>
        <v>89523.8095238095</v>
      </c>
      <c r="AN128" s="71" t="n">
        <f aca="false">AN125+AN127</f>
        <v>87619.0476190476</v>
      </c>
      <c r="AO128" s="71" t="n">
        <f aca="false">AO125+AO127</f>
        <v>85714.2857142856</v>
      </c>
      <c r="AP128" s="71" t="n">
        <f aca="false">AP125+AP127</f>
        <v>83809.5238095237</v>
      </c>
      <c r="AQ128" s="71" t="n">
        <f aca="false">AQ125+AQ127</f>
        <v>81904.7619047618</v>
      </c>
      <c r="AR128" s="71" t="n">
        <f aca="false">AR125+AR127</f>
        <v>79999.9999999999</v>
      </c>
      <c r="AS128" s="71" t="n">
        <f aca="false">AS125+AS127</f>
        <v>78095.238095238</v>
      </c>
      <c r="AT128" s="71" t="n">
        <f aca="false">AT125+AT127</f>
        <v>76190.4761904761</v>
      </c>
      <c r="AU128" s="71" t="n">
        <f aca="false">AU125+AU127</f>
        <v>74285.7142857142</v>
      </c>
      <c r="AV128" s="71" t="n">
        <f aca="false">AV125+AV127</f>
        <v>72380.9523809523</v>
      </c>
      <c r="AW128" s="71" t="n">
        <f aca="false">AW125+AW127</f>
        <v>70476.1904761904</v>
      </c>
      <c r="AX128" s="71" t="n">
        <f aca="false">AX125+AX127</f>
        <v>68571.4285714285</v>
      </c>
      <c r="AY128" s="71" t="n">
        <f aca="false">AY125+AY127</f>
        <v>66666.6666666666</v>
      </c>
      <c r="AZ128" s="71" t="n">
        <f aca="false">AZ125+AZ127</f>
        <v>64761.9047619047</v>
      </c>
      <c r="BA128" s="71" t="n">
        <f aca="false">BA125+BA127</f>
        <v>62857.1428571427</v>
      </c>
      <c r="BB128" s="71" t="n">
        <f aca="false">BB125+BB127</f>
        <v>60952.3809523808</v>
      </c>
      <c r="BC128" s="71" t="n">
        <f aca="false">BC125+BC127</f>
        <v>59047.6190476189</v>
      </c>
      <c r="BD128" s="71" t="n">
        <f aca="false">BD125+BD127</f>
        <v>57142.857142857</v>
      </c>
      <c r="BE128" s="71" t="n">
        <f aca="false">BE125+BE127</f>
        <v>55238.0952380951</v>
      </c>
      <c r="BF128" s="71" t="n">
        <f aca="false">BF125+BF127</f>
        <v>53333.3333333332</v>
      </c>
      <c r="BG128" s="71" t="n">
        <f aca="false">BG125+BG127</f>
        <v>51428.5714285713</v>
      </c>
      <c r="BH128" s="71" t="n">
        <f aca="false">BH125+BH127</f>
        <v>49523.8095238094</v>
      </c>
      <c r="BI128" s="71" t="n">
        <f aca="false">BI125+BI127</f>
        <v>47619.0476190475</v>
      </c>
      <c r="BJ128" s="71" t="n">
        <f aca="false">BJ125+BJ127</f>
        <v>45714.2857142856</v>
      </c>
    </row>
    <row r="130" customFormat="false" ht="15.75" hidden="false" customHeight="true" outlineLevel="0" collapsed="false">
      <c r="A130" s="7" t="s">
        <v>371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6" t="s">
        <v>372</v>
      </c>
      <c r="C131" s="65" t="n">
        <f aca="false">0</f>
        <v>0</v>
      </c>
      <c r="D131" s="65" t="n">
        <f aca="false">C134</f>
        <v>80000</v>
      </c>
      <c r="E131" s="65" t="n">
        <f aca="false">D134</f>
        <v>78666.6666666667</v>
      </c>
      <c r="F131" s="65" t="n">
        <f aca="false">E134</f>
        <v>77333.3333333333</v>
      </c>
      <c r="G131" s="65" t="n">
        <f aca="false">F134</f>
        <v>76000</v>
      </c>
      <c r="H131" s="65" t="n">
        <f aca="false">G134</f>
        <v>74666.6666666667</v>
      </c>
      <c r="I131" s="65" t="n">
        <f aca="false">H134</f>
        <v>73333.3333333334</v>
      </c>
      <c r="J131" s="65" t="n">
        <f aca="false">I134</f>
        <v>72000</v>
      </c>
      <c r="K131" s="65" t="n">
        <f aca="false">J134</f>
        <v>70666.6666666667</v>
      </c>
      <c r="L131" s="65" t="n">
        <f aca="false">K134</f>
        <v>69333.3333333334</v>
      </c>
      <c r="M131" s="65" t="n">
        <f aca="false">L134</f>
        <v>68000</v>
      </c>
      <c r="N131" s="65" t="n">
        <f aca="false">M134</f>
        <v>66666.6666666667</v>
      </c>
      <c r="O131" s="65" t="n">
        <f aca="false">N134</f>
        <v>65333.3333333334</v>
      </c>
      <c r="P131" s="65" t="n">
        <f aca="false">O134</f>
        <v>64000</v>
      </c>
      <c r="Q131" s="65" t="n">
        <f aca="false">P134</f>
        <v>62666.6666666667</v>
      </c>
      <c r="R131" s="65" t="n">
        <f aca="false">Q134</f>
        <v>61333.3333333334</v>
      </c>
      <c r="S131" s="65" t="n">
        <f aca="false">R134</f>
        <v>60000</v>
      </c>
      <c r="T131" s="65" t="n">
        <f aca="false">S134</f>
        <v>58666.6666666667</v>
      </c>
      <c r="U131" s="65" t="n">
        <f aca="false">T134</f>
        <v>57333.3333333334</v>
      </c>
      <c r="V131" s="65" t="n">
        <f aca="false">U134</f>
        <v>56000</v>
      </c>
      <c r="W131" s="65" t="n">
        <f aca="false">V134</f>
        <v>54666.6666666667</v>
      </c>
      <c r="X131" s="65" t="n">
        <f aca="false">W134</f>
        <v>53333.3333333334</v>
      </c>
      <c r="Y131" s="65" t="n">
        <f aca="false">X134</f>
        <v>52000</v>
      </c>
      <c r="Z131" s="65" t="n">
        <f aca="false">Y134</f>
        <v>50666.6666666667</v>
      </c>
      <c r="AA131" s="65" t="n">
        <f aca="false">Z134</f>
        <v>49333.3333333334</v>
      </c>
      <c r="AB131" s="65" t="n">
        <f aca="false">AA134</f>
        <v>48000</v>
      </c>
      <c r="AC131" s="65" t="n">
        <f aca="false">AB134</f>
        <v>46666.6666666667</v>
      </c>
      <c r="AD131" s="65" t="n">
        <f aca="false">AC134</f>
        <v>45333.3333333333</v>
      </c>
      <c r="AE131" s="65" t="n">
        <f aca="false">AD134</f>
        <v>44000</v>
      </c>
      <c r="AF131" s="65" t="n">
        <f aca="false">AE134</f>
        <v>42666.6666666667</v>
      </c>
      <c r="AG131" s="65" t="n">
        <f aca="false">AF134</f>
        <v>41333.3333333333</v>
      </c>
      <c r="AH131" s="65" t="n">
        <f aca="false">AG134</f>
        <v>40000</v>
      </c>
      <c r="AI131" s="65" t="n">
        <f aca="false">AH134</f>
        <v>38666.6666666667</v>
      </c>
      <c r="AJ131" s="65" t="n">
        <f aca="false">AI134</f>
        <v>37333.3333333333</v>
      </c>
      <c r="AK131" s="65" t="n">
        <f aca="false">AJ134</f>
        <v>36000</v>
      </c>
      <c r="AL131" s="65" t="n">
        <f aca="false">AK134</f>
        <v>34666.6666666667</v>
      </c>
      <c r="AM131" s="65" t="n">
        <f aca="false">AL134</f>
        <v>33333.3333333333</v>
      </c>
      <c r="AN131" s="65" t="n">
        <f aca="false">AM134</f>
        <v>32000</v>
      </c>
      <c r="AO131" s="65" t="n">
        <f aca="false">AN134</f>
        <v>30666.6666666667</v>
      </c>
      <c r="AP131" s="65" t="n">
        <f aca="false">AO134</f>
        <v>29333.3333333333</v>
      </c>
      <c r="AQ131" s="65" t="n">
        <f aca="false">AP134</f>
        <v>28000</v>
      </c>
      <c r="AR131" s="65" t="n">
        <f aca="false">AQ134</f>
        <v>26666.6666666667</v>
      </c>
      <c r="AS131" s="65" t="n">
        <f aca="false">AR134</f>
        <v>25333.3333333333</v>
      </c>
      <c r="AT131" s="65" t="n">
        <f aca="false">AS134</f>
        <v>24000</v>
      </c>
      <c r="AU131" s="65" t="n">
        <f aca="false">AT134</f>
        <v>22666.6666666667</v>
      </c>
      <c r="AV131" s="65" t="n">
        <f aca="false">AU134</f>
        <v>21333.3333333333</v>
      </c>
      <c r="AW131" s="65" t="n">
        <f aca="false">AV134</f>
        <v>20000</v>
      </c>
      <c r="AX131" s="65" t="n">
        <f aca="false">AW134</f>
        <v>18666.6666666667</v>
      </c>
      <c r="AY131" s="65" t="n">
        <f aca="false">AX134</f>
        <v>17333.3333333333</v>
      </c>
      <c r="AZ131" s="65" t="n">
        <f aca="false">AY134</f>
        <v>16000</v>
      </c>
      <c r="BA131" s="65" t="n">
        <f aca="false">AZ134</f>
        <v>14666.6666666667</v>
      </c>
      <c r="BB131" s="65" t="n">
        <f aca="false">BA134</f>
        <v>13333.3333333333</v>
      </c>
      <c r="BC131" s="65" t="n">
        <f aca="false">BB134</f>
        <v>12000</v>
      </c>
      <c r="BD131" s="65" t="n">
        <f aca="false">BC134</f>
        <v>10666.6666666667</v>
      </c>
      <c r="BE131" s="65" t="n">
        <f aca="false">BD134</f>
        <v>9333.33333333333</v>
      </c>
      <c r="BF131" s="65" t="n">
        <f aca="false">BE134</f>
        <v>8000</v>
      </c>
      <c r="BG131" s="65" t="n">
        <f aca="false">BF134</f>
        <v>6666.66666666667</v>
      </c>
      <c r="BH131" s="65" t="n">
        <f aca="false">BG134</f>
        <v>5333.33333333333</v>
      </c>
      <c r="BI131" s="65" t="n">
        <f aca="false">BH134</f>
        <v>4000</v>
      </c>
      <c r="BJ131" s="65" t="n">
        <f aca="false">BI134</f>
        <v>2666.66666666667</v>
      </c>
    </row>
    <row r="132" customFormat="false" ht="15" hidden="false" customHeight="false" outlineLevel="0" collapsed="false">
      <c r="A132" s="6" t="s">
        <v>83</v>
      </c>
      <c r="C132" s="65" t="n">
        <f aca="false">IF(C$94=1,Inputs!$C$30,0)</f>
        <v>80000</v>
      </c>
      <c r="D132" s="65" t="n">
        <f aca="false">IF(D$94=1,Inputs!$C$30,0)</f>
        <v>0</v>
      </c>
      <c r="E132" s="65" t="n">
        <f aca="false">IF(E$94=1,Inputs!$C$30,0)</f>
        <v>0</v>
      </c>
      <c r="F132" s="65" t="n">
        <f aca="false">IF(F$94=1,Inputs!$C$30,0)</f>
        <v>0</v>
      </c>
      <c r="G132" s="65" t="n">
        <f aca="false">IF(G$94=1,Inputs!$C$30,0)</f>
        <v>0</v>
      </c>
      <c r="H132" s="65" t="n">
        <f aca="false">IF(H$94=1,Inputs!$C$30,0)</f>
        <v>0</v>
      </c>
      <c r="I132" s="65" t="n">
        <f aca="false">IF(I$94=1,Inputs!$C$30,0)</f>
        <v>0</v>
      </c>
      <c r="J132" s="65" t="n">
        <f aca="false">IF(J$94=1,Inputs!$C$30,0)</f>
        <v>0</v>
      </c>
      <c r="K132" s="65" t="n">
        <f aca="false">IF(K$94=1,Inputs!$C$30,0)</f>
        <v>0</v>
      </c>
      <c r="L132" s="65" t="n">
        <f aca="false">IF(L$94=1,Inputs!$C$30,0)</f>
        <v>0</v>
      </c>
      <c r="M132" s="65" t="n">
        <f aca="false">IF(M$94=1,Inputs!$C$30,0)</f>
        <v>0</v>
      </c>
      <c r="N132" s="65" t="n">
        <f aca="false">IF(N$94=1,Inputs!$C$30,0)</f>
        <v>0</v>
      </c>
      <c r="O132" s="65" t="n">
        <f aca="false">IF(O$94=1,Inputs!$C$30,0)</f>
        <v>0</v>
      </c>
      <c r="P132" s="65" t="n">
        <f aca="false">IF(P$94=1,Inputs!$C$30,0)</f>
        <v>0</v>
      </c>
      <c r="Q132" s="65" t="n">
        <f aca="false">IF(Q$94=1,Inputs!$C$30,0)</f>
        <v>0</v>
      </c>
      <c r="R132" s="65" t="n">
        <f aca="false">IF(R$94=1,Inputs!$C$30,0)</f>
        <v>0</v>
      </c>
      <c r="S132" s="65" t="n">
        <f aca="false">IF(S$94=1,Inputs!$C$30,0)</f>
        <v>0</v>
      </c>
      <c r="T132" s="65" t="n">
        <f aca="false">IF(T$94=1,Inputs!$C$30,0)</f>
        <v>0</v>
      </c>
      <c r="U132" s="65" t="n">
        <f aca="false">IF(U$94=1,Inputs!$C$30,0)</f>
        <v>0</v>
      </c>
      <c r="V132" s="65" t="n">
        <f aca="false">IF(V$94=1,Inputs!$C$30,0)</f>
        <v>0</v>
      </c>
      <c r="W132" s="65" t="n">
        <f aca="false">IF(W$94=1,Inputs!$C$30,0)</f>
        <v>0</v>
      </c>
      <c r="X132" s="65" t="n">
        <f aca="false">IF(X$94=1,Inputs!$C$30,0)</f>
        <v>0</v>
      </c>
      <c r="Y132" s="65" t="n">
        <f aca="false">IF(Y$94=1,Inputs!$C$30,0)</f>
        <v>0</v>
      </c>
      <c r="Z132" s="65" t="n">
        <f aca="false">IF(Z$94=1,Inputs!$C$30,0)</f>
        <v>0</v>
      </c>
      <c r="AA132" s="65" t="n">
        <f aca="false">IF(AA$94=1,Inputs!$C$30,0)</f>
        <v>0</v>
      </c>
      <c r="AB132" s="65" t="n">
        <f aca="false">IF(AB$94=1,Inputs!$C$30,0)</f>
        <v>0</v>
      </c>
      <c r="AC132" s="65" t="n">
        <f aca="false">IF(AC$94=1,Inputs!$C$30,0)</f>
        <v>0</v>
      </c>
      <c r="AD132" s="65" t="n">
        <f aca="false">IF(AD$94=1,Inputs!$C$30,0)</f>
        <v>0</v>
      </c>
      <c r="AE132" s="65" t="n">
        <f aca="false">IF(AE$94=1,Inputs!$C$30,0)</f>
        <v>0</v>
      </c>
      <c r="AF132" s="65" t="n">
        <f aca="false">IF(AF$94=1,Inputs!$C$30,0)</f>
        <v>0</v>
      </c>
      <c r="AG132" s="65" t="n">
        <f aca="false">IF(AG$94=1,Inputs!$C$30,0)</f>
        <v>0</v>
      </c>
      <c r="AH132" s="65" t="n">
        <f aca="false">IF(AH$94=1,Inputs!$C$30,0)</f>
        <v>0</v>
      </c>
      <c r="AI132" s="65" t="n">
        <f aca="false">IF(AI$94=1,Inputs!$C$30,0)</f>
        <v>0</v>
      </c>
      <c r="AJ132" s="65" t="n">
        <f aca="false">IF(AJ$94=1,Inputs!$C$30,0)</f>
        <v>0</v>
      </c>
      <c r="AK132" s="65" t="n">
        <f aca="false">IF(AK$94=1,Inputs!$C$30,0)</f>
        <v>0</v>
      </c>
      <c r="AL132" s="65" t="n">
        <f aca="false">IF(AL$94=1,Inputs!$C$30,0)</f>
        <v>0</v>
      </c>
      <c r="AM132" s="65" t="n">
        <f aca="false">IF(AM$94=1,Inputs!$C$30,0)</f>
        <v>0</v>
      </c>
      <c r="AN132" s="65" t="n">
        <f aca="false">IF(AN$94=1,Inputs!$C$30,0)</f>
        <v>0</v>
      </c>
      <c r="AO132" s="65" t="n">
        <f aca="false">IF(AO$94=1,Inputs!$C$30,0)</f>
        <v>0</v>
      </c>
      <c r="AP132" s="65" t="n">
        <f aca="false">IF(AP$94=1,Inputs!$C$30,0)</f>
        <v>0</v>
      </c>
      <c r="AQ132" s="65" t="n">
        <f aca="false">IF(AQ$94=1,Inputs!$C$30,0)</f>
        <v>0</v>
      </c>
      <c r="AR132" s="65" t="n">
        <f aca="false">IF(AR$94=1,Inputs!$C$30,0)</f>
        <v>0</v>
      </c>
      <c r="AS132" s="65" t="n">
        <f aca="false">IF(AS$94=1,Inputs!$C$30,0)</f>
        <v>0</v>
      </c>
      <c r="AT132" s="65" t="n">
        <f aca="false">IF(AT$94=1,Inputs!$C$30,0)</f>
        <v>0</v>
      </c>
      <c r="AU132" s="65" t="n">
        <f aca="false">IF(AU$94=1,Inputs!$C$30,0)</f>
        <v>0</v>
      </c>
      <c r="AV132" s="65" t="n">
        <f aca="false">IF(AV$94=1,Inputs!$C$30,0)</f>
        <v>0</v>
      </c>
      <c r="AW132" s="65" t="n">
        <f aca="false">IF(AW$94=1,Inputs!$C$30,0)</f>
        <v>0</v>
      </c>
      <c r="AX132" s="65" t="n">
        <f aca="false">IF(AX$94=1,Inputs!$C$30,0)</f>
        <v>0</v>
      </c>
      <c r="AY132" s="65" t="n">
        <f aca="false">IF(AY$94=1,Inputs!$C$30,0)</f>
        <v>0</v>
      </c>
      <c r="AZ132" s="65" t="n">
        <f aca="false">IF(AZ$94=1,Inputs!$C$30,0)</f>
        <v>0</v>
      </c>
      <c r="BA132" s="65" t="n">
        <f aca="false">IF(BA$94=1,Inputs!$C$30,0)</f>
        <v>0</v>
      </c>
      <c r="BB132" s="65" t="n">
        <f aca="false">IF(BB$94=1,Inputs!$C$30,0)</f>
        <v>0</v>
      </c>
      <c r="BC132" s="65" t="n">
        <f aca="false">IF(BC$94=1,Inputs!$C$30,0)</f>
        <v>0</v>
      </c>
      <c r="BD132" s="65" t="n">
        <f aca="false">IF(BD$94=1,Inputs!$C$30,0)</f>
        <v>0</v>
      </c>
      <c r="BE132" s="65" t="n">
        <f aca="false">IF(BE$94=1,Inputs!$C$30,0)</f>
        <v>0</v>
      </c>
      <c r="BF132" s="65" t="n">
        <f aca="false">IF(BF$94=1,Inputs!$C$30,0)</f>
        <v>0</v>
      </c>
      <c r="BG132" s="65" t="n">
        <f aca="false">IF(BG$94=1,Inputs!$C$30,0)</f>
        <v>0</v>
      </c>
      <c r="BH132" s="65" t="n">
        <f aca="false">IF(BH$94=1,Inputs!$C$30,0)</f>
        <v>0</v>
      </c>
      <c r="BI132" s="65" t="n">
        <f aca="false">IF(BI$94=1,Inputs!$C$30,0)</f>
        <v>0</v>
      </c>
      <c r="BJ132" s="65" t="n">
        <f aca="false">IF(BJ$94=1,Inputs!$C$30,0)</f>
        <v>0</v>
      </c>
    </row>
    <row r="133" customFormat="false" ht="15" hidden="false" customHeight="false" outlineLevel="0" collapsed="false">
      <c r="A133" s="6" t="s">
        <v>84</v>
      </c>
      <c r="C133" s="65" t="n">
        <f aca="false">-MIN(C131,Inputs!$C$30/MAX(1,Inputs!$C$32*12))</f>
        <v>-0</v>
      </c>
      <c r="D133" s="65" t="n">
        <f aca="false">-MIN(D131,Inputs!$C$30/MAX(1,Inputs!$C$32*12))</f>
        <v>-1333.33333333333</v>
      </c>
      <c r="E133" s="65" t="n">
        <f aca="false">-MIN(E131,Inputs!$C$30/MAX(1,Inputs!$C$32*12))</f>
        <v>-1333.33333333333</v>
      </c>
      <c r="F133" s="65" t="n">
        <f aca="false">-MIN(F131,Inputs!$C$30/MAX(1,Inputs!$C$32*12))</f>
        <v>-1333.33333333333</v>
      </c>
      <c r="G133" s="65" t="n">
        <f aca="false">-MIN(G131,Inputs!$C$30/MAX(1,Inputs!$C$32*12))</f>
        <v>-1333.33333333333</v>
      </c>
      <c r="H133" s="65" t="n">
        <f aca="false">-MIN(H131,Inputs!$C$30/MAX(1,Inputs!$C$32*12))</f>
        <v>-1333.33333333333</v>
      </c>
      <c r="I133" s="65" t="n">
        <f aca="false">-MIN(I131,Inputs!$C$30/MAX(1,Inputs!$C$32*12))</f>
        <v>-1333.33333333333</v>
      </c>
      <c r="J133" s="65" t="n">
        <f aca="false">-MIN(J131,Inputs!$C$30/MAX(1,Inputs!$C$32*12))</f>
        <v>-1333.33333333333</v>
      </c>
      <c r="K133" s="65" t="n">
        <f aca="false">-MIN(K131,Inputs!$C$30/MAX(1,Inputs!$C$32*12))</f>
        <v>-1333.33333333333</v>
      </c>
      <c r="L133" s="65" t="n">
        <f aca="false">-MIN(L131,Inputs!$C$30/MAX(1,Inputs!$C$32*12))</f>
        <v>-1333.33333333333</v>
      </c>
      <c r="M133" s="65" t="n">
        <f aca="false">-MIN(M131,Inputs!$C$30/MAX(1,Inputs!$C$32*12))</f>
        <v>-1333.33333333333</v>
      </c>
      <c r="N133" s="65" t="n">
        <f aca="false">-MIN(N131,Inputs!$C$30/MAX(1,Inputs!$C$32*12))</f>
        <v>-1333.33333333333</v>
      </c>
      <c r="O133" s="65" t="n">
        <f aca="false">-MIN(O131,Inputs!$C$30/MAX(1,Inputs!$C$32*12))</f>
        <v>-1333.33333333333</v>
      </c>
      <c r="P133" s="65" t="n">
        <f aca="false">-MIN(P131,Inputs!$C$30/MAX(1,Inputs!$C$32*12))</f>
        <v>-1333.33333333333</v>
      </c>
      <c r="Q133" s="65" t="n">
        <f aca="false">-MIN(Q131,Inputs!$C$30/MAX(1,Inputs!$C$32*12))</f>
        <v>-1333.33333333333</v>
      </c>
      <c r="R133" s="65" t="n">
        <f aca="false">-MIN(R131,Inputs!$C$30/MAX(1,Inputs!$C$32*12))</f>
        <v>-1333.33333333333</v>
      </c>
      <c r="S133" s="65" t="n">
        <f aca="false">-MIN(S131,Inputs!$C$30/MAX(1,Inputs!$C$32*12))</f>
        <v>-1333.33333333333</v>
      </c>
      <c r="T133" s="65" t="n">
        <f aca="false">-MIN(T131,Inputs!$C$30/MAX(1,Inputs!$C$32*12))</f>
        <v>-1333.33333333333</v>
      </c>
      <c r="U133" s="65" t="n">
        <f aca="false">-MIN(U131,Inputs!$C$30/MAX(1,Inputs!$C$32*12))</f>
        <v>-1333.33333333333</v>
      </c>
      <c r="V133" s="65" t="n">
        <f aca="false">-MIN(V131,Inputs!$C$30/MAX(1,Inputs!$C$32*12))</f>
        <v>-1333.33333333333</v>
      </c>
      <c r="W133" s="65" t="n">
        <f aca="false">-MIN(W131,Inputs!$C$30/MAX(1,Inputs!$C$32*12))</f>
        <v>-1333.33333333333</v>
      </c>
      <c r="X133" s="65" t="n">
        <f aca="false">-MIN(X131,Inputs!$C$30/MAX(1,Inputs!$C$32*12))</f>
        <v>-1333.33333333333</v>
      </c>
      <c r="Y133" s="65" t="n">
        <f aca="false">-MIN(Y131,Inputs!$C$30/MAX(1,Inputs!$C$32*12))</f>
        <v>-1333.33333333333</v>
      </c>
      <c r="Z133" s="65" t="n">
        <f aca="false">-MIN(Z131,Inputs!$C$30/MAX(1,Inputs!$C$32*12))</f>
        <v>-1333.33333333333</v>
      </c>
      <c r="AA133" s="65" t="n">
        <f aca="false">-MIN(AA131,Inputs!$C$30/MAX(1,Inputs!$C$32*12))</f>
        <v>-1333.33333333333</v>
      </c>
      <c r="AB133" s="65" t="n">
        <f aca="false">-MIN(AB131,Inputs!$C$30/MAX(1,Inputs!$C$32*12))</f>
        <v>-1333.33333333333</v>
      </c>
      <c r="AC133" s="65" t="n">
        <f aca="false">-MIN(AC131,Inputs!$C$30/MAX(1,Inputs!$C$32*12))</f>
        <v>-1333.33333333333</v>
      </c>
      <c r="AD133" s="65" t="n">
        <f aca="false">-MIN(AD131,Inputs!$C$30/MAX(1,Inputs!$C$32*12))</f>
        <v>-1333.33333333333</v>
      </c>
      <c r="AE133" s="65" t="n">
        <f aca="false">-MIN(AE131,Inputs!$C$30/MAX(1,Inputs!$C$32*12))</f>
        <v>-1333.33333333333</v>
      </c>
      <c r="AF133" s="65" t="n">
        <f aca="false">-MIN(AF131,Inputs!$C$30/MAX(1,Inputs!$C$32*12))</f>
        <v>-1333.33333333333</v>
      </c>
      <c r="AG133" s="65" t="n">
        <f aca="false">-MIN(AG131,Inputs!$C$30/MAX(1,Inputs!$C$32*12))</f>
        <v>-1333.33333333333</v>
      </c>
      <c r="AH133" s="65" t="n">
        <f aca="false">-MIN(AH131,Inputs!$C$30/MAX(1,Inputs!$C$32*12))</f>
        <v>-1333.33333333333</v>
      </c>
      <c r="AI133" s="65" t="n">
        <f aca="false">-MIN(AI131,Inputs!$C$30/MAX(1,Inputs!$C$32*12))</f>
        <v>-1333.33333333333</v>
      </c>
      <c r="AJ133" s="65" t="n">
        <f aca="false">-MIN(AJ131,Inputs!$C$30/MAX(1,Inputs!$C$32*12))</f>
        <v>-1333.33333333333</v>
      </c>
      <c r="AK133" s="65" t="n">
        <f aca="false">-MIN(AK131,Inputs!$C$30/MAX(1,Inputs!$C$32*12))</f>
        <v>-1333.33333333333</v>
      </c>
      <c r="AL133" s="65" t="n">
        <f aca="false">-MIN(AL131,Inputs!$C$30/MAX(1,Inputs!$C$32*12))</f>
        <v>-1333.33333333333</v>
      </c>
      <c r="AM133" s="65" t="n">
        <f aca="false">-MIN(AM131,Inputs!$C$30/MAX(1,Inputs!$C$32*12))</f>
        <v>-1333.33333333333</v>
      </c>
      <c r="AN133" s="65" t="n">
        <f aca="false">-MIN(AN131,Inputs!$C$30/MAX(1,Inputs!$C$32*12))</f>
        <v>-1333.33333333333</v>
      </c>
      <c r="AO133" s="65" t="n">
        <f aca="false">-MIN(AO131,Inputs!$C$30/MAX(1,Inputs!$C$32*12))</f>
        <v>-1333.33333333333</v>
      </c>
      <c r="AP133" s="65" t="n">
        <f aca="false">-MIN(AP131,Inputs!$C$30/MAX(1,Inputs!$C$32*12))</f>
        <v>-1333.33333333333</v>
      </c>
      <c r="AQ133" s="65" t="n">
        <f aca="false">-MIN(AQ131,Inputs!$C$30/MAX(1,Inputs!$C$32*12))</f>
        <v>-1333.33333333333</v>
      </c>
      <c r="AR133" s="65" t="n">
        <f aca="false">-MIN(AR131,Inputs!$C$30/MAX(1,Inputs!$C$32*12))</f>
        <v>-1333.33333333333</v>
      </c>
      <c r="AS133" s="65" t="n">
        <f aca="false">-MIN(AS131,Inputs!$C$30/MAX(1,Inputs!$C$32*12))</f>
        <v>-1333.33333333333</v>
      </c>
      <c r="AT133" s="65" t="n">
        <f aca="false">-MIN(AT131,Inputs!$C$30/MAX(1,Inputs!$C$32*12))</f>
        <v>-1333.33333333333</v>
      </c>
      <c r="AU133" s="65" t="n">
        <f aca="false">-MIN(AU131,Inputs!$C$30/MAX(1,Inputs!$C$32*12))</f>
        <v>-1333.33333333333</v>
      </c>
      <c r="AV133" s="65" t="n">
        <f aca="false">-MIN(AV131,Inputs!$C$30/MAX(1,Inputs!$C$32*12))</f>
        <v>-1333.33333333333</v>
      </c>
      <c r="AW133" s="65" t="n">
        <f aca="false">-MIN(AW131,Inputs!$C$30/MAX(1,Inputs!$C$32*12))</f>
        <v>-1333.33333333333</v>
      </c>
      <c r="AX133" s="65" t="n">
        <f aca="false">-MIN(AX131,Inputs!$C$30/MAX(1,Inputs!$C$32*12))</f>
        <v>-1333.33333333333</v>
      </c>
      <c r="AY133" s="65" t="n">
        <f aca="false">-MIN(AY131,Inputs!$C$30/MAX(1,Inputs!$C$32*12))</f>
        <v>-1333.33333333333</v>
      </c>
      <c r="AZ133" s="65" t="n">
        <f aca="false">-MIN(AZ131,Inputs!$C$30/MAX(1,Inputs!$C$32*12))</f>
        <v>-1333.33333333333</v>
      </c>
      <c r="BA133" s="65" t="n">
        <f aca="false">-MIN(BA131,Inputs!$C$30/MAX(1,Inputs!$C$32*12))</f>
        <v>-1333.33333333333</v>
      </c>
      <c r="BB133" s="65" t="n">
        <f aca="false">-MIN(BB131,Inputs!$C$30/MAX(1,Inputs!$C$32*12))</f>
        <v>-1333.33333333333</v>
      </c>
      <c r="BC133" s="65" t="n">
        <f aca="false">-MIN(BC131,Inputs!$C$30/MAX(1,Inputs!$C$32*12))</f>
        <v>-1333.33333333333</v>
      </c>
      <c r="BD133" s="65" t="n">
        <f aca="false">-MIN(BD131,Inputs!$C$30/MAX(1,Inputs!$C$32*12))</f>
        <v>-1333.33333333333</v>
      </c>
      <c r="BE133" s="65" t="n">
        <f aca="false">-MIN(BE131,Inputs!$C$30/MAX(1,Inputs!$C$32*12))</f>
        <v>-1333.33333333333</v>
      </c>
      <c r="BF133" s="65" t="n">
        <f aca="false">-MIN(BF131,Inputs!$C$30/MAX(1,Inputs!$C$32*12))</f>
        <v>-1333.33333333333</v>
      </c>
      <c r="BG133" s="65" t="n">
        <f aca="false">-MIN(BG131,Inputs!$C$30/MAX(1,Inputs!$C$32*12))</f>
        <v>-1333.33333333333</v>
      </c>
      <c r="BH133" s="65" t="n">
        <f aca="false">-MIN(BH131,Inputs!$C$30/MAX(1,Inputs!$C$32*12))</f>
        <v>-1333.33333333333</v>
      </c>
      <c r="BI133" s="65" t="n">
        <f aca="false">-MIN(BI131,Inputs!$C$30/MAX(1,Inputs!$C$32*12))</f>
        <v>-1333.33333333333</v>
      </c>
      <c r="BJ133" s="65" t="n">
        <f aca="false">-MIN(BJ131,Inputs!$C$30/MAX(1,Inputs!$C$32*12))</f>
        <v>-1333.33333333333</v>
      </c>
    </row>
    <row r="134" customFormat="false" ht="15" hidden="false" customHeight="false" outlineLevel="0" collapsed="false">
      <c r="A134" s="4" t="s">
        <v>373</v>
      </c>
      <c r="C134" s="71" t="n">
        <f aca="false">C131+C132+C133</f>
        <v>80000</v>
      </c>
      <c r="D134" s="71" t="n">
        <f aca="false">D131+D132+D133</f>
        <v>78666.6666666667</v>
      </c>
      <c r="E134" s="71" t="n">
        <f aca="false">E131+E132+E133</f>
        <v>77333.3333333333</v>
      </c>
      <c r="F134" s="71" t="n">
        <f aca="false">F131+F132+F133</f>
        <v>76000</v>
      </c>
      <c r="G134" s="71" t="n">
        <f aca="false">G131+G132+G133</f>
        <v>74666.6666666667</v>
      </c>
      <c r="H134" s="71" t="n">
        <f aca="false">H131+H132+H133</f>
        <v>73333.3333333334</v>
      </c>
      <c r="I134" s="71" t="n">
        <f aca="false">I131+I132+I133</f>
        <v>72000</v>
      </c>
      <c r="J134" s="71" t="n">
        <f aca="false">J131+J132+J133</f>
        <v>70666.6666666667</v>
      </c>
      <c r="K134" s="71" t="n">
        <f aca="false">K131+K132+K133</f>
        <v>69333.3333333334</v>
      </c>
      <c r="L134" s="71" t="n">
        <f aca="false">L131+L132+L133</f>
        <v>68000</v>
      </c>
      <c r="M134" s="71" t="n">
        <f aca="false">M131+M132+M133</f>
        <v>66666.6666666667</v>
      </c>
      <c r="N134" s="71" t="n">
        <f aca="false">N131+N132+N133</f>
        <v>65333.3333333334</v>
      </c>
      <c r="O134" s="71" t="n">
        <f aca="false">O131+O132+O133</f>
        <v>64000</v>
      </c>
      <c r="P134" s="71" t="n">
        <f aca="false">P131+P132+P133</f>
        <v>62666.6666666667</v>
      </c>
      <c r="Q134" s="71" t="n">
        <f aca="false">Q131+Q132+Q133</f>
        <v>61333.3333333334</v>
      </c>
      <c r="R134" s="71" t="n">
        <f aca="false">R131+R132+R133</f>
        <v>60000</v>
      </c>
      <c r="S134" s="71" t="n">
        <f aca="false">S131+S132+S133</f>
        <v>58666.6666666667</v>
      </c>
      <c r="T134" s="71" t="n">
        <f aca="false">T131+T132+T133</f>
        <v>57333.3333333334</v>
      </c>
      <c r="U134" s="71" t="n">
        <f aca="false">U131+U132+U133</f>
        <v>56000</v>
      </c>
      <c r="V134" s="71" t="n">
        <f aca="false">V131+V132+V133</f>
        <v>54666.6666666667</v>
      </c>
      <c r="W134" s="71" t="n">
        <f aca="false">W131+W132+W133</f>
        <v>53333.3333333334</v>
      </c>
      <c r="X134" s="71" t="n">
        <f aca="false">X131+X132+X133</f>
        <v>52000</v>
      </c>
      <c r="Y134" s="71" t="n">
        <f aca="false">Y131+Y132+Y133</f>
        <v>50666.6666666667</v>
      </c>
      <c r="Z134" s="71" t="n">
        <f aca="false">Z131+Z132+Z133</f>
        <v>49333.3333333334</v>
      </c>
      <c r="AA134" s="71" t="n">
        <f aca="false">AA131+AA132+AA133</f>
        <v>48000</v>
      </c>
      <c r="AB134" s="71" t="n">
        <f aca="false">AB131+AB132+AB133</f>
        <v>46666.6666666667</v>
      </c>
      <c r="AC134" s="71" t="n">
        <f aca="false">AC131+AC132+AC133</f>
        <v>45333.3333333333</v>
      </c>
      <c r="AD134" s="71" t="n">
        <f aca="false">AD131+AD132+AD133</f>
        <v>44000</v>
      </c>
      <c r="AE134" s="71" t="n">
        <f aca="false">AE131+AE132+AE133</f>
        <v>42666.6666666667</v>
      </c>
      <c r="AF134" s="71" t="n">
        <f aca="false">AF131+AF132+AF133</f>
        <v>41333.3333333333</v>
      </c>
      <c r="AG134" s="71" t="n">
        <f aca="false">AG131+AG132+AG133</f>
        <v>40000</v>
      </c>
      <c r="AH134" s="71" t="n">
        <f aca="false">AH131+AH132+AH133</f>
        <v>38666.6666666667</v>
      </c>
      <c r="AI134" s="71" t="n">
        <f aca="false">AI131+AI132+AI133</f>
        <v>37333.3333333333</v>
      </c>
      <c r="AJ134" s="71" t="n">
        <f aca="false">AJ131+AJ132+AJ133</f>
        <v>36000</v>
      </c>
      <c r="AK134" s="71" t="n">
        <f aca="false">AK131+AK132+AK133</f>
        <v>34666.6666666667</v>
      </c>
      <c r="AL134" s="71" t="n">
        <f aca="false">AL131+AL132+AL133</f>
        <v>33333.3333333333</v>
      </c>
      <c r="AM134" s="71" t="n">
        <f aca="false">AM131+AM132+AM133</f>
        <v>32000</v>
      </c>
      <c r="AN134" s="71" t="n">
        <f aca="false">AN131+AN132+AN133</f>
        <v>30666.6666666667</v>
      </c>
      <c r="AO134" s="71" t="n">
        <f aca="false">AO131+AO132+AO133</f>
        <v>29333.3333333333</v>
      </c>
      <c r="AP134" s="71" t="n">
        <f aca="false">AP131+AP132+AP133</f>
        <v>28000</v>
      </c>
      <c r="AQ134" s="71" t="n">
        <f aca="false">AQ131+AQ132+AQ133</f>
        <v>26666.6666666667</v>
      </c>
      <c r="AR134" s="71" t="n">
        <f aca="false">AR131+AR132+AR133</f>
        <v>25333.3333333333</v>
      </c>
      <c r="AS134" s="71" t="n">
        <f aca="false">AS131+AS132+AS133</f>
        <v>24000</v>
      </c>
      <c r="AT134" s="71" t="n">
        <f aca="false">AT131+AT132+AT133</f>
        <v>22666.6666666667</v>
      </c>
      <c r="AU134" s="71" t="n">
        <f aca="false">AU131+AU132+AU133</f>
        <v>21333.3333333333</v>
      </c>
      <c r="AV134" s="71" t="n">
        <f aca="false">AV131+AV132+AV133</f>
        <v>20000</v>
      </c>
      <c r="AW134" s="71" t="n">
        <f aca="false">AW131+AW132+AW133</f>
        <v>18666.6666666667</v>
      </c>
      <c r="AX134" s="71" t="n">
        <f aca="false">AX131+AX132+AX133</f>
        <v>17333.3333333333</v>
      </c>
      <c r="AY134" s="71" t="n">
        <f aca="false">AY131+AY132+AY133</f>
        <v>16000</v>
      </c>
      <c r="AZ134" s="71" t="n">
        <f aca="false">AZ131+AZ132+AZ133</f>
        <v>14666.6666666667</v>
      </c>
      <c r="BA134" s="71" t="n">
        <f aca="false">BA131+BA132+BA133</f>
        <v>13333.3333333333</v>
      </c>
      <c r="BB134" s="71" t="n">
        <f aca="false">BB131+BB132+BB133</f>
        <v>12000</v>
      </c>
      <c r="BC134" s="71" t="n">
        <f aca="false">BC131+BC132+BC133</f>
        <v>10666.6666666667</v>
      </c>
      <c r="BD134" s="71" t="n">
        <f aca="false">BD131+BD132+BD133</f>
        <v>9333.33333333333</v>
      </c>
      <c r="BE134" s="71" t="n">
        <f aca="false">BE131+BE132+BE133</f>
        <v>8000</v>
      </c>
      <c r="BF134" s="71" t="n">
        <f aca="false">BF131+BF132+BF133</f>
        <v>6666.66666666667</v>
      </c>
      <c r="BG134" s="71" t="n">
        <f aca="false">BG131+BG132+BG133</f>
        <v>5333.33333333333</v>
      </c>
      <c r="BH134" s="71" t="n">
        <f aca="false">BH131+BH132+BH133</f>
        <v>4000</v>
      </c>
      <c r="BI134" s="71" t="n">
        <f aca="false">BI131+BI132+BI133</f>
        <v>2666.66666666667</v>
      </c>
      <c r="BJ134" s="71" t="n">
        <f aca="false">BJ131+BJ132+BJ133</f>
        <v>1333.33333333333</v>
      </c>
    </row>
    <row r="136" customFormat="false" ht="15.75" hidden="false" customHeight="true" outlineLevel="0" collapsed="false">
      <c r="A136" s="7" t="s">
        <v>270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88</v>
      </c>
      <c r="C137" s="65" t="n">
        <f aca="false">C102*Inputs!$C$35/30</f>
        <v>1040</v>
      </c>
      <c r="D137" s="65" t="n">
        <f aca="false">D102*Inputs!$C$35/30</f>
        <v>1213.33333333333</v>
      </c>
      <c r="E137" s="65" t="n">
        <f aca="false">E102*Inputs!$C$35/30</f>
        <v>1386.66666666667</v>
      </c>
      <c r="F137" s="65" t="n">
        <f aca="false">F102*Inputs!$C$35/30</f>
        <v>1560</v>
      </c>
      <c r="G137" s="65" t="n">
        <f aca="false">G102*Inputs!$C$35/30</f>
        <v>1733.33333333333</v>
      </c>
      <c r="H137" s="65" t="n">
        <f aca="false">H102*Inputs!$C$35/30</f>
        <v>1906.66666666667</v>
      </c>
      <c r="I137" s="65" t="n">
        <f aca="false">I102*Inputs!$C$35/30</f>
        <v>2080</v>
      </c>
      <c r="J137" s="65" t="n">
        <f aca="false">J102*Inputs!$C$35/30</f>
        <v>2080</v>
      </c>
      <c r="K137" s="65" t="n">
        <f aca="false">K102*Inputs!$C$35/30</f>
        <v>2080</v>
      </c>
      <c r="L137" s="65" t="n">
        <f aca="false">L102*Inputs!$C$35/30</f>
        <v>2080</v>
      </c>
      <c r="M137" s="65" t="n">
        <f aca="false">M102*Inputs!$C$35/30</f>
        <v>2080</v>
      </c>
      <c r="N137" s="65" t="n">
        <f aca="false">N102*Inputs!$C$35/30</f>
        <v>2080</v>
      </c>
      <c r="O137" s="65" t="n">
        <f aca="false">O102*Inputs!$C$35/30</f>
        <v>2270.944</v>
      </c>
      <c r="P137" s="65" t="n">
        <f aca="false">P102*Inputs!$C$35/30</f>
        <v>2270.944</v>
      </c>
      <c r="Q137" s="65" t="n">
        <f aca="false">Q102*Inputs!$C$35/30</f>
        <v>2270.944</v>
      </c>
      <c r="R137" s="65" t="n">
        <f aca="false">R102*Inputs!$C$35/30</f>
        <v>2270.944</v>
      </c>
      <c r="S137" s="65" t="n">
        <f aca="false">S102*Inputs!$C$35/30</f>
        <v>2270.944</v>
      </c>
      <c r="T137" s="65" t="n">
        <f aca="false">T102*Inputs!$C$35/30</f>
        <v>2270.944</v>
      </c>
      <c r="U137" s="65" t="n">
        <f aca="false">U102*Inputs!$C$35/30</f>
        <v>2270.944</v>
      </c>
      <c r="V137" s="65" t="n">
        <f aca="false">V102*Inputs!$C$35/30</f>
        <v>2270.944</v>
      </c>
      <c r="W137" s="65" t="n">
        <f aca="false">W102*Inputs!$C$35/30</f>
        <v>2270.944</v>
      </c>
      <c r="X137" s="65" t="n">
        <f aca="false">X102*Inputs!$C$35/30</f>
        <v>2270.944</v>
      </c>
      <c r="Y137" s="65" t="n">
        <f aca="false">Y102*Inputs!$C$35/30</f>
        <v>2270.944</v>
      </c>
      <c r="Z137" s="65" t="n">
        <f aca="false">Z102*Inputs!$C$35/30</f>
        <v>2270.944</v>
      </c>
      <c r="AA137" s="65" t="n">
        <f aca="false">AA102*Inputs!$C$35/30</f>
        <v>2479.4166592</v>
      </c>
      <c r="AB137" s="65" t="n">
        <f aca="false">AB102*Inputs!$C$35/30</f>
        <v>2479.4166592</v>
      </c>
      <c r="AC137" s="65" t="n">
        <f aca="false">AC102*Inputs!$C$35/30</f>
        <v>2479.4166592</v>
      </c>
      <c r="AD137" s="65" t="n">
        <f aca="false">AD102*Inputs!$C$35/30</f>
        <v>2479.4166592</v>
      </c>
      <c r="AE137" s="65" t="n">
        <f aca="false">AE102*Inputs!$C$35/30</f>
        <v>2479.4166592</v>
      </c>
      <c r="AF137" s="65" t="n">
        <f aca="false">AF102*Inputs!$C$35/30</f>
        <v>2479.4166592</v>
      </c>
      <c r="AG137" s="65" t="n">
        <f aca="false">AG102*Inputs!$C$35/30</f>
        <v>2479.4166592</v>
      </c>
      <c r="AH137" s="65" t="n">
        <f aca="false">AH102*Inputs!$C$35/30</f>
        <v>2479.4166592</v>
      </c>
      <c r="AI137" s="65" t="n">
        <f aca="false">AI102*Inputs!$C$35/30</f>
        <v>2479.4166592</v>
      </c>
      <c r="AJ137" s="65" t="n">
        <f aca="false">AJ102*Inputs!$C$35/30</f>
        <v>2479.4166592</v>
      </c>
      <c r="AK137" s="65" t="n">
        <f aca="false">AK102*Inputs!$C$35/30</f>
        <v>2479.4166592</v>
      </c>
      <c r="AL137" s="65" t="n">
        <f aca="false">AL102*Inputs!$C$35/30</f>
        <v>2479.4166592</v>
      </c>
      <c r="AM137" s="65" t="n">
        <f aca="false">AM102*Inputs!$C$35/30</f>
        <v>2707.02710851456</v>
      </c>
      <c r="AN137" s="65" t="n">
        <f aca="false">AN102*Inputs!$C$35/30</f>
        <v>2707.02710851456</v>
      </c>
      <c r="AO137" s="65" t="n">
        <f aca="false">AO102*Inputs!$C$35/30</f>
        <v>2707.02710851456</v>
      </c>
      <c r="AP137" s="65" t="n">
        <f aca="false">AP102*Inputs!$C$35/30</f>
        <v>2707.02710851456</v>
      </c>
      <c r="AQ137" s="65" t="n">
        <f aca="false">AQ102*Inputs!$C$35/30</f>
        <v>2707.02710851456</v>
      </c>
      <c r="AR137" s="65" t="n">
        <f aca="false">AR102*Inputs!$C$35/30</f>
        <v>2707.02710851456</v>
      </c>
      <c r="AS137" s="65" t="n">
        <f aca="false">AS102*Inputs!$C$35/30</f>
        <v>2707.02710851456</v>
      </c>
      <c r="AT137" s="65" t="n">
        <f aca="false">AT102*Inputs!$C$35/30</f>
        <v>2707.02710851456</v>
      </c>
      <c r="AU137" s="65" t="n">
        <f aca="false">AU102*Inputs!$C$35/30</f>
        <v>2707.02710851456</v>
      </c>
      <c r="AV137" s="65" t="n">
        <f aca="false">AV102*Inputs!$C$35/30</f>
        <v>2707.02710851456</v>
      </c>
      <c r="AW137" s="65" t="n">
        <f aca="false">AW102*Inputs!$C$35/30</f>
        <v>2707.02710851456</v>
      </c>
      <c r="AX137" s="65" t="n">
        <f aca="false">AX102*Inputs!$C$35/30</f>
        <v>2707.02710851456</v>
      </c>
      <c r="AY137" s="65" t="n">
        <f aca="false">AY102*Inputs!$C$35/30</f>
        <v>2955.5321970762</v>
      </c>
      <c r="AZ137" s="65" t="n">
        <f aca="false">AZ102*Inputs!$C$35/30</f>
        <v>2955.5321970762</v>
      </c>
      <c r="BA137" s="65" t="n">
        <f aca="false">BA102*Inputs!$C$35/30</f>
        <v>2955.5321970762</v>
      </c>
      <c r="BB137" s="65" t="n">
        <f aca="false">BB102*Inputs!$C$35/30</f>
        <v>2955.5321970762</v>
      </c>
      <c r="BC137" s="65" t="n">
        <f aca="false">BC102*Inputs!$C$35/30</f>
        <v>2955.5321970762</v>
      </c>
      <c r="BD137" s="65" t="n">
        <f aca="false">BD102*Inputs!$C$35/30</f>
        <v>2955.5321970762</v>
      </c>
      <c r="BE137" s="65" t="n">
        <f aca="false">BE102*Inputs!$C$35/30</f>
        <v>2955.5321970762</v>
      </c>
      <c r="BF137" s="65" t="n">
        <f aca="false">BF102*Inputs!$C$35/30</f>
        <v>2955.5321970762</v>
      </c>
      <c r="BG137" s="65" t="n">
        <f aca="false">BG102*Inputs!$C$35/30</f>
        <v>2955.5321970762</v>
      </c>
      <c r="BH137" s="65" t="n">
        <f aca="false">BH102*Inputs!$C$35/30</f>
        <v>2955.5321970762</v>
      </c>
      <c r="BI137" s="65" t="n">
        <f aca="false">BI102*Inputs!$C$35/30</f>
        <v>2955.5321970762</v>
      </c>
      <c r="BJ137" s="65" t="n">
        <f aca="false">BJ102*Inputs!$C$35/30</f>
        <v>2955.5321970762</v>
      </c>
    </row>
    <row r="138" customFormat="false" ht="15" hidden="false" customHeight="false" outlineLevel="0" collapsed="false">
      <c r="A138" s="6" t="s">
        <v>89</v>
      </c>
      <c r="C138" s="65" t="n">
        <f aca="false">-C103*Inputs!$C$36/30</f>
        <v>1201.2</v>
      </c>
      <c r="D138" s="65" t="n">
        <f aca="false">-D103*Inputs!$C$36/30</f>
        <v>1401.4</v>
      </c>
      <c r="E138" s="65" t="n">
        <f aca="false">-E103*Inputs!$C$36/30</f>
        <v>1601.6</v>
      </c>
      <c r="F138" s="65" t="n">
        <f aca="false">-F103*Inputs!$C$36/30</f>
        <v>1801.8</v>
      </c>
      <c r="G138" s="65" t="n">
        <f aca="false">-G103*Inputs!$C$36/30</f>
        <v>2002</v>
      </c>
      <c r="H138" s="65" t="n">
        <f aca="false">-H103*Inputs!$C$36/30</f>
        <v>2202.2</v>
      </c>
      <c r="I138" s="65" t="n">
        <f aca="false">-I103*Inputs!$C$36/30</f>
        <v>2402.4</v>
      </c>
      <c r="J138" s="65" t="n">
        <f aca="false">-J103*Inputs!$C$36/30</f>
        <v>2402.4</v>
      </c>
      <c r="K138" s="65" t="n">
        <f aca="false">-K103*Inputs!$C$36/30</f>
        <v>2402.4</v>
      </c>
      <c r="L138" s="65" t="n">
        <f aca="false">-L103*Inputs!$C$36/30</f>
        <v>2402.4</v>
      </c>
      <c r="M138" s="65" t="n">
        <f aca="false">-M103*Inputs!$C$36/30</f>
        <v>2402.4</v>
      </c>
      <c r="N138" s="65" t="n">
        <f aca="false">-N103*Inputs!$C$36/30</f>
        <v>2402.4</v>
      </c>
      <c r="O138" s="65" t="n">
        <f aca="false">-O103*Inputs!$C$36/30</f>
        <v>2622.94032</v>
      </c>
      <c r="P138" s="65" t="n">
        <f aca="false">-P103*Inputs!$C$36/30</f>
        <v>2622.94032</v>
      </c>
      <c r="Q138" s="65" t="n">
        <f aca="false">-Q103*Inputs!$C$36/30</f>
        <v>2622.94032</v>
      </c>
      <c r="R138" s="65" t="n">
        <f aca="false">-R103*Inputs!$C$36/30</f>
        <v>2622.94032</v>
      </c>
      <c r="S138" s="65" t="n">
        <f aca="false">-S103*Inputs!$C$36/30</f>
        <v>2622.94032</v>
      </c>
      <c r="T138" s="65" t="n">
        <f aca="false">-T103*Inputs!$C$36/30</f>
        <v>2622.94032</v>
      </c>
      <c r="U138" s="65" t="n">
        <f aca="false">-U103*Inputs!$C$36/30</f>
        <v>2622.94032</v>
      </c>
      <c r="V138" s="65" t="n">
        <f aca="false">-V103*Inputs!$C$36/30</f>
        <v>2622.94032</v>
      </c>
      <c r="W138" s="65" t="n">
        <f aca="false">-W103*Inputs!$C$36/30</f>
        <v>2622.94032</v>
      </c>
      <c r="X138" s="65" t="n">
        <f aca="false">-X103*Inputs!$C$36/30</f>
        <v>2622.94032</v>
      </c>
      <c r="Y138" s="65" t="n">
        <f aca="false">-Y103*Inputs!$C$36/30</f>
        <v>2622.94032</v>
      </c>
      <c r="Z138" s="65" t="n">
        <f aca="false">-Z103*Inputs!$C$36/30</f>
        <v>2622.94032</v>
      </c>
      <c r="AA138" s="65" t="n">
        <f aca="false">-AA103*Inputs!$C$36/30</f>
        <v>2863.726241376</v>
      </c>
      <c r="AB138" s="65" t="n">
        <f aca="false">-AB103*Inputs!$C$36/30</f>
        <v>2863.726241376</v>
      </c>
      <c r="AC138" s="65" t="n">
        <f aca="false">-AC103*Inputs!$C$36/30</f>
        <v>2863.726241376</v>
      </c>
      <c r="AD138" s="65" t="n">
        <f aca="false">-AD103*Inputs!$C$36/30</f>
        <v>2863.726241376</v>
      </c>
      <c r="AE138" s="65" t="n">
        <f aca="false">-AE103*Inputs!$C$36/30</f>
        <v>2863.726241376</v>
      </c>
      <c r="AF138" s="65" t="n">
        <f aca="false">-AF103*Inputs!$C$36/30</f>
        <v>2863.726241376</v>
      </c>
      <c r="AG138" s="65" t="n">
        <f aca="false">-AG103*Inputs!$C$36/30</f>
        <v>2863.726241376</v>
      </c>
      <c r="AH138" s="65" t="n">
        <f aca="false">-AH103*Inputs!$C$36/30</f>
        <v>2863.726241376</v>
      </c>
      <c r="AI138" s="65" t="n">
        <f aca="false">-AI103*Inputs!$C$36/30</f>
        <v>2863.726241376</v>
      </c>
      <c r="AJ138" s="65" t="n">
        <f aca="false">-AJ103*Inputs!$C$36/30</f>
        <v>2863.726241376</v>
      </c>
      <c r="AK138" s="65" t="n">
        <f aca="false">-AK103*Inputs!$C$36/30</f>
        <v>2863.726241376</v>
      </c>
      <c r="AL138" s="65" t="n">
        <f aca="false">-AL103*Inputs!$C$36/30</f>
        <v>2863.726241376</v>
      </c>
      <c r="AM138" s="65" t="n">
        <f aca="false">-AM103*Inputs!$C$36/30</f>
        <v>3126.61631033432</v>
      </c>
      <c r="AN138" s="65" t="n">
        <f aca="false">-AN103*Inputs!$C$36/30</f>
        <v>3126.61631033432</v>
      </c>
      <c r="AO138" s="65" t="n">
        <f aca="false">-AO103*Inputs!$C$36/30</f>
        <v>3126.61631033432</v>
      </c>
      <c r="AP138" s="65" t="n">
        <f aca="false">-AP103*Inputs!$C$36/30</f>
        <v>3126.61631033432</v>
      </c>
      <c r="AQ138" s="65" t="n">
        <f aca="false">-AQ103*Inputs!$C$36/30</f>
        <v>3126.61631033432</v>
      </c>
      <c r="AR138" s="65" t="n">
        <f aca="false">-AR103*Inputs!$C$36/30</f>
        <v>3126.61631033432</v>
      </c>
      <c r="AS138" s="65" t="n">
        <f aca="false">-AS103*Inputs!$C$36/30</f>
        <v>3126.61631033432</v>
      </c>
      <c r="AT138" s="65" t="n">
        <f aca="false">-AT103*Inputs!$C$36/30</f>
        <v>3126.61631033432</v>
      </c>
      <c r="AU138" s="65" t="n">
        <f aca="false">-AU103*Inputs!$C$36/30</f>
        <v>3126.61631033432</v>
      </c>
      <c r="AV138" s="65" t="n">
        <f aca="false">-AV103*Inputs!$C$36/30</f>
        <v>3126.61631033432</v>
      </c>
      <c r="AW138" s="65" t="n">
        <f aca="false">-AW103*Inputs!$C$36/30</f>
        <v>3126.61631033432</v>
      </c>
      <c r="AX138" s="65" t="n">
        <f aca="false">-AX103*Inputs!$C$36/30</f>
        <v>3126.61631033432</v>
      </c>
      <c r="AY138" s="65" t="n">
        <f aca="false">-AY103*Inputs!$C$36/30</f>
        <v>3413.63968762301</v>
      </c>
      <c r="AZ138" s="65" t="n">
        <f aca="false">-AZ103*Inputs!$C$36/30</f>
        <v>3413.63968762301</v>
      </c>
      <c r="BA138" s="65" t="n">
        <f aca="false">-BA103*Inputs!$C$36/30</f>
        <v>3413.63968762301</v>
      </c>
      <c r="BB138" s="65" t="n">
        <f aca="false">-BB103*Inputs!$C$36/30</f>
        <v>3413.63968762301</v>
      </c>
      <c r="BC138" s="65" t="n">
        <f aca="false">-BC103*Inputs!$C$36/30</f>
        <v>3413.63968762301</v>
      </c>
      <c r="BD138" s="65" t="n">
        <f aca="false">-BD103*Inputs!$C$36/30</f>
        <v>3413.63968762301</v>
      </c>
      <c r="BE138" s="65" t="n">
        <f aca="false">-BE103*Inputs!$C$36/30</f>
        <v>3413.63968762301</v>
      </c>
      <c r="BF138" s="65" t="n">
        <f aca="false">-BF103*Inputs!$C$36/30</f>
        <v>3413.63968762301</v>
      </c>
      <c r="BG138" s="65" t="n">
        <f aca="false">-BG103*Inputs!$C$36/30</f>
        <v>3413.63968762301</v>
      </c>
      <c r="BH138" s="65" t="n">
        <f aca="false">-BH103*Inputs!$C$36/30</f>
        <v>3413.63968762301</v>
      </c>
      <c r="BI138" s="65" t="n">
        <f aca="false">-BI103*Inputs!$C$36/30</f>
        <v>3413.63968762301</v>
      </c>
      <c r="BJ138" s="65" t="n">
        <f aca="false">-BJ103*Inputs!$C$36/30</f>
        <v>3413.63968762301</v>
      </c>
    </row>
    <row r="139" customFormat="false" ht="15" hidden="false" customHeight="false" outlineLevel="0" collapsed="false">
      <c r="A139" s="6" t="s">
        <v>92</v>
      </c>
      <c r="C139" s="65" t="n">
        <f aca="false">-C103*Inputs!$C$37/30</f>
        <v>2402.4</v>
      </c>
      <c r="D139" s="65" t="n">
        <f aca="false">-D103*Inputs!$C$37/30</f>
        <v>2802.8</v>
      </c>
      <c r="E139" s="65" t="n">
        <f aca="false">-E103*Inputs!$C$37/30</f>
        <v>3203.2</v>
      </c>
      <c r="F139" s="65" t="n">
        <f aca="false">-F103*Inputs!$C$37/30</f>
        <v>3603.6</v>
      </c>
      <c r="G139" s="65" t="n">
        <f aca="false">-G103*Inputs!$C$37/30</f>
        <v>4004</v>
      </c>
      <c r="H139" s="65" t="n">
        <f aca="false">-H103*Inputs!$C$37/30</f>
        <v>4404.4</v>
      </c>
      <c r="I139" s="65" t="n">
        <f aca="false">-I103*Inputs!$C$37/30</f>
        <v>4804.8</v>
      </c>
      <c r="J139" s="65" t="n">
        <f aca="false">-J103*Inputs!$C$37/30</f>
        <v>4804.8</v>
      </c>
      <c r="K139" s="65" t="n">
        <f aca="false">-K103*Inputs!$C$37/30</f>
        <v>4804.8</v>
      </c>
      <c r="L139" s="65" t="n">
        <f aca="false">-L103*Inputs!$C$37/30</f>
        <v>4804.8</v>
      </c>
      <c r="M139" s="65" t="n">
        <f aca="false">-M103*Inputs!$C$37/30</f>
        <v>4804.8</v>
      </c>
      <c r="N139" s="65" t="n">
        <f aca="false">-N103*Inputs!$C$37/30</f>
        <v>4804.8</v>
      </c>
      <c r="O139" s="65" t="n">
        <f aca="false">-O103*Inputs!$C$37/30</f>
        <v>5245.88064</v>
      </c>
      <c r="P139" s="65" t="n">
        <f aca="false">-P103*Inputs!$C$37/30</f>
        <v>5245.88064</v>
      </c>
      <c r="Q139" s="65" t="n">
        <f aca="false">-Q103*Inputs!$C$37/30</f>
        <v>5245.88064</v>
      </c>
      <c r="R139" s="65" t="n">
        <f aca="false">-R103*Inputs!$C$37/30</f>
        <v>5245.88064</v>
      </c>
      <c r="S139" s="65" t="n">
        <f aca="false">-S103*Inputs!$C$37/30</f>
        <v>5245.88064</v>
      </c>
      <c r="T139" s="65" t="n">
        <f aca="false">-T103*Inputs!$C$37/30</f>
        <v>5245.88064</v>
      </c>
      <c r="U139" s="65" t="n">
        <f aca="false">-U103*Inputs!$C$37/30</f>
        <v>5245.88064</v>
      </c>
      <c r="V139" s="65" t="n">
        <f aca="false">-V103*Inputs!$C$37/30</f>
        <v>5245.88064</v>
      </c>
      <c r="W139" s="65" t="n">
        <f aca="false">-W103*Inputs!$C$37/30</f>
        <v>5245.88064</v>
      </c>
      <c r="X139" s="65" t="n">
        <f aca="false">-X103*Inputs!$C$37/30</f>
        <v>5245.88064</v>
      </c>
      <c r="Y139" s="65" t="n">
        <f aca="false">-Y103*Inputs!$C$37/30</f>
        <v>5245.88064</v>
      </c>
      <c r="Z139" s="65" t="n">
        <f aca="false">-Z103*Inputs!$C$37/30</f>
        <v>5245.88064</v>
      </c>
      <c r="AA139" s="65" t="n">
        <f aca="false">-AA103*Inputs!$C$37/30</f>
        <v>5727.452482752</v>
      </c>
      <c r="AB139" s="65" t="n">
        <f aca="false">-AB103*Inputs!$C$37/30</f>
        <v>5727.452482752</v>
      </c>
      <c r="AC139" s="65" t="n">
        <f aca="false">-AC103*Inputs!$C$37/30</f>
        <v>5727.452482752</v>
      </c>
      <c r="AD139" s="65" t="n">
        <f aca="false">-AD103*Inputs!$C$37/30</f>
        <v>5727.452482752</v>
      </c>
      <c r="AE139" s="65" t="n">
        <f aca="false">-AE103*Inputs!$C$37/30</f>
        <v>5727.452482752</v>
      </c>
      <c r="AF139" s="65" t="n">
        <f aca="false">-AF103*Inputs!$C$37/30</f>
        <v>5727.452482752</v>
      </c>
      <c r="AG139" s="65" t="n">
        <f aca="false">-AG103*Inputs!$C$37/30</f>
        <v>5727.452482752</v>
      </c>
      <c r="AH139" s="65" t="n">
        <f aca="false">-AH103*Inputs!$C$37/30</f>
        <v>5727.452482752</v>
      </c>
      <c r="AI139" s="65" t="n">
        <f aca="false">-AI103*Inputs!$C$37/30</f>
        <v>5727.452482752</v>
      </c>
      <c r="AJ139" s="65" t="n">
        <f aca="false">-AJ103*Inputs!$C$37/30</f>
        <v>5727.452482752</v>
      </c>
      <c r="AK139" s="65" t="n">
        <f aca="false">-AK103*Inputs!$C$37/30</f>
        <v>5727.452482752</v>
      </c>
      <c r="AL139" s="65" t="n">
        <f aca="false">-AL103*Inputs!$C$37/30</f>
        <v>5727.452482752</v>
      </c>
      <c r="AM139" s="65" t="n">
        <f aca="false">-AM103*Inputs!$C$37/30</f>
        <v>6253.23262066864</v>
      </c>
      <c r="AN139" s="65" t="n">
        <f aca="false">-AN103*Inputs!$C$37/30</f>
        <v>6253.23262066864</v>
      </c>
      <c r="AO139" s="65" t="n">
        <f aca="false">-AO103*Inputs!$C$37/30</f>
        <v>6253.23262066864</v>
      </c>
      <c r="AP139" s="65" t="n">
        <f aca="false">-AP103*Inputs!$C$37/30</f>
        <v>6253.23262066864</v>
      </c>
      <c r="AQ139" s="65" t="n">
        <f aca="false">-AQ103*Inputs!$C$37/30</f>
        <v>6253.23262066864</v>
      </c>
      <c r="AR139" s="65" t="n">
        <f aca="false">-AR103*Inputs!$C$37/30</f>
        <v>6253.23262066864</v>
      </c>
      <c r="AS139" s="65" t="n">
        <f aca="false">-AS103*Inputs!$C$37/30</f>
        <v>6253.23262066864</v>
      </c>
      <c r="AT139" s="65" t="n">
        <f aca="false">-AT103*Inputs!$C$37/30</f>
        <v>6253.23262066864</v>
      </c>
      <c r="AU139" s="65" t="n">
        <f aca="false">-AU103*Inputs!$C$37/30</f>
        <v>6253.23262066864</v>
      </c>
      <c r="AV139" s="65" t="n">
        <f aca="false">-AV103*Inputs!$C$37/30</f>
        <v>6253.23262066864</v>
      </c>
      <c r="AW139" s="65" t="n">
        <f aca="false">-AW103*Inputs!$C$37/30</f>
        <v>6253.23262066864</v>
      </c>
      <c r="AX139" s="65" t="n">
        <f aca="false">-AX103*Inputs!$C$37/30</f>
        <v>6253.23262066864</v>
      </c>
      <c r="AY139" s="65" t="n">
        <f aca="false">-AY103*Inputs!$C$37/30</f>
        <v>6827.27937524602</v>
      </c>
      <c r="AZ139" s="65" t="n">
        <f aca="false">-AZ103*Inputs!$C$37/30</f>
        <v>6827.27937524602</v>
      </c>
      <c r="BA139" s="65" t="n">
        <f aca="false">-BA103*Inputs!$C$37/30</f>
        <v>6827.27937524602</v>
      </c>
      <c r="BB139" s="65" t="n">
        <f aca="false">-BB103*Inputs!$C$37/30</f>
        <v>6827.27937524602</v>
      </c>
      <c r="BC139" s="65" t="n">
        <f aca="false">-BC103*Inputs!$C$37/30</f>
        <v>6827.27937524602</v>
      </c>
      <c r="BD139" s="65" t="n">
        <f aca="false">-BD103*Inputs!$C$37/30</f>
        <v>6827.27937524602</v>
      </c>
      <c r="BE139" s="65" t="n">
        <f aca="false">-BE103*Inputs!$C$37/30</f>
        <v>6827.27937524602</v>
      </c>
      <c r="BF139" s="65" t="n">
        <f aca="false">-BF103*Inputs!$C$37/30</f>
        <v>6827.27937524602</v>
      </c>
      <c r="BG139" s="65" t="n">
        <f aca="false">-BG103*Inputs!$C$37/30</f>
        <v>6827.27937524602</v>
      </c>
      <c r="BH139" s="65" t="n">
        <f aca="false">-BH103*Inputs!$C$37/30</f>
        <v>6827.27937524602</v>
      </c>
      <c r="BI139" s="65" t="n">
        <f aca="false">-BI103*Inputs!$C$37/30</f>
        <v>6827.27937524602</v>
      </c>
      <c r="BJ139" s="65" t="n">
        <f aca="false">-BJ103*Inputs!$C$37/30</f>
        <v>6827.27937524602</v>
      </c>
    </row>
    <row r="140" customFormat="false" ht="15" hidden="false" customHeight="false" outlineLevel="0" collapsed="false">
      <c r="A140" s="6" t="s">
        <v>291</v>
      </c>
      <c r="C140" s="65" t="n">
        <f aca="false">-C137</f>
        <v>-1040</v>
      </c>
      <c r="D140" s="65" t="n">
        <f aca="false">C137-D137</f>
        <v>-173.333333333333</v>
      </c>
      <c r="E140" s="65" t="n">
        <f aca="false">D137-E137</f>
        <v>-173.333333333333</v>
      </c>
      <c r="F140" s="65" t="n">
        <f aca="false">E137-F137</f>
        <v>-173.333333333333</v>
      </c>
      <c r="G140" s="65" t="n">
        <f aca="false">F137-G137</f>
        <v>-173.333333333333</v>
      </c>
      <c r="H140" s="65" t="n">
        <f aca="false">G137-H137</f>
        <v>-173.333333333334</v>
      </c>
      <c r="I140" s="65" t="n">
        <f aca="false">H137-I137</f>
        <v>-173.333333333333</v>
      </c>
      <c r="J140" s="65" t="n">
        <f aca="false">I137-J137</f>
        <v>0</v>
      </c>
      <c r="K140" s="65" t="n">
        <f aca="false">J137-K137</f>
        <v>0</v>
      </c>
      <c r="L140" s="65" t="n">
        <f aca="false">K137-L137</f>
        <v>0</v>
      </c>
      <c r="M140" s="65" t="n">
        <f aca="false">L137-M137</f>
        <v>0</v>
      </c>
      <c r="N140" s="65" t="n">
        <f aca="false">M137-N137</f>
        <v>0</v>
      </c>
      <c r="O140" s="65" t="n">
        <f aca="false">N137-O137</f>
        <v>-190.944</v>
      </c>
      <c r="P140" s="65" t="n">
        <f aca="false">O137-P137</f>
        <v>0</v>
      </c>
      <c r="Q140" s="65" t="n">
        <f aca="false">P137-Q137</f>
        <v>0</v>
      </c>
      <c r="R140" s="65" t="n">
        <f aca="false">Q137-R137</f>
        <v>0</v>
      </c>
      <c r="S140" s="65" t="n">
        <f aca="false">R137-S137</f>
        <v>0</v>
      </c>
      <c r="T140" s="65" t="n">
        <f aca="false">S137-T137</f>
        <v>0</v>
      </c>
      <c r="U140" s="65" t="n">
        <f aca="false">T137-U137</f>
        <v>0</v>
      </c>
      <c r="V140" s="65" t="n">
        <f aca="false">U137-V137</f>
        <v>0</v>
      </c>
      <c r="W140" s="65" t="n">
        <f aca="false">V137-W137</f>
        <v>0</v>
      </c>
      <c r="X140" s="65" t="n">
        <f aca="false">W137-X137</f>
        <v>0</v>
      </c>
      <c r="Y140" s="65" t="n">
        <f aca="false">X137-Y137</f>
        <v>0</v>
      </c>
      <c r="Z140" s="65" t="n">
        <f aca="false">Y137-Z137</f>
        <v>0</v>
      </c>
      <c r="AA140" s="65" t="n">
        <f aca="false">Z137-AA137</f>
        <v>-208.4726592</v>
      </c>
      <c r="AB140" s="65" t="n">
        <f aca="false">AA137-AB137</f>
        <v>0</v>
      </c>
      <c r="AC140" s="65" t="n">
        <f aca="false">AB137-AC137</f>
        <v>0</v>
      </c>
      <c r="AD140" s="65" t="n">
        <f aca="false">AC137-AD137</f>
        <v>0</v>
      </c>
      <c r="AE140" s="65" t="n">
        <f aca="false">AD137-AE137</f>
        <v>0</v>
      </c>
      <c r="AF140" s="65" t="n">
        <f aca="false">AE137-AF137</f>
        <v>0</v>
      </c>
      <c r="AG140" s="65" t="n">
        <f aca="false">AF137-AG137</f>
        <v>0</v>
      </c>
      <c r="AH140" s="65" t="n">
        <f aca="false">AG137-AH137</f>
        <v>0</v>
      </c>
      <c r="AI140" s="65" t="n">
        <f aca="false">AH137-AI137</f>
        <v>0</v>
      </c>
      <c r="AJ140" s="65" t="n">
        <f aca="false">AI137-AJ137</f>
        <v>0</v>
      </c>
      <c r="AK140" s="65" t="n">
        <f aca="false">AJ137-AK137</f>
        <v>0</v>
      </c>
      <c r="AL140" s="65" t="n">
        <f aca="false">AK137-AL137</f>
        <v>0</v>
      </c>
      <c r="AM140" s="65" t="n">
        <f aca="false">AL137-AM137</f>
        <v>-227.61044931456</v>
      </c>
      <c r="AN140" s="65" t="n">
        <f aca="false">AM137-AN137</f>
        <v>0</v>
      </c>
      <c r="AO140" s="65" t="n">
        <f aca="false">AN137-AO137</f>
        <v>0</v>
      </c>
      <c r="AP140" s="65" t="n">
        <f aca="false">AO137-AP137</f>
        <v>0</v>
      </c>
      <c r="AQ140" s="65" t="n">
        <f aca="false">AP137-AQ137</f>
        <v>0</v>
      </c>
      <c r="AR140" s="65" t="n">
        <f aca="false">AQ137-AR137</f>
        <v>0</v>
      </c>
      <c r="AS140" s="65" t="n">
        <f aca="false">AR137-AS137</f>
        <v>0</v>
      </c>
      <c r="AT140" s="65" t="n">
        <f aca="false">AS137-AT137</f>
        <v>0</v>
      </c>
      <c r="AU140" s="65" t="n">
        <f aca="false">AT137-AU137</f>
        <v>0</v>
      </c>
      <c r="AV140" s="65" t="n">
        <f aca="false">AU137-AV137</f>
        <v>0</v>
      </c>
      <c r="AW140" s="65" t="n">
        <f aca="false">AV137-AW137</f>
        <v>0</v>
      </c>
      <c r="AX140" s="65" t="n">
        <f aca="false">AW137-AX137</f>
        <v>0</v>
      </c>
      <c r="AY140" s="65" t="n">
        <f aca="false">AX137-AY137</f>
        <v>-248.505088561637</v>
      </c>
      <c r="AZ140" s="65" t="n">
        <f aca="false">AY137-AZ137</f>
        <v>0</v>
      </c>
      <c r="BA140" s="65" t="n">
        <f aca="false">AZ137-BA137</f>
        <v>0</v>
      </c>
      <c r="BB140" s="65" t="n">
        <f aca="false">BA137-BB137</f>
        <v>0</v>
      </c>
      <c r="BC140" s="65" t="n">
        <f aca="false">BB137-BC137</f>
        <v>0</v>
      </c>
      <c r="BD140" s="65" t="n">
        <f aca="false">BC137-BD137</f>
        <v>0</v>
      </c>
      <c r="BE140" s="65" t="n">
        <f aca="false">BD137-BE137</f>
        <v>0</v>
      </c>
      <c r="BF140" s="65" t="n">
        <f aca="false">BE137-BF137</f>
        <v>0</v>
      </c>
      <c r="BG140" s="65" t="n">
        <f aca="false">BF137-BG137</f>
        <v>0</v>
      </c>
      <c r="BH140" s="65" t="n">
        <f aca="false">BG137-BH137</f>
        <v>0</v>
      </c>
      <c r="BI140" s="65" t="n">
        <f aca="false">BH137-BI137</f>
        <v>0</v>
      </c>
      <c r="BJ140" s="65" t="n">
        <f aca="false">BI137-BJ137</f>
        <v>0</v>
      </c>
    </row>
    <row r="141" customFormat="false" ht="15" hidden="false" customHeight="false" outlineLevel="0" collapsed="false">
      <c r="A141" s="6" t="s">
        <v>292</v>
      </c>
      <c r="C141" s="65" t="n">
        <f aca="false">-C138</f>
        <v>-1201.2</v>
      </c>
      <c r="D141" s="65" t="n">
        <f aca="false">C138-D138</f>
        <v>-200.200000000001</v>
      </c>
      <c r="E141" s="65" t="n">
        <f aca="false">D138-E138</f>
        <v>-200.199999999999</v>
      </c>
      <c r="F141" s="65" t="n">
        <f aca="false">E138-F138</f>
        <v>-200.2</v>
      </c>
      <c r="G141" s="65" t="n">
        <f aca="false">F138-G138</f>
        <v>-200.2</v>
      </c>
      <c r="H141" s="65" t="n">
        <f aca="false">G138-H138</f>
        <v>-200.2</v>
      </c>
      <c r="I141" s="65" t="n">
        <f aca="false">H138-I138</f>
        <v>-200.2</v>
      </c>
      <c r="J141" s="65" t="n">
        <f aca="false">I138-J138</f>
        <v>0</v>
      </c>
      <c r="K141" s="65" t="n">
        <f aca="false">J138-K138</f>
        <v>0</v>
      </c>
      <c r="L141" s="65" t="n">
        <f aca="false">K138-L138</f>
        <v>0</v>
      </c>
      <c r="M141" s="65" t="n">
        <f aca="false">L138-M138</f>
        <v>0</v>
      </c>
      <c r="N141" s="65" t="n">
        <f aca="false">M138-N138</f>
        <v>0</v>
      </c>
      <c r="O141" s="65" t="n">
        <f aca="false">N138-O138</f>
        <v>-220.540320000001</v>
      </c>
      <c r="P141" s="65" t="n">
        <f aca="false">O138-P138</f>
        <v>0</v>
      </c>
      <c r="Q141" s="65" t="n">
        <f aca="false">P138-Q138</f>
        <v>0</v>
      </c>
      <c r="R141" s="65" t="n">
        <f aca="false">Q138-R138</f>
        <v>0</v>
      </c>
      <c r="S141" s="65" t="n">
        <f aca="false">R138-S138</f>
        <v>0</v>
      </c>
      <c r="T141" s="65" t="n">
        <f aca="false">S138-T138</f>
        <v>0</v>
      </c>
      <c r="U141" s="65" t="n">
        <f aca="false">T138-U138</f>
        <v>0</v>
      </c>
      <c r="V141" s="65" t="n">
        <f aca="false">U138-V138</f>
        <v>0</v>
      </c>
      <c r="W141" s="65" t="n">
        <f aca="false">V138-W138</f>
        <v>0</v>
      </c>
      <c r="X141" s="65" t="n">
        <f aca="false">W138-X138</f>
        <v>0</v>
      </c>
      <c r="Y141" s="65" t="n">
        <f aca="false">X138-Y138</f>
        <v>0</v>
      </c>
      <c r="Z141" s="65" t="n">
        <f aca="false">Y138-Z138</f>
        <v>0</v>
      </c>
      <c r="AA141" s="65" t="n">
        <f aca="false">Z138-AA138</f>
        <v>-240.785921376</v>
      </c>
      <c r="AB141" s="65" t="n">
        <f aca="false">AA138-AB138</f>
        <v>0</v>
      </c>
      <c r="AC141" s="65" t="n">
        <f aca="false">AB138-AC138</f>
        <v>0</v>
      </c>
      <c r="AD141" s="65" t="n">
        <f aca="false">AC138-AD138</f>
        <v>0</v>
      </c>
      <c r="AE141" s="65" t="n">
        <f aca="false">AD138-AE138</f>
        <v>0</v>
      </c>
      <c r="AF141" s="65" t="n">
        <f aca="false">AE138-AF138</f>
        <v>0</v>
      </c>
      <c r="AG141" s="65" t="n">
        <f aca="false">AF138-AG138</f>
        <v>0</v>
      </c>
      <c r="AH141" s="65" t="n">
        <f aca="false">AG138-AH138</f>
        <v>0</v>
      </c>
      <c r="AI141" s="65" t="n">
        <f aca="false">AH138-AI138</f>
        <v>0</v>
      </c>
      <c r="AJ141" s="65" t="n">
        <f aca="false">AI138-AJ138</f>
        <v>0</v>
      </c>
      <c r="AK141" s="65" t="n">
        <f aca="false">AJ138-AK138</f>
        <v>0</v>
      </c>
      <c r="AL141" s="65" t="n">
        <f aca="false">AK138-AL138</f>
        <v>0</v>
      </c>
      <c r="AM141" s="65" t="n">
        <f aca="false">AL138-AM138</f>
        <v>-262.890068958317</v>
      </c>
      <c r="AN141" s="65" t="n">
        <f aca="false">AM138-AN138</f>
        <v>0</v>
      </c>
      <c r="AO141" s="65" t="n">
        <f aca="false">AN138-AO138</f>
        <v>0</v>
      </c>
      <c r="AP141" s="65" t="n">
        <f aca="false">AO138-AP138</f>
        <v>0</v>
      </c>
      <c r="AQ141" s="65" t="n">
        <f aca="false">AP138-AQ138</f>
        <v>0</v>
      </c>
      <c r="AR141" s="65" t="n">
        <f aca="false">AQ138-AR138</f>
        <v>0</v>
      </c>
      <c r="AS141" s="65" t="n">
        <f aca="false">AR138-AS138</f>
        <v>0</v>
      </c>
      <c r="AT141" s="65" t="n">
        <f aca="false">AS138-AT138</f>
        <v>0</v>
      </c>
      <c r="AU141" s="65" t="n">
        <f aca="false">AT138-AU138</f>
        <v>0</v>
      </c>
      <c r="AV141" s="65" t="n">
        <f aca="false">AU138-AV138</f>
        <v>0</v>
      </c>
      <c r="AW141" s="65" t="n">
        <f aca="false">AV138-AW138</f>
        <v>0</v>
      </c>
      <c r="AX141" s="65" t="n">
        <f aca="false">AW138-AX138</f>
        <v>0</v>
      </c>
      <c r="AY141" s="65" t="n">
        <f aca="false">AX138-AY138</f>
        <v>-287.02337728869</v>
      </c>
      <c r="AZ141" s="65" t="n">
        <f aca="false">AY138-AZ138</f>
        <v>0</v>
      </c>
      <c r="BA141" s="65" t="n">
        <f aca="false">AZ138-BA138</f>
        <v>0</v>
      </c>
      <c r="BB141" s="65" t="n">
        <f aca="false">BA138-BB138</f>
        <v>0</v>
      </c>
      <c r="BC141" s="65" t="n">
        <f aca="false">BB138-BC138</f>
        <v>0</v>
      </c>
      <c r="BD141" s="65" t="n">
        <f aca="false">BC138-BD138</f>
        <v>0</v>
      </c>
      <c r="BE141" s="65" t="n">
        <f aca="false">BD138-BE138</f>
        <v>0</v>
      </c>
      <c r="BF141" s="65" t="n">
        <f aca="false">BE138-BF138</f>
        <v>0</v>
      </c>
      <c r="BG141" s="65" t="n">
        <f aca="false">BF138-BG138</f>
        <v>0</v>
      </c>
      <c r="BH141" s="65" t="n">
        <f aca="false">BG138-BH138</f>
        <v>0</v>
      </c>
      <c r="BI141" s="65" t="n">
        <f aca="false">BH138-BI138</f>
        <v>0</v>
      </c>
      <c r="BJ141" s="65" t="n">
        <f aca="false">BI138-BJ138</f>
        <v>0</v>
      </c>
    </row>
    <row r="142" customFormat="false" ht="15" hidden="false" customHeight="false" outlineLevel="0" collapsed="false">
      <c r="A142" s="6" t="s">
        <v>293</v>
      </c>
      <c r="C142" s="65" t="n">
        <f aca="false">C139</f>
        <v>2402.4</v>
      </c>
      <c r="D142" s="65" t="n">
        <f aca="false">D139-C139</f>
        <v>400.400000000001</v>
      </c>
      <c r="E142" s="65" t="n">
        <f aca="false">E139-D139</f>
        <v>400.399999999998</v>
      </c>
      <c r="F142" s="65" t="n">
        <f aca="false">F139-E139</f>
        <v>400.400000000001</v>
      </c>
      <c r="G142" s="65" t="n">
        <f aca="false">G139-F139</f>
        <v>400.4</v>
      </c>
      <c r="H142" s="65" t="n">
        <f aca="false">H139-G139</f>
        <v>400.400000000001</v>
      </c>
      <c r="I142" s="65" t="n">
        <f aca="false">I139-H139</f>
        <v>400.4</v>
      </c>
      <c r="J142" s="65" t="n">
        <f aca="false">J139-I139</f>
        <v>0</v>
      </c>
      <c r="K142" s="65" t="n">
        <f aca="false">K139-J139</f>
        <v>0</v>
      </c>
      <c r="L142" s="65" t="n">
        <f aca="false">L139-K139</f>
        <v>0</v>
      </c>
      <c r="M142" s="65" t="n">
        <f aca="false">M139-L139</f>
        <v>0</v>
      </c>
      <c r="N142" s="65" t="n">
        <f aca="false">N139-M139</f>
        <v>0</v>
      </c>
      <c r="O142" s="65" t="n">
        <f aca="false">O139-N139</f>
        <v>441.080640000001</v>
      </c>
      <c r="P142" s="65" t="n">
        <f aca="false">P139-O139</f>
        <v>0</v>
      </c>
      <c r="Q142" s="65" t="n">
        <f aca="false">Q139-P139</f>
        <v>0</v>
      </c>
      <c r="R142" s="65" t="n">
        <f aca="false">R139-Q139</f>
        <v>0</v>
      </c>
      <c r="S142" s="65" t="n">
        <f aca="false">S139-R139</f>
        <v>0</v>
      </c>
      <c r="T142" s="65" t="n">
        <f aca="false">T139-S139</f>
        <v>0</v>
      </c>
      <c r="U142" s="65" t="n">
        <f aca="false">U139-T139</f>
        <v>0</v>
      </c>
      <c r="V142" s="65" t="n">
        <f aca="false">V139-U139</f>
        <v>0</v>
      </c>
      <c r="W142" s="65" t="n">
        <f aca="false">W139-V139</f>
        <v>0</v>
      </c>
      <c r="X142" s="65" t="n">
        <f aca="false">X139-W139</f>
        <v>0</v>
      </c>
      <c r="Y142" s="65" t="n">
        <f aca="false">Y139-X139</f>
        <v>0</v>
      </c>
      <c r="Z142" s="65" t="n">
        <f aca="false">Z139-Y139</f>
        <v>0</v>
      </c>
      <c r="AA142" s="65" t="n">
        <f aca="false">AA139-Z139</f>
        <v>481.571842752001</v>
      </c>
      <c r="AB142" s="65" t="n">
        <f aca="false">AB139-AA139</f>
        <v>0</v>
      </c>
      <c r="AC142" s="65" t="n">
        <f aca="false">AC139-AB139</f>
        <v>0</v>
      </c>
      <c r="AD142" s="65" t="n">
        <f aca="false">AD139-AC139</f>
        <v>0</v>
      </c>
      <c r="AE142" s="65" t="n">
        <f aca="false">AE139-AD139</f>
        <v>0</v>
      </c>
      <c r="AF142" s="65" t="n">
        <f aca="false">AF139-AE139</f>
        <v>0</v>
      </c>
      <c r="AG142" s="65" t="n">
        <f aca="false">AG139-AF139</f>
        <v>0</v>
      </c>
      <c r="AH142" s="65" t="n">
        <f aca="false">AH139-AG139</f>
        <v>0</v>
      </c>
      <c r="AI142" s="65" t="n">
        <f aca="false">AI139-AH139</f>
        <v>0</v>
      </c>
      <c r="AJ142" s="65" t="n">
        <f aca="false">AJ139-AI139</f>
        <v>0</v>
      </c>
      <c r="AK142" s="65" t="n">
        <f aca="false">AK139-AJ139</f>
        <v>0</v>
      </c>
      <c r="AL142" s="65" t="n">
        <f aca="false">AL139-AK139</f>
        <v>0</v>
      </c>
      <c r="AM142" s="65" t="n">
        <f aca="false">AM139-AL139</f>
        <v>525.780137916634</v>
      </c>
      <c r="AN142" s="65" t="n">
        <f aca="false">AN139-AM139</f>
        <v>0</v>
      </c>
      <c r="AO142" s="65" t="n">
        <f aca="false">AO139-AN139</f>
        <v>0</v>
      </c>
      <c r="AP142" s="65" t="n">
        <f aca="false">AP139-AO139</f>
        <v>0</v>
      </c>
      <c r="AQ142" s="65" t="n">
        <f aca="false">AQ139-AP139</f>
        <v>0</v>
      </c>
      <c r="AR142" s="65" t="n">
        <f aca="false">AR139-AQ139</f>
        <v>0</v>
      </c>
      <c r="AS142" s="65" t="n">
        <f aca="false">AS139-AR139</f>
        <v>0</v>
      </c>
      <c r="AT142" s="65" t="n">
        <f aca="false">AT139-AS139</f>
        <v>0</v>
      </c>
      <c r="AU142" s="65" t="n">
        <f aca="false">AU139-AT139</f>
        <v>0</v>
      </c>
      <c r="AV142" s="65" t="n">
        <f aca="false">AV139-AU139</f>
        <v>0</v>
      </c>
      <c r="AW142" s="65" t="n">
        <f aca="false">AW139-AV139</f>
        <v>0</v>
      </c>
      <c r="AX142" s="65" t="n">
        <f aca="false">AX139-AW139</f>
        <v>0</v>
      </c>
      <c r="AY142" s="65" t="n">
        <f aca="false">AY139-AX139</f>
        <v>574.046754577381</v>
      </c>
      <c r="AZ142" s="65" t="n">
        <f aca="false">AZ139-AY139</f>
        <v>0</v>
      </c>
      <c r="BA142" s="65" t="n">
        <f aca="false">BA139-AZ139</f>
        <v>0</v>
      </c>
      <c r="BB142" s="65" t="n">
        <f aca="false">BB139-BA139</f>
        <v>0</v>
      </c>
      <c r="BC142" s="65" t="n">
        <f aca="false">BC139-BB139</f>
        <v>0</v>
      </c>
      <c r="BD142" s="65" t="n">
        <f aca="false">BD139-BC139</f>
        <v>0</v>
      </c>
      <c r="BE142" s="65" t="n">
        <f aca="false">BE139-BD139</f>
        <v>0</v>
      </c>
      <c r="BF142" s="65" t="n">
        <f aca="false">BF139-BE139</f>
        <v>0</v>
      </c>
      <c r="BG142" s="65" t="n">
        <f aca="false">BG139-BF139</f>
        <v>0</v>
      </c>
      <c r="BH142" s="65" t="n">
        <f aca="false">BH139-BG139</f>
        <v>0</v>
      </c>
      <c r="BI142" s="65" t="n">
        <f aca="false">BI139-BH139</f>
        <v>0</v>
      </c>
      <c r="BJ142" s="65" t="n">
        <f aca="false">BJ139-BI139</f>
        <v>0</v>
      </c>
    </row>
    <row r="144" customFormat="false" ht="15.75" hidden="false" customHeight="true" outlineLevel="0" collapsed="false">
      <c r="A144" s="7" t="s">
        <v>374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4" t="s">
        <v>52</v>
      </c>
      <c r="C145" s="71" t="n">
        <f aca="false">C121-C126+C140+C141+C142</f>
        <v>-7341.46666666667</v>
      </c>
      <c r="D145" s="71" t="n">
        <f aca="false">D121-D126+D140+D141+D142</f>
        <v>-5807.35555555556</v>
      </c>
      <c r="E145" s="71" t="n">
        <f aca="false">E121-E126+E140+E141+E142</f>
        <v>-4134.46666666667</v>
      </c>
      <c r="F145" s="71" t="n">
        <f aca="false">F121-F126+F140+F141+F142</f>
        <v>-2461.57777777778</v>
      </c>
      <c r="G145" s="71" t="n">
        <f aca="false">G121-G126+G140+G141+G142</f>
        <v>-788.688888888894</v>
      </c>
      <c r="H145" s="71" t="n">
        <f aca="false">H121-H126+H140+H141+H142</f>
        <v>884.199999999997</v>
      </c>
      <c r="I145" s="71" t="n">
        <f aca="false">I121-I126+I140+I141+I142</f>
        <v>2557.08888888889</v>
      </c>
      <c r="J145" s="71" t="n">
        <f aca="false">J121-J126+J140+J141+J142</f>
        <v>2539.11111111111</v>
      </c>
      <c r="K145" s="71" t="n">
        <f aca="false">K121-K126+K140+K141+K142</f>
        <v>2548</v>
      </c>
      <c r="L145" s="71" t="n">
        <f aca="false">L121-L126+L140+L141+L142</f>
        <v>2556.88888888889</v>
      </c>
      <c r="M145" s="71" t="n">
        <f aca="false">M121-M126+M140+M141+M142</f>
        <v>2565.77777777778</v>
      </c>
      <c r="N145" s="71" t="n">
        <f aca="false">N121-N126+N140+N141+N142</f>
        <v>2574.66666666666</v>
      </c>
      <c r="O145" s="71" t="n">
        <f aca="false">O121-O126+O140+O141+O142</f>
        <v>4132.61427555556</v>
      </c>
      <c r="P145" s="71" t="n">
        <f aca="false">P121-P126+P140+P141+P142</f>
        <v>4111.90684444445</v>
      </c>
      <c r="Q145" s="71" t="n">
        <f aca="false">Q121-Q126+Q140+Q141+Q142</f>
        <v>4120.79573333334</v>
      </c>
      <c r="R145" s="71" t="n">
        <f aca="false">R121-R126+R140+R141+R142</f>
        <v>4129.68462222222</v>
      </c>
      <c r="S145" s="71" t="n">
        <f aca="false">S121-S126+S140+S141+S142</f>
        <v>4138.57351111111</v>
      </c>
      <c r="T145" s="71" t="n">
        <f aca="false">T121-T126+T140+T141+T142</f>
        <v>4147.4624</v>
      </c>
      <c r="U145" s="71" t="n">
        <f aca="false">U121-U126+U140+U141+U142</f>
        <v>4156.35128888889</v>
      </c>
      <c r="V145" s="71" t="n">
        <f aca="false">V121-V126+V140+V141+V142</f>
        <v>4165.24017777778</v>
      </c>
      <c r="W145" s="71" t="n">
        <f aca="false">W121-W126+W140+W141+W142</f>
        <v>4174.12906666667</v>
      </c>
      <c r="X145" s="71" t="n">
        <f aca="false">X121-X126+X140+X141+X142</f>
        <v>4183.01795555556</v>
      </c>
      <c r="Y145" s="71" t="n">
        <f aca="false">Y121-Y126+Y140+Y141+Y142</f>
        <v>4191.90684444445</v>
      </c>
      <c r="Z145" s="71" t="n">
        <f aca="false">Z121-Z126+Z140+Z141+Z142</f>
        <v>4200.79573333334</v>
      </c>
      <c r="AA145" s="71" t="n">
        <f aca="false">AA121-AA126+AA140+AA141+AA142</f>
        <v>5193.38585977103</v>
      </c>
      <c r="AB145" s="71" t="n">
        <f aca="false">AB121-AB126+AB140+AB141+AB142</f>
        <v>5058.55340115058</v>
      </c>
      <c r="AC145" s="71" t="n">
        <f aca="false">AC121-AC126+AC140+AC141+AC142</f>
        <v>5065.5756233728</v>
      </c>
      <c r="AD145" s="71" t="n">
        <f aca="false">AD121-AD126+AD140+AD141+AD142</f>
        <v>5072.59784559503</v>
      </c>
      <c r="AE145" s="71" t="n">
        <f aca="false">AE121-AE126+AE140+AE141+AE142</f>
        <v>5079.62006781725</v>
      </c>
      <c r="AF145" s="71" t="n">
        <f aca="false">AF121-AF126+AF140+AF141+AF142</f>
        <v>5086.64229003947</v>
      </c>
      <c r="AG145" s="71" t="n">
        <f aca="false">AG121-AG126+AG140+AG141+AG142</f>
        <v>5093.66451226169</v>
      </c>
      <c r="AH145" s="71" t="n">
        <f aca="false">AH121-AH126+AH140+AH141+AH142</f>
        <v>5100.68673448392</v>
      </c>
      <c r="AI145" s="71" t="n">
        <f aca="false">AI121-AI126+AI140+AI141+AI142</f>
        <v>5107.70895670614</v>
      </c>
      <c r="AJ145" s="71" t="n">
        <f aca="false">AJ121-AJ126+AJ140+AJ141+AJ142</f>
        <v>5114.73117892836</v>
      </c>
      <c r="AK145" s="71" t="n">
        <f aca="false">AK121-AK126+AK140+AK141+AK142</f>
        <v>5121.75340115058</v>
      </c>
      <c r="AL145" s="71" t="n">
        <f aca="false">AL121-AL126+AL140+AL141+AL142</f>
        <v>5128.7756233728</v>
      </c>
      <c r="AM145" s="71" t="n">
        <f aca="false">AM121-AM126+AM140+AM141+AM142</f>
        <v>6634.44350324041</v>
      </c>
      <c r="AN145" s="71" t="n">
        <f aca="false">AN121-AN126+AN140+AN141+AN142</f>
        <v>6606.18610581887</v>
      </c>
      <c r="AO145" s="71" t="n">
        <f aca="false">AO121-AO126+AO140+AO141+AO142</f>
        <v>6613.2083280411</v>
      </c>
      <c r="AP145" s="71" t="n">
        <f aca="false">AP121-AP126+AP140+AP141+AP142</f>
        <v>6620.23055026332</v>
      </c>
      <c r="AQ145" s="71" t="n">
        <f aca="false">AQ121-AQ126+AQ140+AQ141+AQ142</f>
        <v>6627.25277248554</v>
      </c>
      <c r="AR145" s="71" t="n">
        <f aca="false">AR121-AR126+AR140+AR141+AR142</f>
        <v>6634.27499470776</v>
      </c>
      <c r="AS145" s="71" t="n">
        <f aca="false">AS121-AS126+AS140+AS141+AS142</f>
        <v>6641.29721692998</v>
      </c>
      <c r="AT145" s="71" t="n">
        <f aca="false">AT121-AT126+AT140+AT141+AT142</f>
        <v>6648.31943915221</v>
      </c>
      <c r="AU145" s="71" t="n">
        <f aca="false">AU121-AU126+AU140+AU141+AU142</f>
        <v>6655.34166137443</v>
      </c>
      <c r="AV145" s="71" t="n">
        <f aca="false">AV121-AV126+AV140+AV141+AV142</f>
        <v>6662.36388359665</v>
      </c>
      <c r="AW145" s="71" t="n">
        <f aca="false">AW121-AW126+AW140+AW141+AW142</f>
        <v>6669.38610581887</v>
      </c>
      <c r="AX145" s="71" t="n">
        <f aca="false">AX121-AX126+AX140+AX141+AX142</f>
        <v>6676.4083280411</v>
      </c>
      <c r="AY145" s="71" t="n">
        <f aca="false">AY121-AY126+AY140+AY141+AY142</f>
        <v>8335.89487275382</v>
      </c>
      <c r="AZ145" s="71" t="n">
        <f aca="false">AZ121-AZ126+AZ140+AZ141+AZ142</f>
        <v>8304.39880624899</v>
      </c>
      <c r="BA145" s="71" t="n">
        <f aca="false">BA121-BA126+BA140+BA141+BA142</f>
        <v>8311.42102847121</v>
      </c>
      <c r="BB145" s="71" t="n">
        <f aca="false">BB121-BB126+BB140+BB141+BB142</f>
        <v>8318.44325069344</v>
      </c>
      <c r="BC145" s="71" t="n">
        <f aca="false">BC121-BC126+BC140+BC141+BC142</f>
        <v>8325.46547291565</v>
      </c>
      <c r="BD145" s="71" t="n">
        <f aca="false">BD121-BD126+BD140+BD141+BD142</f>
        <v>8332.48769513788</v>
      </c>
      <c r="BE145" s="71" t="n">
        <f aca="false">BE121-BE126+BE140+BE141+BE142</f>
        <v>8339.5099173601</v>
      </c>
      <c r="BF145" s="71" t="n">
        <f aca="false">BF121-BF126+BF140+BF141+BF142</f>
        <v>8346.53213958232</v>
      </c>
      <c r="BG145" s="71" t="n">
        <f aca="false">BG121-BG126+BG140+BG141+BG142</f>
        <v>8353.55436180455</v>
      </c>
      <c r="BH145" s="71" t="n">
        <f aca="false">BH121-BH126+BH140+BH141+BH142</f>
        <v>8360.57658402677</v>
      </c>
      <c r="BI145" s="71" t="n">
        <f aca="false">BI121-BI126+BI140+BI141+BI142</f>
        <v>8367.59880624899</v>
      </c>
      <c r="BJ145" s="71" t="n">
        <f aca="false">BJ121-BJ126+BJ140+BJ141+BJ142</f>
        <v>8374.62102847121</v>
      </c>
    </row>
    <row r="146" customFormat="false" ht="15" hidden="false" customHeight="false" outlineLevel="0" collapsed="false">
      <c r="A146" s="6" t="s">
        <v>375</v>
      </c>
      <c r="C146" s="65" t="n">
        <f aca="false">-C124</f>
        <v>-160000</v>
      </c>
      <c r="D146" s="65" t="n">
        <f aca="false">-D124</f>
        <v>-0</v>
      </c>
      <c r="E146" s="65" t="n">
        <f aca="false">-E124</f>
        <v>-0</v>
      </c>
      <c r="F146" s="65" t="n">
        <f aca="false">-F124</f>
        <v>-0</v>
      </c>
      <c r="G146" s="65" t="n">
        <f aca="false">-G124</f>
        <v>-0</v>
      </c>
      <c r="H146" s="65" t="n">
        <f aca="false">-H124</f>
        <v>-0</v>
      </c>
      <c r="I146" s="65" t="n">
        <f aca="false">-I124</f>
        <v>-0</v>
      </c>
      <c r="J146" s="65" t="n">
        <f aca="false">-J124</f>
        <v>-0</v>
      </c>
      <c r="K146" s="65" t="n">
        <f aca="false">-K124</f>
        <v>-0</v>
      </c>
      <c r="L146" s="65" t="n">
        <f aca="false">-L124</f>
        <v>-0</v>
      </c>
      <c r="M146" s="65" t="n">
        <f aca="false">-M124</f>
        <v>-0</v>
      </c>
      <c r="N146" s="65" t="n">
        <f aca="false">-N124</f>
        <v>-0</v>
      </c>
      <c r="O146" s="65" t="n">
        <f aca="false">-O124</f>
        <v>-0</v>
      </c>
      <c r="P146" s="65" t="n">
        <f aca="false">-P124</f>
        <v>-0</v>
      </c>
      <c r="Q146" s="65" t="n">
        <f aca="false">-Q124</f>
        <v>-0</v>
      </c>
      <c r="R146" s="65" t="n">
        <f aca="false">-R124</f>
        <v>-0</v>
      </c>
      <c r="S146" s="65" t="n">
        <f aca="false">-S124</f>
        <v>-0</v>
      </c>
      <c r="T146" s="65" t="n">
        <f aca="false">-T124</f>
        <v>-0</v>
      </c>
      <c r="U146" s="65" t="n">
        <f aca="false">-U124</f>
        <v>-0</v>
      </c>
      <c r="V146" s="65" t="n">
        <f aca="false">-V124</f>
        <v>-0</v>
      </c>
      <c r="W146" s="65" t="n">
        <f aca="false">-W124</f>
        <v>-0</v>
      </c>
      <c r="X146" s="65" t="n">
        <f aca="false">-X124</f>
        <v>-0</v>
      </c>
      <c r="Y146" s="65" t="n">
        <f aca="false">-Y124</f>
        <v>-0</v>
      </c>
      <c r="Z146" s="65" t="n">
        <f aca="false">-Z124</f>
        <v>-0</v>
      </c>
      <c r="AA146" s="65" t="n">
        <f aca="false">-AA124</f>
        <v>-0</v>
      </c>
      <c r="AB146" s="65" t="n">
        <f aca="false">-AB124</f>
        <v>-0</v>
      </c>
      <c r="AC146" s="65" t="n">
        <f aca="false">-AC124</f>
        <v>-0</v>
      </c>
      <c r="AD146" s="65" t="n">
        <f aca="false">-AD124</f>
        <v>-0</v>
      </c>
      <c r="AE146" s="65" t="n">
        <f aca="false">-AE124</f>
        <v>-0</v>
      </c>
      <c r="AF146" s="65" t="n">
        <f aca="false">-AF124</f>
        <v>-0</v>
      </c>
      <c r="AG146" s="65" t="n">
        <f aca="false">-AG124</f>
        <v>-0</v>
      </c>
      <c r="AH146" s="65" t="n">
        <f aca="false">-AH124</f>
        <v>-0</v>
      </c>
      <c r="AI146" s="65" t="n">
        <f aca="false">-AI124</f>
        <v>-0</v>
      </c>
      <c r="AJ146" s="65" t="n">
        <f aca="false">-AJ124</f>
        <v>-0</v>
      </c>
      <c r="AK146" s="65" t="n">
        <f aca="false">-AK124</f>
        <v>-0</v>
      </c>
      <c r="AL146" s="65" t="n">
        <f aca="false">-AL124</f>
        <v>-0</v>
      </c>
      <c r="AM146" s="65" t="n">
        <f aca="false">-AM124</f>
        <v>-0</v>
      </c>
      <c r="AN146" s="65" t="n">
        <f aca="false">-AN124</f>
        <v>-0</v>
      </c>
      <c r="AO146" s="65" t="n">
        <f aca="false">-AO124</f>
        <v>-0</v>
      </c>
      <c r="AP146" s="65" t="n">
        <f aca="false">-AP124</f>
        <v>-0</v>
      </c>
      <c r="AQ146" s="65" t="n">
        <f aca="false">-AQ124</f>
        <v>-0</v>
      </c>
      <c r="AR146" s="65" t="n">
        <f aca="false">-AR124</f>
        <v>-0</v>
      </c>
      <c r="AS146" s="65" t="n">
        <f aca="false">-AS124</f>
        <v>-0</v>
      </c>
      <c r="AT146" s="65" t="n">
        <f aca="false">-AT124</f>
        <v>-0</v>
      </c>
      <c r="AU146" s="65" t="n">
        <f aca="false">-AU124</f>
        <v>-0</v>
      </c>
      <c r="AV146" s="65" t="n">
        <f aca="false">-AV124</f>
        <v>-0</v>
      </c>
      <c r="AW146" s="65" t="n">
        <f aca="false">-AW124</f>
        <v>-0</v>
      </c>
      <c r="AX146" s="65" t="n">
        <f aca="false">-AX124</f>
        <v>-0</v>
      </c>
      <c r="AY146" s="65" t="n">
        <f aca="false">-AY124</f>
        <v>-0</v>
      </c>
      <c r="AZ146" s="65" t="n">
        <f aca="false">-AZ124</f>
        <v>-0</v>
      </c>
      <c r="BA146" s="65" t="n">
        <f aca="false">-BA124</f>
        <v>-0</v>
      </c>
      <c r="BB146" s="65" t="n">
        <f aca="false">-BB124</f>
        <v>-0</v>
      </c>
      <c r="BC146" s="65" t="n">
        <f aca="false">-BC124</f>
        <v>-0</v>
      </c>
      <c r="BD146" s="65" t="n">
        <f aca="false">-BD124</f>
        <v>-0</v>
      </c>
      <c r="BE146" s="65" t="n">
        <f aca="false">-BE124</f>
        <v>-0</v>
      </c>
      <c r="BF146" s="65" t="n">
        <f aca="false">-BF124</f>
        <v>-0</v>
      </c>
      <c r="BG146" s="65" t="n">
        <f aca="false">-BG124</f>
        <v>-0</v>
      </c>
      <c r="BH146" s="65" t="n">
        <f aca="false">-BH124</f>
        <v>-0</v>
      </c>
      <c r="BI146" s="65" t="n">
        <f aca="false">-BI124</f>
        <v>-0</v>
      </c>
      <c r="BJ146" s="65" t="n">
        <f aca="false">-BJ124</f>
        <v>-0</v>
      </c>
    </row>
    <row r="147" customFormat="false" ht="15" hidden="false" customHeight="false" outlineLevel="0" collapsed="false">
      <c r="A147" s="6" t="s">
        <v>62</v>
      </c>
      <c r="C147" s="65" t="n">
        <f aca="false">IF(C$94=1,Inputs!$C$29,0)</f>
        <v>140000</v>
      </c>
      <c r="D147" s="65" t="n">
        <f aca="false">IF(D$94=1,Inputs!$C$29,0)</f>
        <v>0</v>
      </c>
      <c r="E147" s="65" t="n">
        <f aca="false">IF(E$94=1,Inputs!$C$29,0)</f>
        <v>0</v>
      </c>
      <c r="F147" s="65" t="n">
        <f aca="false">IF(F$94=1,Inputs!$C$29,0)</f>
        <v>0</v>
      </c>
      <c r="G147" s="65" t="n">
        <f aca="false">IF(G$94=1,Inputs!$C$29,0)</f>
        <v>0</v>
      </c>
      <c r="H147" s="65" t="n">
        <f aca="false">IF(H$94=1,Inputs!$C$29,0)</f>
        <v>0</v>
      </c>
      <c r="I147" s="65" t="n">
        <f aca="false">IF(I$94=1,Inputs!$C$29,0)</f>
        <v>0</v>
      </c>
      <c r="J147" s="65" t="n">
        <f aca="false">IF(J$94=1,Inputs!$C$29,0)</f>
        <v>0</v>
      </c>
      <c r="K147" s="65" t="n">
        <f aca="false">IF(K$94=1,Inputs!$C$29,0)</f>
        <v>0</v>
      </c>
      <c r="L147" s="65" t="n">
        <f aca="false">IF(L$94=1,Inputs!$C$29,0)</f>
        <v>0</v>
      </c>
      <c r="M147" s="65" t="n">
        <f aca="false">IF(M$94=1,Inputs!$C$29,0)</f>
        <v>0</v>
      </c>
      <c r="N147" s="65" t="n">
        <f aca="false">IF(N$94=1,Inputs!$C$29,0)</f>
        <v>0</v>
      </c>
      <c r="O147" s="65" t="n">
        <f aca="false">IF(O$94=1,Inputs!$C$29,0)</f>
        <v>0</v>
      </c>
      <c r="P147" s="65" t="n">
        <f aca="false">IF(P$94=1,Inputs!$C$29,0)</f>
        <v>0</v>
      </c>
      <c r="Q147" s="65" t="n">
        <f aca="false">IF(Q$94=1,Inputs!$C$29,0)</f>
        <v>0</v>
      </c>
      <c r="R147" s="65" t="n">
        <f aca="false">IF(R$94=1,Inputs!$C$29,0)</f>
        <v>0</v>
      </c>
      <c r="S147" s="65" t="n">
        <f aca="false">IF(S$94=1,Inputs!$C$29,0)</f>
        <v>0</v>
      </c>
      <c r="T147" s="65" t="n">
        <f aca="false">IF(T$94=1,Inputs!$C$29,0)</f>
        <v>0</v>
      </c>
      <c r="U147" s="65" t="n">
        <f aca="false">IF(U$94=1,Inputs!$C$29,0)</f>
        <v>0</v>
      </c>
      <c r="V147" s="65" t="n">
        <f aca="false">IF(V$94=1,Inputs!$C$29,0)</f>
        <v>0</v>
      </c>
      <c r="W147" s="65" t="n">
        <f aca="false">IF(W$94=1,Inputs!$C$29,0)</f>
        <v>0</v>
      </c>
      <c r="X147" s="65" t="n">
        <f aca="false">IF(X$94=1,Inputs!$C$29,0)</f>
        <v>0</v>
      </c>
      <c r="Y147" s="65" t="n">
        <f aca="false">IF(Y$94=1,Inputs!$C$29,0)</f>
        <v>0</v>
      </c>
      <c r="Z147" s="65" t="n">
        <f aca="false">IF(Z$94=1,Inputs!$C$29,0)</f>
        <v>0</v>
      </c>
      <c r="AA147" s="65" t="n">
        <f aca="false">IF(AA$94=1,Inputs!$C$29,0)</f>
        <v>0</v>
      </c>
      <c r="AB147" s="65" t="n">
        <f aca="false">IF(AB$94=1,Inputs!$C$29,0)</f>
        <v>0</v>
      </c>
      <c r="AC147" s="65" t="n">
        <f aca="false">IF(AC$94=1,Inputs!$C$29,0)</f>
        <v>0</v>
      </c>
      <c r="AD147" s="65" t="n">
        <f aca="false">IF(AD$94=1,Inputs!$C$29,0)</f>
        <v>0</v>
      </c>
      <c r="AE147" s="65" t="n">
        <f aca="false">IF(AE$94=1,Inputs!$C$29,0)</f>
        <v>0</v>
      </c>
      <c r="AF147" s="65" t="n">
        <f aca="false">IF(AF$94=1,Inputs!$C$29,0)</f>
        <v>0</v>
      </c>
      <c r="AG147" s="65" t="n">
        <f aca="false">IF(AG$94=1,Inputs!$C$29,0)</f>
        <v>0</v>
      </c>
      <c r="AH147" s="65" t="n">
        <f aca="false">IF(AH$94=1,Inputs!$C$29,0)</f>
        <v>0</v>
      </c>
      <c r="AI147" s="65" t="n">
        <f aca="false">IF(AI$94=1,Inputs!$C$29,0)</f>
        <v>0</v>
      </c>
      <c r="AJ147" s="65" t="n">
        <f aca="false">IF(AJ$94=1,Inputs!$C$29,0)</f>
        <v>0</v>
      </c>
      <c r="AK147" s="65" t="n">
        <f aca="false">IF(AK$94=1,Inputs!$C$29,0)</f>
        <v>0</v>
      </c>
      <c r="AL147" s="65" t="n">
        <f aca="false">IF(AL$94=1,Inputs!$C$29,0)</f>
        <v>0</v>
      </c>
      <c r="AM147" s="65" t="n">
        <f aca="false">IF(AM$94=1,Inputs!$C$29,0)</f>
        <v>0</v>
      </c>
      <c r="AN147" s="65" t="n">
        <f aca="false">IF(AN$94=1,Inputs!$C$29,0)</f>
        <v>0</v>
      </c>
      <c r="AO147" s="65" t="n">
        <f aca="false">IF(AO$94=1,Inputs!$C$29,0)</f>
        <v>0</v>
      </c>
      <c r="AP147" s="65" t="n">
        <f aca="false">IF(AP$94=1,Inputs!$C$29,0)</f>
        <v>0</v>
      </c>
      <c r="AQ147" s="65" t="n">
        <f aca="false">IF(AQ$94=1,Inputs!$C$29,0)</f>
        <v>0</v>
      </c>
      <c r="AR147" s="65" t="n">
        <f aca="false">IF(AR$94=1,Inputs!$C$29,0)</f>
        <v>0</v>
      </c>
      <c r="AS147" s="65" t="n">
        <f aca="false">IF(AS$94=1,Inputs!$C$29,0)</f>
        <v>0</v>
      </c>
      <c r="AT147" s="65" t="n">
        <f aca="false">IF(AT$94=1,Inputs!$C$29,0)</f>
        <v>0</v>
      </c>
      <c r="AU147" s="65" t="n">
        <f aca="false">IF(AU$94=1,Inputs!$C$29,0)</f>
        <v>0</v>
      </c>
      <c r="AV147" s="65" t="n">
        <f aca="false">IF(AV$94=1,Inputs!$C$29,0)</f>
        <v>0</v>
      </c>
      <c r="AW147" s="65" t="n">
        <f aca="false">IF(AW$94=1,Inputs!$C$29,0)</f>
        <v>0</v>
      </c>
      <c r="AX147" s="65" t="n">
        <f aca="false">IF(AX$94=1,Inputs!$C$29,0)</f>
        <v>0</v>
      </c>
      <c r="AY147" s="65" t="n">
        <f aca="false">IF(AY$94=1,Inputs!$C$29,0)</f>
        <v>0</v>
      </c>
      <c r="AZ147" s="65" t="n">
        <f aca="false">IF(AZ$94=1,Inputs!$C$29,0)</f>
        <v>0</v>
      </c>
      <c r="BA147" s="65" t="n">
        <f aca="false">IF(BA$94=1,Inputs!$C$29,0)</f>
        <v>0</v>
      </c>
      <c r="BB147" s="65" t="n">
        <f aca="false">IF(BB$94=1,Inputs!$C$29,0)</f>
        <v>0</v>
      </c>
      <c r="BC147" s="65" t="n">
        <f aca="false">IF(BC$94=1,Inputs!$C$29,0)</f>
        <v>0</v>
      </c>
      <c r="BD147" s="65" t="n">
        <f aca="false">IF(BD$94=1,Inputs!$C$29,0)</f>
        <v>0</v>
      </c>
      <c r="BE147" s="65" t="n">
        <f aca="false">IF(BE$94=1,Inputs!$C$29,0)</f>
        <v>0</v>
      </c>
      <c r="BF147" s="65" t="n">
        <f aca="false">IF(BF$94=1,Inputs!$C$29,0)</f>
        <v>0</v>
      </c>
      <c r="BG147" s="65" t="n">
        <f aca="false">IF(BG$94=1,Inputs!$C$29,0)</f>
        <v>0</v>
      </c>
      <c r="BH147" s="65" t="n">
        <f aca="false">IF(BH$94=1,Inputs!$C$29,0)</f>
        <v>0</v>
      </c>
      <c r="BI147" s="65" t="n">
        <f aca="false">IF(BI$94=1,Inputs!$C$29,0)</f>
        <v>0</v>
      </c>
      <c r="BJ147" s="65" t="n">
        <f aca="false">IF(BJ$94=1,Inputs!$C$29,0)</f>
        <v>0</v>
      </c>
    </row>
    <row r="148" customFormat="false" ht="15" hidden="false" customHeight="false" outlineLevel="0" collapsed="false">
      <c r="A148" s="6" t="s">
        <v>54</v>
      </c>
      <c r="C148" s="65" t="n">
        <f aca="false">C147+C132+C133</f>
        <v>220000</v>
      </c>
      <c r="D148" s="65" t="n">
        <f aca="false">D147+D132+D133</f>
        <v>-1333.33333333333</v>
      </c>
      <c r="E148" s="65" t="n">
        <f aca="false">E147+E132+E133</f>
        <v>-1333.33333333333</v>
      </c>
      <c r="F148" s="65" t="n">
        <f aca="false">F147+F132+F133</f>
        <v>-1333.33333333333</v>
      </c>
      <c r="G148" s="65" t="n">
        <f aca="false">G147+G132+G133</f>
        <v>-1333.33333333333</v>
      </c>
      <c r="H148" s="65" t="n">
        <f aca="false">H147+H132+H133</f>
        <v>-1333.33333333333</v>
      </c>
      <c r="I148" s="65" t="n">
        <f aca="false">I147+I132+I133</f>
        <v>-1333.33333333333</v>
      </c>
      <c r="J148" s="65" t="n">
        <f aca="false">J147+J132+J133</f>
        <v>-1333.33333333333</v>
      </c>
      <c r="K148" s="65" t="n">
        <f aca="false">K147+K132+K133</f>
        <v>-1333.33333333333</v>
      </c>
      <c r="L148" s="65" t="n">
        <f aca="false">L147+L132+L133</f>
        <v>-1333.33333333333</v>
      </c>
      <c r="M148" s="65" t="n">
        <f aca="false">M147+M132+M133</f>
        <v>-1333.33333333333</v>
      </c>
      <c r="N148" s="65" t="n">
        <f aca="false">N147+N132+N133</f>
        <v>-1333.33333333333</v>
      </c>
      <c r="O148" s="65" t="n">
        <f aca="false">O147+O132+O133</f>
        <v>-1333.33333333333</v>
      </c>
      <c r="P148" s="65" t="n">
        <f aca="false">P147+P132+P133</f>
        <v>-1333.33333333333</v>
      </c>
      <c r="Q148" s="65" t="n">
        <f aca="false">Q147+Q132+Q133</f>
        <v>-1333.33333333333</v>
      </c>
      <c r="R148" s="65" t="n">
        <f aca="false">R147+R132+R133</f>
        <v>-1333.33333333333</v>
      </c>
      <c r="S148" s="65" t="n">
        <f aca="false">S147+S132+S133</f>
        <v>-1333.33333333333</v>
      </c>
      <c r="T148" s="65" t="n">
        <f aca="false">T147+T132+T133</f>
        <v>-1333.33333333333</v>
      </c>
      <c r="U148" s="65" t="n">
        <f aca="false">U147+U132+U133</f>
        <v>-1333.33333333333</v>
      </c>
      <c r="V148" s="65" t="n">
        <f aca="false">V147+V132+V133</f>
        <v>-1333.33333333333</v>
      </c>
      <c r="W148" s="65" t="n">
        <f aca="false">W147+W132+W133</f>
        <v>-1333.33333333333</v>
      </c>
      <c r="X148" s="65" t="n">
        <f aca="false">X147+X132+X133</f>
        <v>-1333.33333333333</v>
      </c>
      <c r="Y148" s="65" t="n">
        <f aca="false">Y147+Y132+Y133</f>
        <v>-1333.33333333333</v>
      </c>
      <c r="Z148" s="65" t="n">
        <f aca="false">Z147+Z132+Z133</f>
        <v>-1333.33333333333</v>
      </c>
      <c r="AA148" s="65" t="n">
        <f aca="false">AA147+AA132+AA133</f>
        <v>-1333.33333333333</v>
      </c>
      <c r="AB148" s="65" t="n">
        <f aca="false">AB147+AB132+AB133</f>
        <v>-1333.33333333333</v>
      </c>
      <c r="AC148" s="65" t="n">
        <f aca="false">AC147+AC132+AC133</f>
        <v>-1333.33333333333</v>
      </c>
      <c r="AD148" s="65" t="n">
        <f aca="false">AD147+AD132+AD133</f>
        <v>-1333.33333333333</v>
      </c>
      <c r="AE148" s="65" t="n">
        <f aca="false">AE147+AE132+AE133</f>
        <v>-1333.33333333333</v>
      </c>
      <c r="AF148" s="65" t="n">
        <f aca="false">AF147+AF132+AF133</f>
        <v>-1333.33333333333</v>
      </c>
      <c r="AG148" s="65" t="n">
        <f aca="false">AG147+AG132+AG133</f>
        <v>-1333.33333333333</v>
      </c>
      <c r="AH148" s="65" t="n">
        <f aca="false">AH147+AH132+AH133</f>
        <v>-1333.33333333333</v>
      </c>
      <c r="AI148" s="65" t="n">
        <f aca="false">AI147+AI132+AI133</f>
        <v>-1333.33333333333</v>
      </c>
      <c r="AJ148" s="65" t="n">
        <f aca="false">AJ147+AJ132+AJ133</f>
        <v>-1333.33333333333</v>
      </c>
      <c r="AK148" s="65" t="n">
        <f aca="false">AK147+AK132+AK133</f>
        <v>-1333.33333333333</v>
      </c>
      <c r="AL148" s="65" t="n">
        <f aca="false">AL147+AL132+AL133</f>
        <v>-1333.33333333333</v>
      </c>
      <c r="AM148" s="65" t="n">
        <f aca="false">AM147+AM132+AM133</f>
        <v>-1333.33333333333</v>
      </c>
      <c r="AN148" s="65" t="n">
        <f aca="false">AN147+AN132+AN133</f>
        <v>-1333.33333333333</v>
      </c>
      <c r="AO148" s="65" t="n">
        <f aca="false">AO147+AO132+AO133</f>
        <v>-1333.33333333333</v>
      </c>
      <c r="AP148" s="65" t="n">
        <f aca="false">AP147+AP132+AP133</f>
        <v>-1333.33333333333</v>
      </c>
      <c r="AQ148" s="65" t="n">
        <f aca="false">AQ147+AQ132+AQ133</f>
        <v>-1333.33333333333</v>
      </c>
      <c r="AR148" s="65" t="n">
        <f aca="false">AR147+AR132+AR133</f>
        <v>-1333.33333333333</v>
      </c>
      <c r="AS148" s="65" t="n">
        <f aca="false">AS147+AS132+AS133</f>
        <v>-1333.33333333333</v>
      </c>
      <c r="AT148" s="65" t="n">
        <f aca="false">AT147+AT132+AT133</f>
        <v>-1333.33333333333</v>
      </c>
      <c r="AU148" s="65" t="n">
        <f aca="false">AU147+AU132+AU133</f>
        <v>-1333.33333333333</v>
      </c>
      <c r="AV148" s="65" t="n">
        <f aca="false">AV147+AV132+AV133</f>
        <v>-1333.33333333333</v>
      </c>
      <c r="AW148" s="65" t="n">
        <f aca="false">AW147+AW132+AW133</f>
        <v>-1333.33333333333</v>
      </c>
      <c r="AX148" s="65" t="n">
        <f aca="false">AX147+AX132+AX133</f>
        <v>-1333.33333333333</v>
      </c>
      <c r="AY148" s="65" t="n">
        <f aca="false">AY147+AY132+AY133</f>
        <v>-1333.33333333333</v>
      </c>
      <c r="AZ148" s="65" t="n">
        <f aca="false">AZ147+AZ132+AZ133</f>
        <v>-1333.33333333333</v>
      </c>
      <c r="BA148" s="65" t="n">
        <f aca="false">BA147+BA132+BA133</f>
        <v>-1333.33333333333</v>
      </c>
      <c r="BB148" s="65" t="n">
        <f aca="false">BB147+BB132+BB133</f>
        <v>-1333.33333333333</v>
      </c>
      <c r="BC148" s="65" t="n">
        <f aca="false">BC147+BC132+BC133</f>
        <v>-1333.33333333333</v>
      </c>
      <c r="BD148" s="65" t="n">
        <f aca="false">BD147+BD132+BD133</f>
        <v>-1333.33333333333</v>
      </c>
      <c r="BE148" s="65" t="n">
        <f aca="false">BE147+BE132+BE133</f>
        <v>-1333.33333333333</v>
      </c>
      <c r="BF148" s="65" t="n">
        <f aca="false">BF147+BF132+BF133</f>
        <v>-1333.33333333333</v>
      </c>
      <c r="BG148" s="65" t="n">
        <f aca="false">BG147+BG132+BG133</f>
        <v>-1333.33333333333</v>
      </c>
      <c r="BH148" s="65" t="n">
        <f aca="false">BH147+BH132+BH133</f>
        <v>-1333.33333333333</v>
      </c>
      <c r="BI148" s="65" t="n">
        <f aca="false">BI147+BI132+BI133</f>
        <v>-1333.33333333333</v>
      </c>
      <c r="BJ148" s="65" t="n">
        <f aca="false">BJ147+BJ132+BJ133</f>
        <v>-1333.33333333333</v>
      </c>
    </row>
    <row r="149" customFormat="false" ht="15" hidden="false" customHeight="false" outlineLevel="0" collapsed="false">
      <c r="A149" s="108" t="s">
        <v>376</v>
      </c>
      <c r="C149" s="66" t="n">
        <f aca="false">C145+C146+C148</f>
        <v>52658.5333333333</v>
      </c>
      <c r="D149" s="66" t="n">
        <f aca="false">D145+D146+D148</f>
        <v>-7140.68888888889</v>
      </c>
      <c r="E149" s="66" t="n">
        <f aca="false">E145+E146+E148</f>
        <v>-5467.80000000001</v>
      </c>
      <c r="F149" s="66" t="n">
        <f aca="false">F145+F146+F148</f>
        <v>-3794.91111111111</v>
      </c>
      <c r="G149" s="66" t="n">
        <f aca="false">G145+G146+G148</f>
        <v>-2122.02222222223</v>
      </c>
      <c r="H149" s="66" t="n">
        <f aca="false">H145+H146+H148</f>
        <v>-449.133333333336</v>
      </c>
      <c r="I149" s="66" t="n">
        <f aca="false">I145+I146+I148</f>
        <v>1223.75555555555</v>
      </c>
      <c r="J149" s="66" t="n">
        <f aca="false">J145+J146+J148</f>
        <v>1205.77777777778</v>
      </c>
      <c r="K149" s="66" t="n">
        <f aca="false">K145+K146+K148</f>
        <v>1214.66666666666</v>
      </c>
      <c r="L149" s="66" t="n">
        <f aca="false">L145+L146+L148</f>
        <v>1223.55555555555</v>
      </c>
      <c r="M149" s="66" t="n">
        <f aca="false">M145+M146+M148</f>
        <v>1232.44444444444</v>
      </c>
      <c r="N149" s="66" t="n">
        <f aca="false">N145+N146+N148</f>
        <v>1241.33333333333</v>
      </c>
      <c r="O149" s="66" t="n">
        <f aca="false">O145+O146+O148</f>
        <v>2799.28094222222</v>
      </c>
      <c r="P149" s="66" t="n">
        <f aca="false">P145+P146+P148</f>
        <v>2778.57351111111</v>
      </c>
      <c r="Q149" s="66" t="n">
        <f aca="false">Q145+Q146+Q148</f>
        <v>2787.4624</v>
      </c>
      <c r="R149" s="66" t="n">
        <f aca="false">R145+R146+R148</f>
        <v>2796.35128888889</v>
      </c>
      <c r="S149" s="66" t="n">
        <f aca="false">S145+S146+S148</f>
        <v>2805.24017777778</v>
      </c>
      <c r="T149" s="66" t="n">
        <f aca="false">T145+T146+T148</f>
        <v>2814.12906666667</v>
      </c>
      <c r="U149" s="66" t="n">
        <f aca="false">U145+U146+U148</f>
        <v>2823.01795555556</v>
      </c>
      <c r="V149" s="66" t="n">
        <f aca="false">V145+V146+V148</f>
        <v>2831.90684444445</v>
      </c>
      <c r="W149" s="66" t="n">
        <f aca="false">W145+W146+W148</f>
        <v>2840.79573333334</v>
      </c>
      <c r="X149" s="66" t="n">
        <f aca="false">X145+X146+X148</f>
        <v>2849.68462222222</v>
      </c>
      <c r="Y149" s="66" t="n">
        <f aca="false">Y145+Y146+Y148</f>
        <v>2858.57351111111</v>
      </c>
      <c r="Z149" s="66" t="n">
        <f aca="false">Z145+Z146+Z148</f>
        <v>2867.4624</v>
      </c>
      <c r="AA149" s="66" t="n">
        <f aca="false">AA145+AA146+AA148</f>
        <v>3860.05252643769</v>
      </c>
      <c r="AB149" s="66" t="n">
        <f aca="false">AB145+AB146+AB148</f>
        <v>3725.22006781725</v>
      </c>
      <c r="AC149" s="66" t="n">
        <f aca="false">AC145+AC146+AC148</f>
        <v>3732.24229003947</v>
      </c>
      <c r="AD149" s="66" t="n">
        <f aca="false">AD145+AD146+AD148</f>
        <v>3739.26451226169</v>
      </c>
      <c r="AE149" s="66" t="n">
        <f aca="false">AE145+AE146+AE148</f>
        <v>3746.28673448392</v>
      </c>
      <c r="AF149" s="66" t="n">
        <f aca="false">AF145+AF146+AF148</f>
        <v>3753.30895670614</v>
      </c>
      <c r="AG149" s="66" t="n">
        <f aca="false">AG145+AG146+AG148</f>
        <v>3760.33117892836</v>
      </c>
      <c r="AH149" s="66" t="n">
        <f aca="false">AH145+AH146+AH148</f>
        <v>3767.35340115058</v>
      </c>
      <c r="AI149" s="66" t="n">
        <f aca="false">AI145+AI146+AI148</f>
        <v>3774.3756233728</v>
      </c>
      <c r="AJ149" s="66" t="n">
        <f aca="false">AJ145+AJ146+AJ148</f>
        <v>3781.39784559503</v>
      </c>
      <c r="AK149" s="66" t="n">
        <f aca="false">AK145+AK146+AK148</f>
        <v>3788.42006781725</v>
      </c>
      <c r="AL149" s="66" t="n">
        <f aca="false">AL145+AL146+AL148</f>
        <v>3795.44229003947</v>
      </c>
      <c r="AM149" s="66" t="n">
        <f aca="false">AM145+AM146+AM148</f>
        <v>5301.11016990708</v>
      </c>
      <c r="AN149" s="66" t="n">
        <f aca="false">AN145+AN146+AN148</f>
        <v>5272.85277248554</v>
      </c>
      <c r="AO149" s="66" t="n">
        <f aca="false">AO145+AO146+AO148</f>
        <v>5279.87499470776</v>
      </c>
      <c r="AP149" s="66" t="n">
        <f aca="false">AP145+AP146+AP148</f>
        <v>5286.89721692999</v>
      </c>
      <c r="AQ149" s="66" t="n">
        <f aca="false">AQ145+AQ146+AQ148</f>
        <v>5293.91943915221</v>
      </c>
      <c r="AR149" s="66" t="n">
        <f aca="false">AR145+AR146+AR148</f>
        <v>5300.94166137443</v>
      </c>
      <c r="AS149" s="66" t="n">
        <f aca="false">AS145+AS146+AS148</f>
        <v>5307.96388359665</v>
      </c>
      <c r="AT149" s="66" t="n">
        <f aca="false">AT145+AT146+AT148</f>
        <v>5314.98610581887</v>
      </c>
      <c r="AU149" s="66" t="n">
        <f aca="false">AU145+AU146+AU148</f>
        <v>5322.00832804109</v>
      </c>
      <c r="AV149" s="66" t="n">
        <f aca="false">AV145+AV146+AV148</f>
        <v>5329.03055026332</v>
      </c>
      <c r="AW149" s="66" t="n">
        <f aca="false">AW145+AW146+AW148</f>
        <v>5336.05277248554</v>
      </c>
      <c r="AX149" s="66" t="n">
        <f aca="false">AX145+AX146+AX148</f>
        <v>5343.07499470776</v>
      </c>
      <c r="AY149" s="66" t="n">
        <f aca="false">AY145+AY146+AY148</f>
        <v>7002.56153942049</v>
      </c>
      <c r="AZ149" s="66" t="n">
        <f aca="false">AZ145+AZ146+AZ148</f>
        <v>6971.06547291566</v>
      </c>
      <c r="BA149" s="66" t="n">
        <f aca="false">BA145+BA146+BA148</f>
        <v>6978.08769513788</v>
      </c>
      <c r="BB149" s="66" t="n">
        <f aca="false">BB145+BB146+BB148</f>
        <v>6985.1099173601</v>
      </c>
      <c r="BC149" s="66" t="n">
        <f aca="false">BC145+BC146+BC148</f>
        <v>6992.13213958232</v>
      </c>
      <c r="BD149" s="66" t="n">
        <f aca="false">BD145+BD146+BD148</f>
        <v>6999.15436180455</v>
      </c>
      <c r="BE149" s="66" t="n">
        <f aca="false">BE145+BE146+BE148</f>
        <v>7006.17658402677</v>
      </c>
      <c r="BF149" s="66" t="n">
        <f aca="false">BF145+BF146+BF148</f>
        <v>7013.19880624899</v>
      </c>
      <c r="BG149" s="66" t="n">
        <f aca="false">BG145+BG146+BG148</f>
        <v>7020.22102847122</v>
      </c>
      <c r="BH149" s="66" t="n">
        <f aca="false">BH145+BH146+BH148</f>
        <v>7027.24325069343</v>
      </c>
      <c r="BI149" s="66" t="n">
        <f aca="false">BI145+BI146+BI148</f>
        <v>7034.26547291566</v>
      </c>
      <c r="BJ149" s="66" t="n">
        <f aca="false">BJ145+BJ146+BJ148</f>
        <v>7041.28769513788</v>
      </c>
    </row>
    <row r="150" customFormat="false" ht="15" hidden="false" customHeight="false" outlineLevel="0" collapsed="false">
      <c r="A150" s="6" t="s">
        <v>294</v>
      </c>
      <c r="C150" s="65" t="n">
        <f aca="false">0</f>
        <v>0</v>
      </c>
      <c r="D150" s="65" t="n">
        <f aca="false">C151</f>
        <v>52658.5333333333</v>
      </c>
      <c r="E150" s="65" t="n">
        <f aca="false">D151</f>
        <v>45517.8444444444</v>
      </c>
      <c r="F150" s="65" t="n">
        <f aca="false">E151</f>
        <v>40050.0444444444</v>
      </c>
      <c r="G150" s="65" t="n">
        <f aca="false">F151</f>
        <v>36255.1333333333</v>
      </c>
      <c r="H150" s="65" t="n">
        <f aca="false">G151</f>
        <v>34133.1111111111</v>
      </c>
      <c r="I150" s="65" t="n">
        <f aca="false">H151</f>
        <v>33683.9777777778</v>
      </c>
      <c r="J150" s="65" t="n">
        <f aca="false">I151</f>
        <v>34907.7333333333</v>
      </c>
      <c r="K150" s="65" t="n">
        <f aca="false">J151</f>
        <v>36113.5111111111</v>
      </c>
      <c r="L150" s="65" t="n">
        <f aca="false">K151</f>
        <v>37328.1777777777</v>
      </c>
      <c r="M150" s="65" t="n">
        <f aca="false">L151</f>
        <v>38551.7333333333</v>
      </c>
      <c r="N150" s="65" t="n">
        <f aca="false">M151</f>
        <v>39784.1777777777</v>
      </c>
      <c r="O150" s="65" t="n">
        <f aca="false">N151</f>
        <v>41025.5111111111</v>
      </c>
      <c r="P150" s="65" t="n">
        <f aca="false">O151</f>
        <v>43824.7920533333</v>
      </c>
      <c r="Q150" s="65" t="n">
        <f aca="false">P151</f>
        <v>46603.3655644444</v>
      </c>
      <c r="R150" s="65" t="n">
        <f aca="false">Q151</f>
        <v>49390.8279644444</v>
      </c>
      <c r="S150" s="65" t="n">
        <f aca="false">R151</f>
        <v>52187.1792533333</v>
      </c>
      <c r="T150" s="65" t="n">
        <f aca="false">S151</f>
        <v>54992.4194311111</v>
      </c>
      <c r="U150" s="65" t="n">
        <f aca="false">T151</f>
        <v>57806.5484977778</v>
      </c>
      <c r="V150" s="65" t="n">
        <f aca="false">U151</f>
        <v>60629.5664533333</v>
      </c>
      <c r="W150" s="65" t="n">
        <f aca="false">V151</f>
        <v>63461.4732977778</v>
      </c>
      <c r="X150" s="65" t="n">
        <f aca="false">W151</f>
        <v>66302.2690311111</v>
      </c>
      <c r="Y150" s="65" t="n">
        <f aca="false">X151</f>
        <v>69151.9536533333</v>
      </c>
      <c r="Z150" s="65" t="n">
        <f aca="false">Y151</f>
        <v>72010.5271644444</v>
      </c>
      <c r="AA150" s="65" t="n">
        <f aca="false">Z151</f>
        <v>74877.9895644444</v>
      </c>
      <c r="AB150" s="65" t="n">
        <f aca="false">AA151</f>
        <v>78738.0420908821</v>
      </c>
      <c r="AC150" s="65" t="n">
        <f aca="false">AB151</f>
        <v>82463.2621586994</v>
      </c>
      <c r="AD150" s="65" t="n">
        <f aca="false">AC151</f>
        <v>86195.5044487389</v>
      </c>
      <c r="AE150" s="65" t="n">
        <f aca="false">AD151</f>
        <v>89934.7689610006</v>
      </c>
      <c r="AF150" s="65" t="n">
        <f aca="false">AE151</f>
        <v>93681.0556954845</v>
      </c>
      <c r="AG150" s="65" t="n">
        <f aca="false">AF151</f>
        <v>97434.3646521906</v>
      </c>
      <c r="AH150" s="65" t="n">
        <f aca="false">AG151</f>
        <v>101194.695831119</v>
      </c>
      <c r="AI150" s="65" t="n">
        <f aca="false">AH151</f>
        <v>104962.04923227</v>
      </c>
      <c r="AJ150" s="65" t="n">
        <f aca="false">AI151</f>
        <v>108736.424855642</v>
      </c>
      <c r="AK150" s="65" t="n">
        <f aca="false">AJ151</f>
        <v>112517.822701237</v>
      </c>
      <c r="AL150" s="65" t="n">
        <f aca="false">AK151</f>
        <v>116306.242769055</v>
      </c>
      <c r="AM150" s="65" t="n">
        <f aca="false">AL151</f>
        <v>120101.685059094</v>
      </c>
      <c r="AN150" s="65" t="n">
        <f aca="false">AM151</f>
        <v>125402.795229001</v>
      </c>
      <c r="AO150" s="65" t="n">
        <f aca="false">AN151</f>
        <v>130675.648001487</v>
      </c>
      <c r="AP150" s="65" t="n">
        <f aca="false">AO151</f>
        <v>135955.522996195</v>
      </c>
      <c r="AQ150" s="65" t="n">
        <f aca="false">AP151</f>
        <v>141242.420213124</v>
      </c>
      <c r="AR150" s="65" t="n">
        <f aca="false">AQ151</f>
        <v>146536.339652277</v>
      </c>
      <c r="AS150" s="65" t="n">
        <f aca="false">AR151</f>
        <v>151837.281313651</v>
      </c>
      <c r="AT150" s="65" t="n">
        <f aca="false">AS151</f>
        <v>157145.245197248</v>
      </c>
      <c r="AU150" s="65" t="n">
        <f aca="false">AT151</f>
        <v>162460.231303067</v>
      </c>
      <c r="AV150" s="65" t="n">
        <f aca="false">AU151</f>
        <v>167782.239631108</v>
      </c>
      <c r="AW150" s="65" t="n">
        <f aca="false">AV151</f>
        <v>173111.270181371</v>
      </c>
      <c r="AX150" s="65" t="n">
        <f aca="false">AW151</f>
        <v>178447.322953857</v>
      </c>
      <c r="AY150" s="65" t="n">
        <f aca="false">AX151</f>
        <v>183790.397948564</v>
      </c>
      <c r="AZ150" s="65" t="n">
        <f aca="false">AY151</f>
        <v>190792.959487985</v>
      </c>
      <c r="BA150" s="65" t="n">
        <f aca="false">AZ151</f>
        <v>197764.024960901</v>
      </c>
      <c r="BB150" s="65" t="n">
        <f aca="false">BA151</f>
        <v>204742.112656038</v>
      </c>
      <c r="BC150" s="65" t="n">
        <f aca="false">BB151</f>
        <v>211727.222573399</v>
      </c>
      <c r="BD150" s="65" t="n">
        <f aca="false">BC151</f>
        <v>218719.354712981</v>
      </c>
      <c r="BE150" s="65" t="n">
        <f aca="false">BD151</f>
        <v>225718.509074785</v>
      </c>
      <c r="BF150" s="65" t="n">
        <f aca="false">BE151</f>
        <v>232724.685658812</v>
      </c>
      <c r="BG150" s="65" t="n">
        <f aca="false">BF151</f>
        <v>239737.884465061</v>
      </c>
      <c r="BH150" s="65" t="n">
        <f aca="false">BG151</f>
        <v>246758.105493532</v>
      </c>
      <c r="BI150" s="65" t="n">
        <f aca="false">BH151</f>
        <v>253785.348744226</v>
      </c>
      <c r="BJ150" s="65" t="n">
        <f aca="false">BI151</f>
        <v>260819.614217141</v>
      </c>
    </row>
    <row r="151" customFormat="false" ht="15" hidden="false" customHeight="false" outlineLevel="0" collapsed="false">
      <c r="A151" s="108" t="s">
        <v>85</v>
      </c>
      <c r="C151" s="66" t="n">
        <f aca="false">C150+C149</f>
        <v>52658.5333333333</v>
      </c>
      <c r="D151" s="66" t="n">
        <f aca="false">D150+D149</f>
        <v>45517.8444444444</v>
      </c>
      <c r="E151" s="66" t="n">
        <f aca="false">E150+E149</f>
        <v>40050.0444444444</v>
      </c>
      <c r="F151" s="66" t="n">
        <f aca="false">F150+F149</f>
        <v>36255.1333333333</v>
      </c>
      <c r="G151" s="66" t="n">
        <f aca="false">G150+G149</f>
        <v>34133.1111111111</v>
      </c>
      <c r="H151" s="66" t="n">
        <f aca="false">H150+H149</f>
        <v>33683.9777777778</v>
      </c>
      <c r="I151" s="66" t="n">
        <f aca="false">I150+I149</f>
        <v>34907.7333333333</v>
      </c>
      <c r="J151" s="66" t="n">
        <f aca="false">J150+J149</f>
        <v>36113.5111111111</v>
      </c>
      <c r="K151" s="66" t="n">
        <f aca="false">K150+K149</f>
        <v>37328.1777777777</v>
      </c>
      <c r="L151" s="66" t="n">
        <f aca="false">L150+L149</f>
        <v>38551.7333333333</v>
      </c>
      <c r="M151" s="66" t="n">
        <f aca="false">M150+M149</f>
        <v>39784.1777777777</v>
      </c>
      <c r="N151" s="66" t="n">
        <f aca="false">N150+N149</f>
        <v>41025.5111111111</v>
      </c>
      <c r="O151" s="66" t="n">
        <f aca="false">O150+O149</f>
        <v>43824.7920533333</v>
      </c>
      <c r="P151" s="66" t="n">
        <f aca="false">P150+P149</f>
        <v>46603.3655644444</v>
      </c>
      <c r="Q151" s="66" t="n">
        <f aca="false">Q150+Q149</f>
        <v>49390.8279644444</v>
      </c>
      <c r="R151" s="66" t="n">
        <f aca="false">R150+R149</f>
        <v>52187.1792533333</v>
      </c>
      <c r="S151" s="66" t="n">
        <f aca="false">S150+S149</f>
        <v>54992.4194311111</v>
      </c>
      <c r="T151" s="66" t="n">
        <f aca="false">T150+T149</f>
        <v>57806.5484977778</v>
      </c>
      <c r="U151" s="66" t="n">
        <f aca="false">U150+U149</f>
        <v>60629.5664533333</v>
      </c>
      <c r="V151" s="66" t="n">
        <f aca="false">V150+V149</f>
        <v>63461.4732977778</v>
      </c>
      <c r="W151" s="66" t="n">
        <f aca="false">W150+W149</f>
        <v>66302.2690311111</v>
      </c>
      <c r="X151" s="66" t="n">
        <f aca="false">X150+X149</f>
        <v>69151.9536533333</v>
      </c>
      <c r="Y151" s="66" t="n">
        <f aca="false">Y150+Y149</f>
        <v>72010.5271644444</v>
      </c>
      <c r="Z151" s="66" t="n">
        <f aca="false">Z150+Z149</f>
        <v>74877.9895644444</v>
      </c>
      <c r="AA151" s="66" t="n">
        <f aca="false">AA150+AA149</f>
        <v>78738.0420908821</v>
      </c>
      <c r="AB151" s="66" t="n">
        <f aca="false">AB150+AB149</f>
        <v>82463.2621586994</v>
      </c>
      <c r="AC151" s="66" t="n">
        <f aca="false">AC150+AC149</f>
        <v>86195.5044487389</v>
      </c>
      <c r="AD151" s="66" t="n">
        <f aca="false">AD150+AD149</f>
        <v>89934.7689610006</v>
      </c>
      <c r="AE151" s="66" t="n">
        <f aca="false">AE150+AE149</f>
        <v>93681.0556954845</v>
      </c>
      <c r="AF151" s="66" t="n">
        <f aca="false">AF150+AF149</f>
        <v>97434.3646521906</v>
      </c>
      <c r="AG151" s="66" t="n">
        <f aca="false">AG150+AG149</f>
        <v>101194.695831119</v>
      </c>
      <c r="AH151" s="66" t="n">
        <f aca="false">AH150+AH149</f>
        <v>104962.04923227</v>
      </c>
      <c r="AI151" s="66" t="n">
        <f aca="false">AI150+AI149</f>
        <v>108736.424855642</v>
      </c>
      <c r="AJ151" s="66" t="n">
        <f aca="false">AJ150+AJ149</f>
        <v>112517.822701237</v>
      </c>
      <c r="AK151" s="66" t="n">
        <f aca="false">AK150+AK149</f>
        <v>116306.242769055</v>
      </c>
      <c r="AL151" s="66" t="n">
        <f aca="false">AL150+AL149</f>
        <v>120101.685059094</v>
      </c>
      <c r="AM151" s="66" t="n">
        <f aca="false">AM150+AM149</f>
        <v>125402.795229001</v>
      </c>
      <c r="AN151" s="66" t="n">
        <f aca="false">AN150+AN149</f>
        <v>130675.648001487</v>
      </c>
      <c r="AO151" s="66" t="n">
        <f aca="false">AO150+AO149</f>
        <v>135955.522996195</v>
      </c>
      <c r="AP151" s="66" t="n">
        <f aca="false">AP150+AP149</f>
        <v>141242.420213124</v>
      </c>
      <c r="AQ151" s="66" t="n">
        <f aca="false">AQ150+AQ149</f>
        <v>146536.339652277</v>
      </c>
      <c r="AR151" s="66" t="n">
        <f aca="false">AR150+AR149</f>
        <v>151837.281313651</v>
      </c>
      <c r="AS151" s="66" t="n">
        <f aca="false">AS150+AS149</f>
        <v>157145.245197248</v>
      </c>
      <c r="AT151" s="66" t="n">
        <f aca="false">AT150+AT149</f>
        <v>162460.231303067</v>
      </c>
      <c r="AU151" s="66" t="n">
        <f aca="false">AU150+AU149</f>
        <v>167782.239631108</v>
      </c>
      <c r="AV151" s="66" t="n">
        <f aca="false">AV150+AV149</f>
        <v>173111.270181371</v>
      </c>
      <c r="AW151" s="66" t="n">
        <f aca="false">AW150+AW149</f>
        <v>178447.322953857</v>
      </c>
      <c r="AX151" s="66" t="n">
        <f aca="false">AX150+AX149</f>
        <v>183790.397948564</v>
      </c>
      <c r="AY151" s="66" t="n">
        <f aca="false">AY150+AY149</f>
        <v>190792.959487985</v>
      </c>
      <c r="AZ151" s="66" t="n">
        <f aca="false">AZ150+AZ149</f>
        <v>197764.024960901</v>
      </c>
      <c r="BA151" s="66" t="n">
        <f aca="false">BA150+BA149</f>
        <v>204742.112656038</v>
      </c>
      <c r="BB151" s="66" t="n">
        <f aca="false">BB150+BB149</f>
        <v>211727.222573399</v>
      </c>
      <c r="BC151" s="66" t="n">
        <f aca="false">BC150+BC149</f>
        <v>218719.354712981</v>
      </c>
      <c r="BD151" s="66" t="n">
        <f aca="false">BD150+BD149</f>
        <v>225718.509074785</v>
      </c>
      <c r="BE151" s="66" t="n">
        <f aca="false">BE150+BE149</f>
        <v>232724.685658812</v>
      </c>
      <c r="BF151" s="66" t="n">
        <f aca="false">BF150+BF149</f>
        <v>239737.884465061</v>
      </c>
      <c r="BG151" s="66" t="n">
        <f aca="false">BG150+BG149</f>
        <v>246758.105493532</v>
      </c>
      <c r="BH151" s="66" t="n">
        <f aca="false">BH150+BH149</f>
        <v>253785.348744226</v>
      </c>
      <c r="BI151" s="66" t="n">
        <f aca="false">BI150+BI149</f>
        <v>260819.614217141</v>
      </c>
      <c r="BJ151" s="66" t="n">
        <f aca="false">BJ150+BJ149</f>
        <v>267860.901912279</v>
      </c>
    </row>
    <row r="152" customFormat="false" ht="15" hidden="false" customHeight="false" outlineLevel="0" collapsed="false">
      <c r="A152" s="114" t="s">
        <v>377</v>
      </c>
      <c r="C152" s="113" t="n">
        <f aca="false">IF(C112&gt;0,1,0)</f>
        <v>0</v>
      </c>
      <c r="D152" s="113" t="n">
        <f aca="false">IF(D112&gt;0,1,0)</f>
        <v>0</v>
      </c>
      <c r="E152" s="113" t="n">
        <f aca="false">IF(E112&gt;0,1,0)</f>
        <v>0</v>
      </c>
      <c r="F152" s="113" t="n">
        <f aca="false">IF(F112&gt;0,1,0)</f>
        <v>0</v>
      </c>
      <c r="G152" s="113" t="n">
        <f aca="false">IF(G112&gt;0,1,0)</f>
        <v>0</v>
      </c>
      <c r="H152" s="113" t="n">
        <f aca="false">IF(H112&gt;0,1,0)</f>
        <v>1</v>
      </c>
      <c r="I152" s="113" t="n">
        <f aca="false">IF(I112&gt;0,1,0)</f>
        <v>1</v>
      </c>
      <c r="J152" s="113" t="n">
        <f aca="false">IF(J112&gt;0,1,0)</f>
        <v>1</v>
      </c>
      <c r="K152" s="113" t="n">
        <f aca="false">IF(K112&gt;0,1,0)</f>
        <v>1</v>
      </c>
      <c r="L152" s="113" t="n">
        <f aca="false">IF(L112&gt;0,1,0)</f>
        <v>1</v>
      </c>
      <c r="M152" s="113" t="n">
        <f aca="false">IF(M112&gt;0,1,0)</f>
        <v>1</v>
      </c>
      <c r="N152" s="113" t="n">
        <f aca="false">IF(N112&gt;0,1,0)</f>
        <v>1</v>
      </c>
      <c r="O152" s="113" t="n">
        <f aca="false">IF(O112&gt;0,1,0)</f>
        <v>1</v>
      </c>
      <c r="P152" s="113" t="n">
        <f aca="false">IF(P112&gt;0,1,0)</f>
        <v>1</v>
      </c>
      <c r="Q152" s="113" t="n">
        <f aca="false">IF(Q112&gt;0,1,0)</f>
        <v>1</v>
      </c>
      <c r="R152" s="113" t="n">
        <f aca="false">IF(R112&gt;0,1,0)</f>
        <v>1</v>
      </c>
      <c r="S152" s="113" t="n">
        <f aca="false">IF(S112&gt;0,1,0)</f>
        <v>1</v>
      </c>
      <c r="T152" s="113" t="n">
        <f aca="false">IF(T112&gt;0,1,0)</f>
        <v>1</v>
      </c>
      <c r="U152" s="113" t="n">
        <f aca="false">IF(U112&gt;0,1,0)</f>
        <v>1</v>
      </c>
      <c r="V152" s="113" t="n">
        <f aca="false">IF(V112&gt;0,1,0)</f>
        <v>1</v>
      </c>
      <c r="W152" s="113" t="n">
        <f aca="false">IF(W112&gt;0,1,0)</f>
        <v>1</v>
      </c>
      <c r="X152" s="113" t="n">
        <f aca="false">IF(X112&gt;0,1,0)</f>
        <v>1</v>
      </c>
      <c r="Y152" s="113" t="n">
        <f aca="false">IF(Y112&gt;0,1,0)</f>
        <v>1</v>
      </c>
      <c r="Z152" s="113" t="n">
        <f aca="false">IF(Z112&gt;0,1,0)</f>
        <v>1</v>
      </c>
      <c r="AA152" s="113" t="n">
        <f aca="false">IF(AA112&gt;0,1,0)</f>
        <v>1</v>
      </c>
      <c r="AB152" s="113" t="n">
        <f aca="false">IF(AB112&gt;0,1,0)</f>
        <v>1</v>
      </c>
      <c r="AC152" s="113" t="n">
        <f aca="false">IF(AC112&gt;0,1,0)</f>
        <v>1</v>
      </c>
      <c r="AD152" s="113" t="n">
        <f aca="false">IF(AD112&gt;0,1,0)</f>
        <v>1</v>
      </c>
      <c r="AE152" s="113" t="n">
        <f aca="false">IF(AE112&gt;0,1,0)</f>
        <v>1</v>
      </c>
      <c r="AF152" s="113" t="n">
        <f aca="false">IF(AF112&gt;0,1,0)</f>
        <v>1</v>
      </c>
      <c r="AG152" s="113" t="n">
        <f aca="false">IF(AG112&gt;0,1,0)</f>
        <v>1</v>
      </c>
      <c r="AH152" s="113" t="n">
        <f aca="false">IF(AH112&gt;0,1,0)</f>
        <v>1</v>
      </c>
      <c r="AI152" s="113" t="n">
        <f aca="false">IF(AI112&gt;0,1,0)</f>
        <v>1</v>
      </c>
      <c r="AJ152" s="113" t="n">
        <f aca="false">IF(AJ112&gt;0,1,0)</f>
        <v>1</v>
      </c>
      <c r="AK152" s="113" t="n">
        <f aca="false">IF(AK112&gt;0,1,0)</f>
        <v>1</v>
      </c>
      <c r="AL152" s="113" t="n">
        <f aca="false">IF(AL112&gt;0,1,0)</f>
        <v>1</v>
      </c>
      <c r="AM152" s="113" t="n">
        <f aca="false">IF(AM112&gt;0,1,0)</f>
        <v>1</v>
      </c>
      <c r="AN152" s="113" t="n">
        <f aca="false">IF(AN112&gt;0,1,0)</f>
        <v>1</v>
      </c>
      <c r="AO152" s="113" t="n">
        <f aca="false">IF(AO112&gt;0,1,0)</f>
        <v>1</v>
      </c>
      <c r="AP152" s="113" t="n">
        <f aca="false">IF(AP112&gt;0,1,0)</f>
        <v>1</v>
      </c>
      <c r="AQ152" s="113" t="n">
        <f aca="false">IF(AQ112&gt;0,1,0)</f>
        <v>1</v>
      </c>
      <c r="AR152" s="113" t="n">
        <f aca="false">IF(AR112&gt;0,1,0)</f>
        <v>1</v>
      </c>
      <c r="AS152" s="113" t="n">
        <f aca="false">IF(AS112&gt;0,1,0)</f>
        <v>1</v>
      </c>
      <c r="AT152" s="113" t="n">
        <f aca="false">IF(AT112&gt;0,1,0)</f>
        <v>1</v>
      </c>
      <c r="AU152" s="113" t="n">
        <f aca="false">IF(AU112&gt;0,1,0)</f>
        <v>1</v>
      </c>
      <c r="AV152" s="113" t="n">
        <f aca="false">IF(AV112&gt;0,1,0)</f>
        <v>1</v>
      </c>
      <c r="AW152" s="113" t="n">
        <f aca="false">IF(AW112&gt;0,1,0)</f>
        <v>1</v>
      </c>
      <c r="AX152" s="113" t="n">
        <f aca="false">IF(AX112&gt;0,1,0)</f>
        <v>1</v>
      </c>
      <c r="AY152" s="113" t="n">
        <f aca="false">IF(AY112&gt;0,1,0)</f>
        <v>1</v>
      </c>
      <c r="AZ152" s="113" t="n">
        <f aca="false">IF(AZ112&gt;0,1,0)</f>
        <v>1</v>
      </c>
      <c r="BA152" s="113" t="n">
        <f aca="false">IF(BA112&gt;0,1,0)</f>
        <v>1</v>
      </c>
      <c r="BB152" s="113" t="n">
        <f aca="false">IF(BB112&gt;0,1,0)</f>
        <v>1</v>
      </c>
      <c r="BC152" s="113" t="n">
        <f aca="false">IF(BC112&gt;0,1,0)</f>
        <v>1</v>
      </c>
      <c r="BD152" s="113" t="n">
        <f aca="false">IF(BD112&gt;0,1,0)</f>
        <v>1</v>
      </c>
      <c r="BE152" s="113" t="n">
        <f aca="false">IF(BE112&gt;0,1,0)</f>
        <v>1</v>
      </c>
      <c r="BF152" s="113" t="n">
        <f aca="false">IF(BF112&gt;0,1,0)</f>
        <v>1</v>
      </c>
      <c r="BG152" s="113" t="n">
        <f aca="false">IF(BG112&gt;0,1,0)</f>
        <v>1</v>
      </c>
      <c r="BH152" s="113" t="n">
        <f aca="false">IF(BH112&gt;0,1,0)</f>
        <v>1</v>
      </c>
      <c r="BI152" s="113" t="n">
        <f aca="false">IF(BI112&gt;0,1,0)</f>
        <v>1</v>
      </c>
      <c r="BJ152" s="113" t="n">
        <f aca="false">IF(BJ112&gt;0,1,0)</f>
        <v>1</v>
      </c>
    </row>
    <row r="154" customFormat="false" ht="15.75" hidden="false" customHeight="true" outlineLevel="0" collapsed="false">
      <c r="A154" s="7" t="s">
        <v>378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114" t="s">
        <v>379</v>
      </c>
      <c r="C155" s="113" t="n">
        <f aca="false">IF(C121&gt;0,1,0)</f>
        <v>0</v>
      </c>
      <c r="D155" s="113" t="n">
        <f aca="false">IF(D121&gt;0,1,0)</f>
        <v>0</v>
      </c>
      <c r="E155" s="113" t="n">
        <f aca="false">IF(E121&gt;0,1,0)</f>
        <v>0</v>
      </c>
      <c r="F155" s="113" t="n">
        <f aca="false">IF(F121&gt;0,1,0)</f>
        <v>0</v>
      </c>
      <c r="G155" s="113" t="n">
        <f aca="false">IF(G121&gt;0,1,0)</f>
        <v>0</v>
      </c>
      <c r="H155" s="113" t="n">
        <f aca="false">IF(H121&gt;0,1,0)</f>
        <v>0</v>
      </c>
      <c r="I155" s="113" t="n">
        <f aca="false">IF(I121&gt;0,1,0)</f>
        <v>1</v>
      </c>
      <c r="J155" s="113" t="n">
        <f aca="false">IF(J121&gt;0,1,0)</f>
        <v>1</v>
      </c>
      <c r="K155" s="113" t="n">
        <f aca="false">IF(K121&gt;0,1,0)</f>
        <v>1</v>
      </c>
      <c r="L155" s="113" t="n">
        <f aca="false">IF(L121&gt;0,1,0)</f>
        <v>1</v>
      </c>
      <c r="M155" s="113" t="n">
        <f aca="false">IF(M121&gt;0,1,0)</f>
        <v>1</v>
      </c>
      <c r="N155" s="113" t="n">
        <f aca="false">IF(N121&gt;0,1,0)</f>
        <v>1</v>
      </c>
      <c r="O155" s="113" t="n">
        <f aca="false">IF(O121&gt;0,1,0)</f>
        <v>1</v>
      </c>
      <c r="P155" s="113" t="n">
        <f aca="false">IF(P121&gt;0,1,0)</f>
        <v>1</v>
      </c>
      <c r="Q155" s="113" t="n">
        <f aca="false">IF(Q121&gt;0,1,0)</f>
        <v>1</v>
      </c>
      <c r="R155" s="113" t="n">
        <f aca="false">IF(R121&gt;0,1,0)</f>
        <v>1</v>
      </c>
      <c r="S155" s="113" t="n">
        <f aca="false">IF(S121&gt;0,1,0)</f>
        <v>1</v>
      </c>
      <c r="T155" s="113" t="n">
        <f aca="false">IF(T121&gt;0,1,0)</f>
        <v>1</v>
      </c>
      <c r="U155" s="113" t="n">
        <f aca="false">IF(U121&gt;0,1,0)</f>
        <v>1</v>
      </c>
      <c r="V155" s="113" t="n">
        <f aca="false">IF(V121&gt;0,1,0)</f>
        <v>1</v>
      </c>
      <c r="W155" s="113" t="n">
        <f aca="false">IF(W121&gt;0,1,0)</f>
        <v>1</v>
      </c>
      <c r="X155" s="113" t="n">
        <f aca="false">IF(X121&gt;0,1,0)</f>
        <v>1</v>
      </c>
      <c r="Y155" s="113" t="n">
        <f aca="false">IF(Y121&gt;0,1,0)</f>
        <v>1</v>
      </c>
      <c r="Z155" s="113" t="n">
        <f aca="false">IF(Z121&gt;0,1,0)</f>
        <v>1</v>
      </c>
      <c r="AA155" s="113" t="n">
        <f aca="false">IF(AA121&gt;0,1,0)</f>
        <v>1</v>
      </c>
      <c r="AB155" s="113" t="n">
        <f aca="false">IF(AB121&gt;0,1,0)</f>
        <v>1</v>
      </c>
      <c r="AC155" s="113" t="n">
        <f aca="false">IF(AC121&gt;0,1,0)</f>
        <v>1</v>
      </c>
      <c r="AD155" s="113" t="n">
        <f aca="false">IF(AD121&gt;0,1,0)</f>
        <v>1</v>
      </c>
      <c r="AE155" s="113" t="n">
        <f aca="false">IF(AE121&gt;0,1,0)</f>
        <v>1</v>
      </c>
      <c r="AF155" s="113" t="n">
        <f aca="false">IF(AF121&gt;0,1,0)</f>
        <v>1</v>
      </c>
      <c r="AG155" s="113" t="n">
        <f aca="false">IF(AG121&gt;0,1,0)</f>
        <v>1</v>
      </c>
      <c r="AH155" s="113" t="n">
        <f aca="false">IF(AH121&gt;0,1,0)</f>
        <v>1</v>
      </c>
      <c r="AI155" s="113" t="n">
        <f aca="false">IF(AI121&gt;0,1,0)</f>
        <v>1</v>
      </c>
      <c r="AJ155" s="113" t="n">
        <f aca="false">IF(AJ121&gt;0,1,0)</f>
        <v>1</v>
      </c>
      <c r="AK155" s="113" t="n">
        <f aca="false">IF(AK121&gt;0,1,0)</f>
        <v>1</v>
      </c>
      <c r="AL155" s="113" t="n">
        <f aca="false">IF(AL121&gt;0,1,0)</f>
        <v>1</v>
      </c>
      <c r="AM155" s="113" t="n">
        <f aca="false">IF(AM121&gt;0,1,0)</f>
        <v>1</v>
      </c>
      <c r="AN155" s="113" t="n">
        <f aca="false">IF(AN121&gt;0,1,0)</f>
        <v>1</v>
      </c>
      <c r="AO155" s="113" t="n">
        <f aca="false">IF(AO121&gt;0,1,0)</f>
        <v>1</v>
      </c>
      <c r="AP155" s="113" t="n">
        <f aca="false">IF(AP121&gt;0,1,0)</f>
        <v>1</v>
      </c>
      <c r="AQ155" s="113" t="n">
        <f aca="false">IF(AQ121&gt;0,1,0)</f>
        <v>1</v>
      </c>
      <c r="AR155" s="113" t="n">
        <f aca="false">IF(AR121&gt;0,1,0)</f>
        <v>1</v>
      </c>
      <c r="AS155" s="113" t="n">
        <f aca="false">IF(AS121&gt;0,1,0)</f>
        <v>1</v>
      </c>
      <c r="AT155" s="113" t="n">
        <f aca="false">IF(AT121&gt;0,1,0)</f>
        <v>1</v>
      </c>
      <c r="AU155" s="113" t="n">
        <f aca="false">IF(AU121&gt;0,1,0)</f>
        <v>1</v>
      </c>
      <c r="AV155" s="113" t="n">
        <f aca="false">IF(AV121&gt;0,1,0)</f>
        <v>1</v>
      </c>
      <c r="AW155" s="113" t="n">
        <f aca="false">IF(AW121&gt;0,1,0)</f>
        <v>1</v>
      </c>
      <c r="AX155" s="113" t="n">
        <f aca="false">IF(AX121&gt;0,1,0)</f>
        <v>1</v>
      </c>
      <c r="AY155" s="113" t="n">
        <f aca="false">IF(AY121&gt;0,1,0)</f>
        <v>1</v>
      </c>
      <c r="AZ155" s="113" t="n">
        <f aca="false">IF(AZ121&gt;0,1,0)</f>
        <v>1</v>
      </c>
      <c r="BA155" s="113" t="n">
        <f aca="false">IF(BA121&gt;0,1,0)</f>
        <v>1</v>
      </c>
      <c r="BB155" s="113" t="n">
        <f aca="false">IF(BB121&gt;0,1,0)</f>
        <v>1</v>
      </c>
      <c r="BC155" s="113" t="n">
        <f aca="false">IF(BC121&gt;0,1,0)</f>
        <v>1</v>
      </c>
      <c r="BD155" s="113" t="n">
        <f aca="false">IF(BD121&gt;0,1,0)</f>
        <v>1</v>
      </c>
      <c r="BE155" s="113" t="n">
        <f aca="false">IF(BE121&gt;0,1,0)</f>
        <v>1</v>
      </c>
      <c r="BF155" s="113" t="n">
        <f aca="false">IF(BF121&gt;0,1,0)</f>
        <v>1</v>
      </c>
      <c r="BG155" s="113" t="n">
        <f aca="false">IF(BG121&gt;0,1,0)</f>
        <v>1</v>
      </c>
      <c r="BH155" s="113" t="n">
        <f aca="false">IF(BH121&gt;0,1,0)</f>
        <v>1</v>
      </c>
      <c r="BI155" s="113" t="n">
        <f aca="false">IF(BI121&gt;0,1,0)</f>
        <v>1</v>
      </c>
      <c r="BJ155" s="113" t="n">
        <f aca="false">IF(BJ121&gt;0,1,0)</f>
        <v>1</v>
      </c>
    </row>
    <row r="156" customFormat="false" ht="15" hidden="false" customHeight="false" outlineLevel="0" collapsed="false">
      <c r="A156" s="6" t="s">
        <v>380</v>
      </c>
      <c r="C156" s="65" t="n">
        <f aca="false">C145+C146</f>
        <v>-167341.466666667</v>
      </c>
      <c r="D156" s="65" t="n">
        <f aca="false">D145+D146</f>
        <v>-5807.35555555556</v>
      </c>
      <c r="E156" s="65" t="n">
        <f aca="false">E145+E146</f>
        <v>-4134.46666666667</v>
      </c>
      <c r="F156" s="65" t="n">
        <f aca="false">F145+F146</f>
        <v>-2461.57777777778</v>
      </c>
      <c r="G156" s="65" t="n">
        <f aca="false">G145+G146</f>
        <v>-788.688888888894</v>
      </c>
      <c r="H156" s="65" t="n">
        <f aca="false">H145+H146</f>
        <v>884.199999999997</v>
      </c>
      <c r="I156" s="65" t="n">
        <f aca="false">I145+I146</f>
        <v>2557.08888888889</v>
      </c>
      <c r="J156" s="65" t="n">
        <f aca="false">J145+J146</f>
        <v>2539.11111111111</v>
      </c>
      <c r="K156" s="65" t="n">
        <f aca="false">K145+K146</f>
        <v>2548</v>
      </c>
      <c r="L156" s="65" t="n">
        <f aca="false">L145+L146</f>
        <v>2556.88888888889</v>
      </c>
      <c r="M156" s="65" t="n">
        <f aca="false">M145+M146</f>
        <v>2565.77777777778</v>
      </c>
      <c r="N156" s="65" t="n">
        <f aca="false">N145+N146</f>
        <v>2574.66666666666</v>
      </c>
      <c r="O156" s="65" t="n">
        <f aca="false">O145+O146</f>
        <v>4132.61427555556</v>
      </c>
      <c r="P156" s="65" t="n">
        <f aca="false">P145+P146</f>
        <v>4111.90684444445</v>
      </c>
      <c r="Q156" s="65" t="n">
        <f aca="false">Q145+Q146</f>
        <v>4120.79573333334</v>
      </c>
      <c r="R156" s="65" t="n">
        <f aca="false">R145+R146</f>
        <v>4129.68462222222</v>
      </c>
      <c r="S156" s="65" t="n">
        <f aca="false">S145+S146</f>
        <v>4138.57351111111</v>
      </c>
      <c r="T156" s="65" t="n">
        <f aca="false">T145+T146</f>
        <v>4147.4624</v>
      </c>
      <c r="U156" s="65" t="n">
        <f aca="false">U145+U146</f>
        <v>4156.35128888889</v>
      </c>
      <c r="V156" s="65" t="n">
        <f aca="false">V145+V146</f>
        <v>4165.24017777778</v>
      </c>
      <c r="W156" s="65" t="n">
        <f aca="false">W145+W146</f>
        <v>4174.12906666667</v>
      </c>
      <c r="X156" s="65" t="n">
        <f aca="false">X145+X146</f>
        <v>4183.01795555556</v>
      </c>
      <c r="Y156" s="65" t="n">
        <f aca="false">Y145+Y146</f>
        <v>4191.90684444445</v>
      </c>
      <c r="Z156" s="65" t="n">
        <f aca="false">Z145+Z146</f>
        <v>4200.79573333334</v>
      </c>
      <c r="AA156" s="65" t="n">
        <f aca="false">AA145+AA146</f>
        <v>5193.38585977103</v>
      </c>
      <c r="AB156" s="65" t="n">
        <f aca="false">AB145+AB146</f>
        <v>5058.55340115058</v>
      </c>
      <c r="AC156" s="65" t="n">
        <f aca="false">AC145+AC146</f>
        <v>5065.5756233728</v>
      </c>
      <c r="AD156" s="65" t="n">
        <f aca="false">AD145+AD146</f>
        <v>5072.59784559503</v>
      </c>
      <c r="AE156" s="65" t="n">
        <f aca="false">AE145+AE146</f>
        <v>5079.62006781725</v>
      </c>
      <c r="AF156" s="65" t="n">
        <f aca="false">AF145+AF146</f>
        <v>5086.64229003947</v>
      </c>
      <c r="AG156" s="65" t="n">
        <f aca="false">AG145+AG146</f>
        <v>5093.66451226169</v>
      </c>
      <c r="AH156" s="65" t="n">
        <f aca="false">AH145+AH146</f>
        <v>5100.68673448392</v>
      </c>
      <c r="AI156" s="65" t="n">
        <f aca="false">AI145+AI146</f>
        <v>5107.70895670614</v>
      </c>
      <c r="AJ156" s="65" t="n">
        <f aca="false">AJ145+AJ146</f>
        <v>5114.73117892836</v>
      </c>
      <c r="AK156" s="65" t="n">
        <f aca="false">AK145+AK146</f>
        <v>5121.75340115058</v>
      </c>
      <c r="AL156" s="65" t="n">
        <f aca="false">AL145+AL146</f>
        <v>5128.7756233728</v>
      </c>
      <c r="AM156" s="65" t="n">
        <f aca="false">AM145+AM146</f>
        <v>6634.44350324041</v>
      </c>
      <c r="AN156" s="65" t="n">
        <f aca="false">AN145+AN146</f>
        <v>6606.18610581887</v>
      </c>
      <c r="AO156" s="65" t="n">
        <f aca="false">AO145+AO146</f>
        <v>6613.2083280411</v>
      </c>
      <c r="AP156" s="65" t="n">
        <f aca="false">AP145+AP146</f>
        <v>6620.23055026332</v>
      </c>
      <c r="AQ156" s="65" t="n">
        <f aca="false">AQ145+AQ146</f>
        <v>6627.25277248554</v>
      </c>
      <c r="AR156" s="65" t="n">
        <f aca="false">AR145+AR146</f>
        <v>6634.27499470776</v>
      </c>
      <c r="AS156" s="65" t="n">
        <f aca="false">AS145+AS146</f>
        <v>6641.29721692998</v>
      </c>
      <c r="AT156" s="65" t="n">
        <f aca="false">AT145+AT146</f>
        <v>6648.31943915221</v>
      </c>
      <c r="AU156" s="65" t="n">
        <f aca="false">AU145+AU146</f>
        <v>6655.34166137443</v>
      </c>
      <c r="AV156" s="65" t="n">
        <f aca="false">AV145+AV146</f>
        <v>6662.36388359665</v>
      </c>
      <c r="AW156" s="65" t="n">
        <f aca="false">AW145+AW146</f>
        <v>6669.38610581887</v>
      </c>
      <c r="AX156" s="65" t="n">
        <f aca="false">AX145+AX146</f>
        <v>6676.4083280411</v>
      </c>
      <c r="AY156" s="65" t="n">
        <f aca="false">AY145+AY146</f>
        <v>8335.89487275382</v>
      </c>
      <c r="AZ156" s="65" t="n">
        <f aca="false">AZ145+AZ146</f>
        <v>8304.39880624899</v>
      </c>
      <c r="BA156" s="65" t="n">
        <f aca="false">BA145+BA146</f>
        <v>8311.42102847121</v>
      </c>
      <c r="BB156" s="65" t="n">
        <f aca="false">BB145+BB146</f>
        <v>8318.44325069344</v>
      </c>
      <c r="BC156" s="65" t="n">
        <f aca="false">BC145+BC146</f>
        <v>8325.46547291565</v>
      </c>
      <c r="BD156" s="65" t="n">
        <f aca="false">BD145+BD146</f>
        <v>8332.48769513788</v>
      </c>
      <c r="BE156" s="65" t="n">
        <f aca="false">BE145+BE146</f>
        <v>8339.5099173601</v>
      </c>
      <c r="BF156" s="65" t="n">
        <f aca="false">BF145+BF146</f>
        <v>8346.53213958232</v>
      </c>
      <c r="BG156" s="65" t="n">
        <f aca="false">BG145+BG146</f>
        <v>8353.55436180455</v>
      </c>
      <c r="BH156" s="65" t="n">
        <f aca="false">BH145+BH146</f>
        <v>8360.57658402677</v>
      </c>
      <c r="BI156" s="65" t="n">
        <f aca="false">BI145+BI146</f>
        <v>8367.59880624899</v>
      </c>
      <c r="BJ156" s="65" t="n">
        <f aca="false">BJ145+BJ146</f>
        <v>8374.62102847121</v>
      </c>
    </row>
    <row r="157" customFormat="false" ht="15" hidden="false" customHeight="false" outlineLevel="0" collapsed="false">
      <c r="A157" s="6" t="s">
        <v>381</v>
      </c>
      <c r="C157" s="65" t="n">
        <f aca="false">C156</f>
        <v>-167341.466666667</v>
      </c>
      <c r="D157" s="65" t="n">
        <f aca="false">C157+D156</f>
        <v>-173148.822222222</v>
      </c>
      <c r="E157" s="65" t="n">
        <f aca="false">D157+E156</f>
        <v>-177283.288888889</v>
      </c>
      <c r="F157" s="65" t="n">
        <f aca="false">E157+F156</f>
        <v>-179744.866666667</v>
      </c>
      <c r="G157" s="65" t="n">
        <f aca="false">F157+G156</f>
        <v>-180533.555555556</v>
      </c>
      <c r="H157" s="65" t="n">
        <f aca="false">G157+H156</f>
        <v>-179649.355555556</v>
      </c>
      <c r="I157" s="65" t="n">
        <f aca="false">H157+I156</f>
        <v>-177092.266666667</v>
      </c>
      <c r="J157" s="65" t="n">
        <f aca="false">I157+J156</f>
        <v>-174553.155555556</v>
      </c>
      <c r="K157" s="65" t="n">
        <f aca="false">J157+K156</f>
        <v>-172005.155555556</v>
      </c>
      <c r="L157" s="65" t="n">
        <f aca="false">K157+L156</f>
        <v>-169448.266666667</v>
      </c>
      <c r="M157" s="65" t="n">
        <f aca="false">L157+M156</f>
        <v>-166882.488888889</v>
      </c>
      <c r="N157" s="65" t="n">
        <f aca="false">M157+N156</f>
        <v>-164307.822222222</v>
      </c>
      <c r="O157" s="65" t="n">
        <f aca="false">N157+O156</f>
        <v>-160175.207946667</v>
      </c>
      <c r="P157" s="65" t="n">
        <f aca="false">O157+P156</f>
        <v>-156063.301102222</v>
      </c>
      <c r="Q157" s="65" t="n">
        <f aca="false">P157+Q156</f>
        <v>-151942.505368889</v>
      </c>
      <c r="R157" s="65" t="n">
        <f aca="false">Q157+R156</f>
        <v>-147812.820746667</v>
      </c>
      <c r="S157" s="65" t="n">
        <f aca="false">R157+S156</f>
        <v>-143674.247235556</v>
      </c>
      <c r="T157" s="65" t="n">
        <f aca="false">S157+T156</f>
        <v>-139526.784835556</v>
      </c>
      <c r="U157" s="65" t="n">
        <f aca="false">T157+U156</f>
        <v>-135370.433546667</v>
      </c>
      <c r="V157" s="65" t="n">
        <f aca="false">U157+V156</f>
        <v>-131205.193368889</v>
      </c>
      <c r="W157" s="65" t="n">
        <f aca="false">V157+W156</f>
        <v>-127031.064302222</v>
      </c>
      <c r="X157" s="65" t="n">
        <f aca="false">W157+X156</f>
        <v>-122848.046346667</v>
      </c>
      <c r="Y157" s="65" t="n">
        <f aca="false">X157+Y156</f>
        <v>-118656.139502222</v>
      </c>
      <c r="Z157" s="65" t="n">
        <f aca="false">Y157+Z156</f>
        <v>-114455.343768889</v>
      </c>
      <c r="AA157" s="65" t="n">
        <f aca="false">Z157+AA156</f>
        <v>-109261.957909118</v>
      </c>
      <c r="AB157" s="65" t="n">
        <f aca="false">AA157+AB156</f>
        <v>-104203.404507967</v>
      </c>
      <c r="AC157" s="65" t="n">
        <f aca="false">AB157+AC156</f>
        <v>-99137.8288845945</v>
      </c>
      <c r="AD157" s="65" t="n">
        <f aca="false">AC157+AD156</f>
        <v>-94065.2310389995</v>
      </c>
      <c r="AE157" s="65" t="n">
        <f aca="false">AD157+AE156</f>
        <v>-88985.6109711822</v>
      </c>
      <c r="AF157" s="65" t="n">
        <f aca="false">AE157+AF156</f>
        <v>-83898.9686811427</v>
      </c>
      <c r="AG157" s="65" t="n">
        <f aca="false">AF157+AG156</f>
        <v>-78805.3041688811</v>
      </c>
      <c r="AH157" s="65" t="n">
        <f aca="false">AG157+AH156</f>
        <v>-73704.6174343971</v>
      </c>
      <c r="AI157" s="65" t="n">
        <f aca="false">AH157+AI156</f>
        <v>-68596.908477691</v>
      </c>
      <c r="AJ157" s="65" t="n">
        <f aca="false">AI157+AJ156</f>
        <v>-63482.1772987627</v>
      </c>
      <c r="AK157" s="65" t="n">
        <f aca="false">AJ157+AK156</f>
        <v>-58360.4238976121</v>
      </c>
      <c r="AL157" s="65" t="n">
        <f aca="false">AK157+AL156</f>
        <v>-53231.6482742393</v>
      </c>
      <c r="AM157" s="65" t="n">
        <f aca="false">AL157+AM156</f>
        <v>-46597.2047709989</v>
      </c>
      <c r="AN157" s="65" t="n">
        <f aca="false">AM157+AN156</f>
        <v>-39991.01866518</v>
      </c>
      <c r="AO157" s="65" t="n">
        <f aca="false">AN157+AO156</f>
        <v>-33377.8103371389</v>
      </c>
      <c r="AP157" s="65" t="n">
        <f aca="false">AO157+AP156</f>
        <v>-26757.5797868756</v>
      </c>
      <c r="AQ157" s="65" t="n">
        <f aca="false">AP157+AQ156</f>
        <v>-20130.32701439</v>
      </c>
      <c r="AR157" s="65" t="n">
        <f aca="false">AQ157+AR156</f>
        <v>-13496.0520196823</v>
      </c>
      <c r="AS157" s="65" t="n">
        <f aca="false">AR157+AS156</f>
        <v>-6854.75480275229</v>
      </c>
      <c r="AT157" s="65" t="n">
        <f aca="false">AS157+AT156</f>
        <v>-206.435363600087</v>
      </c>
      <c r="AU157" s="65" t="n">
        <f aca="false">AT157+AU156</f>
        <v>6448.90629777434</v>
      </c>
      <c r="AV157" s="65" t="n">
        <f aca="false">AU157+AV156</f>
        <v>13111.270181371</v>
      </c>
      <c r="AW157" s="65" t="n">
        <f aca="false">AV157+AW156</f>
        <v>19780.6562871899</v>
      </c>
      <c r="AX157" s="65" t="n">
        <f aca="false">AW157+AX156</f>
        <v>26457.064615231</v>
      </c>
      <c r="AY157" s="65" t="n">
        <f aca="false">AX157+AY156</f>
        <v>34792.9594879848</v>
      </c>
      <c r="AZ157" s="65" t="n">
        <f aca="false">AY157+AZ156</f>
        <v>43097.3582942338</v>
      </c>
      <c r="BA157" s="65" t="n">
        <f aca="false">AZ157+BA156</f>
        <v>51408.779322705</v>
      </c>
      <c r="BB157" s="65" t="n">
        <f aca="false">BA157+BB156</f>
        <v>59727.2225733984</v>
      </c>
      <c r="BC157" s="65" t="n">
        <f aca="false">BB157+BC156</f>
        <v>68052.6880463141</v>
      </c>
      <c r="BD157" s="65" t="n">
        <f aca="false">BC157+BD156</f>
        <v>76385.1757414519</v>
      </c>
      <c r="BE157" s="65" t="n">
        <f aca="false">BD157+BE156</f>
        <v>84724.685658812</v>
      </c>
      <c r="BF157" s="65" t="n">
        <f aca="false">BE157+BF156</f>
        <v>93071.2177983944</v>
      </c>
      <c r="BG157" s="65" t="n">
        <f aca="false">BF157+BG156</f>
        <v>101424.772160199</v>
      </c>
      <c r="BH157" s="65" t="n">
        <f aca="false">BG157+BH156</f>
        <v>109785.348744226</v>
      </c>
      <c r="BI157" s="65" t="n">
        <f aca="false">BH157+BI156</f>
        <v>118152.947550475</v>
      </c>
      <c r="BJ157" s="65" t="n">
        <f aca="false">BI157+BJ156</f>
        <v>126527.568578946</v>
      </c>
    </row>
    <row r="158" customFormat="false" ht="15" hidden="false" customHeight="false" outlineLevel="0" collapsed="false">
      <c r="A158" s="114" t="s">
        <v>382</v>
      </c>
      <c r="C158" s="65" t="n">
        <f aca="false">C157</f>
        <v>-167341.466666667</v>
      </c>
      <c r="D158" s="65" t="n">
        <f aca="false">MIN(C158,D157)</f>
        <v>-173148.822222222</v>
      </c>
      <c r="E158" s="65" t="n">
        <f aca="false">MIN(D158,E157)</f>
        <v>-177283.288888889</v>
      </c>
      <c r="F158" s="65" t="n">
        <f aca="false">MIN(E158,F157)</f>
        <v>-179744.866666667</v>
      </c>
      <c r="G158" s="65" t="n">
        <f aca="false">MIN(F158,G157)</f>
        <v>-180533.555555556</v>
      </c>
      <c r="H158" s="65" t="n">
        <f aca="false">MIN(G158,H157)</f>
        <v>-180533.555555556</v>
      </c>
      <c r="I158" s="65" t="n">
        <f aca="false">MIN(H158,I157)</f>
        <v>-180533.555555556</v>
      </c>
      <c r="J158" s="65" t="n">
        <f aca="false">MIN(I158,J157)</f>
        <v>-180533.555555556</v>
      </c>
      <c r="K158" s="65" t="n">
        <f aca="false">MIN(J158,K157)</f>
        <v>-180533.555555556</v>
      </c>
      <c r="L158" s="65" t="n">
        <f aca="false">MIN(K158,L157)</f>
        <v>-180533.555555556</v>
      </c>
      <c r="M158" s="65" t="n">
        <f aca="false">MIN(L158,M157)</f>
        <v>-180533.555555556</v>
      </c>
      <c r="N158" s="65" t="n">
        <f aca="false">MIN(M158,N157)</f>
        <v>-180533.555555556</v>
      </c>
      <c r="O158" s="65" t="n">
        <f aca="false">MIN(N158,O157)</f>
        <v>-180533.555555556</v>
      </c>
      <c r="P158" s="65" t="n">
        <f aca="false">MIN(O158,P157)</f>
        <v>-180533.555555556</v>
      </c>
      <c r="Q158" s="65" t="n">
        <f aca="false">MIN(P158,Q157)</f>
        <v>-180533.555555556</v>
      </c>
      <c r="R158" s="65" t="n">
        <f aca="false">MIN(Q158,R157)</f>
        <v>-180533.555555556</v>
      </c>
      <c r="S158" s="65" t="n">
        <f aca="false">MIN(R158,S157)</f>
        <v>-180533.555555556</v>
      </c>
      <c r="T158" s="65" t="n">
        <f aca="false">MIN(S158,T157)</f>
        <v>-180533.555555556</v>
      </c>
      <c r="U158" s="65" t="n">
        <f aca="false">MIN(T158,U157)</f>
        <v>-180533.555555556</v>
      </c>
      <c r="V158" s="65" t="n">
        <f aca="false">MIN(U158,V157)</f>
        <v>-180533.555555556</v>
      </c>
      <c r="W158" s="65" t="n">
        <f aca="false">MIN(V158,W157)</f>
        <v>-180533.555555556</v>
      </c>
      <c r="X158" s="65" t="n">
        <f aca="false">MIN(W158,X157)</f>
        <v>-180533.555555556</v>
      </c>
      <c r="Y158" s="65" t="n">
        <f aca="false">MIN(X158,Y157)</f>
        <v>-180533.555555556</v>
      </c>
      <c r="Z158" s="65" t="n">
        <f aca="false">MIN(Y158,Z157)</f>
        <v>-180533.555555556</v>
      </c>
      <c r="AA158" s="65" t="n">
        <f aca="false">MIN(Z158,AA157)</f>
        <v>-180533.555555556</v>
      </c>
      <c r="AB158" s="65" t="n">
        <f aca="false">MIN(AA158,AB157)</f>
        <v>-180533.555555556</v>
      </c>
      <c r="AC158" s="65" t="n">
        <f aca="false">MIN(AB158,AC157)</f>
        <v>-180533.555555556</v>
      </c>
      <c r="AD158" s="65" t="n">
        <f aca="false">MIN(AC158,AD157)</f>
        <v>-180533.555555556</v>
      </c>
      <c r="AE158" s="65" t="n">
        <f aca="false">MIN(AD158,AE157)</f>
        <v>-180533.555555556</v>
      </c>
      <c r="AF158" s="65" t="n">
        <f aca="false">MIN(AE158,AF157)</f>
        <v>-180533.555555556</v>
      </c>
      <c r="AG158" s="65" t="n">
        <f aca="false">MIN(AF158,AG157)</f>
        <v>-180533.555555556</v>
      </c>
      <c r="AH158" s="65" t="n">
        <f aca="false">MIN(AG158,AH157)</f>
        <v>-180533.555555556</v>
      </c>
      <c r="AI158" s="65" t="n">
        <f aca="false">MIN(AH158,AI157)</f>
        <v>-180533.555555556</v>
      </c>
      <c r="AJ158" s="65" t="n">
        <f aca="false">MIN(AI158,AJ157)</f>
        <v>-180533.555555556</v>
      </c>
      <c r="AK158" s="65" t="n">
        <f aca="false">MIN(AJ158,AK157)</f>
        <v>-180533.555555556</v>
      </c>
      <c r="AL158" s="65" t="n">
        <f aca="false">MIN(AK158,AL157)</f>
        <v>-180533.555555556</v>
      </c>
      <c r="AM158" s="65" t="n">
        <f aca="false">MIN(AL158,AM157)</f>
        <v>-180533.555555556</v>
      </c>
      <c r="AN158" s="65" t="n">
        <f aca="false">MIN(AM158,AN157)</f>
        <v>-180533.555555556</v>
      </c>
      <c r="AO158" s="65" t="n">
        <f aca="false">MIN(AN158,AO157)</f>
        <v>-180533.555555556</v>
      </c>
      <c r="AP158" s="65" t="n">
        <f aca="false">MIN(AO158,AP157)</f>
        <v>-180533.555555556</v>
      </c>
      <c r="AQ158" s="65" t="n">
        <f aca="false">MIN(AP158,AQ157)</f>
        <v>-180533.555555556</v>
      </c>
      <c r="AR158" s="65" t="n">
        <f aca="false">MIN(AQ158,AR157)</f>
        <v>-180533.555555556</v>
      </c>
      <c r="AS158" s="65" t="n">
        <f aca="false">MIN(AR158,AS157)</f>
        <v>-180533.555555556</v>
      </c>
      <c r="AT158" s="65" t="n">
        <f aca="false">MIN(AS158,AT157)</f>
        <v>-180533.555555556</v>
      </c>
      <c r="AU158" s="65" t="n">
        <f aca="false">MIN(AT158,AU157)</f>
        <v>-180533.555555556</v>
      </c>
      <c r="AV158" s="65" t="n">
        <f aca="false">MIN(AU158,AV157)</f>
        <v>-180533.555555556</v>
      </c>
      <c r="AW158" s="65" t="n">
        <f aca="false">MIN(AV158,AW157)</f>
        <v>-180533.555555556</v>
      </c>
      <c r="AX158" s="65" t="n">
        <f aca="false">MIN(AW158,AX157)</f>
        <v>-180533.555555556</v>
      </c>
      <c r="AY158" s="65" t="n">
        <f aca="false">MIN(AX158,AY157)</f>
        <v>-180533.555555556</v>
      </c>
      <c r="AZ158" s="65" t="n">
        <f aca="false">MIN(AY158,AZ157)</f>
        <v>-180533.555555556</v>
      </c>
      <c r="BA158" s="65" t="n">
        <f aca="false">MIN(AZ158,BA157)</f>
        <v>-180533.555555556</v>
      </c>
      <c r="BB158" s="65" t="n">
        <f aca="false">MIN(BA158,BB157)</f>
        <v>-180533.555555556</v>
      </c>
      <c r="BC158" s="65" t="n">
        <f aca="false">MIN(BB158,BC157)</f>
        <v>-180533.555555556</v>
      </c>
      <c r="BD158" s="65" t="n">
        <f aca="false">MIN(BC158,BD157)</f>
        <v>-180533.555555556</v>
      </c>
      <c r="BE158" s="65" t="n">
        <f aca="false">MIN(BD158,BE157)</f>
        <v>-180533.555555556</v>
      </c>
      <c r="BF158" s="65" t="n">
        <f aca="false">MIN(BE158,BF157)</f>
        <v>-180533.555555556</v>
      </c>
      <c r="BG158" s="65" t="n">
        <f aca="false">MIN(BF158,BG157)</f>
        <v>-180533.555555556</v>
      </c>
      <c r="BH158" s="65" t="n">
        <f aca="false">MIN(BG158,BH157)</f>
        <v>-180533.555555556</v>
      </c>
      <c r="BI158" s="65" t="n">
        <f aca="false">MIN(BH158,BI157)</f>
        <v>-180533.555555556</v>
      </c>
      <c r="BJ158" s="65" t="n">
        <f aca="false">MIN(BI158,BJ157)</f>
        <v>-180533.555555556</v>
      </c>
    </row>
    <row r="159" customFormat="false" ht="15" hidden="false" customHeight="false" outlineLevel="0" collapsed="false">
      <c r="A159" s="114" t="s">
        <v>383</v>
      </c>
      <c r="C159" s="113" t="n">
        <f aca="false">IF(AND(C157&gt;=0,C158&lt;0),1,0)</f>
        <v>0</v>
      </c>
      <c r="D159" s="113" t="n">
        <f aca="false">IF(AND(D157&gt;=0,D158&lt;0),1,0)</f>
        <v>0</v>
      </c>
      <c r="E159" s="113" t="n">
        <f aca="false">IF(AND(E157&gt;=0,E158&lt;0),1,0)</f>
        <v>0</v>
      </c>
      <c r="F159" s="113" t="n">
        <f aca="false">IF(AND(F157&gt;=0,F158&lt;0),1,0)</f>
        <v>0</v>
      </c>
      <c r="G159" s="113" t="n">
        <f aca="false">IF(AND(G157&gt;=0,G158&lt;0),1,0)</f>
        <v>0</v>
      </c>
      <c r="H159" s="113" t="n">
        <f aca="false">IF(AND(H157&gt;=0,H158&lt;0),1,0)</f>
        <v>0</v>
      </c>
      <c r="I159" s="113" t="n">
        <f aca="false">IF(AND(I157&gt;=0,I158&lt;0),1,0)</f>
        <v>0</v>
      </c>
      <c r="J159" s="113" t="n">
        <f aca="false">IF(AND(J157&gt;=0,J158&lt;0),1,0)</f>
        <v>0</v>
      </c>
      <c r="K159" s="113" t="n">
        <f aca="false">IF(AND(K157&gt;=0,K158&lt;0),1,0)</f>
        <v>0</v>
      </c>
      <c r="L159" s="113" t="n">
        <f aca="false">IF(AND(L157&gt;=0,L158&lt;0),1,0)</f>
        <v>0</v>
      </c>
      <c r="M159" s="113" t="n">
        <f aca="false">IF(AND(M157&gt;=0,M158&lt;0),1,0)</f>
        <v>0</v>
      </c>
      <c r="N159" s="113" t="n">
        <f aca="false">IF(AND(N157&gt;=0,N158&lt;0),1,0)</f>
        <v>0</v>
      </c>
      <c r="O159" s="113" t="n">
        <f aca="false">IF(AND(O157&gt;=0,O158&lt;0),1,0)</f>
        <v>0</v>
      </c>
      <c r="P159" s="113" t="n">
        <f aca="false">IF(AND(P157&gt;=0,P158&lt;0),1,0)</f>
        <v>0</v>
      </c>
      <c r="Q159" s="113" t="n">
        <f aca="false">IF(AND(Q157&gt;=0,Q158&lt;0),1,0)</f>
        <v>0</v>
      </c>
      <c r="R159" s="113" t="n">
        <f aca="false">IF(AND(R157&gt;=0,R158&lt;0),1,0)</f>
        <v>0</v>
      </c>
      <c r="S159" s="113" t="n">
        <f aca="false">IF(AND(S157&gt;=0,S158&lt;0),1,0)</f>
        <v>0</v>
      </c>
      <c r="T159" s="113" t="n">
        <f aca="false">IF(AND(T157&gt;=0,T158&lt;0),1,0)</f>
        <v>0</v>
      </c>
      <c r="U159" s="113" t="n">
        <f aca="false">IF(AND(U157&gt;=0,U158&lt;0),1,0)</f>
        <v>0</v>
      </c>
      <c r="V159" s="113" t="n">
        <f aca="false">IF(AND(V157&gt;=0,V158&lt;0),1,0)</f>
        <v>0</v>
      </c>
      <c r="W159" s="113" t="n">
        <f aca="false">IF(AND(W157&gt;=0,W158&lt;0),1,0)</f>
        <v>0</v>
      </c>
      <c r="X159" s="113" t="n">
        <f aca="false">IF(AND(X157&gt;=0,X158&lt;0),1,0)</f>
        <v>0</v>
      </c>
      <c r="Y159" s="113" t="n">
        <f aca="false">IF(AND(Y157&gt;=0,Y158&lt;0),1,0)</f>
        <v>0</v>
      </c>
      <c r="Z159" s="113" t="n">
        <f aca="false">IF(AND(Z157&gt;=0,Z158&lt;0),1,0)</f>
        <v>0</v>
      </c>
      <c r="AA159" s="113" t="n">
        <f aca="false">IF(AND(AA157&gt;=0,AA158&lt;0),1,0)</f>
        <v>0</v>
      </c>
      <c r="AB159" s="113" t="n">
        <f aca="false">IF(AND(AB157&gt;=0,AB158&lt;0),1,0)</f>
        <v>0</v>
      </c>
      <c r="AC159" s="113" t="n">
        <f aca="false">IF(AND(AC157&gt;=0,AC158&lt;0),1,0)</f>
        <v>0</v>
      </c>
      <c r="AD159" s="113" t="n">
        <f aca="false">IF(AND(AD157&gt;=0,AD158&lt;0),1,0)</f>
        <v>0</v>
      </c>
      <c r="AE159" s="113" t="n">
        <f aca="false">IF(AND(AE157&gt;=0,AE158&lt;0),1,0)</f>
        <v>0</v>
      </c>
      <c r="AF159" s="113" t="n">
        <f aca="false">IF(AND(AF157&gt;=0,AF158&lt;0),1,0)</f>
        <v>0</v>
      </c>
      <c r="AG159" s="113" t="n">
        <f aca="false">IF(AND(AG157&gt;=0,AG158&lt;0),1,0)</f>
        <v>0</v>
      </c>
      <c r="AH159" s="113" t="n">
        <f aca="false">IF(AND(AH157&gt;=0,AH158&lt;0),1,0)</f>
        <v>0</v>
      </c>
      <c r="AI159" s="113" t="n">
        <f aca="false">IF(AND(AI157&gt;=0,AI158&lt;0),1,0)</f>
        <v>0</v>
      </c>
      <c r="AJ159" s="113" t="n">
        <f aca="false">IF(AND(AJ157&gt;=0,AJ158&lt;0),1,0)</f>
        <v>0</v>
      </c>
      <c r="AK159" s="113" t="n">
        <f aca="false">IF(AND(AK157&gt;=0,AK158&lt;0),1,0)</f>
        <v>0</v>
      </c>
      <c r="AL159" s="113" t="n">
        <f aca="false">IF(AND(AL157&gt;=0,AL158&lt;0),1,0)</f>
        <v>0</v>
      </c>
      <c r="AM159" s="113" t="n">
        <f aca="false">IF(AND(AM157&gt;=0,AM158&lt;0),1,0)</f>
        <v>0</v>
      </c>
      <c r="AN159" s="113" t="n">
        <f aca="false">IF(AND(AN157&gt;=0,AN158&lt;0),1,0)</f>
        <v>0</v>
      </c>
      <c r="AO159" s="113" t="n">
        <f aca="false">IF(AND(AO157&gt;=0,AO158&lt;0),1,0)</f>
        <v>0</v>
      </c>
      <c r="AP159" s="113" t="n">
        <f aca="false">IF(AND(AP157&gt;=0,AP158&lt;0),1,0)</f>
        <v>0</v>
      </c>
      <c r="AQ159" s="113" t="n">
        <f aca="false">IF(AND(AQ157&gt;=0,AQ158&lt;0),1,0)</f>
        <v>0</v>
      </c>
      <c r="AR159" s="113" t="n">
        <f aca="false">IF(AND(AR157&gt;=0,AR158&lt;0),1,0)</f>
        <v>0</v>
      </c>
      <c r="AS159" s="113" t="n">
        <f aca="false">IF(AND(AS157&gt;=0,AS158&lt;0),1,0)</f>
        <v>0</v>
      </c>
      <c r="AT159" s="113" t="n">
        <f aca="false">IF(AND(AT157&gt;=0,AT158&lt;0),1,0)</f>
        <v>0</v>
      </c>
      <c r="AU159" s="113" t="n">
        <f aca="false">IF(AND(AU157&gt;=0,AU158&lt;0),1,0)</f>
        <v>1</v>
      </c>
      <c r="AV159" s="113" t="n">
        <f aca="false">IF(AND(AV157&gt;=0,AV158&lt;0),1,0)</f>
        <v>1</v>
      </c>
      <c r="AW159" s="113" t="n">
        <f aca="false">IF(AND(AW157&gt;=0,AW158&lt;0),1,0)</f>
        <v>1</v>
      </c>
      <c r="AX159" s="113" t="n">
        <f aca="false">IF(AND(AX157&gt;=0,AX158&lt;0),1,0)</f>
        <v>1</v>
      </c>
      <c r="AY159" s="113" t="n">
        <f aca="false">IF(AND(AY157&gt;=0,AY158&lt;0),1,0)</f>
        <v>1</v>
      </c>
      <c r="AZ159" s="113" t="n">
        <f aca="false">IF(AND(AZ157&gt;=0,AZ158&lt;0),1,0)</f>
        <v>1</v>
      </c>
      <c r="BA159" s="113" t="n">
        <f aca="false">IF(AND(BA157&gt;=0,BA158&lt;0),1,0)</f>
        <v>1</v>
      </c>
      <c r="BB159" s="113" t="n">
        <f aca="false">IF(AND(BB157&gt;=0,BB158&lt;0),1,0)</f>
        <v>1</v>
      </c>
      <c r="BC159" s="113" t="n">
        <f aca="false">IF(AND(BC157&gt;=0,BC158&lt;0),1,0)</f>
        <v>1</v>
      </c>
      <c r="BD159" s="113" t="n">
        <f aca="false">IF(AND(BD157&gt;=0,BD158&lt;0),1,0)</f>
        <v>1</v>
      </c>
      <c r="BE159" s="113" t="n">
        <f aca="false">IF(AND(BE157&gt;=0,BE158&lt;0),1,0)</f>
        <v>1</v>
      </c>
      <c r="BF159" s="113" t="n">
        <f aca="false">IF(AND(BF157&gt;=0,BF158&lt;0),1,0)</f>
        <v>1</v>
      </c>
      <c r="BG159" s="113" t="n">
        <f aca="false">IF(AND(BG157&gt;=0,BG158&lt;0),1,0)</f>
        <v>1</v>
      </c>
      <c r="BH159" s="113" t="n">
        <f aca="false">IF(AND(BH157&gt;=0,BH158&lt;0),1,0)</f>
        <v>1</v>
      </c>
      <c r="BI159" s="113" t="n">
        <f aca="false">IF(AND(BI157&gt;=0,BI158&lt;0),1,0)</f>
        <v>1</v>
      </c>
      <c r="BJ159" s="113" t="n">
        <f aca="false">IF(AND(BJ157&gt;=0,BJ158&lt;0),1,0)</f>
        <v>1</v>
      </c>
    </row>
    <row r="160" customFormat="false" ht="15" hidden="false" customHeight="false" outlineLevel="0" collapsed="false">
      <c r="A160" s="6" t="s">
        <v>384</v>
      </c>
      <c r="C160" s="65" t="n">
        <f aca="false">C145-C116*(1-Inputs!$C$41)+C146</f>
        <v>-166920.133333333</v>
      </c>
      <c r="D160" s="65" t="n">
        <f aca="false">D145-D116*(1-Inputs!$C$41)+D146</f>
        <v>-5389.53333333333</v>
      </c>
      <c r="E160" s="65" t="n">
        <f aca="false">E145-E116*(1-Inputs!$C$41)+E146</f>
        <v>-3723.66666666667</v>
      </c>
      <c r="F160" s="65" t="n">
        <f aca="false">F145-F116*(1-Inputs!$C$41)+F146</f>
        <v>-2057.8</v>
      </c>
      <c r="G160" s="65" t="n">
        <f aca="false">G145-G116*(1-Inputs!$C$41)+G146</f>
        <v>-391.933333333339</v>
      </c>
      <c r="H160" s="65" t="n">
        <f aca="false">H145-H116*(1-Inputs!$C$41)+H146</f>
        <v>1273.93333333333</v>
      </c>
      <c r="I160" s="65" t="n">
        <f aca="false">I145-I116*(1-Inputs!$C$41)+I146</f>
        <v>2939.8</v>
      </c>
      <c r="J160" s="65" t="n">
        <f aca="false">J145-J116*(1-Inputs!$C$41)+J146</f>
        <v>2914.8</v>
      </c>
      <c r="K160" s="65" t="n">
        <f aca="false">K145-K116*(1-Inputs!$C$41)+K146</f>
        <v>2916.66666666666</v>
      </c>
      <c r="L160" s="65" t="n">
        <f aca="false">L145-L116*(1-Inputs!$C$41)+L146</f>
        <v>2918.53333333333</v>
      </c>
      <c r="M160" s="65" t="n">
        <f aca="false">M145-M116*(1-Inputs!$C$41)+M146</f>
        <v>2920.4</v>
      </c>
      <c r="N160" s="65" t="n">
        <f aca="false">N145-N116*(1-Inputs!$C$41)+N146</f>
        <v>2922.26666666666</v>
      </c>
      <c r="O160" s="65" t="n">
        <f aca="false">O145-O116*(1-Inputs!$C$41)+O146</f>
        <v>4473.19205333334</v>
      </c>
      <c r="P160" s="65" t="n">
        <f aca="false">P145-P116*(1-Inputs!$C$41)+P146</f>
        <v>4445.4624</v>
      </c>
      <c r="Q160" s="65" t="n">
        <f aca="false">Q145-Q116*(1-Inputs!$C$41)+Q146</f>
        <v>4447.32906666667</v>
      </c>
      <c r="R160" s="65" t="n">
        <f aca="false">R145-R116*(1-Inputs!$C$41)+R146</f>
        <v>4449.19573333334</v>
      </c>
      <c r="S160" s="65" t="n">
        <f aca="false">S145-S116*(1-Inputs!$C$41)+S146</f>
        <v>4451.0624</v>
      </c>
      <c r="T160" s="65" t="n">
        <f aca="false">T145-T116*(1-Inputs!$C$41)+T146</f>
        <v>4452.92906666667</v>
      </c>
      <c r="U160" s="65" t="n">
        <f aca="false">U145-U116*(1-Inputs!$C$41)+U146</f>
        <v>4454.79573333334</v>
      </c>
      <c r="V160" s="65" t="n">
        <f aca="false">V145-V116*(1-Inputs!$C$41)+V146</f>
        <v>4456.6624</v>
      </c>
      <c r="W160" s="65" t="n">
        <f aca="false">W145-W116*(1-Inputs!$C$41)+W146</f>
        <v>4458.52906666667</v>
      </c>
      <c r="X160" s="65" t="n">
        <f aca="false">X145-X116*(1-Inputs!$C$41)+X146</f>
        <v>4460.39573333334</v>
      </c>
      <c r="Y160" s="65" t="n">
        <f aca="false">Y145-Y116*(1-Inputs!$C$41)+Y146</f>
        <v>4462.2624</v>
      </c>
      <c r="Z160" s="65" t="n">
        <f aca="false">Z145-Z116*(1-Inputs!$C$41)+Z146</f>
        <v>4464.12906666667</v>
      </c>
      <c r="AA160" s="65" t="n">
        <f aca="false">AA145-AA116*(1-Inputs!$C$41)+AA146</f>
        <v>5449.69697088214</v>
      </c>
      <c r="AB160" s="65" t="n">
        <f aca="false">AB145-AB116*(1-Inputs!$C$41)+AB146</f>
        <v>5307.84229003947</v>
      </c>
      <c r="AC160" s="65" t="n">
        <f aca="false">AC145-AC116*(1-Inputs!$C$41)+AC146</f>
        <v>5307.84229003947</v>
      </c>
      <c r="AD160" s="65" t="n">
        <f aca="false">AD145-AD116*(1-Inputs!$C$41)+AD146</f>
        <v>5307.84229003947</v>
      </c>
      <c r="AE160" s="65" t="n">
        <f aca="false">AE145-AE116*(1-Inputs!$C$41)+AE146</f>
        <v>5307.84229003947</v>
      </c>
      <c r="AF160" s="65" t="n">
        <f aca="false">AF145-AF116*(1-Inputs!$C$41)+AF146</f>
        <v>5307.84229003947</v>
      </c>
      <c r="AG160" s="65" t="n">
        <f aca="false">AG145-AG116*(1-Inputs!$C$41)+AG146</f>
        <v>5307.84229003947</v>
      </c>
      <c r="AH160" s="65" t="n">
        <f aca="false">AH145-AH116*(1-Inputs!$C$41)+AH146</f>
        <v>5307.84229003947</v>
      </c>
      <c r="AI160" s="65" t="n">
        <f aca="false">AI145-AI116*(1-Inputs!$C$41)+AI146</f>
        <v>5307.84229003947</v>
      </c>
      <c r="AJ160" s="65" t="n">
        <f aca="false">AJ145-AJ116*(1-Inputs!$C$41)+AJ146</f>
        <v>5307.84229003947</v>
      </c>
      <c r="AK160" s="65" t="n">
        <f aca="false">AK145-AK116*(1-Inputs!$C$41)+AK146</f>
        <v>5307.84229003947</v>
      </c>
      <c r="AL160" s="65" t="n">
        <f aca="false">AL145-AL116*(1-Inputs!$C$41)+AL146</f>
        <v>5307.84229003947</v>
      </c>
      <c r="AM160" s="65" t="n">
        <f aca="false">AM145-AM116*(1-Inputs!$C$41)+AM146</f>
        <v>6806.48794768485</v>
      </c>
      <c r="AN160" s="65" t="n">
        <f aca="false">AN145-AN116*(1-Inputs!$C$41)+AN146</f>
        <v>6771.2083280411</v>
      </c>
      <c r="AO160" s="65" t="n">
        <f aca="false">AO145-AO116*(1-Inputs!$C$41)+AO146</f>
        <v>6771.2083280411</v>
      </c>
      <c r="AP160" s="65" t="n">
        <f aca="false">AP145-AP116*(1-Inputs!$C$41)+AP146</f>
        <v>6771.2083280411</v>
      </c>
      <c r="AQ160" s="65" t="n">
        <f aca="false">AQ145-AQ116*(1-Inputs!$C$41)+AQ146</f>
        <v>6771.20832804109</v>
      </c>
      <c r="AR160" s="65" t="n">
        <f aca="false">AR145-AR116*(1-Inputs!$C$41)+AR146</f>
        <v>6771.2083280411</v>
      </c>
      <c r="AS160" s="65" t="n">
        <f aca="false">AS145-AS116*(1-Inputs!$C$41)+AS146</f>
        <v>6771.2083280411</v>
      </c>
      <c r="AT160" s="65" t="n">
        <f aca="false">AT145-AT116*(1-Inputs!$C$41)+AT146</f>
        <v>6771.20832804109</v>
      </c>
      <c r="AU160" s="65" t="n">
        <f aca="false">AU145-AU116*(1-Inputs!$C$41)+AU146</f>
        <v>6771.20832804109</v>
      </c>
      <c r="AV160" s="65" t="n">
        <f aca="false">AV145-AV116*(1-Inputs!$C$41)+AV146</f>
        <v>6771.20832804109</v>
      </c>
      <c r="AW160" s="65" t="n">
        <f aca="false">AW145-AW116*(1-Inputs!$C$41)+AW146</f>
        <v>6771.2083280411</v>
      </c>
      <c r="AX160" s="65" t="n">
        <f aca="false">AX145-AX116*(1-Inputs!$C$41)+AX146</f>
        <v>6771.2083280411</v>
      </c>
      <c r="AY160" s="65" t="n">
        <f aca="false">AY145-AY116*(1-Inputs!$C$41)+AY146</f>
        <v>8423.6726505316</v>
      </c>
      <c r="AZ160" s="65" t="n">
        <f aca="false">AZ145-AZ116*(1-Inputs!$C$41)+AZ146</f>
        <v>8385.15436180454</v>
      </c>
      <c r="BA160" s="65" t="n">
        <f aca="false">BA145-BA116*(1-Inputs!$C$41)+BA146</f>
        <v>8385.15436180455</v>
      </c>
      <c r="BB160" s="65" t="n">
        <f aca="false">BB145-BB116*(1-Inputs!$C$41)+BB146</f>
        <v>8385.15436180455</v>
      </c>
      <c r="BC160" s="65" t="n">
        <f aca="false">BC145-BC116*(1-Inputs!$C$41)+BC146</f>
        <v>8385.15436180454</v>
      </c>
      <c r="BD160" s="65" t="n">
        <f aca="false">BD145-BD116*(1-Inputs!$C$41)+BD146</f>
        <v>8385.15436180455</v>
      </c>
      <c r="BE160" s="65" t="n">
        <f aca="false">BE145-BE116*(1-Inputs!$C$41)+BE146</f>
        <v>8385.15436180454</v>
      </c>
      <c r="BF160" s="65" t="n">
        <f aca="false">BF145-BF116*(1-Inputs!$C$41)+BF146</f>
        <v>8385.15436180455</v>
      </c>
      <c r="BG160" s="65" t="n">
        <f aca="false">BG145-BG116*(1-Inputs!$C$41)+BG146</f>
        <v>8385.15436180455</v>
      </c>
      <c r="BH160" s="65" t="n">
        <f aca="false">BH145-BH116*(1-Inputs!$C$41)+BH146</f>
        <v>8385.15436180455</v>
      </c>
      <c r="BI160" s="65" t="n">
        <f aca="false">BI145-BI116*(1-Inputs!$C$41)+BI146</f>
        <v>8385.15436180455</v>
      </c>
      <c r="BJ160" s="65" t="n">
        <f aca="false">BJ145-BJ116*(1-Inputs!$C$41)+BJ146</f>
        <v>8385.15436180454</v>
      </c>
    </row>
    <row r="162" customFormat="false" ht="15.75" hidden="false" customHeight="true" outlineLevel="0" collapsed="false">
      <c r="A162" s="7" t="s">
        <v>385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95</v>
      </c>
      <c r="C163" s="65" t="n">
        <f aca="false">C147</f>
        <v>140000</v>
      </c>
      <c r="D163" s="65" t="n">
        <f aca="false">C163+D147</f>
        <v>140000</v>
      </c>
      <c r="E163" s="65" t="n">
        <f aca="false">D163+E147</f>
        <v>140000</v>
      </c>
      <c r="F163" s="65" t="n">
        <f aca="false">E163+F147</f>
        <v>140000</v>
      </c>
      <c r="G163" s="65" t="n">
        <f aca="false">F163+G147</f>
        <v>140000</v>
      </c>
      <c r="H163" s="65" t="n">
        <f aca="false">G163+H147</f>
        <v>140000</v>
      </c>
      <c r="I163" s="65" t="n">
        <f aca="false">H163+I147</f>
        <v>140000</v>
      </c>
      <c r="J163" s="65" t="n">
        <f aca="false">I163+J147</f>
        <v>140000</v>
      </c>
      <c r="K163" s="65" t="n">
        <f aca="false">J163+K147</f>
        <v>140000</v>
      </c>
      <c r="L163" s="65" t="n">
        <f aca="false">K163+L147</f>
        <v>140000</v>
      </c>
      <c r="M163" s="65" t="n">
        <f aca="false">L163+M147</f>
        <v>140000</v>
      </c>
      <c r="N163" s="65" t="n">
        <f aca="false">M163+N147</f>
        <v>140000</v>
      </c>
      <c r="O163" s="65" t="n">
        <f aca="false">N163+O147</f>
        <v>140000</v>
      </c>
      <c r="P163" s="65" t="n">
        <f aca="false">O163+P147</f>
        <v>140000</v>
      </c>
      <c r="Q163" s="65" t="n">
        <f aca="false">P163+Q147</f>
        <v>140000</v>
      </c>
      <c r="R163" s="65" t="n">
        <f aca="false">Q163+R147</f>
        <v>140000</v>
      </c>
      <c r="S163" s="65" t="n">
        <f aca="false">R163+S147</f>
        <v>140000</v>
      </c>
      <c r="T163" s="65" t="n">
        <f aca="false">S163+T147</f>
        <v>140000</v>
      </c>
      <c r="U163" s="65" t="n">
        <f aca="false">T163+U147</f>
        <v>140000</v>
      </c>
      <c r="V163" s="65" t="n">
        <f aca="false">U163+V147</f>
        <v>140000</v>
      </c>
      <c r="W163" s="65" t="n">
        <f aca="false">V163+W147</f>
        <v>140000</v>
      </c>
      <c r="X163" s="65" t="n">
        <f aca="false">W163+X147</f>
        <v>140000</v>
      </c>
      <c r="Y163" s="65" t="n">
        <f aca="false">X163+Y147</f>
        <v>140000</v>
      </c>
      <c r="Z163" s="65" t="n">
        <f aca="false">Y163+Z147</f>
        <v>140000</v>
      </c>
      <c r="AA163" s="65" t="n">
        <f aca="false">Z163+AA147</f>
        <v>140000</v>
      </c>
      <c r="AB163" s="65" t="n">
        <f aca="false">AA163+AB147</f>
        <v>140000</v>
      </c>
      <c r="AC163" s="65" t="n">
        <f aca="false">AB163+AC147</f>
        <v>140000</v>
      </c>
      <c r="AD163" s="65" t="n">
        <f aca="false">AC163+AD147</f>
        <v>140000</v>
      </c>
      <c r="AE163" s="65" t="n">
        <f aca="false">AD163+AE147</f>
        <v>140000</v>
      </c>
      <c r="AF163" s="65" t="n">
        <f aca="false">AE163+AF147</f>
        <v>140000</v>
      </c>
      <c r="AG163" s="65" t="n">
        <f aca="false">AF163+AG147</f>
        <v>140000</v>
      </c>
      <c r="AH163" s="65" t="n">
        <f aca="false">AG163+AH147</f>
        <v>140000</v>
      </c>
      <c r="AI163" s="65" t="n">
        <f aca="false">AH163+AI147</f>
        <v>140000</v>
      </c>
      <c r="AJ163" s="65" t="n">
        <f aca="false">AI163+AJ147</f>
        <v>140000</v>
      </c>
      <c r="AK163" s="65" t="n">
        <f aca="false">AJ163+AK147</f>
        <v>140000</v>
      </c>
      <c r="AL163" s="65" t="n">
        <f aca="false">AK163+AL147</f>
        <v>140000</v>
      </c>
      <c r="AM163" s="65" t="n">
        <f aca="false">AL163+AM147</f>
        <v>140000</v>
      </c>
      <c r="AN163" s="65" t="n">
        <f aca="false">AM163+AN147</f>
        <v>140000</v>
      </c>
      <c r="AO163" s="65" t="n">
        <f aca="false">AN163+AO147</f>
        <v>140000</v>
      </c>
      <c r="AP163" s="65" t="n">
        <f aca="false">AO163+AP147</f>
        <v>140000</v>
      </c>
      <c r="AQ163" s="65" t="n">
        <f aca="false">AP163+AQ147</f>
        <v>140000</v>
      </c>
      <c r="AR163" s="65" t="n">
        <f aca="false">AQ163+AR147</f>
        <v>140000</v>
      </c>
      <c r="AS163" s="65" t="n">
        <f aca="false">AR163+AS147</f>
        <v>140000</v>
      </c>
      <c r="AT163" s="65" t="n">
        <f aca="false">AS163+AT147</f>
        <v>140000</v>
      </c>
      <c r="AU163" s="65" t="n">
        <f aca="false">AT163+AU147</f>
        <v>140000</v>
      </c>
      <c r="AV163" s="65" t="n">
        <f aca="false">AU163+AV147</f>
        <v>140000</v>
      </c>
      <c r="AW163" s="65" t="n">
        <f aca="false">AV163+AW147</f>
        <v>140000</v>
      </c>
      <c r="AX163" s="65" t="n">
        <f aca="false">AW163+AX147</f>
        <v>140000</v>
      </c>
      <c r="AY163" s="65" t="n">
        <f aca="false">AX163+AY147</f>
        <v>140000</v>
      </c>
      <c r="AZ163" s="65" t="n">
        <f aca="false">AY163+AZ147</f>
        <v>140000</v>
      </c>
      <c r="BA163" s="65" t="n">
        <f aca="false">AZ163+BA147</f>
        <v>140000</v>
      </c>
      <c r="BB163" s="65" t="n">
        <f aca="false">BA163+BB147</f>
        <v>140000</v>
      </c>
      <c r="BC163" s="65" t="n">
        <f aca="false">BB163+BC147</f>
        <v>140000</v>
      </c>
      <c r="BD163" s="65" t="n">
        <f aca="false">BC163+BD147</f>
        <v>140000</v>
      </c>
      <c r="BE163" s="65" t="n">
        <f aca="false">BD163+BE147</f>
        <v>140000</v>
      </c>
      <c r="BF163" s="65" t="n">
        <f aca="false">BE163+BF147</f>
        <v>140000</v>
      </c>
      <c r="BG163" s="65" t="n">
        <f aca="false">BF163+BG147</f>
        <v>140000</v>
      </c>
      <c r="BH163" s="65" t="n">
        <f aca="false">BG163+BH147</f>
        <v>140000</v>
      </c>
      <c r="BI163" s="65" t="n">
        <f aca="false">BH163+BI147</f>
        <v>140000</v>
      </c>
      <c r="BJ163" s="65" t="n">
        <f aca="false">BI163+BJ147</f>
        <v>140000</v>
      </c>
    </row>
    <row r="164" customFormat="false" ht="15" hidden="false" customHeight="false" outlineLevel="0" collapsed="false">
      <c r="A164" s="6" t="s">
        <v>96</v>
      </c>
      <c r="C164" s="65" t="n">
        <f aca="false">C121</f>
        <v>-9407.42857142857</v>
      </c>
      <c r="D164" s="65" t="n">
        <f aca="false">C164+D121</f>
        <v>-17146.4126984127</v>
      </c>
      <c r="E164" s="65" t="n">
        <f aca="false">D164+E121</f>
        <v>-23212.5079365079</v>
      </c>
      <c r="F164" s="65" t="n">
        <f aca="false">E164+F121</f>
        <v>-27605.7142857143</v>
      </c>
      <c r="G164" s="65" t="n">
        <f aca="false">F164+G121</f>
        <v>-30326.0317460318</v>
      </c>
      <c r="H164" s="65" t="n">
        <f aca="false">G164+H121</f>
        <v>-31373.4603174603</v>
      </c>
      <c r="I164" s="65" t="n">
        <f aca="false">H164+I121</f>
        <v>-30748</v>
      </c>
      <c r="J164" s="65" t="n">
        <f aca="false">I164+J121</f>
        <v>-30113.6507936508</v>
      </c>
      <c r="K164" s="65" t="n">
        <f aca="false">J164+K121</f>
        <v>-29470.4126984127</v>
      </c>
      <c r="L164" s="65" t="n">
        <f aca="false">K164+L121</f>
        <v>-28818.2857142857</v>
      </c>
      <c r="M164" s="65" t="n">
        <f aca="false">L164+M121</f>
        <v>-28157.2698412699</v>
      </c>
      <c r="N164" s="65" t="n">
        <f aca="false">M164+N121</f>
        <v>-27487.3650793651</v>
      </c>
      <c r="O164" s="65" t="n">
        <f aca="false">N164+O121</f>
        <v>-25289.1090285715</v>
      </c>
      <c r="P164" s="65" t="n">
        <f aca="false">O164+P121</f>
        <v>-23081.9640888889</v>
      </c>
      <c r="Q164" s="65" t="n">
        <f aca="false">P164+Q121</f>
        <v>-20865.9302603175</v>
      </c>
      <c r="R164" s="65" t="n">
        <f aca="false">Q164+R121</f>
        <v>-18641.0075428572</v>
      </c>
      <c r="S164" s="65" t="n">
        <f aca="false">R164+S121</f>
        <v>-16407.195936508</v>
      </c>
      <c r="T164" s="65" t="n">
        <f aca="false">S164+T121</f>
        <v>-14164.4954412699</v>
      </c>
      <c r="U164" s="65" t="n">
        <f aca="false">T164+U121</f>
        <v>-11912.9060571429</v>
      </c>
      <c r="V164" s="65" t="n">
        <f aca="false">U164+V121</f>
        <v>-9652.427784127</v>
      </c>
      <c r="W164" s="65" t="n">
        <f aca="false">V164+W121</f>
        <v>-7383.06062222224</v>
      </c>
      <c r="X164" s="65" t="n">
        <f aca="false">W164+X121</f>
        <v>-5104.80457142859</v>
      </c>
      <c r="Y164" s="65" t="n">
        <f aca="false">X164+Y121</f>
        <v>-2817.65963174605</v>
      </c>
      <c r="Z164" s="65" t="n">
        <f aca="false">Y164+Z121</f>
        <v>-521.625803174616</v>
      </c>
      <c r="AA164" s="65" t="n">
        <f aca="false">Z164+AA121</f>
        <v>2734.68488965851</v>
      </c>
      <c r="AB164" s="65" t="n">
        <f aca="false">AA164+AB121</f>
        <v>5888.47638604718</v>
      </c>
      <c r="AC164" s="65" t="n">
        <f aca="false">AB164+AC121</f>
        <v>9049.29010465808</v>
      </c>
      <c r="AD164" s="65" t="n">
        <f aca="false">AC164+AD121</f>
        <v>12217.1260454912</v>
      </c>
      <c r="AE164" s="65" t="n">
        <f aca="false">AD164+AE121</f>
        <v>15391.9842085465</v>
      </c>
      <c r="AF164" s="65" t="n">
        <f aca="false">AE164+AF121</f>
        <v>18573.8645938241</v>
      </c>
      <c r="AG164" s="65" t="n">
        <f aca="false">AF164+AG121</f>
        <v>21762.7672013239</v>
      </c>
      <c r="AH164" s="65" t="n">
        <f aca="false">AG164+AH121</f>
        <v>24958.6920310459</v>
      </c>
      <c r="AI164" s="65" t="n">
        <f aca="false">AH164+AI121</f>
        <v>28161.6390829901</v>
      </c>
      <c r="AJ164" s="65" t="n">
        <f aca="false">AI164+AJ121</f>
        <v>31371.6083571566</v>
      </c>
      <c r="AK164" s="65" t="n">
        <f aca="false">AJ164+AK121</f>
        <v>34588.5998535453</v>
      </c>
      <c r="AL164" s="65" t="n">
        <f aca="false">AK164+AL121</f>
        <v>37812.6135721562</v>
      </c>
      <c r="AM164" s="65" t="n">
        <f aca="false">AL164+AM121</f>
        <v>42507.0155509909</v>
      </c>
      <c r="AN164" s="65" t="n">
        <f aca="false">AM164+AN121</f>
        <v>47208.4397520479</v>
      </c>
      <c r="AO164" s="65" t="n">
        <f aca="false">AN164+AO121</f>
        <v>51916.8861753271</v>
      </c>
      <c r="AP164" s="65" t="n">
        <f aca="false">AO164+AP121</f>
        <v>56632.3548208285</v>
      </c>
      <c r="AQ164" s="65" t="n">
        <f aca="false">AP164+AQ121</f>
        <v>61354.8456885521</v>
      </c>
      <c r="AR164" s="65" t="n">
        <f aca="false">AQ164+AR121</f>
        <v>66084.358778498</v>
      </c>
      <c r="AS164" s="65" t="n">
        <f aca="false">AR164+AS121</f>
        <v>70820.8940906661</v>
      </c>
      <c r="AT164" s="65" t="n">
        <f aca="false">AS164+AT121</f>
        <v>75564.4516250564</v>
      </c>
      <c r="AU164" s="65" t="n">
        <f aca="false">AT164+AU121</f>
        <v>80315.0313816689</v>
      </c>
      <c r="AV164" s="65" t="n">
        <f aca="false">AU164+AV121</f>
        <v>85072.6333605037</v>
      </c>
      <c r="AW164" s="65" t="n">
        <f aca="false">AV164+AW121</f>
        <v>89837.2575615606</v>
      </c>
      <c r="AX164" s="65" t="n">
        <f aca="false">AW164+AX121</f>
        <v>94608.9039848398</v>
      </c>
      <c r="AY164" s="65" t="n">
        <f aca="false">AX164+AY121</f>
        <v>101001.518664105</v>
      </c>
      <c r="AZ164" s="65" t="n">
        <f aca="false">AY164+AZ121</f>
        <v>107401.155565592</v>
      </c>
      <c r="BA164" s="65" t="n">
        <f aca="false">AZ164+BA121</f>
        <v>113807.814689301</v>
      </c>
      <c r="BB164" s="65" t="n">
        <f aca="false">BA164+BB121</f>
        <v>120221.496035233</v>
      </c>
      <c r="BC164" s="65" t="n">
        <f aca="false">BB164+BC121</f>
        <v>126642.199603386</v>
      </c>
      <c r="BD164" s="65" t="n">
        <f aca="false">BC164+BD121</f>
        <v>133069.925393762</v>
      </c>
      <c r="BE164" s="65" t="n">
        <f aca="false">BD164+BE121</f>
        <v>139504.673406361</v>
      </c>
      <c r="BF164" s="65" t="n">
        <f aca="false">BE164+BF121</f>
        <v>145946.443641181</v>
      </c>
      <c r="BG164" s="65" t="n">
        <f aca="false">BF164+BG121</f>
        <v>152395.236098224</v>
      </c>
      <c r="BH164" s="65" t="n">
        <f aca="false">BG164+BH121</f>
        <v>158851.050777489</v>
      </c>
      <c r="BI164" s="65" t="n">
        <f aca="false">BH164+BI121</f>
        <v>165313.887678976</v>
      </c>
      <c r="BJ164" s="65" t="n">
        <f aca="false">BI164+BJ121</f>
        <v>171783.746802685</v>
      </c>
    </row>
    <row r="165" customFormat="false" ht="15" hidden="false" customHeight="false" outlineLevel="0" collapsed="false">
      <c r="A165" s="4" t="s">
        <v>91</v>
      </c>
      <c r="C165" s="71" t="n">
        <f aca="false">C151+C137+C138+C128</f>
        <v>212994.971428571</v>
      </c>
      <c r="D165" s="71" t="n">
        <f aca="false">D151+D137+D138+D128</f>
        <v>204323.053968254</v>
      </c>
      <c r="E165" s="71" t="n">
        <f aca="false">E151+E137+E138+E128</f>
        <v>197324.025396825</v>
      </c>
      <c r="F165" s="71" t="n">
        <f aca="false">F151+F137+F138+F128</f>
        <v>191997.885714286</v>
      </c>
      <c r="G165" s="71" t="n">
        <f aca="false">G151+G137+G138+G128</f>
        <v>188344.634920635</v>
      </c>
      <c r="H165" s="71" t="n">
        <f aca="false">H151+H137+H138+H128</f>
        <v>186364.273015873</v>
      </c>
      <c r="I165" s="71" t="n">
        <f aca="false">I151+I137+I138+I128</f>
        <v>186056.8</v>
      </c>
      <c r="J165" s="71" t="n">
        <f aca="false">J151+J137+J138+J128</f>
        <v>185357.815873016</v>
      </c>
      <c r="K165" s="71" t="n">
        <f aca="false">K151+K137+K138+K128</f>
        <v>184667.720634921</v>
      </c>
      <c r="L165" s="71" t="n">
        <f aca="false">L151+L137+L138+L128</f>
        <v>183986.514285714</v>
      </c>
      <c r="M165" s="71" t="n">
        <f aca="false">M151+M137+M138+M128</f>
        <v>183314.196825397</v>
      </c>
      <c r="N165" s="71" t="n">
        <f aca="false">N151+N137+N138+N128</f>
        <v>182650.768253968</v>
      </c>
      <c r="O165" s="71" t="n">
        <f aca="false">O151+O137+O138+O128</f>
        <v>183956.771611429</v>
      </c>
      <c r="P165" s="71" t="n">
        <f aca="false">P151+P137+P138+P128</f>
        <v>184830.583217778</v>
      </c>
      <c r="Q165" s="71" t="n">
        <f aca="false">Q151+Q137+Q138+Q128</f>
        <v>185713.283713016</v>
      </c>
      <c r="R165" s="71" t="n">
        <f aca="false">R151+R137+R138+R128</f>
        <v>186604.873097143</v>
      </c>
      <c r="S165" s="71" t="n">
        <f aca="false">S151+S137+S138+S128</f>
        <v>187505.351370159</v>
      </c>
      <c r="T165" s="71" t="n">
        <f aca="false">T151+T137+T138+T128</f>
        <v>188414.718532063</v>
      </c>
      <c r="U165" s="71" t="n">
        <f aca="false">U151+U137+U138+U128</f>
        <v>189332.974582857</v>
      </c>
      <c r="V165" s="71" t="n">
        <f aca="false">V151+V137+V138+V128</f>
        <v>190260.11952254</v>
      </c>
      <c r="W165" s="71" t="n">
        <f aca="false">W151+W137+W138+W128</f>
        <v>191196.153351111</v>
      </c>
      <c r="X165" s="71" t="n">
        <f aca="false">X151+X137+X138+X128</f>
        <v>192141.076068571</v>
      </c>
      <c r="Y165" s="71" t="n">
        <f aca="false">Y151+Y137+Y138+Y128</f>
        <v>193094.887674921</v>
      </c>
      <c r="Z165" s="71" t="n">
        <f aca="false">Z151+Z137+Z138+Z128</f>
        <v>194057.588170159</v>
      </c>
      <c r="AA165" s="71" t="n">
        <f aca="false">AA151+AA137+AA138+AA128</f>
        <v>196462.13737241</v>
      </c>
      <c r="AB165" s="71" t="n">
        <f aca="false">AB151+AB137+AB138+AB128</f>
        <v>198282.595535466</v>
      </c>
      <c r="AC165" s="71" t="n">
        <f aca="false">AC151+AC137+AC138+AC128</f>
        <v>200110.075920743</v>
      </c>
      <c r="AD165" s="71" t="n">
        <f aca="false">AD151+AD137+AD138+AD128</f>
        <v>201944.578528243</v>
      </c>
      <c r="AE165" s="71" t="n">
        <f aca="false">AE151+AE137+AE138+AE128</f>
        <v>203786.103357965</v>
      </c>
      <c r="AF165" s="71" t="n">
        <f aca="false">AF151+AF137+AF138+AF128</f>
        <v>205634.650409909</v>
      </c>
      <c r="AG165" s="71" t="n">
        <f aca="false">AG151+AG137+AG138+AG128</f>
        <v>207490.219684076</v>
      </c>
      <c r="AH165" s="71" t="n">
        <f aca="false">AH151+AH137+AH138+AH128</f>
        <v>209352.811180465</v>
      </c>
      <c r="AI165" s="71" t="n">
        <f aca="false">AI151+AI137+AI138+AI128</f>
        <v>211222.424899075</v>
      </c>
      <c r="AJ165" s="71" t="n">
        <f aca="false">AJ151+AJ137+AJ138+AJ128</f>
        <v>213099.060839909</v>
      </c>
      <c r="AK165" s="71" t="n">
        <f aca="false">AK151+AK137+AK138+AK128</f>
        <v>214982.719002964</v>
      </c>
      <c r="AL165" s="71" t="n">
        <f aca="false">AL151+AL137+AL138+AL128</f>
        <v>216873.399388241</v>
      </c>
      <c r="AM165" s="71" t="n">
        <f aca="false">AM151+AM137+AM138+AM128</f>
        <v>220760.24817166</v>
      </c>
      <c r="AN165" s="71" t="n">
        <f aca="false">AN151+AN137+AN138+AN128</f>
        <v>224128.339039383</v>
      </c>
      <c r="AO165" s="71" t="n">
        <f aca="false">AO151+AO137+AO138+AO128</f>
        <v>227503.452129329</v>
      </c>
      <c r="AP165" s="71" t="n">
        <f aca="false">AP151+AP137+AP138+AP128</f>
        <v>230885.587441497</v>
      </c>
      <c r="AQ165" s="71" t="n">
        <f aca="false">AQ151+AQ137+AQ138+AQ128</f>
        <v>234274.744975887</v>
      </c>
      <c r="AR165" s="71" t="n">
        <f aca="false">AR151+AR137+AR138+AR128</f>
        <v>237670.9247325</v>
      </c>
      <c r="AS165" s="71" t="n">
        <f aca="false">AS151+AS137+AS138+AS128</f>
        <v>241074.126711335</v>
      </c>
      <c r="AT165" s="71" t="n">
        <f aca="false">AT151+AT137+AT138+AT128</f>
        <v>244484.350912392</v>
      </c>
      <c r="AU165" s="71" t="n">
        <f aca="false">AU151+AU137+AU138+AU128</f>
        <v>247901.597335671</v>
      </c>
      <c r="AV165" s="71" t="n">
        <f aca="false">AV151+AV137+AV138+AV128</f>
        <v>251325.865981172</v>
      </c>
      <c r="AW165" s="71" t="n">
        <f aca="false">AW151+AW137+AW138+AW128</f>
        <v>254757.156848896</v>
      </c>
      <c r="AX165" s="71" t="n">
        <f aca="false">AX151+AX137+AX138+AX128</f>
        <v>258195.469938842</v>
      </c>
      <c r="AY165" s="71" t="n">
        <f aca="false">AY151+AY137+AY138+AY128</f>
        <v>263828.798039351</v>
      </c>
      <c r="AZ165" s="71" t="n">
        <f aca="false">AZ151+AZ137+AZ138+AZ128</f>
        <v>268895.101607504</v>
      </c>
      <c r="BA165" s="71" t="n">
        <f aca="false">BA151+BA137+BA138+BA128</f>
        <v>273968.42739788</v>
      </c>
      <c r="BB165" s="71" t="n">
        <f aca="false">BB151+BB137+BB138+BB128</f>
        <v>279048.775410479</v>
      </c>
      <c r="BC165" s="71" t="n">
        <f aca="false">BC151+BC137+BC138+BC128</f>
        <v>284136.145645299</v>
      </c>
      <c r="BD165" s="71" t="n">
        <f aca="false">BD151+BD137+BD138+BD128</f>
        <v>289230.538102342</v>
      </c>
      <c r="BE165" s="71" t="n">
        <f aca="false">BE151+BE137+BE138+BE128</f>
        <v>294331.952781606</v>
      </c>
      <c r="BF165" s="71" t="n">
        <f aca="false">BF151+BF137+BF138+BF128</f>
        <v>299440.389683094</v>
      </c>
      <c r="BG165" s="71" t="n">
        <f aca="false">BG151+BG137+BG138+BG128</f>
        <v>304555.848806803</v>
      </c>
      <c r="BH165" s="71" t="n">
        <f aca="false">BH151+BH137+BH138+BH128</f>
        <v>309678.330152734</v>
      </c>
      <c r="BI165" s="71" t="n">
        <f aca="false">BI151+BI137+BI138+BI128</f>
        <v>314807.833720888</v>
      </c>
      <c r="BJ165" s="71" t="n">
        <f aca="false">BJ151+BJ137+BJ138+BJ128</f>
        <v>319944.359511264</v>
      </c>
    </row>
    <row r="166" customFormat="false" ht="15" hidden="false" customHeight="false" outlineLevel="0" collapsed="false">
      <c r="A166" s="6" t="s">
        <v>94</v>
      </c>
      <c r="C166" s="65" t="n">
        <f aca="false">C139+C134</f>
        <v>82402.4</v>
      </c>
      <c r="D166" s="65" t="n">
        <f aca="false">D139+D134</f>
        <v>81469.4666666667</v>
      </c>
      <c r="E166" s="65" t="n">
        <f aca="false">E139+E134</f>
        <v>80536.5333333333</v>
      </c>
      <c r="F166" s="65" t="n">
        <f aca="false">F139+F134</f>
        <v>79603.6</v>
      </c>
      <c r="G166" s="65" t="n">
        <f aca="false">G139+G134</f>
        <v>78670.6666666667</v>
      </c>
      <c r="H166" s="65" t="n">
        <f aca="false">H139+H134</f>
        <v>77737.7333333334</v>
      </c>
      <c r="I166" s="65" t="n">
        <f aca="false">I139+I134</f>
        <v>76804.8</v>
      </c>
      <c r="J166" s="65" t="n">
        <f aca="false">J139+J134</f>
        <v>75471.4666666667</v>
      </c>
      <c r="K166" s="65" t="n">
        <f aca="false">K139+K134</f>
        <v>74138.1333333334</v>
      </c>
      <c r="L166" s="65" t="n">
        <f aca="false">L139+L134</f>
        <v>72804.8000000001</v>
      </c>
      <c r="M166" s="65" t="n">
        <f aca="false">M139+M134</f>
        <v>71471.4666666667</v>
      </c>
      <c r="N166" s="65" t="n">
        <f aca="false">N139+N134</f>
        <v>70138.1333333334</v>
      </c>
      <c r="O166" s="65" t="n">
        <f aca="false">O139+O134</f>
        <v>69245.8806400001</v>
      </c>
      <c r="P166" s="65" t="n">
        <f aca="false">P139+P134</f>
        <v>67912.5473066667</v>
      </c>
      <c r="Q166" s="65" t="n">
        <f aca="false">Q139+Q134</f>
        <v>66579.2139733334</v>
      </c>
      <c r="R166" s="65" t="n">
        <f aca="false">R139+R134</f>
        <v>65245.88064</v>
      </c>
      <c r="S166" s="65" t="n">
        <f aca="false">S139+S134</f>
        <v>63912.5473066667</v>
      </c>
      <c r="T166" s="65" t="n">
        <f aca="false">T139+T134</f>
        <v>62579.2139733334</v>
      </c>
      <c r="U166" s="65" t="n">
        <f aca="false">U139+U134</f>
        <v>61245.88064</v>
      </c>
      <c r="V166" s="65" t="n">
        <f aca="false">V139+V134</f>
        <v>59912.5473066667</v>
      </c>
      <c r="W166" s="65" t="n">
        <f aca="false">W139+W134</f>
        <v>58579.2139733334</v>
      </c>
      <c r="X166" s="65" t="n">
        <f aca="false">X139+X134</f>
        <v>57245.88064</v>
      </c>
      <c r="Y166" s="65" t="n">
        <f aca="false">Y139+Y134</f>
        <v>55912.5473066667</v>
      </c>
      <c r="Z166" s="65" t="n">
        <f aca="false">Z139+Z134</f>
        <v>54579.2139733334</v>
      </c>
      <c r="AA166" s="65" t="n">
        <f aca="false">AA139+AA134</f>
        <v>53727.452482752</v>
      </c>
      <c r="AB166" s="65" t="n">
        <f aca="false">AB139+AB134</f>
        <v>52394.1191494187</v>
      </c>
      <c r="AC166" s="65" t="n">
        <f aca="false">AC139+AC134</f>
        <v>51060.7858160853</v>
      </c>
      <c r="AD166" s="65" t="n">
        <f aca="false">AD139+AD134</f>
        <v>49727.452482752</v>
      </c>
      <c r="AE166" s="65" t="n">
        <f aca="false">AE139+AE134</f>
        <v>48394.1191494187</v>
      </c>
      <c r="AF166" s="65" t="n">
        <f aca="false">AF139+AF134</f>
        <v>47060.7858160853</v>
      </c>
      <c r="AG166" s="65" t="n">
        <f aca="false">AG139+AG134</f>
        <v>45727.452482752</v>
      </c>
      <c r="AH166" s="65" t="n">
        <f aca="false">AH139+AH134</f>
        <v>44394.1191494187</v>
      </c>
      <c r="AI166" s="65" t="n">
        <f aca="false">AI139+AI134</f>
        <v>43060.7858160853</v>
      </c>
      <c r="AJ166" s="65" t="n">
        <f aca="false">AJ139+AJ134</f>
        <v>41727.452482752</v>
      </c>
      <c r="AK166" s="65" t="n">
        <f aca="false">AK139+AK134</f>
        <v>40394.1191494187</v>
      </c>
      <c r="AL166" s="65" t="n">
        <f aca="false">AL139+AL134</f>
        <v>39060.7858160853</v>
      </c>
      <c r="AM166" s="65" t="n">
        <f aca="false">AM139+AM134</f>
        <v>38253.2326206686</v>
      </c>
      <c r="AN166" s="65" t="n">
        <f aca="false">AN139+AN134</f>
        <v>36919.8992873353</v>
      </c>
      <c r="AO166" s="65" t="n">
        <f aca="false">AO139+AO134</f>
        <v>35586.565954002</v>
      </c>
      <c r="AP166" s="65" t="n">
        <f aca="false">AP139+AP134</f>
        <v>34253.2326206686</v>
      </c>
      <c r="AQ166" s="65" t="n">
        <f aca="false">AQ139+AQ134</f>
        <v>32919.8992873353</v>
      </c>
      <c r="AR166" s="65" t="n">
        <f aca="false">AR139+AR134</f>
        <v>31586.565954002</v>
      </c>
      <c r="AS166" s="65" t="n">
        <f aca="false">AS139+AS134</f>
        <v>30253.2326206686</v>
      </c>
      <c r="AT166" s="65" t="n">
        <f aca="false">AT139+AT134</f>
        <v>28919.8992873353</v>
      </c>
      <c r="AU166" s="65" t="n">
        <f aca="false">AU139+AU134</f>
        <v>27586.565954002</v>
      </c>
      <c r="AV166" s="65" t="n">
        <f aca="false">AV139+AV134</f>
        <v>26253.2326206686</v>
      </c>
      <c r="AW166" s="65" t="n">
        <f aca="false">AW139+AW134</f>
        <v>24919.8992873353</v>
      </c>
      <c r="AX166" s="65" t="n">
        <f aca="false">AX139+AX134</f>
        <v>23586.565954002</v>
      </c>
      <c r="AY166" s="65" t="n">
        <f aca="false">AY139+AY134</f>
        <v>22827.279375246</v>
      </c>
      <c r="AZ166" s="65" t="n">
        <f aca="false">AZ139+AZ134</f>
        <v>21493.9460419127</v>
      </c>
      <c r="BA166" s="65" t="n">
        <f aca="false">BA139+BA134</f>
        <v>20160.6127085794</v>
      </c>
      <c r="BB166" s="65" t="n">
        <f aca="false">BB139+BB134</f>
        <v>18827.279375246</v>
      </c>
      <c r="BC166" s="65" t="n">
        <f aca="false">BC139+BC134</f>
        <v>17493.9460419127</v>
      </c>
      <c r="BD166" s="65" t="n">
        <f aca="false">BD139+BD134</f>
        <v>16160.6127085793</v>
      </c>
      <c r="BE166" s="65" t="n">
        <f aca="false">BE139+BE134</f>
        <v>14827.279375246</v>
      </c>
      <c r="BF166" s="65" t="n">
        <f aca="false">BF139+BF134</f>
        <v>13493.9460419127</v>
      </c>
      <c r="BG166" s="65" t="n">
        <f aca="false">BG139+BG134</f>
        <v>12160.6127085793</v>
      </c>
      <c r="BH166" s="65" t="n">
        <f aca="false">BH139+BH134</f>
        <v>10827.279375246</v>
      </c>
      <c r="BI166" s="65" t="n">
        <f aca="false">BI139+BI134</f>
        <v>9493.94604191268</v>
      </c>
      <c r="BJ166" s="65" t="n">
        <f aca="false">BJ139+BJ134</f>
        <v>8160.61270857935</v>
      </c>
    </row>
    <row r="167" customFormat="false" ht="15" hidden="false" customHeight="false" outlineLevel="0" collapsed="false">
      <c r="A167" s="6" t="s">
        <v>97</v>
      </c>
      <c r="C167" s="65" t="n">
        <f aca="false">C163+C164</f>
        <v>130592.571428571</v>
      </c>
      <c r="D167" s="65" t="n">
        <f aca="false">D163+D164</f>
        <v>122853.587301587</v>
      </c>
      <c r="E167" s="65" t="n">
        <f aca="false">E163+E164</f>
        <v>116787.492063492</v>
      </c>
      <c r="F167" s="65" t="n">
        <f aca="false">F163+F164</f>
        <v>112394.285714286</v>
      </c>
      <c r="G167" s="65" t="n">
        <f aca="false">G163+G164</f>
        <v>109673.968253968</v>
      </c>
      <c r="H167" s="65" t="n">
        <f aca="false">H163+H164</f>
        <v>108626.53968254</v>
      </c>
      <c r="I167" s="65" t="n">
        <f aca="false">I163+I164</f>
        <v>109252</v>
      </c>
      <c r="J167" s="65" t="n">
        <f aca="false">J163+J164</f>
        <v>109886.349206349</v>
      </c>
      <c r="K167" s="65" t="n">
        <f aca="false">K163+K164</f>
        <v>110529.587301587</v>
      </c>
      <c r="L167" s="65" t="n">
        <f aca="false">L163+L164</f>
        <v>111181.714285714</v>
      </c>
      <c r="M167" s="65" t="n">
        <f aca="false">M163+M164</f>
        <v>111842.73015873</v>
      </c>
      <c r="N167" s="65" t="n">
        <f aca="false">N163+N164</f>
        <v>112512.634920635</v>
      </c>
      <c r="O167" s="65" t="n">
        <f aca="false">O163+O164</f>
        <v>114710.890971429</v>
      </c>
      <c r="P167" s="65" t="n">
        <f aca="false">P163+P164</f>
        <v>116918.035911111</v>
      </c>
      <c r="Q167" s="65" t="n">
        <f aca="false">Q163+Q164</f>
        <v>119134.069739683</v>
      </c>
      <c r="R167" s="65" t="n">
        <f aca="false">R163+R164</f>
        <v>121358.992457143</v>
      </c>
      <c r="S167" s="65" t="n">
        <f aca="false">S163+S164</f>
        <v>123592.804063492</v>
      </c>
      <c r="T167" s="65" t="n">
        <f aca="false">T163+T164</f>
        <v>125835.50455873</v>
      </c>
      <c r="U167" s="65" t="n">
        <f aca="false">U163+U164</f>
        <v>128087.093942857</v>
      </c>
      <c r="V167" s="65" t="n">
        <f aca="false">V163+V164</f>
        <v>130347.572215873</v>
      </c>
      <c r="W167" s="65" t="n">
        <f aca="false">W163+W164</f>
        <v>132616.939377778</v>
      </c>
      <c r="X167" s="65" t="n">
        <f aca="false">X163+X164</f>
        <v>134895.195428571</v>
      </c>
      <c r="Y167" s="65" t="n">
        <f aca="false">Y163+Y164</f>
        <v>137182.340368254</v>
      </c>
      <c r="Z167" s="65" t="n">
        <f aca="false">Z163+Z164</f>
        <v>139478.374196825</v>
      </c>
      <c r="AA167" s="65" t="n">
        <f aca="false">AA163+AA164</f>
        <v>142734.684889659</v>
      </c>
      <c r="AB167" s="65" t="n">
        <f aca="false">AB163+AB164</f>
        <v>145888.476386047</v>
      </c>
      <c r="AC167" s="65" t="n">
        <f aca="false">AC163+AC164</f>
        <v>149049.290104658</v>
      </c>
      <c r="AD167" s="65" t="n">
        <f aca="false">AD163+AD164</f>
        <v>152217.126045491</v>
      </c>
      <c r="AE167" s="65" t="n">
        <f aca="false">AE163+AE164</f>
        <v>155391.984208547</v>
      </c>
      <c r="AF167" s="65" t="n">
        <f aca="false">AF163+AF164</f>
        <v>158573.864593824</v>
      </c>
      <c r="AG167" s="65" t="n">
        <f aca="false">AG163+AG164</f>
        <v>161762.767201324</v>
      </c>
      <c r="AH167" s="65" t="n">
        <f aca="false">AH163+AH164</f>
        <v>164958.692031046</v>
      </c>
      <c r="AI167" s="65" t="n">
        <f aca="false">AI163+AI164</f>
        <v>168161.63908299</v>
      </c>
      <c r="AJ167" s="65" t="n">
        <f aca="false">AJ163+AJ164</f>
        <v>171371.608357157</v>
      </c>
      <c r="AK167" s="65" t="n">
        <f aca="false">AK163+AK164</f>
        <v>174588.599853545</v>
      </c>
      <c r="AL167" s="65" t="n">
        <f aca="false">AL163+AL164</f>
        <v>177812.613572156</v>
      </c>
      <c r="AM167" s="65" t="n">
        <f aca="false">AM163+AM164</f>
        <v>182507.015550991</v>
      </c>
      <c r="AN167" s="65" t="n">
        <f aca="false">AN163+AN164</f>
        <v>187208.439752048</v>
      </c>
      <c r="AO167" s="65" t="n">
        <f aca="false">AO163+AO164</f>
        <v>191916.886175327</v>
      </c>
      <c r="AP167" s="65" t="n">
        <f aca="false">AP163+AP164</f>
        <v>196632.354820829</v>
      </c>
      <c r="AQ167" s="65" t="n">
        <f aca="false">AQ163+AQ164</f>
        <v>201354.845688552</v>
      </c>
      <c r="AR167" s="65" t="n">
        <f aca="false">AR163+AR164</f>
        <v>206084.358778498</v>
      </c>
      <c r="AS167" s="65" t="n">
        <f aca="false">AS163+AS164</f>
        <v>210820.894090666</v>
      </c>
      <c r="AT167" s="65" t="n">
        <f aca="false">AT163+AT164</f>
        <v>215564.451625056</v>
      </c>
      <c r="AU167" s="65" t="n">
        <f aca="false">AU163+AU164</f>
        <v>220315.031381669</v>
      </c>
      <c r="AV167" s="65" t="n">
        <f aca="false">AV163+AV164</f>
        <v>225072.633360504</v>
      </c>
      <c r="AW167" s="65" t="n">
        <f aca="false">AW163+AW164</f>
        <v>229837.257561561</v>
      </c>
      <c r="AX167" s="65" t="n">
        <f aca="false">AX163+AX164</f>
        <v>234608.90398484</v>
      </c>
      <c r="AY167" s="65" t="n">
        <f aca="false">AY163+AY164</f>
        <v>241001.518664105</v>
      </c>
      <c r="AZ167" s="65" t="n">
        <f aca="false">AZ163+AZ164</f>
        <v>247401.155565592</v>
      </c>
      <c r="BA167" s="65" t="n">
        <f aca="false">BA163+BA164</f>
        <v>253807.814689301</v>
      </c>
      <c r="BB167" s="65" t="n">
        <f aca="false">BB163+BB164</f>
        <v>260221.496035233</v>
      </c>
      <c r="BC167" s="65" t="n">
        <f aca="false">BC163+BC164</f>
        <v>266642.199603386</v>
      </c>
      <c r="BD167" s="65" t="n">
        <f aca="false">BD163+BD164</f>
        <v>273069.925393762</v>
      </c>
      <c r="BE167" s="65" t="n">
        <f aca="false">BE163+BE164</f>
        <v>279504.673406361</v>
      </c>
      <c r="BF167" s="65" t="n">
        <f aca="false">BF163+BF164</f>
        <v>285946.443641181</v>
      </c>
      <c r="BG167" s="65" t="n">
        <f aca="false">BG163+BG164</f>
        <v>292395.236098224</v>
      </c>
      <c r="BH167" s="65" t="n">
        <f aca="false">BH163+BH164</f>
        <v>298851.050777489</v>
      </c>
      <c r="BI167" s="65" t="n">
        <f aca="false">BI163+BI164</f>
        <v>305313.887678976</v>
      </c>
      <c r="BJ167" s="65" t="n">
        <f aca="false">BJ163+BJ164</f>
        <v>311783.746802685</v>
      </c>
    </row>
    <row r="168" customFormat="false" ht="15" hidden="false" customHeight="false" outlineLevel="0" collapsed="false">
      <c r="A168" s="4" t="s">
        <v>98</v>
      </c>
      <c r="C168" s="71" t="n">
        <f aca="false">C166+C167</f>
        <v>212994.971428571</v>
      </c>
      <c r="D168" s="71" t="n">
        <f aca="false">D166+D167</f>
        <v>204323.053968254</v>
      </c>
      <c r="E168" s="71" t="n">
        <f aca="false">E166+E167</f>
        <v>197324.025396825</v>
      </c>
      <c r="F168" s="71" t="n">
        <f aca="false">F166+F167</f>
        <v>191997.885714286</v>
      </c>
      <c r="G168" s="71" t="n">
        <f aca="false">G166+G167</f>
        <v>188344.634920635</v>
      </c>
      <c r="H168" s="71" t="n">
        <f aca="false">H166+H167</f>
        <v>186364.273015873</v>
      </c>
      <c r="I168" s="71" t="n">
        <f aca="false">I166+I167</f>
        <v>186056.8</v>
      </c>
      <c r="J168" s="71" t="n">
        <f aca="false">J166+J167</f>
        <v>185357.815873016</v>
      </c>
      <c r="K168" s="71" t="n">
        <f aca="false">K166+K167</f>
        <v>184667.720634921</v>
      </c>
      <c r="L168" s="71" t="n">
        <f aca="false">L166+L167</f>
        <v>183986.514285714</v>
      </c>
      <c r="M168" s="71" t="n">
        <f aca="false">M166+M167</f>
        <v>183314.196825397</v>
      </c>
      <c r="N168" s="71" t="n">
        <f aca="false">N166+N167</f>
        <v>182650.768253968</v>
      </c>
      <c r="O168" s="71" t="n">
        <f aca="false">O166+O167</f>
        <v>183956.771611429</v>
      </c>
      <c r="P168" s="71" t="n">
        <f aca="false">P166+P167</f>
        <v>184830.583217778</v>
      </c>
      <c r="Q168" s="71" t="n">
        <f aca="false">Q166+Q167</f>
        <v>185713.283713016</v>
      </c>
      <c r="R168" s="71" t="n">
        <f aca="false">R166+R167</f>
        <v>186604.873097143</v>
      </c>
      <c r="S168" s="71" t="n">
        <f aca="false">S166+S167</f>
        <v>187505.351370159</v>
      </c>
      <c r="T168" s="71" t="n">
        <f aca="false">T166+T167</f>
        <v>188414.718532064</v>
      </c>
      <c r="U168" s="71" t="n">
        <f aca="false">U166+U167</f>
        <v>189332.974582857</v>
      </c>
      <c r="V168" s="71" t="n">
        <f aca="false">V166+V167</f>
        <v>190260.11952254</v>
      </c>
      <c r="W168" s="71" t="n">
        <f aca="false">W166+W167</f>
        <v>191196.153351111</v>
      </c>
      <c r="X168" s="71" t="n">
        <f aca="false">X166+X167</f>
        <v>192141.076068571</v>
      </c>
      <c r="Y168" s="71" t="n">
        <f aca="false">Y166+Y167</f>
        <v>193094.887674921</v>
      </c>
      <c r="Z168" s="71" t="n">
        <f aca="false">Z166+Z167</f>
        <v>194057.588170159</v>
      </c>
      <c r="AA168" s="71" t="n">
        <f aca="false">AA166+AA167</f>
        <v>196462.137372411</v>
      </c>
      <c r="AB168" s="71" t="n">
        <f aca="false">AB166+AB167</f>
        <v>198282.595535466</v>
      </c>
      <c r="AC168" s="71" t="n">
        <f aca="false">AC166+AC167</f>
        <v>200110.075920743</v>
      </c>
      <c r="AD168" s="71" t="n">
        <f aca="false">AD166+AD167</f>
        <v>201944.578528243</v>
      </c>
      <c r="AE168" s="71" t="n">
        <f aca="false">AE166+AE167</f>
        <v>203786.103357965</v>
      </c>
      <c r="AF168" s="71" t="n">
        <f aca="false">AF166+AF167</f>
        <v>205634.650409909</v>
      </c>
      <c r="AG168" s="71" t="n">
        <f aca="false">AG166+AG167</f>
        <v>207490.219684076</v>
      </c>
      <c r="AH168" s="71" t="n">
        <f aca="false">AH166+AH167</f>
        <v>209352.811180465</v>
      </c>
      <c r="AI168" s="71" t="n">
        <f aca="false">AI166+AI167</f>
        <v>211222.424899075</v>
      </c>
      <c r="AJ168" s="71" t="n">
        <f aca="false">AJ166+AJ167</f>
        <v>213099.060839909</v>
      </c>
      <c r="AK168" s="71" t="n">
        <f aca="false">AK166+AK167</f>
        <v>214982.719002964</v>
      </c>
      <c r="AL168" s="71" t="n">
        <f aca="false">AL166+AL167</f>
        <v>216873.399388242</v>
      </c>
      <c r="AM168" s="71" t="n">
        <f aca="false">AM166+AM167</f>
        <v>220760.24817166</v>
      </c>
      <c r="AN168" s="71" t="n">
        <f aca="false">AN166+AN167</f>
        <v>224128.339039383</v>
      </c>
      <c r="AO168" s="71" t="n">
        <f aca="false">AO166+AO167</f>
        <v>227503.452129329</v>
      </c>
      <c r="AP168" s="71" t="n">
        <f aca="false">AP166+AP167</f>
        <v>230885.587441497</v>
      </c>
      <c r="AQ168" s="71" t="n">
        <f aca="false">AQ166+AQ167</f>
        <v>234274.744975887</v>
      </c>
      <c r="AR168" s="71" t="n">
        <f aca="false">AR166+AR167</f>
        <v>237670.9247325</v>
      </c>
      <c r="AS168" s="71" t="n">
        <f aca="false">AS166+AS167</f>
        <v>241074.126711335</v>
      </c>
      <c r="AT168" s="71" t="n">
        <f aca="false">AT166+AT167</f>
        <v>244484.350912392</v>
      </c>
      <c r="AU168" s="71" t="n">
        <f aca="false">AU166+AU167</f>
        <v>247901.597335671</v>
      </c>
      <c r="AV168" s="71" t="n">
        <f aca="false">AV166+AV167</f>
        <v>251325.865981172</v>
      </c>
      <c r="AW168" s="71" t="n">
        <f aca="false">AW166+AW167</f>
        <v>254757.156848896</v>
      </c>
      <c r="AX168" s="71" t="n">
        <f aca="false">AX166+AX167</f>
        <v>258195.469938842</v>
      </c>
      <c r="AY168" s="71" t="n">
        <f aca="false">AY166+AY167</f>
        <v>263828.798039351</v>
      </c>
      <c r="AZ168" s="71" t="n">
        <f aca="false">AZ166+AZ167</f>
        <v>268895.101607504</v>
      </c>
      <c r="BA168" s="71" t="n">
        <f aca="false">BA166+BA167</f>
        <v>273968.42739788</v>
      </c>
      <c r="BB168" s="71" t="n">
        <f aca="false">BB166+BB167</f>
        <v>279048.775410479</v>
      </c>
      <c r="BC168" s="71" t="n">
        <f aca="false">BC166+BC167</f>
        <v>284136.145645299</v>
      </c>
      <c r="BD168" s="71" t="n">
        <f aca="false">BD166+BD167</f>
        <v>289230.538102342</v>
      </c>
      <c r="BE168" s="71" t="n">
        <f aca="false">BE166+BE167</f>
        <v>294331.952781607</v>
      </c>
      <c r="BF168" s="71" t="n">
        <f aca="false">BF166+BF167</f>
        <v>299440.389683094</v>
      </c>
      <c r="BG168" s="71" t="n">
        <f aca="false">BG166+BG167</f>
        <v>304555.848806803</v>
      </c>
      <c r="BH168" s="71" t="n">
        <f aca="false">BH166+BH167</f>
        <v>309678.330152735</v>
      </c>
      <c r="BI168" s="71" t="n">
        <f aca="false">BI166+BI167</f>
        <v>314807.833720888</v>
      </c>
      <c r="BJ168" s="71" t="n">
        <f aca="false">BJ166+BJ167</f>
        <v>319944.359511264</v>
      </c>
    </row>
    <row r="169" customFormat="false" ht="15" hidden="false" customHeight="false" outlineLevel="0" collapsed="false">
      <c r="A169" s="6" t="s">
        <v>386</v>
      </c>
      <c r="C169" s="65" t="n">
        <f aca="false">C165-C168</f>
        <v>0</v>
      </c>
      <c r="D169" s="65" t="n">
        <f aca="false">D165-D168</f>
        <v>0</v>
      </c>
      <c r="E169" s="65" t="n">
        <f aca="false">E165-E168</f>
        <v>0</v>
      </c>
      <c r="F169" s="65" t="n">
        <f aca="false">F165-F168</f>
        <v>0</v>
      </c>
      <c r="G169" s="65" t="n">
        <f aca="false">G165-G168</f>
        <v>0</v>
      </c>
      <c r="H169" s="65" t="n">
        <f aca="false">H165-H168</f>
        <v>0</v>
      </c>
      <c r="I169" s="65" t="n">
        <f aca="false">I165-I168</f>
        <v>0</v>
      </c>
      <c r="J169" s="65" t="n">
        <f aca="false">J165-J168</f>
        <v>0</v>
      </c>
      <c r="K169" s="65" t="n">
        <f aca="false">K165-K168</f>
        <v>0</v>
      </c>
      <c r="L169" s="65" t="n">
        <f aca="false">L165-L168</f>
        <v>0</v>
      </c>
      <c r="M169" s="65" t="n">
        <f aca="false">M165-M168</f>
        <v>0</v>
      </c>
      <c r="N169" s="65" t="n">
        <f aca="false">N165-N168</f>
        <v>0</v>
      </c>
      <c r="O169" s="65" t="n">
        <f aca="false">O165-O168</f>
        <v>0</v>
      </c>
      <c r="P169" s="65" t="n">
        <f aca="false">P165-P168</f>
        <v>0</v>
      </c>
      <c r="Q169" s="65" t="n">
        <f aca="false">Q165-Q168</f>
        <v>0</v>
      </c>
      <c r="R169" s="65" t="n">
        <f aca="false">R165-R168</f>
        <v>0</v>
      </c>
      <c r="S169" s="65" t="n">
        <f aca="false">S165-S168</f>
        <v>0</v>
      </c>
      <c r="T169" s="65" t="n">
        <f aca="false">T165-T168</f>
        <v>0</v>
      </c>
      <c r="U169" s="65" t="n">
        <f aca="false">U165-U168</f>
        <v>0</v>
      </c>
      <c r="V169" s="65" t="n">
        <f aca="false">V165-V168</f>
        <v>0</v>
      </c>
      <c r="W169" s="65" t="n">
        <f aca="false">W165-W168</f>
        <v>0</v>
      </c>
      <c r="X169" s="65" t="n">
        <f aca="false">X165-X168</f>
        <v>0</v>
      </c>
      <c r="Y169" s="65" t="n">
        <f aca="false">Y165-Y168</f>
        <v>0</v>
      </c>
      <c r="Z169" s="65" t="n">
        <f aca="false">Z165-Z168</f>
        <v>0</v>
      </c>
      <c r="AA169" s="65" t="n">
        <f aca="false">AA165-AA168</f>
        <v>0</v>
      </c>
      <c r="AB169" s="65" t="n">
        <f aca="false">AB165-AB168</f>
        <v>0</v>
      </c>
      <c r="AC169" s="65" t="n">
        <f aca="false">AC165-AC168</f>
        <v>0</v>
      </c>
      <c r="AD169" s="65" t="n">
        <f aca="false">AD165-AD168</f>
        <v>0</v>
      </c>
      <c r="AE169" s="65" t="n">
        <f aca="false">AE165-AE168</f>
        <v>0</v>
      </c>
      <c r="AF169" s="65" t="n">
        <f aca="false">AF165-AF168</f>
        <v>0</v>
      </c>
      <c r="AG169" s="65" t="n">
        <f aca="false">AG165-AG168</f>
        <v>0</v>
      </c>
      <c r="AH169" s="65" t="n">
        <f aca="false">AH165-AH168</f>
        <v>0</v>
      </c>
      <c r="AI169" s="65" t="n">
        <f aca="false">AI165-AI168</f>
        <v>0</v>
      </c>
      <c r="AJ169" s="65" t="n">
        <f aca="false">AJ165-AJ168</f>
        <v>0</v>
      </c>
      <c r="AK169" s="65" t="n">
        <f aca="false">AK165-AK168</f>
        <v>0</v>
      </c>
      <c r="AL169" s="65" t="n">
        <f aca="false">AL165-AL168</f>
        <v>0</v>
      </c>
      <c r="AM169" s="65" t="n">
        <f aca="false">AM165-AM168</f>
        <v>0</v>
      </c>
      <c r="AN169" s="65" t="n">
        <f aca="false">AN165-AN168</f>
        <v>0</v>
      </c>
      <c r="AO169" s="65" t="n">
        <f aca="false">AO165-AO168</f>
        <v>0</v>
      </c>
      <c r="AP169" s="65" t="n">
        <f aca="false">AP165-AP168</f>
        <v>0</v>
      </c>
      <c r="AQ169" s="65" t="n">
        <f aca="false">AQ165-AQ168</f>
        <v>0</v>
      </c>
      <c r="AR169" s="65" t="n">
        <f aca="false">AR165-AR168</f>
        <v>0</v>
      </c>
      <c r="AS169" s="65" t="n">
        <f aca="false">AS165-AS168</f>
        <v>0</v>
      </c>
      <c r="AT169" s="65" t="n">
        <f aca="false">AT165-AT168</f>
        <v>0</v>
      </c>
      <c r="AU169" s="65" t="n">
        <f aca="false">AU165-AU168</f>
        <v>0</v>
      </c>
      <c r="AV169" s="65" t="n">
        <f aca="false">AV165-AV168</f>
        <v>0</v>
      </c>
      <c r="AW169" s="65" t="n">
        <f aca="false">AW165-AW168</f>
        <v>0</v>
      </c>
      <c r="AX169" s="65" t="n">
        <f aca="false">AX165-AX168</f>
        <v>0</v>
      </c>
      <c r="AY169" s="65" t="n">
        <f aca="false">AY165-AY168</f>
        <v>0</v>
      </c>
      <c r="AZ169" s="65" t="n">
        <f aca="false">AZ165-AZ168</f>
        <v>0</v>
      </c>
      <c r="BA169" s="65" t="n">
        <f aca="false">BA165-BA168</f>
        <v>0</v>
      </c>
      <c r="BB169" s="65" t="n">
        <f aca="false">BB165-BB168</f>
        <v>0</v>
      </c>
      <c r="BC169" s="65" t="n">
        <f aca="false">BC165-BC168</f>
        <v>0</v>
      </c>
      <c r="BD169" s="65" t="n">
        <f aca="false">BD165-BD168</f>
        <v>0</v>
      </c>
      <c r="BE169" s="65" t="n">
        <f aca="false">BE165-BE168</f>
        <v>0</v>
      </c>
      <c r="BF169" s="65" t="n">
        <f aca="false">BF165-BF168</f>
        <v>0</v>
      </c>
      <c r="BG169" s="65" t="n">
        <f aca="false">BG165-BG168</f>
        <v>0</v>
      </c>
      <c r="BH169" s="65" t="n">
        <f aca="false">BH165-BH168</f>
        <v>0</v>
      </c>
      <c r="BI169" s="65" t="n">
        <f aca="false">BI165-BI168</f>
        <v>0</v>
      </c>
      <c r="BJ169" s="65" t="n">
        <f aca="false">BJ165-BJ168</f>
        <v>0</v>
      </c>
    </row>
    <row r="171" customFormat="false" ht="15.75" hidden="false" customHeight="true" outlineLevel="0" collapsed="false">
      <c r="A171" s="7" t="s">
        <v>388</v>
      </c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customFormat="false" ht="15" hidden="false" customHeight="false" outlineLevel="0" collapsed="false">
      <c r="A172" s="6" t="s">
        <v>389</v>
      </c>
      <c r="C172" s="111" t="n">
        <f aca="false">Inputs!$C$21*(1+Inputs!$C$23)^(C$95-1)*MAX(0,MIN(1,C$94*1-Inputs!$C$24+1))/1</f>
        <v>3.5</v>
      </c>
      <c r="D172" s="111" t="n">
        <f aca="false">Inputs!$C$21*(1+Inputs!$C$23)^(D$95-1)*MAX(0,MIN(1,D$94*1-Inputs!$C$24+1))/1</f>
        <v>3.5</v>
      </c>
      <c r="E172" s="111" t="n">
        <f aca="false">Inputs!$C$21*(1+Inputs!$C$23)^(E$95-1)*MAX(0,MIN(1,E$94*1-Inputs!$C$24+1))/1</f>
        <v>3.5</v>
      </c>
      <c r="F172" s="111" t="n">
        <f aca="false">Inputs!$C$21*(1+Inputs!$C$23)^(F$95-1)*MAX(0,MIN(1,F$94*1-Inputs!$C$24+1))/1</f>
        <v>3.5</v>
      </c>
      <c r="G172" s="111" t="n">
        <f aca="false">Inputs!$C$21*(1+Inputs!$C$23)^(G$95-1)*MAX(0,MIN(1,G$94*1-Inputs!$C$24+1))/1</f>
        <v>3.5</v>
      </c>
      <c r="H172" s="111" t="n">
        <f aca="false">Inputs!$C$21*(1+Inputs!$C$23)^(H$95-1)*MAX(0,MIN(1,H$94*1-Inputs!$C$24+1))/1</f>
        <v>3.5</v>
      </c>
      <c r="I172" s="111" t="n">
        <f aca="false">Inputs!$C$21*(1+Inputs!$C$23)^(I$95-1)*MAX(0,MIN(1,I$94*1-Inputs!$C$24+1))/1</f>
        <v>3.5</v>
      </c>
      <c r="J172" s="111" t="n">
        <f aca="false">Inputs!$C$21*(1+Inputs!$C$23)^(J$95-1)*MAX(0,MIN(1,J$94*1-Inputs!$C$24+1))/1</f>
        <v>3.5</v>
      </c>
      <c r="K172" s="111" t="n">
        <f aca="false">Inputs!$C$21*(1+Inputs!$C$23)^(K$95-1)*MAX(0,MIN(1,K$94*1-Inputs!$C$24+1))/1</f>
        <v>3.5</v>
      </c>
      <c r="L172" s="111" t="n">
        <f aca="false">Inputs!$C$21*(1+Inputs!$C$23)^(L$95-1)*MAX(0,MIN(1,L$94*1-Inputs!$C$24+1))/1</f>
        <v>3.5</v>
      </c>
      <c r="M172" s="111" t="n">
        <f aca="false">Inputs!$C$21*(1+Inputs!$C$23)^(M$95-1)*MAX(0,MIN(1,M$94*1-Inputs!$C$24+1))/1</f>
        <v>3.5</v>
      </c>
      <c r="N172" s="111" t="n">
        <f aca="false">Inputs!$C$21*(1+Inputs!$C$23)^(N$95-1)*MAX(0,MIN(1,N$94*1-Inputs!$C$24+1))/1</f>
        <v>3.5</v>
      </c>
      <c r="O172" s="111" t="n">
        <f aca="false">Inputs!$C$21*(1+Inputs!$C$23)^(O$95-1)*MAX(0,MIN(1,O$94*1-Inputs!$C$24+1))/1</f>
        <v>3.5</v>
      </c>
      <c r="P172" s="111" t="n">
        <f aca="false">Inputs!$C$21*(1+Inputs!$C$23)^(P$95-1)*MAX(0,MIN(1,P$94*1-Inputs!$C$24+1))/1</f>
        <v>3.5</v>
      </c>
      <c r="Q172" s="111" t="n">
        <f aca="false">Inputs!$C$21*(1+Inputs!$C$23)^(Q$95-1)*MAX(0,MIN(1,Q$94*1-Inputs!$C$24+1))/1</f>
        <v>3.5</v>
      </c>
      <c r="R172" s="111" t="n">
        <f aca="false">Inputs!$C$21*(1+Inputs!$C$23)^(R$95-1)*MAX(0,MIN(1,R$94*1-Inputs!$C$24+1))/1</f>
        <v>3.5</v>
      </c>
      <c r="S172" s="111" t="n">
        <f aca="false">Inputs!$C$21*(1+Inputs!$C$23)^(S$95-1)*MAX(0,MIN(1,S$94*1-Inputs!$C$24+1))/1</f>
        <v>3.5</v>
      </c>
      <c r="T172" s="111" t="n">
        <f aca="false">Inputs!$C$21*(1+Inputs!$C$23)^(T$95-1)*MAX(0,MIN(1,T$94*1-Inputs!$C$24+1))/1</f>
        <v>3.5</v>
      </c>
      <c r="U172" s="111" t="n">
        <f aca="false">Inputs!$C$21*(1+Inputs!$C$23)^(U$95-1)*MAX(0,MIN(1,U$94*1-Inputs!$C$24+1))/1</f>
        <v>3.5</v>
      </c>
      <c r="V172" s="111" t="n">
        <f aca="false">Inputs!$C$21*(1+Inputs!$C$23)^(V$95-1)*MAX(0,MIN(1,V$94*1-Inputs!$C$24+1))/1</f>
        <v>3.5</v>
      </c>
      <c r="W172" s="111" t="n">
        <f aca="false">Inputs!$C$21*(1+Inputs!$C$23)^(W$95-1)*MAX(0,MIN(1,W$94*1-Inputs!$C$24+1))/1</f>
        <v>3.5</v>
      </c>
      <c r="X172" s="111" t="n">
        <f aca="false">Inputs!$C$21*(1+Inputs!$C$23)^(X$95-1)*MAX(0,MIN(1,X$94*1-Inputs!$C$24+1))/1</f>
        <v>3.5</v>
      </c>
      <c r="Y172" s="111" t="n">
        <f aca="false">Inputs!$C$21*(1+Inputs!$C$23)^(Y$95-1)*MAX(0,MIN(1,Y$94*1-Inputs!$C$24+1))/1</f>
        <v>3.5</v>
      </c>
      <c r="Z172" s="111" t="n">
        <f aca="false">Inputs!$C$21*(1+Inputs!$C$23)^(Z$95-1)*MAX(0,MIN(1,Z$94*1-Inputs!$C$24+1))/1</f>
        <v>3.5</v>
      </c>
      <c r="AA172" s="111" t="n">
        <f aca="false">Inputs!$C$21*(1+Inputs!$C$23)^(AA$95-1)*MAX(0,MIN(1,AA$94*1-Inputs!$C$24+1))/1</f>
        <v>3.5</v>
      </c>
      <c r="AB172" s="111" t="n">
        <f aca="false">Inputs!$C$21*(1+Inputs!$C$23)^(AB$95-1)*MAX(0,MIN(1,AB$94*1-Inputs!$C$24+1))/1</f>
        <v>3.5</v>
      </c>
      <c r="AC172" s="111" t="n">
        <f aca="false">Inputs!$C$21*(1+Inputs!$C$23)^(AC$95-1)*MAX(0,MIN(1,AC$94*1-Inputs!$C$24+1))/1</f>
        <v>3.5</v>
      </c>
      <c r="AD172" s="111" t="n">
        <f aca="false">Inputs!$C$21*(1+Inputs!$C$23)^(AD$95-1)*MAX(0,MIN(1,AD$94*1-Inputs!$C$24+1))/1</f>
        <v>3.5</v>
      </c>
      <c r="AE172" s="111" t="n">
        <f aca="false">Inputs!$C$21*(1+Inputs!$C$23)^(AE$95-1)*MAX(0,MIN(1,AE$94*1-Inputs!$C$24+1))/1</f>
        <v>3.5</v>
      </c>
      <c r="AF172" s="111" t="n">
        <f aca="false">Inputs!$C$21*(1+Inputs!$C$23)^(AF$95-1)*MAX(0,MIN(1,AF$94*1-Inputs!$C$24+1))/1</f>
        <v>3.5</v>
      </c>
      <c r="AG172" s="111" t="n">
        <f aca="false">Inputs!$C$21*(1+Inputs!$C$23)^(AG$95-1)*MAX(0,MIN(1,AG$94*1-Inputs!$C$24+1))/1</f>
        <v>3.5</v>
      </c>
      <c r="AH172" s="111" t="n">
        <f aca="false">Inputs!$C$21*(1+Inputs!$C$23)^(AH$95-1)*MAX(0,MIN(1,AH$94*1-Inputs!$C$24+1))/1</f>
        <v>3.5</v>
      </c>
      <c r="AI172" s="111" t="n">
        <f aca="false">Inputs!$C$21*(1+Inputs!$C$23)^(AI$95-1)*MAX(0,MIN(1,AI$94*1-Inputs!$C$24+1))/1</f>
        <v>3.5</v>
      </c>
      <c r="AJ172" s="111" t="n">
        <f aca="false">Inputs!$C$21*(1+Inputs!$C$23)^(AJ$95-1)*MAX(0,MIN(1,AJ$94*1-Inputs!$C$24+1))/1</f>
        <v>3.5</v>
      </c>
      <c r="AK172" s="111" t="n">
        <f aca="false">Inputs!$C$21*(1+Inputs!$C$23)^(AK$95-1)*MAX(0,MIN(1,AK$94*1-Inputs!$C$24+1))/1</f>
        <v>3.5</v>
      </c>
      <c r="AL172" s="111" t="n">
        <f aca="false">Inputs!$C$21*(1+Inputs!$C$23)^(AL$95-1)*MAX(0,MIN(1,AL$94*1-Inputs!$C$24+1))/1</f>
        <v>3.5</v>
      </c>
      <c r="AM172" s="111" t="n">
        <f aca="false">Inputs!$C$21*(1+Inputs!$C$23)^(AM$95-1)*MAX(0,MIN(1,AM$94*1-Inputs!$C$24+1))/1</f>
        <v>3.5</v>
      </c>
      <c r="AN172" s="111" t="n">
        <f aca="false">Inputs!$C$21*(1+Inputs!$C$23)^(AN$95-1)*MAX(0,MIN(1,AN$94*1-Inputs!$C$24+1))/1</f>
        <v>3.5</v>
      </c>
      <c r="AO172" s="111" t="n">
        <f aca="false">Inputs!$C$21*(1+Inputs!$C$23)^(AO$95-1)*MAX(0,MIN(1,AO$94*1-Inputs!$C$24+1))/1</f>
        <v>3.5</v>
      </c>
      <c r="AP172" s="111" t="n">
        <f aca="false">Inputs!$C$21*(1+Inputs!$C$23)^(AP$95-1)*MAX(0,MIN(1,AP$94*1-Inputs!$C$24+1))/1</f>
        <v>3.5</v>
      </c>
      <c r="AQ172" s="111" t="n">
        <f aca="false">Inputs!$C$21*(1+Inputs!$C$23)^(AQ$95-1)*MAX(0,MIN(1,AQ$94*1-Inputs!$C$24+1))/1</f>
        <v>3.5</v>
      </c>
      <c r="AR172" s="111" t="n">
        <f aca="false">Inputs!$C$21*(1+Inputs!$C$23)^(AR$95-1)*MAX(0,MIN(1,AR$94*1-Inputs!$C$24+1))/1</f>
        <v>3.5</v>
      </c>
      <c r="AS172" s="111" t="n">
        <f aca="false">Inputs!$C$21*(1+Inputs!$C$23)^(AS$95-1)*MAX(0,MIN(1,AS$94*1-Inputs!$C$24+1))/1</f>
        <v>3.5</v>
      </c>
      <c r="AT172" s="111" t="n">
        <f aca="false">Inputs!$C$21*(1+Inputs!$C$23)^(AT$95-1)*MAX(0,MIN(1,AT$94*1-Inputs!$C$24+1))/1</f>
        <v>3.5</v>
      </c>
      <c r="AU172" s="111" t="n">
        <f aca="false">Inputs!$C$21*(1+Inputs!$C$23)^(AU$95-1)*MAX(0,MIN(1,AU$94*1-Inputs!$C$24+1))/1</f>
        <v>3.5</v>
      </c>
      <c r="AV172" s="111" t="n">
        <f aca="false">Inputs!$C$21*(1+Inputs!$C$23)^(AV$95-1)*MAX(0,MIN(1,AV$94*1-Inputs!$C$24+1))/1</f>
        <v>3.5</v>
      </c>
      <c r="AW172" s="111" t="n">
        <f aca="false">Inputs!$C$21*(1+Inputs!$C$23)^(AW$95-1)*MAX(0,MIN(1,AW$94*1-Inputs!$C$24+1))/1</f>
        <v>3.5</v>
      </c>
      <c r="AX172" s="111" t="n">
        <f aca="false">Inputs!$C$21*(1+Inputs!$C$23)^(AX$95-1)*MAX(0,MIN(1,AX$94*1-Inputs!$C$24+1))/1</f>
        <v>3.5</v>
      </c>
      <c r="AY172" s="111" t="n">
        <f aca="false">Inputs!$C$21*(1+Inputs!$C$23)^(AY$95-1)*MAX(0,MIN(1,AY$94*1-Inputs!$C$24+1))/1</f>
        <v>3.5</v>
      </c>
      <c r="AZ172" s="111" t="n">
        <f aca="false">Inputs!$C$21*(1+Inputs!$C$23)^(AZ$95-1)*MAX(0,MIN(1,AZ$94*1-Inputs!$C$24+1))/1</f>
        <v>3.5</v>
      </c>
      <c r="BA172" s="111" t="n">
        <f aca="false">Inputs!$C$21*(1+Inputs!$C$23)^(BA$95-1)*MAX(0,MIN(1,BA$94*1-Inputs!$C$24+1))/1</f>
        <v>3.5</v>
      </c>
      <c r="BB172" s="111" t="n">
        <f aca="false">Inputs!$C$21*(1+Inputs!$C$23)^(BB$95-1)*MAX(0,MIN(1,BB$94*1-Inputs!$C$24+1))/1</f>
        <v>3.5</v>
      </c>
      <c r="BC172" s="111" t="n">
        <f aca="false">Inputs!$C$21*(1+Inputs!$C$23)^(BC$95-1)*MAX(0,MIN(1,BC$94*1-Inputs!$C$24+1))/1</f>
        <v>3.5</v>
      </c>
      <c r="BD172" s="111" t="n">
        <f aca="false">Inputs!$C$21*(1+Inputs!$C$23)^(BD$95-1)*MAX(0,MIN(1,BD$94*1-Inputs!$C$24+1))/1</f>
        <v>3.5</v>
      </c>
      <c r="BE172" s="111" t="n">
        <f aca="false">Inputs!$C$21*(1+Inputs!$C$23)^(BE$95-1)*MAX(0,MIN(1,BE$94*1-Inputs!$C$24+1))/1</f>
        <v>3.5</v>
      </c>
      <c r="BF172" s="111" t="n">
        <f aca="false">Inputs!$C$21*(1+Inputs!$C$23)^(BF$95-1)*MAX(0,MIN(1,BF$94*1-Inputs!$C$24+1))/1</f>
        <v>3.5</v>
      </c>
      <c r="BG172" s="111" t="n">
        <f aca="false">Inputs!$C$21*(1+Inputs!$C$23)^(BG$95-1)*MAX(0,MIN(1,BG$94*1-Inputs!$C$24+1))/1</f>
        <v>3.5</v>
      </c>
      <c r="BH172" s="111" t="n">
        <f aca="false">Inputs!$C$21*(1+Inputs!$C$23)^(BH$95-1)*MAX(0,MIN(1,BH$94*1-Inputs!$C$24+1))/1</f>
        <v>3.5</v>
      </c>
      <c r="BI172" s="111" t="n">
        <f aca="false">Inputs!$C$21*(1+Inputs!$C$23)^(BI$95-1)*MAX(0,MIN(1,BI$94*1-Inputs!$C$24+1))/1</f>
        <v>3.5</v>
      </c>
      <c r="BJ172" s="111" t="n">
        <f aca="false">Inputs!$C$21*(1+Inputs!$C$23)^(BJ$95-1)*MAX(0,MIN(1,BJ$94*1-Inputs!$C$24+1))/1</f>
        <v>3.5</v>
      </c>
    </row>
    <row r="173" customFormat="false" ht="15" hidden="false" customHeight="false" outlineLevel="0" collapsed="false">
      <c r="A173" s="108" t="s">
        <v>390</v>
      </c>
      <c r="C173" s="115" t="n">
        <f aca="false">C172</f>
        <v>3.5</v>
      </c>
      <c r="D173" s="115" t="n">
        <f aca="false">D172</f>
        <v>3.5</v>
      </c>
      <c r="E173" s="115" t="n">
        <f aca="false">E172</f>
        <v>3.5</v>
      </c>
      <c r="F173" s="115" t="n">
        <f aca="false">F172</f>
        <v>3.5</v>
      </c>
      <c r="G173" s="115" t="n">
        <f aca="false">G172</f>
        <v>3.5</v>
      </c>
      <c r="H173" s="115" t="n">
        <f aca="false">H172</f>
        <v>3.5</v>
      </c>
      <c r="I173" s="115" t="n">
        <f aca="false">I172</f>
        <v>3.5</v>
      </c>
      <c r="J173" s="115" t="n">
        <f aca="false">J172</f>
        <v>3.5</v>
      </c>
      <c r="K173" s="115" t="n">
        <f aca="false">K172</f>
        <v>3.5</v>
      </c>
      <c r="L173" s="115" t="n">
        <f aca="false">L172</f>
        <v>3.5</v>
      </c>
      <c r="M173" s="115" t="n">
        <f aca="false">M172</f>
        <v>3.5</v>
      </c>
      <c r="N173" s="115" t="n">
        <f aca="false">N172</f>
        <v>3.5</v>
      </c>
      <c r="O173" s="115" t="n">
        <f aca="false">O172</f>
        <v>3.5</v>
      </c>
      <c r="P173" s="115" t="n">
        <f aca="false">P172</f>
        <v>3.5</v>
      </c>
      <c r="Q173" s="115" t="n">
        <f aca="false">Q172</f>
        <v>3.5</v>
      </c>
      <c r="R173" s="115" t="n">
        <f aca="false">R172</f>
        <v>3.5</v>
      </c>
      <c r="S173" s="115" t="n">
        <f aca="false">S172</f>
        <v>3.5</v>
      </c>
      <c r="T173" s="115" t="n">
        <f aca="false">T172</f>
        <v>3.5</v>
      </c>
      <c r="U173" s="115" t="n">
        <f aca="false">U172</f>
        <v>3.5</v>
      </c>
      <c r="V173" s="115" t="n">
        <f aca="false">V172</f>
        <v>3.5</v>
      </c>
      <c r="W173" s="115" t="n">
        <f aca="false">W172</f>
        <v>3.5</v>
      </c>
      <c r="X173" s="115" t="n">
        <f aca="false">X172</f>
        <v>3.5</v>
      </c>
      <c r="Y173" s="115" t="n">
        <f aca="false">Y172</f>
        <v>3.5</v>
      </c>
      <c r="Z173" s="115" t="n">
        <f aca="false">Z172</f>
        <v>3.5</v>
      </c>
      <c r="AA173" s="115" t="n">
        <f aca="false">AA172</f>
        <v>3.5</v>
      </c>
      <c r="AB173" s="115" t="n">
        <f aca="false">AB172</f>
        <v>3.5</v>
      </c>
      <c r="AC173" s="115" t="n">
        <f aca="false">AC172</f>
        <v>3.5</v>
      </c>
      <c r="AD173" s="115" t="n">
        <f aca="false">AD172</f>
        <v>3.5</v>
      </c>
      <c r="AE173" s="115" t="n">
        <f aca="false">AE172</f>
        <v>3.5</v>
      </c>
      <c r="AF173" s="115" t="n">
        <f aca="false">AF172</f>
        <v>3.5</v>
      </c>
      <c r="AG173" s="115" t="n">
        <f aca="false">AG172</f>
        <v>3.5</v>
      </c>
      <c r="AH173" s="115" t="n">
        <f aca="false">AH172</f>
        <v>3.5</v>
      </c>
      <c r="AI173" s="115" t="n">
        <f aca="false">AI172</f>
        <v>3.5</v>
      </c>
      <c r="AJ173" s="115" t="n">
        <f aca="false">AJ172</f>
        <v>3.5</v>
      </c>
      <c r="AK173" s="115" t="n">
        <f aca="false">AK172</f>
        <v>3.5</v>
      </c>
      <c r="AL173" s="115" t="n">
        <f aca="false">AL172</f>
        <v>3.5</v>
      </c>
      <c r="AM173" s="115" t="n">
        <f aca="false">AM172</f>
        <v>3.5</v>
      </c>
      <c r="AN173" s="115" t="n">
        <f aca="false">AN172</f>
        <v>3.5</v>
      </c>
      <c r="AO173" s="115" t="n">
        <f aca="false">AO172</f>
        <v>3.5</v>
      </c>
      <c r="AP173" s="115" t="n">
        <f aca="false">AP172</f>
        <v>3.5</v>
      </c>
      <c r="AQ173" s="115" t="n">
        <f aca="false">AQ172</f>
        <v>3.5</v>
      </c>
      <c r="AR173" s="115" t="n">
        <f aca="false">AR172</f>
        <v>3.5</v>
      </c>
      <c r="AS173" s="115" t="n">
        <f aca="false">AS172</f>
        <v>3.5</v>
      </c>
      <c r="AT173" s="115" t="n">
        <f aca="false">AT172</f>
        <v>3.5</v>
      </c>
      <c r="AU173" s="115" t="n">
        <f aca="false">AU172</f>
        <v>3.5</v>
      </c>
      <c r="AV173" s="115" t="n">
        <f aca="false">AV172</f>
        <v>3.5</v>
      </c>
      <c r="AW173" s="115" t="n">
        <f aca="false">AW172</f>
        <v>3.5</v>
      </c>
      <c r="AX173" s="115" t="n">
        <f aca="false">AX172</f>
        <v>3.5</v>
      </c>
      <c r="AY173" s="115" t="n">
        <f aca="false">AY172</f>
        <v>3.5</v>
      </c>
      <c r="AZ173" s="115" t="n">
        <f aca="false">AZ172</f>
        <v>3.5</v>
      </c>
      <c r="BA173" s="115" t="n">
        <f aca="false">BA172</f>
        <v>3.5</v>
      </c>
      <c r="BB173" s="115" t="n">
        <f aca="false">BB172</f>
        <v>3.5</v>
      </c>
      <c r="BC173" s="115" t="n">
        <f aca="false">BC172</f>
        <v>3.5</v>
      </c>
      <c r="BD173" s="115" t="n">
        <f aca="false">BD172</f>
        <v>3.5</v>
      </c>
      <c r="BE173" s="115" t="n">
        <f aca="false">BE172</f>
        <v>3.5</v>
      </c>
      <c r="BF173" s="115" t="n">
        <f aca="false">BF172</f>
        <v>3.5</v>
      </c>
      <c r="BG173" s="115" t="n">
        <f aca="false">BG172</f>
        <v>3.5</v>
      </c>
      <c r="BH173" s="115" t="n">
        <f aca="false">BH172</f>
        <v>3.5</v>
      </c>
      <c r="BI173" s="115" t="n">
        <f aca="false">BI172</f>
        <v>3.5</v>
      </c>
      <c r="BJ173" s="115" t="n">
        <f aca="false">BJ172</f>
        <v>3.5</v>
      </c>
    </row>
    <row r="175" customFormat="false" ht="15.75" hidden="false" customHeight="true" outlineLevel="0" collapsed="false">
      <c r="A175" s="7" t="s">
        <v>391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392</v>
      </c>
      <c r="C176" s="65" t="n">
        <f aca="false">-C172*Inputs!$C$22/12*1*(1+Inputs!$C$25)*(1+Inputs!$C$26)^(C$95-1)</f>
        <v>-10453.3333333333</v>
      </c>
      <c r="D176" s="65" t="n">
        <f aca="false">-D172*Inputs!$C$22/12*1*(1+Inputs!$C$25)*(1+Inputs!$C$26)^(D$95-1)</f>
        <v>-10453.3333333333</v>
      </c>
      <c r="E176" s="65" t="n">
        <f aca="false">-E172*Inputs!$C$22/12*1*(1+Inputs!$C$25)*(1+Inputs!$C$26)^(E$95-1)</f>
        <v>-10453.3333333333</v>
      </c>
      <c r="F176" s="65" t="n">
        <f aca="false">-F172*Inputs!$C$22/12*1*(1+Inputs!$C$25)*(1+Inputs!$C$26)^(F$95-1)</f>
        <v>-10453.3333333333</v>
      </c>
      <c r="G176" s="65" t="n">
        <f aca="false">-G172*Inputs!$C$22/12*1*(1+Inputs!$C$25)*(1+Inputs!$C$26)^(G$95-1)</f>
        <v>-10453.3333333333</v>
      </c>
      <c r="H176" s="65" t="n">
        <f aca="false">-H172*Inputs!$C$22/12*1*(1+Inputs!$C$25)*(1+Inputs!$C$26)^(H$95-1)</f>
        <v>-10453.3333333333</v>
      </c>
      <c r="I176" s="65" t="n">
        <f aca="false">-I172*Inputs!$C$22/12*1*(1+Inputs!$C$25)*(1+Inputs!$C$26)^(I$95-1)</f>
        <v>-10453.3333333333</v>
      </c>
      <c r="J176" s="65" t="n">
        <f aca="false">-J172*Inputs!$C$22/12*1*(1+Inputs!$C$25)*(1+Inputs!$C$26)^(J$95-1)</f>
        <v>-10453.3333333333</v>
      </c>
      <c r="K176" s="65" t="n">
        <f aca="false">-K172*Inputs!$C$22/12*1*(1+Inputs!$C$25)*(1+Inputs!$C$26)^(K$95-1)</f>
        <v>-10453.3333333333</v>
      </c>
      <c r="L176" s="65" t="n">
        <f aca="false">-L172*Inputs!$C$22/12*1*(1+Inputs!$C$25)*(1+Inputs!$C$26)^(L$95-1)</f>
        <v>-10453.3333333333</v>
      </c>
      <c r="M176" s="65" t="n">
        <f aca="false">-M172*Inputs!$C$22/12*1*(1+Inputs!$C$25)*(1+Inputs!$C$26)^(M$95-1)</f>
        <v>-10453.3333333333</v>
      </c>
      <c r="N176" s="65" t="n">
        <f aca="false">-N172*Inputs!$C$22/12*1*(1+Inputs!$C$25)*(1+Inputs!$C$26)^(N$95-1)</f>
        <v>-10453.3333333333</v>
      </c>
      <c r="O176" s="65" t="n">
        <f aca="false">-O172*Inputs!$C$22/12*1*(1+Inputs!$C$25)*(1+Inputs!$C$26)^(O$95-1)</f>
        <v>-10766.9333333333</v>
      </c>
      <c r="P176" s="65" t="n">
        <f aca="false">-P172*Inputs!$C$22/12*1*(1+Inputs!$C$25)*(1+Inputs!$C$26)^(P$95-1)</f>
        <v>-10766.9333333333</v>
      </c>
      <c r="Q176" s="65" t="n">
        <f aca="false">-Q172*Inputs!$C$22/12*1*(1+Inputs!$C$25)*(1+Inputs!$C$26)^(Q$95-1)</f>
        <v>-10766.9333333333</v>
      </c>
      <c r="R176" s="65" t="n">
        <f aca="false">-R172*Inputs!$C$22/12*1*(1+Inputs!$C$25)*(1+Inputs!$C$26)^(R$95-1)</f>
        <v>-10766.9333333333</v>
      </c>
      <c r="S176" s="65" t="n">
        <f aca="false">-S172*Inputs!$C$22/12*1*(1+Inputs!$C$25)*(1+Inputs!$C$26)^(S$95-1)</f>
        <v>-10766.9333333333</v>
      </c>
      <c r="T176" s="65" t="n">
        <f aca="false">-T172*Inputs!$C$22/12*1*(1+Inputs!$C$25)*(1+Inputs!$C$26)^(T$95-1)</f>
        <v>-10766.9333333333</v>
      </c>
      <c r="U176" s="65" t="n">
        <f aca="false">-U172*Inputs!$C$22/12*1*(1+Inputs!$C$25)*(1+Inputs!$C$26)^(U$95-1)</f>
        <v>-10766.9333333333</v>
      </c>
      <c r="V176" s="65" t="n">
        <f aca="false">-V172*Inputs!$C$22/12*1*(1+Inputs!$C$25)*(1+Inputs!$C$26)^(V$95-1)</f>
        <v>-10766.9333333333</v>
      </c>
      <c r="W176" s="65" t="n">
        <f aca="false">-W172*Inputs!$C$22/12*1*(1+Inputs!$C$25)*(1+Inputs!$C$26)^(W$95-1)</f>
        <v>-10766.9333333333</v>
      </c>
      <c r="X176" s="65" t="n">
        <f aca="false">-X172*Inputs!$C$22/12*1*(1+Inputs!$C$25)*(1+Inputs!$C$26)^(X$95-1)</f>
        <v>-10766.9333333333</v>
      </c>
      <c r="Y176" s="65" t="n">
        <f aca="false">-Y172*Inputs!$C$22/12*1*(1+Inputs!$C$25)*(1+Inputs!$C$26)^(Y$95-1)</f>
        <v>-10766.9333333333</v>
      </c>
      <c r="Z176" s="65" t="n">
        <f aca="false">-Z172*Inputs!$C$22/12*1*(1+Inputs!$C$25)*(1+Inputs!$C$26)^(Z$95-1)</f>
        <v>-10766.9333333333</v>
      </c>
      <c r="AA176" s="65" t="n">
        <f aca="false">-AA172*Inputs!$C$22/12*1*(1+Inputs!$C$25)*(1+Inputs!$C$26)^(AA$95-1)</f>
        <v>-11089.9413333333</v>
      </c>
      <c r="AB176" s="65" t="n">
        <f aca="false">-AB172*Inputs!$C$22/12*1*(1+Inputs!$C$25)*(1+Inputs!$C$26)^(AB$95-1)</f>
        <v>-11089.9413333333</v>
      </c>
      <c r="AC176" s="65" t="n">
        <f aca="false">-AC172*Inputs!$C$22/12*1*(1+Inputs!$C$25)*(1+Inputs!$C$26)^(AC$95-1)</f>
        <v>-11089.9413333333</v>
      </c>
      <c r="AD176" s="65" t="n">
        <f aca="false">-AD172*Inputs!$C$22/12*1*(1+Inputs!$C$25)*(1+Inputs!$C$26)^(AD$95-1)</f>
        <v>-11089.9413333333</v>
      </c>
      <c r="AE176" s="65" t="n">
        <f aca="false">-AE172*Inputs!$C$22/12*1*(1+Inputs!$C$25)*(1+Inputs!$C$26)^(AE$95-1)</f>
        <v>-11089.9413333333</v>
      </c>
      <c r="AF176" s="65" t="n">
        <f aca="false">-AF172*Inputs!$C$22/12*1*(1+Inputs!$C$25)*(1+Inputs!$C$26)^(AF$95-1)</f>
        <v>-11089.9413333333</v>
      </c>
      <c r="AG176" s="65" t="n">
        <f aca="false">-AG172*Inputs!$C$22/12*1*(1+Inputs!$C$25)*(1+Inputs!$C$26)^(AG$95-1)</f>
        <v>-11089.9413333333</v>
      </c>
      <c r="AH176" s="65" t="n">
        <f aca="false">-AH172*Inputs!$C$22/12*1*(1+Inputs!$C$25)*(1+Inputs!$C$26)^(AH$95-1)</f>
        <v>-11089.9413333333</v>
      </c>
      <c r="AI176" s="65" t="n">
        <f aca="false">-AI172*Inputs!$C$22/12*1*(1+Inputs!$C$25)*(1+Inputs!$C$26)^(AI$95-1)</f>
        <v>-11089.9413333333</v>
      </c>
      <c r="AJ176" s="65" t="n">
        <f aca="false">-AJ172*Inputs!$C$22/12*1*(1+Inputs!$C$25)*(1+Inputs!$C$26)^(AJ$95-1)</f>
        <v>-11089.9413333333</v>
      </c>
      <c r="AK176" s="65" t="n">
        <f aca="false">-AK172*Inputs!$C$22/12*1*(1+Inputs!$C$25)*(1+Inputs!$C$26)^(AK$95-1)</f>
        <v>-11089.9413333333</v>
      </c>
      <c r="AL176" s="65" t="n">
        <f aca="false">-AL172*Inputs!$C$22/12*1*(1+Inputs!$C$25)*(1+Inputs!$C$26)^(AL$95-1)</f>
        <v>-11089.9413333333</v>
      </c>
      <c r="AM176" s="65" t="n">
        <f aca="false">-AM172*Inputs!$C$22/12*1*(1+Inputs!$C$25)*(1+Inputs!$C$26)^(AM$95-1)</f>
        <v>-11422.6395733333</v>
      </c>
      <c r="AN176" s="65" t="n">
        <f aca="false">-AN172*Inputs!$C$22/12*1*(1+Inputs!$C$25)*(1+Inputs!$C$26)^(AN$95-1)</f>
        <v>-11422.6395733333</v>
      </c>
      <c r="AO176" s="65" t="n">
        <f aca="false">-AO172*Inputs!$C$22/12*1*(1+Inputs!$C$25)*(1+Inputs!$C$26)^(AO$95-1)</f>
        <v>-11422.6395733333</v>
      </c>
      <c r="AP176" s="65" t="n">
        <f aca="false">-AP172*Inputs!$C$22/12*1*(1+Inputs!$C$25)*(1+Inputs!$C$26)^(AP$95-1)</f>
        <v>-11422.6395733333</v>
      </c>
      <c r="AQ176" s="65" t="n">
        <f aca="false">-AQ172*Inputs!$C$22/12*1*(1+Inputs!$C$25)*(1+Inputs!$C$26)^(AQ$95-1)</f>
        <v>-11422.6395733333</v>
      </c>
      <c r="AR176" s="65" t="n">
        <f aca="false">-AR172*Inputs!$C$22/12*1*(1+Inputs!$C$25)*(1+Inputs!$C$26)^(AR$95-1)</f>
        <v>-11422.6395733333</v>
      </c>
      <c r="AS176" s="65" t="n">
        <f aca="false">-AS172*Inputs!$C$22/12*1*(1+Inputs!$C$25)*(1+Inputs!$C$26)^(AS$95-1)</f>
        <v>-11422.6395733333</v>
      </c>
      <c r="AT176" s="65" t="n">
        <f aca="false">-AT172*Inputs!$C$22/12*1*(1+Inputs!$C$25)*(1+Inputs!$C$26)^(AT$95-1)</f>
        <v>-11422.6395733333</v>
      </c>
      <c r="AU176" s="65" t="n">
        <f aca="false">-AU172*Inputs!$C$22/12*1*(1+Inputs!$C$25)*(1+Inputs!$C$26)^(AU$95-1)</f>
        <v>-11422.6395733333</v>
      </c>
      <c r="AV176" s="65" t="n">
        <f aca="false">-AV172*Inputs!$C$22/12*1*(1+Inputs!$C$25)*(1+Inputs!$C$26)^(AV$95-1)</f>
        <v>-11422.6395733333</v>
      </c>
      <c r="AW176" s="65" t="n">
        <f aca="false">-AW172*Inputs!$C$22/12*1*(1+Inputs!$C$25)*(1+Inputs!$C$26)^(AW$95-1)</f>
        <v>-11422.6395733333</v>
      </c>
      <c r="AX176" s="65" t="n">
        <f aca="false">-AX172*Inputs!$C$22/12*1*(1+Inputs!$C$25)*(1+Inputs!$C$26)^(AX$95-1)</f>
        <v>-11422.6395733333</v>
      </c>
      <c r="AY176" s="65" t="n">
        <f aca="false">-AY172*Inputs!$C$22/12*1*(1+Inputs!$C$25)*(1+Inputs!$C$26)^(AY$95-1)</f>
        <v>-11765.3187605333</v>
      </c>
      <c r="AZ176" s="65" t="n">
        <f aca="false">-AZ172*Inputs!$C$22/12*1*(1+Inputs!$C$25)*(1+Inputs!$C$26)^(AZ$95-1)</f>
        <v>-11765.3187605333</v>
      </c>
      <c r="BA176" s="65" t="n">
        <f aca="false">-BA172*Inputs!$C$22/12*1*(1+Inputs!$C$25)*(1+Inputs!$C$26)^(BA$95-1)</f>
        <v>-11765.3187605333</v>
      </c>
      <c r="BB176" s="65" t="n">
        <f aca="false">-BB172*Inputs!$C$22/12*1*(1+Inputs!$C$25)*(1+Inputs!$C$26)^(BB$95-1)</f>
        <v>-11765.3187605333</v>
      </c>
      <c r="BC176" s="65" t="n">
        <f aca="false">-BC172*Inputs!$C$22/12*1*(1+Inputs!$C$25)*(1+Inputs!$C$26)^(BC$95-1)</f>
        <v>-11765.3187605333</v>
      </c>
      <c r="BD176" s="65" t="n">
        <f aca="false">-BD172*Inputs!$C$22/12*1*(1+Inputs!$C$25)*(1+Inputs!$C$26)^(BD$95-1)</f>
        <v>-11765.3187605333</v>
      </c>
      <c r="BE176" s="65" t="n">
        <f aca="false">-BE172*Inputs!$C$22/12*1*(1+Inputs!$C$25)*(1+Inputs!$C$26)^(BE$95-1)</f>
        <v>-11765.3187605333</v>
      </c>
      <c r="BF176" s="65" t="n">
        <f aca="false">-BF172*Inputs!$C$22/12*1*(1+Inputs!$C$25)*(1+Inputs!$C$26)^(BF$95-1)</f>
        <v>-11765.3187605333</v>
      </c>
      <c r="BG176" s="65" t="n">
        <f aca="false">-BG172*Inputs!$C$22/12*1*(1+Inputs!$C$25)*(1+Inputs!$C$26)^(BG$95-1)</f>
        <v>-11765.3187605333</v>
      </c>
      <c r="BH176" s="65" t="n">
        <f aca="false">-BH172*Inputs!$C$22/12*1*(1+Inputs!$C$25)*(1+Inputs!$C$26)^(BH$95-1)</f>
        <v>-11765.3187605333</v>
      </c>
      <c r="BI176" s="65" t="n">
        <f aca="false">-BI172*Inputs!$C$22/12*1*(1+Inputs!$C$25)*(1+Inputs!$C$26)^(BI$95-1)</f>
        <v>-11765.3187605333</v>
      </c>
      <c r="BJ176" s="65" t="n">
        <f aca="false">-BJ172*Inputs!$C$22/12*1*(1+Inputs!$C$25)*(1+Inputs!$C$26)^(BJ$95-1)</f>
        <v>-11765.3187605333</v>
      </c>
    </row>
    <row r="177" customFormat="false" ht="15" hidden="false" customHeight="false" outlineLevel="0" collapsed="false">
      <c r="A177" s="108" t="s">
        <v>393</v>
      </c>
      <c r="C177" s="66" t="n">
        <f aca="false">C176</f>
        <v>-10453.3333333333</v>
      </c>
      <c r="D177" s="66" t="n">
        <f aca="false">D176</f>
        <v>-10453.3333333333</v>
      </c>
      <c r="E177" s="66" t="n">
        <f aca="false">E176</f>
        <v>-10453.3333333333</v>
      </c>
      <c r="F177" s="66" t="n">
        <f aca="false">F176</f>
        <v>-10453.3333333333</v>
      </c>
      <c r="G177" s="66" t="n">
        <f aca="false">G176</f>
        <v>-10453.3333333333</v>
      </c>
      <c r="H177" s="66" t="n">
        <f aca="false">H176</f>
        <v>-10453.3333333333</v>
      </c>
      <c r="I177" s="66" t="n">
        <f aca="false">I176</f>
        <v>-10453.3333333333</v>
      </c>
      <c r="J177" s="66" t="n">
        <f aca="false">J176</f>
        <v>-10453.3333333333</v>
      </c>
      <c r="K177" s="66" t="n">
        <f aca="false">K176</f>
        <v>-10453.3333333333</v>
      </c>
      <c r="L177" s="66" t="n">
        <f aca="false">L176</f>
        <v>-10453.3333333333</v>
      </c>
      <c r="M177" s="66" t="n">
        <f aca="false">M176</f>
        <v>-10453.3333333333</v>
      </c>
      <c r="N177" s="66" t="n">
        <f aca="false">N176</f>
        <v>-10453.3333333333</v>
      </c>
      <c r="O177" s="66" t="n">
        <f aca="false">O176</f>
        <v>-10766.9333333333</v>
      </c>
      <c r="P177" s="66" t="n">
        <f aca="false">P176</f>
        <v>-10766.9333333333</v>
      </c>
      <c r="Q177" s="66" t="n">
        <f aca="false">Q176</f>
        <v>-10766.9333333333</v>
      </c>
      <c r="R177" s="66" t="n">
        <f aca="false">R176</f>
        <v>-10766.9333333333</v>
      </c>
      <c r="S177" s="66" t="n">
        <f aca="false">S176</f>
        <v>-10766.9333333333</v>
      </c>
      <c r="T177" s="66" t="n">
        <f aca="false">T176</f>
        <v>-10766.9333333333</v>
      </c>
      <c r="U177" s="66" t="n">
        <f aca="false">U176</f>
        <v>-10766.9333333333</v>
      </c>
      <c r="V177" s="66" t="n">
        <f aca="false">V176</f>
        <v>-10766.9333333333</v>
      </c>
      <c r="W177" s="66" t="n">
        <f aca="false">W176</f>
        <v>-10766.9333333333</v>
      </c>
      <c r="X177" s="66" t="n">
        <f aca="false">X176</f>
        <v>-10766.9333333333</v>
      </c>
      <c r="Y177" s="66" t="n">
        <f aca="false">Y176</f>
        <v>-10766.9333333333</v>
      </c>
      <c r="Z177" s="66" t="n">
        <f aca="false">Z176</f>
        <v>-10766.9333333333</v>
      </c>
      <c r="AA177" s="66" t="n">
        <f aca="false">AA176</f>
        <v>-11089.9413333333</v>
      </c>
      <c r="AB177" s="66" t="n">
        <f aca="false">AB176</f>
        <v>-11089.9413333333</v>
      </c>
      <c r="AC177" s="66" t="n">
        <f aca="false">AC176</f>
        <v>-11089.9413333333</v>
      </c>
      <c r="AD177" s="66" t="n">
        <f aca="false">AD176</f>
        <v>-11089.9413333333</v>
      </c>
      <c r="AE177" s="66" t="n">
        <f aca="false">AE176</f>
        <v>-11089.9413333333</v>
      </c>
      <c r="AF177" s="66" t="n">
        <f aca="false">AF176</f>
        <v>-11089.9413333333</v>
      </c>
      <c r="AG177" s="66" t="n">
        <f aca="false">AG176</f>
        <v>-11089.9413333333</v>
      </c>
      <c r="AH177" s="66" t="n">
        <f aca="false">AH176</f>
        <v>-11089.9413333333</v>
      </c>
      <c r="AI177" s="66" t="n">
        <f aca="false">AI176</f>
        <v>-11089.9413333333</v>
      </c>
      <c r="AJ177" s="66" t="n">
        <f aca="false">AJ176</f>
        <v>-11089.9413333333</v>
      </c>
      <c r="AK177" s="66" t="n">
        <f aca="false">AK176</f>
        <v>-11089.9413333333</v>
      </c>
      <c r="AL177" s="66" t="n">
        <f aca="false">AL176</f>
        <v>-11089.9413333333</v>
      </c>
      <c r="AM177" s="66" t="n">
        <f aca="false">AM176</f>
        <v>-11422.6395733333</v>
      </c>
      <c r="AN177" s="66" t="n">
        <f aca="false">AN176</f>
        <v>-11422.6395733333</v>
      </c>
      <c r="AO177" s="66" t="n">
        <f aca="false">AO176</f>
        <v>-11422.6395733333</v>
      </c>
      <c r="AP177" s="66" t="n">
        <f aca="false">AP176</f>
        <v>-11422.6395733333</v>
      </c>
      <c r="AQ177" s="66" t="n">
        <f aca="false">AQ176</f>
        <v>-11422.6395733333</v>
      </c>
      <c r="AR177" s="66" t="n">
        <f aca="false">AR176</f>
        <v>-11422.6395733333</v>
      </c>
      <c r="AS177" s="66" t="n">
        <f aca="false">AS176</f>
        <v>-11422.6395733333</v>
      </c>
      <c r="AT177" s="66" t="n">
        <f aca="false">AT176</f>
        <v>-11422.6395733333</v>
      </c>
      <c r="AU177" s="66" t="n">
        <f aca="false">AU176</f>
        <v>-11422.6395733333</v>
      </c>
      <c r="AV177" s="66" t="n">
        <f aca="false">AV176</f>
        <v>-11422.6395733333</v>
      </c>
      <c r="AW177" s="66" t="n">
        <f aca="false">AW176</f>
        <v>-11422.6395733333</v>
      </c>
      <c r="AX177" s="66" t="n">
        <f aca="false">AX176</f>
        <v>-11422.6395733333</v>
      </c>
      <c r="AY177" s="66" t="n">
        <f aca="false">AY176</f>
        <v>-11765.3187605333</v>
      </c>
      <c r="AZ177" s="66" t="n">
        <f aca="false">AZ176</f>
        <v>-11765.3187605333</v>
      </c>
      <c r="BA177" s="66" t="n">
        <f aca="false">BA176</f>
        <v>-11765.3187605333</v>
      </c>
      <c r="BB177" s="66" t="n">
        <f aca="false">BB176</f>
        <v>-11765.3187605333</v>
      </c>
      <c r="BC177" s="66" t="n">
        <f aca="false">BC176</f>
        <v>-11765.3187605333</v>
      </c>
      <c r="BD177" s="66" t="n">
        <f aca="false">BD176</f>
        <v>-11765.3187605333</v>
      </c>
      <c r="BE177" s="66" t="n">
        <f aca="false">BE176</f>
        <v>-11765.3187605333</v>
      </c>
      <c r="BF177" s="66" t="n">
        <f aca="false">BF176</f>
        <v>-11765.3187605333</v>
      </c>
      <c r="BG177" s="66" t="n">
        <f aca="false">BG176</f>
        <v>-11765.3187605333</v>
      </c>
      <c r="BH177" s="66" t="n">
        <f aca="false">BH176</f>
        <v>-11765.3187605333</v>
      </c>
      <c r="BI177" s="66" t="n">
        <f aca="false">BI176</f>
        <v>-11765.3187605333</v>
      </c>
      <c r="BJ177" s="66" t="n">
        <f aca="false">BJ176</f>
        <v>-11765.3187605333</v>
      </c>
    </row>
    <row r="180" customFormat="false" ht="15.75" hidden="false" customHeight="true" outlineLevel="0" collapsed="false">
      <c r="A180" s="7" t="s">
        <v>398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33" t="s">
        <v>298</v>
      </c>
      <c r="C181" s="50" t="s">
        <v>299</v>
      </c>
      <c r="D181" s="50" t="s">
        <v>300</v>
      </c>
      <c r="E181" s="50" t="s">
        <v>301</v>
      </c>
      <c r="F181" s="50" t="s">
        <v>302</v>
      </c>
      <c r="G181" s="50" t="s">
        <v>303</v>
      </c>
      <c r="H181" s="50" t="s">
        <v>304</v>
      </c>
      <c r="I181" s="50" t="s">
        <v>305</v>
      </c>
      <c r="J181" s="50" t="s">
        <v>306</v>
      </c>
      <c r="K181" s="50" t="s">
        <v>307</v>
      </c>
      <c r="L181" s="50" t="s">
        <v>308</v>
      </c>
      <c r="M181" s="50" t="s">
        <v>309</v>
      </c>
      <c r="N181" s="50" t="s">
        <v>310</v>
      </c>
      <c r="O181" s="50" t="s">
        <v>311</v>
      </c>
      <c r="P181" s="50" t="s">
        <v>312</v>
      </c>
      <c r="Q181" s="50" t="s">
        <v>313</v>
      </c>
      <c r="R181" s="50" t="s">
        <v>314</v>
      </c>
      <c r="S181" s="50" t="s">
        <v>315</v>
      </c>
      <c r="T181" s="50" t="s">
        <v>316</v>
      </c>
      <c r="U181" s="50" t="s">
        <v>317</v>
      </c>
      <c r="V181" s="50" t="s">
        <v>318</v>
      </c>
      <c r="W181" s="50" t="s">
        <v>319</v>
      </c>
      <c r="X181" s="50" t="s">
        <v>320</v>
      </c>
      <c r="Y181" s="50" t="s">
        <v>321</v>
      </c>
      <c r="Z181" s="50" t="s">
        <v>322</v>
      </c>
      <c r="AA181" s="50" t="s">
        <v>323</v>
      </c>
      <c r="AB181" s="50" t="s">
        <v>324</v>
      </c>
      <c r="AC181" s="50" t="s">
        <v>325</v>
      </c>
      <c r="AD181" s="50" t="s">
        <v>326</v>
      </c>
      <c r="AE181" s="50" t="s">
        <v>327</v>
      </c>
      <c r="AF181" s="50" t="s">
        <v>328</v>
      </c>
      <c r="AG181" s="50" t="s">
        <v>329</v>
      </c>
      <c r="AH181" s="50" t="s">
        <v>330</v>
      </c>
      <c r="AI181" s="50" t="s">
        <v>331</v>
      </c>
      <c r="AJ181" s="50" t="s">
        <v>332</v>
      </c>
      <c r="AK181" s="50" t="s">
        <v>333</v>
      </c>
      <c r="AL181" s="50" t="s">
        <v>334</v>
      </c>
      <c r="AM181" s="50" t="s">
        <v>335</v>
      </c>
      <c r="AN181" s="50" t="s">
        <v>336</v>
      </c>
      <c r="AO181" s="50" t="s">
        <v>337</v>
      </c>
      <c r="AP181" s="50" t="s">
        <v>338</v>
      </c>
      <c r="AQ181" s="50" t="s">
        <v>339</v>
      </c>
      <c r="AR181" s="50" t="s">
        <v>340</v>
      </c>
      <c r="AS181" s="50" t="s">
        <v>341</v>
      </c>
      <c r="AT181" s="50" t="s">
        <v>342</v>
      </c>
      <c r="AU181" s="50" t="s">
        <v>343</v>
      </c>
      <c r="AV181" s="50" t="s">
        <v>344</v>
      </c>
      <c r="AW181" s="50" t="s">
        <v>345</v>
      </c>
      <c r="AX181" s="50" t="s">
        <v>346</v>
      </c>
      <c r="AY181" s="50" t="s">
        <v>347</v>
      </c>
      <c r="AZ181" s="50" t="s">
        <v>348</v>
      </c>
      <c r="BA181" s="50" t="s">
        <v>349</v>
      </c>
      <c r="BB181" s="50" t="s">
        <v>350</v>
      </c>
      <c r="BC181" s="50" t="s">
        <v>351</v>
      </c>
      <c r="BD181" s="50" t="s">
        <v>352</v>
      </c>
      <c r="BE181" s="50" t="s">
        <v>353</v>
      </c>
      <c r="BF181" s="50" t="s">
        <v>354</v>
      </c>
      <c r="BG181" s="50" t="s">
        <v>355</v>
      </c>
      <c r="BH181" s="50" t="s">
        <v>356</v>
      </c>
      <c r="BI181" s="50" t="s">
        <v>357</v>
      </c>
      <c r="BJ181" s="50" t="s">
        <v>358</v>
      </c>
    </row>
    <row r="182" customFormat="false" ht="15" hidden="false" customHeight="false" outlineLevel="0" collapsed="false">
      <c r="A182" s="70" t="s">
        <v>359</v>
      </c>
      <c r="C182" s="70" t="n">
        <v>1</v>
      </c>
      <c r="D182" s="70" t="n">
        <v>2</v>
      </c>
      <c r="E182" s="70" t="n">
        <v>3</v>
      </c>
      <c r="F182" s="70" t="n">
        <v>4</v>
      </c>
      <c r="G182" s="70" t="n">
        <v>5</v>
      </c>
      <c r="H182" s="70" t="n">
        <v>6</v>
      </c>
      <c r="I182" s="70" t="n">
        <v>7</v>
      </c>
      <c r="J182" s="70" t="n">
        <v>8</v>
      </c>
      <c r="K182" s="70" t="n">
        <v>9</v>
      </c>
      <c r="L182" s="70" t="n">
        <v>10</v>
      </c>
      <c r="M182" s="70" t="n">
        <v>11</v>
      </c>
      <c r="N182" s="70" t="n">
        <v>12</v>
      </c>
      <c r="O182" s="70" t="n">
        <v>13</v>
      </c>
      <c r="P182" s="70" t="n">
        <v>14</v>
      </c>
      <c r="Q182" s="70" t="n">
        <v>15</v>
      </c>
      <c r="R182" s="70" t="n">
        <v>16</v>
      </c>
      <c r="S182" s="70" t="n">
        <v>17</v>
      </c>
      <c r="T182" s="70" t="n">
        <v>18</v>
      </c>
      <c r="U182" s="70" t="n">
        <v>19</v>
      </c>
      <c r="V182" s="70" t="n">
        <v>20</v>
      </c>
      <c r="W182" s="70" t="n">
        <v>21</v>
      </c>
      <c r="X182" s="70" t="n">
        <v>22</v>
      </c>
      <c r="Y182" s="70" t="n">
        <v>23</v>
      </c>
      <c r="Z182" s="70" t="n">
        <v>24</v>
      </c>
      <c r="AA182" s="70" t="n">
        <v>25</v>
      </c>
      <c r="AB182" s="70" t="n">
        <v>26</v>
      </c>
      <c r="AC182" s="70" t="n">
        <v>27</v>
      </c>
      <c r="AD182" s="70" t="n">
        <v>28</v>
      </c>
      <c r="AE182" s="70" t="n">
        <v>29</v>
      </c>
      <c r="AF182" s="70" t="n">
        <v>30</v>
      </c>
      <c r="AG182" s="70" t="n">
        <v>31</v>
      </c>
      <c r="AH182" s="70" t="n">
        <v>32</v>
      </c>
      <c r="AI182" s="70" t="n">
        <v>33</v>
      </c>
      <c r="AJ182" s="70" t="n">
        <v>34</v>
      </c>
      <c r="AK182" s="70" t="n">
        <v>35</v>
      </c>
      <c r="AL182" s="70" t="n">
        <v>36</v>
      </c>
      <c r="AM182" s="70" t="n">
        <v>37</v>
      </c>
      <c r="AN182" s="70" t="n">
        <v>38</v>
      </c>
      <c r="AO182" s="70" t="n">
        <v>39</v>
      </c>
      <c r="AP182" s="70" t="n">
        <v>40</v>
      </c>
      <c r="AQ182" s="70" t="n">
        <v>41</v>
      </c>
      <c r="AR182" s="70" t="n">
        <v>42</v>
      </c>
      <c r="AS182" s="70" t="n">
        <v>43</v>
      </c>
      <c r="AT182" s="70" t="n">
        <v>44</v>
      </c>
      <c r="AU182" s="70" t="n">
        <v>45</v>
      </c>
      <c r="AV182" s="70" t="n">
        <v>46</v>
      </c>
      <c r="AW182" s="70" t="n">
        <v>47</v>
      </c>
      <c r="AX182" s="70" t="n">
        <v>48</v>
      </c>
      <c r="AY182" s="70" t="n">
        <v>49</v>
      </c>
      <c r="AZ182" s="70" t="n">
        <v>50</v>
      </c>
      <c r="BA182" s="70" t="n">
        <v>51</v>
      </c>
      <c r="BB182" s="70" t="n">
        <v>52</v>
      </c>
      <c r="BC182" s="70" t="n">
        <v>53</v>
      </c>
      <c r="BD182" s="70" t="n">
        <v>54</v>
      </c>
      <c r="BE182" s="70" t="n">
        <v>55</v>
      </c>
      <c r="BF182" s="70" t="n">
        <v>56</v>
      </c>
      <c r="BG182" s="70" t="n">
        <v>57</v>
      </c>
      <c r="BH182" s="70" t="n">
        <v>58</v>
      </c>
      <c r="BI182" s="70" t="n">
        <v>59</v>
      </c>
      <c r="BJ182" s="70" t="n">
        <v>60</v>
      </c>
    </row>
    <row r="183" customFormat="false" ht="15" hidden="false" customHeight="false" outlineLevel="0" collapsed="false">
      <c r="A183" s="70" t="s">
        <v>152</v>
      </c>
      <c r="C183" s="70" t="n">
        <f aca="false">ROUNDUP(C182*1/12,0)</f>
        <v>1</v>
      </c>
      <c r="D183" s="70" t="n">
        <f aca="false">ROUNDUP(D182*1/12,0)</f>
        <v>1</v>
      </c>
      <c r="E183" s="70" t="n">
        <f aca="false">ROUNDUP(E182*1/12,0)</f>
        <v>1</v>
      </c>
      <c r="F183" s="70" t="n">
        <f aca="false">ROUNDUP(F182*1/12,0)</f>
        <v>1</v>
      </c>
      <c r="G183" s="70" t="n">
        <f aca="false">ROUNDUP(G182*1/12,0)</f>
        <v>1</v>
      </c>
      <c r="H183" s="70" t="n">
        <f aca="false">ROUNDUP(H182*1/12,0)</f>
        <v>1</v>
      </c>
      <c r="I183" s="70" t="n">
        <f aca="false">ROUNDUP(I182*1/12,0)</f>
        <v>1</v>
      </c>
      <c r="J183" s="70" t="n">
        <f aca="false">ROUNDUP(J182*1/12,0)</f>
        <v>1</v>
      </c>
      <c r="K183" s="70" t="n">
        <f aca="false">ROUNDUP(K182*1/12,0)</f>
        <v>1</v>
      </c>
      <c r="L183" s="70" t="n">
        <f aca="false">ROUNDUP(L182*1/12,0)</f>
        <v>1</v>
      </c>
      <c r="M183" s="70" t="n">
        <f aca="false">ROUNDUP(M182*1/12,0)</f>
        <v>1</v>
      </c>
      <c r="N183" s="70" t="n">
        <f aca="false">ROUNDUP(N182*1/12,0)</f>
        <v>1</v>
      </c>
      <c r="O183" s="70" t="n">
        <f aca="false">ROUNDUP(O182*1/12,0)</f>
        <v>2</v>
      </c>
      <c r="P183" s="70" t="n">
        <f aca="false">ROUNDUP(P182*1/12,0)</f>
        <v>2</v>
      </c>
      <c r="Q183" s="70" t="n">
        <f aca="false">ROUNDUP(Q182*1/12,0)</f>
        <v>2</v>
      </c>
      <c r="R183" s="70" t="n">
        <f aca="false">ROUNDUP(R182*1/12,0)</f>
        <v>2</v>
      </c>
      <c r="S183" s="70" t="n">
        <f aca="false">ROUNDUP(S182*1/12,0)</f>
        <v>2</v>
      </c>
      <c r="T183" s="70" t="n">
        <f aca="false">ROUNDUP(T182*1/12,0)</f>
        <v>2</v>
      </c>
      <c r="U183" s="70" t="n">
        <f aca="false">ROUNDUP(U182*1/12,0)</f>
        <v>2</v>
      </c>
      <c r="V183" s="70" t="n">
        <f aca="false">ROUNDUP(V182*1/12,0)</f>
        <v>2</v>
      </c>
      <c r="W183" s="70" t="n">
        <f aca="false">ROUNDUP(W182*1/12,0)</f>
        <v>2</v>
      </c>
      <c r="X183" s="70" t="n">
        <f aca="false">ROUNDUP(X182*1/12,0)</f>
        <v>2</v>
      </c>
      <c r="Y183" s="70" t="n">
        <f aca="false">ROUNDUP(Y182*1/12,0)</f>
        <v>2</v>
      </c>
      <c r="Z183" s="70" t="n">
        <f aca="false">ROUNDUP(Z182*1/12,0)</f>
        <v>2</v>
      </c>
      <c r="AA183" s="70" t="n">
        <f aca="false">ROUNDUP(AA182*1/12,0)</f>
        <v>3</v>
      </c>
      <c r="AB183" s="70" t="n">
        <f aca="false">ROUNDUP(AB182*1/12,0)</f>
        <v>3</v>
      </c>
      <c r="AC183" s="70" t="n">
        <f aca="false">ROUNDUP(AC182*1/12,0)</f>
        <v>3</v>
      </c>
      <c r="AD183" s="70" t="n">
        <f aca="false">ROUNDUP(AD182*1/12,0)</f>
        <v>3</v>
      </c>
      <c r="AE183" s="70" t="n">
        <f aca="false">ROUNDUP(AE182*1/12,0)</f>
        <v>3</v>
      </c>
      <c r="AF183" s="70" t="n">
        <f aca="false">ROUNDUP(AF182*1/12,0)</f>
        <v>3</v>
      </c>
      <c r="AG183" s="70" t="n">
        <f aca="false">ROUNDUP(AG182*1/12,0)</f>
        <v>3</v>
      </c>
      <c r="AH183" s="70" t="n">
        <f aca="false">ROUNDUP(AH182*1/12,0)</f>
        <v>3</v>
      </c>
      <c r="AI183" s="70" t="n">
        <f aca="false">ROUNDUP(AI182*1/12,0)</f>
        <v>3</v>
      </c>
      <c r="AJ183" s="70" t="n">
        <f aca="false">ROUNDUP(AJ182*1/12,0)</f>
        <v>3</v>
      </c>
      <c r="AK183" s="70" t="n">
        <f aca="false">ROUNDUP(AK182*1/12,0)</f>
        <v>3</v>
      </c>
      <c r="AL183" s="70" t="n">
        <f aca="false">ROUNDUP(AL182*1/12,0)</f>
        <v>3</v>
      </c>
      <c r="AM183" s="70" t="n">
        <f aca="false">ROUNDUP(AM182*1/12,0)</f>
        <v>4</v>
      </c>
      <c r="AN183" s="70" t="n">
        <f aca="false">ROUNDUP(AN182*1/12,0)</f>
        <v>4</v>
      </c>
      <c r="AO183" s="70" t="n">
        <f aca="false">ROUNDUP(AO182*1/12,0)</f>
        <v>4</v>
      </c>
      <c r="AP183" s="70" t="n">
        <f aca="false">ROUNDUP(AP182*1/12,0)</f>
        <v>4</v>
      </c>
      <c r="AQ183" s="70" t="n">
        <f aca="false">ROUNDUP(AQ182*1/12,0)</f>
        <v>4</v>
      </c>
      <c r="AR183" s="70" t="n">
        <f aca="false">ROUNDUP(AR182*1/12,0)</f>
        <v>4</v>
      </c>
      <c r="AS183" s="70" t="n">
        <f aca="false">ROUNDUP(AS182*1/12,0)</f>
        <v>4</v>
      </c>
      <c r="AT183" s="70" t="n">
        <f aca="false">ROUNDUP(AT182*1/12,0)</f>
        <v>4</v>
      </c>
      <c r="AU183" s="70" t="n">
        <f aca="false">ROUNDUP(AU182*1/12,0)</f>
        <v>4</v>
      </c>
      <c r="AV183" s="70" t="n">
        <f aca="false">ROUNDUP(AV182*1/12,0)</f>
        <v>4</v>
      </c>
      <c r="AW183" s="70" t="n">
        <f aca="false">ROUNDUP(AW182*1/12,0)</f>
        <v>4</v>
      </c>
      <c r="AX183" s="70" t="n">
        <f aca="false">ROUNDUP(AX182*1/12,0)</f>
        <v>4</v>
      </c>
      <c r="AY183" s="70" t="n">
        <f aca="false">ROUNDUP(AY182*1/12,0)</f>
        <v>5</v>
      </c>
      <c r="AZ183" s="70" t="n">
        <f aca="false">ROUNDUP(AZ182*1/12,0)</f>
        <v>5</v>
      </c>
      <c r="BA183" s="70" t="n">
        <f aca="false">ROUNDUP(BA182*1/12,0)</f>
        <v>5</v>
      </c>
      <c r="BB183" s="70" t="n">
        <f aca="false">ROUNDUP(BB182*1/12,0)</f>
        <v>5</v>
      </c>
      <c r="BC183" s="70" t="n">
        <f aca="false">ROUNDUP(BC182*1/12,0)</f>
        <v>5</v>
      </c>
      <c r="BD183" s="70" t="n">
        <f aca="false">ROUNDUP(BD182*1/12,0)</f>
        <v>5</v>
      </c>
      <c r="BE183" s="70" t="n">
        <f aca="false">ROUNDUP(BE182*1/12,0)</f>
        <v>5</v>
      </c>
      <c r="BF183" s="70" t="n">
        <f aca="false">ROUNDUP(BF182*1/12,0)</f>
        <v>5</v>
      </c>
      <c r="BG183" s="70" t="n">
        <f aca="false">ROUNDUP(BG182*1/12,0)</f>
        <v>5</v>
      </c>
      <c r="BH183" s="70" t="n">
        <f aca="false">ROUNDUP(BH182*1/12,0)</f>
        <v>5</v>
      </c>
      <c r="BI183" s="70" t="n">
        <f aca="false">ROUNDUP(BI182*1/12,0)</f>
        <v>5</v>
      </c>
      <c r="BJ183" s="70" t="n">
        <f aca="false">ROUNDUP(BJ182*1/12,0)</f>
        <v>5</v>
      </c>
    </row>
    <row r="185" customFormat="false" ht="15.75" hidden="false" customHeight="true" outlineLevel="0" collapsed="false">
      <c r="A185" s="7" t="s">
        <v>360</v>
      </c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customFormat="false" ht="15" hidden="false" customHeight="false" outlineLevel="0" collapsed="false">
      <c r="A186" s="38" t="s">
        <v>361</v>
      </c>
      <c r="C186" s="72" t="n">
        <f aca="false">MIN(1,Inputs!$D$9+(1-Inputs!$D$9)*(C$182-1)/MAX(1,Inputs!$D$8))</f>
        <v>0.6</v>
      </c>
      <c r="D186" s="72" t="n">
        <f aca="false">MIN(1,Inputs!$D$9+(1-Inputs!$D$9)*(D$182-1)/MAX(1,Inputs!$D$8))</f>
        <v>0.7</v>
      </c>
      <c r="E186" s="72" t="n">
        <f aca="false">MIN(1,Inputs!$D$9+(1-Inputs!$D$9)*(E$182-1)/MAX(1,Inputs!$D$8))</f>
        <v>0.8</v>
      </c>
      <c r="F186" s="72" t="n">
        <f aca="false">MIN(1,Inputs!$D$9+(1-Inputs!$D$9)*(F$182-1)/MAX(1,Inputs!$D$8))</f>
        <v>0.9</v>
      </c>
      <c r="G186" s="72" t="n">
        <f aca="false">MIN(1,Inputs!$D$9+(1-Inputs!$D$9)*(G$182-1)/MAX(1,Inputs!$D$8))</f>
        <v>1</v>
      </c>
      <c r="H186" s="72" t="n">
        <f aca="false">MIN(1,Inputs!$D$9+(1-Inputs!$D$9)*(H$182-1)/MAX(1,Inputs!$D$8))</f>
        <v>1</v>
      </c>
      <c r="I186" s="72" t="n">
        <f aca="false">MIN(1,Inputs!$D$9+(1-Inputs!$D$9)*(I$182-1)/MAX(1,Inputs!$D$8))</f>
        <v>1</v>
      </c>
      <c r="J186" s="72" t="n">
        <f aca="false">MIN(1,Inputs!$D$9+(1-Inputs!$D$9)*(J$182-1)/MAX(1,Inputs!$D$8))</f>
        <v>1</v>
      </c>
      <c r="K186" s="72" t="n">
        <f aca="false">MIN(1,Inputs!$D$9+(1-Inputs!$D$9)*(K$182-1)/MAX(1,Inputs!$D$8))</f>
        <v>1</v>
      </c>
      <c r="L186" s="72" t="n">
        <f aca="false">MIN(1,Inputs!$D$9+(1-Inputs!$D$9)*(L$182-1)/MAX(1,Inputs!$D$8))</f>
        <v>1</v>
      </c>
      <c r="M186" s="72" t="n">
        <f aca="false">MIN(1,Inputs!$D$9+(1-Inputs!$D$9)*(M$182-1)/MAX(1,Inputs!$D$8))</f>
        <v>1</v>
      </c>
      <c r="N186" s="72" t="n">
        <f aca="false">MIN(1,Inputs!$D$9+(1-Inputs!$D$9)*(N$182-1)/MAX(1,Inputs!$D$8))</f>
        <v>1</v>
      </c>
      <c r="O186" s="72" t="n">
        <f aca="false">MIN(1,Inputs!$D$9+(1-Inputs!$D$9)*(O$182-1)/MAX(1,Inputs!$D$8))</f>
        <v>1</v>
      </c>
      <c r="P186" s="72" t="n">
        <f aca="false">MIN(1,Inputs!$D$9+(1-Inputs!$D$9)*(P$182-1)/MAX(1,Inputs!$D$8))</f>
        <v>1</v>
      </c>
      <c r="Q186" s="72" t="n">
        <f aca="false">MIN(1,Inputs!$D$9+(1-Inputs!$D$9)*(Q$182-1)/MAX(1,Inputs!$D$8))</f>
        <v>1</v>
      </c>
      <c r="R186" s="72" t="n">
        <f aca="false">MIN(1,Inputs!$D$9+(1-Inputs!$D$9)*(R$182-1)/MAX(1,Inputs!$D$8))</f>
        <v>1</v>
      </c>
      <c r="S186" s="72" t="n">
        <f aca="false">MIN(1,Inputs!$D$9+(1-Inputs!$D$9)*(S$182-1)/MAX(1,Inputs!$D$8))</f>
        <v>1</v>
      </c>
      <c r="T186" s="72" t="n">
        <f aca="false">MIN(1,Inputs!$D$9+(1-Inputs!$D$9)*(T$182-1)/MAX(1,Inputs!$D$8))</f>
        <v>1</v>
      </c>
      <c r="U186" s="72" t="n">
        <f aca="false">MIN(1,Inputs!$D$9+(1-Inputs!$D$9)*(U$182-1)/MAX(1,Inputs!$D$8))</f>
        <v>1</v>
      </c>
      <c r="V186" s="72" t="n">
        <f aca="false">MIN(1,Inputs!$D$9+(1-Inputs!$D$9)*(V$182-1)/MAX(1,Inputs!$D$8))</f>
        <v>1</v>
      </c>
      <c r="W186" s="72" t="n">
        <f aca="false">MIN(1,Inputs!$D$9+(1-Inputs!$D$9)*(W$182-1)/MAX(1,Inputs!$D$8))</f>
        <v>1</v>
      </c>
      <c r="X186" s="72" t="n">
        <f aca="false">MIN(1,Inputs!$D$9+(1-Inputs!$D$9)*(X$182-1)/MAX(1,Inputs!$D$8))</f>
        <v>1</v>
      </c>
      <c r="Y186" s="72" t="n">
        <f aca="false">MIN(1,Inputs!$D$9+(1-Inputs!$D$9)*(Y$182-1)/MAX(1,Inputs!$D$8))</f>
        <v>1</v>
      </c>
      <c r="Z186" s="72" t="n">
        <f aca="false">MIN(1,Inputs!$D$9+(1-Inputs!$D$9)*(Z$182-1)/MAX(1,Inputs!$D$8))</f>
        <v>1</v>
      </c>
      <c r="AA186" s="72" t="n">
        <f aca="false">MIN(1,Inputs!$D$9+(1-Inputs!$D$9)*(AA$182-1)/MAX(1,Inputs!$D$8))</f>
        <v>1</v>
      </c>
      <c r="AB186" s="72" t="n">
        <f aca="false">MIN(1,Inputs!$D$9+(1-Inputs!$D$9)*(AB$182-1)/MAX(1,Inputs!$D$8))</f>
        <v>1</v>
      </c>
      <c r="AC186" s="72" t="n">
        <f aca="false">MIN(1,Inputs!$D$9+(1-Inputs!$D$9)*(AC$182-1)/MAX(1,Inputs!$D$8))</f>
        <v>1</v>
      </c>
      <c r="AD186" s="72" t="n">
        <f aca="false">MIN(1,Inputs!$D$9+(1-Inputs!$D$9)*(AD$182-1)/MAX(1,Inputs!$D$8))</f>
        <v>1</v>
      </c>
      <c r="AE186" s="72" t="n">
        <f aca="false">MIN(1,Inputs!$D$9+(1-Inputs!$D$9)*(AE$182-1)/MAX(1,Inputs!$D$8))</f>
        <v>1</v>
      </c>
      <c r="AF186" s="72" t="n">
        <f aca="false">MIN(1,Inputs!$D$9+(1-Inputs!$D$9)*(AF$182-1)/MAX(1,Inputs!$D$8))</f>
        <v>1</v>
      </c>
      <c r="AG186" s="72" t="n">
        <f aca="false">MIN(1,Inputs!$D$9+(1-Inputs!$D$9)*(AG$182-1)/MAX(1,Inputs!$D$8))</f>
        <v>1</v>
      </c>
      <c r="AH186" s="72" t="n">
        <f aca="false">MIN(1,Inputs!$D$9+(1-Inputs!$D$9)*(AH$182-1)/MAX(1,Inputs!$D$8))</f>
        <v>1</v>
      </c>
      <c r="AI186" s="72" t="n">
        <f aca="false">MIN(1,Inputs!$D$9+(1-Inputs!$D$9)*(AI$182-1)/MAX(1,Inputs!$D$8))</f>
        <v>1</v>
      </c>
      <c r="AJ186" s="72" t="n">
        <f aca="false">MIN(1,Inputs!$D$9+(1-Inputs!$D$9)*(AJ$182-1)/MAX(1,Inputs!$D$8))</f>
        <v>1</v>
      </c>
      <c r="AK186" s="72" t="n">
        <f aca="false">MIN(1,Inputs!$D$9+(1-Inputs!$D$9)*(AK$182-1)/MAX(1,Inputs!$D$8))</f>
        <v>1</v>
      </c>
      <c r="AL186" s="72" t="n">
        <f aca="false">MIN(1,Inputs!$D$9+(1-Inputs!$D$9)*(AL$182-1)/MAX(1,Inputs!$D$8))</f>
        <v>1</v>
      </c>
      <c r="AM186" s="72" t="n">
        <f aca="false">MIN(1,Inputs!$D$9+(1-Inputs!$D$9)*(AM$182-1)/MAX(1,Inputs!$D$8))</f>
        <v>1</v>
      </c>
      <c r="AN186" s="72" t="n">
        <f aca="false">MIN(1,Inputs!$D$9+(1-Inputs!$D$9)*(AN$182-1)/MAX(1,Inputs!$D$8))</f>
        <v>1</v>
      </c>
      <c r="AO186" s="72" t="n">
        <f aca="false">MIN(1,Inputs!$D$9+(1-Inputs!$D$9)*(AO$182-1)/MAX(1,Inputs!$D$8))</f>
        <v>1</v>
      </c>
      <c r="AP186" s="72" t="n">
        <f aca="false">MIN(1,Inputs!$D$9+(1-Inputs!$D$9)*(AP$182-1)/MAX(1,Inputs!$D$8))</f>
        <v>1</v>
      </c>
      <c r="AQ186" s="72" t="n">
        <f aca="false">MIN(1,Inputs!$D$9+(1-Inputs!$D$9)*(AQ$182-1)/MAX(1,Inputs!$D$8))</f>
        <v>1</v>
      </c>
      <c r="AR186" s="72" t="n">
        <f aca="false">MIN(1,Inputs!$D$9+(1-Inputs!$D$9)*(AR$182-1)/MAX(1,Inputs!$D$8))</f>
        <v>1</v>
      </c>
      <c r="AS186" s="72" t="n">
        <f aca="false">MIN(1,Inputs!$D$9+(1-Inputs!$D$9)*(AS$182-1)/MAX(1,Inputs!$D$8))</f>
        <v>1</v>
      </c>
      <c r="AT186" s="72" t="n">
        <f aca="false">MIN(1,Inputs!$D$9+(1-Inputs!$D$9)*(AT$182-1)/MAX(1,Inputs!$D$8))</f>
        <v>1</v>
      </c>
      <c r="AU186" s="72" t="n">
        <f aca="false">MIN(1,Inputs!$D$9+(1-Inputs!$D$9)*(AU$182-1)/MAX(1,Inputs!$D$8))</f>
        <v>1</v>
      </c>
      <c r="AV186" s="72" t="n">
        <f aca="false">MIN(1,Inputs!$D$9+(1-Inputs!$D$9)*(AV$182-1)/MAX(1,Inputs!$D$8))</f>
        <v>1</v>
      </c>
      <c r="AW186" s="72" t="n">
        <f aca="false">MIN(1,Inputs!$D$9+(1-Inputs!$D$9)*(AW$182-1)/MAX(1,Inputs!$D$8))</f>
        <v>1</v>
      </c>
      <c r="AX186" s="72" t="n">
        <f aca="false">MIN(1,Inputs!$D$9+(1-Inputs!$D$9)*(AX$182-1)/MAX(1,Inputs!$D$8))</f>
        <v>1</v>
      </c>
      <c r="AY186" s="72" t="n">
        <f aca="false">MIN(1,Inputs!$D$9+(1-Inputs!$D$9)*(AY$182-1)/MAX(1,Inputs!$D$8))</f>
        <v>1</v>
      </c>
      <c r="AZ186" s="72" t="n">
        <f aca="false">MIN(1,Inputs!$D$9+(1-Inputs!$D$9)*(AZ$182-1)/MAX(1,Inputs!$D$8))</f>
        <v>1</v>
      </c>
      <c r="BA186" s="72" t="n">
        <f aca="false">MIN(1,Inputs!$D$9+(1-Inputs!$D$9)*(BA$182-1)/MAX(1,Inputs!$D$8))</f>
        <v>1</v>
      </c>
      <c r="BB186" s="72" t="n">
        <f aca="false">MIN(1,Inputs!$D$9+(1-Inputs!$D$9)*(BB$182-1)/MAX(1,Inputs!$D$8))</f>
        <v>1</v>
      </c>
      <c r="BC186" s="72" t="n">
        <f aca="false">MIN(1,Inputs!$D$9+(1-Inputs!$D$9)*(BC$182-1)/MAX(1,Inputs!$D$8))</f>
        <v>1</v>
      </c>
      <c r="BD186" s="72" t="n">
        <f aca="false">MIN(1,Inputs!$D$9+(1-Inputs!$D$9)*(BD$182-1)/MAX(1,Inputs!$D$8))</f>
        <v>1</v>
      </c>
      <c r="BE186" s="72" t="n">
        <f aca="false">MIN(1,Inputs!$D$9+(1-Inputs!$D$9)*(BE$182-1)/MAX(1,Inputs!$D$8))</f>
        <v>1</v>
      </c>
      <c r="BF186" s="72" t="n">
        <f aca="false">MIN(1,Inputs!$D$9+(1-Inputs!$D$9)*(BF$182-1)/MAX(1,Inputs!$D$8))</f>
        <v>1</v>
      </c>
      <c r="BG186" s="72" t="n">
        <f aca="false">MIN(1,Inputs!$D$9+(1-Inputs!$D$9)*(BG$182-1)/MAX(1,Inputs!$D$8))</f>
        <v>1</v>
      </c>
      <c r="BH186" s="72" t="n">
        <f aca="false">MIN(1,Inputs!$D$9+(1-Inputs!$D$9)*(BH$182-1)/MAX(1,Inputs!$D$8))</f>
        <v>1</v>
      </c>
      <c r="BI186" s="72" t="n">
        <f aca="false">MIN(1,Inputs!$D$9+(1-Inputs!$D$9)*(BI$182-1)/MAX(1,Inputs!$D$8))</f>
        <v>1</v>
      </c>
      <c r="BJ186" s="72" t="n">
        <f aca="false">MIN(1,Inputs!$D$9+(1-Inputs!$D$9)*(BJ$182-1)/MAX(1,Inputs!$D$8))</f>
        <v>1</v>
      </c>
    </row>
    <row r="187" customFormat="false" ht="15" hidden="false" customHeight="false" outlineLevel="0" collapsed="false">
      <c r="A187" s="6" t="s">
        <v>362</v>
      </c>
      <c r="C187" s="111" t="n">
        <f aca="false">Inputs!$D$7*C186*(1+Inputs!$D$10)^(C$183-1)</f>
        <v>126</v>
      </c>
      <c r="D187" s="111" t="n">
        <f aca="false">Inputs!$D$7*D186*(1+Inputs!$D$10)^(D$183-1)</f>
        <v>147</v>
      </c>
      <c r="E187" s="111" t="n">
        <f aca="false">Inputs!$D$7*E186*(1+Inputs!$D$10)^(E$183-1)</f>
        <v>168</v>
      </c>
      <c r="F187" s="111" t="n">
        <f aca="false">Inputs!$D$7*F186*(1+Inputs!$D$10)^(F$183-1)</f>
        <v>189</v>
      </c>
      <c r="G187" s="111" t="n">
        <f aca="false">Inputs!$D$7*G186*(1+Inputs!$D$10)^(G$183-1)</f>
        <v>210</v>
      </c>
      <c r="H187" s="111" t="n">
        <f aca="false">Inputs!$D$7*H186*(1+Inputs!$D$10)^(H$183-1)</f>
        <v>210</v>
      </c>
      <c r="I187" s="111" t="n">
        <f aca="false">Inputs!$D$7*I186*(1+Inputs!$D$10)^(I$183-1)</f>
        <v>210</v>
      </c>
      <c r="J187" s="111" t="n">
        <f aca="false">Inputs!$D$7*J186*(1+Inputs!$D$10)^(J$183-1)</f>
        <v>210</v>
      </c>
      <c r="K187" s="111" t="n">
        <f aca="false">Inputs!$D$7*K186*(1+Inputs!$D$10)^(K$183-1)</f>
        <v>210</v>
      </c>
      <c r="L187" s="111" t="n">
        <f aca="false">Inputs!$D$7*L186*(1+Inputs!$D$10)^(L$183-1)</f>
        <v>210</v>
      </c>
      <c r="M187" s="111" t="n">
        <f aca="false">Inputs!$D$7*M186*(1+Inputs!$D$10)^(M$183-1)</f>
        <v>210</v>
      </c>
      <c r="N187" s="111" t="n">
        <f aca="false">Inputs!$D$7*N186*(1+Inputs!$D$10)^(N$183-1)</f>
        <v>210</v>
      </c>
      <c r="O187" s="111" t="n">
        <f aca="false">Inputs!$D$7*O186*(1+Inputs!$D$10)^(O$183-1)</f>
        <v>228.9</v>
      </c>
      <c r="P187" s="111" t="n">
        <f aca="false">Inputs!$D$7*P186*(1+Inputs!$D$10)^(P$183-1)</f>
        <v>228.9</v>
      </c>
      <c r="Q187" s="111" t="n">
        <f aca="false">Inputs!$D$7*Q186*(1+Inputs!$D$10)^(Q$183-1)</f>
        <v>228.9</v>
      </c>
      <c r="R187" s="111" t="n">
        <f aca="false">Inputs!$D$7*R186*(1+Inputs!$D$10)^(R$183-1)</f>
        <v>228.9</v>
      </c>
      <c r="S187" s="111" t="n">
        <f aca="false">Inputs!$D$7*S186*(1+Inputs!$D$10)^(S$183-1)</f>
        <v>228.9</v>
      </c>
      <c r="T187" s="111" t="n">
        <f aca="false">Inputs!$D$7*T186*(1+Inputs!$D$10)^(T$183-1)</f>
        <v>228.9</v>
      </c>
      <c r="U187" s="111" t="n">
        <f aca="false">Inputs!$D$7*U186*(1+Inputs!$D$10)^(U$183-1)</f>
        <v>228.9</v>
      </c>
      <c r="V187" s="111" t="n">
        <f aca="false">Inputs!$D$7*V186*(1+Inputs!$D$10)^(V$183-1)</f>
        <v>228.9</v>
      </c>
      <c r="W187" s="111" t="n">
        <f aca="false">Inputs!$D$7*W186*(1+Inputs!$D$10)^(W$183-1)</f>
        <v>228.9</v>
      </c>
      <c r="X187" s="111" t="n">
        <f aca="false">Inputs!$D$7*X186*(1+Inputs!$D$10)^(X$183-1)</f>
        <v>228.9</v>
      </c>
      <c r="Y187" s="111" t="n">
        <f aca="false">Inputs!$D$7*Y186*(1+Inputs!$D$10)^(Y$183-1)</f>
        <v>228.9</v>
      </c>
      <c r="Z187" s="111" t="n">
        <f aca="false">Inputs!$D$7*Z186*(1+Inputs!$D$10)^(Z$183-1)</f>
        <v>228.9</v>
      </c>
      <c r="AA187" s="111" t="n">
        <f aca="false">Inputs!$D$7*AA186*(1+Inputs!$D$10)^(AA$183-1)</f>
        <v>249.501</v>
      </c>
      <c r="AB187" s="111" t="n">
        <f aca="false">Inputs!$D$7*AB186*(1+Inputs!$D$10)^(AB$183-1)</f>
        <v>249.501</v>
      </c>
      <c r="AC187" s="111" t="n">
        <f aca="false">Inputs!$D$7*AC186*(1+Inputs!$D$10)^(AC$183-1)</f>
        <v>249.501</v>
      </c>
      <c r="AD187" s="111" t="n">
        <f aca="false">Inputs!$D$7*AD186*(1+Inputs!$D$10)^(AD$183-1)</f>
        <v>249.501</v>
      </c>
      <c r="AE187" s="111" t="n">
        <f aca="false">Inputs!$D$7*AE186*(1+Inputs!$D$10)^(AE$183-1)</f>
        <v>249.501</v>
      </c>
      <c r="AF187" s="111" t="n">
        <f aca="false">Inputs!$D$7*AF186*(1+Inputs!$D$10)^(AF$183-1)</f>
        <v>249.501</v>
      </c>
      <c r="AG187" s="111" t="n">
        <f aca="false">Inputs!$D$7*AG186*(1+Inputs!$D$10)^(AG$183-1)</f>
        <v>249.501</v>
      </c>
      <c r="AH187" s="111" t="n">
        <f aca="false">Inputs!$D$7*AH186*(1+Inputs!$D$10)^(AH$183-1)</f>
        <v>249.501</v>
      </c>
      <c r="AI187" s="111" t="n">
        <f aca="false">Inputs!$D$7*AI186*(1+Inputs!$D$10)^(AI$183-1)</f>
        <v>249.501</v>
      </c>
      <c r="AJ187" s="111" t="n">
        <f aca="false">Inputs!$D$7*AJ186*(1+Inputs!$D$10)^(AJ$183-1)</f>
        <v>249.501</v>
      </c>
      <c r="AK187" s="111" t="n">
        <f aca="false">Inputs!$D$7*AK186*(1+Inputs!$D$10)^(AK$183-1)</f>
        <v>249.501</v>
      </c>
      <c r="AL187" s="111" t="n">
        <f aca="false">Inputs!$D$7*AL186*(1+Inputs!$D$10)^(AL$183-1)</f>
        <v>249.501</v>
      </c>
      <c r="AM187" s="111" t="n">
        <f aca="false">Inputs!$D$7*AM186*(1+Inputs!$D$10)^(AM$183-1)</f>
        <v>271.95609</v>
      </c>
      <c r="AN187" s="111" t="n">
        <f aca="false">Inputs!$D$7*AN186*(1+Inputs!$D$10)^(AN$183-1)</f>
        <v>271.95609</v>
      </c>
      <c r="AO187" s="111" t="n">
        <f aca="false">Inputs!$D$7*AO186*(1+Inputs!$D$10)^(AO$183-1)</f>
        <v>271.95609</v>
      </c>
      <c r="AP187" s="111" t="n">
        <f aca="false">Inputs!$D$7*AP186*(1+Inputs!$D$10)^(AP$183-1)</f>
        <v>271.95609</v>
      </c>
      <c r="AQ187" s="111" t="n">
        <f aca="false">Inputs!$D$7*AQ186*(1+Inputs!$D$10)^(AQ$183-1)</f>
        <v>271.95609</v>
      </c>
      <c r="AR187" s="111" t="n">
        <f aca="false">Inputs!$D$7*AR186*(1+Inputs!$D$10)^(AR$183-1)</f>
        <v>271.95609</v>
      </c>
      <c r="AS187" s="111" t="n">
        <f aca="false">Inputs!$D$7*AS186*(1+Inputs!$D$10)^(AS$183-1)</f>
        <v>271.95609</v>
      </c>
      <c r="AT187" s="111" t="n">
        <f aca="false">Inputs!$D$7*AT186*(1+Inputs!$D$10)^(AT$183-1)</f>
        <v>271.95609</v>
      </c>
      <c r="AU187" s="111" t="n">
        <f aca="false">Inputs!$D$7*AU186*(1+Inputs!$D$10)^(AU$183-1)</f>
        <v>271.95609</v>
      </c>
      <c r="AV187" s="111" t="n">
        <f aca="false">Inputs!$D$7*AV186*(1+Inputs!$D$10)^(AV$183-1)</f>
        <v>271.95609</v>
      </c>
      <c r="AW187" s="111" t="n">
        <f aca="false">Inputs!$D$7*AW186*(1+Inputs!$D$10)^(AW$183-1)</f>
        <v>271.95609</v>
      </c>
      <c r="AX187" s="111" t="n">
        <f aca="false">Inputs!$D$7*AX186*(1+Inputs!$D$10)^(AX$183-1)</f>
        <v>271.95609</v>
      </c>
      <c r="AY187" s="111" t="n">
        <f aca="false">Inputs!$D$7*AY186*(1+Inputs!$D$10)^(AY$183-1)</f>
        <v>296.4321381</v>
      </c>
      <c r="AZ187" s="111" t="n">
        <f aca="false">Inputs!$D$7*AZ186*(1+Inputs!$D$10)^(AZ$183-1)</f>
        <v>296.4321381</v>
      </c>
      <c r="BA187" s="111" t="n">
        <f aca="false">Inputs!$D$7*BA186*(1+Inputs!$D$10)^(BA$183-1)</f>
        <v>296.4321381</v>
      </c>
      <c r="BB187" s="111" t="n">
        <f aca="false">Inputs!$D$7*BB186*(1+Inputs!$D$10)^(BB$183-1)</f>
        <v>296.4321381</v>
      </c>
      <c r="BC187" s="111" t="n">
        <f aca="false">Inputs!$D$7*BC186*(1+Inputs!$D$10)^(BC$183-1)</f>
        <v>296.4321381</v>
      </c>
      <c r="BD187" s="111" t="n">
        <f aca="false">Inputs!$D$7*BD186*(1+Inputs!$D$10)^(BD$183-1)</f>
        <v>296.4321381</v>
      </c>
      <c r="BE187" s="111" t="n">
        <f aca="false">Inputs!$D$7*BE186*(1+Inputs!$D$10)^(BE$183-1)</f>
        <v>296.4321381</v>
      </c>
      <c r="BF187" s="111" t="n">
        <f aca="false">Inputs!$D$7*BF186*(1+Inputs!$D$10)^(BF$183-1)</f>
        <v>296.4321381</v>
      </c>
      <c r="BG187" s="111" t="n">
        <f aca="false">Inputs!$D$7*BG186*(1+Inputs!$D$10)^(BG$183-1)</f>
        <v>296.4321381</v>
      </c>
      <c r="BH187" s="111" t="n">
        <f aca="false">Inputs!$D$7*BH186*(1+Inputs!$D$10)^(BH$183-1)</f>
        <v>296.4321381</v>
      </c>
      <c r="BI187" s="111" t="n">
        <f aca="false">Inputs!$D$7*BI186*(1+Inputs!$D$10)^(BI$183-1)</f>
        <v>296.4321381</v>
      </c>
      <c r="BJ187" s="111" t="n">
        <f aca="false">Inputs!$D$7*BJ186*(1+Inputs!$D$10)^(BJ$183-1)</f>
        <v>296.4321381</v>
      </c>
    </row>
    <row r="188" customFormat="false" ht="15" hidden="false" customHeight="false" outlineLevel="0" collapsed="false">
      <c r="A188" s="6" t="s">
        <v>246</v>
      </c>
      <c r="C188" s="112" t="n">
        <f aca="false">Inputs!$D$11*(1+Inputs!$D$12)^(C$183-1)</f>
        <v>7.5</v>
      </c>
      <c r="D188" s="112" t="n">
        <f aca="false">Inputs!$D$11*(1+Inputs!$D$12)^(D$183-1)</f>
        <v>7.5</v>
      </c>
      <c r="E188" s="112" t="n">
        <f aca="false">Inputs!$D$11*(1+Inputs!$D$12)^(E$183-1)</f>
        <v>7.5</v>
      </c>
      <c r="F188" s="112" t="n">
        <f aca="false">Inputs!$D$11*(1+Inputs!$D$12)^(F$183-1)</f>
        <v>7.5</v>
      </c>
      <c r="G188" s="112" t="n">
        <f aca="false">Inputs!$D$11*(1+Inputs!$D$12)^(G$183-1)</f>
        <v>7.5</v>
      </c>
      <c r="H188" s="112" t="n">
        <f aca="false">Inputs!$D$11*(1+Inputs!$D$12)^(H$183-1)</f>
        <v>7.5</v>
      </c>
      <c r="I188" s="112" t="n">
        <f aca="false">Inputs!$D$11*(1+Inputs!$D$12)^(I$183-1)</f>
        <v>7.5</v>
      </c>
      <c r="J188" s="112" t="n">
        <f aca="false">Inputs!$D$11*(1+Inputs!$D$12)^(J$183-1)</f>
        <v>7.5</v>
      </c>
      <c r="K188" s="112" t="n">
        <f aca="false">Inputs!$D$11*(1+Inputs!$D$12)^(K$183-1)</f>
        <v>7.5</v>
      </c>
      <c r="L188" s="112" t="n">
        <f aca="false">Inputs!$D$11*(1+Inputs!$D$12)^(L$183-1)</f>
        <v>7.5</v>
      </c>
      <c r="M188" s="112" t="n">
        <f aca="false">Inputs!$D$11*(1+Inputs!$D$12)^(M$183-1)</f>
        <v>7.5</v>
      </c>
      <c r="N188" s="112" t="n">
        <f aca="false">Inputs!$D$11*(1+Inputs!$D$12)^(N$183-1)</f>
        <v>7.5</v>
      </c>
      <c r="O188" s="112" t="n">
        <f aca="false">Inputs!$D$11*(1+Inputs!$D$12)^(O$183-1)</f>
        <v>7.8</v>
      </c>
      <c r="P188" s="112" t="n">
        <f aca="false">Inputs!$D$11*(1+Inputs!$D$12)^(P$183-1)</f>
        <v>7.8</v>
      </c>
      <c r="Q188" s="112" t="n">
        <f aca="false">Inputs!$D$11*(1+Inputs!$D$12)^(Q$183-1)</f>
        <v>7.8</v>
      </c>
      <c r="R188" s="112" t="n">
        <f aca="false">Inputs!$D$11*(1+Inputs!$D$12)^(R$183-1)</f>
        <v>7.8</v>
      </c>
      <c r="S188" s="112" t="n">
        <f aca="false">Inputs!$D$11*(1+Inputs!$D$12)^(S$183-1)</f>
        <v>7.8</v>
      </c>
      <c r="T188" s="112" t="n">
        <f aca="false">Inputs!$D$11*(1+Inputs!$D$12)^(T$183-1)</f>
        <v>7.8</v>
      </c>
      <c r="U188" s="112" t="n">
        <f aca="false">Inputs!$D$11*(1+Inputs!$D$12)^(U$183-1)</f>
        <v>7.8</v>
      </c>
      <c r="V188" s="112" t="n">
        <f aca="false">Inputs!$D$11*(1+Inputs!$D$12)^(V$183-1)</f>
        <v>7.8</v>
      </c>
      <c r="W188" s="112" t="n">
        <f aca="false">Inputs!$D$11*(1+Inputs!$D$12)^(W$183-1)</f>
        <v>7.8</v>
      </c>
      <c r="X188" s="112" t="n">
        <f aca="false">Inputs!$D$11*(1+Inputs!$D$12)^(X$183-1)</f>
        <v>7.8</v>
      </c>
      <c r="Y188" s="112" t="n">
        <f aca="false">Inputs!$D$11*(1+Inputs!$D$12)^(Y$183-1)</f>
        <v>7.8</v>
      </c>
      <c r="Z188" s="112" t="n">
        <f aca="false">Inputs!$D$11*(1+Inputs!$D$12)^(Z$183-1)</f>
        <v>7.8</v>
      </c>
      <c r="AA188" s="112" t="n">
        <f aca="false">Inputs!$D$11*(1+Inputs!$D$12)^(AA$183-1)</f>
        <v>8.112</v>
      </c>
      <c r="AB188" s="112" t="n">
        <f aca="false">Inputs!$D$11*(1+Inputs!$D$12)^(AB$183-1)</f>
        <v>8.112</v>
      </c>
      <c r="AC188" s="112" t="n">
        <f aca="false">Inputs!$D$11*(1+Inputs!$D$12)^(AC$183-1)</f>
        <v>8.112</v>
      </c>
      <c r="AD188" s="112" t="n">
        <f aca="false">Inputs!$D$11*(1+Inputs!$D$12)^(AD$183-1)</f>
        <v>8.112</v>
      </c>
      <c r="AE188" s="112" t="n">
        <f aca="false">Inputs!$D$11*(1+Inputs!$D$12)^(AE$183-1)</f>
        <v>8.112</v>
      </c>
      <c r="AF188" s="112" t="n">
        <f aca="false">Inputs!$D$11*(1+Inputs!$D$12)^(AF$183-1)</f>
        <v>8.112</v>
      </c>
      <c r="AG188" s="112" t="n">
        <f aca="false">Inputs!$D$11*(1+Inputs!$D$12)^(AG$183-1)</f>
        <v>8.112</v>
      </c>
      <c r="AH188" s="112" t="n">
        <f aca="false">Inputs!$D$11*(1+Inputs!$D$12)^(AH$183-1)</f>
        <v>8.112</v>
      </c>
      <c r="AI188" s="112" t="n">
        <f aca="false">Inputs!$D$11*(1+Inputs!$D$12)^(AI$183-1)</f>
        <v>8.112</v>
      </c>
      <c r="AJ188" s="112" t="n">
        <f aca="false">Inputs!$D$11*(1+Inputs!$D$12)^(AJ$183-1)</f>
        <v>8.112</v>
      </c>
      <c r="AK188" s="112" t="n">
        <f aca="false">Inputs!$D$11*(1+Inputs!$D$12)^(AK$183-1)</f>
        <v>8.112</v>
      </c>
      <c r="AL188" s="112" t="n">
        <f aca="false">Inputs!$D$11*(1+Inputs!$D$12)^(AL$183-1)</f>
        <v>8.112</v>
      </c>
      <c r="AM188" s="112" t="n">
        <f aca="false">Inputs!$D$11*(1+Inputs!$D$12)^(AM$183-1)</f>
        <v>8.43648</v>
      </c>
      <c r="AN188" s="112" t="n">
        <f aca="false">Inputs!$D$11*(1+Inputs!$D$12)^(AN$183-1)</f>
        <v>8.43648</v>
      </c>
      <c r="AO188" s="112" t="n">
        <f aca="false">Inputs!$D$11*(1+Inputs!$D$12)^(AO$183-1)</f>
        <v>8.43648</v>
      </c>
      <c r="AP188" s="112" t="n">
        <f aca="false">Inputs!$D$11*(1+Inputs!$D$12)^(AP$183-1)</f>
        <v>8.43648</v>
      </c>
      <c r="AQ188" s="112" t="n">
        <f aca="false">Inputs!$D$11*(1+Inputs!$D$12)^(AQ$183-1)</f>
        <v>8.43648</v>
      </c>
      <c r="AR188" s="112" t="n">
        <f aca="false">Inputs!$D$11*(1+Inputs!$D$12)^(AR$183-1)</f>
        <v>8.43648</v>
      </c>
      <c r="AS188" s="112" t="n">
        <f aca="false">Inputs!$D$11*(1+Inputs!$D$12)^(AS$183-1)</f>
        <v>8.43648</v>
      </c>
      <c r="AT188" s="112" t="n">
        <f aca="false">Inputs!$D$11*(1+Inputs!$D$12)^(AT$183-1)</f>
        <v>8.43648</v>
      </c>
      <c r="AU188" s="112" t="n">
        <f aca="false">Inputs!$D$11*(1+Inputs!$D$12)^(AU$183-1)</f>
        <v>8.43648</v>
      </c>
      <c r="AV188" s="112" t="n">
        <f aca="false">Inputs!$D$11*(1+Inputs!$D$12)^(AV$183-1)</f>
        <v>8.43648</v>
      </c>
      <c r="AW188" s="112" t="n">
        <f aca="false">Inputs!$D$11*(1+Inputs!$D$12)^(AW$183-1)</f>
        <v>8.43648</v>
      </c>
      <c r="AX188" s="112" t="n">
        <f aca="false">Inputs!$D$11*(1+Inputs!$D$12)^(AX$183-1)</f>
        <v>8.43648</v>
      </c>
      <c r="AY188" s="112" t="n">
        <f aca="false">Inputs!$D$11*(1+Inputs!$D$12)^(AY$183-1)</f>
        <v>8.7739392</v>
      </c>
      <c r="AZ188" s="112" t="n">
        <f aca="false">Inputs!$D$11*(1+Inputs!$D$12)^(AZ$183-1)</f>
        <v>8.7739392</v>
      </c>
      <c r="BA188" s="112" t="n">
        <f aca="false">Inputs!$D$11*(1+Inputs!$D$12)^(BA$183-1)</f>
        <v>8.7739392</v>
      </c>
      <c r="BB188" s="112" t="n">
        <f aca="false">Inputs!$D$11*(1+Inputs!$D$12)^(BB$183-1)</f>
        <v>8.7739392</v>
      </c>
      <c r="BC188" s="112" t="n">
        <f aca="false">Inputs!$D$11*(1+Inputs!$D$12)^(BC$183-1)</f>
        <v>8.7739392</v>
      </c>
      <c r="BD188" s="112" t="n">
        <f aca="false">Inputs!$D$11*(1+Inputs!$D$12)^(BD$183-1)</f>
        <v>8.7739392</v>
      </c>
      <c r="BE188" s="112" t="n">
        <f aca="false">Inputs!$D$11*(1+Inputs!$D$12)^(BE$183-1)</f>
        <v>8.7739392</v>
      </c>
      <c r="BF188" s="112" t="n">
        <f aca="false">Inputs!$D$11*(1+Inputs!$D$12)^(BF$183-1)</f>
        <v>8.7739392</v>
      </c>
      <c r="BG188" s="112" t="n">
        <f aca="false">Inputs!$D$11*(1+Inputs!$D$12)^(BG$183-1)</f>
        <v>8.7739392</v>
      </c>
      <c r="BH188" s="112" t="n">
        <f aca="false">Inputs!$D$11*(1+Inputs!$D$12)^(BH$183-1)</f>
        <v>8.7739392</v>
      </c>
      <c r="BI188" s="112" t="n">
        <f aca="false">Inputs!$D$11*(1+Inputs!$D$12)^(BI$183-1)</f>
        <v>8.7739392</v>
      </c>
      <c r="BJ188" s="112" t="n">
        <f aca="false">Inputs!$D$11*(1+Inputs!$D$12)^(BJ$183-1)</f>
        <v>8.7739392</v>
      </c>
    </row>
    <row r="189" customFormat="false" ht="15" hidden="false" customHeight="false" outlineLevel="0" collapsed="false">
      <c r="A189" s="6" t="s">
        <v>363</v>
      </c>
      <c r="C189" s="113" t="n">
        <f aca="false">Inputs!$D$13*1</f>
        <v>30</v>
      </c>
      <c r="D189" s="113" t="n">
        <f aca="false">Inputs!$D$13*1</f>
        <v>30</v>
      </c>
      <c r="E189" s="113" t="n">
        <f aca="false">Inputs!$D$13*1</f>
        <v>30</v>
      </c>
      <c r="F189" s="113" t="n">
        <f aca="false">Inputs!$D$13*1</f>
        <v>30</v>
      </c>
      <c r="G189" s="113" t="n">
        <f aca="false">Inputs!$D$13*1</f>
        <v>30</v>
      </c>
      <c r="H189" s="113" t="n">
        <f aca="false">Inputs!$D$13*1</f>
        <v>30</v>
      </c>
      <c r="I189" s="113" t="n">
        <f aca="false">Inputs!$D$13*1</f>
        <v>30</v>
      </c>
      <c r="J189" s="113" t="n">
        <f aca="false">Inputs!$D$13*1</f>
        <v>30</v>
      </c>
      <c r="K189" s="113" t="n">
        <f aca="false">Inputs!$D$13*1</f>
        <v>30</v>
      </c>
      <c r="L189" s="113" t="n">
        <f aca="false">Inputs!$D$13*1</f>
        <v>30</v>
      </c>
      <c r="M189" s="113" t="n">
        <f aca="false">Inputs!$D$13*1</f>
        <v>30</v>
      </c>
      <c r="N189" s="113" t="n">
        <f aca="false">Inputs!$D$13*1</f>
        <v>30</v>
      </c>
      <c r="O189" s="113" t="n">
        <f aca="false">Inputs!$D$13*1</f>
        <v>30</v>
      </c>
      <c r="P189" s="113" t="n">
        <f aca="false">Inputs!$D$13*1</f>
        <v>30</v>
      </c>
      <c r="Q189" s="113" t="n">
        <f aca="false">Inputs!$D$13*1</f>
        <v>30</v>
      </c>
      <c r="R189" s="113" t="n">
        <f aca="false">Inputs!$D$13*1</f>
        <v>30</v>
      </c>
      <c r="S189" s="113" t="n">
        <f aca="false">Inputs!$D$13*1</f>
        <v>30</v>
      </c>
      <c r="T189" s="113" t="n">
        <f aca="false">Inputs!$D$13*1</f>
        <v>30</v>
      </c>
      <c r="U189" s="113" t="n">
        <f aca="false">Inputs!$D$13*1</f>
        <v>30</v>
      </c>
      <c r="V189" s="113" t="n">
        <f aca="false">Inputs!$D$13*1</f>
        <v>30</v>
      </c>
      <c r="W189" s="113" t="n">
        <f aca="false">Inputs!$D$13*1</f>
        <v>30</v>
      </c>
      <c r="X189" s="113" t="n">
        <f aca="false">Inputs!$D$13*1</f>
        <v>30</v>
      </c>
      <c r="Y189" s="113" t="n">
        <f aca="false">Inputs!$D$13*1</f>
        <v>30</v>
      </c>
      <c r="Z189" s="113" t="n">
        <f aca="false">Inputs!$D$13*1</f>
        <v>30</v>
      </c>
      <c r="AA189" s="113" t="n">
        <f aca="false">Inputs!$D$13*1</f>
        <v>30</v>
      </c>
      <c r="AB189" s="113" t="n">
        <f aca="false">Inputs!$D$13*1</f>
        <v>30</v>
      </c>
      <c r="AC189" s="113" t="n">
        <f aca="false">Inputs!$D$13*1</f>
        <v>30</v>
      </c>
      <c r="AD189" s="113" t="n">
        <f aca="false">Inputs!$D$13*1</f>
        <v>30</v>
      </c>
      <c r="AE189" s="113" t="n">
        <f aca="false">Inputs!$D$13*1</f>
        <v>30</v>
      </c>
      <c r="AF189" s="113" t="n">
        <f aca="false">Inputs!$D$13*1</f>
        <v>30</v>
      </c>
      <c r="AG189" s="113" t="n">
        <f aca="false">Inputs!$D$13*1</f>
        <v>30</v>
      </c>
      <c r="AH189" s="113" t="n">
        <f aca="false">Inputs!$D$13*1</f>
        <v>30</v>
      </c>
      <c r="AI189" s="113" t="n">
        <f aca="false">Inputs!$D$13*1</f>
        <v>30</v>
      </c>
      <c r="AJ189" s="113" t="n">
        <f aca="false">Inputs!$D$13*1</f>
        <v>30</v>
      </c>
      <c r="AK189" s="113" t="n">
        <f aca="false">Inputs!$D$13*1</f>
        <v>30</v>
      </c>
      <c r="AL189" s="113" t="n">
        <f aca="false">Inputs!$D$13*1</f>
        <v>30</v>
      </c>
      <c r="AM189" s="113" t="n">
        <f aca="false">Inputs!$D$13*1</f>
        <v>30</v>
      </c>
      <c r="AN189" s="113" t="n">
        <f aca="false">Inputs!$D$13*1</f>
        <v>30</v>
      </c>
      <c r="AO189" s="113" t="n">
        <f aca="false">Inputs!$D$13*1</f>
        <v>30</v>
      </c>
      <c r="AP189" s="113" t="n">
        <f aca="false">Inputs!$D$13*1</f>
        <v>30</v>
      </c>
      <c r="AQ189" s="113" t="n">
        <f aca="false">Inputs!$D$13*1</f>
        <v>30</v>
      </c>
      <c r="AR189" s="113" t="n">
        <f aca="false">Inputs!$D$13*1</f>
        <v>30</v>
      </c>
      <c r="AS189" s="113" t="n">
        <f aca="false">Inputs!$D$13*1</f>
        <v>30</v>
      </c>
      <c r="AT189" s="113" t="n">
        <f aca="false">Inputs!$D$13*1</f>
        <v>30</v>
      </c>
      <c r="AU189" s="113" t="n">
        <f aca="false">Inputs!$D$13*1</f>
        <v>30</v>
      </c>
      <c r="AV189" s="113" t="n">
        <f aca="false">Inputs!$D$13*1</f>
        <v>30</v>
      </c>
      <c r="AW189" s="113" t="n">
        <f aca="false">Inputs!$D$13*1</f>
        <v>30</v>
      </c>
      <c r="AX189" s="113" t="n">
        <f aca="false">Inputs!$D$13*1</f>
        <v>30</v>
      </c>
      <c r="AY189" s="113" t="n">
        <f aca="false">Inputs!$D$13*1</f>
        <v>30</v>
      </c>
      <c r="AZ189" s="113" t="n">
        <f aca="false">Inputs!$D$13*1</f>
        <v>30</v>
      </c>
      <c r="BA189" s="113" t="n">
        <f aca="false">Inputs!$D$13*1</f>
        <v>30</v>
      </c>
      <c r="BB189" s="113" t="n">
        <f aca="false">Inputs!$D$13*1</f>
        <v>30</v>
      </c>
      <c r="BC189" s="113" t="n">
        <f aca="false">Inputs!$D$13*1</f>
        <v>30</v>
      </c>
      <c r="BD189" s="113" t="n">
        <f aca="false">Inputs!$D$13*1</f>
        <v>30</v>
      </c>
      <c r="BE189" s="113" t="n">
        <f aca="false">Inputs!$D$13*1</f>
        <v>30</v>
      </c>
      <c r="BF189" s="113" t="n">
        <f aca="false">Inputs!$D$13*1</f>
        <v>30</v>
      </c>
      <c r="BG189" s="113" t="n">
        <f aca="false">Inputs!$D$13*1</f>
        <v>30</v>
      </c>
      <c r="BH189" s="113" t="n">
        <f aca="false">Inputs!$D$13*1</f>
        <v>30</v>
      </c>
      <c r="BI189" s="113" t="n">
        <f aca="false">Inputs!$D$13*1</f>
        <v>30</v>
      </c>
      <c r="BJ189" s="113" t="n">
        <f aca="false">Inputs!$D$13*1</f>
        <v>30</v>
      </c>
    </row>
    <row r="190" customFormat="false" ht="15" hidden="false" customHeight="false" outlineLevel="0" collapsed="false">
      <c r="A190" s="108" t="s">
        <v>44</v>
      </c>
      <c r="C190" s="66" t="n">
        <f aca="false">C187*C188*C189</f>
        <v>28350</v>
      </c>
      <c r="D190" s="66" t="n">
        <f aca="false">D187*D188*D189</f>
        <v>33075</v>
      </c>
      <c r="E190" s="66" t="n">
        <f aca="false">E187*E188*E189</f>
        <v>37800</v>
      </c>
      <c r="F190" s="66" t="n">
        <f aca="false">F187*F188*F189</f>
        <v>42525</v>
      </c>
      <c r="G190" s="66" t="n">
        <f aca="false">G187*G188*G189</f>
        <v>47250</v>
      </c>
      <c r="H190" s="66" t="n">
        <f aca="false">H187*H188*H189</f>
        <v>47250</v>
      </c>
      <c r="I190" s="66" t="n">
        <f aca="false">I187*I188*I189</f>
        <v>47250</v>
      </c>
      <c r="J190" s="66" t="n">
        <f aca="false">J187*J188*J189</f>
        <v>47250</v>
      </c>
      <c r="K190" s="66" t="n">
        <f aca="false">K187*K188*K189</f>
        <v>47250</v>
      </c>
      <c r="L190" s="66" t="n">
        <f aca="false">L187*L188*L189</f>
        <v>47250</v>
      </c>
      <c r="M190" s="66" t="n">
        <f aca="false">M187*M188*M189</f>
        <v>47250</v>
      </c>
      <c r="N190" s="66" t="n">
        <f aca="false">N187*N188*N189</f>
        <v>47250</v>
      </c>
      <c r="O190" s="66" t="n">
        <f aca="false">O187*O188*O189</f>
        <v>53562.6</v>
      </c>
      <c r="P190" s="66" t="n">
        <f aca="false">P187*P188*P189</f>
        <v>53562.6</v>
      </c>
      <c r="Q190" s="66" t="n">
        <f aca="false">Q187*Q188*Q189</f>
        <v>53562.6</v>
      </c>
      <c r="R190" s="66" t="n">
        <f aca="false">R187*R188*R189</f>
        <v>53562.6</v>
      </c>
      <c r="S190" s="66" t="n">
        <f aca="false">S187*S188*S189</f>
        <v>53562.6</v>
      </c>
      <c r="T190" s="66" t="n">
        <f aca="false">T187*T188*T189</f>
        <v>53562.6</v>
      </c>
      <c r="U190" s="66" t="n">
        <f aca="false">U187*U188*U189</f>
        <v>53562.6</v>
      </c>
      <c r="V190" s="66" t="n">
        <f aca="false">V187*V188*V189</f>
        <v>53562.6</v>
      </c>
      <c r="W190" s="66" t="n">
        <f aca="false">W187*W188*W189</f>
        <v>53562.6</v>
      </c>
      <c r="X190" s="66" t="n">
        <f aca="false">X187*X188*X189</f>
        <v>53562.6</v>
      </c>
      <c r="Y190" s="66" t="n">
        <f aca="false">Y187*Y188*Y189</f>
        <v>53562.6</v>
      </c>
      <c r="Z190" s="66" t="n">
        <f aca="false">Z187*Z188*Z189</f>
        <v>53562.6</v>
      </c>
      <c r="AA190" s="66" t="n">
        <f aca="false">AA187*AA188*AA189</f>
        <v>60718.56336</v>
      </c>
      <c r="AB190" s="66" t="n">
        <f aca="false">AB187*AB188*AB189</f>
        <v>60718.56336</v>
      </c>
      <c r="AC190" s="66" t="n">
        <f aca="false">AC187*AC188*AC189</f>
        <v>60718.56336</v>
      </c>
      <c r="AD190" s="66" t="n">
        <f aca="false">AD187*AD188*AD189</f>
        <v>60718.56336</v>
      </c>
      <c r="AE190" s="66" t="n">
        <f aca="false">AE187*AE188*AE189</f>
        <v>60718.56336</v>
      </c>
      <c r="AF190" s="66" t="n">
        <f aca="false">AF187*AF188*AF189</f>
        <v>60718.56336</v>
      </c>
      <c r="AG190" s="66" t="n">
        <f aca="false">AG187*AG188*AG189</f>
        <v>60718.56336</v>
      </c>
      <c r="AH190" s="66" t="n">
        <f aca="false">AH187*AH188*AH189</f>
        <v>60718.56336</v>
      </c>
      <c r="AI190" s="66" t="n">
        <f aca="false">AI187*AI188*AI189</f>
        <v>60718.56336</v>
      </c>
      <c r="AJ190" s="66" t="n">
        <f aca="false">AJ187*AJ188*AJ189</f>
        <v>60718.56336</v>
      </c>
      <c r="AK190" s="66" t="n">
        <f aca="false">AK187*AK188*AK189</f>
        <v>60718.56336</v>
      </c>
      <c r="AL190" s="66" t="n">
        <f aca="false">AL187*AL188*AL189</f>
        <v>60718.56336</v>
      </c>
      <c r="AM190" s="66" t="n">
        <f aca="false">AM187*AM188*AM189</f>
        <v>68830.563424896</v>
      </c>
      <c r="AN190" s="66" t="n">
        <f aca="false">AN187*AN188*AN189</f>
        <v>68830.563424896</v>
      </c>
      <c r="AO190" s="66" t="n">
        <f aca="false">AO187*AO188*AO189</f>
        <v>68830.563424896</v>
      </c>
      <c r="AP190" s="66" t="n">
        <f aca="false">AP187*AP188*AP189</f>
        <v>68830.563424896</v>
      </c>
      <c r="AQ190" s="66" t="n">
        <f aca="false">AQ187*AQ188*AQ189</f>
        <v>68830.563424896</v>
      </c>
      <c r="AR190" s="66" t="n">
        <f aca="false">AR187*AR188*AR189</f>
        <v>68830.563424896</v>
      </c>
      <c r="AS190" s="66" t="n">
        <f aca="false">AS187*AS188*AS189</f>
        <v>68830.563424896</v>
      </c>
      <c r="AT190" s="66" t="n">
        <f aca="false">AT187*AT188*AT189</f>
        <v>68830.563424896</v>
      </c>
      <c r="AU190" s="66" t="n">
        <f aca="false">AU187*AU188*AU189</f>
        <v>68830.563424896</v>
      </c>
      <c r="AV190" s="66" t="n">
        <f aca="false">AV187*AV188*AV189</f>
        <v>68830.563424896</v>
      </c>
      <c r="AW190" s="66" t="n">
        <f aca="false">AW187*AW188*AW189</f>
        <v>68830.563424896</v>
      </c>
      <c r="AX190" s="66" t="n">
        <f aca="false">AX187*AX188*AX189</f>
        <v>68830.563424896</v>
      </c>
      <c r="AY190" s="66" t="n">
        <f aca="false">AY187*AY188*AY189</f>
        <v>78026.3266984621</v>
      </c>
      <c r="AZ190" s="66" t="n">
        <f aca="false">AZ187*AZ188*AZ189</f>
        <v>78026.3266984621</v>
      </c>
      <c r="BA190" s="66" t="n">
        <f aca="false">BA187*BA188*BA189</f>
        <v>78026.3266984621</v>
      </c>
      <c r="BB190" s="66" t="n">
        <f aca="false">BB187*BB188*BB189</f>
        <v>78026.3266984621</v>
      </c>
      <c r="BC190" s="66" t="n">
        <f aca="false">BC187*BC188*BC189</f>
        <v>78026.3266984621</v>
      </c>
      <c r="BD190" s="66" t="n">
        <f aca="false">BD187*BD188*BD189</f>
        <v>78026.3266984621</v>
      </c>
      <c r="BE190" s="66" t="n">
        <f aca="false">BE187*BE188*BE189</f>
        <v>78026.3266984621</v>
      </c>
      <c r="BF190" s="66" t="n">
        <f aca="false">BF187*BF188*BF189</f>
        <v>78026.3266984621</v>
      </c>
      <c r="BG190" s="66" t="n">
        <f aca="false">BG187*BG188*BG189</f>
        <v>78026.3266984621</v>
      </c>
      <c r="BH190" s="66" t="n">
        <f aca="false">BH187*BH188*BH189</f>
        <v>78026.3266984621</v>
      </c>
      <c r="BI190" s="66" t="n">
        <f aca="false">BI187*BI188*BI189</f>
        <v>78026.3266984621</v>
      </c>
      <c r="BJ190" s="66" t="n">
        <f aca="false">BJ187*BJ188*BJ189</f>
        <v>78026.3266984621</v>
      </c>
    </row>
    <row r="191" customFormat="false" ht="15" hidden="false" customHeight="false" outlineLevel="0" collapsed="false">
      <c r="A191" s="6" t="s">
        <v>74</v>
      </c>
      <c r="C191" s="65" t="n">
        <f aca="false">-C190*Inputs!$D$14</f>
        <v>-8505</v>
      </c>
      <c r="D191" s="65" t="n">
        <f aca="false">-D190*Inputs!$D$14</f>
        <v>-9922.5</v>
      </c>
      <c r="E191" s="65" t="n">
        <f aca="false">-E190*Inputs!$D$14</f>
        <v>-11340</v>
      </c>
      <c r="F191" s="65" t="n">
        <f aca="false">-F190*Inputs!$D$14</f>
        <v>-12757.5</v>
      </c>
      <c r="G191" s="65" t="n">
        <f aca="false">-G190*Inputs!$D$14</f>
        <v>-14175</v>
      </c>
      <c r="H191" s="65" t="n">
        <f aca="false">-H190*Inputs!$D$14</f>
        <v>-14175</v>
      </c>
      <c r="I191" s="65" t="n">
        <f aca="false">-I190*Inputs!$D$14</f>
        <v>-14175</v>
      </c>
      <c r="J191" s="65" t="n">
        <f aca="false">-J190*Inputs!$D$14</f>
        <v>-14175</v>
      </c>
      <c r="K191" s="65" t="n">
        <f aca="false">-K190*Inputs!$D$14</f>
        <v>-14175</v>
      </c>
      <c r="L191" s="65" t="n">
        <f aca="false">-L190*Inputs!$D$14</f>
        <v>-14175</v>
      </c>
      <c r="M191" s="65" t="n">
        <f aca="false">-M190*Inputs!$D$14</f>
        <v>-14175</v>
      </c>
      <c r="N191" s="65" t="n">
        <f aca="false">-N190*Inputs!$D$14</f>
        <v>-14175</v>
      </c>
      <c r="O191" s="65" t="n">
        <f aca="false">-O190*Inputs!$D$14</f>
        <v>-16068.78</v>
      </c>
      <c r="P191" s="65" t="n">
        <f aca="false">-P190*Inputs!$D$14</f>
        <v>-16068.78</v>
      </c>
      <c r="Q191" s="65" t="n">
        <f aca="false">-Q190*Inputs!$D$14</f>
        <v>-16068.78</v>
      </c>
      <c r="R191" s="65" t="n">
        <f aca="false">-R190*Inputs!$D$14</f>
        <v>-16068.78</v>
      </c>
      <c r="S191" s="65" t="n">
        <f aca="false">-S190*Inputs!$D$14</f>
        <v>-16068.78</v>
      </c>
      <c r="T191" s="65" t="n">
        <f aca="false">-T190*Inputs!$D$14</f>
        <v>-16068.78</v>
      </c>
      <c r="U191" s="65" t="n">
        <f aca="false">-U190*Inputs!$D$14</f>
        <v>-16068.78</v>
      </c>
      <c r="V191" s="65" t="n">
        <f aca="false">-V190*Inputs!$D$14</f>
        <v>-16068.78</v>
      </c>
      <c r="W191" s="65" t="n">
        <f aca="false">-W190*Inputs!$D$14</f>
        <v>-16068.78</v>
      </c>
      <c r="X191" s="65" t="n">
        <f aca="false">-X190*Inputs!$D$14</f>
        <v>-16068.78</v>
      </c>
      <c r="Y191" s="65" t="n">
        <f aca="false">-Y190*Inputs!$D$14</f>
        <v>-16068.78</v>
      </c>
      <c r="Z191" s="65" t="n">
        <f aca="false">-Z190*Inputs!$D$14</f>
        <v>-16068.78</v>
      </c>
      <c r="AA191" s="65" t="n">
        <f aca="false">-AA190*Inputs!$D$14</f>
        <v>-18215.569008</v>
      </c>
      <c r="AB191" s="65" t="n">
        <f aca="false">-AB190*Inputs!$D$14</f>
        <v>-18215.569008</v>
      </c>
      <c r="AC191" s="65" t="n">
        <f aca="false">-AC190*Inputs!$D$14</f>
        <v>-18215.569008</v>
      </c>
      <c r="AD191" s="65" t="n">
        <f aca="false">-AD190*Inputs!$D$14</f>
        <v>-18215.569008</v>
      </c>
      <c r="AE191" s="65" t="n">
        <f aca="false">-AE190*Inputs!$D$14</f>
        <v>-18215.569008</v>
      </c>
      <c r="AF191" s="65" t="n">
        <f aca="false">-AF190*Inputs!$D$14</f>
        <v>-18215.569008</v>
      </c>
      <c r="AG191" s="65" t="n">
        <f aca="false">-AG190*Inputs!$D$14</f>
        <v>-18215.569008</v>
      </c>
      <c r="AH191" s="65" t="n">
        <f aca="false">-AH190*Inputs!$D$14</f>
        <v>-18215.569008</v>
      </c>
      <c r="AI191" s="65" t="n">
        <f aca="false">-AI190*Inputs!$D$14</f>
        <v>-18215.569008</v>
      </c>
      <c r="AJ191" s="65" t="n">
        <f aca="false">-AJ190*Inputs!$D$14</f>
        <v>-18215.569008</v>
      </c>
      <c r="AK191" s="65" t="n">
        <f aca="false">-AK190*Inputs!$D$14</f>
        <v>-18215.569008</v>
      </c>
      <c r="AL191" s="65" t="n">
        <f aca="false">-AL190*Inputs!$D$14</f>
        <v>-18215.569008</v>
      </c>
      <c r="AM191" s="65" t="n">
        <f aca="false">-AM190*Inputs!$D$14</f>
        <v>-20649.1690274688</v>
      </c>
      <c r="AN191" s="65" t="n">
        <f aca="false">-AN190*Inputs!$D$14</f>
        <v>-20649.1690274688</v>
      </c>
      <c r="AO191" s="65" t="n">
        <f aca="false">-AO190*Inputs!$D$14</f>
        <v>-20649.1690274688</v>
      </c>
      <c r="AP191" s="65" t="n">
        <f aca="false">-AP190*Inputs!$D$14</f>
        <v>-20649.1690274688</v>
      </c>
      <c r="AQ191" s="65" t="n">
        <f aca="false">-AQ190*Inputs!$D$14</f>
        <v>-20649.1690274688</v>
      </c>
      <c r="AR191" s="65" t="n">
        <f aca="false">-AR190*Inputs!$D$14</f>
        <v>-20649.1690274688</v>
      </c>
      <c r="AS191" s="65" t="n">
        <f aca="false">-AS190*Inputs!$D$14</f>
        <v>-20649.1690274688</v>
      </c>
      <c r="AT191" s="65" t="n">
        <f aca="false">-AT190*Inputs!$D$14</f>
        <v>-20649.1690274688</v>
      </c>
      <c r="AU191" s="65" t="n">
        <f aca="false">-AU190*Inputs!$D$14</f>
        <v>-20649.1690274688</v>
      </c>
      <c r="AV191" s="65" t="n">
        <f aca="false">-AV190*Inputs!$D$14</f>
        <v>-20649.1690274688</v>
      </c>
      <c r="AW191" s="65" t="n">
        <f aca="false">-AW190*Inputs!$D$14</f>
        <v>-20649.1690274688</v>
      </c>
      <c r="AX191" s="65" t="n">
        <f aca="false">-AX190*Inputs!$D$14</f>
        <v>-20649.1690274688</v>
      </c>
      <c r="AY191" s="65" t="n">
        <f aca="false">-AY190*Inputs!$D$14</f>
        <v>-23407.8980095386</v>
      </c>
      <c r="AZ191" s="65" t="n">
        <f aca="false">-AZ190*Inputs!$D$14</f>
        <v>-23407.8980095386</v>
      </c>
      <c r="BA191" s="65" t="n">
        <f aca="false">-BA190*Inputs!$D$14</f>
        <v>-23407.8980095386</v>
      </c>
      <c r="BB191" s="65" t="n">
        <f aca="false">-BB190*Inputs!$D$14</f>
        <v>-23407.8980095386</v>
      </c>
      <c r="BC191" s="65" t="n">
        <f aca="false">-BC190*Inputs!$D$14</f>
        <v>-23407.8980095386</v>
      </c>
      <c r="BD191" s="65" t="n">
        <f aca="false">-BD190*Inputs!$D$14</f>
        <v>-23407.8980095386</v>
      </c>
      <c r="BE191" s="65" t="n">
        <f aca="false">-BE190*Inputs!$D$14</f>
        <v>-23407.8980095386</v>
      </c>
      <c r="BF191" s="65" t="n">
        <f aca="false">-BF190*Inputs!$D$14</f>
        <v>-23407.8980095386</v>
      </c>
      <c r="BG191" s="65" t="n">
        <f aca="false">-BG190*Inputs!$D$14</f>
        <v>-23407.8980095386</v>
      </c>
      <c r="BH191" s="65" t="n">
        <f aca="false">-BH190*Inputs!$D$14</f>
        <v>-23407.8980095386</v>
      </c>
      <c r="BI191" s="65" t="n">
        <f aca="false">-BI190*Inputs!$D$14</f>
        <v>-23407.8980095386</v>
      </c>
      <c r="BJ191" s="65" t="n">
        <f aca="false">-BJ190*Inputs!$D$14</f>
        <v>-23407.8980095386</v>
      </c>
    </row>
    <row r="192" customFormat="false" ht="15" hidden="false" customHeight="false" outlineLevel="0" collapsed="false">
      <c r="A192" s="108" t="s">
        <v>45</v>
      </c>
      <c r="C192" s="66" t="n">
        <f aca="false">C190+C191</f>
        <v>19845</v>
      </c>
      <c r="D192" s="66" t="n">
        <f aca="false">D190+D191</f>
        <v>23152.5</v>
      </c>
      <c r="E192" s="66" t="n">
        <f aca="false">E190+E191</f>
        <v>26460</v>
      </c>
      <c r="F192" s="66" t="n">
        <f aca="false">F190+F191</f>
        <v>29767.5</v>
      </c>
      <c r="G192" s="66" t="n">
        <f aca="false">G190+G191</f>
        <v>33075</v>
      </c>
      <c r="H192" s="66" t="n">
        <f aca="false">H190+H191</f>
        <v>33075</v>
      </c>
      <c r="I192" s="66" t="n">
        <f aca="false">I190+I191</f>
        <v>33075</v>
      </c>
      <c r="J192" s="66" t="n">
        <f aca="false">J190+J191</f>
        <v>33075</v>
      </c>
      <c r="K192" s="66" t="n">
        <f aca="false">K190+K191</f>
        <v>33075</v>
      </c>
      <c r="L192" s="66" t="n">
        <f aca="false">L190+L191</f>
        <v>33075</v>
      </c>
      <c r="M192" s="66" t="n">
        <f aca="false">M190+M191</f>
        <v>33075</v>
      </c>
      <c r="N192" s="66" t="n">
        <f aca="false">N190+N191</f>
        <v>33075</v>
      </c>
      <c r="O192" s="66" t="n">
        <f aca="false">O190+O191</f>
        <v>37493.82</v>
      </c>
      <c r="P192" s="66" t="n">
        <f aca="false">P190+P191</f>
        <v>37493.82</v>
      </c>
      <c r="Q192" s="66" t="n">
        <f aca="false">Q190+Q191</f>
        <v>37493.82</v>
      </c>
      <c r="R192" s="66" t="n">
        <f aca="false">R190+R191</f>
        <v>37493.82</v>
      </c>
      <c r="S192" s="66" t="n">
        <f aca="false">S190+S191</f>
        <v>37493.82</v>
      </c>
      <c r="T192" s="66" t="n">
        <f aca="false">T190+T191</f>
        <v>37493.82</v>
      </c>
      <c r="U192" s="66" t="n">
        <f aca="false">U190+U191</f>
        <v>37493.82</v>
      </c>
      <c r="V192" s="66" t="n">
        <f aca="false">V190+V191</f>
        <v>37493.82</v>
      </c>
      <c r="W192" s="66" t="n">
        <f aca="false">W190+W191</f>
        <v>37493.82</v>
      </c>
      <c r="X192" s="66" t="n">
        <f aca="false">X190+X191</f>
        <v>37493.82</v>
      </c>
      <c r="Y192" s="66" t="n">
        <f aca="false">Y190+Y191</f>
        <v>37493.82</v>
      </c>
      <c r="Z192" s="66" t="n">
        <f aca="false">Z190+Z191</f>
        <v>37493.82</v>
      </c>
      <c r="AA192" s="66" t="n">
        <f aca="false">AA190+AA191</f>
        <v>42502.994352</v>
      </c>
      <c r="AB192" s="66" t="n">
        <f aca="false">AB190+AB191</f>
        <v>42502.994352</v>
      </c>
      <c r="AC192" s="66" t="n">
        <f aca="false">AC190+AC191</f>
        <v>42502.994352</v>
      </c>
      <c r="AD192" s="66" t="n">
        <f aca="false">AD190+AD191</f>
        <v>42502.994352</v>
      </c>
      <c r="AE192" s="66" t="n">
        <f aca="false">AE190+AE191</f>
        <v>42502.994352</v>
      </c>
      <c r="AF192" s="66" t="n">
        <f aca="false">AF190+AF191</f>
        <v>42502.994352</v>
      </c>
      <c r="AG192" s="66" t="n">
        <f aca="false">AG190+AG191</f>
        <v>42502.994352</v>
      </c>
      <c r="AH192" s="66" t="n">
        <f aca="false">AH190+AH191</f>
        <v>42502.994352</v>
      </c>
      <c r="AI192" s="66" t="n">
        <f aca="false">AI190+AI191</f>
        <v>42502.994352</v>
      </c>
      <c r="AJ192" s="66" t="n">
        <f aca="false">AJ190+AJ191</f>
        <v>42502.994352</v>
      </c>
      <c r="AK192" s="66" t="n">
        <f aca="false">AK190+AK191</f>
        <v>42502.994352</v>
      </c>
      <c r="AL192" s="66" t="n">
        <f aca="false">AL190+AL191</f>
        <v>42502.994352</v>
      </c>
      <c r="AM192" s="66" t="n">
        <f aca="false">AM190+AM191</f>
        <v>48181.3943974272</v>
      </c>
      <c r="AN192" s="66" t="n">
        <f aca="false">AN190+AN191</f>
        <v>48181.3943974272</v>
      </c>
      <c r="AO192" s="66" t="n">
        <f aca="false">AO190+AO191</f>
        <v>48181.3943974272</v>
      </c>
      <c r="AP192" s="66" t="n">
        <f aca="false">AP190+AP191</f>
        <v>48181.3943974272</v>
      </c>
      <c r="AQ192" s="66" t="n">
        <f aca="false">AQ190+AQ191</f>
        <v>48181.3943974272</v>
      </c>
      <c r="AR192" s="66" t="n">
        <f aca="false">AR190+AR191</f>
        <v>48181.3943974272</v>
      </c>
      <c r="AS192" s="66" t="n">
        <f aca="false">AS190+AS191</f>
        <v>48181.3943974272</v>
      </c>
      <c r="AT192" s="66" t="n">
        <f aca="false">AT190+AT191</f>
        <v>48181.3943974272</v>
      </c>
      <c r="AU192" s="66" t="n">
        <f aca="false">AU190+AU191</f>
        <v>48181.3943974272</v>
      </c>
      <c r="AV192" s="66" t="n">
        <f aca="false">AV190+AV191</f>
        <v>48181.3943974272</v>
      </c>
      <c r="AW192" s="66" t="n">
        <f aca="false">AW190+AW191</f>
        <v>48181.3943974272</v>
      </c>
      <c r="AX192" s="66" t="n">
        <f aca="false">AX190+AX191</f>
        <v>48181.3943974272</v>
      </c>
      <c r="AY192" s="66" t="n">
        <f aca="false">AY190+AY191</f>
        <v>54618.4286889235</v>
      </c>
      <c r="AZ192" s="66" t="n">
        <f aca="false">AZ190+AZ191</f>
        <v>54618.4286889235</v>
      </c>
      <c r="BA192" s="66" t="n">
        <f aca="false">BA190+BA191</f>
        <v>54618.4286889235</v>
      </c>
      <c r="BB192" s="66" t="n">
        <f aca="false">BB190+BB191</f>
        <v>54618.4286889235</v>
      </c>
      <c r="BC192" s="66" t="n">
        <f aca="false">BC190+BC191</f>
        <v>54618.4286889235</v>
      </c>
      <c r="BD192" s="66" t="n">
        <f aca="false">BD190+BD191</f>
        <v>54618.4286889235</v>
      </c>
      <c r="BE192" s="66" t="n">
        <f aca="false">BE190+BE191</f>
        <v>54618.4286889235</v>
      </c>
      <c r="BF192" s="66" t="n">
        <f aca="false">BF190+BF191</f>
        <v>54618.4286889235</v>
      </c>
      <c r="BG192" s="66" t="n">
        <f aca="false">BG190+BG191</f>
        <v>54618.4286889235</v>
      </c>
      <c r="BH192" s="66" t="n">
        <f aca="false">BH190+BH191</f>
        <v>54618.4286889235</v>
      </c>
      <c r="BI192" s="66" t="n">
        <f aca="false">BI190+BI191</f>
        <v>54618.4286889235</v>
      </c>
      <c r="BJ192" s="66" t="n">
        <f aca="false">BJ190+BJ191</f>
        <v>54618.4286889235</v>
      </c>
    </row>
    <row r="194" customFormat="false" ht="15.75" hidden="false" customHeight="true" outlineLevel="0" collapsed="false">
      <c r="A194" s="7" t="s">
        <v>47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286</v>
      </c>
      <c r="C195" s="65" t="n">
        <f aca="false">-Inputs!$D$15*1</f>
        <v>-4500</v>
      </c>
      <c r="D195" s="65" t="n">
        <f aca="false">-Inputs!$D$15*1</f>
        <v>-4500</v>
      </c>
      <c r="E195" s="65" t="n">
        <f aca="false">-Inputs!$D$15*1</f>
        <v>-4500</v>
      </c>
      <c r="F195" s="65" t="n">
        <f aca="false">-Inputs!$D$15*1</f>
        <v>-4500</v>
      </c>
      <c r="G195" s="65" t="n">
        <f aca="false">-Inputs!$D$15*1</f>
        <v>-4500</v>
      </c>
      <c r="H195" s="65" t="n">
        <f aca="false">-Inputs!$D$15*1</f>
        <v>-4500</v>
      </c>
      <c r="I195" s="65" t="n">
        <f aca="false">-Inputs!$D$15*1</f>
        <v>-4500</v>
      </c>
      <c r="J195" s="65" t="n">
        <f aca="false">-Inputs!$D$15*1</f>
        <v>-4500</v>
      </c>
      <c r="K195" s="65" t="n">
        <f aca="false">-Inputs!$D$15*1</f>
        <v>-4500</v>
      </c>
      <c r="L195" s="65" t="n">
        <f aca="false">-Inputs!$D$15*1</f>
        <v>-4500</v>
      </c>
      <c r="M195" s="65" t="n">
        <f aca="false">-Inputs!$D$15*1</f>
        <v>-4500</v>
      </c>
      <c r="N195" s="65" t="n">
        <f aca="false">-Inputs!$D$15*1</f>
        <v>-4500</v>
      </c>
      <c r="O195" s="65" t="n">
        <f aca="false">-Inputs!$D$15*1</f>
        <v>-4500</v>
      </c>
      <c r="P195" s="65" t="n">
        <f aca="false">-Inputs!$D$15*1</f>
        <v>-4500</v>
      </c>
      <c r="Q195" s="65" t="n">
        <f aca="false">-Inputs!$D$15*1</f>
        <v>-4500</v>
      </c>
      <c r="R195" s="65" t="n">
        <f aca="false">-Inputs!$D$15*1</f>
        <v>-4500</v>
      </c>
      <c r="S195" s="65" t="n">
        <f aca="false">-Inputs!$D$15*1</f>
        <v>-4500</v>
      </c>
      <c r="T195" s="65" t="n">
        <f aca="false">-Inputs!$D$15*1</f>
        <v>-4500</v>
      </c>
      <c r="U195" s="65" t="n">
        <f aca="false">-Inputs!$D$15*1</f>
        <v>-4500</v>
      </c>
      <c r="V195" s="65" t="n">
        <f aca="false">-Inputs!$D$15*1</f>
        <v>-4500</v>
      </c>
      <c r="W195" s="65" t="n">
        <f aca="false">-Inputs!$D$15*1</f>
        <v>-4500</v>
      </c>
      <c r="X195" s="65" t="n">
        <f aca="false">-Inputs!$D$15*1</f>
        <v>-4500</v>
      </c>
      <c r="Y195" s="65" t="n">
        <f aca="false">-Inputs!$D$15*1</f>
        <v>-4500</v>
      </c>
      <c r="Z195" s="65" t="n">
        <f aca="false">-Inputs!$D$15*1</f>
        <v>-4500</v>
      </c>
      <c r="AA195" s="65" t="n">
        <f aca="false">-Inputs!$D$15*1</f>
        <v>-4500</v>
      </c>
      <c r="AB195" s="65" t="n">
        <f aca="false">-Inputs!$D$15*1</f>
        <v>-4500</v>
      </c>
      <c r="AC195" s="65" t="n">
        <f aca="false">-Inputs!$D$15*1</f>
        <v>-4500</v>
      </c>
      <c r="AD195" s="65" t="n">
        <f aca="false">-Inputs!$D$15*1</f>
        <v>-4500</v>
      </c>
      <c r="AE195" s="65" t="n">
        <f aca="false">-Inputs!$D$15*1</f>
        <v>-4500</v>
      </c>
      <c r="AF195" s="65" t="n">
        <f aca="false">-Inputs!$D$15*1</f>
        <v>-4500</v>
      </c>
      <c r="AG195" s="65" t="n">
        <f aca="false">-Inputs!$D$15*1</f>
        <v>-4500</v>
      </c>
      <c r="AH195" s="65" t="n">
        <f aca="false">-Inputs!$D$15*1</f>
        <v>-4500</v>
      </c>
      <c r="AI195" s="65" t="n">
        <f aca="false">-Inputs!$D$15*1</f>
        <v>-4500</v>
      </c>
      <c r="AJ195" s="65" t="n">
        <f aca="false">-Inputs!$D$15*1</f>
        <v>-4500</v>
      </c>
      <c r="AK195" s="65" t="n">
        <f aca="false">-Inputs!$D$15*1</f>
        <v>-4500</v>
      </c>
      <c r="AL195" s="65" t="n">
        <f aca="false">-Inputs!$D$15*1</f>
        <v>-4500</v>
      </c>
      <c r="AM195" s="65" t="n">
        <f aca="false">-Inputs!$D$15*1</f>
        <v>-4500</v>
      </c>
      <c r="AN195" s="65" t="n">
        <f aca="false">-Inputs!$D$15*1</f>
        <v>-4500</v>
      </c>
      <c r="AO195" s="65" t="n">
        <f aca="false">-Inputs!$D$15*1</f>
        <v>-4500</v>
      </c>
      <c r="AP195" s="65" t="n">
        <f aca="false">-Inputs!$D$15*1</f>
        <v>-4500</v>
      </c>
      <c r="AQ195" s="65" t="n">
        <f aca="false">-Inputs!$D$15*1</f>
        <v>-4500</v>
      </c>
      <c r="AR195" s="65" t="n">
        <f aca="false">-Inputs!$D$15*1</f>
        <v>-4500</v>
      </c>
      <c r="AS195" s="65" t="n">
        <f aca="false">-Inputs!$D$15*1</f>
        <v>-4500</v>
      </c>
      <c r="AT195" s="65" t="n">
        <f aca="false">-Inputs!$D$15*1</f>
        <v>-4500</v>
      </c>
      <c r="AU195" s="65" t="n">
        <f aca="false">-Inputs!$D$15*1</f>
        <v>-4500</v>
      </c>
      <c r="AV195" s="65" t="n">
        <f aca="false">-Inputs!$D$15*1</f>
        <v>-4500</v>
      </c>
      <c r="AW195" s="65" t="n">
        <f aca="false">-Inputs!$D$15*1</f>
        <v>-4500</v>
      </c>
      <c r="AX195" s="65" t="n">
        <f aca="false">-Inputs!$D$15*1</f>
        <v>-4500</v>
      </c>
      <c r="AY195" s="65" t="n">
        <f aca="false">-Inputs!$D$15*1</f>
        <v>-4500</v>
      </c>
      <c r="AZ195" s="65" t="n">
        <f aca="false">-Inputs!$D$15*1</f>
        <v>-4500</v>
      </c>
      <c r="BA195" s="65" t="n">
        <f aca="false">-Inputs!$D$15*1</f>
        <v>-4500</v>
      </c>
      <c r="BB195" s="65" t="n">
        <f aca="false">-Inputs!$D$15*1</f>
        <v>-4500</v>
      </c>
      <c r="BC195" s="65" t="n">
        <f aca="false">-Inputs!$D$15*1</f>
        <v>-4500</v>
      </c>
      <c r="BD195" s="65" t="n">
        <f aca="false">-Inputs!$D$15*1</f>
        <v>-4500</v>
      </c>
      <c r="BE195" s="65" t="n">
        <f aca="false">-Inputs!$D$15*1</f>
        <v>-4500</v>
      </c>
      <c r="BF195" s="65" t="n">
        <f aca="false">-Inputs!$D$15*1</f>
        <v>-4500</v>
      </c>
      <c r="BG195" s="65" t="n">
        <f aca="false">-Inputs!$D$15*1</f>
        <v>-4500</v>
      </c>
      <c r="BH195" s="65" t="n">
        <f aca="false">-Inputs!$D$15*1</f>
        <v>-4500</v>
      </c>
      <c r="BI195" s="65" t="n">
        <f aca="false">-Inputs!$D$15*1</f>
        <v>-4500</v>
      </c>
      <c r="BJ195" s="65" t="n">
        <f aca="false">-Inputs!$D$15*1</f>
        <v>-4500</v>
      </c>
    </row>
    <row r="196" customFormat="false" ht="15" hidden="false" customHeight="false" outlineLevel="0" collapsed="false">
      <c r="A196" s="6" t="s">
        <v>287</v>
      </c>
      <c r="C196" s="65" t="n">
        <f aca="false">C265</f>
        <v>-12693.3333333333</v>
      </c>
      <c r="D196" s="65" t="n">
        <f aca="false">D265</f>
        <v>-12693.3333333333</v>
      </c>
      <c r="E196" s="65" t="n">
        <f aca="false">E265</f>
        <v>-12693.3333333333</v>
      </c>
      <c r="F196" s="65" t="n">
        <f aca="false">F265</f>
        <v>-12693.3333333333</v>
      </c>
      <c r="G196" s="65" t="n">
        <f aca="false">G265</f>
        <v>-12693.3333333333</v>
      </c>
      <c r="H196" s="65" t="n">
        <f aca="false">H265</f>
        <v>-12693.3333333333</v>
      </c>
      <c r="I196" s="65" t="n">
        <f aca="false">I265</f>
        <v>-12693.3333333333</v>
      </c>
      <c r="J196" s="65" t="n">
        <f aca="false">J265</f>
        <v>-12693.3333333333</v>
      </c>
      <c r="K196" s="65" t="n">
        <f aca="false">K265</f>
        <v>-12693.3333333333</v>
      </c>
      <c r="L196" s="65" t="n">
        <f aca="false">L265</f>
        <v>-12693.3333333333</v>
      </c>
      <c r="M196" s="65" t="n">
        <f aca="false">M265</f>
        <v>-12693.3333333333</v>
      </c>
      <c r="N196" s="65" t="n">
        <f aca="false">N265</f>
        <v>-12693.3333333333</v>
      </c>
      <c r="O196" s="65" t="n">
        <f aca="false">O265</f>
        <v>-13074.1333333333</v>
      </c>
      <c r="P196" s="65" t="n">
        <f aca="false">P265</f>
        <v>-13074.1333333333</v>
      </c>
      <c r="Q196" s="65" t="n">
        <f aca="false">Q265</f>
        <v>-13074.1333333333</v>
      </c>
      <c r="R196" s="65" t="n">
        <f aca="false">R265</f>
        <v>-13074.1333333333</v>
      </c>
      <c r="S196" s="65" t="n">
        <f aca="false">S265</f>
        <v>-13074.1333333333</v>
      </c>
      <c r="T196" s="65" t="n">
        <f aca="false">T265</f>
        <v>-13074.1333333333</v>
      </c>
      <c r="U196" s="65" t="n">
        <f aca="false">U265</f>
        <v>-13074.1333333333</v>
      </c>
      <c r="V196" s="65" t="n">
        <f aca="false">V265</f>
        <v>-13074.1333333333</v>
      </c>
      <c r="W196" s="65" t="n">
        <f aca="false">W265</f>
        <v>-13074.1333333333</v>
      </c>
      <c r="X196" s="65" t="n">
        <f aca="false">X265</f>
        <v>-13074.1333333333</v>
      </c>
      <c r="Y196" s="65" t="n">
        <f aca="false">Y265</f>
        <v>-13074.1333333333</v>
      </c>
      <c r="Z196" s="65" t="n">
        <f aca="false">Z265</f>
        <v>-13074.1333333333</v>
      </c>
      <c r="AA196" s="65" t="n">
        <f aca="false">AA265</f>
        <v>-13466.3573333333</v>
      </c>
      <c r="AB196" s="65" t="n">
        <f aca="false">AB265</f>
        <v>-13466.3573333333</v>
      </c>
      <c r="AC196" s="65" t="n">
        <f aca="false">AC265</f>
        <v>-13466.3573333333</v>
      </c>
      <c r="AD196" s="65" t="n">
        <f aca="false">AD265</f>
        <v>-13466.3573333333</v>
      </c>
      <c r="AE196" s="65" t="n">
        <f aca="false">AE265</f>
        <v>-13466.3573333333</v>
      </c>
      <c r="AF196" s="65" t="n">
        <f aca="false">AF265</f>
        <v>-13466.3573333333</v>
      </c>
      <c r="AG196" s="65" t="n">
        <f aca="false">AG265</f>
        <v>-13466.3573333333</v>
      </c>
      <c r="AH196" s="65" t="n">
        <f aca="false">AH265</f>
        <v>-13466.3573333333</v>
      </c>
      <c r="AI196" s="65" t="n">
        <f aca="false">AI265</f>
        <v>-13466.3573333333</v>
      </c>
      <c r="AJ196" s="65" t="n">
        <f aca="false">AJ265</f>
        <v>-13466.3573333333</v>
      </c>
      <c r="AK196" s="65" t="n">
        <f aca="false">AK265</f>
        <v>-13466.3573333333</v>
      </c>
      <c r="AL196" s="65" t="n">
        <f aca="false">AL265</f>
        <v>-13466.3573333333</v>
      </c>
      <c r="AM196" s="65" t="n">
        <f aca="false">AM265</f>
        <v>-13870.3480533333</v>
      </c>
      <c r="AN196" s="65" t="n">
        <f aca="false">AN265</f>
        <v>-13870.3480533333</v>
      </c>
      <c r="AO196" s="65" t="n">
        <f aca="false">AO265</f>
        <v>-13870.3480533333</v>
      </c>
      <c r="AP196" s="65" t="n">
        <f aca="false">AP265</f>
        <v>-13870.3480533333</v>
      </c>
      <c r="AQ196" s="65" t="n">
        <f aca="false">AQ265</f>
        <v>-13870.3480533333</v>
      </c>
      <c r="AR196" s="65" t="n">
        <f aca="false">AR265</f>
        <v>-13870.3480533333</v>
      </c>
      <c r="AS196" s="65" t="n">
        <f aca="false">AS265</f>
        <v>-13870.3480533333</v>
      </c>
      <c r="AT196" s="65" t="n">
        <f aca="false">AT265</f>
        <v>-13870.3480533333</v>
      </c>
      <c r="AU196" s="65" t="n">
        <f aca="false">AU265</f>
        <v>-13870.3480533333</v>
      </c>
      <c r="AV196" s="65" t="n">
        <f aca="false">AV265</f>
        <v>-13870.3480533333</v>
      </c>
      <c r="AW196" s="65" t="n">
        <f aca="false">AW265</f>
        <v>-13870.3480533333</v>
      </c>
      <c r="AX196" s="65" t="n">
        <f aca="false">AX265</f>
        <v>-13870.3480533333</v>
      </c>
      <c r="AY196" s="65" t="n">
        <f aca="false">AY265</f>
        <v>-14286.4584949333</v>
      </c>
      <c r="AZ196" s="65" t="n">
        <f aca="false">AZ265</f>
        <v>-14286.4584949333</v>
      </c>
      <c r="BA196" s="65" t="n">
        <f aca="false">BA265</f>
        <v>-14286.4584949333</v>
      </c>
      <c r="BB196" s="65" t="n">
        <f aca="false">BB265</f>
        <v>-14286.4584949333</v>
      </c>
      <c r="BC196" s="65" t="n">
        <f aca="false">BC265</f>
        <v>-14286.4584949333</v>
      </c>
      <c r="BD196" s="65" t="n">
        <f aca="false">BD265</f>
        <v>-14286.4584949333</v>
      </c>
      <c r="BE196" s="65" t="n">
        <f aca="false">BE265</f>
        <v>-14286.4584949333</v>
      </c>
      <c r="BF196" s="65" t="n">
        <f aca="false">BF265</f>
        <v>-14286.4584949333</v>
      </c>
      <c r="BG196" s="65" t="n">
        <f aca="false">BG265</f>
        <v>-14286.4584949333</v>
      </c>
      <c r="BH196" s="65" t="n">
        <f aca="false">BH265</f>
        <v>-14286.4584949333</v>
      </c>
      <c r="BI196" s="65" t="n">
        <f aca="false">BI265</f>
        <v>-14286.4584949333</v>
      </c>
      <c r="BJ196" s="65" t="n">
        <f aca="false">BJ265</f>
        <v>-14286.4584949333</v>
      </c>
    </row>
    <row r="197" customFormat="false" ht="15" hidden="false" customHeight="false" outlineLevel="0" collapsed="false">
      <c r="A197" s="6" t="s">
        <v>288</v>
      </c>
      <c r="C197" s="65" t="n">
        <f aca="false">-C190*Inputs!$D$16</f>
        <v>-850.5</v>
      </c>
      <c r="D197" s="65" t="n">
        <f aca="false">-D190*Inputs!$D$16</f>
        <v>-992.25</v>
      </c>
      <c r="E197" s="65" t="n">
        <f aca="false">-E190*Inputs!$D$16</f>
        <v>-1134</v>
      </c>
      <c r="F197" s="65" t="n">
        <f aca="false">-F190*Inputs!$D$16</f>
        <v>-1275.75</v>
      </c>
      <c r="G197" s="65" t="n">
        <f aca="false">-G190*Inputs!$D$16</f>
        <v>-1417.5</v>
      </c>
      <c r="H197" s="65" t="n">
        <f aca="false">-H190*Inputs!$D$16</f>
        <v>-1417.5</v>
      </c>
      <c r="I197" s="65" t="n">
        <f aca="false">-I190*Inputs!$D$16</f>
        <v>-1417.5</v>
      </c>
      <c r="J197" s="65" t="n">
        <f aca="false">-J190*Inputs!$D$16</f>
        <v>-1417.5</v>
      </c>
      <c r="K197" s="65" t="n">
        <f aca="false">-K190*Inputs!$D$16</f>
        <v>-1417.5</v>
      </c>
      <c r="L197" s="65" t="n">
        <f aca="false">-L190*Inputs!$D$16</f>
        <v>-1417.5</v>
      </c>
      <c r="M197" s="65" t="n">
        <f aca="false">-M190*Inputs!$D$16</f>
        <v>-1417.5</v>
      </c>
      <c r="N197" s="65" t="n">
        <f aca="false">-N190*Inputs!$D$16</f>
        <v>-1417.5</v>
      </c>
      <c r="O197" s="65" t="n">
        <f aca="false">-O190*Inputs!$D$16</f>
        <v>-1606.878</v>
      </c>
      <c r="P197" s="65" t="n">
        <f aca="false">-P190*Inputs!$D$16</f>
        <v>-1606.878</v>
      </c>
      <c r="Q197" s="65" t="n">
        <f aca="false">-Q190*Inputs!$D$16</f>
        <v>-1606.878</v>
      </c>
      <c r="R197" s="65" t="n">
        <f aca="false">-R190*Inputs!$D$16</f>
        <v>-1606.878</v>
      </c>
      <c r="S197" s="65" t="n">
        <f aca="false">-S190*Inputs!$D$16</f>
        <v>-1606.878</v>
      </c>
      <c r="T197" s="65" t="n">
        <f aca="false">-T190*Inputs!$D$16</f>
        <v>-1606.878</v>
      </c>
      <c r="U197" s="65" t="n">
        <f aca="false">-U190*Inputs!$D$16</f>
        <v>-1606.878</v>
      </c>
      <c r="V197" s="65" t="n">
        <f aca="false">-V190*Inputs!$D$16</f>
        <v>-1606.878</v>
      </c>
      <c r="W197" s="65" t="n">
        <f aca="false">-W190*Inputs!$D$16</f>
        <v>-1606.878</v>
      </c>
      <c r="X197" s="65" t="n">
        <f aca="false">-X190*Inputs!$D$16</f>
        <v>-1606.878</v>
      </c>
      <c r="Y197" s="65" t="n">
        <f aca="false">-Y190*Inputs!$D$16</f>
        <v>-1606.878</v>
      </c>
      <c r="Z197" s="65" t="n">
        <f aca="false">-Z190*Inputs!$D$16</f>
        <v>-1606.878</v>
      </c>
      <c r="AA197" s="65" t="n">
        <f aca="false">-AA190*Inputs!$D$16</f>
        <v>-1821.5569008</v>
      </c>
      <c r="AB197" s="65" t="n">
        <f aca="false">-AB190*Inputs!$D$16</f>
        <v>-1821.5569008</v>
      </c>
      <c r="AC197" s="65" t="n">
        <f aca="false">-AC190*Inputs!$D$16</f>
        <v>-1821.5569008</v>
      </c>
      <c r="AD197" s="65" t="n">
        <f aca="false">-AD190*Inputs!$D$16</f>
        <v>-1821.5569008</v>
      </c>
      <c r="AE197" s="65" t="n">
        <f aca="false">-AE190*Inputs!$D$16</f>
        <v>-1821.5569008</v>
      </c>
      <c r="AF197" s="65" t="n">
        <f aca="false">-AF190*Inputs!$D$16</f>
        <v>-1821.5569008</v>
      </c>
      <c r="AG197" s="65" t="n">
        <f aca="false">-AG190*Inputs!$D$16</f>
        <v>-1821.5569008</v>
      </c>
      <c r="AH197" s="65" t="n">
        <f aca="false">-AH190*Inputs!$D$16</f>
        <v>-1821.5569008</v>
      </c>
      <c r="AI197" s="65" t="n">
        <f aca="false">-AI190*Inputs!$D$16</f>
        <v>-1821.5569008</v>
      </c>
      <c r="AJ197" s="65" t="n">
        <f aca="false">-AJ190*Inputs!$D$16</f>
        <v>-1821.5569008</v>
      </c>
      <c r="AK197" s="65" t="n">
        <f aca="false">-AK190*Inputs!$D$16</f>
        <v>-1821.5569008</v>
      </c>
      <c r="AL197" s="65" t="n">
        <f aca="false">-AL190*Inputs!$D$16</f>
        <v>-1821.5569008</v>
      </c>
      <c r="AM197" s="65" t="n">
        <f aca="false">-AM190*Inputs!$D$16</f>
        <v>-2064.91690274688</v>
      </c>
      <c r="AN197" s="65" t="n">
        <f aca="false">-AN190*Inputs!$D$16</f>
        <v>-2064.91690274688</v>
      </c>
      <c r="AO197" s="65" t="n">
        <f aca="false">-AO190*Inputs!$D$16</f>
        <v>-2064.91690274688</v>
      </c>
      <c r="AP197" s="65" t="n">
        <f aca="false">-AP190*Inputs!$D$16</f>
        <v>-2064.91690274688</v>
      </c>
      <c r="AQ197" s="65" t="n">
        <f aca="false">-AQ190*Inputs!$D$16</f>
        <v>-2064.91690274688</v>
      </c>
      <c r="AR197" s="65" t="n">
        <f aca="false">-AR190*Inputs!$D$16</f>
        <v>-2064.91690274688</v>
      </c>
      <c r="AS197" s="65" t="n">
        <f aca="false">-AS190*Inputs!$D$16</f>
        <v>-2064.91690274688</v>
      </c>
      <c r="AT197" s="65" t="n">
        <f aca="false">-AT190*Inputs!$D$16</f>
        <v>-2064.91690274688</v>
      </c>
      <c r="AU197" s="65" t="n">
        <f aca="false">-AU190*Inputs!$D$16</f>
        <v>-2064.91690274688</v>
      </c>
      <c r="AV197" s="65" t="n">
        <f aca="false">-AV190*Inputs!$D$16</f>
        <v>-2064.91690274688</v>
      </c>
      <c r="AW197" s="65" t="n">
        <f aca="false">-AW190*Inputs!$D$16</f>
        <v>-2064.91690274688</v>
      </c>
      <c r="AX197" s="65" t="n">
        <f aca="false">-AX190*Inputs!$D$16</f>
        <v>-2064.91690274688</v>
      </c>
      <c r="AY197" s="65" t="n">
        <f aca="false">-AY190*Inputs!$D$16</f>
        <v>-2340.78980095386</v>
      </c>
      <c r="AZ197" s="65" t="n">
        <f aca="false">-AZ190*Inputs!$D$16</f>
        <v>-2340.78980095386</v>
      </c>
      <c r="BA197" s="65" t="n">
        <f aca="false">-BA190*Inputs!$D$16</f>
        <v>-2340.78980095386</v>
      </c>
      <c r="BB197" s="65" t="n">
        <f aca="false">-BB190*Inputs!$D$16</f>
        <v>-2340.78980095386</v>
      </c>
      <c r="BC197" s="65" t="n">
        <f aca="false">-BC190*Inputs!$D$16</f>
        <v>-2340.78980095386</v>
      </c>
      <c r="BD197" s="65" t="n">
        <f aca="false">-BD190*Inputs!$D$16</f>
        <v>-2340.78980095386</v>
      </c>
      <c r="BE197" s="65" t="n">
        <f aca="false">-BE190*Inputs!$D$16</f>
        <v>-2340.78980095386</v>
      </c>
      <c r="BF197" s="65" t="n">
        <f aca="false">-BF190*Inputs!$D$16</f>
        <v>-2340.78980095386</v>
      </c>
      <c r="BG197" s="65" t="n">
        <f aca="false">-BG190*Inputs!$D$16</f>
        <v>-2340.78980095386</v>
      </c>
      <c r="BH197" s="65" t="n">
        <f aca="false">-BH190*Inputs!$D$16</f>
        <v>-2340.78980095386</v>
      </c>
      <c r="BI197" s="65" t="n">
        <f aca="false">-BI190*Inputs!$D$16</f>
        <v>-2340.78980095386</v>
      </c>
      <c r="BJ197" s="65" t="n">
        <f aca="false">-BJ190*Inputs!$D$16</f>
        <v>-2340.78980095386</v>
      </c>
    </row>
    <row r="198" customFormat="false" ht="15" hidden="false" customHeight="false" outlineLevel="0" collapsed="false">
      <c r="A198" s="6" t="s">
        <v>289</v>
      </c>
      <c r="C198" s="65" t="n">
        <f aca="false">-Inputs!$D$17*1</f>
        <v>-2000</v>
      </c>
      <c r="D198" s="65" t="n">
        <f aca="false">-Inputs!$D$17*1</f>
        <v>-2000</v>
      </c>
      <c r="E198" s="65" t="n">
        <f aca="false">-Inputs!$D$17*1</f>
        <v>-2000</v>
      </c>
      <c r="F198" s="65" t="n">
        <f aca="false">-Inputs!$D$17*1</f>
        <v>-2000</v>
      </c>
      <c r="G198" s="65" t="n">
        <f aca="false">-Inputs!$D$17*1</f>
        <v>-2000</v>
      </c>
      <c r="H198" s="65" t="n">
        <f aca="false">-Inputs!$D$17*1</f>
        <v>-2000</v>
      </c>
      <c r="I198" s="65" t="n">
        <f aca="false">-Inputs!$D$17*1</f>
        <v>-2000</v>
      </c>
      <c r="J198" s="65" t="n">
        <f aca="false">-Inputs!$D$17*1</f>
        <v>-2000</v>
      </c>
      <c r="K198" s="65" t="n">
        <f aca="false">-Inputs!$D$17*1</f>
        <v>-2000</v>
      </c>
      <c r="L198" s="65" t="n">
        <f aca="false">-Inputs!$D$17*1</f>
        <v>-2000</v>
      </c>
      <c r="M198" s="65" t="n">
        <f aca="false">-Inputs!$D$17*1</f>
        <v>-2000</v>
      </c>
      <c r="N198" s="65" t="n">
        <f aca="false">-Inputs!$D$17*1</f>
        <v>-2000</v>
      </c>
      <c r="O198" s="65" t="n">
        <f aca="false">-Inputs!$D$17*1</f>
        <v>-2000</v>
      </c>
      <c r="P198" s="65" t="n">
        <f aca="false">-Inputs!$D$17*1</f>
        <v>-2000</v>
      </c>
      <c r="Q198" s="65" t="n">
        <f aca="false">-Inputs!$D$17*1</f>
        <v>-2000</v>
      </c>
      <c r="R198" s="65" t="n">
        <f aca="false">-Inputs!$D$17*1</f>
        <v>-2000</v>
      </c>
      <c r="S198" s="65" t="n">
        <f aca="false">-Inputs!$D$17*1</f>
        <v>-2000</v>
      </c>
      <c r="T198" s="65" t="n">
        <f aca="false">-Inputs!$D$17*1</f>
        <v>-2000</v>
      </c>
      <c r="U198" s="65" t="n">
        <f aca="false">-Inputs!$D$17*1</f>
        <v>-2000</v>
      </c>
      <c r="V198" s="65" t="n">
        <f aca="false">-Inputs!$D$17*1</f>
        <v>-2000</v>
      </c>
      <c r="W198" s="65" t="n">
        <f aca="false">-Inputs!$D$17*1</f>
        <v>-2000</v>
      </c>
      <c r="X198" s="65" t="n">
        <f aca="false">-Inputs!$D$17*1</f>
        <v>-2000</v>
      </c>
      <c r="Y198" s="65" t="n">
        <f aca="false">-Inputs!$D$17*1</f>
        <v>-2000</v>
      </c>
      <c r="Z198" s="65" t="n">
        <f aca="false">-Inputs!$D$17*1</f>
        <v>-2000</v>
      </c>
      <c r="AA198" s="65" t="n">
        <f aca="false">-Inputs!$D$17*1</f>
        <v>-2000</v>
      </c>
      <c r="AB198" s="65" t="n">
        <f aca="false">-Inputs!$D$17*1</f>
        <v>-2000</v>
      </c>
      <c r="AC198" s="65" t="n">
        <f aca="false">-Inputs!$D$17*1</f>
        <v>-2000</v>
      </c>
      <c r="AD198" s="65" t="n">
        <f aca="false">-Inputs!$D$17*1</f>
        <v>-2000</v>
      </c>
      <c r="AE198" s="65" t="n">
        <f aca="false">-Inputs!$D$17*1</f>
        <v>-2000</v>
      </c>
      <c r="AF198" s="65" t="n">
        <f aca="false">-Inputs!$D$17*1</f>
        <v>-2000</v>
      </c>
      <c r="AG198" s="65" t="n">
        <f aca="false">-Inputs!$D$17*1</f>
        <v>-2000</v>
      </c>
      <c r="AH198" s="65" t="n">
        <f aca="false">-Inputs!$D$17*1</f>
        <v>-2000</v>
      </c>
      <c r="AI198" s="65" t="n">
        <f aca="false">-Inputs!$D$17*1</f>
        <v>-2000</v>
      </c>
      <c r="AJ198" s="65" t="n">
        <f aca="false">-Inputs!$D$17*1</f>
        <v>-2000</v>
      </c>
      <c r="AK198" s="65" t="n">
        <f aca="false">-Inputs!$D$17*1</f>
        <v>-2000</v>
      </c>
      <c r="AL198" s="65" t="n">
        <f aca="false">-Inputs!$D$17*1</f>
        <v>-2000</v>
      </c>
      <c r="AM198" s="65" t="n">
        <f aca="false">-Inputs!$D$17*1</f>
        <v>-2000</v>
      </c>
      <c r="AN198" s="65" t="n">
        <f aca="false">-Inputs!$D$17*1</f>
        <v>-2000</v>
      </c>
      <c r="AO198" s="65" t="n">
        <f aca="false">-Inputs!$D$17*1</f>
        <v>-2000</v>
      </c>
      <c r="AP198" s="65" t="n">
        <f aca="false">-Inputs!$D$17*1</f>
        <v>-2000</v>
      </c>
      <c r="AQ198" s="65" t="n">
        <f aca="false">-Inputs!$D$17*1</f>
        <v>-2000</v>
      </c>
      <c r="AR198" s="65" t="n">
        <f aca="false">-Inputs!$D$17*1</f>
        <v>-2000</v>
      </c>
      <c r="AS198" s="65" t="n">
        <f aca="false">-Inputs!$D$17*1</f>
        <v>-2000</v>
      </c>
      <c r="AT198" s="65" t="n">
        <f aca="false">-Inputs!$D$17*1</f>
        <v>-2000</v>
      </c>
      <c r="AU198" s="65" t="n">
        <f aca="false">-Inputs!$D$17*1</f>
        <v>-2000</v>
      </c>
      <c r="AV198" s="65" t="n">
        <f aca="false">-Inputs!$D$17*1</f>
        <v>-2000</v>
      </c>
      <c r="AW198" s="65" t="n">
        <f aca="false">-Inputs!$D$17*1</f>
        <v>-2000</v>
      </c>
      <c r="AX198" s="65" t="n">
        <f aca="false">-Inputs!$D$17*1</f>
        <v>-2000</v>
      </c>
      <c r="AY198" s="65" t="n">
        <f aca="false">-Inputs!$D$17*1</f>
        <v>-2000</v>
      </c>
      <c r="AZ198" s="65" t="n">
        <f aca="false">-Inputs!$D$17*1</f>
        <v>-2000</v>
      </c>
      <c r="BA198" s="65" t="n">
        <f aca="false">-Inputs!$D$17*1</f>
        <v>-2000</v>
      </c>
      <c r="BB198" s="65" t="n">
        <f aca="false">-Inputs!$D$17*1</f>
        <v>-2000</v>
      </c>
      <c r="BC198" s="65" t="n">
        <f aca="false">-Inputs!$D$17*1</f>
        <v>-2000</v>
      </c>
      <c r="BD198" s="65" t="n">
        <f aca="false">-Inputs!$D$17*1</f>
        <v>-2000</v>
      </c>
      <c r="BE198" s="65" t="n">
        <f aca="false">-Inputs!$D$17*1</f>
        <v>-2000</v>
      </c>
      <c r="BF198" s="65" t="n">
        <f aca="false">-Inputs!$D$17*1</f>
        <v>-2000</v>
      </c>
      <c r="BG198" s="65" t="n">
        <f aca="false">-Inputs!$D$17*1</f>
        <v>-2000</v>
      </c>
      <c r="BH198" s="65" t="n">
        <f aca="false">-Inputs!$D$17*1</f>
        <v>-2000</v>
      </c>
      <c r="BI198" s="65" t="n">
        <f aca="false">-Inputs!$D$17*1</f>
        <v>-2000</v>
      </c>
      <c r="BJ198" s="65" t="n">
        <f aca="false">-Inputs!$D$17*1</f>
        <v>-2000</v>
      </c>
    </row>
    <row r="199" customFormat="false" ht="15" hidden="false" customHeight="false" outlineLevel="0" collapsed="false">
      <c r="A199" s="108" t="s">
        <v>75</v>
      </c>
      <c r="C199" s="66" t="n">
        <f aca="false">C195+C196+C197+C198</f>
        <v>-20043.8333333333</v>
      </c>
      <c r="D199" s="66" t="n">
        <f aca="false">D195+D196+D197+D198</f>
        <v>-20185.5833333333</v>
      </c>
      <c r="E199" s="66" t="n">
        <f aca="false">E195+E196+E197+E198</f>
        <v>-20327.3333333333</v>
      </c>
      <c r="F199" s="66" t="n">
        <f aca="false">F195+F196+F197+F198</f>
        <v>-20469.0833333333</v>
      </c>
      <c r="G199" s="66" t="n">
        <f aca="false">G195+G196+G197+G198</f>
        <v>-20610.8333333333</v>
      </c>
      <c r="H199" s="66" t="n">
        <f aca="false">H195+H196+H197+H198</f>
        <v>-20610.8333333333</v>
      </c>
      <c r="I199" s="66" t="n">
        <f aca="false">I195+I196+I197+I198</f>
        <v>-20610.8333333333</v>
      </c>
      <c r="J199" s="66" t="n">
        <f aca="false">J195+J196+J197+J198</f>
        <v>-20610.8333333333</v>
      </c>
      <c r="K199" s="66" t="n">
        <f aca="false">K195+K196+K197+K198</f>
        <v>-20610.8333333333</v>
      </c>
      <c r="L199" s="66" t="n">
        <f aca="false">L195+L196+L197+L198</f>
        <v>-20610.8333333333</v>
      </c>
      <c r="M199" s="66" t="n">
        <f aca="false">M195+M196+M197+M198</f>
        <v>-20610.8333333333</v>
      </c>
      <c r="N199" s="66" t="n">
        <f aca="false">N195+N196+N197+N198</f>
        <v>-20610.8333333333</v>
      </c>
      <c r="O199" s="66" t="n">
        <f aca="false">O195+O196+O197+O198</f>
        <v>-21181.0113333333</v>
      </c>
      <c r="P199" s="66" t="n">
        <f aca="false">P195+P196+P197+P198</f>
        <v>-21181.0113333333</v>
      </c>
      <c r="Q199" s="66" t="n">
        <f aca="false">Q195+Q196+Q197+Q198</f>
        <v>-21181.0113333333</v>
      </c>
      <c r="R199" s="66" t="n">
        <f aca="false">R195+R196+R197+R198</f>
        <v>-21181.0113333333</v>
      </c>
      <c r="S199" s="66" t="n">
        <f aca="false">S195+S196+S197+S198</f>
        <v>-21181.0113333333</v>
      </c>
      <c r="T199" s="66" t="n">
        <f aca="false">T195+T196+T197+T198</f>
        <v>-21181.0113333333</v>
      </c>
      <c r="U199" s="66" t="n">
        <f aca="false">U195+U196+U197+U198</f>
        <v>-21181.0113333333</v>
      </c>
      <c r="V199" s="66" t="n">
        <f aca="false">V195+V196+V197+V198</f>
        <v>-21181.0113333333</v>
      </c>
      <c r="W199" s="66" t="n">
        <f aca="false">W195+W196+W197+W198</f>
        <v>-21181.0113333333</v>
      </c>
      <c r="X199" s="66" t="n">
        <f aca="false">X195+X196+X197+X198</f>
        <v>-21181.0113333333</v>
      </c>
      <c r="Y199" s="66" t="n">
        <f aca="false">Y195+Y196+Y197+Y198</f>
        <v>-21181.0113333333</v>
      </c>
      <c r="Z199" s="66" t="n">
        <f aca="false">Z195+Z196+Z197+Z198</f>
        <v>-21181.0113333333</v>
      </c>
      <c r="AA199" s="66" t="n">
        <f aca="false">AA195+AA196+AA197+AA198</f>
        <v>-21787.9142341333</v>
      </c>
      <c r="AB199" s="66" t="n">
        <f aca="false">AB195+AB196+AB197+AB198</f>
        <v>-21787.9142341333</v>
      </c>
      <c r="AC199" s="66" t="n">
        <f aca="false">AC195+AC196+AC197+AC198</f>
        <v>-21787.9142341333</v>
      </c>
      <c r="AD199" s="66" t="n">
        <f aca="false">AD195+AD196+AD197+AD198</f>
        <v>-21787.9142341333</v>
      </c>
      <c r="AE199" s="66" t="n">
        <f aca="false">AE195+AE196+AE197+AE198</f>
        <v>-21787.9142341333</v>
      </c>
      <c r="AF199" s="66" t="n">
        <f aca="false">AF195+AF196+AF197+AF198</f>
        <v>-21787.9142341333</v>
      </c>
      <c r="AG199" s="66" t="n">
        <f aca="false">AG195+AG196+AG197+AG198</f>
        <v>-21787.9142341333</v>
      </c>
      <c r="AH199" s="66" t="n">
        <f aca="false">AH195+AH196+AH197+AH198</f>
        <v>-21787.9142341333</v>
      </c>
      <c r="AI199" s="66" t="n">
        <f aca="false">AI195+AI196+AI197+AI198</f>
        <v>-21787.9142341333</v>
      </c>
      <c r="AJ199" s="66" t="n">
        <f aca="false">AJ195+AJ196+AJ197+AJ198</f>
        <v>-21787.9142341333</v>
      </c>
      <c r="AK199" s="66" t="n">
        <f aca="false">AK195+AK196+AK197+AK198</f>
        <v>-21787.9142341333</v>
      </c>
      <c r="AL199" s="66" t="n">
        <f aca="false">AL195+AL196+AL197+AL198</f>
        <v>-21787.9142341333</v>
      </c>
      <c r="AM199" s="66" t="n">
        <f aca="false">AM195+AM196+AM197+AM198</f>
        <v>-22435.2649560802</v>
      </c>
      <c r="AN199" s="66" t="n">
        <f aca="false">AN195+AN196+AN197+AN198</f>
        <v>-22435.2649560802</v>
      </c>
      <c r="AO199" s="66" t="n">
        <f aca="false">AO195+AO196+AO197+AO198</f>
        <v>-22435.2649560802</v>
      </c>
      <c r="AP199" s="66" t="n">
        <f aca="false">AP195+AP196+AP197+AP198</f>
        <v>-22435.2649560802</v>
      </c>
      <c r="AQ199" s="66" t="n">
        <f aca="false">AQ195+AQ196+AQ197+AQ198</f>
        <v>-22435.2649560802</v>
      </c>
      <c r="AR199" s="66" t="n">
        <f aca="false">AR195+AR196+AR197+AR198</f>
        <v>-22435.2649560802</v>
      </c>
      <c r="AS199" s="66" t="n">
        <f aca="false">AS195+AS196+AS197+AS198</f>
        <v>-22435.2649560802</v>
      </c>
      <c r="AT199" s="66" t="n">
        <f aca="false">AT195+AT196+AT197+AT198</f>
        <v>-22435.2649560802</v>
      </c>
      <c r="AU199" s="66" t="n">
        <f aca="false">AU195+AU196+AU197+AU198</f>
        <v>-22435.2649560802</v>
      </c>
      <c r="AV199" s="66" t="n">
        <f aca="false">AV195+AV196+AV197+AV198</f>
        <v>-22435.2649560802</v>
      </c>
      <c r="AW199" s="66" t="n">
        <f aca="false">AW195+AW196+AW197+AW198</f>
        <v>-22435.2649560802</v>
      </c>
      <c r="AX199" s="66" t="n">
        <f aca="false">AX195+AX196+AX197+AX198</f>
        <v>-22435.2649560802</v>
      </c>
      <c r="AY199" s="66" t="n">
        <f aca="false">AY195+AY196+AY197+AY198</f>
        <v>-23127.2482958872</v>
      </c>
      <c r="AZ199" s="66" t="n">
        <f aca="false">AZ195+AZ196+AZ197+AZ198</f>
        <v>-23127.2482958872</v>
      </c>
      <c r="BA199" s="66" t="n">
        <f aca="false">BA195+BA196+BA197+BA198</f>
        <v>-23127.2482958872</v>
      </c>
      <c r="BB199" s="66" t="n">
        <f aca="false">BB195+BB196+BB197+BB198</f>
        <v>-23127.2482958872</v>
      </c>
      <c r="BC199" s="66" t="n">
        <f aca="false">BC195+BC196+BC197+BC198</f>
        <v>-23127.2482958872</v>
      </c>
      <c r="BD199" s="66" t="n">
        <f aca="false">BD195+BD196+BD197+BD198</f>
        <v>-23127.2482958872</v>
      </c>
      <c r="BE199" s="66" t="n">
        <f aca="false">BE195+BE196+BE197+BE198</f>
        <v>-23127.2482958872</v>
      </c>
      <c r="BF199" s="66" t="n">
        <f aca="false">BF195+BF196+BF197+BF198</f>
        <v>-23127.2482958872</v>
      </c>
      <c r="BG199" s="66" t="n">
        <f aca="false">BG195+BG196+BG197+BG198</f>
        <v>-23127.2482958872</v>
      </c>
      <c r="BH199" s="66" t="n">
        <f aca="false">BH195+BH196+BH197+BH198</f>
        <v>-23127.2482958872</v>
      </c>
      <c r="BI199" s="66" t="n">
        <f aca="false">BI195+BI196+BI197+BI198</f>
        <v>-23127.2482958872</v>
      </c>
      <c r="BJ199" s="66" t="n">
        <f aca="false">BJ195+BJ196+BJ197+BJ198</f>
        <v>-23127.2482958872</v>
      </c>
    </row>
    <row r="200" customFormat="false" ht="15" hidden="false" customHeight="false" outlineLevel="0" collapsed="false">
      <c r="A200" s="108" t="s">
        <v>48</v>
      </c>
      <c r="C200" s="66" t="n">
        <f aca="false">C192+C199</f>
        <v>-198.833333333336</v>
      </c>
      <c r="D200" s="66" t="n">
        <f aca="false">D192+D199</f>
        <v>2966.91666666666</v>
      </c>
      <c r="E200" s="66" t="n">
        <f aca="false">E192+E199</f>
        <v>6132.66666666666</v>
      </c>
      <c r="F200" s="66" t="n">
        <f aca="false">F192+F199</f>
        <v>9298.41666666666</v>
      </c>
      <c r="G200" s="66" t="n">
        <f aca="false">G192+G199</f>
        <v>12464.1666666667</v>
      </c>
      <c r="H200" s="66" t="n">
        <f aca="false">H192+H199</f>
        <v>12464.1666666667</v>
      </c>
      <c r="I200" s="66" t="n">
        <f aca="false">I192+I199</f>
        <v>12464.1666666667</v>
      </c>
      <c r="J200" s="66" t="n">
        <f aca="false">J192+J199</f>
        <v>12464.1666666667</v>
      </c>
      <c r="K200" s="66" t="n">
        <f aca="false">K192+K199</f>
        <v>12464.1666666667</v>
      </c>
      <c r="L200" s="66" t="n">
        <f aca="false">L192+L199</f>
        <v>12464.1666666667</v>
      </c>
      <c r="M200" s="66" t="n">
        <f aca="false">M192+M199</f>
        <v>12464.1666666667</v>
      </c>
      <c r="N200" s="66" t="n">
        <f aca="false">N192+N199</f>
        <v>12464.1666666667</v>
      </c>
      <c r="O200" s="66" t="n">
        <f aca="false">O192+O199</f>
        <v>16312.8086666667</v>
      </c>
      <c r="P200" s="66" t="n">
        <f aca="false">P192+P199</f>
        <v>16312.8086666667</v>
      </c>
      <c r="Q200" s="66" t="n">
        <f aca="false">Q192+Q199</f>
        <v>16312.8086666667</v>
      </c>
      <c r="R200" s="66" t="n">
        <f aca="false">R192+R199</f>
        <v>16312.8086666667</v>
      </c>
      <c r="S200" s="66" t="n">
        <f aca="false">S192+S199</f>
        <v>16312.8086666667</v>
      </c>
      <c r="T200" s="66" t="n">
        <f aca="false">T192+T199</f>
        <v>16312.8086666667</v>
      </c>
      <c r="U200" s="66" t="n">
        <f aca="false">U192+U199</f>
        <v>16312.8086666667</v>
      </c>
      <c r="V200" s="66" t="n">
        <f aca="false">V192+V199</f>
        <v>16312.8086666667</v>
      </c>
      <c r="W200" s="66" t="n">
        <f aca="false">W192+W199</f>
        <v>16312.8086666667</v>
      </c>
      <c r="X200" s="66" t="n">
        <f aca="false">X192+X199</f>
        <v>16312.8086666667</v>
      </c>
      <c r="Y200" s="66" t="n">
        <f aca="false">Y192+Y199</f>
        <v>16312.8086666667</v>
      </c>
      <c r="Z200" s="66" t="n">
        <f aca="false">Z192+Z199</f>
        <v>16312.8086666667</v>
      </c>
      <c r="AA200" s="66" t="n">
        <f aca="false">AA192+AA199</f>
        <v>20715.0801178667</v>
      </c>
      <c r="AB200" s="66" t="n">
        <f aca="false">AB192+AB199</f>
        <v>20715.0801178667</v>
      </c>
      <c r="AC200" s="66" t="n">
        <f aca="false">AC192+AC199</f>
        <v>20715.0801178667</v>
      </c>
      <c r="AD200" s="66" t="n">
        <f aca="false">AD192+AD199</f>
        <v>20715.0801178667</v>
      </c>
      <c r="AE200" s="66" t="n">
        <f aca="false">AE192+AE199</f>
        <v>20715.0801178667</v>
      </c>
      <c r="AF200" s="66" t="n">
        <f aca="false">AF192+AF199</f>
        <v>20715.0801178667</v>
      </c>
      <c r="AG200" s="66" t="n">
        <f aca="false">AG192+AG199</f>
        <v>20715.0801178667</v>
      </c>
      <c r="AH200" s="66" t="n">
        <f aca="false">AH192+AH199</f>
        <v>20715.0801178667</v>
      </c>
      <c r="AI200" s="66" t="n">
        <f aca="false">AI192+AI199</f>
        <v>20715.0801178667</v>
      </c>
      <c r="AJ200" s="66" t="n">
        <f aca="false">AJ192+AJ199</f>
        <v>20715.0801178667</v>
      </c>
      <c r="AK200" s="66" t="n">
        <f aca="false">AK192+AK199</f>
        <v>20715.0801178667</v>
      </c>
      <c r="AL200" s="66" t="n">
        <f aca="false">AL192+AL199</f>
        <v>20715.0801178667</v>
      </c>
      <c r="AM200" s="66" t="n">
        <f aca="false">AM192+AM199</f>
        <v>25746.129441347</v>
      </c>
      <c r="AN200" s="66" t="n">
        <f aca="false">AN192+AN199</f>
        <v>25746.129441347</v>
      </c>
      <c r="AO200" s="66" t="n">
        <f aca="false">AO192+AO199</f>
        <v>25746.129441347</v>
      </c>
      <c r="AP200" s="66" t="n">
        <f aca="false">AP192+AP199</f>
        <v>25746.129441347</v>
      </c>
      <c r="AQ200" s="66" t="n">
        <f aca="false">AQ192+AQ199</f>
        <v>25746.129441347</v>
      </c>
      <c r="AR200" s="66" t="n">
        <f aca="false">AR192+AR199</f>
        <v>25746.129441347</v>
      </c>
      <c r="AS200" s="66" t="n">
        <f aca="false">AS192+AS199</f>
        <v>25746.129441347</v>
      </c>
      <c r="AT200" s="66" t="n">
        <f aca="false">AT192+AT199</f>
        <v>25746.129441347</v>
      </c>
      <c r="AU200" s="66" t="n">
        <f aca="false">AU192+AU199</f>
        <v>25746.129441347</v>
      </c>
      <c r="AV200" s="66" t="n">
        <f aca="false">AV192+AV199</f>
        <v>25746.129441347</v>
      </c>
      <c r="AW200" s="66" t="n">
        <f aca="false">AW192+AW199</f>
        <v>25746.129441347</v>
      </c>
      <c r="AX200" s="66" t="n">
        <f aca="false">AX192+AX199</f>
        <v>25746.129441347</v>
      </c>
      <c r="AY200" s="66" t="n">
        <f aca="false">AY192+AY199</f>
        <v>31491.1803930363</v>
      </c>
      <c r="AZ200" s="66" t="n">
        <f aca="false">AZ192+AZ199</f>
        <v>31491.1803930363</v>
      </c>
      <c r="BA200" s="66" t="n">
        <f aca="false">BA192+BA199</f>
        <v>31491.1803930363</v>
      </c>
      <c r="BB200" s="66" t="n">
        <f aca="false">BB192+BB199</f>
        <v>31491.1803930363</v>
      </c>
      <c r="BC200" s="66" t="n">
        <f aca="false">BC192+BC199</f>
        <v>31491.1803930363</v>
      </c>
      <c r="BD200" s="66" t="n">
        <f aca="false">BD192+BD199</f>
        <v>31491.1803930363</v>
      </c>
      <c r="BE200" s="66" t="n">
        <f aca="false">BE192+BE199</f>
        <v>31491.1803930363</v>
      </c>
      <c r="BF200" s="66" t="n">
        <f aca="false">BF192+BF199</f>
        <v>31491.1803930363</v>
      </c>
      <c r="BG200" s="66" t="n">
        <f aca="false">BG192+BG199</f>
        <v>31491.1803930363</v>
      </c>
      <c r="BH200" s="66" t="n">
        <f aca="false">BH192+BH199</f>
        <v>31491.1803930363</v>
      </c>
      <c r="BI200" s="66" t="n">
        <f aca="false">BI192+BI199</f>
        <v>31491.1803930363</v>
      </c>
      <c r="BJ200" s="66" t="n">
        <f aca="false">BJ192+BJ199</f>
        <v>31491.1803930363</v>
      </c>
    </row>
    <row r="202" customFormat="false" ht="15.75" hidden="false" customHeight="true" outlineLevel="0" collapsed="false">
      <c r="A202" s="7" t="s">
        <v>364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4" t="s">
        <v>77</v>
      </c>
      <c r="C203" s="71" t="n">
        <f aca="false">C200+C214</f>
        <v>-1984.54761904762</v>
      </c>
      <c r="D203" s="71" t="n">
        <f aca="false">D200+D214</f>
        <v>1181.20238095238</v>
      </c>
      <c r="E203" s="71" t="n">
        <f aca="false">E200+E214</f>
        <v>4346.95238095238</v>
      </c>
      <c r="F203" s="71" t="n">
        <f aca="false">F200+F214</f>
        <v>7512.70238095238</v>
      </c>
      <c r="G203" s="71" t="n">
        <f aca="false">G200+G214</f>
        <v>10678.4523809524</v>
      </c>
      <c r="H203" s="71" t="n">
        <f aca="false">H200+H214</f>
        <v>10678.4523809524</v>
      </c>
      <c r="I203" s="71" t="n">
        <f aca="false">I200+I214</f>
        <v>10678.4523809524</v>
      </c>
      <c r="J203" s="71" t="n">
        <f aca="false">J200+J214</f>
        <v>10678.4523809524</v>
      </c>
      <c r="K203" s="71" t="n">
        <f aca="false">K200+K214</f>
        <v>10678.4523809524</v>
      </c>
      <c r="L203" s="71" t="n">
        <f aca="false">L200+L214</f>
        <v>10678.4523809524</v>
      </c>
      <c r="M203" s="71" t="n">
        <f aca="false">M200+M214</f>
        <v>10678.4523809524</v>
      </c>
      <c r="N203" s="71" t="n">
        <f aca="false">N200+N214</f>
        <v>10678.4523809524</v>
      </c>
      <c r="O203" s="71" t="n">
        <f aca="false">O200+O214</f>
        <v>14527.0943809524</v>
      </c>
      <c r="P203" s="71" t="n">
        <f aca="false">P200+P214</f>
        <v>14527.0943809524</v>
      </c>
      <c r="Q203" s="71" t="n">
        <f aca="false">Q200+Q214</f>
        <v>14527.0943809524</v>
      </c>
      <c r="R203" s="71" t="n">
        <f aca="false">R200+R214</f>
        <v>14527.0943809524</v>
      </c>
      <c r="S203" s="71" t="n">
        <f aca="false">S200+S214</f>
        <v>14527.0943809524</v>
      </c>
      <c r="T203" s="71" t="n">
        <f aca="false">T200+T214</f>
        <v>14527.0943809524</v>
      </c>
      <c r="U203" s="71" t="n">
        <f aca="false">U200+U214</f>
        <v>14527.0943809524</v>
      </c>
      <c r="V203" s="71" t="n">
        <f aca="false">V200+V214</f>
        <v>14527.0943809524</v>
      </c>
      <c r="W203" s="71" t="n">
        <f aca="false">W200+W214</f>
        <v>14527.0943809524</v>
      </c>
      <c r="X203" s="71" t="n">
        <f aca="false">X200+X214</f>
        <v>14527.0943809524</v>
      </c>
      <c r="Y203" s="71" t="n">
        <f aca="false">Y200+Y214</f>
        <v>14527.0943809524</v>
      </c>
      <c r="Z203" s="71" t="n">
        <f aca="false">Z200+Z214</f>
        <v>14527.0943809524</v>
      </c>
      <c r="AA203" s="71" t="n">
        <f aca="false">AA200+AA214</f>
        <v>18929.3658321524</v>
      </c>
      <c r="AB203" s="71" t="n">
        <f aca="false">AB200+AB214</f>
        <v>18929.3658321524</v>
      </c>
      <c r="AC203" s="71" t="n">
        <f aca="false">AC200+AC214</f>
        <v>18929.3658321524</v>
      </c>
      <c r="AD203" s="71" t="n">
        <f aca="false">AD200+AD214</f>
        <v>18929.3658321524</v>
      </c>
      <c r="AE203" s="71" t="n">
        <f aca="false">AE200+AE214</f>
        <v>18929.3658321524</v>
      </c>
      <c r="AF203" s="71" t="n">
        <f aca="false">AF200+AF214</f>
        <v>18929.3658321524</v>
      </c>
      <c r="AG203" s="71" t="n">
        <f aca="false">AG200+AG214</f>
        <v>18929.3658321524</v>
      </c>
      <c r="AH203" s="71" t="n">
        <f aca="false">AH200+AH214</f>
        <v>18929.3658321524</v>
      </c>
      <c r="AI203" s="71" t="n">
        <f aca="false">AI200+AI214</f>
        <v>18929.3658321524</v>
      </c>
      <c r="AJ203" s="71" t="n">
        <f aca="false">AJ200+AJ214</f>
        <v>18929.3658321524</v>
      </c>
      <c r="AK203" s="71" t="n">
        <f aca="false">AK200+AK214</f>
        <v>18929.3658321524</v>
      </c>
      <c r="AL203" s="71" t="n">
        <f aca="false">AL200+AL214</f>
        <v>18929.3658321524</v>
      </c>
      <c r="AM203" s="71" t="n">
        <f aca="false">AM200+AM214</f>
        <v>23960.4151556327</v>
      </c>
      <c r="AN203" s="71" t="n">
        <f aca="false">AN200+AN214</f>
        <v>23960.4151556327</v>
      </c>
      <c r="AO203" s="71" t="n">
        <f aca="false">AO200+AO214</f>
        <v>23960.4151556327</v>
      </c>
      <c r="AP203" s="71" t="n">
        <f aca="false">AP200+AP214</f>
        <v>23960.4151556327</v>
      </c>
      <c r="AQ203" s="71" t="n">
        <f aca="false">AQ200+AQ214</f>
        <v>23960.4151556327</v>
      </c>
      <c r="AR203" s="71" t="n">
        <f aca="false">AR200+AR214</f>
        <v>23960.4151556327</v>
      </c>
      <c r="AS203" s="71" t="n">
        <f aca="false">AS200+AS214</f>
        <v>23960.4151556327</v>
      </c>
      <c r="AT203" s="71" t="n">
        <f aca="false">AT200+AT214</f>
        <v>23960.4151556327</v>
      </c>
      <c r="AU203" s="71" t="n">
        <f aca="false">AU200+AU214</f>
        <v>23960.4151556327</v>
      </c>
      <c r="AV203" s="71" t="n">
        <f aca="false">AV200+AV214</f>
        <v>23960.4151556327</v>
      </c>
      <c r="AW203" s="71" t="n">
        <f aca="false">AW200+AW214</f>
        <v>23960.4151556327</v>
      </c>
      <c r="AX203" s="71" t="n">
        <f aca="false">AX200+AX214</f>
        <v>23960.4151556327</v>
      </c>
      <c r="AY203" s="71" t="n">
        <f aca="false">AY200+AY214</f>
        <v>29705.466107322</v>
      </c>
      <c r="AZ203" s="71" t="n">
        <f aca="false">AZ200+AZ214</f>
        <v>29705.466107322</v>
      </c>
      <c r="BA203" s="71" t="n">
        <f aca="false">BA200+BA214</f>
        <v>29705.466107322</v>
      </c>
      <c r="BB203" s="71" t="n">
        <f aca="false">BB200+BB214</f>
        <v>29705.466107322</v>
      </c>
      <c r="BC203" s="71" t="n">
        <f aca="false">BC200+BC214</f>
        <v>29705.466107322</v>
      </c>
      <c r="BD203" s="71" t="n">
        <f aca="false">BD200+BD214</f>
        <v>29705.466107322</v>
      </c>
      <c r="BE203" s="71" t="n">
        <f aca="false">BE200+BE214</f>
        <v>29705.466107322</v>
      </c>
      <c r="BF203" s="71" t="n">
        <f aca="false">BF200+BF214</f>
        <v>29705.466107322</v>
      </c>
      <c r="BG203" s="71" t="n">
        <f aca="false">BG200+BG214</f>
        <v>29705.466107322</v>
      </c>
      <c r="BH203" s="71" t="n">
        <f aca="false">BH200+BH214</f>
        <v>29705.466107322</v>
      </c>
      <c r="BI203" s="71" t="n">
        <f aca="false">BI200+BI214</f>
        <v>29705.466107322</v>
      </c>
      <c r="BJ203" s="71" t="n">
        <f aca="false">BJ200+BJ214</f>
        <v>29705.466107322</v>
      </c>
    </row>
    <row r="204" customFormat="false" ht="15" hidden="false" customHeight="false" outlineLevel="0" collapsed="false">
      <c r="A204" s="6" t="s">
        <v>365</v>
      </c>
      <c r="C204" s="65" t="n">
        <f aca="false">-(C219+C220+C222)/2*Inputs!$D$31/12</f>
        <v>-533.333333333333</v>
      </c>
      <c r="D204" s="65" t="n">
        <f aca="false">-(D219+D220+D222)/2*Inputs!$D$31/12</f>
        <v>-528.888888888889</v>
      </c>
      <c r="E204" s="65" t="n">
        <f aca="false">-(E219+E220+E222)/2*Inputs!$D$31/12</f>
        <v>-520</v>
      </c>
      <c r="F204" s="65" t="n">
        <f aca="false">-(F219+F220+F222)/2*Inputs!$D$31/12</f>
        <v>-511.111111111111</v>
      </c>
      <c r="G204" s="65" t="n">
        <f aca="false">-(G219+G220+G222)/2*Inputs!$D$31/12</f>
        <v>-502.222222222222</v>
      </c>
      <c r="H204" s="65" t="n">
        <f aca="false">-(H219+H220+H222)/2*Inputs!$D$31/12</f>
        <v>-493.333333333334</v>
      </c>
      <c r="I204" s="65" t="n">
        <f aca="false">-(I219+I220+I222)/2*Inputs!$D$31/12</f>
        <v>-484.444444444445</v>
      </c>
      <c r="J204" s="65" t="n">
        <f aca="false">-(J219+J220+J222)/2*Inputs!$D$31/12</f>
        <v>-475.555555555556</v>
      </c>
      <c r="K204" s="65" t="n">
        <f aca="false">-(K219+K220+K222)/2*Inputs!$D$31/12</f>
        <v>-466.666666666667</v>
      </c>
      <c r="L204" s="65" t="n">
        <f aca="false">-(L219+L220+L222)/2*Inputs!$D$31/12</f>
        <v>-457.777777777778</v>
      </c>
      <c r="M204" s="65" t="n">
        <f aca="false">-(M219+M220+M222)/2*Inputs!$D$31/12</f>
        <v>-448.888888888889</v>
      </c>
      <c r="N204" s="65" t="n">
        <f aca="false">-(N219+N220+N222)/2*Inputs!$D$31/12</f>
        <v>-440</v>
      </c>
      <c r="O204" s="65" t="n">
        <f aca="false">-(O219+O220+O222)/2*Inputs!$D$31/12</f>
        <v>-431.111111111112</v>
      </c>
      <c r="P204" s="65" t="n">
        <f aca="false">-(P219+P220+P222)/2*Inputs!$D$31/12</f>
        <v>-422.222222222222</v>
      </c>
      <c r="Q204" s="65" t="n">
        <f aca="false">-(Q219+Q220+Q222)/2*Inputs!$D$31/12</f>
        <v>-413.333333333334</v>
      </c>
      <c r="R204" s="65" t="n">
        <f aca="false">-(R219+R220+R222)/2*Inputs!$D$31/12</f>
        <v>-404.444444444445</v>
      </c>
      <c r="S204" s="65" t="n">
        <f aca="false">-(S219+S220+S222)/2*Inputs!$D$31/12</f>
        <v>-395.555555555556</v>
      </c>
      <c r="T204" s="65" t="n">
        <f aca="false">-(T219+T220+T222)/2*Inputs!$D$31/12</f>
        <v>-386.666666666667</v>
      </c>
      <c r="U204" s="65" t="n">
        <f aca="false">-(U219+U220+U222)/2*Inputs!$D$31/12</f>
        <v>-377.777777777778</v>
      </c>
      <c r="V204" s="65" t="n">
        <f aca="false">-(V219+V220+V222)/2*Inputs!$D$31/12</f>
        <v>-368.888888888889</v>
      </c>
      <c r="W204" s="65" t="n">
        <f aca="false">-(W219+W220+W222)/2*Inputs!$D$31/12</f>
        <v>-360</v>
      </c>
      <c r="X204" s="65" t="n">
        <f aca="false">-(X219+X220+X222)/2*Inputs!$D$31/12</f>
        <v>-351.111111111111</v>
      </c>
      <c r="Y204" s="65" t="n">
        <f aca="false">-(Y219+Y220+Y222)/2*Inputs!$D$31/12</f>
        <v>-342.222222222222</v>
      </c>
      <c r="Z204" s="65" t="n">
        <f aca="false">-(Z219+Z220+Z222)/2*Inputs!$D$31/12</f>
        <v>-333.333333333333</v>
      </c>
      <c r="AA204" s="65" t="n">
        <f aca="false">-(AA219+AA220+AA222)/2*Inputs!$D$31/12</f>
        <v>-324.444444444445</v>
      </c>
      <c r="AB204" s="65" t="n">
        <f aca="false">-(AB219+AB220+AB222)/2*Inputs!$D$31/12</f>
        <v>-315.555555555556</v>
      </c>
      <c r="AC204" s="65" t="n">
        <f aca="false">-(AC219+AC220+AC222)/2*Inputs!$D$31/12</f>
        <v>-306.666666666667</v>
      </c>
      <c r="AD204" s="65" t="n">
        <f aca="false">-(AD219+AD220+AD222)/2*Inputs!$D$31/12</f>
        <v>-297.777777777778</v>
      </c>
      <c r="AE204" s="65" t="n">
        <f aca="false">-(AE219+AE220+AE222)/2*Inputs!$D$31/12</f>
        <v>-288.888888888889</v>
      </c>
      <c r="AF204" s="65" t="n">
        <f aca="false">-(AF219+AF220+AF222)/2*Inputs!$D$31/12</f>
        <v>-280</v>
      </c>
      <c r="AG204" s="65" t="n">
        <f aca="false">-(AG219+AG220+AG222)/2*Inputs!$D$31/12</f>
        <v>-271.111111111111</v>
      </c>
      <c r="AH204" s="65" t="n">
        <f aca="false">-(AH219+AH220+AH222)/2*Inputs!$D$31/12</f>
        <v>-262.222222222222</v>
      </c>
      <c r="AI204" s="65" t="n">
        <f aca="false">-(AI219+AI220+AI222)/2*Inputs!$D$31/12</f>
        <v>-253.333333333333</v>
      </c>
      <c r="AJ204" s="65" t="n">
        <f aca="false">-(AJ219+AJ220+AJ222)/2*Inputs!$D$31/12</f>
        <v>-244.444444444444</v>
      </c>
      <c r="AK204" s="65" t="n">
        <f aca="false">-(AK219+AK220+AK222)/2*Inputs!$D$31/12</f>
        <v>-235.555555555556</v>
      </c>
      <c r="AL204" s="65" t="n">
        <f aca="false">-(AL219+AL220+AL222)/2*Inputs!$D$31/12</f>
        <v>-226.666666666667</v>
      </c>
      <c r="AM204" s="65" t="n">
        <f aca="false">-(AM219+AM220+AM222)/2*Inputs!$D$31/12</f>
        <v>-217.777777777778</v>
      </c>
      <c r="AN204" s="65" t="n">
        <f aca="false">-(AN219+AN220+AN222)/2*Inputs!$D$31/12</f>
        <v>-208.888888888889</v>
      </c>
      <c r="AO204" s="65" t="n">
        <f aca="false">-(AO219+AO220+AO222)/2*Inputs!$D$31/12</f>
        <v>-200</v>
      </c>
      <c r="AP204" s="65" t="n">
        <f aca="false">-(AP219+AP220+AP222)/2*Inputs!$D$31/12</f>
        <v>-191.111111111111</v>
      </c>
      <c r="AQ204" s="65" t="n">
        <f aca="false">-(AQ219+AQ220+AQ222)/2*Inputs!$D$31/12</f>
        <v>-182.222222222222</v>
      </c>
      <c r="AR204" s="65" t="n">
        <f aca="false">-(AR219+AR220+AR222)/2*Inputs!$D$31/12</f>
        <v>-173.333333333333</v>
      </c>
      <c r="AS204" s="65" t="n">
        <f aca="false">-(AS219+AS220+AS222)/2*Inputs!$D$31/12</f>
        <v>-164.444444444444</v>
      </c>
      <c r="AT204" s="65" t="n">
        <f aca="false">-(AT219+AT220+AT222)/2*Inputs!$D$31/12</f>
        <v>-155.555555555556</v>
      </c>
      <c r="AU204" s="65" t="n">
        <f aca="false">-(AU219+AU220+AU222)/2*Inputs!$D$31/12</f>
        <v>-146.666666666667</v>
      </c>
      <c r="AV204" s="65" t="n">
        <f aca="false">-(AV219+AV220+AV222)/2*Inputs!$D$31/12</f>
        <v>-137.777777777778</v>
      </c>
      <c r="AW204" s="65" t="n">
        <f aca="false">-(AW219+AW220+AW222)/2*Inputs!$D$31/12</f>
        <v>-128.888888888889</v>
      </c>
      <c r="AX204" s="65" t="n">
        <f aca="false">-(AX219+AX220+AX222)/2*Inputs!$D$31/12</f>
        <v>-120</v>
      </c>
      <c r="AY204" s="65" t="n">
        <f aca="false">-(AY219+AY220+AY222)/2*Inputs!$D$31/12</f>
        <v>-111.111111111111</v>
      </c>
      <c r="AZ204" s="65" t="n">
        <f aca="false">-(AZ219+AZ220+AZ222)/2*Inputs!$D$31/12</f>
        <v>-102.222222222222</v>
      </c>
      <c r="BA204" s="65" t="n">
        <f aca="false">-(BA219+BA220+BA222)/2*Inputs!$D$31/12</f>
        <v>-93.3333333333333</v>
      </c>
      <c r="BB204" s="65" t="n">
        <f aca="false">-(BB219+BB220+BB222)/2*Inputs!$D$31/12</f>
        <v>-84.4444444444445</v>
      </c>
      <c r="BC204" s="65" t="n">
        <f aca="false">-(BC219+BC220+BC222)/2*Inputs!$D$31/12</f>
        <v>-75.5555555555556</v>
      </c>
      <c r="BD204" s="65" t="n">
        <f aca="false">-(BD219+BD220+BD222)/2*Inputs!$D$31/12</f>
        <v>-66.6666666666667</v>
      </c>
      <c r="BE204" s="65" t="n">
        <f aca="false">-(BE219+BE220+BE222)/2*Inputs!$D$31/12</f>
        <v>-57.7777777777778</v>
      </c>
      <c r="BF204" s="65" t="n">
        <f aca="false">-(BF219+BF220+BF222)/2*Inputs!$D$31/12</f>
        <v>-48.8888888888889</v>
      </c>
      <c r="BG204" s="65" t="n">
        <f aca="false">-(BG219+BG220+BG222)/2*Inputs!$D$31/12</f>
        <v>-40</v>
      </c>
      <c r="BH204" s="65" t="n">
        <f aca="false">-(BH219+BH220+BH222)/2*Inputs!$D$31/12</f>
        <v>-31.1111111111111</v>
      </c>
      <c r="BI204" s="65" t="n">
        <f aca="false">-(BI219+BI220+BI222)/2*Inputs!$D$31/12</f>
        <v>-22.2222222222222</v>
      </c>
      <c r="BJ204" s="65" t="n">
        <f aca="false">-(BJ219+BJ220+BJ222)/2*Inputs!$D$31/12</f>
        <v>-13.3333333333333</v>
      </c>
    </row>
    <row r="205" customFormat="false" ht="15" hidden="false" customHeight="false" outlineLevel="0" collapsed="false">
      <c r="A205" s="108" t="s">
        <v>79</v>
      </c>
      <c r="C205" s="66" t="n">
        <f aca="false">C203+C204</f>
        <v>-2517.88095238096</v>
      </c>
      <c r="D205" s="66" t="n">
        <f aca="false">D203+D204</f>
        <v>652.313492063489</v>
      </c>
      <c r="E205" s="66" t="n">
        <f aca="false">E203+E204</f>
        <v>3826.95238095238</v>
      </c>
      <c r="F205" s="66" t="n">
        <f aca="false">F203+F204</f>
        <v>7001.59126984127</v>
      </c>
      <c r="G205" s="66" t="n">
        <f aca="false">G203+G204</f>
        <v>10176.2301587302</v>
      </c>
      <c r="H205" s="66" t="n">
        <f aca="false">H203+H204</f>
        <v>10185.119047619</v>
      </c>
      <c r="I205" s="66" t="n">
        <f aca="false">I203+I204</f>
        <v>10194.0079365079</v>
      </c>
      <c r="J205" s="66" t="n">
        <f aca="false">J203+J204</f>
        <v>10202.8968253968</v>
      </c>
      <c r="K205" s="66" t="n">
        <f aca="false">K203+K204</f>
        <v>10211.7857142857</v>
      </c>
      <c r="L205" s="66" t="n">
        <f aca="false">L203+L204</f>
        <v>10220.6746031746</v>
      </c>
      <c r="M205" s="66" t="n">
        <f aca="false">M203+M204</f>
        <v>10229.5634920635</v>
      </c>
      <c r="N205" s="66" t="n">
        <f aca="false">N203+N204</f>
        <v>10238.4523809524</v>
      </c>
      <c r="O205" s="66" t="n">
        <f aca="false">O203+O204</f>
        <v>14095.9832698413</v>
      </c>
      <c r="P205" s="66" t="n">
        <f aca="false">P203+P204</f>
        <v>14104.8721587302</v>
      </c>
      <c r="Q205" s="66" t="n">
        <f aca="false">Q203+Q204</f>
        <v>14113.761047619</v>
      </c>
      <c r="R205" s="66" t="n">
        <f aca="false">R203+R204</f>
        <v>14122.6499365079</v>
      </c>
      <c r="S205" s="66" t="n">
        <f aca="false">S203+S204</f>
        <v>14131.5388253968</v>
      </c>
      <c r="T205" s="66" t="n">
        <f aca="false">T203+T204</f>
        <v>14140.4277142857</v>
      </c>
      <c r="U205" s="66" t="n">
        <f aca="false">U203+U204</f>
        <v>14149.3166031746</v>
      </c>
      <c r="V205" s="66" t="n">
        <f aca="false">V203+V204</f>
        <v>14158.2054920635</v>
      </c>
      <c r="W205" s="66" t="n">
        <f aca="false">W203+W204</f>
        <v>14167.0943809524</v>
      </c>
      <c r="X205" s="66" t="n">
        <f aca="false">X203+X204</f>
        <v>14175.9832698413</v>
      </c>
      <c r="Y205" s="66" t="n">
        <f aca="false">Y203+Y204</f>
        <v>14184.8721587302</v>
      </c>
      <c r="Z205" s="66" t="n">
        <f aca="false">Z203+Z204</f>
        <v>14193.761047619</v>
      </c>
      <c r="AA205" s="66" t="n">
        <f aca="false">AA203+AA204</f>
        <v>18604.9213877079</v>
      </c>
      <c r="AB205" s="66" t="n">
        <f aca="false">AB203+AB204</f>
        <v>18613.8102765968</v>
      </c>
      <c r="AC205" s="66" t="n">
        <f aca="false">AC203+AC204</f>
        <v>18622.6991654857</v>
      </c>
      <c r="AD205" s="66" t="n">
        <f aca="false">AD203+AD204</f>
        <v>18631.5880543746</v>
      </c>
      <c r="AE205" s="66" t="n">
        <f aca="false">AE203+AE204</f>
        <v>18640.4769432635</v>
      </c>
      <c r="AF205" s="66" t="n">
        <f aca="false">AF203+AF204</f>
        <v>18649.3658321524</v>
      </c>
      <c r="AG205" s="66" t="n">
        <f aca="false">AG203+AG204</f>
        <v>18658.2547210413</v>
      </c>
      <c r="AH205" s="66" t="n">
        <f aca="false">AH203+AH204</f>
        <v>18667.1436099302</v>
      </c>
      <c r="AI205" s="66" t="n">
        <f aca="false">AI203+AI204</f>
        <v>18676.0324988191</v>
      </c>
      <c r="AJ205" s="66" t="n">
        <f aca="false">AJ203+AJ204</f>
        <v>18684.9213877079</v>
      </c>
      <c r="AK205" s="66" t="n">
        <f aca="false">AK203+AK204</f>
        <v>18693.8102765968</v>
      </c>
      <c r="AL205" s="66" t="n">
        <f aca="false">AL203+AL204</f>
        <v>18702.6991654857</v>
      </c>
      <c r="AM205" s="66" t="n">
        <f aca="false">AM203+AM204</f>
        <v>23742.6373778549</v>
      </c>
      <c r="AN205" s="66" t="n">
        <f aca="false">AN203+AN204</f>
        <v>23751.5262667438</v>
      </c>
      <c r="AO205" s="66" t="n">
        <f aca="false">AO203+AO204</f>
        <v>23760.4151556327</v>
      </c>
      <c r="AP205" s="66" t="n">
        <f aca="false">AP203+AP204</f>
        <v>23769.3040445216</v>
      </c>
      <c r="AQ205" s="66" t="n">
        <f aca="false">AQ203+AQ204</f>
        <v>23778.1929334105</v>
      </c>
      <c r="AR205" s="66" t="n">
        <f aca="false">AR203+AR204</f>
        <v>23787.0818222994</v>
      </c>
      <c r="AS205" s="66" t="n">
        <f aca="false">AS203+AS204</f>
        <v>23795.9707111883</v>
      </c>
      <c r="AT205" s="66" t="n">
        <f aca="false">AT203+AT204</f>
        <v>23804.8596000772</v>
      </c>
      <c r="AU205" s="66" t="n">
        <f aca="false">AU203+AU204</f>
        <v>23813.748488966</v>
      </c>
      <c r="AV205" s="66" t="n">
        <f aca="false">AV203+AV204</f>
        <v>23822.6373778549</v>
      </c>
      <c r="AW205" s="66" t="n">
        <f aca="false">AW203+AW204</f>
        <v>23831.5262667438</v>
      </c>
      <c r="AX205" s="66" t="n">
        <f aca="false">AX203+AX204</f>
        <v>23840.4151556327</v>
      </c>
      <c r="AY205" s="66" t="n">
        <f aca="false">AY203+AY204</f>
        <v>29594.3549962109</v>
      </c>
      <c r="AZ205" s="66" t="n">
        <f aca="false">AZ203+AZ204</f>
        <v>29603.2438850998</v>
      </c>
      <c r="BA205" s="66" t="n">
        <f aca="false">BA203+BA204</f>
        <v>29612.1327739887</v>
      </c>
      <c r="BB205" s="66" t="n">
        <f aca="false">BB203+BB204</f>
        <v>29621.0216628776</v>
      </c>
      <c r="BC205" s="66" t="n">
        <f aca="false">BC203+BC204</f>
        <v>29629.9105517665</v>
      </c>
      <c r="BD205" s="66" t="n">
        <f aca="false">BD203+BD204</f>
        <v>29638.7994406553</v>
      </c>
      <c r="BE205" s="66" t="n">
        <f aca="false">BE203+BE204</f>
        <v>29647.6883295442</v>
      </c>
      <c r="BF205" s="66" t="n">
        <f aca="false">BF203+BF204</f>
        <v>29656.5772184331</v>
      </c>
      <c r="BG205" s="66" t="n">
        <f aca="false">BG203+BG204</f>
        <v>29665.466107322</v>
      </c>
      <c r="BH205" s="66" t="n">
        <f aca="false">BH203+BH204</f>
        <v>29674.3549962109</v>
      </c>
      <c r="BI205" s="66" t="n">
        <f aca="false">BI203+BI204</f>
        <v>29683.2438850998</v>
      </c>
      <c r="BJ205" s="66" t="n">
        <f aca="false">BJ203+BJ204</f>
        <v>29692.1327739887</v>
      </c>
    </row>
    <row r="206" customFormat="false" ht="15" hidden="false" customHeight="false" outlineLevel="0" collapsed="false">
      <c r="A206" s="114" t="s">
        <v>366</v>
      </c>
      <c r="C206" s="65" t="n">
        <f aca="false">C205</f>
        <v>-2517.88095238096</v>
      </c>
      <c r="D206" s="65" t="n">
        <f aca="false">C206+D205</f>
        <v>-1865.56746031747</v>
      </c>
      <c r="E206" s="65" t="n">
        <f aca="false">D206+E205</f>
        <v>1961.38492063491</v>
      </c>
      <c r="F206" s="65" t="n">
        <f aca="false">E206+F205</f>
        <v>8962.97619047618</v>
      </c>
      <c r="G206" s="65" t="n">
        <f aca="false">F206+G205</f>
        <v>19139.2063492063</v>
      </c>
      <c r="H206" s="65" t="n">
        <f aca="false">G206+H205</f>
        <v>29324.3253968254</v>
      </c>
      <c r="I206" s="65" t="n">
        <f aca="false">H206+I205</f>
        <v>39518.3333333333</v>
      </c>
      <c r="J206" s="65" t="n">
        <f aca="false">I206+J205</f>
        <v>49721.2301587301</v>
      </c>
      <c r="K206" s="65" t="n">
        <f aca="false">J206+K205</f>
        <v>59933.0158730158</v>
      </c>
      <c r="L206" s="65" t="n">
        <f aca="false">K206+L205</f>
        <v>70153.6904761904</v>
      </c>
      <c r="M206" s="65" t="n">
        <f aca="false">L206+M205</f>
        <v>80383.2539682539</v>
      </c>
      <c r="N206" s="65" t="n">
        <f aca="false">M206+N205</f>
        <v>90621.7063492063</v>
      </c>
      <c r="O206" s="65" t="n">
        <f aca="false">N206+O205</f>
        <v>104717.689619048</v>
      </c>
      <c r="P206" s="65" t="n">
        <f aca="false">O206+P205</f>
        <v>118822.561777778</v>
      </c>
      <c r="Q206" s="65" t="n">
        <f aca="false">P206+Q205</f>
        <v>132936.322825397</v>
      </c>
      <c r="R206" s="65" t="n">
        <f aca="false">Q206+R205</f>
        <v>147058.972761905</v>
      </c>
      <c r="S206" s="65" t="n">
        <f aca="false">R206+S205</f>
        <v>161190.511587302</v>
      </c>
      <c r="T206" s="65" t="n">
        <f aca="false">S206+T205</f>
        <v>175330.939301587</v>
      </c>
      <c r="U206" s="65" t="n">
        <f aca="false">T206+U205</f>
        <v>189480.255904762</v>
      </c>
      <c r="V206" s="65" t="n">
        <f aca="false">U206+V205</f>
        <v>203638.461396825</v>
      </c>
      <c r="W206" s="65" t="n">
        <f aca="false">V206+W205</f>
        <v>217805.555777778</v>
      </c>
      <c r="X206" s="65" t="n">
        <f aca="false">W206+X205</f>
        <v>231981.539047619</v>
      </c>
      <c r="Y206" s="65" t="n">
        <f aca="false">X206+Y205</f>
        <v>246166.411206349</v>
      </c>
      <c r="Z206" s="65" t="n">
        <f aca="false">Y206+Z205</f>
        <v>260360.172253968</v>
      </c>
      <c r="AA206" s="65" t="n">
        <f aca="false">Z206+AA205</f>
        <v>278965.093641676</v>
      </c>
      <c r="AB206" s="65" t="n">
        <f aca="false">AA206+AB205</f>
        <v>297578.903918273</v>
      </c>
      <c r="AC206" s="65" t="n">
        <f aca="false">AB206+AC205</f>
        <v>316201.603083759</v>
      </c>
      <c r="AD206" s="65" t="n">
        <f aca="false">AC206+AD205</f>
        <v>334833.191138133</v>
      </c>
      <c r="AE206" s="65" t="n">
        <f aca="false">AD206+AE205</f>
        <v>353473.668081397</v>
      </c>
      <c r="AF206" s="65" t="n">
        <f aca="false">AE206+AF205</f>
        <v>372123.033913549</v>
      </c>
      <c r="AG206" s="65" t="n">
        <f aca="false">AF206+AG205</f>
        <v>390781.28863459</v>
      </c>
      <c r="AH206" s="65" t="n">
        <f aca="false">AG206+AH205</f>
        <v>409448.432244521</v>
      </c>
      <c r="AI206" s="65" t="n">
        <f aca="false">AH206+AI205</f>
        <v>428124.46474334</v>
      </c>
      <c r="AJ206" s="65" t="n">
        <f aca="false">AI206+AJ205</f>
        <v>446809.386131048</v>
      </c>
      <c r="AK206" s="65" t="n">
        <f aca="false">AJ206+AK205</f>
        <v>465503.196407644</v>
      </c>
      <c r="AL206" s="65" t="n">
        <f aca="false">AK206+AL205</f>
        <v>484205.89557313</v>
      </c>
      <c r="AM206" s="65" t="n">
        <f aca="false">AL206+AM205</f>
        <v>507948.532950985</v>
      </c>
      <c r="AN206" s="65" t="n">
        <f aca="false">AM206+AN205</f>
        <v>531700.059217729</v>
      </c>
      <c r="AO206" s="65" t="n">
        <f aca="false">AN206+AO205</f>
        <v>555460.474373362</v>
      </c>
      <c r="AP206" s="65" t="n">
        <f aca="false">AO206+AP205</f>
        <v>579229.778417883</v>
      </c>
      <c r="AQ206" s="65" t="n">
        <f aca="false">AP206+AQ205</f>
        <v>603007.971351294</v>
      </c>
      <c r="AR206" s="65" t="n">
        <f aca="false">AQ206+AR205</f>
        <v>626795.053173593</v>
      </c>
      <c r="AS206" s="65" t="n">
        <f aca="false">AR206+AS205</f>
        <v>650591.023884781</v>
      </c>
      <c r="AT206" s="65" t="n">
        <f aca="false">AS206+AT205</f>
        <v>674395.883484859</v>
      </c>
      <c r="AU206" s="65" t="n">
        <f aca="false">AT206+AU205</f>
        <v>698209.631973825</v>
      </c>
      <c r="AV206" s="65" t="n">
        <f aca="false">AU206+AV205</f>
        <v>722032.26935168</v>
      </c>
      <c r="AW206" s="65" t="n">
        <f aca="false">AV206+AW205</f>
        <v>745863.795618423</v>
      </c>
      <c r="AX206" s="65" t="n">
        <f aca="false">AW206+AX205</f>
        <v>769704.210774056</v>
      </c>
      <c r="AY206" s="65" t="n">
        <f aca="false">AX206+AY205</f>
        <v>799298.565770267</v>
      </c>
      <c r="AZ206" s="65" t="n">
        <f aca="false">AY206+AZ205</f>
        <v>828901.809655367</v>
      </c>
      <c r="BA206" s="65" t="n">
        <f aca="false">AZ206+BA205</f>
        <v>858513.942429355</v>
      </c>
      <c r="BB206" s="65" t="n">
        <f aca="false">BA206+BB205</f>
        <v>888134.964092233</v>
      </c>
      <c r="BC206" s="65" t="n">
        <f aca="false">BB206+BC205</f>
        <v>917764.874643999</v>
      </c>
      <c r="BD206" s="65" t="n">
        <f aca="false">BC206+BD205</f>
        <v>947403.674084655</v>
      </c>
      <c r="BE206" s="65" t="n">
        <f aca="false">BD206+BE205</f>
        <v>977051.362414199</v>
      </c>
      <c r="BF206" s="65" t="n">
        <f aca="false">BE206+BF205</f>
        <v>1006707.93963263</v>
      </c>
      <c r="BG206" s="65" t="n">
        <f aca="false">BF206+BG205</f>
        <v>1036373.40573995</v>
      </c>
      <c r="BH206" s="65" t="n">
        <f aca="false">BG206+BH205</f>
        <v>1066047.76073616</v>
      </c>
      <c r="BI206" s="65" t="n">
        <f aca="false">BH206+BI205</f>
        <v>1095731.00462126</v>
      </c>
      <c r="BJ206" s="65" t="n">
        <f aca="false">BI206+BJ205</f>
        <v>1125423.13739525</v>
      </c>
    </row>
    <row r="207" customFormat="false" ht="15" hidden="false" customHeight="false" outlineLevel="0" collapsed="false">
      <c r="A207" s="114" t="s">
        <v>367</v>
      </c>
      <c r="C207" s="65" t="n">
        <f aca="false">MAX(0,C206)</f>
        <v>0</v>
      </c>
      <c r="D207" s="65" t="n">
        <f aca="false">MAX(C207,D206)</f>
        <v>0</v>
      </c>
      <c r="E207" s="65" t="n">
        <f aca="false">MAX(D207,E206)</f>
        <v>1961.38492063491</v>
      </c>
      <c r="F207" s="65" t="n">
        <f aca="false">MAX(E207,F206)</f>
        <v>8962.97619047618</v>
      </c>
      <c r="G207" s="65" t="n">
        <f aca="false">MAX(F207,G206)</f>
        <v>19139.2063492063</v>
      </c>
      <c r="H207" s="65" t="n">
        <f aca="false">MAX(G207,H206)</f>
        <v>29324.3253968254</v>
      </c>
      <c r="I207" s="65" t="n">
        <f aca="false">MAX(H207,I206)</f>
        <v>39518.3333333333</v>
      </c>
      <c r="J207" s="65" t="n">
        <f aca="false">MAX(I207,J206)</f>
        <v>49721.2301587301</v>
      </c>
      <c r="K207" s="65" t="n">
        <f aca="false">MAX(J207,K206)</f>
        <v>59933.0158730158</v>
      </c>
      <c r="L207" s="65" t="n">
        <f aca="false">MAX(K207,L206)</f>
        <v>70153.6904761904</v>
      </c>
      <c r="M207" s="65" t="n">
        <f aca="false">MAX(L207,M206)</f>
        <v>80383.2539682539</v>
      </c>
      <c r="N207" s="65" t="n">
        <f aca="false">MAX(M207,N206)</f>
        <v>90621.7063492063</v>
      </c>
      <c r="O207" s="65" t="n">
        <f aca="false">MAX(N207,O206)</f>
        <v>104717.689619048</v>
      </c>
      <c r="P207" s="65" t="n">
        <f aca="false">MAX(O207,P206)</f>
        <v>118822.561777778</v>
      </c>
      <c r="Q207" s="65" t="n">
        <f aca="false">MAX(P207,Q206)</f>
        <v>132936.322825397</v>
      </c>
      <c r="R207" s="65" t="n">
        <f aca="false">MAX(Q207,R206)</f>
        <v>147058.972761905</v>
      </c>
      <c r="S207" s="65" t="n">
        <f aca="false">MAX(R207,S206)</f>
        <v>161190.511587302</v>
      </c>
      <c r="T207" s="65" t="n">
        <f aca="false">MAX(S207,T206)</f>
        <v>175330.939301587</v>
      </c>
      <c r="U207" s="65" t="n">
        <f aca="false">MAX(T207,U206)</f>
        <v>189480.255904762</v>
      </c>
      <c r="V207" s="65" t="n">
        <f aca="false">MAX(U207,V206)</f>
        <v>203638.461396825</v>
      </c>
      <c r="W207" s="65" t="n">
        <f aca="false">MAX(V207,W206)</f>
        <v>217805.555777778</v>
      </c>
      <c r="X207" s="65" t="n">
        <f aca="false">MAX(W207,X206)</f>
        <v>231981.539047619</v>
      </c>
      <c r="Y207" s="65" t="n">
        <f aca="false">MAX(X207,Y206)</f>
        <v>246166.411206349</v>
      </c>
      <c r="Z207" s="65" t="n">
        <f aca="false">MAX(Y207,Z206)</f>
        <v>260360.172253968</v>
      </c>
      <c r="AA207" s="65" t="n">
        <f aca="false">MAX(Z207,AA206)</f>
        <v>278965.093641676</v>
      </c>
      <c r="AB207" s="65" t="n">
        <f aca="false">MAX(AA207,AB206)</f>
        <v>297578.903918273</v>
      </c>
      <c r="AC207" s="65" t="n">
        <f aca="false">MAX(AB207,AC206)</f>
        <v>316201.603083759</v>
      </c>
      <c r="AD207" s="65" t="n">
        <f aca="false">MAX(AC207,AD206)</f>
        <v>334833.191138133</v>
      </c>
      <c r="AE207" s="65" t="n">
        <f aca="false">MAX(AD207,AE206)</f>
        <v>353473.668081397</v>
      </c>
      <c r="AF207" s="65" t="n">
        <f aca="false">MAX(AE207,AF206)</f>
        <v>372123.033913549</v>
      </c>
      <c r="AG207" s="65" t="n">
        <f aca="false">MAX(AF207,AG206)</f>
        <v>390781.28863459</v>
      </c>
      <c r="AH207" s="65" t="n">
        <f aca="false">MAX(AG207,AH206)</f>
        <v>409448.432244521</v>
      </c>
      <c r="AI207" s="65" t="n">
        <f aca="false">MAX(AH207,AI206)</f>
        <v>428124.46474334</v>
      </c>
      <c r="AJ207" s="65" t="n">
        <f aca="false">MAX(AI207,AJ206)</f>
        <v>446809.386131048</v>
      </c>
      <c r="AK207" s="65" t="n">
        <f aca="false">MAX(AJ207,AK206)</f>
        <v>465503.196407644</v>
      </c>
      <c r="AL207" s="65" t="n">
        <f aca="false">MAX(AK207,AL206)</f>
        <v>484205.89557313</v>
      </c>
      <c r="AM207" s="65" t="n">
        <f aca="false">MAX(AL207,AM206)</f>
        <v>507948.532950985</v>
      </c>
      <c r="AN207" s="65" t="n">
        <f aca="false">MAX(AM207,AN206)</f>
        <v>531700.059217729</v>
      </c>
      <c r="AO207" s="65" t="n">
        <f aca="false">MAX(AN207,AO206)</f>
        <v>555460.474373362</v>
      </c>
      <c r="AP207" s="65" t="n">
        <f aca="false">MAX(AO207,AP206)</f>
        <v>579229.778417883</v>
      </c>
      <c r="AQ207" s="65" t="n">
        <f aca="false">MAX(AP207,AQ206)</f>
        <v>603007.971351294</v>
      </c>
      <c r="AR207" s="65" t="n">
        <f aca="false">MAX(AQ207,AR206)</f>
        <v>626795.053173593</v>
      </c>
      <c r="AS207" s="65" t="n">
        <f aca="false">MAX(AR207,AS206)</f>
        <v>650591.023884781</v>
      </c>
      <c r="AT207" s="65" t="n">
        <f aca="false">MAX(AS207,AT206)</f>
        <v>674395.883484859</v>
      </c>
      <c r="AU207" s="65" t="n">
        <f aca="false">MAX(AT207,AU206)</f>
        <v>698209.631973825</v>
      </c>
      <c r="AV207" s="65" t="n">
        <f aca="false">MAX(AU207,AV206)</f>
        <v>722032.26935168</v>
      </c>
      <c r="AW207" s="65" t="n">
        <f aca="false">MAX(AV207,AW206)</f>
        <v>745863.795618423</v>
      </c>
      <c r="AX207" s="65" t="n">
        <f aca="false">MAX(AW207,AX206)</f>
        <v>769704.210774056</v>
      </c>
      <c r="AY207" s="65" t="n">
        <f aca="false">MAX(AX207,AY206)</f>
        <v>799298.565770267</v>
      </c>
      <c r="AZ207" s="65" t="n">
        <f aca="false">MAX(AY207,AZ206)</f>
        <v>828901.809655367</v>
      </c>
      <c r="BA207" s="65" t="n">
        <f aca="false">MAX(AZ207,BA206)</f>
        <v>858513.942429355</v>
      </c>
      <c r="BB207" s="65" t="n">
        <f aca="false">MAX(BA207,BB206)</f>
        <v>888134.964092233</v>
      </c>
      <c r="BC207" s="65" t="n">
        <f aca="false">MAX(BB207,BC206)</f>
        <v>917764.874643999</v>
      </c>
      <c r="BD207" s="65" t="n">
        <f aca="false">MAX(BC207,BD206)</f>
        <v>947403.674084655</v>
      </c>
      <c r="BE207" s="65" t="n">
        <f aca="false">MAX(BD207,BE206)</f>
        <v>977051.362414199</v>
      </c>
      <c r="BF207" s="65" t="n">
        <f aca="false">MAX(BE207,BF206)</f>
        <v>1006707.93963263</v>
      </c>
      <c r="BG207" s="65" t="n">
        <f aca="false">MAX(BF207,BG206)</f>
        <v>1036373.40573995</v>
      </c>
      <c r="BH207" s="65" t="n">
        <f aca="false">MAX(BG207,BH206)</f>
        <v>1066047.76073616</v>
      </c>
      <c r="BI207" s="65" t="n">
        <f aca="false">MAX(BH207,BI206)</f>
        <v>1095731.00462126</v>
      </c>
      <c r="BJ207" s="65" t="n">
        <f aca="false">MAX(BI207,BJ206)</f>
        <v>1125423.13739525</v>
      </c>
    </row>
    <row r="208" customFormat="false" ht="15" hidden="false" customHeight="false" outlineLevel="0" collapsed="false">
      <c r="A208" s="6" t="s">
        <v>80</v>
      </c>
      <c r="C208" s="65" t="n">
        <f aca="false">-C207*Inputs!$D$41</f>
        <v>-0</v>
      </c>
      <c r="D208" s="65" t="n">
        <f aca="false">-(D207-C207)*Inputs!$D$41</f>
        <v>-0</v>
      </c>
      <c r="E208" s="65" t="n">
        <f aca="false">-(E207-D207)*Inputs!$D$41</f>
        <v>-411.890833333332</v>
      </c>
      <c r="F208" s="65" t="n">
        <f aca="false">-(F207-E207)*Inputs!$D$41</f>
        <v>-1470.33416666667</v>
      </c>
      <c r="G208" s="65" t="n">
        <f aca="false">-(G207-F207)*Inputs!$D$41</f>
        <v>-2137.00833333333</v>
      </c>
      <c r="H208" s="65" t="n">
        <f aca="false">-(H207-G207)*Inputs!$D$41</f>
        <v>-2138.875</v>
      </c>
      <c r="I208" s="65" t="n">
        <f aca="false">-(I207-H207)*Inputs!$D$41</f>
        <v>-2140.74166666667</v>
      </c>
      <c r="J208" s="65" t="n">
        <f aca="false">-(J207-I207)*Inputs!$D$41</f>
        <v>-2142.60833333333</v>
      </c>
      <c r="K208" s="65" t="n">
        <f aca="false">-(K207-J207)*Inputs!$D$41</f>
        <v>-2144.475</v>
      </c>
      <c r="L208" s="65" t="n">
        <f aca="false">-(L207-K207)*Inputs!$D$41</f>
        <v>-2146.34166666667</v>
      </c>
      <c r="M208" s="65" t="n">
        <f aca="false">-(M207-L207)*Inputs!$D$41</f>
        <v>-2148.20833333333</v>
      </c>
      <c r="N208" s="65" t="n">
        <f aca="false">-(N207-M207)*Inputs!$D$41</f>
        <v>-2150.075</v>
      </c>
      <c r="O208" s="65" t="n">
        <f aca="false">-(O207-N207)*Inputs!$D$41</f>
        <v>-2960.15648666667</v>
      </c>
      <c r="P208" s="65" t="n">
        <f aca="false">-(P207-O207)*Inputs!$D$41</f>
        <v>-2962.02315333333</v>
      </c>
      <c r="Q208" s="65" t="n">
        <f aca="false">-(Q207-P207)*Inputs!$D$41</f>
        <v>-2963.88982</v>
      </c>
      <c r="R208" s="65" t="n">
        <f aca="false">-(R207-Q207)*Inputs!$D$41</f>
        <v>-2965.75648666666</v>
      </c>
      <c r="S208" s="65" t="n">
        <f aca="false">-(S207-R207)*Inputs!$D$41</f>
        <v>-2967.62315333333</v>
      </c>
      <c r="T208" s="65" t="n">
        <f aca="false">-(T207-S207)*Inputs!$D$41</f>
        <v>-2969.48982</v>
      </c>
      <c r="U208" s="65" t="n">
        <f aca="false">-(U207-T207)*Inputs!$D$41</f>
        <v>-2971.35648666667</v>
      </c>
      <c r="V208" s="65" t="n">
        <f aca="false">-(V207-U207)*Inputs!$D$41</f>
        <v>-2973.22315333333</v>
      </c>
      <c r="W208" s="65" t="n">
        <f aca="false">-(W207-V207)*Inputs!$D$41</f>
        <v>-2975.08982</v>
      </c>
      <c r="X208" s="65" t="n">
        <f aca="false">-(X207-W207)*Inputs!$D$41</f>
        <v>-2976.95648666667</v>
      </c>
      <c r="Y208" s="65" t="n">
        <f aca="false">-(Y207-X207)*Inputs!$D$41</f>
        <v>-2978.82315333334</v>
      </c>
      <c r="Z208" s="65" t="n">
        <f aca="false">-(Z207-Y207)*Inputs!$D$41</f>
        <v>-2980.68982</v>
      </c>
      <c r="AA208" s="65" t="n">
        <f aca="false">-(AA207-Z207)*Inputs!$D$41</f>
        <v>-3907.03349141867</v>
      </c>
      <c r="AB208" s="65" t="n">
        <f aca="false">-(AB207-AA207)*Inputs!$D$41</f>
        <v>-3908.90015808533</v>
      </c>
      <c r="AC208" s="65" t="n">
        <f aca="false">-(AC207-AB207)*Inputs!$D$41</f>
        <v>-3910.76682475201</v>
      </c>
      <c r="AD208" s="65" t="n">
        <f aca="false">-(AD207-AC207)*Inputs!$D$41</f>
        <v>-3912.63349141867</v>
      </c>
      <c r="AE208" s="65" t="n">
        <f aca="false">-(AE207-AD207)*Inputs!$D$41</f>
        <v>-3914.50015808533</v>
      </c>
      <c r="AF208" s="65" t="n">
        <f aca="false">-(AF207-AE207)*Inputs!$D$41</f>
        <v>-3916.366824752</v>
      </c>
      <c r="AG208" s="65" t="n">
        <f aca="false">-(AG207-AF207)*Inputs!$D$41</f>
        <v>-3918.23349141867</v>
      </c>
      <c r="AH208" s="65" t="n">
        <f aca="false">-(AH207-AG207)*Inputs!$D$41</f>
        <v>-3920.10015808534</v>
      </c>
      <c r="AI208" s="65" t="n">
        <f aca="false">-(AI207-AH207)*Inputs!$D$41</f>
        <v>-3921.966824752</v>
      </c>
      <c r="AJ208" s="65" t="n">
        <f aca="false">-(AJ207-AI207)*Inputs!$D$41</f>
        <v>-3923.83349141867</v>
      </c>
      <c r="AK208" s="65" t="n">
        <f aca="false">-(AK207-AJ207)*Inputs!$D$41</f>
        <v>-3925.70015808533</v>
      </c>
      <c r="AL208" s="65" t="n">
        <f aca="false">-(AL207-AK207)*Inputs!$D$41</f>
        <v>-3927.56682475201</v>
      </c>
      <c r="AM208" s="65" t="n">
        <f aca="false">-(AM207-AL207)*Inputs!$D$41</f>
        <v>-4985.95384934954</v>
      </c>
      <c r="AN208" s="65" t="n">
        <f aca="false">-(AN207-AM207)*Inputs!$D$41</f>
        <v>-4987.82051601619</v>
      </c>
      <c r="AO208" s="65" t="n">
        <f aca="false">-(AO207-AN207)*Inputs!$D$41</f>
        <v>-4989.68718268286</v>
      </c>
      <c r="AP208" s="65" t="n">
        <f aca="false">-(AP207-AO207)*Inputs!$D$41</f>
        <v>-4991.55384934955</v>
      </c>
      <c r="AQ208" s="65" t="n">
        <f aca="false">-(AQ207-AP207)*Inputs!$D$41</f>
        <v>-4993.42051601621</v>
      </c>
      <c r="AR208" s="65" t="n">
        <f aca="false">-(AR207-AQ207)*Inputs!$D$41</f>
        <v>-4995.28718268287</v>
      </c>
      <c r="AS208" s="65" t="n">
        <f aca="false">-(AS207-AR207)*Inputs!$D$41</f>
        <v>-4997.15384934954</v>
      </c>
      <c r="AT208" s="65" t="n">
        <f aca="false">-(AT207-AS207)*Inputs!$D$41</f>
        <v>-4999.0205160162</v>
      </c>
      <c r="AU208" s="65" t="n">
        <f aca="false">-(AU207-AT207)*Inputs!$D$41</f>
        <v>-5000.88718268287</v>
      </c>
      <c r="AV208" s="65" t="n">
        <f aca="false">-(AV207-AU207)*Inputs!$D$41</f>
        <v>-5002.75384934953</v>
      </c>
      <c r="AW208" s="65" t="n">
        <f aca="false">-(AW207-AV207)*Inputs!$D$41</f>
        <v>-5004.62051601619</v>
      </c>
      <c r="AX208" s="65" t="n">
        <f aca="false">-(AX207-AW207)*Inputs!$D$41</f>
        <v>-5006.48718268286</v>
      </c>
      <c r="AY208" s="65" t="n">
        <f aca="false">-(AY207-AX207)*Inputs!$D$41</f>
        <v>-6214.81454920429</v>
      </c>
      <c r="AZ208" s="65" t="n">
        <f aca="false">-(AZ207-AY207)*Inputs!$D$41</f>
        <v>-6216.68121587095</v>
      </c>
      <c r="BA208" s="65" t="n">
        <f aca="false">-(BA207-AZ207)*Inputs!$D$41</f>
        <v>-6218.54788253762</v>
      </c>
      <c r="BB208" s="65" t="n">
        <f aca="false">-(BB207-BA207)*Inputs!$D$41</f>
        <v>-6220.41454920428</v>
      </c>
      <c r="BC208" s="65" t="n">
        <f aca="false">-(BC207-BB207)*Inputs!$D$41</f>
        <v>-6222.28121587094</v>
      </c>
      <c r="BD208" s="65" t="n">
        <f aca="false">-(BD207-BC207)*Inputs!$D$41</f>
        <v>-6224.14788253763</v>
      </c>
      <c r="BE208" s="65" t="n">
        <f aca="false">-(BE207-BD207)*Inputs!$D$41</f>
        <v>-6226.0145492043</v>
      </c>
      <c r="BF208" s="65" t="n">
        <f aca="false">-(BF207-BE207)*Inputs!$D$41</f>
        <v>-6227.88121587096</v>
      </c>
      <c r="BG208" s="65" t="n">
        <f aca="false">-(BG207-BF207)*Inputs!$D$41</f>
        <v>-6229.74788253762</v>
      </c>
      <c r="BH208" s="65" t="n">
        <f aca="false">-(BH207-BG207)*Inputs!$D$41</f>
        <v>-6231.61454920429</v>
      </c>
      <c r="BI208" s="65" t="n">
        <f aca="false">-(BI207-BH207)*Inputs!$D$41</f>
        <v>-6233.48121587098</v>
      </c>
      <c r="BJ208" s="65" t="n">
        <f aca="false">-(BJ207-BI207)*Inputs!$D$41</f>
        <v>-6235.34788253762</v>
      </c>
    </row>
    <row r="209" customFormat="false" ht="15" hidden="false" customHeight="false" outlineLevel="0" collapsed="false">
      <c r="A209" s="108" t="s">
        <v>50</v>
      </c>
      <c r="C209" s="66" t="n">
        <f aca="false">C205+C208</f>
        <v>-2517.88095238096</v>
      </c>
      <c r="D209" s="66" t="n">
        <f aca="false">D205+D208</f>
        <v>652.313492063489</v>
      </c>
      <c r="E209" s="66" t="n">
        <f aca="false">E205+E208</f>
        <v>3415.06154761905</v>
      </c>
      <c r="F209" s="66" t="n">
        <f aca="false">F205+F208</f>
        <v>5531.2571031746</v>
      </c>
      <c r="G209" s="66" t="n">
        <f aca="false">G205+G208</f>
        <v>8039.22182539682</v>
      </c>
      <c r="H209" s="66" t="n">
        <f aca="false">H205+H208</f>
        <v>8046.24404761905</v>
      </c>
      <c r="I209" s="66" t="n">
        <f aca="false">I205+I208</f>
        <v>8053.26626984127</v>
      </c>
      <c r="J209" s="66" t="n">
        <f aca="false">J205+J208</f>
        <v>8060.28849206349</v>
      </c>
      <c r="K209" s="66" t="n">
        <f aca="false">K205+K208</f>
        <v>8067.31071428571</v>
      </c>
      <c r="L209" s="66" t="n">
        <f aca="false">L205+L208</f>
        <v>8074.33293650793</v>
      </c>
      <c r="M209" s="66" t="n">
        <f aca="false">M205+M208</f>
        <v>8081.35515873016</v>
      </c>
      <c r="N209" s="66" t="n">
        <f aca="false">N205+N208</f>
        <v>8088.37738095238</v>
      </c>
      <c r="O209" s="66" t="n">
        <f aca="false">O205+O208</f>
        <v>11135.8267831746</v>
      </c>
      <c r="P209" s="66" t="n">
        <f aca="false">P205+P208</f>
        <v>11142.8490053968</v>
      </c>
      <c r="Q209" s="66" t="n">
        <f aca="false">Q205+Q208</f>
        <v>11149.871227619</v>
      </c>
      <c r="R209" s="66" t="n">
        <f aca="false">R205+R208</f>
        <v>11156.8934498413</v>
      </c>
      <c r="S209" s="66" t="n">
        <f aca="false">S205+S208</f>
        <v>11163.9156720635</v>
      </c>
      <c r="T209" s="66" t="n">
        <f aca="false">T205+T208</f>
        <v>11170.9378942857</v>
      </c>
      <c r="U209" s="66" t="n">
        <f aca="false">U205+U208</f>
        <v>11177.9601165079</v>
      </c>
      <c r="V209" s="66" t="n">
        <f aca="false">V205+V208</f>
        <v>11184.9823387302</v>
      </c>
      <c r="W209" s="66" t="n">
        <f aca="false">W205+W208</f>
        <v>11192.0045609524</v>
      </c>
      <c r="X209" s="66" t="n">
        <f aca="false">X205+X208</f>
        <v>11199.0267831746</v>
      </c>
      <c r="Y209" s="66" t="n">
        <f aca="false">Y205+Y208</f>
        <v>11206.0490053968</v>
      </c>
      <c r="Z209" s="66" t="n">
        <f aca="false">Z205+Z208</f>
        <v>11213.071227619</v>
      </c>
      <c r="AA209" s="66" t="n">
        <f aca="false">AA205+AA208</f>
        <v>14697.8878962893</v>
      </c>
      <c r="AB209" s="66" t="n">
        <f aca="false">AB205+AB208</f>
        <v>14704.9101185115</v>
      </c>
      <c r="AC209" s="66" t="n">
        <f aca="false">AC205+AC208</f>
        <v>14711.9323407337</v>
      </c>
      <c r="AD209" s="66" t="n">
        <f aca="false">AD205+AD208</f>
        <v>14718.9545629559</v>
      </c>
      <c r="AE209" s="66" t="n">
        <f aca="false">AE205+AE208</f>
        <v>14725.9767851782</v>
      </c>
      <c r="AF209" s="66" t="n">
        <f aca="false">AF205+AF208</f>
        <v>14732.9990074004</v>
      </c>
      <c r="AG209" s="66" t="n">
        <f aca="false">AG205+AG208</f>
        <v>14740.0212296226</v>
      </c>
      <c r="AH209" s="66" t="n">
        <f aca="false">AH205+AH208</f>
        <v>14747.0434518448</v>
      </c>
      <c r="AI209" s="66" t="n">
        <f aca="false">AI205+AI208</f>
        <v>14754.0656740671</v>
      </c>
      <c r="AJ209" s="66" t="n">
        <f aca="false">AJ205+AJ208</f>
        <v>14761.0878962893</v>
      </c>
      <c r="AK209" s="66" t="n">
        <f aca="false">AK205+AK208</f>
        <v>14768.1101185115</v>
      </c>
      <c r="AL209" s="66" t="n">
        <f aca="false">AL205+AL208</f>
        <v>14775.1323407337</v>
      </c>
      <c r="AM209" s="66" t="n">
        <f aca="false">AM205+AM208</f>
        <v>18756.6835285054</v>
      </c>
      <c r="AN209" s="66" t="n">
        <f aca="false">AN205+AN208</f>
        <v>18763.7057507276</v>
      </c>
      <c r="AO209" s="66" t="n">
        <f aca="false">AO205+AO208</f>
        <v>18770.7279729499</v>
      </c>
      <c r="AP209" s="66" t="n">
        <f aca="false">AP205+AP208</f>
        <v>18777.7501951721</v>
      </c>
      <c r="AQ209" s="66" t="n">
        <f aca="false">AQ205+AQ208</f>
        <v>18784.7724173943</v>
      </c>
      <c r="AR209" s="66" t="n">
        <f aca="false">AR205+AR208</f>
        <v>18791.7946396165</v>
      </c>
      <c r="AS209" s="66" t="n">
        <f aca="false">AS205+AS208</f>
        <v>18798.8168618387</v>
      </c>
      <c r="AT209" s="66" t="n">
        <f aca="false">AT205+AT208</f>
        <v>18805.839084061</v>
      </c>
      <c r="AU209" s="66" t="n">
        <f aca="false">AU205+AU208</f>
        <v>18812.8613062832</v>
      </c>
      <c r="AV209" s="66" t="n">
        <f aca="false">AV205+AV208</f>
        <v>18819.8835285054</v>
      </c>
      <c r="AW209" s="66" t="n">
        <f aca="false">AW205+AW208</f>
        <v>18826.9057507276</v>
      </c>
      <c r="AX209" s="66" t="n">
        <f aca="false">AX205+AX208</f>
        <v>18833.9279729499</v>
      </c>
      <c r="AY209" s="66" t="n">
        <f aca="false">AY205+AY208</f>
        <v>23379.5404470066</v>
      </c>
      <c r="AZ209" s="66" t="n">
        <f aca="false">AZ205+AZ208</f>
        <v>23386.5626692288</v>
      </c>
      <c r="BA209" s="66" t="n">
        <f aca="false">BA205+BA208</f>
        <v>23393.5848914511</v>
      </c>
      <c r="BB209" s="66" t="n">
        <f aca="false">BB205+BB208</f>
        <v>23400.6071136733</v>
      </c>
      <c r="BC209" s="66" t="n">
        <f aca="false">BC205+BC208</f>
        <v>23407.6293358955</v>
      </c>
      <c r="BD209" s="66" t="n">
        <f aca="false">BD205+BD208</f>
        <v>23414.6515581177</v>
      </c>
      <c r="BE209" s="66" t="n">
        <f aca="false">BE205+BE208</f>
        <v>23421.6737803399</v>
      </c>
      <c r="BF209" s="66" t="n">
        <f aca="false">BF205+BF208</f>
        <v>23428.6960025622</v>
      </c>
      <c r="BG209" s="66" t="n">
        <f aca="false">BG205+BG208</f>
        <v>23435.7182247844</v>
      </c>
      <c r="BH209" s="66" t="n">
        <f aca="false">BH205+BH208</f>
        <v>23442.7404470066</v>
      </c>
      <c r="BI209" s="66" t="n">
        <f aca="false">BI205+BI208</f>
        <v>23449.7626692288</v>
      </c>
      <c r="BJ209" s="66" t="n">
        <f aca="false">BJ205+BJ208</f>
        <v>23456.7848914511</v>
      </c>
    </row>
    <row r="211" customFormat="false" ht="15.75" hidden="false" customHeight="true" outlineLevel="0" collapsed="false">
      <c r="A211" s="7" t="s">
        <v>368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customFormat="false" ht="15" hidden="false" customHeight="false" outlineLevel="0" collapsed="false">
      <c r="A212" s="6" t="s">
        <v>82</v>
      </c>
      <c r="C212" s="65" t="n">
        <f aca="false">IF(C$182=1,Inputs!$D$18,0)</f>
        <v>150000</v>
      </c>
      <c r="D212" s="65" t="n">
        <f aca="false">IF(D$182=1,Inputs!$D$18,0)</f>
        <v>0</v>
      </c>
      <c r="E212" s="65" t="n">
        <f aca="false">IF(E$182=1,Inputs!$D$18,0)</f>
        <v>0</v>
      </c>
      <c r="F212" s="65" t="n">
        <f aca="false">IF(F$182=1,Inputs!$D$18,0)</f>
        <v>0</v>
      </c>
      <c r="G212" s="65" t="n">
        <f aca="false">IF(G$182=1,Inputs!$D$18,0)</f>
        <v>0</v>
      </c>
      <c r="H212" s="65" t="n">
        <f aca="false">IF(H$182=1,Inputs!$D$18,0)</f>
        <v>0</v>
      </c>
      <c r="I212" s="65" t="n">
        <f aca="false">IF(I$182=1,Inputs!$D$18,0)</f>
        <v>0</v>
      </c>
      <c r="J212" s="65" t="n">
        <f aca="false">IF(J$182=1,Inputs!$D$18,0)</f>
        <v>0</v>
      </c>
      <c r="K212" s="65" t="n">
        <f aca="false">IF(K$182=1,Inputs!$D$18,0)</f>
        <v>0</v>
      </c>
      <c r="L212" s="65" t="n">
        <f aca="false">IF(L$182=1,Inputs!$D$18,0)</f>
        <v>0</v>
      </c>
      <c r="M212" s="65" t="n">
        <f aca="false">IF(M$182=1,Inputs!$D$18,0)</f>
        <v>0</v>
      </c>
      <c r="N212" s="65" t="n">
        <f aca="false">IF(N$182=1,Inputs!$D$18,0)</f>
        <v>0</v>
      </c>
      <c r="O212" s="65" t="n">
        <f aca="false">IF(O$182=1,Inputs!$D$18,0)</f>
        <v>0</v>
      </c>
      <c r="P212" s="65" t="n">
        <f aca="false">IF(P$182=1,Inputs!$D$18,0)</f>
        <v>0</v>
      </c>
      <c r="Q212" s="65" t="n">
        <f aca="false">IF(Q$182=1,Inputs!$D$18,0)</f>
        <v>0</v>
      </c>
      <c r="R212" s="65" t="n">
        <f aca="false">IF(R$182=1,Inputs!$D$18,0)</f>
        <v>0</v>
      </c>
      <c r="S212" s="65" t="n">
        <f aca="false">IF(S$182=1,Inputs!$D$18,0)</f>
        <v>0</v>
      </c>
      <c r="T212" s="65" t="n">
        <f aca="false">IF(T$182=1,Inputs!$D$18,0)</f>
        <v>0</v>
      </c>
      <c r="U212" s="65" t="n">
        <f aca="false">IF(U$182=1,Inputs!$D$18,0)</f>
        <v>0</v>
      </c>
      <c r="V212" s="65" t="n">
        <f aca="false">IF(V$182=1,Inputs!$D$18,0)</f>
        <v>0</v>
      </c>
      <c r="W212" s="65" t="n">
        <f aca="false">IF(W$182=1,Inputs!$D$18,0)</f>
        <v>0</v>
      </c>
      <c r="X212" s="65" t="n">
        <f aca="false">IF(X$182=1,Inputs!$D$18,0)</f>
        <v>0</v>
      </c>
      <c r="Y212" s="65" t="n">
        <f aca="false">IF(Y$182=1,Inputs!$D$18,0)</f>
        <v>0</v>
      </c>
      <c r="Z212" s="65" t="n">
        <f aca="false">IF(Z$182=1,Inputs!$D$18,0)</f>
        <v>0</v>
      </c>
      <c r="AA212" s="65" t="n">
        <f aca="false">IF(AA$182=1,Inputs!$D$18,0)</f>
        <v>0</v>
      </c>
      <c r="AB212" s="65" t="n">
        <f aca="false">IF(AB$182=1,Inputs!$D$18,0)</f>
        <v>0</v>
      </c>
      <c r="AC212" s="65" t="n">
        <f aca="false">IF(AC$182=1,Inputs!$D$18,0)</f>
        <v>0</v>
      </c>
      <c r="AD212" s="65" t="n">
        <f aca="false">IF(AD$182=1,Inputs!$D$18,0)</f>
        <v>0</v>
      </c>
      <c r="AE212" s="65" t="n">
        <f aca="false">IF(AE$182=1,Inputs!$D$18,0)</f>
        <v>0</v>
      </c>
      <c r="AF212" s="65" t="n">
        <f aca="false">IF(AF$182=1,Inputs!$D$18,0)</f>
        <v>0</v>
      </c>
      <c r="AG212" s="65" t="n">
        <f aca="false">IF(AG$182=1,Inputs!$D$18,0)</f>
        <v>0</v>
      </c>
      <c r="AH212" s="65" t="n">
        <f aca="false">IF(AH$182=1,Inputs!$D$18,0)</f>
        <v>0</v>
      </c>
      <c r="AI212" s="65" t="n">
        <f aca="false">IF(AI$182=1,Inputs!$D$18,0)</f>
        <v>0</v>
      </c>
      <c r="AJ212" s="65" t="n">
        <f aca="false">IF(AJ$182=1,Inputs!$D$18,0)</f>
        <v>0</v>
      </c>
      <c r="AK212" s="65" t="n">
        <f aca="false">IF(AK$182=1,Inputs!$D$18,0)</f>
        <v>0</v>
      </c>
      <c r="AL212" s="65" t="n">
        <f aca="false">IF(AL$182=1,Inputs!$D$18,0)</f>
        <v>0</v>
      </c>
      <c r="AM212" s="65" t="n">
        <f aca="false">IF(AM$182=1,Inputs!$D$18,0)</f>
        <v>0</v>
      </c>
      <c r="AN212" s="65" t="n">
        <f aca="false">IF(AN$182=1,Inputs!$D$18,0)</f>
        <v>0</v>
      </c>
      <c r="AO212" s="65" t="n">
        <f aca="false">IF(AO$182=1,Inputs!$D$18,0)</f>
        <v>0</v>
      </c>
      <c r="AP212" s="65" t="n">
        <f aca="false">IF(AP$182=1,Inputs!$D$18,0)</f>
        <v>0</v>
      </c>
      <c r="AQ212" s="65" t="n">
        <f aca="false">IF(AQ$182=1,Inputs!$D$18,0)</f>
        <v>0</v>
      </c>
      <c r="AR212" s="65" t="n">
        <f aca="false">IF(AR$182=1,Inputs!$D$18,0)</f>
        <v>0</v>
      </c>
      <c r="AS212" s="65" t="n">
        <f aca="false">IF(AS$182=1,Inputs!$D$18,0)</f>
        <v>0</v>
      </c>
      <c r="AT212" s="65" t="n">
        <f aca="false">IF(AT$182=1,Inputs!$D$18,0)</f>
        <v>0</v>
      </c>
      <c r="AU212" s="65" t="n">
        <f aca="false">IF(AU$182=1,Inputs!$D$18,0)</f>
        <v>0</v>
      </c>
      <c r="AV212" s="65" t="n">
        <f aca="false">IF(AV$182=1,Inputs!$D$18,0)</f>
        <v>0</v>
      </c>
      <c r="AW212" s="65" t="n">
        <f aca="false">IF(AW$182=1,Inputs!$D$18,0)</f>
        <v>0</v>
      </c>
      <c r="AX212" s="65" t="n">
        <f aca="false">IF(AX$182=1,Inputs!$D$18,0)</f>
        <v>0</v>
      </c>
      <c r="AY212" s="65" t="n">
        <f aca="false">IF(AY$182=1,Inputs!$D$18,0)</f>
        <v>0</v>
      </c>
      <c r="AZ212" s="65" t="n">
        <f aca="false">IF(AZ$182=1,Inputs!$D$18,0)</f>
        <v>0</v>
      </c>
      <c r="BA212" s="65" t="n">
        <f aca="false">IF(BA$182=1,Inputs!$D$18,0)</f>
        <v>0</v>
      </c>
      <c r="BB212" s="65" t="n">
        <f aca="false">IF(BB$182=1,Inputs!$D$18,0)</f>
        <v>0</v>
      </c>
      <c r="BC212" s="65" t="n">
        <f aca="false">IF(BC$182=1,Inputs!$D$18,0)</f>
        <v>0</v>
      </c>
      <c r="BD212" s="65" t="n">
        <f aca="false">IF(BD$182=1,Inputs!$D$18,0)</f>
        <v>0</v>
      </c>
      <c r="BE212" s="65" t="n">
        <f aca="false">IF(BE$182=1,Inputs!$D$18,0)</f>
        <v>0</v>
      </c>
      <c r="BF212" s="65" t="n">
        <f aca="false">IF(BF$182=1,Inputs!$D$18,0)</f>
        <v>0</v>
      </c>
      <c r="BG212" s="65" t="n">
        <f aca="false">IF(BG$182=1,Inputs!$D$18,0)</f>
        <v>0</v>
      </c>
      <c r="BH212" s="65" t="n">
        <f aca="false">IF(BH$182=1,Inputs!$D$18,0)</f>
        <v>0</v>
      </c>
      <c r="BI212" s="65" t="n">
        <f aca="false">IF(BI$182=1,Inputs!$D$18,0)</f>
        <v>0</v>
      </c>
      <c r="BJ212" s="65" t="n">
        <f aca="false">IF(BJ$182=1,Inputs!$D$18,0)</f>
        <v>0</v>
      </c>
    </row>
    <row r="213" customFormat="false" ht="15" hidden="false" customHeight="false" outlineLevel="0" collapsed="false">
      <c r="A213" s="6" t="s">
        <v>369</v>
      </c>
      <c r="C213" s="65" t="n">
        <f aca="false">C212</f>
        <v>150000</v>
      </c>
      <c r="D213" s="65" t="n">
        <f aca="false">C213+D212</f>
        <v>150000</v>
      </c>
      <c r="E213" s="65" t="n">
        <f aca="false">D213+E212</f>
        <v>150000</v>
      </c>
      <c r="F213" s="65" t="n">
        <f aca="false">E213+F212</f>
        <v>150000</v>
      </c>
      <c r="G213" s="65" t="n">
        <f aca="false">F213+G212</f>
        <v>150000</v>
      </c>
      <c r="H213" s="65" t="n">
        <f aca="false">G213+H212</f>
        <v>150000</v>
      </c>
      <c r="I213" s="65" t="n">
        <f aca="false">H213+I212</f>
        <v>150000</v>
      </c>
      <c r="J213" s="65" t="n">
        <f aca="false">I213+J212</f>
        <v>150000</v>
      </c>
      <c r="K213" s="65" t="n">
        <f aca="false">J213+K212</f>
        <v>150000</v>
      </c>
      <c r="L213" s="65" t="n">
        <f aca="false">K213+L212</f>
        <v>150000</v>
      </c>
      <c r="M213" s="65" t="n">
        <f aca="false">L213+M212</f>
        <v>150000</v>
      </c>
      <c r="N213" s="65" t="n">
        <f aca="false">M213+N212</f>
        <v>150000</v>
      </c>
      <c r="O213" s="65" t="n">
        <f aca="false">N213+O212</f>
        <v>150000</v>
      </c>
      <c r="P213" s="65" t="n">
        <f aca="false">O213+P212</f>
        <v>150000</v>
      </c>
      <c r="Q213" s="65" t="n">
        <f aca="false">P213+Q212</f>
        <v>150000</v>
      </c>
      <c r="R213" s="65" t="n">
        <f aca="false">Q213+R212</f>
        <v>150000</v>
      </c>
      <c r="S213" s="65" t="n">
        <f aca="false">R213+S212</f>
        <v>150000</v>
      </c>
      <c r="T213" s="65" t="n">
        <f aca="false">S213+T212</f>
        <v>150000</v>
      </c>
      <c r="U213" s="65" t="n">
        <f aca="false">T213+U212</f>
        <v>150000</v>
      </c>
      <c r="V213" s="65" t="n">
        <f aca="false">U213+V212</f>
        <v>150000</v>
      </c>
      <c r="W213" s="65" t="n">
        <f aca="false">V213+W212</f>
        <v>150000</v>
      </c>
      <c r="X213" s="65" t="n">
        <f aca="false">W213+X212</f>
        <v>150000</v>
      </c>
      <c r="Y213" s="65" t="n">
        <f aca="false">X213+Y212</f>
        <v>150000</v>
      </c>
      <c r="Z213" s="65" t="n">
        <f aca="false">Y213+Z212</f>
        <v>150000</v>
      </c>
      <c r="AA213" s="65" t="n">
        <f aca="false">Z213+AA212</f>
        <v>150000</v>
      </c>
      <c r="AB213" s="65" t="n">
        <f aca="false">AA213+AB212</f>
        <v>150000</v>
      </c>
      <c r="AC213" s="65" t="n">
        <f aca="false">AB213+AC212</f>
        <v>150000</v>
      </c>
      <c r="AD213" s="65" t="n">
        <f aca="false">AC213+AD212</f>
        <v>150000</v>
      </c>
      <c r="AE213" s="65" t="n">
        <f aca="false">AD213+AE212</f>
        <v>150000</v>
      </c>
      <c r="AF213" s="65" t="n">
        <f aca="false">AE213+AF212</f>
        <v>150000</v>
      </c>
      <c r="AG213" s="65" t="n">
        <f aca="false">AF213+AG212</f>
        <v>150000</v>
      </c>
      <c r="AH213" s="65" t="n">
        <f aca="false">AG213+AH212</f>
        <v>150000</v>
      </c>
      <c r="AI213" s="65" t="n">
        <f aca="false">AH213+AI212</f>
        <v>150000</v>
      </c>
      <c r="AJ213" s="65" t="n">
        <f aca="false">AI213+AJ212</f>
        <v>150000</v>
      </c>
      <c r="AK213" s="65" t="n">
        <f aca="false">AJ213+AK212</f>
        <v>150000</v>
      </c>
      <c r="AL213" s="65" t="n">
        <f aca="false">AK213+AL212</f>
        <v>150000</v>
      </c>
      <c r="AM213" s="65" t="n">
        <f aca="false">AL213+AM212</f>
        <v>150000</v>
      </c>
      <c r="AN213" s="65" t="n">
        <f aca="false">AM213+AN212</f>
        <v>150000</v>
      </c>
      <c r="AO213" s="65" t="n">
        <f aca="false">AN213+AO212</f>
        <v>150000</v>
      </c>
      <c r="AP213" s="65" t="n">
        <f aca="false">AO213+AP212</f>
        <v>150000</v>
      </c>
      <c r="AQ213" s="65" t="n">
        <f aca="false">AP213+AQ212</f>
        <v>150000</v>
      </c>
      <c r="AR213" s="65" t="n">
        <f aca="false">AQ213+AR212</f>
        <v>150000</v>
      </c>
      <c r="AS213" s="65" t="n">
        <f aca="false">AR213+AS212</f>
        <v>150000</v>
      </c>
      <c r="AT213" s="65" t="n">
        <f aca="false">AS213+AT212</f>
        <v>150000</v>
      </c>
      <c r="AU213" s="65" t="n">
        <f aca="false">AT213+AU212</f>
        <v>150000</v>
      </c>
      <c r="AV213" s="65" t="n">
        <f aca="false">AU213+AV212</f>
        <v>150000</v>
      </c>
      <c r="AW213" s="65" t="n">
        <f aca="false">AV213+AW212</f>
        <v>150000</v>
      </c>
      <c r="AX213" s="65" t="n">
        <f aca="false">AW213+AX212</f>
        <v>150000</v>
      </c>
      <c r="AY213" s="65" t="n">
        <f aca="false">AX213+AY212</f>
        <v>150000</v>
      </c>
      <c r="AZ213" s="65" t="n">
        <f aca="false">AY213+AZ212</f>
        <v>150000</v>
      </c>
      <c r="BA213" s="65" t="n">
        <f aca="false">AZ213+BA212</f>
        <v>150000</v>
      </c>
      <c r="BB213" s="65" t="n">
        <f aca="false">BA213+BB212</f>
        <v>150000</v>
      </c>
      <c r="BC213" s="65" t="n">
        <f aca="false">BB213+BC212</f>
        <v>150000</v>
      </c>
      <c r="BD213" s="65" t="n">
        <f aca="false">BC213+BD212</f>
        <v>150000</v>
      </c>
      <c r="BE213" s="65" t="n">
        <f aca="false">BD213+BE212</f>
        <v>150000</v>
      </c>
      <c r="BF213" s="65" t="n">
        <f aca="false">BE213+BF212</f>
        <v>150000</v>
      </c>
      <c r="BG213" s="65" t="n">
        <f aca="false">BF213+BG212</f>
        <v>150000</v>
      </c>
      <c r="BH213" s="65" t="n">
        <f aca="false">BG213+BH212</f>
        <v>150000</v>
      </c>
      <c r="BI213" s="65" t="n">
        <f aca="false">BH213+BI212</f>
        <v>150000</v>
      </c>
      <c r="BJ213" s="65" t="n">
        <f aca="false">BI213+BJ212</f>
        <v>150000</v>
      </c>
    </row>
    <row r="214" customFormat="false" ht="15" hidden="false" customHeight="false" outlineLevel="0" collapsed="false">
      <c r="A214" s="6" t="s">
        <v>76</v>
      </c>
      <c r="C214" s="65" t="n">
        <f aca="false">-MIN(C213/MAX(1,Inputs!$D$40*12),C212)</f>
        <v>-1785.71428571429</v>
      </c>
      <c r="D214" s="65" t="n">
        <f aca="false">-MIN(D213/MAX(1,Inputs!$D$40*12),C216+D212)</f>
        <v>-1785.71428571429</v>
      </c>
      <c r="E214" s="65" t="n">
        <f aca="false">-MIN(E213/MAX(1,Inputs!$D$40*12),D216+E212)</f>
        <v>-1785.71428571429</v>
      </c>
      <c r="F214" s="65" t="n">
        <f aca="false">-MIN(F213/MAX(1,Inputs!$D$40*12),E216+F212)</f>
        <v>-1785.71428571429</v>
      </c>
      <c r="G214" s="65" t="n">
        <f aca="false">-MIN(G213/MAX(1,Inputs!$D$40*12),F216+G212)</f>
        <v>-1785.71428571429</v>
      </c>
      <c r="H214" s="65" t="n">
        <f aca="false">-MIN(H213/MAX(1,Inputs!$D$40*12),G216+H212)</f>
        <v>-1785.71428571429</v>
      </c>
      <c r="I214" s="65" t="n">
        <f aca="false">-MIN(I213/MAX(1,Inputs!$D$40*12),H216+I212)</f>
        <v>-1785.71428571429</v>
      </c>
      <c r="J214" s="65" t="n">
        <f aca="false">-MIN(J213/MAX(1,Inputs!$D$40*12),I216+J212)</f>
        <v>-1785.71428571429</v>
      </c>
      <c r="K214" s="65" t="n">
        <f aca="false">-MIN(K213/MAX(1,Inputs!$D$40*12),J216+K212)</f>
        <v>-1785.71428571429</v>
      </c>
      <c r="L214" s="65" t="n">
        <f aca="false">-MIN(L213/MAX(1,Inputs!$D$40*12),K216+L212)</f>
        <v>-1785.71428571429</v>
      </c>
      <c r="M214" s="65" t="n">
        <f aca="false">-MIN(M213/MAX(1,Inputs!$D$40*12),L216+M212)</f>
        <v>-1785.71428571429</v>
      </c>
      <c r="N214" s="65" t="n">
        <f aca="false">-MIN(N213/MAX(1,Inputs!$D$40*12),M216+N212)</f>
        <v>-1785.71428571429</v>
      </c>
      <c r="O214" s="65" t="n">
        <f aca="false">-MIN(O213/MAX(1,Inputs!$D$40*12),N216+O212)</f>
        <v>-1785.71428571429</v>
      </c>
      <c r="P214" s="65" t="n">
        <f aca="false">-MIN(P213/MAX(1,Inputs!$D$40*12),O216+P212)</f>
        <v>-1785.71428571429</v>
      </c>
      <c r="Q214" s="65" t="n">
        <f aca="false">-MIN(Q213/MAX(1,Inputs!$D$40*12),P216+Q212)</f>
        <v>-1785.71428571429</v>
      </c>
      <c r="R214" s="65" t="n">
        <f aca="false">-MIN(R213/MAX(1,Inputs!$D$40*12),Q216+R212)</f>
        <v>-1785.71428571429</v>
      </c>
      <c r="S214" s="65" t="n">
        <f aca="false">-MIN(S213/MAX(1,Inputs!$D$40*12),R216+S212)</f>
        <v>-1785.71428571429</v>
      </c>
      <c r="T214" s="65" t="n">
        <f aca="false">-MIN(T213/MAX(1,Inputs!$D$40*12),S216+T212)</f>
        <v>-1785.71428571429</v>
      </c>
      <c r="U214" s="65" t="n">
        <f aca="false">-MIN(U213/MAX(1,Inputs!$D$40*12),T216+U212)</f>
        <v>-1785.71428571429</v>
      </c>
      <c r="V214" s="65" t="n">
        <f aca="false">-MIN(V213/MAX(1,Inputs!$D$40*12),U216+V212)</f>
        <v>-1785.71428571429</v>
      </c>
      <c r="W214" s="65" t="n">
        <f aca="false">-MIN(W213/MAX(1,Inputs!$D$40*12),V216+W212)</f>
        <v>-1785.71428571429</v>
      </c>
      <c r="X214" s="65" t="n">
        <f aca="false">-MIN(X213/MAX(1,Inputs!$D$40*12),W216+X212)</f>
        <v>-1785.71428571429</v>
      </c>
      <c r="Y214" s="65" t="n">
        <f aca="false">-MIN(Y213/MAX(1,Inputs!$D$40*12),X216+Y212)</f>
        <v>-1785.71428571429</v>
      </c>
      <c r="Z214" s="65" t="n">
        <f aca="false">-MIN(Z213/MAX(1,Inputs!$D$40*12),Y216+Z212)</f>
        <v>-1785.71428571429</v>
      </c>
      <c r="AA214" s="65" t="n">
        <f aca="false">-MIN(AA213/MAX(1,Inputs!$D$40*12),Z216+AA212)</f>
        <v>-1785.71428571429</v>
      </c>
      <c r="AB214" s="65" t="n">
        <f aca="false">-MIN(AB213/MAX(1,Inputs!$D$40*12),AA216+AB212)</f>
        <v>-1785.71428571429</v>
      </c>
      <c r="AC214" s="65" t="n">
        <f aca="false">-MIN(AC213/MAX(1,Inputs!$D$40*12),AB216+AC212)</f>
        <v>-1785.71428571429</v>
      </c>
      <c r="AD214" s="65" t="n">
        <f aca="false">-MIN(AD213/MAX(1,Inputs!$D$40*12),AC216+AD212)</f>
        <v>-1785.71428571429</v>
      </c>
      <c r="AE214" s="65" t="n">
        <f aca="false">-MIN(AE213/MAX(1,Inputs!$D$40*12),AD216+AE212)</f>
        <v>-1785.71428571429</v>
      </c>
      <c r="AF214" s="65" t="n">
        <f aca="false">-MIN(AF213/MAX(1,Inputs!$D$40*12),AE216+AF212)</f>
        <v>-1785.71428571429</v>
      </c>
      <c r="AG214" s="65" t="n">
        <f aca="false">-MIN(AG213/MAX(1,Inputs!$D$40*12),AF216+AG212)</f>
        <v>-1785.71428571429</v>
      </c>
      <c r="AH214" s="65" t="n">
        <f aca="false">-MIN(AH213/MAX(1,Inputs!$D$40*12),AG216+AH212)</f>
        <v>-1785.71428571429</v>
      </c>
      <c r="AI214" s="65" t="n">
        <f aca="false">-MIN(AI213/MAX(1,Inputs!$D$40*12),AH216+AI212)</f>
        <v>-1785.71428571429</v>
      </c>
      <c r="AJ214" s="65" t="n">
        <f aca="false">-MIN(AJ213/MAX(1,Inputs!$D$40*12),AI216+AJ212)</f>
        <v>-1785.71428571429</v>
      </c>
      <c r="AK214" s="65" t="n">
        <f aca="false">-MIN(AK213/MAX(1,Inputs!$D$40*12),AJ216+AK212)</f>
        <v>-1785.71428571429</v>
      </c>
      <c r="AL214" s="65" t="n">
        <f aca="false">-MIN(AL213/MAX(1,Inputs!$D$40*12),AK216+AL212)</f>
        <v>-1785.71428571429</v>
      </c>
      <c r="AM214" s="65" t="n">
        <f aca="false">-MIN(AM213/MAX(1,Inputs!$D$40*12),AL216+AM212)</f>
        <v>-1785.71428571429</v>
      </c>
      <c r="AN214" s="65" t="n">
        <f aca="false">-MIN(AN213/MAX(1,Inputs!$D$40*12),AM216+AN212)</f>
        <v>-1785.71428571429</v>
      </c>
      <c r="AO214" s="65" t="n">
        <f aca="false">-MIN(AO213/MAX(1,Inputs!$D$40*12),AN216+AO212)</f>
        <v>-1785.71428571429</v>
      </c>
      <c r="AP214" s="65" t="n">
        <f aca="false">-MIN(AP213/MAX(1,Inputs!$D$40*12),AO216+AP212)</f>
        <v>-1785.71428571429</v>
      </c>
      <c r="AQ214" s="65" t="n">
        <f aca="false">-MIN(AQ213/MAX(1,Inputs!$D$40*12),AP216+AQ212)</f>
        <v>-1785.71428571429</v>
      </c>
      <c r="AR214" s="65" t="n">
        <f aca="false">-MIN(AR213/MAX(1,Inputs!$D$40*12),AQ216+AR212)</f>
        <v>-1785.71428571429</v>
      </c>
      <c r="AS214" s="65" t="n">
        <f aca="false">-MIN(AS213/MAX(1,Inputs!$D$40*12),AR216+AS212)</f>
        <v>-1785.71428571429</v>
      </c>
      <c r="AT214" s="65" t="n">
        <f aca="false">-MIN(AT213/MAX(1,Inputs!$D$40*12),AS216+AT212)</f>
        <v>-1785.71428571429</v>
      </c>
      <c r="AU214" s="65" t="n">
        <f aca="false">-MIN(AU213/MAX(1,Inputs!$D$40*12),AT216+AU212)</f>
        <v>-1785.71428571429</v>
      </c>
      <c r="AV214" s="65" t="n">
        <f aca="false">-MIN(AV213/MAX(1,Inputs!$D$40*12),AU216+AV212)</f>
        <v>-1785.71428571429</v>
      </c>
      <c r="AW214" s="65" t="n">
        <f aca="false">-MIN(AW213/MAX(1,Inputs!$D$40*12),AV216+AW212)</f>
        <v>-1785.71428571429</v>
      </c>
      <c r="AX214" s="65" t="n">
        <f aca="false">-MIN(AX213/MAX(1,Inputs!$D$40*12),AW216+AX212)</f>
        <v>-1785.71428571429</v>
      </c>
      <c r="AY214" s="65" t="n">
        <f aca="false">-MIN(AY213/MAX(1,Inputs!$D$40*12),AX216+AY212)</f>
        <v>-1785.71428571429</v>
      </c>
      <c r="AZ214" s="65" t="n">
        <f aca="false">-MIN(AZ213/MAX(1,Inputs!$D$40*12),AY216+AZ212)</f>
        <v>-1785.71428571429</v>
      </c>
      <c r="BA214" s="65" t="n">
        <f aca="false">-MIN(BA213/MAX(1,Inputs!$D$40*12),AZ216+BA212)</f>
        <v>-1785.71428571429</v>
      </c>
      <c r="BB214" s="65" t="n">
        <f aca="false">-MIN(BB213/MAX(1,Inputs!$D$40*12),BA216+BB212)</f>
        <v>-1785.71428571429</v>
      </c>
      <c r="BC214" s="65" t="n">
        <f aca="false">-MIN(BC213/MAX(1,Inputs!$D$40*12),BB216+BC212)</f>
        <v>-1785.71428571429</v>
      </c>
      <c r="BD214" s="65" t="n">
        <f aca="false">-MIN(BD213/MAX(1,Inputs!$D$40*12),BC216+BD212)</f>
        <v>-1785.71428571429</v>
      </c>
      <c r="BE214" s="65" t="n">
        <f aca="false">-MIN(BE213/MAX(1,Inputs!$D$40*12),BD216+BE212)</f>
        <v>-1785.71428571429</v>
      </c>
      <c r="BF214" s="65" t="n">
        <f aca="false">-MIN(BF213/MAX(1,Inputs!$D$40*12),BE216+BF212)</f>
        <v>-1785.71428571429</v>
      </c>
      <c r="BG214" s="65" t="n">
        <f aca="false">-MIN(BG213/MAX(1,Inputs!$D$40*12),BF216+BG212)</f>
        <v>-1785.71428571429</v>
      </c>
      <c r="BH214" s="65" t="n">
        <f aca="false">-MIN(BH213/MAX(1,Inputs!$D$40*12),BG216+BH212)</f>
        <v>-1785.71428571429</v>
      </c>
      <c r="BI214" s="65" t="n">
        <f aca="false">-MIN(BI213/MAX(1,Inputs!$D$40*12),BH216+BI212)</f>
        <v>-1785.71428571429</v>
      </c>
      <c r="BJ214" s="65" t="n">
        <f aca="false">-MIN(BJ213/MAX(1,Inputs!$D$40*12),BI216+BJ212)</f>
        <v>-1785.71428571429</v>
      </c>
    </row>
    <row r="215" customFormat="false" ht="15" hidden="false" customHeight="false" outlineLevel="0" collapsed="false">
      <c r="A215" s="6" t="s">
        <v>370</v>
      </c>
      <c r="C215" s="65" t="n">
        <f aca="false">C214</f>
        <v>-1785.71428571429</v>
      </c>
      <c r="D215" s="65" t="n">
        <f aca="false">C215+D214</f>
        <v>-3571.42857142857</v>
      </c>
      <c r="E215" s="65" t="n">
        <f aca="false">D215+E214</f>
        <v>-5357.14285714286</v>
      </c>
      <c r="F215" s="65" t="n">
        <f aca="false">E215+F214</f>
        <v>-7142.85714285714</v>
      </c>
      <c r="G215" s="65" t="n">
        <f aca="false">F215+G214</f>
        <v>-8928.57142857143</v>
      </c>
      <c r="H215" s="65" t="n">
        <f aca="false">G215+H214</f>
        <v>-10714.2857142857</v>
      </c>
      <c r="I215" s="65" t="n">
        <f aca="false">H215+I214</f>
        <v>-12500</v>
      </c>
      <c r="J215" s="65" t="n">
        <f aca="false">I215+J214</f>
        <v>-14285.7142857143</v>
      </c>
      <c r="K215" s="65" t="n">
        <f aca="false">J215+K214</f>
        <v>-16071.4285714286</v>
      </c>
      <c r="L215" s="65" t="n">
        <f aca="false">K215+L214</f>
        <v>-17857.1428571429</v>
      </c>
      <c r="M215" s="65" t="n">
        <f aca="false">L215+M214</f>
        <v>-19642.8571428571</v>
      </c>
      <c r="N215" s="65" t="n">
        <f aca="false">M215+N214</f>
        <v>-21428.5714285714</v>
      </c>
      <c r="O215" s="65" t="n">
        <f aca="false">N215+O214</f>
        <v>-23214.2857142857</v>
      </c>
      <c r="P215" s="65" t="n">
        <f aca="false">O215+P214</f>
        <v>-25000</v>
      </c>
      <c r="Q215" s="65" t="n">
        <f aca="false">P215+Q214</f>
        <v>-26785.7142857143</v>
      </c>
      <c r="R215" s="65" t="n">
        <f aca="false">Q215+R214</f>
        <v>-28571.4285714286</v>
      </c>
      <c r="S215" s="65" t="n">
        <f aca="false">R215+S214</f>
        <v>-30357.1428571429</v>
      </c>
      <c r="T215" s="65" t="n">
        <f aca="false">S215+T214</f>
        <v>-32142.8571428572</v>
      </c>
      <c r="U215" s="65" t="n">
        <f aca="false">T215+U214</f>
        <v>-33928.5714285714</v>
      </c>
      <c r="V215" s="65" t="n">
        <f aca="false">U215+V214</f>
        <v>-35714.2857142857</v>
      </c>
      <c r="W215" s="65" t="n">
        <f aca="false">V215+W214</f>
        <v>-37500</v>
      </c>
      <c r="X215" s="65" t="n">
        <f aca="false">W215+X214</f>
        <v>-39285.7142857143</v>
      </c>
      <c r="Y215" s="65" t="n">
        <f aca="false">X215+Y214</f>
        <v>-41071.4285714286</v>
      </c>
      <c r="Z215" s="65" t="n">
        <f aca="false">Y215+Z214</f>
        <v>-42857.1428571429</v>
      </c>
      <c r="AA215" s="65" t="n">
        <f aca="false">Z215+AA214</f>
        <v>-44642.8571428571</v>
      </c>
      <c r="AB215" s="65" t="n">
        <f aca="false">AA215+AB214</f>
        <v>-46428.5714285714</v>
      </c>
      <c r="AC215" s="65" t="n">
        <f aca="false">AB215+AC214</f>
        <v>-48214.2857142857</v>
      </c>
      <c r="AD215" s="65" t="n">
        <f aca="false">AC215+AD214</f>
        <v>-50000</v>
      </c>
      <c r="AE215" s="65" t="n">
        <f aca="false">AD215+AE214</f>
        <v>-51785.7142857143</v>
      </c>
      <c r="AF215" s="65" t="n">
        <f aca="false">AE215+AF214</f>
        <v>-53571.4285714285</v>
      </c>
      <c r="AG215" s="65" t="n">
        <f aca="false">AF215+AG214</f>
        <v>-55357.1428571428</v>
      </c>
      <c r="AH215" s="65" t="n">
        <f aca="false">AG215+AH214</f>
        <v>-57142.8571428571</v>
      </c>
      <c r="AI215" s="65" t="n">
        <f aca="false">AH215+AI214</f>
        <v>-58928.5714285714</v>
      </c>
      <c r="AJ215" s="65" t="n">
        <f aca="false">AI215+AJ214</f>
        <v>-60714.2857142857</v>
      </c>
      <c r="AK215" s="65" t="n">
        <f aca="false">AJ215+AK214</f>
        <v>-62500</v>
      </c>
      <c r="AL215" s="65" t="n">
        <f aca="false">AK215+AL214</f>
        <v>-64285.7142857142</v>
      </c>
      <c r="AM215" s="65" t="n">
        <f aca="false">AL215+AM214</f>
        <v>-66071.4285714285</v>
      </c>
      <c r="AN215" s="65" t="n">
        <f aca="false">AM215+AN214</f>
        <v>-67857.1428571428</v>
      </c>
      <c r="AO215" s="65" t="n">
        <f aca="false">AN215+AO214</f>
        <v>-69642.8571428571</v>
      </c>
      <c r="AP215" s="65" t="n">
        <f aca="false">AO215+AP214</f>
        <v>-71428.5714285714</v>
      </c>
      <c r="AQ215" s="65" t="n">
        <f aca="false">AP215+AQ214</f>
        <v>-73214.2857142857</v>
      </c>
      <c r="AR215" s="65" t="n">
        <f aca="false">AQ215+AR214</f>
        <v>-75000</v>
      </c>
      <c r="AS215" s="65" t="n">
        <f aca="false">AR215+AS214</f>
        <v>-76785.7142857143</v>
      </c>
      <c r="AT215" s="65" t="n">
        <f aca="false">AS215+AT214</f>
        <v>-78571.4285714286</v>
      </c>
      <c r="AU215" s="65" t="n">
        <f aca="false">AT215+AU214</f>
        <v>-80357.1428571428</v>
      </c>
      <c r="AV215" s="65" t="n">
        <f aca="false">AU215+AV214</f>
        <v>-82142.8571428571</v>
      </c>
      <c r="AW215" s="65" t="n">
        <f aca="false">AV215+AW214</f>
        <v>-83928.5714285714</v>
      </c>
      <c r="AX215" s="65" t="n">
        <f aca="false">AW215+AX214</f>
        <v>-85714.2857142857</v>
      </c>
      <c r="AY215" s="65" t="n">
        <f aca="false">AX215+AY214</f>
        <v>-87500</v>
      </c>
      <c r="AZ215" s="65" t="n">
        <f aca="false">AY215+AZ214</f>
        <v>-89285.7142857143</v>
      </c>
      <c r="BA215" s="65" t="n">
        <f aca="false">AZ215+BA214</f>
        <v>-91071.4285714286</v>
      </c>
      <c r="BB215" s="65" t="n">
        <f aca="false">BA215+BB214</f>
        <v>-92857.1428571429</v>
      </c>
      <c r="BC215" s="65" t="n">
        <f aca="false">BB215+BC214</f>
        <v>-94642.8571428572</v>
      </c>
      <c r="BD215" s="65" t="n">
        <f aca="false">BC215+BD214</f>
        <v>-96428.5714285715</v>
      </c>
      <c r="BE215" s="65" t="n">
        <f aca="false">BD215+BE214</f>
        <v>-98214.2857142857</v>
      </c>
      <c r="BF215" s="65" t="n">
        <f aca="false">BE215+BF214</f>
        <v>-100000</v>
      </c>
      <c r="BG215" s="65" t="n">
        <f aca="false">BF215+BG214</f>
        <v>-101785.714285714</v>
      </c>
      <c r="BH215" s="65" t="n">
        <f aca="false">BG215+BH214</f>
        <v>-103571.428571429</v>
      </c>
      <c r="BI215" s="65" t="n">
        <f aca="false">BH215+BI214</f>
        <v>-105357.142857143</v>
      </c>
      <c r="BJ215" s="65" t="n">
        <f aca="false">BI215+BJ214</f>
        <v>-107142.857142857</v>
      </c>
    </row>
    <row r="216" customFormat="false" ht="15" hidden="false" customHeight="false" outlineLevel="0" collapsed="false">
      <c r="A216" s="4" t="s">
        <v>90</v>
      </c>
      <c r="C216" s="71" t="n">
        <f aca="false">C213+C215</f>
        <v>148214.285714286</v>
      </c>
      <c r="D216" s="71" t="n">
        <f aca="false">D213+D215</f>
        <v>146428.571428571</v>
      </c>
      <c r="E216" s="71" t="n">
        <f aca="false">E213+E215</f>
        <v>144642.857142857</v>
      </c>
      <c r="F216" s="71" t="n">
        <f aca="false">F213+F215</f>
        <v>142857.142857143</v>
      </c>
      <c r="G216" s="71" t="n">
        <f aca="false">G213+G215</f>
        <v>141071.428571429</v>
      </c>
      <c r="H216" s="71" t="n">
        <f aca="false">H213+H215</f>
        <v>139285.714285714</v>
      </c>
      <c r="I216" s="71" t="n">
        <f aca="false">I213+I215</f>
        <v>137500</v>
      </c>
      <c r="J216" s="71" t="n">
        <f aca="false">J213+J215</f>
        <v>135714.285714286</v>
      </c>
      <c r="K216" s="71" t="n">
        <f aca="false">K213+K215</f>
        <v>133928.571428571</v>
      </c>
      <c r="L216" s="71" t="n">
        <f aca="false">L213+L215</f>
        <v>132142.857142857</v>
      </c>
      <c r="M216" s="71" t="n">
        <f aca="false">M213+M215</f>
        <v>130357.142857143</v>
      </c>
      <c r="N216" s="71" t="n">
        <f aca="false">N213+N215</f>
        <v>128571.428571429</v>
      </c>
      <c r="O216" s="71" t="n">
        <f aca="false">O213+O215</f>
        <v>126785.714285714</v>
      </c>
      <c r="P216" s="71" t="n">
        <f aca="false">P213+P215</f>
        <v>125000</v>
      </c>
      <c r="Q216" s="71" t="n">
        <f aca="false">Q213+Q215</f>
        <v>123214.285714286</v>
      </c>
      <c r="R216" s="71" t="n">
        <f aca="false">R213+R215</f>
        <v>121428.571428571</v>
      </c>
      <c r="S216" s="71" t="n">
        <f aca="false">S213+S215</f>
        <v>119642.857142857</v>
      </c>
      <c r="T216" s="71" t="n">
        <f aca="false">T213+T215</f>
        <v>117857.142857143</v>
      </c>
      <c r="U216" s="71" t="n">
        <f aca="false">U213+U215</f>
        <v>116071.428571429</v>
      </c>
      <c r="V216" s="71" t="n">
        <f aca="false">V213+V215</f>
        <v>114285.714285714</v>
      </c>
      <c r="W216" s="71" t="n">
        <f aca="false">W213+W215</f>
        <v>112500</v>
      </c>
      <c r="X216" s="71" t="n">
        <f aca="false">X213+X215</f>
        <v>110714.285714286</v>
      </c>
      <c r="Y216" s="71" t="n">
        <f aca="false">Y213+Y215</f>
        <v>108928.571428571</v>
      </c>
      <c r="Z216" s="71" t="n">
        <f aca="false">Z213+Z215</f>
        <v>107142.857142857</v>
      </c>
      <c r="AA216" s="71" t="n">
        <f aca="false">AA213+AA215</f>
        <v>105357.142857143</v>
      </c>
      <c r="AB216" s="71" t="n">
        <f aca="false">AB213+AB215</f>
        <v>103571.428571429</v>
      </c>
      <c r="AC216" s="71" t="n">
        <f aca="false">AC213+AC215</f>
        <v>101785.714285714</v>
      </c>
      <c r="AD216" s="71" t="n">
        <f aca="false">AD213+AD215</f>
        <v>100000</v>
      </c>
      <c r="AE216" s="71" t="n">
        <f aca="false">AE213+AE215</f>
        <v>98214.2857142857</v>
      </c>
      <c r="AF216" s="71" t="n">
        <f aca="false">AF213+AF215</f>
        <v>96428.5714285715</v>
      </c>
      <c r="AG216" s="71" t="n">
        <f aca="false">AG213+AG215</f>
        <v>94642.8571428572</v>
      </c>
      <c r="AH216" s="71" t="n">
        <f aca="false">AH213+AH215</f>
        <v>92857.1428571429</v>
      </c>
      <c r="AI216" s="71" t="n">
        <f aca="false">AI213+AI215</f>
        <v>91071.4285714286</v>
      </c>
      <c r="AJ216" s="71" t="n">
        <f aca="false">AJ213+AJ215</f>
        <v>89285.7142857143</v>
      </c>
      <c r="AK216" s="71" t="n">
        <f aca="false">AK213+AK215</f>
        <v>87500</v>
      </c>
      <c r="AL216" s="71" t="n">
        <f aca="false">AL213+AL215</f>
        <v>85714.2857142858</v>
      </c>
      <c r="AM216" s="71" t="n">
        <f aca="false">AM213+AM215</f>
        <v>83928.5714285715</v>
      </c>
      <c r="AN216" s="71" t="n">
        <f aca="false">AN213+AN215</f>
        <v>82142.8571428572</v>
      </c>
      <c r="AO216" s="71" t="n">
        <f aca="false">AO213+AO215</f>
        <v>80357.1428571429</v>
      </c>
      <c r="AP216" s="71" t="n">
        <f aca="false">AP213+AP215</f>
        <v>78571.4285714286</v>
      </c>
      <c r="AQ216" s="71" t="n">
        <f aca="false">AQ213+AQ215</f>
        <v>76785.7142857143</v>
      </c>
      <c r="AR216" s="71" t="n">
        <f aca="false">AR213+AR215</f>
        <v>75000</v>
      </c>
      <c r="AS216" s="71" t="n">
        <f aca="false">AS213+AS215</f>
        <v>73214.2857142857</v>
      </c>
      <c r="AT216" s="71" t="n">
        <f aca="false">AT213+AT215</f>
        <v>71428.5714285715</v>
      </c>
      <c r="AU216" s="71" t="n">
        <f aca="false">AU213+AU215</f>
        <v>69642.8571428572</v>
      </c>
      <c r="AV216" s="71" t="n">
        <f aca="false">AV213+AV215</f>
        <v>67857.1428571429</v>
      </c>
      <c r="AW216" s="71" t="n">
        <f aca="false">AW213+AW215</f>
        <v>66071.4285714286</v>
      </c>
      <c r="AX216" s="71" t="n">
        <f aca="false">AX213+AX215</f>
        <v>64285.7142857143</v>
      </c>
      <c r="AY216" s="71" t="n">
        <f aca="false">AY213+AY215</f>
        <v>62500</v>
      </c>
      <c r="AZ216" s="71" t="n">
        <f aca="false">AZ213+AZ215</f>
        <v>60714.2857142857</v>
      </c>
      <c r="BA216" s="71" t="n">
        <f aca="false">BA213+BA215</f>
        <v>58928.5714285714</v>
      </c>
      <c r="BB216" s="71" t="n">
        <f aca="false">BB213+BB215</f>
        <v>57142.8571428571</v>
      </c>
      <c r="BC216" s="71" t="n">
        <f aca="false">BC213+BC215</f>
        <v>55357.1428571428</v>
      </c>
      <c r="BD216" s="71" t="n">
        <f aca="false">BD213+BD215</f>
        <v>53571.4285714286</v>
      </c>
      <c r="BE216" s="71" t="n">
        <f aca="false">BE213+BE215</f>
        <v>51785.7142857143</v>
      </c>
      <c r="BF216" s="71" t="n">
        <f aca="false">BF213+BF215</f>
        <v>50000</v>
      </c>
      <c r="BG216" s="71" t="n">
        <f aca="false">BG213+BG215</f>
        <v>48214.2857142857</v>
      </c>
      <c r="BH216" s="71" t="n">
        <f aca="false">BH213+BH215</f>
        <v>46428.5714285714</v>
      </c>
      <c r="BI216" s="71" t="n">
        <f aca="false">BI213+BI215</f>
        <v>44642.8571428571</v>
      </c>
      <c r="BJ216" s="71" t="n">
        <f aca="false">BJ213+BJ215</f>
        <v>42857.1428571428</v>
      </c>
    </row>
    <row r="218" customFormat="false" ht="15.75" hidden="false" customHeight="true" outlineLevel="0" collapsed="false">
      <c r="A218" s="7" t="s">
        <v>371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6" t="s">
        <v>372</v>
      </c>
      <c r="C219" s="65" t="n">
        <f aca="false">0</f>
        <v>0</v>
      </c>
      <c r="D219" s="65" t="n">
        <f aca="false">C222</f>
        <v>80000</v>
      </c>
      <c r="E219" s="65" t="n">
        <f aca="false">D222</f>
        <v>78666.6666666667</v>
      </c>
      <c r="F219" s="65" t="n">
        <f aca="false">E222</f>
        <v>77333.3333333333</v>
      </c>
      <c r="G219" s="65" t="n">
        <f aca="false">F222</f>
        <v>76000</v>
      </c>
      <c r="H219" s="65" t="n">
        <f aca="false">G222</f>
        <v>74666.6666666667</v>
      </c>
      <c r="I219" s="65" t="n">
        <f aca="false">H222</f>
        <v>73333.3333333334</v>
      </c>
      <c r="J219" s="65" t="n">
        <f aca="false">I222</f>
        <v>72000</v>
      </c>
      <c r="K219" s="65" t="n">
        <f aca="false">J222</f>
        <v>70666.6666666667</v>
      </c>
      <c r="L219" s="65" t="n">
        <f aca="false">K222</f>
        <v>69333.3333333334</v>
      </c>
      <c r="M219" s="65" t="n">
        <f aca="false">L222</f>
        <v>68000</v>
      </c>
      <c r="N219" s="65" t="n">
        <f aca="false">M222</f>
        <v>66666.6666666667</v>
      </c>
      <c r="O219" s="65" t="n">
        <f aca="false">N222</f>
        <v>65333.3333333334</v>
      </c>
      <c r="P219" s="65" t="n">
        <f aca="false">O222</f>
        <v>64000</v>
      </c>
      <c r="Q219" s="65" t="n">
        <f aca="false">P222</f>
        <v>62666.6666666667</v>
      </c>
      <c r="R219" s="65" t="n">
        <f aca="false">Q222</f>
        <v>61333.3333333334</v>
      </c>
      <c r="S219" s="65" t="n">
        <f aca="false">R222</f>
        <v>60000</v>
      </c>
      <c r="T219" s="65" t="n">
        <f aca="false">S222</f>
        <v>58666.6666666667</v>
      </c>
      <c r="U219" s="65" t="n">
        <f aca="false">T222</f>
        <v>57333.3333333334</v>
      </c>
      <c r="V219" s="65" t="n">
        <f aca="false">U222</f>
        <v>56000</v>
      </c>
      <c r="W219" s="65" t="n">
        <f aca="false">V222</f>
        <v>54666.6666666667</v>
      </c>
      <c r="X219" s="65" t="n">
        <f aca="false">W222</f>
        <v>53333.3333333334</v>
      </c>
      <c r="Y219" s="65" t="n">
        <f aca="false">X222</f>
        <v>52000</v>
      </c>
      <c r="Z219" s="65" t="n">
        <f aca="false">Y222</f>
        <v>50666.6666666667</v>
      </c>
      <c r="AA219" s="65" t="n">
        <f aca="false">Z222</f>
        <v>49333.3333333334</v>
      </c>
      <c r="AB219" s="65" t="n">
        <f aca="false">AA222</f>
        <v>48000</v>
      </c>
      <c r="AC219" s="65" t="n">
        <f aca="false">AB222</f>
        <v>46666.6666666667</v>
      </c>
      <c r="AD219" s="65" t="n">
        <f aca="false">AC222</f>
        <v>45333.3333333333</v>
      </c>
      <c r="AE219" s="65" t="n">
        <f aca="false">AD222</f>
        <v>44000</v>
      </c>
      <c r="AF219" s="65" t="n">
        <f aca="false">AE222</f>
        <v>42666.6666666667</v>
      </c>
      <c r="AG219" s="65" t="n">
        <f aca="false">AF222</f>
        <v>41333.3333333333</v>
      </c>
      <c r="AH219" s="65" t="n">
        <f aca="false">AG222</f>
        <v>40000</v>
      </c>
      <c r="AI219" s="65" t="n">
        <f aca="false">AH222</f>
        <v>38666.6666666667</v>
      </c>
      <c r="AJ219" s="65" t="n">
        <f aca="false">AI222</f>
        <v>37333.3333333333</v>
      </c>
      <c r="AK219" s="65" t="n">
        <f aca="false">AJ222</f>
        <v>36000</v>
      </c>
      <c r="AL219" s="65" t="n">
        <f aca="false">AK222</f>
        <v>34666.6666666667</v>
      </c>
      <c r="AM219" s="65" t="n">
        <f aca="false">AL222</f>
        <v>33333.3333333333</v>
      </c>
      <c r="AN219" s="65" t="n">
        <f aca="false">AM222</f>
        <v>32000</v>
      </c>
      <c r="AO219" s="65" t="n">
        <f aca="false">AN222</f>
        <v>30666.6666666667</v>
      </c>
      <c r="AP219" s="65" t="n">
        <f aca="false">AO222</f>
        <v>29333.3333333333</v>
      </c>
      <c r="AQ219" s="65" t="n">
        <f aca="false">AP222</f>
        <v>28000</v>
      </c>
      <c r="AR219" s="65" t="n">
        <f aca="false">AQ222</f>
        <v>26666.6666666667</v>
      </c>
      <c r="AS219" s="65" t="n">
        <f aca="false">AR222</f>
        <v>25333.3333333333</v>
      </c>
      <c r="AT219" s="65" t="n">
        <f aca="false">AS222</f>
        <v>24000</v>
      </c>
      <c r="AU219" s="65" t="n">
        <f aca="false">AT222</f>
        <v>22666.6666666667</v>
      </c>
      <c r="AV219" s="65" t="n">
        <f aca="false">AU222</f>
        <v>21333.3333333333</v>
      </c>
      <c r="AW219" s="65" t="n">
        <f aca="false">AV222</f>
        <v>20000</v>
      </c>
      <c r="AX219" s="65" t="n">
        <f aca="false">AW222</f>
        <v>18666.6666666667</v>
      </c>
      <c r="AY219" s="65" t="n">
        <f aca="false">AX222</f>
        <v>17333.3333333333</v>
      </c>
      <c r="AZ219" s="65" t="n">
        <f aca="false">AY222</f>
        <v>16000</v>
      </c>
      <c r="BA219" s="65" t="n">
        <f aca="false">AZ222</f>
        <v>14666.6666666667</v>
      </c>
      <c r="BB219" s="65" t="n">
        <f aca="false">BA222</f>
        <v>13333.3333333333</v>
      </c>
      <c r="BC219" s="65" t="n">
        <f aca="false">BB222</f>
        <v>12000</v>
      </c>
      <c r="BD219" s="65" t="n">
        <f aca="false">BC222</f>
        <v>10666.6666666667</v>
      </c>
      <c r="BE219" s="65" t="n">
        <f aca="false">BD222</f>
        <v>9333.33333333333</v>
      </c>
      <c r="BF219" s="65" t="n">
        <f aca="false">BE222</f>
        <v>8000</v>
      </c>
      <c r="BG219" s="65" t="n">
        <f aca="false">BF222</f>
        <v>6666.66666666667</v>
      </c>
      <c r="BH219" s="65" t="n">
        <f aca="false">BG222</f>
        <v>5333.33333333333</v>
      </c>
      <c r="BI219" s="65" t="n">
        <f aca="false">BH222</f>
        <v>4000</v>
      </c>
      <c r="BJ219" s="65" t="n">
        <f aca="false">BI222</f>
        <v>2666.66666666667</v>
      </c>
    </row>
    <row r="220" customFormat="false" ht="15" hidden="false" customHeight="false" outlineLevel="0" collapsed="false">
      <c r="A220" s="6" t="s">
        <v>83</v>
      </c>
      <c r="C220" s="65" t="n">
        <f aca="false">IF(C$182=1,Inputs!$D$30,0)</f>
        <v>80000</v>
      </c>
      <c r="D220" s="65" t="n">
        <f aca="false">IF(D$182=1,Inputs!$D$30,0)</f>
        <v>0</v>
      </c>
      <c r="E220" s="65" t="n">
        <f aca="false">IF(E$182=1,Inputs!$D$30,0)</f>
        <v>0</v>
      </c>
      <c r="F220" s="65" t="n">
        <f aca="false">IF(F$182=1,Inputs!$D$30,0)</f>
        <v>0</v>
      </c>
      <c r="G220" s="65" t="n">
        <f aca="false">IF(G$182=1,Inputs!$D$30,0)</f>
        <v>0</v>
      </c>
      <c r="H220" s="65" t="n">
        <f aca="false">IF(H$182=1,Inputs!$D$30,0)</f>
        <v>0</v>
      </c>
      <c r="I220" s="65" t="n">
        <f aca="false">IF(I$182=1,Inputs!$D$30,0)</f>
        <v>0</v>
      </c>
      <c r="J220" s="65" t="n">
        <f aca="false">IF(J$182=1,Inputs!$D$30,0)</f>
        <v>0</v>
      </c>
      <c r="K220" s="65" t="n">
        <f aca="false">IF(K$182=1,Inputs!$D$30,0)</f>
        <v>0</v>
      </c>
      <c r="L220" s="65" t="n">
        <f aca="false">IF(L$182=1,Inputs!$D$30,0)</f>
        <v>0</v>
      </c>
      <c r="M220" s="65" t="n">
        <f aca="false">IF(M$182=1,Inputs!$D$30,0)</f>
        <v>0</v>
      </c>
      <c r="N220" s="65" t="n">
        <f aca="false">IF(N$182=1,Inputs!$D$30,0)</f>
        <v>0</v>
      </c>
      <c r="O220" s="65" t="n">
        <f aca="false">IF(O$182=1,Inputs!$D$30,0)</f>
        <v>0</v>
      </c>
      <c r="P220" s="65" t="n">
        <f aca="false">IF(P$182=1,Inputs!$D$30,0)</f>
        <v>0</v>
      </c>
      <c r="Q220" s="65" t="n">
        <f aca="false">IF(Q$182=1,Inputs!$D$30,0)</f>
        <v>0</v>
      </c>
      <c r="R220" s="65" t="n">
        <f aca="false">IF(R$182=1,Inputs!$D$30,0)</f>
        <v>0</v>
      </c>
      <c r="S220" s="65" t="n">
        <f aca="false">IF(S$182=1,Inputs!$D$30,0)</f>
        <v>0</v>
      </c>
      <c r="T220" s="65" t="n">
        <f aca="false">IF(T$182=1,Inputs!$D$30,0)</f>
        <v>0</v>
      </c>
      <c r="U220" s="65" t="n">
        <f aca="false">IF(U$182=1,Inputs!$D$30,0)</f>
        <v>0</v>
      </c>
      <c r="V220" s="65" t="n">
        <f aca="false">IF(V$182=1,Inputs!$D$30,0)</f>
        <v>0</v>
      </c>
      <c r="W220" s="65" t="n">
        <f aca="false">IF(W$182=1,Inputs!$D$30,0)</f>
        <v>0</v>
      </c>
      <c r="X220" s="65" t="n">
        <f aca="false">IF(X$182=1,Inputs!$D$30,0)</f>
        <v>0</v>
      </c>
      <c r="Y220" s="65" t="n">
        <f aca="false">IF(Y$182=1,Inputs!$D$30,0)</f>
        <v>0</v>
      </c>
      <c r="Z220" s="65" t="n">
        <f aca="false">IF(Z$182=1,Inputs!$D$30,0)</f>
        <v>0</v>
      </c>
      <c r="AA220" s="65" t="n">
        <f aca="false">IF(AA$182=1,Inputs!$D$30,0)</f>
        <v>0</v>
      </c>
      <c r="AB220" s="65" t="n">
        <f aca="false">IF(AB$182=1,Inputs!$D$30,0)</f>
        <v>0</v>
      </c>
      <c r="AC220" s="65" t="n">
        <f aca="false">IF(AC$182=1,Inputs!$D$30,0)</f>
        <v>0</v>
      </c>
      <c r="AD220" s="65" t="n">
        <f aca="false">IF(AD$182=1,Inputs!$D$30,0)</f>
        <v>0</v>
      </c>
      <c r="AE220" s="65" t="n">
        <f aca="false">IF(AE$182=1,Inputs!$D$30,0)</f>
        <v>0</v>
      </c>
      <c r="AF220" s="65" t="n">
        <f aca="false">IF(AF$182=1,Inputs!$D$30,0)</f>
        <v>0</v>
      </c>
      <c r="AG220" s="65" t="n">
        <f aca="false">IF(AG$182=1,Inputs!$D$30,0)</f>
        <v>0</v>
      </c>
      <c r="AH220" s="65" t="n">
        <f aca="false">IF(AH$182=1,Inputs!$D$30,0)</f>
        <v>0</v>
      </c>
      <c r="AI220" s="65" t="n">
        <f aca="false">IF(AI$182=1,Inputs!$D$30,0)</f>
        <v>0</v>
      </c>
      <c r="AJ220" s="65" t="n">
        <f aca="false">IF(AJ$182=1,Inputs!$D$30,0)</f>
        <v>0</v>
      </c>
      <c r="AK220" s="65" t="n">
        <f aca="false">IF(AK$182=1,Inputs!$D$30,0)</f>
        <v>0</v>
      </c>
      <c r="AL220" s="65" t="n">
        <f aca="false">IF(AL$182=1,Inputs!$D$30,0)</f>
        <v>0</v>
      </c>
      <c r="AM220" s="65" t="n">
        <f aca="false">IF(AM$182=1,Inputs!$D$30,0)</f>
        <v>0</v>
      </c>
      <c r="AN220" s="65" t="n">
        <f aca="false">IF(AN$182=1,Inputs!$D$30,0)</f>
        <v>0</v>
      </c>
      <c r="AO220" s="65" t="n">
        <f aca="false">IF(AO$182=1,Inputs!$D$30,0)</f>
        <v>0</v>
      </c>
      <c r="AP220" s="65" t="n">
        <f aca="false">IF(AP$182=1,Inputs!$D$30,0)</f>
        <v>0</v>
      </c>
      <c r="AQ220" s="65" t="n">
        <f aca="false">IF(AQ$182=1,Inputs!$D$30,0)</f>
        <v>0</v>
      </c>
      <c r="AR220" s="65" t="n">
        <f aca="false">IF(AR$182=1,Inputs!$D$30,0)</f>
        <v>0</v>
      </c>
      <c r="AS220" s="65" t="n">
        <f aca="false">IF(AS$182=1,Inputs!$D$30,0)</f>
        <v>0</v>
      </c>
      <c r="AT220" s="65" t="n">
        <f aca="false">IF(AT$182=1,Inputs!$D$30,0)</f>
        <v>0</v>
      </c>
      <c r="AU220" s="65" t="n">
        <f aca="false">IF(AU$182=1,Inputs!$D$30,0)</f>
        <v>0</v>
      </c>
      <c r="AV220" s="65" t="n">
        <f aca="false">IF(AV$182=1,Inputs!$D$30,0)</f>
        <v>0</v>
      </c>
      <c r="AW220" s="65" t="n">
        <f aca="false">IF(AW$182=1,Inputs!$D$30,0)</f>
        <v>0</v>
      </c>
      <c r="AX220" s="65" t="n">
        <f aca="false">IF(AX$182=1,Inputs!$D$30,0)</f>
        <v>0</v>
      </c>
      <c r="AY220" s="65" t="n">
        <f aca="false">IF(AY$182=1,Inputs!$D$30,0)</f>
        <v>0</v>
      </c>
      <c r="AZ220" s="65" t="n">
        <f aca="false">IF(AZ$182=1,Inputs!$D$30,0)</f>
        <v>0</v>
      </c>
      <c r="BA220" s="65" t="n">
        <f aca="false">IF(BA$182=1,Inputs!$D$30,0)</f>
        <v>0</v>
      </c>
      <c r="BB220" s="65" t="n">
        <f aca="false">IF(BB$182=1,Inputs!$D$30,0)</f>
        <v>0</v>
      </c>
      <c r="BC220" s="65" t="n">
        <f aca="false">IF(BC$182=1,Inputs!$D$30,0)</f>
        <v>0</v>
      </c>
      <c r="BD220" s="65" t="n">
        <f aca="false">IF(BD$182=1,Inputs!$D$30,0)</f>
        <v>0</v>
      </c>
      <c r="BE220" s="65" t="n">
        <f aca="false">IF(BE$182=1,Inputs!$D$30,0)</f>
        <v>0</v>
      </c>
      <c r="BF220" s="65" t="n">
        <f aca="false">IF(BF$182=1,Inputs!$D$30,0)</f>
        <v>0</v>
      </c>
      <c r="BG220" s="65" t="n">
        <f aca="false">IF(BG$182=1,Inputs!$D$30,0)</f>
        <v>0</v>
      </c>
      <c r="BH220" s="65" t="n">
        <f aca="false">IF(BH$182=1,Inputs!$D$30,0)</f>
        <v>0</v>
      </c>
      <c r="BI220" s="65" t="n">
        <f aca="false">IF(BI$182=1,Inputs!$D$30,0)</f>
        <v>0</v>
      </c>
      <c r="BJ220" s="65" t="n">
        <f aca="false">IF(BJ$182=1,Inputs!$D$30,0)</f>
        <v>0</v>
      </c>
    </row>
    <row r="221" customFormat="false" ht="15" hidden="false" customHeight="false" outlineLevel="0" collapsed="false">
      <c r="A221" s="6" t="s">
        <v>84</v>
      </c>
      <c r="C221" s="65" t="n">
        <f aca="false">-MIN(C219,Inputs!$D$30/MAX(1,Inputs!$D$32*12))</f>
        <v>-0</v>
      </c>
      <c r="D221" s="65" t="n">
        <f aca="false">-MIN(D219,Inputs!$D$30/MAX(1,Inputs!$D$32*12))</f>
        <v>-1333.33333333333</v>
      </c>
      <c r="E221" s="65" t="n">
        <f aca="false">-MIN(E219,Inputs!$D$30/MAX(1,Inputs!$D$32*12))</f>
        <v>-1333.33333333333</v>
      </c>
      <c r="F221" s="65" t="n">
        <f aca="false">-MIN(F219,Inputs!$D$30/MAX(1,Inputs!$D$32*12))</f>
        <v>-1333.33333333333</v>
      </c>
      <c r="G221" s="65" t="n">
        <f aca="false">-MIN(G219,Inputs!$D$30/MAX(1,Inputs!$D$32*12))</f>
        <v>-1333.33333333333</v>
      </c>
      <c r="H221" s="65" t="n">
        <f aca="false">-MIN(H219,Inputs!$D$30/MAX(1,Inputs!$D$32*12))</f>
        <v>-1333.33333333333</v>
      </c>
      <c r="I221" s="65" t="n">
        <f aca="false">-MIN(I219,Inputs!$D$30/MAX(1,Inputs!$D$32*12))</f>
        <v>-1333.33333333333</v>
      </c>
      <c r="J221" s="65" t="n">
        <f aca="false">-MIN(J219,Inputs!$D$30/MAX(1,Inputs!$D$32*12))</f>
        <v>-1333.33333333333</v>
      </c>
      <c r="K221" s="65" t="n">
        <f aca="false">-MIN(K219,Inputs!$D$30/MAX(1,Inputs!$D$32*12))</f>
        <v>-1333.33333333333</v>
      </c>
      <c r="L221" s="65" t="n">
        <f aca="false">-MIN(L219,Inputs!$D$30/MAX(1,Inputs!$D$32*12))</f>
        <v>-1333.33333333333</v>
      </c>
      <c r="M221" s="65" t="n">
        <f aca="false">-MIN(M219,Inputs!$D$30/MAX(1,Inputs!$D$32*12))</f>
        <v>-1333.33333333333</v>
      </c>
      <c r="N221" s="65" t="n">
        <f aca="false">-MIN(N219,Inputs!$D$30/MAX(1,Inputs!$D$32*12))</f>
        <v>-1333.33333333333</v>
      </c>
      <c r="O221" s="65" t="n">
        <f aca="false">-MIN(O219,Inputs!$D$30/MAX(1,Inputs!$D$32*12))</f>
        <v>-1333.33333333333</v>
      </c>
      <c r="P221" s="65" t="n">
        <f aca="false">-MIN(P219,Inputs!$D$30/MAX(1,Inputs!$D$32*12))</f>
        <v>-1333.33333333333</v>
      </c>
      <c r="Q221" s="65" t="n">
        <f aca="false">-MIN(Q219,Inputs!$D$30/MAX(1,Inputs!$D$32*12))</f>
        <v>-1333.33333333333</v>
      </c>
      <c r="R221" s="65" t="n">
        <f aca="false">-MIN(R219,Inputs!$D$30/MAX(1,Inputs!$D$32*12))</f>
        <v>-1333.33333333333</v>
      </c>
      <c r="S221" s="65" t="n">
        <f aca="false">-MIN(S219,Inputs!$D$30/MAX(1,Inputs!$D$32*12))</f>
        <v>-1333.33333333333</v>
      </c>
      <c r="T221" s="65" t="n">
        <f aca="false">-MIN(T219,Inputs!$D$30/MAX(1,Inputs!$D$32*12))</f>
        <v>-1333.33333333333</v>
      </c>
      <c r="U221" s="65" t="n">
        <f aca="false">-MIN(U219,Inputs!$D$30/MAX(1,Inputs!$D$32*12))</f>
        <v>-1333.33333333333</v>
      </c>
      <c r="V221" s="65" t="n">
        <f aca="false">-MIN(V219,Inputs!$D$30/MAX(1,Inputs!$D$32*12))</f>
        <v>-1333.33333333333</v>
      </c>
      <c r="W221" s="65" t="n">
        <f aca="false">-MIN(W219,Inputs!$D$30/MAX(1,Inputs!$D$32*12))</f>
        <v>-1333.33333333333</v>
      </c>
      <c r="X221" s="65" t="n">
        <f aca="false">-MIN(X219,Inputs!$D$30/MAX(1,Inputs!$D$32*12))</f>
        <v>-1333.33333333333</v>
      </c>
      <c r="Y221" s="65" t="n">
        <f aca="false">-MIN(Y219,Inputs!$D$30/MAX(1,Inputs!$D$32*12))</f>
        <v>-1333.33333333333</v>
      </c>
      <c r="Z221" s="65" t="n">
        <f aca="false">-MIN(Z219,Inputs!$D$30/MAX(1,Inputs!$D$32*12))</f>
        <v>-1333.33333333333</v>
      </c>
      <c r="AA221" s="65" t="n">
        <f aca="false">-MIN(AA219,Inputs!$D$30/MAX(1,Inputs!$D$32*12))</f>
        <v>-1333.33333333333</v>
      </c>
      <c r="AB221" s="65" t="n">
        <f aca="false">-MIN(AB219,Inputs!$D$30/MAX(1,Inputs!$D$32*12))</f>
        <v>-1333.33333333333</v>
      </c>
      <c r="AC221" s="65" t="n">
        <f aca="false">-MIN(AC219,Inputs!$D$30/MAX(1,Inputs!$D$32*12))</f>
        <v>-1333.33333333333</v>
      </c>
      <c r="AD221" s="65" t="n">
        <f aca="false">-MIN(AD219,Inputs!$D$30/MAX(1,Inputs!$D$32*12))</f>
        <v>-1333.33333333333</v>
      </c>
      <c r="AE221" s="65" t="n">
        <f aca="false">-MIN(AE219,Inputs!$D$30/MAX(1,Inputs!$D$32*12))</f>
        <v>-1333.33333333333</v>
      </c>
      <c r="AF221" s="65" t="n">
        <f aca="false">-MIN(AF219,Inputs!$D$30/MAX(1,Inputs!$D$32*12))</f>
        <v>-1333.33333333333</v>
      </c>
      <c r="AG221" s="65" t="n">
        <f aca="false">-MIN(AG219,Inputs!$D$30/MAX(1,Inputs!$D$32*12))</f>
        <v>-1333.33333333333</v>
      </c>
      <c r="AH221" s="65" t="n">
        <f aca="false">-MIN(AH219,Inputs!$D$30/MAX(1,Inputs!$D$32*12))</f>
        <v>-1333.33333333333</v>
      </c>
      <c r="AI221" s="65" t="n">
        <f aca="false">-MIN(AI219,Inputs!$D$30/MAX(1,Inputs!$D$32*12))</f>
        <v>-1333.33333333333</v>
      </c>
      <c r="AJ221" s="65" t="n">
        <f aca="false">-MIN(AJ219,Inputs!$D$30/MAX(1,Inputs!$D$32*12))</f>
        <v>-1333.33333333333</v>
      </c>
      <c r="AK221" s="65" t="n">
        <f aca="false">-MIN(AK219,Inputs!$D$30/MAX(1,Inputs!$D$32*12))</f>
        <v>-1333.33333333333</v>
      </c>
      <c r="AL221" s="65" t="n">
        <f aca="false">-MIN(AL219,Inputs!$D$30/MAX(1,Inputs!$D$32*12))</f>
        <v>-1333.33333333333</v>
      </c>
      <c r="AM221" s="65" t="n">
        <f aca="false">-MIN(AM219,Inputs!$D$30/MAX(1,Inputs!$D$32*12))</f>
        <v>-1333.33333333333</v>
      </c>
      <c r="AN221" s="65" t="n">
        <f aca="false">-MIN(AN219,Inputs!$D$30/MAX(1,Inputs!$D$32*12))</f>
        <v>-1333.33333333333</v>
      </c>
      <c r="AO221" s="65" t="n">
        <f aca="false">-MIN(AO219,Inputs!$D$30/MAX(1,Inputs!$D$32*12))</f>
        <v>-1333.33333333333</v>
      </c>
      <c r="AP221" s="65" t="n">
        <f aca="false">-MIN(AP219,Inputs!$D$30/MAX(1,Inputs!$D$32*12))</f>
        <v>-1333.33333333333</v>
      </c>
      <c r="AQ221" s="65" t="n">
        <f aca="false">-MIN(AQ219,Inputs!$D$30/MAX(1,Inputs!$D$32*12))</f>
        <v>-1333.33333333333</v>
      </c>
      <c r="AR221" s="65" t="n">
        <f aca="false">-MIN(AR219,Inputs!$D$30/MAX(1,Inputs!$D$32*12))</f>
        <v>-1333.33333333333</v>
      </c>
      <c r="AS221" s="65" t="n">
        <f aca="false">-MIN(AS219,Inputs!$D$30/MAX(1,Inputs!$D$32*12))</f>
        <v>-1333.33333333333</v>
      </c>
      <c r="AT221" s="65" t="n">
        <f aca="false">-MIN(AT219,Inputs!$D$30/MAX(1,Inputs!$D$32*12))</f>
        <v>-1333.33333333333</v>
      </c>
      <c r="AU221" s="65" t="n">
        <f aca="false">-MIN(AU219,Inputs!$D$30/MAX(1,Inputs!$D$32*12))</f>
        <v>-1333.33333333333</v>
      </c>
      <c r="AV221" s="65" t="n">
        <f aca="false">-MIN(AV219,Inputs!$D$30/MAX(1,Inputs!$D$32*12))</f>
        <v>-1333.33333333333</v>
      </c>
      <c r="AW221" s="65" t="n">
        <f aca="false">-MIN(AW219,Inputs!$D$30/MAX(1,Inputs!$D$32*12))</f>
        <v>-1333.33333333333</v>
      </c>
      <c r="AX221" s="65" t="n">
        <f aca="false">-MIN(AX219,Inputs!$D$30/MAX(1,Inputs!$D$32*12))</f>
        <v>-1333.33333333333</v>
      </c>
      <c r="AY221" s="65" t="n">
        <f aca="false">-MIN(AY219,Inputs!$D$30/MAX(1,Inputs!$D$32*12))</f>
        <v>-1333.33333333333</v>
      </c>
      <c r="AZ221" s="65" t="n">
        <f aca="false">-MIN(AZ219,Inputs!$D$30/MAX(1,Inputs!$D$32*12))</f>
        <v>-1333.33333333333</v>
      </c>
      <c r="BA221" s="65" t="n">
        <f aca="false">-MIN(BA219,Inputs!$D$30/MAX(1,Inputs!$D$32*12))</f>
        <v>-1333.33333333333</v>
      </c>
      <c r="BB221" s="65" t="n">
        <f aca="false">-MIN(BB219,Inputs!$D$30/MAX(1,Inputs!$D$32*12))</f>
        <v>-1333.33333333333</v>
      </c>
      <c r="BC221" s="65" t="n">
        <f aca="false">-MIN(BC219,Inputs!$D$30/MAX(1,Inputs!$D$32*12))</f>
        <v>-1333.33333333333</v>
      </c>
      <c r="BD221" s="65" t="n">
        <f aca="false">-MIN(BD219,Inputs!$D$30/MAX(1,Inputs!$D$32*12))</f>
        <v>-1333.33333333333</v>
      </c>
      <c r="BE221" s="65" t="n">
        <f aca="false">-MIN(BE219,Inputs!$D$30/MAX(1,Inputs!$D$32*12))</f>
        <v>-1333.33333333333</v>
      </c>
      <c r="BF221" s="65" t="n">
        <f aca="false">-MIN(BF219,Inputs!$D$30/MAX(1,Inputs!$D$32*12))</f>
        <v>-1333.33333333333</v>
      </c>
      <c r="BG221" s="65" t="n">
        <f aca="false">-MIN(BG219,Inputs!$D$30/MAX(1,Inputs!$D$32*12))</f>
        <v>-1333.33333333333</v>
      </c>
      <c r="BH221" s="65" t="n">
        <f aca="false">-MIN(BH219,Inputs!$D$30/MAX(1,Inputs!$D$32*12))</f>
        <v>-1333.33333333333</v>
      </c>
      <c r="BI221" s="65" t="n">
        <f aca="false">-MIN(BI219,Inputs!$D$30/MAX(1,Inputs!$D$32*12))</f>
        <v>-1333.33333333333</v>
      </c>
      <c r="BJ221" s="65" t="n">
        <f aca="false">-MIN(BJ219,Inputs!$D$30/MAX(1,Inputs!$D$32*12))</f>
        <v>-1333.33333333333</v>
      </c>
    </row>
    <row r="222" customFormat="false" ht="15" hidden="false" customHeight="false" outlineLevel="0" collapsed="false">
      <c r="A222" s="4" t="s">
        <v>373</v>
      </c>
      <c r="C222" s="71" t="n">
        <f aca="false">C219+C220+C221</f>
        <v>80000</v>
      </c>
      <c r="D222" s="71" t="n">
        <f aca="false">D219+D220+D221</f>
        <v>78666.6666666667</v>
      </c>
      <c r="E222" s="71" t="n">
        <f aca="false">E219+E220+E221</f>
        <v>77333.3333333333</v>
      </c>
      <c r="F222" s="71" t="n">
        <f aca="false">F219+F220+F221</f>
        <v>76000</v>
      </c>
      <c r="G222" s="71" t="n">
        <f aca="false">G219+G220+G221</f>
        <v>74666.6666666667</v>
      </c>
      <c r="H222" s="71" t="n">
        <f aca="false">H219+H220+H221</f>
        <v>73333.3333333334</v>
      </c>
      <c r="I222" s="71" t="n">
        <f aca="false">I219+I220+I221</f>
        <v>72000</v>
      </c>
      <c r="J222" s="71" t="n">
        <f aca="false">J219+J220+J221</f>
        <v>70666.6666666667</v>
      </c>
      <c r="K222" s="71" t="n">
        <f aca="false">K219+K220+K221</f>
        <v>69333.3333333334</v>
      </c>
      <c r="L222" s="71" t="n">
        <f aca="false">L219+L220+L221</f>
        <v>68000</v>
      </c>
      <c r="M222" s="71" t="n">
        <f aca="false">M219+M220+M221</f>
        <v>66666.6666666667</v>
      </c>
      <c r="N222" s="71" t="n">
        <f aca="false">N219+N220+N221</f>
        <v>65333.3333333334</v>
      </c>
      <c r="O222" s="71" t="n">
        <f aca="false">O219+O220+O221</f>
        <v>64000</v>
      </c>
      <c r="P222" s="71" t="n">
        <f aca="false">P219+P220+P221</f>
        <v>62666.6666666667</v>
      </c>
      <c r="Q222" s="71" t="n">
        <f aca="false">Q219+Q220+Q221</f>
        <v>61333.3333333334</v>
      </c>
      <c r="R222" s="71" t="n">
        <f aca="false">R219+R220+R221</f>
        <v>60000</v>
      </c>
      <c r="S222" s="71" t="n">
        <f aca="false">S219+S220+S221</f>
        <v>58666.6666666667</v>
      </c>
      <c r="T222" s="71" t="n">
        <f aca="false">T219+T220+T221</f>
        <v>57333.3333333334</v>
      </c>
      <c r="U222" s="71" t="n">
        <f aca="false">U219+U220+U221</f>
        <v>56000</v>
      </c>
      <c r="V222" s="71" t="n">
        <f aca="false">V219+V220+V221</f>
        <v>54666.6666666667</v>
      </c>
      <c r="W222" s="71" t="n">
        <f aca="false">W219+W220+W221</f>
        <v>53333.3333333334</v>
      </c>
      <c r="X222" s="71" t="n">
        <f aca="false">X219+X220+X221</f>
        <v>52000</v>
      </c>
      <c r="Y222" s="71" t="n">
        <f aca="false">Y219+Y220+Y221</f>
        <v>50666.6666666667</v>
      </c>
      <c r="Z222" s="71" t="n">
        <f aca="false">Z219+Z220+Z221</f>
        <v>49333.3333333334</v>
      </c>
      <c r="AA222" s="71" t="n">
        <f aca="false">AA219+AA220+AA221</f>
        <v>48000</v>
      </c>
      <c r="AB222" s="71" t="n">
        <f aca="false">AB219+AB220+AB221</f>
        <v>46666.6666666667</v>
      </c>
      <c r="AC222" s="71" t="n">
        <f aca="false">AC219+AC220+AC221</f>
        <v>45333.3333333333</v>
      </c>
      <c r="AD222" s="71" t="n">
        <f aca="false">AD219+AD220+AD221</f>
        <v>44000</v>
      </c>
      <c r="AE222" s="71" t="n">
        <f aca="false">AE219+AE220+AE221</f>
        <v>42666.6666666667</v>
      </c>
      <c r="AF222" s="71" t="n">
        <f aca="false">AF219+AF220+AF221</f>
        <v>41333.3333333333</v>
      </c>
      <c r="AG222" s="71" t="n">
        <f aca="false">AG219+AG220+AG221</f>
        <v>40000</v>
      </c>
      <c r="AH222" s="71" t="n">
        <f aca="false">AH219+AH220+AH221</f>
        <v>38666.6666666667</v>
      </c>
      <c r="AI222" s="71" t="n">
        <f aca="false">AI219+AI220+AI221</f>
        <v>37333.3333333333</v>
      </c>
      <c r="AJ222" s="71" t="n">
        <f aca="false">AJ219+AJ220+AJ221</f>
        <v>36000</v>
      </c>
      <c r="AK222" s="71" t="n">
        <f aca="false">AK219+AK220+AK221</f>
        <v>34666.6666666667</v>
      </c>
      <c r="AL222" s="71" t="n">
        <f aca="false">AL219+AL220+AL221</f>
        <v>33333.3333333333</v>
      </c>
      <c r="AM222" s="71" t="n">
        <f aca="false">AM219+AM220+AM221</f>
        <v>32000</v>
      </c>
      <c r="AN222" s="71" t="n">
        <f aca="false">AN219+AN220+AN221</f>
        <v>30666.6666666667</v>
      </c>
      <c r="AO222" s="71" t="n">
        <f aca="false">AO219+AO220+AO221</f>
        <v>29333.3333333333</v>
      </c>
      <c r="AP222" s="71" t="n">
        <f aca="false">AP219+AP220+AP221</f>
        <v>28000</v>
      </c>
      <c r="AQ222" s="71" t="n">
        <f aca="false">AQ219+AQ220+AQ221</f>
        <v>26666.6666666667</v>
      </c>
      <c r="AR222" s="71" t="n">
        <f aca="false">AR219+AR220+AR221</f>
        <v>25333.3333333333</v>
      </c>
      <c r="AS222" s="71" t="n">
        <f aca="false">AS219+AS220+AS221</f>
        <v>24000</v>
      </c>
      <c r="AT222" s="71" t="n">
        <f aca="false">AT219+AT220+AT221</f>
        <v>22666.6666666667</v>
      </c>
      <c r="AU222" s="71" t="n">
        <f aca="false">AU219+AU220+AU221</f>
        <v>21333.3333333333</v>
      </c>
      <c r="AV222" s="71" t="n">
        <f aca="false">AV219+AV220+AV221</f>
        <v>20000</v>
      </c>
      <c r="AW222" s="71" t="n">
        <f aca="false">AW219+AW220+AW221</f>
        <v>18666.6666666667</v>
      </c>
      <c r="AX222" s="71" t="n">
        <f aca="false">AX219+AX220+AX221</f>
        <v>17333.3333333333</v>
      </c>
      <c r="AY222" s="71" t="n">
        <f aca="false">AY219+AY220+AY221</f>
        <v>16000</v>
      </c>
      <c r="AZ222" s="71" t="n">
        <f aca="false">AZ219+AZ220+AZ221</f>
        <v>14666.6666666667</v>
      </c>
      <c r="BA222" s="71" t="n">
        <f aca="false">BA219+BA220+BA221</f>
        <v>13333.3333333333</v>
      </c>
      <c r="BB222" s="71" t="n">
        <f aca="false">BB219+BB220+BB221</f>
        <v>12000</v>
      </c>
      <c r="BC222" s="71" t="n">
        <f aca="false">BC219+BC220+BC221</f>
        <v>10666.6666666667</v>
      </c>
      <c r="BD222" s="71" t="n">
        <f aca="false">BD219+BD220+BD221</f>
        <v>9333.33333333333</v>
      </c>
      <c r="BE222" s="71" t="n">
        <f aca="false">BE219+BE220+BE221</f>
        <v>8000</v>
      </c>
      <c r="BF222" s="71" t="n">
        <f aca="false">BF219+BF220+BF221</f>
        <v>6666.66666666667</v>
      </c>
      <c r="BG222" s="71" t="n">
        <f aca="false">BG219+BG220+BG221</f>
        <v>5333.33333333333</v>
      </c>
      <c r="BH222" s="71" t="n">
        <f aca="false">BH219+BH220+BH221</f>
        <v>4000</v>
      </c>
      <c r="BI222" s="71" t="n">
        <f aca="false">BI219+BI220+BI221</f>
        <v>2666.66666666667</v>
      </c>
      <c r="BJ222" s="71" t="n">
        <f aca="false">BJ219+BJ220+BJ221</f>
        <v>1333.33333333333</v>
      </c>
    </row>
    <row r="224" customFormat="false" ht="15.75" hidden="false" customHeight="true" outlineLevel="0" collapsed="false">
      <c r="A224" s="7" t="s">
        <v>270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6" t="s">
        <v>88</v>
      </c>
      <c r="C225" s="65" t="n">
        <f aca="false">C190*Inputs!$D$35/30</f>
        <v>1890</v>
      </c>
      <c r="D225" s="65" t="n">
        <f aca="false">D190*Inputs!$D$35/30</f>
        <v>2205</v>
      </c>
      <c r="E225" s="65" t="n">
        <f aca="false">E190*Inputs!$D$35/30</f>
        <v>2520</v>
      </c>
      <c r="F225" s="65" t="n">
        <f aca="false">F190*Inputs!$D$35/30</f>
        <v>2835</v>
      </c>
      <c r="G225" s="65" t="n">
        <f aca="false">G190*Inputs!$D$35/30</f>
        <v>3150</v>
      </c>
      <c r="H225" s="65" t="n">
        <f aca="false">H190*Inputs!$D$35/30</f>
        <v>3150</v>
      </c>
      <c r="I225" s="65" t="n">
        <f aca="false">I190*Inputs!$D$35/30</f>
        <v>3150</v>
      </c>
      <c r="J225" s="65" t="n">
        <f aca="false">J190*Inputs!$D$35/30</f>
        <v>3150</v>
      </c>
      <c r="K225" s="65" t="n">
        <f aca="false">K190*Inputs!$D$35/30</f>
        <v>3150</v>
      </c>
      <c r="L225" s="65" t="n">
        <f aca="false">L190*Inputs!$D$35/30</f>
        <v>3150</v>
      </c>
      <c r="M225" s="65" t="n">
        <f aca="false">M190*Inputs!$D$35/30</f>
        <v>3150</v>
      </c>
      <c r="N225" s="65" t="n">
        <f aca="false">N190*Inputs!$D$35/30</f>
        <v>3150</v>
      </c>
      <c r="O225" s="65" t="n">
        <f aca="false">O190*Inputs!$D$35/30</f>
        <v>3570.84</v>
      </c>
      <c r="P225" s="65" t="n">
        <f aca="false">P190*Inputs!$D$35/30</f>
        <v>3570.84</v>
      </c>
      <c r="Q225" s="65" t="n">
        <f aca="false">Q190*Inputs!$D$35/30</f>
        <v>3570.84</v>
      </c>
      <c r="R225" s="65" t="n">
        <f aca="false">R190*Inputs!$D$35/30</f>
        <v>3570.84</v>
      </c>
      <c r="S225" s="65" t="n">
        <f aca="false">S190*Inputs!$D$35/30</f>
        <v>3570.84</v>
      </c>
      <c r="T225" s="65" t="n">
        <f aca="false">T190*Inputs!$D$35/30</f>
        <v>3570.84</v>
      </c>
      <c r="U225" s="65" t="n">
        <f aca="false">U190*Inputs!$D$35/30</f>
        <v>3570.84</v>
      </c>
      <c r="V225" s="65" t="n">
        <f aca="false">V190*Inputs!$D$35/30</f>
        <v>3570.84</v>
      </c>
      <c r="W225" s="65" t="n">
        <f aca="false">W190*Inputs!$D$35/30</f>
        <v>3570.84</v>
      </c>
      <c r="X225" s="65" t="n">
        <f aca="false">X190*Inputs!$D$35/30</f>
        <v>3570.84</v>
      </c>
      <c r="Y225" s="65" t="n">
        <f aca="false">Y190*Inputs!$D$35/30</f>
        <v>3570.84</v>
      </c>
      <c r="Z225" s="65" t="n">
        <f aca="false">Z190*Inputs!$D$35/30</f>
        <v>3570.84</v>
      </c>
      <c r="AA225" s="65" t="n">
        <f aca="false">AA190*Inputs!$D$35/30</f>
        <v>4047.904224</v>
      </c>
      <c r="AB225" s="65" t="n">
        <f aca="false">AB190*Inputs!$D$35/30</f>
        <v>4047.904224</v>
      </c>
      <c r="AC225" s="65" t="n">
        <f aca="false">AC190*Inputs!$D$35/30</f>
        <v>4047.904224</v>
      </c>
      <c r="AD225" s="65" t="n">
        <f aca="false">AD190*Inputs!$D$35/30</f>
        <v>4047.904224</v>
      </c>
      <c r="AE225" s="65" t="n">
        <f aca="false">AE190*Inputs!$D$35/30</f>
        <v>4047.904224</v>
      </c>
      <c r="AF225" s="65" t="n">
        <f aca="false">AF190*Inputs!$D$35/30</f>
        <v>4047.904224</v>
      </c>
      <c r="AG225" s="65" t="n">
        <f aca="false">AG190*Inputs!$D$35/30</f>
        <v>4047.904224</v>
      </c>
      <c r="AH225" s="65" t="n">
        <f aca="false">AH190*Inputs!$D$35/30</f>
        <v>4047.904224</v>
      </c>
      <c r="AI225" s="65" t="n">
        <f aca="false">AI190*Inputs!$D$35/30</f>
        <v>4047.904224</v>
      </c>
      <c r="AJ225" s="65" t="n">
        <f aca="false">AJ190*Inputs!$D$35/30</f>
        <v>4047.904224</v>
      </c>
      <c r="AK225" s="65" t="n">
        <f aca="false">AK190*Inputs!$D$35/30</f>
        <v>4047.904224</v>
      </c>
      <c r="AL225" s="65" t="n">
        <f aca="false">AL190*Inputs!$D$35/30</f>
        <v>4047.904224</v>
      </c>
      <c r="AM225" s="65" t="n">
        <f aca="false">AM190*Inputs!$D$35/30</f>
        <v>4588.7042283264</v>
      </c>
      <c r="AN225" s="65" t="n">
        <f aca="false">AN190*Inputs!$D$35/30</f>
        <v>4588.7042283264</v>
      </c>
      <c r="AO225" s="65" t="n">
        <f aca="false">AO190*Inputs!$D$35/30</f>
        <v>4588.7042283264</v>
      </c>
      <c r="AP225" s="65" t="n">
        <f aca="false">AP190*Inputs!$D$35/30</f>
        <v>4588.7042283264</v>
      </c>
      <c r="AQ225" s="65" t="n">
        <f aca="false">AQ190*Inputs!$D$35/30</f>
        <v>4588.7042283264</v>
      </c>
      <c r="AR225" s="65" t="n">
        <f aca="false">AR190*Inputs!$D$35/30</f>
        <v>4588.7042283264</v>
      </c>
      <c r="AS225" s="65" t="n">
        <f aca="false">AS190*Inputs!$D$35/30</f>
        <v>4588.7042283264</v>
      </c>
      <c r="AT225" s="65" t="n">
        <f aca="false">AT190*Inputs!$D$35/30</f>
        <v>4588.7042283264</v>
      </c>
      <c r="AU225" s="65" t="n">
        <f aca="false">AU190*Inputs!$D$35/30</f>
        <v>4588.7042283264</v>
      </c>
      <c r="AV225" s="65" t="n">
        <f aca="false">AV190*Inputs!$D$35/30</f>
        <v>4588.7042283264</v>
      </c>
      <c r="AW225" s="65" t="n">
        <f aca="false">AW190*Inputs!$D$35/30</f>
        <v>4588.7042283264</v>
      </c>
      <c r="AX225" s="65" t="n">
        <f aca="false">AX190*Inputs!$D$35/30</f>
        <v>4588.7042283264</v>
      </c>
      <c r="AY225" s="65" t="n">
        <f aca="false">AY190*Inputs!$D$35/30</f>
        <v>5201.75511323081</v>
      </c>
      <c r="AZ225" s="65" t="n">
        <f aca="false">AZ190*Inputs!$D$35/30</f>
        <v>5201.75511323081</v>
      </c>
      <c r="BA225" s="65" t="n">
        <f aca="false">BA190*Inputs!$D$35/30</f>
        <v>5201.75511323081</v>
      </c>
      <c r="BB225" s="65" t="n">
        <f aca="false">BB190*Inputs!$D$35/30</f>
        <v>5201.75511323081</v>
      </c>
      <c r="BC225" s="65" t="n">
        <f aca="false">BC190*Inputs!$D$35/30</f>
        <v>5201.75511323081</v>
      </c>
      <c r="BD225" s="65" t="n">
        <f aca="false">BD190*Inputs!$D$35/30</f>
        <v>5201.75511323081</v>
      </c>
      <c r="BE225" s="65" t="n">
        <f aca="false">BE190*Inputs!$D$35/30</f>
        <v>5201.75511323081</v>
      </c>
      <c r="BF225" s="65" t="n">
        <f aca="false">BF190*Inputs!$D$35/30</f>
        <v>5201.75511323081</v>
      </c>
      <c r="BG225" s="65" t="n">
        <f aca="false">BG190*Inputs!$D$35/30</f>
        <v>5201.75511323081</v>
      </c>
      <c r="BH225" s="65" t="n">
        <f aca="false">BH190*Inputs!$D$35/30</f>
        <v>5201.75511323081</v>
      </c>
      <c r="BI225" s="65" t="n">
        <f aca="false">BI190*Inputs!$D$35/30</f>
        <v>5201.75511323081</v>
      </c>
      <c r="BJ225" s="65" t="n">
        <f aca="false">BJ190*Inputs!$D$35/30</f>
        <v>5201.75511323081</v>
      </c>
    </row>
    <row r="226" customFormat="false" ht="15" hidden="false" customHeight="false" outlineLevel="0" collapsed="false">
      <c r="A226" s="6" t="s">
        <v>89</v>
      </c>
      <c r="C226" s="65" t="n">
        <f aca="false">-C191*Inputs!$D$36/30</f>
        <v>1984.5</v>
      </c>
      <c r="D226" s="65" t="n">
        <f aca="false">-D191*Inputs!$D$36/30</f>
        <v>2315.25</v>
      </c>
      <c r="E226" s="65" t="n">
        <f aca="false">-E191*Inputs!$D$36/30</f>
        <v>2646</v>
      </c>
      <c r="F226" s="65" t="n">
        <f aca="false">-F191*Inputs!$D$36/30</f>
        <v>2976.75</v>
      </c>
      <c r="G226" s="65" t="n">
        <f aca="false">-G191*Inputs!$D$36/30</f>
        <v>3307.5</v>
      </c>
      <c r="H226" s="65" t="n">
        <f aca="false">-H191*Inputs!$D$36/30</f>
        <v>3307.5</v>
      </c>
      <c r="I226" s="65" t="n">
        <f aca="false">-I191*Inputs!$D$36/30</f>
        <v>3307.5</v>
      </c>
      <c r="J226" s="65" t="n">
        <f aca="false">-J191*Inputs!$D$36/30</f>
        <v>3307.5</v>
      </c>
      <c r="K226" s="65" t="n">
        <f aca="false">-K191*Inputs!$D$36/30</f>
        <v>3307.5</v>
      </c>
      <c r="L226" s="65" t="n">
        <f aca="false">-L191*Inputs!$D$36/30</f>
        <v>3307.5</v>
      </c>
      <c r="M226" s="65" t="n">
        <f aca="false">-M191*Inputs!$D$36/30</f>
        <v>3307.5</v>
      </c>
      <c r="N226" s="65" t="n">
        <f aca="false">-N191*Inputs!$D$36/30</f>
        <v>3307.5</v>
      </c>
      <c r="O226" s="65" t="n">
        <f aca="false">-O191*Inputs!$D$36/30</f>
        <v>3749.382</v>
      </c>
      <c r="P226" s="65" t="n">
        <f aca="false">-P191*Inputs!$D$36/30</f>
        <v>3749.382</v>
      </c>
      <c r="Q226" s="65" t="n">
        <f aca="false">-Q191*Inputs!$D$36/30</f>
        <v>3749.382</v>
      </c>
      <c r="R226" s="65" t="n">
        <f aca="false">-R191*Inputs!$D$36/30</f>
        <v>3749.382</v>
      </c>
      <c r="S226" s="65" t="n">
        <f aca="false">-S191*Inputs!$D$36/30</f>
        <v>3749.382</v>
      </c>
      <c r="T226" s="65" t="n">
        <f aca="false">-T191*Inputs!$D$36/30</f>
        <v>3749.382</v>
      </c>
      <c r="U226" s="65" t="n">
        <f aca="false">-U191*Inputs!$D$36/30</f>
        <v>3749.382</v>
      </c>
      <c r="V226" s="65" t="n">
        <f aca="false">-V191*Inputs!$D$36/30</f>
        <v>3749.382</v>
      </c>
      <c r="W226" s="65" t="n">
        <f aca="false">-W191*Inputs!$D$36/30</f>
        <v>3749.382</v>
      </c>
      <c r="X226" s="65" t="n">
        <f aca="false">-X191*Inputs!$D$36/30</f>
        <v>3749.382</v>
      </c>
      <c r="Y226" s="65" t="n">
        <f aca="false">-Y191*Inputs!$D$36/30</f>
        <v>3749.382</v>
      </c>
      <c r="Z226" s="65" t="n">
        <f aca="false">-Z191*Inputs!$D$36/30</f>
        <v>3749.382</v>
      </c>
      <c r="AA226" s="65" t="n">
        <f aca="false">-AA191*Inputs!$D$36/30</f>
        <v>4250.2994352</v>
      </c>
      <c r="AB226" s="65" t="n">
        <f aca="false">-AB191*Inputs!$D$36/30</f>
        <v>4250.2994352</v>
      </c>
      <c r="AC226" s="65" t="n">
        <f aca="false">-AC191*Inputs!$D$36/30</f>
        <v>4250.2994352</v>
      </c>
      <c r="AD226" s="65" t="n">
        <f aca="false">-AD191*Inputs!$D$36/30</f>
        <v>4250.2994352</v>
      </c>
      <c r="AE226" s="65" t="n">
        <f aca="false">-AE191*Inputs!$D$36/30</f>
        <v>4250.2994352</v>
      </c>
      <c r="AF226" s="65" t="n">
        <f aca="false">-AF191*Inputs!$D$36/30</f>
        <v>4250.2994352</v>
      </c>
      <c r="AG226" s="65" t="n">
        <f aca="false">-AG191*Inputs!$D$36/30</f>
        <v>4250.2994352</v>
      </c>
      <c r="AH226" s="65" t="n">
        <f aca="false">-AH191*Inputs!$D$36/30</f>
        <v>4250.2994352</v>
      </c>
      <c r="AI226" s="65" t="n">
        <f aca="false">-AI191*Inputs!$D$36/30</f>
        <v>4250.2994352</v>
      </c>
      <c r="AJ226" s="65" t="n">
        <f aca="false">-AJ191*Inputs!$D$36/30</f>
        <v>4250.2994352</v>
      </c>
      <c r="AK226" s="65" t="n">
        <f aca="false">-AK191*Inputs!$D$36/30</f>
        <v>4250.2994352</v>
      </c>
      <c r="AL226" s="65" t="n">
        <f aca="false">-AL191*Inputs!$D$36/30</f>
        <v>4250.2994352</v>
      </c>
      <c r="AM226" s="65" t="n">
        <f aca="false">-AM191*Inputs!$D$36/30</f>
        <v>4818.13943974272</v>
      </c>
      <c r="AN226" s="65" t="n">
        <f aca="false">-AN191*Inputs!$D$36/30</f>
        <v>4818.13943974272</v>
      </c>
      <c r="AO226" s="65" t="n">
        <f aca="false">-AO191*Inputs!$D$36/30</f>
        <v>4818.13943974272</v>
      </c>
      <c r="AP226" s="65" t="n">
        <f aca="false">-AP191*Inputs!$D$36/30</f>
        <v>4818.13943974272</v>
      </c>
      <c r="AQ226" s="65" t="n">
        <f aca="false">-AQ191*Inputs!$D$36/30</f>
        <v>4818.13943974272</v>
      </c>
      <c r="AR226" s="65" t="n">
        <f aca="false">-AR191*Inputs!$D$36/30</f>
        <v>4818.13943974272</v>
      </c>
      <c r="AS226" s="65" t="n">
        <f aca="false">-AS191*Inputs!$D$36/30</f>
        <v>4818.13943974272</v>
      </c>
      <c r="AT226" s="65" t="n">
        <f aca="false">-AT191*Inputs!$D$36/30</f>
        <v>4818.13943974272</v>
      </c>
      <c r="AU226" s="65" t="n">
        <f aca="false">-AU191*Inputs!$D$36/30</f>
        <v>4818.13943974272</v>
      </c>
      <c r="AV226" s="65" t="n">
        <f aca="false">-AV191*Inputs!$D$36/30</f>
        <v>4818.13943974272</v>
      </c>
      <c r="AW226" s="65" t="n">
        <f aca="false">-AW191*Inputs!$D$36/30</f>
        <v>4818.13943974272</v>
      </c>
      <c r="AX226" s="65" t="n">
        <f aca="false">-AX191*Inputs!$D$36/30</f>
        <v>4818.13943974272</v>
      </c>
      <c r="AY226" s="65" t="n">
        <f aca="false">-AY191*Inputs!$D$36/30</f>
        <v>5461.84286889235</v>
      </c>
      <c r="AZ226" s="65" t="n">
        <f aca="false">-AZ191*Inputs!$D$36/30</f>
        <v>5461.84286889235</v>
      </c>
      <c r="BA226" s="65" t="n">
        <f aca="false">-BA191*Inputs!$D$36/30</f>
        <v>5461.84286889235</v>
      </c>
      <c r="BB226" s="65" t="n">
        <f aca="false">-BB191*Inputs!$D$36/30</f>
        <v>5461.84286889235</v>
      </c>
      <c r="BC226" s="65" t="n">
        <f aca="false">-BC191*Inputs!$D$36/30</f>
        <v>5461.84286889235</v>
      </c>
      <c r="BD226" s="65" t="n">
        <f aca="false">-BD191*Inputs!$D$36/30</f>
        <v>5461.84286889235</v>
      </c>
      <c r="BE226" s="65" t="n">
        <f aca="false">-BE191*Inputs!$D$36/30</f>
        <v>5461.84286889235</v>
      </c>
      <c r="BF226" s="65" t="n">
        <f aca="false">-BF191*Inputs!$D$36/30</f>
        <v>5461.84286889235</v>
      </c>
      <c r="BG226" s="65" t="n">
        <f aca="false">-BG191*Inputs!$D$36/30</f>
        <v>5461.84286889235</v>
      </c>
      <c r="BH226" s="65" t="n">
        <f aca="false">-BH191*Inputs!$D$36/30</f>
        <v>5461.84286889235</v>
      </c>
      <c r="BI226" s="65" t="n">
        <f aca="false">-BI191*Inputs!$D$36/30</f>
        <v>5461.84286889235</v>
      </c>
      <c r="BJ226" s="65" t="n">
        <f aca="false">-BJ191*Inputs!$D$36/30</f>
        <v>5461.84286889235</v>
      </c>
    </row>
    <row r="227" customFormat="false" ht="15" hidden="false" customHeight="false" outlineLevel="0" collapsed="false">
      <c r="A227" s="6" t="s">
        <v>92</v>
      </c>
      <c r="C227" s="65" t="n">
        <f aca="false">-C191*Inputs!$D$37/30</f>
        <v>3969</v>
      </c>
      <c r="D227" s="65" t="n">
        <f aca="false">-D191*Inputs!$D$37/30</f>
        <v>4630.5</v>
      </c>
      <c r="E227" s="65" t="n">
        <f aca="false">-E191*Inputs!$D$37/30</f>
        <v>5292</v>
      </c>
      <c r="F227" s="65" t="n">
        <f aca="false">-F191*Inputs!$D$37/30</f>
        <v>5953.5</v>
      </c>
      <c r="G227" s="65" t="n">
        <f aca="false">-G191*Inputs!$D$37/30</f>
        <v>6615</v>
      </c>
      <c r="H227" s="65" t="n">
        <f aca="false">-H191*Inputs!$D$37/30</f>
        <v>6615</v>
      </c>
      <c r="I227" s="65" t="n">
        <f aca="false">-I191*Inputs!$D$37/30</f>
        <v>6615</v>
      </c>
      <c r="J227" s="65" t="n">
        <f aca="false">-J191*Inputs!$D$37/30</f>
        <v>6615</v>
      </c>
      <c r="K227" s="65" t="n">
        <f aca="false">-K191*Inputs!$D$37/30</f>
        <v>6615</v>
      </c>
      <c r="L227" s="65" t="n">
        <f aca="false">-L191*Inputs!$D$37/30</f>
        <v>6615</v>
      </c>
      <c r="M227" s="65" t="n">
        <f aca="false">-M191*Inputs!$D$37/30</f>
        <v>6615</v>
      </c>
      <c r="N227" s="65" t="n">
        <f aca="false">-N191*Inputs!$D$37/30</f>
        <v>6615</v>
      </c>
      <c r="O227" s="65" t="n">
        <f aca="false">-O191*Inputs!$D$37/30</f>
        <v>7498.764</v>
      </c>
      <c r="P227" s="65" t="n">
        <f aca="false">-P191*Inputs!$D$37/30</f>
        <v>7498.764</v>
      </c>
      <c r="Q227" s="65" t="n">
        <f aca="false">-Q191*Inputs!$D$37/30</f>
        <v>7498.764</v>
      </c>
      <c r="R227" s="65" t="n">
        <f aca="false">-R191*Inputs!$D$37/30</f>
        <v>7498.764</v>
      </c>
      <c r="S227" s="65" t="n">
        <f aca="false">-S191*Inputs!$D$37/30</f>
        <v>7498.764</v>
      </c>
      <c r="T227" s="65" t="n">
        <f aca="false">-T191*Inputs!$D$37/30</f>
        <v>7498.764</v>
      </c>
      <c r="U227" s="65" t="n">
        <f aca="false">-U191*Inputs!$D$37/30</f>
        <v>7498.764</v>
      </c>
      <c r="V227" s="65" t="n">
        <f aca="false">-V191*Inputs!$D$37/30</f>
        <v>7498.764</v>
      </c>
      <c r="W227" s="65" t="n">
        <f aca="false">-W191*Inputs!$D$37/30</f>
        <v>7498.764</v>
      </c>
      <c r="X227" s="65" t="n">
        <f aca="false">-X191*Inputs!$D$37/30</f>
        <v>7498.764</v>
      </c>
      <c r="Y227" s="65" t="n">
        <f aca="false">-Y191*Inputs!$D$37/30</f>
        <v>7498.764</v>
      </c>
      <c r="Z227" s="65" t="n">
        <f aca="false">-Z191*Inputs!$D$37/30</f>
        <v>7498.764</v>
      </c>
      <c r="AA227" s="65" t="n">
        <f aca="false">-AA191*Inputs!$D$37/30</f>
        <v>8500.5988704</v>
      </c>
      <c r="AB227" s="65" t="n">
        <f aca="false">-AB191*Inputs!$D$37/30</f>
        <v>8500.5988704</v>
      </c>
      <c r="AC227" s="65" t="n">
        <f aca="false">-AC191*Inputs!$D$37/30</f>
        <v>8500.5988704</v>
      </c>
      <c r="AD227" s="65" t="n">
        <f aca="false">-AD191*Inputs!$D$37/30</f>
        <v>8500.5988704</v>
      </c>
      <c r="AE227" s="65" t="n">
        <f aca="false">-AE191*Inputs!$D$37/30</f>
        <v>8500.5988704</v>
      </c>
      <c r="AF227" s="65" t="n">
        <f aca="false">-AF191*Inputs!$D$37/30</f>
        <v>8500.5988704</v>
      </c>
      <c r="AG227" s="65" t="n">
        <f aca="false">-AG191*Inputs!$D$37/30</f>
        <v>8500.5988704</v>
      </c>
      <c r="AH227" s="65" t="n">
        <f aca="false">-AH191*Inputs!$D$37/30</f>
        <v>8500.5988704</v>
      </c>
      <c r="AI227" s="65" t="n">
        <f aca="false">-AI191*Inputs!$D$37/30</f>
        <v>8500.5988704</v>
      </c>
      <c r="AJ227" s="65" t="n">
        <f aca="false">-AJ191*Inputs!$D$37/30</f>
        <v>8500.5988704</v>
      </c>
      <c r="AK227" s="65" t="n">
        <f aca="false">-AK191*Inputs!$D$37/30</f>
        <v>8500.5988704</v>
      </c>
      <c r="AL227" s="65" t="n">
        <f aca="false">-AL191*Inputs!$D$37/30</f>
        <v>8500.5988704</v>
      </c>
      <c r="AM227" s="65" t="n">
        <f aca="false">-AM191*Inputs!$D$37/30</f>
        <v>9636.27887948544</v>
      </c>
      <c r="AN227" s="65" t="n">
        <f aca="false">-AN191*Inputs!$D$37/30</f>
        <v>9636.27887948544</v>
      </c>
      <c r="AO227" s="65" t="n">
        <f aca="false">-AO191*Inputs!$D$37/30</f>
        <v>9636.27887948544</v>
      </c>
      <c r="AP227" s="65" t="n">
        <f aca="false">-AP191*Inputs!$D$37/30</f>
        <v>9636.27887948544</v>
      </c>
      <c r="AQ227" s="65" t="n">
        <f aca="false">-AQ191*Inputs!$D$37/30</f>
        <v>9636.27887948544</v>
      </c>
      <c r="AR227" s="65" t="n">
        <f aca="false">-AR191*Inputs!$D$37/30</f>
        <v>9636.27887948544</v>
      </c>
      <c r="AS227" s="65" t="n">
        <f aca="false">-AS191*Inputs!$D$37/30</f>
        <v>9636.27887948544</v>
      </c>
      <c r="AT227" s="65" t="n">
        <f aca="false">-AT191*Inputs!$D$37/30</f>
        <v>9636.27887948544</v>
      </c>
      <c r="AU227" s="65" t="n">
        <f aca="false">-AU191*Inputs!$D$37/30</f>
        <v>9636.27887948544</v>
      </c>
      <c r="AV227" s="65" t="n">
        <f aca="false">-AV191*Inputs!$D$37/30</f>
        <v>9636.27887948544</v>
      </c>
      <c r="AW227" s="65" t="n">
        <f aca="false">-AW191*Inputs!$D$37/30</f>
        <v>9636.27887948544</v>
      </c>
      <c r="AX227" s="65" t="n">
        <f aca="false">-AX191*Inputs!$D$37/30</f>
        <v>9636.27887948544</v>
      </c>
      <c r="AY227" s="65" t="n">
        <f aca="false">-AY191*Inputs!$D$37/30</f>
        <v>10923.6857377847</v>
      </c>
      <c r="AZ227" s="65" t="n">
        <f aca="false">-AZ191*Inputs!$D$37/30</f>
        <v>10923.6857377847</v>
      </c>
      <c r="BA227" s="65" t="n">
        <f aca="false">-BA191*Inputs!$D$37/30</f>
        <v>10923.6857377847</v>
      </c>
      <c r="BB227" s="65" t="n">
        <f aca="false">-BB191*Inputs!$D$37/30</f>
        <v>10923.6857377847</v>
      </c>
      <c r="BC227" s="65" t="n">
        <f aca="false">-BC191*Inputs!$D$37/30</f>
        <v>10923.6857377847</v>
      </c>
      <c r="BD227" s="65" t="n">
        <f aca="false">-BD191*Inputs!$D$37/30</f>
        <v>10923.6857377847</v>
      </c>
      <c r="BE227" s="65" t="n">
        <f aca="false">-BE191*Inputs!$D$37/30</f>
        <v>10923.6857377847</v>
      </c>
      <c r="BF227" s="65" t="n">
        <f aca="false">-BF191*Inputs!$D$37/30</f>
        <v>10923.6857377847</v>
      </c>
      <c r="BG227" s="65" t="n">
        <f aca="false">-BG191*Inputs!$D$37/30</f>
        <v>10923.6857377847</v>
      </c>
      <c r="BH227" s="65" t="n">
        <f aca="false">-BH191*Inputs!$D$37/30</f>
        <v>10923.6857377847</v>
      </c>
      <c r="BI227" s="65" t="n">
        <f aca="false">-BI191*Inputs!$D$37/30</f>
        <v>10923.6857377847</v>
      </c>
      <c r="BJ227" s="65" t="n">
        <f aca="false">-BJ191*Inputs!$D$37/30</f>
        <v>10923.6857377847</v>
      </c>
    </row>
    <row r="228" customFormat="false" ht="15" hidden="false" customHeight="false" outlineLevel="0" collapsed="false">
      <c r="A228" s="6" t="s">
        <v>291</v>
      </c>
      <c r="C228" s="65" t="n">
        <f aca="false">-C225</f>
        <v>-1890</v>
      </c>
      <c r="D228" s="65" t="n">
        <f aca="false">C225-D225</f>
        <v>-315</v>
      </c>
      <c r="E228" s="65" t="n">
        <f aca="false">D225-E225</f>
        <v>-315</v>
      </c>
      <c r="F228" s="65" t="n">
        <f aca="false">E225-F225</f>
        <v>-315</v>
      </c>
      <c r="G228" s="65" t="n">
        <f aca="false">F225-G225</f>
        <v>-315</v>
      </c>
      <c r="H228" s="65" t="n">
        <f aca="false">G225-H225</f>
        <v>0</v>
      </c>
      <c r="I228" s="65" t="n">
        <f aca="false">H225-I225</f>
        <v>0</v>
      </c>
      <c r="J228" s="65" t="n">
        <f aca="false">I225-J225</f>
        <v>0</v>
      </c>
      <c r="K228" s="65" t="n">
        <f aca="false">J225-K225</f>
        <v>0</v>
      </c>
      <c r="L228" s="65" t="n">
        <f aca="false">K225-L225</f>
        <v>0</v>
      </c>
      <c r="M228" s="65" t="n">
        <f aca="false">L225-M225</f>
        <v>0</v>
      </c>
      <c r="N228" s="65" t="n">
        <f aca="false">M225-N225</f>
        <v>0</v>
      </c>
      <c r="O228" s="65" t="n">
        <f aca="false">N225-O225</f>
        <v>-420.840000000001</v>
      </c>
      <c r="P228" s="65" t="n">
        <f aca="false">O225-P225</f>
        <v>0</v>
      </c>
      <c r="Q228" s="65" t="n">
        <f aca="false">P225-Q225</f>
        <v>0</v>
      </c>
      <c r="R228" s="65" t="n">
        <f aca="false">Q225-R225</f>
        <v>0</v>
      </c>
      <c r="S228" s="65" t="n">
        <f aca="false">R225-S225</f>
        <v>0</v>
      </c>
      <c r="T228" s="65" t="n">
        <f aca="false">S225-T225</f>
        <v>0</v>
      </c>
      <c r="U228" s="65" t="n">
        <f aca="false">T225-U225</f>
        <v>0</v>
      </c>
      <c r="V228" s="65" t="n">
        <f aca="false">U225-V225</f>
        <v>0</v>
      </c>
      <c r="W228" s="65" t="n">
        <f aca="false">V225-W225</f>
        <v>0</v>
      </c>
      <c r="X228" s="65" t="n">
        <f aca="false">W225-X225</f>
        <v>0</v>
      </c>
      <c r="Y228" s="65" t="n">
        <f aca="false">X225-Y225</f>
        <v>0</v>
      </c>
      <c r="Z228" s="65" t="n">
        <f aca="false">Y225-Z225</f>
        <v>0</v>
      </c>
      <c r="AA228" s="65" t="n">
        <f aca="false">Z225-AA225</f>
        <v>-477.064224</v>
      </c>
      <c r="AB228" s="65" t="n">
        <f aca="false">AA225-AB225</f>
        <v>0</v>
      </c>
      <c r="AC228" s="65" t="n">
        <f aca="false">AB225-AC225</f>
        <v>0</v>
      </c>
      <c r="AD228" s="65" t="n">
        <f aca="false">AC225-AD225</f>
        <v>0</v>
      </c>
      <c r="AE228" s="65" t="n">
        <f aca="false">AD225-AE225</f>
        <v>0</v>
      </c>
      <c r="AF228" s="65" t="n">
        <f aca="false">AE225-AF225</f>
        <v>0</v>
      </c>
      <c r="AG228" s="65" t="n">
        <f aca="false">AF225-AG225</f>
        <v>0</v>
      </c>
      <c r="AH228" s="65" t="n">
        <f aca="false">AG225-AH225</f>
        <v>0</v>
      </c>
      <c r="AI228" s="65" t="n">
        <f aca="false">AH225-AI225</f>
        <v>0</v>
      </c>
      <c r="AJ228" s="65" t="n">
        <f aca="false">AI225-AJ225</f>
        <v>0</v>
      </c>
      <c r="AK228" s="65" t="n">
        <f aca="false">AJ225-AK225</f>
        <v>0</v>
      </c>
      <c r="AL228" s="65" t="n">
        <f aca="false">AK225-AL225</f>
        <v>0</v>
      </c>
      <c r="AM228" s="65" t="n">
        <f aca="false">AL225-AM225</f>
        <v>-540.8000043264</v>
      </c>
      <c r="AN228" s="65" t="n">
        <f aca="false">AM225-AN225</f>
        <v>0</v>
      </c>
      <c r="AO228" s="65" t="n">
        <f aca="false">AN225-AO225</f>
        <v>0</v>
      </c>
      <c r="AP228" s="65" t="n">
        <f aca="false">AO225-AP225</f>
        <v>0</v>
      </c>
      <c r="AQ228" s="65" t="n">
        <f aca="false">AP225-AQ225</f>
        <v>0</v>
      </c>
      <c r="AR228" s="65" t="n">
        <f aca="false">AQ225-AR225</f>
        <v>0</v>
      </c>
      <c r="AS228" s="65" t="n">
        <f aca="false">AR225-AS225</f>
        <v>0</v>
      </c>
      <c r="AT228" s="65" t="n">
        <f aca="false">AS225-AT225</f>
        <v>0</v>
      </c>
      <c r="AU228" s="65" t="n">
        <f aca="false">AT225-AU225</f>
        <v>0</v>
      </c>
      <c r="AV228" s="65" t="n">
        <f aca="false">AU225-AV225</f>
        <v>0</v>
      </c>
      <c r="AW228" s="65" t="n">
        <f aca="false">AV225-AW225</f>
        <v>0</v>
      </c>
      <c r="AX228" s="65" t="n">
        <f aca="false">AW225-AX225</f>
        <v>0</v>
      </c>
      <c r="AY228" s="65" t="n">
        <f aca="false">AX225-AY225</f>
        <v>-613.050884904408</v>
      </c>
      <c r="AZ228" s="65" t="n">
        <f aca="false">AY225-AZ225</f>
        <v>0</v>
      </c>
      <c r="BA228" s="65" t="n">
        <f aca="false">AZ225-BA225</f>
        <v>0</v>
      </c>
      <c r="BB228" s="65" t="n">
        <f aca="false">BA225-BB225</f>
        <v>0</v>
      </c>
      <c r="BC228" s="65" t="n">
        <f aca="false">BB225-BC225</f>
        <v>0</v>
      </c>
      <c r="BD228" s="65" t="n">
        <f aca="false">BC225-BD225</f>
        <v>0</v>
      </c>
      <c r="BE228" s="65" t="n">
        <f aca="false">BD225-BE225</f>
        <v>0</v>
      </c>
      <c r="BF228" s="65" t="n">
        <f aca="false">BE225-BF225</f>
        <v>0</v>
      </c>
      <c r="BG228" s="65" t="n">
        <f aca="false">BF225-BG225</f>
        <v>0</v>
      </c>
      <c r="BH228" s="65" t="n">
        <f aca="false">BG225-BH225</f>
        <v>0</v>
      </c>
      <c r="BI228" s="65" t="n">
        <f aca="false">BH225-BI225</f>
        <v>0</v>
      </c>
      <c r="BJ228" s="65" t="n">
        <f aca="false">BI225-BJ225</f>
        <v>0</v>
      </c>
    </row>
    <row r="229" customFormat="false" ht="15" hidden="false" customHeight="false" outlineLevel="0" collapsed="false">
      <c r="A229" s="6" t="s">
        <v>292</v>
      </c>
      <c r="C229" s="65" t="n">
        <f aca="false">-C226</f>
        <v>-1984.5</v>
      </c>
      <c r="D229" s="65" t="n">
        <f aca="false">C226-D226</f>
        <v>-330.75</v>
      </c>
      <c r="E229" s="65" t="n">
        <f aca="false">D226-E226</f>
        <v>-330.75</v>
      </c>
      <c r="F229" s="65" t="n">
        <f aca="false">E226-F226</f>
        <v>-330.75</v>
      </c>
      <c r="G229" s="65" t="n">
        <f aca="false">F226-G226</f>
        <v>-330.75</v>
      </c>
      <c r="H229" s="65" t="n">
        <f aca="false">G226-H226</f>
        <v>0</v>
      </c>
      <c r="I229" s="65" t="n">
        <f aca="false">H226-I226</f>
        <v>0</v>
      </c>
      <c r="J229" s="65" t="n">
        <f aca="false">I226-J226</f>
        <v>0</v>
      </c>
      <c r="K229" s="65" t="n">
        <f aca="false">J226-K226</f>
        <v>0</v>
      </c>
      <c r="L229" s="65" t="n">
        <f aca="false">K226-L226</f>
        <v>0</v>
      </c>
      <c r="M229" s="65" t="n">
        <f aca="false">L226-M226</f>
        <v>0</v>
      </c>
      <c r="N229" s="65" t="n">
        <f aca="false">M226-N226</f>
        <v>0</v>
      </c>
      <c r="O229" s="65" t="n">
        <f aca="false">N226-O226</f>
        <v>-441.882</v>
      </c>
      <c r="P229" s="65" t="n">
        <f aca="false">O226-P226</f>
        <v>0</v>
      </c>
      <c r="Q229" s="65" t="n">
        <f aca="false">P226-Q226</f>
        <v>0</v>
      </c>
      <c r="R229" s="65" t="n">
        <f aca="false">Q226-R226</f>
        <v>0</v>
      </c>
      <c r="S229" s="65" t="n">
        <f aca="false">R226-S226</f>
        <v>0</v>
      </c>
      <c r="T229" s="65" t="n">
        <f aca="false">S226-T226</f>
        <v>0</v>
      </c>
      <c r="U229" s="65" t="n">
        <f aca="false">T226-U226</f>
        <v>0</v>
      </c>
      <c r="V229" s="65" t="n">
        <f aca="false">U226-V226</f>
        <v>0</v>
      </c>
      <c r="W229" s="65" t="n">
        <f aca="false">V226-W226</f>
        <v>0</v>
      </c>
      <c r="X229" s="65" t="n">
        <f aca="false">W226-X226</f>
        <v>0</v>
      </c>
      <c r="Y229" s="65" t="n">
        <f aca="false">X226-Y226</f>
        <v>0</v>
      </c>
      <c r="Z229" s="65" t="n">
        <f aca="false">Y226-Z226</f>
        <v>0</v>
      </c>
      <c r="AA229" s="65" t="n">
        <f aca="false">Z226-AA226</f>
        <v>-500.9174352</v>
      </c>
      <c r="AB229" s="65" t="n">
        <f aca="false">AA226-AB226</f>
        <v>0</v>
      </c>
      <c r="AC229" s="65" t="n">
        <f aca="false">AB226-AC226</f>
        <v>0</v>
      </c>
      <c r="AD229" s="65" t="n">
        <f aca="false">AC226-AD226</f>
        <v>0</v>
      </c>
      <c r="AE229" s="65" t="n">
        <f aca="false">AD226-AE226</f>
        <v>0</v>
      </c>
      <c r="AF229" s="65" t="n">
        <f aca="false">AE226-AF226</f>
        <v>0</v>
      </c>
      <c r="AG229" s="65" t="n">
        <f aca="false">AF226-AG226</f>
        <v>0</v>
      </c>
      <c r="AH229" s="65" t="n">
        <f aca="false">AG226-AH226</f>
        <v>0</v>
      </c>
      <c r="AI229" s="65" t="n">
        <f aca="false">AH226-AI226</f>
        <v>0</v>
      </c>
      <c r="AJ229" s="65" t="n">
        <f aca="false">AI226-AJ226</f>
        <v>0</v>
      </c>
      <c r="AK229" s="65" t="n">
        <f aca="false">AJ226-AK226</f>
        <v>0</v>
      </c>
      <c r="AL229" s="65" t="n">
        <f aca="false">AK226-AL226</f>
        <v>0</v>
      </c>
      <c r="AM229" s="65" t="n">
        <f aca="false">AL226-AM226</f>
        <v>-567.840004542721</v>
      </c>
      <c r="AN229" s="65" t="n">
        <f aca="false">AM226-AN226</f>
        <v>0</v>
      </c>
      <c r="AO229" s="65" t="n">
        <f aca="false">AN226-AO226</f>
        <v>0</v>
      </c>
      <c r="AP229" s="65" t="n">
        <f aca="false">AO226-AP226</f>
        <v>0</v>
      </c>
      <c r="AQ229" s="65" t="n">
        <f aca="false">AP226-AQ226</f>
        <v>0</v>
      </c>
      <c r="AR229" s="65" t="n">
        <f aca="false">AQ226-AR226</f>
        <v>0</v>
      </c>
      <c r="AS229" s="65" t="n">
        <f aca="false">AR226-AS226</f>
        <v>0</v>
      </c>
      <c r="AT229" s="65" t="n">
        <f aca="false">AS226-AT226</f>
        <v>0</v>
      </c>
      <c r="AU229" s="65" t="n">
        <f aca="false">AT226-AU226</f>
        <v>0</v>
      </c>
      <c r="AV229" s="65" t="n">
        <f aca="false">AU226-AV226</f>
        <v>0</v>
      </c>
      <c r="AW229" s="65" t="n">
        <f aca="false">AV226-AW226</f>
        <v>0</v>
      </c>
      <c r="AX229" s="65" t="n">
        <f aca="false">AW226-AX226</f>
        <v>0</v>
      </c>
      <c r="AY229" s="65" t="n">
        <f aca="false">AX226-AY226</f>
        <v>-643.703429149628</v>
      </c>
      <c r="AZ229" s="65" t="n">
        <f aca="false">AY226-AZ226</f>
        <v>0</v>
      </c>
      <c r="BA229" s="65" t="n">
        <f aca="false">AZ226-BA226</f>
        <v>0</v>
      </c>
      <c r="BB229" s="65" t="n">
        <f aca="false">BA226-BB226</f>
        <v>0</v>
      </c>
      <c r="BC229" s="65" t="n">
        <f aca="false">BB226-BC226</f>
        <v>0</v>
      </c>
      <c r="BD229" s="65" t="n">
        <f aca="false">BC226-BD226</f>
        <v>0</v>
      </c>
      <c r="BE229" s="65" t="n">
        <f aca="false">BD226-BE226</f>
        <v>0</v>
      </c>
      <c r="BF229" s="65" t="n">
        <f aca="false">BE226-BF226</f>
        <v>0</v>
      </c>
      <c r="BG229" s="65" t="n">
        <f aca="false">BF226-BG226</f>
        <v>0</v>
      </c>
      <c r="BH229" s="65" t="n">
        <f aca="false">BG226-BH226</f>
        <v>0</v>
      </c>
      <c r="BI229" s="65" t="n">
        <f aca="false">BH226-BI226</f>
        <v>0</v>
      </c>
      <c r="BJ229" s="65" t="n">
        <f aca="false">BI226-BJ226</f>
        <v>0</v>
      </c>
    </row>
    <row r="230" customFormat="false" ht="15" hidden="false" customHeight="false" outlineLevel="0" collapsed="false">
      <c r="A230" s="6" t="s">
        <v>293</v>
      </c>
      <c r="C230" s="65" t="n">
        <f aca="false">C227</f>
        <v>3969</v>
      </c>
      <c r="D230" s="65" t="n">
        <f aca="false">D227-C227</f>
        <v>661.5</v>
      </c>
      <c r="E230" s="65" t="n">
        <f aca="false">E227-D227</f>
        <v>661.5</v>
      </c>
      <c r="F230" s="65" t="n">
        <f aca="false">F227-E227</f>
        <v>661.5</v>
      </c>
      <c r="G230" s="65" t="n">
        <f aca="false">G227-F227</f>
        <v>661.5</v>
      </c>
      <c r="H230" s="65" t="n">
        <f aca="false">H227-G227</f>
        <v>0</v>
      </c>
      <c r="I230" s="65" t="n">
        <f aca="false">I227-H227</f>
        <v>0</v>
      </c>
      <c r="J230" s="65" t="n">
        <f aca="false">J227-I227</f>
        <v>0</v>
      </c>
      <c r="K230" s="65" t="n">
        <f aca="false">K227-J227</f>
        <v>0</v>
      </c>
      <c r="L230" s="65" t="n">
        <f aca="false">L227-K227</f>
        <v>0</v>
      </c>
      <c r="M230" s="65" t="n">
        <f aca="false">M227-L227</f>
        <v>0</v>
      </c>
      <c r="N230" s="65" t="n">
        <f aca="false">N227-M227</f>
        <v>0</v>
      </c>
      <c r="O230" s="65" t="n">
        <f aca="false">O227-N227</f>
        <v>883.764</v>
      </c>
      <c r="P230" s="65" t="n">
        <f aca="false">P227-O227</f>
        <v>0</v>
      </c>
      <c r="Q230" s="65" t="n">
        <f aca="false">Q227-P227</f>
        <v>0</v>
      </c>
      <c r="R230" s="65" t="n">
        <f aca="false">R227-Q227</f>
        <v>0</v>
      </c>
      <c r="S230" s="65" t="n">
        <f aca="false">S227-R227</f>
        <v>0</v>
      </c>
      <c r="T230" s="65" t="n">
        <f aca="false">T227-S227</f>
        <v>0</v>
      </c>
      <c r="U230" s="65" t="n">
        <f aca="false">U227-T227</f>
        <v>0</v>
      </c>
      <c r="V230" s="65" t="n">
        <f aca="false">V227-U227</f>
        <v>0</v>
      </c>
      <c r="W230" s="65" t="n">
        <f aca="false">W227-V227</f>
        <v>0</v>
      </c>
      <c r="X230" s="65" t="n">
        <f aca="false">X227-W227</f>
        <v>0</v>
      </c>
      <c r="Y230" s="65" t="n">
        <f aca="false">Y227-X227</f>
        <v>0</v>
      </c>
      <c r="Z230" s="65" t="n">
        <f aca="false">Z227-Y227</f>
        <v>0</v>
      </c>
      <c r="AA230" s="65" t="n">
        <f aca="false">AA227-Z227</f>
        <v>1001.8348704</v>
      </c>
      <c r="AB230" s="65" t="n">
        <f aca="false">AB227-AA227</f>
        <v>0</v>
      </c>
      <c r="AC230" s="65" t="n">
        <f aca="false">AC227-AB227</f>
        <v>0</v>
      </c>
      <c r="AD230" s="65" t="n">
        <f aca="false">AD227-AC227</f>
        <v>0</v>
      </c>
      <c r="AE230" s="65" t="n">
        <f aca="false">AE227-AD227</f>
        <v>0</v>
      </c>
      <c r="AF230" s="65" t="n">
        <f aca="false">AF227-AE227</f>
        <v>0</v>
      </c>
      <c r="AG230" s="65" t="n">
        <f aca="false">AG227-AF227</f>
        <v>0</v>
      </c>
      <c r="AH230" s="65" t="n">
        <f aca="false">AH227-AG227</f>
        <v>0</v>
      </c>
      <c r="AI230" s="65" t="n">
        <f aca="false">AI227-AH227</f>
        <v>0</v>
      </c>
      <c r="AJ230" s="65" t="n">
        <f aca="false">AJ227-AI227</f>
        <v>0</v>
      </c>
      <c r="AK230" s="65" t="n">
        <f aca="false">AK227-AJ227</f>
        <v>0</v>
      </c>
      <c r="AL230" s="65" t="n">
        <f aca="false">AL227-AK227</f>
        <v>0</v>
      </c>
      <c r="AM230" s="65" t="n">
        <f aca="false">AM227-AL227</f>
        <v>1135.68000908544</v>
      </c>
      <c r="AN230" s="65" t="n">
        <f aca="false">AN227-AM227</f>
        <v>0</v>
      </c>
      <c r="AO230" s="65" t="n">
        <f aca="false">AO227-AN227</f>
        <v>0</v>
      </c>
      <c r="AP230" s="65" t="n">
        <f aca="false">AP227-AO227</f>
        <v>0</v>
      </c>
      <c r="AQ230" s="65" t="n">
        <f aca="false">AQ227-AP227</f>
        <v>0</v>
      </c>
      <c r="AR230" s="65" t="n">
        <f aca="false">AR227-AQ227</f>
        <v>0</v>
      </c>
      <c r="AS230" s="65" t="n">
        <f aca="false">AS227-AR227</f>
        <v>0</v>
      </c>
      <c r="AT230" s="65" t="n">
        <f aca="false">AT227-AS227</f>
        <v>0</v>
      </c>
      <c r="AU230" s="65" t="n">
        <f aca="false">AU227-AT227</f>
        <v>0</v>
      </c>
      <c r="AV230" s="65" t="n">
        <f aca="false">AV227-AU227</f>
        <v>0</v>
      </c>
      <c r="AW230" s="65" t="n">
        <f aca="false">AW227-AV227</f>
        <v>0</v>
      </c>
      <c r="AX230" s="65" t="n">
        <f aca="false">AX227-AW227</f>
        <v>0</v>
      </c>
      <c r="AY230" s="65" t="n">
        <f aca="false">AY227-AX227</f>
        <v>1287.40685829926</v>
      </c>
      <c r="AZ230" s="65" t="n">
        <f aca="false">AZ227-AY227</f>
        <v>0</v>
      </c>
      <c r="BA230" s="65" t="n">
        <f aca="false">BA227-AZ227</f>
        <v>0</v>
      </c>
      <c r="BB230" s="65" t="n">
        <f aca="false">BB227-BA227</f>
        <v>0</v>
      </c>
      <c r="BC230" s="65" t="n">
        <f aca="false">BC227-BB227</f>
        <v>0</v>
      </c>
      <c r="BD230" s="65" t="n">
        <f aca="false">BD227-BC227</f>
        <v>0</v>
      </c>
      <c r="BE230" s="65" t="n">
        <f aca="false">BE227-BD227</f>
        <v>0</v>
      </c>
      <c r="BF230" s="65" t="n">
        <f aca="false">BF227-BE227</f>
        <v>0</v>
      </c>
      <c r="BG230" s="65" t="n">
        <f aca="false">BG227-BF227</f>
        <v>0</v>
      </c>
      <c r="BH230" s="65" t="n">
        <f aca="false">BH227-BG227</f>
        <v>0</v>
      </c>
      <c r="BI230" s="65" t="n">
        <f aca="false">BI227-BH227</f>
        <v>0</v>
      </c>
      <c r="BJ230" s="65" t="n">
        <f aca="false">BJ227-BI227</f>
        <v>0</v>
      </c>
    </row>
    <row r="232" customFormat="false" ht="15.75" hidden="false" customHeight="true" outlineLevel="0" collapsed="false">
      <c r="A232" s="7" t="s">
        <v>374</v>
      </c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customFormat="false" ht="15" hidden="false" customHeight="false" outlineLevel="0" collapsed="false">
      <c r="A233" s="4" t="s">
        <v>52</v>
      </c>
      <c r="C233" s="71" t="n">
        <f aca="false">C209-C214+C228+C229+C230</f>
        <v>-637.66666666667</v>
      </c>
      <c r="D233" s="71" t="n">
        <f aca="false">D209-D214+D228+D229+D230</f>
        <v>2453.77777777778</v>
      </c>
      <c r="E233" s="71" t="n">
        <f aca="false">E209-E214+E228+E229+E230</f>
        <v>5216.52583333333</v>
      </c>
      <c r="F233" s="71" t="n">
        <f aca="false">F209-F214+F228+F229+F230</f>
        <v>7332.72138888889</v>
      </c>
      <c r="G233" s="71" t="n">
        <f aca="false">G209-G214+G228+G229+G230</f>
        <v>9840.68611111111</v>
      </c>
      <c r="H233" s="71" t="n">
        <f aca="false">H209-H214+H228+H229+H230</f>
        <v>9831.95833333333</v>
      </c>
      <c r="I233" s="71" t="n">
        <f aca="false">I209-I214+I228+I229+I230</f>
        <v>9838.98055555555</v>
      </c>
      <c r="J233" s="71" t="n">
        <f aca="false">J209-J214+J228+J229+J230</f>
        <v>9846.00277777778</v>
      </c>
      <c r="K233" s="71" t="n">
        <f aca="false">K209-K214+K228+K229+K230</f>
        <v>9853.025</v>
      </c>
      <c r="L233" s="71" t="n">
        <f aca="false">L209-L214+L228+L229+L230</f>
        <v>9860.04722222222</v>
      </c>
      <c r="M233" s="71" t="n">
        <f aca="false">M209-M214+M228+M229+M230</f>
        <v>9867.06944444444</v>
      </c>
      <c r="N233" s="71" t="n">
        <f aca="false">N209-N214+N228+N229+N230</f>
        <v>9874.09166666666</v>
      </c>
      <c r="O233" s="71" t="n">
        <f aca="false">O209-O214+O228+O229+O230</f>
        <v>12942.5830688889</v>
      </c>
      <c r="P233" s="71" t="n">
        <f aca="false">P209-P214+P228+P229+P230</f>
        <v>12928.5632911111</v>
      </c>
      <c r="Q233" s="71" t="n">
        <f aca="false">Q209-Q214+Q228+Q229+Q230</f>
        <v>12935.5855133333</v>
      </c>
      <c r="R233" s="71" t="n">
        <f aca="false">R209-R214+R228+R229+R230</f>
        <v>12942.6077355556</v>
      </c>
      <c r="S233" s="71" t="n">
        <f aca="false">S209-S214+S228+S229+S230</f>
        <v>12949.6299577778</v>
      </c>
      <c r="T233" s="71" t="n">
        <f aca="false">T209-T214+T228+T229+T230</f>
        <v>12956.65218</v>
      </c>
      <c r="U233" s="71" t="n">
        <f aca="false">U209-U214+U228+U229+U230</f>
        <v>12963.6744022222</v>
      </c>
      <c r="V233" s="71" t="n">
        <f aca="false">V209-V214+V228+V229+V230</f>
        <v>12970.6966244444</v>
      </c>
      <c r="W233" s="71" t="n">
        <f aca="false">W209-W214+W228+W229+W230</f>
        <v>12977.7188466667</v>
      </c>
      <c r="X233" s="71" t="n">
        <f aca="false">X209-X214+X228+X229+X230</f>
        <v>12984.7410688889</v>
      </c>
      <c r="Y233" s="71" t="n">
        <f aca="false">Y209-Y214+Y228+Y229+Y230</f>
        <v>12991.7632911111</v>
      </c>
      <c r="Z233" s="71" t="n">
        <f aca="false">Z209-Z214+Z228+Z229+Z230</f>
        <v>12998.7855133333</v>
      </c>
      <c r="AA233" s="71" t="n">
        <f aca="false">AA209-AA214+AA228+AA229+AA230</f>
        <v>16507.4553932036</v>
      </c>
      <c r="AB233" s="71" t="n">
        <f aca="false">AB209-AB214+AB228+AB229+AB230</f>
        <v>16490.6244042258</v>
      </c>
      <c r="AC233" s="71" t="n">
        <f aca="false">AC209-AC214+AC228+AC229+AC230</f>
        <v>16497.646626448</v>
      </c>
      <c r="AD233" s="71" t="n">
        <f aca="false">AD209-AD214+AD228+AD229+AD230</f>
        <v>16504.6688486702</v>
      </c>
      <c r="AE233" s="71" t="n">
        <f aca="false">AE209-AE214+AE228+AE229+AE230</f>
        <v>16511.6910708924</v>
      </c>
      <c r="AF233" s="71" t="n">
        <f aca="false">AF209-AF214+AF228+AF229+AF230</f>
        <v>16518.7132931147</v>
      </c>
      <c r="AG233" s="71" t="n">
        <f aca="false">AG209-AG214+AG228+AG229+AG230</f>
        <v>16525.7355153369</v>
      </c>
      <c r="AH233" s="71" t="n">
        <f aca="false">AH209-AH214+AH228+AH229+AH230</f>
        <v>16532.7577375591</v>
      </c>
      <c r="AI233" s="71" t="n">
        <f aca="false">AI209-AI214+AI228+AI229+AI230</f>
        <v>16539.7799597813</v>
      </c>
      <c r="AJ233" s="71" t="n">
        <f aca="false">AJ209-AJ214+AJ228+AJ229+AJ230</f>
        <v>16546.8021820036</v>
      </c>
      <c r="AK233" s="71" t="n">
        <f aca="false">AK209-AK214+AK228+AK229+AK230</f>
        <v>16553.8244042258</v>
      </c>
      <c r="AL233" s="71" t="n">
        <f aca="false">AL209-AL214+AL228+AL229+AL230</f>
        <v>16560.846626448</v>
      </c>
      <c r="AM233" s="71" t="n">
        <f aca="false">AM209-AM214+AM228+AM229+AM230</f>
        <v>20569.437814436</v>
      </c>
      <c r="AN233" s="71" t="n">
        <f aca="false">AN209-AN214+AN228+AN229+AN230</f>
        <v>20549.4200364419</v>
      </c>
      <c r="AO233" s="71" t="n">
        <f aca="false">AO209-AO214+AO228+AO229+AO230</f>
        <v>20556.4422586641</v>
      </c>
      <c r="AP233" s="71" t="n">
        <f aca="false">AP209-AP214+AP228+AP229+AP230</f>
        <v>20563.4644808863</v>
      </c>
      <c r="AQ233" s="71" t="n">
        <f aca="false">AQ209-AQ214+AQ228+AQ229+AQ230</f>
        <v>20570.4867031086</v>
      </c>
      <c r="AR233" s="71" t="n">
        <f aca="false">AR209-AR214+AR228+AR229+AR230</f>
        <v>20577.5089253308</v>
      </c>
      <c r="AS233" s="71" t="n">
        <f aca="false">AS209-AS214+AS228+AS229+AS230</f>
        <v>20584.531147553</v>
      </c>
      <c r="AT233" s="71" t="n">
        <f aca="false">AT209-AT214+AT228+AT229+AT230</f>
        <v>20591.5533697752</v>
      </c>
      <c r="AU233" s="71" t="n">
        <f aca="false">AU209-AU214+AU228+AU229+AU230</f>
        <v>20598.5755919975</v>
      </c>
      <c r="AV233" s="71" t="n">
        <f aca="false">AV209-AV214+AV228+AV229+AV230</f>
        <v>20605.5978142197</v>
      </c>
      <c r="AW233" s="71" t="n">
        <f aca="false">AW209-AW214+AW228+AW229+AW230</f>
        <v>20612.6200364419</v>
      </c>
      <c r="AX233" s="71" t="n">
        <f aca="false">AX209-AX214+AX228+AX229+AX230</f>
        <v>20619.6422586641</v>
      </c>
      <c r="AY233" s="71" t="n">
        <f aca="false">AY209-AY214+AY228+AY229+AY230</f>
        <v>25195.9072769661</v>
      </c>
      <c r="AZ233" s="71" t="n">
        <f aca="false">AZ209-AZ214+AZ228+AZ229+AZ230</f>
        <v>25172.2769549431</v>
      </c>
      <c r="BA233" s="71" t="n">
        <f aca="false">BA209-BA214+BA228+BA229+BA230</f>
        <v>25179.2991771653</v>
      </c>
      <c r="BB233" s="71" t="n">
        <f aca="false">BB209-BB214+BB228+BB229+BB230</f>
        <v>25186.3213993876</v>
      </c>
      <c r="BC233" s="71" t="n">
        <f aca="false">BC209-BC214+BC228+BC229+BC230</f>
        <v>25193.3436216098</v>
      </c>
      <c r="BD233" s="71" t="n">
        <f aca="false">BD209-BD214+BD228+BD229+BD230</f>
        <v>25200.365843832</v>
      </c>
      <c r="BE233" s="71" t="n">
        <f aca="false">BE209-BE214+BE228+BE229+BE230</f>
        <v>25207.3880660542</v>
      </c>
      <c r="BF233" s="71" t="n">
        <f aca="false">BF209-BF214+BF228+BF229+BF230</f>
        <v>25214.4102882764</v>
      </c>
      <c r="BG233" s="71" t="n">
        <f aca="false">BG209-BG214+BG228+BG229+BG230</f>
        <v>25221.4325104987</v>
      </c>
      <c r="BH233" s="71" t="n">
        <f aca="false">BH209-BH214+BH228+BH229+BH230</f>
        <v>25228.4547327209</v>
      </c>
      <c r="BI233" s="71" t="n">
        <f aca="false">BI209-BI214+BI228+BI229+BI230</f>
        <v>25235.4769549431</v>
      </c>
      <c r="BJ233" s="71" t="n">
        <f aca="false">BJ209-BJ214+BJ228+BJ229+BJ230</f>
        <v>25242.4991771653</v>
      </c>
    </row>
    <row r="234" customFormat="false" ht="15" hidden="false" customHeight="false" outlineLevel="0" collapsed="false">
      <c r="A234" s="6" t="s">
        <v>375</v>
      </c>
      <c r="C234" s="65" t="n">
        <f aca="false">-C212</f>
        <v>-150000</v>
      </c>
      <c r="D234" s="65" t="n">
        <f aca="false">-D212</f>
        <v>-0</v>
      </c>
      <c r="E234" s="65" t="n">
        <f aca="false">-E212</f>
        <v>-0</v>
      </c>
      <c r="F234" s="65" t="n">
        <f aca="false">-F212</f>
        <v>-0</v>
      </c>
      <c r="G234" s="65" t="n">
        <f aca="false">-G212</f>
        <v>-0</v>
      </c>
      <c r="H234" s="65" t="n">
        <f aca="false">-H212</f>
        <v>-0</v>
      </c>
      <c r="I234" s="65" t="n">
        <f aca="false">-I212</f>
        <v>-0</v>
      </c>
      <c r="J234" s="65" t="n">
        <f aca="false">-J212</f>
        <v>-0</v>
      </c>
      <c r="K234" s="65" t="n">
        <f aca="false">-K212</f>
        <v>-0</v>
      </c>
      <c r="L234" s="65" t="n">
        <f aca="false">-L212</f>
        <v>-0</v>
      </c>
      <c r="M234" s="65" t="n">
        <f aca="false">-M212</f>
        <v>-0</v>
      </c>
      <c r="N234" s="65" t="n">
        <f aca="false">-N212</f>
        <v>-0</v>
      </c>
      <c r="O234" s="65" t="n">
        <f aca="false">-O212</f>
        <v>-0</v>
      </c>
      <c r="P234" s="65" t="n">
        <f aca="false">-P212</f>
        <v>-0</v>
      </c>
      <c r="Q234" s="65" t="n">
        <f aca="false">-Q212</f>
        <v>-0</v>
      </c>
      <c r="R234" s="65" t="n">
        <f aca="false">-R212</f>
        <v>-0</v>
      </c>
      <c r="S234" s="65" t="n">
        <f aca="false">-S212</f>
        <v>-0</v>
      </c>
      <c r="T234" s="65" t="n">
        <f aca="false">-T212</f>
        <v>-0</v>
      </c>
      <c r="U234" s="65" t="n">
        <f aca="false">-U212</f>
        <v>-0</v>
      </c>
      <c r="V234" s="65" t="n">
        <f aca="false">-V212</f>
        <v>-0</v>
      </c>
      <c r="W234" s="65" t="n">
        <f aca="false">-W212</f>
        <v>-0</v>
      </c>
      <c r="X234" s="65" t="n">
        <f aca="false">-X212</f>
        <v>-0</v>
      </c>
      <c r="Y234" s="65" t="n">
        <f aca="false">-Y212</f>
        <v>-0</v>
      </c>
      <c r="Z234" s="65" t="n">
        <f aca="false">-Z212</f>
        <v>-0</v>
      </c>
      <c r="AA234" s="65" t="n">
        <f aca="false">-AA212</f>
        <v>-0</v>
      </c>
      <c r="AB234" s="65" t="n">
        <f aca="false">-AB212</f>
        <v>-0</v>
      </c>
      <c r="AC234" s="65" t="n">
        <f aca="false">-AC212</f>
        <v>-0</v>
      </c>
      <c r="AD234" s="65" t="n">
        <f aca="false">-AD212</f>
        <v>-0</v>
      </c>
      <c r="AE234" s="65" t="n">
        <f aca="false">-AE212</f>
        <v>-0</v>
      </c>
      <c r="AF234" s="65" t="n">
        <f aca="false">-AF212</f>
        <v>-0</v>
      </c>
      <c r="AG234" s="65" t="n">
        <f aca="false">-AG212</f>
        <v>-0</v>
      </c>
      <c r="AH234" s="65" t="n">
        <f aca="false">-AH212</f>
        <v>-0</v>
      </c>
      <c r="AI234" s="65" t="n">
        <f aca="false">-AI212</f>
        <v>-0</v>
      </c>
      <c r="AJ234" s="65" t="n">
        <f aca="false">-AJ212</f>
        <v>-0</v>
      </c>
      <c r="AK234" s="65" t="n">
        <f aca="false">-AK212</f>
        <v>-0</v>
      </c>
      <c r="AL234" s="65" t="n">
        <f aca="false">-AL212</f>
        <v>-0</v>
      </c>
      <c r="AM234" s="65" t="n">
        <f aca="false">-AM212</f>
        <v>-0</v>
      </c>
      <c r="AN234" s="65" t="n">
        <f aca="false">-AN212</f>
        <v>-0</v>
      </c>
      <c r="AO234" s="65" t="n">
        <f aca="false">-AO212</f>
        <v>-0</v>
      </c>
      <c r="AP234" s="65" t="n">
        <f aca="false">-AP212</f>
        <v>-0</v>
      </c>
      <c r="AQ234" s="65" t="n">
        <f aca="false">-AQ212</f>
        <v>-0</v>
      </c>
      <c r="AR234" s="65" t="n">
        <f aca="false">-AR212</f>
        <v>-0</v>
      </c>
      <c r="AS234" s="65" t="n">
        <f aca="false">-AS212</f>
        <v>-0</v>
      </c>
      <c r="AT234" s="65" t="n">
        <f aca="false">-AT212</f>
        <v>-0</v>
      </c>
      <c r="AU234" s="65" t="n">
        <f aca="false">-AU212</f>
        <v>-0</v>
      </c>
      <c r="AV234" s="65" t="n">
        <f aca="false">-AV212</f>
        <v>-0</v>
      </c>
      <c r="AW234" s="65" t="n">
        <f aca="false">-AW212</f>
        <v>-0</v>
      </c>
      <c r="AX234" s="65" t="n">
        <f aca="false">-AX212</f>
        <v>-0</v>
      </c>
      <c r="AY234" s="65" t="n">
        <f aca="false">-AY212</f>
        <v>-0</v>
      </c>
      <c r="AZ234" s="65" t="n">
        <f aca="false">-AZ212</f>
        <v>-0</v>
      </c>
      <c r="BA234" s="65" t="n">
        <f aca="false">-BA212</f>
        <v>-0</v>
      </c>
      <c r="BB234" s="65" t="n">
        <f aca="false">-BB212</f>
        <v>-0</v>
      </c>
      <c r="BC234" s="65" t="n">
        <f aca="false">-BC212</f>
        <v>-0</v>
      </c>
      <c r="BD234" s="65" t="n">
        <f aca="false">-BD212</f>
        <v>-0</v>
      </c>
      <c r="BE234" s="65" t="n">
        <f aca="false">-BE212</f>
        <v>-0</v>
      </c>
      <c r="BF234" s="65" t="n">
        <f aca="false">-BF212</f>
        <v>-0</v>
      </c>
      <c r="BG234" s="65" t="n">
        <f aca="false">-BG212</f>
        <v>-0</v>
      </c>
      <c r="BH234" s="65" t="n">
        <f aca="false">-BH212</f>
        <v>-0</v>
      </c>
      <c r="BI234" s="65" t="n">
        <f aca="false">-BI212</f>
        <v>-0</v>
      </c>
      <c r="BJ234" s="65" t="n">
        <f aca="false">-BJ212</f>
        <v>-0</v>
      </c>
    </row>
    <row r="235" customFormat="false" ht="15" hidden="false" customHeight="false" outlineLevel="0" collapsed="false">
      <c r="A235" s="6" t="s">
        <v>62</v>
      </c>
      <c r="C235" s="65" t="n">
        <f aca="false">IF(C$182=1,Inputs!$D$29,0)</f>
        <v>140000</v>
      </c>
      <c r="D235" s="65" t="n">
        <f aca="false">IF(D$182=1,Inputs!$D$29,0)</f>
        <v>0</v>
      </c>
      <c r="E235" s="65" t="n">
        <f aca="false">IF(E$182=1,Inputs!$D$29,0)</f>
        <v>0</v>
      </c>
      <c r="F235" s="65" t="n">
        <f aca="false">IF(F$182=1,Inputs!$D$29,0)</f>
        <v>0</v>
      </c>
      <c r="G235" s="65" t="n">
        <f aca="false">IF(G$182=1,Inputs!$D$29,0)</f>
        <v>0</v>
      </c>
      <c r="H235" s="65" t="n">
        <f aca="false">IF(H$182=1,Inputs!$D$29,0)</f>
        <v>0</v>
      </c>
      <c r="I235" s="65" t="n">
        <f aca="false">IF(I$182=1,Inputs!$D$29,0)</f>
        <v>0</v>
      </c>
      <c r="J235" s="65" t="n">
        <f aca="false">IF(J$182=1,Inputs!$D$29,0)</f>
        <v>0</v>
      </c>
      <c r="K235" s="65" t="n">
        <f aca="false">IF(K$182=1,Inputs!$D$29,0)</f>
        <v>0</v>
      </c>
      <c r="L235" s="65" t="n">
        <f aca="false">IF(L$182=1,Inputs!$D$29,0)</f>
        <v>0</v>
      </c>
      <c r="M235" s="65" t="n">
        <f aca="false">IF(M$182=1,Inputs!$D$29,0)</f>
        <v>0</v>
      </c>
      <c r="N235" s="65" t="n">
        <f aca="false">IF(N$182=1,Inputs!$D$29,0)</f>
        <v>0</v>
      </c>
      <c r="O235" s="65" t="n">
        <f aca="false">IF(O$182=1,Inputs!$D$29,0)</f>
        <v>0</v>
      </c>
      <c r="P235" s="65" t="n">
        <f aca="false">IF(P$182=1,Inputs!$D$29,0)</f>
        <v>0</v>
      </c>
      <c r="Q235" s="65" t="n">
        <f aca="false">IF(Q$182=1,Inputs!$D$29,0)</f>
        <v>0</v>
      </c>
      <c r="R235" s="65" t="n">
        <f aca="false">IF(R$182=1,Inputs!$D$29,0)</f>
        <v>0</v>
      </c>
      <c r="S235" s="65" t="n">
        <f aca="false">IF(S$182=1,Inputs!$D$29,0)</f>
        <v>0</v>
      </c>
      <c r="T235" s="65" t="n">
        <f aca="false">IF(T$182=1,Inputs!$D$29,0)</f>
        <v>0</v>
      </c>
      <c r="U235" s="65" t="n">
        <f aca="false">IF(U$182=1,Inputs!$D$29,0)</f>
        <v>0</v>
      </c>
      <c r="V235" s="65" t="n">
        <f aca="false">IF(V$182=1,Inputs!$D$29,0)</f>
        <v>0</v>
      </c>
      <c r="W235" s="65" t="n">
        <f aca="false">IF(W$182=1,Inputs!$D$29,0)</f>
        <v>0</v>
      </c>
      <c r="X235" s="65" t="n">
        <f aca="false">IF(X$182=1,Inputs!$D$29,0)</f>
        <v>0</v>
      </c>
      <c r="Y235" s="65" t="n">
        <f aca="false">IF(Y$182=1,Inputs!$D$29,0)</f>
        <v>0</v>
      </c>
      <c r="Z235" s="65" t="n">
        <f aca="false">IF(Z$182=1,Inputs!$D$29,0)</f>
        <v>0</v>
      </c>
      <c r="AA235" s="65" t="n">
        <f aca="false">IF(AA$182=1,Inputs!$D$29,0)</f>
        <v>0</v>
      </c>
      <c r="AB235" s="65" t="n">
        <f aca="false">IF(AB$182=1,Inputs!$D$29,0)</f>
        <v>0</v>
      </c>
      <c r="AC235" s="65" t="n">
        <f aca="false">IF(AC$182=1,Inputs!$D$29,0)</f>
        <v>0</v>
      </c>
      <c r="AD235" s="65" t="n">
        <f aca="false">IF(AD$182=1,Inputs!$D$29,0)</f>
        <v>0</v>
      </c>
      <c r="AE235" s="65" t="n">
        <f aca="false">IF(AE$182=1,Inputs!$D$29,0)</f>
        <v>0</v>
      </c>
      <c r="AF235" s="65" t="n">
        <f aca="false">IF(AF$182=1,Inputs!$D$29,0)</f>
        <v>0</v>
      </c>
      <c r="AG235" s="65" t="n">
        <f aca="false">IF(AG$182=1,Inputs!$D$29,0)</f>
        <v>0</v>
      </c>
      <c r="AH235" s="65" t="n">
        <f aca="false">IF(AH$182=1,Inputs!$D$29,0)</f>
        <v>0</v>
      </c>
      <c r="AI235" s="65" t="n">
        <f aca="false">IF(AI$182=1,Inputs!$D$29,0)</f>
        <v>0</v>
      </c>
      <c r="AJ235" s="65" t="n">
        <f aca="false">IF(AJ$182=1,Inputs!$D$29,0)</f>
        <v>0</v>
      </c>
      <c r="AK235" s="65" t="n">
        <f aca="false">IF(AK$182=1,Inputs!$D$29,0)</f>
        <v>0</v>
      </c>
      <c r="AL235" s="65" t="n">
        <f aca="false">IF(AL$182=1,Inputs!$D$29,0)</f>
        <v>0</v>
      </c>
      <c r="AM235" s="65" t="n">
        <f aca="false">IF(AM$182=1,Inputs!$D$29,0)</f>
        <v>0</v>
      </c>
      <c r="AN235" s="65" t="n">
        <f aca="false">IF(AN$182=1,Inputs!$D$29,0)</f>
        <v>0</v>
      </c>
      <c r="AO235" s="65" t="n">
        <f aca="false">IF(AO$182=1,Inputs!$D$29,0)</f>
        <v>0</v>
      </c>
      <c r="AP235" s="65" t="n">
        <f aca="false">IF(AP$182=1,Inputs!$D$29,0)</f>
        <v>0</v>
      </c>
      <c r="AQ235" s="65" t="n">
        <f aca="false">IF(AQ$182=1,Inputs!$D$29,0)</f>
        <v>0</v>
      </c>
      <c r="AR235" s="65" t="n">
        <f aca="false">IF(AR$182=1,Inputs!$D$29,0)</f>
        <v>0</v>
      </c>
      <c r="AS235" s="65" t="n">
        <f aca="false">IF(AS$182=1,Inputs!$D$29,0)</f>
        <v>0</v>
      </c>
      <c r="AT235" s="65" t="n">
        <f aca="false">IF(AT$182=1,Inputs!$D$29,0)</f>
        <v>0</v>
      </c>
      <c r="AU235" s="65" t="n">
        <f aca="false">IF(AU$182=1,Inputs!$D$29,0)</f>
        <v>0</v>
      </c>
      <c r="AV235" s="65" t="n">
        <f aca="false">IF(AV$182=1,Inputs!$D$29,0)</f>
        <v>0</v>
      </c>
      <c r="AW235" s="65" t="n">
        <f aca="false">IF(AW$182=1,Inputs!$D$29,0)</f>
        <v>0</v>
      </c>
      <c r="AX235" s="65" t="n">
        <f aca="false">IF(AX$182=1,Inputs!$D$29,0)</f>
        <v>0</v>
      </c>
      <c r="AY235" s="65" t="n">
        <f aca="false">IF(AY$182=1,Inputs!$D$29,0)</f>
        <v>0</v>
      </c>
      <c r="AZ235" s="65" t="n">
        <f aca="false">IF(AZ$182=1,Inputs!$D$29,0)</f>
        <v>0</v>
      </c>
      <c r="BA235" s="65" t="n">
        <f aca="false">IF(BA$182=1,Inputs!$D$29,0)</f>
        <v>0</v>
      </c>
      <c r="BB235" s="65" t="n">
        <f aca="false">IF(BB$182=1,Inputs!$D$29,0)</f>
        <v>0</v>
      </c>
      <c r="BC235" s="65" t="n">
        <f aca="false">IF(BC$182=1,Inputs!$D$29,0)</f>
        <v>0</v>
      </c>
      <c r="BD235" s="65" t="n">
        <f aca="false">IF(BD$182=1,Inputs!$D$29,0)</f>
        <v>0</v>
      </c>
      <c r="BE235" s="65" t="n">
        <f aca="false">IF(BE$182=1,Inputs!$D$29,0)</f>
        <v>0</v>
      </c>
      <c r="BF235" s="65" t="n">
        <f aca="false">IF(BF$182=1,Inputs!$D$29,0)</f>
        <v>0</v>
      </c>
      <c r="BG235" s="65" t="n">
        <f aca="false">IF(BG$182=1,Inputs!$D$29,0)</f>
        <v>0</v>
      </c>
      <c r="BH235" s="65" t="n">
        <f aca="false">IF(BH$182=1,Inputs!$D$29,0)</f>
        <v>0</v>
      </c>
      <c r="BI235" s="65" t="n">
        <f aca="false">IF(BI$182=1,Inputs!$D$29,0)</f>
        <v>0</v>
      </c>
      <c r="BJ235" s="65" t="n">
        <f aca="false">IF(BJ$182=1,Inputs!$D$29,0)</f>
        <v>0</v>
      </c>
    </row>
    <row r="236" customFormat="false" ht="15" hidden="false" customHeight="false" outlineLevel="0" collapsed="false">
      <c r="A236" s="6" t="s">
        <v>54</v>
      </c>
      <c r="C236" s="65" t="n">
        <f aca="false">C235+C220+C221</f>
        <v>220000</v>
      </c>
      <c r="D236" s="65" t="n">
        <f aca="false">D235+D220+D221</f>
        <v>-1333.33333333333</v>
      </c>
      <c r="E236" s="65" t="n">
        <f aca="false">E235+E220+E221</f>
        <v>-1333.33333333333</v>
      </c>
      <c r="F236" s="65" t="n">
        <f aca="false">F235+F220+F221</f>
        <v>-1333.33333333333</v>
      </c>
      <c r="G236" s="65" t="n">
        <f aca="false">G235+G220+G221</f>
        <v>-1333.33333333333</v>
      </c>
      <c r="H236" s="65" t="n">
        <f aca="false">H235+H220+H221</f>
        <v>-1333.33333333333</v>
      </c>
      <c r="I236" s="65" t="n">
        <f aca="false">I235+I220+I221</f>
        <v>-1333.33333333333</v>
      </c>
      <c r="J236" s="65" t="n">
        <f aca="false">J235+J220+J221</f>
        <v>-1333.33333333333</v>
      </c>
      <c r="K236" s="65" t="n">
        <f aca="false">K235+K220+K221</f>
        <v>-1333.33333333333</v>
      </c>
      <c r="L236" s="65" t="n">
        <f aca="false">L235+L220+L221</f>
        <v>-1333.33333333333</v>
      </c>
      <c r="M236" s="65" t="n">
        <f aca="false">M235+M220+M221</f>
        <v>-1333.33333333333</v>
      </c>
      <c r="N236" s="65" t="n">
        <f aca="false">N235+N220+N221</f>
        <v>-1333.33333333333</v>
      </c>
      <c r="O236" s="65" t="n">
        <f aca="false">O235+O220+O221</f>
        <v>-1333.33333333333</v>
      </c>
      <c r="P236" s="65" t="n">
        <f aca="false">P235+P220+P221</f>
        <v>-1333.33333333333</v>
      </c>
      <c r="Q236" s="65" t="n">
        <f aca="false">Q235+Q220+Q221</f>
        <v>-1333.33333333333</v>
      </c>
      <c r="R236" s="65" t="n">
        <f aca="false">R235+R220+R221</f>
        <v>-1333.33333333333</v>
      </c>
      <c r="S236" s="65" t="n">
        <f aca="false">S235+S220+S221</f>
        <v>-1333.33333333333</v>
      </c>
      <c r="T236" s="65" t="n">
        <f aca="false">T235+T220+T221</f>
        <v>-1333.33333333333</v>
      </c>
      <c r="U236" s="65" t="n">
        <f aca="false">U235+U220+U221</f>
        <v>-1333.33333333333</v>
      </c>
      <c r="V236" s="65" t="n">
        <f aca="false">V235+V220+V221</f>
        <v>-1333.33333333333</v>
      </c>
      <c r="W236" s="65" t="n">
        <f aca="false">W235+W220+W221</f>
        <v>-1333.33333333333</v>
      </c>
      <c r="X236" s="65" t="n">
        <f aca="false">X235+X220+X221</f>
        <v>-1333.33333333333</v>
      </c>
      <c r="Y236" s="65" t="n">
        <f aca="false">Y235+Y220+Y221</f>
        <v>-1333.33333333333</v>
      </c>
      <c r="Z236" s="65" t="n">
        <f aca="false">Z235+Z220+Z221</f>
        <v>-1333.33333333333</v>
      </c>
      <c r="AA236" s="65" t="n">
        <f aca="false">AA235+AA220+AA221</f>
        <v>-1333.33333333333</v>
      </c>
      <c r="AB236" s="65" t="n">
        <f aca="false">AB235+AB220+AB221</f>
        <v>-1333.33333333333</v>
      </c>
      <c r="AC236" s="65" t="n">
        <f aca="false">AC235+AC220+AC221</f>
        <v>-1333.33333333333</v>
      </c>
      <c r="AD236" s="65" t="n">
        <f aca="false">AD235+AD220+AD221</f>
        <v>-1333.33333333333</v>
      </c>
      <c r="AE236" s="65" t="n">
        <f aca="false">AE235+AE220+AE221</f>
        <v>-1333.33333333333</v>
      </c>
      <c r="AF236" s="65" t="n">
        <f aca="false">AF235+AF220+AF221</f>
        <v>-1333.33333333333</v>
      </c>
      <c r="AG236" s="65" t="n">
        <f aca="false">AG235+AG220+AG221</f>
        <v>-1333.33333333333</v>
      </c>
      <c r="AH236" s="65" t="n">
        <f aca="false">AH235+AH220+AH221</f>
        <v>-1333.33333333333</v>
      </c>
      <c r="AI236" s="65" t="n">
        <f aca="false">AI235+AI220+AI221</f>
        <v>-1333.33333333333</v>
      </c>
      <c r="AJ236" s="65" t="n">
        <f aca="false">AJ235+AJ220+AJ221</f>
        <v>-1333.33333333333</v>
      </c>
      <c r="AK236" s="65" t="n">
        <f aca="false">AK235+AK220+AK221</f>
        <v>-1333.33333333333</v>
      </c>
      <c r="AL236" s="65" t="n">
        <f aca="false">AL235+AL220+AL221</f>
        <v>-1333.33333333333</v>
      </c>
      <c r="AM236" s="65" t="n">
        <f aca="false">AM235+AM220+AM221</f>
        <v>-1333.33333333333</v>
      </c>
      <c r="AN236" s="65" t="n">
        <f aca="false">AN235+AN220+AN221</f>
        <v>-1333.33333333333</v>
      </c>
      <c r="AO236" s="65" t="n">
        <f aca="false">AO235+AO220+AO221</f>
        <v>-1333.33333333333</v>
      </c>
      <c r="AP236" s="65" t="n">
        <f aca="false">AP235+AP220+AP221</f>
        <v>-1333.33333333333</v>
      </c>
      <c r="AQ236" s="65" t="n">
        <f aca="false">AQ235+AQ220+AQ221</f>
        <v>-1333.33333333333</v>
      </c>
      <c r="AR236" s="65" t="n">
        <f aca="false">AR235+AR220+AR221</f>
        <v>-1333.33333333333</v>
      </c>
      <c r="AS236" s="65" t="n">
        <f aca="false">AS235+AS220+AS221</f>
        <v>-1333.33333333333</v>
      </c>
      <c r="AT236" s="65" t="n">
        <f aca="false">AT235+AT220+AT221</f>
        <v>-1333.33333333333</v>
      </c>
      <c r="AU236" s="65" t="n">
        <f aca="false">AU235+AU220+AU221</f>
        <v>-1333.33333333333</v>
      </c>
      <c r="AV236" s="65" t="n">
        <f aca="false">AV235+AV220+AV221</f>
        <v>-1333.33333333333</v>
      </c>
      <c r="AW236" s="65" t="n">
        <f aca="false">AW235+AW220+AW221</f>
        <v>-1333.33333333333</v>
      </c>
      <c r="AX236" s="65" t="n">
        <f aca="false">AX235+AX220+AX221</f>
        <v>-1333.33333333333</v>
      </c>
      <c r="AY236" s="65" t="n">
        <f aca="false">AY235+AY220+AY221</f>
        <v>-1333.33333333333</v>
      </c>
      <c r="AZ236" s="65" t="n">
        <f aca="false">AZ235+AZ220+AZ221</f>
        <v>-1333.33333333333</v>
      </c>
      <c r="BA236" s="65" t="n">
        <f aca="false">BA235+BA220+BA221</f>
        <v>-1333.33333333333</v>
      </c>
      <c r="BB236" s="65" t="n">
        <f aca="false">BB235+BB220+BB221</f>
        <v>-1333.33333333333</v>
      </c>
      <c r="BC236" s="65" t="n">
        <f aca="false">BC235+BC220+BC221</f>
        <v>-1333.33333333333</v>
      </c>
      <c r="BD236" s="65" t="n">
        <f aca="false">BD235+BD220+BD221</f>
        <v>-1333.33333333333</v>
      </c>
      <c r="BE236" s="65" t="n">
        <f aca="false">BE235+BE220+BE221</f>
        <v>-1333.33333333333</v>
      </c>
      <c r="BF236" s="65" t="n">
        <f aca="false">BF235+BF220+BF221</f>
        <v>-1333.33333333333</v>
      </c>
      <c r="BG236" s="65" t="n">
        <f aca="false">BG235+BG220+BG221</f>
        <v>-1333.33333333333</v>
      </c>
      <c r="BH236" s="65" t="n">
        <f aca="false">BH235+BH220+BH221</f>
        <v>-1333.33333333333</v>
      </c>
      <c r="BI236" s="65" t="n">
        <f aca="false">BI235+BI220+BI221</f>
        <v>-1333.33333333333</v>
      </c>
      <c r="BJ236" s="65" t="n">
        <f aca="false">BJ235+BJ220+BJ221</f>
        <v>-1333.33333333333</v>
      </c>
    </row>
    <row r="237" customFormat="false" ht="15" hidden="false" customHeight="false" outlineLevel="0" collapsed="false">
      <c r="A237" s="108" t="s">
        <v>376</v>
      </c>
      <c r="C237" s="66" t="n">
        <f aca="false">C233+C234+C236</f>
        <v>69362.3333333333</v>
      </c>
      <c r="D237" s="66" t="n">
        <f aca="false">D233+D234+D236</f>
        <v>1120.44444444444</v>
      </c>
      <c r="E237" s="66" t="n">
        <f aca="false">E233+E234+E236</f>
        <v>3883.1925</v>
      </c>
      <c r="F237" s="66" t="n">
        <f aca="false">F233+F234+F236</f>
        <v>5999.38805555555</v>
      </c>
      <c r="G237" s="66" t="n">
        <f aca="false">G233+G234+G236</f>
        <v>8507.35277777777</v>
      </c>
      <c r="H237" s="66" t="n">
        <f aca="false">H233+H234+H236</f>
        <v>8498.625</v>
      </c>
      <c r="I237" s="66" t="n">
        <f aca="false">I233+I234+I236</f>
        <v>8505.64722222222</v>
      </c>
      <c r="J237" s="66" t="n">
        <f aca="false">J233+J234+J236</f>
        <v>8512.66944444444</v>
      </c>
      <c r="K237" s="66" t="n">
        <f aca="false">K233+K234+K236</f>
        <v>8519.69166666667</v>
      </c>
      <c r="L237" s="66" t="n">
        <f aca="false">L233+L234+L236</f>
        <v>8526.71388888889</v>
      </c>
      <c r="M237" s="66" t="n">
        <f aca="false">M233+M234+M236</f>
        <v>8533.73611111111</v>
      </c>
      <c r="N237" s="66" t="n">
        <f aca="false">N233+N234+N236</f>
        <v>8540.75833333333</v>
      </c>
      <c r="O237" s="66" t="n">
        <f aca="false">O233+O234+O236</f>
        <v>11609.2497355556</v>
      </c>
      <c r="P237" s="66" t="n">
        <f aca="false">P233+P234+P236</f>
        <v>11595.2299577778</v>
      </c>
      <c r="Q237" s="66" t="n">
        <f aca="false">Q233+Q234+Q236</f>
        <v>11602.25218</v>
      </c>
      <c r="R237" s="66" t="n">
        <f aca="false">R233+R234+R236</f>
        <v>11609.2744022222</v>
      </c>
      <c r="S237" s="66" t="n">
        <f aca="false">S233+S234+S236</f>
        <v>11616.2966244444</v>
      </c>
      <c r="T237" s="66" t="n">
        <f aca="false">T233+T234+T236</f>
        <v>11623.3188466667</v>
      </c>
      <c r="U237" s="66" t="n">
        <f aca="false">U233+U234+U236</f>
        <v>11630.3410688889</v>
      </c>
      <c r="V237" s="66" t="n">
        <f aca="false">V233+V234+V236</f>
        <v>11637.3632911111</v>
      </c>
      <c r="W237" s="66" t="n">
        <f aca="false">W233+W234+W236</f>
        <v>11644.3855133333</v>
      </c>
      <c r="X237" s="66" t="n">
        <f aca="false">X233+X234+X236</f>
        <v>11651.4077355556</v>
      </c>
      <c r="Y237" s="66" t="n">
        <f aca="false">Y233+Y234+Y236</f>
        <v>11658.4299577778</v>
      </c>
      <c r="Z237" s="66" t="n">
        <f aca="false">Z233+Z234+Z236</f>
        <v>11665.45218</v>
      </c>
      <c r="AA237" s="66" t="n">
        <f aca="false">AA233+AA234+AA236</f>
        <v>15174.1220598702</v>
      </c>
      <c r="AB237" s="66" t="n">
        <f aca="false">AB233+AB234+AB236</f>
        <v>15157.2910708925</v>
      </c>
      <c r="AC237" s="66" t="n">
        <f aca="false">AC233+AC234+AC236</f>
        <v>15164.3132931147</v>
      </c>
      <c r="AD237" s="66" t="n">
        <f aca="false">AD233+AD234+AD236</f>
        <v>15171.3355153369</v>
      </c>
      <c r="AE237" s="66" t="n">
        <f aca="false">AE233+AE234+AE236</f>
        <v>15178.3577375591</v>
      </c>
      <c r="AF237" s="66" t="n">
        <f aca="false">AF233+AF234+AF236</f>
        <v>15185.3799597813</v>
      </c>
      <c r="AG237" s="66" t="n">
        <f aca="false">AG233+AG234+AG236</f>
        <v>15192.4021820036</v>
      </c>
      <c r="AH237" s="66" t="n">
        <f aca="false">AH233+AH234+AH236</f>
        <v>15199.4244042258</v>
      </c>
      <c r="AI237" s="66" t="n">
        <f aca="false">AI233+AI234+AI236</f>
        <v>15206.446626448</v>
      </c>
      <c r="AJ237" s="66" t="n">
        <f aca="false">AJ233+AJ234+AJ236</f>
        <v>15213.4688486702</v>
      </c>
      <c r="AK237" s="66" t="n">
        <f aca="false">AK233+AK234+AK236</f>
        <v>15220.4910708925</v>
      </c>
      <c r="AL237" s="66" t="n">
        <f aca="false">AL233+AL234+AL236</f>
        <v>15227.5132931147</v>
      </c>
      <c r="AM237" s="66" t="n">
        <f aca="false">AM233+AM234+AM236</f>
        <v>19236.1044811027</v>
      </c>
      <c r="AN237" s="66" t="n">
        <f aca="false">AN233+AN234+AN236</f>
        <v>19216.0867031086</v>
      </c>
      <c r="AO237" s="66" t="n">
        <f aca="false">AO233+AO234+AO236</f>
        <v>19223.1089253308</v>
      </c>
      <c r="AP237" s="66" t="n">
        <f aca="false">AP233+AP234+AP236</f>
        <v>19230.131147553</v>
      </c>
      <c r="AQ237" s="66" t="n">
        <f aca="false">AQ233+AQ234+AQ236</f>
        <v>19237.1533697752</v>
      </c>
      <c r="AR237" s="66" t="n">
        <f aca="false">AR233+AR234+AR236</f>
        <v>19244.1755919975</v>
      </c>
      <c r="AS237" s="66" t="n">
        <f aca="false">AS233+AS234+AS236</f>
        <v>19251.1978142197</v>
      </c>
      <c r="AT237" s="66" t="n">
        <f aca="false">AT233+AT234+AT236</f>
        <v>19258.2200364419</v>
      </c>
      <c r="AU237" s="66" t="n">
        <f aca="false">AU233+AU234+AU236</f>
        <v>19265.2422586641</v>
      </c>
      <c r="AV237" s="66" t="n">
        <f aca="false">AV233+AV234+AV236</f>
        <v>19272.2644808864</v>
      </c>
      <c r="AW237" s="66" t="n">
        <f aca="false">AW233+AW234+AW236</f>
        <v>19279.2867031086</v>
      </c>
      <c r="AX237" s="66" t="n">
        <f aca="false">AX233+AX234+AX236</f>
        <v>19286.3089253308</v>
      </c>
      <c r="AY237" s="66" t="n">
        <f aca="false">AY233+AY234+AY236</f>
        <v>23862.5739436328</v>
      </c>
      <c r="AZ237" s="66" t="n">
        <f aca="false">AZ233+AZ234+AZ236</f>
        <v>23838.9436216098</v>
      </c>
      <c r="BA237" s="66" t="n">
        <f aca="false">BA233+BA234+BA236</f>
        <v>23845.965843832</v>
      </c>
      <c r="BB237" s="66" t="n">
        <f aca="false">BB233+BB234+BB236</f>
        <v>23852.9880660542</v>
      </c>
      <c r="BC237" s="66" t="n">
        <f aca="false">BC233+BC234+BC236</f>
        <v>23860.0102882765</v>
      </c>
      <c r="BD237" s="66" t="n">
        <f aca="false">BD233+BD234+BD236</f>
        <v>23867.0325104987</v>
      </c>
      <c r="BE237" s="66" t="n">
        <f aca="false">BE233+BE234+BE236</f>
        <v>23874.0547327209</v>
      </c>
      <c r="BF237" s="66" t="n">
        <f aca="false">BF233+BF234+BF236</f>
        <v>23881.0769549431</v>
      </c>
      <c r="BG237" s="66" t="n">
        <f aca="false">BG233+BG234+BG236</f>
        <v>23888.0991771653</v>
      </c>
      <c r="BH237" s="66" t="n">
        <f aca="false">BH233+BH234+BH236</f>
        <v>23895.1213993876</v>
      </c>
      <c r="BI237" s="66" t="n">
        <f aca="false">BI233+BI234+BI236</f>
        <v>23902.1436216098</v>
      </c>
      <c r="BJ237" s="66" t="n">
        <f aca="false">BJ233+BJ234+BJ236</f>
        <v>23909.165843832</v>
      </c>
    </row>
    <row r="238" customFormat="false" ht="15" hidden="false" customHeight="false" outlineLevel="0" collapsed="false">
      <c r="A238" s="6" t="s">
        <v>294</v>
      </c>
      <c r="C238" s="65" t="n">
        <f aca="false">0</f>
        <v>0</v>
      </c>
      <c r="D238" s="65" t="n">
        <f aca="false">C239</f>
        <v>69362.3333333333</v>
      </c>
      <c r="E238" s="65" t="n">
        <f aca="false">D239</f>
        <v>70482.7777777778</v>
      </c>
      <c r="F238" s="65" t="n">
        <f aca="false">E239</f>
        <v>74365.9702777778</v>
      </c>
      <c r="G238" s="65" t="n">
        <f aca="false">F239</f>
        <v>80365.3583333333</v>
      </c>
      <c r="H238" s="65" t="n">
        <f aca="false">G239</f>
        <v>88872.7111111111</v>
      </c>
      <c r="I238" s="65" t="n">
        <f aca="false">H239</f>
        <v>97371.3361111111</v>
      </c>
      <c r="J238" s="65" t="n">
        <f aca="false">I239</f>
        <v>105876.983333333</v>
      </c>
      <c r="K238" s="65" t="n">
        <f aca="false">J239</f>
        <v>114389.652777778</v>
      </c>
      <c r="L238" s="65" t="n">
        <f aca="false">K239</f>
        <v>122909.344444444</v>
      </c>
      <c r="M238" s="65" t="n">
        <f aca="false">L239</f>
        <v>131436.058333333</v>
      </c>
      <c r="N238" s="65" t="n">
        <f aca="false">M239</f>
        <v>139969.794444444</v>
      </c>
      <c r="O238" s="65" t="n">
        <f aca="false">N239</f>
        <v>148510.552777778</v>
      </c>
      <c r="P238" s="65" t="n">
        <f aca="false">O239</f>
        <v>160119.802513333</v>
      </c>
      <c r="Q238" s="65" t="n">
        <f aca="false">P239</f>
        <v>171715.032471111</v>
      </c>
      <c r="R238" s="65" t="n">
        <f aca="false">Q239</f>
        <v>183317.284651111</v>
      </c>
      <c r="S238" s="65" t="n">
        <f aca="false">R239</f>
        <v>194926.559053333</v>
      </c>
      <c r="T238" s="65" t="n">
        <f aca="false">S239</f>
        <v>206542.855677778</v>
      </c>
      <c r="U238" s="65" t="n">
        <f aca="false">T239</f>
        <v>218166.174524444</v>
      </c>
      <c r="V238" s="65" t="n">
        <f aca="false">U239</f>
        <v>229796.515593333</v>
      </c>
      <c r="W238" s="65" t="n">
        <f aca="false">V239</f>
        <v>241433.878884444</v>
      </c>
      <c r="X238" s="65" t="n">
        <f aca="false">W239</f>
        <v>253078.264397778</v>
      </c>
      <c r="Y238" s="65" t="n">
        <f aca="false">X239</f>
        <v>264729.672133333</v>
      </c>
      <c r="Z238" s="65" t="n">
        <f aca="false">Y239</f>
        <v>276388.102091111</v>
      </c>
      <c r="AA238" s="65" t="n">
        <f aca="false">Z239</f>
        <v>288053.554271111</v>
      </c>
      <c r="AB238" s="65" t="n">
        <f aca="false">AA239</f>
        <v>303227.676330981</v>
      </c>
      <c r="AC238" s="65" t="n">
        <f aca="false">AB239</f>
        <v>318384.967401874</v>
      </c>
      <c r="AD238" s="65" t="n">
        <f aca="false">AC239</f>
        <v>333549.280694989</v>
      </c>
      <c r="AE238" s="65" t="n">
        <f aca="false">AD239</f>
        <v>348720.616210325</v>
      </c>
      <c r="AF238" s="65" t="n">
        <f aca="false">AE239</f>
        <v>363898.973947885</v>
      </c>
      <c r="AG238" s="65" t="n">
        <f aca="false">AF239</f>
        <v>379084.353907666</v>
      </c>
      <c r="AH238" s="65" t="n">
        <f aca="false">AG239</f>
        <v>394276.756089669</v>
      </c>
      <c r="AI238" s="65" t="n">
        <f aca="false">AH239</f>
        <v>409476.180493895</v>
      </c>
      <c r="AJ238" s="65" t="n">
        <f aca="false">AI239</f>
        <v>424682.627120343</v>
      </c>
      <c r="AK238" s="65" t="n">
        <f aca="false">AJ239</f>
        <v>439896.095969013</v>
      </c>
      <c r="AL238" s="65" t="n">
        <f aca="false">AK239</f>
        <v>455116.587039906</v>
      </c>
      <c r="AM238" s="65" t="n">
        <f aca="false">AL239</f>
        <v>470344.100333021</v>
      </c>
      <c r="AN238" s="65" t="n">
        <f aca="false">AM239</f>
        <v>489580.204814123</v>
      </c>
      <c r="AO238" s="65" t="n">
        <f aca="false">AN239</f>
        <v>508796.291517232</v>
      </c>
      <c r="AP238" s="65" t="n">
        <f aca="false">AO239</f>
        <v>528019.400442563</v>
      </c>
      <c r="AQ238" s="65" t="n">
        <f aca="false">AP239</f>
        <v>547249.531590116</v>
      </c>
      <c r="AR238" s="65" t="n">
        <f aca="false">AQ239</f>
        <v>566486.684959891</v>
      </c>
      <c r="AS238" s="65" t="n">
        <f aca="false">AR239</f>
        <v>585730.860551888</v>
      </c>
      <c r="AT238" s="65" t="n">
        <f aca="false">AS239</f>
        <v>604982.058366108</v>
      </c>
      <c r="AU238" s="65" t="n">
        <f aca="false">AT239</f>
        <v>624240.27840255</v>
      </c>
      <c r="AV238" s="65" t="n">
        <f aca="false">AU239</f>
        <v>643505.520661214</v>
      </c>
      <c r="AW238" s="65" t="n">
        <f aca="false">AV239</f>
        <v>662777.7851421</v>
      </c>
      <c r="AX238" s="65" t="n">
        <f aca="false">AW239</f>
        <v>682057.071845209</v>
      </c>
      <c r="AY238" s="65" t="n">
        <f aca="false">AX239</f>
        <v>701343.38077054</v>
      </c>
      <c r="AZ238" s="65" t="n">
        <f aca="false">AY239</f>
        <v>725205.954714173</v>
      </c>
      <c r="BA238" s="65" t="n">
        <f aca="false">AZ239</f>
        <v>749044.898335782</v>
      </c>
      <c r="BB238" s="65" t="n">
        <f aca="false">BA239</f>
        <v>772890.864179614</v>
      </c>
      <c r="BC238" s="65" t="n">
        <f aca="false">BB239</f>
        <v>796743.852245669</v>
      </c>
      <c r="BD238" s="65" t="n">
        <f aca="false">BC239</f>
        <v>820603.862533945</v>
      </c>
      <c r="BE238" s="65" t="n">
        <f aca="false">BD239</f>
        <v>844470.895044444</v>
      </c>
      <c r="BF238" s="65" t="n">
        <f aca="false">BE239</f>
        <v>868344.949777165</v>
      </c>
      <c r="BG238" s="65" t="n">
        <f aca="false">BF239</f>
        <v>892226.026732108</v>
      </c>
      <c r="BH238" s="65" t="n">
        <f aca="false">BG239</f>
        <v>916114.125909273</v>
      </c>
      <c r="BI238" s="65" t="n">
        <f aca="false">BH239</f>
        <v>940009.247308661</v>
      </c>
      <c r="BJ238" s="65" t="n">
        <f aca="false">BI239</f>
        <v>963911.39093027</v>
      </c>
    </row>
    <row r="239" customFormat="false" ht="15" hidden="false" customHeight="false" outlineLevel="0" collapsed="false">
      <c r="A239" s="108" t="s">
        <v>85</v>
      </c>
      <c r="C239" s="66" t="n">
        <f aca="false">C238+C237</f>
        <v>69362.3333333333</v>
      </c>
      <c r="D239" s="66" t="n">
        <f aca="false">D238+D237</f>
        <v>70482.7777777778</v>
      </c>
      <c r="E239" s="66" t="n">
        <f aca="false">E238+E237</f>
        <v>74365.9702777778</v>
      </c>
      <c r="F239" s="66" t="n">
        <f aca="false">F238+F237</f>
        <v>80365.3583333333</v>
      </c>
      <c r="G239" s="66" t="n">
        <f aca="false">G238+G237</f>
        <v>88872.7111111111</v>
      </c>
      <c r="H239" s="66" t="n">
        <f aca="false">H238+H237</f>
        <v>97371.3361111111</v>
      </c>
      <c r="I239" s="66" t="n">
        <f aca="false">I238+I237</f>
        <v>105876.983333333</v>
      </c>
      <c r="J239" s="66" t="n">
        <f aca="false">J238+J237</f>
        <v>114389.652777778</v>
      </c>
      <c r="K239" s="66" t="n">
        <f aca="false">K238+K237</f>
        <v>122909.344444444</v>
      </c>
      <c r="L239" s="66" t="n">
        <f aca="false">L238+L237</f>
        <v>131436.058333333</v>
      </c>
      <c r="M239" s="66" t="n">
        <f aca="false">M238+M237</f>
        <v>139969.794444444</v>
      </c>
      <c r="N239" s="66" t="n">
        <f aca="false">N238+N237</f>
        <v>148510.552777778</v>
      </c>
      <c r="O239" s="66" t="n">
        <f aca="false">O238+O237</f>
        <v>160119.802513333</v>
      </c>
      <c r="P239" s="66" t="n">
        <f aca="false">P238+P237</f>
        <v>171715.032471111</v>
      </c>
      <c r="Q239" s="66" t="n">
        <f aca="false">Q238+Q237</f>
        <v>183317.284651111</v>
      </c>
      <c r="R239" s="66" t="n">
        <f aca="false">R238+R237</f>
        <v>194926.559053333</v>
      </c>
      <c r="S239" s="66" t="n">
        <f aca="false">S238+S237</f>
        <v>206542.855677778</v>
      </c>
      <c r="T239" s="66" t="n">
        <f aca="false">T238+T237</f>
        <v>218166.174524444</v>
      </c>
      <c r="U239" s="66" t="n">
        <f aca="false">U238+U237</f>
        <v>229796.515593333</v>
      </c>
      <c r="V239" s="66" t="n">
        <f aca="false">V238+V237</f>
        <v>241433.878884444</v>
      </c>
      <c r="W239" s="66" t="n">
        <f aca="false">W238+W237</f>
        <v>253078.264397778</v>
      </c>
      <c r="X239" s="66" t="n">
        <f aca="false">X238+X237</f>
        <v>264729.672133333</v>
      </c>
      <c r="Y239" s="66" t="n">
        <f aca="false">Y238+Y237</f>
        <v>276388.102091111</v>
      </c>
      <c r="Z239" s="66" t="n">
        <f aca="false">Z238+Z237</f>
        <v>288053.554271111</v>
      </c>
      <c r="AA239" s="66" t="n">
        <f aca="false">AA238+AA237</f>
        <v>303227.676330981</v>
      </c>
      <c r="AB239" s="66" t="n">
        <f aca="false">AB238+AB237</f>
        <v>318384.967401874</v>
      </c>
      <c r="AC239" s="66" t="n">
        <f aca="false">AC238+AC237</f>
        <v>333549.280694989</v>
      </c>
      <c r="AD239" s="66" t="n">
        <f aca="false">AD238+AD237</f>
        <v>348720.616210325</v>
      </c>
      <c r="AE239" s="66" t="n">
        <f aca="false">AE238+AE237</f>
        <v>363898.973947885</v>
      </c>
      <c r="AF239" s="66" t="n">
        <f aca="false">AF238+AF237</f>
        <v>379084.353907666</v>
      </c>
      <c r="AG239" s="66" t="n">
        <f aca="false">AG238+AG237</f>
        <v>394276.756089669</v>
      </c>
      <c r="AH239" s="66" t="n">
        <f aca="false">AH238+AH237</f>
        <v>409476.180493895</v>
      </c>
      <c r="AI239" s="66" t="n">
        <f aca="false">AI238+AI237</f>
        <v>424682.627120343</v>
      </c>
      <c r="AJ239" s="66" t="n">
        <f aca="false">AJ238+AJ237</f>
        <v>439896.095969013</v>
      </c>
      <c r="AK239" s="66" t="n">
        <f aca="false">AK238+AK237</f>
        <v>455116.587039906</v>
      </c>
      <c r="AL239" s="66" t="n">
        <f aca="false">AL238+AL237</f>
        <v>470344.100333021</v>
      </c>
      <c r="AM239" s="66" t="n">
        <f aca="false">AM238+AM237</f>
        <v>489580.204814123</v>
      </c>
      <c r="AN239" s="66" t="n">
        <f aca="false">AN238+AN237</f>
        <v>508796.291517232</v>
      </c>
      <c r="AO239" s="66" t="n">
        <f aca="false">AO238+AO237</f>
        <v>528019.400442563</v>
      </c>
      <c r="AP239" s="66" t="n">
        <f aca="false">AP238+AP237</f>
        <v>547249.531590116</v>
      </c>
      <c r="AQ239" s="66" t="n">
        <f aca="false">AQ238+AQ237</f>
        <v>566486.684959891</v>
      </c>
      <c r="AR239" s="66" t="n">
        <f aca="false">AR238+AR237</f>
        <v>585730.860551888</v>
      </c>
      <c r="AS239" s="66" t="n">
        <f aca="false">AS238+AS237</f>
        <v>604982.058366108</v>
      </c>
      <c r="AT239" s="66" t="n">
        <f aca="false">AT238+AT237</f>
        <v>624240.27840255</v>
      </c>
      <c r="AU239" s="66" t="n">
        <f aca="false">AU238+AU237</f>
        <v>643505.520661214</v>
      </c>
      <c r="AV239" s="66" t="n">
        <f aca="false">AV238+AV237</f>
        <v>662777.7851421</v>
      </c>
      <c r="AW239" s="66" t="n">
        <f aca="false">AW238+AW237</f>
        <v>682057.071845209</v>
      </c>
      <c r="AX239" s="66" t="n">
        <f aca="false">AX238+AX237</f>
        <v>701343.38077054</v>
      </c>
      <c r="AY239" s="66" t="n">
        <f aca="false">AY238+AY237</f>
        <v>725205.954714173</v>
      </c>
      <c r="AZ239" s="66" t="n">
        <f aca="false">AZ238+AZ237</f>
        <v>749044.898335782</v>
      </c>
      <c r="BA239" s="66" t="n">
        <f aca="false">BA238+BA237</f>
        <v>772890.864179614</v>
      </c>
      <c r="BB239" s="66" t="n">
        <f aca="false">BB238+BB237</f>
        <v>796743.852245669</v>
      </c>
      <c r="BC239" s="66" t="n">
        <f aca="false">BC238+BC237</f>
        <v>820603.862533945</v>
      </c>
      <c r="BD239" s="66" t="n">
        <f aca="false">BD238+BD237</f>
        <v>844470.895044444</v>
      </c>
      <c r="BE239" s="66" t="n">
        <f aca="false">BE238+BE237</f>
        <v>868344.949777165</v>
      </c>
      <c r="BF239" s="66" t="n">
        <f aca="false">BF238+BF237</f>
        <v>892226.026732108</v>
      </c>
      <c r="BG239" s="66" t="n">
        <f aca="false">BG238+BG237</f>
        <v>916114.125909273</v>
      </c>
      <c r="BH239" s="66" t="n">
        <f aca="false">BH238+BH237</f>
        <v>940009.247308661</v>
      </c>
      <c r="BI239" s="66" t="n">
        <f aca="false">BI238+BI237</f>
        <v>963911.39093027</v>
      </c>
      <c r="BJ239" s="66" t="n">
        <f aca="false">BJ238+BJ237</f>
        <v>987820.556774102</v>
      </c>
    </row>
    <row r="240" customFormat="false" ht="15" hidden="false" customHeight="false" outlineLevel="0" collapsed="false">
      <c r="A240" s="114" t="s">
        <v>377</v>
      </c>
      <c r="C240" s="113" t="n">
        <f aca="false">IF(C200&gt;0,1,0)</f>
        <v>0</v>
      </c>
      <c r="D240" s="113" t="n">
        <f aca="false">IF(D200&gt;0,1,0)</f>
        <v>1</v>
      </c>
      <c r="E240" s="113" t="n">
        <f aca="false">IF(E200&gt;0,1,0)</f>
        <v>1</v>
      </c>
      <c r="F240" s="113" t="n">
        <f aca="false">IF(F200&gt;0,1,0)</f>
        <v>1</v>
      </c>
      <c r="G240" s="113" t="n">
        <f aca="false">IF(G200&gt;0,1,0)</f>
        <v>1</v>
      </c>
      <c r="H240" s="113" t="n">
        <f aca="false">IF(H200&gt;0,1,0)</f>
        <v>1</v>
      </c>
      <c r="I240" s="113" t="n">
        <f aca="false">IF(I200&gt;0,1,0)</f>
        <v>1</v>
      </c>
      <c r="J240" s="113" t="n">
        <f aca="false">IF(J200&gt;0,1,0)</f>
        <v>1</v>
      </c>
      <c r="K240" s="113" t="n">
        <f aca="false">IF(K200&gt;0,1,0)</f>
        <v>1</v>
      </c>
      <c r="L240" s="113" t="n">
        <f aca="false">IF(L200&gt;0,1,0)</f>
        <v>1</v>
      </c>
      <c r="M240" s="113" t="n">
        <f aca="false">IF(M200&gt;0,1,0)</f>
        <v>1</v>
      </c>
      <c r="N240" s="113" t="n">
        <f aca="false">IF(N200&gt;0,1,0)</f>
        <v>1</v>
      </c>
      <c r="O240" s="113" t="n">
        <f aca="false">IF(O200&gt;0,1,0)</f>
        <v>1</v>
      </c>
      <c r="P240" s="113" t="n">
        <f aca="false">IF(P200&gt;0,1,0)</f>
        <v>1</v>
      </c>
      <c r="Q240" s="113" t="n">
        <f aca="false">IF(Q200&gt;0,1,0)</f>
        <v>1</v>
      </c>
      <c r="R240" s="113" t="n">
        <f aca="false">IF(R200&gt;0,1,0)</f>
        <v>1</v>
      </c>
      <c r="S240" s="113" t="n">
        <f aca="false">IF(S200&gt;0,1,0)</f>
        <v>1</v>
      </c>
      <c r="T240" s="113" t="n">
        <f aca="false">IF(T200&gt;0,1,0)</f>
        <v>1</v>
      </c>
      <c r="U240" s="113" t="n">
        <f aca="false">IF(U200&gt;0,1,0)</f>
        <v>1</v>
      </c>
      <c r="V240" s="113" t="n">
        <f aca="false">IF(V200&gt;0,1,0)</f>
        <v>1</v>
      </c>
      <c r="W240" s="113" t="n">
        <f aca="false">IF(W200&gt;0,1,0)</f>
        <v>1</v>
      </c>
      <c r="X240" s="113" t="n">
        <f aca="false">IF(X200&gt;0,1,0)</f>
        <v>1</v>
      </c>
      <c r="Y240" s="113" t="n">
        <f aca="false">IF(Y200&gt;0,1,0)</f>
        <v>1</v>
      </c>
      <c r="Z240" s="113" t="n">
        <f aca="false">IF(Z200&gt;0,1,0)</f>
        <v>1</v>
      </c>
      <c r="AA240" s="113" t="n">
        <f aca="false">IF(AA200&gt;0,1,0)</f>
        <v>1</v>
      </c>
      <c r="AB240" s="113" t="n">
        <f aca="false">IF(AB200&gt;0,1,0)</f>
        <v>1</v>
      </c>
      <c r="AC240" s="113" t="n">
        <f aca="false">IF(AC200&gt;0,1,0)</f>
        <v>1</v>
      </c>
      <c r="AD240" s="113" t="n">
        <f aca="false">IF(AD200&gt;0,1,0)</f>
        <v>1</v>
      </c>
      <c r="AE240" s="113" t="n">
        <f aca="false">IF(AE200&gt;0,1,0)</f>
        <v>1</v>
      </c>
      <c r="AF240" s="113" t="n">
        <f aca="false">IF(AF200&gt;0,1,0)</f>
        <v>1</v>
      </c>
      <c r="AG240" s="113" t="n">
        <f aca="false">IF(AG200&gt;0,1,0)</f>
        <v>1</v>
      </c>
      <c r="AH240" s="113" t="n">
        <f aca="false">IF(AH200&gt;0,1,0)</f>
        <v>1</v>
      </c>
      <c r="AI240" s="113" t="n">
        <f aca="false">IF(AI200&gt;0,1,0)</f>
        <v>1</v>
      </c>
      <c r="AJ240" s="113" t="n">
        <f aca="false">IF(AJ200&gt;0,1,0)</f>
        <v>1</v>
      </c>
      <c r="AK240" s="113" t="n">
        <f aca="false">IF(AK200&gt;0,1,0)</f>
        <v>1</v>
      </c>
      <c r="AL240" s="113" t="n">
        <f aca="false">IF(AL200&gt;0,1,0)</f>
        <v>1</v>
      </c>
      <c r="AM240" s="113" t="n">
        <f aca="false">IF(AM200&gt;0,1,0)</f>
        <v>1</v>
      </c>
      <c r="AN240" s="113" t="n">
        <f aca="false">IF(AN200&gt;0,1,0)</f>
        <v>1</v>
      </c>
      <c r="AO240" s="113" t="n">
        <f aca="false">IF(AO200&gt;0,1,0)</f>
        <v>1</v>
      </c>
      <c r="AP240" s="113" t="n">
        <f aca="false">IF(AP200&gt;0,1,0)</f>
        <v>1</v>
      </c>
      <c r="AQ240" s="113" t="n">
        <f aca="false">IF(AQ200&gt;0,1,0)</f>
        <v>1</v>
      </c>
      <c r="AR240" s="113" t="n">
        <f aca="false">IF(AR200&gt;0,1,0)</f>
        <v>1</v>
      </c>
      <c r="AS240" s="113" t="n">
        <f aca="false">IF(AS200&gt;0,1,0)</f>
        <v>1</v>
      </c>
      <c r="AT240" s="113" t="n">
        <f aca="false">IF(AT200&gt;0,1,0)</f>
        <v>1</v>
      </c>
      <c r="AU240" s="113" t="n">
        <f aca="false">IF(AU200&gt;0,1,0)</f>
        <v>1</v>
      </c>
      <c r="AV240" s="113" t="n">
        <f aca="false">IF(AV200&gt;0,1,0)</f>
        <v>1</v>
      </c>
      <c r="AW240" s="113" t="n">
        <f aca="false">IF(AW200&gt;0,1,0)</f>
        <v>1</v>
      </c>
      <c r="AX240" s="113" t="n">
        <f aca="false">IF(AX200&gt;0,1,0)</f>
        <v>1</v>
      </c>
      <c r="AY240" s="113" t="n">
        <f aca="false">IF(AY200&gt;0,1,0)</f>
        <v>1</v>
      </c>
      <c r="AZ240" s="113" t="n">
        <f aca="false">IF(AZ200&gt;0,1,0)</f>
        <v>1</v>
      </c>
      <c r="BA240" s="113" t="n">
        <f aca="false">IF(BA200&gt;0,1,0)</f>
        <v>1</v>
      </c>
      <c r="BB240" s="113" t="n">
        <f aca="false">IF(BB200&gt;0,1,0)</f>
        <v>1</v>
      </c>
      <c r="BC240" s="113" t="n">
        <f aca="false">IF(BC200&gt;0,1,0)</f>
        <v>1</v>
      </c>
      <c r="BD240" s="113" t="n">
        <f aca="false">IF(BD200&gt;0,1,0)</f>
        <v>1</v>
      </c>
      <c r="BE240" s="113" t="n">
        <f aca="false">IF(BE200&gt;0,1,0)</f>
        <v>1</v>
      </c>
      <c r="BF240" s="113" t="n">
        <f aca="false">IF(BF200&gt;0,1,0)</f>
        <v>1</v>
      </c>
      <c r="BG240" s="113" t="n">
        <f aca="false">IF(BG200&gt;0,1,0)</f>
        <v>1</v>
      </c>
      <c r="BH240" s="113" t="n">
        <f aca="false">IF(BH200&gt;0,1,0)</f>
        <v>1</v>
      </c>
      <c r="BI240" s="113" t="n">
        <f aca="false">IF(BI200&gt;0,1,0)</f>
        <v>1</v>
      </c>
      <c r="BJ240" s="113" t="n">
        <f aca="false">IF(BJ200&gt;0,1,0)</f>
        <v>1</v>
      </c>
    </row>
    <row r="242" customFormat="false" ht="15.75" hidden="false" customHeight="true" outlineLevel="0" collapsed="false">
      <c r="A242" s="7" t="s">
        <v>378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114" t="s">
        <v>379</v>
      </c>
      <c r="C243" s="113" t="n">
        <f aca="false">IF(C209&gt;0,1,0)</f>
        <v>0</v>
      </c>
      <c r="D243" s="113" t="n">
        <f aca="false">IF(D209&gt;0,1,0)</f>
        <v>1</v>
      </c>
      <c r="E243" s="113" t="n">
        <f aca="false">IF(E209&gt;0,1,0)</f>
        <v>1</v>
      </c>
      <c r="F243" s="113" t="n">
        <f aca="false">IF(F209&gt;0,1,0)</f>
        <v>1</v>
      </c>
      <c r="G243" s="113" t="n">
        <f aca="false">IF(G209&gt;0,1,0)</f>
        <v>1</v>
      </c>
      <c r="H243" s="113" t="n">
        <f aca="false">IF(H209&gt;0,1,0)</f>
        <v>1</v>
      </c>
      <c r="I243" s="113" t="n">
        <f aca="false">IF(I209&gt;0,1,0)</f>
        <v>1</v>
      </c>
      <c r="J243" s="113" t="n">
        <f aca="false">IF(J209&gt;0,1,0)</f>
        <v>1</v>
      </c>
      <c r="K243" s="113" t="n">
        <f aca="false">IF(K209&gt;0,1,0)</f>
        <v>1</v>
      </c>
      <c r="L243" s="113" t="n">
        <f aca="false">IF(L209&gt;0,1,0)</f>
        <v>1</v>
      </c>
      <c r="M243" s="113" t="n">
        <f aca="false">IF(M209&gt;0,1,0)</f>
        <v>1</v>
      </c>
      <c r="N243" s="113" t="n">
        <f aca="false">IF(N209&gt;0,1,0)</f>
        <v>1</v>
      </c>
      <c r="O243" s="113" t="n">
        <f aca="false">IF(O209&gt;0,1,0)</f>
        <v>1</v>
      </c>
      <c r="P243" s="113" t="n">
        <f aca="false">IF(P209&gt;0,1,0)</f>
        <v>1</v>
      </c>
      <c r="Q243" s="113" t="n">
        <f aca="false">IF(Q209&gt;0,1,0)</f>
        <v>1</v>
      </c>
      <c r="R243" s="113" t="n">
        <f aca="false">IF(R209&gt;0,1,0)</f>
        <v>1</v>
      </c>
      <c r="S243" s="113" t="n">
        <f aca="false">IF(S209&gt;0,1,0)</f>
        <v>1</v>
      </c>
      <c r="T243" s="113" t="n">
        <f aca="false">IF(T209&gt;0,1,0)</f>
        <v>1</v>
      </c>
      <c r="U243" s="113" t="n">
        <f aca="false">IF(U209&gt;0,1,0)</f>
        <v>1</v>
      </c>
      <c r="V243" s="113" t="n">
        <f aca="false">IF(V209&gt;0,1,0)</f>
        <v>1</v>
      </c>
      <c r="W243" s="113" t="n">
        <f aca="false">IF(W209&gt;0,1,0)</f>
        <v>1</v>
      </c>
      <c r="X243" s="113" t="n">
        <f aca="false">IF(X209&gt;0,1,0)</f>
        <v>1</v>
      </c>
      <c r="Y243" s="113" t="n">
        <f aca="false">IF(Y209&gt;0,1,0)</f>
        <v>1</v>
      </c>
      <c r="Z243" s="113" t="n">
        <f aca="false">IF(Z209&gt;0,1,0)</f>
        <v>1</v>
      </c>
      <c r="AA243" s="113" t="n">
        <f aca="false">IF(AA209&gt;0,1,0)</f>
        <v>1</v>
      </c>
      <c r="AB243" s="113" t="n">
        <f aca="false">IF(AB209&gt;0,1,0)</f>
        <v>1</v>
      </c>
      <c r="AC243" s="113" t="n">
        <f aca="false">IF(AC209&gt;0,1,0)</f>
        <v>1</v>
      </c>
      <c r="AD243" s="113" t="n">
        <f aca="false">IF(AD209&gt;0,1,0)</f>
        <v>1</v>
      </c>
      <c r="AE243" s="113" t="n">
        <f aca="false">IF(AE209&gt;0,1,0)</f>
        <v>1</v>
      </c>
      <c r="AF243" s="113" t="n">
        <f aca="false">IF(AF209&gt;0,1,0)</f>
        <v>1</v>
      </c>
      <c r="AG243" s="113" t="n">
        <f aca="false">IF(AG209&gt;0,1,0)</f>
        <v>1</v>
      </c>
      <c r="AH243" s="113" t="n">
        <f aca="false">IF(AH209&gt;0,1,0)</f>
        <v>1</v>
      </c>
      <c r="AI243" s="113" t="n">
        <f aca="false">IF(AI209&gt;0,1,0)</f>
        <v>1</v>
      </c>
      <c r="AJ243" s="113" t="n">
        <f aca="false">IF(AJ209&gt;0,1,0)</f>
        <v>1</v>
      </c>
      <c r="AK243" s="113" t="n">
        <f aca="false">IF(AK209&gt;0,1,0)</f>
        <v>1</v>
      </c>
      <c r="AL243" s="113" t="n">
        <f aca="false">IF(AL209&gt;0,1,0)</f>
        <v>1</v>
      </c>
      <c r="AM243" s="113" t="n">
        <f aca="false">IF(AM209&gt;0,1,0)</f>
        <v>1</v>
      </c>
      <c r="AN243" s="113" t="n">
        <f aca="false">IF(AN209&gt;0,1,0)</f>
        <v>1</v>
      </c>
      <c r="AO243" s="113" t="n">
        <f aca="false">IF(AO209&gt;0,1,0)</f>
        <v>1</v>
      </c>
      <c r="AP243" s="113" t="n">
        <f aca="false">IF(AP209&gt;0,1,0)</f>
        <v>1</v>
      </c>
      <c r="AQ243" s="113" t="n">
        <f aca="false">IF(AQ209&gt;0,1,0)</f>
        <v>1</v>
      </c>
      <c r="AR243" s="113" t="n">
        <f aca="false">IF(AR209&gt;0,1,0)</f>
        <v>1</v>
      </c>
      <c r="AS243" s="113" t="n">
        <f aca="false">IF(AS209&gt;0,1,0)</f>
        <v>1</v>
      </c>
      <c r="AT243" s="113" t="n">
        <f aca="false">IF(AT209&gt;0,1,0)</f>
        <v>1</v>
      </c>
      <c r="AU243" s="113" t="n">
        <f aca="false">IF(AU209&gt;0,1,0)</f>
        <v>1</v>
      </c>
      <c r="AV243" s="113" t="n">
        <f aca="false">IF(AV209&gt;0,1,0)</f>
        <v>1</v>
      </c>
      <c r="AW243" s="113" t="n">
        <f aca="false">IF(AW209&gt;0,1,0)</f>
        <v>1</v>
      </c>
      <c r="AX243" s="113" t="n">
        <f aca="false">IF(AX209&gt;0,1,0)</f>
        <v>1</v>
      </c>
      <c r="AY243" s="113" t="n">
        <f aca="false">IF(AY209&gt;0,1,0)</f>
        <v>1</v>
      </c>
      <c r="AZ243" s="113" t="n">
        <f aca="false">IF(AZ209&gt;0,1,0)</f>
        <v>1</v>
      </c>
      <c r="BA243" s="113" t="n">
        <f aca="false">IF(BA209&gt;0,1,0)</f>
        <v>1</v>
      </c>
      <c r="BB243" s="113" t="n">
        <f aca="false">IF(BB209&gt;0,1,0)</f>
        <v>1</v>
      </c>
      <c r="BC243" s="113" t="n">
        <f aca="false">IF(BC209&gt;0,1,0)</f>
        <v>1</v>
      </c>
      <c r="BD243" s="113" t="n">
        <f aca="false">IF(BD209&gt;0,1,0)</f>
        <v>1</v>
      </c>
      <c r="BE243" s="113" t="n">
        <f aca="false">IF(BE209&gt;0,1,0)</f>
        <v>1</v>
      </c>
      <c r="BF243" s="113" t="n">
        <f aca="false">IF(BF209&gt;0,1,0)</f>
        <v>1</v>
      </c>
      <c r="BG243" s="113" t="n">
        <f aca="false">IF(BG209&gt;0,1,0)</f>
        <v>1</v>
      </c>
      <c r="BH243" s="113" t="n">
        <f aca="false">IF(BH209&gt;0,1,0)</f>
        <v>1</v>
      </c>
      <c r="BI243" s="113" t="n">
        <f aca="false">IF(BI209&gt;0,1,0)</f>
        <v>1</v>
      </c>
      <c r="BJ243" s="113" t="n">
        <f aca="false">IF(BJ209&gt;0,1,0)</f>
        <v>1</v>
      </c>
    </row>
    <row r="244" customFormat="false" ht="15" hidden="false" customHeight="false" outlineLevel="0" collapsed="false">
      <c r="A244" s="6" t="s">
        <v>380</v>
      </c>
      <c r="C244" s="65" t="n">
        <f aca="false">C233+C234</f>
        <v>-150637.666666667</v>
      </c>
      <c r="D244" s="65" t="n">
        <f aca="false">D233+D234</f>
        <v>2453.77777777778</v>
      </c>
      <c r="E244" s="65" t="n">
        <f aca="false">E233+E234</f>
        <v>5216.52583333333</v>
      </c>
      <c r="F244" s="65" t="n">
        <f aca="false">F233+F234</f>
        <v>7332.72138888889</v>
      </c>
      <c r="G244" s="65" t="n">
        <f aca="false">G233+G234</f>
        <v>9840.68611111111</v>
      </c>
      <c r="H244" s="65" t="n">
        <f aca="false">H233+H234</f>
        <v>9831.95833333333</v>
      </c>
      <c r="I244" s="65" t="n">
        <f aca="false">I233+I234</f>
        <v>9838.98055555555</v>
      </c>
      <c r="J244" s="65" t="n">
        <f aca="false">J233+J234</f>
        <v>9846.00277777778</v>
      </c>
      <c r="K244" s="65" t="n">
        <f aca="false">K233+K234</f>
        <v>9853.025</v>
      </c>
      <c r="L244" s="65" t="n">
        <f aca="false">L233+L234</f>
        <v>9860.04722222222</v>
      </c>
      <c r="M244" s="65" t="n">
        <f aca="false">M233+M234</f>
        <v>9867.06944444444</v>
      </c>
      <c r="N244" s="65" t="n">
        <f aca="false">N233+N234</f>
        <v>9874.09166666666</v>
      </c>
      <c r="O244" s="65" t="n">
        <f aca="false">O233+O234</f>
        <v>12942.5830688889</v>
      </c>
      <c r="P244" s="65" t="n">
        <f aca="false">P233+P234</f>
        <v>12928.5632911111</v>
      </c>
      <c r="Q244" s="65" t="n">
        <f aca="false">Q233+Q234</f>
        <v>12935.5855133333</v>
      </c>
      <c r="R244" s="65" t="n">
        <f aca="false">R233+R234</f>
        <v>12942.6077355556</v>
      </c>
      <c r="S244" s="65" t="n">
        <f aca="false">S233+S234</f>
        <v>12949.6299577778</v>
      </c>
      <c r="T244" s="65" t="n">
        <f aca="false">T233+T234</f>
        <v>12956.65218</v>
      </c>
      <c r="U244" s="65" t="n">
        <f aca="false">U233+U234</f>
        <v>12963.6744022222</v>
      </c>
      <c r="V244" s="65" t="n">
        <f aca="false">V233+V234</f>
        <v>12970.6966244444</v>
      </c>
      <c r="W244" s="65" t="n">
        <f aca="false">W233+W234</f>
        <v>12977.7188466667</v>
      </c>
      <c r="X244" s="65" t="n">
        <f aca="false">X233+X234</f>
        <v>12984.7410688889</v>
      </c>
      <c r="Y244" s="65" t="n">
        <f aca="false">Y233+Y234</f>
        <v>12991.7632911111</v>
      </c>
      <c r="Z244" s="65" t="n">
        <f aca="false">Z233+Z234</f>
        <v>12998.7855133333</v>
      </c>
      <c r="AA244" s="65" t="n">
        <f aca="false">AA233+AA234</f>
        <v>16507.4553932036</v>
      </c>
      <c r="AB244" s="65" t="n">
        <f aca="false">AB233+AB234</f>
        <v>16490.6244042258</v>
      </c>
      <c r="AC244" s="65" t="n">
        <f aca="false">AC233+AC234</f>
        <v>16497.646626448</v>
      </c>
      <c r="AD244" s="65" t="n">
        <f aca="false">AD233+AD234</f>
        <v>16504.6688486702</v>
      </c>
      <c r="AE244" s="65" t="n">
        <f aca="false">AE233+AE234</f>
        <v>16511.6910708924</v>
      </c>
      <c r="AF244" s="65" t="n">
        <f aca="false">AF233+AF234</f>
        <v>16518.7132931147</v>
      </c>
      <c r="AG244" s="65" t="n">
        <f aca="false">AG233+AG234</f>
        <v>16525.7355153369</v>
      </c>
      <c r="AH244" s="65" t="n">
        <f aca="false">AH233+AH234</f>
        <v>16532.7577375591</v>
      </c>
      <c r="AI244" s="65" t="n">
        <f aca="false">AI233+AI234</f>
        <v>16539.7799597813</v>
      </c>
      <c r="AJ244" s="65" t="n">
        <f aca="false">AJ233+AJ234</f>
        <v>16546.8021820036</v>
      </c>
      <c r="AK244" s="65" t="n">
        <f aca="false">AK233+AK234</f>
        <v>16553.8244042258</v>
      </c>
      <c r="AL244" s="65" t="n">
        <f aca="false">AL233+AL234</f>
        <v>16560.846626448</v>
      </c>
      <c r="AM244" s="65" t="n">
        <f aca="false">AM233+AM234</f>
        <v>20569.437814436</v>
      </c>
      <c r="AN244" s="65" t="n">
        <f aca="false">AN233+AN234</f>
        <v>20549.4200364419</v>
      </c>
      <c r="AO244" s="65" t="n">
        <f aca="false">AO233+AO234</f>
        <v>20556.4422586641</v>
      </c>
      <c r="AP244" s="65" t="n">
        <f aca="false">AP233+AP234</f>
        <v>20563.4644808863</v>
      </c>
      <c r="AQ244" s="65" t="n">
        <f aca="false">AQ233+AQ234</f>
        <v>20570.4867031086</v>
      </c>
      <c r="AR244" s="65" t="n">
        <f aca="false">AR233+AR234</f>
        <v>20577.5089253308</v>
      </c>
      <c r="AS244" s="65" t="n">
        <f aca="false">AS233+AS234</f>
        <v>20584.531147553</v>
      </c>
      <c r="AT244" s="65" t="n">
        <f aca="false">AT233+AT234</f>
        <v>20591.5533697752</v>
      </c>
      <c r="AU244" s="65" t="n">
        <f aca="false">AU233+AU234</f>
        <v>20598.5755919975</v>
      </c>
      <c r="AV244" s="65" t="n">
        <f aca="false">AV233+AV234</f>
        <v>20605.5978142197</v>
      </c>
      <c r="AW244" s="65" t="n">
        <f aca="false">AW233+AW234</f>
        <v>20612.6200364419</v>
      </c>
      <c r="AX244" s="65" t="n">
        <f aca="false">AX233+AX234</f>
        <v>20619.6422586641</v>
      </c>
      <c r="AY244" s="65" t="n">
        <f aca="false">AY233+AY234</f>
        <v>25195.9072769661</v>
      </c>
      <c r="AZ244" s="65" t="n">
        <f aca="false">AZ233+AZ234</f>
        <v>25172.2769549431</v>
      </c>
      <c r="BA244" s="65" t="n">
        <f aca="false">BA233+BA234</f>
        <v>25179.2991771653</v>
      </c>
      <c r="BB244" s="65" t="n">
        <f aca="false">BB233+BB234</f>
        <v>25186.3213993876</v>
      </c>
      <c r="BC244" s="65" t="n">
        <f aca="false">BC233+BC234</f>
        <v>25193.3436216098</v>
      </c>
      <c r="BD244" s="65" t="n">
        <f aca="false">BD233+BD234</f>
        <v>25200.365843832</v>
      </c>
      <c r="BE244" s="65" t="n">
        <f aca="false">BE233+BE234</f>
        <v>25207.3880660542</v>
      </c>
      <c r="BF244" s="65" t="n">
        <f aca="false">BF233+BF234</f>
        <v>25214.4102882764</v>
      </c>
      <c r="BG244" s="65" t="n">
        <f aca="false">BG233+BG234</f>
        <v>25221.4325104987</v>
      </c>
      <c r="BH244" s="65" t="n">
        <f aca="false">BH233+BH234</f>
        <v>25228.4547327209</v>
      </c>
      <c r="BI244" s="65" t="n">
        <f aca="false">BI233+BI234</f>
        <v>25235.4769549431</v>
      </c>
      <c r="BJ244" s="65" t="n">
        <f aca="false">BJ233+BJ234</f>
        <v>25242.4991771653</v>
      </c>
    </row>
    <row r="245" customFormat="false" ht="15" hidden="false" customHeight="false" outlineLevel="0" collapsed="false">
      <c r="A245" s="6" t="s">
        <v>381</v>
      </c>
      <c r="C245" s="65" t="n">
        <f aca="false">C244</f>
        <v>-150637.666666667</v>
      </c>
      <c r="D245" s="65" t="n">
        <f aca="false">C245+D244</f>
        <v>-148183.888888889</v>
      </c>
      <c r="E245" s="65" t="n">
        <f aca="false">D245+E244</f>
        <v>-142967.363055556</v>
      </c>
      <c r="F245" s="65" t="n">
        <f aca="false">E245+F244</f>
        <v>-135634.641666667</v>
      </c>
      <c r="G245" s="65" t="n">
        <f aca="false">F245+G244</f>
        <v>-125793.955555556</v>
      </c>
      <c r="H245" s="65" t="n">
        <f aca="false">G245+H244</f>
        <v>-115961.997222222</v>
      </c>
      <c r="I245" s="65" t="n">
        <f aca="false">H245+I244</f>
        <v>-106123.016666667</v>
      </c>
      <c r="J245" s="65" t="n">
        <f aca="false">I245+J244</f>
        <v>-96277.0138888889</v>
      </c>
      <c r="K245" s="65" t="n">
        <f aca="false">J245+K244</f>
        <v>-86423.9888888889</v>
      </c>
      <c r="L245" s="65" t="n">
        <f aca="false">K245+L244</f>
        <v>-76563.9416666667</v>
      </c>
      <c r="M245" s="65" t="n">
        <f aca="false">L245+M244</f>
        <v>-66696.8722222223</v>
      </c>
      <c r="N245" s="65" t="n">
        <f aca="false">M245+N244</f>
        <v>-56822.7805555556</v>
      </c>
      <c r="O245" s="65" t="n">
        <f aca="false">N245+O244</f>
        <v>-43880.1974866667</v>
      </c>
      <c r="P245" s="65" t="n">
        <f aca="false">O245+P244</f>
        <v>-30951.6341955556</v>
      </c>
      <c r="Q245" s="65" t="n">
        <f aca="false">P245+Q244</f>
        <v>-18016.0486822223</v>
      </c>
      <c r="R245" s="65" t="n">
        <f aca="false">Q245+R244</f>
        <v>-5073.44094666669</v>
      </c>
      <c r="S245" s="65" t="n">
        <f aca="false">R245+S244</f>
        <v>7876.18901111108</v>
      </c>
      <c r="T245" s="65" t="n">
        <f aca="false">S245+T244</f>
        <v>20832.8411911111</v>
      </c>
      <c r="U245" s="65" t="n">
        <f aca="false">T245+U244</f>
        <v>33796.5155933333</v>
      </c>
      <c r="V245" s="65" t="n">
        <f aca="false">U245+V244</f>
        <v>46767.2122177778</v>
      </c>
      <c r="W245" s="65" t="n">
        <f aca="false">V245+W244</f>
        <v>59744.9310644444</v>
      </c>
      <c r="X245" s="65" t="n">
        <f aca="false">W245+X244</f>
        <v>72729.6721333333</v>
      </c>
      <c r="Y245" s="65" t="n">
        <f aca="false">X245+Y244</f>
        <v>85721.4354244444</v>
      </c>
      <c r="Z245" s="65" t="n">
        <f aca="false">Y245+Z244</f>
        <v>98720.2209377778</v>
      </c>
      <c r="AA245" s="65" t="n">
        <f aca="false">Z245+AA244</f>
        <v>115227.676330981</v>
      </c>
      <c r="AB245" s="65" t="n">
        <f aca="false">AA245+AB244</f>
        <v>131718.300735207</v>
      </c>
      <c r="AC245" s="65" t="n">
        <f aca="false">AB245+AC244</f>
        <v>148215.947361655</v>
      </c>
      <c r="AD245" s="65" t="n">
        <f aca="false">AC245+AD244</f>
        <v>164720.616210325</v>
      </c>
      <c r="AE245" s="65" t="n">
        <f aca="false">AD245+AE244</f>
        <v>181232.307281218</v>
      </c>
      <c r="AF245" s="65" t="n">
        <f aca="false">AE245+AF244</f>
        <v>197751.020574332</v>
      </c>
      <c r="AG245" s="65" t="n">
        <f aca="false">AF245+AG244</f>
        <v>214276.756089669</v>
      </c>
      <c r="AH245" s="65" t="n">
        <f aca="false">AG245+AH244</f>
        <v>230809.513827228</v>
      </c>
      <c r="AI245" s="65" t="n">
        <f aca="false">AH245+AI244</f>
        <v>247349.29378701</v>
      </c>
      <c r="AJ245" s="65" t="n">
        <f aca="false">AI245+AJ244</f>
        <v>263896.095969013</v>
      </c>
      <c r="AK245" s="65" t="n">
        <f aca="false">AJ245+AK244</f>
        <v>280449.920373239</v>
      </c>
      <c r="AL245" s="65" t="n">
        <f aca="false">AK245+AL244</f>
        <v>297010.766999687</v>
      </c>
      <c r="AM245" s="65" t="n">
        <f aca="false">AL245+AM244</f>
        <v>317580.204814123</v>
      </c>
      <c r="AN245" s="65" t="n">
        <f aca="false">AM245+AN244</f>
        <v>338129.624850565</v>
      </c>
      <c r="AO245" s="65" t="n">
        <f aca="false">AN245+AO244</f>
        <v>358686.067109229</v>
      </c>
      <c r="AP245" s="65" t="n">
        <f aca="false">AO245+AP244</f>
        <v>379249.531590116</v>
      </c>
      <c r="AQ245" s="65" t="n">
        <f aca="false">AP245+AQ244</f>
        <v>399820.018293224</v>
      </c>
      <c r="AR245" s="65" t="n">
        <f aca="false">AQ245+AR244</f>
        <v>420397.527218555</v>
      </c>
      <c r="AS245" s="65" t="n">
        <f aca="false">AR245+AS244</f>
        <v>440982.058366108</v>
      </c>
      <c r="AT245" s="65" t="n">
        <f aca="false">AS245+AT244</f>
        <v>461573.611735883</v>
      </c>
      <c r="AU245" s="65" t="n">
        <f aca="false">AT245+AU244</f>
        <v>482172.187327881</v>
      </c>
      <c r="AV245" s="65" t="n">
        <f aca="false">AU245+AV244</f>
        <v>502777.7851421</v>
      </c>
      <c r="AW245" s="65" t="n">
        <f aca="false">AV245+AW244</f>
        <v>523390.405178542</v>
      </c>
      <c r="AX245" s="65" t="n">
        <f aca="false">AW245+AX244</f>
        <v>544010.047437206</v>
      </c>
      <c r="AY245" s="65" t="n">
        <f aca="false">AX245+AY244</f>
        <v>569205.954714173</v>
      </c>
      <c r="AZ245" s="65" t="n">
        <f aca="false">AY245+AZ244</f>
        <v>594378.231669116</v>
      </c>
      <c r="BA245" s="65" t="n">
        <f aca="false">AZ245+BA244</f>
        <v>619557.530846281</v>
      </c>
      <c r="BB245" s="65" t="n">
        <f aca="false">BA245+BB244</f>
        <v>644743.852245669</v>
      </c>
      <c r="BC245" s="65" t="n">
        <f aca="false">BB245+BC244</f>
        <v>669937.195867278</v>
      </c>
      <c r="BD245" s="65" t="n">
        <f aca="false">BC245+BD244</f>
        <v>695137.56171111</v>
      </c>
      <c r="BE245" s="65" t="n">
        <f aca="false">BD245+BE244</f>
        <v>720344.949777165</v>
      </c>
      <c r="BF245" s="65" t="n">
        <f aca="false">BE245+BF244</f>
        <v>745559.360065441</v>
      </c>
      <c r="BG245" s="65" t="n">
        <f aca="false">BF245+BG244</f>
        <v>770780.79257594</v>
      </c>
      <c r="BH245" s="65" t="n">
        <f aca="false">BG245+BH244</f>
        <v>796009.247308661</v>
      </c>
      <c r="BI245" s="65" t="n">
        <f aca="false">BH245+BI244</f>
        <v>821244.724263604</v>
      </c>
      <c r="BJ245" s="65" t="n">
        <f aca="false">BI245+BJ244</f>
        <v>846487.223440769</v>
      </c>
    </row>
    <row r="246" customFormat="false" ht="15" hidden="false" customHeight="false" outlineLevel="0" collapsed="false">
      <c r="A246" s="114" t="s">
        <v>382</v>
      </c>
      <c r="C246" s="65" t="n">
        <f aca="false">C245</f>
        <v>-150637.666666667</v>
      </c>
      <c r="D246" s="65" t="n">
        <f aca="false">MIN(C246,D245)</f>
        <v>-150637.666666667</v>
      </c>
      <c r="E246" s="65" t="n">
        <f aca="false">MIN(D246,E245)</f>
        <v>-150637.666666667</v>
      </c>
      <c r="F246" s="65" t="n">
        <f aca="false">MIN(E246,F245)</f>
        <v>-150637.666666667</v>
      </c>
      <c r="G246" s="65" t="n">
        <f aca="false">MIN(F246,G245)</f>
        <v>-150637.666666667</v>
      </c>
      <c r="H246" s="65" t="n">
        <f aca="false">MIN(G246,H245)</f>
        <v>-150637.666666667</v>
      </c>
      <c r="I246" s="65" t="n">
        <f aca="false">MIN(H246,I245)</f>
        <v>-150637.666666667</v>
      </c>
      <c r="J246" s="65" t="n">
        <f aca="false">MIN(I246,J245)</f>
        <v>-150637.666666667</v>
      </c>
      <c r="K246" s="65" t="n">
        <f aca="false">MIN(J246,K245)</f>
        <v>-150637.666666667</v>
      </c>
      <c r="L246" s="65" t="n">
        <f aca="false">MIN(K246,L245)</f>
        <v>-150637.666666667</v>
      </c>
      <c r="M246" s="65" t="n">
        <f aca="false">MIN(L246,M245)</f>
        <v>-150637.666666667</v>
      </c>
      <c r="N246" s="65" t="n">
        <f aca="false">MIN(M246,N245)</f>
        <v>-150637.666666667</v>
      </c>
      <c r="O246" s="65" t="n">
        <f aca="false">MIN(N246,O245)</f>
        <v>-150637.666666667</v>
      </c>
      <c r="P246" s="65" t="n">
        <f aca="false">MIN(O246,P245)</f>
        <v>-150637.666666667</v>
      </c>
      <c r="Q246" s="65" t="n">
        <f aca="false">MIN(P246,Q245)</f>
        <v>-150637.666666667</v>
      </c>
      <c r="R246" s="65" t="n">
        <f aca="false">MIN(Q246,R245)</f>
        <v>-150637.666666667</v>
      </c>
      <c r="S246" s="65" t="n">
        <f aca="false">MIN(R246,S245)</f>
        <v>-150637.666666667</v>
      </c>
      <c r="T246" s="65" t="n">
        <f aca="false">MIN(S246,T245)</f>
        <v>-150637.666666667</v>
      </c>
      <c r="U246" s="65" t="n">
        <f aca="false">MIN(T246,U245)</f>
        <v>-150637.666666667</v>
      </c>
      <c r="V246" s="65" t="n">
        <f aca="false">MIN(U246,V245)</f>
        <v>-150637.666666667</v>
      </c>
      <c r="W246" s="65" t="n">
        <f aca="false">MIN(V246,W245)</f>
        <v>-150637.666666667</v>
      </c>
      <c r="X246" s="65" t="n">
        <f aca="false">MIN(W246,X245)</f>
        <v>-150637.666666667</v>
      </c>
      <c r="Y246" s="65" t="n">
        <f aca="false">MIN(X246,Y245)</f>
        <v>-150637.666666667</v>
      </c>
      <c r="Z246" s="65" t="n">
        <f aca="false">MIN(Y246,Z245)</f>
        <v>-150637.666666667</v>
      </c>
      <c r="AA246" s="65" t="n">
        <f aca="false">MIN(Z246,AA245)</f>
        <v>-150637.666666667</v>
      </c>
      <c r="AB246" s="65" t="n">
        <f aca="false">MIN(AA246,AB245)</f>
        <v>-150637.666666667</v>
      </c>
      <c r="AC246" s="65" t="n">
        <f aca="false">MIN(AB246,AC245)</f>
        <v>-150637.666666667</v>
      </c>
      <c r="AD246" s="65" t="n">
        <f aca="false">MIN(AC246,AD245)</f>
        <v>-150637.666666667</v>
      </c>
      <c r="AE246" s="65" t="n">
        <f aca="false">MIN(AD246,AE245)</f>
        <v>-150637.666666667</v>
      </c>
      <c r="AF246" s="65" t="n">
        <f aca="false">MIN(AE246,AF245)</f>
        <v>-150637.666666667</v>
      </c>
      <c r="AG246" s="65" t="n">
        <f aca="false">MIN(AF246,AG245)</f>
        <v>-150637.666666667</v>
      </c>
      <c r="AH246" s="65" t="n">
        <f aca="false">MIN(AG246,AH245)</f>
        <v>-150637.666666667</v>
      </c>
      <c r="AI246" s="65" t="n">
        <f aca="false">MIN(AH246,AI245)</f>
        <v>-150637.666666667</v>
      </c>
      <c r="AJ246" s="65" t="n">
        <f aca="false">MIN(AI246,AJ245)</f>
        <v>-150637.666666667</v>
      </c>
      <c r="AK246" s="65" t="n">
        <f aca="false">MIN(AJ246,AK245)</f>
        <v>-150637.666666667</v>
      </c>
      <c r="AL246" s="65" t="n">
        <f aca="false">MIN(AK246,AL245)</f>
        <v>-150637.666666667</v>
      </c>
      <c r="AM246" s="65" t="n">
        <f aca="false">MIN(AL246,AM245)</f>
        <v>-150637.666666667</v>
      </c>
      <c r="AN246" s="65" t="n">
        <f aca="false">MIN(AM246,AN245)</f>
        <v>-150637.666666667</v>
      </c>
      <c r="AO246" s="65" t="n">
        <f aca="false">MIN(AN246,AO245)</f>
        <v>-150637.666666667</v>
      </c>
      <c r="AP246" s="65" t="n">
        <f aca="false">MIN(AO246,AP245)</f>
        <v>-150637.666666667</v>
      </c>
      <c r="AQ246" s="65" t="n">
        <f aca="false">MIN(AP246,AQ245)</f>
        <v>-150637.666666667</v>
      </c>
      <c r="AR246" s="65" t="n">
        <f aca="false">MIN(AQ246,AR245)</f>
        <v>-150637.666666667</v>
      </c>
      <c r="AS246" s="65" t="n">
        <f aca="false">MIN(AR246,AS245)</f>
        <v>-150637.666666667</v>
      </c>
      <c r="AT246" s="65" t="n">
        <f aca="false">MIN(AS246,AT245)</f>
        <v>-150637.666666667</v>
      </c>
      <c r="AU246" s="65" t="n">
        <f aca="false">MIN(AT246,AU245)</f>
        <v>-150637.666666667</v>
      </c>
      <c r="AV246" s="65" t="n">
        <f aca="false">MIN(AU246,AV245)</f>
        <v>-150637.666666667</v>
      </c>
      <c r="AW246" s="65" t="n">
        <f aca="false">MIN(AV246,AW245)</f>
        <v>-150637.666666667</v>
      </c>
      <c r="AX246" s="65" t="n">
        <f aca="false">MIN(AW246,AX245)</f>
        <v>-150637.666666667</v>
      </c>
      <c r="AY246" s="65" t="n">
        <f aca="false">MIN(AX246,AY245)</f>
        <v>-150637.666666667</v>
      </c>
      <c r="AZ246" s="65" t="n">
        <f aca="false">MIN(AY246,AZ245)</f>
        <v>-150637.666666667</v>
      </c>
      <c r="BA246" s="65" t="n">
        <f aca="false">MIN(AZ246,BA245)</f>
        <v>-150637.666666667</v>
      </c>
      <c r="BB246" s="65" t="n">
        <f aca="false">MIN(BA246,BB245)</f>
        <v>-150637.666666667</v>
      </c>
      <c r="BC246" s="65" t="n">
        <f aca="false">MIN(BB246,BC245)</f>
        <v>-150637.666666667</v>
      </c>
      <c r="BD246" s="65" t="n">
        <f aca="false">MIN(BC246,BD245)</f>
        <v>-150637.666666667</v>
      </c>
      <c r="BE246" s="65" t="n">
        <f aca="false">MIN(BD246,BE245)</f>
        <v>-150637.666666667</v>
      </c>
      <c r="BF246" s="65" t="n">
        <f aca="false">MIN(BE246,BF245)</f>
        <v>-150637.666666667</v>
      </c>
      <c r="BG246" s="65" t="n">
        <f aca="false">MIN(BF246,BG245)</f>
        <v>-150637.666666667</v>
      </c>
      <c r="BH246" s="65" t="n">
        <f aca="false">MIN(BG246,BH245)</f>
        <v>-150637.666666667</v>
      </c>
      <c r="BI246" s="65" t="n">
        <f aca="false">MIN(BH246,BI245)</f>
        <v>-150637.666666667</v>
      </c>
      <c r="BJ246" s="65" t="n">
        <f aca="false">MIN(BI246,BJ245)</f>
        <v>-150637.666666667</v>
      </c>
    </row>
    <row r="247" customFormat="false" ht="15" hidden="false" customHeight="false" outlineLevel="0" collapsed="false">
      <c r="A247" s="114" t="s">
        <v>383</v>
      </c>
      <c r="C247" s="113" t="n">
        <f aca="false">IF(AND(C245&gt;=0,C246&lt;0),1,0)</f>
        <v>0</v>
      </c>
      <c r="D247" s="113" t="n">
        <f aca="false">IF(AND(D245&gt;=0,D246&lt;0),1,0)</f>
        <v>0</v>
      </c>
      <c r="E247" s="113" t="n">
        <f aca="false">IF(AND(E245&gt;=0,E246&lt;0),1,0)</f>
        <v>0</v>
      </c>
      <c r="F247" s="113" t="n">
        <f aca="false">IF(AND(F245&gt;=0,F246&lt;0),1,0)</f>
        <v>0</v>
      </c>
      <c r="G247" s="113" t="n">
        <f aca="false">IF(AND(G245&gt;=0,G246&lt;0),1,0)</f>
        <v>0</v>
      </c>
      <c r="H247" s="113" t="n">
        <f aca="false">IF(AND(H245&gt;=0,H246&lt;0),1,0)</f>
        <v>0</v>
      </c>
      <c r="I247" s="113" t="n">
        <f aca="false">IF(AND(I245&gt;=0,I246&lt;0),1,0)</f>
        <v>0</v>
      </c>
      <c r="J247" s="113" t="n">
        <f aca="false">IF(AND(J245&gt;=0,J246&lt;0),1,0)</f>
        <v>0</v>
      </c>
      <c r="K247" s="113" t="n">
        <f aca="false">IF(AND(K245&gt;=0,K246&lt;0),1,0)</f>
        <v>0</v>
      </c>
      <c r="L247" s="113" t="n">
        <f aca="false">IF(AND(L245&gt;=0,L246&lt;0),1,0)</f>
        <v>0</v>
      </c>
      <c r="M247" s="113" t="n">
        <f aca="false">IF(AND(M245&gt;=0,M246&lt;0),1,0)</f>
        <v>0</v>
      </c>
      <c r="N247" s="113" t="n">
        <f aca="false">IF(AND(N245&gt;=0,N246&lt;0),1,0)</f>
        <v>0</v>
      </c>
      <c r="O247" s="113" t="n">
        <f aca="false">IF(AND(O245&gt;=0,O246&lt;0),1,0)</f>
        <v>0</v>
      </c>
      <c r="P247" s="113" t="n">
        <f aca="false">IF(AND(P245&gt;=0,P246&lt;0),1,0)</f>
        <v>0</v>
      </c>
      <c r="Q247" s="113" t="n">
        <f aca="false">IF(AND(Q245&gt;=0,Q246&lt;0),1,0)</f>
        <v>0</v>
      </c>
      <c r="R247" s="113" t="n">
        <f aca="false">IF(AND(R245&gt;=0,R246&lt;0),1,0)</f>
        <v>0</v>
      </c>
      <c r="S247" s="113" t="n">
        <f aca="false">IF(AND(S245&gt;=0,S246&lt;0),1,0)</f>
        <v>1</v>
      </c>
      <c r="T247" s="113" t="n">
        <f aca="false">IF(AND(T245&gt;=0,T246&lt;0),1,0)</f>
        <v>1</v>
      </c>
      <c r="U247" s="113" t="n">
        <f aca="false">IF(AND(U245&gt;=0,U246&lt;0),1,0)</f>
        <v>1</v>
      </c>
      <c r="V247" s="113" t="n">
        <f aca="false">IF(AND(V245&gt;=0,V246&lt;0),1,0)</f>
        <v>1</v>
      </c>
      <c r="W247" s="113" t="n">
        <f aca="false">IF(AND(W245&gt;=0,W246&lt;0),1,0)</f>
        <v>1</v>
      </c>
      <c r="X247" s="113" t="n">
        <f aca="false">IF(AND(X245&gt;=0,X246&lt;0),1,0)</f>
        <v>1</v>
      </c>
      <c r="Y247" s="113" t="n">
        <f aca="false">IF(AND(Y245&gt;=0,Y246&lt;0),1,0)</f>
        <v>1</v>
      </c>
      <c r="Z247" s="113" t="n">
        <f aca="false">IF(AND(Z245&gt;=0,Z246&lt;0),1,0)</f>
        <v>1</v>
      </c>
      <c r="AA247" s="113" t="n">
        <f aca="false">IF(AND(AA245&gt;=0,AA246&lt;0),1,0)</f>
        <v>1</v>
      </c>
      <c r="AB247" s="113" t="n">
        <f aca="false">IF(AND(AB245&gt;=0,AB246&lt;0),1,0)</f>
        <v>1</v>
      </c>
      <c r="AC247" s="113" t="n">
        <f aca="false">IF(AND(AC245&gt;=0,AC246&lt;0),1,0)</f>
        <v>1</v>
      </c>
      <c r="AD247" s="113" t="n">
        <f aca="false">IF(AND(AD245&gt;=0,AD246&lt;0),1,0)</f>
        <v>1</v>
      </c>
      <c r="AE247" s="113" t="n">
        <f aca="false">IF(AND(AE245&gt;=0,AE246&lt;0),1,0)</f>
        <v>1</v>
      </c>
      <c r="AF247" s="113" t="n">
        <f aca="false">IF(AND(AF245&gt;=0,AF246&lt;0),1,0)</f>
        <v>1</v>
      </c>
      <c r="AG247" s="113" t="n">
        <f aca="false">IF(AND(AG245&gt;=0,AG246&lt;0),1,0)</f>
        <v>1</v>
      </c>
      <c r="AH247" s="113" t="n">
        <f aca="false">IF(AND(AH245&gt;=0,AH246&lt;0),1,0)</f>
        <v>1</v>
      </c>
      <c r="AI247" s="113" t="n">
        <f aca="false">IF(AND(AI245&gt;=0,AI246&lt;0),1,0)</f>
        <v>1</v>
      </c>
      <c r="AJ247" s="113" t="n">
        <f aca="false">IF(AND(AJ245&gt;=0,AJ246&lt;0),1,0)</f>
        <v>1</v>
      </c>
      <c r="AK247" s="113" t="n">
        <f aca="false">IF(AND(AK245&gt;=0,AK246&lt;0),1,0)</f>
        <v>1</v>
      </c>
      <c r="AL247" s="113" t="n">
        <f aca="false">IF(AND(AL245&gt;=0,AL246&lt;0),1,0)</f>
        <v>1</v>
      </c>
      <c r="AM247" s="113" t="n">
        <f aca="false">IF(AND(AM245&gt;=0,AM246&lt;0),1,0)</f>
        <v>1</v>
      </c>
      <c r="AN247" s="113" t="n">
        <f aca="false">IF(AND(AN245&gt;=0,AN246&lt;0),1,0)</f>
        <v>1</v>
      </c>
      <c r="AO247" s="113" t="n">
        <f aca="false">IF(AND(AO245&gt;=0,AO246&lt;0),1,0)</f>
        <v>1</v>
      </c>
      <c r="AP247" s="113" t="n">
        <f aca="false">IF(AND(AP245&gt;=0,AP246&lt;0),1,0)</f>
        <v>1</v>
      </c>
      <c r="AQ247" s="113" t="n">
        <f aca="false">IF(AND(AQ245&gt;=0,AQ246&lt;0),1,0)</f>
        <v>1</v>
      </c>
      <c r="AR247" s="113" t="n">
        <f aca="false">IF(AND(AR245&gt;=0,AR246&lt;0),1,0)</f>
        <v>1</v>
      </c>
      <c r="AS247" s="113" t="n">
        <f aca="false">IF(AND(AS245&gt;=0,AS246&lt;0),1,0)</f>
        <v>1</v>
      </c>
      <c r="AT247" s="113" t="n">
        <f aca="false">IF(AND(AT245&gt;=0,AT246&lt;0),1,0)</f>
        <v>1</v>
      </c>
      <c r="AU247" s="113" t="n">
        <f aca="false">IF(AND(AU245&gt;=0,AU246&lt;0),1,0)</f>
        <v>1</v>
      </c>
      <c r="AV247" s="113" t="n">
        <f aca="false">IF(AND(AV245&gt;=0,AV246&lt;0),1,0)</f>
        <v>1</v>
      </c>
      <c r="AW247" s="113" t="n">
        <f aca="false">IF(AND(AW245&gt;=0,AW246&lt;0),1,0)</f>
        <v>1</v>
      </c>
      <c r="AX247" s="113" t="n">
        <f aca="false">IF(AND(AX245&gt;=0,AX246&lt;0),1,0)</f>
        <v>1</v>
      </c>
      <c r="AY247" s="113" t="n">
        <f aca="false">IF(AND(AY245&gt;=0,AY246&lt;0),1,0)</f>
        <v>1</v>
      </c>
      <c r="AZ247" s="113" t="n">
        <f aca="false">IF(AND(AZ245&gt;=0,AZ246&lt;0),1,0)</f>
        <v>1</v>
      </c>
      <c r="BA247" s="113" t="n">
        <f aca="false">IF(AND(BA245&gt;=0,BA246&lt;0),1,0)</f>
        <v>1</v>
      </c>
      <c r="BB247" s="113" t="n">
        <f aca="false">IF(AND(BB245&gt;=0,BB246&lt;0),1,0)</f>
        <v>1</v>
      </c>
      <c r="BC247" s="113" t="n">
        <f aca="false">IF(AND(BC245&gt;=0,BC246&lt;0),1,0)</f>
        <v>1</v>
      </c>
      <c r="BD247" s="113" t="n">
        <f aca="false">IF(AND(BD245&gt;=0,BD246&lt;0),1,0)</f>
        <v>1</v>
      </c>
      <c r="BE247" s="113" t="n">
        <f aca="false">IF(AND(BE245&gt;=0,BE246&lt;0),1,0)</f>
        <v>1</v>
      </c>
      <c r="BF247" s="113" t="n">
        <f aca="false">IF(AND(BF245&gt;=0,BF246&lt;0),1,0)</f>
        <v>1</v>
      </c>
      <c r="BG247" s="113" t="n">
        <f aca="false">IF(AND(BG245&gt;=0,BG246&lt;0),1,0)</f>
        <v>1</v>
      </c>
      <c r="BH247" s="113" t="n">
        <f aca="false">IF(AND(BH245&gt;=0,BH246&lt;0),1,0)</f>
        <v>1</v>
      </c>
      <c r="BI247" s="113" t="n">
        <f aca="false">IF(AND(BI245&gt;=0,BI246&lt;0),1,0)</f>
        <v>1</v>
      </c>
      <c r="BJ247" s="113" t="n">
        <f aca="false">IF(AND(BJ245&gt;=0,BJ246&lt;0),1,0)</f>
        <v>1</v>
      </c>
    </row>
    <row r="248" customFormat="false" ht="15" hidden="false" customHeight="false" outlineLevel="0" collapsed="false">
      <c r="A248" s="6" t="s">
        <v>384</v>
      </c>
      <c r="C248" s="65" t="n">
        <f aca="false">C233-C204*(1-Inputs!$D$41)+C234</f>
        <v>-150216.333333333</v>
      </c>
      <c r="D248" s="65" t="n">
        <f aca="false">D233-D204*(1-Inputs!$D$41)+D234</f>
        <v>2871.6</v>
      </c>
      <c r="E248" s="65" t="n">
        <f aca="false">E233-E204*(1-Inputs!$D$41)+E234</f>
        <v>5627.32583333333</v>
      </c>
      <c r="F248" s="65" t="n">
        <f aca="false">F233-F204*(1-Inputs!$D$41)+F234</f>
        <v>7736.49916666667</v>
      </c>
      <c r="G248" s="65" t="n">
        <f aca="false">G233-G204*(1-Inputs!$D$41)+G234</f>
        <v>10237.4416666667</v>
      </c>
      <c r="H248" s="65" t="n">
        <f aca="false">H233-H204*(1-Inputs!$D$41)+H234</f>
        <v>10221.6916666667</v>
      </c>
      <c r="I248" s="65" t="n">
        <f aca="false">I233-I204*(1-Inputs!$D$41)+I234</f>
        <v>10221.6916666667</v>
      </c>
      <c r="J248" s="65" t="n">
        <f aca="false">J233-J204*(1-Inputs!$D$41)+J234</f>
        <v>10221.6916666667</v>
      </c>
      <c r="K248" s="65" t="n">
        <f aca="false">K233-K204*(1-Inputs!$D$41)+K234</f>
        <v>10221.6916666667</v>
      </c>
      <c r="L248" s="65" t="n">
        <f aca="false">L233-L204*(1-Inputs!$D$41)+L234</f>
        <v>10221.6916666667</v>
      </c>
      <c r="M248" s="65" t="n">
        <f aca="false">M233-M204*(1-Inputs!$D$41)+M234</f>
        <v>10221.6916666667</v>
      </c>
      <c r="N248" s="65" t="n">
        <f aca="false">N233-N204*(1-Inputs!$D$41)+N234</f>
        <v>10221.6916666667</v>
      </c>
      <c r="O248" s="65" t="n">
        <f aca="false">O233-O204*(1-Inputs!$D$41)+O234</f>
        <v>13283.1608466667</v>
      </c>
      <c r="P248" s="65" t="n">
        <f aca="false">P233-P204*(1-Inputs!$D$41)+P234</f>
        <v>13262.1188466667</v>
      </c>
      <c r="Q248" s="65" t="n">
        <f aca="false">Q233-Q204*(1-Inputs!$D$41)+Q234</f>
        <v>13262.1188466667</v>
      </c>
      <c r="R248" s="65" t="n">
        <f aca="false">R233-R204*(1-Inputs!$D$41)+R234</f>
        <v>13262.1188466667</v>
      </c>
      <c r="S248" s="65" t="n">
        <f aca="false">S233-S204*(1-Inputs!$D$41)+S234</f>
        <v>13262.1188466667</v>
      </c>
      <c r="T248" s="65" t="n">
        <f aca="false">T233-T204*(1-Inputs!$D$41)+T234</f>
        <v>13262.1188466667</v>
      </c>
      <c r="U248" s="65" t="n">
        <f aca="false">U233-U204*(1-Inputs!$D$41)+U234</f>
        <v>13262.1188466667</v>
      </c>
      <c r="V248" s="65" t="n">
        <f aca="false">V233-V204*(1-Inputs!$D$41)+V234</f>
        <v>13262.1188466667</v>
      </c>
      <c r="W248" s="65" t="n">
        <f aca="false">W233-W204*(1-Inputs!$D$41)+W234</f>
        <v>13262.1188466667</v>
      </c>
      <c r="X248" s="65" t="n">
        <f aca="false">X233-X204*(1-Inputs!$D$41)+X234</f>
        <v>13262.1188466667</v>
      </c>
      <c r="Y248" s="65" t="n">
        <f aca="false">Y233-Y204*(1-Inputs!$D$41)+Y234</f>
        <v>13262.1188466667</v>
      </c>
      <c r="Z248" s="65" t="n">
        <f aca="false">Z233-Z204*(1-Inputs!$D$41)+Z234</f>
        <v>13262.1188466667</v>
      </c>
      <c r="AA248" s="65" t="n">
        <f aca="false">AA233-AA204*(1-Inputs!$D$41)+AA234</f>
        <v>16763.7665043147</v>
      </c>
      <c r="AB248" s="65" t="n">
        <f aca="false">AB233-AB204*(1-Inputs!$D$41)+AB234</f>
        <v>16739.9132931147</v>
      </c>
      <c r="AC248" s="65" t="n">
        <f aca="false">AC233-AC204*(1-Inputs!$D$41)+AC234</f>
        <v>16739.9132931147</v>
      </c>
      <c r="AD248" s="65" t="n">
        <f aca="false">AD233-AD204*(1-Inputs!$D$41)+AD234</f>
        <v>16739.9132931147</v>
      </c>
      <c r="AE248" s="65" t="n">
        <f aca="false">AE233-AE204*(1-Inputs!$D$41)+AE234</f>
        <v>16739.9132931147</v>
      </c>
      <c r="AF248" s="65" t="n">
        <f aca="false">AF233-AF204*(1-Inputs!$D$41)+AF234</f>
        <v>16739.9132931147</v>
      </c>
      <c r="AG248" s="65" t="n">
        <f aca="false">AG233-AG204*(1-Inputs!$D$41)+AG234</f>
        <v>16739.9132931147</v>
      </c>
      <c r="AH248" s="65" t="n">
        <f aca="false">AH233-AH204*(1-Inputs!$D$41)+AH234</f>
        <v>16739.9132931147</v>
      </c>
      <c r="AI248" s="65" t="n">
        <f aca="false">AI233-AI204*(1-Inputs!$D$41)+AI234</f>
        <v>16739.9132931147</v>
      </c>
      <c r="AJ248" s="65" t="n">
        <f aca="false">AJ233-AJ204*(1-Inputs!$D$41)+AJ234</f>
        <v>16739.9132931147</v>
      </c>
      <c r="AK248" s="65" t="n">
        <f aca="false">AK233-AK204*(1-Inputs!$D$41)+AK234</f>
        <v>16739.9132931147</v>
      </c>
      <c r="AL248" s="65" t="n">
        <f aca="false">AL233-AL204*(1-Inputs!$D$41)+AL234</f>
        <v>16739.9132931147</v>
      </c>
      <c r="AM248" s="65" t="n">
        <f aca="false">AM233-AM204*(1-Inputs!$D$41)+AM234</f>
        <v>20741.4822588804</v>
      </c>
      <c r="AN248" s="65" t="n">
        <f aca="false">AN233-AN204*(1-Inputs!$D$41)+AN234</f>
        <v>20714.4422586641</v>
      </c>
      <c r="AO248" s="65" t="n">
        <f aca="false">AO233-AO204*(1-Inputs!$D$41)+AO234</f>
        <v>20714.4422586641</v>
      </c>
      <c r="AP248" s="65" t="n">
        <f aca="false">AP233-AP204*(1-Inputs!$D$41)+AP234</f>
        <v>20714.4422586641</v>
      </c>
      <c r="AQ248" s="65" t="n">
        <f aca="false">AQ233-AQ204*(1-Inputs!$D$41)+AQ234</f>
        <v>20714.4422586641</v>
      </c>
      <c r="AR248" s="65" t="n">
        <f aca="false">AR233-AR204*(1-Inputs!$D$41)+AR234</f>
        <v>20714.4422586641</v>
      </c>
      <c r="AS248" s="65" t="n">
        <f aca="false">AS233-AS204*(1-Inputs!$D$41)+AS234</f>
        <v>20714.4422586641</v>
      </c>
      <c r="AT248" s="65" t="n">
        <f aca="false">AT233-AT204*(1-Inputs!$D$41)+AT234</f>
        <v>20714.4422586641</v>
      </c>
      <c r="AU248" s="65" t="n">
        <f aca="false">AU233-AU204*(1-Inputs!$D$41)+AU234</f>
        <v>20714.4422586641</v>
      </c>
      <c r="AV248" s="65" t="n">
        <f aca="false">AV233-AV204*(1-Inputs!$D$41)+AV234</f>
        <v>20714.4422586641</v>
      </c>
      <c r="AW248" s="65" t="n">
        <f aca="false">AW233-AW204*(1-Inputs!$D$41)+AW234</f>
        <v>20714.4422586641</v>
      </c>
      <c r="AX248" s="65" t="n">
        <f aca="false">AX233-AX204*(1-Inputs!$D$41)+AX234</f>
        <v>20714.4422586641</v>
      </c>
      <c r="AY248" s="65" t="n">
        <f aca="false">AY233-AY204*(1-Inputs!$D$41)+AY234</f>
        <v>25283.6850547439</v>
      </c>
      <c r="AZ248" s="65" t="n">
        <f aca="false">AZ233-AZ204*(1-Inputs!$D$41)+AZ234</f>
        <v>25253.0325104987</v>
      </c>
      <c r="BA248" s="65" t="n">
        <f aca="false">BA233-BA204*(1-Inputs!$D$41)+BA234</f>
        <v>25253.0325104987</v>
      </c>
      <c r="BB248" s="65" t="n">
        <f aca="false">BB233-BB204*(1-Inputs!$D$41)+BB234</f>
        <v>25253.0325104987</v>
      </c>
      <c r="BC248" s="65" t="n">
        <f aca="false">BC233-BC204*(1-Inputs!$D$41)+BC234</f>
        <v>25253.0325104987</v>
      </c>
      <c r="BD248" s="65" t="n">
        <f aca="false">BD233-BD204*(1-Inputs!$D$41)+BD234</f>
        <v>25253.0325104987</v>
      </c>
      <c r="BE248" s="65" t="n">
        <f aca="false">BE233-BE204*(1-Inputs!$D$41)+BE234</f>
        <v>25253.0325104987</v>
      </c>
      <c r="BF248" s="65" t="n">
        <f aca="false">BF233-BF204*(1-Inputs!$D$41)+BF234</f>
        <v>25253.0325104987</v>
      </c>
      <c r="BG248" s="65" t="n">
        <f aca="false">BG233-BG204*(1-Inputs!$D$41)+BG234</f>
        <v>25253.0325104987</v>
      </c>
      <c r="BH248" s="65" t="n">
        <f aca="false">BH233-BH204*(1-Inputs!$D$41)+BH234</f>
        <v>25253.0325104987</v>
      </c>
      <c r="BI248" s="65" t="n">
        <f aca="false">BI233-BI204*(1-Inputs!$D$41)+BI234</f>
        <v>25253.0325104987</v>
      </c>
      <c r="BJ248" s="65" t="n">
        <f aca="false">BJ233-BJ204*(1-Inputs!$D$41)+BJ234</f>
        <v>25253.0325104987</v>
      </c>
    </row>
    <row r="250" customFormat="false" ht="15.75" hidden="false" customHeight="true" outlineLevel="0" collapsed="false">
      <c r="A250" s="7" t="s">
        <v>385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customFormat="false" ht="15" hidden="false" customHeight="false" outlineLevel="0" collapsed="false">
      <c r="A251" s="6" t="s">
        <v>95</v>
      </c>
      <c r="C251" s="65" t="n">
        <f aca="false">C235</f>
        <v>140000</v>
      </c>
      <c r="D251" s="65" t="n">
        <f aca="false">C251+D235</f>
        <v>140000</v>
      </c>
      <c r="E251" s="65" t="n">
        <f aca="false">D251+E235</f>
        <v>140000</v>
      </c>
      <c r="F251" s="65" t="n">
        <f aca="false">E251+F235</f>
        <v>140000</v>
      </c>
      <c r="G251" s="65" t="n">
        <f aca="false">F251+G235</f>
        <v>140000</v>
      </c>
      <c r="H251" s="65" t="n">
        <f aca="false">G251+H235</f>
        <v>140000</v>
      </c>
      <c r="I251" s="65" t="n">
        <f aca="false">H251+I235</f>
        <v>140000</v>
      </c>
      <c r="J251" s="65" t="n">
        <f aca="false">I251+J235</f>
        <v>140000</v>
      </c>
      <c r="K251" s="65" t="n">
        <f aca="false">J251+K235</f>
        <v>140000</v>
      </c>
      <c r="L251" s="65" t="n">
        <f aca="false">K251+L235</f>
        <v>140000</v>
      </c>
      <c r="M251" s="65" t="n">
        <f aca="false">L251+M235</f>
        <v>140000</v>
      </c>
      <c r="N251" s="65" t="n">
        <f aca="false">M251+N235</f>
        <v>140000</v>
      </c>
      <c r="O251" s="65" t="n">
        <f aca="false">N251+O235</f>
        <v>140000</v>
      </c>
      <c r="P251" s="65" t="n">
        <f aca="false">O251+P235</f>
        <v>140000</v>
      </c>
      <c r="Q251" s="65" t="n">
        <f aca="false">P251+Q235</f>
        <v>140000</v>
      </c>
      <c r="R251" s="65" t="n">
        <f aca="false">Q251+R235</f>
        <v>140000</v>
      </c>
      <c r="S251" s="65" t="n">
        <f aca="false">R251+S235</f>
        <v>140000</v>
      </c>
      <c r="T251" s="65" t="n">
        <f aca="false">S251+T235</f>
        <v>140000</v>
      </c>
      <c r="U251" s="65" t="n">
        <f aca="false">T251+U235</f>
        <v>140000</v>
      </c>
      <c r="V251" s="65" t="n">
        <f aca="false">U251+V235</f>
        <v>140000</v>
      </c>
      <c r="W251" s="65" t="n">
        <f aca="false">V251+W235</f>
        <v>140000</v>
      </c>
      <c r="X251" s="65" t="n">
        <f aca="false">W251+X235</f>
        <v>140000</v>
      </c>
      <c r="Y251" s="65" t="n">
        <f aca="false">X251+Y235</f>
        <v>140000</v>
      </c>
      <c r="Z251" s="65" t="n">
        <f aca="false">Y251+Z235</f>
        <v>140000</v>
      </c>
      <c r="AA251" s="65" t="n">
        <f aca="false">Z251+AA235</f>
        <v>140000</v>
      </c>
      <c r="AB251" s="65" t="n">
        <f aca="false">AA251+AB235</f>
        <v>140000</v>
      </c>
      <c r="AC251" s="65" t="n">
        <f aca="false">AB251+AC235</f>
        <v>140000</v>
      </c>
      <c r="AD251" s="65" t="n">
        <f aca="false">AC251+AD235</f>
        <v>140000</v>
      </c>
      <c r="AE251" s="65" t="n">
        <f aca="false">AD251+AE235</f>
        <v>140000</v>
      </c>
      <c r="AF251" s="65" t="n">
        <f aca="false">AE251+AF235</f>
        <v>140000</v>
      </c>
      <c r="AG251" s="65" t="n">
        <f aca="false">AF251+AG235</f>
        <v>140000</v>
      </c>
      <c r="AH251" s="65" t="n">
        <f aca="false">AG251+AH235</f>
        <v>140000</v>
      </c>
      <c r="AI251" s="65" t="n">
        <f aca="false">AH251+AI235</f>
        <v>140000</v>
      </c>
      <c r="AJ251" s="65" t="n">
        <f aca="false">AI251+AJ235</f>
        <v>140000</v>
      </c>
      <c r="AK251" s="65" t="n">
        <f aca="false">AJ251+AK235</f>
        <v>140000</v>
      </c>
      <c r="AL251" s="65" t="n">
        <f aca="false">AK251+AL235</f>
        <v>140000</v>
      </c>
      <c r="AM251" s="65" t="n">
        <f aca="false">AL251+AM235</f>
        <v>140000</v>
      </c>
      <c r="AN251" s="65" t="n">
        <f aca="false">AM251+AN235</f>
        <v>140000</v>
      </c>
      <c r="AO251" s="65" t="n">
        <f aca="false">AN251+AO235</f>
        <v>140000</v>
      </c>
      <c r="AP251" s="65" t="n">
        <f aca="false">AO251+AP235</f>
        <v>140000</v>
      </c>
      <c r="AQ251" s="65" t="n">
        <f aca="false">AP251+AQ235</f>
        <v>140000</v>
      </c>
      <c r="AR251" s="65" t="n">
        <f aca="false">AQ251+AR235</f>
        <v>140000</v>
      </c>
      <c r="AS251" s="65" t="n">
        <f aca="false">AR251+AS235</f>
        <v>140000</v>
      </c>
      <c r="AT251" s="65" t="n">
        <f aca="false">AS251+AT235</f>
        <v>140000</v>
      </c>
      <c r="AU251" s="65" t="n">
        <f aca="false">AT251+AU235</f>
        <v>140000</v>
      </c>
      <c r="AV251" s="65" t="n">
        <f aca="false">AU251+AV235</f>
        <v>140000</v>
      </c>
      <c r="AW251" s="65" t="n">
        <f aca="false">AV251+AW235</f>
        <v>140000</v>
      </c>
      <c r="AX251" s="65" t="n">
        <f aca="false">AW251+AX235</f>
        <v>140000</v>
      </c>
      <c r="AY251" s="65" t="n">
        <f aca="false">AX251+AY235</f>
        <v>140000</v>
      </c>
      <c r="AZ251" s="65" t="n">
        <f aca="false">AY251+AZ235</f>
        <v>140000</v>
      </c>
      <c r="BA251" s="65" t="n">
        <f aca="false">AZ251+BA235</f>
        <v>140000</v>
      </c>
      <c r="BB251" s="65" t="n">
        <f aca="false">BA251+BB235</f>
        <v>140000</v>
      </c>
      <c r="BC251" s="65" t="n">
        <f aca="false">BB251+BC235</f>
        <v>140000</v>
      </c>
      <c r="BD251" s="65" t="n">
        <f aca="false">BC251+BD235</f>
        <v>140000</v>
      </c>
      <c r="BE251" s="65" t="n">
        <f aca="false">BD251+BE235</f>
        <v>140000</v>
      </c>
      <c r="BF251" s="65" t="n">
        <f aca="false">BE251+BF235</f>
        <v>140000</v>
      </c>
      <c r="BG251" s="65" t="n">
        <f aca="false">BF251+BG235</f>
        <v>140000</v>
      </c>
      <c r="BH251" s="65" t="n">
        <f aca="false">BG251+BH235</f>
        <v>140000</v>
      </c>
      <c r="BI251" s="65" t="n">
        <f aca="false">BH251+BI235</f>
        <v>140000</v>
      </c>
      <c r="BJ251" s="65" t="n">
        <f aca="false">BI251+BJ235</f>
        <v>140000</v>
      </c>
    </row>
    <row r="252" customFormat="false" ht="15" hidden="false" customHeight="false" outlineLevel="0" collapsed="false">
      <c r="A252" s="6" t="s">
        <v>96</v>
      </c>
      <c r="C252" s="65" t="n">
        <f aca="false">C209</f>
        <v>-2517.88095238096</v>
      </c>
      <c r="D252" s="65" t="n">
        <f aca="false">C252+D209</f>
        <v>-1865.56746031747</v>
      </c>
      <c r="E252" s="65" t="n">
        <f aca="false">D252+E209</f>
        <v>1549.49408730158</v>
      </c>
      <c r="F252" s="65" t="n">
        <f aca="false">E252+F209</f>
        <v>7080.75119047618</v>
      </c>
      <c r="G252" s="65" t="n">
        <f aca="false">F252+G209</f>
        <v>15119.973015873</v>
      </c>
      <c r="H252" s="65" t="n">
        <f aca="false">G252+H209</f>
        <v>23166.217063492</v>
      </c>
      <c r="I252" s="65" t="n">
        <f aca="false">H252+I209</f>
        <v>31219.4833333333</v>
      </c>
      <c r="J252" s="65" t="n">
        <f aca="false">I252+J209</f>
        <v>39279.7718253968</v>
      </c>
      <c r="K252" s="65" t="n">
        <f aca="false">J252+K209</f>
        <v>47347.0825396825</v>
      </c>
      <c r="L252" s="65" t="n">
        <f aca="false">K252+L209</f>
        <v>55421.4154761905</v>
      </c>
      <c r="M252" s="65" t="n">
        <f aca="false">L252+M209</f>
        <v>63502.7706349206</v>
      </c>
      <c r="N252" s="65" t="n">
        <f aca="false">M252+N209</f>
        <v>71591.148015873</v>
      </c>
      <c r="O252" s="65" t="n">
        <f aca="false">N252+O209</f>
        <v>82726.9747990476</v>
      </c>
      <c r="P252" s="65" t="n">
        <f aca="false">O252+P209</f>
        <v>93869.8238044444</v>
      </c>
      <c r="Q252" s="65" t="n">
        <f aca="false">P252+Q209</f>
        <v>105019.695032063</v>
      </c>
      <c r="R252" s="65" t="n">
        <f aca="false">Q252+R209</f>
        <v>116176.588481905</v>
      </c>
      <c r="S252" s="65" t="n">
        <f aca="false">R252+S209</f>
        <v>127340.504153968</v>
      </c>
      <c r="T252" s="65" t="n">
        <f aca="false">S252+T209</f>
        <v>138511.442048254</v>
      </c>
      <c r="U252" s="65" t="n">
        <f aca="false">T252+U209</f>
        <v>149689.402164762</v>
      </c>
      <c r="V252" s="65" t="n">
        <f aca="false">U252+V209</f>
        <v>160874.384503492</v>
      </c>
      <c r="W252" s="65" t="n">
        <f aca="false">V252+W209</f>
        <v>172066.389064444</v>
      </c>
      <c r="X252" s="65" t="n">
        <f aca="false">W252+X209</f>
        <v>183265.415847619</v>
      </c>
      <c r="Y252" s="65" t="n">
        <f aca="false">X252+Y209</f>
        <v>194471.464853016</v>
      </c>
      <c r="Z252" s="65" t="n">
        <f aca="false">Y252+Z209</f>
        <v>205684.536080635</v>
      </c>
      <c r="AA252" s="65" t="n">
        <f aca="false">Z252+AA209</f>
        <v>220382.423976924</v>
      </c>
      <c r="AB252" s="65" t="n">
        <f aca="false">AA252+AB209</f>
        <v>235087.334095436</v>
      </c>
      <c r="AC252" s="65" t="n">
        <f aca="false">AB252+AC209</f>
        <v>249799.266436169</v>
      </c>
      <c r="AD252" s="65" t="n">
        <f aca="false">AC252+AD209</f>
        <v>264518.220999125</v>
      </c>
      <c r="AE252" s="65" t="n">
        <f aca="false">AD252+AE209</f>
        <v>279244.197784304</v>
      </c>
      <c r="AF252" s="65" t="n">
        <f aca="false">AE252+AF209</f>
        <v>293977.196791704</v>
      </c>
      <c r="AG252" s="65" t="n">
        <f aca="false">AF252+AG209</f>
        <v>308717.218021327</v>
      </c>
      <c r="AH252" s="65" t="n">
        <f aca="false">AG252+AH209</f>
        <v>323464.261473171</v>
      </c>
      <c r="AI252" s="65" t="n">
        <f aca="false">AH252+AI209</f>
        <v>338218.327147238</v>
      </c>
      <c r="AJ252" s="65" t="n">
        <f aca="false">AI252+AJ209</f>
        <v>352979.415043528</v>
      </c>
      <c r="AK252" s="65" t="n">
        <f aca="false">AJ252+AK209</f>
        <v>367747.525162039</v>
      </c>
      <c r="AL252" s="65" t="n">
        <f aca="false">AK252+AL209</f>
        <v>382522.657502773</v>
      </c>
      <c r="AM252" s="65" t="n">
        <f aca="false">AL252+AM209</f>
        <v>401279.341031278</v>
      </c>
      <c r="AN252" s="65" t="n">
        <f aca="false">AM252+AN209</f>
        <v>420043.046782006</v>
      </c>
      <c r="AO252" s="65" t="n">
        <f aca="false">AN252+AO209</f>
        <v>438813.774754956</v>
      </c>
      <c r="AP252" s="65" t="n">
        <f aca="false">AO252+AP209</f>
        <v>457591.524950128</v>
      </c>
      <c r="AQ252" s="65" t="n">
        <f aca="false">AP252+AQ209</f>
        <v>476376.297367522</v>
      </c>
      <c r="AR252" s="65" t="n">
        <f aca="false">AQ252+AR209</f>
        <v>495168.092007139</v>
      </c>
      <c r="AS252" s="65" t="n">
        <f aca="false">AR252+AS209</f>
        <v>513966.908868977</v>
      </c>
      <c r="AT252" s="65" t="n">
        <f aca="false">AS252+AT209</f>
        <v>532772.747953038</v>
      </c>
      <c r="AU252" s="65" t="n">
        <f aca="false">AT252+AU209</f>
        <v>551585.609259322</v>
      </c>
      <c r="AV252" s="65" t="n">
        <f aca="false">AU252+AV209</f>
        <v>570405.492787827</v>
      </c>
      <c r="AW252" s="65" t="n">
        <f aca="false">AV252+AW209</f>
        <v>589232.398538555</v>
      </c>
      <c r="AX252" s="65" t="n">
        <f aca="false">AW252+AX209</f>
        <v>608066.326511504</v>
      </c>
      <c r="AY252" s="65" t="n">
        <f aca="false">AX252+AY209</f>
        <v>631445.866958511</v>
      </c>
      <c r="AZ252" s="65" t="n">
        <f aca="false">AY252+AZ209</f>
        <v>654832.42962774</v>
      </c>
      <c r="BA252" s="65" t="n">
        <f aca="false">AZ252+BA209</f>
        <v>678226.014519191</v>
      </c>
      <c r="BB252" s="65" t="n">
        <f aca="false">BA252+BB209</f>
        <v>701626.621632864</v>
      </c>
      <c r="BC252" s="65" t="n">
        <f aca="false">BB252+BC209</f>
        <v>725034.25096876</v>
      </c>
      <c r="BD252" s="65" t="n">
        <f aca="false">BC252+BD209</f>
        <v>748448.902526877</v>
      </c>
      <c r="BE252" s="65" t="n">
        <f aca="false">BD252+BE209</f>
        <v>771870.576307217</v>
      </c>
      <c r="BF252" s="65" t="n">
        <f aca="false">BE252+BF209</f>
        <v>795299.272309779</v>
      </c>
      <c r="BG252" s="65" t="n">
        <f aca="false">BF252+BG209</f>
        <v>818734.990534564</v>
      </c>
      <c r="BH252" s="65" t="n">
        <f aca="false">BG252+BH209</f>
        <v>842177.73098157</v>
      </c>
      <c r="BI252" s="65" t="n">
        <f aca="false">BH252+BI209</f>
        <v>865627.493650799</v>
      </c>
      <c r="BJ252" s="65" t="n">
        <f aca="false">BI252+BJ209</f>
        <v>889084.27854225</v>
      </c>
    </row>
    <row r="253" customFormat="false" ht="15" hidden="false" customHeight="false" outlineLevel="0" collapsed="false">
      <c r="A253" s="4" t="s">
        <v>91</v>
      </c>
      <c r="C253" s="71" t="n">
        <f aca="false">C239+C225+C226+C216</f>
        <v>221451.119047619</v>
      </c>
      <c r="D253" s="71" t="n">
        <f aca="false">D239+D225+D226+D216</f>
        <v>221431.599206349</v>
      </c>
      <c r="E253" s="71" t="n">
        <f aca="false">E239+E225+E226+E216</f>
        <v>224174.827420635</v>
      </c>
      <c r="F253" s="71" t="n">
        <f aca="false">F239+F225+F226+F216</f>
        <v>229034.251190476</v>
      </c>
      <c r="G253" s="71" t="n">
        <f aca="false">G239+G225+G226+G216</f>
        <v>236401.63968254</v>
      </c>
      <c r="H253" s="71" t="n">
        <f aca="false">H239+H225+H226+H216</f>
        <v>243114.550396825</v>
      </c>
      <c r="I253" s="71" t="n">
        <f aca="false">I239+I225+I226+I216</f>
        <v>249834.483333333</v>
      </c>
      <c r="J253" s="71" t="n">
        <f aca="false">J239+J225+J226+J216</f>
        <v>256561.438492064</v>
      </c>
      <c r="K253" s="71" t="n">
        <f aca="false">K239+K225+K226+K216</f>
        <v>263295.415873016</v>
      </c>
      <c r="L253" s="71" t="n">
        <f aca="false">L239+L225+L226+L216</f>
        <v>270036.41547619</v>
      </c>
      <c r="M253" s="71" t="n">
        <f aca="false">M239+M225+M226+M216</f>
        <v>276784.437301587</v>
      </c>
      <c r="N253" s="71" t="n">
        <f aca="false">N239+N225+N226+N216</f>
        <v>283539.481349206</v>
      </c>
      <c r="O253" s="71" t="n">
        <f aca="false">O239+O225+O226+O216</f>
        <v>294225.738799048</v>
      </c>
      <c r="P253" s="71" t="n">
        <f aca="false">P239+P225+P226+P216</f>
        <v>304035.254471111</v>
      </c>
      <c r="Q253" s="71" t="n">
        <f aca="false">Q239+Q225+Q226+Q216</f>
        <v>313851.792365397</v>
      </c>
      <c r="R253" s="71" t="n">
        <f aca="false">R239+R225+R226+R216</f>
        <v>323675.352481905</v>
      </c>
      <c r="S253" s="71" t="n">
        <f aca="false">S239+S225+S226+S216</f>
        <v>333505.934820635</v>
      </c>
      <c r="T253" s="71" t="n">
        <f aca="false">T239+T225+T226+T216</f>
        <v>343343.539381587</v>
      </c>
      <c r="U253" s="71" t="n">
        <f aca="false">U239+U225+U226+U216</f>
        <v>353188.166164762</v>
      </c>
      <c r="V253" s="71" t="n">
        <f aca="false">V239+V225+V226+V216</f>
        <v>363039.815170159</v>
      </c>
      <c r="W253" s="71" t="n">
        <f aca="false">W239+W225+W226+W216</f>
        <v>372898.486397778</v>
      </c>
      <c r="X253" s="71" t="n">
        <f aca="false">X239+X225+X226+X216</f>
        <v>382764.179847619</v>
      </c>
      <c r="Y253" s="71" t="n">
        <f aca="false">Y239+Y225+Y226+Y216</f>
        <v>392636.895519683</v>
      </c>
      <c r="Z253" s="71" t="n">
        <f aca="false">Z239+Z225+Z226+Z216</f>
        <v>402516.633413968</v>
      </c>
      <c r="AA253" s="71" t="n">
        <f aca="false">AA239+AA225+AA226+AA216</f>
        <v>416883.022847324</v>
      </c>
      <c r="AB253" s="71" t="n">
        <f aca="false">AB239+AB225+AB226+AB216</f>
        <v>430254.599632502</v>
      </c>
      <c r="AC253" s="71" t="n">
        <f aca="false">AC239+AC225+AC226+AC216</f>
        <v>443633.198639903</v>
      </c>
      <c r="AD253" s="71" t="n">
        <f aca="false">AD239+AD225+AD226+AD216</f>
        <v>457018.819869525</v>
      </c>
      <c r="AE253" s="71" t="n">
        <f aca="false">AE239+AE225+AE226+AE216</f>
        <v>470411.46332137</v>
      </c>
      <c r="AF253" s="71" t="n">
        <f aca="false">AF239+AF225+AF226+AF216</f>
        <v>483811.128995437</v>
      </c>
      <c r="AG253" s="71" t="n">
        <f aca="false">AG239+AG225+AG226+AG216</f>
        <v>497217.816891727</v>
      </c>
      <c r="AH253" s="71" t="n">
        <f aca="false">AH239+AH225+AH226+AH216</f>
        <v>510631.527010238</v>
      </c>
      <c r="AI253" s="71" t="n">
        <f aca="false">AI239+AI225+AI226+AI216</f>
        <v>524052.259350972</v>
      </c>
      <c r="AJ253" s="71" t="n">
        <f aca="false">AJ239+AJ225+AJ226+AJ216</f>
        <v>537480.013913928</v>
      </c>
      <c r="AK253" s="71" t="n">
        <f aca="false">AK239+AK225+AK226+AK216</f>
        <v>550914.790699106</v>
      </c>
      <c r="AL253" s="71" t="n">
        <f aca="false">AL239+AL225+AL226+AL216</f>
        <v>564356.589706506</v>
      </c>
      <c r="AM253" s="71" t="n">
        <f aca="false">AM239+AM225+AM226+AM216</f>
        <v>582915.619910764</v>
      </c>
      <c r="AN253" s="71" t="n">
        <f aca="false">AN239+AN225+AN226+AN216</f>
        <v>600345.992328158</v>
      </c>
      <c r="AO253" s="71" t="n">
        <f aca="false">AO239+AO225+AO226+AO216</f>
        <v>617783.386967775</v>
      </c>
      <c r="AP253" s="71" t="n">
        <f aca="false">AP239+AP225+AP226+AP216</f>
        <v>635227.803829613</v>
      </c>
      <c r="AQ253" s="71" t="n">
        <f aca="false">AQ239+AQ225+AQ226+AQ216</f>
        <v>652679.242913674</v>
      </c>
      <c r="AR253" s="71" t="n">
        <f aca="false">AR239+AR225+AR226+AR216</f>
        <v>670137.704219958</v>
      </c>
      <c r="AS253" s="71" t="n">
        <f aca="false">AS239+AS225+AS226+AS216</f>
        <v>687603.187748463</v>
      </c>
      <c r="AT253" s="71" t="n">
        <f aca="false">AT239+AT225+AT226+AT216</f>
        <v>705075.693499191</v>
      </c>
      <c r="AU253" s="71" t="n">
        <f aca="false">AU239+AU225+AU226+AU216</f>
        <v>722555.22147214</v>
      </c>
      <c r="AV253" s="71" t="n">
        <f aca="false">AV239+AV225+AV226+AV216</f>
        <v>740041.771667313</v>
      </c>
      <c r="AW253" s="71" t="n">
        <f aca="false">AW239+AW225+AW226+AW216</f>
        <v>757535.344084707</v>
      </c>
      <c r="AX253" s="71" t="n">
        <f aca="false">AX239+AX225+AX226+AX216</f>
        <v>775035.938724323</v>
      </c>
      <c r="AY253" s="71" t="n">
        <f aca="false">AY239+AY225+AY226+AY216</f>
        <v>798369.552696296</v>
      </c>
      <c r="AZ253" s="71" t="n">
        <f aca="false">AZ239+AZ225+AZ226+AZ216</f>
        <v>820422.782032191</v>
      </c>
      <c r="BA253" s="71" t="n">
        <f aca="false">BA239+BA225+BA226+BA216</f>
        <v>842483.033590309</v>
      </c>
      <c r="BB253" s="71" t="n">
        <f aca="false">BB239+BB225+BB226+BB216</f>
        <v>864550.307370649</v>
      </c>
      <c r="BC253" s="71" t="n">
        <f aca="false">BC239+BC225+BC226+BC216</f>
        <v>886624.603373211</v>
      </c>
      <c r="BD253" s="71" t="n">
        <f aca="false">BD239+BD225+BD226+BD216</f>
        <v>908705.921597995</v>
      </c>
      <c r="BE253" s="71" t="n">
        <f aca="false">BE239+BE225+BE226+BE216</f>
        <v>930794.262045002</v>
      </c>
      <c r="BF253" s="71" t="n">
        <f aca="false">BF239+BF225+BF226+BF216</f>
        <v>952889.624714231</v>
      </c>
      <c r="BG253" s="71" t="n">
        <f aca="false">BG239+BG225+BG226+BG216</f>
        <v>974992.009605682</v>
      </c>
      <c r="BH253" s="71" t="n">
        <f aca="false">BH239+BH225+BH226+BH216</f>
        <v>997101.416719355</v>
      </c>
      <c r="BI253" s="71" t="n">
        <f aca="false">BI239+BI225+BI226+BI216</f>
        <v>1019217.84605525</v>
      </c>
      <c r="BJ253" s="71" t="n">
        <f aca="false">BJ239+BJ225+BJ226+BJ216</f>
        <v>1041341.29761337</v>
      </c>
    </row>
    <row r="254" customFormat="false" ht="15" hidden="false" customHeight="false" outlineLevel="0" collapsed="false">
      <c r="A254" s="6" t="s">
        <v>94</v>
      </c>
      <c r="C254" s="65" t="n">
        <f aca="false">C227+C222</f>
        <v>83969</v>
      </c>
      <c r="D254" s="65" t="n">
        <f aca="false">D227+D222</f>
        <v>83297.1666666667</v>
      </c>
      <c r="E254" s="65" t="n">
        <f aca="false">E227+E222</f>
        <v>82625.3333333333</v>
      </c>
      <c r="F254" s="65" t="n">
        <f aca="false">F227+F222</f>
        <v>81953.5</v>
      </c>
      <c r="G254" s="65" t="n">
        <f aca="false">G227+G222</f>
        <v>81281.6666666667</v>
      </c>
      <c r="H254" s="65" t="n">
        <f aca="false">H227+H222</f>
        <v>79948.3333333334</v>
      </c>
      <c r="I254" s="65" t="n">
        <f aca="false">I227+I222</f>
        <v>78615</v>
      </c>
      <c r="J254" s="65" t="n">
        <f aca="false">J227+J222</f>
        <v>77281.6666666667</v>
      </c>
      <c r="K254" s="65" t="n">
        <f aca="false">K227+K222</f>
        <v>75948.3333333334</v>
      </c>
      <c r="L254" s="65" t="n">
        <f aca="false">L227+L222</f>
        <v>74615</v>
      </c>
      <c r="M254" s="65" t="n">
        <f aca="false">M227+M222</f>
        <v>73281.6666666667</v>
      </c>
      <c r="N254" s="65" t="n">
        <f aca="false">N227+N222</f>
        <v>71948.3333333334</v>
      </c>
      <c r="O254" s="65" t="n">
        <f aca="false">O227+O222</f>
        <v>71498.764</v>
      </c>
      <c r="P254" s="65" t="n">
        <f aca="false">P227+P222</f>
        <v>70165.4306666667</v>
      </c>
      <c r="Q254" s="65" t="n">
        <f aca="false">Q227+Q222</f>
        <v>68832.0973333334</v>
      </c>
      <c r="R254" s="65" t="n">
        <f aca="false">R227+R222</f>
        <v>67498.764</v>
      </c>
      <c r="S254" s="65" t="n">
        <f aca="false">S227+S222</f>
        <v>66165.4306666667</v>
      </c>
      <c r="T254" s="65" t="n">
        <f aca="false">T227+T222</f>
        <v>64832.0973333334</v>
      </c>
      <c r="U254" s="65" t="n">
        <f aca="false">U227+U222</f>
        <v>63498.764</v>
      </c>
      <c r="V254" s="65" t="n">
        <f aca="false">V227+V222</f>
        <v>62165.4306666667</v>
      </c>
      <c r="W254" s="65" t="n">
        <f aca="false">W227+W222</f>
        <v>60832.0973333334</v>
      </c>
      <c r="X254" s="65" t="n">
        <f aca="false">X227+X222</f>
        <v>59498.764</v>
      </c>
      <c r="Y254" s="65" t="n">
        <f aca="false">Y227+Y222</f>
        <v>58165.4306666667</v>
      </c>
      <c r="Z254" s="65" t="n">
        <f aca="false">Z227+Z222</f>
        <v>56832.0973333334</v>
      </c>
      <c r="AA254" s="65" t="n">
        <f aca="false">AA227+AA222</f>
        <v>56500.5988704</v>
      </c>
      <c r="AB254" s="65" t="n">
        <f aca="false">AB227+AB222</f>
        <v>55167.2655370667</v>
      </c>
      <c r="AC254" s="65" t="n">
        <f aca="false">AC227+AC222</f>
        <v>53833.9322037334</v>
      </c>
      <c r="AD254" s="65" t="n">
        <f aca="false">AD227+AD222</f>
        <v>52500.5988704</v>
      </c>
      <c r="AE254" s="65" t="n">
        <f aca="false">AE227+AE222</f>
        <v>51167.2655370667</v>
      </c>
      <c r="AF254" s="65" t="n">
        <f aca="false">AF227+AF222</f>
        <v>49833.9322037333</v>
      </c>
      <c r="AG254" s="65" t="n">
        <f aca="false">AG227+AG222</f>
        <v>48500.5988704</v>
      </c>
      <c r="AH254" s="65" t="n">
        <f aca="false">AH227+AH222</f>
        <v>47167.2655370667</v>
      </c>
      <c r="AI254" s="65" t="n">
        <f aca="false">AI227+AI222</f>
        <v>45833.9322037333</v>
      </c>
      <c r="AJ254" s="65" t="n">
        <f aca="false">AJ227+AJ222</f>
        <v>44500.5988704</v>
      </c>
      <c r="AK254" s="65" t="n">
        <f aca="false">AK227+AK222</f>
        <v>43167.2655370667</v>
      </c>
      <c r="AL254" s="65" t="n">
        <f aca="false">AL227+AL222</f>
        <v>41833.9322037333</v>
      </c>
      <c r="AM254" s="65" t="n">
        <f aca="false">AM227+AM222</f>
        <v>41636.2788794854</v>
      </c>
      <c r="AN254" s="65" t="n">
        <f aca="false">AN227+AN222</f>
        <v>40302.9455461521</v>
      </c>
      <c r="AO254" s="65" t="n">
        <f aca="false">AO227+AO222</f>
        <v>38969.6122128188</v>
      </c>
      <c r="AP254" s="65" t="n">
        <f aca="false">AP227+AP222</f>
        <v>37636.2788794854</v>
      </c>
      <c r="AQ254" s="65" t="n">
        <f aca="false">AQ227+AQ222</f>
        <v>36302.9455461521</v>
      </c>
      <c r="AR254" s="65" t="n">
        <f aca="false">AR227+AR222</f>
        <v>34969.6122128188</v>
      </c>
      <c r="AS254" s="65" t="n">
        <f aca="false">AS227+AS222</f>
        <v>33636.2788794854</v>
      </c>
      <c r="AT254" s="65" t="n">
        <f aca="false">AT227+AT222</f>
        <v>32302.9455461521</v>
      </c>
      <c r="AU254" s="65" t="n">
        <f aca="false">AU227+AU222</f>
        <v>30969.6122128188</v>
      </c>
      <c r="AV254" s="65" t="n">
        <f aca="false">AV227+AV222</f>
        <v>29636.2788794854</v>
      </c>
      <c r="AW254" s="65" t="n">
        <f aca="false">AW227+AW222</f>
        <v>28302.9455461521</v>
      </c>
      <c r="AX254" s="65" t="n">
        <f aca="false">AX227+AX222</f>
        <v>26969.6122128188</v>
      </c>
      <c r="AY254" s="65" t="n">
        <f aca="false">AY227+AY222</f>
        <v>26923.6857377847</v>
      </c>
      <c r="AZ254" s="65" t="n">
        <f aca="false">AZ227+AZ222</f>
        <v>25590.3524044514</v>
      </c>
      <c r="BA254" s="65" t="n">
        <f aca="false">BA227+BA222</f>
        <v>24257.019071118</v>
      </c>
      <c r="BB254" s="65" t="n">
        <f aca="false">BB227+BB222</f>
        <v>22923.6857377847</v>
      </c>
      <c r="BC254" s="65" t="n">
        <f aca="false">BC227+BC222</f>
        <v>21590.3524044514</v>
      </c>
      <c r="BD254" s="65" t="n">
        <f aca="false">BD227+BD222</f>
        <v>20257.019071118</v>
      </c>
      <c r="BE254" s="65" t="n">
        <f aca="false">BE227+BE222</f>
        <v>18923.6857377847</v>
      </c>
      <c r="BF254" s="65" t="n">
        <f aca="false">BF227+BF222</f>
        <v>17590.3524044514</v>
      </c>
      <c r="BG254" s="65" t="n">
        <f aca="false">BG227+BG222</f>
        <v>16257.019071118</v>
      </c>
      <c r="BH254" s="65" t="n">
        <f aca="false">BH227+BH222</f>
        <v>14923.6857377847</v>
      </c>
      <c r="BI254" s="65" t="n">
        <f aca="false">BI227+BI222</f>
        <v>13590.3524044514</v>
      </c>
      <c r="BJ254" s="65" t="n">
        <f aca="false">BJ227+BJ222</f>
        <v>12257.019071118</v>
      </c>
    </row>
    <row r="255" customFormat="false" ht="15" hidden="false" customHeight="false" outlineLevel="0" collapsed="false">
      <c r="A255" s="6" t="s">
        <v>97</v>
      </c>
      <c r="C255" s="65" t="n">
        <f aca="false">C251+C252</f>
        <v>137482.119047619</v>
      </c>
      <c r="D255" s="65" t="n">
        <f aca="false">D251+D252</f>
        <v>138134.432539683</v>
      </c>
      <c r="E255" s="65" t="n">
        <f aca="false">E251+E252</f>
        <v>141549.494087302</v>
      </c>
      <c r="F255" s="65" t="n">
        <f aca="false">F251+F252</f>
        <v>147080.751190476</v>
      </c>
      <c r="G255" s="65" t="n">
        <f aca="false">G251+G252</f>
        <v>155119.973015873</v>
      </c>
      <c r="H255" s="65" t="n">
        <f aca="false">H251+H252</f>
        <v>163166.217063492</v>
      </c>
      <c r="I255" s="65" t="n">
        <f aca="false">I251+I252</f>
        <v>171219.483333333</v>
      </c>
      <c r="J255" s="65" t="n">
        <f aca="false">J251+J252</f>
        <v>179279.771825397</v>
      </c>
      <c r="K255" s="65" t="n">
        <f aca="false">K251+K252</f>
        <v>187347.082539683</v>
      </c>
      <c r="L255" s="65" t="n">
        <f aca="false">L251+L252</f>
        <v>195421.41547619</v>
      </c>
      <c r="M255" s="65" t="n">
        <f aca="false">M251+M252</f>
        <v>203502.770634921</v>
      </c>
      <c r="N255" s="65" t="n">
        <f aca="false">N251+N252</f>
        <v>211591.148015873</v>
      </c>
      <c r="O255" s="65" t="n">
        <f aca="false">O251+O252</f>
        <v>222726.974799048</v>
      </c>
      <c r="P255" s="65" t="n">
        <f aca="false">P251+P252</f>
        <v>233869.823804444</v>
      </c>
      <c r="Q255" s="65" t="n">
        <f aca="false">Q251+Q252</f>
        <v>245019.695032063</v>
      </c>
      <c r="R255" s="65" t="n">
        <f aca="false">R251+R252</f>
        <v>256176.588481905</v>
      </c>
      <c r="S255" s="65" t="n">
        <f aca="false">S251+S252</f>
        <v>267340.504153968</v>
      </c>
      <c r="T255" s="65" t="n">
        <f aca="false">T251+T252</f>
        <v>278511.442048254</v>
      </c>
      <c r="U255" s="65" t="n">
        <f aca="false">U251+U252</f>
        <v>289689.402164762</v>
      </c>
      <c r="V255" s="65" t="n">
        <f aca="false">V251+V252</f>
        <v>300874.384503492</v>
      </c>
      <c r="W255" s="65" t="n">
        <f aca="false">W251+W252</f>
        <v>312066.389064444</v>
      </c>
      <c r="X255" s="65" t="n">
        <f aca="false">X251+X252</f>
        <v>323265.415847619</v>
      </c>
      <c r="Y255" s="65" t="n">
        <f aca="false">Y251+Y252</f>
        <v>334471.464853016</v>
      </c>
      <c r="Z255" s="65" t="n">
        <f aca="false">Z251+Z252</f>
        <v>345684.536080635</v>
      </c>
      <c r="AA255" s="65" t="n">
        <f aca="false">AA251+AA252</f>
        <v>360382.423976924</v>
      </c>
      <c r="AB255" s="65" t="n">
        <f aca="false">AB251+AB252</f>
        <v>375087.334095436</v>
      </c>
      <c r="AC255" s="65" t="n">
        <f aca="false">AC251+AC252</f>
        <v>389799.266436169</v>
      </c>
      <c r="AD255" s="65" t="n">
        <f aca="false">AD251+AD252</f>
        <v>404518.220999125</v>
      </c>
      <c r="AE255" s="65" t="n">
        <f aca="false">AE251+AE252</f>
        <v>419244.197784304</v>
      </c>
      <c r="AF255" s="65" t="n">
        <f aca="false">AF251+AF252</f>
        <v>433977.196791704</v>
      </c>
      <c r="AG255" s="65" t="n">
        <f aca="false">AG251+AG252</f>
        <v>448717.218021327</v>
      </c>
      <c r="AH255" s="65" t="n">
        <f aca="false">AH251+AH252</f>
        <v>463464.261473171</v>
      </c>
      <c r="AI255" s="65" t="n">
        <f aca="false">AI251+AI252</f>
        <v>478218.327147238</v>
      </c>
      <c r="AJ255" s="65" t="n">
        <f aca="false">AJ251+AJ252</f>
        <v>492979.415043528</v>
      </c>
      <c r="AK255" s="65" t="n">
        <f aca="false">AK251+AK252</f>
        <v>507747.525162039</v>
      </c>
      <c r="AL255" s="65" t="n">
        <f aca="false">AL251+AL252</f>
        <v>522522.657502773</v>
      </c>
      <c r="AM255" s="65" t="n">
        <f aca="false">AM251+AM252</f>
        <v>541279.341031278</v>
      </c>
      <c r="AN255" s="65" t="n">
        <f aca="false">AN251+AN252</f>
        <v>560043.046782006</v>
      </c>
      <c r="AO255" s="65" t="n">
        <f aca="false">AO251+AO252</f>
        <v>578813.774754956</v>
      </c>
      <c r="AP255" s="65" t="n">
        <f aca="false">AP251+AP252</f>
        <v>597591.524950128</v>
      </c>
      <c r="AQ255" s="65" t="n">
        <f aca="false">AQ251+AQ252</f>
        <v>616376.297367522</v>
      </c>
      <c r="AR255" s="65" t="n">
        <f aca="false">AR251+AR252</f>
        <v>635168.092007139</v>
      </c>
      <c r="AS255" s="65" t="n">
        <f aca="false">AS251+AS252</f>
        <v>653966.908868977</v>
      </c>
      <c r="AT255" s="65" t="n">
        <f aca="false">AT251+AT252</f>
        <v>672772.747953038</v>
      </c>
      <c r="AU255" s="65" t="n">
        <f aca="false">AU251+AU252</f>
        <v>691585.609259322</v>
      </c>
      <c r="AV255" s="65" t="n">
        <f aca="false">AV251+AV252</f>
        <v>710405.492787827</v>
      </c>
      <c r="AW255" s="65" t="n">
        <f aca="false">AW251+AW252</f>
        <v>729232.398538555</v>
      </c>
      <c r="AX255" s="65" t="n">
        <f aca="false">AX251+AX252</f>
        <v>748066.326511504</v>
      </c>
      <c r="AY255" s="65" t="n">
        <f aca="false">AY251+AY252</f>
        <v>771445.866958511</v>
      </c>
      <c r="AZ255" s="65" t="n">
        <f aca="false">AZ251+AZ252</f>
        <v>794832.42962774</v>
      </c>
      <c r="BA255" s="65" t="n">
        <f aca="false">BA251+BA252</f>
        <v>818226.014519191</v>
      </c>
      <c r="BB255" s="65" t="n">
        <f aca="false">BB251+BB252</f>
        <v>841626.621632864</v>
      </c>
      <c r="BC255" s="65" t="n">
        <f aca="false">BC251+BC252</f>
        <v>865034.25096876</v>
      </c>
      <c r="BD255" s="65" t="n">
        <f aca="false">BD251+BD252</f>
        <v>888448.902526877</v>
      </c>
      <c r="BE255" s="65" t="n">
        <f aca="false">BE251+BE252</f>
        <v>911870.576307217</v>
      </c>
      <c r="BF255" s="65" t="n">
        <f aca="false">BF251+BF252</f>
        <v>935299.272309779</v>
      </c>
      <c r="BG255" s="65" t="n">
        <f aca="false">BG251+BG252</f>
        <v>958734.990534564</v>
      </c>
      <c r="BH255" s="65" t="n">
        <f aca="false">BH251+BH252</f>
        <v>982177.73098157</v>
      </c>
      <c r="BI255" s="65" t="n">
        <f aca="false">BI251+BI252</f>
        <v>1005627.4936508</v>
      </c>
      <c r="BJ255" s="65" t="n">
        <f aca="false">BJ251+BJ252</f>
        <v>1029084.27854225</v>
      </c>
    </row>
    <row r="256" customFormat="false" ht="15" hidden="false" customHeight="false" outlineLevel="0" collapsed="false">
      <c r="A256" s="4" t="s">
        <v>98</v>
      </c>
      <c r="C256" s="71" t="n">
        <f aca="false">C254+C255</f>
        <v>221451.119047619</v>
      </c>
      <c r="D256" s="71" t="n">
        <f aca="false">D254+D255</f>
        <v>221431.599206349</v>
      </c>
      <c r="E256" s="71" t="n">
        <f aca="false">E254+E255</f>
        <v>224174.827420635</v>
      </c>
      <c r="F256" s="71" t="n">
        <f aca="false">F254+F255</f>
        <v>229034.251190476</v>
      </c>
      <c r="G256" s="71" t="n">
        <f aca="false">G254+G255</f>
        <v>236401.63968254</v>
      </c>
      <c r="H256" s="71" t="n">
        <f aca="false">H254+H255</f>
        <v>243114.550396825</v>
      </c>
      <c r="I256" s="71" t="n">
        <f aca="false">I254+I255</f>
        <v>249834.483333333</v>
      </c>
      <c r="J256" s="71" t="n">
        <f aca="false">J254+J255</f>
        <v>256561.438492064</v>
      </c>
      <c r="K256" s="71" t="n">
        <f aca="false">K254+K255</f>
        <v>263295.415873016</v>
      </c>
      <c r="L256" s="71" t="n">
        <f aca="false">L254+L255</f>
        <v>270036.415476191</v>
      </c>
      <c r="M256" s="71" t="n">
        <f aca="false">M254+M255</f>
        <v>276784.437301587</v>
      </c>
      <c r="N256" s="71" t="n">
        <f aca="false">N254+N255</f>
        <v>283539.481349206</v>
      </c>
      <c r="O256" s="71" t="n">
        <f aca="false">O254+O255</f>
        <v>294225.738799048</v>
      </c>
      <c r="P256" s="71" t="n">
        <f aca="false">P254+P255</f>
        <v>304035.254471111</v>
      </c>
      <c r="Q256" s="71" t="n">
        <f aca="false">Q254+Q255</f>
        <v>313851.792365397</v>
      </c>
      <c r="R256" s="71" t="n">
        <f aca="false">R254+R255</f>
        <v>323675.352481905</v>
      </c>
      <c r="S256" s="71" t="n">
        <f aca="false">S254+S255</f>
        <v>333505.934820635</v>
      </c>
      <c r="T256" s="71" t="n">
        <f aca="false">T254+T255</f>
        <v>343343.539381587</v>
      </c>
      <c r="U256" s="71" t="n">
        <f aca="false">U254+U255</f>
        <v>353188.166164762</v>
      </c>
      <c r="V256" s="71" t="n">
        <f aca="false">V254+V255</f>
        <v>363039.815170159</v>
      </c>
      <c r="W256" s="71" t="n">
        <f aca="false">W254+W255</f>
        <v>372898.486397778</v>
      </c>
      <c r="X256" s="71" t="n">
        <f aca="false">X254+X255</f>
        <v>382764.179847619</v>
      </c>
      <c r="Y256" s="71" t="n">
        <f aca="false">Y254+Y255</f>
        <v>392636.895519683</v>
      </c>
      <c r="Z256" s="71" t="n">
        <f aca="false">Z254+Z255</f>
        <v>402516.633413968</v>
      </c>
      <c r="AA256" s="71" t="n">
        <f aca="false">AA254+AA255</f>
        <v>416883.022847324</v>
      </c>
      <c r="AB256" s="71" t="n">
        <f aca="false">AB254+AB255</f>
        <v>430254.599632502</v>
      </c>
      <c r="AC256" s="71" t="n">
        <f aca="false">AC254+AC255</f>
        <v>443633.198639903</v>
      </c>
      <c r="AD256" s="71" t="n">
        <f aca="false">AD254+AD255</f>
        <v>457018.819869525</v>
      </c>
      <c r="AE256" s="71" t="n">
        <f aca="false">AE254+AE255</f>
        <v>470411.46332137</v>
      </c>
      <c r="AF256" s="71" t="n">
        <f aca="false">AF254+AF255</f>
        <v>483811.128995437</v>
      </c>
      <c r="AG256" s="71" t="n">
        <f aca="false">AG254+AG255</f>
        <v>497217.816891727</v>
      </c>
      <c r="AH256" s="71" t="n">
        <f aca="false">AH254+AH255</f>
        <v>510631.527010238</v>
      </c>
      <c r="AI256" s="71" t="n">
        <f aca="false">AI254+AI255</f>
        <v>524052.259350972</v>
      </c>
      <c r="AJ256" s="71" t="n">
        <f aca="false">AJ254+AJ255</f>
        <v>537480.013913928</v>
      </c>
      <c r="AK256" s="71" t="n">
        <f aca="false">AK254+AK255</f>
        <v>550914.790699106</v>
      </c>
      <c r="AL256" s="71" t="n">
        <f aca="false">AL254+AL255</f>
        <v>564356.589706506</v>
      </c>
      <c r="AM256" s="71" t="n">
        <f aca="false">AM254+AM255</f>
        <v>582915.619910764</v>
      </c>
      <c r="AN256" s="71" t="n">
        <f aca="false">AN254+AN255</f>
        <v>600345.992328158</v>
      </c>
      <c r="AO256" s="71" t="n">
        <f aca="false">AO254+AO255</f>
        <v>617783.386967775</v>
      </c>
      <c r="AP256" s="71" t="n">
        <f aca="false">AP254+AP255</f>
        <v>635227.803829613</v>
      </c>
      <c r="AQ256" s="71" t="n">
        <f aca="false">AQ254+AQ255</f>
        <v>652679.242913674</v>
      </c>
      <c r="AR256" s="71" t="n">
        <f aca="false">AR254+AR255</f>
        <v>670137.704219957</v>
      </c>
      <c r="AS256" s="71" t="n">
        <f aca="false">AS254+AS255</f>
        <v>687603.187748463</v>
      </c>
      <c r="AT256" s="71" t="n">
        <f aca="false">AT254+AT255</f>
        <v>705075.69349919</v>
      </c>
      <c r="AU256" s="71" t="n">
        <f aca="false">AU254+AU255</f>
        <v>722555.22147214</v>
      </c>
      <c r="AV256" s="71" t="n">
        <f aca="false">AV254+AV255</f>
        <v>740041.771667312</v>
      </c>
      <c r="AW256" s="71" t="n">
        <f aca="false">AW254+AW255</f>
        <v>757535.344084707</v>
      </c>
      <c r="AX256" s="71" t="n">
        <f aca="false">AX254+AX255</f>
        <v>775035.938724323</v>
      </c>
      <c r="AY256" s="71" t="n">
        <f aca="false">AY254+AY255</f>
        <v>798369.552696296</v>
      </c>
      <c r="AZ256" s="71" t="n">
        <f aca="false">AZ254+AZ255</f>
        <v>820422.782032191</v>
      </c>
      <c r="BA256" s="71" t="n">
        <f aca="false">BA254+BA255</f>
        <v>842483.033590309</v>
      </c>
      <c r="BB256" s="71" t="n">
        <f aca="false">BB254+BB255</f>
        <v>864550.307370649</v>
      </c>
      <c r="BC256" s="71" t="n">
        <f aca="false">BC254+BC255</f>
        <v>886624.603373211</v>
      </c>
      <c r="BD256" s="71" t="n">
        <f aca="false">BD254+BD255</f>
        <v>908705.921597995</v>
      </c>
      <c r="BE256" s="71" t="n">
        <f aca="false">BE254+BE255</f>
        <v>930794.262045002</v>
      </c>
      <c r="BF256" s="71" t="n">
        <f aca="false">BF254+BF255</f>
        <v>952889.624714231</v>
      </c>
      <c r="BG256" s="71" t="n">
        <f aca="false">BG254+BG255</f>
        <v>974992.009605682</v>
      </c>
      <c r="BH256" s="71" t="n">
        <f aca="false">BH254+BH255</f>
        <v>997101.416719355</v>
      </c>
      <c r="BI256" s="71" t="n">
        <f aca="false">BI254+BI255</f>
        <v>1019217.84605525</v>
      </c>
      <c r="BJ256" s="71" t="n">
        <f aca="false">BJ254+BJ255</f>
        <v>1041341.29761337</v>
      </c>
    </row>
    <row r="257" customFormat="false" ht="15" hidden="false" customHeight="false" outlineLevel="0" collapsed="false">
      <c r="A257" s="6" t="s">
        <v>386</v>
      </c>
      <c r="C257" s="65" t="n">
        <f aca="false">C253-C256</f>
        <v>0</v>
      </c>
      <c r="D257" s="65" t="n">
        <f aca="false">D253-D256</f>
        <v>0</v>
      </c>
      <c r="E257" s="65" t="n">
        <f aca="false">E253-E256</f>
        <v>0</v>
      </c>
      <c r="F257" s="65" t="n">
        <f aca="false">F253-F256</f>
        <v>0</v>
      </c>
      <c r="G257" s="65" t="n">
        <f aca="false">G253-G256</f>
        <v>0</v>
      </c>
      <c r="H257" s="65" t="n">
        <f aca="false">H253-H256</f>
        <v>0</v>
      </c>
      <c r="I257" s="65" t="n">
        <f aca="false">I253-I256</f>
        <v>0</v>
      </c>
      <c r="J257" s="65" t="n">
        <f aca="false">J253-J256</f>
        <v>0</v>
      </c>
      <c r="K257" s="65" t="n">
        <f aca="false">K253-K256</f>
        <v>0</v>
      </c>
      <c r="L257" s="65" t="n">
        <f aca="false">L253-L256</f>
        <v>0</v>
      </c>
      <c r="M257" s="65" t="n">
        <f aca="false">M253-M256</f>
        <v>0</v>
      </c>
      <c r="N257" s="65" t="n">
        <f aca="false">N253-N256</f>
        <v>0</v>
      </c>
      <c r="O257" s="65" t="n">
        <f aca="false">O253-O256</f>
        <v>0</v>
      </c>
      <c r="P257" s="65" t="n">
        <f aca="false">P253-P256</f>
        <v>0</v>
      </c>
      <c r="Q257" s="65" t="n">
        <f aca="false">Q253-Q256</f>
        <v>0</v>
      </c>
      <c r="R257" s="65" t="n">
        <f aca="false">R253-R256</f>
        <v>0</v>
      </c>
      <c r="S257" s="65" t="n">
        <f aca="false">S253-S256</f>
        <v>0</v>
      </c>
      <c r="T257" s="65" t="n">
        <f aca="false">T253-T256</f>
        <v>0</v>
      </c>
      <c r="U257" s="65" t="n">
        <f aca="false">U253-U256</f>
        <v>0</v>
      </c>
      <c r="V257" s="65" t="n">
        <f aca="false">V253-V256</f>
        <v>0</v>
      </c>
      <c r="W257" s="65" t="n">
        <f aca="false">W253-W256</f>
        <v>0</v>
      </c>
      <c r="X257" s="65" t="n">
        <f aca="false">X253-X256</f>
        <v>0</v>
      </c>
      <c r="Y257" s="65" t="n">
        <f aca="false">Y253-Y256</f>
        <v>0</v>
      </c>
      <c r="Z257" s="65" t="n">
        <f aca="false">Z253-Z256</f>
        <v>0</v>
      </c>
      <c r="AA257" s="65" t="n">
        <f aca="false">AA253-AA256</f>
        <v>0</v>
      </c>
      <c r="AB257" s="65" t="n">
        <f aca="false">AB253-AB256</f>
        <v>0</v>
      </c>
      <c r="AC257" s="65" t="n">
        <f aca="false">AC253-AC256</f>
        <v>0</v>
      </c>
      <c r="AD257" s="65" t="n">
        <f aca="false">AD253-AD256</f>
        <v>0</v>
      </c>
      <c r="AE257" s="65" t="n">
        <f aca="false">AE253-AE256</f>
        <v>0</v>
      </c>
      <c r="AF257" s="65" t="n">
        <f aca="false">AF253-AF256</f>
        <v>0</v>
      </c>
      <c r="AG257" s="65" t="n">
        <f aca="false">AG253-AG256</f>
        <v>0</v>
      </c>
      <c r="AH257" s="65" t="n">
        <f aca="false">AH253-AH256</f>
        <v>0</v>
      </c>
      <c r="AI257" s="65" t="n">
        <f aca="false">AI253-AI256</f>
        <v>0</v>
      </c>
      <c r="AJ257" s="65" t="n">
        <f aca="false">AJ253-AJ256</f>
        <v>0</v>
      </c>
      <c r="AK257" s="65" t="n">
        <f aca="false">AK253-AK256</f>
        <v>0</v>
      </c>
      <c r="AL257" s="65" t="n">
        <f aca="false">AL253-AL256</f>
        <v>0</v>
      </c>
      <c r="AM257" s="65" t="n">
        <f aca="false">AM253-AM256</f>
        <v>0</v>
      </c>
      <c r="AN257" s="65" t="n">
        <f aca="false">AN253-AN256</f>
        <v>0</v>
      </c>
      <c r="AO257" s="65" t="n">
        <f aca="false">AO253-AO256</f>
        <v>0</v>
      </c>
      <c r="AP257" s="65" t="n">
        <f aca="false">AP253-AP256</f>
        <v>0</v>
      </c>
      <c r="AQ257" s="65" t="n">
        <f aca="false">AQ253-AQ256</f>
        <v>0</v>
      </c>
      <c r="AR257" s="65" t="n">
        <f aca="false">AR253-AR256</f>
        <v>0</v>
      </c>
      <c r="AS257" s="65" t="n">
        <f aca="false">AS253-AS256</f>
        <v>0</v>
      </c>
      <c r="AT257" s="65" t="n">
        <f aca="false">AT253-AT256</f>
        <v>0</v>
      </c>
      <c r="AU257" s="65" t="n">
        <f aca="false">AU253-AU256</f>
        <v>0</v>
      </c>
      <c r="AV257" s="65" t="n">
        <f aca="false">AV253-AV256</f>
        <v>0</v>
      </c>
      <c r="AW257" s="65" t="n">
        <f aca="false">AW253-AW256</f>
        <v>0</v>
      </c>
      <c r="AX257" s="65" t="n">
        <f aca="false">AX253-AX256</f>
        <v>0</v>
      </c>
      <c r="AY257" s="65" t="n">
        <f aca="false">AY253-AY256</f>
        <v>0</v>
      </c>
      <c r="AZ257" s="65" t="n">
        <f aca="false">AZ253-AZ256</f>
        <v>0</v>
      </c>
      <c r="BA257" s="65" t="n">
        <f aca="false">BA253-BA256</f>
        <v>0</v>
      </c>
      <c r="BB257" s="65" t="n">
        <f aca="false">BB253-BB256</f>
        <v>0</v>
      </c>
      <c r="BC257" s="65" t="n">
        <f aca="false">BC253-BC256</f>
        <v>0</v>
      </c>
      <c r="BD257" s="65" t="n">
        <f aca="false">BD253-BD256</f>
        <v>0</v>
      </c>
      <c r="BE257" s="65" t="n">
        <f aca="false">BE253-BE256</f>
        <v>0</v>
      </c>
      <c r="BF257" s="65" t="n">
        <f aca="false">BF253-BF256</f>
        <v>0</v>
      </c>
      <c r="BG257" s="65" t="n">
        <f aca="false">BG253-BG256</f>
        <v>0</v>
      </c>
      <c r="BH257" s="65" t="n">
        <f aca="false">BH253-BH256</f>
        <v>0</v>
      </c>
      <c r="BI257" s="65" t="n">
        <f aca="false">BI253-BI256</f>
        <v>0</v>
      </c>
      <c r="BJ257" s="65" t="n">
        <f aca="false">BJ253-BJ256</f>
        <v>0</v>
      </c>
    </row>
    <row r="259" customFormat="false" ht="15.75" hidden="false" customHeight="true" outlineLevel="0" collapsed="false">
      <c r="A259" s="7" t="s">
        <v>388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389</v>
      </c>
      <c r="C260" s="111" t="n">
        <f aca="false">Inputs!$D$21*(1+Inputs!$D$23)^(C$183-1)*MAX(0,MIN(1,C$182*1-Inputs!$D$24+1))/1</f>
        <v>4</v>
      </c>
      <c r="D260" s="111" t="n">
        <f aca="false">Inputs!$D$21*(1+Inputs!$D$23)^(D$183-1)*MAX(0,MIN(1,D$182*1-Inputs!$D$24+1))/1</f>
        <v>4</v>
      </c>
      <c r="E260" s="111" t="n">
        <f aca="false">Inputs!$D$21*(1+Inputs!$D$23)^(E$183-1)*MAX(0,MIN(1,E$182*1-Inputs!$D$24+1))/1</f>
        <v>4</v>
      </c>
      <c r="F260" s="111" t="n">
        <f aca="false">Inputs!$D$21*(1+Inputs!$D$23)^(F$183-1)*MAX(0,MIN(1,F$182*1-Inputs!$D$24+1))/1</f>
        <v>4</v>
      </c>
      <c r="G260" s="111" t="n">
        <f aca="false">Inputs!$D$21*(1+Inputs!$D$23)^(G$183-1)*MAX(0,MIN(1,G$182*1-Inputs!$D$24+1))/1</f>
        <v>4</v>
      </c>
      <c r="H260" s="111" t="n">
        <f aca="false">Inputs!$D$21*(1+Inputs!$D$23)^(H$183-1)*MAX(0,MIN(1,H$182*1-Inputs!$D$24+1))/1</f>
        <v>4</v>
      </c>
      <c r="I260" s="111" t="n">
        <f aca="false">Inputs!$D$21*(1+Inputs!$D$23)^(I$183-1)*MAX(0,MIN(1,I$182*1-Inputs!$D$24+1))/1</f>
        <v>4</v>
      </c>
      <c r="J260" s="111" t="n">
        <f aca="false">Inputs!$D$21*(1+Inputs!$D$23)^(J$183-1)*MAX(0,MIN(1,J$182*1-Inputs!$D$24+1))/1</f>
        <v>4</v>
      </c>
      <c r="K260" s="111" t="n">
        <f aca="false">Inputs!$D$21*(1+Inputs!$D$23)^(K$183-1)*MAX(0,MIN(1,K$182*1-Inputs!$D$24+1))/1</f>
        <v>4</v>
      </c>
      <c r="L260" s="111" t="n">
        <f aca="false">Inputs!$D$21*(1+Inputs!$D$23)^(L$183-1)*MAX(0,MIN(1,L$182*1-Inputs!$D$24+1))/1</f>
        <v>4</v>
      </c>
      <c r="M260" s="111" t="n">
        <f aca="false">Inputs!$D$21*(1+Inputs!$D$23)^(M$183-1)*MAX(0,MIN(1,M$182*1-Inputs!$D$24+1))/1</f>
        <v>4</v>
      </c>
      <c r="N260" s="111" t="n">
        <f aca="false">Inputs!$D$21*(1+Inputs!$D$23)^(N$183-1)*MAX(0,MIN(1,N$182*1-Inputs!$D$24+1))/1</f>
        <v>4</v>
      </c>
      <c r="O260" s="111" t="n">
        <f aca="false">Inputs!$D$21*(1+Inputs!$D$23)^(O$183-1)*MAX(0,MIN(1,O$182*1-Inputs!$D$24+1))/1</f>
        <v>4</v>
      </c>
      <c r="P260" s="111" t="n">
        <f aca="false">Inputs!$D$21*(1+Inputs!$D$23)^(P$183-1)*MAX(0,MIN(1,P$182*1-Inputs!$D$24+1))/1</f>
        <v>4</v>
      </c>
      <c r="Q260" s="111" t="n">
        <f aca="false">Inputs!$D$21*(1+Inputs!$D$23)^(Q$183-1)*MAX(0,MIN(1,Q$182*1-Inputs!$D$24+1))/1</f>
        <v>4</v>
      </c>
      <c r="R260" s="111" t="n">
        <f aca="false">Inputs!$D$21*(1+Inputs!$D$23)^(R$183-1)*MAX(0,MIN(1,R$182*1-Inputs!$D$24+1))/1</f>
        <v>4</v>
      </c>
      <c r="S260" s="111" t="n">
        <f aca="false">Inputs!$D$21*(1+Inputs!$D$23)^(S$183-1)*MAX(0,MIN(1,S$182*1-Inputs!$D$24+1))/1</f>
        <v>4</v>
      </c>
      <c r="T260" s="111" t="n">
        <f aca="false">Inputs!$D$21*(1+Inputs!$D$23)^(T$183-1)*MAX(0,MIN(1,T$182*1-Inputs!$D$24+1))/1</f>
        <v>4</v>
      </c>
      <c r="U260" s="111" t="n">
        <f aca="false">Inputs!$D$21*(1+Inputs!$D$23)^(U$183-1)*MAX(0,MIN(1,U$182*1-Inputs!$D$24+1))/1</f>
        <v>4</v>
      </c>
      <c r="V260" s="111" t="n">
        <f aca="false">Inputs!$D$21*(1+Inputs!$D$23)^(V$183-1)*MAX(0,MIN(1,V$182*1-Inputs!$D$24+1))/1</f>
        <v>4</v>
      </c>
      <c r="W260" s="111" t="n">
        <f aca="false">Inputs!$D$21*(1+Inputs!$D$23)^(W$183-1)*MAX(0,MIN(1,W$182*1-Inputs!$D$24+1))/1</f>
        <v>4</v>
      </c>
      <c r="X260" s="111" t="n">
        <f aca="false">Inputs!$D$21*(1+Inputs!$D$23)^(X$183-1)*MAX(0,MIN(1,X$182*1-Inputs!$D$24+1))/1</f>
        <v>4</v>
      </c>
      <c r="Y260" s="111" t="n">
        <f aca="false">Inputs!$D$21*(1+Inputs!$D$23)^(Y$183-1)*MAX(0,MIN(1,Y$182*1-Inputs!$D$24+1))/1</f>
        <v>4</v>
      </c>
      <c r="Z260" s="111" t="n">
        <f aca="false">Inputs!$D$21*(1+Inputs!$D$23)^(Z$183-1)*MAX(0,MIN(1,Z$182*1-Inputs!$D$24+1))/1</f>
        <v>4</v>
      </c>
      <c r="AA260" s="111" t="n">
        <f aca="false">Inputs!$D$21*(1+Inputs!$D$23)^(AA$183-1)*MAX(0,MIN(1,AA$182*1-Inputs!$D$24+1))/1</f>
        <v>4</v>
      </c>
      <c r="AB260" s="111" t="n">
        <f aca="false">Inputs!$D$21*(1+Inputs!$D$23)^(AB$183-1)*MAX(0,MIN(1,AB$182*1-Inputs!$D$24+1))/1</f>
        <v>4</v>
      </c>
      <c r="AC260" s="111" t="n">
        <f aca="false">Inputs!$D$21*(1+Inputs!$D$23)^(AC$183-1)*MAX(0,MIN(1,AC$182*1-Inputs!$D$24+1))/1</f>
        <v>4</v>
      </c>
      <c r="AD260" s="111" t="n">
        <f aca="false">Inputs!$D$21*(1+Inputs!$D$23)^(AD$183-1)*MAX(0,MIN(1,AD$182*1-Inputs!$D$24+1))/1</f>
        <v>4</v>
      </c>
      <c r="AE260" s="111" t="n">
        <f aca="false">Inputs!$D$21*(1+Inputs!$D$23)^(AE$183-1)*MAX(0,MIN(1,AE$182*1-Inputs!$D$24+1))/1</f>
        <v>4</v>
      </c>
      <c r="AF260" s="111" t="n">
        <f aca="false">Inputs!$D$21*(1+Inputs!$D$23)^(AF$183-1)*MAX(0,MIN(1,AF$182*1-Inputs!$D$24+1))/1</f>
        <v>4</v>
      </c>
      <c r="AG260" s="111" t="n">
        <f aca="false">Inputs!$D$21*(1+Inputs!$D$23)^(AG$183-1)*MAX(0,MIN(1,AG$182*1-Inputs!$D$24+1))/1</f>
        <v>4</v>
      </c>
      <c r="AH260" s="111" t="n">
        <f aca="false">Inputs!$D$21*(1+Inputs!$D$23)^(AH$183-1)*MAX(0,MIN(1,AH$182*1-Inputs!$D$24+1))/1</f>
        <v>4</v>
      </c>
      <c r="AI260" s="111" t="n">
        <f aca="false">Inputs!$D$21*(1+Inputs!$D$23)^(AI$183-1)*MAX(0,MIN(1,AI$182*1-Inputs!$D$24+1))/1</f>
        <v>4</v>
      </c>
      <c r="AJ260" s="111" t="n">
        <f aca="false">Inputs!$D$21*(1+Inputs!$D$23)^(AJ$183-1)*MAX(0,MIN(1,AJ$182*1-Inputs!$D$24+1))/1</f>
        <v>4</v>
      </c>
      <c r="AK260" s="111" t="n">
        <f aca="false">Inputs!$D$21*(1+Inputs!$D$23)^(AK$183-1)*MAX(0,MIN(1,AK$182*1-Inputs!$D$24+1))/1</f>
        <v>4</v>
      </c>
      <c r="AL260" s="111" t="n">
        <f aca="false">Inputs!$D$21*(1+Inputs!$D$23)^(AL$183-1)*MAX(0,MIN(1,AL$182*1-Inputs!$D$24+1))/1</f>
        <v>4</v>
      </c>
      <c r="AM260" s="111" t="n">
        <f aca="false">Inputs!$D$21*(1+Inputs!$D$23)^(AM$183-1)*MAX(0,MIN(1,AM$182*1-Inputs!$D$24+1))/1</f>
        <v>4</v>
      </c>
      <c r="AN260" s="111" t="n">
        <f aca="false">Inputs!$D$21*(1+Inputs!$D$23)^(AN$183-1)*MAX(0,MIN(1,AN$182*1-Inputs!$D$24+1))/1</f>
        <v>4</v>
      </c>
      <c r="AO260" s="111" t="n">
        <f aca="false">Inputs!$D$21*(1+Inputs!$D$23)^(AO$183-1)*MAX(0,MIN(1,AO$182*1-Inputs!$D$24+1))/1</f>
        <v>4</v>
      </c>
      <c r="AP260" s="111" t="n">
        <f aca="false">Inputs!$D$21*(1+Inputs!$D$23)^(AP$183-1)*MAX(0,MIN(1,AP$182*1-Inputs!$D$24+1))/1</f>
        <v>4</v>
      </c>
      <c r="AQ260" s="111" t="n">
        <f aca="false">Inputs!$D$21*(1+Inputs!$D$23)^(AQ$183-1)*MAX(0,MIN(1,AQ$182*1-Inputs!$D$24+1))/1</f>
        <v>4</v>
      </c>
      <c r="AR260" s="111" t="n">
        <f aca="false">Inputs!$D$21*(1+Inputs!$D$23)^(AR$183-1)*MAX(0,MIN(1,AR$182*1-Inputs!$D$24+1))/1</f>
        <v>4</v>
      </c>
      <c r="AS260" s="111" t="n">
        <f aca="false">Inputs!$D$21*(1+Inputs!$D$23)^(AS$183-1)*MAX(0,MIN(1,AS$182*1-Inputs!$D$24+1))/1</f>
        <v>4</v>
      </c>
      <c r="AT260" s="111" t="n">
        <f aca="false">Inputs!$D$21*(1+Inputs!$D$23)^(AT$183-1)*MAX(0,MIN(1,AT$182*1-Inputs!$D$24+1))/1</f>
        <v>4</v>
      </c>
      <c r="AU260" s="111" t="n">
        <f aca="false">Inputs!$D$21*(1+Inputs!$D$23)^(AU$183-1)*MAX(0,MIN(1,AU$182*1-Inputs!$D$24+1))/1</f>
        <v>4</v>
      </c>
      <c r="AV260" s="111" t="n">
        <f aca="false">Inputs!$D$21*(1+Inputs!$D$23)^(AV$183-1)*MAX(0,MIN(1,AV$182*1-Inputs!$D$24+1))/1</f>
        <v>4</v>
      </c>
      <c r="AW260" s="111" t="n">
        <f aca="false">Inputs!$D$21*(1+Inputs!$D$23)^(AW$183-1)*MAX(0,MIN(1,AW$182*1-Inputs!$D$24+1))/1</f>
        <v>4</v>
      </c>
      <c r="AX260" s="111" t="n">
        <f aca="false">Inputs!$D$21*(1+Inputs!$D$23)^(AX$183-1)*MAX(0,MIN(1,AX$182*1-Inputs!$D$24+1))/1</f>
        <v>4</v>
      </c>
      <c r="AY260" s="111" t="n">
        <f aca="false">Inputs!$D$21*(1+Inputs!$D$23)^(AY$183-1)*MAX(0,MIN(1,AY$182*1-Inputs!$D$24+1))/1</f>
        <v>4</v>
      </c>
      <c r="AZ260" s="111" t="n">
        <f aca="false">Inputs!$D$21*(1+Inputs!$D$23)^(AZ$183-1)*MAX(0,MIN(1,AZ$182*1-Inputs!$D$24+1))/1</f>
        <v>4</v>
      </c>
      <c r="BA260" s="111" t="n">
        <f aca="false">Inputs!$D$21*(1+Inputs!$D$23)^(BA$183-1)*MAX(0,MIN(1,BA$182*1-Inputs!$D$24+1))/1</f>
        <v>4</v>
      </c>
      <c r="BB260" s="111" t="n">
        <f aca="false">Inputs!$D$21*(1+Inputs!$D$23)^(BB$183-1)*MAX(0,MIN(1,BB$182*1-Inputs!$D$24+1))/1</f>
        <v>4</v>
      </c>
      <c r="BC260" s="111" t="n">
        <f aca="false">Inputs!$D$21*(1+Inputs!$D$23)^(BC$183-1)*MAX(0,MIN(1,BC$182*1-Inputs!$D$24+1))/1</f>
        <v>4</v>
      </c>
      <c r="BD260" s="111" t="n">
        <f aca="false">Inputs!$D$21*(1+Inputs!$D$23)^(BD$183-1)*MAX(0,MIN(1,BD$182*1-Inputs!$D$24+1))/1</f>
        <v>4</v>
      </c>
      <c r="BE260" s="111" t="n">
        <f aca="false">Inputs!$D$21*(1+Inputs!$D$23)^(BE$183-1)*MAX(0,MIN(1,BE$182*1-Inputs!$D$24+1))/1</f>
        <v>4</v>
      </c>
      <c r="BF260" s="111" t="n">
        <f aca="false">Inputs!$D$21*(1+Inputs!$D$23)^(BF$183-1)*MAX(0,MIN(1,BF$182*1-Inputs!$D$24+1))/1</f>
        <v>4</v>
      </c>
      <c r="BG260" s="111" t="n">
        <f aca="false">Inputs!$D$21*(1+Inputs!$D$23)^(BG$183-1)*MAX(0,MIN(1,BG$182*1-Inputs!$D$24+1))/1</f>
        <v>4</v>
      </c>
      <c r="BH260" s="111" t="n">
        <f aca="false">Inputs!$D$21*(1+Inputs!$D$23)^(BH$183-1)*MAX(0,MIN(1,BH$182*1-Inputs!$D$24+1))/1</f>
        <v>4</v>
      </c>
      <c r="BI260" s="111" t="n">
        <f aca="false">Inputs!$D$21*(1+Inputs!$D$23)^(BI$183-1)*MAX(0,MIN(1,BI$182*1-Inputs!$D$24+1))/1</f>
        <v>4</v>
      </c>
      <c r="BJ260" s="111" t="n">
        <f aca="false">Inputs!$D$21*(1+Inputs!$D$23)^(BJ$183-1)*MAX(0,MIN(1,BJ$182*1-Inputs!$D$24+1))/1</f>
        <v>4</v>
      </c>
    </row>
    <row r="261" customFormat="false" ht="15" hidden="false" customHeight="false" outlineLevel="0" collapsed="false">
      <c r="A261" s="108" t="s">
        <v>390</v>
      </c>
      <c r="C261" s="115" t="n">
        <f aca="false">C260</f>
        <v>4</v>
      </c>
      <c r="D261" s="115" t="n">
        <f aca="false">D260</f>
        <v>4</v>
      </c>
      <c r="E261" s="115" t="n">
        <f aca="false">E260</f>
        <v>4</v>
      </c>
      <c r="F261" s="115" t="n">
        <f aca="false">F260</f>
        <v>4</v>
      </c>
      <c r="G261" s="115" t="n">
        <f aca="false">G260</f>
        <v>4</v>
      </c>
      <c r="H261" s="115" t="n">
        <f aca="false">H260</f>
        <v>4</v>
      </c>
      <c r="I261" s="115" t="n">
        <f aca="false">I260</f>
        <v>4</v>
      </c>
      <c r="J261" s="115" t="n">
        <f aca="false">J260</f>
        <v>4</v>
      </c>
      <c r="K261" s="115" t="n">
        <f aca="false">K260</f>
        <v>4</v>
      </c>
      <c r="L261" s="115" t="n">
        <f aca="false">L260</f>
        <v>4</v>
      </c>
      <c r="M261" s="115" t="n">
        <f aca="false">M260</f>
        <v>4</v>
      </c>
      <c r="N261" s="115" t="n">
        <f aca="false">N260</f>
        <v>4</v>
      </c>
      <c r="O261" s="115" t="n">
        <f aca="false">O260</f>
        <v>4</v>
      </c>
      <c r="P261" s="115" t="n">
        <f aca="false">P260</f>
        <v>4</v>
      </c>
      <c r="Q261" s="115" t="n">
        <f aca="false">Q260</f>
        <v>4</v>
      </c>
      <c r="R261" s="115" t="n">
        <f aca="false">R260</f>
        <v>4</v>
      </c>
      <c r="S261" s="115" t="n">
        <f aca="false">S260</f>
        <v>4</v>
      </c>
      <c r="T261" s="115" t="n">
        <f aca="false">T260</f>
        <v>4</v>
      </c>
      <c r="U261" s="115" t="n">
        <f aca="false">U260</f>
        <v>4</v>
      </c>
      <c r="V261" s="115" t="n">
        <f aca="false">V260</f>
        <v>4</v>
      </c>
      <c r="W261" s="115" t="n">
        <f aca="false">W260</f>
        <v>4</v>
      </c>
      <c r="X261" s="115" t="n">
        <f aca="false">X260</f>
        <v>4</v>
      </c>
      <c r="Y261" s="115" t="n">
        <f aca="false">Y260</f>
        <v>4</v>
      </c>
      <c r="Z261" s="115" t="n">
        <f aca="false">Z260</f>
        <v>4</v>
      </c>
      <c r="AA261" s="115" t="n">
        <f aca="false">AA260</f>
        <v>4</v>
      </c>
      <c r="AB261" s="115" t="n">
        <f aca="false">AB260</f>
        <v>4</v>
      </c>
      <c r="AC261" s="115" t="n">
        <f aca="false">AC260</f>
        <v>4</v>
      </c>
      <c r="AD261" s="115" t="n">
        <f aca="false">AD260</f>
        <v>4</v>
      </c>
      <c r="AE261" s="115" t="n">
        <f aca="false">AE260</f>
        <v>4</v>
      </c>
      <c r="AF261" s="115" t="n">
        <f aca="false">AF260</f>
        <v>4</v>
      </c>
      <c r="AG261" s="115" t="n">
        <f aca="false">AG260</f>
        <v>4</v>
      </c>
      <c r="AH261" s="115" t="n">
        <f aca="false">AH260</f>
        <v>4</v>
      </c>
      <c r="AI261" s="115" t="n">
        <f aca="false">AI260</f>
        <v>4</v>
      </c>
      <c r="AJ261" s="115" t="n">
        <f aca="false">AJ260</f>
        <v>4</v>
      </c>
      <c r="AK261" s="115" t="n">
        <f aca="false">AK260</f>
        <v>4</v>
      </c>
      <c r="AL261" s="115" t="n">
        <f aca="false">AL260</f>
        <v>4</v>
      </c>
      <c r="AM261" s="115" t="n">
        <f aca="false">AM260</f>
        <v>4</v>
      </c>
      <c r="AN261" s="115" t="n">
        <f aca="false">AN260</f>
        <v>4</v>
      </c>
      <c r="AO261" s="115" t="n">
        <f aca="false">AO260</f>
        <v>4</v>
      </c>
      <c r="AP261" s="115" t="n">
        <f aca="false">AP260</f>
        <v>4</v>
      </c>
      <c r="AQ261" s="115" t="n">
        <f aca="false">AQ260</f>
        <v>4</v>
      </c>
      <c r="AR261" s="115" t="n">
        <f aca="false">AR260</f>
        <v>4</v>
      </c>
      <c r="AS261" s="115" t="n">
        <f aca="false">AS260</f>
        <v>4</v>
      </c>
      <c r="AT261" s="115" t="n">
        <f aca="false">AT260</f>
        <v>4</v>
      </c>
      <c r="AU261" s="115" t="n">
        <f aca="false">AU260</f>
        <v>4</v>
      </c>
      <c r="AV261" s="115" t="n">
        <f aca="false">AV260</f>
        <v>4</v>
      </c>
      <c r="AW261" s="115" t="n">
        <f aca="false">AW260</f>
        <v>4</v>
      </c>
      <c r="AX261" s="115" t="n">
        <f aca="false">AX260</f>
        <v>4</v>
      </c>
      <c r="AY261" s="115" t="n">
        <f aca="false">AY260</f>
        <v>4</v>
      </c>
      <c r="AZ261" s="115" t="n">
        <f aca="false">AZ260</f>
        <v>4</v>
      </c>
      <c r="BA261" s="115" t="n">
        <f aca="false">BA260</f>
        <v>4</v>
      </c>
      <c r="BB261" s="115" t="n">
        <f aca="false">BB260</f>
        <v>4</v>
      </c>
      <c r="BC261" s="115" t="n">
        <f aca="false">BC260</f>
        <v>4</v>
      </c>
      <c r="BD261" s="115" t="n">
        <f aca="false">BD260</f>
        <v>4</v>
      </c>
      <c r="BE261" s="115" t="n">
        <f aca="false">BE260</f>
        <v>4</v>
      </c>
      <c r="BF261" s="115" t="n">
        <f aca="false">BF260</f>
        <v>4</v>
      </c>
      <c r="BG261" s="115" t="n">
        <f aca="false">BG260</f>
        <v>4</v>
      </c>
      <c r="BH261" s="115" t="n">
        <f aca="false">BH260</f>
        <v>4</v>
      </c>
      <c r="BI261" s="115" t="n">
        <f aca="false">BI260</f>
        <v>4</v>
      </c>
      <c r="BJ261" s="115" t="n">
        <f aca="false">BJ260</f>
        <v>4</v>
      </c>
    </row>
    <row r="263" customFormat="false" ht="15.75" hidden="false" customHeight="true" outlineLevel="0" collapsed="false">
      <c r="A263" s="7" t="s">
        <v>391</v>
      </c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customFormat="false" ht="15" hidden="false" customHeight="false" outlineLevel="0" collapsed="false">
      <c r="A264" s="6" t="s">
        <v>392</v>
      </c>
      <c r="C264" s="65" t="n">
        <f aca="false">-C260*Inputs!$D$22/12*1*(1+Inputs!$D$25)*(1+Inputs!$D$26)^(C$183-1)</f>
        <v>-12693.3333333333</v>
      </c>
      <c r="D264" s="65" t="n">
        <f aca="false">-D260*Inputs!$D$22/12*1*(1+Inputs!$D$25)*(1+Inputs!$D$26)^(D$183-1)</f>
        <v>-12693.3333333333</v>
      </c>
      <c r="E264" s="65" t="n">
        <f aca="false">-E260*Inputs!$D$22/12*1*(1+Inputs!$D$25)*(1+Inputs!$D$26)^(E$183-1)</f>
        <v>-12693.3333333333</v>
      </c>
      <c r="F264" s="65" t="n">
        <f aca="false">-F260*Inputs!$D$22/12*1*(1+Inputs!$D$25)*(1+Inputs!$D$26)^(F$183-1)</f>
        <v>-12693.3333333333</v>
      </c>
      <c r="G264" s="65" t="n">
        <f aca="false">-G260*Inputs!$D$22/12*1*(1+Inputs!$D$25)*(1+Inputs!$D$26)^(G$183-1)</f>
        <v>-12693.3333333333</v>
      </c>
      <c r="H264" s="65" t="n">
        <f aca="false">-H260*Inputs!$D$22/12*1*(1+Inputs!$D$25)*(1+Inputs!$D$26)^(H$183-1)</f>
        <v>-12693.3333333333</v>
      </c>
      <c r="I264" s="65" t="n">
        <f aca="false">-I260*Inputs!$D$22/12*1*(1+Inputs!$D$25)*(1+Inputs!$D$26)^(I$183-1)</f>
        <v>-12693.3333333333</v>
      </c>
      <c r="J264" s="65" t="n">
        <f aca="false">-J260*Inputs!$D$22/12*1*(1+Inputs!$D$25)*(1+Inputs!$D$26)^(J$183-1)</f>
        <v>-12693.3333333333</v>
      </c>
      <c r="K264" s="65" t="n">
        <f aca="false">-K260*Inputs!$D$22/12*1*(1+Inputs!$D$25)*(1+Inputs!$D$26)^(K$183-1)</f>
        <v>-12693.3333333333</v>
      </c>
      <c r="L264" s="65" t="n">
        <f aca="false">-L260*Inputs!$D$22/12*1*(1+Inputs!$D$25)*(1+Inputs!$D$26)^(L$183-1)</f>
        <v>-12693.3333333333</v>
      </c>
      <c r="M264" s="65" t="n">
        <f aca="false">-M260*Inputs!$D$22/12*1*(1+Inputs!$D$25)*(1+Inputs!$D$26)^(M$183-1)</f>
        <v>-12693.3333333333</v>
      </c>
      <c r="N264" s="65" t="n">
        <f aca="false">-N260*Inputs!$D$22/12*1*(1+Inputs!$D$25)*(1+Inputs!$D$26)^(N$183-1)</f>
        <v>-12693.3333333333</v>
      </c>
      <c r="O264" s="65" t="n">
        <f aca="false">-O260*Inputs!$D$22/12*1*(1+Inputs!$D$25)*(1+Inputs!$D$26)^(O$183-1)</f>
        <v>-13074.1333333333</v>
      </c>
      <c r="P264" s="65" t="n">
        <f aca="false">-P260*Inputs!$D$22/12*1*(1+Inputs!$D$25)*(1+Inputs!$D$26)^(P$183-1)</f>
        <v>-13074.1333333333</v>
      </c>
      <c r="Q264" s="65" t="n">
        <f aca="false">-Q260*Inputs!$D$22/12*1*(1+Inputs!$D$25)*(1+Inputs!$D$26)^(Q$183-1)</f>
        <v>-13074.1333333333</v>
      </c>
      <c r="R264" s="65" t="n">
        <f aca="false">-R260*Inputs!$D$22/12*1*(1+Inputs!$D$25)*(1+Inputs!$D$26)^(R$183-1)</f>
        <v>-13074.1333333333</v>
      </c>
      <c r="S264" s="65" t="n">
        <f aca="false">-S260*Inputs!$D$22/12*1*(1+Inputs!$D$25)*(1+Inputs!$D$26)^(S$183-1)</f>
        <v>-13074.1333333333</v>
      </c>
      <c r="T264" s="65" t="n">
        <f aca="false">-T260*Inputs!$D$22/12*1*(1+Inputs!$D$25)*(1+Inputs!$D$26)^(T$183-1)</f>
        <v>-13074.1333333333</v>
      </c>
      <c r="U264" s="65" t="n">
        <f aca="false">-U260*Inputs!$D$22/12*1*(1+Inputs!$D$25)*(1+Inputs!$D$26)^(U$183-1)</f>
        <v>-13074.1333333333</v>
      </c>
      <c r="V264" s="65" t="n">
        <f aca="false">-V260*Inputs!$D$22/12*1*(1+Inputs!$D$25)*(1+Inputs!$D$26)^(V$183-1)</f>
        <v>-13074.1333333333</v>
      </c>
      <c r="W264" s="65" t="n">
        <f aca="false">-W260*Inputs!$D$22/12*1*(1+Inputs!$D$25)*(1+Inputs!$D$26)^(W$183-1)</f>
        <v>-13074.1333333333</v>
      </c>
      <c r="X264" s="65" t="n">
        <f aca="false">-X260*Inputs!$D$22/12*1*(1+Inputs!$D$25)*(1+Inputs!$D$26)^(X$183-1)</f>
        <v>-13074.1333333333</v>
      </c>
      <c r="Y264" s="65" t="n">
        <f aca="false">-Y260*Inputs!$D$22/12*1*(1+Inputs!$D$25)*(1+Inputs!$D$26)^(Y$183-1)</f>
        <v>-13074.1333333333</v>
      </c>
      <c r="Z264" s="65" t="n">
        <f aca="false">-Z260*Inputs!$D$22/12*1*(1+Inputs!$D$25)*(1+Inputs!$D$26)^(Z$183-1)</f>
        <v>-13074.1333333333</v>
      </c>
      <c r="AA264" s="65" t="n">
        <f aca="false">-AA260*Inputs!$D$22/12*1*(1+Inputs!$D$25)*(1+Inputs!$D$26)^(AA$183-1)</f>
        <v>-13466.3573333333</v>
      </c>
      <c r="AB264" s="65" t="n">
        <f aca="false">-AB260*Inputs!$D$22/12*1*(1+Inputs!$D$25)*(1+Inputs!$D$26)^(AB$183-1)</f>
        <v>-13466.3573333333</v>
      </c>
      <c r="AC264" s="65" t="n">
        <f aca="false">-AC260*Inputs!$D$22/12*1*(1+Inputs!$D$25)*(1+Inputs!$D$26)^(AC$183-1)</f>
        <v>-13466.3573333333</v>
      </c>
      <c r="AD264" s="65" t="n">
        <f aca="false">-AD260*Inputs!$D$22/12*1*(1+Inputs!$D$25)*(1+Inputs!$D$26)^(AD$183-1)</f>
        <v>-13466.3573333333</v>
      </c>
      <c r="AE264" s="65" t="n">
        <f aca="false">-AE260*Inputs!$D$22/12*1*(1+Inputs!$D$25)*(1+Inputs!$D$26)^(AE$183-1)</f>
        <v>-13466.3573333333</v>
      </c>
      <c r="AF264" s="65" t="n">
        <f aca="false">-AF260*Inputs!$D$22/12*1*(1+Inputs!$D$25)*(1+Inputs!$D$26)^(AF$183-1)</f>
        <v>-13466.3573333333</v>
      </c>
      <c r="AG264" s="65" t="n">
        <f aca="false">-AG260*Inputs!$D$22/12*1*(1+Inputs!$D$25)*(1+Inputs!$D$26)^(AG$183-1)</f>
        <v>-13466.3573333333</v>
      </c>
      <c r="AH264" s="65" t="n">
        <f aca="false">-AH260*Inputs!$D$22/12*1*(1+Inputs!$D$25)*(1+Inputs!$D$26)^(AH$183-1)</f>
        <v>-13466.3573333333</v>
      </c>
      <c r="AI264" s="65" t="n">
        <f aca="false">-AI260*Inputs!$D$22/12*1*(1+Inputs!$D$25)*(1+Inputs!$D$26)^(AI$183-1)</f>
        <v>-13466.3573333333</v>
      </c>
      <c r="AJ264" s="65" t="n">
        <f aca="false">-AJ260*Inputs!$D$22/12*1*(1+Inputs!$D$25)*(1+Inputs!$D$26)^(AJ$183-1)</f>
        <v>-13466.3573333333</v>
      </c>
      <c r="AK264" s="65" t="n">
        <f aca="false">-AK260*Inputs!$D$22/12*1*(1+Inputs!$D$25)*(1+Inputs!$D$26)^(AK$183-1)</f>
        <v>-13466.3573333333</v>
      </c>
      <c r="AL264" s="65" t="n">
        <f aca="false">-AL260*Inputs!$D$22/12*1*(1+Inputs!$D$25)*(1+Inputs!$D$26)^(AL$183-1)</f>
        <v>-13466.3573333333</v>
      </c>
      <c r="AM264" s="65" t="n">
        <f aca="false">-AM260*Inputs!$D$22/12*1*(1+Inputs!$D$25)*(1+Inputs!$D$26)^(AM$183-1)</f>
        <v>-13870.3480533333</v>
      </c>
      <c r="AN264" s="65" t="n">
        <f aca="false">-AN260*Inputs!$D$22/12*1*(1+Inputs!$D$25)*(1+Inputs!$D$26)^(AN$183-1)</f>
        <v>-13870.3480533333</v>
      </c>
      <c r="AO264" s="65" t="n">
        <f aca="false">-AO260*Inputs!$D$22/12*1*(1+Inputs!$D$25)*(1+Inputs!$D$26)^(AO$183-1)</f>
        <v>-13870.3480533333</v>
      </c>
      <c r="AP264" s="65" t="n">
        <f aca="false">-AP260*Inputs!$D$22/12*1*(1+Inputs!$D$25)*(1+Inputs!$D$26)^(AP$183-1)</f>
        <v>-13870.3480533333</v>
      </c>
      <c r="AQ264" s="65" t="n">
        <f aca="false">-AQ260*Inputs!$D$22/12*1*(1+Inputs!$D$25)*(1+Inputs!$D$26)^(AQ$183-1)</f>
        <v>-13870.3480533333</v>
      </c>
      <c r="AR264" s="65" t="n">
        <f aca="false">-AR260*Inputs!$D$22/12*1*(1+Inputs!$D$25)*(1+Inputs!$D$26)^(AR$183-1)</f>
        <v>-13870.3480533333</v>
      </c>
      <c r="AS264" s="65" t="n">
        <f aca="false">-AS260*Inputs!$D$22/12*1*(1+Inputs!$D$25)*(1+Inputs!$D$26)^(AS$183-1)</f>
        <v>-13870.3480533333</v>
      </c>
      <c r="AT264" s="65" t="n">
        <f aca="false">-AT260*Inputs!$D$22/12*1*(1+Inputs!$D$25)*(1+Inputs!$D$26)^(AT$183-1)</f>
        <v>-13870.3480533333</v>
      </c>
      <c r="AU264" s="65" t="n">
        <f aca="false">-AU260*Inputs!$D$22/12*1*(1+Inputs!$D$25)*(1+Inputs!$D$26)^(AU$183-1)</f>
        <v>-13870.3480533333</v>
      </c>
      <c r="AV264" s="65" t="n">
        <f aca="false">-AV260*Inputs!$D$22/12*1*(1+Inputs!$D$25)*(1+Inputs!$D$26)^(AV$183-1)</f>
        <v>-13870.3480533333</v>
      </c>
      <c r="AW264" s="65" t="n">
        <f aca="false">-AW260*Inputs!$D$22/12*1*(1+Inputs!$D$25)*(1+Inputs!$D$26)^(AW$183-1)</f>
        <v>-13870.3480533333</v>
      </c>
      <c r="AX264" s="65" t="n">
        <f aca="false">-AX260*Inputs!$D$22/12*1*(1+Inputs!$D$25)*(1+Inputs!$D$26)^(AX$183-1)</f>
        <v>-13870.3480533333</v>
      </c>
      <c r="AY264" s="65" t="n">
        <f aca="false">-AY260*Inputs!$D$22/12*1*(1+Inputs!$D$25)*(1+Inputs!$D$26)^(AY$183-1)</f>
        <v>-14286.4584949333</v>
      </c>
      <c r="AZ264" s="65" t="n">
        <f aca="false">-AZ260*Inputs!$D$22/12*1*(1+Inputs!$D$25)*(1+Inputs!$D$26)^(AZ$183-1)</f>
        <v>-14286.4584949333</v>
      </c>
      <c r="BA264" s="65" t="n">
        <f aca="false">-BA260*Inputs!$D$22/12*1*(1+Inputs!$D$25)*(1+Inputs!$D$26)^(BA$183-1)</f>
        <v>-14286.4584949333</v>
      </c>
      <c r="BB264" s="65" t="n">
        <f aca="false">-BB260*Inputs!$D$22/12*1*(1+Inputs!$D$25)*(1+Inputs!$D$26)^(BB$183-1)</f>
        <v>-14286.4584949333</v>
      </c>
      <c r="BC264" s="65" t="n">
        <f aca="false">-BC260*Inputs!$D$22/12*1*(1+Inputs!$D$25)*(1+Inputs!$D$26)^(BC$183-1)</f>
        <v>-14286.4584949333</v>
      </c>
      <c r="BD264" s="65" t="n">
        <f aca="false">-BD260*Inputs!$D$22/12*1*(1+Inputs!$D$25)*(1+Inputs!$D$26)^(BD$183-1)</f>
        <v>-14286.4584949333</v>
      </c>
      <c r="BE264" s="65" t="n">
        <f aca="false">-BE260*Inputs!$D$22/12*1*(1+Inputs!$D$25)*(1+Inputs!$D$26)^(BE$183-1)</f>
        <v>-14286.4584949333</v>
      </c>
      <c r="BF264" s="65" t="n">
        <f aca="false">-BF260*Inputs!$D$22/12*1*(1+Inputs!$D$25)*(1+Inputs!$D$26)^(BF$183-1)</f>
        <v>-14286.4584949333</v>
      </c>
      <c r="BG264" s="65" t="n">
        <f aca="false">-BG260*Inputs!$D$22/12*1*(1+Inputs!$D$25)*(1+Inputs!$D$26)^(BG$183-1)</f>
        <v>-14286.4584949333</v>
      </c>
      <c r="BH264" s="65" t="n">
        <f aca="false">-BH260*Inputs!$D$22/12*1*(1+Inputs!$D$25)*(1+Inputs!$D$26)^(BH$183-1)</f>
        <v>-14286.4584949333</v>
      </c>
      <c r="BI264" s="65" t="n">
        <f aca="false">-BI260*Inputs!$D$22/12*1*(1+Inputs!$D$25)*(1+Inputs!$D$26)^(BI$183-1)</f>
        <v>-14286.4584949333</v>
      </c>
      <c r="BJ264" s="65" t="n">
        <f aca="false">-BJ260*Inputs!$D$22/12*1*(1+Inputs!$D$25)*(1+Inputs!$D$26)^(BJ$183-1)</f>
        <v>-14286.4584949333</v>
      </c>
    </row>
    <row r="265" customFormat="false" ht="15" hidden="false" customHeight="false" outlineLevel="0" collapsed="false">
      <c r="A265" s="108" t="s">
        <v>393</v>
      </c>
      <c r="C265" s="66" t="n">
        <f aca="false">C264</f>
        <v>-12693.3333333333</v>
      </c>
      <c r="D265" s="66" t="n">
        <f aca="false">D264</f>
        <v>-12693.3333333333</v>
      </c>
      <c r="E265" s="66" t="n">
        <f aca="false">E264</f>
        <v>-12693.3333333333</v>
      </c>
      <c r="F265" s="66" t="n">
        <f aca="false">F264</f>
        <v>-12693.3333333333</v>
      </c>
      <c r="G265" s="66" t="n">
        <f aca="false">G264</f>
        <v>-12693.3333333333</v>
      </c>
      <c r="H265" s="66" t="n">
        <f aca="false">H264</f>
        <v>-12693.3333333333</v>
      </c>
      <c r="I265" s="66" t="n">
        <f aca="false">I264</f>
        <v>-12693.3333333333</v>
      </c>
      <c r="J265" s="66" t="n">
        <f aca="false">J264</f>
        <v>-12693.3333333333</v>
      </c>
      <c r="K265" s="66" t="n">
        <f aca="false">K264</f>
        <v>-12693.3333333333</v>
      </c>
      <c r="L265" s="66" t="n">
        <f aca="false">L264</f>
        <v>-12693.3333333333</v>
      </c>
      <c r="M265" s="66" t="n">
        <f aca="false">M264</f>
        <v>-12693.3333333333</v>
      </c>
      <c r="N265" s="66" t="n">
        <f aca="false">N264</f>
        <v>-12693.3333333333</v>
      </c>
      <c r="O265" s="66" t="n">
        <f aca="false">O264</f>
        <v>-13074.1333333333</v>
      </c>
      <c r="P265" s="66" t="n">
        <f aca="false">P264</f>
        <v>-13074.1333333333</v>
      </c>
      <c r="Q265" s="66" t="n">
        <f aca="false">Q264</f>
        <v>-13074.1333333333</v>
      </c>
      <c r="R265" s="66" t="n">
        <f aca="false">R264</f>
        <v>-13074.1333333333</v>
      </c>
      <c r="S265" s="66" t="n">
        <f aca="false">S264</f>
        <v>-13074.1333333333</v>
      </c>
      <c r="T265" s="66" t="n">
        <f aca="false">T264</f>
        <v>-13074.1333333333</v>
      </c>
      <c r="U265" s="66" t="n">
        <f aca="false">U264</f>
        <v>-13074.1333333333</v>
      </c>
      <c r="V265" s="66" t="n">
        <f aca="false">V264</f>
        <v>-13074.1333333333</v>
      </c>
      <c r="W265" s="66" t="n">
        <f aca="false">W264</f>
        <v>-13074.1333333333</v>
      </c>
      <c r="X265" s="66" t="n">
        <f aca="false">X264</f>
        <v>-13074.1333333333</v>
      </c>
      <c r="Y265" s="66" t="n">
        <f aca="false">Y264</f>
        <v>-13074.1333333333</v>
      </c>
      <c r="Z265" s="66" t="n">
        <f aca="false">Z264</f>
        <v>-13074.1333333333</v>
      </c>
      <c r="AA265" s="66" t="n">
        <f aca="false">AA264</f>
        <v>-13466.3573333333</v>
      </c>
      <c r="AB265" s="66" t="n">
        <f aca="false">AB264</f>
        <v>-13466.3573333333</v>
      </c>
      <c r="AC265" s="66" t="n">
        <f aca="false">AC264</f>
        <v>-13466.3573333333</v>
      </c>
      <c r="AD265" s="66" t="n">
        <f aca="false">AD264</f>
        <v>-13466.3573333333</v>
      </c>
      <c r="AE265" s="66" t="n">
        <f aca="false">AE264</f>
        <v>-13466.3573333333</v>
      </c>
      <c r="AF265" s="66" t="n">
        <f aca="false">AF264</f>
        <v>-13466.3573333333</v>
      </c>
      <c r="AG265" s="66" t="n">
        <f aca="false">AG264</f>
        <v>-13466.3573333333</v>
      </c>
      <c r="AH265" s="66" t="n">
        <f aca="false">AH264</f>
        <v>-13466.3573333333</v>
      </c>
      <c r="AI265" s="66" t="n">
        <f aca="false">AI264</f>
        <v>-13466.3573333333</v>
      </c>
      <c r="AJ265" s="66" t="n">
        <f aca="false">AJ264</f>
        <v>-13466.3573333333</v>
      </c>
      <c r="AK265" s="66" t="n">
        <f aca="false">AK264</f>
        <v>-13466.3573333333</v>
      </c>
      <c r="AL265" s="66" t="n">
        <f aca="false">AL264</f>
        <v>-13466.3573333333</v>
      </c>
      <c r="AM265" s="66" t="n">
        <f aca="false">AM264</f>
        <v>-13870.3480533333</v>
      </c>
      <c r="AN265" s="66" t="n">
        <f aca="false">AN264</f>
        <v>-13870.3480533333</v>
      </c>
      <c r="AO265" s="66" t="n">
        <f aca="false">AO264</f>
        <v>-13870.3480533333</v>
      </c>
      <c r="AP265" s="66" t="n">
        <f aca="false">AP264</f>
        <v>-13870.3480533333</v>
      </c>
      <c r="AQ265" s="66" t="n">
        <f aca="false">AQ264</f>
        <v>-13870.3480533333</v>
      </c>
      <c r="AR265" s="66" t="n">
        <f aca="false">AR264</f>
        <v>-13870.3480533333</v>
      </c>
      <c r="AS265" s="66" t="n">
        <f aca="false">AS264</f>
        <v>-13870.3480533333</v>
      </c>
      <c r="AT265" s="66" t="n">
        <f aca="false">AT264</f>
        <v>-13870.3480533333</v>
      </c>
      <c r="AU265" s="66" t="n">
        <f aca="false">AU264</f>
        <v>-13870.3480533333</v>
      </c>
      <c r="AV265" s="66" t="n">
        <f aca="false">AV264</f>
        <v>-13870.3480533333</v>
      </c>
      <c r="AW265" s="66" t="n">
        <f aca="false">AW264</f>
        <v>-13870.3480533333</v>
      </c>
      <c r="AX265" s="66" t="n">
        <f aca="false">AX264</f>
        <v>-13870.3480533333</v>
      </c>
      <c r="AY265" s="66" t="n">
        <f aca="false">AY264</f>
        <v>-14286.4584949333</v>
      </c>
      <c r="AZ265" s="66" t="n">
        <f aca="false">AZ264</f>
        <v>-14286.4584949333</v>
      </c>
      <c r="BA265" s="66" t="n">
        <f aca="false">BA264</f>
        <v>-14286.4584949333</v>
      </c>
      <c r="BB265" s="66" t="n">
        <f aca="false">BB264</f>
        <v>-14286.4584949333</v>
      </c>
      <c r="BC265" s="66" t="n">
        <f aca="false">BC264</f>
        <v>-14286.4584949333</v>
      </c>
      <c r="BD265" s="66" t="n">
        <f aca="false">BD264</f>
        <v>-14286.4584949333</v>
      </c>
      <c r="BE265" s="66" t="n">
        <f aca="false">BE264</f>
        <v>-14286.4584949333</v>
      </c>
      <c r="BF265" s="66" t="n">
        <f aca="false">BF264</f>
        <v>-14286.4584949333</v>
      </c>
      <c r="BG265" s="66" t="n">
        <f aca="false">BG264</f>
        <v>-14286.4584949333</v>
      </c>
      <c r="BH265" s="66" t="n">
        <f aca="false">BH264</f>
        <v>-14286.4584949333</v>
      </c>
      <c r="BI265" s="66" t="n">
        <f aca="false">BI264</f>
        <v>-14286.4584949333</v>
      </c>
      <c r="BJ265" s="66" t="n">
        <f aca="false">BJ264</f>
        <v>-14286.4584949333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399</v>
      </c>
    </row>
    <row r="3" customFormat="false" ht="15" hidden="false" customHeight="false" outlineLevel="0" collapsed="false">
      <c r="A3" s="33" t="s">
        <v>400</v>
      </c>
      <c r="B3" s="33" t="s">
        <v>401</v>
      </c>
      <c r="C3" s="33" t="s">
        <v>402</v>
      </c>
    </row>
    <row r="4" customFormat="false" ht="15" hidden="false" customHeight="false" outlineLevel="0" collapsed="false">
      <c r="A4" s="6" t="s">
        <v>403</v>
      </c>
      <c r="B4" s="4" t="str">
        <f aca="false">IF(ABS(SUM('P&amp;L'!$B$5:$F$5)-SUM(Monthly!$C$12:$BJ$12))&lt;0.5,"PASS","FAIL")</f>
        <v>PASS</v>
      </c>
      <c r="C4" s="18" t="s">
        <v>404</v>
      </c>
    </row>
    <row r="5" customFormat="false" ht="15" hidden="false" customHeight="false" outlineLevel="0" collapsed="false">
      <c r="A5" s="6" t="s">
        <v>405</v>
      </c>
      <c r="B5" s="4" t="str">
        <f aca="false">IF(ABS(SUM('P&amp;L'!$B$21:$F$21)-SUM(Monthly!$C$31:$BJ$31))&lt;0.5,"PASS","FAIL")</f>
        <v>PASS</v>
      </c>
      <c r="C5" s="18" t="s">
        <v>406</v>
      </c>
    </row>
    <row r="6" customFormat="false" ht="15" hidden="false" customHeight="false" outlineLevel="0" collapsed="false">
      <c r="A6" s="6" t="s">
        <v>407</v>
      </c>
      <c r="B6" s="4" t="str">
        <f aca="false">IF(ABS(SUM(Monthly!$C$22:$BJ$22)-SUM(Monthly!$C$14:$BJ$14)-SUM(Monthly!$C$21:$BJ$21))&lt;0.5,"PASS","FAIL")</f>
        <v>PASS</v>
      </c>
      <c r="C6" s="18" t="s">
        <v>408</v>
      </c>
    </row>
    <row r="7" customFormat="false" ht="15" hidden="false" customHeight="false" outlineLevel="0" collapsed="false">
      <c r="A7" s="6" t="s">
        <v>409</v>
      </c>
      <c r="B7" s="4" t="str">
        <f aca="false">IF(ABS(INDEX(Monthly!$C$61:$BJ$61,60)-SUM(Monthly!$C$59:$BJ$59))&lt;0.5,"PASS","FAIL")</f>
        <v>PASS</v>
      </c>
      <c r="C7" s="18" t="s">
        <v>410</v>
      </c>
    </row>
    <row r="8" customFormat="false" ht="15" hidden="false" customHeight="false" outlineLevel="0" collapsed="false">
      <c r="A8" s="6" t="s">
        <v>411</v>
      </c>
      <c r="B8" s="4" t="str">
        <f aca="false">IF(AND(ISNUMBER(Dashboard!B4),Dashboard!B4&gt;=1,Dashboard!B4&lt;=3,INT(Dashboard!B4)=Dashboard!B4),"PASS","FAIL")</f>
        <v>PASS</v>
      </c>
      <c r="C8" s="18" t="s">
        <v>412</v>
      </c>
    </row>
    <row r="9" customFormat="false" ht="15" hidden="false" customHeight="false" outlineLevel="0" collapsed="false">
      <c r="A9" s="6" t="s">
        <v>413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$14&gt;=Inputs!$C$14,Inputs!$C$14&gt;=Inputs!$D$14,Inputs!$B$16&gt;=Inputs!$C$16,Inputs!$C$16&gt;=Inputs!$D$16,Inputs!$B$17&gt;=Inputs!$C$17,Inputs!$C$17&gt;=Inputs!$D$17,Inputs!$B$18&gt;=Inputs!$C$18,Inputs!$C$18&gt;=Inputs!$D$18,Inputs!$B$21&lt;=Inputs!$C$21,Inputs!$C$21&lt;=Inputs!$D$21,Inputs!$B$23&lt;=Inputs!$C$23,Inputs!$C$23&lt;=Inputs!$D$23,Inputs!$B$47&gt;=Inputs!$C$47,Inputs!$C$47&gt;=Inputs!$D$47,Inputs!$B$48&lt;=Inputs!$C$48,Inputs!$C$48&lt;=Inputs!$D$48,Inputs!$B$49&lt;=Inputs!$C$49,Inputs!$C$49&lt;=Inputs!$D$49),"PASS","FAIL")</f>
        <v>PASS</v>
      </c>
      <c r="C9" s="18" t="s">
        <v>414</v>
      </c>
    </row>
    <row r="10" customFormat="false" ht="15" hidden="false" customHeight="false" outlineLevel="0" collapsed="false">
      <c r="A10" s="6" t="s">
        <v>415</v>
      </c>
      <c r="B10" s="4" t="str">
        <f aca="false">IF(AND(MIN('P&amp;L'!$B$8:$F$8)&gt;=0,MAX('P&amp;L'!$B$8:$F$8)&lt;=1),"PASS","FAIL")</f>
        <v>PASS</v>
      </c>
      <c r="C10" s="18" t="s">
        <v>416</v>
      </c>
    </row>
    <row r="11" customFormat="false" ht="15" hidden="false" customHeight="false" outlineLevel="0" collapsed="false">
      <c r="A11" s="6" t="s">
        <v>417</v>
      </c>
      <c r="B11" s="4" t="str">
        <f aca="false">IF(MIN(Monthly!$C$44:$BJ$44)&gt;=-0.5,"PASS","FAIL")</f>
        <v>PASS</v>
      </c>
      <c r="C11" s="18" t="s">
        <v>418</v>
      </c>
    </row>
    <row r="12" customFormat="false" ht="15" hidden="false" customHeight="false" outlineLevel="0" collapsed="false">
      <c r="A12" s="6" t="s">
        <v>419</v>
      </c>
      <c r="B12" s="4" t="str">
        <f aca="false">IF(ABS('Break-even'!B18-('Break-even'!B16-'Break-even'!B10))&lt;0.5,"PASS","FAIL")</f>
        <v>PASS</v>
      </c>
      <c r="C12" s="18" t="s">
        <v>420</v>
      </c>
    </row>
    <row r="13" customFormat="false" ht="15" hidden="false" customHeight="false" outlineLevel="0" collapsed="false">
      <c r="A13" s="6" t="s">
        <v>421</v>
      </c>
      <c r="B13" s="4" t="str">
        <f aca="false">IF(ABS(Valuation!B23-NPV(Valuation!B6,Valuation!$B$17:$F$17))&lt;0.5,"PASS","FAIL")</f>
        <v>PASS</v>
      </c>
      <c r="C13" s="18" t="s">
        <v>422</v>
      </c>
    </row>
    <row r="14" customFormat="false" ht="15" hidden="false" customHeight="false" outlineLevel="0" collapsed="false">
      <c r="A14" s="6" t="s">
        <v>423</v>
      </c>
      <c r="B14" s="4" t="str">
        <f aca="false">IF(Valuation!B6&gt;Valuation!B7,"PASS","FAIL")</f>
        <v>PASS</v>
      </c>
      <c r="C14" s="18" t="s">
        <v>424</v>
      </c>
    </row>
    <row r="15" customFormat="false" ht="15" hidden="false" customHeight="false" outlineLevel="0" collapsed="false">
      <c r="A15" s="6" t="s">
        <v>425</v>
      </c>
      <c r="B15" s="4" t="str">
        <f aca="false">IF(ABS(Valuation!D36-Valuation!B27)&lt;0.5,"PASS","FAIL")</f>
        <v>PASS</v>
      </c>
      <c r="C15" s="18" t="s">
        <v>426</v>
      </c>
    </row>
    <row r="16" customFormat="false" ht="15" hidden="false" customHeight="false" outlineLevel="0" collapsed="false">
      <c r="A16" s="6" t="s">
        <v>427</v>
      </c>
      <c r="B16" s="4" t="str">
        <f aca="false">IF(Valuation!$F$17&gt;0,"PASS","WARN")</f>
        <v>PASS</v>
      </c>
      <c r="C16" s="18" t="s">
        <v>428</v>
      </c>
    </row>
    <row r="17" customFormat="false" ht="15" hidden="false" customHeight="false" outlineLevel="0" collapsed="false">
      <c r="A17" s="6" t="s">
        <v>429</v>
      </c>
      <c r="B17" s="4" t="str">
        <f aca="false">IF(ABS('Sources &amp; Uses'!B21-'Sources &amp; Uses'!B28)&lt;0.5,"PASS","FAIL")</f>
        <v>PASS</v>
      </c>
      <c r="C17" s="18" t="s">
        <v>430</v>
      </c>
    </row>
    <row r="18" customFormat="false" ht="15" hidden="false" customHeight="false" outlineLevel="0" collapsed="false">
      <c r="A18" s="6" t="s">
        <v>431</v>
      </c>
      <c r="B18" s="4" t="str">
        <f aca="false">IF(SUMPRODUCT(--ISERROR(Monthly!$C$4:$BJ$79))+SUMPRODUCT(--ISERROR(Headcount!$C$4:$BJ$13))+SUMPRODUCT(--ISERROR('P&amp;L'!$B$3:$F$22))+SUMPRODUCT(--ISERROR('Cash Flow'!$B$3:$F$18))+SUMPRODUCT(--ISERROR('Balance Sheet'!$B$3:$F$17))+SUMPRODUCT(--ISERROR(KPIs!$B$27:$F$33))+SUMPRODUCT(--ISERROR('Break-even'!$B$26:$F$33))+SUMPRODUCT(--ISERROR(Valuation!$B$14:$F$19))+SUMPRODUCT(--ISERROR('Break-even'!$B$3:$F$35))+SUMPRODUCT(--ISERROR(Valuation!$A$3:$F$40))+SUMPRODUCT(--ISERROR('Sources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Uses'!$B$3:$C$30))+SUMPRODUCT(--ISERROR(Dashboard!$A$6:$W$42))+SUMPRODUCT(--ISERROR(Summary!$A$5:$S$52))+SUMPRODUCT(--ISERROR(KPIs!$A$4:$G$33))+SUMPRODUCT(--ISERROR('Scenario calc'!$C$6:$BJ$89))+SUMPRODUCT(--ISERROR('Scenario calc'!$C$94:$BJ$177))+SUMPRODUCT(--ISERROR('Scenario calc'!$C$182:$BJ$265))+SUMPRODUCT(--ISERROR(Scenarios!$B$5:$F$50))=0,"PASS","FAIL")</f>
        <v>PASS</v>
      </c>
      <c r="C18" s="18" t="s">
        <v>432</v>
      </c>
    </row>
    <row r="19" customFormat="false" ht="15" hidden="false" customHeight="false" outlineLevel="0" collapsed="false">
      <c r="A19" s="6" t="s">
        <v>433</v>
      </c>
      <c r="B19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434</v>
      </c>
    </row>
    <row r="20" customFormat="false" ht="15" hidden="false" customHeight="false" outlineLevel="0" collapsed="false">
      <c r="A20" s="6" t="s">
        <v>435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436</v>
      </c>
    </row>
    <row r="21" customFormat="false" ht="15" hidden="false" customHeight="false" outlineLevel="0" collapsed="false">
      <c r="A21" s="6" t="s">
        <v>437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438</v>
      </c>
    </row>
    <row r="22" customFormat="false" ht="15" hidden="false" customHeight="false" outlineLevel="0" collapsed="false">
      <c r="A22" s="6" t="s">
        <v>439</v>
      </c>
      <c r="B22" s="4" t="str">
        <f aca="false">IF(SUMPRODUCT(--(ABS(Monthly!$C$79:$BJ$79)&gt;0.5))=0,"PASS","FAIL")</f>
        <v>PASS</v>
      </c>
      <c r="C22" s="18" t="s">
        <v>440</v>
      </c>
    </row>
    <row r="23" customFormat="false" ht="15" hidden="false" customHeight="false" outlineLevel="0" collapsed="false">
      <c r="A23" s="6" t="s">
        <v>441</v>
      </c>
      <c r="B23" s="4" t="str">
        <f aca="false">IF(MIN(Monthly!$C$61:$BJ$61)&gt;=0,"PASS","WARN")</f>
        <v>PASS</v>
      </c>
      <c r="C23" s="18" t="s">
        <v>442</v>
      </c>
    </row>
    <row r="25" customFormat="false" ht="15" hidden="false" customHeight="false" outlineLevel="0" collapsed="false">
      <c r="A25" s="68" t="s">
        <v>443</v>
      </c>
      <c r="B25" s="68" t="str">
        <f aca="false">IF(COUNTIF(B4:B23,"FAIL")&gt;0,"FAIL",IF(COUNTIF(B4:B23,"WARN")&gt;0,"PASS WITH WARNINGS","PASS"))</f>
        <v>PASS</v>
      </c>
      <c r="C25" s="116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2026-10-22T13:58:06Z</dcterms:created>
  <dc:creator/>
  <dc:description/>
  <dc:language>en-US</dc:language>
  <cp:lastModifiedBy/>
  <dcterms:modified xsi:type="dcterms:W3CDTF">2026-10-22T13:58:07Z</dcterms:modified>
  <cp:revision>0</cp:revision>
  <dc:subject/>
  <dc:title>Neighborhood Cafe — Financial Plan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